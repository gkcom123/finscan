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risil-my.sharepoint.com/personal/lokeshk_ad_crisil_com/Documents/1_Team_Fixed Income (Credit)/Bara Model Work/Bara - Model Update/WIP/Jun 2026 - Coca Cola FEMSA/1Q26/"/>
    </mc:Choice>
  </mc:AlternateContent>
  <xr:revisionPtr revIDLastSave="0" documentId="8_{7B8A5EB9-7E34-4CAC-A2AB-85BCD48A2CFF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Capitalisation" sheetId="17" r:id="rId1"/>
    <sheet name="PB_CACHE" sheetId="19" state="veryHidden" r:id="rId2"/>
    <sheet name="Model" sheetId="15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\A">#REF!</definedName>
    <definedName name="\B">#REF!</definedName>
    <definedName name="\C">#REF!</definedName>
    <definedName name="\L">#REF!</definedName>
    <definedName name="\M">#REF!</definedName>
    <definedName name="\P">#REF!</definedName>
    <definedName name="\Y">#REF!</definedName>
    <definedName name="__FDS_HYPERLINK_TOGGLE_STATE__" hidden="1">"ON"</definedName>
    <definedName name="_01_30_04" localSheetId="0">MonthlyOpStats</definedName>
    <definedName name="_01_30_04" localSheetId="2">MonthlyOpStats</definedName>
    <definedName name="_01_30_04">MonthlyOpStats</definedName>
    <definedName name="_1_30_01" localSheetId="0">MonthlyOpStats</definedName>
    <definedName name="_1_30_01" localSheetId="2">MonthlyOpStats</definedName>
    <definedName name="_1_30_01">MonthlyOpStats</definedName>
    <definedName name="_1_30_02" localSheetId="0">MonthlyOpStats</definedName>
    <definedName name="_1_30_02" localSheetId="2">MonthlyOpStats</definedName>
    <definedName name="_1_30_02">MonthlyOpStats</definedName>
    <definedName name="_1_31_01" localSheetId="0">MonthlyOpStats</definedName>
    <definedName name="_1_31_01" localSheetId="2">MonthlyOpStats</definedName>
    <definedName name="_1_31_01">MonthlyOpStats</definedName>
    <definedName name="_1_31_02" localSheetId="0">MonthlyOpStats</definedName>
    <definedName name="_1_31_02" localSheetId="2">MonthlyOpStats</definedName>
    <definedName name="_1_31_02">MonthlyOpStats</definedName>
    <definedName name="_12_31_05" localSheetId="0">MonthlyOpStats</definedName>
    <definedName name="_12_31_05" localSheetId="2">MonthlyOpStats</definedName>
    <definedName name="_12_31_05">MonthlyOpStats</definedName>
    <definedName name="_A">#REF!</definedName>
    <definedName name="_A___0">#REF!</definedName>
    <definedName name="_B">#REF!</definedName>
    <definedName name="_B___0">#REF!</definedName>
    <definedName name="_C">#REF!</definedName>
    <definedName name="_C___0">#REF!</definedName>
    <definedName name="_Common_Size_Income_Statement" localSheetId="2" function="1" xlm="1">[1]Model!#REF!</definedName>
    <definedName name="_Common_Size_Income_Statement" function="1" xlm="1">[1]Model!#REF!</definedName>
    <definedName name="_ent1">[2]Inputs!$J$17</definedName>
    <definedName name="_ent10">[2]Inputs!$J$476</definedName>
    <definedName name="_ent11">[2]Inputs!$J$527</definedName>
    <definedName name="_ent12">[2]Inputs!$J$578</definedName>
    <definedName name="_ent13">[2]Inputs!$J$629</definedName>
    <definedName name="_ent14">[2]Inputs!$J$680</definedName>
    <definedName name="_ent15">[2]Inputs!$J$731</definedName>
    <definedName name="_ent2">[2]Inputs!$J$68</definedName>
    <definedName name="_ent3">[2]Inputs!$J$119</definedName>
    <definedName name="_ent4">[2]Inputs!$J$170</definedName>
    <definedName name="_ent5">[2]Inputs!$J$221</definedName>
    <definedName name="_ent6">[2]Inputs!$J$272</definedName>
    <definedName name="_ent7">[2]Inputs!$J$323</definedName>
    <definedName name="_ent8">[2]Inputs!$J$374</definedName>
    <definedName name="_ent9">[2]Inputs!$J$425</definedName>
    <definedName name="_eps1">[2]Inputs!$P$42</definedName>
    <definedName name="_eps10">[2]Inputs!$P$501</definedName>
    <definedName name="_eps11">[2]Inputs!$P$552</definedName>
    <definedName name="_eps12">[2]Inputs!$P$603</definedName>
    <definedName name="_eps13">[2]Inputs!$P$654</definedName>
    <definedName name="_eps14">[2]Inputs!$P$705</definedName>
    <definedName name="_eps15">[2]Inputs!$P$756</definedName>
    <definedName name="_eps2">[2]Inputs!$P$93</definedName>
    <definedName name="_eps3">[2]Inputs!$P$144</definedName>
    <definedName name="_eps4">[2]Inputs!$P$195</definedName>
    <definedName name="_eps5">[2]Inputs!$P$246</definedName>
    <definedName name="_eps6">[2]Inputs!$P$297</definedName>
    <definedName name="_eps7">[2]Inputs!$P$348</definedName>
    <definedName name="_eps8">[2]Inputs!$P$399</definedName>
    <definedName name="_eps9">[2]Inputs!$P$450</definedName>
    <definedName name="_Fill" localSheetId="2" hidden="1">[3]FxdChg!#REF!</definedName>
    <definedName name="_Fill" hidden="1">[3]FxdChg!#REF!</definedName>
    <definedName name="_xlnm._FilterDatabase" localSheetId="2" hidden="1">Model!#REF!</definedName>
    <definedName name="_fye1">[2]Inputs!$E$12</definedName>
    <definedName name="_fye10">[2]Inputs!$E$471</definedName>
    <definedName name="_fye11">[2]Inputs!$E$522</definedName>
    <definedName name="_fye12">[2]Inputs!$E$573</definedName>
    <definedName name="_fye13">[2]Inputs!$E$624</definedName>
    <definedName name="_fye14">[2]Inputs!$E$675</definedName>
    <definedName name="_fye15">[2]Inputs!$E$726</definedName>
    <definedName name="_fye2">[2]Inputs!$E$63</definedName>
    <definedName name="_fye3">[2]Inputs!$E$114</definedName>
    <definedName name="_fye4">[2]Inputs!$E$165</definedName>
    <definedName name="_fye5">[2]Inputs!$E$216</definedName>
    <definedName name="_fye6">[2]Inputs!$E$267</definedName>
    <definedName name="_fye7">[2]Inputs!$E$318</definedName>
    <definedName name="_fye8">[2]Inputs!$E$369</definedName>
    <definedName name="_fye9">[2]Inputs!$E$420</definedName>
    <definedName name="_GEI_Returns" localSheetId="2">[1]Model!#REF!</definedName>
    <definedName name="_GEI_Returns">[1]Model!#REF!</definedName>
    <definedName name="_L">#REF!</definedName>
    <definedName name="_L___0">#REF!</definedName>
    <definedName name="_mv1">[2]Inputs!$J$16</definedName>
    <definedName name="_mv10">[2]Inputs!$J$475</definedName>
    <definedName name="_mv11">[2]Inputs!$J$526</definedName>
    <definedName name="_mv12">[2]Inputs!$J$577</definedName>
    <definedName name="_mv13">[2]Inputs!$J$628</definedName>
    <definedName name="_mv14">[2]Inputs!$J$679</definedName>
    <definedName name="_mv15">[2]Inputs!$J$730</definedName>
    <definedName name="_mv2">[2]Inputs!$J$67</definedName>
    <definedName name="_mv3">[2]Inputs!$J$118</definedName>
    <definedName name="_mv4">[2]Inputs!$J$169</definedName>
    <definedName name="_mv5">[2]Inputs!$J$220</definedName>
    <definedName name="_mv6">[2]Inputs!$J$271</definedName>
    <definedName name="_mv7">[2]Inputs!$J$322</definedName>
    <definedName name="_mv8">[2]Inputs!$J$373</definedName>
    <definedName name="_mv9">[2]Inputs!$J$424</definedName>
    <definedName name="_Order1" hidden="1">0</definedName>
    <definedName name="_Order2" hidden="1">0</definedName>
    <definedName name="_P">#REF!</definedName>
    <definedName name="_P___0">#REF!</definedName>
    <definedName name="_Returns" localSheetId="2" function="1" xlm="1">[1]Model!#REF!</definedName>
    <definedName name="_Returns" function="1" xlm="1">[1]Model!#REF!</definedName>
    <definedName name="_Table2_Out" hidden="1">#REF!</definedName>
    <definedName name="_xleta.SUM" hidden="1" xlm="1">#NAME?</definedName>
    <definedName name="_Y">#REF!</definedName>
    <definedName name="_Y___0">#REF!</definedName>
    <definedName name="Aa_Recovery">#REF!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ccrued_Comp_Sales" localSheetId="2">'[4]Tanning Assumptions'!#REF!</definedName>
    <definedName name="Accrued_Comp_Sales">'[4]Tanning Assumptions'!#REF!</definedName>
    <definedName name="acq">#REF!</definedName>
    <definedName name="acquiror">#REF!</definedName>
    <definedName name="AdSalesCash">#REF!</definedName>
    <definedName name="AdSalesTrade">#REF!</definedName>
    <definedName name="AdSalesWebsite">#REF!</definedName>
    <definedName name="AICORR" localSheetId="2">#REF!</definedName>
    <definedName name="AICORR">#REF!</definedName>
    <definedName name="AllBH">#REF!</definedName>
    <definedName name="allProjects">#REF!</definedName>
    <definedName name="amort" localSheetId="2">[5]Inputs!#REF!</definedName>
    <definedName name="amort">[5]Inputs!#REF!</definedName>
    <definedName name="AP_Sales" localSheetId="2">'[4]Tanning Assumptions'!#REF!</definedName>
    <definedName name="AP_Sales">'[4]Tanning Assumptions'!#REF!</definedName>
    <definedName name="AR_Other_Sales" localSheetId="2">'[4]Tanning Assumptions'!#REF!</definedName>
    <definedName name="AR_Other_Sales">'[4]Tanning Assumptions'!#REF!</definedName>
    <definedName name="AR_Trade_Sales" localSheetId="2">'[4]Tanning Assumptions'!#REF!</definedName>
    <definedName name="AR_Trade_Sales">'[4]Tanning Assumptions'!#REF!</definedName>
    <definedName name="As_Of_Date">[6]Selections!$C$2</definedName>
    <definedName name="asdfa">#REF!</definedName>
    <definedName name="AsOfDate">'[7]AUM YTD 2000'!$W$1</definedName>
    <definedName name="AssetPur" localSheetId="2" function="1" xlm="1">[1]Model!#REF!</definedName>
    <definedName name="AssetPur" function="1" xlm="1">[1]Model!#REF!</definedName>
    <definedName name="ASSUMPTIONS">#REF!</definedName>
    <definedName name="B_S" localSheetId="2">#REF!</definedName>
    <definedName name="B_S">#REF!</definedName>
    <definedName name="Baa_Recovery">#REF!</definedName>
    <definedName name="bal">#REF!</definedName>
    <definedName name="banner2">[8]CONTROL!$D$10</definedName>
    <definedName name="banner2___0">[8]CONTROL!$D$10</definedName>
    <definedName name="Base_Case">#REF!</definedName>
    <definedName name="Billable">#REF!</definedName>
    <definedName name="BillableHeadcount">#REF!</definedName>
    <definedName name="body">#REF!</definedName>
    <definedName name="BREAK_EVEN">#REF!</definedName>
    <definedName name="BREAK_EVEN___0">#REF!</definedName>
    <definedName name="Broadwing__Inc__Cincinnati_Bell">#REF!</definedName>
    <definedName name="brob">#REF!</definedName>
    <definedName name="bs" localSheetId="2">[5]Inputs!#REF!</definedName>
    <definedName name="bs">[5]Inputs!#REF!</definedName>
    <definedName name="case">#REF!</definedName>
    <definedName name="case1">[9]CONTROL!$A$12</definedName>
    <definedName name="case2">[9]CONTROL!$A$13</definedName>
    <definedName name="case3">[9]CONTROL!$A$14</definedName>
    <definedName name="CASH_FLOW" localSheetId="2">#REF!</definedName>
    <definedName name="CASH_FLOW">#REF!</definedName>
    <definedName name="Cash_Sales" localSheetId="2">'[4]Tanning Assumptions'!#REF!</definedName>
    <definedName name="Cash_Sales">'[4]Tanning Assumptions'!#REF!</definedName>
    <definedName name="CASHBUDGET" localSheetId="2">#REF!</definedName>
    <definedName name="CASHBUDGET">#REF!</definedName>
    <definedName name="CASHBUDGET___0" localSheetId="2">#REF!</definedName>
    <definedName name="CASHBUDGET___0">#REF!</definedName>
    <definedName name="CASHFLOWS_MONTH">#REF!</definedName>
    <definedName name="CASHFLOWS_MONTH___0">#REF!</definedName>
    <definedName name="CASHFLOWS_YEARS">#REF!</definedName>
    <definedName name="CASHFLOWS_YEARS___0">#REF!</definedName>
    <definedName name="cashint" localSheetId="2">#REF!</definedName>
    <definedName name="cashint">#REF!</definedName>
    <definedName name="cashint___0" localSheetId="2">#REF!</definedName>
    <definedName name="cashint___0">#REF!</definedName>
    <definedName name="CBHC">#REF!</definedName>
    <definedName name="cfl">#REF!</definedName>
    <definedName name="ChartDataRange">#REF!</definedName>
    <definedName name="CINC" localSheetId="2">#REF!</definedName>
    <definedName name="CINC">#REF!</definedName>
    <definedName name="CIQWBGuid" hidden="1">"8b641ffe-254f-4cf6-9c2a-94fb69af0938"</definedName>
    <definedName name="CIQWBInfo" hidden="1">"{ ""CIQVersion"":""9.45.614.5792"" }"</definedName>
    <definedName name="circ" localSheetId="2">[5]Inputs!#REF!</definedName>
    <definedName name="circ">[5]Inputs!#REF!</definedName>
    <definedName name="CircRev">#REF!</definedName>
    <definedName name="Class_3_Agg_Cash" localSheetId="2">[10]Revolver!#REF!</definedName>
    <definedName name="Class_3_Agg_Cash">[10]Revolver!#REF!</definedName>
    <definedName name="Class_3_Amt_BET" localSheetId="2">[10]Revolver!#REF!</definedName>
    <definedName name="Class_3_Amt_BET">[10]Revolver!#REF!</definedName>
    <definedName name="Class_A_Interest">#REF!</definedName>
    <definedName name="Class_A_Principal">#REF!</definedName>
    <definedName name="Class_B_Interest">#REF!</definedName>
    <definedName name="Class_B_Principal">#REF!</definedName>
    <definedName name="Class_C_Payment">#REF!</definedName>
    <definedName name="ClassABC">'[6]Debt Structure'!$AN$7</definedName>
    <definedName name="ClassABCD">'[6]Debt Structure'!$AN$8</definedName>
    <definedName name="ClassABCDE">'[6]Debt Structure'!$AN$9</definedName>
    <definedName name="Clients" localSheetId="2">#REF!</definedName>
    <definedName name="Clients">#REF!</definedName>
    <definedName name="closing_date">#REF!</definedName>
    <definedName name="closingttmrevenue">#REF!</definedName>
    <definedName name="CMBSIG" localSheetId="2">#REF!</definedName>
    <definedName name="CMBSIG">#REF!</definedName>
    <definedName name="Column_Lookup">'[11]MASTER DRIVER'!$C$5:$D$29</definedName>
    <definedName name="COMBINED_J_W__3_111403_JUP_IND_PROFORMA_List">#REF!</definedName>
    <definedName name="company">[12]CONTROL!$D$7</definedName>
    <definedName name="company___0">[8]CONTROL!$D$7</definedName>
    <definedName name="cons">#REF!</definedName>
    <definedName name="consultants">#REF!</definedName>
    <definedName name="contrib2" localSheetId="0" hidden="1">{"page1",#N/A,FALSE,"Temp";"page2",#N/A,FALSE,"Temp";"page3",#N/A,FALSE,"Temp";"page4",#N/A,FALSE,"Temp";"page5",#N/A,FALSE,"Temp";"page6",#N/A,FALSE,"Temp"}</definedName>
    <definedName name="contrib2" hidden="1">{"page1",#N/A,FALSE,"Temp";"page2",#N/A,FALSE,"Temp";"page3",#N/A,FALSE,"Temp";"page4",#N/A,FALSE,"Temp";"page5",#N/A,FALSE,"Temp";"page6",#N/A,FALSE,"Temp"}</definedName>
    <definedName name="contrib3" localSheetId="0" hidden="1">{"page1",#N/A,FALSE,"Temp";"page2",#N/A,FALSE,"Temp";"page3",#N/A,FALSE,"Temp";"page4",#N/A,FALSE,"Temp";"page5",#N/A,FALSE,"Temp";"page6",#N/A,FALSE,"Temp"}</definedName>
    <definedName name="contrib3" hidden="1">{"page1",#N/A,FALSE,"Temp";"page2",#N/A,FALSE,"Temp";"page3",#N/A,FALSE,"Temp";"page4",#N/A,FALSE,"Temp";"page5",#N/A,FALSE,"Temp";"page6",#N/A,FALSE,"Temp"}</definedName>
    <definedName name="convertamt">#REF!</definedName>
    <definedName name="convertamt___0">#REF!</definedName>
    <definedName name="convertper">#REF!</definedName>
    <definedName name="convertper___0">#REF!</definedName>
    <definedName name="CorpName">'[13]MASTER DRIVERS'!$A$1</definedName>
    <definedName name="COSTREPORT">#REF!</definedName>
    <definedName name="COSTREPORT___0">#REF!</definedName>
    <definedName name="counter" localSheetId="2">'[14]Portfolio Input'!#REF!</definedName>
    <definedName name="counter">'[14]Portfolio Input'!#REF!</definedName>
    <definedName name="counter2" localSheetId="2">'[14]Portfolio Input'!#REF!</definedName>
    <definedName name="counter2">'[14]Portfolio Input'!#REF!</definedName>
    <definedName name="Coupon">[15]Inputs!$J$30</definedName>
    <definedName name="CSEnd">#REF!</definedName>
    <definedName name="CSHO" localSheetId="2">#REF!</definedName>
    <definedName name="CSHO">#REF!</definedName>
    <definedName name="CSHPRI" localSheetId="2">#REF!</definedName>
    <definedName name="CSHPRI">#REF!</definedName>
    <definedName name="current1">[2]Inputs!$E$21</definedName>
    <definedName name="current10">[2]Inputs!$E$480</definedName>
    <definedName name="current11">[2]Inputs!$E$531</definedName>
    <definedName name="current12">[2]Inputs!$E$582</definedName>
    <definedName name="current13">[2]Inputs!$E$633</definedName>
    <definedName name="current14">[2]Inputs!$E$684</definedName>
    <definedName name="current15">[2]Inputs!$E$735</definedName>
    <definedName name="current2">[2]Inputs!$E$72</definedName>
    <definedName name="current3">[2]Inputs!$E$123</definedName>
    <definedName name="current4">[2]Inputs!$E$174</definedName>
    <definedName name="current5">[2]Inputs!$E$225</definedName>
    <definedName name="current6">[2]Inputs!$E$276</definedName>
    <definedName name="current7">[2]Inputs!$E$327</definedName>
    <definedName name="current8">[2]Inputs!$E$378</definedName>
    <definedName name="current9">[2]Inputs!$E$429</definedName>
    <definedName name="CustomPubSales">#REF!</definedName>
    <definedName name="Date" localSheetId="2">[16]Comps!#REF!</definedName>
    <definedName name="Date">[16]Comps!#REF!</definedName>
    <definedName name="Date_OC1">OFFSET([6]OCTrends!$B$2,0,0,COUNTA([6]OCTrends!$B$1:$B$65536)-1)</definedName>
    <definedName name="Date_OC2">OFFSET([6]OCTrends!$G$2,0,0,COUNTA([6]OCTrends!$G$1:$G$65536)-1)</definedName>
    <definedName name="Date_OC3">OFFSET([6]OCTrends!$L$2,0,0,COUNTA([6]OCTrends!$L$1:$L$65536)-1)</definedName>
    <definedName name="debtsched" localSheetId="2">[5]Inputs!#REF!</definedName>
    <definedName name="debtsched">[5]Inputs!#REF!</definedName>
    <definedName name="decconsultants">#REF!</definedName>
    <definedName name="decemberemployees">#REF!</definedName>
    <definedName name="decemployees">#REF!</definedName>
    <definedName name="default">#REF!</definedName>
    <definedName name="Default_Scenario">#REF!</definedName>
    <definedName name="Default_Table" localSheetId="2">#REF!</definedName>
    <definedName name="Default_Table">#REF!</definedName>
    <definedName name="Default_Timing">#REF!</definedName>
    <definedName name="depsched" localSheetId="2">[5]Inputs!#REF!</definedName>
    <definedName name="depsched">[5]Inputs!#REF!</definedName>
    <definedName name="DivActual">OFFSET([6]DivTrends!$C$2,0,0,COUNTA([6]DivTrends!$C$1:$C$65536)-1)</definedName>
    <definedName name="DivCovenant">OFFSET([6]DivTrends!$D$2,0,0,COUNTA([6]DivTrends!$D$1:$D$65536)-1)</definedName>
    <definedName name="DivDate">OFFSET([6]DivTrends!$B$2,0,0,COUNTA([6]DivTrends!$B$1:$B$65536)-1)</definedName>
    <definedName name="Diversity">'[7]Actual vs Covenant'!$P$41:$Q$48</definedName>
    <definedName name="DiversityScore">#REF!</definedName>
    <definedName name="earnout">#REF!</definedName>
    <definedName name="earnout___0">#REF!</definedName>
    <definedName name="EBIT">Model!#REF!</definedName>
    <definedName name="EBITDA">#REF!</definedName>
    <definedName name="ebitda1">[2]Inputs!$P$46</definedName>
    <definedName name="ebitda10">[2]Inputs!$P$505</definedName>
    <definedName name="ebitda11">[2]Inputs!$P$556</definedName>
    <definedName name="ebitda12">[2]Inputs!$P$607</definedName>
    <definedName name="ebitda13">[2]Inputs!$P$658</definedName>
    <definedName name="ebitda14">[2]Inputs!$P$709</definedName>
    <definedName name="ebitda15">[2]Inputs!$P$760</definedName>
    <definedName name="ebitda2">[2]Inputs!$P$97</definedName>
    <definedName name="ebitda3">[2]Inputs!$P$148</definedName>
    <definedName name="ebitda4">[2]Inputs!$P$199</definedName>
    <definedName name="ebitda5">[2]Inputs!$P$250</definedName>
    <definedName name="ebitda6">[2]Inputs!$P$301</definedName>
    <definedName name="ebitda7">[2]Inputs!$P$352</definedName>
    <definedName name="ebitda8">[2]Inputs!$P$403</definedName>
    <definedName name="ebitda9">[2]Inputs!$P$454</definedName>
    <definedName name="effective_date">#REF!</definedName>
    <definedName name="ELC1_Top3">[7]TOP10!$D$3</definedName>
    <definedName name="ELC1_Top4">[7]TOP10!$D$8</definedName>
    <definedName name="ELC1FitchRatingChartData">[7]ELC1!$G$2:$H$11</definedName>
    <definedName name="ELC1FitchRatingChartSerial1">[7]ELC1!$H$2:$H$11</definedName>
    <definedName name="ELC1FitchRatingChartXScale">[7]ELC1!$G$2:$G$11</definedName>
    <definedName name="ELC1MoodyRatingChartData">[7]ELC1!$A$2:$B$14</definedName>
    <definedName name="ELC1MoodyRatingChartSerial1">[7]ELC1!$B$2:$B$14</definedName>
    <definedName name="ELC1MoodyRatingChartXScale">[7]ELC1!$A$2:$A$14</definedName>
    <definedName name="ELC1SPRatingChartData">[7]ELC1!$D$2:$E$14</definedName>
    <definedName name="ELC1SPRatingChartSerial1">[7]ELC1!$E$2:$E$14</definedName>
    <definedName name="ELC1SPRatingChartXScale">[7]ELC1!$D$2:$D$14</definedName>
    <definedName name="ELC2_Top3">[7]TOP10!$G$3</definedName>
    <definedName name="ELC2_Top4">[7]TOP10!$G$8</definedName>
    <definedName name="ELC2FitchRatingChartData">[7]ELC2!$G$2:$H$12</definedName>
    <definedName name="ELC2FitchRatingChartSerial1">[7]ELC2!$H$2:$H$12</definedName>
    <definedName name="ELC2FitchRatingChartXScale">[7]ELC2!$G$2:$G$12</definedName>
    <definedName name="ELC2MoodyRatingChartData">[7]ELC2!$A$2:$B$15</definedName>
    <definedName name="ELC2MoodyRatingChartSerial1">[7]ELC2!$B$2:$B$15</definedName>
    <definedName name="ELC2MoodyRatingChartXScale">[7]ELC2!$A$2:$A$15</definedName>
    <definedName name="ELC2SPRatingChartData">[7]ELC2!$D$2:$E$15</definedName>
    <definedName name="ELC2SPRatingChartSerial1">[7]ELC2!$E$2:$E$15</definedName>
    <definedName name="ELC2SPRatingChartXScale">[7]ELC2!$D$2:$D$15</definedName>
    <definedName name="ELC3_Top3">[7]TOP10!$J$3</definedName>
    <definedName name="ELC3_Top4">[7]TOP10!$J$8</definedName>
    <definedName name="ELC3FitchRatingChartData">[7]ELC3!$G$2:$H$14</definedName>
    <definedName name="ELC3FitchRatingChartSerial1">[7]ELC3!$H$2:$H$14</definedName>
    <definedName name="ELC3FitchRatingChartXScale">[7]ELC3!$G$2:$G$14</definedName>
    <definedName name="ELC3MoodyRatingChartData">[7]ELC3!$A$2:$B$15</definedName>
    <definedName name="ELC3MoodyRatingChartSerial1">[7]ELC3!$B$2:$B$15</definedName>
    <definedName name="ELC3MoodyRatingChartXScale">[7]ELC3!$A$2:$A$15</definedName>
    <definedName name="ELC3SPRatingChartData">[7]ELC3!$D$2:$E$16</definedName>
    <definedName name="ELC3SPRatingChartSerial1">[7]ELC3!$E$2:$E$16</definedName>
    <definedName name="ELC3SPRatingChartXScale">[7]ELC3!$D$2:$D$16</definedName>
    <definedName name="ELC4_Top3">[7]TOP10!$M$3</definedName>
    <definedName name="ELC4_Top4">[7]TOP10!$M$8</definedName>
    <definedName name="ELC4FitchRatingChartData">[7]ELC4!$G$2:$H$8</definedName>
    <definedName name="ELC4FitchRatingChartSerial1">[7]ELC4!$H$2:$H$8</definedName>
    <definedName name="ELC4FitchRatingChartXScale">[7]ELC4!$G$2:$G$8</definedName>
    <definedName name="ELC4MoodyRatingChartData">[7]ELC4!$A$2:$B$13</definedName>
    <definedName name="ELC4MoodyRatingChartSerial1">[7]ELC4!$B$2:$B$13</definedName>
    <definedName name="ELC4MoodyRatingChartXScale">[7]ELC4!$A$2:$A$13</definedName>
    <definedName name="ELC4SPRatingChartData">[7]ELC4!$D$2:$E$14</definedName>
    <definedName name="ELC4SPRatingChartSerial1">[7]ELC4!$E$2:$E$14</definedName>
    <definedName name="ELC4SPRatingChartXScale">[7]ELC4!$D$2:$D$14</definedName>
    <definedName name="ELC5_Top3">[7]TOP10!$P$3</definedName>
    <definedName name="ELC5_Top4">[7]TOP10!$P$8</definedName>
    <definedName name="ELC5FitchRatingChartData">[7]ELC5!$G$2:$H$9</definedName>
    <definedName name="ELC5FitchRatingChartSerial1">[7]ELC5!$H$2:$H$9</definedName>
    <definedName name="ELC5FitchRatingChartXScale">[7]ELC5!$G$2:$G$9</definedName>
    <definedName name="ELC5MoodyRatingChartData">[7]ELC5!$A$2:$B$14</definedName>
    <definedName name="ELC5MoodyRatingChartSerial1">[7]ELC5!$B$2:$B$14</definedName>
    <definedName name="ELC5MoodyRatingChartXScale">[7]ELC5!$A$2:$A$14</definedName>
    <definedName name="ELC5SPRatingChartData">[7]ELC5!$D$2:$E$14</definedName>
    <definedName name="ELC5SPRatingChartSerial1">[7]ELC5!$E$2:$E$14</definedName>
    <definedName name="ELC5SPRatingChartXScale">[7]ELC5!$D$2:$D$14</definedName>
    <definedName name="employees">#REF!</definedName>
    <definedName name="EndDay">[6]Selections!$R$3</definedName>
    <definedName name="EndMonth">[6]Selections!$R$2</definedName>
    <definedName name="EndYear">[6]Selections!$R$1</definedName>
    <definedName name="ePrint" localSheetId="2">[17]Consolidated!#REF!</definedName>
    <definedName name="ePrint">[17]Consolidated!#REF!</definedName>
    <definedName name="EQUITY">'[9]S&amp;U'!$E$12</definedName>
    <definedName name="equityamt">#REF!</definedName>
    <definedName name="equityamt___0">#REF!</definedName>
    <definedName name="equityper">#REF!</definedName>
    <definedName name="equityper___0">#REF!</definedName>
    <definedName name="ev.Calculation" hidden="1">-4105</definedName>
    <definedName name="ev.Initialized" hidden="1">FALSE</definedName>
    <definedName name="exe">#REF!</definedName>
    <definedName name="fianal">[18]Preliminary!$A$1:$D$65</definedName>
    <definedName name="filename">[6]Selections!$U$2</definedName>
    <definedName name="Final_Number">#REF!</definedName>
    <definedName name="FinanceRev">#REF!</definedName>
    <definedName name="FinanceRev2">#REF!</definedName>
    <definedName name="firstHourDate">#REF!</definedName>
    <definedName name="firstProject">#REF!</definedName>
    <definedName name="Flat_Swap">#REF!</definedName>
    <definedName name="FSoPacific" localSheetId="0" hidden="1">{"BS",#N/A,FALSE,"USA"}</definedName>
    <definedName name="FSoPacific" hidden="1">{"BS",#N/A,FALSE,"USA"}</definedName>
    <definedName name="Fund">[6]Selections!$A$1</definedName>
    <definedName name="Fwd_Curve">#REF!</definedName>
    <definedName name="FYEMarker">#REF!</definedName>
    <definedName name="FYEMonth">#REF!</definedName>
    <definedName name="G_A_SUMMARY">#REF!</definedName>
    <definedName name="group_quarterly">#REF!</definedName>
    <definedName name="Header1">[19]_01_05_v_Wicks_xls__01_05_v_Wic!$N$1</definedName>
    <definedName name="high1">[2]Inputs!$E$23</definedName>
    <definedName name="high10">[2]Inputs!$E$482</definedName>
    <definedName name="high11">[2]Inputs!$E$533</definedName>
    <definedName name="high12">[2]Inputs!$E$584</definedName>
    <definedName name="high13">[2]Inputs!$E$635</definedName>
    <definedName name="high14">[2]Inputs!$E$686</definedName>
    <definedName name="high15">[2]Inputs!$E$737</definedName>
    <definedName name="high2">[2]Inputs!$E$74</definedName>
    <definedName name="high3">[2]Inputs!$E$125</definedName>
    <definedName name="high4">[2]Inputs!$E$176</definedName>
    <definedName name="high5">[2]Inputs!$E$227</definedName>
    <definedName name="high6">[2]Inputs!$E$278</definedName>
    <definedName name="high7">[2]Inputs!$E$329</definedName>
    <definedName name="high8">[2]Inputs!$E$380</definedName>
    <definedName name="high9">[2]Inputs!$E$431</definedName>
    <definedName name="hl" localSheetId="2">'[20]LBO Summary'!#REF!</definedName>
    <definedName name="hl">'[20]LBO Summary'!#REF!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IC1Actual">OFFSET([6]ICTrends!$C$2,0,0,COUNTA([6]ICTrends!$C$1:$C$65536)-1)</definedName>
    <definedName name="IC1ChartTitle">[6]ICTrends!$W$1</definedName>
    <definedName name="IC1Covenant">OFFSET([6]ICTrends!$D$2,0,0,COUNTA([6]ICTrends!$D$1:$D$65536)-1)</definedName>
    <definedName name="IC1Date">OFFSET([6]ICTrends!$B$2,0,0,COUNTA([6]ICTrends!$B$1:$B$65536)-1)</definedName>
    <definedName name="IC2Actual">OFFSET([6]ICTrends!$H$2,0,0,COUNTA([6]ICTrends!$H$1:$H$65536)-1)</definedName>
    <definedName name="IC2Covenant">OFFSET([6]ICTrends!$I$2,0,0,COUNTA([6]ICTrends!$I$1:$I$65536)-1)</definedName>
    <definedName name="IC2Date">OFFSET([6]ICTrends!$G$2,0,0,COUNTA([6]ICTrends!$G$1:$G$65536)-1)</definedName>
    <definedName name="IC3Actual">OFFSET([6]ICTrends!$M$2,0,0,COUNTA([6]ICTrends!$M$1:$M$65536)-1)</definedName>
    <definedName name="IC3Covenant">OFFSET([6]ICTrends!$N$2,0,0,COUNTA([6]ICTrends!$N$1:$N$65536)-1)</definedName>
    <definedName name="IC3Date">OFFSET([6]ICTrends!$L$2,0,0,COUNTA([6]ICTrends!$L$1:$L$65536)-1)</definedName>
    <definedName name="IC4Actual">OFFSET([6]ICTrends!$R$2,0,0,COUNTA([6]ICTrends!$R$1:$R$65536)-1)</definedName>
    <definedName name="IC4Covenant">OFFSET([6]ICTrends!$S$2,0,0,COUNTA([6]ICTrends!$S$1:$S$65536)-1)</definedName>
    <definedName name="IC4Date">OFFSET([6]ICTrends!$Q$2,0,0,COUNTA([6]ICTrends!$Q$1:$Q$65536)-1)</definedName>
    <definedName name="inc">#REF!</definedName>
    <definedName name="incsyntog">#REF!</definedName>
    <definedName name="incsyntog___0">#REF!</definedName>
    <definedName name="inputs">#REF!</definedName>
    <definedName name="IQ_AE_BR" hidden="1">"c10"</definedName>
    <definedName name="IQ_AP_BR" hidden="1">"c34"</definedName>
    <definedName name="IQ_AR_BR" hidden="1">"c41"</definedName>
    <definedName name="IQ_ASSET_WRITEDOWN_BR" hidden="1">"c50"</definedName>
    <definedName name="IQ_ASSET_WRITEDOWN_CF_BR" hidden="1">"c53"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APEX_BR" hidden="1">"c111"</definedName>
    <definedName name="IQ_CH">110000</definedName>
    <definedName name="IQ_CHANGE_AP_BR" hidden="1">"c135"</definedName>
    <definedName name="IQ_CHANGE_AR_BR" hidden="1">"c142"</definedName>
    <definedName name="IQ_CHANGE_OTHER_NET_OPER_ASSETS_BR" hidden="1">"c3595"</definedName>
    <definedName name="IQ_CHANGE_OTHER_WORK_CAP_BR" hidden="1">"c154"</definedName>
    <definedName name="IQ_COMMERCIAL_DOM" hidden="1">"c177"</definedName>
    <definedName name="IQ_COMMERCIAL_MORT" hidden="1">"c179"</definedName>
    <definedName name="IQ_COMMON_APIC_BR" hidden="1">"c185"</definedName>
    <definedName name="IQ_COMMON_ISSUED_BR" hidden="1">"c199"</definedName>
    <definedName name="IQ_COMMON_REP_BR" hidden="1">"c208"</definedName>
    <definedName name="IQ_CONV_RATE" hidden="1">"c2192"</definedName>
    <definedName name="IQ_CQ">5000</definedName>
    <definedName name="IQ_CURRENCY_GAIN_BR" hidden="1">"c236"</definedName>
    <definedName name="IQ_CURRENT_PORT_DEBT_BR" hidden="1">"c1567"</definedName>
    <definedName name="IQ_CY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DNTM" hidden="1">700000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BT_BR" hidden="1">"c378"</definedName>
    <definedName name="IQ_EBT_EXCL_BR" hidden="1">"c381"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EPS_SURPRISE" hidden="1">"c1635"</definedName>
    <definedName name="IQ_EV_OVER_REVENUE_EST" hidden="1">"IQ_EV_OVER_REVENUE_EST"</definedName>
    <definedName name="IQ_EV_OVER_REVENUE_EST_1" hidden="1">"IQ_EV_OVER_REVENUE_EST_1"</definedName>
    <definedName name="IQ_EXTRA_ACC_ITEMS_BR" hidden="1">"c412"</definedName>
    <definedName name="IQ_FH">100000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1" hidden="1">"LTM"</definedName>
    <definedName name="IQ_FY">1000</definedName>
    <definedName name="IQ_FY_DATE" hidden="1">"IQ_FY_DATE"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W_AMORT_BR" hidden="1">"c532"</definedName>
    <definedName name="IQ_GW_INTAN_AMORT_BR" hidden="1">"c1470"</definedName>
    <definedName name="IQ_GW_INTAN_AMORT_CF_BR" hidden="1">"c1473"</definedName>
    <definedName name="IQ_INC_EQUITY_BR" hidden="1">"c550"</definedName>
    <definedName name="IQ_INS_SETTLE_BR" hidden="1">"c572"</definedName>
    <definedName name="IQ_INT_EXP_BR" hidden="1">"c586"</definedName>
    <definedName name="IQ_INT_INC_BR" hidden="1">"c593"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VEST_LOANS_CF_BR" hidden="1">"c630"</definedName>
    <definedName name="IQ_INVEST_SECURITY_CF_BR" hidden="1">"c639"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GAL_SETTLE_BR" hidden="1">"c649"</definedName>
    <definedName name="IQ_LOANS_CF_BR" hidden="1">"c661"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>2000</definedName>
    <definedName name="IQ_LTM_DATE" hidden="1">"IQ_LTM_DATE"</definedName>
    <definedName name="IQ_LTMMONTH" hidden="1">120000</definedName>
    <definedName name="IQ_MERGER_BR" hidden="1">"c715"</definedName>
    <definedName name="IQ_MERGER_RESTRUCTURE_BR" hidden="1">"c721"</definedName>
    <definedName name="IQ_MINORITY_INTEREST_BR" hidden="1">"c729"</definedName>
    <definedName name="IQ_MONTH">15000</definedName>
    <definedName name="IQ_MTD" hidden="1">800000</definedName>
    <definedName name="IQ_NAMES_REVISION_DATE_" hidden="1">44297.3725</definedName>
    <definedName name="IQ_NET_DEBT_ISSUED_BR" hidden="1">"c753"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ET_INT_INC_BR" hidden="1">"c765"</definedName>
    <definedName name="IQ_NTM">6000</definedName>
    <definedName name="IQ_OG_TOTAL_OIL_PRODUCTON" hidden="1">"c2059"</definedName>
    <definedName name="IQ_OPER_INC_BR" hidden="1">"c850"</definedName>
    <definedName name="IQ_OTHER_ASSETS_BR" hidden="1">"c862"</definedName>
    <definedName name="IQ_OTHER_CA_SUPPL_BR" hidden="1">"c871"</definedName>
    <definedName name="IQ_OTHER_CL_SUPPL_BR" hidden="1">"c880"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TAN_BR" hidden="1">"c909"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T_ASSETS_BR" hidden="1">"c948"</definedName>
    <definedName name="IQ_OTHER_NON_OPER_EXP_BR" hidden="1">"c957"</definedName>
    <definedName name="IQ_OTHER_NON_OPER_EXP_SUPPL_BR" hidden="1">"c962"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V_BR" hidden="1">"c1011"</definedName>
    <definedName name="IQ_OTHER_REV_SUPPL_BR" hidden="1">"c1016"</definedName>
    <definedName name="IQ_OTHER_UNUSUAL_BR" hidden="1">"c1561"</definedName>
    <definedName name="IQ_OTHER_UNUSUAL_SUPPL_BR" hidden="1">"c1496"</definedName>
    <definedName name="IQ_PC_WRITTEN" hidden="1">"c1027"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REF_ISSUED_BR" hidden="1">"c1047"</definedName>
    <definedName name="IQ_PREF_OTHER_BR" hidden="1">"c1055"</definedName>
    <definedName name="IQ_PREF_REP_BR" hidden="1">"c1062"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QTD" hidden="1">750000</definedName>
    <definedName name="IQ_RESIDENTIAL_LOANS" hidden="1">"c1102"</definedName>
    <definedName name="IQ_RESTRUCTURE_BR" hidden="1">"c1106"</definedName>
    <definedName name="IQ_RETURN_ASSETS_BROK" hidden="1">"c1115"</definedName>
    <definedName name="IQ_RETURN_EQUITY_BROK" hidden="1">"c1120"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ALE_INTAN_CF_BR" hidden="1">"c1133"</definedName>
    <definedName name="IQ_SALE_PPE_CF_BR" hidden="1">"c1139"</definedName>
    <definedName name="IQ_SALE_REAL_ESTATE_CF_BR" hidden="1">"c1145"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TODAY" hidden="1">0</definedName>
    <definedName name="IQ_TOTAL_AR_BR" hidden="1">"c1231"</definedName>
    <definedName name="IQ_TOTAL_DEBT_ISSUED_BR" hidden="1">"c1253"</definedName>
    <definedName name="IQ_TOTAL_DEBT_REPAID_BR" hidden="1">"c1260"</definedName>
    <definedName name="IQ_TOTAL_LIAB_BR" hidden="1">"c1278"</definedName>
    <definedName name="IQ_TOTAL_OPER_EXP_BR" hidden="1">"c1284"</definedName>
    <definedName name="IQ_TOTAL_PENSION_OBLIGATION" hidden="1">"c1292"</definedName>
    <definedName name="IQ_TOTAL_REV_BR" hidden="1">"c1303"</definedName>
    <definedName name="IQ_TREASURY_OTHER_EQUITY_BR" hidden="1">"c1314"</definedName>
    <definedName name="IQ_UNEARN_REV_CURRENT_BR" hidden="1">"c1324"</definedName>
    <definedName name="IQ_WEEK">50000</definedName>
    <definedName name="IQ_YTD">3000</definedName>
    <definedName name="IQ_YTDMONTH" hidden="1">130000</definedName>
    <definedName name="IsColHidden" hidden="1">FALSE</definedName>
    <definedName name="IsLTMColHidden" hidden="1">FALSE</definedName>
    <definedName name="Item">#REF!</definedName>
    <definedName name="K2_WBEVMODE" hidden="1">-1</definedName>
    <definedName name="lastCol">#REF!</definedName>
    <definedName name="latest1">[2]Inputs!$E$13</definedName>
    <definedName name="latest10">[2]Inputs!$E$472</definedName>
    <definedName name="latest11">[2]Inputs!$E$523</definedName>
    <definedName name="latest12">[2]Inputs!$E$574</definedName>
    <definedName name="latest13">[2]Inputs!$E$625</definedName>
    <definedName name="latest14">[2]Inputs!$E$676</definedName>
    <definedName name="latest15">[2]Inputs!$E$727</definedName>
    <definedName name="latest2">[2]Inputs!$E$64</definedName>
    <definedName name="latest3">[2]Inputs!$E$115</definedName>
    <definedName name="latest4">[2]Inputs!$E$166</definedName>
    <definedName name="latest5">[2]Inputs!$E$217</definedName>
    <definedName name="latest6">[2]Inputs!$E$268</definedName>
    <definedName name="latest7">[2]Inputs!$E$319</definedName>
    <definedName name="latest8">[2]Inputs!$E$370</definedName>
    <definedName name="latest9">[2]Inputs!$E$421</definedName>
    <definedName name="LBO" localSheetId="2">'[9]S&amp;U'!#REF!</definedName>
    <definedName name="LBO">'[9]S&amp;U'!#REF!</definedName>
    <definedName name="left">#REF!</definedName>
    <definedName name="lett" localSheetId="2">#REF!</definedName>
    <definedName name="lett">#REF!</definedName>
    <definedName name="LIBOR">[21]Portfolio!$E$2</definedName>
    <definedName name="Libor_Assumptions">#REF!</definedName>
    <definedName name="Libor_Curve">#REF!</definedName>
    <definedName name="Libor_Down">#REF!</definedName>
    <definedName name="Libor_Down_Up">#REF!</definedName>
    <definedName name="LIBOR_Minus_1SD" localSheetId="2">[10]Revolver!#REF!</definedName>
    <definedName name="LIBOR_Minus_1SD">[10]Revolver!#REF!</definedName>
    <definedName name="Libor_Minus_2SD" localSheetId="2">[10]Revolver!#REF!</definedName>
    <definedName name="Libor_Minus_2SD">[10]Revolver!#REF!</definedName>
    <definedName name="Libor_Plus_0SD" localSheetId="2">[10]Revolver!#REF!</definedName>
    <definedName name="Libor_Plus_0SD">[10]Revolver!#REF!</definedName>
    <definedName name="Libor_Plus_1SD" localSheetId="2">[10]Revolver!#REF!</definedName>
    <definedName name="Libor_Plus_1SD">[10]Revolver!#REF!</definedName>
    <definedName name="Libor_Plus_2SD" localSheetId="2">[10]Revolver!#REF!</definedName>
    <definedName name="Libor_Plus_2SD">[10]Revolver!#REF!</definedName>
    <definedName name="Libor_Scenario">#REF!</definedName>
    <definedName name="Libor_Up">#REF!</definedName>
    <definedName name="longterm" localSheetId="2">[5]Inputs!#REF!</definedName>
    <definedName name="longterm">[5]Inputs!#REF!</definedName>
    <definedName name="LTM_DATE">#REF!</definedName>
    <definedName name="Marketable_securities" localSheetId="2">'[22]Fly-by-night - problem 5'!#REF!</definedName>
    <definedName name="Marketable_securities">'[22]Fly-by-night - problem 5'!#REF!</definedName>
    <definedName name="MaxMarkDate">[7]SaleData!$M$3</definedName>
    <definedName name="mcs03g.ReqArray" localSheetId="0">{"Price","ICTG","TS131","D","0","0","H"}</definedName>
    <definedName name="mcs03g.ReqArray">{"Price","ICTG","TS131","D","0","0","H"}</definedName>
    <definedName name="mcs03g.ReqArray___0">#N/A</definedName>
    <definedName name="mcs03g.ReqArray___12">#N/A</definedName>
    <definedName name="mcs03g.ReqArray___2">#N/A</definedName>
    <definedName name="MKVALM" localSheetId="2">#REF!</definedName>
    <definedName name="MKVALM">#REF!</definedName>
    <definedName name="MONTHLYSALES" localSheetId="2">#REF!</definedName>
    <definedName name="MONTHLYSALES">#REF!</definedName>
    <definedName name="MONTHLYSALES___0" localSheetId="2">#REF!</definedName>
    <definedName name="MONTHLYSALES___0">#REF!</definedName>
    <definedName name="moodys">#REF!</definedName>
    <definedName name="mu">'[23]LBO Summary'!$G$130</definedName>
    <definedName name="Name">[5]Info!$C$8</definedName>
    <definedName name="name1">[2]Inputs!$E$10</definedName>
    <definedName name="name10">[2]Inputs!$E$469</definedName>
    <definedName name="name11">[2]Inputs!$E$520</definedName>
    <definedName name="name12">[2]Inputs!$E$571</definedName>
    <definedName name="name13">[2]Inputs!$E$622</definedName>
    <definedName name="name14">[2]Inputs!$E$673</definedName>
    <definedName name="name15">[2]Inputs!$E$724</definedName>
    <definedName name="name2">[2]Inputs!$E$61</definedName>
    <definedName name="name3">[2]Inputs!$E$112</definedName>
    <definedName name="name4">[2]Inputs!$E$163</definedName>
    <definedName name="name5">[2]Inputs!$E$214</definedName>
    <definedName name="name6">[2]Inputs!$E$265</definedName>
    <definedName name="name7">[2]Inputs!$E$316</definedName>
    <definedName name="name8">[2]Inputs!$E$367</definedName>
    <definedName name="name9">[2]Inputs!$E$418</definedName>
    <definedName name="NDY" localSheetId="2">#REF!</definedName>
    <definedName name="NDY">#REF!</definedName>
    <definedName name="NDYWGT" localSheetId="2">#REF!</definedName>
    <definedName name="NDYWGT">#REF!</definedName>
    <definedName name="OC1Actual">OFFSET([6]OCTrends!$C$2,0,0,COUNTA([6]OCTrends!$C$1:$C$65536)-1)</definedName>
    <definedName name="OC1ChartTitle">[6]OCTrends!$W$1</definedName>
    <definedName name="OC1Covenant">OFFSET([6]OCTrends!$D$2,0,0,COUNTA([6]OCTrends!$D$1:$D$65536)-1)</definedName>
    <definedName name="OC1Date">OFFSET([6]OCTrends!$B$2,0,0,COUNTA([6]OCTrends!$B$1:$B$65536)-1)</definedName>
    <definedName name="OC2Actual">OFFSET([6]OCTrends!$H$2,0,0,COUNTA([6]OCTrends!$H$1:$H$65536)-1)</definedName>
    <definedName name="OC2Covenant">OFFSET([6]OCTrends!$I$2,0,0,COUNTA([6]OCTrends!$I$1:$I$65536)-1)</definedName>
    <definedName name="OC2Date">OFFSET([6]OCTrends!$G$2,0,0,COUNTA([6]OCTrends!$G$1:$G$65536)-1)</definedName>
    <definedName name="OC3Actual">OFFSET([6]OCTrends!$M$2,0,0,COUNTA([6]OCTrends!$M$1:$M$65536)-1)</definedName>
    <definedName name="OC3Covenant">OFFSET([6]OCTrends!$N$2,0,0,COUNTA([6]OCTrends!$N$1:$N$65536)-1)</definedName>
    <definedName name="OC3Date">OFFSET([6]OCTrends!$L$2,0,0,COUNTA([6]OCTrends!$L$1:$L$65536)-1)</definedName>
    <definedName name="OC4Actual">OFFSET([6]OCTrends!$R$2,0,0,COUNTA([6]OCTrends!$R$1:$R$65536)-1)</definedName>
    <definedName name="OC4Covenant">OFFSET([6]OCTrends!$S$2,0,0,COUNTA([6]OCTrends!$S$1:$S$65536)-1)</definedName>
    <definedName name="OC4Date">OFFSET([6]OCTrends!$Q$2,0,0,COUNTA([6]OCTrends!$Q$1:$Q$65536)-1)</definedName>
    <definedName name="Order">#REF!</definedName>
    <definedName name="Other_assets" localSheetId="2">'[22]Fly-by-night - problem 5'!#REF!</definedName>
    <definedName name="Other_assets">'[22]Fly-by-night - problem 5'!#REF!</definedName>
    <definedName name="Other_current_liabilities_Sales" localSheetId="2">'[4]Tanning Assumptions'!#REF!</definedName>
    <definedName name="Other_current_liabilities_Sales">'[4]Tanning Assumptions'!#REF!</definedName>
    <definedName name="Other_long_term_liabilities" localSheetId="2">'[4]Tanning Assumptions'!#REF!</definedName>
    <definedName name="Other_long_term_liabilities">'[4]Tanning Assumptions'!#REF!</definedName>
    <definedName name="OtherRev">#REF!</definedName>
    <definedName name="P_L" localSheetId="2">#REF!</definedName>
    <definedName name="P_L">#REF!</definedName>
    <definedName name="PCV">[6]Calcs!$B$1</definedName>
    <definedName name="Percentage">#REF!</definedName>
    <definedName name="Period">#REF!</definedName>
    <definedName name="Period1">#REF!</definedName>
    <definedName name="Period2">#REF!</definedName>
    <definedName name="Period3">#REF!</definedName>
    <definedName name="Period4">#REF!</definedName>
    <definedName name="Period5">#REF!</definedName>
    <definedName name="Period6">#REF!</definedName>
    <definedName name="Period7">#REF!</definedName>
    <definedName name="Period8">#REF!</definedName>
    <definedName name="PERSONAL_FINANCIAL" localSheetId="2">#REF!</definedName>
    <definedName name="PERSONAL_FINANCIAL">#REF!</definedName>
    <definedName name="PERSONAL_FINANCIAL___0" localSheetId="2">#REF!</definedName>
    <definedName name="PERSONAL_FINANCIAL___0">#REF!</definedName>
    <definedName name="PFLTM" localSheetId="2">'[24]VeCTOR Import'!#REF!</definedName>
    <definedName name="PFLTM">'[24]VeCTOR Import'!#REF!</definedName>
    <definedName name="pik" localSheetId="2">'[9]S&amp;U'!#REF!</definedName>
    <definedName name="pik">'[9]S&amp;U'!#REF!</definedName>
    <definedName name="portion1">[2]Inputs!$E$14</definedName>
    <definedName name="portion10">[2]Inputs!$E$473</definedName>
    <definedName name="portion11">[2]Inputs!$E$524</definedName>
    <definedName name="portion12">[2]Inputs!$E$575</definedName>
    <definedName name="portion13">[2]Inputs!$E$626</definedName>
    <definedName name="portion14">[2]Inputs!$E$677</definedName>
    <definedName name="portion15">[2]Inputs!$E$728</definedName>
    <definedName name="portion2">[2]Inputs!$E$65</definedName>
    <definedName name="portion3">[2]Inputs!$E$116</definedName>
    <definedName name="portion4">[2]Inputs!$E$167</definedName>
    <definedName name="portion5">[2]Inputs!$E$218</definedName>
    <definedName name="portion6">[2]Inputs!$E$269</definedName>
    <definedName name="portion7">[2]Inputs!$E$320</definedName>
    <definedName name="portion8">[2]Inputs!$E$371</definedName>
    <definedName name="portion9">[2]Inputs!$E$422</definedName>
    <definedName name="PP_E_Sales" localSheetId="2">'[4]Tanning Assumptions'!#REF!</definedName>
    <definedName name="PP_E_Sales">'[4]Tanning Assumptions'!#REF!</definedName>
    <definedName name="prefbamt">#REF!</definedName>
    <definedName name="prefbamt___0">#REF!</definedName>
    <definedName name="prefbper">#REF!</definedName>
    <definedName name="prefbper___0">#REF!</definedName>
    <definedName name="Preliminary">#REF!</definedName>
    <definedName name="Prepaids_Sales" localSheetId="2">'[4]Tanning Assumptions'!#REF!</definedName>
    <definedName name="Prepaids_Sales">'[4]Tanning Assumptions'!#REF!</definedName>
    <definedName name="PRICES">#REF!</definedName>
    <definedName name="PRICES___0">#REF!</definedName>
    <definedName name="_xlnm.Print_Area" localSheetId="2">Model!$B$223:$D$272</definedName>
    <definedName name="_xlnm.Print_Area">#REF!</definedName>
    <definedName name="_xlnm.Print_Titles" localSheetId="2">Model!$2:$5</definedName>
    <definedName name="_xlnm.Print_Titles">#REF!</definedName>
    <definedName name="project">[12]CONTROL!$D$8</definedName>
    <definedName name="project___0">[8]CONTROL!$D$8</definedName>
    <definedName name="ProjList">#REF!</definedName>
    <definedName name="PublicCompany" localSheetId="2">#REF!</definedName>
    <definedName name="PublicCompany">#REF!</definedName>
    <definedName name="purchase">[25]TRANSACTION!$Q$2</definedName>
    <definedName name="PURCHASE_PRICE">[26]Sheet5:D!$A$1:$H$23</definedName>
    <definedName name="qryWSO_Positions_ByFunds_CrossTab">#REF!</definedName>
    <definedName name="quarterly">#REF!</definedName>
    <definedName name="rate">#REF!</definedName>
    <definedName name="RateTable" localSheetId="2">[27]MASTER!#REF!</definedName>
    <definedName name="RateTable">[27]MASTER!#REF!</definedName>
    <definedName name="Rating">'[7]Actual vs Covenant'!$P$11:$Q$18</definedName>
    <definedName name="RatingFactors">#REF!</definedName>
    <definedName name="RATIOS">#REF!</definedName>
    <definedName name="RATIOS___0">#REF!</definedName>
    <definedName name="recovery">#REF!</definedName>
    <definedName name="refi">'[28]OBS - REFI'!$AP$5</definedName>
    <definedName name="REPORT">#REF!</definedName>
    <definedName name="REPORT___0">#REF!</definedName>
    <definedName name="ReprintRev">#REF!</definedName>
    <definedName name="ret">#REF!</definedName>
    <definedName name="rhl" localSheetId="2">'[20]LBO Summary'!#REF!</definedName>
    <definedName name="rhl">'[20]LBO Summary'!#REF!</definedName>
    <definedName name="RoyaltyRev">#REF!</definedName>
    <definedName name="rptData">#REF!</definedName>
    <definedName name="rr" localSheetId="2">'[20]LBO Summary'!#REF!</definedName>
    <definedName name="rr">'[20]LBO Summary'!#REF!</definedName>
    <definedName name="s" localSheetId="2">#REF!</definedName>
    <definedName name="s">#REF!</definedName>
    <definedName name="s.outstand" localSheetId="2">[5]Inputs!#REF!</definedName>
    <definedName name="s.outstand">[5]Inputs!#REF!</definedName>
    <definedName name="SALES" localSheetId="2">#REF!</definedName>
    <definedName name="SALES">#REF!</definedName>
    <definedName name="SALES___0" localSheetId="2">#REF!</definedName>
    <definedName name="SALES___0">#REF!</definedName>
    <definedName name="sales1">[2]Inputs!$P$29</definedName>
    <definedName name="sales10">[2]Inputs!$P$488</definedName>
    <definedName name="sales11">[2]Inputs!$P$539</definedName>
    <definedName name="sales12">[2]Inputs!$P$590</definedName>
    <definedName name="sales13">[2]Inputs!$P$641</definedName>
    <definedName name="sales14">[2]Inputs!$P$692</definedName>
    <definedName name="sales15">[2]Inputs!$P$743</definedName>
    <definedName name="sales2">[2]Inputs!$P$80</definedName>
    <definedName name="sales3">[2]Inputs!$P$131</definedName>
    <definedName name="sales4">[2]Inputs!$P$182</definedName>
    <definedName name="sales5">[2]Inputs!$P$233</definedName>
    <definedName name="sales6">[2]Inputs!$P$284</definedName>
    <definedName name="sales7">[2]Inputs!$P$335</definedName>
    <definedName name="sales8">[2]Inputs!$P$386</definedName>
    <definedName name="sales9">[2]Inputs!$P$437</definedName>
    <definedName name="scen">#REF!</definedName>
    <definedName name="Scenario_11">#REF!</definedName>
    <definedName name="Scenario_12">#REF!</definedName>
    <definedName name="Scenario_13">#REF!</definedName>
    <definedName name="Scenario_14">#REF!</definedName>
    <definedName name="Scenario_15">#REF!</definedName>
    <definedName name="Scenario_16">#REF!</definedName>
    <definedName name="Scenario_17">#REF!</definedName>
    <definedName name="Scenario_18">#REF!</definedName>
    <definedName name="Scenario_19">#REF!</definedName>
    <definedName name="Scenario_20">#REF!</definedName>
    <definedName name="Scenario_21">#REF!</definedName>
    <definedName name="Scenario_22">#REF!</definedName>
    <definedName name="Scenario_23">#REF!</definedName>
    <definedName name="Scenario_24">#REF!</definedName>
    <definedName name="Scenario_25">#REF!</definedName>
    <definedName name="Scenario_26">#REF!</definedName>
    <definedName name="Scenario_27">#REF!</definedName>
    <definedName name="Scenario_28">#REF!</definedName>
    <definedName name="Scenario_31">#REF!</definedName>
    <definedName name="Scenario_32">#REF!</definedName>
    <definedName name="Scenario_33">#REF!</definedName>
    <definedName name="Scenario_34">#REF!</definedName>
    <definedName name="Scenario_35">#REF!</definedName>
    <definedName name="Scenario_36">#REF!</definedName>
    <definedName name="Scenario_37">#REF!</definedName>
    <definedName name="Scenario_38">#REF!</definedName>
    <definedName name="Scenario_39" localSheetId="2">#REF!</definedName>
    <definedName name="Scenario_39">#REF!</definedName>
    <definedName name="Scenario_41" localSheetId="2">#REF!</definedName>
    <definedName name="Scenario_41">#REF!</definedName>
    <definedName name="Scenario_42" localSheetId="2">#REF!</definedName>
    <definedName name="Scenario_42">#REF!</definedName>
    <definedName name="Scenario_43" localSheetId="2">#REF!</definedName>
    <definedName name="Scenario_43">#REF!</definedName>
    <definedName name="Scenario_44" localSheetId="2">#REF!</definedName>
    <definedName name="Scenario_44">#REF!</definedName>
    <definedName name="Scenario_51">#REF!</definedName>
    <definedName name="Scenario_52">#REF!</definedName>
    <definedName name="Scenario_53">#REF!</definedName>
    <definedName name="Section">#REF!</definedName>
    <definedName name="SENSITIVITY">#REF!</definedName>
    <definedName name="SENSITIVITY___0">#REF!</definedName>
    <definedName name="sh.equity" localSheetId="2">[5]Inputs!#REF!</definedName>
    <definedName name="sh.equity">[5]Inputs!#REF!</definedName>
    <definedName name="sl" localSheetId="2">'[20]LBO Summary'!#REF!</definedName>
    <definedName name="sl">'[20]LBO Summary'!#REF!</definedName>
    <definedName name="snapshotdate">#REF!</definedName>
    <definedName name="sort_range">#REF!</definedName>
    <definedName name="sponsor">'[9]S&amp;U'!$J$21</definedName>
    <definedName name="Start">#REF!</definedName>
    <definedName name="Start_Date">[6]Selections!$C$1</definedName>
    <definedName name="StartDay">[6]Selections!$P$3</definedName>
    <definedName name="StartMonth">[6]Selections!$P$2</definedName>
    <definedName name="StartRefresh" localSheetId="2">'[14]Portfolio Input'!#REF!</definedName>
    <definedName name="StartRefresh">'[14]Portfolio Input'!#REF!</definedName>
    <definedName name="StartYear">[6]Selections!$P$1</definedName>
    <definedName name="Strip_Amount">#REF!</definedName>
    <definedName name="Strip_PV" localSheetId="2">#REF!</definedName>
    <definedName name="Strip_PV">#REF!</definedName>
    <definedName name="stub">#REF!</definedName>
    <definedName name="stubmonths">'[29]D&amp;A'!$C$5</definedName>
    <definedName name="sub" localSheetId="2">'[20]LBO Summary'!#REF!</definedName>
    <definedName name="sub">'[20]LBO Summary'!#REF!</definedName>
    <definedName name="subdebtamount">[15]Inputs!$J$26</definedName>
    <definedName name="subdebtdate">[15]Inputs!$J$28</definedName>
    <definedName name="Subhead1">[19]_01_05_v_Wicks_xls__01_05_v_Wic!$N$2</definedName>
    <definedName name="subHeading" localSheetId="2">#REF!</definedName>
    <definedName name="subHeading">#REF!</definedName>
    <definedName name="summary">#REF!</definedName>
    <definedName name="support">#REF!</definedName>
    <definedName name="sweep___9" localSheetId="2">[30]COVS_ACTUAL!#REF!</definedName>
    <definedName name="sweep___9">[30]COVS_ACTUAL!#REF!</definedName>
    <definedName name="target">#REF!</definedName>
    <definedName name="tax" localSheetId="2">[31]ISCF!#REF!</definedName>
    <definedName name="tax">[31]ISCF!#REF!</definedName>
    <definedName name="Taxes_Receivable_Sales" localSheetId="2">'[4]Tanning Assumptions'!#REF!</definedName>
    <definedName name="Taxes_Receivable_Sales">'[4]Tanning Assumptions'!#REF!</definedName>
    <definedName name="Test">#REF!</definedName>
    <definedName name="tgt">#REF!</definedName>
    <definedName name="ticker1">[2]Inputs!$E$11</definedName>
    <definedName name="ticker10">[2]Inputs!$E$470</definedName>
    <definedName name="ticker11">[2]Inputs!$E$521</definedName>
    <definedName name="ticker12">[2]Inputs!$E$572</definedName>
    <definedName name="ticker13">[2]Inputs!$E$623</definedName>
    <definedName name="ticker14">[2]Inputs!$E$674</definedName>
    <definedName name="ticker15">[2]Inputs!$E$725</definedName>
    <definedName name="ticker2">[2]Inputs!$E$62</definedName>
    <definedName name="ticker3">[2]Inputs!$E$113</definedName>
    <definedName name="ticker4">[2]Inputs!$E$164</definedName>
    <definedName name="ticker5">[2]Inputs!$E$215</definedName>
    <definedName name="ticker6">[2]Inputs!$E$266</definedName>
    <definedName name="ticker7">[2]Inputs!$E$317</definedName>
    <definedName name="ticker8">[2]Inputs!$E$368</definedName>
    <definedName name="ticker9">[2]Inputs!$E$419</definedName>
    <definedName name="TimeEnd">[6]Selections!$L$3</definedName>
    <definedName name="TimeStart">[6]Selections!$L$2</definedName>
    <definedName name="title">[28]SUM!$A$2</definedName>
    <definedName name="today">#REF!</definedName>
    <definedName name="top">#REF!</definedName>
    <definedName name="TopIC">'[7]Actual vs Covenant'!$P$31:$Q$38</definedName>
    <definedName name="TopOC">'[7]Actual vs Covenant'!$P$21:$Q$28</definedName>
    <definedName name="TOTAL">#REF!</definedName>
    <definedName name="TOTAL___0">#REF!</definedName>
    <definedName name="Total_Europe" localSheetId="2">#REF!</definedName>
    <definedName name="Total_Europe">#REF!</definedName>
    <definedName name="TotalRev">#REF!</definedName>
    <definedName name="TradedCash">[6]Principal!$G$5</definedName>
    <definedName name="trigger">[8]OBS!$U$5</definedName>
    <definedName name="TRYN_Top3">[7]TOP10!$S$3</definedName>
    <definedName name="TRYN_Top4">[7]TOP10!$S$8</definedName>
    <definedName name="TryonFitchRatingChartData">[7]TRYN!$G$2:$H$9</definedName>
    <definedName name="TryonFitchRatingChartSerial1">[7]TRYN!$H$2:$H$9</definedName>
    <definedName name="TryonFitchRatingChartXScale">[7]TRYN!$G$2:$G$9</definedName>
    <definedName name="TryonMoodyRatingChartData">[7]TRYN!$A$2:$B$15</definedName>
    <definedName name="TryonMoodyRatingChartSerial1">[7]TRYN!$B$2:$B$15</definedName>
    <definedName name="TryonMoodyRatingChartXScale">[7]TRYN!$A$2:$A$15</definedName>
    <definedName name="TryonSPRatingChartData">[7]TRYN!$D$2:$E$15</definedName>
    <definedName name="TryonSPRatingChartSerial1">[7]TRYN!$E$2:$E$15</definedName>
    <definedName name="TryonSPRatingChartXScale">[7]TRYN!$D$2:$D$15</definedName>
    <definedName name="units">'[9]S&amp;U'!$K$2</definedName>
    <definedName name="version">[28]SUM!$AE$2</definedName>
    <definedName name="version___0">[8]CONTROL!$D$9</definedName>
    <definedName name="WACActual">OFFSET([6]WACTrends!$C$2,0,0,COUNTA([6]WACTrends!$C$1:$C$65536)-1)</definedName>
    <definedName name="WACCovenant">OFFSET([6]WACTrends!$D$2,0,0,COUNTA([6]WACTrends!$D$1:$D$65536)-1)</definedName>
    <definedName name="WACDate">OFFSET([6]WACTrends!$B$2,0,0,COUNTA([6]WACTrends!$B$1:$B$65536)-1)</definedName>
    <definedName name="WALActual">OFFSET([6]WALTrends!$C$2,0,0,COUNTA([6]WALTrends!$C$1:$C$65536)-1)</definedName>
    <definedName name="WALCovenant">OFFSET([6]WALTrends!$D$2,0,0,COUNTA([6]WALTrends!$D$1:$D$65536)-1)</definedName>
    <definedName name="WALDate">OFFSET([6]WALTrends!$B$2,0,0,COUNTA([6]WALTrends!$B$1:$B$65536)-1)</definedName>
    <definedName name="WARFActual">OFFSET([6]WARFTrends!$C$2,0,0,COUNTA([6]WARFTrends!$C$1:$C$65536)-1)</definedName>
    <definedName name="WARFCovenant">OFFSET([6]WARFTrends!$D$2,0,0,COUNTA([6]WARFTrends!$D$1:$D$65536)-1)</definedName>
    <definedName name="WARFDate">OFFSET([6]WARFTrends!$B$2,0,0,COUNTA([6]WARFTrends!$B$1:$B$65536)-1)</definedName>
    <definedName name="WARFFitchActual">OFFSET([6]WARFFitchTrends!$C$2,0,0,COUNTA([6]WARFFitchTrends!$C$1:$C$65536)-1)</definedName>
    <definedName name="WARFFitchCovenant">OFFSET([6]WARFFitchTrends!$D$2,0,0,COUNTA([6]WARFFitchTrends!$D$1:$D$65536)-1)</definedName>
    <definedName name="WARFFitchDate">OFFSET([6]WARFFitchTrends!$B$2,0,0,COUNTA([6]WARFFitchTrends!$B$1:$B$65536)-1)</definedName>
    <definedName name="warrants">[15]Inputs!$O$13</definedName>
    <definedName name="WASActual">OFFSET([6]WASTrends!$C$2,0,0,COUNTA([6]WASTrends!$C$1:$C$65536)-1)</definedName>
    <definedName name="WASCovenant">OFFSET([6]WASTrends!$D$2,0,0,COUNTA([6]WASTrends!$D$1:$D$65536)-1)</definedName>
    <definedName name="WASDate">OFFSET([6]WASTrends!$B$2,0,0,COUNTA([6]WASTrends!$B$1:$B$65536)-1)</definedName>
    <definedName name="WBMIN" localSheetId="2">'[14]Portfolio Input'!#REF!</definedName>
    <definedName name="WBMIN">'[14]Portfolio Input'!#REF!</definedName>
    <definedName name="WHAT_IF">#REF!</definedName>
    <definedName name="WHAT_IF___0">#REF!</definedName>
    <definedName name="whec">[28]WHEC!$AX$2</definedName>
    <definedName name="wicksequity">[15]Inputs!$E$35</definedName>
    <definedName name="WORKING_CAPITAL" localSheetId="2">#REF!</definedName>
    <definedName name="WORKING_CAPITAL">#REF!</definedName>
    <definedName name="WORKING_CAPITAL___0" localSheetId="2">#REF!</definedName>
    <definedName name="WORKING_CAPITAL___0">#REF!</definedName>
    <definedName name="wrn.Alloutput." localSheetId="0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CGIC._.PLICO._.Statutory._.Results." localSheetId="0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IS." localSheetId="0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rossroads." localSheetId="0" hidden="1">{#N/A,#N/A,FALSE,"RENT ROLL";#N/A,#N/A,FALSE,"CAM";#N/A,#N/A,FALSE,"TAXES";#N/A,#N/A,FALSE,"INSURANCE";#N/A,#N/A,FALSE,"HVAC";#N/A,#N/A,FALSE,"MARKETING"}</definedName>
    <definedName name="wrn.crossroads." hidden="1">{#N/A,#N/A,FALSE,"RENT ROLL";#N/A,#N/A,FALSE,"CAM";#N/A,#N/A,FALSE,"TAXES";#N/A,#N/A,FALSE,"INSURANCE";#N/A,#N/A,FALSE,"HVAC";#N/A,#N/A,FALSE,"MARKETING"}</definedName>
    <definedName name="wrn.crossroads2" localSheetId="0" hidden="1">{#N/A,#N/A,FALSE,"RENT ROLL";#N/A,#N/A,FALSE,"CAM";#N/A,#N/A,FALSE,"TAXES";#N/A,#N/A,FALSE,"INSURANCE";#N/A,#N/A,FALSE,"HVAC";#N/A,#N/A,FALSE,"MARKETING"}</definedName>
    <definedName name="wrn.crossroads2" hidden="1">{#N/A,#N/A,FALSE,"RENT ROLL";#N/A,#N/A,FALSE,"CAM";#N/A,#N/A,FALSE,"TAXES";#N/A,#N/A,FALSE,"INSURANCE";#N/A,#N/A,FALSE,"HVAC";#N/A,#N/A,FALSE,"MARKETING"}</definedName>
    <definedName name="wrn.dcf." localSheetId="0" hidden="1">{"mgmt forecast",#N/A,FALSE,"Mgmt Forecast";"dcf table",#N/A,FALSE,"Mgmt Forecast";"sensitivity",#N/A,FALSE,"Mgmt Forecast";"table inputs",#N/A,FALSE,"Mgmt Forecast";"calculations",#N/A,FALSE,"Mgmt Forecast"}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print._.graphs." localSheetId="0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localSheetId="0" hidden="1">{"inputs raw data",#N/A,TRUE,"INPUT"}</definedName>
    <definedName name="wrn.print._.raw._.data._.entry." hidden="1">{"inputs raw data",#N/A,TRUE,"INPUT"}</definedName>
    <definedName name="wrn.print._.summary._.sheets." localSheetId="0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quick." localSheetId="0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Sales._.Activity." localSheetId="0" hidden="1">{#N/A,#N/A,FALSE,"Integration Systems"}</definedName>
    <definedName name="wrn.Sales._.Activity." hidden="1">{#N/A,#N/A,FALSE,"Integration Systems"}</definedName>
    <definedName name="wrn.Summary." localSheetId="0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Summary.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UHCO._.Statutory._.Results." localSheetId="0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hidden="1">{#N/A,#N/A,FALSE,"UHCO Statutory Info ----&gt;";#N/A,#N/A,FALSE,"UHCO Source_Use";#N/A,#N/A,FALSE,"UHCO_Debt Paydown";#N/A,#N/A,FALSE,"Union Bankers";#N/A,#N/A,FALSE,"Penn Life";#N/A,#N/A,FALSE,"Constitution"}</definedName>
    <definedName name="wrn.Weekly._.Inventory._.Report." localSheetId="0" hidden="1">{#N/A,#N/A,FALSE,"Combo"}</definedName>
    <definedName name="wrn.Weekly._.Inventory._.Report." hidden="1">{#N/A,#N/A,FALSE,"Combo"}</definedName>
    <definedName name="wvu.inputs._.raw._.data." localSheetId="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localSheetId="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zip" localSheetId="2">#REF!</definedName>
    <definedName name="zip">#REF!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7" l="1"/>
  <c r="I4" i="17"/>
  <c r="AO254" i="15"/>
  <c r="T254" i="15"/>
  <c r="S254" i="15"/>
  <c r="R254" i="15"/>
  <c r="BI236" i="15"/>
  <c r="R215" i="15"/>
  <c r="S215" i="15"/>
  <c r="T215" i="15"/>
  <c r="B215" i="15"/>
  <c r="BE161" i="15"/>
  <c r="BC161" i="15"/>
  <c r="BB161" i="15"/>
  <c r="BA161" i="15"/>
  <c r="AZ161" i="15"/>
  <c r="AY161" i="15"/>
  <c r="AX161" i="15"/>
  <c r="AV161" i="15"/>
  <c r="AU161" i="15"/>
  <c r="T161" i="15"/>
  <c r="S161" i="15"/>
  <c r="R161" i="15"/>
  <c r="BI159" i="15"/>
  <c r="BI160" i="15"/>
  <c r="BI161" i="15" s="1"/>
  <c r="AR72" i="15"/>
  <c r="AQ72" i="15"/>
  <c r="AO72" i="15"/>
  <c r="AN72" i="15"/>
  <c r="AM72" i="15"/>
  <c r="T72" i="15"/>
  <c r="S72" i="15"/>
  <c r="R72" i="15"/>
  <c r="BI64" i="15"/>
  <c r="BE64" i="15"/>
  <c r="BA64" i="15"/>
  <c r="BA77" i="15" l="1"/>
  <c r="BB66" i="15"/>
  <c r="BC66" i="15" s="1"/>
  <c r="BF66" i="15"/>
  <c r="BG66" i="15" s="1"/>
  <c r="BI77" i="15"/>
  <c r="C7" i="17" l="1"/>
  <c r="C10" i="17" s="1"/>
  <c r="J7" i="17"/>
  <c r="C13" i="17"/>
  <c r="C11" i="17"/>
  <c r="E35" i="17"/>
  <c r="D23" i="17"/>
  <c r="C23" i="17"/>
  <c r="P160" i="15"/>
  <c r="P161" i="15" s="1"/>
  <c r="P138" i="15"/>
  <c r="P137" i="15"/>
  <c r="P127" i="15"/>
  <c r="P122" i="15"/>
  <c r="P106" i="15"/>
  <c r="P105" i="15"/>
  <c r="P104" i="15"/>
  <c r="P103" i="15"/>
  <c r="P3" i="15"/>
  <c r="BI115" i="15"/>
  <c r="BI119" i="15" s="1"/>
  <c r="P119" i="15" s="1"/>
  <c r="BI102" i="15"/>
  <c r="P102" i="15" s="1"/>
  <c r="BI107" i="15"/>
  <c r="BI76" i="15"/>
  <c r="BI69" i="15"/>
  <c r="BI47" i="15"/>
  <c r="D11" i="17" l="1"/>
  <c r="D13" i="17"/>
  <c r="P115" i="15"/>
  <c r="BI120" i="15"/>
  <c r="P120" i="15" s="1"/>
  <c r="BI121" i="15"/>
  <c r="P121" i="15" s="1"/>
  <c r="BI123" i="15"/>
  <c r="P123" i="15" s="1"/>
  <c r="C24" i="17"/>
  <c r="C25" i="17" s="1"/>
  <c r="D8" i="17"/>
  <c r="BI118" i="15"/>
  <c r="D9" i="17"/>
  <c r="C14" i="17"/>
  <c r="C31" i="17"/>
  <c r="C30" i="17"/>
  <c r="D7" i="17"/>
  <c r="C34" i="17"/>
  <c r="C32" i="17"/>
  <c r="C33" i="17"/>
  <c r="C12" i="17"/>
  <c r="D24" i="17" l="1"/>
  <c r="BI124" i="15"/>
  <c r="P118" i="15"/>
  <c r="D10" i="17"/>
  <c r="C35" i="17"/>
  <c r="C19" i="17"/>
  <c r="BI130" i="15" l="1"/>
  <c r="C16" i="17"/>
  <c r="BI331" i="15"/>
  <c r="BI324" i="15"/>
  <c r="BI325" i="15" s="1"/>
  <c r="BI296" i="15"/>
  <c r="BI286" i="15"/>
  <c r="BI305" i="15" s="1"/>
  <c r="BI277" i="15"/>
  <c r="BI222" i="15"/>
  <c r="BI221" i="15"/>
  <c r="BI220" i="15"/>
  <c r="BI192" i="15"/>
  <c r="BI191" i="15"/>
  <c r="BI187" i="15"/>
  <c r="BI186" i="15"/>
  <c r="BI184" i="15"/>
  <c r="BI183" i="15"/>
  <c r="BI182" i="15"/>
  <c r="BI179" i="15"/>
  <c r="BI178" i="15"/>
  <c r="BI177" i="15"/>
  <c r="BI171" i="15"/>
  <c r="BI167" i="15"/>
  <c r="BI166" i="15"/>
  <c r="BI165" i="15"/>
  <c r="BI164" i="15"/>
  <c r="BI142" i="15"/>
  <c r="BI100" i="15"/>
  <c r="BI88" i="15"/>
  <c r="BI176" i="15"/>
  <c r="BI63" i="15"/>
  <c r="BI62" i="15"/>
  <c r="BI55" i="15"/>
  <c r="BI54" i="15"/>
  <c r="BI231" i="15" s="1"/>
  <c r="BI45" i="15"/>
  <c r="BI43" i="15"/>
  <c r="BI38" i="15"/>
  <c r="BI34" i="15"/>
  <c r="BI33" i="15"/>
  <c r="BI32" i="15"/>
  <c r="BI11" i="15"/>
  <c r="BI17" i="15" s="1"/>
  <c r="BI46" i="15" s="1"/>
  <c r="BI48" i="15" s="1"/>
  <c r="BI8" i="15"/>
  <c r="BI168" i="15" s="1"/>
  <c r="D63" i="17"/>
  <c r="C63" i="17"/>
  <c r="C47" i="17"/>
  <c r="C50" i="17" s="1"/>
  <c r="E75" i="17"/>
  <c r="BI172" i="15" l="1"/>
  <c r="BI139" i="15"/>
  <c r="BI129" i="15"/>
  <c r="BI140" i="15" s="1"/>
  <c r="BI175" i="15"/>
  <c r="BI68" i="15"/>
  <c r="BI72" i="15" s="1"/>
  <c r="D31" i="17"/>
  <c r="D34" i="17"/>
  <c r="D33" i="17"/>
  <c r="D32" i="17"/>
  <c r="C71" i="17"/>
  <c r="C72" i="17"/>
  <c r="C73" i="17"/>
  <c r="C74" i="17"/>
  <c r="BI173" i="15"/>
  <c r="BI12" i="15"/>
  <c r="BI145" i="15"/>
  <c r="BI287" i="15"/>
  <c r="BI306" i="15" s="1"/>
  <c r="BI52" i="15"/>
  <c r="BI50" i="15"/>
  <c r="BI188" i="15"/>
  <c r="BI42" i="15"/>
  <c r="BI35" i="15"/>
  <c r="BI181" i="15"/>
  <c r="BI189" i="15"/>
  <c r="BI25" i="15"/>
  <c r="BI39" i="15" l="1"/>
  <c r="BI40" i="15"/>
  <c r="BI28" i="15"/>
  <c r="BI180" i="15"/>
  <c r="BI289" i="15"/>
  <c r="BI144" i="15"/>
  <c r="BI156" i="15"/>
  <c r="BI215" i="15" s="1"/>
  <c r="BI308" i="15"/>
  <c r="BI257" i="15"/>
  <c r="BI198" i="15"/>
  <c r="BI256" i="15" l="1"/>
  <c r="BI197" i="15"/>
  <c r="O336" i="15"/>
  <c r="O335" i="15"/>
  <c r="BH329" i="15"/>
  <c r="BH330" i="15"/>
  <c r="BH328" i="15"/>
  <c r="P328" i="15" s="1"/>
  <c r="BH327" i="15"/>
  <c r="P327" i="15" s="1"/>
  <c r="BH323" i="15"/>
  <c r="BH322" i="15"/>
  <c r="BH321" i="15"/>
  <c r="P321" i="15" s="1"/>
  <c r="BH320" i="15"/>
  <c r="P320" i="15" s="1"/>
  <c r="BH159" i="15"/>
  <c r="BH160" i="15"/>
  <c r="BH161" i="15" s="1"/>
  <c r="O115" i="15"/>
  <c r="BH115" i="15" s="1"/>
  <c r="O102" i="15"/>
  <c r="BH102" i="15" s="1"/>
  <c r="BH138" i="15"/>
  <c r="BH137" i="15"/>
  <c r="BH127" i="15"/>
  <c r="BH122" i="15"/>
  <c r="BH106" i="15"/>
  <c r="BH105" i="15"/>
  <c r="BI111" i="15" s="1"/>
  <c r="BH104" i="15"/>
  <c r="BH103" i="15"/>
  <c r="O76" i="15"/>
  <c r="O73" i="15"/>
  <c r="O69" i="15"/>
  <c r="O64" i="15"/>
  <c r="BH53" i="15"/>
  <c r="O47" i="15"/>
  <c r="BH27" i="15"/>
  <c r="P27" i="15" s="1"/>
  <c r="BH26" i="15"/>
  <c r="P26" i="15" s="1"/>
  <c r="BH24" i="15"/>
  <c r="P24" i="15" s="1"/>
  <c r="BH23" i="15"/>
  <c r="P23" i="15" s="1"/>
  <c r="BH22" i="15"/>
  <c r="P22" i="15" s="1"/>
  <c r="BH21" i="15"/>
  <c r="P21" i="15" s="1"/>
  <c r="BH20" i="15"/>
  <c r="P20" i="15" s="1"/>
  <c r="BH16" i="15"/>
  <c r="P16" i="15" s="1"/>
  <c r="BH14" i="15"/>
  <c r="P14" i="15" s="1"/>
  <c r="BH13" i="15"/>
  <c r="P13" i="15" s="1"/>
  <c r="BH10" i="15"/>
  <c r="P10" i="15" s="1"/>
  <c r="BH7" i="15"/>
  <c r="BI89" i="15" l="1"/>
  <c r="BI278" i="15" s="1"/>
  <c r="P7" i="15"/>
  <c r="O121" i="15"/>
  <c r="BI92" i="15"/>
  <c r="C15" i="17" s="1"/>
  <c r="P53" i="15"/>
  <c r="O123" i="15"/>
  <c r="BH123" i="15" s="1"/>
  <c r="D15" i="17"/>
  <c r="O160" i="15"/>
  <c r="O161" i="15" s="1"/>
  <c r="BI110" i="15"/>
  <c r="BI112" i="15"/>
  <c r="O118" i="15"/>
  <c r="I43" i="17"/>
  <c r="O119" i="15"/>
  <c r="BH119" i="15" s="1"/>
  <c r="BI230" i="15"/>
  <c r="BI246" i="15"/>
  <c r="BI238" i="15"/>
  <c r="BI245" i="15"/>
  <c r="BI237" i="15"/>
  <c r="BI223" i="15"/>
  <c r="BI251" i="15"/>
  <c r="BI243" i="15"/>
  <c r="BI250" i="15"/>
  <c r="BI242" i="15"/>
  <c r="BI234" i="15"/>
  <c r="BI241" i="15"/>
  <c r="BI240" i="15"/>
  <c r="BI248" i="15"/>
  <c r="BI235" i="15"/>
  <c r="BI247" i="15"/>
  <c r="BI239" i="15"/>
  <c r="BI108" i="15"/>
  <c r="C53" i="17"/>
  <c r="C51" i="17"/>
  <c r="O120" i="15"/>
  <c r="BH331" i="15"/>
  <c r="BH324" i="15"/>
  <c r="BH296" i="15"/>
  <c r="BH277" i="15"/>
  <c r="BH222" i="15"/>
  <c r="BH221" i="15"/>
  <c r="BH220" i="15"/>
  <c r="BH171" i="15"/>
  <c r="BH167" i="15"/>
  <c r="BH166" i="15"/>
  <c r="BH165" i="15"/>
  <c r="BH164" i="15"/>
  <c r="BH223" i="15"/>
  <c r="BH142" i="15"/>
  <c r="BH286" i="15"/>
  <c r="BH305" i="15" s="1"/>
  <c r="BH124" i="15"/>
  <c r="BH112" i="15"/>
  <c r="BH111" i="15"/>
  <c r="BH107" i="15"/>
  <c r="BH100" i="15"/>
  <c r="BH92" i="15"/>
  <c r="BH88" i="15"/>
  <c r="BH63" i="15"/>
  <c r="BH62" i="15"/>
  <c r="BH55" i="15"/>
  <c r="BH45" i="15"/>
  <c r="BH38" i="15"/>
  <c r="BH32" i="15"/>
  <c r="BH34" i="15"/>
  <c r="BH33" i="15"/>
  <c r="BH11" i="15"/>
  <c r="BH12" i="15" s="1"/>
  <c r="BH89" i="15"/>
  <c r="BH278" i="15" s="1"/>
  <c r="O331" i="15"/>
  <c r="O324" i="15"/>
  <c r="O296" i="15"/>
  <c r="O286" i="15"/>
  <c r="O277" i="15"/>
  <c r="O220" i="15"/>
  <c r="O192" i="15"/>
  <c r="O191" i="15"/>
  <c r="O189" i="15"/>
  <c r="O187" i="15"/>
  <c r="O186" i="15"/>
  <c r="O183" i="15"/>
  <c r="O182" i="15"/>
  <c r="O179" i="15"/>
  <c r="O177" i="15"/>
  <c r="O171" i="15"/>
  <c r="O167" i="15"/>
  <c r="O164" i="15"/>
  <c r="O142" i="15"/>
  <c r="O124" i="15"/>
  <c r="O130" i="15" s="1"/>
  <c r="BH121" i="15"/>
  <c r="O112" i="15"/>
  <c r="O111" i="15"/>
  <c r="O110" i="15"/>
  <c r="O107" i="15"/>
  <c r="O100" i="15"/>
  <c r="O92" i="15"/>
  <c r="O203" i="15" s="1"/>
  <c r="O89" i="15"/>
  <c r="O278" i="15" s="1"/>
  <c r="O88" i="15"/>
  <c r="O188" i="15"/>
  <c r="O97" i="15"/>
  <c r="O284" i="15" s="1"/>
  <c r="O63" i="15"/>
  <c r="O62" i="15"/>
  <c r="O55" i="15"/>
  <c r="O54" i="15"/>
  <c r="O231" i="15" s="1"/>
  <c r="O43" i="15"/>
  <c r="O45" i="15"/>
  <c r="O38" i="15"/>
  <c r="O36" i="15"/>
  <c r="O34" i="15"/>
  <c r="O33" i="15"/>
  <c r="O32" i="15"/>
  <c r="O11" i="15"/>
  <c r="O12" i="15" s="1"/>
  <c r="O8" i="15"/>
  <c r="O168" i="15" s="1"/>
  <c r="C91" i="17"/>
  <c r="C89" i="17"/>
  <c r="C84" i="17"/>
  <c r="E113" i="17"/>
  <c r="BI147" i="15" l="1"/>
  <c r="O305" i="15"/>
  <c r="BI148" i="15"/>
  <c r="BI291" i="15" s="1"/>
  <c r="BI203" i="15"/>
  <c r="O108" i="15"/>
  <c r="BI279" i="15"/>
  <c r="BI281" i="15" s="1"/>
  <c r="O173" i="15"/>
  <c r="O172" i="15"/>
  <c r="E10" i="17"/>
  <c r="E12" i="17"/>
  <c r="C20" i="17"/>
  <c r="D25" i="17"/>
  <c r="BI232" i="15"/>
  <c r="BH279" i="15"/>
  <c r="BH281" i="15" s="1"/>
  <c r="C55" i="17"/>
  <c r="C64" i="17"/>
  <c r="C52" i="17"/>
  <c r="D51" i="17"/>
  <c r="O325" i="15"/>
  <c r="BH325" i="15"/>
  <c r="BI206" i="15"/>
  <c r="BI292" i="15"/>
  <c r="BH130" i="15"/>
  <c r="BH287" i="15" s="1"/>
  <c r="BH306" i="15" s="1"/>
  <c r="C56" i="17"/>
  <c r="D53" i="17"/>
  <c r="C54" i="17"/>
  <c r="D49" i="17"/>
  <c r="D73" i="17"/>
  <c r="J47" i="17"/>
  <c r="D72" i="17"/>
  <c r="D74" i="17"/>
  <c r="D71" i="17"/>
  <c r="D47" i="17"/>
  <c r="D48" i="17"/>
  <c r="BH173" i="15"/>
  <c r="BH108" i="15"/>
  <c r="O17" i="15"/>
  <c r="O46" i="15" s="1"/>
  <c r="O48" i="15" s="1"/>
  <c r="O91" i="15" s="1"/>
  <c r="O42" i="15"/>
  <c r="BH120" i="15"/>
  <c r="BH234" i="15"/>
  <c r="BH203" i="15"/>
  <c r="BH175" i="15"/>
  <c r="O181" i="15"/>
  <c r="BH230" i="15"/>
  <c r="BH232" i="15" s="1"/>
  <c r="BH118" i="15"/>
  <c r="O287" i="15"/>
  <c r="O306" i="15" s="1"/>
  <c r="O139" i="15"/>
  <c r="O129" i="15"/>
  <c r="O145" i="15"/>
  <c r="O148" i="15"/>
  <c r="O37" i="15"/>
  <c r="O175" i="15"/>
  <c r="O279" i="15"/>
  <c r="O68" i="15"/>
  <c r="O72" i="15" s="1"/>
  <c r="O95" i="15"/>
  <c r="O153" i="15" s="1"/>
  <c r="O212" i="15" s="1"/>
  <c r="O176" i="15"/>
  <c r="O184" i="15"/>
  <c r="O178" i="15"/>
  <c r="C102" i="17"/>
  <c r="BH148" i="15" l="1"/>
  <c r="BI207" i="15"/>
  <c r="BH139" i="15"/>
  <c r="BH129" i="15"/>
  <c r="BH147" i="15" s="1"/>
  <c r="BH145" i="15"/>
  <c r="BH198" i="15" s="1"/>
  <c r="D50" i="17"/>
  <c r="D12" i="17"/>
  <c r="D14" i="17"/>
  <c r="C59" i="17"/>
  <c r="C60" i="17" s="1"/>
  <c r="E52" i="17"/>
  <c r="D64" i="17"/>
  <c r="C65" i="17"/>
  <c r="E50" i="17"/>
  <c r="O25" i="15"/>
  <c r="O39" i="15" s="1"/>
  <c r="O52" i="15"/>
  <c r="O50" i="15"/>
  <c r="O35" i="15"/>
  <c r="BH308" i="15"/>
  <c r="O90" i="15"/>
  <c r="BH144" i="15"/>
  <c r="BH156" i="15"/>
  <c r="BH215" i="15" s="1"/>
  <c r="BH257" i="15"/>
  <c r="BH291" i="15"/>
  <c r="BH207" i="15"/>
  <c r="O281" i="15"/>
  <c r="O257" i="15"/>
  <c r="O198" i="15"/>
  <c r="O180" i="15"/>
  <c r="O207" i="15"/>
  <c r="O291" i="15"/>
  <c r="O147" i="15"/>
  <c r="O144" i="15"/>
  <c r="O289" i="15"/>
  <c r="O156" i="15"/>
  <c r="O215" i="15" s="1"/>
  <c r="O140" i="15"/>
  <c r="O308" i="15"/>
  <c r="O283" i="15"/>
  <c r="O154" i="15"/>
  <c r="O213" i="15" s="1"/>
  <c r="C103" i="17"/>
  <c r="BH140" i="15" l="1"/>
  <c r="BH289" i="15"/>
  <c r="O40" i="15"/>
  <c r="O28" i="15"/>
  <c r="O96" i="15" s="1"/>
  <c r="BH197" i="15"/>
  <c r="BH256" i="15"/>
  <c r="BH206" i="15"/>
  <c r="BH292" i="15"/>
  <c r="O292" i="15"/>
  <c r="O206" i="15"/>
  <c r="O197" i="15"/>
  <c r="O256" i="15"/>
  <c r="BG159" i="15" l="1"/>
  <c r="BG160" i="15"/>
  <c r="BG115" i="15"/>
  <c r="BG121" i="15" s="1"/>
  <c r="BG104" i="15"/>
  <c r="BG102" i="15"/>
  <c r="BB73" i="15"/>
  <c r="BC73" i="15" s="1"/>
  <c r="BF73" i="15"/>
  <c r="BF65" i="15"/>
  <c r="BB65" i="15"/>
  <c r="BC65" i="15" s="1"/>
  <c r="AX65" i="15"/>
  <c r="AY65" i="15" s="1"/>
  <c r="AT65" i="15"/>
  <c r="AU65" i="15" s="1"/>
  <c r="BG47" i="15"/>
  <c r="BG19" i="15"/>
  <c r="BG18" i="15"/>
  <c r="BG15" i="15"/>
  <c r="I81" i="17" l="1"/>
  <c r="D91" i="17" s="1"/>
  <c r="BG161" i="15"/>
  <c r="BH19" i="15"/>
  <c r="P19" i="15" s="1"/>
  <c r="BH15" i="15"/>
  <c r="BH17" i="15" s="1"/>
  <c r="BH18" i="15"/>
  <c r="BI36" i="15" s="1"/>
  <c r="D65" i="17"/>
  <c r="BG123" i="15"/>
  <c r="BG73" i="15"/>
  <c r="BH73" i="15" s="1"/>
  <c r="BG65" i="15"/>
  <c r="BF77" i="15"/>
  <c r="BH110" i="15"/>
  <c r="J84" i="17"/>
  <c r="BG119" i="15"/>
  <c r="BG118" i="15"/>
  <c r="BG120" i="15"/>
  <c r="D102" i="17" l="1"/>
  <c r="D85" i="17"/>
  <c r="D89" i="17"/>
  <c r="D84" i="17"/>
  <c r="BH37" i="15"/>
  <c r="BI37" i="15"/>
  <c r="BH36" i="15"/>
  <c r="P18" i="15"/>
  <c r="P73" i="15"/>
  <c r="P15" i="15"/>
  <c r="BG77" i="15"/>
  <c r="BH77" i="15" s="1"/>
  <c r="P77" i="15" s="1"/>
  <c r="BH65" i="15"/>
  <c r="P65" i="15" s="1"/>
  <c r="BH35" i="15"/>
  <c r="BH46" i="15"/>
  <c r="BH25" i="15"/>
  <c r="BH28" i="15" s="1"/>
  <c r="BH243" i="15"/>
  <c r="BH184" i="15"/>
  <c r="BG331" i="15"/>
  <c r="BG324" i="15"/>
  <c r="BG325" i="15" s="1"/>
  <c r="BG296" i="15"/>
  <c r="BG286" i="15"/>
  <c r="BG305" i="15" s="1"/>
  <c r="BG277" i="15"/>
  <c r="BG230" i="15"/>
  <c r="BG223" i="15"/>
  <c r="BG222" i="15"/>
  <c r="BG221" i="15"/>
  <c r="BG220" i="15"/>
  <c r="BG171" i="15"/>
  <c r="BG167" i="15"/>
  <c r="BG166" i="15"/>
  <c r="BG165" i="15"/>
  <c r="BG164" i="15"/>
  <c r="BG142" i="15"/>
  <c r="BG124" i="15"/>
  <c r="BG112" i="15"/>
  <c r="BG111" i="15"/>
  <c r="BG110" i="15"/>
  <c r="BG107" i="15"/>
  <c r="BG100" i="15"/>
  <c r="BG88" i="15"/>
  <c r="BG184" i="15"/>
  <c r="BG63" i="15"/>
  <c r="BG234" i="15" s="1"/>
  <c r="BG62" i="15"/>
  <c r="BG55" i="15"/>
  <c r="BG54" i="15"/>
  <c r="BG231" i="15" s="1"/>
  <c r="BG45" i="15"/>
  <c r="BG43" i="15"/>
  <c r="BG38" i="15"/>
  <c r="BG34" i="15"/>
  <c r="BG33" i="15"/>
  <c r="BG32" i="15"/>
  <c r="BG11" i="15"/>
  <c r="BG17" i="15" s="1"/>
  <c r="BG8" i="15"/>
  <c r="BG168" i="15" s="1"/>
  <c r="C129" i="17"/>
  <c r="BF115" i="15"/>
  <c r="BF79" i="15"/>
  <c r="BF75" i="15"/>
  <c r="BF71" i="15"/>
  <c r="BF70" i="15"/>
  <c r="BF67" i="15"/>
  <c r="BF80" i="15"/>
  <c r="BF74" i="15"/>
  <c r="BF63" i="15"/>
  <c r="BH40" i="15" l="1"/>
  <c r="BH39" i="15"/>
  <c r="BH189" i="15"/>
  <c r="BH248" i="15"/>
  <c r="BH177" i="15"/>
  <c r="BH236" i="15"/>
  <c r="D54" i="17"/>
  <c r="D52" i="17"/>
  <c r="BG71" i="15"/>
  <c r="BG183" i="15" s="1"/>
  <c r="BG80" i="15"/>
  <c r="BG192" i="15" s="1"/>
  <c r="BG70" i="15"/>
  <c r="BG182" i="15" s="1"/>
  <c r="BG75" i="15"/>
  <c r="BG79" i="15"/>
  <c r="BG191" i="15" s="1"/>
  <c r="BG74" i="15"/>
  <c r="BG237" i="15"/>
  <c r="BG67" i="15"/>
  <c r="BG130" i="15"/>
  <c r="BG145" i="15" s="1"/>
  <c r="C86" i="17"/>
  <c r="BG173" i="15"/>
  <c r="BG175" i="15"/>
  <c r="BG251" i="15"/>
  <c r="BG178" i="15"/>
  <c r="BG25" i="15"/>
  <c r="BG46" i="15"/>
  <c r="BG48" i="15" s="1"/>
  <c r="BG35" i="15"/>
  <c r="BG232" i="15"/>
  <c r="BG12" i="15"/>
  <c r="BG243" i="15"/>
  <c r="BG172" i="15"/>
  <c r="BG122" i="15"/>
  <c r="E151" i="17"/>
  <c r="C127" i="17"/>
  <c r="C122" i="17"/>
  <c r="H129" i="17"/>
  <c r="BF331" i="15"/>
  <c r="BF324" i="15"/>
  <c r="BF325" i="15" s="1"/>
  <c r="BF296" i="15"/>
  <c r="BF286" i="15"/>
  <c r="BF277" i="15"/>
  <c r="BF222" i="15"/>
  <c r="BF221" i="15"/>
  <c r="BF220" i="15"/>
  <c r="BF192" i="15"/>
  <c r="BF191" i="15"/>
  <c r="BF187" i="15"/>
  <c r="BF186" i="15"/>
  <c r="BF184" i="15"/>
  <c r="BF183" i="15"/>
  <c r="BF182" i="15"/>
  <c r="BF179" i="15"/>
  <c r="BF178" i="15"/>
  <c r="BF177" i="15"/>
  <c r="BF175" i="15"/>
  <c r="BF171" i="15"/>
  <c r="BF167" i="15"/>
  <c r="BF166" i="15"/>
  <c r="BF165" i="15"/>
  <c r="BF164" i="15"/>
  <c r="BF160" i="15"/>
  <c r="BF161" i="15" s="1"/>
  <c r="BF159" i="15"/>
  <c r="P159" i="15" s="1"/>
  <c r="BF142" i="15"/>
  <c r="BF123" i="15"/>
  <c r="BF121" i="15"/>
  <c r="BF120" i="15"/>
  <c r="BF119" i="15"/>
  <c r="BF118" i="15"/>
  <c r="BF124" i="15"/>
  <c r="BF130" i="15" s="1"/>
  <c r="BF102" i="15"/>
  <c r="BF112" i="15"/>
  <c r="BF111" i="15"/>
  <c r="BF110" i="15"/>
  <c r="BF107" i="15"/>
  <c r="BF100" i="15"/>
  <c r="BF88" i="15"/>
  <c r="BF62" i="15"/>
  <c r="BF55" i="15"/>
  <c r="BF54" i="15"/>
  <c r="BF231" i="15" s="1"/>
  <c r="BF47" i="15"/>
  <c r="BF45" i="15"/>
  <c r="BF38" i="15"/>
  <c r="BF34" i="15"/>
  <c r="BF33" i="15"/>
  <c r="BF32" i="15"/>
  <c r="BF11" i="15"/>
  <c r="BF17" i="15" s="1"/>
  <c r="BF8" i="15"/>
  <c r="BF168" i="15" s="1"/>
  <c r="BH70" i="15" l="1"/>
  <c r="P70" i="15" s="1"/>
  <c r="BH67" i="15"/>
  <c r="P67" i="15" s="1"/>
  <c r="BG186" i="15"/>
  <c r="BH74" i="15"/>
  <c r="P74" i="15" s="1"/>
  <c r="BG245" i="15"/>
  <c r="BG187" i="15"/>
  <c r="BG246" i="15"/>
  <c r="BH66" i="15"/>
  <c r="P66" i="15" s="1"/>
  <c r="BH71" i="15"/>
  <c r="P71" i="15" s="1"/>
  <c r="BG242" i="15"/>
  <c r="BH79" i="15"/>
  <c r="P79" i="15" s="1"/>
  <c r="BG250" i="15"/>
  <c r="BH75" i="15"/>
  <c r="P75" i="15" s="1"/>
  <c r="BF25" i="15"/>
  <c r="BF28" i="15" s="1"/>
  <c r="BI90" i="15"/>
  <c r="BF246" i="15"/>
  <c r="BI297" i="15"/>
  <c r="BI298" i="15"/>
  <c r="BI310" i="15" s="1"/>
  <c r="BG241" i="15"/>
  <c r="BH80" i="15"/>
  <c r="P80" i="15" s="1"/>
  <c r="BH238" i="15"/>
  <c r="BH179" i="15"/>
  <c r="BF173" i="15"/>
  <c r="BG179" i="15"/>
  <c r="BH182" i="15"/>
  <c r="BH241" i="15"/>
  <c r="BG238" i="15"/>
  <c r="BF43" i="15"/>
  <c r="BG129" i="15"/>
  <c r="BG289" i="15" s="1"/>
  <c r="C88" i="17"/>
  <c r="D30" i="17" s="1"/>
  <c r="D86" i="17"/>
  <c r="BG139" i="15"/>
  <c r="BG287" i="15"/>
  <c r="BG306" i="15" s="1"/>
  <c r="BG308" i="15" s="1"/>
  <c r="BG236" i="15"/>
  <c r="BG177" i="15"/>
  <c r="BG257" i="15"/>
  <c r="BG198" i="15"/>
  <c r="BG52" i="15"/>
  <c r="BG50" i="15"/>
  <c r="BG39" i="15"/>
  <c r="BG28" i="15"/>
  <c r="BG40" i="15"/>
  <c r="C124" i="17"/>
  <c r="C126" i="17" s="1"/>
  <c r="I120" i="17"/>
  <c r="C141" i="17"/>
  <c r="BF172" i="15"/>
  <c r="BF129" i="15"/>
  <c r="BF287" i="15"/>
  <c r="BF306" i="15" s="1"/>
  <c r="BF139" i="15"/>
  <c r="BF145" i="15"/>
  <c r="BF230" i="15"/>
  <c r="BI262" i="15" s="1"/>
  <c r="BF241" i="15"/>
  <c r="BF234" i="15"/>
  <c r="BF242" i="15"/>
  <c r="BF250" i="15"/>
  <c r="BF243" i="15"/>
  <c r="BF251" i="15"/>
  <c r="BF305" i="15"/>
  <c r="BF236" i="15"/>
  <c r="BF237" i="15"/>
  <c r="BF245" i="15"/>
  <c r="BF223" i="15"/>
  <c r="BF238" i="15"/>
  <c r="BF46" i="15"/>
  <c r="BF48" i="15" s="1"/>
  <c r="BF35" i="15"/>
  <c r="BF12" i="15"/>
  <c r="BG140" i="15" l="1"/>
  <c r="BH242" i="15"/>
  <c r="BH183" i="15"/>
  <c r="BH246" i="15"/>
  <c r="BH250" i="15"/>
  <c r="BH186" i="15"/>
  <c r="BH191" i="15"/>
  <c r="BH245" i="15"/>
  <c r="BI96" i="15"/>
  <c r="BH95" i="15"/>
  <c r="BH283" i="15" s="1"/>
  <c r="BH237" i="15"/>
  <c r="BH178" i="15"/>
  <c r="D35" i="17"/>
  <c r="BF52" i="15"/>
  <c r="BI300" i="15"/>
  <c r="BI311" i="15"/>
  <c r="BF40" i="15"/>
  <c r="BI95" i="15"/>
  <c r="BI272" i="15"/>
  <c r="BI266" i="15"/>
  <c r="BI265" i="15"/>
  <c r="BF39" i="15"/>
  <c r="BG156" i="15"/>
  <c r="BG215" i="15" s="1"/>
  <c r="BG144" i="15"/>
  <c r="BG256" i="15" s="1"/>
  <c r="BH187" i="15"/>
  <c r="C70" i="17"/>
  <c r="BH192" i="15"/>
  <c r="BH251" i="15"/>
  <c r="C94" i="17"/>
  <c r="C111" i="17"/>
  <c r="D111" i="17" s="1"/>
  <c r="C110" i="17"/>
  <c r="D110" i="17" s="1"/>
  <c r="C112" i="17"/>
  <c r="D112" i="17" s="1"/>
  <c r="C109" i="17"/>
  <c r="D109" i="17" s="1"/>
  <c r="C108" i="17"/>
  <c r="D108" i="17" s="1"/>
  <c r="C90" i="17"/>
  <c r="C92" i="17"/>
  <c r="D129" i="17"/>
  <c r="D103" i="17"/>
  <c r="D123" i="17"/>
  <c r="J130" i="17"/>
  <c r="D122" i="17"/>
  <c r="D141" i="17"/>
  <c r="D142" i="17" s="1"/>
  <c r="D124" i="17"/>
  <c r="D127" i="17"/>
  <c r="C142" i="17"/>
  <c r="BF232" i="15"/>
  <c r="C149" i="17"/>
  <c r="D149" i="17" s="1"/>
  <c r="C132" i="17"/>
  <c r="C150" i="17"/>
  <c r="D150" i="17" s="1"/>
  <c r="C148" i="17"/>
  <c r="D148" i="17" s="1"/>
  <c r="C147" i="17"/>
  <c r="BF198" i="15"/>
  <c r="BF257" i="15"/>
  <c r="BF308" i="15"/>
  <c r="BF156" i="15"/>
  <c r="BF215" i="15" s="1"/>
  <c r="BF144" i="15"/>
  <c r="BF289" i="15"/>
  <c r="BF140" i="15"/>
  <c r="BF50" i="15"/>
  <c r="C130" i="17"/>
  <c r="C128" i="17"/>
  <c r="BG197" i="15" l="1"/>
  <c r="BH154" i="15"/>
  <c r="BH213" i="15" s="1"/>
  <c r="BI283" i="15"/>
  <c r="BI302" i="15" s="1"/>
  <c r="BI154" i="15"/>
  <c r="BI213" i="15" s="1"/>
  <c r="C75" i="17"/>
  <c r="D70" i="17"/>
  <c r="D75" i="17" s="1"/>
  <c r="C97" i="17"/>
  <c r="D88" i="17"/>
  <c r="D113" i="17"/>
  <c r="C113" i="17"/>
  <c r="D126" i="17"/>
  <c r="D130" i="17" s="1"/>
  <c r="D147" i="17"/>
  <c r="D151" i="17" s="1"/>
  <c r="C151" i="17"/>
  <c r="C135" i="17"/>
  <c r="BF197" i="15"/>
  <c r="BF256" i="15"/>
  <c r="C161" i="17"/>
  <c r="C168" i="17"/>
  <c r="C166" i="17"/>
  <c r="I159" i="17"/>
  <c r="E190" i="17"/>
  <c r="H168" i="17"/>
  <c r="BE34" i="15"/>
  <c r="BA34" i="15"/>
  <c r="BA159" i="15"/>
  <c r="BE115" i="15"/>
  <c r="BE120" i="15" s="1"/>
  <c r="BE76" i="15"/>
  <c r="BE69" i="15"/>
  <c r="BE102" i="15"/>
  <c r="BE47" i="15"/>
  <c r="BH47" i="15" l="1"/>
  <c r="P47" i="15" s="1"/>
  <c r="BF76" i="15"/>
  <c r="BF69" i="15"/>
  <c r="BF42" i="15" s="1"/>
  <c r="BF64" i="15"/>
  <c r="D128" i="17"/>
  <c r="D90" i="17"/>
  <c r="D92" i="17"/>
  <c r="BG248" i="15"/>
  <c r="BG189" i="15"/>
  <c r="BF189" i="15"/>
  <c r="BF248" i="15"/>
  <c r="BE119" i="15"/>
  <c r="BF188" i="15"/>
  <c r="BF247" i="15"/>
  <c r="BE123" i="15"/>
  <c r="D161" i="17"/>
  <c r="D166" i="17"/>
  <c r="D168" i="17"/>
  <c r="D162" i="17"/>
  <c r="BE122" i="15"/>
  <c r="BE121" i="15"/>
  <c r="J169" i="17"/>
  <c r="C180" i="17"/>
  <c r="D180" i="17" s="1"/>
  <c r="BF240" i="15" l="1"/>
  <c r="BH48" i="15"/>
  <c r="BI91" i="15" s="1"/>
  <c r="BG64" i="15"/>
  <c r="BG68" i="15" s="1"/>
  <c r="BF181" i="15"/>
  <c r="BH43" i="15"/>
  <c r="BG76" i="15"/>
  <c r="BG69" i="15"/>
  <c r="BF176" i="15"/>
  <c r="BF68" i="15"/>
  <c r="BF235" i="15"/>
  <c r="C181" i="17"/>
  <c r="BH50" i="15" l="1"/>
  <c r="BG239" i="15"/>
  <c r="BG72" i="15"/>
  <c r="BF180" i="15"/>
  <c r="BF72" i="15"/>
  <c r="BG180" i="15"/>
  <c r="BG235" i="15"/>
  <c r="BG176" i="15"/>
  <c r="BH64" i="15"/>
  <c r="P64" i="15" s="1"/>
  <c r="BG247" i="15"/>
  <c r="BG188" i="15"/>
  <c r="BH76" i="15"/>
  <c r="BG240" i="15"/>
  <c r="BG42" i="15"/>
  <c r="BG181" i="15"/>
  <c r="BH69" i="15"/>
  <c r="P69" i="15" s="1"/>
  <c r="BF239" i="15"/>
  <c r="BE331" i="15"/>
  <c r="BE324" i="15"/>
  <c r="BE325" i="15" s="1"/>
  <c r="BE296" i="15"/>
  <c r="BE286" i="15"/>
  <c r="BE305" i="15" s="1"/>
  <c r="BE277" i="15"/>
  <c r="BE222" i="15"/>
  <c r="BE221" i="15"/>
  <c r="BE220" i="15"/>
  <c r="BE192" i="15"/>
  <c r="BE191" i="15"/>
  <c r="BE189" i="15"/>
  <c r="BE188" i="15"/>
  <c r="BE187" i="15"/>
  <c r="BE186" i="15"/>
  <c r="BE184" i="15"/>
  <c r="BE183" i="15"/>
  <c r="BE182" i="15"/>
  <c r="BE181" i="15"/>
  <c r="BE179" i="15"/>
  <c r="BE178" i="15"/>
  <c r="BE177" i="15"/>
  <c r="BE176" i="15"/>
  <c r="BE171" i="15"/>
  <c r="BE167" i="15"/>
  <c r="BE166" i="15"/>
  <c r="BE165" i="15"/>
  <c r="BE164" i="15"/>
  <c r="BE142" i="15"/>
  <c r="BE124" i="15"/>
  <c r="BE107" i="15"/>
  <c r="BE100" i="15"/>
  <c r="BE88" i="15"/>
  <c r="BE63" i="15"/>
  <c r="BE175" i="15" s="1"/>
  <c r="BE62" i="15"/>
  <c r="BE55" i="15"/>
  <c r="BE54" i="15"/>
  <c r="BE172" i="15" s="1"/>
  <c r="BE45" i="15"/>
  <c r="BE43" i="15"/>
  <c r="BE42" i="15"/>
  <c r="BE38" i="15"/>
  <c r="BE33" i="15"/>
  <c r="BE32" i="15"/>
  <c r="BE11" i="15"/>
  <c r="BE17" i="15" s="1"/>
  <c r="BE8" i="15"/>
  <c r="BE168" i="15" s="1"/>
  <c r="N115" i="15"/>
  <c r="BD115" i="15" s="1"/>
  <c r="BD124" i="15" s="1"/>
  <c r="BD130" i="15" s="1"/>
  <c r="C195" i="17"/>
  <c r="E224" i="17"/>
  <c r="H202" i="17"/>
  <c r="BD330" i="15"/>
  <c r="BD329" i="15"/>
  <c r="BD328" i="15"/>
  <c r="BD327" i="15"/>
  <c r="BD323" i="15"/>
  <c r="BD322" i="15"/>
  <c r="BD321" i="15"/>
  <c r="BH336" i="15" s="1"/>
  <c r="BD320" i="15"/>
  <c r="BH335" i="15" s="1"/>
  <c r="BD138" i="15"/>
  <c r="C202" i="17" s="1"/>
  <c r="BD127" i="15"/>
  <c r="C200" i="17" s="1"/>
  <c r="BD122" i="15"/>
  <c r="BD106" i="15"/>
  <c r="BD105" i="15"/>
  <c r="BE111" i="15" s="1"/>
  <c r="BD104" i="15"/>
  <c r="BE110" i="15" s="1"/>
  <c r="BD103" i="15"/>
  <c r="BA47" i="15"/>
  <c r="BD53" i="15"/>
  <c r="BD27" i="15"/>
  <c r="BD26" i="15"/>
  <c r="BD24" i="15"/>
  <c r="BD23" i="15"/>
  <c r="BD22" i="15"/>
  <c r="BD21" i="15"/>
  <c r="BD20" i="15"/>
  <c r="BD19" i="15"/>
  <c r="BD18" i="15"/>
  <c r="BD16" i="15"/>
  <c r="BD15" i="15"/>
  <c r="BD14" i="15"/>
  <c r="BD13" i="15"/>
  <c r="BD10" i="15"/>
  <c r="BD7" i="15"/>
  <c r="BH8" i="15" s="1"/>
  <c r="BH168" i="15" s="1"/>
  <c r="BD159" i="15"/>
  <c r="BD160" i="15"/>
  <c r="BD161" i="15" s="1"/>
  <c r="BD296" i="15"/>
  <c r="BD277" i="15"/>
  <c r="BD222" i="15"/>
  <c r="BD221" i="15"/>
  <c r="BD220" i="15"/>
  <c r="BD166" i="15"/>
  <c r="BD165" i="15"/>
  <c r="BD164" i="15"/>
  <c r="BD142" i="15"/>
  <c r="BD100" i="15"/>
  <c r="BD88" i="15"/>
  <c r="BD62" i="15"/>
  <c r="BD45" i="15"/>
  <c r="N102" i="15"/>
  <c r="BD102" i="15" s="1"/>
  <c r="M73" i="15"/>
  <c r="N73" i="15"/>
  <c r="N76" i="15"/>
  <c r="N69" i="15"/>
  <c r="N66" i="15"/>
  <c r="M66" i="15"/>
  <c r="M64" i="15"/>
  <c r="N64" i="15"/>
  <c r="K14" i="15"/>
  <c r="K13" i="15"/>
  <c r="L13" i="15"/>
  <c r="M47" i="15"/>
  <c r="N47" i="15"/>
  <c r="BH235" i="15" l="1"/>
  <c r="BH68" i="15"/>
  <c r="BH176" i="15"/>
  <c r="BH247" i="15"/>
  <c r="BH188" i="15"/>
  <c r="P76" i="15"/>
  <c r="BH240" i="15"/>
  <c r="BI271" i="15" s="1"/>
  <c r="BH42" i="15"/>
  <c r="BI97" i="15"/>
  <c r="BH181" i="15"/>
  <c r="BH97" i="15"/>
  <c r="BE35" i="15"/>
  <c r="BH90" i="15"/>
  <c r="BH180" i="15"/>
  <c r="BH54" i="15"/>
  <c r="BG89" i="15"/>
  <c r="BG278" i="15" s="1"/>
  <c r="BG36" i="15"/>
  <c r="BG37" i="15"/>
  <c r="BD286" i="15"/>
  <c r="BD305" i="15" s="1"/>
  <c r="BD230" i="15"/>
  <c r="BG92" i="15"/>
  <c r="C93" i="17" s="1"/>
  <c r="BD11" i="15"/>
  <c r="BD12" i="15" s="1"/>
  <c r="BD32" i="15"/>
  <c r="BD331" i="15"/>
  <c r="BF92" i="15"/>
  <c r="BF89" i="15"/>
  <c r="BF36" i="15"/>
  <c r="BF37" i="15"/>
  <c r="BD324" i="15"/>
  <c r="BH339" i="15" s="1"/>
  <c r="BD107" i="15"/>
  <c r="BE112" i="15"/>
  <c r="BD33" i="15"/>
  <c r="BE36" i="15"/>
  <c r="N123" i="15"/>
  <c r="BD123" i="15" s="1"/>
  <c r="BD63" i="15"/>
  <c r="BD234" i="15" s="1"/>
  <c r="BE89" i="15"/>
  <c r="BE278" i="15" s="1"/>
  <c r="N160" i="15"/>
  <c r="N161" i="15" s="1"/>
  <c r="BE159" i="15"/>
  <c r="BE92" i="15"/>
  <c r="BE203" i="15" s="1"/>
  <c r="I193" i="17"/>
  <c r="D196" i="17" s="1"/>
  <c r="BE130" i="15"/>
  <c r="BE145" i="15" s="1"/>
  <c r="BE257" i="15" s="1"/>
  <c r="C163" i="17"/>
  <c r="BD36" i="15"/>
  <c r="D181" i="17"/>
  <c r="BE173" i="15"/>
  <c r="BE231" i="15"/>
  <c r="BE68" i="15"/>
  <c r="BE72" i="15" s="1"/>
  <c r="BE12" i="15"/>
  <c r="BE25" i="15"/>
  <c r="BE46" i="15"/>
  <c r="BE48" i="15" s="1"/>
  <c r="BI49" i="15" s="1"/>
  <c r="C197" i="17"/>
  <c r="C199" i="17" s="1"/>
  <c r="C214" i="17"/>
  <c r="BD34" i="15"/>
  <c r="BD145" i="15"/>
  <c r="BD129" i="15"/>
  <c r="BD287" i="15"/>
  <c r="BD306" i="15" s="1"/>
  <c r="BD139" i="15"/>
  <c r="BD37" i="15"/>
  <c r="BD89" i="15"/>
  <c r="BD278" i="15" s="1"/>
  <c r="BD110" i="15"/>
  <c r="BD171" i="15"/>
  <c r="BD38" i="15"/>
  <c r="BD111" i="15"/>
  <c r="BD112" i="15"/>
  <c r="BD223" i="15"/>
  <c r="BH224" i="15" s="1"/>
  <c r="BD167" i="15"/>
  <c r="BD92" i="15"/>
  <c r="BD55" i="15"/>
  <c r="N120" i="15"/>
  <c r="BD120" i="15" s="1"/>
  <c r="N118" i="15"/>
  <c r="BD118" i="15" s="1"/>
  <c r="N119" i="15"/>
  <c r="BD119" i="15" s="1"/>
  <c r="N121" i="15"/>
  <c r="BD121" i="15" s="1"/>
  <c r="BH239" i="15" l="1"/>
  <c r="BH72" i="15"/>
  <c r="BD325" i="15"/>
  <c r="I44" i="17"/>
  <c r="O159" i="15"/>
  <c r="BH153" i="15"/>
  <c r="BH212" i="15" s="1"/>
  <c r="BH284" i="15"/>
  <c r="BH303" i="15" s="1"/>
  <c r="BI284" i="15"/>
  <c r="BI303" i="15" s="1"/>
  <c r="BI153" i="15"/>
  <c r="BI212" i="15" s="1"/>
  <c r="BH231" i="15"/>
  <c r="BH172" i="15"/>
  <c r="BE248" i="15"/>
  <c r="BH297" i="15"/>
  <c r="BH298" i="15"/>
  <c r="BH302" i="15"/>
  <c r="BE52" i="15"/>
  <c r="BH52" i="15" s="1"/>
  <c r="BH91" i="15"/>
  <c r="E88" i="17"/>
  <c r="E90" i="17"/>
  <c r="C98" i="17"/>
  <c r="BE236" i="15"/>
  <c r="BG108" i="15"/>
  <c r="BE241" i="15"/>
  <c r="BE250" i="15"/>
  <c r="BD175" i="15"/>
  <c r="BD308" i="15"/>
  <c r="BG297" i="15"/>
  <c r="BG279" i="15"/>
  <c r="BG203" i="15"/>
  <c r="BG148" i="15"/>
  <c r="BG147" i="15"/>
  <c r="BE287" i="15"/>
  <c r="BE306" i="15" s="1"/>
  <c r="BE308" i="15" s="1"/>
  <c r="BE240" i="15"/>
  <c r="BE247" i="15"/>
  <c r="BE230" i="15"/>
  <c r="BH262" i="15" s="1"/>
  <c r="BE223" i="15"/>
  <c r="BD17" i="15"/>
  <c r="BG90" i="15" s="1"/>
  <c r="BE297" i="15"/>
  <c r="BE246" i="15"/>
  <c r="BE238" i="15"/>
  <c r="BF278" i="15"/>
  <c r="BF297" i="15" s="1"/>
  <c r="BF108" i="15"/>
  <c r="BE245" i="15"/>
  <c r="BE237" i="15"/>
  <c r="C131" i="17"/>
  <c r="BF279" i="15"/>
  <c r="BF203" i="15"/>
  <c r="BF148" i="15"/>
  <c r="BF147" i="15"/>
  <c r="BE108" i="15"/>
  <c r="BE198" i="15"/>
  <c r="BE129" i="15"/>
  <c r="BE289" i="15" s="1"/>
  <c r="D200" i="17"/>
  <c r="BE37" i="15"/>
  <c r="BE139" i="15"/>
  <c r="J203" i="17"/>
  <c r="D202" i="17"/>
  <c r="D214" i="17"/>
  <c r="D195" i="17"/>
  <c r="BE279" i="15"/>
  <c r="C170" i="17"/>
  <c r="BE242" i="15"/>
  <c r="BE251" i="15"/>
  <c r="D163" i="17"/>
  <c r="D165" i="17" s="1"/>
  <c r="D167" i="17" s="1"/>
  <c r="C165" i="17"/>
  <c r="BE234" i="15"/>
  <c r="BE148" i="15"/>
  <c r="BE291" i="15" s="1"/>
  <c r="BE243" i="15"/>
  <c r="BE235" i="15"/>
  <c r="BE239" i="15"/>
  <c r="BE180" i="15"/>
  <c r="BE50" i="15"/>
  <c r="BE39" i="15"/>
  <c r="BE28" i="15"/>
  <c r="BH96" i="15" s="1"/>
  <c r="BE40" i="15"/>
  <c r="C204" i="17"/>
  <c r="E199" i="17" s="1"/>
  <c r="C205" i="17"/>
  <c r="C220" i="17"/>
  <c r="D220" i="17" s="1"/>
  <c r="C223" i="17"/>
  <c r="D223" i="17" s="1"/>
  <c r="C221" i="17"/>
  <c r="D221" i="17" s="1"/>
  <c r="C222" i="17"/>
  <c r="D222" i="17" s="1"/>
  <c r="D197" i="17"/>
  <c r="C201" i="17"/>
  <c r="C203" i="17"/>
  <c r="C215" i="17"/>
  <c r="BD148" i="15"/>
  <c r="BD207" i="15" s="1"/>
  <c r="BD173" i="15"/>
  <c r="BD232" i="15"/>
  <c r="BD257" i="15"/>
  <c r="BD198" i="15"/>
  <c r="BD147" i="15"/>
  <c r="BD289" i="15"/>
  <c r="BD144" i="15"/>
  <c r="BD156" i="15"/>
  <c r="BD215" i="15" s="1"/>
  <c r="BD279" i="15"/>
  <c r="BD203" i="15"/>
  <c r="BD108" i="15"/>
  <c r="D55" i="17" l="1"/>
  <c r="BE232" i="15"/>
  <c r="BI224" i="15"/>
  <c r="BH272" i="15"/>
  <c r="BH271" i="15"/>
  <c r="F50" i="17"/>
  <c r="F52" i="17"/>
  <c r="BG262" i="15"/>
  <c r="BG266" i="15" s="1"/>
  <c r="BH300" i="15"/>
  <c r="BH310" i="15"/>
  <c r="BH311" i="15"/>
  <c r="BH266" i="15"/>
  <c r="BH265" i="15"/>
  <c r="O246" i="15"/>
  <c r="O245" i="15"/>
  <c r="O223" i="15"/>
  <c r="O251" i="15"/>
  <c r="O250" i="15"/>
  <c r="O236" i="15"/>
  <c r="O242" i="15"/>
  <c r="O241" i="15"/>
  <c r="O248" i="15"/>
  <c r="O247" i="15"/>
  <c r="O230" i="15"/>
  <c r="O232" i="15" s="1"/>
  <c r="O238" i="15"/>
  <c r="O237" i="15"/>
  <c r="O234" i="15"/>
  <c r="O262" i="15" s="1"/>
  <c r="O235" i="15"/>
  <c r="O297" i="15"/>
  <c r="O243" i="15"/>
  <c r="O303" i="15"/>
  <c r="O240" i="15"/>
  <c r="O298" i="15"/>
  <c r="O239" i="15"/>
  <c r="O302" i="15"/>
  <c r="BD35" i="15"/>
  <c r="BD46" i="15"/>
  <c r="BG291" i="15"/>
  <c r="BG207" i="15"/>
  <c r="BG298" i="15"/>
  <c r="BG281" i="15"/>
  <c r="BD25" i="15"/>
  <c r="BD39" i="15" s="1"/>
  <c r="BG206" i="15"/>
  <c r="BG292" i="15"/>
  <c r="BE207" i="15"/>
  <c r="BF298" i="15"/>
  <c r="BF281" i="15"/>
  <c r="E126" i="17"/>
  <c r="E128" i="17"/>
  <c r="C136" i="17"/>
  <c r="BE140" i="15"/>
  <c r="BF207" i="15"/>
  <c r="BF291" i="15"/>
  <c r="BE147" i="15"/>
  <c r="BF292" i="15"/>
  <c r="BF206" i="15"/>
  <c r="BE144" i="15"/>
  <c r="BE256" i="15" s="1"/>
  <c r="D169" i="17"/>
  <c r="BE156" i="15"/>
  <c r="BE215" i="15" s="1"/>
  <c r="C171" i="17"/>
  <c r="C188" i="17"/>
  <c r="D188" i="17" s="1"/>
  <c r="C186" i="17"/>
  <c r="D186" i="17" s="1"/>
  <c r="C187" i="17"/>
  <c r="D187" i="17" s="1"/>
  <c r="C189" i="17"/>
  <c r="D189" i="17" s="1"/>
  <c r="E165" i="17"/>
  <c r="C169" i="17"/>
  <c r="C167" i="17"/>
  <c r="BE298" i="15"/>
  <c r="BE281" i="15"/>
  <c r="E201" i="17"/>
  <c r="BD291" i="15"/>
  <c r="BD281" i="15"/>
  <c r="BD206" i="15"/>
  <c r="BD292" i="15"/>
  <c r="BD256" i="15"/>
  <c r="BD197" i="15"/>
  <c r="BG265" i="15" l="1"/>
  <c r="F10" i="17"/>
  <c r="F12" i="17"/>
  <c r="O271" i="15"/>
  <c r="O272" i="15"/>
  <c r="O266" i="15"/>
  <c r="O265" i="15"/>
  <c r="O300" i="15"/>
  <c r="O310" i="15"/>
  <c r="O311" i="15"/>
  <c r="BD40" i="15"/>
  <c r="BD28" i="15"/>
  <c r="BG96" i="15" s="1"/>
  <c r="BG300" i="15"/>
  <c r="BG310" i="15"/>
  <c r="BG311" i="15"/>
  <c r="BE197" i="15"/>
  <c r="BE292" i="15"/>
  <c r="BE206" i="15"/>
  <c r="BF300" i="15"/>
  <c r="BF310" i="15"/>
  <c r="BF311" i="15"/>
  <c r="D190" i="17"/>
  <c r="C190" i="17"/>
  <c r="BE300" i="15"/>
  <c r="BE311" i="15"/>
  <c r="BE310" i="15"/>
  <c r="C174" i="17"/>
  <c r="C175" i="17" s="1"/>
  <c r="E167" i="17"/>
  <c r="N331" i="15" l="1"/>
  <c r="N324" i="15"/>
  <c r="N296" i="15"/>
  <c r="N286" i="15"/>
  <c r="N277" i="15"/>
  <c r="N220" i="15"/>
  <c r="N192" i="15"/>
  <c r="N191" i="15"/>
  <c r="N189" i="15"/>
  <c r="N187" i="15"/>
  <c r="N186" i="15"/>
  <c r="N184" i="15"/>
  <c r="N183" i="15"/>
  <c r="N182" i="15"/>
  <c r="N179" i="15"/>
  <c r="N177" i="15"/>
  <c r="N176" i="15"/>
  <c r="N167" i="15"/>
  <c r="N164" i="15"/>
  <c r="N137" i="15"/>
  <c r="BD137" i="15" s="1"/>
  <c r="N142" i="15"/>
  <c r="N124" i="15"/>
  <c r="N130" i="15" s="1"/>
  <c r="N112" i="15"/>
  <c r="N111" i="15"/>
  <c r="N110" i="15"/>
  <c r="N107" i="15"/>
  <c r="N100" i="15"/>
  <c r="N95" i="15"/>
  <c r="N283" i="15" s="1"/>
  <c r="N89" i="15"/>
  <c r="N278" i="15" s="1"/>
  <c r="N88" i="15"/>
  <c r="N188" i="15"/>
  <c r="N62" i="15"/>
  <c r="N45" i="15"/>
  <c r="N43" i="15"/>
  <c r="N42" i="15"/>
  <c r="N38" i="15"/>
  <c r="N36" i="15"/>
  <c r="N34" i="15"/>
  <c r="N33" i="15"/>
  <c r="N32" i="15"/>
  <c r="N11" i="15"/>
  <c r="N17" i="15" s="1"/>
  <c r="N8" i="15"/>
  <c r="N168" i="15" s="1"/>
  <c r="C236" i="17"/>
  <c r="C234" i="17"/>
  <c r="C248" i="17" s="1"/>
  <c r="C229" i="17"/>
  <c r="I227" i="17"/>
  <c r="BC115" i="15"/>
  <c r="BC120" i="15" s="1"/>
  <c r="BC102" i="15"/>
  <c r="BC47" i="15"/>
  <c r="BC331" i="15"/>
  <c r="BC324" i="15"/>
  <c r="BC325" i="15" s="1"/>
  <c r="BC296" i="15"/>
  <c r="BC286" i="15"/>
  <c r="BC305" i="15" s="1"/>
  <c r="BC277" i="15"/>
  <c r="BC230" i="15"/>
  <c r="BF262" i="15" s="1"/>
  <c r="BC223" i="15"/>
  <c r="BG224" i="15" s="1"/>
  <c r="BC222" i="15"/>
  <c r="BC221" i="15"/>
  <c r="BC220" i="15"/>
  <c r="BC171" i="15"/>
  <c r="BC167" i="15"/>
  <c r="BC166" i="15"/>
  <c r="BC165" i="15"/>
  <c r="BC164" i="15"/>
  <c r="BC142" i="15"/>
  <c r="BC112" i="15"/>
  <c r="BC111" i="15"/>
  <c r="BC110" i="15"/>
  <c r="BC107" i="15"/>
  <c r="BC100" i="15"/>
  <c r="BC88" i="15"/>
  <c r="BC63" i="15"/>
  <c r="BC175" i="15" s="1"/>
  <c r="BC62" i="15"/>
  <c r="BC55" i="15"/>
  <c r="BC54" i="15"/>
  <c r="BC231" i="15" s="1"/>
  <c r="BC45" i="15"/>
  <c r="BC38" i="15"/>
  <c r="BC34" i="15"/>
  <c r="BC32" i="15"/>
  <c r="BC33" i="15"/>
  <c r="BC11" i="15"/>
  <c r="BC17" i="15" s="1"/>
  <c r="BF90" i="15" s="1"/>
  <c r="BC8" i="15"/>
  <c r="BC168" i="15" s="1"/>
  <c r="E260" i="17"/>
  <c r="H236" i="17"/>
  <c r="BB79" i="15"/>
  <c r="BF266" i="15" l="1"/>
  <c r="BF265" i="15"/>
  <c r="N325" i="15"/>
  <c r="O339" i="15"/>
  <c r="BC43" i="15"/>
  <c r="BC121" i="15"/>
  <c r="BC123" i="15"/>
  <c r="BD140" i="15"/>
  <c r="C208" i="17"/>
  <c r="C209" i="17" s="1"/>
  <c r="BC118" i="15"/>
  <c r="BC79" i="15"/>
  <c r="BC119" i="15"/>
  <c r="D230" i="17"/>
  <c r="D215" i="17"/>
  <c r="D248" i="17"/>
  <c r="D236" i="17"/>
  <c r="D229" i="17"/>
  <c r="N108" i="15"/>
  <c r="J237" i="17"/>
  <c r="D234" i="17"/>
  <c r="N90" i="15"/>
  <c r="N25" i="15"/>
  <c r="N46" i="15"/>
  <c r="N48" i="15" s="1"/>
  <c r="N35" i="15"/>
  <c r="N287" i="15"/>
  <c r="N306" i="15" s="1"/>
  <c r="N139" i="15"/>
  <c r="N37" i="15"/>
  <c r="N129" i="15"/>
  <c r="N145" i="15"/>
  <c r="N305" i="15"/>
  <c r="N97" i="15"/>
  <c r="N284" i="15" s="1"/>
  <c r="N178" i="15"/>
  <c r="N12" i="15"/>
  <c r="N181" i="15"/>
  <c r="BC122" i="15"/>
  <c r="BC124" i="15"/>
  <c r="BC232" i="15"/>
  <c r="BC173" i="15"/>
  <c r="BC46" i="15"/>
  <c r="BC48" i="15" s="1"/>
  <c r="BG49" i="15" s="1"/>
  <c r="BC25" i="15"/>
  <c r="BC35" i="15"/>
  <c r="BC12" i="15"/>
  <c r="BC234" i="15"/>
  <c r="BC172" i="15"/>
  <c r="C249" i="17"/>
  <c r="AX77" i="15"/>
  <c r="I263" i="17"/>
  <c r="C272" i="17"/>
  <c r="C270" i="17"/>
  <c r="C265" i="17"/>
  <c r="E296" i="17"/>
  <c r="H272" i="17"/>
  <c r="P286" i="15"/>
  <c r="P164" i="15"/>
  <c r="BB115" i="15"/>
  <c r="BB121" i="15" s="1"/>
  <c r="BB102" i="15"/>
  <c r="BB250" i="15"/>
  <c r="BB75" i="15"/>
  <c r="BB71" i="15"/>
  <c r="BB70" i="15"/>
  <c r="BB67" i="15"/>
  <c r="BB47" i="15"/>
  <c r="BB331" i="15"/>
  <c r="BB324" i="15"/>
  <c r="BB325" i="15" s="1"/>
  <c r="BB296" i="15"/>
  <c r="BB286" i="15"/>
  <c r="BB305" i="15" s="1"/>
  <c r="BB277" i="15"/>
  <c r="BB230" i="15"/>
  <c r="BE262" i="15" s="1"/>
  <c r="BB223" i="15"/>
  <c r="BF224" i="15" s="1"/>
  <c r="BB222" i="15"/>
  <c r="BB221" i="15"/>
  <c r="BB220" i="15"/>
  <c r="BB171" i="15"/>
  <c r="BB167" i="15"/>
  <c r="BB166" i="15"/>
  <c r="BB165" i="15"/>
  <c r="BB164" i="15"/>
  <c r="BB142" i="15"/>
  <c r="BB112" i="15"/>
  <c r="BB111" i="15"/>
  <c r="BB110" i="15"/>
  <c r="BB107" i="15"/>
  <c r="BB100" i="15"/>
  <c r="BB88" i="15"/>
  <c r="BB80" i="15"/>
  <c r="BB74" i="15"/>
  <c r="BB63" i="15"/>
  <c r="BB234" i="15" s="1"/>
  <c r="BB62" i="15"/>
  <c r="BB55" i="15"/>
  <c r="BB54" i="15"/>
  <c r="BB231" i="15" s="1"/>
  <c r="BB45" i="15"/>
  <c r="BB38" i="15"/>
  <c r="BB34" i="15"/>
  <c r="BB33" i="15"/>
  <c r="BB32" i="15"/>
  <c r="BB11" i="15"/>
  <c r="BB17" i="15" s="1"/>
  <c r="BE90" i="15" s="1"/>
  <c r="BB8" i="15"/>
  <c r="BB168" i="15" s="1"/>
  <c r="C306" i="17"/>
  <c r="BE266" i="15" l="1"/>
  <c r="BE265" i="15"/>
  <c r="N308" i="15"/>
  <c r="N52" i="15"/>
  <c r="O49" i="15"/>
  <c r="BC191" i="15"/>
  <c r="BD79" i="15"/>
  <c r="BB43" i="15"/>
  <c r="BC67" i="15"/>
  <c r="BC250" i="15"/>
  <c r="BD47" i="15"/>
  <c r="BD66" i="15"/>
  <c r="BC70" i="15"/>
  <c r="BD70" i="15" s="1"/>
  <c r="BC71" i="15"/>
  <c r="BC75" i="15"/>
  <c r="D199" i="17"/>
  <c r="BB182" i="15"/>
  <c r="N91" i="15"/>
  <c r="N50" i="15"/>
  <c r="N257" i="15"/>
  <c r="N198" i="15"/>
  <c r="N40" i="15"/>
  <c r="N39" i="15"/>
  <c r="N28" i="15"/>
  <c r="N96" i="15" s="1"/>
  <c r="N289" i="15"/>
  <c r="N156" i="15"/>
  <c r="N215" i="15" s="1"/>
  <c r="N140" i="15"/>
  <c r="N144" i="15"/>
  <c r="BB120" i="15"/>
  <c r="BB242" i="15"/>
  <c r="BC130" i="15"/>
  <c r="C231" i="17"/>
  <c r="D231" i="17" s="1"/>
  <c r="P124" i="15"/>
  <c r="P130" i="15" s="1"/>
  <c r="P129" i="15" s="1"/>
  <c r="BB237" i="15"/>
  <c r="BB192" i="15"/>
  <c r="BC80" i="15"/>
  <c r="BB177" i="15"/>
  <c r="BB241" i="15"/>
  <c r="BC40" i="15"/>
  <c r="BC39" i="15"/>
  <c r="BC28" i="15"/>
  <c r="BF96" i="15" s="1"/>
  <c r="BB183" i="15"/>
  <c r="BB118" i="15"/>
  <c r="BC52" i="15"/>
  <c r="BC50" i="15"/>
  <c r="BB243" i="15"/>
  <c r="BB123" i="15"/>
  <c r="BB179" i="15"/>
  <c r="BB246" i="15"/>
  <c r="BB245" i="15"/>
  <c r="BC74" i="15"/>
  <c r="BD74" i="15" s="1"/>
  <c r="D249" i="17"/>
  <c r="J273" i="17"/>
  <c r="P305" i="15"/>
  <c r="D272" i="17"/>
  <c r="D265" i="17"/>
  <c r="D266" i="17"/>
  <c r="D270" i="17"/>
  <c r="C284" i="17"/>
  <c r="D284" i="17" s="1"/>
  <c r="BB238" i="15"/>
  <c r="P107" i="15"/>
  <c r="BB187" i="15"/>
  <c r="P296" i="15"/>
  <c r="BB119" i="15"/>
  <c r="BB124" i="15"/>
  <c r="BB191" i="15"/>
  <c r="BB172" i="15"/>
  <c r="BB175" i="15"/>
  <c r="BB35" i="15"/>
  <c r="BB25" i="15"/>
  <c r="BB40" i="15" s="1"/>
  <c r="BB12" i="15"/>
  <c r="BB173" i="15"/>
  <c r="BB232" i="15"/>
  <c r="BB46" i="15"/>
  <c r="BB48" i="15" s="1"/>
  <c r="BF49" i="15" s="1"/>
  <c r="BB184" i="15"/>
  <c r="BB178" i="15"/>
  <c r="BB186" i="15"/>
  <c r="BB251" i="15"/>
  <c r="BB236" i="15"/>
  <c r="BB77" i="15"/>
  <c r="BE95" i="15" l="1"/>
  <c r="BE154" i="15" s="1"/>
  <c r="BE213" i="15" s="1"/>
  <c r="BG95" i="15"/>
  <c r="BD191" i="15"/>
  <c r="BF95" i="15"/>
  <c r="BD250" i="15"/>
  <c r="BD65" i="15"/>
  <c r="BD75" i="15"/>
  <c r="BD71" i="15"/>
  <c r="BD67" i="15"/>
  <c r="BB64" i="15"/>
  <c r="BB176" i="15" s="1"/>
  <c r="BD178" i="15"/>
  <c r="BD237" i="15"/>
  <c r="BG272" i="15" s="1"/>
  <c r="BD182" i="15"/>
  <c r="BD241" i="15"/>
  <c r="BD43" i="15"/>
  <c r="BD48" i="15"/>
  <c r="BD245" i="15"/>
  <c r="BD186" i="15"/>
  <c r="BD73" i="15"/>
  <c r="BD95" i="15"/>
  <c r="BD80" i="15"/>
  <c r="D203" i="17"/>
  <c r="D201" i="17"/>
  <c r="N256" i="15"/>
  <c r="N197" i="15"/>
  <c r="N92" i="15"/>
  <c r="N171" i="15"/>
  <c r="N173" i="15" s="1"/>
  <c r="N63" i="15"/>
  <c r="N55" i="15"/>
  <c r="BC129" i="15"/>
  <c r="BC145" i="15"/>
  <c r="BC287" i="15"/>
  <c r="BC306" i="15" s="1"/>
  <c r="BC308" i="15" s="1"/>
  <c r="BC139" i="15"/>
  <c r="P287" i="15"/>
  <c r="P306" i="15" s="1"/>
  <c r="P308" i="15" s="1"/>
  <c r="P145" i="15"/>
  <c r="P257" i="15" s="1"/>
  <c r="P139" i="15"/>
  <c r="BC238" i="15"/>
  <c r="BC179" i="15"/>
  <c r="BC183" i="15"/>
  <c r="BC242" i="15"/>
  <c r="BB130" i="15"/>
  <c r="BB287" i="15" s="1"/>
  <c r="BB306" i="15" s="1"/>
  <c r="BB308" i="15" s="1"/>
  <c r="C267" i="17"/>
  <c r="BC184" i="15"/>
  <c r="BC243" i="15"/>
  <c r="BC182" i="15"/>
  <c r="BC241" i="15"/>
  <c r="BC178" i="15"/>
  <c r="BC237" i="15"/>
  <c r="BC246" i="15"/>
  <c r="BC187" i="15"/>
  <c r="BC186" i="15"/>
  <c r="BC245" i="15"/>
  <c r="BC192" i="15"/>
  <c r="BC251" i="15"/>
  <c r="BC177" i="15"/>
  <c r="BC236" i="15"/>
  <c r="C285" i="17"/>
  <c r="BB50" i="15"/>
  <c r="BB52" i="15"/>
  <c r="P140" i="15"/>
  <c r="P289" i="15"/>
  <c r="P144" i="15"/>
  <c r="P156" i="15"/>
  <c r="P215" i="15" s="1"/>
  <c r="BB39" i="15"/>
  <c r="BB28" i="15"/>
  <c r="BE96" i="15" s="1"/>
  <c r="BF272" i="15" l="1"/>
  <c r="BE272" i="15"/>
  <c r="BG91" i="15"/>
  <c r="BH49" i="15"/>
  <c r="BD242" i="15"/>
  <c r="BE283" i="15"/>
  <c r="BE302" i="15" s="1"/>
  <c r="BD246" i="15"/>
  <c r="BG283" i="15"/>
  <c r="BG302" i="15" s="1"/>
  <c r="BG154" i="15"/>
  <c r="BG213" i="15" s="1"/>
  <c r="BD187" i="15"/>
  <c r="BB68" i="15"/>
  <c r="BD183" i="15"/>
  <c r="BD238" i="15"/>
  <c r="BD179" i="15"/>
  <c r="BD177" i="15"/>
  <c r="BF283" i="15"/>
  <c r="BF302" i="15" s="1"/>
  <c r="BF154" i="15"/>
  <c r="BF213" i="15" s="1"/>
  <c r="BE91" i="15"/>
  <c r="BF91" i="15"/>
  <c r="BD236" i="15"/>
  <c r="BB235" i="15"/>
  <c r="BC64" i="15"/>
  <c r="BC77" i="15"/>
  <c r="BB189" i="15"/>
  <c r="BB248" i="15"/>
  <c r="BD184" i="15"/>
  <c r="BD243" i="15"/>
  <c r="BD50" i="15"/>
  <c r="BD192" i="15"/>
  <c r="BD251" i="15"/>
  <c r="BD283" i="15"/>
  <c r="BD302" i="15" s="1"/>
  <c r="BD154" i="15"/>
  <c r="BD213" i="15" s="1"/>
  <c r="P198" i="15"/>
  <c r="N175" i="15"/>
  <c r="N68" i="15"/>
  <c r="N72" i="15" s="1"/>
  <c r="N279" i="15"/>
  <c r="N203" i="15"/>
  <c r="N154" i="15"/>
  <c r="N153" i="15"/>
  <c r="N148" i="15"/>
  <c r="N147" i="15"/>
  <c r="BB139" i="15"/>
  <c r="BB145" i="15"/>
  <c r="BB257" i="15" s="1"/>
  <c r="BB129" i="15"/>
  <c r="BC257" i="15"/>
  <c r="BC198" i="15"/>
  <c r="BC156" i="15"/>
  <c r="BC215" i="15" s="1"/>
  <c r="BC140" i="15"/>
  <c r="BC289" i="15"/>
  <c r="BC144" i="15"/>
  <c r="C269" i="17"/>
  <c r="D267" i="17"/>
  <c r="D233" i="17"/>
  <c r="C233" i="17"/>
  <c r="P197" i="15"/>
  <c r="P256" i="15"/>
  <c r="C301" i="17"/>
  <c r="C344" i="17"/>
  <c r="C342" i="17"/>
  <c r="I335" i="17"/>
  <c r="C308" i="17"/>
  <c r="I299" i="17"/>
  <c r="E332" i="17"/>
  <c r="H308" i="17"/>
  <c r="BA115" i="15"/>
  <c r="BA102" i="15"/>
  <c r="BA76" i="15"/>
  <c r="BA69" i="15"/>
  <c r="BA331" i="15"/>
  <c r="BA324" i="15"/>
  <c r="BA325" i="15" s="1"/>
  <c r="BA296" i="15"/>
  <c r="BA286" i="15"/>
  <c r="BA305" i="15" s="1"/>
  <c r="BA277" i="15"/>
  <c r="BA222" i="15"/>
  <c r="BA221" i="15"/>
  <c r="BA220" i="15"/>
  <c r="BA192" i="15"/>
  <c r="BA191" i="15"/>
  <c r="BA189" i="15"/>
  <c r="BA187" i="15"/>
  <c r="BA186" i="15"/>
  <c r="BA184" i="15"/>
  <c r="BA183" i="15"/>
  <c r="BA182" i="15"/>
  <c r="BA179" i="15"/>
  <c r="BA178" i="15"/>
  <c r="BA177" i="15"/>
  <c r="BA171" i="15"/>
  <c r="BA167" i="15"/>
  <c r="BA166" i="15"/>
  <c r="BA165" i="15"/>
  <c r="BA164" i="15"/>
  <c r="BA142" i="15"/>
  <c r="BA107" i="15"/>
  <c r="BA100" i="15"/>
  <c r="BA88" i="15"/>
  <c r="BA176" i="15"/>
  <c r="BA63" i="15"/>
  <c r="BA68" i="15" s="1"/>
  <c r="BA62" i="15"/>
  <c r="BA55" i="15"/>
  <c r="BA54" i="15"/>
  <c r="BA231" i="15" s="1"/>
  <c r="BA45" i="15"/>
  <c r="BA43" i="15"/>
  <c r="BA38" i="15"/>
  <c r="BA32" i="15"/>
  <c r="BA33" i="15"/>
  <c r="BA11" i="15"/>
  <c r="BA17" i="15" s="1"/>
  <c r="BD90" i="15" s="1"/>
  <c r="BA8" i="15"/>
  <c r="BA168" i="15" s="1"/>
  <c r="M178" i="15"/>
  <c r="AZ122" i="15"/>
  <c r="M176" i="15"/>
  <c r="M184" i="15"/>
  <c r="M71" i="15"/>
  <c r="M183" i="15" s="1"/>
  <c r="M69" i="15"/>
  <c r="M76" i="15"/>
  <c r="C337" i="17"/>
  <c r="E368" i="17"/>
  <c r="H344" i="17"/>
  <c r="AZ327" i="15"/>
  <c r="AZ329" i="15"/>
  <c r="AZ328" i="15"/>
  <c r="AZ322" i="15"/>
  <c r="AZ321" i="15"/>
  <c r="AZ320" i="15"/>
  <c r="AZ138" i="15"/>
  <c r="AZ127" i="15"/>
  <c r="AZ106" i="15"/>
  <c r="AZ105" i="15"/>
  <c r="AZ104" i="15"/>
  <c r="BA110" i="15" s="1"/>
  <c r="AZ103" i="15"/>
  <c r="AZ27" i="15"/>
  <c r="AZ26" i="15"/>
  <c r="AZ24" i="15"/>
  <c r="AZ23" i="15"/>
  <c r="AZ22" i="15"/>
  <c r="AZ21" i="15"/>
  <c r="AZ20" i="15"/>
  <c r="AZ19" i="15"/>
  <c r="AZ18" i="15"/>
  <c r="AZ16" i="15"/>
  <c r="AZ15" i="15"/>
  <c r="AZ14" i="15"/>
  <c r="AZ10" i="15"/>
  <c r="AZ7" i="15"/>
  <c r="BD8" i="15" s="1"/>
  <c r="BD168" i="15" s="1"/>
  <c r="M160" i="15"/>
  <c r="M115" i="15"/>
  <c r="M119" i="15" s="1"/>
  <c r="M102" i="15"/>
  <c r="AZ102" i="15" s="1"/>
  <c r="M331" i="15"/>
  <c r="M324" i="15"/>
  <c r="M325" i="15" s="1"/>
  <c r="M296" i="15"/>
  <c r="M286" i="15"/>
  <c r="M277" i="15"/>
  <c r="M220" i="15"/>
  <c r="M192" i="15"/>
  <c r="M191" i="15"/>
  <c r="M189" i="15"/>
  <c r="M187" i="15"/>
  <c r="M186" i="15"/>
  <c r="M182" i="15"/>
  <c r="M179" i="15"/>
  <c r="M167" i="15"/>
  <c r="M164" i="15"/>
  <c r="M142" i="15"/>
  <c r="M112" i="15"/>
  <c r="M111" i="15"/>
  <c r="M110" i="15"/>
  <c r="M107" i="15"/>
  <c r="M100" i="15"/>
  <c r="M89" i="15"/>
  <c r="M88" i="15"/>
  <c r="M177" i="15"/>
  <c r="M62" i="15"/>
  <c r="M45" i="15"/>
  <c r="M43" i="15"/>
  <c r="M38" i="15"/>
  <c r="M36" i="15"/>
  <c r="M34" i="15"/>
  <c r="M33" i="15"/>
  <c r="M32" i="15"/>
  <c r="M11" i="15"/>
  <c r="M12" i="15" s="1"/>
  <c r="M8" i="15"/>
  <c r="M168" i="15" s="1"/>
  <c r="AZ330" i="15"/>
  <c r="AZ323" i="15"/>
  <c r="AZ296" i="15"/>
  <c r="AZ277" i="15"/>
  <c r="AZ222" i="15"/>
  <c r="AZ221" i="15"/>
  <c r="AZ220" i="15"/>
  <c r="AZ166" i="15"/>
  <c r="AZ165" i="15"/>
  <c r="AZ164" i="15"/>
  <c r="AZ142" i="15"/>
  <c r="AZ100" i="15"/>
  <c r="AZ88" i="15"/>
  <c r="AZ62" i="15"/>
  <c r="AZ45" i="15"/>
  <c r="C383" i="17"/>
  <c r="C381" i="17"/>
  <c r="I374" i="17"/>
  <c r="J384" i="17" s="1"/>
  <c r="C376" i="17"/>
  <c r="E407" i="17"/>
  <c r="H383" i="17"/>
  <c r="L160" i="15"/>
  <c r="L161" i="15" s="1"/>
  <c r="AY8" i="15"/>
  <c r="AY168" i="15" s="1"/>
  <c r="AY115" i="15"/>
  <c r="AY124" i="15" s="1"/>
  <c r="AY130" i="15" s="1"/>
  <c r="AY139" i="15" s="1"/>
  <c r="AY102" i="15"/>
  <c r="AX63" i="15"/>
  <c r="AT63" i="15"/>
  <c r="AY47" i="15"/>
  <c r="AY13" i="15"/>
  <c r="AY331" i="15"/>
  <c r="AY324" i="15"/>
  <c r="AY325" i="15" s="1"/>
  <c r="AY296" i="15"/>
  <c r="AY286" i="15"/>
  <c r="AY305" i="15" s="1"/>
  <c r="AY277" i="15"/>
  <c r="AY230" i="15"/>
  <c r="AY223" i="15"/>
  <c r="BC224" i="15" s="1"/>
  <c r="AY222" i="15"/>
  <c r="AY221" i="15"/>
  <c r="AY220" i="15"/>
  <c r="AY171" i="15"/>
  <c r="AY167" i="15"/>
  <c r="AY166" i="15"/>
  <c r="AY165" i="15"/>
  <c r="AY164" i="15"/>
  <c r="AY142" i="15"/>
  <c r="AY112" i="15"/>
  <c r="AY111" i="15"/>
  <c r="AY110" i="15"/>
  <c r="AY107" i="15"/>
  <c r="AY100" i="15"/>
  <c r="AY88" i="15"/>
  <c r="AY63" i="15"/>
  <c r="AY234" i="15" s="1"/>
  <c r="AY62" i="15"/>
  <c r="AY55" i="15"/>
  <c r="AY54" i="15"/>
  <c r="AY172" i="15" s="1"/>
  <c r="AY45" i="15"/>
  <c r="AY38" i="15"/>
  <c r="AY34" i="15"/>
  <c r="AY32" i="15"/>
  <c r="AY11" i="15"/>
  <c r="AT77" i="15"/>
  <c r="AU77" i="15" s="1"/>
  <c r="AS76" i="15"/>
  <c r="AT76" i="15" s="1"/>
  <c r="AU76" i="15" s="1"/>
  <c r="AT75" i="15"/>
  <c r="AT73" i="15"/>
  <c r="AU73" i="15" s="1"/>
  <c r="AT71" i="15"/>
  <c r="AU71" i="15" s="1"/>
  <c r="AT70" i="15"/>
  <c r="AT67" i="15"/>
  <c r="AU67" i="15" s="1"/>
  <c r="AV67" i="15" s="1"/>
  <c r="AT66" i="15"/>
  <c r="AU66" i="15" s="1"/>
  <c r="E446" i="17"/>
  <c r="I413" i="17"/>
  <c r="D416" i="17" s="1"/>
  <c r="C422" i="17"/>
  <c r="C420" i="17"/>
  <c r="C415" i="17"/>
  <c r="H422" i="17"/>
  <c r="AX324" i="15"/>
  <c r="AX325" i="15" s="1"/>
  <c r="M137" i="15" l="1"/>
  <c r="M161" i="15"/>
  <c r="BB180" i="15"/>
  <c r="BA72" i="15"/>
  <c r="BB198" i="15"/>
  <c r="BB239" i="15"/>
  <c r="BD77" i="15"/>
  <c r="BC248" i="15"/>
  <c r="BC189" i="15"/>
  <c r="BC176" i="15"/>
  <c r="BC235" i="15"/>
  <c r="BC68" i="15"/>
  <c r="BD64" i="15"/>
  <c r="C239" i="17"/>
  <c r="C259" i="17"/>
  <c r="D259" i="17" s="1"/>
  <c r="C258" i="17"/>
  <c r="D258" i="17" s="1"/>
  <c r="C257" i="17"/>
  <c r="D257" i="17" s="1"/>
  <c r="C256" i="17"/>
  <c r="D256" i="17" s="1"/>
  <c r="C255" i="17"/>
  <c r="D255" i="17" s="1"/>
  <c r="C254" i="17"/>
  <c r="D254" i="17" s="1"/>
  <c r="BB76" i="15"/>
  <c r="BA241" i="15"/>
  <c r="N159" i="15"/>
  <c r="BD297" i="15"/>
  <c r="BD298" i="15"/>
  <c r="N206" i="15"/>
  <c r="N292" i="15"/>
  <c r="N212" i="15"/>
  <c r="N213" i="15"/>
  <c r="N281" i="15"/>
  <c r="N291" i="15"/>
  <c r="N207" i="15"/>
  <c r="N180" i="15"/>
  <c r="P324" i="15"/>
  <c r="P325" i="15" s="1"/>
  <c r="BB144" i="15"/>
  <c r="BB289" i="15"/>
  <c r="BB140" i="15"/>
  <c r="BB156" i="15"/>
  <c r="BB215" i="15" s="1"/>
  <c r="BC37" i="15"/>
  <c r="P37" i="15"/>
  <c r="BC256" i="15"/>
  <c r="BC197" i="15"/>
  <c r="D235" i="17"/>
  <c r="D237" i="17"/>
  <c r="C295" i="17"/>
  <c r="D295" i="17" s="1"/>
  <c r="C275" i="17"/>
  <c r="C290" i="17"/>
  <c r="D290" i="17" s="1"/>
  <c r="C291" i="17"/>
  <c r="D291" i="17" s="1"/>
  <c r="C294" i="17"/>
  <c r="D294" i="17" s="1"/>
  <c r="C293" i="17"/>
  <c r="D293" i="17" s="1"/>
  <c r="C271" i="17"/>
  <c r="C292" i="17"/>
  <c r="D292" i="17" s="1"/>
  <c r="C273" i="17"/>
  <c r="P36" i="15"/>
  <c r="BC36" i="15"/>
  <c r="P112" i="15"/>
  <c r="P110" i="15"/>
  <c r="P111" i="15"/>
  <c r="BC89" i="15"/>
  <c r="C237" i="17"/>
  <c r="C235" i="17"/>
  <c r="C242" i="17" s="1"/>
  <c r="J345" i="17"/>
  <c r="D269" i="17"/>
  <c r="D285" i="17"/>
  <c r="P32" i="15"/>
  <c r="P34" i="15"/>
  <c r="BB69" i="15"/>
  <c r="BB42" i="15" s="1"/>
  <c r="AY43" i="15"/>
  <c r="BB37" i="15"/>
  <c r="P331" i="15"/>
  <c r="P167" i="15"/>
  <c r="P89" i="15"/>
  <c r="P11" i="15"/>
  <c r="P38" i="15"/>
  <c r="BA36" i="15"/>
  <c r="BB36" i="15"/>
  <c r="BA188" i="15"/>
  <c r="BA89" i="15"/>
  <c r="BA278" i="15" s="1"/>
  <c r="BB89" i="15"/>
  <c r="D306" i="17"/>
  <c r="D344" i="17"/>
  <c r="BA242" i="15"/>
  <c r="J309" i="17"/>
  <c r="D342" i="17"/>
  <c r="BA247" i="15"/>
  <c r="D308" i="17"/>
  <c r="D337" i="17"/>
  <c r="D302" i="17"/>
  <c r="D338" i="17"/>
  <c r="AZ112" i="15"/>
  <c r="BA175" i="15"/>
  <c r="BA122" i="15"/>
  <c r="D301" i="17"/>
  <c r="BA112" i="15"/>
  <c r="BA111" i="15"/>
  <c r="C320" i="17"/>
  <c r="D320" i="17" s="1"/>
  <c r="BA251" i="15"/>
  <c r="BA235" i="15"/>
  <c r="BA234" i="15"/>
  <c r="BA243" i="15"/>
  <c r="BA250" i="15"/>
  <c r="BA120" i="15"/>
  <c r="BA121" i="15"/>
  <c r="BA123" i="15"/>
  <c r="BA124" i="15"/>
  <c r="BA119" i="15"/>
  <c r="BA173" i="15"/>
  <c r="BA35" i="15"/>
  <c r="BA25" i="15"/>
  <c r="BA46" i="15"/>
  <c r="BA48" i="15" s="1"/>
  <c r="BE49" i="15" s="1"/>
  <c r="BA180" i="15"/>
  <c r="BA239" i="15"/>
  <c r="BA172" i="15"/>
  <c r="BA236" i="15"/>
  <c r="BA223" i="15"/>
  <c r="BE224" i="15" s="1"/>
  <c r="BA237" i="15"/>
  <c r="BA245" i="15"/>
  <c r="BA42" i="15"/>
  <c r="BA238" i="15"/>
  <c r="BA12" i="15"/>
  <c r="BA230" i="15"/>
  <c r="BD262" i="15" s="1"/>
  <c r="BA240" i="15"/>
  <c r="BA248" i="15"/>
  <c r="BA181" i="15"/>
  <c r="BA246" i="15"/>
  <c r="M95" i="15"/>
  <c r="M283" i="15" s="1"/>
  <c r="AZ137" i="15"/>
  <c r="AZ286" i="15"/>
  <c r="AZ305" i="15" s="1"/>
  <c r="M17" i="15"/>
  <c r="M25" i="15" s="1"/>
  <c r="M40" i="15" s="1"/>
  <c r="AZ36" i="15"/>
  <c r="AZ324" i="15"/>
  <c r="AZ325" i="15" s="1"/>
  <c r="M121" i="15"/>
  <c r="AZ115" i="15"/>
  <c r="M120" i="15"/>
  <c r="M123" i="15"/>
  <c r="M118" i="15"/>
  <c r="AZ118" i="15" s="1"/>
  <c r="M124" i="15"/>
  <c r="M130" i="15" s="1"/>
  <c r="M287" i="15" s="1"/>
  <c r="M306" i="15" s="1"/>
  <c r="AZ331" i="15"/>
  <c r="C356" i="17"/>
  <c r="AY123" i="15"/>
  <c r="AY17" i="15"/>
  <c r="AZ107" i="15"/>
  <c r="M108" i="15"/>
  <c r="M305" i="15"/>
  <c r="M97" i="15"/>
  <c r="M284" i="15" s="1"/>
  <c r="M181" i="15"/>
  <c r="M188" i="15"/>
  <c r="M278" i="15"/>
  <c r="M42" i="15"/>
  <c r="D376" i="17"/>
  <c r="AY33" i="15"/>
  <c r="D377" i="17"/>
  <c r="AU70" i="15"/>
  <c r="AV70" i="15" s="1"/>
  <c r="AV182" i="15" s="1"/>
  <c r="AY120" i="15"/>
  <c r="AV77" i="15"/>
  <c r="AV189" i="15" s="1"/>
  <c r="AU75" i="15"/>
  <c r="AV75" i="15" s="1"/>
  <c r="AV187" i="15" s="1"/>
  <c r="AY121" i="15"/>
  <c r="D381" i="17"/>
  <c r="AY122" i="15"/>
  <c r="AZ167" i="15"/>
  <c r="AZ89" i="15"/>
  <c r="AZ278" i="15" s="1"/>
  <c r="AZ110" i="15"/>
  <c r="AZ11" i="15"/>
  <c r="AZ38" i="15"/>
  <c r="AZ111" i="15"/>
  <c r="AZ32" i="15"/>
  <c r="AZ34" i="15"/>
  <c r="AY173" i="15"/>
  <c r="AY118" i="15"/>
  <c r="J423" i="17"/>
  <c r="D420" i="17"/>
  <c r="AY119" i="15"/>
  <c r="C378" i="17"/>
  <c r="D378" i="17" s="1"/>
  <c r="D383" i="17"/>
  <c r="D422" i="17"/>
  <c r="C395" i="17"/>
  <c r="C434" i="17"/>
  <c r="D434" i="17" s="1"/>
  <c r="AY232" i="15"/>
  <c r="AY12" i="15"/>
  <c r="AY129" i="15"/>
  <c r="AY140" i="15" s="1"/>
  <c r="AY287" i="15"/>
  <c r="AY306" i="15" s="1"/>
  <c r="AY308" i="15" s="1"/>
  <c r="AY145" i="15"/>
  <c r="AY175" i="15"/>
  <c r="AY231" i="15"/>
  <c r="D415" i="17"/>
  <c r="AX115" i="15"/>
  <c r="AX121" i="15" s="1"/>
  <c r="L102" i="15"/>
  <c r="AX102" i="15"/>
  <c r="AX79" i="15"/>
  <c r="AW76" i="15"/>
  <c r="AX75" i="15"/>
  <c r="AX73" i="15"/>
  <c r="AX67" i="15"/>
  <c r="AX71" i="15"/>
  <c r="AX70" i="15"/>
  <c r="AX66" i="15"/>
  <c r="AX54" i="15"/>
  <c r="AX231" i="15" s="1"/>
  <c r="AX47" i="15"/>
  <c r="AX33" i="15"/>
  <c r="AX32" i="15"/>
  <c r="AX331" i="15"/>
  <c r="AX296" i="15"/>
  <c r="AX286" i="15"/>
  <c r="AX305" i="15" s="1"/>
  <c r="AX277" i="15"/>
  <c r="AX222" i="15"/>
  <c r="AX221" i="15"/>
  <c r="AX220" i="15"/>
  <c r="AX171" i="15"/>
  <c r="AX167" i="15"/>
  <c r="AX166" i="15"/>
  <c r="AX165" i="15"/>
  <c r="AX164" i="15"/>
  <c r="AX230" i="15"/>
  <c r="AX142" i="15"/>
  <c r="AX112" i="15"/>
  <c r="AX111" i="15"/>
  <c r="AX110" i="15"/>
  <c r="AX107" i="15"/>
  <c r="AX100" i="15"/>
  <c r="AX88" i="15"/>
  <c r="AX80" i="15"/>
  <c r="AX74" i="15"/>
  <c r="AX175" i="15"/>
  <c r="AX62" i="15"/>
  <c r="AX55" i="15"/>
  <c r="AX45" i="15"/>
  <c r="AX38" i="15"/>
  <c r="AX34" i="15"/>
  <c r="AX11" i="15"/>
  <c r="AX17" i="15" s="1"/>
  <c r="AX8" i="15"/>
  <c r="AX168" i="15" s="1"/>
  <c r="AW69" i="15"/>
  <c r="BB72" i="15" l="1"/>
  <c r="BD272" i="15"/>
  <c r="BD248" i="15"/>
  <c r="M308" i="15"/>
  <c r="BD189" i="15"/>
  <c r="BD68" i="15"/>
  <c r="BD235" i="15"/>
  <c r="BD176" i="15"/>
  <c r="BC239" i="15"/>
  <c r="BC180" i="15"/>
  <c r="BC76" i="15"/>
  <c r="BD266" i="15"/>
  <c r="BD265" i="15"/>
  <c r="BD311" i="15"/>
  <c r="BD310" i="15"/>
  <c r="BD300" i="15"/>
  <c r="BC69" i="15"/>
  <c r="BC72" i="15" s="1"/>
  <c r="C224" i="17"/>
  <c r="D224" i="17"/>
  <c r="BA52" i="15"/>
  <c r="BD91" i="15"/>
  <c r="BB197" i="15"/>
  <c r="BB256" i="15"/>
  <c r="BB240" i="15"/>
  <c r="C278" i="17"/>
  <c r="BC278" i="15"/>
  <c r="BC108" i="15"/>
  <c r="D260" i="17"/>
  <c r="C260" i="17"/>
  <c r="D273" i="17"/>
  <c r="D271" i="17"/>
  <c r="BB181" i="15"/>
  <c r="BA108" i="15"/>
  <c r="P278" i="15"/>
  <c r="P108" i="15"/>
  <c r="P12" i="15"/>
  <c r="BB278" i="15"/>
  <c r="BB108" i="15"/>
  <c r="BB188" i="15"/>
  <c r="BB247" i="15"/>
  <c r="AY46" i="15"/>
  <c r="AY48" i="15" s="1"/>
  <c r="BC49" i="15" s="1"/>
  <c r="C357" i="17"/>
  <c r="D356" i="17"/>
  <c r="D357" i="17" s="1"/>
  <c r="BA130" i="15"/>
  <c r="BA37" i="15" s="1"/>
  <c r="C339" i="17"/>
  <c r="D339" i="17" s="1"/>
  <c r="C303" i="17"/>
  <c r="C305" i="17" s="1"/>
  <c r="C321" i="17"/>
  <c r="D321" i="17"/>
  <c r="BA50" i="15"/>
  <c r="BA28" i="15"/>
  <c r="BD96" i="15" s="1"/>
  <c r="BA39" i="15"/>
  <c r="BA40" i="15"/>
  <c r="BA232" i="15"/>
  <c r="AY25" i="15"/>
  <c r="AY40" i="15" s="1"/>
  <c r="M37" i="15"/>
  <c r="M145" i="15"/>
  <c r="M257" i="15" s="1"/>
  <c r="M129" i="15"/>
  <c r="M144" i="15" s="1"/>
  <c r="M139" i="15"/>
  <c r="AZ124" i="15"/>
  <c r="AZ47" i="15"/>
  <c r="AX123" i="15"/>
  <c r="AY35" i="15"/>
  <c r="M90" i="15"/>
  <c r="M46" i="15"/>
  <c r="M48" i="15" s="1"/>
  <c r="M52" i="15" s="1"/>
  <c r="M28" i="15"/>
  <c r="M96" i="15" s="1"/>
  <c r="M35" i="15"/>
  <c r="M39" i="15"/>
  <c r="AY79" i="15"/>
  <c r="AX76" i="15"/>
  <c r="AX43" i="15"/>
  <c r="AX69" i="15"/>
  <c r="AX122" i="15"/>
  <c r="AZ12" i="15"/>
  <c r="AZ108" i="15"/>
  <c r="AX245" i="15"/>
  <c r="AY74" i="15"/>
  <c r="C380" i="17"/>
  <c r="AX173" i="15"/>
  <c r="AX237" i="15"/>
  <c r="AY66" i="15"/>
  <c r="AX182" i="15"/>
  <c r="AY70" i="15"/>
  <c r="AX191" i="15"/>
  <c r="AX236" i="15"/>
  <c r="AX183" i="15"/>
  <c r="AY71" i="15"/>
  <c r="AX184" i="15"/>
  <c r="AY73" i="15"/>
  <c r="AX119" i="15"/>
  <c r="AX246" i="15"/>
  <c r="AY75" i="15"/>
  <c r="AX192" i="15"/>
  <c r="AY80" i="15"/>
  <c r="AX238" i="15"/>
  <c r="AY67" i="15"/>
  <c r="AX248" i="15"/>
  <c r="AY77" i="15"/>
  <c r="C396" i="17"/>
  <c r="D395" i="17"/>
  <c r="D396" i="17" s="1"/>
  <c r="D380" i="17"/>
  <c r="D384" i="17" s="1"/>
  <c r="C435" i="17"/>
  <c r="AY198" i="15"/>
  <c r="AY257" i="15"/>
  <c r="AX120" i="15"/>
  <c r="AY156" i="15"/>
  <c r="AY215" i="15" s="1"/>
  <c r="AY289" i="15"/>
  <c r="AY144" i="15"/>
  <c r="AX52" i="15"/>
  <c r="AX189" i="15"/>
  <c r="AX172" i="15"/>
  <c r="AX35" i="15"/>
  <c r="AX46" i="15"/>
  <c r="AX48" i="15" s="1"/>
  <c r="AX12" i="15"/>
  <c r="AX177" i="15"/>
  <c r="AX241" i="15"/>
  <c r="AX25" i="15"/>
  <c r="AX124" i="15"/>
  <c r="AX178" i="15"/>
  <c r="AX186" i="15"/>
  <c r="AX234" i="15"/>
  <c r="AX242" i="15"/>
  <c r="AX250" i="15"/>
  <c r="AX179" i="15"/>
  <c r="AX187" i="15"/>
  <c r="AX243" i="15"/>
  <c r="AX251" i="15"/>
  <c r="AX223" i="15"/>
  <c r="BB224" i="15" s="1"/>
  <c r="BD69" i="15" l="1"/>
  <c r="BD97" i="15" s="1"/>
  <c r="BD76" i="15"/>
  <c r="BC247" i="15"/>
  <c r="BC188" i="15"/>
  <c r="BD239" i="15"/>
  <c r="BD180" i="15"/>
  <c r="BD52" i="15"/>
  <c r="N54" i="15"/>
  <c r="N49" i="15"/>
  <c r="AY50" i="15"/>
  <c r="BC240" i="15"/>
  <c r="BC42" i="15"/>
  <c r="BC181" i="15"/>
  <c r="AZ70" i="15"/>
  <c r="AZ65" i="15"/>
  <c r="AZ177" i="15" s="1"/>
  <c r="AZ73" i="15"/>
  <c r="AZ67" i="15"/>
  <c r="AZ71" i="15"/>
  <c r="AZ80" i="15"/>
  <c r="AZ192" i="15" s="1"/>
  <c r="AZ75" i="15"/>
  <c r="AZ74" i="15"/>
  <c r="AZ79" i="15"/>
  <c r="AZ43" i="15"/>
  <c r="P43" i="15"/>
  <c r="AZ66" i="15"/>
  <c r="BA95" i="15" s="1"/>
  <c r="BA283" i="15" s="1"/>
  <c r="AY52" i="15"/>
  <c r="C309" i="17"/>
  <c r="C330" i="17"/>
  <c r="C328" i="17"/>
  <c r="C331" i="17"/>
  <c r="C327" i="17"/>
  <c r="C326" i="17"/>
  <c r="C329" i="17"/>
  <c r="AX50" i="15"/>
  <c r="BB49" i="15"/>
  <c r="D303" i="17"/>
  <c r="D305" i="17" s="1"/>
  <c r="D309" i="17" s="1"/>
  <c r="AX181" i="15"/>
  <c r="AY76" i="15"/>
  <c r="BA287" i="15"/>
  <c r="BA306" i="15" s="1"/>
  <c r="BA308" i="15" s="1"/>
  <c r="AY28" i="15"/>
  <c r="BA139" i="15"/>
  <c r="BA145" i="15"/>
  <c r="BA257" i="15" s="1"/>
  <c r="BA129" i="15"/>
  <c r="BA289" i="15" s="1"/>
  <c r="C307" i="17"/>
  <c r="C311" i="17"/>
  <c r="AZ53" i="15"/>
  <c r="BD54" i="15" s="1"/>
  <c r="M63" i="15"/>
  <c r="M68" i="15" s="1"/>
  <c r="M72" i="15" s="1"/>
  <c r="AY39" i="15"/>
  <c r="M140" i="15"/>
  <c r="M289" i="15"/>
  <c r="M156" i="15"/>
  <c r="M215" i="15" s="1"/>
  <c r="M198" i="15"/>
  <c r="AY69" i="15"/>
  <c r="AX42" i="15"/>
  <c r="AZ130" i="15"/>
  <c r="AZ77" i="15"/>
  <c r="AX240" i="15"/>
  <c r="M91" i="15"/>
  <c r="M50" i="15"/>
  <c r="M256" i="15"/>
  <c r="M197" i="15"/>
  <c r="M92" i="15"/>
  <c r="M171" i="15"/>
  <c r="M173" i="15" s="1"/>
  <c r="M55" i="15"/>
  <c r="AY250" i="15"/>
  <c r="AY191" i="15"/>
  <c r="AY251" i="15"/>
  <c r="AY192" i="15"/>
  <c r="AY246" i="15"/>
  <c r="AY187" i="15"/>
  <c r="AY248" i="15"/>
  <c r="AY189" i="15"/>
  <c r="AY241" i="15"/>
  <c r="AY182" i="15"/>
  <c r="AY186" i="15"/>
  <c r="AY245" i="15"/>
  <c r="C406" i="17"/>
  <c r="C405" i="17"/>
  <c r="C404" i="17"/>
  <c r="C403" i="17"/>
  <c r="C402" i="17"/>
  <c r="D402" i="17" s="1"/>
  <c r="C401" i="17"/>
  <c r="C386" i="17"/>
  <c r="AY243" i="15"/>
  <c r="AY184" i="15"/>
  <c r="AY236" i="15"/>
  <c r="AY177" i="15"/>
  <c r="C382" i="17"/>
  <c r="AY238" i="15"/>
  <c r="AY179" i="15"/>
  <c r="AY178" i="15"/>
  <c r="AY237" i="15"/>
  <c r="C384" i="17"/>
  <c r="AY183" i="15"/>
  <c r="AY242" i="15"/>
  <c r="D382" i="17"/>
  <c r="AY197" i="15"/>
  <c r="AY256" i="15"/>
  <c r="AX232" i="15"/>
  <c r="AX130" i="15"/>
  <c r="AX139" i="15" s="1"/>
  <c r="C417" i="17"/>
  <c r="AX40" i="15"/>
  <c r="AX39" i="15"/>
  <c r="AX28" i="15"/>
  <c r="BD72" i="15" l="1"/>
  <c r="BD42" i="15"/>
  <c r="BD181" i="15"/>
  <c r="BD240" i="15"/>
  <c r="BG271" i="15" s="1"/>
  <c r="BE97" i="15"/>
  <c r="BE284" i="15" s="1"/>
  <c r="BE303" i="15" s="1"/>
  <c r="BF97" i="15"/>
  <c r="BF284" i="15" s="1"/>
  <c r="BF303" i="15" s="1"/>
  <c r="BG97" i="15"/>
  <c r="BD188" i="15"/>
  <c r="BD247" i="15"/>
  <c r="BD231" i="15"/>
  <c r="BD172" i="15"/>
  <c r="BD284" i="15"/>
  <c r="BD303" i="15" s="1"/>
  <c r="BD153" i="15"/>
  <c r="BD212" i="15" s="1"/>
  <c r="AZ184" i="15"/>
  <c r="N231" i="15"/>
  <c r="N172" i="15"/>
  <c r="AZ186" i="15"/>
  <c r="P186" i="15"/>
  <c r="AZ182" i="15"/>
  <c r="BC95" i="15"/>
  <c r="BC283" i="15" s="1"/>
  <c r="AZ95" i="15"/>
  <c r="AZ283" i="15" s="1"/>
  <c r="AZ187" i="15"/>
  <c r="P171" i="15"/>
  <c r="P173" i="15" s="1"/>
  <c r="BC92" i="15"/>
  <c r="C238" i="17" s="1"/>
  <c r="AZ178" i="15"/>
  <c r="BB95" i="15"/>
  <c r="BB283" i="15" s="1"/>
  <c r="D296" i="17"/>
  <c r="C296" i="17"/>
  <c r="AZ183" i="15"/>
  <c r="AZ191" i="15"/>
  <c r="P191" i="15"/>
  <c r="P179" i="15"/>
  <c r="P184" i="15"/>
  <c r="P177" i="15"/>
  <c r="P189" i="15"/>
  <c r="P192" i="15"/>
  <c r="AY188" i="15"/>
  <c r="P183" i="15"/>
  <c r="P187" i="15"/>
  <c r="P95" i="15"/>
  <c r="P283" i="15" s="1"/>
  <c r="P178" i="15"/>
  <c r="AZ92" i="15"/>
  <c r="AZ279" i="15" s="1"/>
  <c r="AZ281" i="15" s="1"/>
  <c r="BB92" i="15"/>
  <c r="AY181" i="15"/>
  <c r="BA156" i="15"/>
  <c r="BA215" i="15" s="1"/>
  <c r="AZ55" i="15"/>
  <c r="AY247" i="15"/>
  <c r="BA140" i="15"/>
  <c r="D307" i="17"/>
  <c r="AZ76" i="15"/>
  <c r="AZ171" i="15"/>
  <c r="AZ173" i="15" s="1"/>
  <c r="AZ63" i="15"/>
  <c r="AZ175" i="15" s="1"/>
  <c r="AY42" i="15"/>
  <c r="AZ69" i="15"/>
  <c r="BA144" i="15"/>
  <c r="BA197" i="15" s="1"/>
  <c r="BA198" i="15"/>
  <c r="AZ189" i="15"/>
  <c r="BA92" i="15"/>
  <c r="BA147" i="15" s="1"/>
  <c r="C314" i="17"/>
  <c r="AY240" i="15"/>
  <c r="D341" i="17"/>
  <c r="C341" i="17"/>
  <c r="AZ129" i="15"/>
  <c r="AZ287" i="15"/>
  <c r="AZ306" i="15" s="1"/>
  <c r="AZ308" i="15" s="1"/>
  <c r="AZ37" i="15"/>
  <c r="AZ139" i="15"/>
  <c r="AZ145" i="15"/>
  <c r="M175" i="15"/>
  <c r="M279" i="15"/>
  <c r="M203" i="15"/>
  <c r="M154" i="15"/>
  <c r="M153" i="15"/>
  <c r="M148" i="15"/>
  <c r="M147" i="15"/>
  <c r="AZ179" i="15"/>
  <c r="C389" i="17"/>
  <c r="AX145" i="15"/>
  <c r="AX257" i="15" s="1"/>
  <c r="D417" i="17"/>
  <c r="C419" i="17"/>
  <c r="AX129" i="15"/>
  <c r="AX144" i="15" s="1"/>
  <c r="AX287" i="15"/>
  <c r="AX306" i="15" s="1"/>
  <c r="AX308" i="15" s="1"/>
  <c r="AS192" i="15"/>
  <c r="AS187" i="15"/>
  <c r="AS189" i="15"/>
  <c r="AS182" i="15"/>
  <c r="AS183" i="15"/>
  <c r="AS184" i="15"/>
  <c r="AS177" i="15"/>
  <c r="AS178" i="15"/>
  <c r="AS179" i="15"/>
  <c r="AS79" i="15"/>
  <c r="AS74" i="15"/>
  <c r="AS69" i="15"/>
  <c r="AS64" i="15"/>
  <c r="AP112" i="15"/>
  <c r="AQ112" i="15"/>
  <c r="AT112" i="15"/>
  <c r="AU112" i="15"/>
  <c r="AP111" i="15"/>
  <c r="AQ111" i="15"/>
  <c r="AT111" i="15"/>
  <c r="AU111" i="15"/>
  <c r="AP110" i="15"/>
  <c r="AQ110" i="15"/>
  <c r="AT110" i="15"/>
  <c r="AU110" i="15"/>
  <c r="R112" i="15"/>
  <c r="S112" i="15"/>
  <c r="T112" i="15"/>
  <c r="U112" i="15"/>
  <c r="V112" i="15"/>
  <c r="W112" i="15"/>
  <c r="Z112" i="15"/>
  <c r="AA112" i="15"/>
  <c r="AC112" i="15"/>
  <c r="AD112" i="15"/>
  <c r="AE112" i="15"/>
  <c r="AH112" i="15"/>
  <c r="AI112" i="15"/>
  <c r="AL112" i="15"/>
  <c r="AM112" i="15"/>
  <c r="K111" i="15"/>
  <c r="L111" i="15"/>
  <c r="R111" i="15"/>
  <c r="S111" i="15"/>
  <c r="T111" i="15"/>
  <c r="U111" i="15"/>
  <c r="V111" i="15"/>
  <c r="W111" i="15"/>
  <c r="Y111" i="15"/>
  <c r="Z111" i="15"/>
  <c r="AA111" i="15"/>
  <c r="AC111" i="15"/>
  <c r="AD111" i="15"/>
  <c r="AE111" i="15"/>
  <c r="AH111" i="15"/>
  <c r="AI111" i="15"/>
  <c r="AL111" i="15"/>
  <c r="AM111" i="15"/>
  <c r="J111" i="15"/>
  <c r="K110" i="15"/>
  <c r="L110" i="15"/>
  <c r="R110" i="15"/>
  <c r="S110" i="15"/>
  <c r="T110" i="15"/>
  <c r="U110" i="15"/>
  <c r="V110" i="15"/>
  <c r="W110" i="15"/>
  <c r="Y110" i="15"/>
  <c r="Z110" i="15"/>
  <c r="AA110" i="15"/>
  <c r="AC110" i="15"/>
  <c r="AD110" i="15"/>
  <c r="AE110" i="15"/>
  <c r="AH110" i="15"/>
  <c r="AI110" i="15"/>
  <c r="AL110" i="15"/>
  <c r="AM110" i="15"/>
  <c r="J110" i="15"/>
  <c r="BE271" i="15" l="1"/>
  <c r="BF271" i="15"/>
  <c r="BD271" i="15"/>
  <c r="BF153" i="15"/>
  <c r="BF212" i="15" s="1"/>
  <c r="BE153" i="15"/>
  <c r="BE212" i="15" s="1"/>
  <c r="BG284" i="15"/>
  <c r="BG303" i="15" s="1"/>
  <c r="BG153" i="15"/>
  <c r="BG212" i="15" s="1"/>
  <c r="AZ154" i="15"/>
  <c r="AZ213" i="15" s="1"/>
  <c r="AZ181" i="15"/>
  <c r="AZ147" i="15"/>
  <c r="AZ206" i="15" s="1"/>
  <c r="AZ148" i="15"/>
  <c r="AZ207" i="15" s="1"/>
  <c r="AZ203" i="15"/>
  <c r="BA97" i="15"/>
  <c r="BA284" i="15" s="1"/>
  <c r="BC97" i="15"/>
  <c r="BC284" i="15" s="1"/>
  <c r="AZ42" i="15"/>
  <c r="BC279" i="15"/>
  <c r="BC203" i="15"/>
  <c r="BC154" i="15"/>
  <c r="BC148" i="15"/>
  <c r="BC147" i="15"/>
  <c r="P55" i="15"/>
  <c r="AZ97" i="15"/>
  <c r="AZ284" i="15" s="1"/>
  <c r="P63" i="15"/>
  <c r="P175" i="15" s="1"/>
  <c r="C274" i="17"/>
  <c r="P92" i="15"/>
  <c r="P154" i="15" s="1"/>
  <c r="BB97" i="15"/>
  <c r="BB284" i="15" s="1"/>
  <c r="P188" i="15"/>
  <c r="P182" i="15"/>
  <c r="P181" i="15"/>
  <c r="P42" i="15"/>
  <c r="P97" i="15"/>
  <c r="P284" i="15" s="1"/>
  <c r="BB279" i="15"/>
  <c r="BB203" i="15"/>
  <c r="BB154" i="15"/>
  <c r="BB148" i="15"/>
  <c r="BB147" i="15"/>
  <c r="AZ188" i="15"/>
  <c r="BA256" i="15"/>
  <c r="BA292" i="15"/>
  <c r="BA206" i="15"/>
  <c r="C346" i="17"/>
  <c r="E341" i="17" s="1"/>
  <c r="C310" i="17"/>
  <c r="BA203" i="15"/>
  <c r="BA154" i="15"/>
  <c r="BA279" i="15"/>
  <c r="BA148" i="15"/>
  <c r="D329" i="17"/>
  <c r="D328" i="17"/>
  <c r="D331" i="17"/>
  <c r="D327" i="17"/>
  <c r="D330" i="17"/>
  <c r="D326" i="17"/>
  <c r="AZ198" i="15"/>
  <c r="C347" i="17" s="1"/>
  <c r="AZ257" i="15"/>
  <c r="AZ156" i="15"/>
  <c r="AZ215" i="15" s="1"/>
  <c r="AZ140" i="15"/>
  <c r="AZ289" i="15"/>
  <c r="AZ144" i="15"/>
  <c r="C364" i="17"/>
  <c r="D364" i="17" s="1"/>
  <c r="C343" i="17"/>
  <c r="C350" i="17" s="1"/>
  <c r="C345" i="17"/>
  <c r="C362" i="17"/>
  <c r="D362" i="17" s="1"/>
  <c r="C365" i="17"/>
  <c r="D365" i="17" s="1"/>
  <c r="C363" i="17"/>
  <c r="D363" i="17" s="1"/>
  <c r="C367" i="17"/>
  <c r="D367" i="17" s="1"/>
  <c r="C366" i="17"/>
  <c r="D366" i="17" s="1"/>
  <c r="D345" i="17"/>
  <c r="D343" i="17"/>
  <c r="M213" i="15"/>
  <c r="M206" i="15"/>
  <c r="M292" i="15"/>
  <c r="M291" i="15"/>
  <c r="M207" i="15"/>
  <c r="M180" i="15"/>
  <c r="M281" i="15"/>
  <c r="M212" i="15"/>
  <c r="AX140" i="15"/>
  <c r="AX156" i="15"/>
  <c r="AX215" i="15" s="1"/>
  <c r="AX198" i="15"/>
  <c r="AS186" i="15"/>
  <c r="D404" i="17"/>
  <c r="D403" i="17"/>
  <c r="D406" i="17"/>
  <c r="D405" i="17"/>
  <c r="D401" i="17"/>
  <c r="AS191" i="15"/>
  <c r="AT79" i="15"/>
  <c r="AU79" i="15" s="1"/>
  <c r="AS181" i="15"/>
  <c r="AT69" i="15"/>
  <c r="C442" i="17"/>
  <c r="C441" i="17"/>
  <c r="C445" i="17"/>
  <c r="C443" i="17"/>
  <c r="C440" i="17"/>
  <c r="C425" i="17"/>
  <c r="C444" i="17"/>
  <c r="C421" i="17"/>
  <c r="C423" i="17"/>
  <c r="AX289" i="15"/>
  <c r="AS176" i="15"/>
  <c r="AT64" i="15"/>
  <c r="AU64" i="15" s="1"/>
  <c r="AS188" i="15"/>
  <c r="AX256" i="15"/>
  <c r="AX197" i="15"/>
  <c r="C454" i="17"/>
  <c r="AW335" i="15"/>
  <c r="AW181" i="15"/>
  <c r="AW182" i="15"/>
  <c r="AW183" i="15"/>
  <c r="AW184" i="15"/>
  <c r="AW186" i="15"/>
  <c r="AW187" i="15"/>
  <c r="AW189" i="15"/>
  <c r="AW191" i="15"/>
  <c r="AW192" i="15"/>
  <c r="AU177" i="15"/>
  <c r="AW177" i="15"/>
  <c r="AU178" i="15"/>
  <c r="AW178" i="15"/>
  <c r="AU179" i="15"/>
  <c r="AV179" i="15"/>
  <c r="AW179" i="15"/>
  <c r="AW160" i="15"/>
  <c r="AW115" i="15"/>
  <c r="AW123" i="15" s="1"/>
  <c r="AW64" i="15"/>
  <c r="AW52" i="15"/>
  <c r="AZ159" i="15" l="1"/>
  <c r="AW161" i="15"/>
  <c r="BA153" i="15"/>
  <c r="BA212" i="15" s="1"/>
  <c r="AZ291" i="15"/>
  <c r="AZ292" i="15"/>
  <c r="BB153" i="15"/>
  <c r="BB212" i="15" s="1"/>
  <c r="AZ153" i="15"/>
  <c r="AZ212" i="15" s="1"/>
  <c r="BC153" i="15"/>
  <c r="P203" i="15"/>
  <c r="P279" i="15"/>
  <c r="P281" i="15" s="1"/>
  <c r="P147" i="15"/>
  <c r="P292" i="15" s="1"/>
  <c r="P148" i="15"/>
  <c r="P291" i="15" s="1"/>
  <c r="BC213" i="15"/>
  <c r="BC298" i="15"/>
  <c r="BC281" i="15"/>
  <c r="E269" i="17"/>
  <c r="E271" i="17"/>
  <c r="C279" i="17"/>
  <c r="E233" i="17"/>
  <c r="E235" i="17"/>
  <c r="C243" i="17"/>
  <c r="BC206" i="15"/>
  <c r="BC292" i="15"/>
  <c r="BC303" i="15"/>
  <c r="BC297" i="15"/>
  <c r="BC302" i="15"/>
  <c r="BC291" i="15"/>
  <c r="BC207" i="15"/>
  <c r="P213" i="15"/>
  <c r="P153" i="15"/>
  <c r="BB303" i="15"/>
  <c r="BB291" i="15"/>
  <c r="BB207" i="15"/>
  <c r="BB213" i="15"/>
  <c r="BB298" i="15"/>
  <c r="BB281" i="15"/>
  <c r="BA303" i="15"/>
  <c r="BB297" i="15"/>
  <c r="BB302" i="15"/>
  <c r="BB206" i="15"/>
  <c r="BB292" i="15"/>
  <c r="BA207" i="15"/>
  <c r="BA291" i="15"/>
  <c r="E305" i="17"/>
  <c r="E307" i="17"/>
  <c r="BA281" i="15"/>
  <c r="BA298" i="15"/>
  <c r="C315" i="17"/>
  <c r="BA297" i="15"/>
  <c r="BA302" i="15"/>
  <c r="BA213" i="15"/>
  <c r="C332" i="17"/>
  <c r="D332" i="17"/>
  <c r="C351" i="17"/>
  <c r="AZ52" i="15"/>
  <c r="E343" i="17"/>
  <c r="AZ256" i="15"/>
  <c r="AZ197" i="15"/>
  <c r="C368" i="17"/>
  <c r="C370" i="17" s="1"/>
  <c r="D368" i="17"/>
  <c r="AZ230" i="15"/>
  <c r="AZ223" i="15"/>
  <c r="BD224" i="15" s="1"/>
  <c r="AZ234" i="15"/>
  <c r="AZ243" i="15"/>
  <c r="AZ247" i="15"/>
  <c r="AZ236" i="15"/>
  <c r="AZ250" i="15"/>
  <c r="AZ240" i="15"/>
  <c r="AZ242" i="15"/>
  <c r="AZ251" i="15"/>
  <c r="AZ246" i="15"/>
  <c r="AZ241" i="15"/>
  <c r="AZ245" i="15"/>
  <c r="AZ237" i="15"/>
  <c r="AZ248" i="15"/>
  <c r="AZ238" i="15"/>
  <c r="AX64" i="15"/>
  <c r="AV79" i="15"/>
  <c r="AU69" i="15"/>
  <c r="C407" i="17"/>
  <c r="C409" i="17" s="1"/>
  <c r="D407" i="17"/>
  <c r="C428" i="17"/>
  <c r="AW188" i="15"/>
  <c r="AW176" i="15"/>
  <c r="AW119" i="15"/>
  <c r="AW120" i="15"/>
  <c r="AW121" i="15"/>
  <c r="AW122" i="15"/>
  <c r="BC262" i="15" l="1"/>
  <c r="BC265" i="15" s="1"/>
  <c r="BB262" i="15"/>
  <c r="BB265" i="15" s="1"/>
  <c r="BA262" i="15"/>
  <c r="BA265" i="15" s="1"/>
  <c r="N248" i="15"/>
  <c r="N241" i="15"/>
  <c r="N243" i="15"/>
  <c r="N240" i="15"/>
  <c r="N242" i="15"/>
  <c r="N237" i="15"/>
  <c r="N236" i="15"/>
  <c r="N223" i="15"/>
  <c r="O224" i="15" s="1"/>
  <c r="N251" i="15"/>
  <c r="N297" i="15"/>
  <c r="N245" i="15"/>
  <c r="N238" i="15"/>
  <c r="N302" i="15"/>
  <c r="N250" i="15"/>
  <c r="N235" i="15"/>
  <c r="N246" i="15"/>
  <c r="N247" i="15"/>
  <c r="N303" i="15"/>
  <c r="N230" i="15"/>
  <c r="N234" i="15"/>
  <c r="N262" i="15" s="1"/>
  <c r="N239" i="15"/>
  <c r="N298" i="15"/>
  <c r="BC212" i="15"/>
  <c r="P298" i="15"/>
  <c r="P311" i="15" s="1"/>
  <c r="P206" i="15"/>
  <c r="P207" i="15"/>
  <c r="BC300" i="15"/>
  <c r="BC310" i="15"/>
  <c r="BC311" i="15"/>
  <c r="BC266" i="15"/>
  <c r="P212" i="15"/>
  <c r="P223" i="15"/>
  <c r="P297" i="15"/>
  <c r="P250" i="15"/>
  <c r="P242" i="15"/>
  <c r="P248" i="15"/>
  <c r="P251" i="15"/>
  <c r="P238" i="15"/>
  <c r="P246" i="15"/>
  <c r="P243" i="15"/>
  <c r="P245" i="15"/>
  <c r="P230" i="15"/>
  <c r="P237" i="15"/>
  <c r="P236" i="15"/>
  <c r="P302" i="15"/>
  <c r="P247" i="15"/>
  <c r="P241" i="15"/>
  <c r="P240" i="15"/>
  <c r="P234" i="15"/>
  <c r="P262" i="15" s="1"/>
  <c r="P303" i="15"/>
  <c r="BB300" i="15"/>
  <c r="BB310" i="15"/>
  <c r="BB311" i="15"/>
  <c r="AX235" i="15"/>
  <c r="BA300" i="15"/>
  <c r="BA310" i="15"/>
  <c r="BA311" i="15"/>
  <c r="AX68" i="15"/>
  <c r="AY64" i="15"/>
  <c r="AX176" i="15"/>
  <c r="AZ232" i="15"/>
  <c r="AV191" i="15"/>
  <c r="AX247" i="15"/>
  <c r="AX188" i="15"/>
  <c r="AS42" i="15"/>
  <c r="AS43" i="15"/>
  <c r="AW43" i="15"/>
  <c r="AW42" i="15"/>
  <c r="AW13" i="15"/>
  <c r="AW33" i="15" s="1"/>
  <c r="I452" i="17"/>
  <c r="C461" i="17"/>
  <c r="C459" i="17"/>
  <c r="C473" i="17" s="1"/>
  <c r="E485" i="17"/>
  <c r="H461" i="17"/>
  <c r="AW331" i="15"/>
  <c r="AW324" i="15"/>
  <c r="AW325" i="15" s="1"/>
  <c r="AW296" i="15"/>
  <c r="AW286" i="15"/>
  <c r="AW305" i="15" s="1"/>
  <c r="AW277" i="15"/>
  <c r="AW222" i="15"/>
  <c r="AW221" i="15"/>
  <c r="AW220" i="15"/>
  <c r="AW171" i="15"/>
  <c r="AW167" i="15"/>
  <c r="AW166" i="15"/>
  <c r="AW165" i="15"/>
  <c r="AW164" i="15"/>
  <c r="AW142" i="15"/>
  <c r="AW124" i="15"/>
  <c r="AW130" i="15" s="1"/>
  <c r="AW107" i="15"/>
  <c r="AW100" i="15"/>
  <c r="AW88" i="15"/>
  <c r="AW63" i="15"/>
  <c r="AW62" i="15"/>
  <c r="AW55" i="15"/>
  <c r="AW54" i="15"/>
  <c r="AW231" i="15" s="1"/>
  <c r="AW45" i="15"/>
  <c r="AW38" i="15"/>
  <c r="AW32" i="15"/>
  <c r="AW11" i="15"/>
  <c r="AW12" i="15" s="1"/>
  <c r="AW8" i="15"/>
  <c r="AW168" i="15" s="1"/>
  <c r="AX239" i="15" l="1"/>
  <c r="AX72" i="15"/>
  <c r="P272" i="15"/>
  <c r="P271" i="15"/>
  <c r="BA272" i="15"/>
  <c r="BA271" i="15"/>
  <c r="BA266" i="15"/>
  <c r="BB272" i="15"/>
  <c r="BB271" i="15"/>
  <c r="N272" i="15"/>
  <c r="N271" i="15"/>
  <c r="BB266" i="15"/>
  <c r="BC272" i="15"/>
  <c r="BC271" i="15"/>
  <c r="P310" i="15"/>
  <c r="N310" i="15"/>
  <c r="N311" i="15"/>
  <c r="N300" i="15"/>
  <c r="N266" i="15"/>
  <c r="N265" i="15"/>
  <c r="N232" i="15"/>
  <c r="P300" i="15"/>
  <c r="AY176" i="15"/>
  <c r="P266" i="15"/>
  <c r="P265" i="15"/>
  <c r="P232" i="15"/>
  <c r="AY68" i="15"/>
  <c r="AY235" i="15"/>
  <c r="AZ64" i="15"/>
  <c r="AX180" i="15"/>
  <c r="AZ13" i="15"/>
  <c r="D435" i="17"/>
  <c r="D461" i="17"/>
  <c r="D459" i="17"/>
  <c r="AW175" i="15"/>
  <c r="AW68" i="15"/>
  <c r="AW72" i="15" s="1"/>
  <c r="D473" i="17"/>
  <c r="J462" i="17"/>
  <c r="D454" i="17"/>
  <c r="C456" i="17"/>
  <c r="D456" i="17" s="1"/>
  <c r="D455" i="17"/>
  <c r="AW172" i="15"/>
  <c r="AW173" i="15"/>
  <c r="C474" i="17"/>
  <c r="AW139" i="15"/>
  <c r="AW145" i="15"/>
  <c r="AW257" i="15" s="1"/>
  <c r="AW129" i="15"/>
  <c r="AW287" i="15"/>
  <c r="AW306" i="15" s="1"/>
  <c r="AW308" i="15" s="1"/>
  <c r="AW17" i="15"/>
  <c r="AU283" i="15"/>
  <c r="L76" i="15"/>
  <c r="AV76" i="15" s="1"/>
  <c r="L73" i="15"/>
  <c r="AV73" i="15" s="1"/>
  <c r="L71" i="15"/>
  <c r="AV71" i="15" s="1"/>
  <c r="L69" i="15"/>
  <c r="AV69" i="15" s="1"/>
  <c r="L66" i="15"/>
  <c r="AV66" i="15" s="1"/>
  <c r="L65" i="15"/>
  <c r="AV65" i="15" s="1"/>
  <c r="L64" i="15"/>
  <c r="AV64" i="15" s="1"/>
  <c r="E523" i="17"/>
  <c r="E524" i="17" s="1"/>
  <c r="AY180" i="15" l="1"/>
  <c r="AY72" i="15"/>
  <c r="AZ176" i="15"/>
  <c r="AY239" i="15"/>
  <c r="AZ235" i="15"/>
  <c r="AZ68" i="15"/>
  <c r="AZ72" i="15" s="1"/>
  <c r="AZ17" i="15"/>
  <c r="AZ33" i="15"/>
  <c r="AY97" i="15"/>
  <c r="AY284" i="15" s="1"/>
  <c r="AV181" i="15"/>
  <c r="AW97" i="15"/>
  <c r="AW284" i="15" s="1"/>
  <c r="AV97" i="15"/>
  <c r="AV284" i="15" s="1"/>
  <c r="AX97" i="15"/>
  <c r="AX284" i="15" s="1"/>
  <c r="AV183" i="15"/>
  <c r="AY95" i="15"/>
  <c r="AY283" i="15" s="1"/>
  <c r="AW95" i="15"/>
  <c r="AW283" i="15" s="1"/>
  <c r="AX95" i="15"/>
  <c r="AX283" i="15" s="1"/>
  <c r="AV95" i="15"/>
  <c r="AV283" i="15" s="1"/>
  <c r="AV178" i="15"/>
  <c r="AV184" i="15"/>
  <c r="AV188" i="15"/>
  <c r="AV176" i="15"/>
  <c r="AV177" i="15"/>
  <c r="D419" i="17"/>
  <c r="AW180" i="15"/>
  <c r="C458" i="17"/>
  <c r="AW140" i="15"/>
  <c r="AW156" i="15"/>
  <c r="AW215" i="15" s="1"/>
  <c r="AW289" i="15"/>
  <c r="AW144" i="15"/>
  <c r="AW256" i="15" s="1"/>
  <c r="AW198" i="15"/>
  <c r="AW35" i="15"/>
  <c r="AW46" i="15"/>
  <c r="AW48" i="15" s="1"/>
  <c r="BA49" i="15" s="1"/>
  <c r="AW25" i="15"/>
  <c r="I491" i="17"/>
  <c r="C493" i="17"/>
  <c r="H500" i="17"/>
  <c r="AV328" i="15"/>
  <c r="AV327" i="15"/>
  <c r="AV321" i="15"/>
  <c r="AV320" i="15"/>
  <c r="AV138" i="15"/>
  <c r="BB90" i="15" l="1"/>
  <c r="BC90" i="15"/>
  <c r="P235" i="15"/>
  <c r="P176" i="15"/>
  <c r="P68" i="15"/>
  <c r="P72" i="15" s="1"/>
  <c r="P33" i="15"/>
  <c r="P17" i="15"/>
  <c r="P46" i="15" s="1"/>
  <c r="AZ90" i="15"/>
  <c r="BA90" i="15"/>
  <c r="AZ25" i="15"/>
  <c r="AZ28" i="15" s="1"/>
  <c r="BC96" i="15" s="1"/>
  <c r="AZ46" i="15"/>
  <c r="AZ48" i="15" s="1"/>
  <c r="AZ35" i="15"/>
  <c r="AZ239" i="15"/>
  <c r="AZ180" i="15"/>
  <c r="C462" i="17"/>
  <c r="D443" i="17"/>
  <c r="D442" i="17"/>
  <c r="D445" i="17"/>
  <c r="D441" i="17"/>
  <c r="D444" i="17"/>
  <c r="D440" i="17"/>
  <c r="D423" i="17"/>
  <c r="D421" i="17"/>
  <c r="C460" i="17"/>
  <c r="C467" i="17" s="1"/>
  <c r="C482" i="17"/>
  <c r="D482" i="17" s="1"/>
  <c r="C464" i="17"/>
  <c r="C481" i="17"/>
  <c r="D481" i="17" s="1"/>
  <c r="C480" i="17"/>
  <c r="D480" i="17" s="1"/>
  <c r="C479" i="17"/>
  <c r="D479" i="17" s="1"/>
  <c r="C484" i="17"/>
  <c r="D484" i="17" s="1"/>
  <c r="C483" i="17"/>
  <c r="D483" i="17" s="1"/>
  <c r="J501" i="17"/>
  <c r="D474" i="17"/>
  <c r="D458" i="17"/>
  <c r="AW28" i="15"/>
  <c r="AW40" i="15"/>
  <c r="AW39" i="15"/>
  <c r="AW197" i="15"/>
  <c r="AW50" i="15"/>
  <c r="C500" i="17"/>
  <c r="D500" i="17" s="1"/>
  <c r="D493" i="17"/>
  <c r="D494" i="17"/>
  <c r="AV127" i="15"/>
  <c r="AV118" i="15"/>
  <c r="AV105" i="15"/>
  <c r="AW111" i="15" s="1"/>
  <c r="AV104" i="15"/>
  <c r="AW110" i="15" s="1"/>
  <c r="AV103" i="15"/>
  <c r="AV102" i="15"/>
  <c r="AP331" i="15"/>
  <c r="AR330" i="15"/>
  <c r="AR329" i="15"/>
  <c r="AR328" i="15"/>
  <c r="AR327" i="15"/>
  <c r="AP324" i="15"/>
  <c r="AP325" i="15" s="1"/>
  <c r="AR323" i="15"/>
  <c r="AR322" i="15"/>
  <c r="AR321" i="15"/>
  <c r="AR320" i="15"/>
  <c r="AP296" i="15"/>
  <c r="AP286" i="15"/>
  <c r="AP277" i="15"/>
  <c r="AP222" i="15"/>
  <c r="AP221" i="15"/>
  <c r="AP220" i="15"/>
  <c r="AP171" i="15"/>
  <c r="AP167" i="15"/>
  <c r="AP166" i="15"/>
  <c r="AP165" i="15"/>
  <c r="AP164" i="15"/>
  <c r="AP142" i="15"/>
  <c r="AP107" i="15"/>
  <c r="AP100" i="15"/>
  <c r="AP88" i="15"/>
  <c r="AP63" i="15"/>
  <c r="AP62" i="15"/>
  <c r="AP55" i="15"/>
  <c r="AT54" i="15"/>
  <c r="AP45" i="15"/>
  <c r="AP38" i="15"/>
  <c r="AP34" i="15"/>
  <c r="AP33" i="15"/>
  <c r="AP32" i="15"/>
  <c r="AR27" i="15"/>
  <c r="AR26" i="15"/>
  <c r="AR24" i="15"/>
  <c r="AR23" i="15"/>
  <c r="AR22" i="15"/>
  <c r="AR21" i="15"/>
  <c r="AR20" i="15"/>
  <c r="AR19" i="15"/>
  <c r="AR18" i="15"/>
  <c r="AS36" i="15" s="1"/>
  <c r="AR15" i="15"/>
  <c r="AR14" i="15"/>
  <c r="AR13" i="15"/>
  <c r="AP11" i="15"/>
  <c r="AP17" i="15" s="1"/>
  <c r="AR10" i="15"/>
  <c r="AT8" i="15"/>
  <c r="AP8" i="15"/>
  <c r="AP168" i="15" s="1"/>
  <c r="AR7" i="15"/>
  <c r="AV27" i="15"/>
  <c r="AV26" i="15"/>
  <c r="AV24" i="15"/>
  <c r="AV23" i="15"/>
  <c r="AV22" i="15"/>
  <c r="AV21" i="15"/>
  <c r="AV20" i="15"/>
  <c r="AV19" i="15"/>
  <c r="AV18" i="15"/>
  <c r="AV16" i="15"/>
  <c r="AV15" i="15"/>
  <c r="AV14" i="15"/>
  <c r="AV13" i="15"/>
  <c r="C741" i="17"/>
  <c r="C739" i="17"/>
  <c r="AV10" i="15"/>
  <c r="AV7" i="15"/>
  <c r="AV330" i="15"/>
  <c r="AV329" i="15"/>
  <c r="AV323" i="15"/>
  <c r="AV322" i="15"/>
  <c r="AV296" i="15"/>
  <c r="AV277" i="15"/>
  <c r="AV222" i="15"/>
  <c r="AV221" i="15"/>
  <c r="AV220" i="15"/>
  <c r="AV166" i="15"/>
  <c r="AV165" i="15"/>
  <c r="AV164" i="15"/>
  <c r="AV142" i="15"/>
  <c r="AV100" i="15"/>
  <c r="AV88" i="15"/>
  <c r="AV62" i="15"/>
  <c r="AV45" i="15"/>
  <c r="AV106" i="15"/>
  <c r="AW112" i="15" s="1"/>
  <c r="BC91" i="15" l="1"/>
  <c r="BD49" i="15"/>
  <c r="AZ40" i="15"/>
  <c r="P25" i="15"/>
  <c r="P48" i="15"/>
  <c r="P52" i="15" s="1"/>
  <c r="P35" i="15"/>
  <c r="P90" i="15"/>
  <c r="P180" i="15"/>
  <c r="P239" i="15"/>
  <c r="AZ39" i="15"/>
  <c r="BA91" i="15"/>
  <c r="BB91" i="15"/>
  <c r="BA96" i="15"/>
  <c r="BB96" i="15"/>
  <c r="AZ50" i="15"/>
  <c r="AZ91" i="15"/>
  <c r="AZ8" i="15"/>
  <c r="AZ168" i="15" s="1"/>
  <c r="AZ96" i="15"/>
  <c r="AY89" i="15"/>
  <c r="AX37" i="15"/>
  <c r="AY37" i="15"/>
  <c r="AX36" i="15"/>
  <c r="AY36" i="15"/>
  <c r="C446" i="17"/>
  <c r="C448" i="17" s="1"/>
  <c r="D446" i="17"/>
  <c r="AX89" i="15"/>
  <c r="AV111" i="15"/>
  <c r="AV110" i="15"/>
  <c r="AV112" i="15"/>
  <c r="AW89" i="15"/>
  <c r="AW37" i="15"/>
  <c r="AW36" i="15"/>
  <c r="D460" i="17"/>
  <c r="D462" i="17"/>
  <c r="C498" i="17"/>
  <c r="AS89" i="15"/>
  <c r="AV286" i="15"/>
  <c r="AV305" i="15" s="1"/>
  <c r="AP12" i="15"/>
  <c r="AV107" i="15"/>
  <c r="AV36" i="15"/>
  <c r="AP173" i="15"/>
  <c r="AP46" i="15"/>
  <c r="AP35" i="15"/>
  <c r="AP25" i="15"/>
  <c r="AP175" i="15"/>
  <c r="L115" i="15"/>
  <c r="P91" i="15" l="1"/>
  <c r="P50" i="15"/>
  <c r="P39" i="15"/>
  <c r="P28" i="15"/>
  <c r="P96" i="15" s="1"/>
  <c r="P40" i="15"/>
  <c r="AV115" i="15"/>
  <c r="AZ121" i="15"/>
  <c r="AZ120" i="15"/>
  <c r="AZ119" i="15"/>
  <c r="AZ123" i="15"/>
  <c r="AY278" i="15"/>
  <c r="AY108" i="15"/>
  <c r="AX278" i="15"/>
  <c r="AX108" i="15"/>
  <c r="AW278" i="15"/>
  <c r="AW108" i="15"/>
  <c r="D498" i="17"/>
  <c r="C512" i="17"/>
  <c r="AP39" i="15"/>
  <c r="AP28" i="15"/>
  <c r="AP40" i="15"/>
  <c r="L123" i="15"/>
  <c r="AV123" i="15" s="1"/>
  <c r="L122" i="15"/>
  <c r="AV122" i="15" s="1"/>
  <c r="L121" i="15"/>
  <c r="AV121" i="15" s="1"/>
  <c r="L119" i="15"/>
  <c r="AV119" i="15" s="1"/>
  <c r="L124" i="15"/>
  <c r="L120" i="15"/>
  <c r="AV120" i="15" s="1"/>
  <c r="AV124" i="15" l="1"/>
  <c r="C495" i="17" s="1"/>
  <c r="D512" i="17"/>
  <c r="C513" i="17"/>
  <c r="AV130" i="15" l="1"/>
  <c r="AV139" i="15" s="1"/>
  <c r="D495" i="17"/>
  <c r="C497" i="17"/>
  <c r="AV287" i="15" l="1"/>
  <c r="AV306" i="15" s="1"/>
  <c r="AV308" i="15" s="1"/>
  <c r="AV37" i="15"/>
  <c r="AV129" i="15"/>
  <c r="AV289" i="15" s="1"/>
  <c r="AV145" i="15"/>
  <c r="AV257" i="15" s="1"/>
  <c r="AV198" i="15"/>
  <c r="C518" i="17"/>
  <c r="D518" i="17" s="1"/>
  <c r="C520" i="17"/>
  <c r="D520" i="17" s="1"/>
  <c r="C519" i="17"/>
  <c r="D519" i="17" s="1"/>
  <c r="C522" i="17"/>
  <c r="D522" i="17" s="1"/>
  <c r="C521" i="17"/>
  <c r="D521" i="17" s="1"/>
  <c r="C523" i="17"/>
  <c r="D523" i="17" s="1"/>
  <c r="C501" i="17"/>
  <c r="C499" i="17"/>
  <c r="AV156" i="15" l="1"/>
  <c r="AV215" i="15" s="1"/>
  <c r="AV144" i="15"/>
  <c r="AV256" i="15" s="1"/>
  <c r="D485" i="17"/>
  <c r="C485" i="17"/>
  <c r="C487" i="17" s="1"/>
  <c r="L52" i="15"/>
  <c r="L331" i="15"/>
  <c r="L324" i="15"/>
  <c r="L325" i="15" s="1"/>
  <c r="L296" i="15"/>
  <c r="L286" i="15"/>
  <c r="L277" i="15"/>
  <c r="L220" i="15"/>
  <c r="L192" i="15"/>
  <c r="L191" i="15"/>
  <c r="L189" i="15"/>
  <c r="L187" i="15"/>
  <c r="L186" i="15"/>
  <c r="L183" i="15"/>
  <c r="L182" i="15"/>
  <c r="L179" i="15"/>
  <c r="L167" i="15"/>
  <c r="L164" i="15"/>
  <c r="L142" i="15"/>
  <c r="L130" i="15"/>
  <c r="L107" i="15"/>
  <c r="L100" i="15"/>
  <c r="L89" i="15"/>
  <c r="L278" i="15" s="1"/>
  <c r="L88" i="15"/>
  <c r="L184" i="15"/>
  <c r="L42" i="15"/>
  <c r="L178" i="15"/>
  <c r="L177" i="15"/>
  <c r="L62" i="15"/>
  <c r="L45" i="15"/>
  <c r="L43" i="15"/>
  <c r="L38" i="15"/>
  <c r="L36" i="15"/>
  <c r="L34" i="15"/>
  <c r="L33" i="15"/>
  <c r="L32" i="15"/>
  <c r="L11" i="15"/>
  <c r="L12" i="15" s="1"/>
  <c r="L8" i="15"/>
  <c r="L168" i="15" s="1"/>
  <c r="AU63" i="15"/>
  <c r="AU68" i="15" s="1"/>
  <c r="AU72" i="15" s="1"/>
  <c r="AV197" i="15" l="1"/>
  <c r="L17" i="15"/>
  <c r="L46" i="15" s="1"/>
  <c r="L48" i="15" s="1"/>
  <c r="L108" i="15"/>
  <c r="L139" i="15"/>
  <c r="L287" i="15"/>
  <c r="L129" i="15"/>
  <c r="L145" i="15"/>
  <c r="L37" i="15"/>
  <c r="L176" i="15"/>
  <c r="L95" i="15"/>
  <c r="L283" i="15" s="1"/>
  <c r="L188" i="15"/>
  <c r="L181" i="15"/>
  <c r="L97" i="15"/>
  <c r="L284" i="15" s="1"/>
  <c r="E562" i="17"/>
  <c r="E563" i="17" s="1"/>
  <c r="I530" i="17"/>
  <c r="C539" i="17"/>
  <c r="C537" i="17"/>
  <c r="C551" i="17" s="1"/>
  <c r="C532" i="17"/>
  <c r="AU230" i="15"/>
  <c r="AU223" i="15"/>
  <c r="AU115" i="15"/>
  <c r="AU120" i="15" s="1"/>
  <c r="AU102" i="15"/>
  <c r="AU47" i="15"/>
  <c r="L91" i="15" l="1"/>
  <c r="M49" i="15"/>
  <c r="AY224" i="15"/>
  <c r="AU52" i="15"/>
  <c r="L90" i="15"/>
  <c r="D533" i="17"/>
  <c r="D513" i="17"/>
  <c r="D497" i="17"/>
  <c r="L35" i="15"/>
  <c r="L50" i="15"/>
  <c r="D551" i="17"/>
  <c r="D552" i="17" s="1"/>
  <c r="L53" i="15"/>
  <c r="M54" i="15" s="1"/>
  <c r="L25" i="15"/>
  <c r="L28" i="15" s="1"/>
  <c r="L96" i="15" s="1"/>
  <c r="L198" i="15"/>
  <c r="C503" i="17" s="1"/>
  <c r="L289" i="15"/>
  <c r="L156" i="15"/>
  <c r="L215" i="15" s="1"/>
  <c r="L144" i="15"/>
  <c r="AU122" i="15"/>
  <c r="AU121" i="15"/>
  <c r="AU123" i="15"/>
  <c r="D532" i="17"/>
  <c r="D539" i="17"/>
  <c r="J540" i="17"/>
  <c r="D537" i="17"/>
  <c r="C552" i="17"/>
  <c r="AU331" i="15"/>
  <c r="AU324" i="15"/>
  <c r="AU325" i="15" s="1"/>
  <c r="AU296" i="15"/>
  <c r="AU286" i="15"/>
  <c r="AU305" i="15" s="1"/>
  <c r="AU285" i="15"/>
  <c r="AU284" i="15"/>
  <c r="AU277" i="15"/>
  <c r="AU222" i="15"/>
  <c r="AU221" i="15"/>
  <c r="AU220" i="15"/>
  <c r="AU171" i="15"/>
  <c r="AU167" i="15"/>
  <c r="AU166" i="15"/>
  <c r="AU165" i="15"/>
  <c r="AU164" i="15"/>
  <c r="AU142" i="15"/>
  <c r="AU124" i="15"/>
  <c r="AU107" i="15"/>
  <c r="AU100" i="15"/>
  <c r="AU88" i="15"/>
  <c r="AU248" i="15"/>
  <c r="AU240" i="15"/>
  <c r="AU238" i="15"/>
  <c r="AU62" i="15"/>
  <c r="AU55" i="15"/>
  <c r="AU54" i="15"/>
  <c r="AU231" i="15" s="1"/>
  <c r="AU43" i="15"/>
  <c r="AU45" i="15"/>
  <c r="AU38" i="15"/>
  <c r="AU34" i="15"/>
  <c r="AU33" i="15"/>
  <c r="AU32" i="15"/>
  <c r="AU11" i="15"/>
  <c r="AU17" i="15" s="1"/>
  <c r="AU8" i="15"/>
  <c r="AU168" i="15" s="1"/>
  <c r="AT175" i="15"/>
  <c r="E599" i="17"/>
  <c r="E600" i="17" s="1"/>
  <c r="C569" i="17"/>
  <c r="C576" i="17"/>
  <c r="C574" i="17"/>
  <c r="AT159" i="15"/>
  <c r="AT254" i="15" s="1"/>
  <c r="AT160" i="15"/>
  <c r="AT115" i="15"/>
  <c r="AT124" i="15" s="1"/>
  <c r="AT102" i="15"/>
  <c r="AT191" i="15"/>
  <c r="AT189" i="15"/>
  <c r="AU246" i="15"/>
  <c r="AT184" i="15"/>
  <c r="AT182" i="15"/>
  <c r="AT179" i="15"/>
  <c r="AU237" i="15"/>
  <c r="AT177" i="15"/>
  <c r="AT47" i="15"/>
  <c r="AT331" i="15"/>
  <c r="AT324" i="15"/>
  <c r="AT325" i="15" s="1"/>
  <c r="AT296" i="15"/>
  <c r="AT286" i="15"/>
  <c r="AT277" i="15"/>
  <c r="AT222" i="15"/>
  <c r="AT221" i="15"/>
  <c r="AT220" i="15"/>
  <c r="AT171" i="15"/>
  <c r="AT167" i="15"/>
  <c r="AT166" i="15"/>
  <c r="AT165" i="15"/>
  <c r="AT164" i="15"/>
  <c r="AT142" i="15"/>
  <c r="AT107" i="15"/>
  <c r="AT100" i="15"/>
  <c r="AT88" i="15"/>
  <c r="AT80" i="15"/>
  <c r="AT74" i="15"/>
  <c r="AT62" i="15"/>
  <c r="AT55" i="15"/>
  <c r="AT172" i="15"/>
  <c r="AT45" i="15"/>
  <c r="AT38" i="15"/>
  <c r="AT34" i="15"/>
  <c r="AT33" i="15"/>
  <c r="AT32" i="15"/>
  <c r="AT11" i="15"/>
  <c r="AT12" i="15" s="1"/>
  <c r="AT168" i="15"/>
  <c r="BM331" i="15"/>
  <c r="BL331" i="15"/>
  <c r="AS331" i="15"/>
  <c r="AQ331" i="15"/>
  <c r="AO331" i="15"/>
  <c r="AM331" i="15"/>
  <c r="AL331" i="15"/>
  <c r="AK331" i="15"/>
  <c r="AI331" i="15"/>
  <c r="AH331" i="15"/>
  <c r="AG331" i="15"/>
  <c r="AE331" i="15"/>
  <c r="AD331" i="15"/>
  <c r="AC331" i="15"/>
  <c r="K331" i="15"/>
  <c r="J331" i="15"/>
  <c r="I331" i="15"/>
  <c r="H331" i="15"/>
  <c r="G331" i="15"/>
  <c r="AN330" i="15"/>
  <c r="AJ330" i="15"/>
  <c r="AF330" i="15"/>
  <c r="AB330" i="15"/>
  <c r="X330" i="15"/>
  <c r="AN329" i="15"/>
  <c r="AJ329" i="15"/>
  <c r="AF329" i="15"/>
  <c r="AB329" i="15"/>
  <c r="X329" i="15"/>
  <c r="AN328" i="15"/>
  <c r="AJ328" i="15"/>
  <c r="AF328" i="15"/>
  <c r="AA328" i="15"/>
  <c r="AA331" i="15" s="1"/>
  <c r="Z328" i="15"/>
  <c r="Z331" i="15" s="1"/>
  <c r="Y328" i="15"/>
  <c r="W328" i="15"/>
  <c r="W331" i="15" s="1"/>
  <c r="V328" i="15"/>
  <c r="V331" i="15" s="1"/>
  <c r="U328" i="15"/>
  <c r="U331" i="15" s="1"/>
  <c r="F328" i="15"/>
  <c r="F331" i="15" s="1"/>
  <c r="E328" i="15"/>
  <c r="E331" i="15" s="1"/>
  <c r="D328" i="15"/>
  <c r="D331" i="15" s="1"/>
  <c r="C328" i="15"/>
  <c r="C331" i="15" s="1"/>
  <c r="AN327" i="15"/>
  <c r="AJ327" i="15"/>
  <c r="AF327" i="15"/>
  <c r="AB327" i="15"/>
  <c r="X327" i="15"/>
  <c r="BM324" i="15"/>
  <c r="BM325" i="15" s="1"/>
  <c r="BL324" i="15"/>
  <c r="BL325" i="15" s="1"/>
  <c r="AS324" i="15"/>
  <c r="AS325" i="15" s="1"/>
  <c r="AQ324" i="15"/>
  <c r="AQ325" i="15" s="1"/>
  <c r="AO324" i="15"/>
  <c r="AO325" i="15" s="1"/>
  <c r="AM324" i="15"/>
  <c r="AM325" i="15" s="1"/>
  <c r="AL324" i="15"/>
  <c r="AL325" i="15" s="1"/>
  <c r="AK324" i="15"/>
  <c r="AK325" i="15" s="1"/>
  <c r="AI324" i="15"/>
  <c r="AI325" i="15" s="1"/>
  <c r="AH324" i="15"/>
  <c r="AH325" i="15" s="1"/>
  <c r="AG324" i="15"/>
  <c r="AG325" i="15" s="1"/>
  <c r="AE324" i="15"/>
  <c r="AE325" i="15" s="1"/>
  <c r="AD324" i="15"/>
  <c r="AD325" i="15" s="1"/>
  <c r="AC324" i="15"/>
  <c r="AC325" i="15" s="1"/>
  <c r="K324" i="15"/>
  <c r="K325" i="15" s="1"/>
  <c r="J324" i="15"/>
  <c r="J325" i="15" s="1"/>
  <c r="I324" i="15"/>
  <c r="I325" i="15" s="1"/>
  <c r="H324" i="15"/>
  <c r="H325" i="15" s="1"/>
  <c r="E324" i="15"/>
  <c r="E325" i="15" s="1"/>
  <c r="D324" i="15"/>
  <c r="D325" i="15" s="1"/>
  <c r="C324" i="15"/>
  <c r="C325" i="15" s="1"/>
  <c r="AN323" i="15"/>
  <c r="AJ323" i="15"/>
  <c r="AF323" i="15"/>
  <c r="AB323" i="15"/>
  <c r="X323" i="15"/>
  <c r="AN322" i="15"/>
  <c r="AJ322" i="15"/>
  <c r="AF322" i="15"/>
  <c r="AB322" i="15"/>
  <c r="X322" i="15"/>
  <c r="AN321" i="15"/>
  <c r="AJ321" i="15"/>
  <c r="AF321" i="15"/>
  <c r="AA321" i="15"/>
  <c r="AA324" i="15" s="1"/>
  <c r="AA325" i="15" s="1"/>
  <c r="Z321" i="15"/>
  <c r="Y321" i="15"/>
  <c r="Y324" i="15" s="1"/>
  <c r="Y325" i="15" s="1"/>
  <c r="W321" i="15"/>
  <c r="W324" i="15" s="1"/>
  <c r="W325" i="15" s="1"/>
  <c r="V321" i="15"/>
  <c r="V324" i="15" s="1"/>
  <c r="V325" i="15" s="1"/>
  <c r="U321" i="15"/>
  <c r="U324" i="15" s="1"/>
  <c r="U325" i="15" s="1"/>
  <c r="G321" i="15"/>
  <c r="G324" i="15" s="1"/>
  <c r="G325" i="15" s="1"/>
  <c r="F321" i="15"/>
  <c r="F324" i="15" s="1"/>
  <c r="F325" i="15" s="1"/>
  <c r="AN320" i="15"/>
  <c r="AJ320" i="15"/>
  <c r="AF320" i="15"/>
  <c r="AB320" i="15"/>
  <c r="X320" i="15"/>
  <c r="AS296" i="15"/>
  <c r="AR296" i="15"/>
  <c r="AQ296" i="15"/>
  <c r="AO296" i="15"/>
  <c r="AN296" i="15"/>
  <c r="AM296" i="15"/>
  <c r="AL296" i="15"/>
  <c r="AK296" i="15"/>
  <c r="AJ296" i="15"/>
  <c r="AI296" i="15"/>
  <c r="AH296" i="15"/>
  <c r="AG296" i="15"/>
  <c r="AF296" i="15"/>
  <c r="AE296" i="15"/>
  <c r="AD296" i="15"/>
  <c r="AC296" i="15"/>
  <c r="AB296" i="15"/>
  <c r="AA296" i="15"/>
  <c r="Z296" i="15"/>
  <c r="Y296" i="15"/>
  <c r="X296" i="15"/>
  <c r="W296" i="15"/>
  <c r="V296" i="15"/>
  <c r="U296" i="15"/>
  <c r="T296" i="15"/>
  <c r="S296" i="15"/>
  <c r="R296" i="15"/>
  <c r="K296" i="15"/>
  <c r="J296" i="15"/>
  <c r="I296" i="15"/>
  <c r="H296" i="15"/>
  <c r="G296" i="15"/>
  <c r="F296" i="15"/>
  <c r="E296" i="15"/>
  <c r="D296" i="15"/>
  <c r="C296" i="15"/>
  <c r="AS286" i="15"/>
  <c r="AQ286" i="15"/>
  <c r="AO286" i="15"/>
  <c r="AM286" i="15"/>
  <c r="AL286" i="15"/>
  <c r="AK286" i="15"/>
  <c r="AI286" i="15"/>
  <c r="AH286" i="15"/>
  <c r="AG286" i="15"/>
  <c r="AE286" i="15"/>
  <c r="AD286" i="15"/>
  <c r="AC286" i="15"/>
  <c r="AB286" i="15"/>
  <c r="AA286" i="15"/>
  <c r="Z286" i="15"/>
  <c r="Y286" i="15"/>
  <c r="X286" i="15"/>
  <c r="K286" i="15"/>
  <c r="J286" i="15"/>
  <c r="I286" i="15"/>
  <c r="H286" i="15"/>
  <c r="G286" i="15"/>
  <c r="F286" i="15"/>
  <c r="E286" i="15"/>
  <c r="D286" i="15"/>
  <c r="C286" i="15"/>
  <c r="B285" i="15"/>
  <c r="B284" i="15"/>
  <c r="B283" i="15"/>
  <c r="B282" i="15"/>
  <c r="B280" i="15"/>
  <c r="B279" i="15"/>
  <c r="AS277" i="15"/>
  <c r="AR277" i="15"/>
  <c r="AQ277" i="15"/>
  <c r="AO277" i="15"/>
  <c r="AN277" i="15"/>
  <c r="AM277" i="15"/>
  <c r="AL277" i="15"/>
  <c r="AK277" i="15"/>
  <c r="AJ277" i="15"/>
  <c r="AI277" i="15"/>
  <c r="AH277" i="15"/>
  <c r="AG277" i="15"/>
  <c r="AF277" i="15"/>
  <c r="AE277" i="15"/>
  <c r="AD277" i="15"/>
  <c r="AC277" i="15"/>
  <c r="AB277" i="15"/>
  <c r="AA277" i="15"/>
  <c r="Z277" i="15"/>
  <c r="Y277" i="15"/>
  <c r="X277" i="15"/>
  <c r="W277" i="15"/>
  <c r="V277" i="15"/>
  <c r="U277" i="15"/>
  <c r="T277" i="15"/>
  <c r="S277" i="15"/>
  <c r="R277" i="15"/>
  <c r="K277" i="15"/>
  <c r="J277" i="15"/>
  <c r="I277" i="15"/>
  <c r="H277" i="15"/>
  <c r="G277" i="15"/>
  <c r="F277" i="15"/>
  <c r="E277" i="15"/>
  <c r="D277" i="15"/>
  <c r="C277" i="15"/>
  <c r="B272" i="15"/>
  <c r="B271" i="15"/>
  <c r="B269" i="15"/>
  <c r="B268" i="15"/>
  <c r="B266" i="15"/>
  <c r="B26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2" i="15"/>
  <c r="X231" i="15"/>
  <c r="G231" i="15"/>
  <c r="B231" i="15"/>
  <c r="AO230" i="15"/>
  <c r="B230" i="15"/>
  <c r="B224" i="15"/>
  <c r="AO223" i="15"/>
  <c r="B223" i="15"/>
  <c r="AS222" i="15"/>
  <c r="AR222" i="15"/>
  <c r="AQ222" i="15"/>
  <c r="AO222" i="15"/>
  <c r="AN222" i="15"/>
  <c r="AM222" i="15"/>
  <c r="AL222" i="15"/>
  <c r="AK222" i="15"/>
  <c r="AJ222" i="15"/>
  <c r="AI222" i="15"/>
  <c r="AH222" i="15"/>
  <c r="AG222" i="15"/>
  <c r="AF222" i="15"/>
  <c r="AE222" i="15"/>
  <c r="AD222" i="15"/>
  <c r="AC222" i="15"/>
  <c r="AB222" i="15"/>
  <c r="AA222" i="15"/>
  <c r="Z222" i="15"/>
  <c r="Y222" i="15"/>
  <c r="X222" i="15"/>
  <c r="W222" i="15"/>
  <c r="V222" i="15"/>
  <c r="U222" i="15"/>
  <c r="AS221" i="15"/>
  <c r="AR221" i="15"/>
  <c r="AQ221" i="15"/>
  <c r="AO221" i="15"/>
  <c r="AN221" i="15"/>
  <c r="AM221" i="15"/>
  <c r="AL221" i="15"/>
  <c r="AK221" i="15"/>
  <c r="AJ221" i="15"/>
  <c r="AI221" i="15"/>
  <c r="AH221" i="15"/>
  <c r="AG221" i="15"/>
  <c r="AF221" i="15"/>
  <c r="AE221" i="15"/>
  <c r="AS220" i="15"/>
  <c r="AR220" i="15"/>
  <c r="AQ220" i="15"/>
  <c r="AO220" i="15"/>
  <c r="AN220" i="15"/>
  <c r="AM220" i="15"/>
  <c r="AL220" i="15"/>
  <c r="AK220" i="15"/>
  <c r="AJ220" i="15"/>
  <c r="AI220" i="15"/>
  <c r="AH220" i="15"/>
  <c r="AG220" i="15"/>
  <c r="AF220" i="15"/>
  <c r="AE220" i="15"/>
  <c r="AD220" i="15"/>
  <c r="AC220" i="15"/>
  <c r="AB220" i="15"/>
  <c r="AA220" i="15"/>
  <c r="Z220" i="15"/>
  <c r="Y220" i="15"/>
  <c r="X220" i="15"/>
  <c r="W220" i="15"/>
  <c r="V220" i="15"/>
  <c r="U220" i="15"/>
  <c r="T220" i="15"/>
  <c r="S220" i="15"/>
  <c r="R220" i="15"/>
  <c r="K220" i="15"/>
  <c r="J220" i="15"/>
  <c r="I220" i="15"/>
  <c r="H220" i="15"/>
  <c r="G220" i="15"/>
  <c r="F220" i="15"/>
  <c r="E220" i="15"/>
  <c r="D220" i="15"/>
  <c r="C220" i="15"/>
  <c r="W204" i="15"/>
  <c r="V204" i="15"/>
  <c r="U204" i="15"/>
  <c r="T204" i="15"/>
  <c r="S204" i="15"/>
  <c r="R204" i="15"/>
  <c r="W203" i="15"/>
  <c r="V203" i="15"/>
  <c r="U203" i="15"/>
  <c r="T203" i="15"/>
  <c r="S203" i="15"/>
  <c r="R203" i="15"/>
  <c r="T201" i="15"/>
  <c r="S201" i="15"/>
  <c r="R201" i="15"/>
  <c r="T200" i="15"/>
  <c r="S200" i="15"/>
  <c r="R200" i="15"/>
  <c r="AR195" i="15"/>
  <c r="AQ195" i="15"/>
  <c r="AO195" i="15"/>
  <c r="AN195" i="15"/>
  <c r="AM195" i="15"/>
  <c r="AG195" i="15"/>
  <c r="AK192" i="15"/>
  <c r="AG192" i="15"/>
  <c r="AE192" i="15"/>
  <c r="AD192" i="15"/>
  <c r="AC192" i="15"/>
  <c r="AA192" i="15"/>
  <c r="Z192" i="15"/>
  <c r="Y192" i="15"/>
  <c r="W192" i="15"/>
  <c r="V192" i="15"/>
  <c r="U192" i="15"/>
  <c r="K192" i="15"/>
  <c r="J192" i="15"/>
  <c r="I192" i="15"/>
  <c r="H192" i="15"/>
  <c r="G192" i="15"/>
  <c r="F192" i="15"/>
  <c r="E192" i="15"/>
  <c r="D192" i="15"/>
  <c r="C192" i="15"/>
  <c r="AK191" i="15"/>
  <c r="AG191" i="15"/>
  <c r="AC191" i="15"/>
  <c r="Y191" i="15"/>
  <c r="U191" i="15"/>
  <c r="K191" i="15"/>
  <c r="J191" i="15"/>
  <c r="I191" i="15"/>
  <c r="H191" i="15"/>
  <c r="G191" i="15"/>
  <c r="F191" i="15"/>
  <c r="E191" i="15"/>
  <c r="D191" i="15"/>
  <c r="C191" i="15"/>
  <c r="AK189" i="15"/>
  <c r="AG189" i="15"/>
  <c r="U189" i="15"/>
  <c r="K189" i="15"/>
  <c r="J189" i="15"/>
  <c r="I189" i="15"/>
  <c r="H189" i="15"/>
  <c r="G189" i="15"/>
  <c r="F189" i="15"/>
  <c r="D189" i="15"/>
  <c r="C189" i="15"/>
  <c r="Y188" i="15"/>
  <c r="U188" i="15"/>
  <c r="H188" i="15"/>
  <c r="G188" i="15"/>
  <c r="F188" i="15"/>
  <c r="AK187" i="15"/>
  <c r="AG187" i="15"/>
  <c r="AC187" i="15"/>
  <c r="Y187" i="15"/>
  <c r="U187" i="15"/>
  <c r="K187" i="15"/>
  <c r="J187" i="15"/>
  <c r="I187" i="15"/>
  <c r="G187" i="15"/>
  <c r="F187" i="15"/>
  <c r="E187" i="15"/>
  <c r="D187" i="15"/>
  <c r="C187" i="15"/>
  <c r="AK186" i="15"/>
  <c r="AG186" i="15"/>
  <c r="AE186" i="15"/>
  <c r="AD186" i="15"/>
  <c r="AC186" i="15"/>
  <c r="AA186" i="15"/>
  <c r="Z186" i="15"/>
  <c r="Y186" i="15"/>
  <c r="W186" i="15"/>
  <c r="V186" i="15"/>
  <c r="U186" i="15"/>
  <c r="K186" i="15"/>
  <c r="J186" i="15"/>
  <c r="I186" i="15"/>
  <c r="H186" i="15"/>
  <c r="G186" i="15"/>
  <c r="F186" i="15"/>
  <c r="E186" i="15"/>
  <c r="D186" i="15"/>
  <c r="C186" i="15"/>
  <c r="AK184" i="15"/>
  <c r="AG184" i="15"/>
  <c r="I184" i="15"/>
  <c r="AK183" i="15"/>
  <c r="AG183" i="15"/>
  <c r="AC183" i="15"/>
  <c r="Y183" i="15"/>
  <c r="W183" i="15"/>
  <c r="V183" i="15"/>
  <c r="U183" i="15"/>
  <c r="K183" i="15"/>
  <c r="J183" i="15"/>
  <c r="I183" i="15"/>
  <c r="H183" i="15"/>
  <c r="E183" i="15"/>
  <c r="D183" i="15"/>
  <c r="C183" i="15"/>
  <c r="AK182" i="15"/>
  <c r="AG182" i="15"/>
  <c r="AC182" i="15"/>
  <c r="Y182" i="15"/>
  <c r="U182" i="15"/>
  <c r="K182" i="15"/>
  <c r="J182" i="15"/>
  <c r="I182" i="15"/>
  <c r="H182" i="15"/>
  <c r="G182" i="15"/>
  <c r="F182" i="15"/>
  <c r="E182" i="15"/>
  <c r="D182" i="15"/>
  <c r="C182" i="15"/>
  <c r="AK179" i="15"/>
  <c r="AG179" i="15"/>
  <c r="AC179" i="15"/>
  <c r="Y179" i="15"/>
  <c r="U179" i="15"/>
  <c r="K179" i="15"/>
  <c r="J179" i="15"/>
  <c r="I179" i="15"/>
  <c r="H179" i="15"/>
  <c r="G179" i="15"/>
  <c r="F179" i="15"/>
  <c r="E179" i="15"/>
  <c r="D179" i="15"/>
  <c r="C179" i="15"/>
  <c r="AK178" i="15"/>
  <c r="AG178" i="15"/>
  <c r="Y178" i="15"/>
  <c r="U178" i="15"/>
  <c r="I178" i="15"/>
  <c r="H178" i="15"/>
  <c r="G178" i="15"/>
  <c r="F178" i="15"/>
  <c r="E178" i="15"/>
  <c r="D178" i="15"/>
  <c r="C178" i="15"/>
  <c r="AK177" i="15"/>
  <c r="AG177" i="15"/>
  <c r="AC177" i="15"/>
  <c r="Y177" i="15"/>
  <c r="U177" i="15"/>
  <c r="I177" i="15"/>
  <c r="H177" i="15"/>
  <c r="G177" i="15"/>
  <c r="F177" i="15"/>
  <c r="E177" i="15"/>
  <c r="D177" i="15"/>
  <c r="C177" i="15"/>
  <c r="X172" i="15"/>
  <c r="W172" i="15"/>
  <c r="V172" i="15"/>
  <c r="U172" i="15"/>
  <c r="G172" i="15"/>
  <c r="C172" i="15"/>
  <c r="AS171" i="15"/>
  <c r="AQ171" i="15"/>
  <c r="AO171" i="15"/>
  <c r="AM171" i="15"/>
  <c r="G168" i="15"/>
  <c r="AS167" i="15"/>
  <c r="AQ167" i="15"/>
  <c r="AO167" i="15"/>
  <c r="AM167" i="15"/>
  <c r="AL167" i="15"/>
  <c r="AK167" i="15"/>
  <c r="AI167" i="15"/>
  <c r="AH167" i="15"/>
  <c r="AG167" i="15"/>
  <c r="AE167" i="15"/>
  <c r="AD167" i="15"/>
  <c r="AC167" i="15"/>
  <c r="AA167" i="15"/>
  <c r="Z167" i="15"/>
  <c r="Y167" i="15"/>
  <c r="W167" i="15"/>
  <c r="V167" i="15"/>
  <c r="U167" i="15"/>
  <c r="K167" i="15"/>
  <c r="J167" i="15"/>
  <c r="I167" i="15"/>
  <c r="H167" i="15"/>
  <c r="G167" i="15"/>
  <c r="F167" i="15"/>
  <c r="E167" i="15"/>
  <c r="D167" i="15"/>
  <c r="C167" i="15"/>
  <c r="AS166" i="15"/>
  <c r="AR166" i="15"/>
  <c r="AQ166" i="15"/>
  <c r="AO166" i="15"/>
  <c r="AN166" i="15"/>
  <c r="AM166" i="15"/>
  <c r="AL166" i="15"/>
  <c r="AK166" i="15"/>
  <c r="AJ166" i="15"/>
  <c r="AI166" i="15"/>
  <c r="AH166" i="15"/>
  <c r="AG166" i="15"/>
  <c r="AF166" i="15"/>
  <c r="AE166" i="15"/>
  <c r="AD166" i="15"/>
  <c r="AC166" i="15"/>
  <c r="AB166" i="15"/>
  <c r="AA166" i="15"/>
  <c r="Z166" i="15"/>
  <c r="Y166" i="15"/>
  <c r="X166" i="15"/>
  <c r="W166" i="15"/>
  <c r="V166" i="15"/>
  <c r="U166" i="15"/>
  <c r="AS165" i="15"/>
  <c r="AR165" i="15"/>
  <c r="AQ165" i="15"/>
  <c r="AO165" i="15"/>
  <c r="AN165" i="15"/>
  <c r="AM165" i="15"/>
  <c r="AL165" i="15"/>
  <c r="AK165" i="15"/>
  <c r="AJ165" i="15"/>
  <c r="AI165" i="15"/>
  <c r="AH165" i="15"/>
  <c r="AG165" i="15"/>
  <c r="AF165" i="15"/>
  <c r="AE165" i="15"/>
  <c r="AD165" i="15"/>
  <c r="AC165" i="15"/>
  <c r="AB165" i="15"/>
  <c r="AA165" i="15"/>
  <c r="Z165" i="15"/>
  <c r="Y165" i="15"/>
  <c r="AS164" i="15"/>
  <c r="AR164" i="15"/>
  <c r="AQ164" i="15"/>
  <c r="AO164" i="15"/>
  <c r="AN164" i="15"/>
  <c r="AM164" i="15"/>
  <c r="AL164" i="15"/>
  <c r="AK164" i="15"/>
  <c r="AJ164" i="15"/>
  <c r="AI164" i="15"/>
  <c r="AH164" i="15"/>
  <c r="AG164" i="15"/>
  <c r="AF164" i="15"/>
  <c r="AE164" i="15"/>
  <c r="AD164" i="15"/>
  <c r="AC164" i="15"/>
  <c r="AB164" i="15"/>
  <c r="AA164" i="15"/>
  <c r="Z164" i="15"/>
  <c r="Y164" i="15"/>
  <c r="X164" i="15"/>
  <c r="W164" i="15"/>
  <c r="V164" i="15"/>
  <c r="U164" i="15"/>
  <c r="T164" i="15"/>
  <c r="S164" i="15"/>
  <c r="R164" i="15"/>
  <c r="K164" i="15"/>
  <c r="J164" i="15"/>
  <c r="I164" i="15"/>
  <c r="H164" i="15"/>
  <c r="G164" i="15"/>
  <c r="F164" i="15"/>
  <c r="E164" i="15"/>
  <c r="D164" i="15"/>
  <c r="C164" i="15"/>
  <c r="AS160" i="15"/>
  <c r="AS161" i="15" s="1"/>
  <c r="AR160" i="15"/>
  <c r="AR161" i="15" s="1"/>
  <c r="AQ160" i="15"/>
  <c r="AP160" i="15"/>
  <c r="AP161" i="15" s="1"/>
  <c r="AO160" i="15"/>
  <c r="AO161" i="15" s="1"/>
  <c r="AN160" i="15"/>
  <c r="AM160" i="15"/>
  <c r="AL160" i="15"/>
  <c r="AK160" i="15"/>
  <c r="AJ160" i="15"/>
  <c r="AJ161" i="15" s="1"/>
  <c r="AI160" i="15"/>
  <c r="AH160" i="15"/>
  <c r="AG160" i="15"/>
  <c r="AF160" i="15"/>
  <c r="AE160" i="15"/>
  <c r="AE161" i="15" s="1"/>
  <c r="AD160" i="15"/>
  <c r="AC160" i="15"/>
  <c r="AB160" i="15"/>
  <c r="AA160" i="15"/>
  <c r="AA161" i="15" s="1"/>
  <c r="Z160" i="15"/>
  <c r="Z161" i="15" s="1"/>
  <c r="Y160" i="15"/>
  <c r="Y161" i="15" s="1"/>
  <c r="X160" i="15"/>
  <c r="X161" i="15" s="1"/>
  <c r="W160" i="15"/>
  <c r="W161" i="15" s="1"/>
  <c r="V160" i="15"/>
  <c r="V161" i="15" s="1"/>
  <c r="U160" i="15"/>
  <c r="U161" i="15" s="1"/>
  <c r="H160" i="15"/>
  <c r="H161" i="15" s="1"/>
  <c r="G160" i="15"/>
  <c r="G161" i="15" s="1"/>
  <c r="F160" i="15"/>
  <c r="F161" i="15" s="1"/>
  <c r="E160" i="15"/>
  <c r="E161" i="15" s="1"/>
  <c r="D160" i="15"/>
  <c r="D161" i="15" s="1"/>
  <c r="C160" i="15"/>
  <c r="C161" i="15" s="1"/>
  <c r="AQ159" i="15"/>
  <c r="AP159" i="15"/>
  <c r="AN159" i="15"/>
  <c r="AN254" i="15" s="1"/>
  <c r="AM159" i="15"/>
  <c r="AM254" i="15" s="1"/>
  <c r="AL159" i="15"/>
  <c r="AK159" i="15"/>
  <c r="AK246" i="15" s="1"/>
  <c r="AJ159" i="15"/>
  <c r="AI159" i="15"/>
  <c r="AH159" i="15"/>
  <c r="AH223" i="15" s="1"/>
  <c r="AG159" i="15"/>
  <c r="AF159" i="15"/>
  <c r="AE159" i="15"/>
  <c r="AE251" i="15" s="1"/>
  <c r="AD159" i="15"/>
  <c r="AD245" i="15" s="1"/>
  <c r="AC159" i="15"/>
  <c r="AC251" i="15" s="1"/>
  <c r="AB159" i="15"/>
  <c r="AA159" i="15"/>
  <c r="AA251" i="15" s="1"/>
  <c r="Z159" i="15"/>
  <c r="Y159" i="15"/>
  <c r="Y245" i="15" s="1"/>
  <c r="X159" i="15"/>
  <c r="W159" i="15"/>
  <c r="W242" i="15" s="1"/>
  <c r="V159" i="15"/>
  <c r="V223" i="15" s="1"/>
  <c r="U159" i="15"/>
  <c r="U223" i="15" s="1"/>
  <c r="H159" i="15"/>
  <c r="H242" i="15" s="1"/>
  <c r="G159" i="15"/>
  <c r="G245" i="15" s="1"/>
  <c r="F159" i="15"/>
  <c r="F237" i="15" s="1"/>
  <c r="E159" i="15"/>
  <c r="E245" i="15" s="1"/>
  <c r="D159" i="15"/>
  <c r="D250" i="15" s="1"/>
  <c r="C159" i="15"/>
  <c r="C241" i="15" s="1"/>
  <c r="T145" i="15"/>
  <c r="S145" i="15"/>
  <c r="R145" i="15"/>
  <c r="T144" i="15"/>
  <c r="S144" i="15"/>
  <c r="R144" i="15"/>
  <c r="AS142" i="15"/>
  <c r="AR142" i="15"/>
  <c r="AQ142" i="15"/>
  <c r="AO142" i="15"/>
  <c r="AN142" i="15"/>
  <c r="AM142" i="15"/>
  <c r="AL142" i="15"/>
  <c r="AK142" i="15"/>
  <c r="AJ142" i="15"/>
  <c r="AI142" i="15"/>
  <c r="AH142" i="15"/>
  <c r="AG142" i="15"/>
  <c r="AF142" i="15"/>
  <c r="AE142" i="15"/>
  <c r="AD142" i="15"/>
  <c r="AC142" i="15"/>
  <c r="AB142" i="15"/>
  <c r="AA142" i="15"/>
  <c r="Z142" i="15"/>
  <c r="Y142" i="15"/>
  <c r="X142" i="15"/>
  <c r="W142" i="15"/>
  <c r="V142" i="15"/>
  <c r="U142" i="15"/>
  <c r="T142" i="15"/>
  <c r="S142" i="15"/>
  <c r="R142" i="15"/>
  <c r="K142" i="15"/>
  <c r="J142" i="15"/>
  <c r="I142" i="15"/>
  <c r="H142" i="15"/>
  <c r="G142" i="15"/>
  <c r="F142" i="15"/>
  <c r="E142" i="15"/>
  <c r="D142" i="15"/>
  <c r="C142" i="15"/>
  <c r="AR138" i="15"/>
  <c r="C655" i="17" s="1"/>
  <c r="AN138" i="15"/>
  <c r="C849" i="17" s="1"/>
  <c r="AJ138" i="15"/>
  <c r="C1036" i="17" s="1"/>
  <c r="AF138" i="15"/>
  <c r="C1219" i="17" s="1"/>
  <c r="I1216" i="17" s="1"/>
  <c r="AS137" i="15"/>
  <c r="AF137" i="15"/>
  <c r="G137" i="15"/>
  <c r="H132" i="15"/>
  <c r="G132" i="15"/>
  <c r="E132" i="15"/>
  <c r="D132" i="15"/>
  <c r="C132" i="15"/>
  <c r="AR127" i="15"/>
  <c r="AR286" i="15" s="1"/>
  <c r="AN127" i="15"/>
  <c r="AN85" i="15" s="1"/>
  <c r="AJ127" i="15"/>
  <c r="AF127" i="15"/>
  <c r="C1217" i="17" s="1"/>
  <c r="C1231" i="17" s="1"/>
  <c r="X123" i="15"/>
  <c r="E123" i="15"/>
  <c r="D123" i="15"/>
  <c r="C123" i="15"/>
  <c r="X121" i="15"/>
  <c r="E121" i="15"/>
  <c r="D121" i="15"/>
  <c r="C121" i="15"/>
  <c r="X120" i="15"/>
  <c r="E120" i="15"/>
  <c r="D120" i="15"/>
  <c r="C120" i="15"/>
  <c r="X119" i="15"/>
  <c r="E119" i="15"/>
  <c r="D119" i="15"/>
  <c r="C119" i="15"/>
  <c r="X118" i="15"/>
  <c r="E118" i="15"/>
  <c r="D118" i="15"/>
  <c r="C118" i="15"/>
  <c r="AS115" i="15"/>
  <c r="AS123" i="15" s="1"/>
  <c r="AQ115" i="15"/>
  <c r="AQ118" i="15" s="1"/>
  <c r="AP115" i="15"/>
  <c r="AO115" i="15"/>
  <c r="AO120" i="15" s="1"/>
  <c r="AM115" i="15"/>
  <c r="AM121" i="15" s="1"/>
  <c r="AL115" i="15"/>
  <c r="AL123" i="15" s="1"/>
  <c r="AK115" i="15"/>
  <c r="AK120" i="15" s="1"/>
  <c r="AI115" i="15"/>
  <c r="AI122" i="15" s="1"/>
  <c r="AH115" i="15"/>
  <c r="AH119" i="15" s="1"/>
  <c r="AG115" i="15"/>
  <c r="AG118" i="15" s="1"/>
  <c r="AE115" i="15"/>
  <c r="AE120" i="15" s="1"/>
  <c r="AD115" i="15"/>
  <c r="AD124" i="15" s="1"/>
  <c r="AD130" i="15" s="1"/>
  <c r="AC115" i="15"/>
  <c r="AC124" i="15" s="1"/>
  <c r="AC130" i="15" s="1"/>
  <c r="AC287" i="15" s="1"/>
  <c r="AB115" i="15"/>
  <c r="C1412" i="17" s="1"/>
  <c r="AA115" i="15"/>
  <c r="AA124" i="15" s="1"/>
  <c r="AA130" i="15" s="1"/>
  <c r="AA129" i="15" s="1"/>
  <c r="Z115" i="15"/>
  <c r="Z124" i="15" s="1"/>
  <c r="Z130" i="15" s="1"/>
  <c r="Y115" i="15"/>
  <c r="Y124" i="15" s="1"/>
  <c r="Y130" i="15" s="1"/>
  <c r="Y145" i="15" s="1"/>
  <c r="X115" i="15"/>
  <c r="X124" i="15" s="1"/>
  <c r="X130" i="15" s="1"/>
  <c r="X287" i="15" s="1"/>
  <c r="W115" i="15"/>
  <c r="W124" i="15" s="1"/>
  <c r="W130" i="15" s="1"/>
  <c r="W129" i="15" s="1"/>
  <c r="V115" i="15"/>
  <c r="V124" i="15" s="1"/>
  <c r="V130" i="15" s="1"/>
  <c r="V145" i="15" s="1"/>
  <c r="U115" i="15"/>
  <c r="U124" i="15" s="1"/>
  <c r="U130" i="15" s="1"/>
  <c r="K115" i="15"/>
  <c r="J115" i="15"/>
  <c r="J122" i="15" s="1"/>
  <c r="AN122" i="15" s="1"/>
  <c r="I115" i="15"/>
  <c r="I120" i="15" s="1"/>
  <c r="AJ120" i="15" s="1"/>
  <c r="H115" i="15"/>
  <c r="G115" i="15"/>
  <c r="G123" i="15" s="1"/>
  <c r="F115" i="15"/>
  <c r="F124" i="15" s="1"/>
  <c r="F130" i="15" s="1"/>
  <c r="F129" i="15" s="1"/>
  <c r="F156" i="15" s="1"/>
  <c r="F215" i="15" s="1"/>
  <c r="E115" i="15"/>
  <c r="D115" i="15"/>
  <c r="C115" i="15"/>
  <c r="AS107" i="15"/>
  <c r="AQ107" i="15"/>
  <c r="AO107" i="15"/>
  <c r="AM107" i="15"/>
  <c r="AL107" i="15"/>
  <c r="AK107" i="15"/>
  <c r="AI107" i="15"/>
  <c r="AH107" i="15"/>
  <c r="AG107" i="15"/>
  <c r="AE107" i="15"/>
  <c r="AD107" i="15"/>
  <c r="AC107" i="15"/>
  <c r="AB107" i="15"/>
  <c r="AA107" i="15"/>
  <c r="Z107" i="15"/>
  <c r="Y107" i="15"/>
  <c r="W107" i="15"/>
  <c r="V107" i="15"/>
  <c r="U107" i="15"/>
  <c r="I107" i="15"/>
  <c r="H107" i="15"/>
  <c r="G107" i="15"/>
  <c r="F107" i="15"/>
  <c r="AJ106" i="15"/>
  <c r="AK112" i="15" s="1"/>
  <c r="AF106" i="15"/>
  <c r="AG112" i="15" s="1"/>
  <c r="X106" i="15"/>
  <c r="K106" i="15"/>
  <c r="J106" i="15"/>
  <c r="E106" i="15"/>
  <c r="E107" i="15" s="1"/>
  <c r="D106" i="15"/>
  <c r="D107" i="15" s="1"/>
  <c r="C106" i="15"/>
  <c r="C107" i="15" s="1"/>
  <c r="AR105" i="15"/>
  <c r="AN105" i="15"/>
  <c r="AO111" i="15" s="1"/>
  <c r="AJ105" i="15"/>
  <c r="AK111" i="15" s="1"/>
  <c r="AF105" i="15"/>
  <c r="AG111" i="15" s="1"/>
  <c r="AR104" i="15"/>
  <c r="AN104" i="15"/>
  <c r="AO110" i="15" s="1"/>
  <c r="AJ104" i="15"/>
  <c r="AK110" i="15" s="1"/>
  <c r="AF104" i="15"/>
  <c r="AG110" i="15" s="1"/>
  <c r="AR103" i="15"/>
  <c r="AN103" i="15"/>
  <c r="AJ103" i="15"/>
  <c r="AF103" i="15"/>
  <c r="AS102" i="15"/>
  <c r="AR102" i="15"/>
  <c r="AQ102" i="15"/>
  <c r="AP102" i="15"/>
  <c r="AO102" i="15"/>
  <c r="AN102" i="15"/>
  <c r="AM102" i="15"/>
  <c r="AL102" i="15"/>
  <c r="AK102" i="15"/>
  <c r="AI102" i="15"/>
  <c r="AH102" i="15"/>
  <c r="AG102" i="15"/>
  <c r="AF102" i="15"/>
  <c r="I102" i="15"/>
  <c r="AJ102" i="15" s="1"/>
  <c r="AS100" i="15"/>
  <c r="AR100" i="15"/>
  <c r="AQ100" i="15"/>
  <c r="AO100" i="15"/>
  <c r="AN100" i="15"/>
  <c r="AM100" i="15"/>
  <c r="AL100" i="15"/>
  <c r="AK100" i="15"/>
  <c r="AJ100" i="15"/>
  <c r="AI100" i="15"/>
  <c r="AH100" i="15"/>
  <c r="AG100" i="15"/>
  <c r="AF100" i="15"/>
  <c r="AE100" i="15"/>
  <c r="AD100" i="15"/>
  <c r="AC100" i="15"/>
  <c r="AB100" i="15"/>
  <c r="AA100" i="15"/>
  <c r="Z100" i="15"/>
  <c r="Y100" i="15"/>
  <c r="X100" i="15"/>
  <c r="W100" i="15"/>
  <c r="V100" i="15"/>
  <c r="U100" i="15"/>
  <c r="T100" i="15"/>
  <c r="S100" i="15"/>
  <c r="R100" i="15"/>
  <c r="K100" i="15"/>
  <c r="J100" i="15"/>
  <c r="I100" i="15"/>
  <c r="H100" i="15"/>
  <c r="G100" i="15"/>
  <c r="F100" i="15"/>
  <c r="E100" i="15"/>
  <c r="D100" i="15"/>
  <c r="C100" i="15"/>
  <c r="AG95" i="15"/>
  <c r="AG283" i="15" s="1"/>
  <c r="Y95" i="15"/>
  <c r="Y283" i="15" s="1"/>
  <c r="I95" i="15"/>
  <c r="I283" i="15" s="1"/>
  <c r="H95" i="15"/>
  <c r="H283" i="15" s="1"/>
  <c r="G95" i="15"/>
  <c r="G283" i="15" s="1"/>
  <c r="F95" i="15"/>
  <c r="E95" i="15"/>
  <c r="D95" i="15"/>
  <c r="D283" i="15" s="1"/>
  <c r="C95" i="15"/>
  <c r="C283" i="15" s="1"/>
  <c r="H94" i="15"/>
  <c r="H282" i="15" s="1"/>
  <c r="G94" i="15"/>
  <c r="G282" i="15" s="1"/>
  <c r="E94" i="15"/>
  <c r="E282" i="15" s="1"/>
  <c r="D94" i="15"/>
  <c r="D282" i="15" s="1"/>
  <c r="C94" i="15"/>
  <c r="C282" i="15" s="1"/>
  <c r="AI89" i="15"/>
  <c r="AI278" i="15" s="1"/>
  <c r="AH89" i="15"/>
  <c r="AH278" i="15" s="1"/>
  <c r="AG89" i="15"/>
  <c r="AG278" i="15" s="1"/>
  <c r="AC89" i="15"/>
  <c r="AC278" i="15" s="1"/>
  <c r="AA89" i="15"/>
  <c r="AA278" i="15" s="1"/>
  <c r="Z89" i="15"/>
  <c r="Z278" i="15" s="1"/>
  <c r="Y89" i="15"/>
  <c r="Y278" i="15" s="1"/>
  <c r="K89" i="15"/>
  <c r="K278" i="15" s="1"/>
  <c r="J89" i="15"/>
  <c r="J278" i="15" s="1"/>
  <c r="I89" i="15"/>
  <c r="H89" i="15"/>
  <c r="H278" i="15" s="1"/>
  <c r="G89" i="15"/>
  <c r="G278" i="15" s="1"/>
  <c r="F89" i="15"/>
  <c r="F278" i="15" s="1"/>
  <c r="E89" i="15"/>
  <c r="X89" i="15" s="1"/>
  <c r="X278" i="15" s="1"/>
  <c r="D89" i="15"/>
  <c r="D278" i="15" s="1"/>
  <c r="C89" i="15"/>
  <c r="C278" i="15" s="1"/>
  <c r="B89" i="15"/>
  <c r="B278" i="15" s="1"/>
  <c r="AS88" i="15"/>
  <c r="AR88" i="15"/>
  <c r="AQ88" i="15"/>
  <c r="AO88" i="15"/>
  <c r="AN88" i="15"/>
  <c r="AM88" i="15"/>
  <c r="AL88" i="15"/>
  <c r="AK88" i="15"/>
  <c r="AJ88" i="15"/>
  <c r="AI88" i="15"/>
  <c r="AH88" i="15"/>
  <c r="AG88" i="15"/>
  <c r="AF88" i="15"/>
  <c r="AE88" i="15"/>
  <c r="AD88" i="15"/>
  <c r="AC88" i="15"/>
  <c r="AB88" i="15"/>
  <c r="AA88" i="15"/>
  <c r="Z88" i="15"/>
  <c r="Y88" i="15"/>
  <c r="X88" i="15"/>
  <c r="W88" i="15"/>
  <c r="V88" i="15"/>
  <c r="U88" i="15"/>
  <c r="T88" i="15"/>
  <c r="S88" i="15"/>
  <c r="R88" i="15"/>
  <c r="K88" i="15"/>
  <c r="J88" i="15"/>
  <c r="I88" i="15"/>
  <c r="H88" i="15"/>
  <c r="G88" i="15"/>
  <c r="F88" i="15"/>
  <c r="E88" i="15"/>
  <c r="D88" i="15"/>
  <c r="C88" i="15"/>
  <c r="AQ85" i="15"/>
  <c r="AO85" i="15"/>
  <c r="AM85" i="15"/>
  <c r="AG85" i="15"/>
  <c r="AP80" i="15"/>
  <c r="AL80" i="15"/>
  <c r="AL192" i="15" s="1"/>
  <c r="AH80" i="15"/>
  <c r="AI80" i="15" s="1"/>
  <c r="AF80" i="15"/>
  <c r="AB80" i="15"/>
  <c r="AB192" i="15" s="1"/>
  <c r="X80" i="15"/>
  <c r="AP79" i="15"/>
  <c r="AL79" i="15"/>
  <c r="AH79" i="15"/>
  <c r="AI79" i="15" s="1"/>
  <c r="AD79" i="15"/>
  <c r="Z79" i="15"/>
  <c r="AA79" i="15" s="1"/>
  <c r="AB79" i="15" s="1"/>
  <c r="AB191" i="15" s="1"/>
  <c r="V79" i="15"/>
  <c r="T78" i="15"/>
  <c r="T82" i="15" s="1"/>
  <c r="S78" i="15"/>
  <c r="S82" i="15" s="1"/>
  <c r="R78" i="15"/>
  <c r="R82" i="15" s="1"/>
  <c r="AP77" i="15"/>
  <c r="AL77" i="15"/>
  <c r="AL189" i="15" s="1"/>
  <c r="AH77" i="15"/>
  <c r="AC77" i="15"/>
  <c r="Y77" i="15"/>
  <c r="V77" i="15"/>
  <c r="W77" i="15" s="1"/>
  <c r="W189" i="15" s="1"/>
  <c r="E77" i="15"/>
  <c r="E189" i="15" s="1"/>
  <c r="AP76" i="15"/>
  <c r="AK76" i="15"/>
  <c r="AG76" i="15"/>
  <c r="AH76" i="15" s="1"/>
  <c r="AC76" i="15"/>
  <c r="Z76" i="15"/>
  <c r="AA76" i="15" s="1"/>
  <c r="AB76" i="15" s="1"/>
  <c r="V76" i="15"/>
  <c r="W76" i="15" s="1"/>
  <c r="K76" i="15"/>
  <c r="K188" i="15" s="1"/>
  <c r="J76" i="15"/>
  <c r="J188" i="15" s="1"/>
  <c r="I76" i="15"/>
  <c r="I188" i="15" s="1"/>
  <c r="E76" i="15"/>
  <c r="D76" i="15"/>
  <c r="C76" i="15"/>
  <c r="AP75" i="15"/>
  <c r="AL75" i="15"/>
  <c r="AH75" i="15"/>
  <c r="AI75" i="15" s="1"/>
  <c r="AD75" i="15"/>
  <c r="Z75" i="15"/>
  <c r="V75" i="15"/>
  <c r="V187" i="15" s="1"/>
  <c r="H75" i="15"/>
  <c r="AP74" i="15"/>
  <c r="AL74" i="15"/>
  <c r="AH74" i="15"/>
  <c r="AI74" i="15" s="1"/>
  <c r="AJ74" i="15" s="1"/>
  <c r="AJ186" i="15" s="1"/>
  <c r="AF74" i="15"/>
  <c r="AB74" i="15"/>
  <c r="X74" i="15"/>
  <c r="AP73" i="15"/>
  <c r="AL73" i="15"/>
  <c r="AL184" i="15" s="1"/>
  <c r="AH73" i="15"/>
  <c r="AC73" i="15"/>
  <c r="AC184" i="15" s="1"/>
  <c r="Y73" i="15"/>
  <c r="Y184" i="15" s="1"/>
  <c r="U73" i="15"/>
  <c r="U184" i="15" s="1"/>
  <c r="K73" i="15"/>
  <c r="K184" i="15" s="1"/>
  <c r="J73" i="15"/>
  <c r="J184" i="15" s="1"/>
  <c r="H73" i="15"/>
  <c r="H184" i="15" s="1"/>
  <c r="G73" i="15"/>
  <c r="F73" i="15"/>
  <c r="F184" i="15" s="1"/>
  <c r="E73" i="15"/>
  <c r="D73" i="15"/>
  <c r="C73" i="15"/>
  <c r="AP71" i="15"/>
  <c r="AL71" i="15"/>
  <c r="AL183" i="15" s="1"/>
  <c r="AH71" i="15"/>
  <c r="AI71" i="15" s="1"/>
  <c r="AD71" i="15"/>
  <c r="Z71" i="15"/>
  <c r="X71" i="15"/>
  <c r="X183" i="15" s="1"/>
  <c r="G71" i="15"/>
  <c r="G183" i="15" s="1"/>
  <c r="F71" i="15"/>
  <c r="AP70" i="15"/>
  <c r="AL70" i="15"/>
  <c r="AH70" i="15"/>
  <c r="AD70" i="15"/>
  <c r="Z70" i="15"/>
  <c r="V70" i="15"/>
  <c r="AP69" i="15"/>
  <c r="AK69" i="15"/>
  <c r="AG69" i="15"/>
  <c r="AG42" i="15" s="1"/>
  <c r="AC69" i="15"/>
  <c r="AD69" i="15" s="1"/>
  <c r="AD42" i="15" s="1"/>
  <c r="Y69" i="15"/>
  <c r="U69" i="15"/>
  <c r="U181" i="15" s="1"/>
  <c r="K69" i="15"/>
  <c r="K42" i="15" s="1"/>
  <c r="J69" i="15"/>
  <c r="J97" i="15" s="1"/>
  <c r="J284" i="15" s="1"/>
  <c r="I69" i="15"/>
  <c r="I181" i="15" s="1"/>
  <c r="H69" i="15"/>
  <c r="H42" i="15" s="1"/>
  <c r="G69" i="15"/>
  <c r="G181" i="15" s="1"/>
  <c r="F69" i="15"/>
  <c r="F97" i="15" s="1"/>
  <c r="E69" i="15"/>
  <c r="E97" i="15" s="1"/>
  <c r="D69" i="15"/>
  <c r="D42" i="15" s="1"/>
  <c r="C69" i="15"/>
  <c r="AP67" i="15"/>
  <c r="AL67" i="15"/>
  <c r="AL179" i="15" s="1"/>
  <c r="AH67" i="15"/>
  <c r="AD67" i="15"/>
  <c r="AE67" i="15" s="1"/>
  <c r="Z67" i="15"/>
  <c r="AA67" i="15" s="1"/>
  <c r="V67" i="15"/>
  <c r="W67" i="15" s="1"/>
  <c r="AP66" i="15"/>
  <c r="AL66" i="15"/>
  <c r="AH66" i="15"/>
  <c r="AI66" i="15" s="1"/>
  <c r="AC66" i="15"/>
  <c r="AD66" i="15" s="1"/>
  <c r="Z66" i="15"/>
  <c r="V66" i="15"/>
  <c r="K66" i="15"/>
  <c r="K95" i="15" s="1"/>
  <c r="K283" i="15" s="1"/>
  <c r="J66" i="15"/>
  <c r="J178" i="15" s="1"/>
  <c r="AP65" i="15"/>
  <c r="AL65" i="15"/>
  <c r="AL177" i="15" s="1"/>
  <c r="AH65" i="15"/>
  <c r="AD65" i="15"/>
  <c r="AE65" i="15" s="1"/>
  <c r="Z65" i="15"/>
  <c r="AA65" i="15" s="1"/>
  <c r="AB65" i="15" s="1"/>
  <c r="V65" i="15"/>
  <c r="W65" i="15" s="1"/>
  <c r="X65" i="15" s="1"/>
  <c r="X177" i="15" s="1"/>
  <c r="K65" i="15"/>
  <c r="K177" i="15" s="1"/>
  <c r="J65" i="15"/>
  <c r="J177" i="15" s="1"/>
  <c r="AP64" i="15"/>
  <c r="AK64" i="15"/>
  <c r="AL64" i="15" s="1"/>
  <c r="AL176" i="15" s="1"/>
  <c r="AG64" i="15"/>
  <c r="AH64" i="15" s="1"/>
  <c r="AC64" i="15"/>
  <c r="AC176" i="15" s="1"/>
  <c r="Y64" i="15"/>
  <c r="Y176" i="15" s="1"/>
  <c r="U64" i="15"/>
  <c r="K64" i="15"/>
  <c r="K176" i="15" s="1"/>
  <c r="J64" i="15"/>
  <c r="J176" i="15" s="1"/>
  <c r="I64" i="15"/>
  <c r="I176" i="15" s="1"/>
  <c r="H64" i="15"/>
  <c r="G64" i="15"/>
  <c r="G176" i="15" s="1"/>
  <c r="F64" i="15"/>
  <c r="E64" i="15"/>
  <c r="E176" i="15" s="1"/>
  <c r="D64" i="15"/>
  <c r="D176" i="15" s="1"/>
  <c r="C64" i="15"/>
  <c r="C176" i="15" s="1"/>
  <c r="AS63" i="15"/>
  <c r="AQ63" i="15"/>
  <c r="AO63" i="15"/>
  <c r="AO234" i="15" s="1"/>
  <c r="AM63" i="15"/>
  <c r="BM62" i="15"/>
  <c r="BL62" i="15"/>
  <c r="AS62" i="15"/>
  <c r="AR62" i="15"/>
  <c r="AQ62" i="15"/>
  <c r="AO62" i="15"/>
  <c r="AN62" i="15"/>
  <c r="AM62" i="15"/>
  <c r="AL62" i="15"/>
  <c r="AK62" i="15"/>
  <c r="AJ62" i="15"/>
  <c r="AI62" i="15"/>
  <c r="AH62" i="15"/>
  <c r="AG62" i="15"/>
  <c r="AF62" i="15"/>
  <c r="AE62" i="15"/>
  <c r="AD62" i="15"/>
  <c r="AC62" i="15"/>
  <c r="AB62" i="15"/>
  <c r="AA62" i="15"/>
  <c r="Z62" i="15"/>
  <c r="Y62" i="15"/>
  <c r="X62" i="15"/>
  <c r="W62" i="15"/>
  <c r="V62" i="15"/>
  <c r="U62" i="15"/>
  <c r="T62" i="15"/>
  <c r="S62" i="15"/>
  <c r="R62" i="15"/>
  <c r="K62" i="15"/>
  <c r="J62" i="15"/>
  <c r="I62" i="15"/>
  <c r="H62" i="15"/>
  <c r="G62" i="15"/>
  <c r="F62" i="15"/>
  <c r="E62" i="15"/>
  <c r="D62" i="15"/>
  <c r="C62" i="15"/>
  <c r="H58" i="15"/>
  <c r="G58" i="15"/>
  <c r="E58" i="15"/>
  <c r="D58" i="15"/>
  <c r="C58" i="15"/>
  <c r="BM56" i="15"/>
  <c r="BM58" i="15" s="1"/>
  <c r="BL56" i="15"/>
  <c r="BL58" i="15" s="1"/>
  <c r="AE56" i="15"/>
  <c r="AE58" i="15" s="1"/>
  <c r="AD56" i="15"/>
  <c r="AD58" i="15" s="1"/>
  <c r="AC56" i="15"/>
  <c r="X56" i="15"/>
  <c r="W56" i="15"/>
  <c r="V56" i="15"/>
  <c r="V132" i="15" s="1"/>
  <c r="U56" i="15"/>
  <c r="U58" i="15" s="1"/>
  <c r="F56" i="15"/>
  <c r="AS55" i="15"/>
  <c r="AQ55" i="15"/>
  <c r="AO55" i="15"/>
  <c r="AM55" i="15"/>
  <c r="AS54" i="15"/>
  <c r="AQ54" i="15"/>
  <c r="AQ172" i="15" s="1"/>
  <c r="BL52" i="15"/>
  <c r="AK52" i="15"/>
  <c r="AG52" i="15"/>
  <c r="AC52" i="15"/>
  <c r="K52" i="15"/>
  <c r="J52" i="15"/>
  <c r="I52" i="15"/>
  <c r="H52" i="15"/>
  <c r="G52" i="15"/>
  <c r="BM47" i="15"/>
  <c r="BM52" i="15" s="1"/>
  <c r="AS52" i="15"/>
  <c r="AP47" i="15"/>
  <c r="AL47" i="15"/>
  <c r="AH47" i="15"/>
  <c r="AH52" i="15" s="1"/>
  <c r="AD47" i="15"/>
  <c r="AD52" i="15" s="1"/>
  <c r="Z47" i="15"/>
  <c r="V47" i="15"/>
  <c r="W47" i="15" s="1"/>
  <c r="F47" i="15"/>
  <c r="F43" i="15" s="1"/>
  <c r="E47" i="15"/>
  <c r="E43" i="15" s="1"/>
  <c r="D47" i="15"/>
  <c r="D43" i="15" s="1"/>
  <c r="C47" i="15"/>
  <c r="C43" i="15" s="1"/>
  <c r="BM45" i="15"/>
  <c r="BL45" i="15"/>
  <c r="AS45" i="15"/>
  <c r="AR45" i="15"/>
  <c r="AQ45" i="15"/>
  <c r="AO45" i="15"/>
  <c r="AN45" i="15"/>
  <c r="AM45" i="15"/>
  <c r="AL45" i="15"/>
  <c r="AK45" i="15"/>
  <c r="AJ45" i="15"/>
  <c r="AI45" i="15"/>
  <c r="AH45" i="15"/>
  <c r="AG45" i="15"/>
  <c r="AF45" i="15"/>
  <c r="AE45" i="15"/>
  <c r="AD45" i="15"/>
  <c r="AC45" i="15"/>
  <c r="AB45" i="15"/>
  <c r="AA45" i="15"/>
  <c r="Z45" i="15"/>
  <c r="Y45" i="15"/>
  <c r="X45" i="15"/>
  <c r="W45" i="15"/>
  <c r="V45" i="15"/>
  <c r="U45" i="15"/>
  <c r="T45" i="15"/>
  <c r="S45" i="15"/>
  <c r="R45" i="15"/>
  <c r="K45" i="15"/>
  <c r="J45" i="15"/>
  <c r="I45" i="15"/>
  <c r="H45" i="15"/>
  <c r="G45" i="15"/>
  <c r="F45" i="15"/>
  <c r="E45" i="15"/>
  <c r="D45" i="15"/>
  <c r="C45" i="15"/>
  <c r="BL43" i="15"/>
  <c r="AK43" i="15"/>
  <c r="AG43" i="15"/>
  <c r="AC43" i="15"/>
  <c r="Y43" i="15"/>
  <c r="U43" i="15"/>
  <c r="K43" i="15"/>
  <c r="J43" i="15"/>
  <c r="I43" i="15"/>
  <c r="H43" i="15"/>
  <c r="G43" i="15"/>
  <c r="B39" i="15"/>
  <c r="BM38" i="15"/>
  <c r="BL38" i="15"/>
  <c r="AS38" i="15"/>
  <c r="AQ38" i="15"/>
  <c r="AO38" i="15"/>
  <c r="AM38" i="15"/>
  <c r="AL38" i="15"/>
  <c r="AK38" i="15"/>
  <c r="AI38" i="15"/>
  <c r="AH38" i="15"/>
  <c r="AG38" i="15"/>
  <c r="AE38" i="15"/>
  <c r="AD38" i="15"/>
  <c r="AC38" i="15"/>
  <c r="AA38" i="15"/>
  <c r="Z38" i="15"/>
  <c r="Y38" i="15"/>
  <c r="W38" i="15"/>
  <c r="V38" i="15"/>
  <c r="U38" i="15"/>
  <c r="K38" i="15"/>
  <c r="J38" i="15"/>
  <c r="I38" i="15"/>
  <c r="H38" i="15"/>
  <c r="G38" i="15"/>
  <c r="F38" i="15"/>
  <c r="E38" i="15"/>
  <c r="D38" i="15"/>
  <c r="C38" i="15"/>
  <c r="B38" i="15"/>
  <c r="AI36" i="15"/>
  <c r="AH36" i="15"/>
  <c r="AG36" i="15"/>
  <c r="K36" i="15"/>
  <c r="J36" i="15"/>
  <c r="I36" i="15"/>
  <c r="H36" i="15"/>
  <c r="G36" i="15"/>
  <c r="F36" i="15"/>
  <c r="E36" i="15"/>
  <c r="D36" i="15"/>
  <c r="C36" i="15"/>
  <c r="B35" i="15"/>
  <c r="BM34" i="15"/>
  <c r="BL34" i="15"/>
  <c r="AL34" i="15"/>
  <c r="AK34" i="15"/>
  <c r="AI34" i="15"/>
  <c r="AH34" i="15"/>
  <c r="AG34" i="15"/>
  <c r="AE34" i="15"/>
  <c r="AD34" i="15"/>
  <c r="AC34" i="15"/>
  <c r="AA34" i="15"/>
  <c r="Z34" i="15"/>
  <c r="Y34" i="15"/>
  <c r="W34" i="15"/>
  <c r="V34" i="15"/>
  <c r="U34" i="15"/>
  <c r="K34" i="15"/>
  <c r="J34" i="15"/>
  <c r="I34" i="15"/>
  <c r="H34" i="15"/>
  <c r="G34" i="15"/>
  <c r="F34" i="15"/>
  <c r="E34" i="15"/>
  <c r="D34" i="15"/>
  <c r="C34" i="15"/>
  <c r="B34" i="15"/>
  <c r="BM33" i="15"/>
  <c r="BL33" i="15"/>
  <c r="AS33" i="15"/>
  <c r="AQ33" i="15"/>
  <c r="AO33" i="15"/>
  <c r="AM33" i="15"/>
  <c r="AL33" i="15"/>
  <c r="AK33" i="15"/>
  <c r="AI33" i="15"/>
  <c r="AH33" i="15"/>
  <c r="AG33" i="15"/>
  <c r="AE33" i="15"/>
  <c r="AD33" i="15"/>
  <c r="AC33" i="15"/>
  <c r="AA33" i="15"/>
  <c r="Z33" i="15"/>
  <c r="Y33" i="15"/>
  <c r="W33" i="15"/>
  <c r="V33" i="15"/>
  <c r="U33" i="15"/>
  <c r="K33" i="15"/>
  <c r="J33" i="15"/>
  <c r="I33" i="15"/>
  <c r="H33" i="15"/>
  <c r="G33" i="15"/>
  <c r="F33" i="15"/>
  <c r="E33" i="15"/>
  <c r="D33" i="15"/>
  <c r="C33" i="15"/>
  <c r="B33" i="15"/>
  <c r="BM32" i="15"/>
  <c r="BL32" i="15"/>
  <c r="AS32" i="15"/>
  <c r="AQ32" i="15"/>
  <c r="AO32" i="15"/>
  <c r="AM32" i="15"/>
  <c r="AL32" i="15"/>
  <c r="AK32" i="15"/>
  <c r="AI32" i="15"/>
  <c r="AH32" i="15"/>
  <c r="AG32" i="15"/>
  <c r="AE32" i="15"/>
  <c r="AD32" i="15"/>
  <c r="AC32" i="15"/>
  <c r="AA32" i="15"/>
  <c r="Z32" i="15"/>
  <c r="Y32" i="15"/>
  <c r="W32" i="15"/>
  <c r="V32" i="15"/>
  <c r="U32" i="15"/>
  <c r="K32" i="15"/>
  <c r="J32" i="15"/>
  <c r="I32" i="15"/>
  <c r="H32" i="15"/>
  <c r="G32" i="15"/>
  <c r="F32" i="15"/>
  <c r="E32" i="15"/>
  <c r="D32" i="15"/>
  <c r="C32" i="15"/>
  <c r="B32" i="15"/>
  <c r="T28" i="15"/>
  <c r="S28" i="15"/>
  <c r="R28" i="15"/>
  <c r="AN27" i="15"/>
  <c r="AJ27" i="15"/>
  <c r="AF27" i="15"/>
  <c r="AN26" i="15"/>
  <c r="AJ26" i="15"/>
  <c r="AF26" i="15"/>
  <c r="AB26" i="15"/>
  <c r="X26" i="15"/>
  <c r="AN24" i="15"/>
  <c r="AJ24" i="15"/>
  <c r="AF24" i="15"/>
  <c r="AB24" i="15"/>
  <c r="X24" i="15"/>
  <c r="AN23" i="15"/>
  <c r="AJ23" i="15"/>
  <c r="AF23" i="15"/>
  <c r="AB23" i="15"/>
  <c r="X23" i="15"/>
  <c r="AN22" i="15"/>
  <c r="AJ22" i="15"/>
  <c r="AF22" i="15"/>
  <c r="AB22" i="15"/>
  <c r="X22" i="15"/>
  <c r="AN21" i="15"/>
  <c r="AJ21" i="15"/>
  <c r="AF21" i="15"/>
  <c r="AB21" i="15"/>
  <c r="X21" i="15"/>
  <c r="AN20" i="15"/>
  <c r="AJ20" i="15"/>
  <c r="AF20" i="15"/>
  <c r="AB20" i="15"/>
  <c r="X20" i="15"/>
  <c r="AN19" i="15"/>
  <c r="AJ19" i="15"/>
  <c r="AF19" i="15"/>
  <c r="AB19" i="15"/>
  <c r="X19" i="15"/>
  <c r="AN18" i="15"/>
  <c r="AP36" i="15" s="1"/>
  <c r="AJ18" i="15"/>
  <c r="AM36" i="15" s="1"/>
  <c r="AF18" i="15"/>
  <c r="AB18" i="15"/>
  <c r="AB36" i="15" s="1"/>
  <c r="X18" i="15"/>
  <c r="AN16" i="15"/>
  <c r="AJ16" i="15"/>
  <c r="AF16" i="15"/>
  <c r="AB16" i="15"/>
  <c r="X16" i="15"/>
  <c r="K16" i="15"/>
  <c r="AR16" i="15" s="1"/>
  <c r="AN15" i="15"/>
  <c r="AJ15" i="15"/>
  <c r="AF15" i="15"/>
  <c r="AB15" i="15"/>
  <c r="X15" i="15"/>
  <c r="AN14" i="15"/>
  <c r="AJ14" i="15"/>
  <c r="AF14" i="15"/>
  <c r="AB14" i="15"/>
  <c r="X14" i="15"/>
  <c r="AN13" i="15"/>
  <c r="AJ13" i="15"/>
  <c r="AF13" i="15"/>
  <c r="AB13" i="15"/>
  <c r="X13" i="15"/>
  <c r="BM11" i="15"/>
  <c r="BL11" i="15"/>
  <c r="BL12" i="15" s="1"/>
  <c r="AS11" i="15"/>
  <c r="AQ11" i="15"/>
  <c r="AO11" i="15"/>
  <c r="AO12" i="15" s="1"/>
  <c r="AM11" i="15"/>
  <c r="AL11" i="15"/>
  <c r="AL12" i="15" s="1"/>
  <c r="AK11" i="15"/>
  <c r="AK17" i="15" s="1"/>
  <c r="AK25" i="15" s="1"/>
  <c r="AK40" i="15" s="1"/>
  <c r="AI11" i="15"/>
  <c r="AI17" i="15" s="1"/>
  <c r="AI46" i="15" s="1"/>
  <c r="AH11" i="15"/>
  <c r="AH17" i="15" s="1"/>
  <c r="AG11" i="15"/>
  <c r="AG17" i="15" s="1"/>
  <c r="AE11" i="15"/>
  <c r="AE17" i="15" s="1"/>
  <c r="AD11" i="15"/>
  <c r="AD12" i="15" s="1"/>
  <c r="AC11" i="15"/>
  <c r="AA11" i="15"/>
  <c r="AA12" i="15" s="1"/>
  <c r="Z11" i="15"/>
  <c r="Z17" i="15" s="1"/>
  <c r="Y11" i="15"/>
  <c r="Y12" i="15" s="1"/>
  <c r="W11" i="15"/>
  <c r="V11" i="15"/>
  <c r="V12" i="15" s="1"/>
  <c r="U11" i="15"/>
  <c r="U12" i="15" s="1"/>
  <c r="K11" i="15"/>
  <c r="J11" i="15"/>
  <c r="J12" i="15" s="1"/>
  <c r="I11" i="15"/>
  <c r="I12" i="15" s="1"/>
  <c r="H11" i="15"/>
  <c r="H17" i="15" s="1"/>
  <c r="H46" i="15" s="1"/>
  <c r="H48" i="15" s="1"/>
  <c r="H91" i="15" s="1"/>
  <c r="G11" i="15"/>
  <c r="F11" i="15"/>
  <c r="F17" i="15" s="1"/>
  <c r="F35" i="15" s="1"/>
  <c r="E11" i="15"/>
  <c r="E17" i="15" s="1"/>
  <c r="E46" i="15" s="1"/>
  <c r="D11" i="15"/>
  <c r="C11" i="15"/>
  <c r="C17" i="15" s="1"/>
  <c r="C46" i="15" s="1"/>
  <c r="AN10" i="15"/>
  <c r="AJ10" i="15"/>
  <c r="AF10" i="15"/>
  <c r="AB10" i="15"/>
  <c r="X10" i="15"/>
  <c r="BM8" i="15"/>
  <c r="BL8" i="15"/>
  <c r="AS8" i="15"/>
  <c r="AS168" i="15" s="1"/>
  <c r="AQ8" i="15"/>
  <c r="AQ168" i="15" s="1"/>
  <c r="AO8" i="15"/>
  <c r="AO168" i="15" s="1"/>
  <c r="AM8" i="15"/>
  <c r="AM168" i="15" s="1"/>
  <c r="AL8" i="15"/>
  <c r="AL168" i="15" s="1"/>
  <c r="AK8" i="15"/>
  <c r="AK168" i="15" s="1"/>
  <c r="AI8" i="15"/>
  <c r="AI168" i="15" s="1"/>
  <c r="AH8" i="15"/>
  <c r="AH168" i="15" s="1"/>
  <c r="AG8" i="15"/>
  <c r="AG168" i="15" s="1"/>
  <c r="AE8" i="15"/>
  <c r="AE168" i="15" s="1"/>
  <c r="AD8" i="15"/>
  <c r="AD168" i="15" s="1"/>
  <c r="AC8" i="15"/>
  <c r="AC168" i="15" s="1"/>
  <c r="AA8" i="15"/>
  <c r="AA168" i="15" s="1"/>
  <c r="Z8" i="15"/>
  <c r="Z168" i="15" s="1"/>
  <c r="Y8" i="15"/>
  <c r="Y168" i="15" s="1"/>
  <c r="W8" i="15"/>
  <c r="W168" i="15" s="1"/>
  <c r="V8" i="15"/>
  <c r="V168" i="15" s="1"/>
  <c r="U8" i="15"/>
  <c r="U168" i="15" s="1"/>
  <c r="K8" i="15"/>
  <c r="K168" i="15" s="1"/>
  <c r="J8" i="15"/>
  <c r="J168" i="15" s="1"/>
  <c r="I8" i="15"/>
  <c r="I168" i="15" s="1"/>
  <c r="H8" i="15"/>
  <c r="H168" i="15" s="1"/>
  <c r="F8" i="15"/>
  <c r="F168" i="15" s="1"/>
  <c r="E8" i="15"/>
  <c r="E168" i="15" s="1"/>
  <c r="D8" i="15"/>
  <c r="D168" i="15" s="1"/>
  <c r="C8" i="15"/>
  <c r="AN7" i="15"/>
  <c r="AJ7" i="15"/>
  <c r="AF7" i="15"/>
  <c r="AB7" i="15"/>
  <c r="AB111" i="15" s="1"/>
  <c r="X7" i="15"/>
  <c r="X111" i="15" s="1"/>
  <c r="C1373" i="17"/>
  <c r="C1374" i="17" s="1"/>
  <c r="C1362" i="17"/>
  <c r="C1363" i="17" s="1"/>
  <c r="C1329" i="17"/>
  <c r="C1318" i="17"/>
  <c r="C1319" i="17" s="1"/>
  <c r="C1288" i="17"/>
  <c r="C1263" i="17"/>
  <c r="I1260" i="17" s="1"/>
  <c r="P1113" i="17"/>
  <c r="I1262" i="17"/>
  <c r="K1219" i="17" s="1"/>
  <c r="C1261" i="17"/>
  <c r="C1275" i="17" s="1"/>
  <c r="C1276" i="17" s="1"/>
  <c r="I1254" i="17"/>
  <c r="I1256" i="17" s="1"/>
  <c r="E1244" i="17"/>
  <c r="K1175" i="17"/>
  <c r="I1210" i="17"/>
  <c r="I1212" i="17" s="1"/>
  <c r="E1200" i="17"/>
  <c r="C1175" i="17"/>
  <c r="C1173" i="17"/>
  <c r="C1187" i="17" s="1"/>
  <c r="C1188" i="17" s="1"/>
  <c r="C1162" i="17"/>
  <c r="E1154" i="17"/>
  <c r="C1129" i="17"/>
  <c r="C1127" i="17"/>
  <c r="C1141" i="17" s="1"/>
  <c r="C1142" i="17" s="1"/>
  <c r="C1116" i="17"/>
  <c r="E1107" i="17"/>
  <c r="C1082" i="17"/>
  <c r="C1080" i="17"/>
  <c r="C1094" i="17" s="1"/>
  <c r="C1095" i="17" s="1"/>
  <c r="C1069" i="17"/>
  <c r="E1061" i="17"/>
  <c r="C1023" i="17"/>
  <c r="E1015" i="17"/>
  <c r="C990" i="17"/>
  <c r="C988" i="17"/>
  <c r="C1002" i="17" s="1"/>
  <c r="C1003" i="17" s="1"/>
  <c r="C976" i="17"/>
  <c r="E968" i="17"/>
  <c r="C943" i="17"/>
  <c r="C941" i="17"/>
  <c r="C955" i="17" s="1"/>
  <c r="C956" i="17" s="1"/>
  <c r="C929" i="17"/>
  <c r="E921" i="17"/>
  <c r="C896" i="17"/>
  <c r="C894" i="17"/>
  <c r="C908" i="17" s="1"/>
  <c r="C909" i="17" s="1"/>
  <c r="C881" i="17"/>
  <c r="E872" i="17"/>
  <c r="E873" i="17" s="1"/>
  <c r="C833" i="17"/>
  <c r="C828" i="17"/>
  <c r="C827" i="17"/>
  <c r="E818" i="17"/>
  <c r="E819" i="17" s="1"/>
  <c r="C795" i="17"/>
  <c r="C793" i="17"/>
  <c r="C807" i="17" s="1"/>
  <c r="C779" i="17"/>
  <c r="C774" i="17"/>
  <c r="C773" i="17"/>
  <c r="E764" i="17"/>
  <c r="E765" i="17" s="1"/>
  <c r="C753" i="17"/>
  <c r="C754" i="17" s="1"/>
  <c r="C735" i="17"/>
  <c r="C734" i="17"/>
  <c r="E725" i="17"/>
  <c r="E726" i="17" s="1"/>
  <c r="C702" i="17"/>
  <c r="C700" i="17"/>
  <c r="C695" i="17"/>
  <c r="E678" i="17"/>
  <c r="E679" i="17" s="1"/>
  <c r="C648" i="17"/>
  <c r="E639" i="17"/>
  <c r="E640" i="17" s="1"/>
  <c r="C616" i="17"/>
  <c r="C614" i="17"/>
  <c r="C609" i="17"/>
  <c r="AK118" i="15"/>
  <c r="J118" i="15"/>
  <c r="AN118" i="15" s="1"/>
  <c r="E246" i="15"/>
  <c r="E242" i="15"/>
  <c r="F238" i="15"/>
  <c r="Y236" i="15"/>
  <c r="AG245" i="15"/>
  <c r="Y242" i="15"/>
  <c r="AT283" i="15"/>
  <c r="AQ223" i="15"/>
  <c r="AT284" i="15"/>
  <c r="AT285" i="15"/>
  <c r="AG223" i="15" l="1"/>
  <c r="AG254" i="15"/>
  <c r="AQ230" i="15"/>
  <c r="AQ254" i="15"/>
  <c r="AG161" i="15"/>
  <c r="I1067" i="17"/>
  <c r="J1073" i="17" s="1"/>
  <c r="AI161" i="15"/>
  <c r="I693" i="17"/>
  <c r="J703" i="17" s="1"/>
  <c r="AQ161" i="15"/>
  <c r="I1379" i="17"/>
  <c r="C1393" i="17" s="1"/>
  <c r="AB161" i="15"/>
  <c r="I1336" i="17"/>
  <c r="C1338" i="17" s="1"/>
  <c r="AC161" i="15"/>
  <c r="AK137" i="15"/>
  <c r="AK161" i="15"/>
  <c r="I1292" i="17"/>
  <c r="C1306" i="17" s="1"/>
  <c r="AD161" i="15"/>
  <c r="AL137" i="15"/>
  <c r="AL161" i="15"/>
  <c r="AM161" i="15"/>
  <c r="AW159" i="15"/>
  <c r="AW248" i="15" s="1"/>
  <c r="AT161" i="15"/>
  <c r="I1114" i="17"/>
  <c r="D1121" i="17" s="1"/>
  <c r="AH161" i="15"/>
  <c r="I1205" i="17"/>
  <c r="D1207" i="17" s="1"/>
  <c r="AF161" i="15"/>
  <c r="AN161" i="15"/>
  <c r="J121" i="15"/>
  <c r="AN121" i="15" s="1"/>
  <c r="J123" i="15"/>
  <c r="AN123" i="15" s="1"/>
  <c r="AK123" i="15"/>
  <c r="AJ111" i="15"/>
  <c r="C653" i="17"/>
  <c r="C667" i="17" s="1"/>
  <c r="C668" i="17" s="1"/>
  <c r="M159" i="15"/>
  <c r="M231" i="15"/>
  <c r="M172" i="15"/>
  <c r="C1413" i="17"/>
  <c r="AZ297" i="15"/>
  <c r="AZ303" i="15"/>
  <c r="H246" i="15"/>
  <c r="AI250" i="15"/>
  <c r="AB124" i="15"/>
  <c r="AB130" i="15" s="1"/>
  <c r="AB129" i="15" s="1"/>
  <c r="AB156" i="15" s="1"/>
  <c r="AB215" i="15" s="1"/>
  <c r="V58" i="15"/>
  <c r="AU74" i="15"/>
  <c r="AU80" i="15"/>
  <c r="AV80" i="15" s="1"/>
  <c r="L55" i="15"/>
  <c r="AV53" i="15"/>
  <c r="I1160" i="17"/>
  <c r="D1164" i="17" s="1"/>
  <c r="AU224" i="15"/>
  <c r="X112" i="15"/>
  <c r="X110" i="15"/>
  <c r="AF110" i="15"/>
  <c r="AF112" i="15"/>
  <c r="AS110" i="15"/>
  <c r="AR110" i="15"/>
  <c r="AN106" i="15"/>
  <c r="AO112" i="15" s="1"/>
  <c r="J112" i="15"/>
  <c r="AW251" i="15"/>
  <c r="AP89" i="15"/>
  <c r="AP278" i="15" s="1"/>
  <c r="AP297" i="15" s="1"/>
  <c r="AN111" i="15"/>
  <c r="AJ112" i="15"/>
  <c r="AJ110" i="15"/>
  <c r="AS175" i="15"/>
  <c r="AS68" i="15"/>
  <c r="AS72" i="15" s="1"/>
  <c r="K112" i="15"/>
  <c r="L112" i="15"/>
  <c r="AV47" i="15"/>
  <c r="AN110" i="15"/>
  <c r="X107" i="15"/>
  <c r="X108" i="15" s="1"/>
  <c r="Y112" i="15"/>
  <c r="AB112" i="15"/>
  <c r="AB110" i="15"/>
  <c r="AF89" i="15"/>
  <c r="AF278" i="15" s="1"/>
  <c r="AF297" i="15" s="1"/>
  <c r="AF111" i="15"/>
  <c r="AS111" i="15"/>
  <c r="AR111" i="15"/>
  <c r="AW242" i="15"/>
  <c r="AW238" i="15"/>
  <c r="AW241" i="15"/>
  <c r="AW237" i="15"/>
  <c r="AW246" i="15"/>
  <c r="AW236" i="15"/>
  <c r="AW243" i="15"/>
  <c r="AW235" i="15"/>
  <c r="AW240" i="15"/>
  <c r="AV159" i="15"/>
  <c r="H97" i="15"/>
  <c r="H284" i="15" s="1"/>
  <c r="H303" i="15" s="1"/>
  <c r="AT123" i="15"/>
  <c r="AT241" i="15"/>
  <c r="AI108" i="15"/>
  <c r="AW223" i="15"/>
  <c r="BA224" i="15" s="1"/>
  <c r="AW234" i="15"/>
  <c r="AW297" i="15"/>
  <c r="AT186" i="15"/>
  <c r="AD177" i="15"/>
  <c r="I571" i="17"/>
  <c r="D574" i="17" s="1"/>
  <c r="AA145" i="15"/>
  <c r="AA257" i="15" s="1"/>
  <c r="AA139" i="15"/>
  <c r="AA37" i="15"/>
  <c r="L171" i="15"/>
  <c r="L173" i="15" s="1"/>
  <c r="L63" i="15"/>
  <c r="L68" i="15" s="1"/>
  <c r="L72" i="15" s="1"/>
  <c r="L92" i="15"/>
  <c r="L203" i="15" s="1"/>
  <c r="E124" i="15"/>
  <c r="E130" i="15" s="1"/>
  <c r="E139" i="15" s="1"/>
  <c r="Y129" i="15"/>
  <c r="Y289" i="15" s="1"/>
  <c r="L39" i="15"/>
  <c r="D499" i="17"/>
  <c r="D501" i="17"/>
  <c r="Z64" i="15"/>
  <c r="Z176" i="15" s="1"/>
  <c r="Z73" i="15"/>
  <c r="AA73" i="15" s="1"/>
  <c r="AA184" i="15" s="1"/>
  <c r="L40" i="15"/>
  <c r="AN286" i="15"/>
  <c r="AN305" i="15" s="1"/>
  <c r="V189" i="15"/>
  <c r="H181" i="15"/>
  <c r="AH183" i="15"/>
  <c r="X77" i="15"/>
  <c r="X189" i="15" s="1"/>
  <c r="AG97" i="15"/>
  <c r="AG284" i="15" s="1"/>
  <c r="AG303" i="15" s="1"/>
  <c r="Y247" i="15"/>
  <c r="E247" i="15"/>
  <c r="AT243" i="15"/>
  <c r="E241" i="15"/>
  <c r="AL17" i="15"/>
  <c r="AL46" i="15" s="1"/>
  <c r="AL48" i="15" s="1"/>
  <c r="AL50" i="15" s="1"/>
  <c r="AA17" i="15"/>
  <c r="AA35" i="15" s="1"/>
  <c r="E248" i="15"/>
  <c r="AP95" i="15"/>
  <c r="AP283" i="15" s="1"/>
  <c r="AP302" i="15" s="1"/>
  <c r="AP178" i="15"/>
  <c r="AP237" i="15"/>
  <c r="AP230" i="15"/>
  <c r="AP223" i="15"/>
  <c r="AP234" i="15"/>
  <c r="AT230" i="15"/>
  <c r="AP188" i="15"/>
  <c r="AP247" i="15"/>
  <c r="AP189" i="15"/>
  <c r="AP248" i="15"/>
  <c r="AP192" i="15"/>
  <c r="AP251" i="15"/>
  <c r="AP250" i="15"/>
  <c r="AP191" i="15"/>
  <c r="AP43" i="15"/>
  <c r="AP52" i="15"/>
  <c r="AO47" i="15"/>
  <c r="AR47" i="15" s="1"/>
  <c r="AP48" i="15"/>
  <c r="AP245" i="15"/>
  <c r="AP186" i="15"/>
  <c r="AP246" i="15"/>
  <c r="AP187" i="15"/>
  <c r="AP122" i="15"/>
  <c r="AP123" i="15"/>
  <c r="AP121" i="15"/>
  <c r="AP120" i="15"/>
  <c r="AP119" i="15"/>
  <c r="AP118" i="15"/>
  <c r="AP124" i="15"/>
  <c r="AS159" i="15"/>
  <c r="I732" i="17"/>
  <c r="D741" i="17" s="1"/>
  <c r="AP305" i="15"/>
  <c r="AP235" i="15"/>
  <c r="AP176" i="15"/>
  <c r="AP68" i="15"/>
  <c r="AP72" i="15" s="1"/>
  <c r="AP241" i="15"/>
  <c r="AP182" i="15"/>
  <c r="AP184" i="15"/>
  <c r="AP243" i="15"/>
  <c r="AP236" i="15"/>
  <c r="AP177" i="15"/>
  <c r="AP179" i="15"/>
  <c r="AP238" i="15"/>
  <c r="AP97" i="15"/>
  <c r="AP284" i="15" s="1"/>
  <c r="AP303" i="15" s="1"/>
  <c r="AP42" i="15"/>
  <c r="AP240" i="15"/>
  <c r="AP181" i="15"/>
  <c r="AP242" i="15"/>
  <c r="AP183" i="15"/>
  <c r="AV331" i="15"/>
  <c r="C847" i="17"/>
  <c r="C861" i="17" s="1"/>
  <c r="C862" i="17" s="1"/>
  <c r="AL305" i="15"/>
  <c r="H302" i="15"/>
  <c r="AQ124" i="15"/>
  <c r="AQ130" i="15" s="1"/>
  <c r="AQ139" i="15" s="1"/>
  <c r="AR115" i="15"/>
  <c r="AR124" i="15" s="1"/>
  <c r="C650" i="17" s="1"/>
  <c r="K120" i="15"/>
  <c r="AR120" i="15" s="1"/>
  <c r="K121" i="15"/>
  <c r="AR121" i="15" s="1"/>
  <c r="K119" i="15"/>
  <c r="AR119" i="15" s="1"/>
  <c r="K118" i="15"/>
  <c r="AR118" i="15" s="1"/>
  <c r="K123" i="15"/>
  <c r="AR123" i="15" s="1"/>
  <c r="K122" i="15"/>
  <c r="AR122" i="15" s="1"/>
  <c r="C12" i="15"/>
  <c r="AG121" i="15"/>
  <c r="AG120" i="15"/>
  <c r="AD251" i="15"/>
  <c r="V251" i="15"/>
  <c r="AT242" i="15"/>
  <c r="AK243" i="15"/>
  <c r="X145" i="15"/>
  <c r="X257" i="15" s="1"/>
  <c r="F145" i="15"/>
  <c r="F198" i="15" s="1"/>
  <c r="AK251" i="15"/>
  <c r="J124" i="15"/>
  <c r="J130" i="15" s="1"/>
  <c r="J37" i="15" s="1"/>
  <c r="F139" i="15"/>
  <c r="J120" i="15"/>
  <c r="AN120" i="15" s="1"/>
  <c r="J119" i="15"/>
  <c r="AN119" i="15" s="1"/>
  <c r="AG124" i="15"/>
  <c r="AG130" i="15" s="1"/>
  <c r="AG145" i="15" s="1"/>
  <c r="AG198" i="15" s="1"/>
  <c r="Y246" i="15"/>
  <c r="Y241" i="15"/>
  <c r="E223" i="15"/>
  <c r="U236" i="15"/>
  <c r="G119" i="15"/>
  <c r="V245" i="15"/>
  <c r="AA287" i="15"/>
  <c r="AA306" i="15" s="1"/>
  <c r="Y251" i="15"/>
  <c r="AK237" i="15"/>
  <c r="AD223" i="15"/>
  <c r="AH251" i="15"/>
  <c r="Y235" i="15"/>
  <c r="E301" i="15"/>
  <c r="AT235" i="15"/>
  <c r="AG122" i="15"/>
  <c r="AG123" i="15"/>
  <c r="AG241" i="15"/>
  <c r="AK245" i="15"/>
  <c r="V248" i="15"/>
  <c r="AQ120" i="15"/>
  <c r="G121" i="15"/>
  <c r="E235" i="15"/>
  <c r="V237" i="15"/>
  <c r="Y240" i="15"/>
  <c r="AD241" i="15"/>
  <c r="E243" i="15"/>
  <c r="AL250" i="15"/>
  <c r="AN115" i="15"/>
  <c r="AN124" i="15" s="1"/>
  <c r="AN130" i="15" s="1"/>
  <c r="AG236" i="15"/>
  <c r="V242" i="15"/>
  <c r="L197" i="15"/>
  <c r="I825" i="17"/>
  <c r="J831" i="17" s="1"/>
  <c r="AG119" i="15"/>
  <c r="E236" i="15"/>
  <c r="G118" i="15"/>
  <c r="G120" i="15"/>
  <c r="AG248" i="15"/>
  <c r="AK248" i="15"/>
  <c r="AD179" i="15"/>
  <c r="Y248" i="15"/>
  <c r="C305" i="15"/>
  <c r="F287" i="15"/>
  <c r="F306" i="15" s="1"/>
  <c r="AK223" i="15"/>
  <c r="AO224" i="15" s="1"/>
  <c r="Z177" i="15"/>
  <c r="AK12" i="15"/>
  <c r="AD246" i="15"/>
  <c r="Y257" i="15"/>
  <c r="I119" i="15"/>
  <c r="AJ119" i="15" s="1"/>
  <c r="AK250" i="15"/>
  <c r="AE118" i="15"/>
  <c r="AH192" i="15"/>
  <c r="AK238" i="15"/>
  <c r="AE119" i="15"/>
  <c r="AJ11" i="15"/>
  <c r="AJ12" i="15" s="1"/>
  <c r="E48" i="15"/>
  <c r="E50" i="15" s="1"/>
  <c r="F37" i="15"/>
  <c r="AK241" i="15"/>
  <c r="AK242" i="15"/>
  <c r="Z191" i="15"/>
  <c r="AK240" i="15"/>
  <c r="AD64" i="15"/>
  <c r="AD176" i="15" s="1"/>
  <c r="AK236" i="15"/>
  <c r="D246" i="15"/>
  <c r="D243" i="15"/>
  <c r="AF245" i="15"/>
  <c r="AT246" i="15"/>
  <c r="I121" i="15"/>
  <c r="AJ121" i="15" s="1"/>
  <c r="I122" i="15"/>
  <c r="AJ122" i="15" s="1"/>
  <c r="AL36" i="15"/>
  <c r="AJ115" i="15"/>
  <c r="AJ124" i="15" s="1"/>
  <c r="C1031" i="17" s="1"/>
  <c r="AI120" i="15"/>
  <c r="AI123" i="15"/>
  <c r="X251" i="15"/>
  <c r="E305" i="15"/>
  <c r="AI118" i="15"/>
  <c r="I118" i="15"/>
  <c r="AJ118" i="15" s="1"/>
  <c r="AI305" i="15"/>
  <c r="Z305" i="15"/>
  <c r="D223" i="15"/>
  <c r="AI119" i="15"/>
  <c r="I124" i="15"/>
  <c r="I130" i="15" s="1"/>
  <c r="I129" i="15" s="1"/>
  <c r="I156" i="15" s="1"/>
  <c r="I215" i="15" s="1"/>
  <c r="D238" i="15"/>
  <c r="Z77" i="15"/>
  <c r="Z189" i="15" s="1"/>
  <c r="AT17" i="15"/>
  <c r="Y189" i="15"/>
  <c r="AA188" i="15"/>
  <c r="I123" i="15"/>
  <c r="AJ123" i="15" s="1"/>
  <c r="H248" i="15"/>
  <c r="AG176" i="15"/>
  <c r="C108" i="15"/>
  <c r="AQ305" i="15"/>
  <c r="AT305" i="15"/>
  <c r="G246" i="15"/>
  <c r="V43" i="15"/>
  <c r="G302" i="15"/>
  <c r="G297" i="15"/>
  <c r="AT178" i="15"/>
  <c r="AF167" i="15"/>
  <c r="AD236" i="15"/>
  <c r="AI121" i="15"/>
  <c r="AC97" i="15"/>
  <c r="AC284" i="15" s="1"/>
  <c r="AC303" i="15" s="1"/>
  <c r="AF223" i="15"/>
  <c r="AF8" i="15"/>
  <c r="AF168" i="15" s="1"/>
  <c r="AO305" i="15"/>
  <c r="H305" i="15"/>
  <c r="AB305" i="15"/>
  <c r="AT52" i="15"/>
  <c r="AV52" i="15" s="1"/>
  <c r="G301" i="15"/>
  <c r="H251" i="15"/>
  <c r="AO175" i="15"/>
  <c r="AT238" i="15"/>
  <c r="C1416" i="17"/>
  <c r="C250" i="15"/>
  <c r="AH123" i="15"/>
  <c r="F181" i="15"/>
  <c r="Y139" i="15"/>
  <c r="X192" i="15"/>
  <c r="AF32" i="15"/>
  <c r="AK42" i="15"/>
  <c r="AQ234" i="15"/>
  <c r="AH243" i="15"/>
  <c r="AT251" i="15"/>
  <c r="AT240" i="15"/>
  <c r="F247" i="15"/>
  <c r="C245" i="15"/>
  <c r="Z188" i="15"/>
  <c r="AQ36" i="15"/>
  <c r="F108" i="15"/>
  <c r="Z247" i="15"/>
  <c r="AK28" i="15"/>
  <c r="AL120" i="15"/>
  <c r="AO36" i="15"/>
  <c r="C247" i="15"/>
  <c r="AC306" i="15"/>
  <c r="AH305" i="15"/>
  <c r="AH118" i="15"/>
  <c r="AH187" i="15"/>
  <c r="AH43" i="15"/>
  <c r="AK39" i="15"/>
  <c r="AE245" i="15"/>
  <c r="Z236" i="15"/>
  <c r="V236" i="15"/>
  <c r="W238" i="15"/>
  <c r="H108" i="15"/>
  <c r="AB250" i="15"/>
  <c r="AT223" i="15"/>
  <c r="AH242" i="15"/>
  <c r="F289" i="15"/>
  <c r="AN36" i="15"/>
  <c r="AI47" i="15"/>
  <c r="AI43" i="15" s="1"/>
  <c r="AT250" i="15"/>
  <c r="AD73" i="15"/>
  <c r="AD184" i="15" s="1"/>
  <c r="C240" i="15"/>
  <c r="AK36" i="15"/>
  <c r="AF33" i="15"/>
  <c r="AN34" i="15"/>
  <c r="F235" i="15"/>
  <c r="V241" i="15"/>
  <c r="F140" i="15"/>
  <c r="AS120" i="15"/>
  <c r="C235" i="15"/>
  <c r="AG12" i="15"/>
  <c r="AN11" i="15"/>
  <c r="AN12" i="15" s="1"/>
  <c r="X32" i="15"/>
  <c r="AG25" i="15"/>
  <c r="AG40" i="15" s="1"/>
  <c r="AG46" i="15"/>
  <c r="AG48" i="15" s="1"/>
  <c r="AG53" i="15" s="1"/>
  <c r="AG35" i="15"/>
  <c r="AJ107" i="15"/>
  <c r="AA108" i="15"/>
  <c r="AI251" i="15"/>
  <c r="D305" i="15"/>
  <c r="AG305" i="15"/>
  <c r="AT42" i="15"/>
  <c r="U42" i="15"/>
  <c r="C1415" i="17"/>
  <c r="AS124" i="15"/>
  <c r="AS130" i="15" s="1"/>
  <c r="AS37" i="15" s="1"/>
  <c r="AH250" i="15"/>
  <c r="Y37" i="15"/>
  <c r="F46" i="15"/>
  <c r="F48" i="15" s="1"/>
  <c r="F236" i="15"/>
  <c r="C237" i="15"/>
  <c r="Y287" i="15"/>
  <c r="Y306" i="15" s="1"/>
  <c r="V129" i="15"/>
  <c r="V156" i="15" s="1"/>
  <c r="V215" i="15" s="1"/>
  <c r="F90" i="15"/>
  <c r="AB90" i="15" s="1"/>
  <c r="AA177" i="15"/>
  <c r="V69" i="15"/>
  <c r="AR42" i="15"/>
  <c r="C1414" i="17"/>
  <c r="F25" i="15"/>
  <c r="F40" i="15" s="1"/>
  <c r="F248" i="15"/>
  <c r="C188" i="15"/>
  <c r="AH121" i="15"/>
  <c r="AS119" i="15"/>
  <c r="AS118" i="15"/>
  <c r="AJ36" i="15"/>
  <c r="AO17" i="15"/>
  <c r="AO46" i="15" s="1"/>
  <c r="U132" i="15"/>
  <c r="U135" i="15" s="1"/>
  <c r="U201" i="15" s="1"/>
  <c r="U260" i="15" s="1"/>
  <c r="H235" i="15"/>
  <c r="AH246" i="15"/>
  <c r="Z297" i="15"/>
  <c r="J95" i="15"/>
  <c r="J283" i="15" s="1"/>
  <c r="Y198" i="15"/>
  <c r="V17" i="15"/>
  <c r="V25" i="15" s="1"/>
  <c r="AE223" i="15"/>
  <c r="AS121" i="15"/>
  <c r="H187" i="15"/>
  <c r="AH124" i="15"/>
  <c r="AH130" i="15" s="1"/>
  <c r="AH129" i="15" s="1"/>
  <c r="AL122" i="15"/>
  <c r="H241" i="15"/>
  <c r="D97" i="15"/>
  <c r="D284" i="15" s="1"/>
  <c r="D303" i="15" s="1"/>
  <c r="K97" i="15"/>
  <c r="K284" i="15" s="1"/>
  <c r="AA191" i="15"/>
  <c r="H90" i="15"/>
  <c r="AI246" i="15"/>
  <c r="AH235" i="15"/>
  <c r="AK35" i="15"/>
  <c r="AS108" i="15"/>
  <c r="V73" i="15"/>
  <c r="W73" i="15" s="1"/>
  <c r="Z179" i="15"/>
  <c r="E188" i="15"/>
  <c r="AT181" i="15"/>
  <c r="J17" i="15"/>
  <c r="J25" i="15" s="1"/>
  <c r="J39" i="15" s="1"/>
  <c r="AS122" i="15"/>
  <c r="H245" i="15"/>
  <c r="V177" i="15"/>
  <c r="D181" i="15"/>
  <c r="K181" i="15"/>
  <c r="U17" i="15"/>
  <c r="U25" i="15" s="1"/>
  <c r="AB67" i="15"/>
  <c r="AA238" i="15"/>
  <c r="AA179" i="15"/>
  <c r="E284" i="15"/>
  <c r="E303" i="15" s="1"/>
  <c r="X97" i="15"/>
  <c r="X284" i="15" s="1"/>
  <c r="X303" i="15" s="1"/>
  <c r="AB97" i="15"/>
  <c r="AB284" i="15" s="1"/>
  <c r="AB303" i="15" s="1"/>
  <c r="F284" i="15"/>
  <c r="F303" i="15" s="1"/>
  <c r="AU183" i="15"/>
  <c r="AU242" i="15"/>
  <c r="AI178" i="15"/>
  <c r="AI237" i="15"/>
  <c r="AJ66" i="15"/>
  <c r="AJ95" i="15" s="1"/>
  <c r="AJ283" i="15" s="1"/>
  <c r="AJ302" i="15" s="1"/>
  <c r="AU247" i="15"/>
  <c r="AU188" i="15"/>
  <c r="AU46" i="15"/>
  <c r="AU48" i="15" s="1"/>
  <c r="AY49" i="15" s="1"/>
  <c r="AU25" i="15"/>
  <c r="AU130" i="15"/>
  <c r="AU287" i="15" s="1"/>
  <c r="AU306" i="15" s="1"/>
  <c r="AU308" i="15" s="1"/>
  <c r="C534" i="17"/>
  <c r="D534" i="17" s="1"/>
  <c r="D536" i="17" s="1"/>
  <c r="AA297" i="15"/>
  <c r="AM118" i="15"/>
  <c r="AU191" i="15"/>
  <c r="AU250" i="15"/>
  <c r="AU181" i="15"/>
  <c r="I159" i="15"/>
  <c r="I237" i="15" s="1"/>
  <c r="G236" i="15"/>
  <c r="AI187" i="15"/>
  <c r="AD305" i="15"/>
  <c r="G247" i="15"/>
  <c r="AH95" i="15"/>
  <c r="AH283" i="15" s="1"/>
  <c r="AH302" i="15" s="1"/>
  <c r="H223" i="15"/>
  <c r="AL191" i="15"/>
  <c r="AE70" i="15"/>
  <c r="AE241" i="15" s="1"/>
  <c r="AD181" i="15"/>
  <c r="AQ89" i="15"/>
  <c r="AQ108" i="15" s="1"/>
  <c r="AA236" i="15"/>
  <c r="I17" i="15"/>
  <c r="AF36" i="15"/>
  <c r="Y305" i="15"/>
  <c r="C588" i="17"/>
  <c r="AJ75" i="15"/>
  <c r="AJ187" i="15" s="1"/>
  <c r="AI242" i="15"/>
  <c r="G235" i="15"/>
  <c r="H50" i="15"/>
  <c r="G251" i="15"/>
  <c r="AO124" i="15"/>
  <c r="AO130" i="15" s="1"/>
  <c r="AO145" i="15" s="1"/>
  <c r="AO257" i="15" s="1"/>
  <c r="AH178" i="15"/>
  <c r="H236" i="15"/>
  <c r="AD182" i="15"/>
  <c r="AD240" i="15"/>
  <c r="AC95" i="15"/>
  <c r="AC283" i="15" s="1"/>
  <c r="AC302" i="15" s="1"/>
  <c r="AN42" i="15"/>
  <c r="AQ175" i="15"/>
  <c r="G243" i="15"/>
  <c r="AF107" i="15"/>
  <c r="AL238" i="15"/>
  <c r="AM173" i="15"/>
  <c r="AU189" i="15"/>
  <c r="G241" i="15"/>
  <c r="AC37" i="15"/>
  <c r="AR11" i="15"/>
  <c r="AR12" i="15" s="1"/>
  <c r="AR8" i="15"/>
  <c r="AR168" i="15" s="1"/>
  <c r="AE47" i="15"/>
  <c r="AF47" i="15" s="1"/>
  <c r="AF43" i="15" s="1"/>
  <c r="AI223" i="15"/>
  <c r="G237" i="15"/>
  <c r="AT187" i="15"/>
  <c r="G250" i="15"/>
  <c r="AO121" i="15"/>
  <c r="AH191" i="15"/>
  <c r="H243" i="15"/>
  <c r="AH237" i="15"/>
  <c r="AI186" i="15"/>
  <c r="H247" i="15"/>
  <c r="AK176" i="15"/>
  <c r="AC181" i="15"/>
  <c r="AC178" i="15"/>
  <c r="AA250" i="15"/>
  <c r="AN89" i="15"/>
  <c r="AN278" i="15" s="1"/>
  <c r="AN297" i="15" s="1"/>
  <c r="AB251" i="15"/>
  <c r="AQ231" i="15"/>
  <c r="H297" i="15"/>
  <c r="AG297" i="15"/>
  <c r="AH297" i="15"/>
  <c r="AF331" i="15"/>
  <c r="AT231" i="15"/>
  <c r="AU36" i="15"/>
  <c r="AU175" i="15"/>
  <c r="AU234" i="15"/>
  <c r="AU184" i="15"/>
  <c r="AU243" i="15"/>
  <c r="AU89" i="15"/>
  <c r="AU278" i="15" s="1"/>
  <c r="G248" i="15"/>
  <c r="D184" i="15"/>
  <c r="AD238" i="15"/>
  <c r="AM120" i="15"/>
  <c r="AD43" i="15"/>
  <c r="AI245" i="15"/>
  <c r="H250" i="15"/>
  <c r="AH186" i="15"/>
  <c r="AK235" i="15"/>
  <c r="H176" i="15"/>
  <c r="F42" i="15"/>
  <c r="H301" i="15"/>
  <c r="AT188" i="15"/>
  <c r="AU176" i="15"/>
  <c r="AU235" i="15"/>
  <c r="X306" i="15"/>
  <c r="AM124" i="15"/>
  <c r="AA247" i="15"/>
  <c r="AA245" i="15"/>
  <c r="X242" i="15"/>
  <c r="H238" i="15"/>
  <c r="AH245" i="15"/>
  <c r="AE69" i="15"/>
  <c r="AF69" i="15" s="1"/>
  <c r="AC42" i="15"/>
  <c r="D124" i="15"/>
  <c r="D130" i="15" s="1"/>
  <c r="D145" i="15" s="1"/>
  <c r="D198" i="15" s="1"/>
  <c r="AU42" i="15"/>
  <c r="G223" i="15"/>
  <c r="X305" i="15"/>
  <c r="H53" i="15"/>
  <c r="H57" i="15" s="1"/>
  <c r="H93" i="15" s="1"/>
  <c r="H280" i="15" s="1"/>
  <c r="H299" i="15" s="1"/>
  <c r="G238" i="15"/>
  <c r="AA223" i="15"/>
  <c r="F144" i="15"/>
  <c r="F197" i="15" s="1"/>
  <c r="AI297" i="15"/>
  <c r="AR33" i="15"/>
  <c r="W177" i="15"/>
  <c r="H237" i="15"/>
  <c r="AE12" i="15"/>
  <c r="AR167" i="15"/>
  <c r="AF34" i="15"/>
  <c r="BL17" i="15"/>
  <c r="BL46" i="15" s="1"/>
  <c r="BL48" i="15" s="1"/>
  <c r="G242" i="15"/>
  <c r="Z250" i="15"/>
  <c r="AJ324" i="15"/>
  <c r="AJ325" i="15" s="1"/>
  <c r="AR324" i="15"/>
  <c r="AR325" i="15" s="1"/>
  <c r="AU173" i="15"/>
  <c r="D1371" i="17"/>
  <c r="D1123" i="17"/>
  <c r="K1171" i="17"/>
  <c r="I1213" i="17"/>
  <c r="K1173" i="17"/>
  <c r="D1329" i="17"/>
  <c r="D1120" i="17"/>
  <c r="D1118" i="17"/>
  <c r="C1330" i="17"/>
  <c r="I1257" i="17"/>
  <c r="K1217" i="17"/>
  <c r="C1340" i="17"/>
  <c r="D1372" i="17"/>
  <c r="D1370" i="17"/>
  <c r="D1328" i="17"/>
  <c r="C1337" i="17"/>
  <c r="K1215" i="17"/>
  <c r="D1327" i="17"/>
  <c r="D1325" i="17"/>
  <c r="C1339" i="17"/>
  <c r="I1261" i="17"/>
  <c r="I1217" i="17"/>
  <c r="D1082" i="17"/>
  <c r="D1071" i="17"/>
  <c r="AU12" i="15"/>
  <c r="AU118" i="15"/>
  <c r="AU119" i="15"/>
  <c r="AU187" i="15"/>
  <c r="AU172" i="15"/>
  <c r="AU239" i="15"/>
  <c r="AU232" i="15"/>
  <c r="AU35" i="15"/>
  <c r="C1294" i="17"/>
  <c r="AH182" i="15"/>
  <c r="AI70" i="15"/>
  <c r="V257" i="15"/>
  <c r="V198" i="15"/>
  <c r="D1072" i="17"/>
  <c r="X321" i="15"/>
  <c r="X324" i="15" s="1"/>
  <c r="X325" i="15" s="1"/>
  <c r="AT68" i="15"/>
  <c r="AT72" i="15" s="1"/>
  <c r="AI64" i="15"/>
  <c r="AI176" i="15" s="1"/>
  <c r="AL243" i="15"/>
  <c r="X34" i="15"/>
  <c r="X223" i="15"/>
  <c r="X167" i="15"/>
  <c r="X8" i="15"/>
  <c r="X168" i="15" s="1"/>
  <c r="AJ71" i="15"/>
  <c r="AJ242" i="15" s="1"/>
  <c r="AI183" i="15"/>
  <c r="AB95" i="15"/>
  <c r="AB283" i="15" s="1"/>
  <c r="AB302" i="15" s="1"/>
  <c r="F283" i="15"/>
  <c r="F302" i="15" s="1"/>
  <c r="AH176" i="15"/>
  <c r="AH241" i="15"/>
  <c r="AL223" i="15"/>
  <c r="AL236" i="15"/>
  <c r="AL242" i="15"/>
  <c r="AT234" i="15"/>
  <c r="W144" i="15"/>
  <c r="W140" i="15"/>
  <c r="W156" i="15"/>
  <c r="W215" i="15" s="1"/>
  <c r="G97" i="15"/>
  <c r="G284" i="15" s="1"/>
  <c r="G303" i="15" s="1"/>
  <c r="G42" i="15"/>
  <c r="C246" i="15"/>
  <c r="C242" i="15"/>
  <c r="C251" i="15"/>
  <c r="C238" i="15"/>
  <c r="C223" i="15"/>
  <c r="C248" i="15"/>
  <c r="C236" i="15"/>
  <c r="W245" i="15"/>
  <c r="W251" i="15"/>
  <c r="W248" i="15"/>
  <c r="W223" i="15"/>
  <c r="AE25" i="15"/>
  <c r="AE46" i="15"/>
  <c r="AE35" i="15"/>
  <c r="AB223" i="15"/>
  <c r="AE89" i="15"/>
  <c r="AB34" i="15"/>
  <c r="AS305" i="15"/>
  <c r="X33" i="15"/>
  <c r="AF11" i="15"/>
  <c r="AF12" i="15" s="1"/>
  <c r="AJ38" i="15"/>
  <c r="AJ8" i="15"/>
  <c r="AJ168" i="15" s="1"/>
  <c r="AK89" i="15"/>
  <c r="AR38" i="15"/>
  <c r="AR34" i="15"/>
  <c r="G17" i="15"/>
  <c r="G35" i="15" s="1"/>
  <c r="G12" i="15"/>
  <c r="D1075" i="17"/>
  <c r="D1070" i="17"/>
  <c r="D1076" i="17"/>
  <c r="D1069" i="17"/>
  <c r="D1073" i="17"/>
  <c r="D1074" i="17"/>
  <c r="D1094" i="17"/>
  <c r="D1095" i="17" s="1"/>
  <c r="C628" i="17"/>
  <c r="G240" i="15"/>
  <c r="AI192" i="15"/>
  <c r="AJ80" i="15"/>
  <c r="AJ251" i="15" s="1"/>
  <c r="I974" i="17"/>
  <c r="D1002" i="17" s="1"/>
  <c r="D1003" i="17" s="1"/>
  <c r="D17" i="15"/>
  <c r="D90" i="15" s="1"/>
  <c r="D12" i="15"/>
  <c r="AC17" i="15"/>
  <c r="AC12" i="15"/>
  <c r="AB33" i="15"/>
  <c r="AB186" i="15"/>
  <c r="AB245" i="15"/>
  <c r="AK247" i="15"/>
  <c r="AK188" i="15"/>
  <c r="AL76" i="15"/>
  <c r="AL248" i="15"/>
  <c r="AE79" i="15"/>
  <c r="AE191" i="15" s="1"/>
  <c r="AD250" i="15"/>
  <c r="AD191" i="15"/>
  <c r="AR85" i="15"/>
  <c r="Y331" i="15"/>
  <c r="AB328" i="15"/>
  <c r="AB331" i="15" s="1"/>
  <c r="AC145" i="15"/>
  <c r="AC257" i="15" s="1"/>
  <c r="D1080" i="17"/>
  <c r="AE236" i="15"/>
  <c r="AE177" i="15"/>
  <c r="AQ232" i="15"/>
  <c r="I607" i="17"/>
  <c r="AD36" i="15"/>
  <c r="AC36" i="15"/>
  <c r="AE36" i="15"/>
  <c r="AL251" i="15"/>
  <c r="AL124" i="15"/>
  <c r="C938" i="17" s="1"/>
  <c r="AL119" i="15"/>
  <c r="AL118" i="15"/>
  <c r="AL121" i="15"/>
  <c r="X58" i="15"/>
  <c r="AL241" i="15"/>
  <c r="AB32" i="15"/>
  <c r="C302" i="15"/>
  <c r="G124" i="15"/>
  <c r="G130" i="15" s="1"/>
  <c r="G287" i="15" s="1"/>
  <c r="G306" i="15" s="1"/>
  <c r="AE124" i="15"/>
  <c r="E240" i="15"/>
  <c r="AG242" i="15"/>
  <c r="AL245" i="15"/>
  <c r="AL246" i="15"/>
  <c r="C301" i="15"/>
  <c r="K178" i="15"/>
  <c r="BM43" i="15"/>
  <c r="Z245" i="15"/>
  <c r="AG238" i="15"/>
  <c r="AG250" i="15"/>
  <c r="F241" i="15"/>
  <c r="AF186" i="15"/>
  <c r="AE122" i="15"/>
  <c r="D248" i="15"/>
  <c r="H240" i="15"/>
  <c r="D235" i="15"/>
  <c r="AE75" i="15"/>
  <c r="AI73" i="15"/>
  <c r="I927" i="17"/>
  <c r="D932" i="17" s="1"/>
  <c r="X38" i="15"/>
  <c r="Z238" i="15"/>
  <c r="Y302" i="15"/>
  <c r="AQ121" i="15"/>
  <c r="J160" i="15"/>
  <c r="AT118" i="15"/>
  <c r="Z251" i="15"/>
  <c r="AG243" i="15"/>
  <c r="F245" i="15"/>
  <c r="AL187" i="15"/>
  <c r="F240" i="15"/>
  <c r="V139" i="15"/>
  <c r="AD187" i="15"/>
  <c r="Z237" i="15"/>
  <c r="AH184" i="15"/>
  <c r="F176" i="15"/>
  <c r="AB38" i="15"/>
  <c r="AL235" i="15"/>
  <c r="F297" i="15"/>
  <c r="AG302" i="15"/>
  <c r="AQ122" i="15"/>
  <c r="AC305" i="15"/>
  <c r="AM305" i="15"/>
  <c r="AN324" i="15"/>
  <c r="AN325" i="15" s="1"/>
  <c r="AT119" i="15"/>
  <c r="Z223" i="15"/>
  <c r="AG246" i="15"/>
  <c r="F251" i="15"/>
  <c r="E184" i="15"/>
  <c r="V179" i="15"/>
  <c r="AF38" i="15"/>
  <c r="Z108" i="15"/>
  <c r="AG237" i="15"/>
  <c r="F223" i="15"/>
  <c r="AL186" i="15"/>
  <c r="AE121" i="15"/>
  <c r="V238" i="15"/>
  <c r="AL182" i="15"/>
  <c r="V135" i="15"/>
  <c r="V201" i="15" s="1"/>
  <c r="V260" i="15" s="1"/>
  <c r="G108" i="15"/>
  <c r="AA289" i="15"/>
  <c r="AA144" i="15"/>
  <c r="AA156" i="15"/>
  <c r="AA215" i="15" s="1"/>
  <c r="AA140" i="15"/>
  <c r="C1232" i="17"/>
  <c r="AH247" i="15"/>
  <c r="AI76" i="15"/>
  <c r="AH188" i="15"/>
  <c r="Z324" i="15"/>
  <c r="Z325" i="15" s="1"/>
  <c r="AB321" i="15"/>
  <c r="AB324" i="15" s="1"/>
  <c r="AB325" i="15" s="1"/>
  <c r="C1296" i="17"/>
  <c r="U240" i="15"/>
  <c r="U248" i="15"/>
  <c r="U245" i="15"/>
  <c r="U247" i="15"/>
  <c r="U250" i="15"/>
  <c r="U241" i="15"/>
  <c r="U251" i="15"/>
  <c r="U246" i="15"/>
  <c r="U242" i="15"/>
  <c r="U238" i="15"/>
  <c r="U235" i="15"/>
  <c r="U237" i="15"/>
  <c r="U243" i="15"/>
  <c r="AC238" i="15"/>
  <c r="AC245" i="15"/>
  <c r="AC240" i="15"/>
  <c r="AC243" i="15"/>
  <c r="AC236" i="15"/>
  <c r="AC235" i="15"/>
  <c r="AC237" i="15"/>
  <c r="AC241" i="15"/>
  <c r="AC250" i="15"/>
  <c r="AC246" i="15"/>
  <c r="AC242" i="15"/>
  <c r="AC223" i="15"/>
  <c r="AJ245" i="15"/>
  <c r="AJ223" i="15"/>
  <c r="X236" i="15"/>
  <c r="AD287" i="15"/>
  <c r="AD306" i="15" s="1"/>
  <c r="AD308" i="15" s="1"/>
  <c r="AD37" i="15"/>
  <c r="AH238" i="15"/>
  <c r="AH179" i="15"/>
  <c r="AI67" i="15"/>
  <c r="AI238" i="15" s="1"/>
  <c r="Z242" i="15"/>
  <c r="AA71" i="15"/>
  <c r="AB71" i="15" s="1"/>
  <c r="Z183" i="15"/>
  <c r="X186" i="15"/>
  <c r="X245" i="15"/>
  <c r="D247" i="15"/>
  <c r="D188" i="15"/>
  <c r="AG188" i="15"/>
  <c r="AG247" i="15"/>
  <c r="AH248" i="15"/>
  <c r="AH189" i="15"/>
  <c r="AI77" i="15"/>
  <c r="I1021" i="17"/>
  <c r="D1027" i="17" s="1"/>
  <c r="I160" i="15"/>
  <c r="I646" i="17"/>
  <c r="K160" i="15"/>
  <c r="K161" i="15" s="1"/>
  <c r="AF65" i="15"/>
  <c r="BM37" i="15"/>
  <c r="AM12" i="15"/>
  <c r="AM17" i="15"/>
  <c r="X36" i="15"/>
  <c r="Y36" i="15"/>
  <c r="AD139" i="15"/>
  <c r="X139" i="15"/>
  <c r="X129" i="15"/>
  <c r="X37" i="15"/>
  <c r="AC247" i="15"/>
  <c r="AC188" i="15"/>
  <c r="AC189" i="15"/>
  <c r="AD77" i="15"/>
  <c r="V250" i="15"/>
  <c r="V191" i="15"/>
  <c r="W79" i="15"/>
  <c r="C714" i="17"/>
  <c r="W132" i="15"/>
  <c r="W134" i="15" s="1"/>
  <c r="W200" i="15" s="1"/>
  <c r="W259" i="15" s="1"/>
  <c r="W58" i="15"/>
  <c r="AL178" i="15"/>
  <c r="AL237" i="15"/>
  <c r="AE71" i="15"/>
  <c r="AD242" i="15"/>
  <c r="AD183" i="15"/>
  <c r="Z187" i="15"/>
  <c r="AA75" i="15"/>
  <c r="Z246" i="15"/>
  <c r="I278" i="15"/>
  <c r="I108" i="15"/>
  <c r="AK124" i="15"/>
  <c r="AK119" i="15"/>
  <c r="AK122" i="15"/>
  <c r="AK121" i="15"/>
  <c r="AR305" i="15"/>
  <c r="D1369" i="17"/>
  <c r="D1326" i="17"/>
  <c r="C1348" i="17"/>
  <c r="D1373" i="17"/>
  <c r="W236" i="15"/>
  <c r="AK181" i="15"/>
  <c r="AL69" i="15"/>
  <c r="AL240" i="15" s="1"/>
  <c r="AR106" i="15"/>
  <c r="K107" i="15"/>
  <c r="K108" i="15" s="1"/>
  <c r="AM119" i="15"/>
  <c r="AM123" i="15"/>
  <c r="AM122" i="15"/>
  <c r="X328" i="15"/>
  <c r="X331" i="15" s="1"/>
  <c r="AC248" i="15"/>
  <c r="AD76" i="15"/>
  <c r="AI12" i="15"/>
  <c r="AJ167" i="15"/>
  <c r="AM89" i="15"/>
  <c r="AL89" i="15"/>
  <c r="AN8" i="15"/>
  <c r="AN168" i="15" s="1"/>
  <c r="AJ89" i="15"/>
  <c r="J42" i="15"/>
  <c r="J181" i="15"/>
  <c r="AQ17" i="15"/>
  <c r="AQ35" i="15" s="1"/>
  <c r="AQ12" i="15"/>
  <c r="H120" i="15"/>
  <c r="AF120" i="15" s="1"/>
  <c r="AF115" i="15"/>
  <c r="AF124" i="15" s="1"/>
  <c r="H121" i="15"/>
  <c r="AF121" i="15" s="1"/>
  <c r="AS17" i="15"/>
  <c r="AS12" i="15"/>
  <c r="E238" i="15"/>
  <c r="G184" i="15"/>
  <c r="K17" i="15"/>
  <c r="K35" i="15" s="1"/>
  <c r="K12" i="15"/>
  <c r="BM12" i="15"/>
  <c r="BM17" i="15"/>
  <c r="AT36" i="15"/>
  <c r="AR36" i="15"/>
  <c r="AH236" i="15"/>
  <c r="AH177" i="15"/>
  <c r="AD237" i="15"/>
  <c r="AD178" i="15"/>
  <c r="AE66" i="15"/>
  <c r="E42" i="15"/>
  <c r="Y97" i="15"/>
  <c r="Y284" i="15" s="1"/>
  <c r="Y303" i="15" s="1"/>
  <c r="E181" i="15"/>
  <c r="Y42" i="15"/>
  <c r="Y181" i="15"/>
  <c r="Z69" i="15"/>
  <c r="V182" i="15"/>
  <c r="W70" i="15"/>
  <c r="AB247" i="15"/>
  <c r="AB188" i="15"/>
  <c r="Y297" i="15"/>
  <c r="BL37" i="15"/>
  <c r="AC139" i="15"/>
  <c r="AC129" i="15"/>
  <c r="D1362" i="17"/>
  <c r="D1363" i="17" s="1"/>
  <c r="AJ32" i="15"/>
  <c r="W17" i="15"/>
  <c r="W46" i="15" s="1"/>
  <c r="W48" i="15" s="1"/>
  <c r="W12" i="15"/>
  <c r="AJ33" i="15"/>
  <c r="AM234" i="15"/>
  <c r="AM175" i="15"/>
  <c r="I97" i="15"/>
  <c r="I284" i="15" s="1"/>
  <c r="I42" i="15"/>
  <c r="AC297" i="15"/>
  <c r="AH108" i="15"/>
  <c r="AO123" i="15"/>
  <c r="AO119" i="15"/>
  <c r="AM223" i="15"/>
  <c r="AQ224" i="15" s="1"/>
  <c r="J159" i="15"/>
  <c r="AM230" i="15"/>
  <c r="E237" i="15"/>
  <c r="E251" i="15"/>
  <c r="E250" i="15"/>
  <c r="Y223" i="15"/>
  <c r="Y237" i="15"/>
  <c r="Y238" i="15"/>
  <c r="Y243" i="15"/>
  <c r="Y250" i="15"/>
  <c r="Z43" i="15"/>
  <c r="AA47" i="15"/>
  <c r="AB236" i="15"/>
  <c r="AB177" i="15"/>
  <c r="C42" i="15"/>
  <c r="C181" i="15"/>
  <c r="C97" i="15"/>
  <c r="C284" i="15" s="1"/>
  <c r="C303" i="15" s="1"/>
  <c r="AF286" i="15"/>
  <c r="AF305" i="15" s="1"/>
  <c r="F250" i="15"/>
  <c r="F243" i="15"/>
  <c r="F246" i="15"/>
  <c r="AG240" i="15"/>
  <c r="AG235" i="15"/>
  <c r="AG251" i="15"/>
  <c r="I879" i="17"/>
  <c r="AM137" i="15"/>
  <c r="AO232" i="15"/>
  <c r="AA66" i="15"/>
  <c r="AB66" i="15" s="1"/>
  <c r="Z178" i="15"/>
  <c r="F242" i="15"/>
  <c r="F183" i="15"/>
  <c r="AN167" i="15"/>
  <c r="X94" i="15"/>
  <c r="AE123" i="15"/>
  <c r="F305" i="15"/>
  <c r="AT176" i="15"/>
  <c r="AT173" i="15"/>
  <c r="AN223" i="15"/>
  <c r="AB11" i="15"/>
  <c r="AB17" i="15" s="1"/>
  <c r="C48" i="15"/>
  <c r="C91" i="15" s="1"/>
  <c r="Z12" i="15"/>
  <c r="E108" i="15"/>
  <c r="AG108" i="15"/>
  <c r="AQ123" i="15"/>
  <c r="C297" i="15"/>
  <c r="AO173" i="15"/>
  <c r="AQ173" i="15"/>
  <c r="G305" i="15"/>
  <c r="AA305" i="15"/>
  <c r="AK305" i="15"/>
  <c r="AJ34" i="15"/>
  <c r="Y108" i="15"/>
  <c r="C124" i="15"/>
  <c r="C130" i="15" s="1"/>
  <c r="K124" i="15"/>
  <c r="K130" i="15" s="1"/>
  <c r="K139" i="15" s="1"/>
  <c r="AS173" i="15"/>
  <c r="AT43" i="15"/>
  <c r="AT183" i="15"/>
  <c r="E278" i="15"/>
  <c r="E297" i="15" s="1"/>
  <c r="AI124" i="15"/>
  <c r="AJ331" i="15"/>
  <c r="AO89" i="15"/>
  <c r="E12" i="15"/>
  <c r="X297" i="15"/>
  <c r="J107" i="15"/>
  <c r="J108" i="15" s="1"/>
  <c r="AC108" i="15"/>
  <c r="Y56" i="15"/>
  <c r="AC94" i="15" s="1"/>
  <c r="Z56" i="15"/>
  <c r="Z58" i="15" s="1"/>
  <c r="F94" i="15"/>
  <c r="AA56" i="15"/>
  <c r="F58" i="15"/>
  <c r="AB56" i="15"/>
  <c r="F132" i="15"/>
  <c r="U129" i="15"/>
  <c r="U145" i="15"/>
  <c r="U139" i="15"/>
  <c r="Z287" i="15"/>
  <c r="Z306" i="15" s="1"/>
  <c r="Z139" i="15"/>
  <c r="Z145" i="15"/>
  <c r="Z129" i="15"/>
  <c r="Z37" i="15"/>
  <c r="C808" i="17"/>
  <c r="X76" i="15"/>
  <c r="W247" i="15"/>
  <c r="W188" i="15"/>
  <c r="Z46" i="15"/>
  <c r="Z48" i="15" s="1"/>
  <c r="Z25" i="15"/>
  <c r="Z35" i="15"/>
  <c r="AH46" i="15"/>
  <c r="AH48" i="15" s="1"/>
  <c r="AH35" i="15"/>
  <c r="AH25" i="15"/>
  <c r="AE179" i="15"/>
  <c r="AE238" i="15"/>
  <c r="AF67" i="15"/>
  <c r="D1129" i="17"/>
  <c r="D1116" i="17"/>
  <c r="D1119" i="17"/>
  <c r="D1122" i="17"/>
  <c r="J1120" i="17"/>
  <c r="D1117" i="17"/>
  <c r="D1141" i="17"/>
  <c r="D1142" i="17" s="1"/>
  <c r="D1127" i="17"/>
  <c r="AN331" i="15"/>
  <c r="AT192" i="15"/>
  <c r="AI191" i="15"/>
  <c r="AJ79" i="15"/>
  <c r="W139" i="15"/>
  <c r="W145" i="15"/>
  <c r="AR331" i="15"/>
  <c r="AD129" i="15"/>
  <c r="AT89" i="15"/>
  <c r="AR89" i="15"/>
  <c r="F12" i="15"/>
  <c r="AL43" i="15"/>
  <c r="AL52" i="15"/>
  <c r="AS231" i="15"/>
  <c r="AS172" i="15"/>
  <c r="I771" i="17"/>
  <c r="D807" i="17" s="1"/>
  <c r="D808" i="17" s="1"/>
  <c r="AR159" i="15"/>
  <c r="AR254" i="15" s="1"/>
  <c r="W43" i="15"/>
  <c r="X47" i="15"/>
  <c r="X43" i="15" s="1"/>
  <c r="X11" i="15"/>
  <c r="AA70" i="15"/>
  <c r="Z241" i="15"/>
  <c r="Z182" i="15"/>
  <c r="V247" i="15"/>
  <c r="V188" i="15"/>
  <c r="AF251" i="15"/>
  <c r="AF192" i="15"/>
  <c r="D301" i="15"/>
  <c r="D236" i="15"/>
  <c r="D241" i="15"/>
  <c r="D251" i="15"/>
  <c r="D245" i="15"/>
  <c r="D237" i="15"/>
  <c r="D240" i="15"/>
  <c r="D242" i="15"/>
  <c r="AD145" i="15"/>
  <c r="AN47" i="15"/>
  <c r="W66" i="15"/>
  <c r="Z95" i="15"/>
  <c r="Z283" i="15" s="1"/>
  <c r="Z302" i="15" s="1"/>
  <c r="V178" i="15"/>
  <c r="W179" i="15"/>
  <c r="X67" i="15"/>
  <c r="AH69" i="15"/>
  <c r="AG181" i="15"/>
  <c r="AT130" i="15"/>
  <c r="C571" i="17"/>
  <c r="C1405" i="17"/>
  <c r="AD89" i="15"/>
  <c r="AB8" i="15"/>
  <c r="AB168" i="15" s="1"/>
  <c r="AB167" i="15"/>
  <c r="AR32" i="15"/>
  <c r="H35" i="15"/>
  <c r="H25" i="15"/>
  <c r="C243" i="15"/>
  <c r="C184" i="15"/>
  <c r="W75" i="15"/>
  <c r="V246" i="15"/>
  <c r="AD121" i="15"/>
  <c r="AD123" i="15"/>
  <c r="AD120" i="15"/>
  <c r="AD119" i="15"/>
  <c r="AD118" i="15"/>
  <c r="C35" i="15"/>
  <c r="C25" i="15"/>
  <c r="C90" i="15"/>
  <c r="AF56" i="15"/>
  <c r="AF58" i="15" s="1"/>
  <c r="AC58" i="15"/>
  <c r="V64" i="15"/>
  <c r="U176" i="15"/>
  <c r="AI65" i="15"/>
  <c r="C1034" i="17"/>
  <c r="AJ286" i="15"/>
  <c r="AJ305" i="15" s="1"/>
  <c r="AE305" i="15"/>
  <c r="I1249" i="17"/>
  <c r="AI25" i="15"/>
  <c r="AD17" i="15"/>
  <c r="BM36" i="15"/>
  <c r="BL36" i="15"/>
  <c r="H119" i="15"/>
  <c r="AF119" i="15" s="1"/>
  <c r="H118" i="15"/>
  <c r="AF118" i="15" s="1"/>
  <c r="H124" i="15"/>
  <c r="H130" i="15" s="1"/>
  <c r="H123" i="15"/>
  <c r="AF123" i="15" s="1"/>
  <c r="H122" i="15"/>
  <c r="AF122" i="15" s="1"/>
  <c r="AT237" i="15"/>
  <c r="AT247" i="15"/>
  <c r="AI35" i="15"/>
  <c r="Y17" i="15"/>
  <c r="AK46" i="15"/>
  <c r="AK48" i="15" s="1"/>
  <c r="D297" i="15"/>
  <c r="D302" i="15"/>
  <c r="AH120" i="15"/>
  <c r="AH122" i="15"/>
  <c r="AN38" i="15"/>
  <c r="BL42" i="15"/>
  <c r="D108" i="15"/>
  <c r="AN32" i="15"/>
  <c r="AN33" i="15"/>
  <c r="E90" i="15"/>
  <c r="X90" i="15" s="1"/>
  <c r="E35" i="15"/>
  <c r="E25" i="15"/>
  <c r="X95" i="15"/>
  <c r="X283" i="15" s="1"/>
  <c r="X302" i="15" s="1"/>
  <c r="E283" i="15"/>
  <c r="E302" i="15" s="1"/>
  <c r="AF324" i="15"/>
  <c r="AF325" i="15" s="1"/>
  <c r="AO122" i="15"/>
  <c r="AT120" i="15"/>
  <c r="H12" i="15"/>
  <c r="AQ119" i="15"/>
  <c r="AT245" i="15"/>
  <c r="AT121" i="15"/>
  <c r="AH12" i="15"/>
  <c r="AA36" i="15"/>
  <c r="Z36" i="15"/>
  <c r="AB89" i="15"/>
  <c r="AT236" i="15"/>
  <c r="AT122" i="15"/>
  <c r="AO118" i="15"/>
  <c r="AT248" i="15"/>
  <c r="C1293" i="17" l="1"/>
  <c r="C1304" i="17"/>
  <c r="D700" i="17"/>
  <c r="D695" i="17"/>
  <c r="D702" i="17"/>
  <c r="C1350" i="17"/>
  <c r="D696" i="17"/>
  <c r="D1318" i="17"/>
  <c r="D1319" i="17" s="1"/>
  <c r="C1295" i="17"/>
  <c r="J1214" i="17"/>
  <c r="D1217" i="17"/>
  <c r="J1211" i="17"/>
  <c r="AW247" i="15"/>
  <c r="J1216" i="17"/>
  <c r="D1210" i="17"/>
  <c r="D1414" i="17"/>
  <c r="D1213" i="17"/>
  <c r="C1381" i="17"/>
  <c r="C1383" i="17"/>
  <c r="C1382" i="17"/>
  <c r="D1412" i="17"/>
  <c r="J1210" i="17"/>
  <c r="D1212" i="17"/>
  <c r="D1219" i="17"/>
  <c r="D1209" i="17"/>
  <c r="D1208" i="17"/>
  <c r="C1380" i="17"/>
  <c r="D1416" i="17"/>
  <c r="D1211" i="17"/>
  <c r="D1231" i="17"/>
  <c r="D1232" i="17" s="1"/>
  <c r="C1391" i="17"/>
  <c r="D1415" i="17"/>
  <c r="AW250" i="15"/>
  <c r="I137" i="15"/>
  <c r="I161" i="15"/>
  <c r="AZ302" i="15"/>
  <c r="AZ298" i="15"/>
  <c r="AZ300" i="15" s="1"/>
  <c r="D1413" i="17"/>
  <c r="J137" i="15"/>
  <c r="AN137" i="15" s="1"/>
  <c r="J161" i="15"/>
  <c r="AW230" i="15"/>
  <c r="AZ262" i="15" s="1"/>
  <c r="AZ266" i="15" s="1"/>
  <c r="AW239" i="15"/>
  <c r="AW245" i="15"/>
  <c r="Z308" i="15"/>
  <c r="D1168" i="17"/>
  <c r="E135" i="15"/>
  <c r="E201" i="15" s="1"/>
  <c r="E260" i="15" s="1"/>
  <c r="AN112" i="15"/>
  <c r="X308" i="15"/>
  <c r="G308" i="15"/>
  <c r="F308" i="15"/>
  <c r="Y308" i="15"/>
  <c r="AC308" i="15"/>
  <c r="AA308" i="15"/>
  <c r="D667" i="17"/>
  <c r="D668" i="17" s="1"/>
  <c r="AN107" i="15"/>
  <c r="AN108" i="15" s="1"/>
  <c r="AJ246" i="15"/>
  <c r="AB139" i="15"/>
  <c r="AB145" i="15"/>
  <c r="AB198" i="15" s="1"/>
  <c r="AB289" i="15"/>
  <c r="Y156" i="15"/>
  <c r="Y215" i="15" s="1"/>
  <c r="AB37" i="15"/>
  <c r="AU186" i="15"/>
  <c r="AB140" i="15"/>
  <c r="AB287" i="15"/>
  <c r="AB306" i="15" s="1"/>
  <c r="AB308" i="15" s="1"/>
  <c r="L159" i="15"/>
  <c r="L239" i="15" s="1"/>
  <c r="AB144" i="15"/>
  <c r="AB256" i="15" s="1"/>
  <c r="M223" i="15"/>
  <c r="N224" i="15" s="1"/>
  <c r="M240" i="15"/>
  <c r="M302" i="15"/>
  <c r="M236" i="15"/>
  <c r="M246" i="15"/>
  <c r="M239" i="15"/>
  <c r="M237" i="15"/>
  <c r="M235" i="15"/>
  <c r="M298" i="15"/>
  <c r="M245" i="15"/>
  <c r="M251" i="15"/>
  <c r="M297" i="15"/>
  <c r="M247" i="15"/>
  <c r="M234" i="15"/>
  <c r="M262" i="15" s="1"/>
  <c r="M242" i="15"/>
  <c r="M250" i="15"/>
  <c r="M243" i="15"/>
  <c r="M303" i="15"/>
  <c r="M241" i="15"/>
  <c r="M238" i="15"/>
  <c r="M230" i="15"/>
  <c r="M248" i="15"/>
  <c r="D1175" i="17"/>
  <c r="D1163" i="17"/>
  <c r="D1173" i="17"/>
  <c r="D1165" i="17"/>
  <c r="J1166" i="17"/>
  <c r="D1187" i="17"/>
  <c r="D1188" i="17" s="1"/>
  <c r="D1166" i="17"/>
  <c r="D1167" i="17"/>
  <c r="D1162" i="17"/>
  <c r="D1169" i="17"/>
  <c r="D571" i="17"/>
  <c r="D576" i="17"/>
  <c r="D570" i="17"/>
  <c r="J577" i="17"/>
  <c r="D569" i="17"/>
  <c r="AV74" i="15"/>
  <c r="AV245" i="15" s="1"/>
  <c r="AZ265" i="15"/>
  <c r="AZ54" i="15"/>
  <c r="AP108" i="15"/>
  <c r="AF108" i="15"/>
  <c r="AV192" i="15"/>
  <c r="AA198" i="15"/>
  <c r="AU245" i="15"/>
  <c r="D735" i="17"/>
  <c r="AP224" i="15"/>
  <c r="AO139" i="15"/>
  <c r="AT224" i="15"/>
  <c r="AX224" i="15"/>
  <c r="AO287" i="15"/>
  <c r="AO306" i="15" s="1"/>
  <c r="AO308" i="15" s="1"/>
  <c r="AX92" i="15"/>
  <c r="AX148" i="15" s="1"/>
  <c r="AY92" i="15"/>
  <c r="AW302" i="15"/>
  <c r="AY303" i="15"/>
  <c r="AY302" i="15"/>
  <c r="AY297" i="15"/>
  <c r="AS246" i="15"/>
  <c r="AS238" i="15"/>
  <c r="AS237" i="15"/>
  <c r="AS236" i="15"/>
  <c r="AS251" i="15"/>
  <c r="AS243" i="15"/>
  <c r="AS240" i="15"/>
  <c r="AS242" i="15"/>
  <c r="AS241" i="15"/>
  <c r="AS248" i="15"/>
  <c r="AS247" i="15"/>
  <c r="AV302" i="15"/>
  <c r="AS250" i="15"/>
  <c r="AV303" i="15"/>
  <c r="AS235" i="15"/>
  <c r="AS245" i="15"/>
  <c r="AS239" i="15"/>
  <c r="AS180" i="15"/>
  <c r="AR107" i="15"/>
  <c r="AR108" i="15" s="1"/>
  <c r="AS112" i="15"/>
  <c r="AR112" i="15"/>
  <c r="AX302" i="15"/>
  <c r="AX303" i="15"/>
  <c r="AV247" i="15"/>
  <c r="AV251" i="15"/>
  <c r="AV250" i="15"/>
  <c r="AV248" i="15"/>
  <c r="AX297" i="15"/>
  <c r="AW303" i="15"/>
  <c r="L279" i="15"/>
  <c r="L281" i="15" s="1"/>
  <c r="L175" i="15"/>
  <c r="AV246" i="15"/>
  <c r="AV242" i="15"/>
  <c r="AV238" i="15"/>
  <c r="AV241" i="15"/>
  <c r="AV237" i="15"/>
  <c r="AV235" i="15"/>
  <c r="AV240" i="15"/>
  <c r="AV236" i="15"/>
  <c r="AV243" i="15"/>
  <c r="AJ192" i="15"/>
  <c r="Z235" i="15"/>
  <c r="AN17" i="15"/>
  <c r="AN46" i="15" s="1"/>
  <c r="AN48" i="15" s="1"/>
  <c r="D734" i="17"/>
  <c r="J742" i="17"/>
  <c r="D739" i="17"/>
  <c r="D753" i="17"/>
  <c r="D754" i="17" s="1"/>
  <c r="AU50" i="15"/>
  <c r="Y144" i="15"/>
  <c r="Y197" i="15" s="1"/>
  <c r="AW92" i="15"/>
  <c r="Y140" i="15"/>
  <c r="AG129" i="15"/>
  <c r="AG140" i="15" s="1"/>
  <c r="AL25" i="15"/>
  <c r="AL28" i="15" s="1"/>
  <c r="AG257" i="15"/>
  <c r="AO35" i="15"/>
  <c r="X248" i="15"/>
  <c r="AA25" i="15"/>
  <c r="AA28" i="15" s="1"/>
  <c r="AL35" i="15"/>
  <c r="C1170" i="17"/>
  <c r="C1172" i="17" s="1"/>
  <c r="C1174" i="17" s="1"/>
  <c r="C1181" i="17" s="1"/>
  <c r="C611" i="17"/>
  <c r="D611" i="17" s="1"/>
  <c r="AG287" i="15"/>
  <c r="AG306" i="15" s="1"/>
  <c r="AG308" i="15" s="1"/>
  <c r="AT232" i="15"/>
  <c r="AG37" i="15"/>
  <c r="AO37" i="15"/>
  <c r="I145" i="15"/>
  <c r="I198" i="15" s="1"/>
  <c r="H63" i="15"/>
  <c r="H234" i="15" s="1"/>
  <c r="H262" i="15" s="1"/>
  <c r="AR223" i="15"/>
  <c r="AR224" i="15" s="1"/>
  <c r="AU302" i="15"/>
  <c r="AO129" i="15"/>
  <c r="AO289" i="15" s="1"/>
  <c r="H230" i="15"/>
  <c r="H232" i="15" s="1"/>
  <c r="AG139" i="15"/>
  <c r="I144" i="15"/>
  <c r="I256" i="15" s="1"/>
  <c r="AT35" i="15"/>
  <c r="AJ17" i="15"/>
  <c r="AJ35" i="15" s="1"/>
  <c r="J287" i="15"/>
  <c r="J306" i="15" s="1"/>
  <c r="J145" i="15"/>
  <c r="J198" i="15" s="1"/>
  <c r="L154" i="15"/>
  <c r="L153" i="15"/>
  <c r="E287" i="15"/>
  <c r="E306" i="15" s="1"/>
  <c r="E308" i="15" s="1"/>
  <c r="E37" i="15"/>
  <c r="J129" i="15"/>
  <c r="J289" i="15" s="1"/>
  <c r="G135" i="15"/>
  <c r="G201" i="15" s="1"/>
  <c r="G260" i="15" s="1"/>
  <c r="J139" i="15"/>
  <c r="E145" i="15"/>
  <c r="E257" i="15" s="1"/>
  <c r="L147" i="15"/>
  <c r="L148" i="15"/>
  <c r="L291" i="15" s="1"/>
  <c r="AL49" i="15"/>
  <c r="I139" i="15"/>
  <c r="C844" i="17"/>
  <c r="C846" i="17" s="1"/>
  <c r="I289" i="15"/>
  <c r="J305" i="15"/>
  <c r="E129" i="15"/>
  <c r="E156" i="15" s="1"/>
  <c r="E215" i="15" s="1"/>
  <c r="Z243" i="15"/>
  <c r="AL53" i="15"/>
  <c r="AP54" i="15" s="1"/>
  <c r="AP231" i="15" s="1"/>
  <c r="Z184" i="15"/>
  <c r="I287" i="15"/>
  <c r="I306" i="15" s="1"/>
  <c r="J35" i="15"/>
  <c r="I37" i="15"/>
  <c r="F224" i="15"/>
  <c r="AL95" i="15"/>
  <c r="AL283" i="15" s="1"/>
  <c r="AL302" i="15" s="1"/>
  <c r="D861" i="17"/>
  <c r="D862" i="17" s="1"/>
  <c r="H224" i="15"/>
  <c r="AA64" i="15"/>
  <c r="U46" i="15"/>
  <c r="U48" i="15" s="1"/>
  <c r="U53" i="15" s="1"/>
  <c r="AA46" i="15"/>
  <c r="AA48" i="15" s="1"/>
  <c r="AD235" i="15"/>
  <c r="E224" i="15"/>
  <c r="J90" i="15"/>
  <c r="J28" i="15"/>
  <c r="J96" i="15" s="1"/>
  <c r="J302" i="15"/>
  <c r="J40" i="15"/>
  <c r="J46" i="15"/>
  <c r="J48" i="15" s="1"/>
  <c r="J50" i="15" s="1"/>
  <c r="AE240" i="15"/>
  <c r="AQ145" i="15"/>
  <c r="AQ198" i="15" s="1"/>
  <c r="AP239" i="15"/>
  <c r="AP180" i="15"/>
  <c r="AP130" i="15"/>
  <c r="C736" i="17"/>
  <c r="AQ37" i="15"/>
  <c r="H171" i="15"/>
  <c r="H173" i="15" s="1"/>
  <c r="V140" i="15"/>
  <c r="AP49" i="15"/>
  <c r="AP50" i="15"/>
  <c r="H204" i="15"/>
  <c r="H263" i="15" s="1"/>
  <c r="F257" i="15"/>
  <c r="AP232" i="15"/>
  <c r="AJ183" i="15"/>
  <c r="E91" i="15"/>
  <c r="X91" i="15" s="1"/>
  <c r="D224" i="15"/>
  <c r="AT25" i="15"/>
  <c r="AQ287" i="15"/>
  <c r="AQ306" i="15" s="1"/>
  <c r="AQ308" i="15" s="1"/>
  <c r="U134" i="15"/>
  <c r="U200" i="15" s="1"/>
  <c r="U259" i="15" s="1"/>
  <c r="H55" i="15"/>
  <c r="AQ129" i="15"/>
  <c r="AQ289" i="15" s="1"/>
  <c r="H92" i="15"/>
  <c r="H279" i="15" s="1"/>
  <c r="H298" i="15" s="1"/>
  <c r="H300" i="15" s="1"/>
  <c r="AM130" i="15"/>
  <c r="AM139" i="15" s="1"/>
  <c r="C697" i="17"/>
  <c r="AT46" i="15"/>
  <c r="AT48" i="15" s="1"/>
  <c r="AX49" i="15" s="1"/>
  <c r="AV324" i="15"/>
  <c r="AU108" i="15"/>
  <c r="AR130" i="15"/>
  <c r="AR37" i="15" s="1"/>
  <c r="X198" i="15"/>
  <c r="AS25" i="15"/>
  <c r="AS40" i="15" s="1"/>
  <c r="V184" i="15"/>
  <c r="L256" i="15"/>
  <c r="L137" i="15"/>
  <c r="AV137" i="15" s="1"/>
  <c r="AA77" i="15"/>
  <c r="AB77" i="15" s="1"/>
  <c r="AE64" i="15"/>
  <c r="AF64" i="15" s="1"/>
  <c r="AF176" i="15" s="1"/>
  <c r="AJ130" i="15"/>
  <c r="AJ145" i="15" s="1"/>
  <c r="F49" i="15"/>
  <c r="L180" i="15"/>
  <c r="AO48" i="15"/>
  <c r="AO49" i="15" s="1"/>
  <c r="AL130" i="15"/>
  <c r="AL287" i="15" s="1"/>
  <c r="AL306" i="15" s="1"/>
  <c r="AL308" i="15" s="1"/>
  <c r="AH37" i="15"/>
  <c r="E53" i="15"/>
  <c r="E63" i="15" s="1"/>
  <c r="E68" i="15" s="1"/>
  <c r="E72" i="15" s="1"/>
  <c r="L305" i="15"/>
  <c r="L257" i="15"/>
  <c r="L306" i="15"/>
  <c r="AH287" i="15"/>
  <c r="AH306" i="15" s="1"/>
  <c r="AH308" i="15" s="1"/>
  <c r="Z248" i="15"/>
  <c r="AO25" i="15"/>
  <c r="AO28" i="15" s="1"/>
  <c r="G37" i="15"/>
  <c r="C790" i="17"/>
  <c r="C792" i="17" s="1"/>
  <c r="C817" i="17" s="1"/>
  <c r="D817" i="17" s="1"/>
  <c r="AO198" i="15"/>
  <c r="C536" i="17"/>
  <c r="U35" i="15"/>
  <c r="F39" i="15"/>
  <c r="F28" i="15"/>
  <c r="F96" i="15" s="1"/>
  <c r="AB96" i="15" s="1"/>
  <c r="AQ46" i="15"/>
  <c r="AD243" i="15"/>
  <c r="AE73" i="15"/>
  <c r="F91" i="15"/>
  <c r="AB91" i="15" s="1"/>
  <c r="V46" i="15"/>
  <c r="V48" i="15" s="1"/>
  <c r="V53" i="15" s="1"/>
  <c r="F53" i="15"/>
  <c r="F55" i="15" s="1"/>
  <c r="V243" i="15"/>
  <c r="AU145" i="15"/>
  <c r="AU257" i="15" s="1"/>
  <c r="I250" i="15"/>
  <c r="BL35" i="15"/>
  <c r="AG50" i="15"/>
  <c r="I236" i="15"/>
  <c r="AU139" i="15"/>
  <c r="I247" i="15"/>
  <c r="AU37" i="15"/>
  <c r="D139" i="15"/>
  <c r="I243" i="15"/>
  <c r="AG28" i="15"/>
  <c r="V35" i="15"/>
  <c r="AU129" i="15"/>
  <c r="AU289" i="15" s="1"/>
  <c r="C1417" i="17"/>
  <c r="F50" i="15"/>
  <c r="AG39" i="15"/>
  <c r="AH289" i="15"/>
  <c r="AH144" i="15"/>
  <c r="AH256" i="15" s="1"/>
  <c r="AF181" i="15"/>
  <c r="AF97" i="15"/>
  <c r="AF284" i="15" s="1"/>
  <c r="AF303" i="15" s="1"/>
  <c r="I302" i="15"/>
  <c r="I251" i="15"/>
  <c r="AH145" i="15"/>
  <c r="AH257" i="15" s="1"/>
  <c r="D135" i="15"/>
  <c r="D288" i="15" s="1"/>
  <c r="D307" i="15" s="1"/>
  <c r="I241" i="15"/>
  <c r="I245" i="15"/>
  <c r="AH139" i="15"/>
  <c r="BL25" i="15"/>
  <c r="BL40" i="15" s="1"/>
  <c r="AE182" i="15"/>
  <c r="D287" i="15"/>
  <c r="D306" i="15" s="1"/>
  <c r="D308" i="15" s="1"/>
  <c r="I297" i="15"/>
  <c r="I242" i="15"/>
  <c r="AS278" i="15"/>
  <c r="AS297" i="15" s="1"/>
  <c r="AA243" i="15"/>
  <c r="AJ47" i="15"/>
  <c r="AJ43" i="15" s="1"/>
  <c r="AI52" i="15"/>
  <c r="AJ52" i="15" s="1"/>
  <c r="AI48" i="15"/>
  <c r="AC90" i="15"/>
  <c r="AF70" i="15"/>
  <c r="AF182" i="15" s="1"/>
  <c r="D129" i="15"/>
  <c r="D289" i="15" s="1"/>
  <c r="I235" i="15"/>
  <c r="F256" i="15"/>
  <c r="C1124" i="17"/>
  <c r="C1126" i="17" s="1"/>
  <c r="C1153" i="17" s="1"/>
  <c r="D1153" i="17" s="1"/>
  <c r="AI90" i="15"/>
  <c r="D37" i="15"/>
  <c r="I248" i="15"/>
  <c r="C49" i="15"/>
  <c r="I303" i="15"/>
  <c r="D257" i="15"/>
  <c r="I246" i="15"/>
  <c r="I223" i="15"/>
  <c r="I224" i="15" s="1"/>
  <c r="AK95" i="15"/>
  <c r="AK283" i="15" s="1"/>
  <c r="AK302" i="15" s="1"/>
  <c r="V28" i="15"/>
  <c r="V39" i="15"/>
  <c r="V40" i="15"/>
  <c r="AS35" i="15"/>
  <c r="W35" i="15"/>
  <c r="D46" i="15"/>
  <c r="D48" i="15" s="1"/>
  <c r="E49" i="15" s="1"/>
  <c r="G25" i="15"/>
  <c r="G39" i="15" s="1"/>
  <c r="AB73" i="15"/>
  <c r="AB243" i="15" s="1"/>
  <c r="V134" i="15"/>
  <c r="V200" i="15" s="1"/>
  <c r="V259" i="15" s="1"/>
  <c r="V144" i="15"/>
  <c r="G90" i="15"/>
  <c r="AE48" i="15"/>
  <c r="AS46" i="15"/>
  <c r="AS48" i="15" s="1"/>
  <c r="AW49" i="15" s="1"/>
  <c r="AH140" i="15"/>
  <c r="G46" i="15"/>
  <c r="G48" i="15" s="1"/>
  <c r="G91" i="15" s="1"/>
  <c r="AR17" i="15"/>
  <c r="AS90" i="15" s="1"/>
  <c r="W25" i="15"/>
  <c r="W28" i="15" s="1"/>
  <c r="AC198" i="15"/>
  <c r="W69" i="15"/>
  <c r="V240" i="15"/>
  <c r="V181" i="15"/>
  <c r="V42" i="15"/>
  <c r="BL50" i="15"/>
  <c r="BL53" i="15"/>
  <c r="BL55" i="15" s="1"/>
  <c r="AG49" i="15"/>
  <c r="AG91" i="15"/>
  <c r="AU182" i="15"/>
  <c r="AU241" i="15"/>
  <c r="AU192" i="15"/>
  <c r="AU251" i="15"/>
  <c r="AU297" i="15"/>
  <c r="AE43" i="15"/>
  <c r="AE52" i="15"/>
  <c r="AG90" i="15"/>
  <c r="D588" i="17"/>
  <c r="D589" i="17" s="1"/>
  <c r="C589" i="17"/>
  <c r="I240" i="15"/>
  <c r="I238" i="15"/>
  <c r="AU303" i="15"/>
  <c r="AJ178" i="15"/>
  <c r="AJ237" i="15"/>
  <c r="D25" i="15"/>
  <c r="D28" i="15" s="1"/>
  <c r="D96" i="15" s="1"/>
  <c r="AB12" i="15"/>
  <c r="AJ64" i="15"/>
  <c r="AJ176" i="15" s="1"/>
  <c r="G224" i="15"/>
  <c r="AU236" i="15"/>
  <c r="AE181" i="15"/>
  <c r="AE42" i="15"/>
  <c r="G139" i="15"/>
  <c r="D35" i="15"/>
  <c r="AQ278" i="15"/>
  <c r="AQ297" i="15" s="1"/>
  <c r="AU304" i="15"/>
  <c r="I35" i="15"/>
  <c r="I46" i="15"/>
  <c r="I48" i="15" s="1"/>
  <c r="I25" i="15"/>
  <c r="I90" i="15"/>
  <c r="AB238" i="15"/>
  <c r="AB179" i="15"/>
  <c r="D538" i="17"/>
  <c r="D540" i="17"/>
  <c r="D655" i="17"/>
  <c r="D934" i="17"/>
  <c r="D943" i="17"/>
  <c r="D936" i="17"/>
  <c r="J933" i="17"/>
  <c r="D935" i="17"/>
  <c r="D929" i="17"/>
  <c r="D955" i="17"/>
  <c r="D956" i="17" s="1"/>
  <c r="D937" i="17"/>
  <c r="C1388" i="17"/>
  <c r="C1390" i="17" s="1"/>
  <c r="C1394" i="17" s="1"/>
  <c r="D930" i="17"/>
  <c r="C1345" i="17"/>
  <c r="C1347" i="17" s="1"/>
  <c r="C1351" i="17" s="1"/>
  <c r="D933" i="17"/>
  <c r="D1028" i="17"/>
  <c r="D1374" i="17"/>
  <c r="D1330" i="17"/>
  <c r="D941" i="17"/>
  <c r="D976" i="17"/>
  <c r="D980" i="17"/>
  <c r="D653" i="17"/>
  <c r="D931" i="17"/>
  <c r="AU180" i="15"/>
  <c r="AU40" i="15"/>
  <c r="AU39" i="15"/>
  <c r="AU28" i="15"/>
  <c r="AF17" i="15"/>
  <c r="AF90" i="15" s="1"/>
  <c r="AM232" i="15"/>
  <c r="AE250" i="15"/>
  <c r="AI184" i="15"/>
  <c r="AJ73" i="15"/>
  <c r="AI243" i="15"/>
  <c r="AE278" i="15"/>
  <c r="AE297" i="15" s="1"/>
  <c r="AE108" i="15"/>
  <c r="W256" i="15"/>
  <c r="W197" i="15"/>
  <c r="AE187" i="15"/>
  <c r="AE246" i="15"/>
  <c r="AF75" i="15"/>
  <c r="AT180" i="15"/>
  <c r="AT239" i="15"/>
  <c r="AI182" i="15"/>
  <c r="AJ70" i="15"/>
  <c r="AI241" i="15"/>
  <c r="AI235" i="15"/>
  <c r="AF240" i="15"/>
  <c r="AF42" i="15"/>
  <c r="D616" i="17"/>
  <c r="J617" i="17"/>
  <c r="D609" i="17"/>
  <c r="D610" i="17"/>
  <c r="AC35" i="15"/>
  <c r="AC25" i="15"/>
  <c r="AC46" i="15"/>
  <c r="AC48" i="15" s="1"/>
  <c r="AI179" i="15"/>
  <c r="K90" i="15"/>
  <c r="AE130" i="15"/>
  <c r="C1258" i="17"/>
  <c r="C1260" i="17" s="1"/>
  <c r="AL247" i="15"/>
  <c r="AL188" i="15"/>
  <c r="D614" i="17"/>
  <c r="AK278" i="15"/>
  <c r="AK297" i="15" s="1"/>
  <c r="AK108" i="15"/>
  <c r="K287" i="15"/>
  <c r="K306" i="15" s="1"/>
  <c r="C1301" i="17"/>
  <c r="C1303" i="17" s="1"/>
  <c r="C1307" i="17" s="1"/>
  <c r="G145" i="15"/>
  <c r="G129" i="15"/>
  <c r="AE39" i="15"/>
  <c r="AE28" i="15"/>
  <c r="AE40" i="15"/>
  <c r="AS287" i="15"/>
  <c r="AS306" i="15" s="1"/>
  <c r="AS308" i="15" s="1"/>
  <c r="AS145" i="15"/>
  <c r="AS129" i="15"/>
  <c r="AS139" i="15"/>
  <c r="W135" i="15"/>
  <c r="W201" i="15" s="1"/>
  <c r="W260" i="15" s="1"/>
  <c r="K129" i="15"/>
  <c r="K289" i="15" s="1"/>
  <c r="AL42" i="15"/>
  <c r="K37" i="15"/>
  <c r="AF79" i="15"/>
  <c r="D978" i="17"/>
  <c r="D979" i="17"/>
  <c r="D990" i="17"/>
  <c r="J980" i="17"/>
  <c r="D988" i="17"/>
  <c r="D982" i="17"/>
  <c r="D983" i="17"/>
  <c r="D981" i="17"/>
  <c r="D977" i="17"/>
  <c r="D984" i="17"/>
  <c r="C629" i="17"/>
  <c r="D628" i="17"/>
  <c r="D629" i="17" s="1"/>
  <c r="D830" i="17"/>
  <c r="D832" i="17"/>
  <c r="D896" i="17"/>
  <c r="D829" i="17"/>
  <c r="D842" i="17"/>
  <c r="D886" i="17"/>
  <c r="D835" i="17"/>
  <c r="D839" i="17"/>
  <c r="D828" i="17"/>
  <c r="D882" i="17"/>
  <c r="D889" i="17"/>
  <c r="D841" i="17"/>
  <c r="D840" i="17"/>
  <c r="D834" i="17"/>
  <c r="D884" i="17"/>
  <c r="D831" i="17"/>
  <c r="D837" i="17"/>
  <c r="D849" i="17"/>
  <c r="J885" i="17"/>
  <c r="D887" i="17"/>
  <c r="D843" i="17"/>
  <c r="D827" i="17"/>
  <c r="D883" i="17"/>
  <c r="D888" i="17"/>
  <c r="D836" i="17"/>
  <c r="D885" i="17"/>
  <c r="D847" i="17"/>
  <c r="C890" i="17"/>
  <c r="C891" i="17" s="1"/>
  <c r="D838" i="17"/>
  <c r="D881" i="17"/>
  <c r="D908" i="17"/>
  <c r="D909" i="17" s="1"/>
  <c r="D833" i="17"/>
  <c r="AA43" i="15"/>
  <c r="AB47" i="15"/>
  <c r="AB43" i="15" s="1"/>
  <c r="AD247" i="15"/>
  <c r="AE76" i="15"/>
  <c r="AD188" i="15"/>
  <c r="AA187" i="15"/>
  <c r="AB75" i="15"/>
  <c r="AA246" i="15"/>
  <c r="C940" i="17"/>
  <c r="D938" i="17"/>
  <c r="AJ77" i="15"/>
  <c r="AI189" i="15"/>
  <c r="AI248" i="15"/>
  <c r="W191" i="15"/>
  <c r="W250" i="15"/>
  <c r="X79" i="15"/>
  <c r="AI130" i="15"/>
  <c r="C1077" i="17"/>
  <c r="AF130" i="15"/>
  <c r="C1214" i="17"/>
  <c r="AL181" i="15"/>
  <c r="K145" i="15"/>
  <c r="K257" i="15" s="1"/>
  <c r="K46" i="15"/>
  <c r="K48" i="15" s="1"/>
  <c r="C139" i="15"/>
  <c r="C145" i="15"/>
  <c r="C129" i="15"/>
  <c r="C135" i="15"/>
  <c r="C287" i="15"/>
  <c r="C306" i="15" s="1"/>
  <c r="C308" i="15" s="1"/>
  <c r="C37" i="15"/>
  <c r="D1036" i="17"/>
  <c r="X70" i="15"/>
  <c r="W241" i="15"/>
  <c r="W182" i="15"/>
  <c r="AI95" i="15"/>
  <c r="AI283" i="15" s="1"/>
  <c r="AI302" i="15" s="1"/>
  <c r="AE237" i="15"/>
  <c r="AF66" i="15"/>
  <c r="AF95" i="15" s="1"/>
  <c r="AF283" i="15" s="1"/>
  <c r="AF302" i="15" s="1"/>
  <c r="AE178" i="15"/>
  <c r="AJ278" i="15"/>
  <c r="AJ297" i="15" s="1"/>
  <c r="AJ108" i="15"/>
  <c r="AK130" i="15"/>
  <c r="C985" i="17"/>
  <c r="AM25" i="15"/>
  <c r="AM46" i="15"/>
  <c r="AM35" i="15"/>
  <c r="AA242" i="15"/>
  <c r="AA183" i="15"/>
  <c r="AO278" i="15"/>
  <c r="AO297" i="15" s="1"/>
  <c r="AO108" i="15"/>
  <c r="AB183" i="15"/>
  <c r="AB242" i="15"/>
  <c r="AS234" i="15"/>
  <c r="AS223" i="15"/>
  <c r="AS224" i="15" s="1"/>
  <c r="AS230" i="15"/>
  <c r="AA197" i="15"/>
  <c r="AA256" i="15"/>
  <c r="K25" i="15"/>
  <c r="K40" i="15" s="1"/>
  <c r="X132" i="15"/>
  <c r="X282" i="15"/>
  <c r="X301" i="15" s="1"/>
  <c r="AC140" i="15"/>
  <c r="AC289" i="15"/>
  <c r="AC156" i="15"/>
  <c r="AC215" i="15" s="1"/>
  <c r="AC144" i="15"/>
  <c r="C50" i="15"/>
  <c r="C53" i="15"/>
  <c r="J246" i="15"/>
  <c r="J251" i="15"/>
  <c r="J243" i="15"/>
  <c r="J245" i="15"/>
  <c r="J248" i="15"/>
  <c r="J242" i="15"/>
  <c r="J240" i="15"/>
  <c r="J237" i="15"/>
  <c r="J297" i="15"/>
  <c r="J223" i="15"/>
  <c r="J247" i="15"/>
  <c r="J241" i="15"/>
  <c r="J250" i="15"/>
  <c r="J236" i="15"/>
  <c r="J238" i="15"/>
  <c r="J235" i="15"/>
  <c r="J303" i="15"/>
  <c r="AA69" i="15"/>
  <c r="Z42" i="15"/>
  <c r="Z97" i="15"/>
  <c r="Z284" i="15" s="1"/>
  <c r="Z303" i="15" s="1"/>
  <c r="Z240" i="15"/>
  <c r="Z181" i="15"/>
  <c r="BM35" i="15"/>
  <c r="BM46" i="15"/>
  <c r="BM48" i="15" s="1"/>
  <c r="AH49" i="15" s="1"/>
  <c r="AH90" i="15"/>
  <c r="BM25" i="15"/>
  <c r="AQ25" i="15"/>
  <c r="AL278" i="15"/>
  <c r="AL297" i="15" s="1"/>
  <c r="AL108" i="15"/>
  <c r="W184" i="15"/>
  <c r="X73" i="15"/>
  <c r="W243" i="15"/>
  <c r="AE242" i="15"/>
  <c r="AE183" i="15"/>
  <c r="AF71" i="15"/>
  <c r="AD248" i="15"/>
  <c r="AE77" i="15"/>
  <c r="AD189" i="15"/>
  <c r="K137" i="15"/>
  <c r="AR137" i="15" s="1"/>
  <c r="K305" i="15"/>
  <c r="AJ67" i="15"/>
  <c r="AJ238" i="15" s="1"/>
  <c r="AH156" i="15"/>
  <c r="AH215" i="15" s="1"/>
  <c r="D894" i="17"/>
  <c r="AA178" i="15"/>
  <c r="AA237" i="15"/>
  <c r="AM278" i="15"/>
  <c r="AM297" i="15" s="1"/>
  <c r="AM108" i="15"/>
  <c r="D714" i="17"/>
  <c r="D715" i="17" s="1"/>
  <c r="C715" i="17"/>
  <c r="AF177" i="15"/>
  <c r="AF236" i="15"/>
  <c r="D649" i="17"/>
  <c r="J656" i="17"/>
  <c r="D648" i="17"/>
  <c r="I305" i="15"/>
  <c r="AI188" i="15"/>
  <c r="AJ76" i="15"/>
  <c r="AI247" i="15"/>
  <c r="X140" i="15"/>
  <c r="X289" i="15"/>
  <c r="X144" i="15"/>
  <c r="X156" i="15"/>
  <c r="X215" i="15" s="1"/>
  <c r="AO52" i="15"/>
  <c r="AJ137" i="15"/>
  <c r="I140" i="15"/>
  <c r="D1025" i="17"/>
  <c r="D1024" i="17"/>
  <c r="D1026" i="17"/>
  <c r="D1023" i="17"/>
  <c r="J1027" i="17"/>
  <c r="D1029" i="17"/>
  <c r="D1030" i="17"/>
  <c r="AB237" i="15"/>
  <c r="AB178" i="15"/>
  <c r="AE95" i="15"/>
  <c r="AE283" i="15" s="1"/>
  <c r="AE302" i="15" s="1"/>
  <c r="AD95" i="15"/>
  <c r="AD283" i="15" s="1"/>
  <c r="AD302" i="15" s="1"/>
  <c r="AT108" i="15"/>
  <c r="AT278" i="15"/>
  <c r="AT297" i="15" s="1"/>
  <c r="AC132" i="15"/>
  <c r="AC282" i="15"/>
  <c r="AC301" i="15" s="1"/>
  <c r="C39" i="15"/>
  <c r="C28" i="15"/>
  <c r="C96" i="15" s="1"/>
  <c r="C40" i="15"/>
  <c r="X75" i="15"/>
  <c r="W187" i="15"/>
  <c r="W246" i="15"/>
  <c r="AA58" i="15"/>
  <c r="AD94" i="15"/>
  <c r="W257" i="15"/>
  <c r="W198" i="15"/>
  <c r="J1212" i="17"/>
  <c r="J1213" i="17" s="1"/>
  <c r="J1217" i="17"/>
  <c r="Z50" i="15"/>
  <c r="Z53" i="15"/>
  <c r="C1406" i="17"/>
  <c r="D1405" i="17"/>
  <c r="D1406" i="17" s="1"/>
  <c r="J777" i="17"/>
  <c r="D773" i="17"/>
  <c r="D774" i="17"/>
  <c r="D782" i="17"/>
  <c r="D778" i="17"/>
  <c r="D780" i="17"/>
  <c r="D785" i="17"/>
  <c r="D788" i="17"/>
  <c r="D781" i="17"/>
  <c r="D783" i="17"/>
  <c r="D793" i="17"/>
  <c r="D775" i="17"/>
  <c r="D789" i="17"/>
  <c r="D787" i="17"/>
  <c r="D779" i="17"/>
  <c r="D777" i="17"/>
  <c r="D776" i="17"/>
  <c r="D784" i="17"/>
  <c r="D786" i="17"/>
  <c r="D795" i="17"/>
  <c r="AF238" i="15"/>
  <c r="AF179" i="15"/>
  <c r="AK50" i="15"/>
  <c r="AK53" i="15"/>
  <c r="AK49" i="15"/>
  <c r="W237" i="15"/>
  <c r="W178" i="15"/>
  <c r="X66" i="15"/>
  <c r="AH39" i="15"/>
  <c r="AH40" i="15"/>
  <c r="AH28" i="15"/>
  <c r="AN129" i="15"/>
  <c r="AN139" i="15"/>
  <c r="AN37" i="15"/>
  <c r="AN287" i="15"/>
  <c r="AN306" i="15" s="1"/>
  <c r="AN308" i="15" s="1"/>
  <c r="AN145" i="15"/>
  <c r="F282" i="15"/>
  <c r="F301" i="15" s="1"/>
  <c r="AB94" i="15"/>
  <c r="AT37" i="15"/>
  <c r="AT139" i="15"/>
  <c r="AT129" i="15"/>
  <c r="AT145" i="15"/>
  <c r="AT287" i="15"/>
  <c r="AT306" i="15" s="1"/>
  <c r="AT308" i="15" s="1"/>
  <c r="AN43" i="15"/>
  <c r="AM47" i="15"/>
  <c r="AD198" i="15"/>
  <c r="AD257" i="15"/>
  <c r="AD144" i="15"/>
  <c r="AD289" i="15"/>
  <c r="AD140" i="15"/>
  <c r="AD156" i="15"/>
  <c r="AD215" i="15" s="1"/>
  <c r="AB35" i="15"/>
  <c r="AB25" i="15"/>
  <c r="AD90" i="15"/>
  <c r="AE90" i="15"/>
  <c r="AB46" i="15"/>
  <c r="U257" i="15"/>
  <c r="U198" i="15"/>
  <c r="H37" i="15"/>
  <c r="H287" i="15"/>
  <c r="H306" i="15" s="1"/>
  <c r="H308" i="15" s="1"/>
  <c r="H135" i="15"/>
  <c r="H145" i="15"/>
  <c r="H139" i="15"/>
  <c r="H129" i="15"/>
  <c r="C652" i="17"/>
  <c r="D650" i="17"/>
  <c r="D1031" i="17"/>
  <c r="C1033" i="17"/>
  <c r="W64" i="15"/>
  <c r="V235" i="15"/>
  <c r="V176" i="15"/>
  <c r="U40" i="15"/>
  <c r="U39" i="15"/>
  <c r="U28" i="15"/>
  <c r="AH53" i="15"/>
  <c r="AH50" i="15"/>
  <c r="U156" i="15"/>
  <c r="U215" i="15" s="1"/>
  <c r="U140" i="15"/>
  <c r="U144" i="15"/>
  <c r="Y58" i="15"/>
  <c r="Y94" i="15"/>
  <c r="Z94" i="15"/>
  <c r="AA94" i="15"/>
  <c r="D1253" i="17"/>
  <c r="D1286" i="17"/>
  <c r="D1255" i="17"/>
  <c r="D1256" i="17"/>
  <c r="D1250" i="17"/>
  <c r="D1252" i="17"/>
  <c r="D1282" i="17"/>
  <c r="D1283" i="17"/>
  <c r="D1254" i="17"/>
  <c r="D1287" i="17"/>
  <c r="J1258" i="17"/>
  <c r="D1285" i="17"/>
  <c r="D1251" i="17"/>
  <c r="J1254" i="17"/>
  <c r="D1263" i="17"/>
  <c r="J1255" i="17"/>
  <c r="D1284" i="17"/>
  <c r="D1257" i="17"/>
  <c r="D1261" i="17"/>
  <c r="D1275" i="17"/>
  <c r="D1276" i="17" s="1"/>
  <c r="J1257" i="17"/>
  <c r="J1256" i="17"/>
  <c r="J1260" i="17"/>
  <c r="C573" i="17"/>
  <c r="Y25" i="15"/>
  <c r="Y46" i="15"/>
  <c r="Y48" i="15" s="1"/>
  <c r="Y35" i="15"/>
  <c r="AA90" i="15"/>
  <c r="Z90" i="15"/>
  <c r="E40" i="15"/>
  <c r="E39" i="15"/>
  <c r="E28" i="15"/>
  <c r="AD35" i="15"/>
  <c r="AD25" i="15"/>
  <c r="AD46" i="15"/>
  <c r="AD48" i="15" s="1"/>
  <c r="D1034" i="17"/>
  <c r="C1048" i="17"/>
  <c r="AH97" i="15"/>
  <c r="AH284" i="15" s="1"/>
  <c r="AH303" i="15" s="1"/>
  <c r="AH42" i="15"/>
  <c r="AI69" i="15"/>
  <c r="AH240" i="15"/>
  <c r="AH181" i="15"/>
  <c r="W53" i="15"/>
  <c r="W50" i="15"/>
  <c r="AR278" i="15"/>
  <c r="AR297" i="15" s="1"/>
  <c r="X188" i="15"/>
  <c r="X247" i="15"/>
  <c r="Z289" i="15"/>
  <c r="Z140" i="15"/>
  <c r="Z156" i="15"/>
  <c r="Z215" i="15" s="1"/>
  <c r="Z144" i="15"/>
  <c r="F135" i="15"/>
  <c r="F134" i="15"/>
  <c r="AI40" i="15"/>
  <c r="AI39" i="15"/>
  <c r="AI28" i="15"/>
  <c r="AG55" i="15"/>
  <c r="AG171" i="15"/>
  <c r="AG173" i="15" s="1"/>
  <c r="AG63" i="15"/>
  <c r="AG230" i="15"/>
  <c r="H28" i="15"/>
  <c r="H39" i="15"/>
  <c r="H40" i="15"/>
  <c r="X17" i="15"/>
  <c r="X12" i="15"/>
  <c r="AI177" i="15"/>
  <c r="AJ65" i="15"/>
  <c r="AI236" i="15"/>
  <c r="AJ191" i="15"/>
  <c r="AJ250" i="15"/>
  <c r="AB108" i="15"/>
  <c r="AB278" i="15"/>
  <c r="AB297" i="15" s="1"/>
  <c r="BM42" i="15"/>
  <c r="Y90" i="15"/>
  <c r="AF94" i="15"/>
  <c r="AA95" i="15"/>
  <c r="AA283" i="15" s="1"/>
  <c r="AA302" i="15" s="1"/>
  <c r="AD108" i="15"/>
  <c r="AD278" i="15"/>
  <c r="AD297" i="15" s="1"/>
  <c r="X238" i="15"/>
  <c r="X179" i="15"/>
  <c r="AA182" i="15"/>
  <c r="AB70" i="15"/>
  <c r="AA241" i="15"/>
  <c r="K159" i="15"/>
  <c r="AT302" i="15"/>
  <c r="AT303" i="15"/>
  <c r="AT304" i="15"/>
  <c r="Z39" i="15"/>
  <c r="Z40" i="15"/>
  <c r="Z28" i="15"/>
  <c r="Z198" i="15"/>
  <c r="Z257" i="15"/>
  <c r="AE94" i="15"/>
  <c r="AB58" i="15"/>
  <c r="D1417" i="17" l="1"/>
  <c r="AW232" i="15"/>
  <c r="AZ272" i="15"/>
  <c r="AZ311" i="15"/>
  <c r="AZ310" i="15"/>
  <c r="AZ271" i="15"/>
  <c r="E288" i="15"/>
  <c r="E307" i="15" s="1"/>
  <c r="AG232" i="15"/>
  <c r="M271" i="15"/>
  <c r="M272" i="15"/>
  <c r="H272" i="15"/>
  <c r="H271" i="15"/>
  <c r="J308" i="15"/>
  <c r="AB257" i="15"/>
  <c r="K308" i="15"/>
  <c r="I308" i="15"/>
  <c r="L308" i="15"/>
  <c r="G288" i="15"/>
  <c r="G307" i="15" s="1"/>
  <c r="AM287" i="15"/>
  <c r="AM306" i="15" s="1"/>
  <c r="AM308" i="15" s="1"/>
  <c r="AG92" i="15"/>
  <c r="AG154" i="15" s="1"/>
  <c r="AL39" i="15"/>
  <c r="AL171" i="15"/>
  <c r="AL173" i="15" s="1"/>
  <c r="AB197" i="15"/>
  <c r="AL40" i="15"/>
  <c r="AL63" i="15"/>
  <c r="AL175" i="15" s="1"/>
  <c r="M232" i="15"/>
  <c r="AV186" i="15"/>
  <c r="M266" i="15"/>
  <c r="M265" i="15"/>
  <c r="M300" i="15"/>
  <c r="M310" i="15"/>
  <c r="M311" i="15"/>
  <c r="D573" i="17"/>
  <c r="D577" i="17" s="1"/>
  <c r="AQ90" i="15"/>
  <c r="AP90" i="15"/>
  <c r="AZ231" i="15"/>
  <c r="AZ172" i="15"/>
  <c r="AA97" i="15"/>
  <c r="AA284" i="15" s="1"/>
  <c r="AA303" i="15" s="1"/>
  <c r="AL139" i="15"/>
  <c r="AO90" i="15"/>
  <c r="AA40" i="15"/>
  <c r="AN90" i="15"/>
  <c r="AN25" i="15"/>
  <c r="AN40" i="15" s="1"/>
  <c r="AO144" i="15"/>
  <c r="AO256" i="15" s="1"/>
  <c r="AA39" i="15"/>
  <c r="AN35" i="15"/>
  <c r="AW154" i="15"/>
  <c r="AW153" i="15"/>
  <c r="AA189" i="15"/>
  <c r="AG144" i="15"/>
  <c r="AG197" i="15" s="1"/>
  <c r="AA248" i="15"/>
  <c r="C385" i="17"/>
  <c r="AY153" i="15"/>
  <c r="AY154" i="15"/>
  <c r="AG289" i="15"/>
  <c r="C424" i="17"/>
  <c r="E419" i="17" s="1"/>
  <c r="AX154" i="15"/>
  <c r="AX153" i="15"/>
  <c r="I197" i="15"/>
  <c r="AG156" i="15"/>
  <c r="AG215" i="15" s="1"/>
  <c r="AX279" i="15"/>
  <c r="AX298" i="15" s="1"/>
  <c r="AY279" i="15"/>
  <c r="AY203" i="15"/>
  <c r="AY148" i="15"/>
  <c r="AY147" i="15"/>
  <c r="G28" i="15"/>
  <c r="G96" i="15" s="1"/>
  <c r="AM90" i="15"/>
  <c r="AX147" i="15"/>
  <c r="AX292" i="15" s="1"/>
  <c r="AW224" i="15"/>
  <c r="AX203" i="15"/>
  <c r="AX291" i="15"/>
  <c r="AX207" i="15"/>
  <c r="G40" i="15"/>
  <c r="BL28" i="15"/>
  <c r="AG96" i="15" s="1"/>
  <c r="H68" i="15"/>
  <c r="H72" i="15" s="1"/>
  <c r="J140" i="15"/>
  <c r="Y256" i="15"/>
  <c r="E234" i="15"/>
  <c r="E262" i="15" s="1"/>
  <c r="I257" i="15"/>
  <c r="AJ235" i="15"/>
  <c r="L207" i="15"/>
  <c r="AL55" i="15"/>
  <c r="AL230" i="15"/>
  <c r="AM37" i="15"/>
  <c r="AO140" i="15"/>
  <c r="E198" i="15"/>
  <c r="D790" i="17"/>
  <c r="D792" i="17" s="1"/>
  <c r="E134" i="15"/>
  <c r="E290" i="15" s="1"/>
  <c r="E309" i="15" s="1"/>
  <c r="AO156" i="15"/>
  <c r="AO215" i="15" s="1"/>
  <c r="AW279" i="15"/>
  <c r="C463" i="17"/>
  <c r="AW203" i="15"/>
  <c r="AW148" i="15"/>
  <c r="AW147" i="15"/>
  <c r="E140" i="15"/>
  <c r="E57" i="15"/>
  <c r="E93" i="15" s="1"/>
  <c r="E151" i="15" s="1"/>
  <c r="E210" i="15" s="1"/>
  <c r="E92" i="15"/>
  <c r="E153" i="15" s="1"/>
  <c r="E289" i="15"/>
  <c r="AJ37" i="15"/>
  <c r="E171" i="15"/>
  <c r="E173" i="15" s="1"/>
  <c r="E175" i="15"/>
  <c r="E230" i="15"/>
  <c r="E232" i="15" s="1"/>
  <c r="AM129" i="15"/>
  <c r="AM140" i="15" s="1"/>
  <c r="C1195" i="17"/>
  <c r="D1195" i="17" s="1"/>
  <c r="U50" i="15"/>
  <c r="C1194" i="17"/>
  <c r="D1194" i="17" s="1"/>
  <c r="AR129" i="15"/>
  <c r="AR289" i="15" s="1"/>
  <c r="C1199" i="17"/>
  <c r="D1199" i="17" s="1"/>
  <c r="AR145" i="15"/>
  <c r="AR198" i="15" s="1"/>
  <c r="J257" i="15"/>
  <c r="H175" i="15"/>
  <c r="C1196" i="17"/>
  <c r="D1196" i="17" s="1"/>
  <c r="W40" i="15"/>
  <c r="AR139" i="15"/>
  <c r="AL129" i="15"/>
  <c r="AL289" i="15" s="1"/>
  <c r="AJ90" i="15"/>
  <c r="AL37" i="15"/>
  <c r="D1170" i="17"/>
  <c r="D1172" i="17" s="1"/>
  <c r="D1176" i="17" s="1"/>
  <c r="C1197" i="17"/>
  <c r="D1197" i="17" s="1"/>
  <c r="J91" i="15"/>
  <c r="F230" i="15"/>
  <c r="F232" i="15" s="1"/>
  <c r="AL145" i="15"/>
  <c r="AL257" i="15" s="1"/>
  <c r="C1176" i="17"/>
  <c r="J53" i="15"/>
  <c r="J171" i="15" s="1"/>
  <c r="J173" i="15" s="1"/>
  <c r="F52" i="15"/>
  <c r="C1198" i="17"/>
  <c r="D1198" i="17" s="1"/>
  <c r="AQ156" i="15"/>
  <c r="AQ215" i="15" s="1"/>
  <c r="C613" i="17"/>
  <c r="C617" i="17" s="1"/>
  <c r="AS39" i="15"/>
  <c r="AJ46" i="15"/>
  <c r="AJ48" i="15" s="1"/>
  <c r="AN49" i="15" s="1"/>
  <c r="D844" i="17"/>
  <c r="D846" i="17" s="1"/>
  <c r="D848" i="17" s="1"/>
  <c r="AH197" i="15"/>
  <c r="J156" i="15"/>
  <c r="J215" i="15" s="1"/>
  <c r="AQ257" i="15"/>
  <c r="L212" i="15"/>
  <c r="AJ25" i="15"/>
  <c r="AK90" i="15"/>
  <c r="J144" i="15"/>
  <c r="L213" i="15"/>
  <c r="E55" i="15"/>
  <c r="AQ144" i="15"/>
  <c r="AQ197" i="15" s="1"/>
  <c r="E144" i="15"/>
  <c r="E256" i="15" s="1"/>
  <c r="AL90" i="15"/>
  <c r="L292" i="15"/>
  <c r="L206" i="15"/>
  <c r="C506" i="17"/>
  <c r="AM145" i="15"/>
  <c r="AP172" i="15"/>
  <c r="C794" i="17"/>
  <c r="C801" i="17" s="1"/>
  <c r="C816" i="17"/>
  <c r="D816" i="17" s="1"/>
  <c r="C562" i="17"/>
  <c r="D562" i="17" s="1"/>
  <c r="C538" i="17"/>
  <c r="C545" i="17" s="1"/>
  <c r="C558" i="17"/>
  <c r="D558" i="17" s="1"/>
  <c r="AU198" i="15"/>
  <c r="AS28" i="15"/>
  <c r="AR287" i="15"/>
  <c r="AR306" i="15" s="1"/>
  <c r="AR308" i="15" s="1"/>
  <c r="Z49" i="15"/>
  <c r="H281" i="15"/>
  <c r="J49" i="15"/>
  <c r="AA235" i="15"/>
  <c r="AA176" i="15"/>
  <c r="AB64" i="15"/>
  <c r="C814" i="17"/>
  <c r="D814" i="17" s="1"/>
  <c r="C818" i="17"/>
  <c r="D818" i="17" s="1"/>
  <c r="H154" i="15"/>
  <c r="C815" i="17"/>
  <c r="D815" i="17" s="1"/>
  <c r="H153" i="15"/>
  <c r="H212" i="15" s="1"/>
  <c r="H203" i="15"/>
  <c r="C796" i="17"/>
  <c r="AQ140" i="15"/>
  <c r="H148" i="15"/>
  <c r="H207" i="15" s="1"/>
  <c r="AP139" i="15"/>
  <c r="AP129" i="15"/>
  <c r="AP287" i="15"/>
  <c r="AP306" i="15" s="1"/>
  <c r="AP308" i="15" s="1"/>
  <c r="AP145" i="15"/>
  <c r="AP37" i="15"/>
  <c r="AJ139" i="15"/>
  <c r="AJ287" i="15"/>
  <c r="AJ306" i="15" s="1"/>
  <c r="AJ308" i="15" s="1"/>
  <c r="AT49" i="15"/>
  <c r="AT50" i="15"/>
  <c r="D697" i="17"/>
  <c r="D699" i="17" s="1"/>
  <c r="D701" i="17" s="1"/>
  <c r="C699" i="17"/>
  <c r="AV140" i="15"/>
  <c r="L140" i="15"/>
  <c r="AJ129" i="15"/>
  <c r="AJ144" i="15" s="1"/>
  <c r="BL39" i="15"/>
  <c r="AT28" i="15"/>
  <c r="AT39" i="15"/>
  <c r="AT40" i="15"/>
  <c r="AO50" i="15"/>
  <c r="AS50" i="15"/>
  <c r="AJ179" i="15"/>
  <c r="E52" i="15"/>
  <c r="F171" i="15"/>
  <c r="F173" i="15" s="1"/>
  <c r="AO40" i="15"/>
  <c r="K91" i="15"/>
  <c r="L49" i="15"/>
  <c r="L248" i="15"/>
  <c r="L250" i="15"/>
  <c r="L246" i="15"/>
  <c r="L238" i="15"/>
  <c r="L243" i="15"/>
  <c r="L245" i="15"/>
  <c r="L223" i="15"/>
  <c r="M224" i="15" s="1"/>
  <c r="L251" i="15"/>
  <c r="L241" i="15"/>
  <c r="L242" i="15"/>
  <c r="L247" i="15"/>
  <c r="L237" i="15"/>
  <c r="L297" i="15"/>
  <c r="L235" i="15"/>
  <c r="L236" i="15"/>
  <c r="L240" i="15"/>
  <c r="L303" i="15"/>
  <c r="L230" i="15"/>
  <c r="L302" i="15"/>
  <c r="L234" i="15"/>
  <c r="L262" i="15" s="1"/>
  <c r="L265" i="15" s="1"/>
  <c r="AE176" i="15"/>
  <c r="AE235" i="15"/>
  <c r="AO39" i="15"/>
  <c r="L298" i="15"/>
  <c r="C561" i="17"/>
  <c r="D561" i="17" s="1"/>
  <c r="C559" i="17"/>
  <c r="D559" i="17" s="1"/>
  <c r="D156" i="15"/>
  <c r="D215" i="15" s="1"/>
  <c r="AU140" i="15"/>
  <c r="C560" i="17"/>
  <c r="D560" i="17" s="1"/>
  <c r="C540" i="17"/>
  <c r="AE243" i="15"/>
  <c r="AE184" i="15"/>
  <c r="AF73" i="15"/>
  <c r="AF184" i="15" s="1"/>
  <c r="AG54" i="15"/>
  <c r="AG172" i="15" s="1"/>
  <c r="BL57" i="15"/>
  <c r="AF241" i="15"/>
  <c r="D144" i="15"/>
  <c r="D256" i="15" s="1"/>
  <c r="F57" i="15"/>
  <c r="F93" i="15" s="1"/>
  <c r="F150" i="15" s="1"/>
  <c r="W39" i="15"/>
  <c r="AH91" i="15"/>
  <c r="F54" i="15"/>
  <c r="F172" i="15" s="1"/>
  <c r="V50" i="15"/>
  <c r="AU156" i="15"/>
  <c r="AU215" i="15" s="1"/>
  <c r="AU144" i="15"/>
  <c r="AU256" i="15" s="1"/>
  <c r="F63" i="15"/>
  <c r="F92" i="15"/>
  <c r="AH198" i="15"/>
  <c r="J224" i="15"/>
  <c r="C1150" i="17"/>
  <c r="D1150" i="17" s="1"/>
  <c r="D134" i="15"/>
  <c r="D290" i="15" s="1"/>
  <c r="D309" i="15" s="1"/>
  <c r="AB184" i="15"/>
  <c r="C1151" i="17"/>
  <c r="D1151" i="17" s="1"/>
  <c r="C1148" i="17"/>
  <c r="D1148" i="17" s="1"/>
  <c r="D201" i="15"/>
  <c r="D260" i="15" s="1"/>
  <c r="D140" i="15"/>
  <c r="C1130" i="17"/>
  <c r="AI50" i="15"/>
  <c r="AI53" i="15"/>
  <c r="AI91" i="15"/>
  <c r="C1128" i="17"/>
  <c r="C1135" i="17" s="1"/>
  <c r="C1149" i="17"/>
  <c r="D1149" i="17" s="1"/>
  <c r="D1124" i="17"/>
  <c r="D1126" i="17" s="1"/>
  <c r="D1130" i="17" s="1"/>
  <c r="D40" i="15"/>
  <c r="C1152" i="17"/>
  <c r="D1152" i="17" s="1"/>
  <c r="AT90" i="15"/>
  <c r="D53" i="15"/>
  <c r="E54" i="15" s="1"/>
  <c r="D50" i="15"/>
  <c r="AR46" i="15"/>
  <c r="AR48" i="15" s="1"/>
  <c r="AU90" i="15"/>
  <c r="AR90" i="15"/>
  <c r="AR35" i="15"/>
  <c r="AR25" i="15"/>
  <c r="AI49" i="15"/>
  <c r="AE50" i="15"/>
  <c r="K39" i="15"/>
  <c r="AS49" i="15"/>
  <c r="D49" i="15"/>
  <c r="K28" i="15"/>
  <c r="K96" i="15" s="1"/>
  <c r="BL49" i="15"/>
  <c r="X69" i="15"/>
  <c r="W42" i="15"/>
  <c r="W181" i="15"/>
  <c r="W240" i="15"/>
  <c r="H49" i="15"/>
  <c r="G49" i="15"/>
  <c r="G50" i="15"/>
  <c r="G53" i="15"/>
  <c r="V256" i="15"/>
  <c r="V197" i="15"/>
  <c r="D91" i="15"/>
  <c r="I39" i="15"/>
  <c r="I40" i="15"/>
  <c r="I28" i="15"/>
  <c r="I96" i="15" s="1"/>
  <c r="K198" i="15"/>
  <c r="K144" i="15"/>
  <c r="K256" i="15" s="1"/>
  <c r="I91" i="15"/>
  <c r="I50" i="15"/>
  <c r="I53" i="15"/>
  <c r="I49" i="15"/>
  <c r="D39" i="15"/>
  <c r="AF52" i="15"/>
  <c r="AE53" i="15"/>
  <c r="C1397" i="17"/>
  <c r="C1349" i="17"/>
  <c r="C1356" i="17" s="1"/>
  <c r="D940" i="17"/>
  <c r="D942" i="17" s="1"/>
  <c r="C1392" i="17"/>
  <c r="C1399" i="17" s="1"/>
  <c r="D1258" i="17"/>
  <c r="D1260" i="17" s="1"/>
  <c r="C1305" i="17"/>
  <c r="C1312" i="17" s="1"/>
  <c r="AJ243" i="15"/>
  <c r="AJ184" i="15"/>
  <c r="K50" i="15"/>
  <c r="D613" i="17"/>
  <c r="G289" i="15"/>
  <c r="G144" i="15"/>
  <c r="G134" i="15"/>
  <c r="G140" i="15"/>
  <c r="G156" i="15"/>
  <c r="G215" i="15" s="1"/>
  <c r="K156" i="15"/>
  <c r="K215" i="15" s="1"/>
  <c r="D652" i="17"/>
  <c r="D656" i="17" s="1"/>
  <c r="AF235" i="15"/>
  <c r="AS156" i="15"/>
  <c r="AS215" i="15" s="1"/>
  <c r="AS144" i="15"/>
  <c r="AS140" i="15"/>
  <c r="AS289" i="15"/>
  <c r="G257" i="15"/>
  <c r="G198" i="15"/>
  <c r="AC50" i="15"/>
  <c r="AC53" i="15"/>
  <c r="K140" i="15"/>
  <c r="AF191" i="15"/>
  <c r="AF250" i="15"/>
  <c r="C1262" i="17"/>
  <c r="C1269" i="17" s="1"/>
  <c r="C1264" i="17"/>
  <c r="AC40" i="15"/>
  <c r="AC39" i="15"/>
  <c r="AC28" i="15"/>
  <c r="AF246" i="15"/>
  <c r="AF187" i="15"/>
  <c r="AJ182" i="15"/>
  <c r="AJ241" i="15"/>
  <c r="AB48" i="15"/>
  <c r="AB53" i="15" s="1"/>
  <c r="AS257" i="15"/>
  <c r="AS198" i="15"/>
  <c r="AE287" i="15"/>
  <c r="AE306" i="15" s="1"/>
  <c r="AE308" i="15" s="1"/>
  <c r="AE145" i="15"/>
  <c r="AE37" i="15"/>
  <c r="AE139" i="15"/>
  <c r="AE129" i="15"/>
  <c r="AF46" i="15"/>
  <c r="AF48" i="15" s="1"/>
  <c r="AF91" i="15" s="1"/>
  <c r="AF25" i="15"/>
  <c r="AF35" i="15"/>
  <c r="AJ247" i="15"/>
  <c r="AJ188" i="15"/>
  <c r="AB189" i="15"/>
  <c r="AB248" i="15"/>
  <c r="AK37" i="15"/>
  <c r="AK145" i="15"/>
  <c r="AK287" i="15"/>
  <c r="AK306" i="15" s="1"/>
  <c r="AK308" i="15" s="1"/>
  <c r="AK129" i="15"/>
  <c r="AK139" i="15"/>
  <c r="D1214" i="17"/>
  <c r="D1216" i="17" s="1"/>
  <c r="C1216" i="17"/>
  <c r="AF76" i="15"/>
  <c r="AE188" i="15"/>
  <c r="AE247" i="15"/>
  <c r="D891" i="17"/>
  <c r="D893" i="17" s="1"/>
  <c r="AC197" i="15"/>
  <c r="AC256" i="15"/>
  <c r="AF178" i="15"/>
  <c r="AF237" i="15"/>
  <c r="AF287" i="15"/>
  <c r="AF306" i="15" s="1"/>
  <c r="AF308" i="15" s="1"/>
  <c r="AF129" i="15"/>
  <c r="AF37" i="15"/>
  <c r="AF139" i="15"/>
  <c r="AF145" i="15"/>
  <c r="K49" i="15"/>
  <c r="H310" i="15"/>
  <c r="AQ47" i="15"/>
  <c r="AR43" i="15"/>
  <c r="C1079" i="17"/>
  <c r="D1077" i="17"/>
  <c r="D1079" i="17" s="1"/>
  <c r="K53" i="15"/>
  <c r="AF242" i="15"/>
  <c r="AF183" i="15"/>
  <c r="AS232" i="15"/>
  <c r="C288" i="15"/>
  <c r="C307" i="15" s="1"/>
  <c r="C201" i="15"/>
  <c r="C260" i="15" s="1"/>
  <c r="AI139" i="15"/>
  <c r="AI287" i="15"/>
  <c r="AI306" i="15" s="1"/>
  <c r="AI308" i="15" s="1"/>
  <c r="AI145" i="15"/>
  <c r="AI37" i="15"/>
  <c r="AI129" i="15"/>
  <c r="AA50" i="15"/>
  <c r="AE49" i="15"/>
  <c r="AA53" i="15"/>
  <c r="AA54" i="15" s="1"/>
  <c r="AA49" i="15"/>
  <c r="AQ39" i="15"/>
  <c r="AQ40" i="15"/>
  <c r="AQ28" i="15"/>
  <c r="V230" i="15"/>
  <c r="V52" i="15"/>
  <c r="V63" i="15"/>
  <c r="V57" i="15"/>
  <c r="V55" i="15"/>
  <c r="V171" i="15"/>
  <c r="V173" i="15" s="1"/>
  <c r="C144" i="15"/>
  <c r="C156" i="15"/>
  <c r="C215" i="15" s="1"/>
  <c r="C134" i="15"/>
  <c r="C289" i="15"/>
  <c r="C140" i="15"/>
  <c r="X197" i="15"/>
  <c r="X256" i="15"/>
  <c r="BM39" i="15"/>
  <c r="BM40" i="15"/>
  <c r="BM28" i="15"/>
  <c r="AB69" i="15"/>
  <c r="AA240" i="15"/>
  <c r="AA181" i="15"/>
  <c r="AA42" i="15"/>
  <c r="AM28" i="15"/>
  <c r="AM39" i="15"/>
  <c r="AM40" i="15"/>
  <c r="C257" i="15"/>
  <c r="C198" i="15"/>
  <c r="AJ248" i="15"/>
  <c r="AJ189" i="15"/>
  <c r="AB187" i="15"/>
  <c r="AB246" i="15"/>
  <c r="AE189" i="15"/>
  <c r="AE248" i="15"/>
  <c r="AF77" i="15"/>
  <c r="X135" i="15"/>
  <c r="X134" i="15"/>
  <c r="D1033" i="17"/>
  <c r="D1035" i="17" s="1"/>
  <c r="X243" i="15"/>
  <c r="X184" i="15"/>
  <c r="BM53" i="15"/>
  <c r="AH92" i="15" s="1"/>
  <c r="BM50" i="15"/>
  <c r="C171" i="15"/>
  <c r="C173" i="15" s="1"/>
  <c r="C92" i="15"/>
  <c r="C147" i="15" s="1"/>
  <c r="C55" i="15"/>
  <c r="C230" i="15"/>
  <c r="C232" i="15" s="1"/>
  <c r="C57" i="15"/>
  <c r="C93" i="15" s="1"/>
  <c r="C151" i="15" s="1"/>
  <c r="C52" i="15"/>
  <c r="C63" i="15"/>
  <c r="D985" i="17"/>
  <c r="D987" i="17" s="1"/>
  <c r="C987" i="17"/>
  <c r="X241" i="15"/>
  <c r="X182" i="15"/>
  <c r="X250" i="15"/>
  <c r="X191" i="15"/>
  <c r="C966" i="17"/>
  <c r="D966" i="17" s="1"/>
  <c r="C963" i="17"/>
  <c r="D963" i="17" s="1"/>
  <c r="C962" i="17"/>
  <c r="C942" i="17"/>
  <c r="C949" i="17" s="1"/>
  <c r="C944" i="17"/>
  <c r="C964" i="17"/>
  <c r="D964" i="17" s="1"/>
  <c r="C965" i="17"/>
  <c r="D965" i="17" s="1"/>
  <c r="C967" i="17"/>
  <c r="D967" i="17" s="1"/>
  <c r="AB241" i="15"/>
  <c r="AB182" i="15"/>
  <c r="D1288" i="17"/>
  <c r="C848" i="17"/>
  <c r="C870" i="17"/>
  <c r="D870" i="17" s="1"/>
  <c r="C871" i="17"/>
  <c r="D871" i="17" s="1"/>
  <c r="C872" i="17"/>
  <c r="D872" i="17" s="1"/>
  <c r="C850" i="17"/>
  <c r="C868" i="17"/>
  <c r="C869" i="17"/>
  <c r="D869" i="17" s="1"/>
  <c r="X237" i="15"/>
  <c r="X178" i="15"/>
  <c r="AE282" i="15"/>
  <c r="AE301" i="15" s="1"/>
  <c r="AE132" i="15"/>
  <c r="AJ236" i="15"/>
  <c r="AJ177" i="15"/>
  <c r="AG175" i="15"/>
  <c r="AG68" i="15"/>
  <c r="AG72" i="15" s="1"/>
  <c r="AG234" i="15"/>
  <c r="E96" i="15"/>
  <c r="X96" i="15" s="1"/>
  <c r="Y91" i="15"/>
  <c r="Y53" i="15"/>
  <c r="Y49" i="15"/>
  <c r="Y50" i="15"/>
  <c r="AA91" i="15"/>
  <c r="Z91" i="15"/>
  <c r="AC49" i="15"/>
  <c r="AC91" i="15"/>
  <c r="J1261" i="17"/>
  <c r="AA282" i="15"/>
  <c r="AA301" i="15" s="1"/>
  <c r="AA132" i="15"/>
  <c r="AT198" i="15"/>
  <c r="AT257" i="15"/>
  <c r="X187" i="15"/>
  <c r="X246" i="15"/>
  <c r="F200" i="15"/>
  <c r="F259" i="15" s="1"/>
  <c r="F290" i="15"/>
  <c r="F309" i="15" s="1"/>
  <c r="C1049" i="17"/>
  <c r="D1048" i="17"/>
  <c r="D1049" i="17" s="1"/>
  <c r="H201" i="15"/>
  <c r="H260" i="15" s="1"/>
  <c r="H269" i="15" s="1"/>
  <c r="H288" i="15"/>
  <c r="H307" i="15" s="1"/>
  <c r="H312" i="15" s="1"/>
  <c r="H151" i="15"/>
  <c r="X35" i="15"/>
  <c r="X25" i="15"/>
  <c r="X46" i="15"/>
  <c r="X48" i="15" s="1"/>
  <c r="Z256" i="15"/>
  <c r="Z197" i="15"/>
  <c r="AD53" i="15"/>
  <c r="AD49" i="15"/>
  <c r="AD50" i="15"/>
  <c r="Y40" i="15"/>
  <c r="Y28" i="15"/>
  <c r="Y39" i="15"/>
  <c r="Z132" i="15"/>
  <c r="Z282" i="15"/>
  <c r="Z301" i="15" s="1"/>
  <c r="AT156" i="15"/>
  <c r="AT215" i="15" s="1"/>
  <c r="AT140" i="15"/>
  <c r="AT289" i="15"/>
  <c r="AT144" i="15"/>
  <c r="AN140" i="15"/>
  <c r="AN156" i="15"/>
  <c r="AN215" i="15" s="1"/>
  <c r="AN289" i="15"/>
  <c r="AN144" i="15"/>
  <c r="F201" i="15"/>
  <c r="F260" i="15" s="1"/>
  <c r="F288" i="15"/>
  <c r="F307" i="15" s="1"/>
  <c r="W171" i="15"/>
  <c r="W173" i="15" s="1"/>
  <c r="W52" i="15"/>
  <c r="W63" i="15"/>
  <c r="W57" i="15"/>
  <c r="W55" i="15"/>
  <c r="W230" i="15"/>
  <c r="X64" i="15"/>
  <c r="W235" i="15"/>
  <c r="W176" i="15"/>
  <c r="E239" i="15"/>
  <c r="E180" i="15"/>
  <c r="AN50" i="15"/>
  <c r="AD39" i="15"/>
  <c r="AD28" i="15"/>
  <c r="AD40" i="15"/>
  <c r="Y132" i="15"/>
  <c r="Y282" i="15"/>
  <c r="Y301" i="15" s="1"/>
  <c r="AD256" i="15"/>
  <c r="AD197" i="15"/>
  <c r="AD132" i="15"/>
  <c r="AD282" i="15"/>
  <c r="AD301" i="15" s="1"/>
  <c r="AC134" i="15"/>
  <c r="AC135" i="15"/>
  <c r="AH171" i="15"/>
  <c r="AH173" i="15" s="1"/>
  <c r="AH63" i="15"/>
  <c r="AH55" i="15"/>
  <c r="AH230" i="15"/>
  <c r="C678" i="17"/>
  <c r="D678" i="17" s="1"/>
  <c r="C656" i="17"/>
  <c r="C676" i="17"/>
  <c r="D676" i="17" s="1"/>
  <c r="C677" i="17"/>
  <c r="D677" i="17" s="1"/>
  <c r="C675" i="17"/>
  <c r="D675" i="17" s="1"/>
  <c r="C654" i="17"/>
  <c r="C674" i="17"/>
  <c r="C1035" i="17"/>
  <c r="C1057" i="17"/>
  <c r="D1057" i="17" s="1"/>
  <c r="C1060" i="17"/>
  <c r="D1060" i="17" s="1"/>
  <c r="C1037" i="17"/>
  <c r="C1056" i="17"/>
  <c r="D1056" i="17" s="1"/>
  <c r="C1055" i="17"/>
  <c r="C1058" i="17"/>
  <c r="D1058" i="17" s="1"/>
  <c r="C1059" i="17"/>
  <c r="D1059" i="17" s="1"/>
  <c r="AB282" i="15"/>
  <c r="AB301" i="15" s="1"/>
  <c r="AB132" i="15"/>
  <c r="AL54" i="15"/>
  <c r="Z171" i="15"/>
  <c r="Z173" i="15" s="1"/>
  <c r="Z57" i="15"/>
  <c r="Z55" i="15"/>
  <c r="Z63" i="15"/>
  <c r="Z52" i="15"/>
  <c r="Z230" i="15"/>
  <c r="Z54" i="15"/>
  <c r="K223" i="15"/>
  <c r="K224" i="15" s="1"/>
  <c r="K247" i="15"/>
  <c r="K251" i="15"/>
  <c r="K243" i="15"/>
  <c r="K250" i="15"/>
  <c r="K248" i="15"/>
  <c r="K245" i="15"/>
  <c r="K241" i="15"/>
  <c r="K246" i="15"/>
  <c r="K237" i="15"/>
  <c r="K242" i="15"/>
  <c r="K238" i="15"/>
  <c r="K236" i="15"/>
  <c r="K235" i="15"/>
  <c r="K240" i="15"/>
  <c r="K302" i="15"/>
  <c r="K303" i="15"/>
  <c r="K297" i="15"/>
  <c r="H96" i="15"/>
  <c r="AI240" i="15"/>
  <c r="AI97" i="15"/>
  <c r="AI284" i="15" s="1"/>
  <c r="AI303" i="15" s="1"/>
  <c r="AI181" i="15"/>
  <c r="AI42" i="15"/>
  <c r="AJ69" i="15"/>
  <c r="AL97" i="15" s="1"/>
  <c r="AL284" i="15" s="1"/>
  <c r="AL303" i="15" s="1"/>
  <c r="U197" i="15"/>
  <c r="U256" i="15"/>
  <c r="H156" i="15"/>
  <c r="H215" i="15" s="1"/>
  <c r="H144" i="15"/>
  <c r="H134" i="15"/>
  <c r="H140" i="15"/>
  <c r="H289" i="15"/>
  <c r="H311" i="15" s="1"/>
  <c r="H147" i="15"/>
  <c r="AB28" i="15"/>
  <c r="AB39" i="15"/>
  <c r="AB40" i="15"/>
  <c r="AN198" i="15"/>
  <c r="AN257" i="15"/>
  <c r="AO54" i="15"/>
  <c r="AK55" i="15"/>
  <c r="AK63" i="15"/>
  <c r="AK230" i="15"/>
  <c r="AK171" i="15"/>
  <c r="AK173" i="15" s="1"/>
  <c r="AK54" i="15"/>
  <c r="C738" i="17"/>
  <c r="D736" i="17"/>
  <c r="D738" i="17" s="1"/>
  <c r="U63" i="15"/>
  <c r="U55" i="15"/>
  <c r="U57" i="15"/>
  <c r="U230" i="15"/>
  <c r="U171" i="15"/>
  <c r="U173" i="15" s="1"/>
  <c r="U52" i="15"/>
  <c r="AF282" i="15"/>
  <c r="AF301" i="15" s="1"/>
  <c r="AF132" i="15"/>
  <c r="C598" i="17"/>
  <c r="D598" i="17" s="1"/>
  <c r="C597" i="17"/>
  <c r="D597" i="17" s="1"/>
  <c r="C596" i="17"/>
  <c r="D596" i="17" s="1"/>
  <c r="C595" i="17"/>
  <c r="D595" i="17" s="1"/>
  <c r="C599" i="17"/>
  <c r="D599" i="17" s="1"/>
  <c r="C577" i="17"/>
  <c r="C575" i="17"/>
  <c r="AM52" i="15"/>
  <c r="AN52" i="15" s="1"/>
  <c r="AN53" i="15" s="1"/>
  <c r="AP92" i="15" s="1"/>
  <c r="AM48" i="15"/>
  <c r="AP91" i="15" s="1"/>
  <c r="H257" i="15"/>
  <c r="H198" i="15"/>
  <c r="AJ198" i="15"/>
  <c r="AJ257" i="15"/>
  <c r="E272" i="15" l="1"/>
  <c r="E271" i="15"/>
  <c r="AK232" i="15"/>
  <c r="W232" i="15"/>
  <c r="U232" i="15"/>
  <c r="AL232" i="15"/>
  <c r="Z232" i="15"/>
  <c r="AH232" i="15"/>
  <c r="V232" i="15"/>
  <c r="L272" i="15"/>
  <c r="L271" i="15"/>
  <c r="E150" i="15"/>
  <c r="E209" i="15" s="1"/>
  <c r="AO197" i="15"/>
  <c r="AG203" i="15"/>
  <c r="C1177" i="17"/>
  <c r="E1172" i="17" s="1"/>
  <c r="AG153" i="15"/>
  <c r="AG212" i="15" s="1"/>
  <c r="AG148" i="15"/>
  <c r="AG207" i="15" s="1"/>
  <c r="AG279" i="15"/>
  <c r="X93" i="15"/>
  <c r="X204" i="15" s="1"/>
  <c r="X263" i="15" s="1"/>
  <c r="AG147" i="15"/>
  <c r="AG292" i="15" s="1"/>
  <c r="E280" i="15"/>
  <c r="E299" i="15" s="1"/>
  <c r="E313" i="15" s="1"/>
  <c r="AL234" i="15"/>
  <c r="AL68" i="15"/>
  <c r="AN28" i="15"/>
  <c r="AP96" i="15" s="1"/>
  <c r="E203" i="15"/>
  <c r="E265" i="15" s="1"/>
  <c r="AH96" i="15"/>
  <c r="AN39" i="15"/>
  <c r="E204" i="15"/>
  <c r="E263" i="15" s="1"/>
  <c r="E269" i="15" s="1"/>
  <c r="H180" i="15"/>
  <c r="AL144" i="15"/>
  <c r="AL256" i="15" s="1"/>
  <c r="D575" i="17"/>
  <c r="AR144" i="15"/>
  <c r="AR256" i="15" s="1"/>
  <c r="J55" i="15"/>
  <c r="AR140" i="15"/>
  <c r="AX281" i="15"/>
  <c r="H266" i="15"/>
  <c r="AX206" i="15"/>
  <c r="AG256" i="15"/>
  <c r="E148" i="15"/>
  <c r="E207" i="15" s="1"/>
  <c r="C429" i="17"/>
  <c r="E212" i="15"/>
  <c r="X92" i="15"/>
  <c r="X147" i="15" s="1"/>
  <c r="X206" i="15" s="1"/>
  <c r="E154" i="15"/>
  <c r="E200" i="15"/>
  <c r="E259" i="15" s="1"/>
  <c r="E421" i="17"/>
  <c r="AW212" i="15"/>
  <c r="AY213" i="15"/>
  <c r="AW213" i="15"/>
  <c r="AX213" i="15"/>
  <c r="AY212" i="15"/>
  <c r="AI96" i="15"/>
  <c r="E147" i="15"/>
  <c r="E292" i="15" s="1"/>
  <c r="E279" i="15"/>
  <c r="E298" i="15" s="1"/>
  <c r="E310" i="15" s="1"/>
  <c r="AX212" i="15"/>
  <c r="E380" i="17"/>
  <c r="E382" i="17"/>
  <c r="C390" i="17"/>
  <c r="AR156" i="15"/>
  <c r="AR215" i="15" s="1"/>
  <c r="H239" i="15"/>
  <c r="AM144" i="15"/>
  <c r="AM197" i="15" s="1"/>
  <c r="AL156" i="15"/>
  <c r="AL215" i="15" s="1"/>
  <c r="AY206" i="15"/>
  <c r="AY292" i="15"/>
  <c r="AL140" i="15"/>
  <c r="AY291" i="15"/>
  <c r="AY207" i="15"/>
  <c r="AY298" i="15"/>
  <c r="AY281" i="15"/>
  <c r="AL198" i="15"/>
  <c r="AX300" i="15"/>
  <c r="AX310" i="15"/>
  <c r="AX311" i="15"/>
  <c r="AM289" i="15"/>
  <c r="H291" i="15"/>
  <c r="AM156" i="15"/>
  <c r="AM215" i="15" s="1"/>
  <c r="E197" i="15"/>
  <c r="E458" i="17"/>
  <c r="C468" i="17"/>
  <c r="E460" i="17"/>
  <c r="AW281" i="15"/>
  <c r="AW298" i="15"/>
  <c r="L266" i="15"/>
  <c r="J230" i="15"/>
  <c r="J232" i="15" s="1"/>
  <c r="AW292" i="15"/>
  <c r="AW206" i="15"/>
  <c r="J92" i="15"/>
  <c r="J153" i="15" s="1"/>
  <c r="J63" i="15"/>
  <c r="J68" i="15" s="1"/>
  <c r="J72" i="15" s="1"/>
  <c r="AG231" i="15"/>
  <c r="AR257" i="15"/>
  <c r="J54" i="15"/>
  <c r="J231" i="15" s="1"/>
  <c r="AW207" i="15"/>
  <c r="AW291" i="15"/>
  <c r="D1174" i="17"/>
  <c r="D1200" i="17"/>
  <c r="H213" i="15"/>
  <c r="AC96" i="15"/>
  <c r="C1200" i="17"/>
  <c r="AJ156" i="15"/>
  <c r="AJ215" i="15" s="1"/>
  <c r="C635" i="17"/>
  <c r="D635" i="17" s="1"/>
  <c r="C639" i="17"/>
  <c r="D639" i="17" s="1"/>
  <c r="C636" i="17"/>
  <c r="D636" i="17" s="1"/>
  <c r="C638" i="17"/>
  <c r="D638" i="17" s="1"/>
  <c r="C615" i="17"/>
  <c r="C622" i="17" s="1"/>
  <c r="C637" i="17"/>
  <c r="D637" i="17" s="1"/>
  <c r="AQ256" i="15"/>
  <c r="J197" i="15"/>
  <c r="J256" i="15"/>
  <c r="AJ40" i="15"/>
  <c r="AJ28" i="15"/>
  <c r="AM96" i="15" s="1"/>
  <c r="AJ39" i="15"/>
  <c r="F204" i="15"/>
  <c r="F263" i="15" s="1"/>
  <c r="F269" i="15" s="1"/>
  <c r="AM257" i="15"/>
  <c r="AM198" i="15"/>
  <c r="C524" i="17"/>
  <c r="C526" i="17" s="1"/>
  <c r="D524" i="17"/>
  <c r="C819" i="17"/>
  <c r="C821" i="17" s="1"/>
  <c r="D819" i="17"/>
  <c r="AH54" i="15"/>
  <c r="AH231" i="15" s="1"/>
  <c r="AB176" i="15"/>
  <c r="AB235" i="15"/>
  <c r="D703" i="17"/>
  <c r="D200" i="15"/>
  <c r="D259" i="15" s="1"/>
  <c r="AJ289" i="15"/>
  <c r="D197" i="15"/>
  <c r="AP257" i="15"/>
  <c r="AP198" i="15"/>
  <c r="AJ140" i="15"/>
  <c r="AU197" i="15"/>
  <c r="C721" i="17"/>
  <c r="C724" i="17"/>
  <c r="D724" i="17" s="1"/>
  <c r="C723" i="17"/>
  <c r="D723" i="17" s="1"/>
  <c r="C701" i="17"/>
  <c r="C708" i="17" s="1"/>
  <c r="C725" i="17"/>
  <c r="D725" i="17" s="1"/>
  <c r="C703" i="17"/>
  <c r="C722" i="17"/>
  <c r="D722" i="17" s="1"/>
  <c r="AP147" i="15"/>
  <c r="AP144" i="15"/>
  <c r="AP140" i="15"/>
  <c r="AP156" i="15"/>
  <c r="AP215" i="15" s="1"/>
  <c r="AP289" i="15"/>
  <c r="AP279" i="15"/>
  <c r="AP154" i="15"/>
  <c r="C743" i="17"/>
  <c r="AP203" i="15"/>
  <c r="AP153" i="15"/>
  <c r="AP148" i="15"/>
  <c r="L232" i="15"/>
  <c r="AU91" i="15"/>
  <c r="L300" i="15"/>
  <c r="L311" i="15"/>
  <c r="L310" i="15"/>
  <c r="C563" i="17"/>
  <c r="C565" i="17" s="1"/>
  <c r="D563" i="17"/>
  <c r="L224" i="15"/>
  <c r="AF243" i="15"/>
  <c r="K171" i="15"/>
  <c r="K173" i="15" s="1"/>
  <c r="L54" i="15"/>
  <c r="K54" i="15"/>
  <c r="K231" i="15" s="1"/>
  <c r="F231" i="15"/>
  <c r="D52" i="15"/>
  <c r="D55" i="15"/>
  <c r="D57" i="15"/>
  <c r="D93" i="15" s="1"/>
  <c r="D150" i="15" s="1"/>
  <c r="D209" i="15" s="1"/>
  <c r="F234" i="15"/>
  <c r="F262" i="15" s="1"/>
  <c r="F68" i="15"/>
  <c r="F72" i="15" s="1"/>
  <c r="F175" i="15"/>
  <c r="AB50" i="15"/>
  <c r="AB93" i="15"/>
  <c r="AB204" i="15" s="1"/>
  <c r="AB263" i="15" s="1"/>
  <c r="AJ91" i="15"/>
  <c r="F280" i="15"/>
  <c r="F299" i="15" s="1"/>
  <c r="F312" i="15" s="1"/>
  <c r="F151" i="15"/>
  <c r="F210" i="15" s="1"/>
  <c r="D1154" i="17"/>
  <c r="F153" i="15"/>
  <c r="F147" i="15"/>
  <c r="F154" i="15"/>
  <c r="F148" i="15"/>
  <c r="F203" i="15"/>
  <c r="AB92" i="15"/>
  <c r="F279" i="15"/>
  <c r="E231" i="15"/>
  <c r="E172" i="15"/>
  <c r="C1154" i="17"/>
  <c r="C1156" i="17" s="1"/>
  <c r="D54" i="15"/>
  <c r="AF49" i="15"/>
  <c r="AJ53" i="15"/>
  <c r="AN54" i="15" s="1"/>
  <c r="AJ50" i="15"/>
  <c r="AK91" i="15"/>
  <c r="BM49" i="15"/>
  <c r="AD91" i="15"/>
  <c r="AE91" i="15"/>
  <c r="D230" i="15"/>
  <c r="D232" i="15" s="1"/>
  <c r="AB49" i="15"/>
  <c r="D1128" i="17"/>
  <c r="D171" i="15"/>
  <c r="D173" i="15" s="1"/>
  <c r="AM54" i="15"/>
  <c r="AI171" i="15"/>
  <c r="AI173" i="15" s="1"/>
  <c r="AI55" i="15"/>
  <c r="AI230" i="15"/>
  <c r="AI63" i="15"/>
  <c r="AL91" i="15"/>
  <c r="K197" i="15"/>
  <c r="G92" i="15"/>
  <c r="G171" i="15"/>
  <c r="G173" i="15" s="1"/>
  <c r="H54" i="15"/>
  <c r="G55" i="15"/>
  <c r="G63" i="15"/>
  <c r="G230" i="15"/>
  <c r="G232" i="15" s="1"/>
  <c r="G57" i="15"/>
  <c r="G93" i="15" s="1"/>
  <c r="K230" i="15"/>
  <c r="K232" i="15" s="1"/>
  <c r="K63" i="15"/>
  <c r="K68" i="15" s="1"/>
  <c r="K72" i="15" s="1"/>
  <c r="E294" i="15"/>
  <c r="D92" i="15"/>
  <c r="D63" i="15"/>
  <c r="X42" i="15"/>
  <c r="X181" i="15"/>
  <c r="X240" i="15"/>
  <c r="AR28" i="15"/>
  <c r="AS96" i="15" s="1"/>
  <c r="AR39" i="15"/>
  <c r="AR40" i="15"/>
  <c r="AE230" i="15"/>
  <c r="AE55" i="15"/>
  <c r="AE63" i="15"/>
  <c r="AE171" i="15"/>
  <c r="AE173" i="15" s="1"/>
  <c r="BL54" i="15"/>
  <c r="AE57" i="15"/>
  <c r="AI54" i="15"/>
  <c r="I54" i="15"/>
  <c r="I55" i="15"/>
  <c r="I171" i="15"/>
  <c r="I173" i="15" s="1"/>
  <c r="I63" i="15"/>
  <c r="I92" i="15"/>
  <c r="I230" i="15"/>
  <c r="I232" i="15" s="1"/>
  <c r="D944" i="17"/>
  <c r="D654" i="17"/>
  <c r="D1037" i="17"/>
  <c r="AA172" i="15"/>
  <c r="AA231" i="15"/>
  <c r="D850" i="17"/>
  <c r="AE140" i="15"/>
  <c r="AE144" i="15"/>
  <c r="AE156" i="15"/>
  <c r="AE215" i="15" s="1"/>
  <c r="AE289" i="15"/>
  <c r="AS197" i="15"/>
  <c r="AS256" i="15"/>
  <c r="G256" i="15"/>
  <c r="G197" i="15"/>
  <c r="X280" i="15"/>
  <c r="X299" i="15" s="1"/>
  <c r="AC55" i="15"/>
  <c r="AC57" i="15"/>
  <c r="AC171" i="15"/>
  <c r="AC173" i="15" s="1"/>
  <c r="AC63" i="15"/>
  <c r="AC230" i="15"/>
  <c r="C893" i="17"/>
  <c r="C895" i="17" s="1"/>
  <c r="AE257" i="15"/>
  <c r="AE198" i="15"/>
  <c r="D615" i="17"/>
  <c r="D617" i="17"/>
  <c r="E293" i="15"/>
  <c r="K55" i="15"/>
  <c r="AF28" i="15"/>
  <c r="AF96" i="15" s="1"/>
  <c r="AF40" i="15"/>
  <c r="AF39" i="15"/>
  <c r="AJ49" i="15"/>
  <c r="AF50" i="15"/>
  <c r="AF53" i="15"/>
  <c r="BM54" i="15" s="1"/>
  <c r="G290" i="15"/>
  <c r="G309" i="15" s="1"/>
  <c r="G200" i="15"/>
  <c r="G259" i="15" s="1"/>
  <c r="C293" i="15"/>
  <c r="C210" i="15"/>
  <c r="C1014" i="17"/>
  <c r="D1014" i="17" s="1"/>
  <c r="C1009" i="17"/>
  <c r="C1012" i="17"/>
  <c r="D1012" i="17" s="1"/>
  <c r="C991" i="17"/>
  <c r="C1010" i="17"/>
  <c r="D1010" i="17" s="1"/>
  <c r="C1013" i="17"/>
  <c r="D1013" i="17" s="1"/>
  <c r="C1011" i="17"/>
  <c r="D1011" i="17" s="1"/>
  <c r="C989" i="17"/>
  <c r="C996" i="17" s="1"/>
  <c r="D895" i="17"/>
  <c r="D897" i="17"/>
  <c r="AK289" i="15"/>
  <c r="AK156" i="15"/>
  <c r="AK215" i="15" s="1"/>
  <c r="AK144" i="15"/>
  <c r="AK140" i="15"/>
  <c r="D989" i="17"/>
  <c r="D991" i="17"/>
  <c r="C292" i="15"/>
  <c r="C206" i="15"/>
  <c r="AR50" i="15"/>
  <c r="AF247" i="15"/>
  <c r="AF188" i="15"/>
  <c r="C175" i="15"/>
  <c r="C234" i="15"/>
  <c r="C262" i="15" s="1"/>
  <c r="C68" i="15"/>
  <c r="C72" i="15" s="1"/>
  <c r="V175" i="15"/>
  <c r="V234" i="15"/>
  <c r="V68" i="15"/>
  <c r="V72" i="15" s="1"/>
  <c r="AA57" i="15"/>
  <c r="AE54" i="15"/>
  <c r="AA55" i="15"/>
  <c r="AA52" i="15"/>
  <c r="AA230" i="15"/>
  <c r="AA63" i="15"/>
  <c r="AA171" i="15"/>
  <c r="AA173" i="15" s="1"/>
  <c r="AQ52" i="15"/>
  <c r="AR52" i="15" s="1"/>
  <c r="AQ48" i="15"/>
  <c r="AS91" i="15" s="1"/>
  <c r="AK257" i="15"/>
  <c r="AK198" i="15"/>
  <c r="BM55" i="15"/>
  <c r="BM57" i="15"/>
  <c r="AI92" i="15"/>
  <c r="AI153" i="15" s="1"/>
  <c r="D1083" i="17"/>
  <c r="D1081" i="17"/>
  <c r="C1102" i="17"/>
  <c r="D1102" i="17" s="1"/>
  <c r="C1106" i="17"/>
  <c r="D1106" i="17" s="1"/>
  <c r="C1081" i="17"/>
  <c r="C1088" i="17" s="1"/>
  <c r="C1103" i="17"/>
  <c r="D1103" i="17" s="1"/>
  <c r="C1083" i="17"/>
  <c r="C1104" i="17"/>
  <c r="D1104" i="17" s="1"/>
  <c r="C1101" i="17"/>
  <c r="C1105" i="17"/>
  <c r="D1105" i="17" s="1"/>
  <c r="Y96" i="15"/>
  <c r="C280" i="15"/>
  <c r="C299" i="15" s="1"/>
  <c r="C312" i="15" s="1"/>
  <c r="C204" i="15"/>
  <c r="C263" i="15" s="1"/>
  <c r="C269" i="15" s="1"/>
  <c r="AD97" i="15"/>
  <c r="AD284" i="15" s="1"/>
  <c r="AD303" i="15" s="1"/>
  <c r="AB240" i="15"/>
  <c r="AB181" i="15"/>
  <c r="AE97" i="15"/>
  <c r="AE284" i="15" s="1"/>
  <c r="AE303" i="15" s="1"/>
  <c r="AB42" i="15"/>
  <c r="C200" i="15"/>
  <c r="C259" i="15" s="1"/>
  <c r="C150" i="15"/>
  <c r="C290" i="15"/>
  <c r="C309" i="15" s="1"/>
  <c r="AF198" i="15"/>
  <c r="AF257" i="15"/>
  <c r="K92" i="15"/>
  <c r="X200" i="15"/>
  <c r="X259" i="15" s="1"/>
  <c r="X290" i="15"/>
  <c r="X309" i="15" s="1"/>
  <c r="X150" i="15"/>
  <c r="AI156" i="15"/>
  <c r="AI215" i="15" s="1"/>
  <c r="AI289" i="15"/>
  <c r="AI144" i="15"/>
  <c r="AI140" i="15"/>
  <c r="C1238" i="17"/>
  <c r="C1241" i="17"/>
  <c r="D1241" i="17" s="1"/>
  <c r="C1239" i="17"/>
  <c r="D1239" i="17" s="1"/>
  <c r="C1220" i="17"/>
  <c r="C1243" i="17"/>
  <c r="D1243" i="17" s="1"/>
  <c r="C1240" i="17"/>
  <c r="D1240" i="17" s="1"/>
  <c r="C1218" i="17"/>
  <c r="C1225" i="17" s="1"/>
  <c r="C1242" i="17"/>
  <c r="D1242" i="17" s="1"/>
  <c r="X201" i="15"/>
  <c r="X260" i="15" s="1"/>
  <c r="X151" i="15"/>
  <c r="X288" i="15"/>
  <c r="X307" i="15" s="1"/>
  <c r="C197" i="15"/>
  <c r="C256" i="15"/>
  <c r="D1220" i="17"/>
  <c r="D1218" i="17"/>
  <c r="AR49" i="15"/>
  <c r="D962" i="17"/>
  <c r="D968" i="17" s="1"/>
  <c r="C968" i="17"/>
  <c r="C970" i="17" s="1"/>
  <c r="C203" i="15"/>
  <c r="C279" i="15"/>
  <c r="C154" i="15"/>
  <c r="C148" i="15"/>
  <c r="C153" i="15"/>
  <c r="AF248" i="15"/>
  <c r="AF189" i="15"/>
  <c r="AI198" i="15"/>
  <c r="AI257" i="15"/>
  <c r="AF289" i="15"/>
  <c r="AF156" i="15"/>
  <c r="AF215" i="15" s="1"/>
  <c r="AF144" i="15"/>
  <c r="AF140" i="15"/>
  <c r="AN55" i="15"/>
  <c r="AQ92" i="15"/>
  <c r="AN230" i="15"/>
  <c r="AN171" i="15"/>
  <c r="AN173" i="15" s="1"/>
  <c r="AN63" i="15"/>
  <c r="AO92" i="15"/>
  <c r="AN92" i="15"/>
  <c r="C661" i="17"/>
  <c r="W234" i="15"/>
  <c r="W175" i="15"/>
  <c r="W68" i="15"/>
  <c r="W72" i="15" s="1"/>
  <c r="AA134" i="15"/>
  <c r="AA135" i="15"/>
  <c r="C855" i="17"/>
  <c r="AM50" i="15"/>
  <c r="AO91" i="15"/>
  <c r="AM49" i="15"/>
  <c r="AM91" i="15"/>
  <c r="AN91" i="15"/>
  <c r="D600" i="17"/>
  <c r="C600" i="17"/>
  <c r="C602" i="17" s="1"/>
  <c r="D742" i="17"/>
  <c r="D740" i="17"/>
  <c r="AK175" i="15"/>
  <c r="AK234" i="15"/>
  <c r="AK68" i="15"/>
  <c r="AK72" i="15" s="1"/>
  <c r="Z231" i="15"/>
  <c r="Z172" i="15"/>
  <c r="D1264" i="17"/>
  <c r="D1262" i="17"/>
  <c r="AB55" i="15"/>
  <c r="AB52" i="15"/>
  <c r="AB230" i="15"/>
  <c r="AB63" i="15"/>
  <c r="AB171" i="15"/>
  <c r="AB173" i="15" s="1"/>
  <c r="AE92" i="15"/>
  <c r="AB57" i="15"/>
  <c r="AD92" i="15"/>
  <c r="X39" i="15"/>
  <c r="X28" i="15"/>
  <c r="X40" i="15"/>
  <c r="AE134" i="15"/>
  <c r="AE135" i="15"/>
  <c r="C740" i="17"/>
  <c r="C747" i="17" s="1"/>
  <c r="C762" i="17"/>
  <c r="D762" i="17" s="1"/>
  <c r="C763" i="17"/>
  <c r="D763" i="17" s="1"/>
  <c r="C760" i="17"/>
  <c r="C764" i="17"/>
  <c r="D764" i="17" s="1"/>
  <c r="C742" i="17"/>
  <c r="C761" i="17"/>
  <c r="D761" i="17" s="1"/>
  <c r="H290" i="15"/>
  <c r="H309" i="15" s="1"/>
  <c r="H313" i="15" s="1"/>
  <c r="H200" i="15"/>
  <c r="H259" i="15" s="1"/>
  <c r="H268" i="15" s="1"/>
  <c r="H150" i="15"/>
  <c r="C1042" i="17"/>
  <c r="AC201" i="15"/>
  <c r="AC260" i="15" s="1"/>
  <c r="AC288" i="15"/>
  <c r="AC307" i="15" s="1"/>
  <c r="AG281" i="15"/>
  <c r="AG298" i="15"/>
  <c r="AN256" i="15"/>
  <c r="AN197" i="15"/>
  <c r="AD63" i="15"/>
  <c r="AD57" i="15"/>
  <c r="AD54" i="15"/>
  <c r="AD230" i="15"/>
  <c r="AD55" i="15"/>
  <c r="AD171" i="15"/>
  <c r="AD173" i="15" s="1"/>
  <c r="AG180" i="15"/>
  <c r="AG239" i="15"/>
  <c r="D868" i="17"/>
  <c r="D873" i="17" s="1"/>
  <c r="C873" i="17"/>
  <c r="C875" i="17" s="1"/>
  <c r="AO172" i="15"/>
  <c r="AO231" i="15"/>
  <c r="H256" i="15"/>
  <c r="H265" i="15" s="1"/>
  <c r="H197" i="15"/>
  <c r="AL231" i="15"/>
  <c r="AL172" i="15"/>
  <c r="AH68" i="15"/>
  <c r="AH72" i="15" s="1"/>
  <c r="AH175" i="15"/>
  <c r="AH234" i="15"/>
  <c r="AC290" i="15"/>
  <c r="AC309" i="15" s="1"/>
  <c r="AC200" i="15"/>
  <c r="AC259" i="15" s="1"/>
  <c r="Y134" i="15"/>
  <c r="Y135" i="15"/>
  <c r="AG213" i="15"/>
  <c r="X176" i="15"/>
  <c r="X235" i="15"/>
  <c r="Y54" i="15"/>
  <c r="Y55" i="15"/>
  <c r="Y52" i="15"/>
  <c r="Y171" i="15"/>
  <c r="Y173" i="15" s="1"/>
  <c r="Y57" i="15"/>
  <c r="Y92" i="15"/>
  <c r="Y230" i="15"/>
  <c r="Y63" i="15"/>
  <c r="Z92" i="15"/>
  <c r="AA92" i="15"/>
  <c r="AC54" i="15"/>
  <c r="AC92" i="15"/>
  <c r="D794" i="17"/>
  <c r="D796" i="17"/>
  <c r="Z234" i="15"/>
  <c r="Z175" i="15"/>
  <c r="Z68" i="15"/>
  <c r="Z72" i="15" s="1"/>
  <c r="AB135" i="15"/>
  <c r="AB134" i="15"/>
  <c r="AH279" i="15"/>
  <c r="AH147" i="15"/>
  <c r="AH154" i="15"/>
  <c r="AH203" i="15"/>
  <c r="AH148" i="15"/>
  <c r="AH153" i="15"/>
  <c r="C1131" i="17"/>
  <c r="Z134" i="15"/>
  <c r="Z135" i="15"/>
  <c r="F294" i="15"/>
  <c r="F209" i="15"/>
  <c r="AJ197" i="15"/>
  <c r="AJ256" i="15"/>
  <c r="D1055" i="17"/>
  <c r="D1061" i="17" s="1"/>
  <c r="C1061" i="17"/>
  <c r="C1063" i="17" s="1"/>
  <c r="Z96" i="15"/>
  <c r="AE96" i="15"/>
  <c r="AD96" i="15"/>
  <c r="AF135" i="15"/>
  <c r="AF134" i="15"/>
  <c r="U175" i="15"/>
  <c r="U68" i="15"/>
  <c r="U72" i="15" s="1"/>
  <c r="U234" i="15"/>
  <c r="AA96" i="15"/>
  <c r="C582" i="17"/>
  <c r="AK231" i="15"/>
  <c r="AK172" i="15"/>
  <c r="H206" i="15"/>
  <c r="H292" i="15"/>
  <c r="AJ240" i="15"/>
  <c r="AJ181" i="15"/>
  <c r="AJ42" i="15"/>
  <c r="AJ97" i="15"/>
  <c r="AK97" i="15"/>
  <c r="AK284" i="15" s="1"/>
  <c r="AK303" i="15" s="1"/>
  <c r="D674" i="17"/>
  <c r="D679" i="17" s="1"/>
  <c r="C679" i="17"/>
  <c r="C681" i="17" s="1"/>
  <c r="AD135" i="15"/>
  <c r="AD134" i="15"/>
  <c r="AT256" i="15"/>
  <c r="AT197" i="15"/>
  <c r="X53" i="15"/>
  <c r="X50" i="15"/>
  <c r="H293" i="15"/>
  <c r="H210" i="15"/>
  <c r="AO96" i="15" l="1"/>
  <c r="AN96" i="15"/>
  <c r="AR197" i="15"/>
  <c r="AL239" i="15"/>
  <c r="AL72" i="15"/>
  <c r="AC262" i="15"/>
  <c r="AC271" i="15" s="1"/>
  <c r="C266" i="15"/>
  <c r="AD232" i="15"/>
  <c r="AA232" i="15"/>
  <c r="AD262" i="15"/>
  <c r="AN232" i="15"/>
  <c r="AQ262" i="15"/>
  <c r="AP262" i="15"/>
  <c r="AP266" i="15" s="1"/>
  <c r="AN262" i="15"/>
  <c r="C271" i="15"/>
  <c r="C272" i="15"/>
  <c r="AI232" i="15"/>
  <c r="Y232" i="15"/>
  <c r="AB262" i="15"/>
  <c r="AB232" i="15"/>
  <c r="AE262" i="15"/>
  <c r="AC232" i="15"/>
  <c r="AO262" i="15"/>
  <c r="AE232" i="15"/>
  <c r="F272" i="15"/>
  <c r="F271" i="15"/>
  <c r="E266" i="15"/>
  <c r="AQ96" i="15"/>
  <c r="AG206" i="15"/>
  <c r="C1182" i="17"/>
  <c r="E1174" i="17"/>
  <c r="AG291" i="15"/>
  <c r="AL180" i="15"/>
  <c r="E312" i="15"/>
  <c r="AL197" i="15"/>
  <c r="E268" i="15"/>
  <c r="AM256" i="15"/>
  <c r="X292" i="15"/>
  <c r="E311" i="15"/>
  <c r="E300" i="15"/>
  <c r="X203" i="15"/>
  <c r="E281" i="15"/>
  <c r="E291" i="15"/>
  <c r="K172" i="15"/>
  <c r="E213" i="15"/>
  <c r="F293" i="15"/>
  <c r="X154" i="15"/>
  <c r="X148" i="15"/>
  <c r="X153" i="15"/>
  <c r="X279" i="15"/>
  <c r="X281" i="15" s="1"/>
  <c r="J172" i="15"/>
  <c r="E206" i="15"/>
  <c r="AT96" i="15"/>
  <c r="AY300" i="15"/>
  <c r="AY310" i="15"/>
  <c r="AY311" i="15"/>
  <c r="J279" i="15"/>
  <c r="J298" i="15" s="1"/>
  <c r="J147" i="15"/>
  <c r="J292" i="15" s="1"/>
  <c r="J175" i="15"/>
  <c r="J203" i="15"/>
  <c r="J234" i="15"/>
  <c r="J262" i="15" s="1"/>
  <c r="AB280" i="15"/>
  <c r="AB299" i="15" s="1"/>
  <c r="J148" i="15"/>
  <c r="J291" i="15" s="1"/>
  <c r="J154" i="15"/>
  <c r="J213" i="15" s="1"/>
  <c r="C640" i="17"/>
  <c r="C642" i="17" s="1"/>
  <c r="AW300" i="15"/>
  <c r="AW310" i="15"/>
  <c r="AW311" i="15"/>
  <c r="F268" i="15"/>
  <c r="AH172" i="15"/>
  <c r="D640" i="17"/>
  <c r="K203" i="15"/>
  <c r="K153" i="15"/>
  <c r="K154" i="15"/>
  <c r="AF92" i="15"/>
  <c r="AF148" i="15" s="1"/>
  <c r="AK96" i="15"/>
  <c r="AL96" i="15"/>
  <c r="AJ96" i="15"/>
  <c r="D280" i="15"/>
  <c r="D299" i="15" s="1"/>
  <c r="D312" i="15" s="1"/>
  <c r="X269" i="15"/>
  <c r="K234" i="15"/>
  <c r="K262" i="15" s="1"/>
  <c r="K147" i="15"/>
  <c r="K206" i="15" s="1"/>
  <c r="D294" i="15"/>
  <c r="AP298" i="15"/>
  <c r="AP281" i="15"/>
  <c r="F313" i="15"/>
  <c r="AP291" i="15"/>
  <c r="AP207" i="15"/>
  <c r="D204" i="15"/>
  <c r="D263" i="15" s="1"/>
  <c r="AP212" i="15"/>
  <c r="D151" i="15"/>
  <c r="AP292" i="15"/>
  <c r="AP206" i="15"/>
  <c r="AP256" i="15"/>
  <c r="AP265" i="15" s="1"/>
  <c r="AP197" i="15"/>
  <c r="C726" i="17"/>
  <c r="C728" i="17" s="1"/>
  <c r="D721" i="17"/>
  <c r="D726" i="17" s="1"/>
  <c r="AP213" i="15"/>
  <c r="L231" i="15"/>
  <c r="L172" i="15"/>
  <c r="C1395" i="17"/>
  <c r="AB154" i="15"/>
  <c r="AB147" i="15"/>
  <c r="AB279" i="15"/>
  <c r="AB148" i="15"/>
  <c r="AB203" i="15"/>
  <c r="AB153" i="15"/>
  <c r="K148" i="15"/>
  <c r="K291" i="15" s="1"/>
  <c r="F291" i="15"/>
  <c r="F207" i="15"/>
  <c r="F265" i="15"/>
  <c r="F266" i="15"/>
  <c r="K279" i="15"/>
  <c r="K298" i="15" s="1"/>
  <c r="F213" i="15"/>
  <c r="F206" i="15"/>
  <c r="F292" i="15"/>
  <c r="F212" i="15"/>
  <c r="F239" i="15"/>
  <c r="F180" i="15"/>
  <c r="F281" i="15"/>
  <c r="F298" i="15"/>
  <c r="D231" i="15"/>
  <c r="D172" i="15"/>
  <c r="K175" i="15"/>
  <c r="AM172" i="15"/>
  <c r="AM231" i="15"/>
  <c r="AJ55" i="15"/>
  <c r="AJ63" i="15"/>
  <c r="AJ171" i="15"/>
  <c r="AJ173" i="15" s="1"/>
  <c r="AJ230" i="15"/>
  <c r="AJ92" i="15"/>
  <c r="AJ153" i="15" s="1"/>
  <c r="AK92" i="15"/>
  <c r="AK153" i="15" s="1"/>
  <c r="AM92" i="15"/>
  <c r="AL92" i="15"/>
  <c r="AI68" i="15"/>
  <c r="AI72" i="15" s="1"/>
  <c r="AI234" i="15"/>
  <c r="AI175" i="15"/>
  <c r="G151" i="15"/>
  <c r="G204" i="15"/>
  <c r="G263" i="15" s="1"/>
  <c r="G269" i="15" s="1"/>
  <c r="G150" i="15"/>
  <c r="G280" i="15"/>
  <c r="G299" i="15" s="1"/>
  <c r="G312" i="15" s="1"/>
  <c r="AR96" i="15"/>
  <c r="AU96" i="15"/>
  <c r="G234" i="15"/>
  <c r="G262" i="15" s="1"/>
  <c r="G68" i="15"/>
  <c r="G72" i="15" s="1"/>
  <c r="G175" i="15"/>
  <c r="C268" i="15"/>
  <c r="H231" i="15"/>
  <c r="H172" i="15"/>
  <c r="D68" i="15"/>
  <c r="D72" i="15" s="1"/>
  <c r="D234" i="15"/>
  <c r="D262" i="15" s="1"/>
  <c r="D175" i="15"/>
  <c r="G279" i="15"/>
  <c r="G203" i="15"/>
  <c r="G154" i="15"/>
  <c r="G153" i="15"/>
  <c r="G147" i="15"/>
  <c r="G148" i="15"/>
  <c r="D154" i="15"/>
  <c r="D153" i="15"/>
  <c r="D148" i="15"/>
  <c r="D279" i="15"/>
  <c r="D147" i="15"/>
  <c r="D203" i="15"/>
  <c r="I148" i="15"/>
  <c r="I279" i="15"/>
  <c r="I147" i="15"/>
  <c r="I153" i="15"/>
  <c r="I203" i="15"/>
  <c r="I154" i="15"/>
  <c r="I234" i="15"/>
  <c r="I262" i="15" s="1"/>
  <c r="I68" i="15"/>
  <c r="I72" i="15" s="1"/>
  <c r="I175" i="15"/>
  <c r="AE68" i="15"/>
  <c r="AE72" i="15" s="1"/>
  <c r="AE175" i="15"/>
  <c r="AE234" i="15"/>
  <c r="I231" i="15"/>
  <c r="I172" i="15"/>
  <c r="AI172" i="15"/>
  <c r="AI231" i="15"/>
  <c r="AQ49" i="15"/>
  <c r="AU49" i="15"/>
  <c r="C918" i="17"/>
  <c r="D918" i="17" s="1"/>
  <c r="C919" i="17"/>
  <c r="D919" i="17" s="1"/>
  <c r="C897" i="17"/>
  <c r="C920" i="17"/>
  <c r="D920" i="17" s="1"/>
  <c r="C902" i="17"/>
  <c r="C915" i="17"/>
  <c r="D915" i="17" s="1"/>
  <c r="C916" i="17"/>
  <c r="D916" i="17" s="1"/>
  <c r="C917" i="17"/>
  <c r="D917" i="17" s="1"/>
  <c r="AF54" i="15"/>
  <c r="AF231" i="15" s="1"/>
  <c r="AE256" i="15"/>
  <c r="AE197" i="15"/>
  <c r="X312" i="15"/>
  <c r="AJ54" i="15"/>
  <c r="AF230" i="15"/>
  <c r="AG262" i="15" s="1"/>
  <c r="AF63" i="15"/>
  <c r="AF55" i="15"/>
  <c r="AF171" i="15"/>
  <c r="AF173" i="15" s="1"/>
  <c r="AF57" i="15"/>
  <c r="AF93" i="15" s="1"/>
  <c r="X313" i="15"/>
  <c r="AC175" i="15"/>
  <c r="AC234" i="15"/>
  <c r="AC68" i="15"/>
  <c r="AC72" i="15" s="1"/>
  <c r="X268" i="15"/>
  <c r="C313" i="15"/>
  <c r="X210" i="15"/>
  <c r="X293" i="15"/>
  <c r="D1238" i="17"/>
  <c r="D1244" i="17" s="1"/>
  <c r="C1244" i="17"/>
  <c r="AE231" i="15"/>
  <c r="AE172" i="15"/>
  <c r="AF197" i="15"/>
  <c r="AF256" i="15"/>
  <c r="AI148" i="15"/>
  <c r="AI147" i="15"/>
  <c r="AI154" i="15"/>
  <c r="AI279" i="15"/>
  <c r="C1084" i="17"/>
  <c r="AI203" i="15"/>
  <c r="C212" i="15"/>
  <c r="V239" i="15"/>
  <c r="V180" i="15"/>
  <c r="X209" i="15"/>
  <c r="X294" i="15"/>
  <c r="C1107" i="17"/>
  <c r="C1109" i="17" s="1"/>
  <c r="D1101" i="17"/>
  <c r="D1107" i="17" s="1"/>
  <c r="C291" i="15"/>
  <c r="C207" i="15"/>
  <c r="D1009" i="17"/>
  <c r="D1015" i="17" s="1"/>
  <c r="C1015" i="17"/>
  <c r="C1017" i="17" s="1"/>
  <c r="C213" i="15"/>
  <c r="C265" i="15"/>
  <c r="AI197" i="15"/>
  <c r="AI256" i="15"/>
  <c r="C209" i="15"/>
  <c r="C294" i="15"/>
  <c r="AA175" i="15"/>
  <c r="AA234" i="15"/>
  <c r="AA68" i="15"/>
  <c r="AA72" i="15" s="1"/>
  <c r="C281" i="15"/>
  <c r="C298" i="15"/>
  <c r="AT91" i="15"/>
  <c r="AQ50" i="15"/>
  <c r="AR91" i="15"/>
  <c r="AQ91" i="15"/>
  <c r="C180" i="15"/>
  <c r="C239" i="15"/>
  <c r="AK256" i="15"/>
  <c r="AK197" i="15"/>
  <c r="AO148" i="15"/>
  <c r="C797" i="17"/>
  <c r="AO279" i="15"/>
  <c r="AO203" i="15"/>
  <c r="AO147" i="15"/>
  <c r="AJ284" i="15"/>
  <c r="AJ303" i="15" s="1"/>
  <c r="AH207" i="15"/>
  <c r="AH291" i="15"/>
  <c r="AK180" i="15"/>
  <c r="AK239" i="15"/>
  <c r="AI212" i="15"/>
  <c r="AA147" i="15"/>
  <c r="AA153" i="15"/>
  <c r="AA203" i="15"/>
  <c r="AA148" i="15"/>
  <c r="AA279" i="15"/>
  <c r="AA154" i="15"/>
  <c r="AG300" i="15"/>
  <c r="AG310" i="15"/>
  <c r="AG311" i="15"/>
  <c r="AD279" i="15"/>
  <c r="AD203" i="15"/>
  <c r="AD154" i="15"/>
  <c r="C1308" i="17"/>
  <c r="AD148" i="15"/>
  <c r="AD153" i="15"/>
  <c r="AD147" i="15"/>
  <c r="AN234" i="15"/>
  <c r="AN175" i="15"/>
  <c r="Z201" i="15"/>
  <c r="Z260" i="15" s="1"/>
  <c r="Z288" i="15"/>
  <c r="Z307" i="15" s="1"/>
  <c r="AH213" i="15"/>
  <c r="Z154" i="15"/>
  <c r="Z153" i="15"/>
  <c r="Z279" i="15"/>
  <c r="Z203" i="15"/>
  <c r="Z148" i="15"/>
  <c r="Z147" i="15"/>
  <c r="Y231" i="15"/>
  <c r="Y172" i="15"/>
  <c r="AE93" i="15"/>
  <c r="AE151" i="15" s="1"/>
  <c r="AD93" i="15"/>
  <c r="AD150" i="15" s="1"/>
  <c r="W180" i="15"/>
  <c r="W239" i="15"/>
  <c r="Z290" i="15"/>
  <c r="Z309" i="15" s="1"/>
  <c r="Z200" i="15"/>
  <c r="Z259" i="15" s="1"/>
  <c r="AC231" i="15"/>
  <c r="AC172" i="15"/>
  <c r="AD68" i="15"/>
  <c r="AD72" i="15" s="1"/>
  <c r="AD234" i="15"/>
  <c r="AD175" i="15"/>
  <c r="AD200" i="15"/>
  <c r="AD259" i="15" s="1"/>
  <c r="AD290" i="15"/>
  <c r="AD309" i="15" s="1"/>
  <c r="AH206" i="15"/>
  <c r="AH292" i="15"/>
  <c r="AB290" i="15"/>
  <c r="AB309" i="15" s="1"/>
  <c r="AB150" i="15"/>
  <c r="AB200" i="15"/>
  <c r="AB259" i="15" s="1"/>
  <c r="AB268" i="15" s="1"/>
  <c r="Y234" i="15"/>
  <c r="Y175" i="15"/>
  <c r="Y68" i="15"/>
  <c r="Y72" i="15" s="1"/>
  <c r="AE288" i="15"/>
  <c r="AE307" i="15" s="1"/>
  <c r="AE201" i="15"/>
  <c r="AE260" i="15" s="1"/>
  <c r="AE147" i="15"/>
  <c r="AE148" i="15"/>
  <c r="AE154" i="15"/>
  <c r="AE203" i="15"/>
  <c r="AE153" i="15"/>
  <c r="C1265" i="17"/>
  <c r="AE279" i="15"/>
  <c r="E738" i="17"/>
  <c r="AH212" i="15"/>
  <c r="AC148" i="15"/>
  <c r="AC279" i="15"/>
  <c r="AC154" i="15"/>
  <c r="C1352" i="17"/>
  <c r="AC153" i="15"/>
  <c r="AC203" i="15"/>
  <c r="AC147" i="15"/>
  <c r="AH180" i="15"/>
  <c r="AH239" i="15"/>
  <c r="H209" i="15"/>
  <c r="H294" i="15"/>
  <c r="AD201" i="15"/>
  <c r="AD260" i="15" s="1"/>
  <c r="AD288" i="15"/>
  <c r="AD307" i="15" s="1"/>
  <c r="U239" i="15"/>
  <c r="U180" i="15"/>
  <c r="AH298" i="15"/>
  <c r="AH281" i="15"/>
  <c r="AB151" i="15"/>
  <c r="AB201" i="15"/>
  <c r="AB260" i="15" s="1"/>
  <c r="AB269" i="15" s="1"/>
  <c r="AB288" i="15"/>
  <c r="AB307" i="15" s="1"/>
  <c r="J180" i="15"/>
  <c r="J239" i="15"/>
  <c r="AE290" i="15"/>
  <c r="AE309" i="15" s="1"/>
  <c r="AE200" i="15"/>
  <c r="AE259" i="15" s="1"/>
  <c r="AA201" i="15"/>
  <c r="AA260" i="15" s="1"/>
  <c r="AA288" i="15"/>
  <c r="AA307" i="15" s="1"/>
  <c r="K180" i="15"/>
  <c r="K239" i="15"/>
  <c r="AF288" i="15"/>
  <c r="AF307" i="15" s="1"/>
  <c r="AF201" i="15"/>
  <c r="AF260" i="15" s="1"/>
  <c r="X171" i="15"/>
  <c r="X173" i="15" s="1"/>
  <c r="X52" i="15"/>
  <c r="X55" i="15"/>
  <c r="X57" i="15"/>
  <c r="X230" i="15"/>
  <c r="X63" i="15"/>
  <c r="Z239" i="15"/>
  <c r="Z180" i="15"/>
  <c r="Y148" i="15"/>
  <c r="Y153" i="15"/>
  <c r="Y154" i="15"/>
  <c r="Y279" i="15"/>
  <c r="Y147" i="15"/>
  <c r="Y203" i="15"/>
  <c r="Y201" i="15"/>
  <c r="Y260" i="15" s="1"/>
  <c r="Y288" i="15"/>
  <c r="Y307" i="15" s="1"/>
  <c r="AB54" i="15"/>
  <c r="AA200" i="15"/>
  <c r="AA259" i="15" s="1"/>
  <c r="AA290" i="15"/>
  <c r="AA309" i="15" s="1"/>
  <c r="J212" i="15"/>
  <c r="AN231" i="15"/>
  <c r="AN172" i="15"/>
  <c r="AF290" i="15"/>
  <c r="AF309" i="15" s="1"/>
  <c r="AF200" i="15"/>
  <c r="AF259" i="15" s="1"/>
  <c r="E1126" i="17"/>
  <c r="E1128" i="17"/>
  <c r="C1136" i="17"/>
  <c r="Y93" i="15"/>
  <c r="Y151" i="15" s="1"/>
  <c r="Z93" i="15"/>
  <c r="Z150" i="15" s="1"/>
  <c r="AA93" i="15"/>
  <c r="AC93" i="15"/>
  <c r="Y290" i="15"/>
  <c r="Y309" i="15" s="1"/>
  <c r="Y200" i="15"/>
  <c r="Y259" i="15" s="1"/>
  <c r="AD172" i="15"/>
  <c r="AD231" i="15"/>
  <c r="C765" i="17"/>
  <c r="C767" i="17" s="1"/>
  <c r="D760" i="17"/>
  <c r="D765" i="17" s="1"/>
  <c r="AB68" i="15"/>
  <c r="AB72" i="15" s="1"/>
  <c r="AB175" i="15"/>
  <c r="AB234" i="15"/>
  <c r="AN203" i="15"/>
  <c r="AN266" i="15" s="1"/>
  <c r="C851" i="17"/>
  <c r="C856" i="17" s="1"/>
  <c r="AN279" i="15"/>
  <c r="AN148" i="15"/>
  <c r="AN147" i="15"/>
  <c r="AQ147" i="15"/>
  <c r="C704" i="17"/>
  <c r="AQ279" i="15"/>
  <c r="AQ148" i="15"/>
  <c r="AQ203" i="15"/>
  <c r="AC272" i="15" l="1"/>
  <c r="J265" i="15"/>
  <c r="K266" i="15"/>
  <c r="AG271" i="15"/>
  <c r="AG272" i="15"/>
  <c r="AG266" i="15"/>
  <c r="AG265" i="15"/>
  <c r="G266" i="15"/>
  <c r="AJ232" i="15"/>
  <c r="AM262" i="15"/>
  <c r="AL262" i="15"/>
  <c r="AQ271" i="15"/>
  <c r="AQ272" i="15"/>
  <c r="AO271" i="15"/>
  <c r="AO272" i="15"/>
  <c r="G272" i="15"/>
  <c r="G271" i="15"/>
  <c r="AD272" i="15"/>
  <c r="AD271" i="15"/>
  <c r="D272" i="15"/>
  <c r="D271" i="15"/>
  <c r="J271" i="15"/>
  <c r="J272" i="15"/>
  <c r="AJ262" i="15"/>
  <c r="AE272" i="15"/>
  <c r="AE271" i="15"/>
  <c r="AF232" i="15"/>
  <c r="AI262" i="15"/>
  <c r="AI266" i="15" s="1"/>
  <c r="AF262" i="15"/>
  <c r="AB272" i="15"/>
  <c r="AB271" i="15"/>
  <c r="AN271" i="15"/>
  <c r="AN272" i="15"/>
  <c r="X232" i="15"/>
  <c r="AA262" i="15"/>
  <c r="AA266" i="15" s="1"/>
  <c r="X262" i="15"/>
  <c r="X266" i="15" s="1"/>
  <c r="Y262" i="15"/>
  <c r="Z262" i="15"/>
  <c r="Z266" i="15" s="1"/>
  <c r="I271" i="15"/>
  <c r="I272" i="15"/>
  <c r="K271" i="15"/>
  <c r="K272" i="15"/>
  <c r="AH262" i="15"/>
  <c r="AP271" i="15"/>
  <c r="AP272" i="15"/>
  <c r="AK262" i="15"/>
  <c r="J206" i="15"/>
  <c r="J281" i="15"/>
  <c r="AB312" i="15"/>
  <c r="X298" i="15"/>
  <c r="X300" i="15" s="1"/>
  <c r="AB313" i="15"/>
  <c r="X265" i="15"/>
  <c r="J266" i="15"/>
  <c r="D313" i="15"/>
  <c r="X212" i="15"/>
  <c r="X207" i="15"/>
  <c r="X291" i="15"/>
  <c r="J207" i="15"/>
  <c r="AF203" i="15"/>
  <c r="X213" i="15"/>
  <c r="AF147" i="15"/>
  <c r="AF292" i="15" s="1"/>
  <c r="C1221" i="17"/>
  <c r="E1218" i="17" s="1"/>
  <c r="AF154" i="15"/>
  <c r="AF279" i="15"/>
  <c r="AF281" i="15" s="1"/>
  <c r="AF153" i="15"/>
  <c r="AF212" i="15" s="1"/>
  <c r="K292" i="15"/>
  <c r="K265" i="15"/>
  <c r="K281" i="15"/>
  <c r="K213" i="15"/>
  <c r="K212" i="15"/>
  <c r="D268" i="15"/>
  <c r="D269" i="15"/>
  <c r="AP300" i="15"/>
  <c r="AP310" i="15"/>
  <c r="AP311" i="15"/>
  <c r="D293" i="15"/>
  <c r="D210" i="15"/>
  <c r="G313" i="15"/>
  <c r="K207" i="15"/>
  <c r="AB212" i="15"/>
  <c r="AB266" i="15"/>
  <c r="AB265" i="15"/>
  <c r="AB298" i="15"/>
  <c r="AB281" i="15"/>
  <c r="AB291" i="15"/>
  <c r="AB207" i="15"/>
  <c r="AB292" i="15"/>
  <c r="AB206" i="15"/>
  <c r="F300" i="15"/>
  <c r="F311" i="15"/>
  <c r="F310" i="15"/>
  <c r="AD151" i="15"/>
  <c r="AD210" i="15" s="1"/>
  <c r="AB213" i="15"/>
  <c r="AF172" i="15"/>
  <c r="G265" i="15"/>
  <c r="D1390" i="17"/>
  <c r="D1392" i="17"/>
  <c r="C1400" i="17"/>
  <c r="AM148" i="15"/>
  <c r="AM203" i="15"/>
  <c r="C898" i="17"/>
  <c r="C903" i="17" s="1"/>
  <c r="AM147" i="15"/>
  <c r="AM279" i="15"/>
  <c r="AK148" i="15"/>
  <c r="AK203" i="15"/>
  <c r="AK147" i="15"/>
  <c r="AK154" i="15"/>
  <c r="AK279" i="15"/>
  <c r="C992" i="17"/>
  <c r="AJ203" i="15"/>
  <c r="C1038" i="17"/>
  <c r="AJ147" i="15"/>
  <c r="AJ148" i="15"/>
  <c r="AJ279" i="15"/>
  <c r="AJ154" i="15"/>
  <c r="AJ234" i="15"/>
  <c r="AJ175" i="15"/>
  <c r="AJ68" i="15"/>
  <c r="AJ72" i="15" s="1"/>
  <c r="AI180" i="15"/>
  <c r="AI239" i="15"/>
  <c r="AL147" i="15"/>
  <c r="C945" i="17"/>
  <c r="AL279" i="15"/>
  <c r="AL153" i="15"/>
  <c r="AL203" i="15"/>
  <c r="AL148" i="15"/>
  <c r="AL154" i="15"/>
  <c r="D265" i="15"/>
  <c r="D266" i="15"/>
  <c r="G292" i="15"/>
  <c r="G206" i="15"/>
  <c r="D292" i="15"/>
  <c r="D206" i="15"/>
  <c r="G212" i="15"/>
  <c r="D298" i="15"/>
  <c r="D281" i="15"/>
  <c r="G213" i="15"/>
  <c r="D207" i="15"/>
  <c r="D291" i="15"/>
  <c r="D212" i="15"/>
  <c r="G281" i="15"/>
  <c r="G298" i="15"/>
  <c r="G294" i="15"/>
  <c r="G209" i="15"/>
  <c r="D213" i="15"/>
  <c r="G239" i="15"/>
  <c r="G180" i="15"/>
  <c r="G293" i="15"/>
  <c r="G210" i="15"/>
  <c r="G291" i="15"/>
  <c r="G207" i="15"/>
  <c r="D239" i="15"/>
  <c r="D180" i="15"/>
  <c r="G268" i="15"/>
  <c r="I213" i="15"/>
  <c r="I265" i="15"/>
  <c r="I266" i="15"/>
  <c r="AR53" i="15"/>
  <c r="AS92" i="15" s="1"/>
  <c r="I212" i="15"/>
  <c r="AE150" i="15"/>
  <c r="AE209" i="15" s="1"/>
  <c r="AE180" i="15"/>
  <c r="AE239" i="15"/>
  <c r="I281" i="15"/>
  <c r="I298" i="15"/>
  <c r="I207" i="15"/>
  <c r="I291" i="15"/>
  <c r="I239" i="15"/>
  <c r="I180" i="15"/>
  <c r="I206" i="15"/>
  <c r="I292" i="15"/>
  <c r="D921" i="17"/>
  <c r="C921" i="17"/>
  <c r="C923" i="17" s="1"/>
  <c r="AF150" i="15"/>
  <c r="AF209" i="15" s="1"/>
  <c r="AF151" i="15"/>
  <c r="AF210" i="15" s="1"/>
  <c r="AF280" i="15"/>
  <c r="AF299" i="15" s="1"/>
  <c r="AF312" i="15" s="1"/>
  <c r="AF204" i="15"/>
  <c r="AF263" i="15" s="1"/>
  <c r="AF268" i="15" s="1"/>
  <c r="AF68" i="15"/>
  <c r="AF72" i="15" s="1"/>
  <c r="AF175" i="15"/>
  <c r="AF234" i="15"/>
  <c r="AC239" i="15"/>
  <c r="AC180" i="15"/>
  <c r="AJ172" i="15"/>
  <c r="AJ231" i="15"/>
  <c r="AT85" i="15"/>
  <c r="AT195" i="15"/>
  <c r="AI265" i="15"/>
  <c r="C300" i="15"/>
  <c r="C310" i="15"/>
  <c r="C311" i="15"/>
  <c r="C748" i="17"/>
  <c r="C1089" i="17"/>
  <c r="E1079" i="17"/>
  <c r="AA180" i="15"/>
  <c r="AA239" i="15"/>
  <c r="AI281" i="15"/>
  <c r="AI298" i="15"/>
  <c r="AI213" i="15"/>
  <c r="E1081" i="17"/>
  <c r="AI206" i="15"/>
  <c r="AI292" i="15"/>
  <c r="AN265" i="15"/>
  <c r="AI207" i="15"/>
  <c r="AI291" i="15"/>
  <c r="Z209" i="15"/>
  <c r="Z294" i="15"/>
  <c r="AA280" i="15"/>
  <c r="AA299" i="15" s="1"/>
  <c r="AA313" i="15" s="1"/>
  <c r="AA204" i="15"/>
  <c r="AA263" i="15" s="1"/>
  <c r="AA268" i="15" s="1"/>
  <c r="AE292" i="15"/>
  <c r="AE206" i="15"/>
  <c r="AB231" i="15"/>
  <c r="AB172" i="15"/>
  <c r="AD209" i="15"/>
  <c r="AD294" i="15"/>
  <c r="AQ292" i="15"/>
  <c r="AQ206" i="15"/>
  <c r="AE281" i="15"/>
  <c r="AE298" i="15"/>
  <c r="Y292" i="15"/>
  <c r="Y206" i="15"/>
  <c r="AC298" i="15"/>
  <c r="AC281" i="15"/>
  <c r="E1262" i="17"/>
  <c r="C1270" i="17"/>
  <c r="E1260" i="17"/>
  <c r="AE210" i="15"/>
  <c r="AE293" i="15"/>
  <c r="AB209" i="15"/>
  <c r="AB294" i="15"/>
  <c r="AF291" i="15"/>
  <c r="AF207" i="15"/>
  <c r="Z291" i="15"/>
  <c r="Z207" i="15"/>
  <c r="J300" i="15"/>
  <c r="J310" i="15"/>
  <c r="J311" i="15"/>
  <c r="AD207" i="15"/>
  <c r="AD291" i="15"/>
  <c r="AA212" i="15"/>
  <c r="AO281" i="15"/>
  <c r="AO298" i="15"/>
  <c r="AB210" i="15"/>
  <c r="AB293" i="15"/>
  <c r="Z204" i="15"/>
  <c r="Z263" i="15" s="1"/>
  <c r="Z269" i="15" s="1"/>
  <c r="Z280" i="15"/>
  <c r="Z299" i="15" s="1"/>
  <c r="Z313" i="15" s="1"/>
  <c r="Y210" i="15"/>
  <c r="Y293" i="15"/>
  <c r="AD206" i="15"/>
  <c r="AD292" i="15"/>
  <c r="Y280" i="15"/>
  <c r="Y299" i="15" s="1"/>
  <c r="Y312" i="15" s="1"/>
  <c r="Y204" i="15"/>
  <c r="Y263" i="15" s="1"/>
  <c r="Y269" i="15" s="1"/>
  <c r="X234" i="15"/>
  <c r="X175" i="15"/>
  <c r="X68" i="15"/>
  <c r="X72" i="15" s="1"/>
  <c r="Z292" i="15"/>
  <c r="Z206" i="15"/>
  <c r="AD212" i="15"/>
  <c r="AB180" i="15"/>
  <c r="AB239" i="15"/>
  <c r="Y281" i="15"/>
  <c r="Y298" i="15"/>
  <c r="AC207" i="15"/>
  <c r="AC291" i="15"/>
  <c r="AE212" i="15"/>
  <c r="AD280" i="15"/>
  <c r="AD299" i="15" s="1"/>
  <c r="AD312" i="15" s="1"/>
  <c r="AD204" i="15"/>
  <c r="AD263" i="15" s="1"/>
  <c r="AD268" i="15" s="1"/>
  <c r="D1303" i="17"/>
  <c r="D1305" i="17"/>
  <c r="C1313" i="17"/>
  <c r="AA292" i="15"/>
  <c r="AA206" i="15"/>
  <c r="AJ212" i="15"/>
  <c r="E792" i="17"/>
  <c r="E794" i="17"/>
  <c r="C802" i="17"/>
  <c r="AC212" i="15"/>
  <c r="E699" i="17"/>
  <c r="E701" i="17"/>
  <c r="C709" i="17"/>
  <c r="D1347" i="17"/>
  <c r="D1349" i="17"/>
  <c r="C1357" i="17"/>
  <c r="AC213" i="15"/>
  <c r="AN291" i="15"/>
  <c r="AN207" i="15"/>
  <c r="AN298" i="15"/>
  <c r="AN281" i="15"/>
  <c r="Y213" i="15"/>
  <c r="AE265" i="15"/>
  <c r="AE266" i="15"/>
  <c r="AE280" i="15"/>
  <c r="AE299" i="15" s="1"/>
  <c r="AE312" i="15" s="1"/>
  <c r="AE204" i="15"/>
  <c r="AE263" i="15" s="1"/>
  <c r="AE269" i="15" s="1"/>
  <c r="Z298" i="15"/>
  <c r="Z281" i="15"/>
  <c r="AD213" i="15"/>
  <c r="AO291" i="15"/>
  <c r="AO207" i="15"/>
  <c r="E740" i="17"/>
  <c r="AO292" i="15"/>
  <c r="AO206" i="15"/>
  <c r="AH311" i="15"/>
  <c r="AH300" i="15"/>
  <c r="AH310" i="15"/>
  <c r="AK212" i="15"/>
  <c r="AO266" i="15"/>
  <c r="AO265" i="15"/>
  <c r="AN292" i="15"/>
  <c r="AN206" i="15"/>
  <c r="Y150" i="15"/>
  <c r="AQ265" i="15"/>
  <c r="AQ266" i="15"/>
  <c r="E846" i="17"/>
  <c r="E848" i="17"/>
  <c r="AA150" i="15"/>
  <c r="Y212" i="15"/>
  <c r="AC292" i="15"/>
  <c r="AC206" i="15"/>
  <c r="AE213" i="15"/>
  <c r="AD239" i="15"/>
  <c r="AD180" i="15"/>
  <c r="Z212" i="15"/>
  <c r="AD266" i="15"/>
  <c r="AD265" i="15"/>
  <c r="AQ281" i="15"/>
  <c r="AQ298" i="15"/>
  <c r="K300" i="15"/>
  <c r="K310" i="15"/>
  <c r="K311" i="15"/>
  <c r="AA298" i="15"/>
  <c r="AA281" i="15"/>
  <c r="AA291" i="15"/>
  <c r="AA207" i="15"/>
  <c r="Y265" i="15"/>
  <c r="Y266" i="15"/>
  <c r="AQ291" i="15"/>
  <c r="AQ207" i="15"/>
  <c r="AC204" i="15"/>
  <c r="AC263" i="15" s="1"/>
  <c r="AC280" i="15"/>
  <c r="AC299" i="15" s="1"/>
  <c r="AC151" i="15"/>
  <c r="AC150" i="15"/>
  <c r="Y207" i="15"/>
  <c r="Y291" i="15"/>
  <c r="AA151" i="15"/>
  <c r="AC265" i="15"/>
  <c r="AC266" i="15"/>
  <c r="AE291" i="15"/>
  <c r="AE207" i="15"/>
  <c r="Y180" i="15"/>
  <c r="Y239" i="15"/>
  <c r="Z213" i="15"/>
  <c r="Z151" i="15"/>
  <c r="AD298" i="15"/>
  <c r="AD281" i="15"/>
  <c r="AA213" i="15"/>
  <c r="AA265" i="15" l="1"/>
  <c r="AF266" i="15"/>
  <c r="Z265" i="15"/>
  <c r="AL272" i="15"/>
  <c r="AL271" i="15"/>
  <c r="AM271" i="15"/>
  <c r="AM272" i="15"/>
  <c r="AJ271" i="15"/>
  <c r="AJ272" i="15"/>
  <c r="AK272" i="15"/>
  <c r="AK271" i="15"/>
  <c r="Z271" i="15"/>
  <c r="Z272" i="15"/>
  <c r="Y271" i="15"/>
  <c r="Y272" i="15"/>
  <c r="AF272" i="15"/>
  <c r="AF271" i="15"/>
  <c r="AH271" i="15"/>
  <c r="AH272" i="15"/>
  <c r="AH265" i="15"/>
  <c r="AH266" i="15"/>
  <c r="X272" i="15"/>
  <c r="X271" i="15"/>
  <c r="AI271" i="15"/>
  <c r="AI272" i="15"/>
  <c r="AA271" i="15"/>
  <c r="AA272" i="15"/>
  <c r="X311" i="15"/>
  <c r="X310" i="15"/>
  <c r="AF206" i="15"/>
  <c r="AF265" i="15"/>
  <c r="C1226" i="17"/>
  <c r="AF298" i="15"/>
  <c r="AF311" i="15" s="1"/>
  <c r="AE294" i="15"/>
  <c r="AF213" i="15"/>
  <c r="E1216" i="17"/>
  <c r="AD293" i="15"/>
  <c r="AF293" i="15"/>
  <c r="AF269" i="15"/>
  <c r="AR171" i="15"/>
  <c r="AR173" i="15" s="1"/>
  <c r="AB300" i="15"/>
  <c r="AB310" i="15"/>
  <c r="AB311" i="15"/>
  <c r="AK292" i="15"/>
  <c r="AK206" i="15"/>
  <c r="AL213" i="15"/>
  <c r="AJ292" i="15"/>
  <c r="AJ206" i="15"/>
  <c r="AK266" i="15"/>
  <c r="AK265" i="15"/>
  <c r="AR230" i="15"/>
  <c r="AJ291" i="15"/>
  <c r="AJ207" i="15"/>
  <c r="AL291" i="15"/>
  <c r="AL207" i="15"/>
  <c r="E1033" i="17"/>
  <c r="E1035" i="17"/>
  <c r="C1043" i="17"/>
  <c r="AK207" i="15"/>
  <c r="AK291" i="15"/>
  <c r="AL266" i="15"/>
  <c r="AL265" i="15"/>
  <c r="AJ239" i="15"/>
  <c r="AJ180" i="15"/>
  <c r="AJ266" i="15"/>
  <c r="AJ265" i="15"/>
  <c r="AM298" i="15"/>
  <c r="AM281" i="15"/>
  <c r="AL212" i="15"/>
  <c r="AM206" i="15"/>
  <c r="AM292" i="15"/>
  <c r="AL298" i="15"/>
  <c r="AL281" i="15"/>
  <c r="E987" i="17"/>
  <c r="C997" i="17"/>
  <c r="E989" i="17"/>
  <c r="E893" i="17"/>
  <c r="E895" i="17"/>
  <c r="E942" i="17"/>
  <c r="E940" i="17"/>
  <c r="C950" i="17"/>
  <c r="AJ213" i="15"/>
  <c r="AK281" i="15"/>
  <c r="AK298" i="15"/>
  <c r="AM266" i="15"/>
  <c r="AM265" i="15"/>
  <c r="AL206" i="15"/>
  <c r="AL292" i="15"/>
  <c r="AJ281" i="15"/>
  <c r="AJ298" i="15"/>
  <c r="AK213" i="15"/>
  <c r="AM291" i="15"/>
  <c r="AM207" i="15"/>
  <c r="D311" i="15"/>
  <c r="D300" i="15"/>
  <c r="D310" i="15"/>
  <c r="Z312" i="15"/>
  <c r="AT92" i="15"/>
  <c r="AT279" i="15" s="1"/>
  <c r="AR92" i="15"/>
  <c r="AR148" i="15" s="1"/>
  <c r="AS203" i="15"/>
  <c r="AR55" i="15"/>
  <c r="G300" i="15"/>
  <c r="G311" i="15"/>
  <c r="G310" i="15"/>
  <c r="I311" i="15"/>
  <c r="I310" i="15"/>
  <c r="I300" i="15"/>
  <c r="AF313" i="15"/>
  <c r="AU92" i="15"/>
  <c r="AF294" i="15"/>
  <c r="AR54" i="15"/>
  <c r="AR231" i="15" s="1"/>
  <c r="AR63" i="15"/>
  <c r="AR234" i="15" s="1"/>
  <c r="AF180" i="15"/>
  <c r="AF239" i="15"/>
  <c r="Y313" i="15"/>
  <c r="Z268" i="15"/>
  <c r="AA312" i="15"/>
  <c r="AE313" i="15"/>
  <c r="AA269" i="15"/>
  <c r="Y268" i="15"/>
  <c r="AI311" i="15"/>
  <c r="AI300" i="15"/>
  <c r="AI310" i="15"/>
  <c r="C618" i="17"/>
  <c r="AS148" i="15"/>
  <c r="AS147" i="15"/>
  <c r="AE268" i="15"/>
  <c r="AA293" i="15"/>
  <c r="AA210" i="15"/>
  <c r="AO300" i="15"/>
  <c r="AO310" i="15"/>
  <c r="AO311" i="15"/>
  <c r="Y209" i="15"/>
  <c r="Y294" i="15"/>
  <c r="X239" i="15"/>
  <c r="X180" i="15"/>
  <c r="AD269" i="15"/>
  <c r="AA300" i="15"/>
  <c r="AA311" i="15"/>
  <c r="AA310" i="15"/>
  <c r="AC268" i="15"/>
  <c r="AC269" i="15"/>
  <c r="AC313" i="15"/>
  <c r="AC312" i="15"/>
  <c r="AA294" i="15"/>
  <c r="AA209" i="15"/>
  <c r="Z300" i="15"/>
  <c r="Z310" i="15"/>
  <c r="Z311" i="15"/>
  <c r="AD313" i="15"/>
  <c r="Y310" i="15"/>
  <c r="Y311" i="15"/>
  <c r="Y300" i="15"/>
  <c r="AD300" i="15"/>
  <c r="AD310" i="15"/>
  <c r="AD311" i="15"/>
  <c r="Z293" i="15"/>
  <c r="Z210" i="15"/>
  <c r="AC310" i="15"/>
  <c r="AC311" i="15"/>
  <c r="AC300" i="15"/>
  <c r="AE310" i="15"/>
  <c r="AE300" i="15"/>
  <c r="AE311" i="15"/>
  <c r="AC210" i="15"/>
  <c r="AC293" i="15"/>
  <c r="AQ310" i="15"/>
  <c r="AQ311" i="15"/>
  <c r="AQ300" i="15"/>
  <c r="AC294" i="15"/>
  <c r="AC209" i="15"/>
  <c r="AN300" i="15"/>
  <c r="AN310" i="15"/>
  <c r="AN311" i="15"/>
  <c r="AR232" i="15" l="1"/>
  <c r="AU262" i="15"/>
  <c r="AT262" i="15"/>
  <c r="AR262" i="15"/>
  <c r="AS262" i="15"/>
  <c r="AS265" i="15" s="1"/>
  <c r="AF310" i="15"/>
  <c r="AF300" i="15"/>
  <c r="AT148" i="15"/>
  <c r="AT207" i="15" s="1"/>
  <c r="AR172" i="15"/>
  <c r="AR175" i="15"/>
  <c r="AR147" i="15"/>
  <c r="AR206" i="15" s="1"/>
  <c r="AM300" i="15"/>
  <c r="AM310" i="15"/>
  <c r="AM311" i="15"/>
  <c r="AJ311" i="15"/>
  <c r="AJ300" i="15"/>
  <c r="AJ310" i="15"/>
  <c r="AL310" i="15"/>
  <c r="AL300" i="15"/>
  <c r="AL311" i="15"/>
  <c r="C578" i="17"/>
  <c r="E573" i="17" s="1"/>
  <c r="AT203" i="15"/>
  <c r="AK310" i="15"/>
  <c r="AK311" i="15"/>
  <c r="AK300" i="15"/>
  <c r="AR203" i="15"/>
  <c r="AS279" i="15"/>
  <c r="AS298" i="15" s="1"/>
  <c r="AR279" i="15"/>
  <c r="AR281" i="15" s="1"/>
  <c r="AT147" i="15"/>
  <c r="AT292" i="15" s="1"/>
  <c r="C657" i="17"/>
  <c r="E654" i="17" s="1"/>
  <c r="AU279" i="15"/>
  <c r="C541" i="17"/>
  <c r="AU148" i="15"/>
  <c r="AU203" i="15"/>
  <c r="AU147" i="15"/>
  <c r="AT298" i="15"/>
  <c r="AT281" i="15"/>
  <c r="AS292" i="15"/>
  <c r="AS206" i="15"/>
  <c r="AS207" i="15"/>
  <c r="AS291" i="15"/>
  <c r="E613" i="17"/>
  <c r="C623" i="17"/>
  <c r="E615" i="17"/>
  <c r="AS266" i="15"/>
  <c r="AR291" i="15"/>
  <c r="AR207" i="15"/>
  <c r="AR266" i="15" l="1"/>
  <c r="AS272" i="15"/>
  <c r="AS271" i="15"/>
  <c r="AR272" i="15"/>
  <c r="AR271" i="15"/>
  <c r="AT272" i="15"/>
  <c r="AT271" i="15"/>
  <c r="AU272" i="15"/>
  <c r="AU271" i="15"/>
  <c r="AT266" i="15"/>
  <c r="AS281" i="15"/>
  <c r="AT291" i="15"/>
  <c r="E652" i="17"/>
  <c r="AT265" i="15"/>
  <c r="AT206" i="15"/>
  <c r="AR292" i="15"/>
  <c r="AR265" i="15"/>
  <c r="C583" i="17"/>
  <c r="C662" i="17"/>
  <c r="E575" i="17"/>
  <c r="AR298" i="15"/>
  <c r="AR310" i="15" s="1"/>
  <c r="AU266" i="15"/>
  <c r="AU265" i="15"/>
  <c r="AU207" i="15"/>
  <c r="AU291" i="15"/>
  <c r="E536" i="17"/>
  <c r="C546" i="17"/>
  <c r="E538" i="17"/>
  <c r="AU298" i="15"/>
  <c r="AU281" i="15"/>
  <c r="AU206" i="15"/>
  <c r="AU292" i="15"/>
  <c r="AS311" i="15"/>
  <c r="AS300" i="15"/>
  <c r="AS310" i="15"/>
  <c r="AT300" i="15"/>
  <c r="AT310" i="15"/>
  <c r="AT311" i="15"/>
  <c r="AR311" i="15" l="1"/>
  <c r="AR300" i="15"/>
  <c r="AU310" i="15"/>
  <c r="AU300" i="15"/>
  <c r="AU311" i="15"/>
  <c r="AV11" i="15" l="1"/>
  <c r="AV12" i="15" s="1"/>
  <c r="AV89" i="15"/>
  <c r="AV278" i="15" s="1"/>
  <c r="AV297" i="15" s="1"/>
  <c r="AV43" i="15"/>
  <c r="AV8" i="15"/>
  <c r="AV168" i="15" s="1"/>
  <c r="AV223" i="15"/>
  <c r="AV38" i="15"/>
  <c r="AV33" i="15"/>
  <c r="AV167" i="15"/>
  <c r="AV34" i="15"/>
  <c r="AV32" i="15"/>
  <c r="AV325" i="15"/>
  <c r="AV42" i="15"/>
  <c r="AV224" i="15" l="1"/>
  <c r="AZ224" i="15"/>
  <c r="AV108" i="15"/>
  <c r="AV17" i="15"/>
  <c r="AX90" i="15" l="1"/>
  <c r="AY90" i="15"/>
  <c r="AV35" i="15"/>
  <c r="AW90" i="15"/>
  <c r="AV90" i="15"/>
  <c r="AV46" i="15"/>
  <c r="AV48" i="15" s="1"/>
  <c r="AZ49" i="15" s="1"/>
  <c r="AV25" i="15"/>
  <c r="AX91" i="15" l="1"/>
  <c r="AY91" i="15"/>
  <c r="AV50" i="15"/>
  <c r="AW91" i="15"/>
  <c r="AV91" i="15"/>
  <c r="AV49" i="15"/>
  <c r="AV39" i="15"/>
  <c r="AV40" i="15"/>
  <c r="AV28" i="15"/>
  <c r="AV171" i="15"/>
  <c r="AV173" i="15" s="1"/>
  <c r="AV54" i="15"/>
  <c r="AV92" i="15"/>
  <c r="AV63" i="15"/>
  <c r="AV68" i="15" s="1"/>
  <c r="AV72" i="15" s="1"/>
  <c r="AV230" i="15"/>
  <c r="AV55" i="15"/>
  <c r="AV232" i="15" l="1"/>
  <c r="AY262" i="15"/>
  <c r="AX262" i="15"/>
  <c r="AW262" i="15"/>
  <c r="AV262" i="15"/>
  <c r="AV180" i="15"/>
  <c r="AV239" i="15"/>
  <c r="C502" i="17"/>
  <c r="C507" i="17" s="1"/>
  <c r="AV154" i="15"/>
  <c r="AV153" i="15"/>
  <c r="AY96" i="15"/>
  <c r="AX96" i="15"/>
  <c r="AW96" i="15"/>
  <c r="AV96" i="15"/>
  <c r="AV279" i="15"/>
  <c r="AV148" i="15"/>
  <c r="AV147" i="15"/>
  <c r="AV203" i="15"/>
  <c r="AV231" i="15"/>
  <c r="AV172" i="15"/>
  <c r="AV175" i="15"/>
  <c r="AV234" i="15"/>
  <c r="AV271" i="15" l="1"/>
  <c r="AV272" i="15"/>
  <c r="AX271" i="15"/>
  <c r="AX272" i="15"/>
  <c r="AX265" i="15"/>
  <c r="AX266" i="15"/>
  <c r="AY271" i="15"/>
  <c r="AY272" i="15"/>
  <c r="AY266" i="15"/>
  <c r="AY265" i="15"/>
  <c r="AW271" i="15"/>
  <c r="AW272" i="15"/>
  <c r="AW266" i="15"/>
  <c r="AW265" i="15"/>
  <c r="E499" i="17"/>
  <c r="E497" i="17"/>
  <c r="AV213" i="15"/>
  <c r="AV212" i="15"/>
  <c r="AV206" i="15"/>
  <c r="AV292" i="15"/>
  <c r="AV291" i="15"/>
  <c r="AV207" i="15"/>
  <c r="AV281" i="15"/>
  <c r="AV298" i="15"/>
  <c r="AV265" i="15"/>
  <c r="AV266" i="15"/>
  <c r="AV311" i="15" l="1"/>
  <c r="AV310" i="15"/>
  <c r="AV300" i="15"/>
  <c r="C78" i="15" l="1"/>
  <c r="C190" i="15" s="1"/>
  <c r="C244" i="15"/>
  <c r="C98" i="15"/>
  <c r="C285" i="15" s="1"/>
  <c r="C304" i="15" s="1"/>
  <c r="C185" i="15"/>
  <c r="C249" i="15" l="1"/>
  <c r="C81" i="15"/>
  <c r="C193" i="15" s="1"/>
  <c r="C252" i="15"/>
  <c r="C86" i="15"/>
  <c r="C82" i="15"/>
  <c r="C83" i="15" l="1"/>
  <c r="C194" i="15"/>
  <c r="C253" i="15"/>
  <c r="C195" i="15" l="1"/>
  <c r="C85" i="15"/>
  <c r="C254" i="15"/>
  <c r="AI98" i="15"/>
  <c r="AI285" i="15" s="1"/>
  <c r="AI304" i="15" s="1"/>
  <c r="D98" i="15"/>
  <c r="D285" i="15" s="1"/>
  <c r="D304" i="15" s="1"/>
  <c r="AP98" i="15"/>
  <c r="AP285" i="15" s="1"/>
  <c r="AP304" i="15" s="1"/>
  <c r="AZ98" i="15"/>
  <c r="AZ285" i="15" s="1"/>
  <c r="AZ304" i="15" s="1"/>
  <c r="AK98" i="15"/>
  <c r="AK285" i="15" s="1"/>
  <c r="AK304" i="15" s="1"/>
  <c r="O98" i="15"/>
  <c r="O285" i="15" s="1"/>
  <c r="O304" i="15" s="1"/>
  <c r="BE98" i="15"/>
  <c r="BE285" i="15" s="1"/>
  <c r="BE304" i="15" s="1"/>
  <c r="BB98" i="15"/>
  <c r="BB285" i="15" s="1"/>
  <c r="BB304" i="15" s="1"/>
  <c r="BH185" i="15"/>
  <c r="BH244" i="15"/>
  <c r="N185" i="15"/>
  <c r="N244" i="15"/>
  <c r="L285" i="15"/>
  <c r="L304" i="15" s="1"/>
  <c r="L98" i="15"/>
  <c r="AY98" i="15"/>
  <c r="AY285" i="15" s="1"/>
  <c r="AY304" i="15" s="1"/>
  <c r="BD78" i="15"/>
  <c r="BD190" i="15" s="1"/>
  <c r="M98" i="15"/>
  <c r="M285" i="15" s="1"/>
  <c r="M304" i="15" s="1"/>
  <c r="BC185" i="15"/>
  <c r="BC244" i="15"/>
  <c r="N98" i="15"/>
  <c r="N285" i="15" s="1"/>
  <c r="N304" i="15" s="1"/>
  <c r="BA98" i="15"/>
  <c r="BA285" i="15" s="1"/>
  <c r="BA304" i="15" s="1"/>
  <c r="AW98" i="15"/>
  <c r="AW285" i="15" s="1"/>
  <c r="AW304" i="15" s="1"/>
  <c r="Y98" i="15"/>
  <c r="Y285" i="15" s="1"/>
  <c r="Y304" i="15" s="1"/>
  <c r="AA98" i="15"/>
  <c r="AA285" i="15" s="1"/>
  <c r="AA304" i="15" s="1"/>
  <c r="AW244" i="15"/>
  <c r="AW185" i="15"/>
  <c r="BF244" i="15"/>
  <c r="BF185" i="15"/>
  <c r="BA185" i="15"/>
  <c r="BA244" i="15"/>
  <c r="BF98" i="15"/>
  <c r="BF285" i="15" s="1"/>
  <c r="BF304" i="15" s="1"/>
  <c r="BD185" i="15"/>
  <c r="BD244" i="15"/>
  <c r="AZ185" i="15"/>
  <c r="AZ244" i="15"/>
  <c r="P185" i="15"/>
  <c r="P244" i="15"/>
  <c r="AX98" i="15"/>
  <c r="AX285" i="15" s="1"/>
  <c r="AX304" i="15" s="1"/>
  <c r="M185" i="15"/>
  <c r="M244" i="15"/>
  <c r="AV98" i="15"/>
  <c r="AV285" i="15" s="1"/>
  <c r="AV304" i="15" s="1"/>
  <c r="AE98" i="15"/>
  <c r="AE285" i="15" s="1"/>
  <c r="AE304" i="15" s="1"/>
  <c r="BH78" i="15"/>
  <c r="BH190" i="15" s="1"/>
  <c r="BG98" i="15"/>
  <c r="BG285" i="15" s="1"/>
  <c r="BG304" i="15" s="1"/>
  <c r="BI185" i="15"/>
  <c r="BI244" i="15"/>
  <c r="BH98" i="15"/>
  <c r="BH285" i="15" s="1"/>
  <c r="BH304" i="15" s="1"/>
  <c r="BI78" i="15"/>
  <c r="O244" i="15"/>
  <c r="O185" i="15"/>
  <c r="BG185" i="15"/>
  <c r="BG244" i="15"/>
  <c r="BI98" i="15"/>
  <c r="BI285" i="15" s="1"/>
  <c r="BI304" i="15" s="1"/>
  <c r="BE244" i="15"/>
  <c r="BE185" i="15"/>
  <c r="BG78" i="15"/>
  <c r="BG249" i="15" s="1"/>
  <c r="BE78" i="15"/>
  <c r="BE81" i="15" s="1"/>
  <c r="BD98" i="15"/>
  <c r="BD285" i="15" s="1"/>
  <c r="BD304" i="15" s="1"/>
  <c r="BB185" i="15"/>
  <c r="BB244" i="15"/>
  <c r="BA78" i="15"/>
  <c r="BB78" i="15"/>
  <c r="BB249" i="15" s="1"/>
  <c r="BC78" i="15"/>
  <c r="BC249" i="15" s="1"/>
  <c r="AX244" i="15"/>
  <c r="AX185" i="15"/>
  <c r="AY244" i="15"/>
  <c r="AY185" i="15"/>
  <c r="BC98" i="15"/>
  <c r="BC285" i="15" s="1"/>
  <c r="BC304" i="15" s="1"/>
  <c r="O78" i="15"/>
  <c r="O81" i="15" s="1"/>
  <c r="P98" i="15"/>
  <c r="P285" i="15" s="1"/>
  <c r="P304" i="15" s="1"/>
  <c r="L244" i="15"/>
  <c r="L185" i="15"/>
  <c r="G98" i="15"/>
  <c r="G285" i="15" s="1"/>
  <c r="G304" i="15" s="1"/>
  <c r="AT185" i="15"/>
  <c r="AT244" i="15"/>
  <c r="AJ98" i="15"/>
  <c r="AJ285" i="15" s="1"/>
  <c r="AJ304" i="15" s="1"/>
  <c r="AH98" i="15"/>
  <c r="AH285" i="15" s="1"/>
  <c r="AH304" i="15" s="1"/>
  <c r="AU244" i="15"/>
  <c r="AU185" i="15"/>
  <c r="K98" i="15"/>
  <c r="K285" i="15" s="1"/>
  <c r="K304" i="15" s="1"/>
  <c r="J98" i="15"/>
  <c r="J285" i="15" s="1"/>
  <c r="J304" i="15" s="1"/>
  <c r="X244" i="15"/>
  <c r="X185" i="15"/>
  <c r="P78" i="15"/>
  <c r="P190" i="15" s="1"/>
  <c r="AS185" i="15"/>
  <c r="AS244" i="15"/>
  <c r="AG185" i="15"/>
  <c r="AG244" i="15"/>
  <c r="E98" i="15"/>
  <c r="E285" i="15" s="1"/>
  <c r="E304" i="15" s="1"/>
  <c r="I98" i="15"/>
  <c r="I285" i="15" s="1"/>
  <c r="I304" i="15" s="1"/>
  <c r="AF185" i="15"/>
  <c r="AF244" i="15"/>
  <c r="F98" i="15"/>
  <c r="AB98" i="15" s="1"/>
  <c r="AB285" i="15" s="1"/>
  <c r="AB304" i="15" s="1"/>
  <c r="AL244" i="15"/>
  <c r="AL185" i="15"/>
  <c r="AK78" i="15"/>
  <c r="AK81" i="15" s="1"/>
  <c r="BF78" i="15"/>
  <c r="BF249" i="15" s="1"/>
  <c r="Z98" i="15"/>
  <c r="Z285" i="15" s="1"/>
  <c r="Z304" i="15" s="1"/>
  <c r="H98" i="15"/>
  <c r="H285" i="15" s="1"/>
  <c r="H304" i="15" s="1"/>
  <c r="AP244" i="15"/>
  <c r="AP185" i="15"/>
  <c r="AG98" i="15"/>
  <c r="AG285" i="15" s="1"/>
  <c r="AG304" i="15" s="1"/>
  <c r="F185" i="15"/>
  <c r="F244" i="15"/>
  <c r="AI185" i="15"/>
  <c r="AI244" i="15"/>
  <c r="I185" i="15"/>
  <c r="I244" i="15"/>
  <c r="Y244" i="15"/>
  <c r="Y185" i="15"/>
  <c r="V244" i="15"/>
  <c r="V185" i="15"/>
  <c r="Z244" i="15"/>
  <c r="Z185" i="15"/>
  <c r="J78" i="15"/>
  <c r="J190" i="15" s="1"/>
  <c r="AC244" i="15"/>
  <c r="AC185" i="15"/>
  <c r="AA185" i="15"/>
  <c r="AA244" i="15"/>
  <c r="AX78" i="15"/>
  <c r="AX249" i="15" s="1"/>
  <c r="AY78" i="15"/>
  <c r="AY190" i="15" s="1"/>
  <c r="N78" i="15"/>
  <c r="N190" i="15" s="1"/>
  <c r="AP78" i="15"/>
  <c r="AP81" i="15" s="1"/>
  <c r="U185" i="15"/>
  <c r="U244" i="15"/>
  <c r="K185" i="15"/>
  <c r="K244" i="15"/>
  <c r="H185" i="15"/>
  <c r="H244" i="15"/>
  <c r="E244" i="15"/>
  <c r="E185" i="15"/>
  <c r="J185" i="15"/>
  <c r="J244" i="15"/>
  <c r="AH244" i="15"/>
  <c r="AH185" i="15"/>
  <c r="AC98" i="15"/>
  <c r="AC285" i="15" s="1"/>
  <c r="AC304" i="15" s="1"/>
  <c r="AT78" i="15"/>
  <c r="AT249" i="15" s="1"/>
  <c r="AK185" i="15"/>
  <c r="AK244" i="15"/>
  <c r="AL98" i="15"/>
  <c r="AL285" i="15" s="1"/>
  <c r="AL304" i="15" s="1"/>
  <c r="AB185" i="15"/>
  <c r="AB244" i="15"/>
  <c r="D244" i="15"/>
  <c r="D185" i="15"/>
  <c r="AD98" i="15"/>
  <c r="AD285" i="15" s="1"/>
  <c r="AD304" i="15" s="1"/>
  <c r="G185" i="15"/>
  <c r="G244" i="15"/>
  <c r="AE244" i="15"/>
  <c r="AE185" i="15"/>
  <c r="AS78" i="15"/>
  <c r="AS81" i="15" s="1"/>
  <c r="AS82" i="15" s="1"/>
  <c r="W244" i="15"/>
  <c r="W185" i="15"/>
  <c r="AF98" i="15"/>
  <c r="AF285" i="15" s="1"/>
  <c r="AF304" i="15" s="1"/>
  <c r="Z78" i="15"/>
  <c r="AG78" i="15"/>
  <c r="AG81" i="15" s="1"/>
  <c r="U78" i="15"/>
  <c r="AC78" i="15"/>
  <c r="AC249" i="15" s="1"/>
  <c r="AD244" i="15"/>
  <c r="AD185" i="15"/>
  <c r="AD78" i="15"/>
  <c r="Y78" i="15"/>
  <c r="Y81" i="15" s="1"/>
  <c r="AF78" i="15"/>
  <c r="AF249" i="15" s="1"/>
  <c r="G78" i="15"/>
  <c r="G249" i="15" s="1"/>
  <c r="AW78" i="15"/>
  <c r="AW190" i="15" s="1"/>
  <c r="AH78" i="15"/>
  <c r="AH249" i="15" s="1"/>
  <c r="AJ244" i="15"/>
  <c r="AJ185" i="15"/>
  <c r="V78" i="15"/>
  <c r="AI78" i="15"/>
  <c r="AL78" i="15"/>
  <c r="AL249" i="15" s="1"/>
  <c r="I78" i="15"/>
  <c r="I249" i="15" s="1"/>
  <c r="AE78" i="15"/>
  <c r="AE249" i="15" s="1"/>
  <c r="AJ78" i="15"/>
  <c r="AJ190" i="15" s="1"/>
  <c r="E78" i="15"/>
  <c r="E249" i="15" s="1"/>
  <c r="AZ78" i="15"/>
  <c r="AZ190" i="15" s="1"/>
  <c r="D78" i="15"/>
  <c r="D190" i="15" s="1"/>
  <c r="AA78" i="15"/>
  <c r="AA190" i="15" s="1"/>
  <c r="L78" i="15"/>
  <c r="K78" i="15"/>
  <c r="K81" i="15" s="1"/>
  <c r="M78" i="15"/>
  <c r="M190" i="15" s="1"/>
  <c r="F78" i="15"/>
  <c r="F249" i="15" s="1"/>
  <c r="W78" i="15"/>
  <c r="W249" i="15" s="1"/>
  <c r="H78" i="15"/>
  <c r="X78" i="15"/>
  <c r="X190" i="15" s="1"/>
  <c r="AB78" i="15"/>
  <c r="AB249" i="15" s="1"/>
  <c r="AV244" i="15"/>
  <c r="AV185" i="15"/>
  <c r="AV78" i="15"/>
  <c r="AU78" i="15"/>
  <c r="X98" i="15" l="1"/>
  <c r="X285" i="15" s="1"/>
  <c r="X304" i="15" s="1"/>
  <c r="BE249" i="15"/>
  <c r="G81" i="15"/>
  <c r="G193" i="15" s="1"/>
  <c r="BH249" i="15"/>
  <c r="BB190" i="15"/>
  <c r="G190" i="15"/>
  <c r="Y249" i="15"/>
  <c r="AF190" i="15"/>
  <c r="BC190" i="15"/>
  <c r="AH81" i="15"/>
  <c r="AH252" i="15" s="1"/>
  <c r="AG190" i="15"/>
  <c r="AS249" i="15"/>
  <c r="F190" i="15"/>
  <c r="AL81" i="15"/>
  <c r="AL193" i="15" s="1"/>
  <c r="N249" i="15"/>
  <c r="AK82" i="15"/>
  <c r="AK194" i="15" s="1"/>
  <c r="AP190" i="15"/>
  <c r="AG249" i="15"/>
  <c r="K249" i="15"/>
  <c r="AS83" i="15"/>
  <c r="AS254" i="15" s="1"/>
  <c r="AS253" i="15"/>
  <c r="AS194" i="15"/>
  <c r="U190" i="15"/>
  <c r="U81" i="15"/>
  <c r="V81" i="15" s="1"/>
  <c r="U249" i="15"/>
  <c r="AV190" i="15"/>
  <c r="AV249" i="15"/>
  <c r="AI249" i="15"/>
  <c r="AD249" i="15"/>
  <c r="AG252" i="15"/>
  <c r="AG193" i="15"/>
  <c r="AI190" i="15"/>
  <c r="Y193" i="15"/>
  <c r="Y252" i="15"/>
  <c r="K193" i="15"/>
  <c r="K252" i="15"/>
  <c r="AS252" i="15"/>
  <c r="AS193" i="15"/>
  <c r="AD190" i="15"/>
  <c r="BA81" i="15"/>
  <c r="BA82" i="15" s="1"/>
  <c r="BA249" i="15"/>
  <c r="BA190" i="15"/>
  <c r="BI249" i="15"/>
  <c r="BI81" i="15"/>
  <c r="BI82" i="15" s="1"/>
  <c r="BI190" i="15"/>
  <c r="O86" i="15"/>
  <c r="O252" i="15"/>
  <c r="AU190" i="15"/>
  <c r="L81" i="15"/>
  <c r="L82" i="15" s="1"/>
  <c r="L249" i="15"/>
  <c r="L190" i="15"/>
  <c r="Z190" i="15"/>
  <c r="Z81" i="15"/>
  <c r="Z249" i="15"/>
  <c r="AU249" i="15"/>
  <c r="K86" i="15"/>
  <c r="O193" i="15"/>
  <c r="I190" i="15"/>
  <c r="I81" i="15"/>
  <c r="AP252" i="15"/>
  <c r="AP193" i="15"/>
  <c r="BE252" i="15"/>
  <c r="BE193" i="15"/>
  <c r="AB190" i="15"/>
  <c r="AK252" i="15"/>
  <c r="AK193" i="15"/>
  <c r="K82" i="15"/>
  <c r="AW249" i="15"/>
  <c r="AW81" i="15"/>
  <c r="E81" i="15"/>
  <c r="E82" i="15" s="1"/>
  <c r="AL190" i="15"/>
  <c r="AH190" i="15"/>
  <c r="AP82" i="15"/>
  <c r="W190" i="15"/>
  <c r="AY249" i="15"/>
  <c r="AS190" i="15"/>
  <c r="BG190" i="15"/>
  <c r="BE82" i="15"/>
  <c r="D249" i="15"/>
  <c r="AP249" i="15"/>
  <c r="AE190" i="15"/>
  <c r="AJ249" i="15"/>
  <c r="D81" i="15"/>
  <c r="D82" i="15" s="1"/>
  <c r="H190" i="15"/>
  <c r="H81" i="15"/>
  <c r="H82" i="15" s="1"/>
  <c r="AK190" i="15"/>
  <c r="F81" i="15"/>
  <c r="F82" i="15" s="1"/>
  <c r="AC81" i="15"/>
  <c r="Y82" i="15"/>
  <c r="AT81" i="15"/>
  <c r="F285" i="15"/>
  <c r="F304" i="15" s="1"/>
  <c r="Y190" i="15"/>
  <c r="AC190" i="15"/>
  <c r="AG82" i="15"/>
  <c r="H249" i="15"/>
  <c r="AK249" i="15"/>
  <c r="O82" i="15"/>
  <c r="O249" i="15"/>
  <c r="G252" i="15"/>
  <c r="J81" i="15"/>
  <c r="J82" i="15" s="1"/>
  <c r="BF81" i="15"/>
  <c r="BG81" i="15" s="1"/>
  <c r="J249" i="15"/>
  <c r="BE190" i="15"/>
  <c r="O190" i="15"/>
  <c r="AA249" i="15"/>
  <c r="V249" i="15"/>
  <c r="BD249" i="15"/>
  <c r="AZ249" i="15"/>
  <c r="V190" i="15"/>
  <c r="AT190" i="15"/>
  <c r="X249" i="15"/>
  <c r="P249" i="15"/>
  <c r="E190" i="15"/>
  <c r="M249" i="15"/>
  <c r="N81" i="15"/>
  <c r="BF190" i="15"/>
  <c r="M81" i="15"/>
  <c r="M82" i="15" s="1"/>
  <c r="K190" i="15"/>
  <c r="G82" i="15"/>
  <c r="AX190" i="15"/>
  <c r="AK253" i="15" l="1"/>
  <c r="U82" i="15"/>
  <c r="AH193" i="15"/>
  <c r="AI81" i="15"/>
  <c r="AI82" i="15" s="1"/>
  <c r="AH82" i="15"/>
  <c r="AH194" i="15" s="1"/>
  <c r="AL82" i="15"/>
  <c r="AL194" i="15" s="1"/>
  <c r="AL252" i="15"/>
  <c r="L253" i="15"/>
  <c r="L194" i="15"/>
  <c r="BG252" i="15"/>
  <c r="BG193" i="15"/>
  <c r="BG82" i="15"/>
  <c r="BH81" i="15"/>
  <c r="H253" i="15"/>
  <c r="H194" i="15"/>
  <c r="D194" i="15"/>
  <c r="D253" i="15"/>
  <c r="D83" i="15"/>
  <c r="E83" i="15" s="1"/>
  <c r="G83" i="15" s="1"/>
  <c r="H83" i="15" s="1"/>
  <c r="M194" i="15"/>
  <c r="M253" i="15"/>
  <c r="M83" i="15"/>
  <c r="M254" i="15" s="1"/>
  <c r="BI194" i="15"/>
  <c r="BI253" i="15"/>
  <c r="AI193" i="15"/>
  <c r="E253" i="15"/>
  <c r="E194" i="15"/>
  <c r="AC193" i="15"/>
  <c r="AC252" i="15"/>
  <c r="K253" i="15"/>
  <c r="K194" i="15"/>
  <c r="AH253" i="15"/>
  <c r="AT193" i="15"/>
  <c r="AT252" i="15"/>
  <c r="AT82" i="15"/>
  <c r="U253" i="15"/>
  <c r="U194" i="15"/>
  <c r="F86" i="15"/>
  <c r="F193" i="15"/>
  <c r="F252" i="15"/>
  <c r="BA194" i="15"/>
  <c r="BA253" i="15"/>
  <c r="U193" i="15"/>
  <c r="U252" i="15"/>
  <c r="V252" i="15"/>
  <c r="V193" i="15"/>
  <c r="W81" i="15"/>
  <c r="AW193" i="15"/>
  <c r="AW252" i="15"/>
  <c r="V82" i="15"/>
  <c r="J194" i="15"/>
  <c r="J253" i="15"/>
  <c r="AP253" i="15"/>
  <c r="AP194" i="15"/>
  <c r="AP83" i="15"/>
  <c r="AP254" i="15" s="1"/>
  <c r="AW82" i="15"/>
  <c r="BA252" i="15"/>
  <c r="BB81" i="15"/>
  <c r="BA193" i="15"/>
  <c r="AX81" i="15"/>
  <c r="Y253" i="15"/>
  <c r="Y194" i="15"/>
  <c r="BF193" i="15"/>
  <c r="BF252" i="15"/>
  <c r="J86" i="15"/>
  <c r="J193" i="15"/>
  <c r="J252" i="15"/>
  <c r="I252" i="15"/>
  <c r="AJ81" i="15"/>
  <c r="I193" i="15"/>
  <c r="Z193" i="15"/>
  <c r="Z252" i="15"/>
  <c r="AA81" i="15"/>
  <c r="Z82" i="15"/>
  <c r="D86" i="15"/>
  <c r="D193" i="15"/>
  <c r="D252" i="15"/>
  <c r="N193" i="15"/>
  <c r="N252" i="15"/>
  <c r="N86" i="15"/>
  <c r="N82" i="15"/>
  <c r="L193" i="15"/>
  <c r="L86" i="15"/>
  <c r="L252" i="15"/>
  <c r="F194" i="15"/>
  <c r="F253" i="15"/>
  <c r="AG253" i="15"/>
  <c r="AG194" i="15"/>
  <c r="G194" i="15"/>
  <c r="G253" i="15"/>
  <c r="H252" i="15"/>
  <c r="H193" i="15"/>
  <c r="BE194" i="15"/>
  <c r="BE253" i="15"/>
  <c r="AC82" i="15"/>
  <c r="I82" i="15"/>
  <c r="AU81" i="15"/>
  <c r="AV81" i="15" s="1"/>
  <c r="M193" i="15"/>
  <c r="M252" i="15"/>
  <c r="M86" i="15"/>
  <c r="O253" i="15"/>
  <c r="O194" i="15"/>
  <c r="BF82" i="15"/>
  <c r="E86" i="15"/>
  <c r="E252" i="15"/>
  <c r="E193" i="15"/>
  <c r="BI193" i="15"/>
  <c r="BI252" i="15"/>
  <c r="AD81" i="15"/>
  <c r="AS195" i="15"/>
  <c r="AS85" i="15"/>
  <c r="AH83" i="15" l="1"/>
  <c r="AH254" i="15" s="1"/>
  <c r="AL253" i="15"/>
  <c r="AI252" i="15"/>
  <c r="AH195" i="15"/>
  <c r="AI83" i="15"/>
  <c r="AI254" i="15" s="1"/>
  <c r="AH85" i="15"/>
  <c r="E85" i="15"/>
  <c r="E254" i="15"/>
  <c r="E195" i="15"/>
  <c r="BH252" i="15"/>
  <c r="BH193" i="15"/>
  <c r="BH82" i="15"/>
  <c r="W193" i="15"/>
  <c r="W252" i="15"/>
  <c r="W82" i="15"/>
  <c r="X81" i="15"/>
  <c r="AV252" i="15"/>
  <c r="AV193" i="15"/>
  <c r="AV82" i="15"/>
  <c r="AX252" i="15"/>
  <c r="AX193" i="15"/>
  <c r="AY81" i="15"/>
  <c r="AZ81" i="15" s="1"/>
  <c r="AX82" i="15"/>
  <c r="BG253" i="15"/>
  <c r="BG194" i="15"/>
  <c r="H195" i="15"/>
  <c r="H85" i="15"/>
  <c r="H254" i="15"/>
  <c r="G85" i="15"/>
  <c r="G254" i="15"/>
  <c r="G195" i="15"/>
  <c r="N194" i="15"/>
  <c r="N83" i="15"/>
  <c r="N254" i="15" s="1"/>
  <c r="N253" i="15"/>
  <c r="BB252" i="15"/>
  <c r="BB193" i="15"/>
  <c r="BC81" i="15"/>
  <c r="BB82" i="15"/>
  <c r="BD81" i="15"/>
  <c r="V194" i="15"/>
  <c r="V253" i="15"/>
  <c r="AT253" i="15"/>
  <c r="AT194" i="15"/>
  <c r="I194" i="15"/>
  <c r="I83" i="15"/>
  <c r="I253" i="15"/>
  <c r="AI194" i="15"/>
  <c r="AI253" i="15"/>
  <c r="D254" i="15"/>
  <c r="D85" i="15"/>
  <c r="D195" i="15"/>
  <c r="U83" i="15"/>
  <c r="BF253" i="15"/>
  <c r="BF194" i="15"/>
  <c r="AE81" i="15"/>
  <c r="AD252" i="15"/>
  <c r="AD193" i="15"/>
  <c r="AD82" i="15"/>
  <c r="F83" i="15"/>
  <c r="AW194" i="15"/>
  <c r="AW253" i="15"/>
  <c r="AJ252" i="15"/>
  <c r="AJ193" i="15"/>
  <c r="AJ82" i="15"/>
  <c r="M195" i="15"/>
  <c r="M85" i="15"/>
  <c r="AC253" i="15"/>
  <c r="AC194" i="15"/>
  <c r="Z194" i="15"/>
  <c r="Z253" i="15"/>
  <c r="AA252" i="15"/>
  <c r="AA193" i="15"/>
  <c r="AA82" i="15"/>
  <c r="AU193" i="15"/>
  <c r="AU252" i="15"/>
  <c r="AU82" i="15"/>
  <c r="P81" i="15"/>
  <c r="AP85" i="15"/>
  <c r="AP195" i="15"/>
  <c r="AB81" i="15"/>
  <c r="V83" i="15" l="1"/>
  <c r="V254" i="15" s="1"/>
  <c r="U254" i="15"/>
  <c r="X252" i="15"/>
  <c r="X193" i="15"/>
  <c r="X82" i="15"/>
  <c r="AJ253" i="15"/>
  <c r="AJ194" i="15"/>
  <c r="N195" i="15"/>
  <c r="N85" i="15"/>
  <c r="O83" i="15"/>
  <c r="O254" i="15" s="1"/>
  <c r="AU253" i="15"/>
  <c r="AU194" i="15"/>
  <c r="AU83" i="15"/>
  <c r="AU254" i="15" s="1"/>
  <c r="AX194" i="15"/>
  <c r="AX253" i="15"/>
  <c r="AZ193" i="15"/>
  <c r="AZ252" i="15"/>
  <c r="AZ82" i="15"/>
  <c r="I254" i="15"/>
  <c r="I195" i="15"/>
  <c r="I85" i="15"/>
  <c r="J83" i="15"/>
  <c r="J254" i="15" s="1"/>
  <c r="BB194" i="15"/>
  <c r="BB253" i="15"/>
  <c r="AY193" i="15"/>
  <c r="AY252" i="15"/>
  <c r="AY82" i="15"/>
  <c r="AE193" i="15"/>
  <c r="AE252" i="15"/>
  <c r="AE82" i="15"/>
  <c r="AF81" i="15"/>
  <c r="V85" i="15"/>
  <c r="V195" i="15"/>
  <c r="BC193" i="15"/>
  <c r="BC252" i="15"/>
  <c r="BC82" i="15"/>
  <c r="P193" i="15"/>
  <c r="P252" i="15"/>
  <c r="P82" i="15"/>
  <c r="BD252" i="15"/>
  <c r="BD82" i="15"/>
  <c r="BD193" i="15"/>
  <c r="U195" i="15"/>
  <c r="U85" i="15"/>
  <c r="AA253" i="15"/>
  <c r="AA194" i="15"/>
  <c r="BH194" i="15"/>
  <c r="BH253" i="15"/>
  <c r="W83" i="15"/>
  <c r="W254" i="15" s="1"/>
  <c r="W253" i="15"/>
  <c r="W194" i="15"/>
  <c r="F254" i="15"/>
  <c r="F85" i="15"/>
  <c r="F195" i="15"/>
  <c r="AB252" i="15"/>
  <c r="AB82" i="15"/>
  <c r="AB193" i="15"/>
  <c r="AD253" i="15"/>
  <c r="AD194" i="15"/>
  <c r="AI195" i="15"/>
  <c r="AJ83" i="15"/>
  <c r="AJ254" i="15" s="1"/>
  <c r="AI85" i="15"/>
  <c r="AV194" i="15"/>
  <c r="AV253" i="15"/>
  <c r="AF252" i="15" l="1"/>
  <c r="AF193" i="15"/>
  <c r="AF82" i="15"/>
  <c r="AJ85" i="15"/>
  <c r="AJ195" i="15"/>
  <c r="AK83" i="15"/>
  <c r="AK254" i="15" s="1"/>
  <c r="AU85" i="15"/>
  <c r="AU195" i="15"/>
  <c r="AV83" i="15"/>
  <c r="AV254" i="15" s="1"/>
  <c r="J85" i="15"/>
  <c r="J195" i="15"/>
  <c r="K83" i="15"/>
  <c r="K254" i="15" s="1"/>
  <c r="X253" i="15"/>
  <c r="X194" i="15"/>
  <c r="X83" i="15"/>
  <c r="X254" i="15" s="1"/>
  <c r="P194" i="15"/>
  <c r="P253" i="15"/>
  <c r="W195" i="15"/>
  <c r="W85" i="15"/>
  <c r="AY253" i="15"/>
  <c r="AY194" i="15"/>
  <c r="AE253" i="15"/>
  <c r="AE194" i="15"/>
  <c r="BC253" i="15"/>
  <c r="BC194" i="15"/>
  <c r="AB253" i="15"/>
  <c r="AB194" i="15"/>
  <c r="BD253" i="15"/>
  <c r="BD194" i="15"/>
  <c r="AZ253" i="15"/>
  <c r="AZ194" i="15"/>
  <c r="O85" i="15"/>
  <c r="O195" i="15"/>
  <c r="AK195" i="15" l="1"/>
  <c r="AL83" i="15"/>
  <c r="AL254" i="15" s="1"/>
  <c r="AK85" i="15"/>
  <c r="AV195" i="15"/>
  <c r="AW83" i="15"/>
  <c r="AW254" i="15" s="1"/>
  <c r="AV85" i="15"/>
  <c r="K85" i="15"/>
  <c r="K195" i="15"/>
  <c r="L83" i="15"/>
  <c r="L254" i="15" s="1"/>
  <c r="AF253" i="15"/>
  <c r="AF194" i="15"/>
  <c r="X195" i="15"/>
  <c r="X85" i="15"/>
  <c r="Y83" i="15"/>
  <c r="Y254" i="15" s="1"/>
  <c r="AW85" i="15" l="1"/>
  <c r="AW195" i="15"/>
  <c r="AX83" i="15"/>
  <c r="AX254" i="15" s="1"/>
  <c r="L85" i="15"/>
  <c r="L195" i="15"/>
  <c r="AL195" i="15"/>
  <c r="AL85" i="15"/>
  <c r="Y85" i="15"/>
  <c r="Y195" i="15"/>
  <c r="Z83" i="15"/>
  <c r="Z254" i="15" s="1"/>
  <c r="AA83" i="15" l="1"/>
  <c r="AA254" i="15" s="1"/>
  <c r="Z195" i="15"/>
  <c r="Z85" i="15"/>
  <c r="AX85" i="15"/>
  <c r="AY83" i="15"/>
  <c r="AY254" i="15" s="1"/>
  <c r="AX195" i="15"/>
  <c r="AY85" i="15" l="1"/>
  <c r="AY195" i="15"/>
  <c r="AZ83" i="15"/>
  <c r="AZ254" i="15" s="1"/>
  <c r="AA85" i="15"/>
  <c r="AA195" i="15"/>
  <c r="AB83" i="15"/>
  <c r="AB254" i="15" s="1"/>
  <c r="AB195" i="15" l="1"/>
  <c r="AB85" i="15"/>
  <c r="AC83" i="15"/>
  <c r="AC254" i="15" s="1"/>
  <c r="AZ195" i="15"/>
  <c r="BA83" i="15"/>
  <c r="BA254" i="15" s="1"/>
  <c r="AZ85" i="15"/>
  <c r="BA85" i="15" l="1"/>
  <c r="BA195" i="15"/>
  <c r="BB83" i="15"/>
  <c r="BB254" i="15" s="1"/>
  <c r="AC85" i="15"/>
  <c r="AC195" i="15"/>
  <c r="AD83" i="15"/>
  <c r="AD254" i="15" s="1"/>
  <c r="AD195" i="15" l="1"/>
  <c r="AE83" i="15"/>
  <c r="AE254" i="15" s="1"/>
  <c r="AD85" i="15"/>
  <c r="BB195" i="15"/>
  <c r="BC83" i="15"/>
  <c r="BC254" i="15" s="1"/>
  <c r="BB85" i="15"/>
  <c r="BC85" i="15" l="1"/>
  <c r="BC195" i="15"/>
  <c r="BD83" i="15"/>
  <c r="BD254" i="15" s="1"/>
  <c r="AF83" i="15"/>
  <c r="AF254" i="15" s="1"/>
  <c r="AE195" i="15"/>
  <c r="AE85" i="15"/>
  <c r="AF195" i="15" l="1"/>
  <c r="AF85" i="15"/>
  <c r="BD85" i="15"/>
  <c r="BD195" i="15"/>
  <c r="BE83" i="15"/>
  <c r="BE254" i="15" s="1"/>
  <c r="P83" i="15" l="1"/>
  <c r="P254" i="15" s="1"/>
  <c r="BE195" i="15"/>
  <c r="BF83" i="15"/>
  <c r="BF254" i="15" s="1"/>
  <c r="BE85" i="15"/>
  <c r="BF195" i="15" l="1"/>
  <c r="BF85" i="15"/>
  <c r="BG83" i="15"/>
  <c r="BG254" i="15" s="1"/>
  <c r="P85" i="15"/>
  <c r="P195" i="15"/>
  <c r="BG195" i="15" l="1"/>
  <c r="BH83" i="15"/>
  <c r="BH254" i="15" s="1"/>
  <c r="BG85" i="15"/>
  <c r="BI83" i="15" l="1"/>
  <c r="BI254" i="15" s="1"/>
  <c r="BH85" i="15"/>
  <c r="BH195" i="15"/>
  <c r="BI85" i="15" l="1"/>
  <c r="BI195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  <author>Crisil Intergral IQ</author>
    <author>CRISIL GR&amp;RS</author>
    <author>CRISIL GR&amp;A</author>
    <author>Meghana Ramesh Gollapudi</author>
    <author>CRISIL Ltd</author>
    <author>Rishabh Saraf</author>
    <author>Vijay Nema</author>
    <author>Crisil GR&amp;A</author>
  </authors>
  <commentList>
    <comment ref="K6" authorId="0" shapeId="0" xr:uid="{390F977F-02DA-44DD-A2F5-9151FA57E9F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K46" authorId="0" shapeId="0" xr:uid="{58F5EB8A-B9C1-4582-88BA-22ECC158E57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E52" authorId="1" shapeId="0" xr:uid="{7985224B-3A3A-4B1B-88A8-00FEAA7F63AF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Diffrence with company reported leverage ratio due to the inclusion of lease as  part of debt and exclusion of effect of hedging</t>
        </r>
      </text>
    </comment>
    <comment ref="F52" authorId="1" shapeId="0" xr:uid="{C2BDF85B-DDC3-499A-AC15-AF7E8EC878D4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Diffrence with company reported leverage ratio due to the inclusion of lease as  part of debt and exclusion of effect of hedging</t>
        </r>
      </text>
    </comment>
    <comment ref="K83" authorId="0" shapeId="0" xr:uid="{EF011C1B-4D45-43D9-BF51-B6A60EAE75F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E90" authorId="1" shapeId="0" xr:uid="{A7DE022E-271C-4F5D-AFCC-BFEA43EA9966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Diffrence with company reported leverage ratio due to the inclusion of lease as  part of debt and exclusion of effect of hedging</t>
        </r>
      </text>
    </comment>
    <comment ref="E128" authorId="1" shapeId="0" xr:uid="{B003AE54-C5D4-410D-81B9-23A812A49680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Diffrence with company reported leverage ratio due to the inclusion of lease as  part of debt and exclusion of effect of hedging</t>
        </r>
      </text>
    </comment>
    <comment ref="E167" authorId="1" shapeId="0" xr:uid="{3E63C319-B4CB-4C4F-8449-CE13D08328D6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Diffrence with company reported leverage ratio due to the inclusion of lease as  part of debt and exclusion of effect of hedging</t>
        </r>
      </text>
    </comment>
    <comment ref="E201" authorId="1" shapeId="0" xr:uid="{7E0808CE-E375-4893-8D55-C61B321ADE1A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Diffrence with company reported leverage ratio due to the inclusion of lease as  part of debt</t>
        </r>
      </text>
    </comment>
    <comment ref="E523" authorId="2" shapeId="0" xr:uid="{C7A1544C-1EF2-4574-B21D-6FAB44EF7F9A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Rounded off</t>
        </r>
      </text>
    </comment>
    <comment ref="E558" authorId="3" shapeId="0" xr:uid="{00000000-0006-0000-0000-00000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pg 14/16</t>
        </r>
      </text>
    </comment>
    <comment ref="E562" authorId="3" shapeId="0" xr:uid="{00000000-0006-0000-0000-00000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Rounded off to 100%</t>
        </r>
      </text>
    </comment>
    <comment ref="E595" authorId="3" shapeId="0" xr:uid="{00000000-0006-0000-0000-00000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pg 14/16</t>
        </r>
      </text>
    </comment>
    <comment ref="E599" authorId="3" shapeId="0" xr:uid="{00000000-0006-0000-0000-00000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Rounded off to 100%</t>
        </r>
      </text>
    </comment>
    <comment ref="E635" authorId="3" shapeId="0" xr:uid="{00000000-0006-0000-0000-00000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pg 13/16</t>
        </r>
      </text>
    </comment>
    <comment ref="E639" authorId="3" shapeId="0" xr:uid="{00000000-0006-0000-0000-00000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Rounded off to 100%</t>
        </r>
      </text>
    </comment>
    <comment ref="E674" authorId="3" shapeId="0" xr:uid="{00000000-0006-0000-0000-00000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pg 13/16</t>
        </r>
      </text>
    </comment>
    <comment ref="C775" authorId="4" shapeId="0" xr:uid="{00000000-0006-0000-0000-000008000000}">
      <text>
        <r>
          <rPr>
            <sz val="9"/>
            <color indexed="81"/>
            <rFont val="Tahoma"/>
            <family val="2"/>
          </rPr>
          <t xml:space="preserve">data not availablel as BMV filing is NA
</t>
        </r>
      </text>
    </comment>
    <comment ref="C780" authorId="4" shapeId="0" xr:uid="{00000000-0006-0000-0000-000009000000}">
      <text>
        <r>
          <rPr>
            <sz val="9"/>
            <color indexed="81"/>
            <rFont val="Tahoma"/>
            <family val="2"/>
          </rPr>
          <t xml:space="preserve">data not availablel as BMV filing is NA
</t>
        </r>
      </text>
    </comment>
    <comment ref="E818" authorId="5" shapeId="0" xr:uid="{00000000-0006-0000-0000-00000A000000}">
      <text>
        <r>
          <rPr>
            <b/>
            <sz val="9"/>
            <color indexed="81"/>
            <rFont val="Tahoma"/>
            <family val="2"/>
          </rPr>
          <t>CRISIL Ltd:</t>
        </r>
        <r>
          <rPr>
            <sz val="9"/>
            <color indexed="81"/>
            <rFont val="Tahoma"/>
            <family val="2"/>
          </rPr>
          <t xml:space="preserve">
Adjsuted for Rounding off error</t>
        </r>
      </text>
    </comment>
    <comment ref="E872" authorId="5" shapeId="0" xr:uid="{00000000-0006-0000-0000-00000B000000}">
      <text>
        <r>
          <rPr>
            <b/>
            <sz val="9"/>
            <color indexed="81"/>
            <rFont val="Tahoma"/>
            <family val="2"/>
          </rPr>
          <t>CRISIL Ltd:</t>
        </r>
        <r>
          <rPr>
            <sz val="9"/>
            <color indexed="81"/>
            <rFont val="Tahoma"/>
            <family val="2"/>
          </rPr>
          <t xml:space="preserve">
Adjsuted for Rounding off error</t>
        </r>
      </text>
    </comment>
    <comment ref="C882" authorId="4" shapeId="0" xr:uid="{00000000-0006-0000-0000-00000C000000}">
      <text>
        <r>
          <rPr>
            <sz val="9"/>
            <color indexed="81"/>
            <rFont val="Tahoma"/>
            <family val="2"/>
          </rPr>
          <t xml:space="preserve">data not availablel as BMV filing is NA
</t>
        </r>
      </text>
    </comment>
    <comment ref="D890" authorId="4" shapeId="0" xr:uid="{00000000-0006-0000-0000-00000D000000}">
      <text>
        <r>
          <rPr>
            <sz val="9"/>
            <color indexed="81"/>
            <rFont val="Tahoma"/>
            <family val="2"/>
          </rPr>
          <t xml:space="preserve">On September 1, 2020, the Company issued its first green bond in the international capital markets for US$705 million due 2032.
</t>
        </r>
      </text>
    </comment>
    <comment ref="E968" authorId="6" shapeId="0" xr:uid="{00000000-0006-0000-0000-00000E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Rounding off error</t>
        </r>
      </text>
    </comment>
    <comment ref="C970" authorId="6" shapeId="0" xr:uid="{00000000-0006-0000-0000-00000F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0.1% higher due to rounding off error</t>
        </r>
      </text>
    </comment>
    <comment ref="E1153" authorId="7" shapeId="0" xr:uid="{00000000-0006-0000-0000-000010000000}">
      <text>
        <r>
          <rPr>
            <sz val="9"/>
            <color indexed="81"/>
            <rFont val="Tahoma"/>
            <family val="2"/>
          </rPr>
          <t>Made this 26.4% to 26.5% to make this full 100%.</t>
        </r>
      </text>
    </comment>
    <comment ref="E1236" authorId="8" shapeId="0" xr:uid="{00000000-0006-0000-0000-00001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taken from FY18 press release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Onabule, Yejide</author>
    <author>CRISIL</author>
    <author>Crisil Intergral IQ</author>
    <author>Meghana Ramesh Gollapudi</author>
    <author>Manik Sharma</author>
    <author>Nikhil Arora</author>
    <author>Crisil GR&amp;A</author>
    <author>CRISIL GR&amp;RS</author>
    <author>Vivek Panchal</author>
    <author>CRISIL GR&amp;A</author>
    <author>Yogesh Sheth</author>
    <author>Rishabh Saraf</author>
  </authors>
  <commentList>
    <comment ref="B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report income statemet the way it is reported</t>
        </r>
      </text>
    </comment>
    <comment ref="O7" authorId="1" shapeId="0" xr:uid="{7B8B36C5-CD1C-46BC-965E-4A7C0B6DE8A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BG7" authorId="1" shapeId="0" xr:uid="{941596B9-E7C3-4505-B563-8B61C97C64E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BI7" authorId="1" shapeId="0" xr:uid="{CE0AC912-6DD9-4193-9AA5-67B6F8229BE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N13" authorId="2" shapeId="0" xr:uid="{3500476B-D721-4593-BCCE-E5F4EF6F8BEE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To be sourced from BMV filling</t>
        </r>
      </text>
    </comment>
    <comment ref="O13" authorId="2" shapeId="0" xr:uid="{D357CF24-0849-4F57-B954-F887D7011A28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To be sourced from BMV filling</t>
        </r>
      </text>
    </comment>
    <comment ref="AM13" authorId="3" shapeId="0" xr:uid="{00000000-0006-0000-0200-000003000000}">
      <text>
        <r>
          <rPr>
            <sz val="9"/>
            <color indexed="81"/>
            <rFont val="Tahoma"/>
            <family val="2"/>
          </rPr>
          <t xml:space="preserve">Operating expense breakup not available as BMV filing is NA
</t>
        </r>
      </text>
    </comment>
    <comment ref="AO13" authorId="4" shapeId="0" xr:uid="{00000000-0006-0000-0200-000004000000}">
      <text>
        <r>
          <rPr>
            <sz val="9"/>
            <color indexed="81"/>
            <rFont val="Tahoma"/>
            <family val="2"/>
          </rPr>
          <t>Operating expense breakup not available as BMV filing is NA</t>
        </r>
      </text>
    </comment>
    <comment ref="AQ13" authorId="3" shapeId="0" xr:uid="{00000000-0006-0000-0200-000005000000}">
      <text>
        <r>
          <rPr>
            <sz val="9"/>
            <color indexed="81"/>
            <rFont val="Tahoma"/>
            <family val="2"/>
          </rPr>
          <t xml:space="preserve">Operating expense breakup not available as BMV filing is NA
</t>
        </r>
      </text>
    </comment>
    <comment ref="BC13" authorId="2" shapeId="0" xr:uid="{3F6125F1-D408-4048-BDD7-8CF3C3C351CB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To be sourced from BMV filling</t>
        </r>
      </text>
    </comment>
    <comment ref="BG13" authorId="2" shapeId="0" xr:uid="{4089EABF-E188-4254-A7A4-CE60ED866F76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To be sourced from BMV filling</t>
        </r>
      </text>
    </comment>
    <comment ref="BI13" authorId="2" shapeId="0" xr:uid="{4A5E0C1A-CCA1-4108-83D2-EAE4A9392D25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To be sourced from BMV filling</t>
        </r>
      </text>
    </comment>
    <comment ref="BI14" authorId="2" shapeId="0" xr:uid="{9CB74383-84C8-4275-8B72-FC0A59C809F9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To be sourced from BMV filling</t>
        </r>
      </text>
    </comment>
    <comment ref="AB20" authorId="5" shapeId="0" xr:uid="{00000000-0006-0000-0200-00000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One time non-cash non-operating expenses due to change in the method for reporting Coca-Cola FEMSA de Venezuela to Fair value which resulted in foreign currency translation charge.</t>
        </r>
      </text>
    </comment>
    <comment ref="AM33" authorId="3" shapeId="0" xr:uid="{00000000-0006-0000-0200-000009000000}">
      <text>
        <r>
          <rPr>
            <sz val="9"/>
            <color indexed="81"/>
            <rFont val="Tahoma"/>
            <family val="2"/>
          </rPr>
          <t>operating expense as a % of sales</t>
        </r>
      </text>
    </comment>
    <comment ref="AQ33" authorId="3" shapeId="0" xr:uid="{00000000-0006-0000-0200-00000A000000}">
      <text>
        <r>
          <rPr>
            <sz val="9"/>
            <color indexed="81"/>
            <rFont val="Tahoma"/>
            <family val="2"/>
          </rPr>
          <t>operating expense as a % of sales</t>
        </r>
      </text>
    </comment>
    <comment ref="AM42" authorId="3" shapeId="0" xr:uid="{00000000-0006-0000-0200-00000B000000}">
      <text>
        <r>
          <rPr>
            <sz val="9"/>
            <color indexed="81"/>
            <rFont val="Tahoma"/>
            <family val="2"/>
          </rPr>
          <t xml:space="preserve">data not available as BMV filing is NA
</t>
        </r>
      </text>
    </comment>
    <comment ref="AO42" authorId="3" shapeId="0" xr:uid="{00000000-0006-0000-0200-00000C000000}">
      <text>
        <r>
          <rPr>
            <sz val="9"/>
            <color indexed="81"/>
            <rFont val="Tahoma"/>
            <family val="2"/>
          </rPr>
          <t xml:space="preserve">data not available as BMV filing is NA
</t>
        </r>
      </text>
    </comment>
    <comment ref="AQ42" authorId="3" shapeId="0" xr:uid="{00000000-0006-0000-0200-00000D000000}">
      <text>
        <r>
          <rPr>
            <sz val="9"/>
            <color indexed="81"/>
            <rFont val="Tahoma"/>
            <family val="2"/>
          </rPr>
          <t xml:space="preserve">data not available as BMV filing is NA
</t>
        </r>
      </text>
    </comment>
    <comment ref="AM47" authorId="3" shapeId="0" xr:uid="{00000000-0006-0000-0200-000010000000}">
      <text>
        <r>
          <rPr>
            <sz val="9"/>
            <color indexed="81"/>
            <rFont val="Tahoma"/>
            <family val="2"/>
          </rPr>
          <t xml:space="preserve">data not available as BMV filing is NA
</t>
        </r>
      </text>
    </comment>
    <comment ref="AO47" authorId="3" shapeId="0" xr:uid="{00000000-0006-0000-0200-000011000000}">
      <text>
        <r>
          <rPr>
            <sz val="9"/>
            <color indexed="81"/>
            <rFont val="Tahoma"/>
            <family val="2"/>
          </rPr>
          <t xml:space="preserve">data not available as BMV filing is NA
</t>
        </r>
      </text>
    </comment>
    <comment ref="AP47" authorId="4" shapeId="0" xr:uid="{00000000-0006-0000-0200-000012000000}">
      <text>
        <r>
          <rPr>
            <sz val="9"/>
            <color indexed="81"/>
            <rFont val="Tahoma"/>
            <family val="2"/>
          </rPr>
          <t>6 month's ended date</t>
        </r>
      </text>
    </comment>
    <comment ref="AT47" authorId="4" shapeId="0" xr:uid="{00000000-0006-0000-0200-000014000000}">
      <text>
        <r>
          <rPr>
            <sz val="9"/>
            <color indexed="81"/>
            <rFont val="Tahoma"/>
            <family val="2"/>
          </rPr>
          <t>6 month's ended date</t>
        </r>
      </text>
    </comment>
    <comment ref="AX47" authorId="4" shapeId="0" xr:uid="{B28FC068-D9EF-4C3A-92D5-792D30E05EFE}">
      <text>
        <r>
          <rPr>
            <sz val="9"/>
            <color indexed="81"/>
            <rFont val="Tahoma"/>
            <family val="2"/>
          </rPr>
          <t>6 month's ended date</t>
        </r>
      </text>
    </comment>
    <comment ref="B53" authorId="5" shapeId="0" xr:uid="{00000000-0006-0000-0200-00001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Adjusted EBITDA is not available in company reports. Normal EBITDA is considered.</t>
        </r>
      </text>
    </comment>
    <comment ref="N53" authorId="2" shapeId="0" xr:uid="{DA25AB09-68BE-4C84-9558-51932C3A9A55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Adjusted EBITDA = operating income + depreciation + amortization &amp; other operating non-cash charges.</t>
        </r>
      </text>
    </comment>
    <comment ref="O53" authorId="2" shapeId="0" xr:uid="{D84522BF-FC42-48DC-ACDA-FACBF9DC0D71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Adjusted EBITDA = operating income + depreciation + amortization &amp; other operating non-cash charges.</t>
        </r>
      </text>
    </comment>
    <comment ref="AM53" authorId="3" shapeId="0" xr:uid="{00000000-0006-0000-0200-000016000000}">
      <text>
        <r>
          <rPr>
            <sz val="9"/>
            <color indexed="81"/>
            <rFont val="Tahoma"/>
            <family val="2"/>
          </rPr>
          <t>harcoded data from earnings release pg 3/16</t>
        </r>
      </text>
    </comment>
    <comment ref="AO53" authorId="4" shapeId="0" xr:uid="{00000000-0006-0000-0200-000017000000}">
      <text>
        <r>
          <rPr>
            <sz val="9"/>
            <color indexed="81"/>
            <rFont val="Tahoma"/>
            <family val="2"/>
          </rPr>
          <t>harcoded data from earnings release pg 3/13</t>
        </r>
      </text>
    </comment>
    <comment ref="AP53" authorId="4" shapeId="0" xr:uid="{00000000-0006-0000-0200-000018000000}">
      <text>
        <r>
          <rPr>
            <sz val="9"/>
            <color indexed="81"/>
            <rFont val="Tahoma"/>
            <family val="2"/>
          </rPr>
          <t>harcoded data from earnings release pg 3/16</t>
        </r>
      </text>
    </comment>
    <comment ref="AQ53" authorId="3" shapeId="0" xr:uid="{00000000-0006-0000-0200-000019000000}">
      <text>
        <r>
          <rPr>
            <sz val="9"/>
            <color indexed="81"/>
            <rFont val="Tahoma"/>
            <family val="2"/>
          </rPr>
          <t>harcoded data from earnings release pg 3/16</t>
        </r>
      </text>
    </comment>
    <comment ref="AS53" authorId="4" shapeId="0" xr:uid="{00000000-0006-0000-0200-00001A000000}">
      <text>
        <r>
          <rPr>
            <sz val="9"/>
            <color indexed="81"/>
            <rFont val="Tahoma"/>
            <family val="2"/>
          </rPr>
          <t>harcoded data from earnings release pg 3/13</t>
        </r>
      </text>
    </comment>
    <comment ref="AT53" authorId="4" shapeId="0" xr:uid="{00000000-0006-0000-0200-00001B000000}">
      <text>
        <r>
          <rPr>
            <sz val="9"/>
            <color indexed="81"/>
            <rFont val="Tahoma"/>
            <family val="2"/>
          </rPr>
          <t>harcoded data from earnings release pg 3/16</t>
        </r>
      </text>
    </comment>
    <comment ref="AU53" authorId="4" shapeId="0" xr:uid="{00000000-0006-0000-0200-00001C000000}">
      <text>
        <r>
          <rPr>
            <sz val="9"/>
            <color indexed="81"/>
            <rFont val="Tahoma"/>
            <family val="2"/>
          </rPr>
          <t>harcoded data from earnings release pg 4/17</t>
        </r>
      </text>
    </comment>
    <comment ref="AW53" authorId="4" shapeId="0" xr:uid="{2158FE69-DD1F-46A9-A162-93B2D4CA1382}">
      <text>
        <r>
          <rPr>
            <sz val="9"/>
            <color indexed="81"/>
            <rFont val="Tahoma"/>
            <family val="2"/>
          </rPr>
          <t>harcoded data from earnings release pg 3/13</t>
        </r>
      </text>
    </comment>
    <comment ref="AX53" authorId="4" shapeId="0" xr:uid="{D5F84DA7-E432-4401-883B-5F3227FBDADF}">
      <text>
        <r>
          <rPr>
            <sz val="9"/>
            <color indexed="81"/>
            <rFont val="Tahoma"/>
            <family val="2"/>
          </rPr>
          <t>harcoded data from earnings release pg 3/16</t>
        </r>
      </text>
    </comment>
    <comment ref="AY53" authorId="4" shapeId="0" xr:uid="{A44745F8-287B-46D6-B41B-8AD2C1FD243F}">
      <text>
        <r>
          <rPr>
            <sz val="9"/>
            <color indexed="81"/>
            <rFont val="Tahoma"/>
            <family val="2"/>
          </rPr>
          <t>harcoded data from earnings release pg 4/17</t>
        </r>
      </text>
    </comment>
    <comment ref="BA53" authorId="4" shapeId="0" xr:uid="{1EB5BFEC-BA7D-4FEC-A65C-53C040BFF925}">
      <text>
        <r>
          <rPr>
            <sz val="9"/>
            <color indexed="81"/>
            <rFont val="Tahoma"/>
            <family val="2"/>
          </rPr>
          <t>harcoded data from earnings release pg 3/13</t>
        </r>
      </text>
    </comment>
    <comment ref="BE53" authorId="1" shapeId="0" xr:uid="{83D470D1-4BE2-4E9A-95BA-684B8DDDDF9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As reported by company</t>
        </r>
      </text>
    </comment>
    <comment ref="BI53" authorId="1" shapeId="0" xr:uid="{0C6A52F1-D6D2-4A67-A56A-E358CAE5978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As reported by company</t>
        </r>
      </text>
    </comment>
    <comment ref="F56" authorId="5" shapeId="0" xr:uid="{00000000-0006-0000-0200-00001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Assumed to be same as FY16 as rental expenses are not available in FY17 reports.
Rental expenses are given only in 20-F reports, which is yet to be released for FY17.</t>
        </r>
      </text>
    </comment>
    <comment ref="AA56" authorId="5" shapeId="0" xr:uid="{00000000-0006-0000-0200-00001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Assumed to be 25% of FY 17.</t>
        </r>
      </text>
    </comment>
    <comment ref="AA59" authorId="5" shapeId="0" xr:uid="{00000000-0006-0000-0200-00001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Bifurcation of Depreciation and amortisation is not available for quarters.</t>
        </r>
      </text>
    </comment>
    <comment ref="B62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adjust this section, if necessary  </t>
        </r>
      </text>
    </comment>
    <comment ref="AP62" authorId="4" shapeId="0" xr:uid="{00000000-0006-0000-0200-000021000000}">
      <text>
        <r>
          <rPr>
            <sz val="9"/>
            <color indexed="81"/>
            <rFont val="Tahoma"/>
            <family val="2"/>
          </rPr>
          <t>6 month's ended date</t>
        </r>
      </text>
    </comment>
    <comment ref="AT62" authorId="4" shapeId="0" xr:uid="{00000000-0006-0000-0200-000022000000}">
      <text>
        <r>
          <rPr>
            <sz val="9"/>
            <color indexed="81"/>
            <rFont val="Tahoma"/>
            <family val="2"/>
          </rPr>
          <t>6 month's ended date</t>
        </r>
      </text>
    </comment>
    <comment ref="B64" authorId="5" shapeId="0" xr:uid="{00000000-0006-0000-0200-00002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Includes:
* Decreases (increases) in inventories
* Decrease (increase) in customers
* Decreases (increases) in other accounts receivable resulting from operating activities
* Increase (decrease) in suppliers
* Increases (decreases) in other accounts payable arising from operating activities</t>
        </r>
      </text>
    </comment>
    <comment ref="AM64" authorId="3" shapeId="0" xr:uid="{00000000-0006-0000-0200-000026000000}">
      <text>
        <r>
          <rPr>
            <sz val="9"/>
            <color indexed="81"/>
            <rFont val="Tahoma"/>
            <family val="2"/>
          </rPr>
          <t>3Q20 CF data not available
Also Checked bloomberg</t>
        </r>
      </text>
    </comment>
    <comment ref="AN64" authorId="3" shapeId="0" xr:uid="{00000000-0006-0000-0200-000027000000}">
      <text>
        <r>
          <rPr>
            <sz val="9"/>
            <color indexed="81"/>
            <rFont val="Tahoma"/>
            <family val="2"/>
          </rPr>
          <t>3Q20 CF data not available
Also Checked bloomberg</t>
        </r>
      </text>
    </comment>
    <comment ref="AO64" authorId="3" shapeId="0" xr:uid="{00000000-0006-0000-0200-000028000000}">
      <text>
        <r>
          <rPr>
            <sz val="9"/>
            <color indexed="81"/>
            <rFont val="Tahoma"/>
            <family val="2"/>
          </rPr>
          <t>1Q21 CF data not available
Also Checked bloomberg</t>
        </r>
      </text>
    </comment>
    <comment ref="AQ64" authorId="3" shapeId="0" xr:uid="{00000000-0006-0000-0200-000029000000}">
      <text>
        <r>
          <rPr>
            <sz val="9"/>
            <color indexed="81"/>
            <rFont val="Tahoma"/>
            <family val="2"/>
          </rPr>
          <t>3Q21 CF data not available</t>
        </r>
      </text>
    </comment>
    <comment ref="AR64" authorId="3" shapeId="0" xr:uid="{00000000-0006-0000-0200-00002A000000}">
      <text>
        <r>
          <rPr>
            <sz val="9"/>
            <color indexed="81"/>
            <rFont val="Tahoma"/>
            <family val="2"/>
          </rPr>
          <t>4Q21 CF data not available</t>
        </r>
      </text>
    </comment>
    <comment ref="BG64" authorId="1" shapeId="0" xr:uid="{3ED4FE95-E5AB-4203-87E3-D1858383F5C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BMV filing, additional information pdf in website</t>
        </r>
      </text>
    </comment>
    <comment ref="BI64" authorId="1" shapeId="0" xr:uid="{10C39766-14E5-4865-8682-9E144E066DF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BMV filing, additional information pdf in website</t>
        </r>
      </text>
    </comment>
    <comment ref="B66" authorId="1" shapeId="0" xr:uid="{A2ABF484-A7B3-4EC3-9E5E-2F97360C2F3A}">
      <text>
        <r>
          <rPr>
            <b/>
            <sz val="9"/>
            <color indexed="81"/>
            <rFont val="Tahoma"/>
            <charset val="1"/>
          </rPr>
          <t>CRISIL:</t>
        </r>
        <r>
          <rPr>
            <sz val="9"/>
            <color indexed="81"/>
            <rFont val="Tahoma"/>
            <charset val="1"/>
          </rPr>
          <t xml:space="preserve">
Cash interest paid from financing activities</t>
        </r>
      </text>
    </comment>
    <comment ref="N67" authorId="2" shapeId="0" xr:uid="{4021A4FB-B783-4C2C-A9FB-075592FD810E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under investing activities</t>
        </r>
      </text>
    </comment>
    <comment ref="O67" authorId="2" shapeId="0" xr:uid="{0EC4B7BB-4A10-4F01-92C7-8B1DCCF24222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under investing activities</t>
        </r>
      </text>
    </comment>
    <comment ref="B69" authorId="5" shapeId="0" xr:uid="{00000000-0006-0000-0200-00002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 Purchase of Long-lived assets and Proceeds from sale of Long-lived assets</t>
        </r>
      </text>
    </comment>
    <comment ref="O71" authorId="1" shapeId="0" xr:uid="{B28CCB8E-CBCA-456F-8ABC-8D0CEC303FD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Other payments to acquire stakes in joint ventures</t>
        </r>
      </text>
    </comment>
    <comment ref="AG71" authorId="6" shapeId="0" xr:uid="{00000000-0006-0000-0200-00002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payments to acquire stakes in joint ventures</t>
        </r>
      </text>
    </comment>
    <comment ref="AH71" authorId="6" shapeId="0" xr:uid="{00000000-0006-0000-0200-00002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payments to acquire stakes in joint ventures</t>
        </r>
      </text>
    </comment>
    <comment ref="AI71" authorId="6" shapeId="0" xr:uid="{00000000-0006-0000-0200-00002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payments to acquire stakes in joint ventures</t>
        </r>
      </text>
    </comment>
    <comment ref="AK71" authorId="6" shapeId="0" xr:uid="{00000000-0006-0000-0200-00003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payments to acquire stakes in joint ventures</t>
        </r>
      </text>
    </comment>
    <comment ref="AL71" authorId="6" shapeId="0" xr:uid="{00000000-0006-0000-0200-00003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payments to acquire stakes in joint ventures</t>
        </r>
      </text>
    </comment>
    <comment ref="AP71" authorId="6" shapeId="0" xr:uid="{00000000-0006-0000-0200-00003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payments to acquire stakes in joint ventures</t>
        </r>
      </text>
    </comment>
    <comment ref="AT71" authorId="6" shapeId="0" xr:uid="{00000000-0006-0000-0200-00003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payments to acquire stakes in joint ventures</t>
        </r>
      </text>
    </comment>
    <comment ref="AX71" authorId="6" shapeId="0" xr:uid="{4F21943F-3962-4E06-9396-40428729883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payments to acquire stakes in joint ventures</t>
        </r>
      </text>
    </comment>
    <comment ref="BI71" authorId="1" shapeId="0" xr:uid="{368CD09C-9C65-4E44-BA11-6AB20FA96A5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Other payments to acquire stakes in joint ventures</t>
        </r>
      </text>
    </comment>
    <comment ref="O73" authorId="1" shapeId="0" xr:uid="{F88FF12C-9581-41E7-A7E5-5B244818C2C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Other cash inflows (outflows)</t>
        </r>
      </text>
    </comment>
    <comment ref="BF73" authorId="7" shapeId="0" xr:uid="{FAE65212-994A-4804-B4B5-8FAD68041A47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other items</t>
        </r>
      </text>
    </comment>
    <comment ref="BG73" authorId="1" shapeId="0" xr:uid="{CB80B971-BADB-446F-942E-18F2E515A84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9M includes:
* Other cash flows: 201.968 </t>
        </r>
      </text>
    </comment>
    <comment ref="BI73" authorId="1" shapeId="0" xr:uid="{D457206A-0D4F-450A-8662-F254BEA969C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Other cash inflows (outflows)</t>
        </r>
      </text>
    </comment>
    <comment ref="O77" authorId="1" shapeId="0" xr:uid="{9B45A8C8-D654-4004-9370-3063EFBD608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Other cash inflows (outflows)</t>
        </r>
      </text>
    </comment>
    <comment ref="BB77" authorId="7" shapeId="0" xr:uid="{11F04A59-579C-4A5D-AFB4-93995846C446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Interest paid and other items</t>
        </r>
      </text>
    </comment>
    <comment ref="BF77" authorId="7" shapeId="0" xr:uid="{4FA3EF3D-459B-45FA-935F-619B5227D9D3}">
      <text>
        <r>
          <rPr>
            <b/>
            <sz val="9"/>
            <color indexed="81"/>
            <rFont val="Tahoma"/>
            <family val="2"/>
          </rPr>
          <t>CRISIL GR&amp;RS:</t>
        </r>
        <r>
          <rPr>
            <sz val="9"/>
            <color indexed="81"/>
            <rFont val="Tahoma"/>
            <family val="2"/>
          </rPr>
          <t xml:space="preserve">
other items</t>
        </r>
      </text>
    </comment>
    <comment ref="BG77" authorId="1" shapeId="0" xr:uid="{76A5DD07-CB0F-4064-8179-ADBE99B93AD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9M includes:
* Other cash flows: (1,706.918)</t>
        </r>
      </text>
    </comment>
    <comment ref="BI77" authorId="1" shapeId="0" xr:uid="{A116CD6C-1ECE-4B7B-A5D8-4F86905A7545}">
      <text>
        <r>
          <rPr>
            <b/>
            <sz val="9"/>
            <color indexed="81"/>
            <rFont val="Tahoma"/>
            <charset val="1"/>
          </rPr>
          <t>CRISIL:</t>
        </r>
        <r>
          <rPr>
            <sz val="9"/>
            <color indexed="81"/>
            <rFont val="Tahoma"/>
            <charset val="1"/>
          </rPr>
          <t xml:space="preserve">
Other financing cash flow</t>
        </r>
      </text>
    </comment>
    <comment ref="AU81" authorId="8" shapeId="0" xr:uid="{93826A67-8412-4C7E-8033-5221B6973B3B}">
      <text>
        <r>
          <rPr>
            <b/>
            <sz val="9"/>
            <color indexed="81"/>
            <rFont val="Tahoma"/>
            <family val="2"/>
          </rPr>
          <t>Adjustments to Net profit in CF</t>
        </r>
      </text>
    </comment>
    <comment ref="AW81" authorId="8" shapeId="0" xr:uid="{529822B6-1B23-4F0F-BAE9-430DE7340AF1}">
      <text>
        <r>
          <rPr>
            <b/>
            <sz val="9"/>
            <color indexed="81"/>
            <rFont val="Tahoma"/>
            <family val="2"/>
          </rPr>
          <t>Adjustments to Net profit in CF</t>
        </r>
      </text>
    </comment>
    <comment ref="AX81" authorId="8" shapeId="0" xr:uid="{B299A8A9-BAAA-4239-B33D-A36856498338}">
      <text>
        <r>
          <rPr>
            <b/>
            <sz val="9"/>
            <color indexed="81"/>
            <rFont val="Tahoma"/>
            <family val="2"/>
          </rPr>
          <t>Adjustments to Net profit in CF</t>
        </r>
      </text>
    </comment>
    <comment ref="AY81" authorId="8" shapeId="0" xr:uid="{963734C9-B6F9-4269-81DD-E220DA107BBE}">
      <text>
        <r>
          <rPr>
            <b/>
            <sz val="9"/>
            <color indexed="81"/>
            <rFont val="Tahoma"/>
            <family val="2"/>
          </rPr>
          <t>Adjustments to Net profit in CF</t>
        </r>
      </text>
    </comment>
    <comment ref="BA81" authorId="8" shapeId="0" xr:uid="{2DB54422-6541-4C95-8386-84A2C8E7E6DC}">
      <text>
        <r>
          <rPr>
            <b/>
            <sz val="9"/>
            <color indexed="81"/>
            <rFont val="Tahoma"/>
            <family val="2"/>
          </rPr>
          <t>Adjustments to Net profit in CF</t>
        </r>
      </text>
    </comment>
    <comment ref="BB81" authorId="8" shapeId="0" xr:uid="{3BB1C1DB-21EB-4786-A12F-9CB8E199E0ED}">
      <text>
        <r>
          <rPr>
            <b/>
            <sz val="9"/>
            <color indexed="81"/>
            <rFont val="Tahoma"/>
            <family val="2"/>
          </rPr>
          <t>Adjustments to Net profit in CF</t>
        </r>
      </text>
    </comment>
    <comment ref="BC81" authorId="8" shapeId="0" xr:uid="{92256F10-D83C-40D6-83CE-49DCD00D8BD0}">
      <text>
        <r>
          <rPr>
            <b/>
            <sz val="9"/>
            <color indexed="81"/>
            <rFont val="Tahoma"/>
            <family val="2"/>
          </rPr>
          <t>Adjustments to Net profit in CF</t>
        </r>
      </text>
    </comment>
    <comment ref="BF81" authorId="8" shapeId="0" xr:uid="{3536DCC9-BB9D-48B1-BD1C-90BD9AA9D726}">
      <text>
        <r>
          <rPr>
            <b/>
            <sz val="9"/>
            <color indexed="81"/>
            <rFont val="Tahoma"/>
            <family val="2"/>
          </rPr>
          <t>Adjustments to Net profit in CF</t>
        </r>
      </text>
    </comment>
    <comment ref="BG81" authorId="1" shapeId="0" xr:uid="{7955DCAC-A17A-4348-B11E-527B99277C9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Other adjustments before working capital</t>
        </r>
      </text>
    </comment>
    <comment ref="BI81" authorId="1" shapeId="0" xr:uid="{7EF9CC1A-4CEA-4A79-BBC0-67C07644C80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It is due to use of EBITDA instead of net profit (loss) to calcualte CFO and other adjustments apart from working capital, majorly:
* Impairment losses (reversals of impairment losses) recognized in the period's profit or loss: 92.006
* Loss (gain) from the disposal of non-current assets:  (22.0)
* + Other items different from cash:  309.253
* Other adjustments for which the effects on cash are investing or financing cash flow:  331.122</t>
        </r>
      </text>
    </comment>
    <comment ref="AM83" authorId="3" shapeId="0" xr:uid="{00000000-0006-0000-0200-000037000000}">
      <text>
        <r>
          <rPr>
            <sz val="9"/>
            <color indexed="81"/>
            <rFont val="Tahoma"/>
            <family val="2"/>
          </rPr>
          <t>harcoded data from earnings release as BMV filing is NA</t>
        </r>
      </text>
    </comment>
    <comment ref="AO83" authorId="3" shapeId="0" xr:uid="{00000000-0006-0000-0200-000038000000}">
      <text>
        <r>
          <rPr>
            <sz val="9"/>
            <color indexed="81"/>
            <rFont val="Tahoma"/>
            <family val="2"/>
          </rPr>
          <t>harcoded data from earnings release as BMV filing is NA</t>
        </r>
      </text>
    </comment>
    <comment ref="AQ83" authorId="3" shapeId="0" xr:uid="{00000000-0006-0000-0200-000039000000}">
      <text>
        <r>
          <rPr>
            <sz val="9"/>
            <color indexed="81"/>
            <rFont val="Tahoma"/>
            <family val="2"/>
          </rPr>
          <t>harcoded data from earnings release as BMV filing is NA</t>
        </r>
      </text>
    </comment>
    <comment ref="K85" authorId="9" shapeId="0" xr:uid="{00000000-0006-0000-0200-00003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Rounding off error`</t>
        </r>
      </text>
    </comment>
    <comment ref="L85" authorId="9" shapeId="0" xr:uid="{A61C1F3D-D7BE-4275-A2F4-6C5EDD55789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Rounding off error`</t>
        </r>
      </text>
    </comment>
    <comment ref="M85" authorId="9" shapeId="0" xr:uid="{4EE1D631-C119-4884-AC83-F80292231E8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Rounding off error`</t>
        </r>
      </text>
    </comment>
    <comment ref="F86" authorId="5" shapeId="0" xr:uid="{00000000-0006-0000-0200-00003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The difference is mainly due to reporting error by the company with respect of Acquisitions &amp; disposals. 
The company reports acquisition of Vonpar as a positive line item in cash flows.</t>
        </r>
      </text>
    </comment>
    <comment ref="B102" authorId="1" shapeId="0" xr:uid="{55D58B55-9525-43A9-8BFE-2C7009E6DA6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PPE and rights of use</t>
        </r>
      </text>
    </comment>
    <comment ref="O102" authorId="1" shapeId="0" xr:uid="{8582BBF7-0261-42DC-A5F1-93F2D4FF648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AG102" authorId="6" shapeId="0" xr:uid="{00000000-0006-0000-0200-00003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H102" authorId="6" shapeId="0" xr:uid="{00000000-0006-0000-0200-00003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I102" authorId="6" shapeId="0" xr:uid="{00000000-0006-0000-0200-00003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J102" authorId="6" shapeId="0" xr:uid="{00000000-0006-0000-0200-00004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K102" authorId="6" shapeId="0" xr:uid="{00000000-0006-0000-0200-00004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L102" authorId="6" shapeId="0" xr:uid="{00000000-0006-0000-0200-00004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M102" authorId="6" shapeId="0" xr:uid="{00000000-0006-0000-0200-000043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N102" authorId="6" shapeId="0" xr:uid="{00000000-0006-0000-0200-00004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O102" authorId="6" shapeId="0" xr:uid="{00000000-0006-0000-0200-00004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P102" authorId="6" shapeId="0" xr:uid="{00000000-0006-0000-0200-00004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Q102" authorId="6" shapeId="0" xr:uid="{00000000-0006-0000-0200-00004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R102" authorId="6" shapeId="0" xr:uid="{00000000-0006-0000-0200-00004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S102" authorId="6" shapeId="0" xr:uid="{00000000-0006-0000-0200-00004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T102" authorId="6" shapeId="0" xr:uid="{00000000-0006-0000-0200-00004A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U102" authorId="6" shapeId="0" xr:uid="{00000000-0006-0000-0200-00004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V102" authorId="6" shapeId="0" xr:uid="{FBAF05FE-C8AE-41D2-A92B-3ABF06CC38A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W102" authorId="6" shapeId="0" xr:uid="{359791A2-AFF2-4760-A1E5-594943FB3B8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X102" authorId="6" shapeId="0" xr:uid="{B4198FDE-F938-4B31-996E-73DF4B62D7FF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Y102" authorId="6" shapeId="0" xr:uid="{5373287A-6D46-4A8C-8E14-6053FCF52AA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AZ102" authorId="6" shapeId="0" xr:uid="{1BB24648-0617-44FD-9936-2CE1CF5490F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Includes right for use assets</t>
        </r>
      </text>
    </comment>
    <comment ref="BG102" authorId="1" shapeId="0" xr:uid="{0C07BB58-6960-40C4-9021-F8FC8689D81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BI102" authorId="1" shapeId="0" xr:uid="{64BD711D-091F-422A-9F98-C6B58B6EA0A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B103" authorId="10" shapeId="0" xr:uid="{00000000-0006-0000-0200-00004C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 xml:space="preserve">Includes Post-employment and other non-current employee benefits
</t>
        </r>
      </text>
    </comment>
    <comment ref="O103" authorId="1" shapeId="0" xr:uid="{565E6D96-1EB4-4AEA-9CDE-2416F896325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BMV</t>
        </r>
      </text>
    </comment>
    <comment ref="AM103" authorId="3" shapeId="0" xr:uid="{00000000-0006-0000-0200-00004D000000}">
      <text>
        <r>
          <rPr>
            <sz val="9"/>
            <color indexed="81"/>
            <rFont val="Tahoma"/>
            <family val="2"/>
          </rPr>
          <t xml:space="preserve">data not available as BMV filing is NA
</t>
        </r>
      </text>
    </comment>
    <comment ref="AO103" authorId="3" shapeId="0" xr:uid="{00000000-0006-0000-0200-00004E000000}">
      <text>
        <r>
          <rPr>
            <sz val="9"/>
            <color indexed="81"/>
            <rFont val="Tahoma"/>
            <family val="2"/>
          </rPr>
          <t xml:space="preserve">data not available as BMV filing is NA
</t>
        </r>
      </text>
    </comment>
    <comment ref="AQ103" authorId="3" shapeId="0" xr:uid="{00000000-0006-0000-0200-00004F000000}">
      <text>
        <r>
          <rPr>
            <sz val="9"/>
            <color indexed="81"/>
            <rFont val="Tahoma"/>
            <family val="2"/>
          </rPr>
          <t xml:space="preserve">data not available as BMV filing is NA
</t>
        </r>
      </text>
    </comment>
    <comment ref="AW103" authorId="3" shapeId="0" xr:uid="{A339AD83-5E35-45B0-9394-9E02054DD591}">
      <text>
        <r>
          <rPr>
            <sz val="9"/>
            <color indexed="81"/>
            <rFont val="Tahoma"/>
            <family val="2"/>
          </rPr>
          <t xml:space="preserve">data not available 
</t>
        </r>
      </text>
    </comment>
    <comment ref="BG103" authorId="1" shapeId="0" xr:uid="{12A0C2C6-0168-4014-BD45-6B1EFA4C7B9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BMV</t>
        </r>
      </text>
    </comment>
    <comment ref="BI103" authorId="1" shapeId="0" xr:uid="{8921CCE8-63A1-499E-A5CF-F75AC83D3C5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BMV</t>
        </r>
      </text>
    </comment>
    <comment ref="O104" authorId="1" shapeId="0" xr:uid="{8543B759-AFF0-4973-9B89-79764D2AC76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BG104" authorId="1" shapeId="0" xr:uid="{20E3BC25-8B81-4477-8CAE-27E99CB6C9C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BI104" authorId="1" shapeId="0" xr:uid="{921681EB-6BFB-404C-BA69-6C9B6544EAE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B106" authorId="10" shapeId="0" xr:uid="{00000000-0006-0000-0200-000051000000}">
      <text>
        <r>
          <rPr>
            <b/>
            <sz val="9"/>
            <color indexed="81"/>
            <rFont val="Tahoma"/>
            <family val="2"/>
          </rPr>
          <t xml:space="preserve">CRISIL GR&amp;A: </t>
        </r>
        <r>
          <rPr>
            <sz val="9"/>
            <color indexed="81"/>
            <rFont val="Tahoma"/>
            <family val="2"/>
          </rPr>
          <t>Includes Suppliers and Accounts payable</t>
        </r>
      </text>
    </comment>
    <comment ref="AM106" authorId="3" shapeId="0" xr:uid="{00000000-0006-0000-0200-000052000000}">
      <text>
        <r>
          <rPr>
            <sz val="9"/>
            <color indexed="81"/>
            <rFont val="Tahoma"/>
            <family val="2"/>
          </rPr>
          <t xml:space="preserve">data not available as BMV filing is NA
</t>
        </r>
      </text>
    </comment>
    <comment ref="AO106" authorId="3" shapeId="0" xr:uid="{00000000-0006-0000-0200-000053000000}">
      <text>
        <r>
          <rPr>
            <sz val="9"/>
            <color indexed="81"/>
            <rFont val="Tahoma"/>
            <family val="2"/>
          </rPr>
          <t xml:space="preserve">data not available as BMV filing is NA
</t>
        </r>
      </text>
    </comment>
    <comment ref="AQ106" authorId="3" shapeId="0" xr:uid="{00000000-0006-0000-0200-000054000000}">
      <text>
        <r>
          <rPr>
            <sz val="9"/>
            <color indexed="81"/>
            <rFont val="Tahoma"/>
            <family val="2"/>
          </rPr>
          <t xml:space="preserve">data not available as BMV filing is NA
</t>
        </r>
      </text>
    </comment>
    <comment ref="B114" authorId="1" shapeId="0" xr:uid="{EE581D9B-B654-422F-BAA0-B0B2FA6B0FC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
* borrowings
* leases</t>
        </r>
      </text>
    </comment>
    <comment ref="K115" authorId="9" shapeId="0" xr:uid="{00000000-0006-0000-0200-000056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L115" authorId="9" shapeId="0" xr:uid="{00502A8A-52A8-4E6F-BDB6-099F842B2A87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O115" authorId="6" shapeId="0" xr:uid="{AEE7BE94-B26C-4FB0-8559-0FA6A94900C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 (from excel)</t>
        </r>
      </text>
    </comment>
    <comment ref="AG115" authorId="6" shapeId="0" xr:uid="{00000000-0006-0000-0200-000057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H115" authorId="6" shapeId="0" xr:uid="{00000000-0006-0000-0200-000058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I115" authorId="6" shapeId="0" xr:uid="{00000000-0006-0000-0200-00005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K115" authorId="6" shapeId="0" xr:uid="{00000000-0006-0000-0200-00005A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L115" authorId="6" shapeId="0" xr:uid="{00000000-0006-0000-0200-00005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M115" authorId="6" shapeId="0" xr:uid="{00000000-0006-0000-0200-00005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O115" authorId="6" shapeId="0" xr:uid="{00000000-0006-0000-0200-00005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P115" authorId="6" shapeId="0" xr:uid="{00000000-0006-0000-0200-00005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Q115" authorId="6" shapeId="0" xr:uid="{00000000-0006-0000-0200-00005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S115" authorId="9" shapeId="0" xr:uid="{00000000-0006-0000-0200-00006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T115" authorId="6" shapeId="0" xr:uid="{00000000-0006-0000-0200-000061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U115" authorId="6" shapeId="0" xr:uid="{00000000-0006-0000-0200-000062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W115" authorId="9" shapeId="0" xr:uid="{D2063235-FA84-4BE1-B846-3630F400126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X115" authorId="6" shapeId="0" xr:uid="{6F1DC1C9-8CB8-49B3-B851-BA8B03DF33AD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AY115" authorId="6" shapeId="0" xr:uid="{3C2A0F38-7D8C-454C-9A41-7FD73199B36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BC115" authorId="6" shapeId="0" xr:uid="{F4104BB0-C439-484E-8B89-356D8CCF0D3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BE115" authorId="9" shapeId="0" xr:uid="{4EA191F5-47D5-4D70-9A58-14348E187046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BF115" authorId="9" shapeId="0" xr:uid="{4D1D3788-E2A3-47BE-84E0-1666BA79056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</t>
        </r>
      </text>
    </comment>
    <comment ref="BG115" authorId="6" shapeId="0" xr:uid="{D38AFFA2-5D09-4BCB-94F0-6888A14F55D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 (from excel)</t>
        </r>
      </text>
    </comment>
    <comment ref="BI115" authorId="6" shapeId="0" xr:uid="{F8FA8E02-5A5D-4957-8F66-6C4718206EA2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This inlcudes short term and long term lease liabilities (from excel)</t>
        </r>
      </text>
    </comment>
    <comment ref="B117" authorId="0" shapeId="0" xr:uid="{00000000-0006-0000-0200-000063000000}">
      <text>
        <r>
          <rPr>
            <b/>
            <sz val="9"/>
            <color indexed="81"/>
            <rFont val="Tahoma"/>
            <family val="2"/>
          </rPr>
          <t>Onabule, Yejide:</t>
        </r>
        <r>
          <rPr>
            <sz val="9"/>
            <color indexed="81"/>
            <rFont val="Tahoma"/>
            <family val="2"/>
          </rPr>
          <t xml:space="preserve">
please insert where relevant</t>
        </r>
      </text>
    </comment>
    <comment ref="F118" authorId="5" shapeId="0" xr:uid="{00000000-0006-0000-0200-000064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Debt breakdown is not available for FY17.
Debt breakdown is given only in 20-F reports, which is yet to be released for FY17.</t>
        </r>
      </text>
    </comment>
    <comment ref="N118" authorId="2" shapeId="0" xr:uid="{F429639B-6DBD-4474-B2D3-ED7467C2AD75}">
      <text>
        <r>
          <rPr>
            <b/>
            <sz val="9"/>
            <color indexed="81"/>
            <rFont val="Tahoma"/>
            <family val="2"/>
          </rPr>
          <t>Crisil Intergral IQ:</t>
        </r>
        <r>
          <rPr>
            <sz val="9"/>
            <color indexed="81"/>
            <rFont val="Tahoma"/>
            <family val="2"/>
          </rPr>
          <t xml:space="preserve">
Page 14/17 Financial results</t>
        </r>
      </text>
    </comment>
    <comment ref="O118" authorId="1" shapeId="0" xr:uid="{1AE42EBE-9C97-4101-939E-565711FF131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BG118" authorId="1" shapeId="0" xr:uid="{5750021B-AA4B-4D5B-B722-1129034F54F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BI118" authorId="1" shapeId="0" xr:uid="{96BB2624-8603-480B-829F-6FC9FD539D4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AD124" authorId="9" shapeId="0" xr:uid="{00000000-0006-0000-0200-000065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Linked to total debt as above breakup is calculated using rounded off percentages</t>
        </r>
      </text>
    </comment>
    <comment ref="I137" authorId="11" shapeId="0" xr:uid="{00000000-0006-0000-0200-000066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As of 26/3/2020, from cloomberg website</t>
        </r>
      </text>
    </comment>
    <comment ref="J137" authorId="11" shapeId="0" xr:uid="{00000000-0006-0000-0200-000067000000}">
      <text>
        <r>
          <rPr>
            <sz val="9"/>
            <color indexed="81"/>
            <rFont val="Tahoma"/>
            <family val="2"/>
          </rPr>
          <t>As of 22/4/2020, from bloomberg</t>
        </r>
      </text>
    </comment>
    <comment ref="K137" authorId="11" shapeId="0" xr:uid="{00000000-0006-0000-0200-000068000000}">
      <text>
        <r>
          <rPr>
            <sz val="9"/>
            <color indexed="81"/>
            <rFont val="Tahoma"/>
            <family val="2"/>
          </rPr>
          <t>As of 31/12/2021, from yahoo finance`</t>
        </r>
      </text>
    </comment>
    <comment ref="L137" authorId="11" shapeId="0" xr:uid="{F839A774-0E9C-45EE-BF80-BCA05FB46A28}">
      <text>
        <r>
          <rPr>
            <sz val="9"/>
            <color indexed="81"/>
            <rFont val="Tahoma"/>
            <family val="2"/>
          </rPr>
          <t>As of 24/2/2023, from yahoo finance`</t>
        </r>
      </text>
    </comment>
    <comment ref="M137" authorId="11" shapeId="0" xr:uid="{3C97EB87-7A92-4D45-A617-A34CD4B5A244}">
      <text>
        <r>
          <rPr>
            <sz val="9"/>
            <color indexed="81"/>
            <rFont val="Tahoma"/>
            <family val="2"/>
          </rPr>
          <t>As of 26/2/2024, from yahoo finance`</t>
        </r>
      </text>
    </comment>
    <comment ref="N137" authorId="11" shapeId="0" xr:uid="{9EEFBA53-D0CF-49A1-9FD2-4A83E7F09104}">
      <text>
        <r>
          <rPr>
            <sz val="9"/>
            <color indexed="81"/>
            <rFont val="Tahoma"/>
            <family val="2"/>
          </rPr>
          <t>As of 14/3/2025, from yahoo finance`</t>
        </r>
      </text>
    </comment>
    <comment ref="AK137" authorId="11" shapeId="0" xr:uid="{00000000-0006-0000-0200-000069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As of 30/4/2020, from cloomberg website</t>
        </r>
      </text>
    </comment>
    <comment ref="AL137" authorId="11" shapeId="0" xr:uid="{00000000-0006-0000-0200-00006A000000}">
      <text>
        <r>
          <rPr>
            <b/>
            <sz val="9"/>
            <color indexed="81"/>
            <rFont val="Tahoma"/>
            <family val="2"/>
          </rPr>
          <t>Rishabh Saraf:</t>
        </r>
        <r>
          <rPr>
            <sz val="9"/>
            <color indexed="81"/>
            <rFont val="Tahoma"/>
            <family val="2"/>
          </rPr>
          <t xml:space="preserve">
As of 24/7/2020, from cloomberg website</t>
        </r>
      </text>
    </comment>
    <comment ref="AM137" authorId="11" shapeId="0" xr:uid="{00000000-0006-0000-0200-00006B000000}">
      <text>
        <r>
          <rPr>
            <sz val="9"/>
            <color indexed="81"/>
            <rFont val="Tahoma"/>
            <family val="2"/>
          </rPr>
          <t>As of 28/10/2020, from bloomberg website</t>
        </r>
      </text>
    </comment>
    <comment ref="AQ137" authorId="11" shapeId="0" xr:uid="{00000000-0006-0000-0200-00006C000000}">
      <text>
        <r>
          <rPr>
            <sz val="9"/>
            <color indexed="81"/>
            <rFont val="Tahoma"/>
            <family val="2"/>
          </rPr>
          <t>As of 10/28/2021, from yahoo finance website</t>
        </r>
      </text>
    </comment>
    <comment ref="AS137" authorId="9" shapeId="0" xr:uid="{00000000-0006-0000-0200-00006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As of 4/29/2022
</t>
        </r>
      </text>
    </comment>
    <comment ref="AU137" authorId="6" shapeId="0" xr:uid="{00000000-0006-0000-0200-00006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taken from Yahoo finance (26/10/2022)</t>
        </r>
      </text>
    </comment>
    <comment ref="AW137" authorId="9" shapeId="0" xr:uid="{05740C1F-B6D7-4AF6-8B7B-DBDD76BBB941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As of 4/28/2023
</t>
        </r>
      </text>
    </comment>
    <comment ref="AX137" authorId="8" shapeId="0" xr:uid="{389DD563-4230-4284-B94F-C72578C220AF}">
      <text>
        <r>
          <rPr>
            <b/>
            <sz val="9"/>
            <color indexed="81"/>
            <rFont val="Tahoma"/>
            <family val="2"/>
          </rPr>
          <t>Reuters 26/07/2023</t>
        </r>
      </text>
    </comment>
    <comment ref="AY137" authorId="6" shapeId="0" xr:uid="{0768D9B7-0001-47BB-BD83-CB5A1CD7C773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taken from Reuters (26/10/2023)</t>
        </r>
      </text>
    </comment>
    <comment ref="BA137" authorId="9" shapeId="0" xr:uid="{9828371F-9549-4D28-8955-23032ED9C8BC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As of 4/26/2024
https://www.reuters.com/markets/companies/KOFUBL.MX</t>
        </r>
      </text>
    </comment>
    <comment ref="BB137" authorId="8" shapeId="0" xr:uid="{41CC21F6-A4FF-4BB3-AA50-39DFF4330971}">
      <text>
        <r>
          <rPr>
            <b/>
            <sz val="9"/>
            <color indexed="81"/>
            <rFont val="Tahoma"/>
            <family val="2"/>
          </rPr>
          <t>Reuters</t>
        </r>
      </text>
    </comment>
    <comment ref="BC137" authorId="6" shapeId="0" xr:uid="{A666B06D-93F8-47AC-B7BA-23A2ED577355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taken from Reuters (28/10/2024)</t>
        </r>
      </text>
    </comment>
    <comment ref="BE137" authorId="1" shapeId="0" xr:uid="{3672CD66-5447-4967-9CBE-B383AF7A6A9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As of 31 March 2025</t>
        </r>
      </text>
    </comment>
    <comment ref="B147" authorId="1" shapeId="0" xr:uid="{4753CD62-A899-4886-BA87-DD1FFDB32A9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leases</t>
        </r>
      </text>
    </comment>
    <comment ref="B148" authorId="1" shapeId="0" xr:uid="{ED951A72-401E-4289-BAC1-300B28446B5E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 leases</t>
        </r>
      </text>
    </comment>
    <comment ref="B159" authorId="5" shapeId="0" xr:uid="{00000000-0006-0000-0200-00006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Taken from company quarterly reports</t>
        </r>
      </text>
    </comment>
    <comment ref="B160" authorId="5" shapeId="0" xr:uid="{00000000-0006-0000-0200-00007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Taken from company quarterly reports</t>
        </r>
      </text>
    </comment>
    <comment ref="AM176" authorId="3" shapeId="0" xr:uid="{00000000-0006-0000-0200-000071000000}">
      <text>
        <r>
          <rPr>
            <sz val="9"/>
            <color indexed="81"/>
            <rFont val="Tahoma"/>
            <family val="2"/>
          </rPr>
          <t>data not available as BMV filing is NA
3Q20 CF data not available</t>
        </r>
      </text>
    </comment>
    <comment ref="AO176" authorId="3" shapeId="0" xr:uid="{00000000-0006-0000-0200-000072000000}">
      <text>
        <r>
          <rPr>
            <sz val="9"/>
            <color indexed="81"/>
            <rFont val="Tahoma"/>
            <family val="2"/>
          </rPr>
          <t>data not available as BMV filing is NA
1Q21  CF data not available</t>
        </r>
      </text>
    </comment>
    <comment ref="AQ176" authorId="3" shapeId="0" xr:uid="{00000000-0006-0000-0200-000073000000}">
      <text>
        <r>
          <rPr>
            <sz val="9"/>
            <color indexed="81"/>
            <rFont val="Tahoma"/>
            <family val="2"/>
          </rPr>
          <t>data not available as BMV filing is NA
3Q20 CF data not available</t>
        </r>
      </text>
    </comment>
    <comment ref="AM235" authorId="3" shapeId="0" xr:uid="{00000000-0006-0000-0200-000075000000}">
      <text>
        <r>
          <rPr>
            <sz val="9"/>
            <color indexed="81"/>
            <rFont val="Tahoma"/>
            <family val="2"/>
          </rPr>
          <t>data not available as BMV filing is NA
3Q20 CF data not available</t>
        </r>
      </text>
    </comment>
    <comment ref="AO235" authorId="3" shapeId="0" xr:uid="{00000000-0006-0000-0200-000076000000}">
      <text>
        <r>
          <rPr>
            <sz val="9"/>
            <color indexed="81"/>
            <rFont val="Tahoma"/>
            <family val="2"/>
          </rPr>
          <t>data not available as BMV filing is NA
1Q21 CF data not available</t>
        </r>
      </text>
    </comment>
    <comment ref="AQ235" authorId="3" shapeId="0" xr:uid="{00000000-0006-0000-0200-000077000000}">
      <text>
        <r>
          <rPr>
            <sz val="9"/>
            <color indexed="81"/>
            <rFont val="Tahoma"/>
            <family val="2"/>
          </rPr>
          <t>data not available as BMV filing is NA
3Q20 CF data not available</t>
        </r>
      </text>
    </comment>
    <comment ref="O320" authorId="1" shapeId="0" xr:uid="{6DB3088C-5EBE-47AD-A84E-F06551164D1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FY25_Financial_Results</t>
        </r>
      </text>
    </comment>
    <comment ref="BG320" authorId="1" shapeId="0" xr:uid="{D4E336BE-825D-4903-9443-5F682A7F87A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BI320" authorId="1" shapeId="0" xr:uid="{7CA7BE08-6647-4E5F-B491-9560CD2B09A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 (VoumneQ)</t>
        </r>
      </text>
    </comment>
    <comment ref="BI327" authorId="1" shapeId="0" xr:uid="{1E79EA7F-2A2E-4C13-9FF2-68A8B3DD5E8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 (Division Summary)</t>
        </r>
      </text>
    </comment>
    <comment ref="AC336" authorId="6" shapeId="0" xr:uid="{00000000-0006-0000-0200-000079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excluding Venezuela</t>
        </r>
      </text>
    </comment>
    <comment ref="AC337" authorId="6" shapeId="0" xr:uid="{00000000-0006-0000-0200-00007A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Venezuela is not reported as a separate division. It has been consolidated.</t>
        </r>
      </text>
    </comment>
    <comment ref="AA338" authorId="5" shapeId="0" xr:uid="{00000000-0006-0000-0200-00007B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given in company reports</t>
        </r>
      </text>
    </comment>
    <comment ref="AC343" authorId="6" shapeId="0" xr:uid="{00000000-0006-0000-0200-00007C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excluding Venezuela</t>
        </r>
      </text>
    </comment>
    <comment ref="AA344" authorId="5" shapeId="0" xr:uid="{00000000-0006-0000-0200-00007D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given in company reports</t>
        </r>
      </text>
    </comment>
    <comment ref="AC344" authorId="6" shapeId="0" xr:uid="{00000000-0006-0000-0200-00007E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Venezuela is not reported as a separate division. It has been consolidated.</t>
        </r>
      </text>
    </comment>
    <comment ref="AC351" authorId="6" shapeId="0" xr:uid="{00000000-0006-0000-0200-00007F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Venezuela is not reported as a separate division. It has been consolidated.</t>
        </r>
      </text>
    </comment>
    <comment ref="AA352" authorId="5" shapeId="0" xr:uid="{00000000-0006-0000-0200-000080000000}">
      <text>
        <r>
          <rPr>
            <b/>
            <sz val="9"/>
            <color indexed="81"/>
            <rFont val="Tahoma"/>
            <family val="2"/>
          </rPr>
          <t>CRISIL GR&amp;A:</t>
        </r>
        <r>
          <rPr>
            <sz val="9"/>
            <color indexed="81"/>
            <rFont val="Tahoma"/>
            <family val="2"/>
          </rPr>
          <t xml:space="preserve">
Not given in company reports</t>
        </r>
      </text>
    </comment>
  </commentList>
</comments>
</file>

<file path=xl/sharedStrings.xml><?xml version="1.0" encoding="utf-8"?>
<sst xmlns="http://schemas.openxmlformats.org/spreadsheetml/2006/main" count="1774" uniqueCount="404">
  <si>
    <t>1Q26</t>
  </si>
  <si>
    <t>Exchange rate as at end 1Q26</t>
  </si>
  <si>
    <t>LTM average exchange rate</t>
  </si>
  <si>
    <t>Amount outstanding as on 31-Mar-2026</t>
  </si>
  <si>
    <t>Peso (mn)</t>
  </si>
  <si>
    <t>USD (mn)</t>
  </si>
  <si>
    <t>Leverage (Peso)</t>
  </si>
  <si>
    <t>Leverage (USD)</t>
  </si>
  <si>
    <t>Company Reported</t>
  </si>
  <si>
    <t>Peso (m)</t>
  </si>
  <si>
    <t>USD (m)</t>
  </si>
  <si>
    <t xml:space="preserve">Leverage </t>
  </si>
  <si>
    <t>Leases</t>
  </si>
  <si>
    <t/>
  </si>
  <si>
    <t>Net debt including effect of hedges</t>
  </si>
  <si>
    <t>Short Term Debt</t>
  </si>
  <si>
    <t>Long Term Debt</t>
  </si>
  <si>
    <t>Total Loans &amp; Borrows</t>
  </si>
  <si>
    <t>Cash &amp; Equivalents</t>
  </si>
  <si>
    <t xml:space="preserve">Net debt </t>
  </si>
  <si>
    <t>Equity</t>
  </si>
  <si>
    <t xml:space="preserve">Total Capitalisation </t>
  </si>
  <si>
    <t xml:space="preserve">LTM Adjusted EBITDA </t>
  </si>
  <si>
    <t>check</t>
  </si>
  <si>
    <t xml:space="preserve">EV </t>
  </si>
  <si>
    <t>EV/EBITDA</t>
  </si>
  <si>
    <t>PF Liquidity Table as of 1Q26</t>
  </si>
  <si>
    <t>Cash</t>
  </si>
  <si>
    <t>Total Liquidity</t>
  </si>
  <si>
    <t>Debt Maturity Profile as of 1Q26</t>
  </si>
  <si>
    <t>% of Total debt</t>
  </si>
  <si>
    <t>2030+</t>
  </si>
  <si>
    <t>Total debt</t>
  </si>
  <si>
    <t>FY25</t>
  </si>
  <si>
    <t>Exchange rate as at end FY25</t>
  </si>
  <si>
    <t>Amount outstanding as on 31-Dec-2025</t>
  </si>
  <si>
    <t>PF Liquidity Table as of FY25</t>
  </si>
  <si>
    <t>Debt Maturity Profile as of FY25</t>
  </si>
  <si>
    <t>2029+</t>
  </si>
  <si>
    <t>3Q25</t>
  </si>
  <si>
    <t>Exchange rate as at end 3Q 2025</t>
  </si>
  <si>
    <t>Amount outstanding as on 30-sep-2025</t>
  </si>
  <si>
    <t>Capitalised lease</t>
  </si>
  <si>
    <t>PF Liquidity Table as of 3Q25</t>
  </si>
  <si>
    <t>Debt Maturity Profile as of 3Q25</t>
  </si>
  <si>
    <t>2Q25</t>
  </si>
  <si>
    <t>Exchange rate as at end 2Q 2025</t>
  </si>
  <si>
    <t>Amount outstanding as on 30-Jun-2025</t>
  </si>
  <si>
    <t>PF Liquidity Table as of 2Q25</t>
  </si>
  <si>
    <t>(Pesos millions)</t>
  </si>
  <si>
    <t>(USD millions)</t>
  </si>
  <si>
    <t>Debt Maturity Profile as of 2Q25</t>
  </si>
  <si>
    <t>(Pesos Millions)</t>
  </si>
  <si>
    <t>2028+</t>
  </si>
  <si>
    <t>1Q25</t>
  </si>
  <si>
    <t>Exchange rate as at end 1Q 2025</t>
  </si>
  <si>
    <t>Amount outstanding as on 31-Mar-2025</t>
  </si>
  <si>
    <t>PF Liquidity Table as of 1Q25</t>
  </si>
  <si>
    <t>Debt Maturity Profile as of 1Q25</t>
  </si>
  <si>
    <t>FY24</t>
  </si>
  <si>
    <t>Exchange rate as at end FY 2024</t>
  </si>
  <si>
    <t>Amount outstanding as on 31-Dec-2024</t>
  </si>
  <si>
    <t>PF Liquidity Table as of FY24</t>
  </si>
  <si>
    <t>Debt Maturity Profile as of FY24</t>
  </si>
  <si>
    <t>3Q24</t>
  </si>
  <si>
    <t>Exchange rate as at end 3Q 2024</t>
  </si>
  <si>
    <t>Amount outstanding as on 30-Sep-2024</t>
  </si>
  <si>
    <t>PF Liquidity Table as of 3Q24</t>
  </si>
  <si>
    <t>Debt Maturity Profile as of 3Q24</t>
  </si>
  <si>
    <t>2Q24</t>
  </si>
  <si>
    <t>Exchange rate as at end 2Q 2024</t>
  </si>
  <si>
    <t>Amount outstanding as on 30-Jun-2024</t>
  </si>
  <si>
    <t>PF Liquidity Table as of 2Q24</t>
  </si>
  <si>
    <t>Debt Maturity Profile as of 2Q24</t>
  </si>
  <si>
    <t>1Q24</t>
  </si>
  <si>
    <t>Exchange rate as at end 1Q 2024</t>
  </si>
  <si>
    <t>Amount outstanding as on 31-Mar-2024</t>
  </si>
  <si>
    <t>PF Liquidity Table as of 1Q24</t>
  </si>
  <si>
    <t>Debt Maturity Profile as of 1Q24</t>
  </si>
  <si>
    <t>FY23</t>
  </si>
  <si>
    <t>Exchange rate as at end 4Q 2023</t>
  </si>
  <si>
    <t>Amount outstanding as on 31-Dec-2023</t>
  </si>
  <si>
    <t>PF Liquidity Table as of FY 2023</t>
  </si>
  <si>
    <t>Debt Maturity Profile as of FY 2023</t>
  </si>
  <si>
    <t>3Q23</t>
  </si>
  <si>
    <t>Exchange rate as at end 3Q 2023</t>
  </si>
  <si>
    <t>Amount outstanding as on 30-Sept-2023</t>
  </si>
  <si>
    <t>PF Liquidity Table as of 3Q 2023</t>
  </si>
  <si>
    <t>Debt Maturity Profile as of 3Q 2023</t>
  </si>
  <si>
    <t>2Q23</t>
  </si>
  <si>
    <t>Exchange rate as at end 2Q 2023</t>
  </si>
  <si>
    <t>Amount outstanding as on 30-Jun-2023</t>
  </si>
  <si>
    <t>PF Liquidity Table as of 2Q 2023</t>
  </si>
  <si>
    <t>Debt Maturity Profile as of 30-Jun-2023</t>
  </si>
  <si>
    <t>1Q23</t>
  </si>
  <si>
    <t>Exchange rate as at end 1Q 2023</t>
  </si>
  <si>
    <t>Amount outstanding as on 31-Mar-2023</t>
  </si>
  <si>
    <t>PF Liquidity Table as of 1Q 2023</t>
  </si>
  <si>
    <t>Debt Maturity Profile as of 31-Mar-2023</t>
  </si>
  <si>
    <t>4Q22</t>
  </si>
  <si>
    <t>Exchange rate as at end 4Q 2022</t>
  </si>
  <si>
    <t>Amount outstanding as on 31-Dec-2022</t>
  </si>
  <si>
    <t>PF Liquidity Table as of 4Q 2022</t>
  </si>
  <si>
    <t>Debt Maturity Profile as of 31-Dec-2022</t>
  </si>
  <si>
    <t>3Q22</t>
  </si>
  <si>
    <t>Exchange rate as at end 3Q 2022</t>
  </si>
  <si>
    <t>Amount outstanding as on 30-Sep-2022</t>
  </si>
  <si>
    <t>PF Liquidity Table as of 3Q 2022</t>
  </si>
  <si>
    <t>Debt Maturity Profile as of 30-Sep-2022</t>
  </si>
  <si>
    <t>2025+</t>
  </si>
  <si>
    <t>2Q22</t>
  </si>
  <si>
    <t>Amount outstanding as on 30-Jun-2022</t>
  </si>
  <si>
    <t>Exchange rate as at end 2Q 2022</t>
  </si>
  <si>
    <t>PF Liquidity Table as of 2Q 2022</t>
  </si>
  <si>
    <t>Debt Maturity Profile as of 30-Jun-2022</t>
  </si>
  <si>
    <t>1Q22</t>
  </si>
  <si>
    <t>Exchange rate as at end 1Q 2022</t>
  </si>
  <si>
    <t>Amount outstanding as on 31-Mar-2022</t>
  </si>
  <si>
    <t>PF Liquidity Table as of 1Q 2022</t>
  </si>
  <si>
    <t>Debt Maturity Profile as of 31-Mar-2022</t>
  </si>
  <si>
    <t>Exchange rate as at end 4Q 2021</t>
  </si>
  <si>
    <t>Amount outstanding as on 31-Dec-2021</t>
  </si>
  <si>
    <t>PF Liquidity Table as of 4Q 2021</t>
  </si>
  <si>
    <t>Debt Maturity Profile as of 31-Dec-2021</t>
  </si>
  <si>
    <t>3Q21</t>
  </si>
  <si>
    <t>Exchange rate as at end 3Q 2021</t>
  </si>
  <si>
    <t>Amount outstanding as on 30-Sept-2021</t>
  </si>
  <si>
    <t>PF Liquidity Table as of 3Q 2021</t>
  </si>
  <si>
    <t>Debt Maturity Profile as of 30-Sept-2021</t>
  </si>
  <si>
    <t>2Q21</t>
  </si>
  <si>
    <t>Exchange rate as at end 2Q 2021</t>
  </si>
  <si>
    <t>Amount outstanding as on 30-Jun-2021</t>
  </si>
  <si>
    <t>PF Liquidity Table as of 2Q 2021</t>
  </si>
  <si>
    <t>Debt Maturity Profile as of 30-Jun-2021</t>
  </si>
  <si>
    <t>1Q21</t>
  </si>
  <si>
    <t>Exchange rate as at end 1Q 2021</t>
  </si>
  <si>
    <t>Amount outstanding as on 31-Mar-2021</t>
  </si>
  <si>
    <t>Bank loan in Argentine pesos at fixed interest rate of 44.73% (2021)</t>
  </si>
  <si>
    <t>Bank loan in Uruguayan pesos at fixed interest rate of 15.13% (2021)</t>
  </si>
  <si>
    <t>Bank loan in Colombian pesos at variable interest rate of 3.08% (2021)</t>
  </si>
  <si>
    <t>Current portion of long term debt</t>
  </si>
  <si>
    <t>Bonds denominated in USD at fixed interest rate of 3.09% (2026+)</t>
  </si>
  <si>
    <t>Senior Notes denominated in Mexican Pesos at fixed interest rate of 8.27% (2021)</t>
  </si>
  <si>
    <t>Senior Notes denominated in Mexican Pesos at fixed interest rate of 5.46% (2023)</t>
  </si>
  <si>
    <t>Senior Notes denominated in Mexican Pesos at fixed interest rate of 7.73% (2026+)</t>
  </si>
  <si>
    <t>Bank loans in Brizilian Reais at fixed interest rate of 6.18%</t>
  </si>
  <si>
    <t>Bank loans in Uruguayan Pesos at fixed interest rate of 9.72%</t>
  </si>
  <si>
    <t>Senior notes in Mexican pesos at variable rate of 4.73% (2022)</t>
  </si>
  <si>
    <t>Senior notes in Mexican pesos at variable rate of 4.56% (2025)</t>
  </si>
  <si>
    <t>Bank loans in Mexican pesos at variable rate of 4.89% (2025)</t>
  </si>
  <si>
    <t xml:space="preserve">Bank loans in Brazilian Reias at variable rate of 8.44% </t>
  </si>
  <si>
    <t>Other debt</t>
  </si>
  <si>
    <t>PF Liquidity Table as of 1Q 2021</t>
  </si>
  <si>
    <t>Debt Maturity Profile as of 31-Mar-2021</t>
  </si>
  <si>
    <t>4Q20</t>
  </si>
  <si>
    <t>Exchange rate as at end 4Q 2020</t>
  </si>
  <si>
    <t>Amount outstanding as on 31-Dec-2020</t>
  </si>
  <si>
    <t>PF Liquidity Table as of 4Q 2020</t>
  </si>
  <si>
    <t>Debt Maturity Profile as of 31-Dec-2020</t>
  </si>
  <si>
    <t>3Q20</t>
  </si>
  <si>
    <t>Exchange rate as at end 3Q 2020</t>
  </si>
  <si>
    <t>Amount outstanding as on 30-Sep-2020</t>
  </si>
  <si>
    <t>Ps. 2,500 mn bonds due 2021 and fixed interest rate of 8.27%</t>
  </si>
  <si>
    <t>Ps. 7,500 mn bonds due 2023 and fixed interest rate of 5.46%</t>
  </si>
  <si>
    <t>Ps. 1,500 mn bonds due 2022 and variable interest rate of 5.86%</t>
  </si>
  <si>
    <t>Ps. 8,500 mn bonds due 2027 and fixed interest rate of 7.87%</t>
  </si>
  <si>
    <t>Notes with fixed interest rate of 5.69% maturing 22 August, 2025</t>
  </si>
  <si>
    <t>Notes with fixed interest rate of 7.35% maturing 28 January, 2028</t>
  </si>
  <si>
    <t>Notes with fixed interest rate of 2.75% maturing 22 January, 2030</t>
  </si>
  <si>
    <t>Senior note $600 mn with fixed interest rate of 5.25% maturing 26 November, 2043</t>
  </si>
  <si>
    <t>Green bond US$705 million due 2032</t>
  </si>
  <si>
    <t>PF Liquidity Table as of 3Q 2020</t>
  </si>
  <si>
    <t>Debt Maturity Profile as of 30-Sep-2020</t>
  </si>
  <si>
    <t>2Q20</t>
  </si>
  <si>
    <t>Exchange rate as at end 2Q 2020</t>
  </si>
  <si>
    <t>Amount outstanding as on 30-Jun-2020</t>
  </si>
  <si>
    <t>PF Liquidity Table as of 2Q 2020</t>
  </si>
  <si>
    <t>Debt Maturity Profile as of 30-Jun-2020</t>
  </si>
  <si>
    <t>1Q20</t>
  </si>
  <si>
    <t>Exchange rate as at end 1Q 2020</t>
  </si>
  <si>
    <t>Amount outstanding as on 31-Mar-2020</t>
  </si>
  <si>
    <t>Ps. 1,500 mn bonds due 2022 and variable interest rate of TIIE+0.25%</t>
  </si>
  <si>
    <t>Notes with fixed interest rate of 7.32% maturing 22 August, 2025</t>
  </si>
  <si>
    <t>PF Liquidity Table as of 1Q 2020</t>
  </si>
  <si>
    <t>Debt Maturity Profile as of 31-Mar-2020</t>
  </si>
  <si>
    <t>4Q19</t>
  </si>
  <si>
    <t>Exchange rate as at end 4Q 2019</t>
  </si>
  <si>
    <t>Amount outstanding as on 31-Dec-2019</t>
  </si>
  <si>
    <t>Senior note $500 mn with fixed interest rate of 4.63% maturing 15 February, 2020</t>
  </si>
  <si>
    <t>Senior note $900 mn with fixed interest rate of 3.88% maturing 26 November, 2023</t>
  </si>
  <si>
    <t>LTM Adjusted EBITDA (Dec 2019)</t>
  </si>
  <si>
    <t>EV (as on 31-Dec-2019)</t>
  </si>
  <si>
    <t>PF Liquidity Table as of 4Q 2019</t>
  </si>
  <si>
    <t>Debt Maturity Profile as of 31-Dec-2019</t>
  </si>
  <si>
    <t>3Q19</t>
  </si>
  <si>
    <t>Exchange rate as at end 3Q 2019</t>
  </si>
  <si>
    <t>Amount outstanding as on 30-Sep-2019</t>
  </si>
  <si>
    <t>LTM Adjusted EBITDA (Sep 2019)</t>
  </si>
  <si>
    <t>EV (as on 30-Sep-2019)</t>
  </si>
  <si>
    <t>PF Liquidity Table as of 3Q 2019</t>
  </si>
  <si>
    <t>Debt Maturity Profile as of 30-Sep-2019</t>
  </si>
  <si>
    <t>2024+</t>
  </si>
  <si>
    <t>2Q19</t>
  </si>
  <si>
    <t>Exchange rate as at end 2Q 2019</t>
  </si>
  <si>
    <t>Amount outstanding as on 30-Jun-2019</t>
  </si>
  <si>
    <t>LTM Adjusted EBITDA (Jun 2019)</t>
  </si>
  <si>
    <t>EV (as on 30-Jun-2019)</t>
  </si>
  <si>
    <t>PF Liquidity Table as of 2Q 2019</t>
  </si>
  <si>
    <t>Debt Maturity Profile as of 30-Jun-2019</t>
  </si>
  <si>
    <t>1Q19</t>
  </si>
  <si>
    <t>Exchange rate as at end 1Q 2019</t>
  </si>
  <si>
    <t>Amount outstanding as on 31-Mar-2019</t>
  </si>
  <si>
    <t>LTM Adjusted EBITDA (Mar 2019)</t>
  </si>
  <si>
    <t>EV (as on 31-Mar-2019)</t>
  </si>
  <si>
    <t>PF Liquidity Table as of 1Q 2019</t>
  </si>
  <si>
    <t>Debt Maturity Profile as of 31-Mar-2019</t>
  </si>
  <si>
    <t>4Q18</t>
  </si>
  <si>
    <t>Exchange rate as at end 4Q 2018</t>
  </si>
  <si>
    <t>Amount outstanding as on 31-Dec-2018</t>
  </si>
  <si>
    <t>Effect of hedges</t>
  </si>
  <si>
    <t>LTM Adjusted EBITDA (Dec 2018)</t>
  </si>
  <si>
    <t>EV (as on 31-Dec-2018)</t>
  </si>
  <si>
    <t>PF Liquidity Table as of 4Q 2018</t>
  </si>
  <si>
    <t>Debt Maturity Profile as of 31-Dec-2018</t>
  </si>
  <si>
    <t>3Q18</t>
  </si>
  <si>
    <t>Amount outstanding as on 30-Sep-2018</t>
  </si>
  <si>
    <t>Exchange rate as at end 3Q 2018</t>
  </si>
  <si>
    <t>Senior note $1,000 mn with fixed interest rate of 2.38% maturing 26 November, 2018</t>
  </si>
  <si>
    <t>LTM Adjusted EBITDA (Sep 2018)</t>
  </si>
  <si>
    <t>EV (as on 30-Sep-2018)</t>
  </si>
  <si>
    <t>PF Liquidity Table as of 3Q 2018</t>
  </si>
  <si>
    <t>Debt Maturity Profile as of 30-Sep-2018</t>
  </si>
  <si>
    <t>2023+</t>
  </si>
  <si>
    <t>Amount outstanding as on 30-Jun-2018</t>
  </si>
  <si>
    <t>Exchange rate as at end 2Q 2018</t>
  </si>
  <si>
    <t>LTM Adjusted EBITDA (Jun 2018)</t>
  </si>
  <si>
    <t>EV (as on 30-Jun-2018)</t>
  </si>
  <si>
    <t>PF Liquidity Table as of 2Q 2018</t>
  </si>
  <si>
    <t>Debt Maturity Profile as of 30-Jun-2018</t>
  </si>
  <si>
    <t>2022+</t>
  </si>
  <si>
    <t>Amount outstanding as on 31-Mar-2018</t>
  </si>
  <si>
    <t>Exchange rate as at end 1Q 2018</t>
  </si>
  <si>
    <t>LTM Adjusted EBITDA (Mar 2018)</t>
  </si>
  <si>
    <t>EV (as on 31-Mar-2018)</t>
  </si>
  <si>
    <t>PF Liquidity Table as of 1Q 2018</t>
  </si>
  <si>
    <t>Debt Maturity Profile as of 31-Mar-2018</t>
  </si>
  <si>
    <t>Amount outstanding as on 31-Dec-2017</t>
  </si>
  <si>
    <t>Exchange rate as at end 4Q 2017</t>
  </si>
  <si>
    <t>LTM Adjusted EBITDA (Sept 2017)</t>
  </si>
  <si>
    <t>EV (as on 31-Dec-2017)</t>
  </si>
  <si>
    <t>PF Liquidity Table as of 3Q 2017</t>
  </si>
  <si>
    <t>Debt Maturity Profile as of 30-Sept-2017</t>
  </si>
  <si>
    <t>H4sIAAAAAAAEAM2Q30rDMBTGu1Wxog+Re0toZ+fcRW+souAuJh3ejDHTcLBhaVLzR+gewxfWpHR64YW3nkDOSeD7nY8vGAVB8OnKd1/nY3c9LZmh9Y2UO7TqWtBowSpFVBejZ1CaSZFPkkmKM5ziJEaF5cYqyAVYowiP0dJWnNFH6FZyByIXlvNjzy+/sdseux2wuATFCGd7UnEoCK3h98/FSrYLeAfev24ZNc6G04aOezK4igrZtESBih6Irku2hyAMoo9R2WkDDS4k59DrNL4H4TbQQ797s26b6Q6Al3S9HlSlUUy8xqjRVCrOqp8MMpz483cA1WxGpnR6lc4vM0iu55tNNB7iPg2H4cgP/9GqN3f2BRsfF+InAgAA</t>
  </si>
  <si>
    <t xml:space="preserve">COCA-COLA FEMSA </t>
  </si>
  <si>
    <t>Annual</t>
  </si>
  <si>
    <t>LTM</t>
  </si>
  <si>
    <t>Quarterly</t>
  </si>
  <si>
    <t>Act</t>
  </si>
  <si>
    <t>Proj</t>
  </si>
  <si>
    <t>FY</t>
  </si>
  <si>
    <t>Q1</t>
  </si>
  <si>
    <t>Q2</t>
  </si>
  <si>
    <t>Q3</t>
  </si>
  <si>
    <t>Q4</t>
  </si>
  <si>
    <t>INCOME STATEMENT</t>
  </si>
  <si>
    <t>Restated</t>
  </si>
  <si>
    <t>Revenues</t>
  </si>
  <si>
    <t xml:space="preserve">% y-o-ygrowth </t>
  </si>
  <si>
    <t>Organic growth</t>
  </si>
  <si>
    <t>COGS</t>
  </si>
  <si>
    <t>Gross Profit</t>
  </si>
  <si>
    <t>Gross Profit margin</t>
  </si>
  <si>
    <t>Administrative expenses</t>
  </si>
  <si>
    <t>Selling expenses</t>
  </si>
  <si>
    <t>Other operating expenses, net</t>
  </si>
  <si>
    <t>Operative equity method gain/loss in associates</t>
  </si>
  <si>
    <t>Operating Profit</t>
  </si>
  <si>
    <t>Finance Income</t>
  </si>
  <si>
    <t>Finance costs</t>
  </si>
  <si>
    <t>Other non-operating expenses, net</t>
  </si>
  <si>
    <t>Share of profit (loss) of associates and joint ventures accounted for using equity method</t>
  </si>
  <si>
    <t>Foreign exchange (loss) gain, net</t>
  </si>
  <si>
    <t>Gain (loss) on monetary position for subsidiaries in hyperinflationary economies</t>
  </si>
  <si>
    <t>Market value gain on financial instruments</t>
  </si>
  <si>
    <t>Profit before tax</t>
  </si>
  <si>
    <t>Income tax benefit/(expense)</t>
  </si>
  <si>
    <t>Result from discontinued operations</t>
  </si>
  <si>
    <t>Profit/(loss) for the year</t>
  </si>
  <si>
    <t>As % of sales unless stated otherwise</t>
  </si>
  <si>
    <t>Finance Income as a % of cash at end of period</t>
  </si>
  <si>
    <t>Finance costs as a % of debt at end of period</t>
  </si>
  <si>
    <t>Income tax benefit/(expense) as a % of Profit before tax</t>
  </si>
  <si>
    <t>capex/sales</t>
  </si>
  <si>
    <t>D/A/sales</t>
  </si>
  <si>
    <t xml:space="preserve">EBITDA </t>
  </si>
  <si>
    <t xml:space="preserve">Operating profit </t>
  </si>
  <si>
    <t>Depreciation &amp; amortisation</t>
  </si>
  <si>
    <t xml:space="preserve">% growth </t>
  </si>
  <si>
    <t>% margin</t>
  </si>
  <si>
    <t xml:space="preserve">Adjustment </t>
  </si>
  <si>
    <t xml:space="preserve">Adj. EBITDA </t>
  </si>
  <si>
    <t xml:space="preserve">Rent </t>
  </si>
  <si>
    <t>Adj. EBITDAR</t>
  </si>
  <si>
    <t>rent % of sales</t>
  </si>
  <si>
    <t xml:space="preserve">Depreciation </t>
  </si>
  <si>
    <t>Amortisation</t>
  </si>
  <si>
    <t>CASH FLOW</t>
  </si>
  <si>
    <t xml:space="preserve">Adjusted EBITDA </t>
  </si>
  <si>
    <t>Working Capital</t>
  </si>
  <si>
    <t>Taxes</t>
  </si>
  <si>
    <t>Cash interest paid</t>
  </si>
  <si>
    <t>Deposits interest received</t>
  </si>
  <si>
    <t xml:space="preserve">Net cash from operations </t>
  </si>
  <si>
    <t>Net Capex</t>
  </si>
  <si>
    <t>Net Payment for acquistion  of intangible assets</t>
  </si>
  <si>
    <t>Disposals/ Acquistion, of subsidiaries</t>
  </si>
  <si>
    <t xml:space="preserve">Free cash flow </t>
  </si>
  <si>
    <t>Other investing activities</t>
  </si>
  <si>
    <t>Equity Issuance/Buyback</t>
  </si>
  <si>
    <t xml:space="preserve">Dividends received  / Dividends Paid </t>
  </si>
  <si>
    <t>Change in debt /Finance Costs</t>
  </si>
  <si>
    <t>Other financing activities</t>
  </si>
  <si>
    <t>Cash flow after financing activities</t>
  </si>
  <si>
    <t xml:space="preserve">FX </t>
  </si>
  <si>
    <t>Hyperinflation effect</t>
  </si>
  <si>
    <t>Balancing figure</t>
  </si>
  <si>
    <t xml:space="preserve">Net change in cash </t>
  </si>
  <si>
    <t>Cash and cash equivalents</t>
  </si>
  <si>
    <t>check 1</t>
  </si>
  <si>
    <t>check 2</t>
  </si>
  <si>
    <t xml:space="preserve">LTM </t>
  </si>
  <si>
    <t>EBITDA</t>
  </si>
  <si>
    <t>Adjusted EBITDA</t>
  </si>
  <si>
    <t>Adjusted EBITDAR</t>
  </si>
  <si>
    <t xml:space="preserve">LTM RENT </t>
  </si>
  <si>
    <t>Net Income</t>
  </si>
  <si>
    <t>Capex</t>
  </si>
  <si>
    <t xml:space="preserve">BALANCE SHEET </t>
  </si>
  <si>
    <t>Tangible fixed assets</t>
  </si>
  <si>
    <t xml:space="preserve">Net pension liability </t>
  </si>
  <si>
    <t>Inventory</t>
  </si>
  <si>
    <t>Trade debtors/receivables</t>
  </si>
  <si>
    <t>Trade creditors /payables</t>
  </si>
  <si>
    <t>Net working capital</t>
  </si>
  <si>
    <t>% of revenues</t>
  </si>
  <si>
    <t>Inventory days</t>
  </si>
  <si>
    <t>Receivable days</t>
  </si>
  <si>
    <t>Payable days</t>
  </si>
  <si>
    <t xml:space="preserve">Debt  Breakdown </t>
  </si>
  <si>
    <t>Debt Obligations</t>
  </si>
  <si>
    <t>Debt items</t>
  </si>
  <si>
    <t xml:space="preserve">Argentine pesos </t>
  </si>
  <si>
    <t>Columbian peso</t>
  </si>
  <si>
    <t>U.S dollars</t>
  </si>
  <si>
    <t>Brazilian reais</t>
  </si>
  <si>
    <t>Uruguayan Pesos</t>
  </si>
  <si>
    <t>Mexican pesos</t>
  </si>
  <si>
    <t>Total Debt</t>
  </si>
  <si>
    <t>Cash and equivalents</t>
  </si>
  <si>
    <t xml:space="preserve">Gross total debt </t>
  </si>
  <si>
    <t>Capitalized operating leases (rent*8)</t>
  </si>
  <si>
    <t>Net debt- including capitalized Operating leases</t>
  </si>
  <si>
    <t>Gross debt- including capitalized Operating leases</t>
  </si>
  <si>
    <t>Market cap</t>
  </si>
  <si>
    <t>Equity (as reported on balance sheet)</t>
  </si>
  <si>
    <t>Total debt + Equity</t>
  </si>
  <si>
    <t>Net debt + Market Cap</t>
  </si>
  <si>
    <t>CREDIT RATIOS</t>
  </si>
  <si>
    <t>Net Debt</t>
  </si>
  <si>
    <t>Gross Debt</t>
  </si>
  <si>
    <t>Total Net Leverage</t>
  </si>
  <si>
    <t xml:space="preserve">Total Gross Leverage </t>
  </si>
  <si>
    <t>Lease adjusted net leverage</t>
  </si>
  <si>
    <t>Lease adjusted gross leverage</t>
  </si>
  <si>
    <t>Adjusted EBITDA - Capex / Interest</t>
  </si>
  <si>
    <t>Adjusted EBITDA/Interest</t>
  </si>
  <si>
    <t xml:space="preserve">Gearing (Net debt / Equity) </t>
  </si>
  <si>
    <t>FX rate average - MXN/USD</t>
  </si>
  <si>
    <t>FX rate  - MXN/USD (as at end of period)</t>
  </si>
  <si>
    <t>USD to MXN (EOP)</t>
  </si>
  <si>
    <t>Summary Financials</t>
  </si>
  <si>
    <t xml:space="preserve">LFL sales growth </t>
  </si>
  <si>
    <t>Others</t>
  </si>
  <si>
    <t>Key  Credit Metrics (Pesos mn where applicable)</t>
  </si>
  <si>
    <t>Adjusted EBITDA margin</t>
  </si>
  <si>
    <t>Lease Adjusted Debt</t>
  </si>
  <si>
    <t>Net Lease Adjusted Debt</t>
  </si>
  <si>
    <t>Gross Leverage</t>
  </si>
  <si>
    <t xml:space="preserve">Net Leverage </t>
  </si>
  <si>
    <t>Gross lease adjusted Leverage</t>
  </si>
  <si>
    <t xml:space="preserve">Net lease adjusted  Leverage </t>
  </si>
  <si>
    <t>Key  Credit Metrics (USD mn where applicable)</t>
  </si>
  <si>
    <t>KPIs</t>
  </si>
  <si>
    <t>Reported  Revenue by segment</t>
  </si>
  <si>
    <t>Mexico &amp; Central America</t>
  </si>
  <si>
    <t>South America</t>
  </si>
  <si>
    <t>Venezuela</t>
  </si>
  <si>
    <t>Asia</t>
  </si>
  <si>
    <t>Total</t>
  </si>
  <si>
    <t>Reported  Operating Income (Loss) by segment</t>
  </si>
  <si>
    <t>Reported  Revenue growth</t>
  </si>
  <si>
    <t>South America (Including Venezuela)</t>
  </si>
  <si>
    <t>Organic revenue growth</t>
  </si>
  <si>
    <t>Reported Unit case Volume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</si>
</sst>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2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_-* #,##0.00_-;\-* #,##0.00_-;_-* &quot;-&quot;??_-;_-@_-"/>
    <numFmt numFmtId="166" formatCode="#,##0.0_);\(#,##0.0\)"/>
    <numFmt numFmtId="167" formatCode="#0.0%_);\(#0.0%\)"/>
    <numFmt numFmtId="168" formatCode="#0.00\x"/>
    <numFmt numFmtId="169" formatCode="mmm\ yyyy"/>
    <numFmt numFmtId="170" formatCode="0.0%"/>
    <numFmt numFmtId="171" formatCode="_(* #,##0.0_);_(* \(#,##0.0\);_(* &quot;-&quot;??_);_(@_)"/>
    <numFmt numFmtId="172" formatCode="_(* #,##0.000_);_(* \(#,##0.000\);_(* &quot;-&quot;??_);_(@_)"/>
    <numFmt numFmtId="173" formatCode="_(* #,##0_);_(* \(#,##0\);_(* &quot;-&quot;??_);_(@_)"/>
    <numFmt numFmtId="174" formatCode="#,##0.0\ ;\(#,##0.0\)"/>
    <numFmt numFmtId="175" formatCode="&quot;$&quot;#,##0.00_)&quot;per share&quot;;\(&quot;$&quot;#,##0.00\)&quot; per share&quot;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$&quot;_(#,##0.00_);&quot;$&quot;\(#,##0.00\);&quot;$&quot;_(0.00_);@_)"/>
    <numFmt numFmtId="180" formatCode="&quot;$&quot;_(#,##0.00_);&quot;$&quot;\(#,##0.00\)"/>
    <numFmt numFmtId="181" formatCode="#,##0.00_);\(#,##0.00\);0.00_);@_)"/>
    <numFmt numFmtId="182" formatCode="\€_(#,##0.00_);\€\(#,##0.00\);\€_(0.00_);@_)"/>
    <numFmt numFmtId="183" formatCode="#,##0_)\x;\(#,##0\)\x;0_)\x;@_)_x"/>
    <numFmt numFmtId="184" formatCode="#,##0.0_)\x;\(#,##0.0\)\x"/>
    <numFmt numFmtId="185" formatCode="#,##0_)_x;\(#,##0\)_x;0_)_x;@_)_x"/>
    <numFmt numFmtId="186" formatCode="#,##0.0_)_x;\(#,##0.0\)_x"/>
    <numFmt numFmtId="187" formatCode="0.0_)\%;\(0.0\)\%"/>
    <numFmt numFmtId="188" formatCode="#,##0.0_)_%;\(#,##0.0\)_%"/>
    <numFmt numFmtId="189" formatCode="_(\£* #,##0_);_(\£* \(#,##0\);_(\£* &quot;-&quot;_);_(@_)"/>
    <numFmt numFmtId="190" formatCode="_(\£* #,##0.0_);_(\£* \(#,##0.0\);_(\£* &quot;-&quot;_);_(@_)"/>
    <numFmt numFmtId="191" formatCode="_(\£* #,##0.00_);_(\£* \(#,##0.00\);_(\£* &quot;-&quot;_);_(@_)"/>
    <numFmt numFmtId="192" formatCode="_(* #,##0\p_);_(* \(#,##0\p\);_(* &quot;-&quot;\ \p_);_(@_)"/>
    <numFmt numFmtId="193" formatCode="_(* #,##0.00\p_);_(* \(#,##0.00\p\);_(* &quot;-&quot;\ \p_);_(@_)"/>
    <numFmt numFmtId="194" formatCode="\£#,##0.00"/>
    <numFmt numFmtId="195" formatCode="&quot;$&quot;&quot; &quot;#,##0_);\(&quot;$&quot;&quot; &quot;#,##0\);\-_)"/>
    <numFmt numFmtId="196" formatCode="#,##0_);\(#,##0\);\-_)"/>
    <numFmt numFmtId="197" formatCode="&quot;$&quot;#,##0_);[Red]\(&quot;$&quot;#,##0\);&quot;-&quot;"/>
    <numFmt numFmtId="198" formatCode="[Blue]0.0%;[Blue]\-0.0%"/>
    <numFmt numFmtId="199" formatCode="\£#,##0_);\(\£#,##0\)"/>
    <numFmt numFmtId="200" formatCode="&quot;fl&quot;#,##0_);\(&quot;fl&quot;#,##0\)"/>
    <numFmt numFmtId="201" formatCode="&quot;$&quot;\ #,##0_);\(&quot;$&quot;\ #,##0\)"/>
    <numFmt numFmtId="202" formatCode="_(&quot;R$&quot;* #,##0.00_);_(&quot;R$&quot;* \(#,##0.00\);_(&quot;R$&quot;* &quot;-&quot;??_);_(@_)"/>
    <numFmt numFmtId="203" formatCode="0.0\x;[Red]\(0.0\x\)"/>
    <numFmt numFmtId="204" formatCode="#,##0.0_);\(#,##0.0\);&quot;—&quot;_)"/>
    <numFmt numFmtId="205" formatCode="&quot;$&quot;#,##0.0_);\(&quot;$&quot;#,##0.0\);&quot;—&quot;_)"/>
    <numFmt numFmtId="206" formatCode="0.000000000%"/>
    <numFmt numFmtId="207" formatCode="#,##0.0000"/>
    <numFmt numFmtId="208" formatCode="mm/dd/yy"/>
    <numFmt numFmtId="209" formatCode="&quot;$&quot;#,##0.00"/>
    <numFmt numFmtId="210" formatCode="_([$€-2]* #,##0.00_);_([$€-2]* \(#,##0.00\);_([$€-2]* &quot;-&quot;??_)"/>
    <numFmt numFmtId="211" formatCode="#&quot; mon&quot;"/>
    <numFmt numFmtId="212" formatCode="#,##0\ &quot;F&quot;;[Red]\-#,##0\ &quot;F&quot;"/>
    <numFmt numFmtId="213" formatCode="#,##0.00\ &quot;F&quot;;[Red]\-#,##0.00\ &quot;F&quot;"/>
    <numFmt numFmtId="214" formatCode="#,##0.0\x_)_);\(#,##0.0\x\)_);#,##0.0\x_)_);@_%_)"/>
    <numFmt numFmtId="215" formatCode="_(* #,##0.00\ ___);_(* \(#,##0.00\ __\);_(* &quot;-&quot;??_);_(@_)"/>
    <numFmt numFmtId="216" formatCode="0%\);[Red]\(0%"/>
    <numFmt numFmtId="217" formatCode="_(* #,##0\ ___);_(* \(#,##0\ __\);_(* &quot;-&quot;??_);_(@_)"/>
    <numFmt numFmtId="218" formatCode="_(* #,##0\ \x_);_(* \(#,##0\ \x\);_(* &quot;-&quot;??_);_(@_)"/>
    <numFmt numFmtId="219" formatCode="0%_);[Red]\(0%\)"/>
    <numFmt numFmtId="220" formatCode="_(* #,##0.0\ ___);_(* \(#,##0.0\ __\);_(* &quot;-&quot;??_);_(@_)"/>
    <numFmt numFmtId="221" formatCode="_(* #,##0.0\ \x_);_(* \(#,##0.0\ \x\);_(* &quot;-&quot;??_);_(@_)"/>
    <numFmt numFmtId="222" formatCode="#,##0&quot; F&quot;_);\(#,##0&quot; F&quot;\)"/>
    <numFmt numFmtId="223" formatCode="_(* #,##0.00_);_(* \(\ #,##0.00\ \);_(* &quot;&quot;??_);_(\ @_ \)"/>
    <numFmt numFmtId="224" formatCode="0.00_)"/>
    <numFmt numFmtId="225" formatCode="_(* #,##0.0_);_(* \(#,##0.0\);_(* &quot;-&quot;?_);_(@_)"/>
    <numFmt numFmtId="226" formatCode="0.00%\ &quot;Ramped&quot;\ "/>
    <numFmt numFmtId="227" formatCode="0.00%\ &quot;Ramped&quot;"/>
    <numFmt numFmtId="228" formatCode="0.0000"/>
    <numFmt numFmtId="229" formatCode="0.000"/>
    <numFmt numFmtId="230" formatCode="&quot;Diversity =&quot;\ #.0"/>
    <numFmt numFmtId="231" formatCode="&quot;Ratings Factor =&quot;\ #"/>
    <numFmt numFmtId="232" formatCode="&quot;Page &quot;0"/>
    <numFmt numFmtId="233" formatCode="&quot;\&quot;#,##0.00;[Red]\-&quot;\&quot;#,##0.00"/>
    <numFmt numFmtId="234" formatCode="0.0_%"/>
    <numFmt numFmtId="235" formatCode="_(0.0%;_(* \(0.0\)%"/>
    <numFmt numFmtId="236" formatCode="_(* #,##0.0000_);_(* \(#,##0.0000\);_(* &quot;-&quot;??_);_(@_)"/>
    <numFmt numFmtId="237" formatCode="0&quot; bps&quot;"/>
    <numFmt numFmtId="238" formatCode="&quot;WAS =&quot;\ #.00"/>
    <numFmt numFmtId="239" formatCode="&quot;Avg. Px.=&quot;#.00"/>
    <numFmt numFmtId="240" formatCode="&quot;WAL=&quot;#.00"/>
    <numFmt numFmtId="241" formatCode="#.00\ &quot;years&quot;"/>
    <numFmt numFmtId="242" formatCode="&quot;2nd Lien=&quot;#"/>
    <numFmt numFmtId="243" formatCode="&quot;WAPP=&quot;#.00"/>
    <numFmt numFmtId="244" formatCode="&quot;WAS=&quot;#.00"/>
    <numFmt numFmtId="245" formatCode="&quot;WAC=&quot;#.00"/>
    <numFmt numFmtId="246" formatCode="&quot;$&quot;#,##0.0_);\(&quot;$&quot;#,##0.0\)"/>
    <numFmt numFmtId="247" formatCode="#,###,;\(#,###,\)"/>
    <numFmt numFmtId="248" formatCode="000\-00\-0000"/>
    <numFmt numFmtId="249" formatCode="&quot;$&quot;#,##0.0000"/>
    <numFmt numFmtId="250" formatCode="&quot;$&quot;#,##0.000000"/>
    <numFmt numFmtId="251" formatCode="&quot;$&quot;#,##0.000"/>
    <numFmt numFmtId="252" formatCode="000000000"/>
    <numFmt numFmtId="253" formatCode="000"/>
    <numFmt numFmtId="254" formatCode="hh:mm\ AM/PM_)"/>
    <numFmt numFmtId="255" formatCode="#.0&quot;x&quot;"/>
    <numFmt numFmtId="256" formatCode="yyyy"/>
    <numFmt numFmtId="257" formatCode="\¥#,##0_);\(\¥#,##0\)"/>
    <numFmt numFmtId="258" formatCode="#0.0\x"/>
    <numFmt numFmtId="259" formatCode="0.0\x"/>
    <numFmt numFmtId="260" formatCode="0.0"/>
    <numFmt numFmtId="261" formatCode="#,##0.000"/>
    <numFmt numFmtId="262" formatCode="#,##0.00000_);\(#,##0.00000\)"/>
    <numFmt numFmtId="263" formatCode="_(* #,##0.00000_);_(* \(#,##0.00000\);_(* &quot;-&quot;?????_);_(@_)"/>
    <numFmt numFmtId="264" formatCode="_(* #,##0_);_(* \(#,##0\);_(* &quot;-&quot;?????_);_(@_)"/>
    <numFmt numFmtId="265" formatCode="0.000%"/>
    <numFmt numFmtId="266" formatCode="_(* #,##0.00000_);_(* \(#,##0.00000\);_(* &quot;-&quot;??_);_(@_)"/>
    <numFmt numFmtId="267" formatCode="0.00\x"/>
  </numFmts>
  <fonts count="133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9"/>
      <name val="Arial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8"/>
      <color indexed="8"/>
      <name val="Arial"/>
      <family val="2"/>
    </font>
    <font>
      <b/>
      <sz val="13"/>
      <color indexed="8"/>
      <name val="Verdana"/>
      <family val="2"/>
    </font>
    <font>
      <b/>
      <sz val="8"/>
      <name val="Arial"/>
      <family val="2"/>
    </font>
    <font>
      <u val="singleAccounting"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i/>
      <sz val="10"/>
      <name val="Times New Roman"/>
      <family val="1"/>
    </font>
    <font>
      <sz val="9"/>
      <name val="Arial"/>
      <family val="2"/>
    </font>
    <font>
      <sz val="8"/>
      <name val="Times New Roman"/>
      <family val="1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0"/>
      <name val="Book Antiqua"/>
      <family val="1"/>
    </font>
    <font>
      <sz val="8"/>
      <name val="Times"/>
      <family val="1"/>
    </font>
    <font>
      <b/>
      <sz val="12"/>
      <name val="Times"/>
      <family val="1"/>
    </font>
    <font>
      <sz val="12"/>
      <name val="Arial"/>
      <family val="2"/>
    </font>
    <font>
      <sz val="10"/>
      <color indexed="8"/>
      <name val="Times New Roman"/>
      <family val="1"/>
    </font>
    <font>
      <sz val="8"/>
      <color indexed="12"/>
      <name val="Times"/>
      <family val="1"/>
    </font>
    <font>
      <sz val="8"/>
      <name val="Helv"/>
    </font>
    <font>
      <sz val="12"/>
      <name val="Times"/>
      <family val="1"/>
    </font>
    <font>
      <b/>
      <i/>
      <sz val="10"/>
      <name val="Arial"/>
      <family val="2"/>
    </font>
    <font>
      <b/>
      <i/>
      <sz val="12"/>
      <name val="Times New Roman"/>
      <family val="1"/>
    </font>
    <font>
      <b/>
      <u/>
      <sz val="8"/>
      <color indexed="8"/>
      <name val="Times New Roman"/>
      <family val="1"/>
    </font>
    <font>
      <b/>
      <sz val="9"/>
      <color indexed="8"/>
      <name val="Times New Roman"/>
      <family val="1"/>
    </font>
    <font>
      <i/>
      <sz val="8"/>
      <name val="Arial"/>
      <family val="2"/>
    </font>
    <font>
      <b/>
      <i/>
      <sz val="8"/>
      <name val="Arial"/>
      <family val="2"/>
    </font>
    <font>
      <b/>
      <sz val="8"/>
      <name val="Book Antiqua"/>
      <family val="1"/>
    </font>
    <font>
      <sz val="14"/>
      <name val="Arial"/>
      <family val="2"/>
    </font>
    <font>
      <sz val="8"/>
      <color indexed="12"/>
      <name val="Times New Roman"/>
      <family val="1"/>
    </font>
    <font>
      <b/>
      <sz val="14"/>
      <name val="Book Antiqua"/>
      <family val="1"/>
    </font>
    <font>
      <sz val="10"/>
      <name val="MS Serif"/>
      <family val="1"/>
    </font>
    <font>
      <sz val="10"/>
      <name val="MS Sans Serif"/>
      <family val="2"/>
    </font>
    <font>
      <sz val="12"/>
      <name val="Times New Roman"/>
      <family val="1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b/>
      <i/>
      <sz val="9"/>
      <color indexed="4"/>
      <name val="Times New Roman"/>
      <family val="1"/>
    </font>
    <font>
      <sz val="7"/>
      <name val="Arial"/>
      <family val="2"/>
    </font>
    <font>
      <b/>
      <sz val="14"/>
      <name val="Arial"/>
      <family val="2"/>
    </font>
    <font>
      <u/>
      <sz val="8"/>
      <name val="Times New Roman"/>
      <family val="1"/>
    </font>
    <font>
      <b/>
      <sz val="12"/>
      <color indexed="9"/>
      <name val="Times"/>
      <family val="1"/>
    </font>
    <font>
      <b/>
      <i/>
      <sz val="18"/>
      <color indexed="4"/>
      <name val="Times New Roman"/>
      <family val="1"/>
    </font>
    <font>
      <b/>
      <sz val="12"/>
      <name val="Arial"/>
      <family val="2"/>
    </font>
    <font>
      <b/>
      <sz val="8"/>
      <name val="Palatino"/>
      <family val="1"/>
    </font>
    <font>
      <b/>
      <sz val="9"/>
      <name val="Arial"/>
      <family val="2"/>
    </font>
    <font>
      <b/>
      <sz val="8"/>
      <name val="MS Sans Serif"/>
      <family val="2"/>
    </font>
    <font>
      <b/>
      <i/>
      <sz val="10"/>
      <name val="Times New Roman"/>
      <family val="1"/>
    </font>
    <font>
      <b/>
      <sz val="10"/>
      <name val="Palatino"/>
      <family val="1"/>
    </font>
    <font>
      <sz val="8"/>
      <name val="Book Antiqua"/>
      <family val="1"/>
    </font>
    <font>
      <sz val="10"/>
      <name val="Geneva"/>
      <family val="2"/>
    </font>
    <font>
      <i/>
      <sz val="7"/>
      <name val="Book Antiqua"/>
      <family val="1"/>
    </font>
    <font>
      <sz val="8"/>
      <name val="Palatino"/>
      <family val="1"/>
    </font>
    <font>
      <b/>
      <i/>
      <sz val="16"/>
      <name val="Helv"/>
    </font>
    <font>
      <sz val="10"/>
      <color indexed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u/>
      <sz val="10"/>
      <color indexed="12"/>
      <name val="Times New Roman"/>
      <family val="1"/>
    </font>
    <font>
      <b/>
      <sz val="12"/>
      <name val="Times New Roman"/>
      <family val="1"/>
    </font>
    <font>
      <b/>
      <sz val="15"/>
      <name val="Times New Roman"/>
      <family val="1"/>
    </font>
    <font>
      <sz val="8"/>
      <color indexed="72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u/>
      <sz val="8"/>
      <name val="Book Antiqua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2"/>
      <name val="Arial MT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7"/>
      <color indexed="12"/>
      <name val="Arial"/>
      <family val="2"/>
    </font>
    <font>
      <sz val="8"/>
      <name val="Wingdings"/>
      <charset val="2"/>
    </font>
    <font>
      <sz val="9"/>
      <color indexed="8"/>
      <name val="Times New Roman"/>
      <family val="1"/>
    </font>
    <font>
      <sz val="8"/>
      <name val="MS Sans Serif"/>
      <family val="2"/>
    </font>
    <font>
      <b/>
      <sz val="8"/>
      <color indexed="10"/>
      <name val="Times New Roman"/>
      <family val="1"/>
    </font>
    <font>
      <b/>
      <sz val="8"/>
      <color indexed="8"/>
      <name val="Helv"/>
    </font>
    <font>
      <b/>
      <sz val="14"/>
      <color indexed="8"/>
      <name val="Times New Roman"/>
      <family val="1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b/>
      <sz val="7"/>
      <color indexed="12"/>
      <name val="Arial"/>
      <family val="2"/>
    </font>
    <font>
      <b/>
      <u/>
      <sz val="10"/>
      <name val="Book Antiqua"/>
      <family val="1"/>
    </font>
    <font>
      <b/>
      <sz val="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6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8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sz val="12"/>
      <color rgb="FF000000"/>
      <name val="Times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2"/>
      <color rgb="FF000000"/>
      <name val="Times"/>
    </font>
    <font>
      <b/>
      <sz val="12"/>
      <name val="Calibri"/>
      <family val="2"/>
      <scheme val="minor"/>
    </font>
    <font>
      <i/>
      <sz val="8"/>
      <color rgb="FFFF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5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lightGray">
        <fgColor indexed="15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56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3"/>
      </patternFill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4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018">
    <xf numFmtId="0" fontId="0" fillId="0" borderId="0"/>
    <xf numFmtId="174" fontId="26" fillId="0" borderId="0"/>
    <xf numFmtId="0" fontId="27" fillId="0" borderId="0">
      <alignment horizontal="right"/>
    </xf>
    <xf numFmtId="0" fontId="6" fillId="0" borderId="0"/>
    <xf numFmtId="175" fontId="22" fillId="0" borderId="0" applyFont="0" applyFill="0" applyBorder="0" applyAlignment="0"/>
    <xf numFmtId="176" fontId="6" fillId="0" borderId="0" applyFont="0" applyFill="0" applyBorder="0" applyAlignment="0" applyProtection="0"/>
    <xf numFmtId="177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 applyNumberFormat="0" applyFill="0" applyBorder="0" applyAlignment="0" applyProtection="0">
      <alignment horizontal="left" wrapText="1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vertical="top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vertical="top"/>
    </xf>
    <xf numFmtId="178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80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39" fontId="6" fillId="0" borderId="0" applyFont="0" applyFill="0" applyBorder="0" applyAlignment="0" applyProtection="0"/>
    <xf numFmtId="182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2" borderId="0" applyNumberFormat="0" applyFont="0" applyAlignment="0" applyProtection="0"/>
    <xf numFmtId="0" fontId="6" fillId="0" borderId="0" applyFont="0" applyFill="0" applyBorder="0" applyAlignment="0" applyProtection="0"/>
    <xf numFmtId="183" fontId="6" fillId="0" borderId="0" applyFont="0" applyFill="0" applyBorder="0" applyAlignment="0" applyProtection="0"/>
    <xf numFmtId="184" fontId="6" fillId="0" borderId="0" applyFont="0" applyFill="0" applyBorder="0" applyAlignment="0" applyProtection="0"/>
    <xf numFmtId="185" fontId="6" fillId="0" borderId="0" applyFont="0" applyFill="0" applyBorder="0" applyProtection="0">
      <alignment horizontal="right"/>
    </xf>
    <xf numFmtId="186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187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29" fillId="0" borderId="0" applyNumberFormat="0" applyFill="0" applyBorder="0" applyProtection="0">
      <alignment vertical="top"/>
    </xf>
    <xf numFmtId="0" fontId="29" fillId="0" borderId="0" applyNumberFormat="0" applyFill="0" applyBorder="0" applyProtection="0">
      <alignment vertical="top"/>
    </xf>
    <xf numFmtId="0" fontId="30" fillId="0" borderId="1" applyNumberFormat="0" applyFill="0" applyAlignment="0" applyProtection="0"/>
    <xf numFmtId="0" fontId="31" fillId="0" borderId="2" applyNumberFormat="0" applyFill="0" applyProtection="0">
      <alignment horizontal="center"/>
    </xf>
    <xf numFmtId="0" fontId="31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189" fontId="33" fillId="0" borderId="0" applyFont="0" applyFill="0" applyBorder="0" applyAlignment="0" applyProtection="0"/>
    <xf numFmtId="190" fontId="33" fillId="0" borderId="0" applyFont="0" applyFill="0" applyBorder="0" applyAlignment="0" applyProtection="0"/>
    <xf numFmtId="191" fontId="33" fillId="0" borderId="0" applyFont="0" applyFill="0" applyBorder="0" applyAlignment="0" applyProtection="0"/>
    <xf numFmtId="192" fontId="33" fillId="0" borderId="0" applyFont="0" applyFill="0" applyBorder="0" applyAlignment="0" applyProtection="0"/>
    <xf numFmtId="193" fontId="33" fillId="0" borderId="0" applyFont="0" applyFill="0" applyBorder="0" applyAlignment="0" applyProtection="0"/>
    <xf numFmtId="194" fontId="34" fillId="0" borderId="0" applyFont="0" applyFill="0" applyBorder="0" applyAlignment="0" applyProtection="0"/>
    <xf numFmtId="42" fontId="6" fillId="0" borderId="0" applyFont="0" applyFill="0" applyBorder="0" applyAlignment="0" applyProtection="0"/>
    <xf numFmtId="0" fontId="35" fillId="0" borderId="0" applyNumberFormat="0" applyFont="0" applyFill="0" applyBorder="0" applyProtection="0">
      <alignment horizontal="centerContinuous"/>
    </xf>
    <xf numFmtId="0" fontId="3" fillId="0" borderId="0" applyNumberFormat="0" applyFill="0" applyBorder="0" applyAlignment="0">
      <protection locked="0"/>
    </xf>
    <xf numFmtId="0" fontId="36" fillId="0" borderId="0"/>
    <xf numFmtId="0" fontId="37" fillId="0" borderId="0"/>
    <xf numFmtId="0" fontId="27" fillId="0" borderId="0">
      <alignment horizontal="center" wrapText="1"/>
      <protection locked="0"/>
    </xf>
    <xf numFmtId="0" fontId="6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2" fillId="3" borderId="0" applyNumberFormat="0" applyBorder="0" applyAlignment="0">
      <protection locked="0"/>
    </xf>
    <xf numFmtId="195" fontId="22" fillId="0" borderId="0" applyFont="0" applyFill="0" applyBorder="0" applyAlignment="0" applyProtection="0"/>
    <xf numFmtId="196" fontId="39" fillId="0" borderId="0" applyFont="0" applyFill="0" applyBorder="0" applyAlignment="0" applyProtection="0"/>
    <xf numFmtId="197" fontId="22" fillId="0" borderId="0" applyFont="0" applyFill="0" applyBorder="0" applyAlignment="0" applyProtection="0"/>
    <xf numFmtId="0" fontId="106" fillId="25" borderId="0"/>
    <xf numFmtId="0" fontId="40" fillId="0" borderId="0" applyNumberFormat="0" applyFill="0" applyBorder="0" applyAlignment="0" applyProtection="0"/>
    <xf numFmtId="198" fontId="41" fillId="0" borderId="0"/>
    <xf numFmtId="0" fontId="42" fillId="0" borderId="0" applyNumberFormat="0" applyFill="0" applyBorder="0" applyAlignment="0" applyProtection="0"/>
    <xf numFmtId="0" fontId="5" fillId="0" borderId="0"/>
    <xf numFmtId="0" fontId="43" fillId="0" borderId="0"/>
    <xf numFmtId="0" fontId="35" fillId="0" borderId="3" applyNumberFormat="0" applyFont="0" applyFill="0" applyAlignment="0" applyProtection="0"/>
    <xf numFmtId="0" fontId="44" fillId="0" borderId="4" applyFill="0" applyProtection="0">
      <alignment horizontal="right"/>
    </xf>
    <xf numFmtId="199" fontId="2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/>
    <xf numFmtId="0" fontId="26" fillId="0" borderId="0" applyFill="0" applyBorder="0" applyAlignment="0"/>
    <xf numFmtId="0" fontId="26" fillId="0" borderId="0" applyFill="0" applyBorder="0" applyAlignment="0"/>
    <xf numFmtId="200" fontId="26" fillId="0" borderId="0" applyFill="0" applyBorder="0" applyAlignment="0"/>
    <xf numFmtId="201" fontId="26" fillId="0" borderId="0" applyFill="0" applyBorder="0" applyAlignment="0"/>
    <xf numFmtId="202" fontId="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39" fontId="27" fillId="4" borderId="0" applyNumberFormat="0" applyFont="0" applyBorder="0" applyAlignment="0"/>
    <xf numFmtId="0" fontId="46" fillId="0" borderId="0"/>
    <xf numFmtId="0" fontId="35" fillId="0" borderId="0" applyNumberFormat="0" applyFont="0" applyFill="0" applyBorder="0" applyProtection="0">
      <alignment horizontal="center"/>
    </xf>
    <xf numFmtId="49" fontId="20" fillId="0" borderId="0" applyFill="0" applyBorder="0" applyProtection="0">
      <alignment horizontal="center"/>
    </xf>
    <xf numFmtId="49" fontId="47" fillId="0" borderId="0" applyFill="0" applyBorder="0" applyProtection="0">
      <alignment horizontal="center"/>
    </xf>
    <xf numFmtId="8" fontId="6" fillId="0" borderId="5" applyFont="0" applyFill="0" applyBorder="0" applyProtection="0">
      <alignment horizontal="right"/>
    </xf>
    <xf numFmtId="0" fontId="4" fillId="0" borderId="0"/>
    <xf numFmtId="0" fontId="2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9" fillId="0" borderId="3" applyNumberFormat="0" applyFill="0" applyBorder="0" applyAlignment="0" applyProtection="0">
      <alignment horizontal="center"/>
    </xf>
    <xf numFmtId="0" fontId="8" fillId="5" borderId="0"/>
    <xf numFmtId="43" fontId="1" fillId="0" borderId="0" applyFont="0" applyFill="0" applyBorder="0" applyAlignment="0" applyProtection="0"/>
    <xf numFmtId="203" fontId="6" fillId="0" borderId="0"/>
    <xf numFmtId="203" fontId="6" fillId="0" borderId="0"/>
    <xf numFmtId="203" fontId="6" fillId="0" borderId="0"/>
    <xf numFmtId="203" fontId="6" fillId="0" borderId="0"/>
    <xf numFmtId="203" fontId="6" fillId="0" borderId="0"/>
    <xf numFmtId="203" fontId="6" fillId="0" borderId="0"/>
    <xf numFmtId="203" fontId="6" fillId="0" borderId="0"/>
    <xf numFmtId="203" fontId="6" fillId="0" borderId="0"/>
    <xf numFmtId="204" fontId="50" fillId="0" borderId="0"/>
    <xf numFmtId="0" fontId="26" fillId="0" borderId="0" applyFont="0" applyFill="0" applyBorder="0" applyAlignment="0" applyProtection="0"/>
    <xf numFmtId="171" fontId="51" fillId="0" borderId="0" applyFont="0" applyFill="0" applyBorder="0" applyAlignment="0" applyProtection="0"/>
    <xf numFmtId="40" fontId="6" fillId="0" borderId="0" applyFont="0" applyFill="0" applyBorder="0" applyProtection="0">
      <alignment horizontal="right"/>
    </xf>
    <xf numFmtId="3" fontId="6" fillId="0" borderId="0" applyFill="0" applyBorder="0" applyAlignment="0" applyProtection="0"/>
    <xf numFmtId="3" fontId="2" fillId="0" borderId="0" applyFont="0" applyFill="0" applyBorder="0" applyAlignment="0" applyProtection="0"/>
    <xf numFmtId="3" fontId="20" fillId="0" borderId="0" applyFill="0" applyBorder="0" applyAlignment="0" applyProtection="0"/>
    <xf numFmtId="38" fontId="52" fillId="0" borderId="0" applyNumberFormat="0" applyFill="0" applyBorder="0">
      <alignment vertical="center"/>
    </xf>
    <xf numFmtId="0" fontId="53" fillId="0" borderId="0" applyNumberFormat="0" applyAlignment="0">
      <alignment horizontal="left"/>
    </xf>
    <xf numFmtId="7" fontId="6" fillId="0" borderId="0" applyFont="0" applyFill="0" applyBorder="0" applyAlignment="0" applyProtection="0"/>
    <xf numFmtId="205" fontId="50" fillId="0" borderId="0"/>
    <xf numFmtId="0" fontId="26" fillId="0" borderId="0" applyFont="0" applyFill="0" applyBorder="0" applyAlignment="0" applyProtection="0"/>
    <xf numFmtId="206" fontId="22" fillId="0" borderId="0" applyFont="0" applyFill="0" applyBorder="0" applyAlignment="0" applyProtection="0"/>
    <xf numFmtId="8" fontId="35" fillId="0" borderId="0" applyBorder="0"/>
    <xf numFmtId="207" fontId="6" fillId="0" borderId="0" applyNumberFormat="0">
      <alignment horizontal="right"/>
    </xf>
    <xf numFmtId="15" fontId="6" fillId="0" borderId="0" applyFont="0" applyFill="0" applyBorder="0" applyProtection="0">
      <alignment horizontal="right"/>
    </xf>
    <xf numFmtId="14" fontId="4" fillId="0" borderId="0" applyFill="0" applyBorder="0" applyAlignment="0"/>
    <xf numFmtId="15" fontId="6" fillId="0" borderId="0" applyFont="0" applyFill="0" applyBorder="0" applyProtection="0">
      <alignment horizontal="right"/>
    </xf>
    <xf numFmtId="208" fontId="20" fillId="0" borderId="0" applyFill="0" applyBorder="0" applyProtection="0">
      <alignment horizontal="left"/>
    </xf>
    <xf numFmtId="0" fontId="6" fillId="0" borderId="0">
      <alignment horizontal="left"/>
    </xf>
    <xf numFmtId="38" fontId="54" fillId="0" borderId="6">
      <alignment vertical="center"/>
    </xf>
    <xf numFmtId="209" fontId="34" fillId="0" borderId="0" applyFont="0" applyFill="0" applyBorder="0" applyAlignment="0" applyProtection="0"/>
    <xf numFmtId="4" fontId="55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7" applyNumberFormat="0" applyFont="0" applyFill="0" applyAlignment="0" applyProtection="0"/>
    <xf numFmtId="42" fontId="56" fillId="0" borderId="0" applyFill="0" applyBorder="0" applyAlignment="0" applyProtection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57" fillId="0" borderId="0" applyNumberFormat="0" applyAlignment="0">
      <alignment horizontal="left"/>
    </xf>
    <xf numFmtId="210" fontId="6" fillId="0" borderId="0" applyFont="0" applyFill="0" applyBorder="0" applyAlignment="0" applyProtection="0"/>
    <xf numFmtId="170" fontId="35" fillId="0" borderId="0" applyNumberFormat="0" applyFont="0" applyAlignment="0">
      <alignment vertical="center"/>
    </xf>
    <xf numFmtId="0" fontId="58" fillId="0" borderId="0">
      <alignment horizontal="center"/>
    </xf>
    <xf numFmtId="0" fontId="59" fillId="0" borderId="0" applyNumberFormat="0" applyFill="0" applyBorder="0" applyAlignment="0" applyProtection="0"/>
    <xf numFmtId="38" fontId="2" fillId="6" borderId="0" applyNumberFormat="0" applyBorder="0" applyAlignment="0" applyProtection="0"/>
    <xf numFmtId="0" fontId="5" fillId="7" borderId="8" applyAlignment="0" applyProtection="0"/>
    <xf numFmtId="0" fontId="60" fillId="0" borderId="3" applyFill="0" applyProtection="0">
      <alignment horizontal="centerContinuous"/>
    </xf>
    <xf numFmtId="41" fontId="61" fillId="0" borderId="0">
      <alignment horizontal="center"/>
    </xf>
    <xf numFmtId="0" fontId="6" fillId="0" borderId="0">
      <alignment horizontal="center"/>
    </xf>
    <xf numFmtId="0" fontId="6" fillId="0" borderId="0">
      <alignment horizontal="left"/>
    </xf>
    <xf numFmtId="0" fontId="6" fillId="0" borderId="0">
      <alignment horizontal="right"/>
    </xf>
    <xf numFmtId="0" fontId="62" fillId="8" borderId="0"/>
    <xf numFmtId="0" fontId="63" fillId="0" borderId="0">
      <alignment horizontal="center" vertical="center"/>
    </xf>
    <xf numFmtId="0" fontId="64" fillId="0" borderId="9" applyNumberFormat="0" applyAlignment="0" applyProtection="0">
      <alignment horizontal="left" vertical="center"/>
    </xf>
    <xf numFmtId="0" fontId="64" fillId="0" borderId="8">
      <alignment horizontal="left" vertical="center"/>
    </xf>
    <xf numFmtId="0" fontId="65" fillId="0" borderId="0">
      <alignment horizontal="center"/>
    </xf>
    <xf numFmtId="0" fontId="66" fillId="0" borderId="0" applyFill="0" applyBorder="0" applyProtection="0">
      <alignment horizontal="right"/>
    </xf>
    <xf numFmtId="0" fontId="67" fillId="0" borderId="10">
      <alignment horizontal="center"/>
    </xf>
    <xf numFmtId="0" fontId="67" fillId="0" borderId="0">
      <alignment horizontal="center"/>
    </xf>
    <xf numFmtId="10" fontId="40" fillId="0" borderId="0" applyNumberFormat="0" applyFill="0" applyBorder="0" applyAlignment="0" applyProtection="0">
      <alignment horizontal="right"/>
    </xf>
    <xf numFmtId="10" fontId="2" fillId="9" borderId="11" applyNumberFormat="0" applyBorder="0" applyAlignment="0" applyProtection="0"/>
    <xf numFmtId="0" fontId="9" fillId="0" borderId="0"/>
    <xf numFmtId="0" fontId="68" fillId="0" borderId="0"/>
    <xf numFmtId="0" fontId="2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9" fontId="2" fillId="0" borderId="0" applyFont="0" applyFill="0" applyBorder="0" applyProtection="0">
      <alignment horizontal="left"/>
    </xf>
    <xf numFmtId="49" fontId="20" fillId="0" borderId="0" applyFill="0" applyBorder="0" applyProtection="0">
      <alignment horizontal="left"/>
    </xf>
    <xf numFmtId="49" fontId="20" fillId="0" borderId="3" applyFill="0" applyProtection="0">
      <alignment horizontal="left"/>
    </xf>
    <xf numFmtId="49" fontId="20" fillId="0" borderId="12" applyFill="0" applyProtection="0">
      <alignment horizontal="left"/>
    </xf>
    <xf numFmtId="0" fontId="69" fillId="0" borderId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166" fontId="6" fillId="0" borderId="0" applyNumberFormat="0" applyFont="0" applyFill="0" applyBorder="0" applyAlignment="0"/>
    <xf numFmtId="17" fontId="22" fillId="0" borderId="0"/>
    <xf numFmtId="0" fontId="27" fillId="0" borderId="0" applyNumberFormat="0" applyFill="0" applyBorder="0" applyProtection="0"/>
    <xf numFmtId="0" fontId="22" fillId="0" borderId="0" applyNumberFormat="0" applyFill="0" applyBorder="0" applyProtection="0"/>
    <xf numFmtId="38" fontId="70" fillId="0" borderId="0" applyNumberFormat="0" applyFill="0" applyBorder="0">
      <alignment horizontal="left" vertical="center"/>
    </xf>
    <xf numFmtId="165" fontId="6" fillId="0" borderId="0" applyFont="0" applyFill="0" applyBorder="0" applyAlignment="0" applyProtection="0"/>
    <xf numFmtId="38" fontId="71" fillId="0" borderId="0" applyFont="0" applyFill="0" applyBorder="0" applyAlignment="0" applyProtection="0"/>
    <xf numFmtId="40" fontId="71" fillId="0" borderId="0" applyFont="0" applyFill="0" applyBorder="0" applyAlignment="0" applyProtection="0"/>
    <xf numFmtId="170" fontId="72" fillId="0" borderId="0" applyFill="0" applyBorder="0">
      <alignment vertical="center"/>
    </xf>
    <xf numFmtId="211" fontId="27" fillId="0" borderId="0">
      <alignment horizontal="center"/>
    </xf>
    <xf numFmtId="212" fontId="71" fillId="0" borderId="0" applyFont="0" applyFill="0" applyBorder="0" applyAlignment="0" applyProtection="0"/>
    <xf numFmtId="213" fontId="71" fillId="0" borderId="0" applyFont="0" applyFill="0" applyBorder="0" applyAlignment="0" applyProtection="0"/>
    <xf numFmtId="7" fontId="6" fillId="0" borderId="0"/>
    <xf numFmtId="214" fontId="73" fillId="0" borderId="0" applyFont="0" applyFill="0" applyBorder="0" applyProtection="0">
      <alignment horizontal="right"/>
    </xf>
    <xf numFmtId="215" fontId="55" fillId="0" borderId="0" applyFont="0" applyFill="0" applyBorder="0" applyAlignment="0" applyProtection="0"/>
    <xf numFmtId="216" fontId="22" fillId="0" borderId="0" applyFont="0" applyFill="0" applyBorder="0" applyAlignment="0" applyProtection="0"/>
    <xf numFmtId="217" fontId="55" fillId="0" borderId="0" applyFont="0" applyFill="0" applyBorder="0" applyAlignment="0" applyProtection="0"/>
    <xf numFmtId="218" fontId="27" fillId="0" borderId="0" applyFont="0" applyFill="0" applyBorder="0" applyAlignment="0" applyProtection="0"/>
    <xf numFmtId="219" fontId="22" fillId="0" borderId="0" applyFont="0" applyFill="0" applyBorder="0" applyAlignment="0" applyProtection="0"/>
    <xf numFmtId="220" fontId="55" fillId="0" borderId="0" applyFont="0" applyFill="0" applyBorder="0" applyAlignment="0" applyProtection="0"/>
    <xf numFmtId="221" fontId="55" fillId="0" borderId="0" applyFont="0" applyFill="0" applyBorder="0" applyAlignment="0" applyProtection="0"/>
    <xf numFmtId="222" fontId="22" fillId="0" borderId="0" applyFont="0" applyFill="0" applyBorder="0" applyAlignment="0" applyProtection="0"/>
    <xf numFmtId="223" fontId="6" fillId="0" borderId="0"/>
    <xf numFmtId="0" fontId="10" fillId="10" borderId="0"/>
    <xf numFmtId="0" fontId="11" fillId="11" borderId="0"/>
    <xf numFmtId="0" fontId="12" fillId="0" borderId="0"/>
    <xf numFmtId="224" fontId="74" fillId="0" borderId="0"/>
    <xf numFmtId="0" fontId="6" fillId="0" borderId="0"/>
    <xf numFmtId="0" fontId="6" fillId="0" borderId="0"/>
    <xf numFmtId="0" fontId="75" fillId="0" borderId="0">
      <alignment horizontal="center"/>
    </xf>
    <xf numFmtId="0" fontId="23" fillId="0" borderId="0">
      <alignment horizontal="center" vertical="center"/>
    </xf>
    <xf numFmtId="0" fontId="22" fillId="0" borderId="13"/>
    <xf numFmtId="0" fontId="22" fillId="0" borderId="14"/>
    <xf numFmtId="49" fontId="22" fillId="0" borderId="14">
      <alignment horizontal="left"/>
    </xf>
    <xf numFmtId="0" fontId="22" fillId="0" borderId="15"/>
    <xf numFmtId="0" fontId="22" fillId="0" borderId="3"/>
    <xf numFmtId="0" fontId="22" fillId="0" borderId="16"/>
    <xf numFmtId="0" fontId="22" fillId="6" borderId="17"/>
    <xf numFmtId="0" fontId="23" fillId="6" borderId="12">
      <alignment horizontal="left"/>
    </xf>
    <xf numFmtId="0" fontId="23" fillId="6" borderId="18">
      <alignment horizontal="left"/>
    </xf>
    <xf numFmtId="0" fontId="22" fillId="6" borderId="12"/>
    <xf numFmtId="0" fontId="22" fillId="0" borderId="0">
      <alignment horizontal="left"/>
    </xf>
    <xf numFmtId="0" fontId="23" fillId="6" borderId="12">
      <alignment horizontal="left"/>
    </xf>
    <xf numFmtId="0" fontId="39" fillId="6" borderId="12">
      <alignment horizontal="left"/>
    </xf>
    <xf numFmtId="0" fontId="22" fillId="6" borderId="18"/>
    <xf numFmtId="0" fontId="22" fillId="0" borderId="13">
      <alignment horizontal="left"/>
    </xf>
    <xf numFmtId="0" fontId="22" fillId="0" borderId="0">
      <alignment horizontal="left"/>
    </xf>
    <xf numFmtId="0" fontId="22" fillId="0" borderId="14">
      <alignment horizontal="center"/>
    </xf>
    <xf numFmtId="0" fontId="22" fillId="0" borderId="0">
      <alignment horizontal="left"/>
    </xf>
    <xf numFmtId="0" fontId="23" fillId="6" borderId="17">
      <alignment horizontal="left"/>
    </xf>
    <xf numFmtId="0" fontId="22" fillId="0" borderId="13">
      <alignment horizontal="left"/>
    </xf>
    <xf numFmtId="0" fontId="22" fillId="0" borderId="13">
      <alignment horizontal="right"/>
    </xf>
    <xf numFmtId="173" fontId="23" fillId="0" borderId="0"/>
    <xf numFmtId="0" fontId="22" fillId="0" borderId="13"/>
    <xf numFmtId="170" fontId="22" fillId="0" borderId="14"/>
    <xf numFmtId="0" fontId="22" fillId="0" borderId="13"/>
    <xf numFmtId="0" fontId="22" fillId="0" borderId="13">
      <alignment horizontal="left"/>
    </xf>
    <xf numFmtId="0" fontId="23" fillId="6" borderId="17"/>
    <xf numFmtId="0" fontId="76" fillId="6" borderId="13">
      <alignment horizontal="left"/>
    </xf>
    <xf numFmtId="0" fontId="22" fillId="6" borderId="14"/>
    <xf numFmtId="0" fontId="23" fillId="6" borderId="13">
      <alignment horizontal="left"/>
    </xf>
    <xf numFmtId="0" fontId="22" fillId="0" borderId="13">
      <alignment horizontal="left"/>
    </xf>
    <xf numFmtId="0" fontId="22" fillId="0" borderId="13">
      <alignment horizontal="left"/>
    </xf>
    <xf numFmtId="14" fontId="75" fillId="0" borderId="0">
      <alignment horizontal="center"/>
    </xf>
    <xf numFmtId="49" fontId="77" fillId="0" borderId="13">
      <alignment horizontal="left"/>
    </xf>
    <xf numFmtId="0" fontId="77" fillId="0" borderId="13"/>
    <xf numFmtId="0" fontId="23" fillId="6" borderId="13">
      <alignment horizontal="left"/>
    </xf>
    <xf numFmtId="0" fontId="23" fillId="6" borderId="13"/>
    <xf numFmtId="49" fontId="22" fillId="0" borderId="14">
      <alignment horizontal="left"/>
    </xf>
    <xf numFmtId="0" fontId="75" fillId="0" borderId="13"/>
    <xf numFmtId="0" fontId="75" fillId="0" borderId="0">
      <alignment horizontal="center"/>
    </xf>
    <xf numFmtId="14" fontId="75" fillId="0" borderId="0">
      <alignment horizontal="center"/>
    </xf>
    <xf numFmtId="0" fontId="75" fillId="0" borderId="15"/>
    <xf numFmtId="0" fontId="22" fillId="0" borderId="3">
      <alignment horizontal="center"/>
    </xf>
    <xf numFmtId="0" fontId="22" fillId="0" borderId="0"/>
    <xf numFmtId="0" fontId="75" fillId="0" borderId="3">
      <alignment horizontal="center"/>
    </xf>
    <xf numFmtId="14" fontId="75" fillId="0" borderId="3">
      <alignment horizontal="center"/>
    </xf>
    <xf numFmtId="0" fontId="23" fillId="0" borderId="0">
      <alignment horizontal="left" vertical="center" wrapText="1"/>
    </xf>
    <xf numFmtId="0" fontId="23" fillId="6" borderId="9">
      <alignment horizontal="left" wrapText="1"/>
    </xf>
    <xf numFmtId="0" fontId="23" fillId="0" borderId="0">
      <alignment horizontal="right" vertical="center"/>
    </xf>
    <xf numFmtId="173" fontId="23" fillId="0" borderId="0">
      <alignment horizontal="right"/>
    </xf>
    <xf numFmtId="14" fontId="78" fillId="0" borderId="0">
      <alignment horizontal="center"/>
    </xf>
    <xf numFmtId="0" fontId="23" fillId="6" borderId="19">
      <alignment horizontal="center" wrapText="1"/>
    </xf>
    <xf numFmtId="0" fontId="55" fillId="0" borderId="0">
      <alignment horizontal="center" vertical="center"/>
    </xf>
    <xf numFmtId="1" fontId="79" fillId="0" borderId="0">
      <alignment horizontal="center" wrapText="1"/>
    </xf>
    <xf numFmtId="0" fontId="23" fillId="6" borderId="9">
      <alignment horizontal="center" wrapText="1"/>
    </xf>
    <xf numFmtId="0" fontId="79" fillId="6" borderId="20">
      <alignment horizontal="center" wrapText="1"/>
    </xf>
    <xf numFmtId="0" fontId="79" fillId="6" borderId="19">
      <alignment horizontal="left" wrapText="1"/>
    </xf>
    <xf numFmtId="0" fontId="22" fillId="0" borderId="14">
      <alignment horizontal="left"/>
    </xf>
    <xf numFmtId="0" fontId="55" fillId="0" borderId="0">
      <alignment horizontal="center"/>
    </xf>
    <xf numFmtId="2" fontId="55" fillId="12" borderId="0">
      <alignment horizontal="center"/>
    </xf>
    <xf numFmtId="0" fontId="22" fillId="0" borderId="0">
      <alignment horizontal="left" vertical="top"/>
    </xf>
    <xf numFmtId="16" fontId="22" fillId="0" borderId="0"/>
    <xf numFmtId="0" fontId="22" fillId="12" borderId="0"/>
    <xf numFmtId="14" fontId="22" fillId="0" borderId="0">
      <alignment horizontal="center"/>
    </xf>
    <xf numFmtId="2" fontId="55" fillId="0" borderId="12">
      <alignment horizontal="center" vertical="center"/>
    </xf>
    <xf numFmtId="0" fontId="23" fillId="6" borderId="0">
      <alignment horizontal="center"/>
    </xf>
    <xf numFmtId="2" fontId="55" fillId="0" borderId="0">
      <alignment horizontal="center"/>
    </xf>
    <xf numFmtId="2" fontId="55" fillId="0" borderId="0">
      <alignment horizontal="center"/>
    </xf>
    <xf numFmtId="0" fontId="22" fillId="0" borderId="0">
      <alignment horizontal="left" vertical="top"/>
    </xf>
    <xf numFmtId="15" fontId="22" fillId="0" borderId="0">
      <alignment horizontal="left" vertical="top"/>
    </xf>
    <xf numFmtId="0" fontId="22" fillId="0" borderId="0">
      <alignment horizontal="left" vertical="top"/>
    </xf>
    <xf numFmtId="14" fontId="22" fillId="0" borderId="0">
      <alignment horizontal="center" vertical="top"/>
    </xf>
    <xf numFmtId="0" fontId="55" fillId="0" borderId="0"/>
    <xf numFmtId="0" fontId="79" fillId="0" borderId="3"/>
    <xf numFmtId="14" fontId="79" fillId="0" borderId="3"/>
    <xf numFmtId="2" fontId="55" fillId="0" borderId="3">
      <alignment horizontal="center"/>
    </xf>
    <xf numFmtId="0" fontId="22" fillId="0" borderId="0">
      <alignment horizontal="center"/>
    </xf>
    <xf numFmtId="2" fontId="55" fillId="0" borderId="3">
      <alignment horizontal="center"/>
    </xf>
    <xf numFmtId="0" fontId="55" fillId="0" borderId="3"/>
    <xf numFmtId="0" fontId="55" fillId="0" borderId="3">
      <alignment horizontal="center"/>
    </xf>
    <xf numFmtId="0" fontId="55" fillId="0" borderId="3">
      <alignment horizontal="center"/>
    </xf>
    <xf numFmtId="0" fontId="23" fillId="0" borderId="0">
      <alignment horizontal="left" vertical="top"/>
    </xf>
    <xf numFmtId="0" fontId="23" fillId="0" borderId="0">
      <alignment horizontal="left" vertical="top"/>
    </xf>
    <xf numFmtId="0" fontId="22" fillId="0" borderId="0">
      <alignment horizontal="center" vertical="top"/>
    </xf>
    <xf numFmtId="43" fontId="55" fillId="0" borderId="0">
      <alignment horizontal="left"/>
    </xf>
    <xf numFmtId="173" fontId="22" fillId="0" borderId="0"/>
    <xf numFmtId="0" fontId="22" fillId="0" borderId="0">
      <alignment horizontal="center"/>
    </xf>
    <xf numFmtId="0" fontId="75" fillId="0" borderId="0"/>
    <xf numFmtId="43" fontId="22" fillId="0" borderId="0"/>
    <xf numFmtId="1" fontId="22" fillId="0" borderId="0"/>
    <xf numFmtId="0" fontId="23" fillId="0" borderId="0"/>
    <xf numFmtId="43" fontId="22" fillId="0" borderId="0">
      <alignment horizontal="center"/>
    </xf>
    <xf numFmtId="43" fontId="22" fillId="0" borderId="21"/>
    <xf numFmtId="43" fontId="22" fillId="0" borderId="22"/>
    <xf numFmtId="0" fontId="22" fillId="0" borderId="10"/>
    <xf numFmtId="43" fontId="22" fillId="0" borderId="0"/>
    <xf numFmtId="1" fontId="79" fillId="0" borderId="16">
      <alignment horizontal="center" wrapText="1"/>
    </xf>
    <xf numFmtId="0" fontId="55" fillId="0" borderId="0">
      <alignment horizontal="center"/>
    </xf>
    <xf numFmtId="0" fontId="22" fillId="0" borderId="0">
      <alignment horizontal="left"/>
    </xf>
    <xf numFmtId="0" fontId="55" fillId="0" borderId="0"/>
    <xf numFmtId="43" fontId="22" fillId="0" borderId="0">
      <alignment horizontal="center"/>
    </xf>
    <xf numFmtId="0" fontId="23" fillId="0" borderId="3">
      <alignment horizontal="left" vertical="top"/>
    </xf>
    <xf numFmtId="0" fontId="22" fillId="0" borderId="3">
      <alignment horizontal="center" vertical="top"/>
    </xf>
    <xf numFmtId="14" fontId="22" fillId="0" borderId="3">
      <alignment horizontal="center" vertical="top"/>
    </xf>
    <xf numFmtId="15" fontId="22" fillId="0" borderId="3">
      <alignment horizontal="left" vertical="top"/>
    </xf>
    <xf numFmtId="0" fontId="25" fillId="0" borderId="0"/>
    <xf numFmtId="225" fontId="22" fillId="0" borderId="0">
      <alignment vertical="top"/>
    </xf>
    <xf numFmtId="0" fontId="22" fillId="0" borderId="3">
      <alignment horizontal="left" vertical="top"/>
    </xf>
    <xf numFmtId="0" fontId="22" fillId="0" borderId="0">
      <alignment horizontal="center" wrapText="1"/>
    </xf>
    <xf numFmtId="0" fontId="22" fillId="0" borderId="0">
      <alignment horizontal="center"/>
    </xf>
    <xf numFmtId="0" fontId="22" fillId="0" borderId="0">
      <alignment horizontal="center" vertical="top"/>
    </xf>
    <xf numFmtId="0" fontId="23" fillId="0" borderId="0"/>
    <xf numFmtId="14" fontId="22" fillId="0" borderId="0">
      <alignment horizontal="center"/>
    </xf>
    <xf numFmtId="14" fontId="22" fillId="0" borderId="0">
      <alignment horizontal="left" vertical="top"/>
    </xf>
    <xf numFmtId="41" fontId="22" fillId="0" borderId="0"/>
    <xf numFmtId="3" fontId="23" fillId="0" borderId="23">
      <alignment horizontal="right" vertical="center"/>
    </xf>
    <xf numFmtId="173" fontId="23" fillId="0" borderId="22">
      <alignment horizontal="right"/>
    </xf>
    <xf numFmtId="226" fontId="79" fillId="0" borderId="0">
      <alignment wrapText="1"/>
    </xf>
    <xf numFmtId="0" fontId="22" fillId="0" borderId="0">
      <alignment horizontal="center"/>
    </xf>
    <xf numFmtId="227" fontId="23" fillId="0" borderId="10"/>
    <xf numFmtId="227" fontId="23" fillId="0" borderId="0"/>
    <xf numFmtId="0" fontId="22" fillId="0" borderId="0">
      <alignment vertical="top"/>
    </xf>
    <xf numFmtId="3" fontId="23" fillId="0" borderId="21">
      <alignment horizontal="right" vertical="center"/>
    </xf>
    <xf numFmtId="0" fontId="79" fillId="0" borderId="15">
      <alignment horizontal="center" wrapText="1"/>
    </xf>
    <xf numFmtId="3" fontId="23" fillId="0" borderId="24">
      <alignment horizontal="right" vertical="center"/>
    </xf>
    <xf numFmtId="3" fontId="23" fillId="0" borderId="0">
      <alignment horizontal="right" vertical="center"/>
    </xf>
    <xf numFmtId="173" fontId="23" fillId="0" borderId="10">
      <alignment horizontal="right"/>
    </xf>
    <xf numFmtId="0" fontId="4" fillId="0" borderId="25">
      <alignment wrapText="1"/>
    </xf>
    <xf numFmtId="228" fontId="4" fillId="0" borderId="25">
      <alignment horizontal="right" wrapText="1"/>
    </xf>
    <xf numFmtId="4" fontId="22" fillId="0" borderId="0">
      <alignment horizontal="center"/>
    </xf>
    <xf numFmtId="0" fontId="23" fillId="6" borderId="9">
      <alignment horizontal="center"/>
    </xf>
    <xf numFmtId="0" fontId="23" fillId="6" borderId="20">
      <alignment horizontal="center"/>
    </xf>
    <xf numFmtId="14" fontId="22" fillId="0" borderId="0">
      <alignment horizontal="center" vertical="top"/>
    </xf>
    <xf numFmtId="0" fontId="22" fillId="13" borderId="0">
      <alignment vertical="top"/>
    </xf>
    <xf numFmtId="0" fontId="22" fillId="13" borderId="0"/>
    <xf numFmtId="0" fontId="4" fillId="0" borderId="25">
      <alignment wrapText="1"/>
    </xf>
    <xf numFmtId="229" fontId="26" fillId="0" borderId="0">
      <alignment horizontal="right" vertical="center" wrapText="1"/>
    </xf>
    <xf numFmtId="0" fontId="26" fillId="0" borderId="0">
      <alignment horizontal="right" vertical="center" wrapText="1"/>
    </xf>
    <xf numFmtId="0" fontId="4" fillId="0" borderId="0">
      <alignment wrapText="1"/>
    </xf>
    <xf numFmtId="173" fontId="22" fillId="0" borderId="0"/>
    <xf numFmtId="0" fontId="22" fillId="13" borderId="0">
      <alignment horizontal="center"/>
    </xf>
    <xf numFmtId="0" fontId="23" fillId="13" borderId="0"/>
    <xf numFmtId="0" fontId="22" fillId="13" borderId="0">
      <alignment horizontal="center" vertical="top"/>
    </xf>
    <xf numFmtId="0" fontId="22" fillId="0" borderId="0">
      <alignment vertical="top"/>
    </xf>
    <xf numFmtId="14" fontId="22" fillId="13" borderId="0">
      <alignment horizontal="center" vertical="top"/>
    </xf>
    <xf numFmtId="15" fontId="22" fillId="13" borderId="0">
      <alignment horizontal="left" vertical="top"/>
    </xf>
    <xf numFmtId="0" fontId="22" fillId="13" borderId="0">
      <alignment horizontal="left" vertical="top"/>
    </xf>
    <xf numFmtId="14" fontId="22" fillId="13" borderId="0">
      <alignment horizontal="left" vertical="top"/>
    </xf>
    <xf numFmtId="0" fontId="22" fillId="14" borderId="0">
      <alignment horizontal="center"/>
    </xf>
    <xf numFmtId="0" fontId="23" fillId="14" borderId="0"/>
    <xf numFmtId="0" fontId="22" fillId="14" borderId="0">
      <alignment horizontal="center" vertical="top"/>
    </xf>
    <xf numFmtId="14" fontId="22" fillId="14" borderId="0">
      <alignment horizontal="center" vertical="top"/>
    </xf>
    <xf numFmtId="0" fontId="22" fillId="14" borderId="0">
      <alignment vertical="top"/>
    </xf>
    <xf numFmtId="15" fontId="22" fillId="14" borderId="0">
      <alignment horizontal="left" vertical="top"/>
    </xf>
    <xf numFmtId="15" fontId="75" fillId="0" borderId="0">
      <alignment horizontal="left"/>
    </xf>
    <xf numFmtId="0" fontId="22" fillId="14" borderId="0">
      <alignment horizontal="left" vertical="top"/>
    </xf>
    <xf numFmtId="173" fontId="22" fillId="14" borderId="0">
      <alignment vertical="top"/>
    </xf>
    <xf numFmtId="14" fontId="22" fillId="14" borderId="0">
      <alignment horizontal="left" vertical="top"/>
    </xf>
    <xf numFmtId="0" fontId="22" fillId="14" borderId="0">
      <alignment horizontal="center"/>
    </xf>
    <xf numFmtId="0" fontId="22" fillId="14" borderId="0"/>
    <xf numFmtId="0" fontId="23" fillId="14" borderId="0">
      <alignment horizontal="left" vertical="top"/>
    </xf>
    <xf numFmtId="14" fontId="22" fillId="14" borderId="0">
      <alignment horizontal="center" vertical="top"/>
    </xf>
    <xf numFmtId="0" fontId="55" fillId="14" borderId="0">
      <alignment horizontal="center"/>
    </xf>
    <xf numFmtId="0" fontId="75" fillId="14" borderId="0">
      <alignment horizontal="center"/>
    </xf>
    <xf numFmtId="0" fontId="22" fillId="14" borderId="0"/>
    <xf numFmtId="0" fontId="55" fillId="0" borderId="0"/>
    <xf numFmtId="0" fontId="23" fillId="0" borderId="0">
      <alignment horizontal="center"/>
    </xf>
    <xf numFmtId="0" fontId="23" fillId="0" borderId="0">
      <alignment horizontal="center"/>
    </xf>
    <xf numFmtId="173" fontId="23" fillId="6" borderId="23">
      <alignment horizontal="center"/>
    </xf>
    <xf numFmtId="173" fontId="23" fillId="6" borderId="24">
      <alignment horizontal="center"/>
    </xf>
    <xf numFmtId="2" fontId="55" fillId="0" borderId="0"/>
    <xf numFmtId="0" fontId="55" fillId="0" borderId="0"/>
    <xf numFmtId="2" fontId="55" fillId="0" borderId="0">
      <alignment horizontal="center"/>
    </xf>
    <xf numFmtId="0" fontId="55" fillId="0" borderId="0">
      <alignment horizontal="center"/>
    </xf>
    <xf numFmtId="0" fontId="75" fillId="0" borderId="0">
      <alignment wrapText="1"/>
    </xf>
    <xf numFmtId="0" fontId="55" fillId="0" borderId="0">
      <alignment horizontal="center"/>
    </xf>
    <xf numFmtId="0" fontId="79" fillId="0" borderId="0">
      <alignment horizontal="left" vertical="center"/>
    </xf>
    <xf numFmtId="2" fontId="55" fillId="0" borderId="12">
      <alignment horizontal="center" vertical="center"/>
    </xf>
    <xf numFmtId="0" fontId="55" fillId="0" borderId="12">
      <alignment horizontal="center" vertical="center"/>
    </xf>
    <xf numFmtId="0" fontId="55" fillId="0" borderId="18">
      <alignment horizontal="center" vertical="center"/>
    </xf>
    <xf numFmtId="0" fontId="55" fillId="0" borderId="0">
      <alignment horizontal="center" vertical="center"/>
    </xf>
    <xf numFmtId="0" fontId="55" fillId="0" borderId="0">
      <alignment horizontal="left" vertical="center"/>
    </xf>
    <xf numFmtId="0" fontId="79" fillId="0" borderId="0">
      <alignment horizontal="left"/>
    </xf>
    <xf numFmtId="0" fontId="79" fillId="0" borderId="0">
      <alignment horizontal="left"/>
    </xf>
    <xf numFmtId="0" fontId="79" fillId="0" borderId="0">
      <alignment horizontal="center"/>
    </xf>
    <xf numFmtId="0" fontId="22" fillId="0" borderId="0">
      <alignment horizontal="center" vertical="center" wrapText="1"/>
    </xf>
    <xf numFmtId="0" fontId="79" fillId="0" borderId="0">
      <alignment horizontal="center" wrapText="1"/>
    </xf>
    <xf numFmtId="0" fontId="79" fillId="0" borderId="13">
      <alignment horizontal="center" wrapText="1"/>
    </xf>
    <xf numFmtId="1" fontId="79" fillId="0" borderId="14">
      <alignment horizontal="center" wrapText="1"/>
    </xf>
    <xf numFmtId="0" fontId="79" fillId="0" borderId="0">
      <alignment horizontal="center"/>
    </xf>
    <xf numFmtId="230" fontId="79" fillId="0" borderId="0">
      <alignment horizontal="center" wrapText="1"/>
    </xf>
    <xf numFmtId="43" fontId="79" fillId="0" borderId="0"/>
    <xf numFmtId="0" fontId="79" fillId="0" borderId="0"/>
    <xf numFmtId="0" fontId="55" fillId="0" borderId="0">
      <alignment wrapText="1"/>
    </xf>
    <xf numFmtId="0" fontId="79" fillId="0" borderId="0">
      <alignment horizontal="center" wrapText="1"/>
    </xf>
    <xf numFmtId="0" fontId="79" fillId="0" borderId="0">
      <alignment horizontal="center" wrapText="1"/>
    </xf>
    <xf numFmtId="43" fontId="22" fillId="0" borderId="0">
      <alignment horizontal="center" vertical="center" wrapText="1"/>
    </xf>
    <xf numFmtId="0" fontId="79" fillId="0" borderId="0">
      <alignment horizontal="center" wrapText="1"/>
    </xf>
    <xf numFmtId="231" fontId="79" fillId="0" borderId="0">
      <alignment horizontal="center" wrapText="1"/>
    </xf>
    <xf numFmtId="0" fontId="79" fillId="6" borderId="9">
      <alignment horizontal="center" wrapText="1"/>
    </xf>
    <xf numFmtId="2" fontId="79" fillId="6" borderId="9">
      <alignment horizontal="center" wrapText="1"/>
    </xf>
    <xf numFmtId="0" fontId="79" fillId="6" borderId="9">
      <alignment horizontal="center" wrapText="1"/>
    </xf>
    <xf numFmtId="0" fontId="79" fillId="0" borderId="0">
      <alignment horizontal="center" wrapText="1"/>
    </xf>
    <xf numFmtId="0" fontId="22" fillId="0" borderId="0"/>
    <xf numFmtId="0" fontId="22" fillId="0" borderId="0"/>
    <xf numFmtId="0" fontId="80" fillId="0" borderId="0">
      <alignment horizontal="left" vertical="center"/>
    </xf>
    <xf numFmtId="173" fontId="80" fillId="0" borderId="0">
      <alignment horizontal="left" vertical="center"/>
    </xf>
    <xf numFmtId="0" fontId="23" fillId="0" borderId="0">
      <alignment horizontal="center" vertical="center" wrapText="1"/>
    </xf>
    <xf numFmtId="0" fontId="80" fillId="0" borderId="0">
      <alignment horizontal="center" vertical="center"/>
    </xf>
    <xf numFmtId="0" fontId="23" fillId="0" borderId="23">
      <alignment horizontal="left"/>
    </xf>
    <xf numFmtId="41" fontId="23" fillId="0" borderId="26"/>
    <xf numFmtId="0" fontId="23" fillId="0" borderId="23"/>
    <xf numFmtId="41" fontId="23" fillId="0" borderId="0"/>
    <xf numFmtId="0" fontId="23" fillId="0" borderId="21"/>
    <xf numFmtId="173" fontId="23" fillId="0" borderId="27"/>
    <xf numFmtId="173" fontId="23" fillId="0" borderId="0"/>
    <xf numFmtId="43" fontId="23" fillId="0" borderId="27"/>
    <xf numFmtId="43" fontId="23" fillId="0" borderId="0"/>
    <xf numFmtId="0" fontId="22" fillId="0" borderId="0">
      <alignment wrapText="1"/>
    </xf>
    <xf numFmtId="0" fontId="23" fillId="0" borderId="22"/>
    <xf numFmtId="43" fontId="23" fillId="0" borderId="28"/>
    <xf numFmtId="0" fontId="23" fillId="0" borderId="0">
      <alignment horizontal="center"/>
    </xf>
    <xf numFmtId="0" fontId="23" fillId="6" borderId="23">
      <alignment horizontal="center"/>
    </xf>
    <xf numFmtId="173" fontId="23" fillId="6" borderId="24">
      <alignment horizontal="center"/>
    </xf>
    <xf numFmtId="0" fontId="23" fillId="6" borderId="24">
      <alignment horizontal="center"/>
    </xf>
    <xf numFmtId="0" fontId="23" fillId="6" borderId="26">
      <alignment horizontal="center"/>
    </xf>
    <xf numFmtId="0" fontId="23" fillId="6" borderId="22">
      <alignment horizontal="center"/>
    </xf>
    <xf numFmtId="173" fontId="23" fillId="6" borderId="10">
      <alignment horizontal="right"/>
    </xf>
    <xf numFmtId="0" fontId="23" fillId="6" borderId="10">
      <alignment horizontal="center"/>
    </xf>
    <xf numFmtId="0" fontId="22" fillId="0" borderId="0">
      <alignment horizontal="left" vertical="center" wrapText="1"/>
    </xf>
    <xf numFmtId="0" fontId="23" fillId="6" borderId="28">
      <alignment horizontal="center"/>
    </xf>
    <xf numFmtId="0" fontId="23" fillId="15" borderId="0">
      <alignment horizontal="center"/>
    </xf>
    <xf numFmtId="173" fontId="23" fillId="6" borderId="22">
      <alignment horizontal="center"/>
    </xf>
    <xf numFmtId="173" fontId="23" fillId="6" borderId="10">
      <alignment horizontal="center"/>
    </xf>
    <xf numFmtId="0" fontId="23" fillId="6" borderId="10">
      <alignment horizontal="center"/>
    </xf>
    <xf numFmtId="173" fontId="23" fillId="6" borderId="28">
      <alignment horizontal="center"/>
    </xf>
    <xf numFmtId="0" fontId="23" fillId="6" borderId="29">
      <alignment horizontal="center"/>
    </xf>
    <xf numFmtId="0" fontId="23" fillId="6" borderId="3">
      <alignment horizontal="center"/>
    </xf>
    <xf numFmtId="0" fontId="23" fillId="6" borderId="3">
      <alignment horizontal="center"/>
    </xf>
    <xf numFmtId="0" fontId="23" fillId="6" borderId="30">
      <alignment horizontal="center"/>
    </xf>
    <xf numFmtId="0" fontId="22" fillId="0" borderId="0"/>
    <xf numFmtId="0" fontId="23" fillId="6" borderId="21">
      <alignment horizontal="center"/>
    </xf>
    <xf numFmtId="0" fontId="23" fillId="6" borderId="0">
      <alignment horizontal="center"/>
    </xf>
    <xf numFmtId="0" fontId="23" fillId="6" borderId="27">
      <alignment horizontal="center"/>
    </xf>
    <xf numFmtId="0" fontId="39" fillId="0" borderId="0">
      <alignment horizontal="left"/>
    </xf>
    <xf numFmtId="49" fontId="22" fillId="0" borderId="0">
      <alignment horizontal="left"/>
    </xf>
    <xf numFmtId="0" fontId="39" fillId="0" borderId="0">
      <alignment horizontal="left"/>
    </xf>
    <xf numFmtId="15" fontId="75" fillId="15" borderId="0">
      <alignment horizontal="left"/>
    </xf>
    <xf numFmtId="0" fontId="22" fillId="0" borderId="0">
      <alignment horizontal="right"/>
    </xf>
    <xf numFmtId="49" fontId="22" fillId="0" borderId="0">
      <alignment horizontal="left"/>
    </xf>
    <xf numFmtId="49" fontId="22" fillId="0" borderId="0">
      <alignment horizontal="left"/>
    </xf>
    <xf numFmtId="10" fontId="75" fillId="0" borderId="0"/>
    <xf numFmtId="0" fontId="2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1" fillId="0" borderId="0">
      <alignment horizontal="left" vertical="top"/>
      <protection locked="0"/>
    </xf>
    <xf numFmtId="0" fontId="35" fillId="0" borderId="11" applyNumberFormat="0" applyFont="0" applyFill="0" applyAlignment="0" applyProtection="0"/>
    <xf numFmtId="40" fontId="82" fillId="15" borderId="0">
      <alignment horizontal="right"/>
    </xf>
    <xf numFmtId="0" fontId="83" fillId="15" borderId="0">
      <alignment horizontal="right"/>
    </xf>
    <xf numFmtId="0" fontId="84" fillId="15" borderId="14"/>
    <xf numFmtId="0" fontId="84" fillId="0" borderId="0" applyBorder="0">
      <alignment horizontal="centerContinuous"/>
    </xf>
    <xf numFmtId="232" fontId="85" fillId="0" borderId="0" applyFill="0">
      <alignment horizontal="center" vertical="center"/>
    </xf>
    <xf numFmtId="0" fontId="23" fillId="0" borderId="31" applyNumberFormat="0" applyAlignment="0" applyProtection="0"/>
    <xf numFmtId="0" fontId="22" fillId="16" borderId="0" applyNumberFormat="0" applyFont="0" applyBorder="0" applyAlignment="0" applyProtection="0"/>
    <xf numFmtId="0" fontId="2" fillId="17" borderId="32" applyNumberFormat="0" applyFont="0" applyBorder="0" applyAlignment="0" applyProtection="0">
      <alignment horizontal="center"/>
    </xf>
    <xf numFmtId="0" fontId="2" fillId="18" borderId="32" applyNumberFormat="0" applyFont="0" applyBorder="0" applyAlignment="0" applyProtection="0">
      <alignment horizontal="center"/>
    </xf>
    <xf numFmtId="0" fontId="22" fillId="0" borderId="33" applyNumberFormat="0" applyAlignment="0" applyProtection="0"/>
    <xf numFmtId="0" fontId="22" fillId="0" borderId="34" applyNumberFormat="0" applyAlignment="0" applyProtection="0"/>
    <xf numFmtId="0" fontId="23" fillId="0" borderId="35" applyNumberFormat="0" applyAlignment="0" applyProtection="0"/>
    <xf numFmtId="14" fontId="27" fillId="0" borderId="0">
      <alignment horizontal="center" wrapText="1"/>
      <protection locked="0"/>
    </xf>
    <xf numFmtId="9" fontId="1" fillId="0" borderId="0" applyFont="0" applyFill="0" applyBorder="0" applyAlignment="0" applyProtection="0"/>
    <xf numFmtId="9" fontId="55" fillId="0" borderId="0" applyFont="0" applyFill="0" applyBorder="0" applyAlignment="0" applyProtection="0"/>
    <xf numFmtId="233" fontId="86" fillId="0" borderId="0" applyFont="0" applyFill="0" applyBorder="0" applyAlignment="0" applyProtection="0"/>
    <xf numFmtId="170" fontId="55" fillId="0" borderId="0" applyFont="0" applyFill="0" applyBorder="0" applyAlignment="0" applyProtection="0"/>
    <xf numFmtId="234" fontId="55" fillId="0" borderId="0" applyFont="0" applyFill="0" applyBorder="0" applyAlignment="0" applyProtection="0"/>
    <xf numFmtId="235" fontId="55" fillId="0" borderId="0" applyFont="0" applyFill="0" applyBorder="0" applyAlignment="0" applyProtection="0"/>
    <xf numFmtId="10" fontId="6" fillId="0" borderId="0" applyFont="0" applyFill="0" applyBorder="0" applyAlignment="0" applyProtection="0"/>
    <xf numFmtId="0" fontId="6" fillId="0" borderId="0" applyFont="0" applyFill="0" applyBorder="0" applyProtection="0">
      <alignment horizontal="right"/>
    </xf>
    <xf numFmtId="173" fontId="75" fillId="0" borderId="0">
      <alignment horizontal="right"/>
    </xf>
    <xf numFmtId="173" fontId="23" fillId="0" borderId="0">
      <alignment horizontal="left" vertical="center"/>
    </xf>
    <xf numFmtId="172" fontId="2" fillId="0" borderId="0"/>
    <xf numFmtId="173" fontId="75" fillId="0" borderId="0">
      <alignment horizontal="right"/>
    </xf>
    <xf numFmtId="173" fontId="75" fillId="0" borderId="0">
      <alignment horizontal="center"/>
    </xf>
    <xf numFmtId="171" fontId="75" fillId="0" borderId="0">
      <alignment horizontal="right"/>
    </xf>
    <xf numFmtId="173" fontId="75" fillId="0" borderId="3">
      <alignment horizontal="right"/>
    </xf>
    <xf numFmtId="173" fontId="75" fillId="0" borderId="3">
      <alignment horizontal="center"/>
    </xf>
    <xf numFmtId="171" fontId="75" fillId="0" borderId="3">
      <alignment horizontal="right"/>
    </xf>
    <xf numFmtId="43" fontId="75" fillId="0" borderId="3">
      <alignment horizontal="center"/>
    </xf>
    <xf numFmtId="236" fontId="75" fillId="0" borderId="12"/>
    <xf numFmtId="237" fontId="75" fillId="0" borderId="12">
      <alignment horizontal="center"/>
    </xf>
    <xf numFmtId="173" fontId="23" fillId="0" borderId="0">
      <alignment horizontal="right" vertical="center"/>
    </xf>
    <xf numFmtId="237" fontId="75" fillId="0" borderId="18">
      <alignment horizontal="center" wrapText="1"/>
    </xf>
    <xf numFmtId="237" fontId="75" fillId="0" borderId="0">
      <alignment horizontal="center"/>
    </xf>
    <xf numFmtId="237" fontId="75" fillId="0" borderId="14">
      <alignment horizontal="center" wrapText="1"/>
    </xf>
    <xf numFmtId="236" fontId="75" fillId="0" borderId="14">
      <alignment wrapText="1"/>
    </xf>
    <xf numFmtId="236" fontId="75" fillId="0" borderId="3"/>
    <xf numFmtId="236" fontId="75" fillId="0" borderId="16">
      <alignment wrapText="1"/>
    </xf>
    <xf numFmtId="238" fontId="23" fillId="0" borderId="0">
      <alignment horizontal="left"/>
    </xf>
    <xf numFmtId="239" fontId="23" fillId="0" borderId="0">
      <alignment horizontal="left"/>
    </xf>
    <xf numFmtId="240" fontId="23" fillId="0" borderId="0">
      <alignment horizontal="left"/>
    </xf>
    <xf numFmtId="173" fontId="22" fillId="0" borderId="0">
      <alignment vertical="top"/>
    </xf>
    <xf numFmtId="241" fontId="23" fillId="0" borderId="0">
      <alignment horizontal="center"/>
    </xf>
    <xf numFmtId="236" fontId="78" fillId="0" borderId="0"/>
    <xf numFmtId="173" fontId="55" fillId="0" borderId="0">
      <alignment horizontal="right"/>
    </xf>
    <xf numFmtId="173" fontId="55" fillId="0" borderId="0">
      <alignment horizontal="center"/>
    </xf>
    <xf numFmtId="237" fontId="22" fillId="0" borderId="0">
      <alignment horizontal="center" vertical="top"/>
    </xf>
    <xf numFmtId="173" fontId="20" fillId="0" borderId="3">
      <alignment horizontal="centerContinuous"/>
    </xf>
    <xf numFmtId="173" fontId="2" fillId="0" borderId="3">
      <alignment horizontal="center"/>
    </xf>
    <xf numFmtId="173" fontId="2" fillId="0" borderId="0"/>
    <xf numFmtId="173" fontId="2" fillId="0" borderId="3"/>
    <xf numFmtId="43" fontId="2" fillId="0" borderId="3"/>
    <xf numFmtId="43" fontId="20" fillId="0" borderId="0">
      <alignment horizontal="right"/>
    </xf>
    <xf numFmtId="171" fontId="23" fillId="0" borderId="0">
      <alignment horizontal="right" vertical="center"/>
    </xf>
    <xf numFmtId="166" fontId="79" fillId="0" borderId="0">
      <alignment horizontal="center" wrapText="1"/>
    </xf>
    <xf numFmtId="2" fontId="79" fillId="0" borderId="0">
      <alignment horizontal="center"/>
    </xf>
    <xf numFmtId="43" fontId="55" fillId="0" borderId="0"/>
    <xf numFmtId="0" fontId="2" fillId="0" borderId="0">
      <alignment horizontal="center"/>
    </xf>
    <xf numFmtId="43" fontId="22" fillId="0" borderId="0">
      <alignment horizontal="center" vertical="top"/>
    </xf>
    <xf numFmtId="236" fontId="22" fillId="0" borderId="0">
      <alignment horizontal="center" vertical="top"/>
    </xf>
    <xf numFmtId="237" fontId="22" fillId="0" borderId="0">
      <alignment horizontal="center" vertical="top" wrapText="1"/>
    </xf>
    <xf numFmtId="43" fontId="22" fillId="0" borderId="0">
      <alignment horizontal="left" vertical="top"/>
    </xf>
    <xf numFmtId="173" fontId="22" fillId="0" borderId="0">
      <alignment horizontal="right" vertical="top"/>
    </xf>
    <xf numFmtId="43" fontId="22" fillId="0" borderId="0">
      <alignment horizontal="center" vertical="top"/>
    </xf>
    <xf numFmtId="43" fontId="23" fillId="0" borderId="0">
      <alignment horizontal="center"/>
    </xf>
    <xf numFmtId="236" fontId="22" fillId="0" borderId="0">
      <alignment horizontal="center" vertical="top"/>
    </xf>
    <xf numFmtId="237" fontId="22" fillId="0" borderId="0">
      <alignment horizontal="center" vertical="top" wrapText="1"/>
    </xf>
    <xf numFmtId="173" fontId="22" fillId="0" borderId="0">
      <alignment horizontal="left" vertical="top"/>
    </xf>
    <xf numFmtId="43" fontId="22" fillId="0" borderId="0">
      <alignment horizontal="left" vertical="top"/>
    </xf>
    <xf numFmtId="173" fontId="2" fillId="0" borderId="0">
      <alignment horizontal="left"/>
    </xf>
    <xf numFmtId="173" fontId="20" fillId="0" borderId="0">
      <alignment horizontal="centerContinuous"/>
    </xf>
    <xf numFmtId="173" fontId="20" fillId="0" borderId="0">
      <alignment horizontal="left"/>
    </xf>
    <xf numFmtId="173" fontId="20" fillId="0" borderId="3">
      <alignment horizontal="left"/>
    </xf>
    <xf numFmtId="43" fontId="55" fillId="0" borderId="0"/>
    <xf numFmtId="43" fontId="55" fillId="0" borderId="3">
      <alignment horizontal="center"/>
    </xf>
    <xf numFmtId="236" fontId="23" fillId="0" borderId="0">
      <alignment horizontal="center"/>
    </xf>
    <xf numFmtId="43" fontId="55" fillId="0" borderId="3"/>
    <xf numFmtId="43" fontId="20" fillId="0" borderId="0"/>
    <xf numFmtId="173" fontId="2" fillId="14" borderId="0">
      <alignment horizontal="center"/>
    </xf>
    <xf numFmtId="173" fontId="2" fillId="14" borderId="0">
      <alignment horizontal="center"/>
    </xf>
    <xf numFmtId="173" fontId="20" fillId="14" borderId="0">
      <alignment horizontal="centerContinuous"/>
    </xf>
    <xf numFmtId="173" fontId="20" fillId="14" borderId="3">
      <alignment horizontal="center" wrapText="1"/>
    </xf>
    <xf numFmtId="173" fontId="2" fillId="19" borderId="0">
      <alignment horizontal="center"/>
    </xf>
    <xf numFmtId="173" fontId="2" fillId="19" borderId="0">
      <alignment horizontal="center"/>
    </xf>
    <xf numFmtId="173" fontId="20" fillId="19" borderId="0">
      <alignment horizontal="centerContinuous"/>
    </xf>
    <xf numFmtId="173" fontId="20" fillId="19" borderId="3">
      <alignment horizontal="centerContinuous"/>
    </xf>
    <xf numFmtId="236" fontId="23" fillId="0" borderId="0">
      <alignment horizontal="center" wrapText="1"/>
    </xf>
    <xf numFmtId="173" fontId="22" fillId="0" borderId="0"/>
    <xf numFmtId="43" fontId="22" fillId="0" borderId="0"/>
    <xf numFmtId="43" fontId="22" fillId="0" borderId="0">
      <alignment horizontal="center"/>
    </xf>
    <xf numFmtId="173" fontId="22" fillId="0" borderId="0"/>
    <xf numFmtId="172" fontId="22" fillId="0" borderId="0"/>
    <xf numFmtId="43" fontId="22" fillId="0" borderId="27"/>
    <xf numFmtId="173" fontId="22" fillId="0" borderId="3"/>
    <xf numFmtId="43" fontId="22" fillId="0" borderId="28"/>
    <xf numFmtId="172" fontId="22" fillId="0" borderId="10"/>
    <xf numFmtId="10" fontId="22" fillId="0" borderId="0"/>
    <xf numFmtId="238" fontId="23" fillId="0" borderId="0">
      <alignment horizontal="center"/>
    </xf>
    <xf numFmtId="43" fontId="22" fillId="0" borderId="0"/>
    <xf numFmtId="242" fontId="23" fillId="0" borderId="0">
      <alignment horizontal="center" vertical="top"/>
    </xf>
    <xf numFmtId="14" fontId="20" fillId="0" borderId="0">
      <alignment horizontal="center"/>
    </xf>
    <xf numFmtId="4" fontId="55" fillId="0" borderId="0">
      <alignment horizontal="right" vertical="top"/>
    </xf>
    <xf numFmtId="173" fontId="55" fillId="0" borderId="0">
      <alignment horizontal="center" vertical="top"/>
    </xf>
    <xf numFmtId="173" fontId="22" fillId="0" borderId="3">
      <alignment horizontal="right" vertical="top"/>
    </xf>
    <xf numFmtId="171" fontId="22" fillId="0" borderId="3">
      <alignment horizontal="center" vertical="top"/>
    </xf>
    <xf numFmtId="43" fontId="22" fillId="0" borderId="3">
      <alignment horizontal="center" vertical="top"/>
    </xf>
    <xf numFmtId="236" fontId="22" fillId="0" borderId="3">
      <alignment horizontal="center" vertical="top"/>
    </xf>
    <xf numFmtId="237" fontId="22" fillId="0" borderId="3">
      <alignment horizontal="center" vertical="top" wrapText="1"/>
    </xf>
    <xf numFmtId="238" fontId="23" fillId="0" borderId="0">
      <alignment horizontal="center" wrapText="1"/>
    </xf>
    <xf numFmtId="173" fontId="22" fillId="0" borderId="3">
      <alignment horizontal="center" vertical="top"/>
    </xf>
    <xf numFmtId="173" fontId="22" fillId="0" borderId="3">
      <alignment horizontal="left" vertical="top"/>
    </xf>
    <xf numFmtId="173" fontId="22" fillId="0" borderId="3">
      <alignment vertical="top"/>
    </xf>
    <xf numFmtId="43" fontId="22" fillId="0" borderId="3">
      <alignment horizontal="left" vertical="top"/>
    </xf>
    <xf numFmtId="237" fontId="22" fillId="0" borderId="3">
      <alignment horizontal="center" vertical="top"/>
    </xf>
    <xf numFmtId="43" fontId="2" fillId="0" borderId="0">
      <alignment horizontal="center"/>
    </xf>
    <xf numFmtId="173" fontId="23" fillId="0" borderId="24">
      <alignment horizontal="right" vertical="center"/>
    </xf>
    <xf numFmtId="240" fontId="23" fillId="0" borderId="24">
      <alignment horizontal="left"/>
    </xf>
    <xf numFmtId="243" fontId="23" fillId="0" borderId="24">
      <alignment horizontal="left"/>
    </xf>
    <xf numFmtId="171" fontId="23" fillId="0" borderId="24">
      <alignment horizontal="right" vertical="center"/>
    </xf>
    <xf numFmtId="173" fontId="23" fillId="0" borderId="0">
      <alignment horizontal="left"/>
    </xf>
    <xf numFmtId="173" fontId="23" fillId="0" borderId="10">
      <alignment horizontal="right" vertical="center"/>
    </xf>
    <xf numFmtId="240" fontId="23" fillId="0" borderId="10">
      <alignment horizontal="left"/>
    </xf>
    <xf numFmtId="243" fontId="23" fillId="0" borderId="10">
      <alignment horizontal="left"/>
    </xf>
    <xf numFmtId="171" fontId="23" fillId="0" borderId="10">
      <alignment horizontal="right"/>
    </xf>
    <xf numFmtId="244" fontId="23" fillId="0" borderId="28">
      <alignment horizontal="left"/>
    </xf>
    <xf numFmtId="173" fontId="23" fillId="0" borderId="10">
      <alignment horizontal="left" vertical="center"/>
    </xf>
    <xf numFmtId="172" fontId="2" fillId="0" borderId="0">
      <alignment horizontal="center"/>
    </xf>
    <xf numFmtId="43" fontId="2" fillId="14" borderId="0">
      <alignment horizontal="center"/>
    </xf>
    <xf numFmtId="43" fontId="2" fillId="19" borderId="0">
      <alignment horizontal="center"/>
    </xf>
    <xf numFmtId="243" fontId="23" fillId="0" borderId="0">
      <alignment horizontal="left"/>
    </xf>
    <xf numFmtId="170" fontId="20" fillId="0" borderId="0" applyFill="0" applyBorder="0" applyAlignment="0" applyProtection="0"/>
    <xf numFmtId="173" fontId="75" fillId="0" borderId="0">
      <alignment horizontal="center"/>
    </xf>
    <xf numFmtId="173" fontId="23" fillId="0" borderId="0">
      <alignment horizontal="right"/>
    </xf>
    <xf numFmtId="244" fontId="23" fillId="0" borderId="27">
      <alignment horizontal="left"/>
    </xf>
    <xf numFmtId="43" fontId="22" fillId="0" borderId="26">
      <alignment horizontal="center"/>
    </xf>
    <xf numFmtId="173" fontId="23" fillId="0" borderId="3">
      <alignment horizontal="right" vertical="center"/>
    </xf>
    <xf numFmtId="245" fontId="23" fillId="0" borderId="27">
      <alignment horizontal="left"/>
    </xf>
    <xf numFmtId="173" fontId="22" fillId="13" borderId="0"/>
    <xf numFmtId="173" fontId="22" fillId="13" borderId="0">
      <alignment horizontal="center" vertical="top"/>
    </xf>
    <xf numFmtId="173" fontId="22" fillId="0" borderId="10"/>
    <xf numFmtId="173" fontId="22" fillId="13" borderId="0">
      <alignment horizontal="center" vertical="top"/>
    </xf>
    <xf numFmtId="173" fontId="22" fillId="13" borderId="0">
      <alignment horizontal="right" vertical="top"/>
    </xf>
    <xf numFmtId="171" fontId="22" fillId="13" borderId="0">
      <alignment horizontal="center" vertical="top"/>
    </xf>
    <xf numFmtId="171" fontId="23" fillId="0" borderId="0">
      <alignment horizontal="right"/>
    </xf>
    <xf numFmtId="43" fontId="22" fillId="13" borderId="0">
      <alignment horizontal="center" vertical="top"/>
    </xf>
    <xf numFmtId="236" fontId="22" fillId="13" borderId="0">
      <alignment horizontal="center" vertical="top"/>
    </xf>
    <xf numFmtId="237" fontId="22" fillId="13" borderId="0">
      <alignment horizontal="center" vertical="top"/>
    </xf>
    <xf numFmtId="237" fontId="22" fillId="13" borderId="0">
      <alignment horizontal="center" vertical="top" wrapText="1"/>
    </xf>
    <xf numFmtId="173" fontId="22" fillId="13" borderId="0">
      <alignment horizontal="left" vertical="top"/>
    </xf>
    <xf numFmtId="43" fontId="22" fillId="13" borderId="0">
      <alignment horizontal="left" vertical="top"/>
    </xf>
    <xf numFmtId="43" fontId="22" fillId="13" borderId="0"/>
    <xf numFmtId="173" fontId="22" fillId="14" borderId="0">
      <alignment horizontal="center" vertical="top"/>
    </xf>
    <xf numFmtId="173" fontId="22" fillId="14" borderId="0">
      <alignment horizontal="right" vertical="top"/>
    </xf>
    <xf numFmtId="171" fontId="22" fillId="14" borderId="0">
      <alignment horizontal="center" vertical="top"/>
    </xf>
    <xf numFmtId="173" fontId="22" fillId="0" borderId="0">
      <alignment horizontal="right"/>
    </xf>
    <xf numFmtId="43" fontId="22" fillId="14" borderId="0">
      <alignment horizontal="center" vertical="top"/>
    </xf>
    <xf numFmtId="236" fontId="22" fillId="14" borderId="0">
      <alignment horizontal="center" vertical="top"/>
    </xf>
    <xf numFmtId="237" fontId="22" fillId="14" borderId="0">
      <alignment horizontal="center" vertical="top"/>
    </xf>
    <xf numFmtId="237" fontId="22" fillId="14" borderId="0">
      <alignment horizontal="center" vertical="top" wrapText="1"/>
    </xf>
    <xf numFmtId="173" fontId="22" fillId="14" borderId="0">
      <alignment horizontal="center" vertical="top"/>
    </xf>
    <xf numFmtId="173" fontId="22" fillId="14" borderId="0">
      <alignment horizontal="left" vertical="top"/>
    </xf>
    <xf numFmtId="173" fontId="22" fillId="14" borderId="0"/>
    <xf numFmtId="43" fontId="22" fillId="14" borderId="0">
      <alignment horizontal="left" vertical="top"/>
    </xf>
    <xf numFmtId="236" fontId="22" fillId="14" borderId="0">
      <alignment horizontal="center" vertical="top"/>
    </xf>
    <xf numFmtId="237" fontId="75" fillId="14" borderId="0">
      <alignment horizontal="center" wrapText="1"/>
    </xf>
    <xf numFmtId="173" fontId="22" fillId="0" borderId="0"/>
    <xf numFmtId="173" fontId="22" fillId="14" borderId="0">
      <alignment horizontal="left" vertical="top"/>
    </xf>
    <xf numFmtId="173" fontId="22" fillId="14" borderId="0">
      <alignment horizontal="right"/>
    </xf>
    <xf numFmtId="173" fontId="22" fillId="14" borderId="0">
      <alignment horizontal="right"/>
    </xf>
    <xf numFmtId="4" fontId="55" fillId="14" borderId="0">
      <alignment horizontal="right" vertical="top"/>
    </xf>
    <xf numFmtId="43" fontId="22" fillId="14" borderId="0">
      <alignment horizontal="center" vertical="top"/>
    </xf>
    <xf numFmtId="237" fontId="22" fillId="14" borderId="0">
      <alignment horizontal="center" vertical="top" wrapText="1"/>
    </xf>
    <xf numFmtId="43" fontId="22" fillId="14" borderId="0">
      <alignment horizontal="left" vertical="top"/>
    </xf>
    <xf numFmtId="173" fontId="23" fillId="6" borderId="9">
      <alignment horizontal="right" wrapText="1"/>
    </xf>
    <xf numFmtId="173" fontId="23" fillId="6" borderId="9">
      <alignment horizontal="center" wrapText="1"/>
    </xf>
    <xf numFmtId="171" fontId="23" fillId="6" borderId="9">
      <alignment horizontal="right" wrapText="1"/>
    </xf>
    <xf numFmtId="43" fontId="23" fillId="6" borderId="9">
      <alignment horizontal="center" wrapText="1"/>
    </xf>
    <xf numFmtId="236" fontId="23" fillId="6" borderId="9">
      <alignment horizontal="center" wrapText="1"/>
    </xf>
    <xf numFmtId="236" fontId="23" fillId="6" borderId="9">
      <alignment horizontal="center" wrapText="1"/>
    </xf>
    <xf numFmtId="208" fontId="24" fillId="0" borderId="0">
      <alignment horizontal="left" vertical="center" wrapText="1"/>
    </xf>
    <xf numFmtId="173" fontId="22" fillId="0" borderId="0">
      <alignment horizontal="right"/>
    </xf>
    <xf numFmtId="173" fontId="22" fillId="0" borderId="0"/>
    <xf numFmtId="171" fontId="22" fillId="0" borderId="0">
      <alignment horizontal="right"/>
    </xf>
    <xf numFmtId="43" fontId="22" fillId="0" borderId="0">
      <alignment horizontal="center"/>
    </xf>
    <xf numFmtId="236" fontId="22" fillId="0" borderId="0"/>
    <xf numFmtId="236" fontId="22" fillId="0" borderId="0">
      <alignment wrapText="1"/>
    </xf>
    <xf numFmtId="171" fontId="22" fillId="0" borderId="0">
      <alignment horizontal="center" vertical="top"/>
    </xf>
    <xf numFmtId="173" fontId="22" fillId="0" borderId="0">
      <alignment horizontal="center" vertical="top"/>
    </xf>
    <xf numFmtId="173" fontId="22" fillId="0" borderId="0">
      <alignment horizontal="center" vertical="top"/>
    </xf>
    <xf numFmtId="173" fontId="22" fillId="0" borderId="0">
      <alignment horizontal="left" vertical="top"/>
    </xf>
    <xf numFmtId="173" fontId="22" fillId="0" borderId="0">
      <alignment horizontal="right" vertical="center" wrapText="1"/>
    </xf>
    <xf numFmtId="173" fontId="22" fillId="0" borderId="0">
      <alignment horizontal="right" vertical="top"/>
    </xf>
    <xf numFmtId="171" fontId="22" fillId="0" borderId="0">
      <alignment horizontal="center" vertical="top"/>
    </xf>
    <xf numFmtId="171" fontId="75" fillId="0" borderId="0">
      <alignment horizontal="right"/>
    </xf>
    <xf numFmtId="43" fontId="75" fillId="0" borderId="0">
      <alignment horizontal="center"/>
    </xf>
    <xf numFmtId="236" fontId="75" fillId="0" borderId="0"/>
    <xf numFmtId="237" fontId="75" fillId="0" borderId="0">
      <alignment horizontal="center"/>
    </xf>
    <xf numFmtId="237" fontId="75" fillId="0" borderId="0">
      <alignment horizontal="center" wrapText="1"/>
    </xf>
    <xf numFmtId="236" fontId="75" fillId="0" borderId="0">
      <alignment wrapText="1"/>
    </xf>
    <xf numFmtId="43" fontId="55" fillId="0" borderId="0">
      <alignment horizontal="center"/>
    </xf>
    <xf numFmtId="43" fontId="55" fillId="0" borderId="0"/>
    <xf numFmtId="173" fontId="22" fillId="0" borderId="0">
      <alignment horizontal="center" vertical="center" wrapText="1"/>
    </xf>
    <xf numFmtId="43" fontId="55" fillId="0" borderId="17">
      <alignment horizontal="center" vertical="center"/>
    </xf>
    <xf numFmtId="43" fontId="55" fillId="0" borderId="12">
      <alignment horizontal="center" vertical="center"/>
    </xf>
    <xf numFmtId="43" fontId="79" fillId="0" borderId="12">
      <alignment horizontal="center" vertical="center"/>
    </xf>
    <xf numFmtId="43" fontId="79" fillId="0" borderId="13">
      <alignment horizontal="center"/>
    </xf>
    <xf numFmtId="43" fontId="79" fillId="0" borderId="0">
      <alignment horizontal="center"/>
    </xf>
    <xf numFmtId="2" fontId="79" fillId="0" borderId="0">
      <alignment horizontal="center"/>
    </xf>
    <xf numFmtId="43" fontId="79" fillId="0" borderId="14">
      <alignment horizontal="center"/>
    </xf>
    <xf numFmtId="43" fontId="79" fillId="0" borderId="0">
      <alignment horizontal="center"/>
    </xf>
    <xf numFmtId="173" fontId="79" fillId="0" borderId="0">
      <alignment horizontal="center" wrapText="1"/>
    </xf>
    <xf numFmtId="173" fontId="79" fillId="0" borderId="3">
      <alignment horizontal="center" wrapText="1"/>
    </xf>
    <xf numFmtId="171" fontId="22" fillId="0" borderId="0">
      <alignment horizontal="right" vertical="center" wrapText="1"/>
    </xf>
    <xf numFmtId="166" fontId="79" fillId="0" borderId="3">
      <alignment horizontal="center" wrapText="1"/>
    </xf>
    <xf numFmtId="43" fontId="87" fillId="0" borderId="0">
      <alignment horizontal="left"/>
    </xf>
    <xf numFmtId="43" fontId="79" fillId="0" borderId="0">
      <alignment horizontal="center" wrapText="1"/>
    </xf>
    <xf numFmtId="43" fontId="79" fillId="0" borderId="0">
      <alignment wrapText="1"/>
    </xf>
    <xf numFmtId="43" fontId="79" fillId="6" borderId="9">
      <alignment horizontal="right" wrapText="1"/>
    </xf>
    <xf numFmtId="43" fontId="79" fillId="6" borderId="9">
      <alignment horizontal="center" wrapText="1"/>
    </xf>
    <xf numFmtId="173" fontId="2" fillId="0" borderId="0"/>
    <xf numFmtId="173" fontId="2" fillId="0" borderId="0">
      <alignment horizontal="center"/>
    </xf>
    <xf numFmtId="173" fontId="2" fillId="0" borderId="0">
      <alignment horizontal="left"/>
    </xf>
    <xf numFmtId="173" fontId="2" fillId="0" borderId="0">
      <alignment horizontal="center"/>
    </xf>
    <xf numFmtId="43" fontId="23" fillId="0" borderId="0">
      <alignment horizontal="center" vertical="center" wrapText="1"/>
    </xf>
    <xf numFmtId="173" fontId="20" fillId="0" borderId="0">
      <alignment horizontal="center"/>
    </xf>
    <xf numFmtId="173" fontId="2" fillId="0" borderId="0"/>
    <xf numFmtId="173" fontId="80" fillId="0" borderId="0">
      <alignment horizontal="left" vertical="center"/>
    </xf>
    <xf numFmtId="173" fontId="23" fillId="0" borderId="27"/>
    <xf numFmtId="173" fontId="23" fillId="0" borderId="0"/>
    <xf numFmtId="43" fontId="23" fillId="0" borderId="0"/>
    <xf numFmtId="43" fontId="23" fillId="0" borderId="0">
      <alignment horizontal="center"/>
    </xf>
    <xf numFmtId="173" fontId="23" fillId="0" borderId="0">
      <alignment horizontal="center"/>
    </xf>
    <xf numFmtId="173" fontId="23" fillId="6" borderId="24">
      <alignment horizontal="center"/>
    </xf>
    <xf numFmtId="49" fontId="22" fillId="0" borderId="0">
      <alignment horizontal="left"/>
    </xf>
    <xf numFmtId="236" fontId="23" fillId="0" borderId="0">
      <alignment horizontal="center" vertical="center" wrapText="1"/>
    </xf>
    <xf numFmtId="49" fontId="22" fillId="0" borderId="13">
      <alignment horizontal="left"/>
    </xf>
    <xf numFmtId="49" fontId="22" fillId="0" borderId="15">
      <alignment horizontal="left"/>
    </xf>
    <xf numFmtId="173" fontId="77" fillId="0" borderId="14"/>
    <xf numFmtId="49" fontId="22" fillId="0" borderId="14">
      <alignment horizontal="left"/>
    </xf>
    <xf numFmtId="173" fontId="2" fillId="0" borderId="0">
      <alignment horizontal="center"/>
    </xf>
    <xf numFmtId="173" fontId="2" fillId="0" borderId="0"/>
    <xf numFmtId="173" fontId="2" fillId="0" borderId="0"/>
    <xf numFmtId="173" fontId="20" fillId="0" borderId="0">
      <alignment horizontal="right"/>
    </xf>
    <xf numFmtId="173" fontId="20" fillId="0" borderId="0">
      <alignment horizontal="center"/>
    </xf>
    <xf numFmtId="173" fontId="20" fillId="0" borderId="3"/>
    <xf numFmtId="173" fontId="23" fillId="0" borderId="0">
      <alignment horizontal="left" vertical="center" wrapText="1"/>
    </xf>
    <xf numFmtId="173" fontId="20" fillId="0" borderId="3">
      <alignment horizontal="center"/>
    </xf>
    <xf numFmtId="173" fontId="20" fillId="0" borderId="3">
      <alignment horizontal="center" wrapText="1"/>
    </xf>
    <xf numFmtId="173" fontId="20" fillId="0" borderId="0"/>
    <xf numFmtId="173" fontId="20" fillId="0" borderId="3">
      <alignment horizontal="center" wrapText="1"/>
    </xf>
    <xf numFmtId="173" fontId="20" fillId="0" borderId="0">
      <alignment horizontal="center"/>
    </xf>
    <xf numFmtId="173" fontId="20" fillId="0" borderId="3">
      <alignment horizontal="center"/>
    </xf>
    <xf numFmtId="173" fontId="20" fillId="0" borderId="0"/>
    <xf numFmtId="173" fontId="20" fillId="0" borderId="3">
      <alignment horizontal="left" wrapText="1"/>
    </xf>
    <xf numFmtId="237" fontId="2" fillId="0" borderId="0">
      <alignment horizontal="center"/>
    </xf>
    <xf numFmtId="237" fontId="2" fillId="0" borderId="0">
      <alignment horizontal="left"/>
    </xf>
    <xf numFmtId="0" fontId="88" fillId="0" borderId="0"/>
    <xf numFmtId="10" fontId="6" fillId="0" borderId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0" fontId="26" fillId="0" borderId="0" applyFill="0" applyBorder="0" applyAlignment="0"/>
    <xf numFmtId="228" fontId="6" fillId="0" borderId="0"/>
    <xf numFmtId="0" fontId="89" fillId="6" borderId="0"/>
    <xf numFmtId="0" fontId="54" fillId="0" borderId="0" applyNumberFormat="0" applyFont="0" applyFill="0" applyBorder="0" applyAlignment="0" applyProtection="0">
      <alignment horizontal="left"/>
    </xf>
    <xf numFmtId="15" fontId="54" fillId="0" borderId="0" applyFont="0" applyFill="0" applyBorder="0" applyAlignment="0" applyProtection="0"/>
    <xf numFmtId="4" fontId="54" fillId="0" borderId="0" applyFont="0" applyFill="0" applyBorder="0" applyAlignment="0" applyProtection="0"/>
    <xf numFmtId="0" fontId="90" fillId="0" borderId="10">
      <alignment horizontal="center"/>
    </xf>
    <xf numFmtId="3" fontId="54" fillId="0" borderId="0" applyFont="0" applyFill="0" applyBorder="0" applyAlignment="0" applyProtection="0"/>
    <xf numFmtId="0" fontId="54" fillId="20" borderId="0" applyNumberFormat="0" applyFont="0" applyBorder="0" applyAlignment="0" applyProtection="0"/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0" fontId="22" fillId="0" borderId="0">
      <alignment vertical="top"/>
    </xf>
    <xf numFmtId="246" fontId="91" fillId="0" borderId="0"/>
    <xf numFmtId="0" fontId="6" fillId="0" borderId="0" applyFont="0" applyFill="0" applyBorder="0" applyProtection="0">
      <alignment horizontal="right"/>
    </xf>
    <xf numFmtId="0" fontId="6" fillId="0" borderId="0" applyFont="0" applyFill="0" applyBorder="0" applyProtection="0">
      <alignment horizontal="right"/>
    </xf>
    <xf numFmtId="0" fontId="6" fillId="0" borderId="0" applyFont="0" applyFill="0" applyBorder="0" applyProtection="0">
      <alignment horizontal="right"/>
    </xf>
    <xf numFmtId="0" fontId="92" fillId="21" borderId="0" applyNumberFormat="0" applyFont="0" applyBorder="0" applyAlignment="0">
      <alignment horizontal="center"/>
    </xf>
    <xf numFmtId="14" fontId="41" fillId="0" borderId="0" applyNumberFormat="0" applyFill="0" applyBorder="0" applyAlignment="0" applyProtection="0">
      <alignment horizontal="left"/>
    </xf>
    <xf numFmtId="49" fontId="2" fillId="0" borderId="0" applyFont="0" applyFill="0" applyBorder="0" applyProtection="0">
      <alignment horizontal="right"/>
    </xf>
    <xf numFmtId="49" fontId="20" fillId="0" borderId="0" applyFill="0" applyBorder="0" applyProtection="0">
      <alignment horizontal="right"/>
    </xf>
    <xf numFmtId="49" fontId="20" fillId="0" borderId="3" applyFill="0" applyProtection="0">
      <alignment horizontal="right"/>
    </xf>
    <xf numFmtId="49" fontId="20" fillId="0" borderId="12" applyFill="0" applyProtection="0">
      <alignment horizontal="right"/>
    </xf>
    <xf numFmtId="0" fontId="64" fillId="0" borderId="0" applyFill="0" applyBorder="0" applyProtection="0">
      <alignment horizontal="left"/>
    </xf>
    <xf numFmtId="0" fontId="13" fillId="22" borderId="0"/>
    <xf numFmtId="0" fontId="92" fillId="1" borderId="8" applyNumberFormat="0" applyFont="0" applyAlignment="0">
      <alignment horizontal="center"/>
    </xf>
    <xf numFmtId="247" fontId="93" fillId="0" borderId="0" applyFont="0" applyFill="0" applyBorder="0" applyAlignment="0" applyProtection="0"/>
    <xf numFmtId="1" fontId="6" fillId="0" borderId="0"/>
    <xf numFmtId="0" fontId="2" fillId="0" borderId="0" applyFont="0" applyFill="0" applyBorder="0" applyAlignment="0" applyProtection="0"/>
    <xf numFmtId="0" fontId="20" fillId="0" borderId="0" applyFill="0" applyBorder="0" applyAlignment="0" applyProtection="0"/>
    <xf numFmtId="42" fontId="21" fillId="0" borderId="0" applyFill="0" applyBorder="0" applyAlignment="0" applyProtection="0"/>
    <xf numFmtId="0" fontId="94" fillId="0" borderId="0" applyNumberFormat="0" applyFill="0" applyBorder="0" applyAlignment="0">
      <alignment horizontal="center"/>
    </xf>
    <xf numFmtId="12" fontId="6" fillId="0" borderId="0" applyFont="0" applyFill="0" applyBorder="0" applyProtection="0">
      <alignment horizontal="right"/>
    </xf>
    <xf numFmtId="0" fontId="6" fillId="23" borderId="0" applyFont="0" applyFill="0" applyBorder="0" applyProtection="0">
      <alignment horizontal="right"/>
    </xf>
    <xf numFmtId="0" fontId="4" fillId="0" borderId="0">
      <alignment vertical="top"/>
    </xf>
    <xf numFmtId="0" fontId="79" fillId="0" borderId="0" applyNumberFormat="0" applyFill="0" applyBorder="0" applyProtection="0">
      <alignment horizontal="left"/>
    </xf>
    <xf numFmtId="0" fontId="22" fillId="0" borderId="0" applyNumberFormat="0" applyFill="0" applyBorder="0" applyProtection="0">
      <alignment horizontal="left"/>
    </xf>
    <xf numFmtId="0" fontId="22" fillId="0" borderId="0" applyNumberFormat="0" applyFill="0" applyBorder="0" applyProtection="0">
      <alignment horizontal="left"/>
    </xf>
    <xf numFmtId="0" fontId="23" fillId="0" borderId="0" applyNumberFormat="0" applyFill="0" applyBorder="0" applyProtection="0">
      <alignment horizontal="left"/>
    </xf>
    <xf numFmtId="0" fontId="23" fillId="0" borderId="0" applyFill="0" applyBorder="0" applyProtection="0">
      <alignment horizontal="left" wrapText="1"/>
    </xf>
    <xf numFmtId="0" fontId="23" fillId="0" borderId="0" applyNumberFormat="0" applyFill="0" applyBorder="0" applyProtection="0">
      <alignment horizontal="right" wrapText="1"/>
    </xf>
    <xf numFmtId="1" fontId="22" fillId="0" borderId="0" applyFill="0" applyBorder="0" applyProtection="0">
      <alignment horizontal="left"/>
    </xf>
    <xf numFmtId="49" fontId="22" fillId="0" borderId="0" applyFill="0" applyBorder="0" applyProtection="0">
      <alignment horizontal="left"/>
    </xf>
    <xf numFmtId="1" fontId="22" fillId="0" borderId="0" applyFill="0" applyBorder="0" applyProtection="0">
      <alignment horizontal="center"/>
    </xf>
    <xf numFmtId="37" fontId="22" fillId="0" borderId="0" applyFill="0" applyBorder="0" applyProtection="0">
      <alignment horizontal="right"/>
    </xf>
    <xf numFmtId="7" fontId="22" fillId="0" borderId="0" applyFill="0" applyBorder="0" applyProtection="0">
      <alignment horizontal="right"/>
    </xf>
    <xf numFmtId="248" fontId="22" fillId="0" borderId="0" applyFill="0" applyBorder="0" applyProtection="0">
      <alignment horizontal="left"/>
    </xf>
    <xf numFmtId="37" fontId="23" fillId="0" borderId="0" applyFill="0" applyBorder="0" applyProtection="0">
      <alignment horizontal="right"/>
    </xf>
    <xf numFmtId="7" fontId="23" fillId="0" borderId="0" applyFill="0" applyBorder="0" applyProtection="0">
      <alignment horizontal="right"/>
    </xf>
    <xf numFmtId="249" fontId="22" fillId="0" borderId="0" applyFill="0" applyBorder="0" applyProtection="0">
      <alignment horizontal="right"/>
    </xf>
    <xf numFmtId="250" fontId="22" fillId="0" borderId="0" applyFill="0" applyBorder="0" applyProtection="0">
      <alignment horizontal="right"/>
    </xf>
    <xf numFmtId="251" fontId="22" fillId="0" borderId="0" applyFill="0" applyBorder="0" applyProtection="0">
      <alignment horizontal="right"/>
    </xf>
    <xf numFmtId="14" fontId="22" fillId="0" borderId="0" applyFill="0" applyBorder="0" applyProtection="0">
      <alignment horizontal="right"/>
    </xf>
    <xf numFmtId="14" fontId="22" fillId="0" borderId="0" applyFill="0" applyBorder="0" applyProtection="0">
      <alignment horizontal="right"/>
    </xf>
    <xf numFmtId="252" fontId="22" fillId="0" borderId="0" applyFill="0" applyBorder="0" applyProtection="0">
      <alignment horizontal="left"/>
    </xf>
    <xf numFmtId="253" fontId="22" fillId="0" borderId="0" applyFill="0" applyBorder="0" applyProtection="0">
      <alignment horizontal="left"/>
    </xf>
    <xf numFmtId="249" fontId="23" fillId="0" borderId="0" applyFill="0" applyBorder="0" applyProtection="0">
      <alignment horizontal="right"/>
    </xf>
    <xf numFmtId="1" fontId="23" fillId="0" borderId="0" applyFill="0" applyBorder="0" applyProtection="0">
      <alignment horizontal="left"/>
    </xf>
    <xf numFmtId="248" fontId="23" fillId="0" borderId="0" applyFill="0" applyBorder="0" applyProtection="0">
      <alignment horizontal="left"/>
    </xf>
    <xf numFmtId="37" fontId="23" fillId="0" borderId="0" applyFill="0" applyBorder="0" applyProtection="0">
      <alignment horizontal="right"/>
    </xf>
    <xf numFmtId="1" fontId="95" fillId="0" borderId="0" applyFill="0" applyBorder="0" applyProtection="0">
      <alignment horizontal="left"/>
    </xf>
    <xf numFmtId="49" fontId="22" fillId="0" borderId="0" applyFill="0" applyBorder="0" applyProtection="0">
      <alignment horizontal="left"/>
    </xf>
    <xf numFmtId="253" fontId="22" fillId="0" borderId="0" applyFill="0" applyBorder="0" applyProtection="0">
      <alignment horizontal="left"/>
    </xf>
    <xf numFmtId="0" fontId="4" fillId="0" borderId="0" applyNumberFormat="0" applyBorder="0" applyAlignment="0"/>
    <xf numFmtId="0" fontId="14" fillId="0" borderId="0"/>
    <xf numFmtId="40" fontId="96" fillId="0" borderId="0" applyBorder="0">
      <alignment horizontal="right"/>
    </xf>
    <xf numFmtId="6" fontId="70" fillId="0" borderId="36" applyFill="0">
      <alignment vertical="center"/>
    </xf>
    <xf numFmtId="0" fontId="15" fillId="0" borderId="0"/>
    <xf numFmtId="0" fontId="97" fillId="0" borderId="0"/>
    <xf numFmtId="0" fontId="2" fillId="0" borderId="0"/>
    <xf numFmtId="49" fontId="4" fillId="0" borderId="0" applyFill="0" applyBorder="0" applyAlignment="0"/>
    <xf numFmtId="0" fontId="26" fillId="0" borderId="0" applyFill="0" applyBorder="0" applyAlignment="0"/>
    <xf numFmtId="202" fontId="6" fillId="0" borderId="0" applyFill="0" applyBorder="0" applyAlignment="0"/>
    <xf numFmtId="0" fontId="16" fillId="0" borderId="0"/>
    <xf numFmtId="0" fontId="17" fillId="0" borderId="0"/>
    <xf numFmtId="0" fontId="18" fillId="0" borderId="0">
      <alignment vertical="top"/>
    </xf>
    <xf numFmtId="254" fontId="70" fillId="0" borderId="0" applyFill="0" applyBorder="0">
      <alignment vertical="center"/>
    </xf>
    <xf numFmtId="0" fontId="22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38" fontId="98" fillId="0" borderId="0" applyNumberFormat="0" applyFill="0" applyBorder="0">
      <alignment horizontal="left" vertical="center"/>
    </xf>
    <xf numFmtId="38" fontId="99" fillId="0" borderId="0" applyNumberFormat="0" applyFill="0" applyBorder="0">
      <alignment horizontal="centerContinuous" vertical="center"/>
    </xf>
    <xf numFmtId="0" fontId="19" fillId="0" borderId="0">
      <alignment vertical="top"/>
    </xf>
    <xf numFmtId="0" fontId="10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5" fillId="0" borderId="0" applyFill="0" applyBorder="0" applyAlignment="0" applyProtection="0"/>
    <xf numFmtId="0" fontId="16" fillId="0" borderId="0">
      <alignment wrapText="1"/>
    </xf>
    <xf numFmtId="0" fontId="101" fillId="0" borderId="0">
      <alignment horizontal="left"/>
      <protection locked="0"/>
    </xf>
    <xf numFmtId="5" fontId="86" fillId="0" borderId="0">
      <alignment vertical="center"/>
    </xf>
    <xf numFmtId="224" fontId="26" fillId="0" borderId="0"/>
    <xf numFmtId="255" fontId="27" fillId="0" borderId="0" applyFill="0" applyBorder="0" applyAlignment="0" applyProtection="0"/>
    <xf numFmtId="14" fontId="22" fillId="0" borderId="0" applyFont="0" applyFill="0" applyBorder="0" applyProtection="0"/>
    <xf numFmtId="256" fontId="102" fillId="0" borderId="0" applyFill="0" applyBorder="0">
      <alignment vertical="center"/>
    </xf>
    <xf numFmtId="0" fontId="70" fillId="24" borderId="37" applyNumberFormat="0" applyFont="0" applyBorder="0" applyAlignment="0" applyProtection="0">
      <alignment horizontal="right"/>
    </xf>
    <xf numFmtId="257" fontId="21" fillId="0" borderId="0" applyFont="0" applyFill="0" applyBorder="0" applyAlignment="0" applyProtection="0"/>
    <xf numFmtId="256" fontId="103" fillId="0" borderId="0">
      <alignment horizontal="center"/>
    </xf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0" fontId="1" fillId="0" borderId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 applyNumberFormat="0" applyFill="0" applyBorder="0" applyAlignment="0" applyProtection="0">
      <alignment horizontal="left" wrapText="1"/>
    </xf>
    <xf numFmtId="0" fontId="1" fillId="0" borderId="0" applyNumberFormat="0" applyFill="0" applyBorder="0" applyAlignment="0" applyProtection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vertical="top"/>
    </xf>
    <xf numFmtId="0" fontId="1" fillId="0" borderId="0" applyNumberFormat="0" applyFill="0" applyBorder="0" applyAlignment="0" applyProtection="0">
      <alignment horizontal="left" wrapText="1"/>
    </xf>
    <xf numFmtId="0" fontId="1" fillId="0" borderId="0">
      <alignment vertical="top"/>
    </xf>
    <xf numFmtId="178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39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2" borderId="0" applyNumberFormat="0" applyFont="0" applyAlignment="0" applyProtection="0"/>
    <xf numFmtId="0" fontId="1" fillId="0" borderId="0" applyFont="0" applyFill="0" applyBorder="0" applyAlignment="0" applyProtection="0"/>
    <xf numFmtId="183" fontId="1" fillId="0" borderId="0" applyFont="0" applyFill="0" applyBorder="0" applyAlignment="0" applyProtection="0"/>
    <xf numFmtId="184" fontId="1" fillId="0" borderId="0" applyFont="0" applyFill="0" applyBorder="0" applyAlignment="0" applyProtection="0"/>
    <xf numFmtId="185" fontId="1" fillId="0" borderId="0" applyFont="0" applyFill="0" applyBorder="0" applyProtection="0">
      <alignment horizontal="right"/>
    </xf>
    <xf numFmtId="186" fontId="1" fillId="0" borderId="0" applyFont="0" applyFill="0" applyBorder="0" applyAlignment="0" applyProtection="0"/>
    <xf numFmtId="0" fontId="1" fillId="0" borderId="0">
      <alignment horizontal="left" wrapText="1"/>
    </xf>
    <xf numFmtId="0" fontId="1" fillId="0" borderId="0">
      <alignment horizontal="left" wrapText="1"/>
    </xf>
    <xf numFmtId="187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 applyFont="0" applyFill="0" applyBorder="0" applyAlignment="0" applyProtection="0"/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0" fontId="1" fillId="0" borderId="0">
      <alignment horizontal="left" wrapText="1"/>
    </xf>
    <xf numFmtId="42" fontId="1" fillId="0" borderId="0" applyFont="0" applyFill="0" applyBorder="0" applyAlignment="0" applyProtection="0"/>
    <xf numFmtId="0" fontId="1" fillId="0" borderId="0" applyNumberFormat="0" applyFill="0" applyBorder="0" applyAlignment="0" applyProtection="0"/>
    <xf numFmtId="202" fontId="1" fillId="0" borderId="0" applyFill="0" applyBorder="0" applyAlignment="0"/>
    <xf numFmtId="8" fontId="1" fillId="0" borderId="5" applyFont="0" applyFill="0" applyBorder="0" applyProtection="0">
      <alignment horizontal="right"/>
    </xf>
    <xf numFmtId="203" fontId="1" fillId="0" borderId="0"/>
    <xf numFmtId="203" fontId="1" fillId="0" borderId="0"/>
    <xf numFmtId="203" fontId="1" fillId="0" borderId="0"/>
    <xf numFmtId="203" fontId="1" fillId="0" borderId="0"/>
    <xf numFmtId="203" fontId="1" fillId="0" borderId="0"/>
    <xf numFmtId="203" fontId="1" fillId="0" borderId="0"/>
    <xf numFmtId="203" fontId="1" fillId="0" borderId="0"/>
    <xf numFmtId="203" fontId="1" fillId="0" borderId="0"/>
    <xf numFmtId="40" fontId="1" fillId="0" borderId="0" applyFont="0" applyFill="0" applyBorder="0" applyProtection="0">
      <alignment horizontal="right"/>
    </xf>
    <xf numFmtId="3" fontId="1" fillId="0" borderId="0" applyFill="0" applyBorder="0" applyAlignment="0" applyProtection="0"/>
    <xf numFmtId="7" fontId="1" fillId="0" borderId="0" applyFont="0" applyFill="0" applyBorder="0" applyAlignment="0" applyProtection="0"/>
    <xf numFmtId="207" fontId="1" fillId="0" borderId="0" applyNumberFormat="0">
      <alignment horizontal="right"/>
    </xf>
    <xf numFmtId="15" fontId="1" fillId="0" borderId="0" applyFont="0" applyFill="0" applyBorder="0" applyProtection="0">
      <alignment horizontal="right"/>
    </xf>
    <xf numFmtId="0" fontId="1" fillId="0" borderId="0">
      <alignment horizontal="left"/>
    </xf>
    <xf numFmtId="210" fontId="1" fillId="0" borderId="0" applyFont="0" applyFill="0" applyBorder="0" applyAlignment="0" applyProtection="0"/>
    <xf numFmtId="0" fontId="1" fillId="0" borderId="0">
      <alignment horizontal="center"/>
    </xf>
    <xf numFmtId="0" fontId="1" fillId="0" borderId="0">
      <alignment horizontal="left"/>
    </xf>
    <xf numFmtId="0" fontId="1" fillId="0" borderId="0">
      <alignment horizontal="right"/>
    </xf>
    <xf numFmtId="166" fontId="1" fillId="0" borderId="0" applyNumberFormat="0" applyFont="0" applyFill="0" applyBorder="0" applyAlignment="0"/>
    <xf numFmtId="7" fontId="1" fillId="0" borderId="0"/>
    <xf numFmtId="223" fontId="1" fillId="0" borderId="0"/>
    <xf numFmtId="0" fontId="1" fillId="0" borderId="0"/>
    <xf numFmtId="0" fontId="1" fillId="0" borderId="0"/>
    <xf numFmtId="0" fontId="77" fillId="0" borderId="0"/>
    <xf numFmtId="0" fontId="1" fillId="0" borderId="0" applyNumberFormat="0" applyFill="0" applyBorder="0" applyAlignment="0" applyProtection="0"/>
    <xf numFmtId="10" fontId="1" fillId="0" borderId="0" applyFont="0" applyFill="0" applyBorder="0" applyAlignment="0" applyProtection="0"/>
    <xf numFmtId="0" fontId="1" fillId="0" borderId="0" applyFont="0" applyFill="0" applyBorder="0" applyProtection="0">
      <alignment horizontal="right"/>
    </xf>
    <xf numFmtId="10" fontId="1" fillId="0" borderId="0"/>
    <xf numFmtId="228" fontId="1" fillId="0" borderId="0"/>
    <xf numFmtId="0" fontId="1" fillId="0" borderId="0" applyFont="0" applyFill="0" applyBorder="0" applyProtection="0">
      <alignment horizontal="right"/>
    </xf>
    <xf numFmtId="0" fontId="1" fillId="0" borderId="0" applyFont="0" applyFill="0" applyBorder="0" applyProtection="0">
      <alignment horizontal="right"/>
    </xf>
    <xf numFmtId="1" fontId="1" fillId="0" borderId="0"/>
    <xf numFmtId="12" fontId="1" fillId="0" borderId="0" applyFont="0" applyFill="0" applyBorder="0" applyProtection="0">
      <alignment horizontal="right"/>
    </xf>
    <xf numFmtId="0" fontId="1" fillId="23" borderId="0" applyFont="0" applyFill="0" applyBorder="0" applyProtection="0">
      <alignment horizontal="right"/>
    </xf>
    <xf numFmtId="202" fontId="1" fillId="0" borderId="0" applyFill="0" applyBorder="0" applyAlignment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450">
    <xf numFmtId="0" fontId="0" fillId="0" borderId="0" xfId="0"/>
    <xf numFmtId="0" fontId="107" fillId="0" borderId="0" xfId="0" applyFont="1"/>
    <xf numFmtId="0" fontId="108" fillId="0" borderId="0" xfId="0" applyFont="1"/>
    <xf numFmtId="0" fontId="109" fillId="0" borderId="0" xfId="0" applyFont="1"/>
    <xf numFmtId="166" fontId="110" fillId="0" borderId="0" xfId="0" applyNumberFormat="1" applyFont="1"/>
    <xf numFmtId="0" fontId="111" fillId="0" borderId="0" xfId="0" applyFont="1"/>
    <xf numFmtId="166" fontId="107" fillId="0" borderId="0" xfId="0" applyNumberFormat="1" applyFont="1"/>
    <xf numFmtId="0" fontId="107" fillId="0" borderId="0" xfId="0" applyFont="1" applyAlignment="1">
      <alignment horizontal="left"/>
    </xf>
    <xf numFmtId="166" fontId="111" fillId="0" borderId="0" xfId="0" applyNumberFormat="1" applyFont="1"/>
    <xf numFmtId="168" fontId="107" fillId="0" borderId="0" xfId="0" applyNumberFormat="1" applyFont="1"/>
    <xf numFmtId="0" fontId="112" fillId="26" borderId="0" xfId="0" applyFont="1" applyFill="1" applyAlignment="1">
      <alignment horizontal="left"/>
    </xf>
    <xf numFmtId="0" fontId="111" fillId="26" borderId="0" xfId="0" applyFont="1" applyFill="1"/>
    <xf numFmtId="0" fontId="111" fillId="26" borderId="38" xfId="0" applyFont="1" applyFill="1" applyBorder="1" applyAlignment="1">
      <alignment horizontal="centerContinuous"/>
    </xf>
    <xf numFmtId="169" fontId="111" fillId="26" borderId="0" xfId="0" applyNumberFormat="1" applyFont="1" applyFill="1" applyAlignment="1">
      <alignment horizontal="centerContinuous"/>
    </xf>
    <xf numFmtId="169" fontId="111" fillId="26" borderId="0" xfId="0" applyNumberFormat="1" applyFont="1" applyFill="1" applyAlignment="1">
      <alignment horizontal="center"/>
    </xf>
    <xf numFmtId="169" fontId="113" fillId="26" borderId="0" xfId="0" applyNumberFormat="1" applyFont="1" applyFill="1" applyAlignment="1">
      <alignment horizontal="center"/>
    </xf>
    <xf numFmtId="0" fontId="111" fillId="0" borderId="0" xfId="0" applyFont="1" applyAlignment="1">
      <alignment horizontal="left"/>
    </xf>
    <xf numFmtId="0" fontId="111" fillId="26" borderId="3" xfId="0" applyFont="1" applyFill="1" applyBorder="1"/>
    <xf numFmtId="0" fontId="107" fillId="26" borderId="3" xfId="0" applyFont="1" applyFill="1" applyBorder="1"/>
    <xf numFmtId="0" fontId="111" fillId="0" borderId="3" xfId="0" applyFont="1" applyBorder="1"/>
    <xf numFmtId="0" fontId="114" fillId="27" borderId="0" xfId="0" applyFont="1" applyFill="1" applyAlignment="1">
      <alignment horizontal="left" indent="1"/>
    </xf>
    <xf numFmtId="170" fontId="115" fillId="27" borderId="0" xfId="543" applyNumberFormat="1" applyFont="1" applyFill="1"/>
    <xf numFmtId="0" fontId="114" fillId="27" borderId="0" xfId="0" applyFont="1" applyFill="1"/>
    <xf numFmtId="0" fontId="114" fillId="27" borderId="0" xfId="0" applyFont="1" applyFill="1" applyAlignment="1">
      <alignment horizontal="left"/>
    </xf>
    <xf numFmtId="43" fontId="109" fillId="0" borderId="0" xfId="162" applyFont="1" applyFill="1" applyBorder="1" applyAlignment="1">
      <alignment horizontal="center"/>
    </xf>
    <xf numFmtId="37" fontId="107" fillId="0" borderId="0" xfId="0" applyNumberFormat="1" applyFont="1"/>
    <xf numFmtId="0" fontId="111" fillId="0" borderId="39" xfId="0" applyFont="1" applyBorder="1"/>
    <xf numFmtId="166" fontId="109" fillId="0" borderId="0" xfId="0" applyNumberFormat="1" applyFont="1"/>
    <xf numFmtId="0" fontId="114" fillId="0" borderId="0" xfId="0" applyFont="1"/>
    <xf numFmtId="170" fontId="114" fillId="27" borderId="0" xfId="543" applyNumberFormat="1" applyFont="1" applyFill="1"/>
    <xf numFmtId="258" fontId="111" fillId="0" borderId="0" xfId="0" applyNumberFormat="1" applyFont="1"/>
    <xf numFmtId="258" fontId="107" fillId="0" borderId="0" xfId="0" applyNumberFormat="1" applyFont="1"/>
    <xf numFmtId="0" fontId="111" fillId="27" borderId="8" xfId="266" applyFont="1" applyFill="1" applyBorder="1" applyAlignment="1">
      <alignment horizontal="left" wrapText="1"/>
    </xf>
    <xf numFmtId="0" fontId="107" fillId="0" borderId="0" xfId="266" applyFont="1" applyAlignment="1">
      <alignment horizontal="center" wrapText="1"/>
    </xf>
    <xf numFmtId="0" fontId="107" fillId="0" borderId="0" xfId="266" applyFont="1"/>
    <xf numFmtId="0" fontId="111" fillId="27" borderId="8" xfId="266" applyFont="1" applyFill="1" applyBorder="1" applyAlignment="1">
      <alignment horizontal="right" wrapText="1"/>
    </xf>
    <xf numFmtId="167" fontId="111" fillId="0" borderId="0" xfId="0" applyNumberFormat="1" applyFont="1"/>
    <xf numFmtId="173" fontId="107" fillId="0" borderId="0" xfId="162" applyNumberFormat="1" applyFont="1"/>
    <xf numFmtId="166" fontId="116" fillId="0" borderId="0" xfId="0" applyNumberFormat="1" applyFont="1"/>
    <xf numFmtId="166" fontId="117" fillId="0" borderId="0" xfId="0" applyNumberFormat="1" applyFont="1"/>
    <xf numFmtId="170" fontId="114" fillId="27" borderId="0" xfId="0" applyNumberFormat="1" applyFont="1" applyFill="1"/>
    <xf numFmtId="0" fontId="107" fillId="28" borderId="0" xfId="267" applyFont="1" applyFill="1"/>
    <xf numFmtId="0" fontId="111" fillId="28" borderId="8" xfId="267" applyFont="1" applyFill="1" applyBorder="1"/>
    <xf numFmtId="259" fontId="111" fillId="28" borderId="8" xfId="267" applyNumberFormat="1" applyFont="1" applyFill="1" applyBorder="1"/>
    <xf numFmtId="259" fontId="107" fillId="28" borderId="0" xfId="267" applyNumberFormat="1" applyFont="1" applyFill="1"/>
    <xf numFmtId="173" fontId="111" fillId="28" borderId="8" xfId="162" applyNumberFormat="1" applyFont="1" applyFill="1" applyBorder="1"/>
    <xf numFmtId="173" fontId="107" fillId="28" borderId="0" xfId="162" applyNumberFormat="1" applyFont="1" applyFill="1"/>
    <xf numFmtId="169" fontId="111" fillId="26" borderId="3" xfId="0" applyNumberFormat="1" applyFont="1" applyFill="1" applyBorder="1" applyAlignment="1">
      <alignment horizontal="centerContinuous"/>
    </xf>
    <xf numFmtId="166" fontId="113" fillId="0" borderId="0" xfId="0" applyNumberFormat="1" applyFont="1"/>
    <xf numFmtId="0" fontId="107" fillId="0" borderId="0" xfId="0" applyFont="1" applyAlignment="1">
      <alignment horizontal="right"/>
    </xf>
    <xf numFmtId="259" fontId="111" fillId="0" borderId="0" xfId="0" applyNumberFormat="1" applyFont="1" applyAlignment="1">
      <alignment horizontal="right"/>
    </xf>
    <xf numFmtId="259" fontId="107" fillId="0" borderId="0" xfId="0" applyNumberFormat="1" applyFont="1" applyAlignment="1">
      <alignment horizontal="right"/>
    </xf>
    <xf numFmtId="9" fontId="114" fillId="27" borderId="0" xfId="543" applyFont="1" applyFill="1" applyAlignment="1">
      <alignment horizontal="right"/>
    </xf>
    <xf numFmtId="37" fontId="107" fillId="0" borderId="0" xfId="0" applyNumberFormat="1" applyFont="1" applyAlignment="1">
      <alignment horizontal="right"/>
    </xf>
    <xf numFmtId="166" fontId="111" fillId="0" borderId="0" xfId="0" applyNumberFormat="1" applyFont="1" applyAlignment="1">
      <alignment horizontal="right"/>
    </xf>
    <xf numFmtId="9" fontId="107" fillId="0" borderId="0" xfId="543" applyFont="1"/>
    <xf numFmtId="9" fontId="107" fillId="0" borderId="0" xfId="543" applyFont="1" applyFill="1"/>
    <xf numFmtId="0" fontId="107" fillId="0" borderId="7" xfId="0" applyFont="1" applyBorder="1"/>
    <xf numFmtId="170" fontId="115" fillId="27" borderId="0" xfId="543" applyNumberFormat="1" applyFont="1" applyFill="1" applyBorder="1"/>
    <xf numFmtId="170" fontId="118" fillId="27" borderId="0" xfId="543" applyNumberFormat="1" applyFont="1" applyFill="1"/>
    <xf numFmtId="170" fontId="114" fillId="0" borderId="0" xfId="543" applyNumberFormat="1" applyFont="1" applyFill="1"/>
    <xf numFmtId="166" fontId="111" fillId="0" borderId="39" xfId="0" applyNumberFormat="1" applyFont="1" applyBorder="1"/>
    <xf numFmtId="0" fontId="114" fillId="0" borderId="0" xfId="0" applyFont="1" applyAlignment="1">
      <alignment horizontal="left" indent="1"/>
    </xf>
    <xf numFmtId="170" fontId="115" fillId="0" borderId="0" xfId="543" applyNumberFormat="1" applyFont="1" applyFill="1"/>
    <xf numFmtId="260" fontId="107" fillId="0" borderId="0" xfId="0" applyNumberFormat="1" applyFont="1" applyAlignment="1">
      <alignment horizontal="right"/>
    </xf>
    <xf numFmtId="0" fontId="111" fillId="0" borderId="7" xfId="0" applyFont="1" applyBorder="1"/>
    <xf numFmtId="9" fontId="111" fillId="0" borderId="0" xfId="543" applyFont="1" applyFill="1"/>
    <xf numFmtId="170" fontId="114" fillId="27" borderId="0" xfId="543" applyNumberFormat="1" applyFont="1" applyFill="1" applyAlignment="1">
      <alignment horizontal="right"/>
    </xf>
    <xf numFmtId="0" fontId="111" fillId="0" borderId="0" xfId="266" applyFont="1"/>
    <xf numFmtId="0" fontId="111" fillId="28" borderId="0" xfId="267" applyFont="1" applyFill="1"/>
    <xf numFmtId="173" fontId="111" fillId="28" borderId="0" xfId="162" applyNumberFormat="1" applyFont="1" applyFill="1" applyBorder="1"/>
    <xf numFmtId="259" fontId="111" fillId="28" borderId="0" xfId="267" applyNumberFormat="1" applyFont="1" applyFill="1"/>
    <xf numFmtId="0" fontId="111" fillId="0" borderId="23" xfId="266" applyFont="1" applyBorder="1"/>
    <xf numFmtId="0" fontId="107" fillId="0" borderId="21" xfId="266" applyFont="1" applyBorder="1" applyAlignment="1">
      <alignment horizontal="left"/>
    </xf>
    <xf numFmtId="0" fontId="107" fillId="0" borderId="22" xfId="266" applyFont="1" applyBorder="1" applyAlignment="1">
      <alignment horizontal="left"/>
    </xf>
    <xf numFmtId="0" fontId="111" fillId="0" borderId="24" xfId="266" applyFont="1" applyBorder="1"/>
    <xf numFmtId="0" fontId="111" fillId="0" borderId="26" xfId="266" applyFont="1" applyBorder="1"/>
    <xf numFmtId="0" fontId="111" fillId="26" borderId="40" xfId="0" applyFont="1" applyFill="1" applyBorder="1" applyAlignment="1">
      <alignment horizontal="centerContinuous"/>
    </xf>
    <xf numFmtId="169" fontId="111" fillId="26" borderId="14" xfId="0" applyNumberFormat="1" applyFont="1" applyFill="1" applyBorder="1" applyAlignment="1">
      <alignment horizontal="centerContinuous"/>
    </xf>
    <xf numFmtId="170" fontId="114" fillId="0" borderId="14" xfId="543" applyNumberFormat="1" applyFont="1" applyFill="1" applyBorder="1"/>
    <xf numFmtId="170" fontId="118" fillId="0" borderId="14" xfId="543" applyNumberFormat="1" applyFont="1" applyFill="1" applyBorder="1"/>
    <xf numFmtId="169" fontId="111" fillId="26" borderId="16" xfId="0" applyNumberFormat="1" applyFont="1" applyFill="1" applyBorder="1" applyAlignment="1">
      <alignment horizontal="centerContinuous"/>
    </xf>
    <xf numFmtId="166" fontId="116" fillId="0" borderId="14" xfId="0" applyNumberFormat="1" applyFont="1" applyBorder="1"/>
    <xf numFmtId="166" fontId="113" fillId="0" borderId="14" xfId="0" applyNumberFormat="1" applyFont="1" applyBorder="1"/>
    <xf numFmtId="170" fontId="118" fillId="27" borderId="14" xfId="543" applyNumberFormat="1" applyFont="1" applyFill="1" applyBorder="1"/>
    <xf numFmtId="170" fontId="115" fillId="27" borderId="14" xfId="543" applyNumberFormat="1" applyFont="1" applyFill="1" applyBorder="1"/>
    <xf numFmtId="37" fontId="107" fillId="0" borderId="14" xfId="0" applyNumberFormat="1" applyFont="1" applyBorder="1"/>
    <xf numFmtId="261" fontId="107" fillId="0" borderId="14" xfId="0" applyNumberFormat="1" applyFont="1" applyBorder="1"/>
    <xf numFmtId="0" fontId="107" fillId="0" borderId="14" xfId="0" applyFont="1" applyBorder="1"/>
    <xf numFmtId="9" fontId="116" fillId="0" borderId="14" xfId="543" applyFont="1" applyFill="1" applyBorder="1"/>
    <xf numFmtId="166" fontId="107" fillId="0" borderId="14" xfId="0" applyNumberFormat="1" applyFont="1" applyBorder="1"/>
    <xf numFmtId="260" fontId="113" fillId="0" borderId="0" xfId="0" applyNumberFormat="1" applyFont="1"/>
    <xf numFmtId="37" fontId="110" fillId="0" borderId="14" xfId="543" applyNumberFormat="1" applyFont="1" applyFill="1" applyBorder="1"/>
    <xf numFmtId="166" fontId="110" fillId="0" borderId="14" xfId="0" applyNumberFormat="1" applyFont="1" applyBorder="1"/>
    <xf numFmtId="258" fontId="116" fillId="0" borderId="14" xfId="0" applyNumberFormat="1" applyFont="1" applyBorder="1"/>
    <xf numFmtId="170" fontId="114" fillId="27" borderId="14" xfId="0" applyNumberFormat="1" applyFont="1" applyFill="1" applyBorder="1"/>
    <xf numFmtId="170" fontId="114" fillId="0" borderId="0" xfId="543" applyNumberFormat="1" applyFont="1" applyFill="1" applyAlignment="1">
      <alignment horizontal="right"/>
    </xf>
    <xf numFmtId="170" fontId="114" fillId="27" borderId="14" xfId="543" applyNumberFormat="1" applyFont="1" applyFill="1" applyBorder="1" applyAlignment="1">
      <alignment horizontal="right"/>
    </xf>
    <xf numFmtId="170" fontId="114" fillId="0" borderId="14" xfId="543" applyNumberFormat="1" applyFont="1" applyFill="1" applyBorder="1" applyAlignment="1">
      <alignment horizontal="right"/>
    </xf>
    <xf numFmtId="166" fontId="111" fillId="0" borderId="41" xfId="0" applyNumberFormat="1" applyFont="1" applyBorder="1"/>
    <xf numFmtId="9" fontId="114" fillId="27" borderId="14" xfId="543" applyFont="1" applyFill="1" applyBorder="1" applyAlignment="1">
      <alignment horizontal="right"/>
    </xf>
    <xf numFmtId="0" fontId="111" fillId="26" borderId="8" xfId="0" applyFont="1" applyFill="1" applyBorder="1"/>
    <xf numFmtId="259" fontId="111" fillId="0" borderId="14" xfId="0" applyNumberFormat="1" applyFont="1" applyBorder="1" applyAlignment="1">
      <alignment horizontal="right"/>
    </xf>
    <xf numFmtId="259" fontId="107" fillId="0" borderId="14" xfId="0" applyNumberFormat="1" applyFont="1" applyBorder="1" applyAlignment="1">
      <alignment horizontal="right"/>
    </xf>
    <xf numFmtId="260" fontId="107" fillId="0" borderId="14" xfId="0" applyNumberFormat="1" applyFont="1" applyBorder="1" applyAlignment="1">
      <alignment horizontal="right"/>
    </xf>
    <xf numFmtId="0" fontId="111" fillId="0" borderId="6" xfId="0" applyFont="1" applyBorder="1"/>
    <xf numFmtId="9" fontId="107" fillId="0" borderId="14" xfId="543" applyFont="1" applyBorder="1"/>
    <xf numFmtId="169" fontId="113" fillId="26" borderId="14" xfId="0" applyNumberFormat="1" applyFont="1" applyFill="1" applyBorder="1" applyAlignment="1">
      <alignment horizontal="center"/>
    </xf>
    <xf numFmtId="0" fontId="111" fillId="0" borderId="42" xfId="266" applyFont="1" applyBorder="1" applyAlignment="1">
      <alignment horizontal="left" wrapText="1"/>
    </xf>
    <xf numFmtId="0" fontId="111" fillId="0" borderId="43" xfId="266" applyFont="1" applyBorder="1" applyAlignment="1">
      <alignment horizontal="left" wrapText="1"/>
    </xf>
    <xf numFmtId="0" fontId="107" fillId="0" borderId="21" xfId="266" applyFont="1" applyBorder="1" applyAlignment="1">
      <alignment horizontal="left" wrapText="1"/>
    </xf>
    <xf numFmtId="0" fontId="107" fillId="0" borderId="44" xfId="266" applyFont="1" applyBorder="1"/>
    <xf numFmtId="37" fontId="107" fillId="0" borderId="14" xfId="0" applyNumberFormat="1" applyFont="1" applyBorder="1" applyAlignment="1">
      <alignment horizontal="right"/>
    </xf>
    <xf numFmtId="43" fontId="109" fillId="0" borderId="14" xfId="162" applyFont="1" applyFill="1" applyBorder="1" applyAlignment="1">
      <alignment horizontal="center"/>
    </xf>
    <xf numFmtId="0" fontId="107" fillId="26" borderId="16" xfId="0" applyFont="1" applyFill="1" applyBorder="1"/>
    <xf numFmtId="260" fontId="113" fillId="0" borderId="14" xfId="0" applyNumberFormat="1" applyFont="1" applyBorder="1"/>
    <xf numFmtId="168" fontId="107" fillId="0" borderId="14" xfId="0" applyNumberFormat="1" applyFont="1" applyBorder="1"/>
    <xf numFmtId="167" fontId="111" fillId="0" borderId="14" xfId="0" applyNumberFormat="1" applyFont="1" applyBorder="1"/>
    <xf numFmtId="166" fontId="111" fillId="0" borderId="14" xfId="0" applyNumberFormat="1" applyFont="1" applyBorder="1" applyAlignment="1">
      <alignment horizontal="right"/>
    </xf>
    <xf numFmtId="0" fontId="111" fillId="0" borderId="16" xfId="0" applyFont="1" applyBorder="1"/>
    <xf numFmtId="0" fontId="111" fillId="0" borderId="14" xfId="0" applyFont="1" applyBorder="1"/>
    <xf numFmtId="9" fontId="111" fillId="0" borderId="14" xfId="543" applyFont="1" applyFill="1" applyBorder="1"/>
    <xf numFmtId="166" fontId="117" fillId="0" borderId="14" xfId="0" applyNumberFormat="1" applyFont="1" applyBorder="1"/>
    <xf numFmtId="166" fontId="110" fillId="0" borderId="14" xfId="0" applyNumberFormat="1" applyFont="1" applyBorder="1" applyAlignment="1">
      <alignment horizontal="right"/>
    </xf>
    <xf numFmtId="170" fontId="119" fillId="27" borderId="0" xfId="543" applyNumberFormat="1" applyFont="1" applyFill="1"/>
    <xf numFmtId="170" fontId="120" fillId="0" borderId="0" xfId="543" applyNumberFormat="1" applyFont="1"/>
    <xf numFmtId="170" fontId="120" fillId="0" borderId="0" xfId="543" applyNumberFormat="1" applyFont="1" applyFill="1" applyBorder="1"/>
    <xf numFmtId="171" fontId="120" fillId="0" borderId="0" xfId="162" applyNumberFormat="1" applyFont="1" applyFill="1" applyBorder="1"/>
    <xf numFmtId="171" fontId="107" fillId="0" borderId="0" xfId="0" applyNumberFormat="1" applyFont="1"/>
    <xf numFmtId="171" fontId="120" fillId="0" borderId="0" xfId="0" applyNumberFormat="1" applyFont="1"/>
    <xf numFmtId="173" fontId="120" fillId="0" borderId="0" xfId="162" applyNumberFormat="1" applyFont="1" applyFill="1"/>
    <xf numFmtId="166" fontId="120" fillId="0" borderId="0" xfId="0" applyNumberFormat="1" applyFont="1"/>
    <xf numFmtId="171" fontId="120" fillId="0" borderId="0" xfId="162" applyNumberFormat="1" applyFont="1" applyFill="1"/>
    <xf numFmtId="171" fontId="120" fillId="0" borderId="0" xfId="162" applyNumberFormat="1" applyFont="1" applyFill="1" applyBorder="1" applyAlignment="1">
      <alignment horizontal="right"/>
    </xf>
    <xf numFmtId="171" fontId="107" fillId="0" borderId="0" xfId="162" applyNumberFormat="1" applyFont="1" applyFill="1" applyBorder="1"/>
    <xf numFmtId="171" fontId="121" fillId="0" borderId="0" xfId="162" applyNumberFormat="1" applyFont="1" applyFill="1" applyBorder="1"/>
    <xf numFmtId="171" fontId="111" fillId="0" borderId="0" xfId="162" applyNumberFormat="1" applyFont="1" applyFill="1" applyBorder="1"/>
    <xf numFmtId="0" fontId="122" fillId="0" borderId="0" xfId="0" applyFont="1"/>
    <xf numFmtId="171" fontId="110" fillId="0" borderId="0" xfId="162" applyNumberFormat="1" applyFont="1" applyFill="1"/>
    <xf numFmtId="170" fontId="111" fillId="0" borderId="0" xfId="543" applyNumberFormat="1" applyFont="1" applyFill="1" applyAlignment="1">
      <alignment horizontal="right"/>
    </xf>
    <xf numFmtId="170" fontId="111" fillId="0" borderId="0" xfId="543" applyNumberFormat="1" applyFont="1" applyFill="1" applyBorder="1"/>
    <xf numFmtId="171" fontId="111" fillId="0" borderId="0" xfId="162" applyNumberFormat="1" applyFont="1" applyFill="1"/>
    <xf numFmtId="169" fontId="111" fillId="26" borderId="3" xfId="0" applyNumberFormat="1" applyFont="1" applyFill="1" applyBorder="1" applyAlignment="1">
      <alignment horizontal="center" vertical="center"/>
    </xf>
    <xf numFmtId="171" fontId="111" fillId="0" borderId="39" xfId="162" applyNumberFormat="1" applyFont="1" applyFill="1" applyBorder="1" applyAlignment="1">
      <alignment horizontal="right"/>
    </xf>
    <xf numFmtId="171" fontId="107" fillId="0" borderId="0" xfId="162" applyNumberFormat="1" applyFont="1" applyBorder="1"/>
    <xf numFmtId="171" fontId="107" fillId="0" borderId="7" xfId="162" applyNumberFormat="1" applyFont="1" applyBorder="1"/>
    <xf numFmtId="171" fontId="111" fillId="0" borderId="7" xfId="162" applyNumberFormat="1" applyFont="1" applyBorder="1"/>
    <xf numFmtId="171" fontId="107" fillId="0" borderId="0" xfId="162" applyNumberFormat="1" applyFont="1"/>
    <xf numFmtId="171" fontId="111" fillId="0" borderId="6" xfId="162" applyNumberFormat="1" applyFont="1" applyBorder="1"/>
    <xf numFmtId="169" fontId="111" fillId="26" borderId="8" xfId="0" applyNumberFormat="1" applyFont="1" applyFill="1" applyBorder="1" applyAlignment="1">
      <alignment horizontal="center" vertical="center"/>
    </xf>
    <xf numFmtId="173" fontId="107" fillId="0" borderId="0" xfId="0" applyNumberFormat="1" applyFont="1"/>
    <xf numFmtId="262" fontId="111" fillId="0" borderId="0" xfId="0" applyNumberFormat="1" applyFont="1" applyAlignment="1">
      <alignment horizontal="right"/>
    </xf>
    <xf numFmtId="173" fontId="107" fillId="0" borderId="27" xfId="162" applyNumberFormat="1" applyFont="1" applyFill="1" applyBorder="1" applyAlignment="1">
      <alignment horizontal="left" wrapText="1"/>
    </xf>
    <xf numFmtId="173" fontId="107" fillId="0" borderId="45" xfId="162" applyNumberFormat="1" applyFont="1" applyFill="1" applyBorder="1" applyAlignment="1">
      <alignment horizontal="left" wrapText="1"/>
    </xf>
    <xf numFmtId="173" fontId="111" fillId="28" borderId="8" xfId="162" applyNumberFormat="1" applyFont="1" applyFill="1" applyBorder="1" applyAlignment="1">
      <alignment horizontal="center"/>
    </xf>
    <xf numFmtId="0" fontId="123" fillId="0" borderId="0" xfId="0" applyFont="1" applyAlignment="1">
      <alignment horizontal="left"/>
    </xf>
    <xf numFmtId="166" fontId="118" fillId="0" borderId="0" xfId="0" applyNumberFormat="1" applyFont="1"/>
    <xf numFmtId="17" fontId="111" fillId="27" borderId="8" xfId="266" applyNumberFormat="1" applyFont="1" applyFill="1" applyBorder="1" applyAlignment="1">
      <alignment horizontal="center" vertical="center" wrapText="1"/>
    </xf>
    <xf numFmtId="0" fontId="111" fillId="27" borderId="0" xfId="266" applyFont="1" applyFill="1" applyAlignment="1">
      <alignment horizontal="left" wrapText="1"/>
    </xf>
    <xf numFmtId="173" fontId="120" fillId="27" borderId="0" xfId="162" applyNumberFormat="1" applyFont="1" applyFill="1" applyBorder="1" applyAlignment="1">
      <alignment horizontal="center" wrapText="1"/>
    </xf>
    <xf numFmtId="0" fontId="107" fillId="27" borderId="0" xfId="266" applyFont="1" applyFill="1" applyAlignment="1">
      <alignment horizontal="right" wrapText="1"/>
    </xf>
    <xf numFmtId="0" fontId="107" fillId="0" borderId="0" xfId="266" applyFont="1" applyAlignment="1">
      <alignment horizontal="right" wrapText="1"/>
    </xf>
    <xf numFmtId="173" fontId="107" fillId="0" borderId="0" xfId="266" applyNumberFormat="1" applyFont="1" applyAlignment="1">
      <alignment horizontal="right" wrapText="1"/>
    </xf>
    <xf numFmtId="0" fontId="120" fillId="0" borderId="0" xfId="266" applyFont="1" applyAlignment="1">
      <alignment horizontal="right" wrapText="1"/>
    </xf>
    <xf numFmtId="171" fontId="107" fillId="0" borderId="0" xfId="162" applyNumberFormat="1" applyFont="1" applyFill="1" applyBorder="1" applyAlignment="1">
      <alignment horizontal="right" wrapText="1"/>
    </xf>
    <xf numFmtId="173" fontId="107" fillId="27" borderId="0" xfId="162" applyNumberFormat="1" applyFont="1" applyFill="1" applyBorder="1" applyAlignment="1">
      <alignment horizontal="center" wrapText="1"/>
    </xf>
    <xf numFmtId="0" fontId="122" fillId="0" borderId="0" xfId="266" applyFont="1"/>
    <xf numFmtId="260" fontId="122" fillId="0" borderId="0" xfId="266" applyNumberFormat="1" applyFont="1"/>
    <xf numFmtId="170" fontId="119" fillId="0" borderId="0" xfId="543" applyNumberFormat="1" applyFont="1" applyFill="1"/>
    <xf numFmtId="173" fontId="107" fillId="0" borderId="0" xfId="162" applyNumberFormat="1" applyFont="1" applyFill="1"/>
    <xf numFmtId="9" fontId="116" fillId="0" borderId="0" xfId="543" applyFont="1" applyFill="1"/>
    <xf numFmtId="170" fontId="110" fillId="0" borderId="0" xfId="543" applyNumberFormat="1" applyFont="1" applyFill="1"/>
    <xf numFmtId="166" fontId="110" fillId="0" borderId="0" xfId="0" applyNumberFormat="1" applyFont="1" applyAlignment="1">
      <alignment horizontal="right"/>
    </xf>
    <xf numFmtId="166" fontId="111" fillId="0" borderId="14" xfId="0" applyNumberFormat="1" applyFont="1" applyBorder="1"/>
    <xf numFmtId="171" fontId="107" fillId="0" borderId="0" xfId="162" applyNumberFormat="1" applyFont="1" applyFill="1"/>
    <xf numFmtId="37" fontId="110" fillId="0" borderId="0" xfId="543" applyNumberFormat="1" applyFont="1" applyFill="1"/>
    <xf numFmtId="171" fontId="110" fillId="0" borderId="14" xfId="162" applyNumberFormat="1" applyFont="1" applyFill="1" applyBorder="1"/>
    <xf numFmtId="261" fontId="107" fillId="0" borderId="0" xfId="0" applyNumberFormat="1" applyFont="1"/>
    <xf numFmtId="258" fontId="116" fillId="0" borderId="0" xfId="0" applyNumberFormat="1" applyFont="1"/>
    <xf numFmtId="170" fontId="111" fillId="0" borderId="0" xfId="543" applyNumberFormat="1" applyFont="1" applyFill="1"/>
    <xf numFmtId="170" fontId="111" fillId="0" borderId="14" xfId="543" applyNumberFormat="1" applyFont="1" applyFill="1" applyBorder="1" applyAlignment="1">
      <alignment horizontal="right"/>
    </xf>
    <xf numFmtId="170" fontId="118" fillId="0" borderId="0" xfId="543" applyNumberFormat="1" applyFont="1" applyFill="1"/>
    <xf numFmtId="173" fontId="120" fillId="0" borderId="0" xfId="162" applyNumberFormat="1" applyFont="1" applyBorder="1" applyAlignment="1">
      <alignment horizontal="right" vertical="center"/>
    </xf>
    <xf numFmtId="173" fontId="111" fillId="0" borderId="0" xfId="266" applyNumberFormat="1" applyFont="1"/>
    <xf numFmtId="171" fontId="121" fillId="0" borderId="0" xfId="0" applyNumberFormat="1" applyFont="1"/>
    <xf numFmtId="171" fontId="111" fillId="0" borderId="0" xfId="0" applyNumberFormat="1" applyFont="1"/>
    <xf numFmtId="170" fontId="120" fillId="0" borderId="14" xfId="543" applyNumberFormat="1" applyFont="1" applyFill="1" applyBorder="1"/>
    <xf numFmtId="171" fontId="107" fillId="0" borderId="27" xfId="162" applyNumberFormat="1" applyFont="1" applyFill="1" applyBorder="1" applyAlignment="1">
      <alignment horizontal="left" wrapText="1"/>
    </xf>
    <xf numFmtId="171" fontId="107" fillId="0" borderId="28" xfId="162" applyNumberFormat="1" applyFont="1" applyFill="1" applyBorder="1" applyAlignment="1">
      <alignment horizontal="left" wrapText="1"/>
    </xf>
    <xf numFmtId="166" fontId="120" fillId="29" borderId="0" xfId="0" applyNumberFormat="1" applyFont="1" applyFill="1"/>
    <xf numFmtId="43" fontId="107" fillId="0" borderId="0" xfId="162" applyFont="1" applyFill="1"/>
    <xf numFmtId="43" fontId="107" fillId="0" borderId="0" xfId="266" applyNumberFormat="1" applyFont="1"/>
    <xf numFmtId="263" fontId="120" fillId="0" borderId="0" xfId="266" applyNumberFormat="1" applyFont="1" applyAlignment="1">
      <alignment horizontal="right" wrapText="1"/>
    </xf>
    <xf numFmtId="173" fontId="120" fillId="0" borderId="10" xfId="162" applyNumberFormat="1" applyFont="1" applyBorder="1" applyAlignment="1">
      <alignment horizontal="right" vertical="center"/>
    </xf>
    <xf numFmtId="170" fontId="121" fillId="0" borderId="0" xfId="543" applyNumberFormat="1" applyFont="1" applyFill="1" applyBorder="1"/>
    <xf numFmtId="169" fontId="111" fillId="26" borderId="46" xfId="0" applyNumberFormat="1" applyFont="1" applyFill="1" applyBorder="1" applyAlignment="1">
      <alignment horizontal="center" vertical="center"/>
    </xf>
    <xf numFmtId="169" fontId="111" fillId="26" borderId="16" xfId="0" applyNumberFormat="1" applyFont="1" applyFill="1" applyBorder="1" applyAlignment="1">
      <alignment horizontal="center" vertical="center"/>
    </xf>
    <xf numFmtId="173" fontId="116" fillId="0" borderId="0" xfId="162" applyNumberFormat="1" applyFont="1" applyFill="1" applyBorder="1"/>
    <xf numFmtId="171" fontId="111" fillId="30" borderId="0" xfId="162" applyNumberFormat="1" applyFont="1" applyFill="1" applyBorder="1"/>
    <xf numFmtId="166" fontId="110" fillId="30" borderId="0" xfId="0" applyNumberFormat="1" applyFont="1" applyFill="1"/>
    <xf numFmtId="0" fontId="107" fillId="30" borderId="0" xfId="0" applyFont="1" applyFill="1"/>
    <xf numFmtId="262" fontId="111" fillId="30" borderId="0" xfId="0" applyNumberFormat="1" applyFont="1" applyFill="1" applyAlignment="1">
      <alignment horizontal="right"/>
    </xf>
    <xf numFmtId="43" fontId="107" fillId="27" borderId="0" xfId="162" applyFont="1" applyFill="1" applyBorder="1" applyAlignment="1">
      <alignment horizontal="center" wrapText="1"/>
    </xf>
    <xf numFmtId="3" fontId="124" fillId="0" borderId="0" xfId="0" applyNumberFormat="1" applyFont="1" applyAlignment="1">
      <alignment vertical="center" wrapText="1"/>
    </xf>
    <xf numFmtId="264" fontId="107" fillId="0" borderId="0" xfId="266" applyNumberFormat="1" applyFont="1" applyAlignment="1">
      <alignment horizontal="right" wrapText="1"/>
    </xf>
    <xf numFmtId="43" fontId="107" fillId="27" borderId="0" xfId="266" applyNumberFormat="1" applyFont="1" applyFill="1" applyAlignment="1">
      <alignment horizontal="right" wrapText="1"/>
    </xf>
    <xf numFmtId="0" fontId="111" fillId="0" borderId="19" xfId="266" applyFont="1" applyBorder="1"/>
    <xf numFmtId="173" fontId="111" fillId="0" borderId="9" xfId="266" applyNumberFormat="1" applyFont="1" applyBorder="1"/>
    <xf numFmtId="173" fontId="111" fillId="0" borderId="20" xfId="266" applyNumberFormat="1" applyFont="1" applyBorder="1"/>
    <xf numFmtId="3" fontId="111" fillId="28" borderId="0" xfId="267" applyNumberFormat="1" applyFont="1" applyFill="1"/>
    <xf numFmtId="3" fontId="111" fillId="28" borderId="0" xfId="162" applyNumberFormat="1" applyFont="1" applyFill="1" applyBorder="1"/>
    <xf numFmtId="3" fontId="107" fillId="0" borderId="0" xfId="267" applyNumberFormat="1" applyFont="1"/>
    <xf numFmtId="3" fontId="107" fillId="28" borderId="0" xfId="267" applyNumberFormat="1" applyFont="1" applyFill="1"/>
    <xf numFmtId="169" fontId="111" fillId="26" borderId="14" xfId="0" applyNumberFormat="1" applyFont="1" applyFill="1" applyBorder="1" applyAlignment="1">
      <alignment horizontal="center"/>
    </xf>
    <xf numFmtId="171" fontId="111" fillId="0" borderId="14" xfId="162" applyNumberFormat="1" applyFont="1" applyFill="1" applyBorder="1"/>
    <xf numFmtId="171" fontId="111" fillId="0" borderId="41" xfId="162" applyNumberFormat="1" applyFont="1" applyFill="1" applyBorder="1" applyAlignment="1">
      <alignment horizontal="right"/>
    </xf>
    <xf numFmtId="171" fontId="107" fillId="0" borderId="14" xfId="162" applyNumberFormat="1" applyFont="1" applyBorder="1"/>
    <xf numFmtId="171" fontId="111" fillId="0" borderId="47" xfId="162" applyNumberFormat="1" applyFont="1" applyBorder="1"/>
    <xf numFmtId="171" fontId="107" fillId="0" borderId="47" xfId="162" applyNumberFormat="1" applyFont="1" applyBorder="1"/>
    <xf numFmtId="171" fontId="111" fillId="0" borderId="48" xfId="162" applyNumberFormat="1" applyFont="1" applyBorder="1"/>
    <xf numFmtId="0" fontId="107" fillId="0" borderId="14" xfId="0" applyFont="1" applyBorder="1" applyAlignment="1">
      <alignment horizontal="right"/>
    </xf>
    <xf numFmtId="170" fontId="119" fillId="27" borderId="0" xfId="543" applyNumberFormat="1" applyFont="1" applyFill="1" applyBorder="1"/>
    <xf numFmtId="39" fontId="114" fillId="0" borderId="0" xfId="0" applyNumberFormat="1" applyFont="1"/>
    <xf numFmtId="170" fontId="120" fillId="0" borderId="0" xfId="543" applyNumberFormat="1" applyFont="1" applyBorder="1"/>
    <xf numFmtId="173" fontId="120" fillId="0" borderId="0" xfId="162" applyNumberFormat="1" applyFont="1" applyFill="1" applyBorder="1"/>
    <xf numFmtId="166" fontId="125" fillId="0" borderId="0" xfId="0" applyNumberFormat="1" applyFont="1"/>
    <xf numFmtId="166" fontId="126" fillId="0" borderId="0" xfId="0" applyNumberFormat="1" applyFont="1"/>
    <xf numFmtId="166" fontId="110" fillId="29" borderId="0" xfId="0" applyNumberFormat="1" applyFont="1" applyFill="1"/>
    <xf numFmtId="166" fontId="120" fillId="29" borderId="14" xfId="0" applyNumberFormat="1" applyFont="1" applyFill="1" applyBorder="1"/>
    <xf numFmtId="171" fontId="126" fillId="0" borderId="0" xfId="162" applyNumberFormat="1" applyFont="1" applyFill="1" applyBorder="1"/>
    <xf numFmtId="2" fontId="120" fillId="0" borderId="0" xfId="543" applyNumberFormat="1" applyFont="1" applyFill="1" applyBorder="1"/>
    <xf numFmtId="173" fontId="107" fillId="0" borderId="0" xfId="266" applyNumberFormat="1" applyFont="1"/>
    <xf numFmtId="10" fontId="107" fillId="0" borderId="0" xfId="266" applyNumberFormat="1" applyFont="1"/>
    <xf numFmtId="0" fontId="107" fillId="0" borderId="49" xfId="266" applyFont="1" applyBorder="1"/>
    <xf numFmtId="0" fontId="111" fillId="0" borderId="24" xfId="266" applyFont="1" applyBorder="1" applyAlignment="1">
      <alignment horizontal="right"/>
    </xf>
    <xf numFmtId="0" fontId="111" fillId="0" borderId="26" xfId="266" applyFont="1" applyBorder="1" applyAlignment="1">
      <alignment horizontal="right"/>
    </xf>
    <xf numFmtId="0" fontId="111" fillId="0" borderId="43" xfId="266" applyFont="1" applyBorder="1" applyAlignment="1">
      <alignment horizontal="right" wrapText="1"/>
    </xf>
    <xf numFmtId="37" fontId="111" fillId="0" borderId="0" xfId="0" applyNumberFormat="1" applyFont="1"/>
    <xf numFmtId="10" fontId="107" fillId="0" borderId="50" xfId="266" applyNumberFormat="1" applyFont="1" applyBorder="1"/>
    <xf numFmtId="10" fontId="120" fillId="0" borderId="49" xfId="266" applyNumberFormat="1" applyFont="1" applyBorder="1"/>
    <xf numFmtId="10" fontId="120" fillId="0" borderId="51" xfId="266" applyNumberFormat="1" applyFont="1" applyBorder="1"/>
    <xf numFmtId="173" fontId="126" fillId="27" borderId="0" xfId="162" applyNumberFormat="1" applyFont="1" applyFill="1" applyBorder="1" applyAlignment="1">
      <alignment horizontal="center" wrapText="1"/>
    </xf>
    <xf numFmtId="173" fontId="121" fillId="28" borderId="8" xfId="162" applyNumberFormat="1" applyFont="1" applyFill="1" applyBorder="1"/>
    <xf numFmtId="3" fontId="120" fillId="28" borderId="0" xfId="267" applyNumberFormat="1" applyFont="1" applyFill="1"/>
    <xf numFmtId="3" fontId="120" fillId="0" borderId="0" xfId="267" applyNumberFormat="1" applyFont="1"/>
    <xf numFmtId="173" fontId="126" fillId="0" borderId="0" xfId="162" applyNumberFormat="1" applyFont="1" applyBorder="1" applyAlignment="1">
      <alignment horizontal="right" vertical="center"/>
    </xf>
    <xf numFmtId="0" fontId="127" fillId="0" borderId="0" xfId="0" applyFont="1"/>
    <xf numFmtId="0" fontId="111" fillId="27" borderId="0" xfId="266" applyFont="1" applyFill="1" applyAlignment="1">
      <alignment horizontal="right" wrapText="1"/>
    </xf>
    <xf numFmtId="259" fontId="121" fillId="28" borderId="8" xfId="267" applyNumberFormat="1" applyFont="1" applyFill="1" applyBorder="1"/>
    <xf numFmtId="170" fontId="120" fillId="0" borderId="49" xfId="266" applyNumberFormat="1" applyFont="1" applyBorder="1"/>
    <xf numFmtId="170" fontId="120" fillId="0" borderId="51" xfId="266" applyNumberFormat="1" applyFont="1" applyBorder="1"/>
    <xf numFmtId="171" fontId="107" fillId="0" borderId="0" xfId="0" applyNumberFormat="1" applyFont="1" applyAlignment="1">
      <alignment horizontal="right"/>
    </xf>
    <xf numFmtId="166" fontId="119" fillId="27" borderId="0" xfId="543" applyNumberFormat="1" applyFont="1" applyFill="1"/>
    <xf numFmtId="260" fontId="111" fillId="0" borderId="0" xfId="0" applyNumberFormat="1" applyFont="1" applyAlignment="1">
      <alignment horizontal="right"/>
    </xf>
    <xf numFmtId="171" fontId="111" fillId="0" borderId="0" xfId="162" applyNumberFormat="1" applyFont="1"/>
    <xf numFmtId="260" fontId="111" fillId="0" borderId="14" xfId="0" applyNumberFormat="1" applyFont="1" applyBorder="1" applyAlignment="1">
      <alignment horizontal="right"/>
    </xf>
    <xf numFmtId="171" fontId="111" fillId="0" borderId="0" xfId="0" applyNumberFormat="1" applyFont="1" applyAlignment="1">
      <alignment horizontal="right"/>
    </xf>
    <xf numFmtId="0" fontId="111" fillId="0" borderId="0" xfId="0" applyFont="1" applyAlignment="1">
      <alignment horizontal="right"/>
    </xf>
    <xf numFmtId="3" fontId="111" fillId="28" borderId="8" xfId="162" applyNumberFormat="1" applyFont="1" applyFill="1" applyBorder="1"/>
    <xf numFmtId="0" fontId="118" fillId="0" borderId="0" xfId="266" applyFont="1"/>
    <xf numFmtId="171" fontId="118" fillId="0" borderId="0" xfId="266" applyNumberFormat="1" applyFont="1"/>
    <xf numFmtId="170" fontId="107" fillId="0" borderId="50" xfId="266" applyNumberFormat="1" applyFont="1" applyBorder="1"/>
    <xf numFmtId="43" fontId="111" fillId="27" borderId="0" xfId="266" applyNumberFormat="1" applyFont="1" applyFill="1" applyAlignment="1">
      <alignment horizontal="right" wrapText="1"/>
    </xf>
    <xf numFmtId="265" fontId="107" fillId="0" borderId="0" xfId="266" applyNumberFormat="1" applyFont="1"/>
    <xf numFmtId="173" fontId="111" fillId="27" borderId="0" xfId="162" applyNumberFormat="1" applyFont="1" applyFill="1" applyBorder="1" applyAlignment="1">
      <alignment horizontal="center" wrapText="1"/>
    </xf>
    <xf numFmtId="166" fontId="111" fillId="29" borderId="0" xfId="0" applyNumberFormat="1" applyFont="1" applyFill="1"/>
    <xf numFmtId="170" fontId="115" fillId="29" borderId="0" xfId="543" applyNumberFormat="1" applyFont="1" applyFill="1" applyBorder="1"/>
    <xf numFmtId="166" fontId="107" fillId="29" borderId="0" xfId="0" applyNumberFormat="1" applyFont="1" applyFill="1"/>
    <xf numFmtId="170" fontId="115" fillId="29" borderId="0" xfId="543" applyNumberFormat="1" applyFont="1" applyFill="1"/>
    <xf numFmtId="258" fontId="107" fillId="29" borderId="0" xfId="0" applyNumberFormat="1" applyFont="1" applyFill="1"/>
    <xf numFmtId="171" fontId="111" fillId="29" borderId="0" xfId="162" applyNumberFormat="1" applyFont="1" applyFill="1"/>
    <xf numFmtId="171" fontId="107" fillId="29" borderId="0" xfId="162" applyNumberFormat="1" applyFont="1" applyFill="1"/>
    <xf numFmtId="259" fontId="111" fillId="29" borderId="0" xfId="0" applyNumberFormat="1" applyFont="1" applyFill="1" applyAlignment="1">
      <alignment horizontal="right"/>
    </xf>
    <xf numFmtId="259" fontId="107" fillId="29" borderId="0" xfId="0" applyNumberFormat="1" applyFont="1" applyFill="1" applyAlignment="1">
      <alignment horizontal="right"/>
    </xf>
    <xf numFmtId="171" fontId="111" fillId="29" borderId="0" xfId="0" applyNumberFormat="1" applyFont="1" applyFill="1" applyAlignment="1">
      <alignment horizontal="right"/>
    </xf>
    <xf numFmtId="171" fontId="107" fillId="29" borderId="0" xfId="0" applyNumberFormat="1" applyFont="1" applyFill="1" applyAlignment="1">
      <alignment horizontal="right"/>
    </xf>
    <xf numFmtId="37" fontId="107" fillId="29" borderId="0" xfId="0" applyNumberFormat="1" applyFont="1" applyFill="1"/>
    <xf numFmtId="164" fontId="107" fillId="0" borderId="0" xfId="266" applyNumberFormat="1" applyFont="1"/>
    <xf numFmtId="166" fontId="121" fillId="0" borderId="0" xfId="0" applyNumberFormat="1" applyFont="1"/>
    <xf numFmtId="173" fontId="120" fillId="31" borderId="0" xfId="162" applyNumberFormat="1" applyFont="1" applyFill="1" applyBorder="1" applyAlignment="1">
      <alignment horizontal="center" wrapText="1"/>
    </xf>
    <xf numFmtId="171" fontId="111" fillId="29" borderId="39" xfId="162" applyNumberFormat="1" applyFont="1" applyFill="1" applyBorder="1" applyAlignment="1">
      <alignment horizontal="right"/>
    </xf>
    <xf numFmtId="171" fontId="107" fillId="29" borderId="0" xfId="162" applyNumberFormat="1" applyFont="1" applyFill="1" applyBorder="1"/>
    <xf numFmtId="171" fontId="111" fillId="29" borderId="7" xfId="162" applyNumberFormat="1" applyFont="1" applyFill="1" applyBorder="1"/>
    <xf numFmtId="171" fontId="107" fillId="29" borderId="7" xfId="162" applyNumberFormat="1" applyFont="1" applyFill="1" applyBorder="1"/>
    <xf numFmtId="43" fontId="111" fillId="32" borderId="0" xfId="266" applyNumberFormat="1" applyFont="1" applyFill="1" applyAlignment="1">
      <alignment horizontal="right" wrapText="1"/>
    </xf>
    <xf numFmtId="173" fontId="120" fillId="32" borderId="0" xfId="162" applyNumberFormat="1" applyFont="1" applyFill="1" applyBorder="1" applyAlignment="1">
      <alignment horizontal="center" wrapText="1"/>
    </xf>
    <xf numFmtId="171" fontId="111" fillId="0" borderId="52" xfId="162" applyNumberFormat="1" applyFont="1" applyFill="1" applyBorder="1"/>
    <xf numFmtId="0" fontId="5" fillId="0" borderId="0" xfId="0" applyFont="1"/>
    <xf numFmtId="37" fontId="110" fillId="0" borderId="0" xfId="0" applyNumberFormat="1" applyFont="1"/>
    <xf numFmtId="37" fontId="116" fillId="0" borderId="0" xfId="0" applyNumberFormat="1" applyFont="1"/>
    <xf numFmtId="37" fontId="116" fillId="0" borderId="14" xfId="0" applyNumberFormat="1" applyFont="1" applyBorder="1"/>
    <xf numFmtId="37" fontId="126" fillId="0" borderId="0" xfId="0" applyNumberFormat="1" applyFont="1"/>
    <xf numFmtId="173" fontId="120" fillId="0" borderId="0" xfId="162" applyNumberFormat="1" applyFont="1" applyFill="1" applyBorder="1" applyAlignment="1">
      <alignment horizontal="center" wrapText="1"/>
    </xf>
    <xf numFmtId="0" fontId="111" fillId="27" borderId="0" xfId="266" applyFont="1" applyFill="1" applyAlignment="1">
      <alignment horizontal="left"/>
    </xf>
    <xf numFmtId="173" fontId="121" fillId="28" borderId="0" xfId="162" applyNumberFormat="1" applyFont="1" applyFill="1" applyBorder="1"/>
    <xf numFmtId="259" fontId="121" fillId="28" borderId="0" xfId="267" applyNumberFormat="1" applyFont="1" applyFill="1"/>
    <xf numFmtId="0" fontId="111" fillId="0" borderId="0" xfId="266" applyFont="1" applyAlignment="1">
      <alignment horizontal="right" wrapText="1"/>
    </xf>
    <xf numFmtId="3" fontId="121" fillId="0" borderId="0" xfId="267" applyNumberFormat="1" applyFont="1"/>
    <xf numFmtId="173" fontId="125" fillId="0" borderId="0" xfId="162" applyNumberFormat="1" applyFont="1" applyFill="1" applyBorder="1" applyAlignment="1">
      <alignment horizontal="center" wrapText="1"/>
    </xf>
    <xf numFmtId="173" fontId="125" fillId="27" borderId="0" xfId="162" applyNumberFormat="1" applyFont="1" applyFill="1" applyBorder="1" applyAlignment="1">
      <alignment horizontal="center" wrapText="1"/>
    </xf>
    <xf numFmtId="171" fontId="111" fillId="0" borderId="0" xfId="162" applyNumberFormat="1" applyFont="1" applyFill="1" applyBorder="1" applyAlignment="1">
      <alignment horizontal="right" wrapText="1"/>
    </xf>
    <xf numFmtId="3" fontId="128" fillId="0" borderId="0" xfId="0" applyNumberFormat="1" applyFont="1" applyAlignment="1">
      <alignment vertical="center" wrapText="1"/>
    </xf>
    <xf numFmtId="166" fontId="117" fillId="29" borderId="0" xfId="0" applyNumberFormat="1" applyFont="1" applyFill="1"/>
    <xf numFmtId="173" fontId="110" fillId="0" borderId="0" xfId="0" applyNumberFormat="1" applyFont="1"/>
    <xf numFmtId="3" fontId="120" fillId="0" borderId="0" xfId="162" applyNumberFormat="1" applyFont="1" applyFill="1"/>
    <xf numFmtId="166" fontId="120" fillId="33" borderId="0" xfId="0" applyNumberFormat="1" applyFont="1" applyFill="1"/>
    <xf numFmtId="173" fontId="125" fillId="32" borderId="0" xfId="162" applyNumberFormat="1" applyFont="1" applyFill="1" applyBorder="1" applyAlignment="1">
      <alignment horizontal="center" wrapText="1"/>
    </xf>
    <xf numFmtId="173" fontId="121" fillId="0" borderId="8" xfId="162" applyNumberFormat="1" applyFont="1" applyFill="1" applyBorder="1"/>
    <xf numFmtId="173" fontId="111" fillId="0" borderId="8" xfId="162" applyNumberFormat="1" applyFont="1" applyFill="1" applyBorder="1"/>
    <xf numFmtId="259" fontId="121" fillId="0" borderId="8" xfId="267" applyNumberFormat="1" applyFont="1" applyBorder="1"/>
    <xf numFmtId="0" fontId="111" fillId="26" borderId="38" xfId="0" applyFont="1" applyFill="1" applyBorder="1" applyAlignment="1">
      <alignment horizontal="center"/>
    </xf>
    <xf numFmtId="169" fontId="111" fillId="26" borderId="3" xfId="0" applyNumberFormat="1" applyFont="1" applyFill="1" applyBorder="1" applyAlignment="1">
      <alignment horizontal="center"/>
    </xf>
    <xf numFmtId="166" fontId="121" fillId="28" borderId="0" xfId="0" applyNumberFormat="1" applyFont="1" applyFill="1"/>
    <xf numFmtId="43" fontId="0" fillId="0" borderId="0" xfId="0" applyNumberFormat="1"/>
    <xf numFmtId="170" fontId="107" fillId="0" borderId="0" xfId="543" applyNumberFormat="1" applyFont="1"/>
    <xf numFmtId="173" fontId="120" fillId="32" borderId="8" xfId="162" applyNumberFormat="1" applyFont="1" applyFill="1" applyBorder="1" applyAlignment="1">
      <alignment horizontal="center" wrapText="1"/>
    </xf>
    <xf numFmtId="173" fontId="115" fillId="0" borderId="0" xfId="162" applyNumberFormat="1" applyFont="1" applyFill="1"/>
    <xf numFmtId="170" fontId="107" fillId="0" borderId="0" xfId="266" applyNumberFormat="1" applyFont="1"/>
    <xf numFmtId="173" fontId="126" fillId="0" borderId="0" xfId="162" applyNumberFormat="1" applyFont="1" applyFill="1" applyBorder="1" applyAlignment="1">
      <alignment horizontal="right" vertical="center"/>
    </xf>
    <xf numFmtId="9" fontId="107" fillId="0" borderId="50" xfId="266" applyNumberFormat="1" applyFont="1" applyBorder="1"/>
    <xf numFmtId="267" fontId="121" fillId="0" borderId="8" xfId="267" applyNumberFormat="1" applyFont="1" applyBorder="1"/>
    <xf numFmtId="267" fontId="111" fillId="28" borderId="8" xfId="267" applyNumberFormat="1" applyFont="1" applyFill="1" applyBorder="1"/>
    <xf numFmtId="170" fontId="114" fillId="0" borderId="0" xfId="543" applyNumberFormat="1" applyFont="1" applyFill="1" applyBorder="1"/>
    <xf numFmtId="170" fontId="115" fillId="0" borderId="0" xfId="543" applyNumberFormat="1" applyFont="1" applyFill="1" applyBorder="1"/>
    <xf numFmtId="266" fontId="109" fillId="0" borderId="0" xfId="162" applyNumberFormat="1" applyFont="1" applyFill="1" applyBorder="1" applyAlignment="1">
      <alignment horizontal="center"/>
    </xf>
    <xf numFmtId="0" fontId="111" fillId="0" borderId="0" xfId="0" applyFont="1" applyAlignment="1">
      <alignment horizontal="center" vertical="center"/>
    </xf>
    <xf numFmtId="169" fontId="111" fillId="0" borderId="0" xfId="0" applyNumberFormat="1" applyFont="1" applyAlignment="1">
      <alignment horizontal="center" vertical="center"/>
    </xf>
    <xf numFmtId="170" fontId="119" fillId="0" borderId="0" xfId="543" applyNumberFormat="1" applyFont="1" applyFill="1" applyBorder="1"/>
    <xf numFmtId="169" fontId="111" fillId="0" borderId="0" xfId="0" applyNumberFormat="1" applyFont="1" applyAlignment="1">
      <alignment horizontal="centerContinuous"/>
    </xf>
    <xf numFmtId="170" fontId="114" fillId="0" borderId="0" xfId="0" applyNumberFormat="1" applyFont="1"/>
    <xf numFmtId="173" fontId="115" fillId="0" borderId="0" xfId="162" applyNumberFormat="1" applyFont="1" applyFill="1" applyBorder="1"/>
    <xf numFmtId="170" fontId="111" fillId="0" borderId="0" xfId="543" applyNumberFormat="1" applyFont="1" applyFill="1" applyBorder="1" applyAlignment="1">
      <alignment horizontal="right"/>
    </xf>
    <xf numFmtId="169" fontId="111" fillId="0" borderId="0" xfId="0" applyNumberFormat="1" applyFont="1" applyAlignment="1">
      <alignment horizontal="center"/>
    </xf>
    <xf numFmtId="170" fontId="114" fillId="0" borderId="0" xfId="543" applyNumberFormat="1" applyFont="1" applyFill="1" applyBorder="1" applyAlignment="1">
      <alignment horizontal="right"/>
    </xf>
    <xf numFmtId="9" fontId="114" fillId="0" borderId="0" xfId="543" applyFont="1" applyFill="1" applyBorder="1" applyAlignment="1">
      <alignment horizontal="right"/>
    </xf>
    <xf numFmtId="171" fontId="111" fillId="0" borderId="0" xfId="162" applyNumberFormat="1" applyFont="1" applyFill="1" applyBorder="1" applyAlignment="1">
      <alignment horizontal="right"/>
    </xf>
    <xf numFmtId="9" fontId="107" fillId="0" borderId="0" xfId="543" applyFont="1" applyFill="1" applyBorder="1"/>
    <xf numFmtId="0" fontId="111" fillId="0" borderId="0" xfId="0" applyFont="1" applyAlignment="1">
      <alignment horizontal="centerContinuous"/>
    </xf>
    <xf numFmtId="0" fontId="116" fillId="34" borderId="0" xfId="0" applyFont="1" applyFill="1" applyAlignment="1">
      <alignment horizontal="left"/>
    </xf>
    <xf numFmtId="166" fontId="110" fillId="34" borderId="0" xfId="0" applyNumberFormat="1" applyFont="1" applyFill="1"/>
    <xf numFmtId="0" fontId="111" fillId="0" borderId="0" xfId="0" applyFont="1" applyAlignment="1">
      <alignment horizontal="center"/>
    </xf>
    <xf numFmtId="9" fontId="111" fillId="0" borderId="0" xfId="543" applyFont="1" applyFill="1" applyBorder="1"/>
    <xf numFmtId="166" fontId="111" fillId="0" borderId="12" xfId="0" applyNumberFormat="1" applyFont="1" applyBorder="1"/>
    <xf numFmtId="173" fontId="121" fillId="0" borderId="0" xfId="0" applyNumberFormat="1" applyFont="1"/>
    <xf numFmtId="166" fontId="121" fillId="30" borderId="0" xfId="0" applyNumberFormat="1" applyFont="1" applyFill="1"/>
    <xf numFmtId="166" fontId="111" fillId="30" borderId="0" xfId="0" applyNumberFormat="1" applyFont="1" applyFill="1"/>
    <xf numFmtId="3" fontId="0" fillId="0" borderId="0" xfId="0" applyNumberFormat="1"/>
    <xf numFmtId="3" fontId="107" fillId="0" borderId="0" xfId="0" applyNumberFormat="1" applyFont="1"/>
    <xf numFmtId="258" fontId="107" fillId="27" borderId="0" xfId="0" applyNumberFormat="1" applyFont="1" applyFill="1"/>
    <xf numFmtId="258" fontId="116" fillId="27" borderId="0" xfId="0" applyNumberFormat="1" applyFont="1" applyFill="1"/>
    <xf numFmtId="258" fontId="116" fillId="27" borderId="14" xfId="0" applyNumberFormat="1" applyFont="1" applyFill="1" applyBorder="1"/>
    <xf numFmtId="0" fontId="107" fillId="34" borderId="0" xfId="0" applyFont="1" applyFill="1"/>
    <xf numFmtId="262" fontId="107" fillId="34" borderId="0" xfId="0" applyNumberFormat="1" applyFont="1" applyFill="1" applyAlignment="1">
      <alignment horizontal="right"/>
    </xf>
    <xf numFmtId="167" fontId="107" fillId="0" borderId="0" xfId="0" applyNumberFormat="1" applyFont="1"/>
    <xf numFmtId="166" fontId="107" fillId="34" borderId="0" xfId="0" applyNumberFormat="1" applyFont="1" applyFill="1" applyAlignment="1">
      <alignment horizontal="right"/>
    </xf>
    <xf numFmtId="166" fontId="107" fillId="34" borderId="14" xfId="0" applyNumberFormat="1" applyFont="1" applyFill="1" applyBorder="1" applyAlignment="1">
      <alignment horizontal="right"/>
    </xf>
    <xf numFmtId="266" fontId="110" fillId="34" borderId="0" xfId="162" applyNumberFormat="1" applyFont="1" applyFill="1" applyBorder="1" applyAlignment="1">
      <alignment horizontal="center"/>
    </xf>
    <xf numFmtId="171" fontId="111" fillId="27" borderId="0" xfId="162" applyNumberFormat="1" applyFont="1" applyFill="1"/>
    <xf numFmtId="171" fontId="107" fillId="27" borderId="0" xfId="162" applyNumberFormat="1" applyFont="1" applyFill="1"/>
    <xf numFmtId="259" fontId="111" fillId="27" borderId="0" xfId="0" applyNumberFormat="1" applyFont="1" applyFill="1" applyAlignment="1">
      <alignment horizontal="right"/>
    </xf>
    <xf numFmtId="259" fontId="111" fillId="27" borderId="14" xfId="0" applyNumberFormat="1" applyFont="1" applyFill="1" applyBorder="1" applyAlignment="1">
      <alignment horizontal="right"/>
    </xf>
    <xf numFmtId="259" fontId="107" fillId="27" borderId="0" xfId="0" applyNumberFormat="1" applyFont="1" applyFill="1" applyAlignment="1">
      <alignment horizontal="right"/>
    </xf>
    <xf numFmtId="259" fontId="107" fillId="27" borderId="14" xfId="0" applyNumberFormat="1" applyFont="1" applyFill="1" applyBorder="1" applyAlignment="1">
      <alignment horizontal="right"/>
    </xf>
    <xf numFmtId="171" fontId="111" fillId="27" borderId="0" xfId="0" applyNumberFormat="1" applyFont="1" applyFill="1" applyAlignment="1">
      <alignment horizontal="right"/>
    </xf>
    <xf numFmtId="171" fontId="111" fillId="27" borderId="14" xfId="0" applyNumberFormat="1" applyFont="1" applyFill="1" applyBorder="1" applyAlignment="1">
      <alignment horizontal="right"/>
    </xf>
    <xf numFmtId="171" fontId="107" fillId="27" borderId="0" xfId="0" applyNumberFormat="1" applyFont="1" applyFill="1" applyAlignment="1">
      <alignment horizontal="right"/>
    </xf>
    <xf numFmtId="171" fontId="107" fillId="27" borderId="14" xfId="0" applyNumberFormat="1" applyFont="1" applyFill="1" applyBorder="1" applyAlignment="1">
      <alignment horizontal="right"/>
    </xf>
    <xf numFmtId="37" fontId="107" fillId="27" borderId="0" xfId="0" applyNumberFormat="1" applyFont="1" applyFill="1"/>
    <xf numFmtId="37" fontId="107" fillId="27" borderId="14" xfId="0" applyNumberFormat="1" applyFont="1" applyFill="1" applyBorder="1"/>
    <xf numFmtId="170" fontId="120" fillId="27" borderId="0" xfId="543" applyNumberFormat="1" applyFont="1" applyFill="1" applyBorder="1"/>
    <xf numFmtId="0" fontId="111" fillId="26" borderId="8" xfId="266" applyFont="1" applyFill="1" applyBorder="1" applyAlignment="1">
      <alignment horizontal="left" wrapText="1"/>
    </xf>
    <xf numFmtId="0" fontId="111" fillId="26" borderId="8" xfId="266" applyFont="1" applyFill="1" applyBorder="1" applyAlignment="1">
      <alignment horizontal="center" wrapText="1"/>
    </xf>
    <xf numFmtId="0" fontId="111" fillId="0" borderId="0" xfId="266" applyFont="1" applyAlignment="1">
      <alignment horizontal="left" wrapText="1"/>
    </xf>
    <xf numFmtId="173" fontId="107" fillId="0" borderId="0" xfId="162" applyNumberFormat="1" applyFont="1" applyFill="1" applyBorder="1" applyAlignment="1">
      <alignment horizontal="center" wrapText="1"/>
    </xf>
    <xf numFmtId="43" fontId="111" fillId="0" borderId="0" xfId="266" applyNumberFormat="1" applyFont="1" applyAlignment="1">
      <alignment horizontal="right" wrapText="1"/>
    </xf>
    <xf numFmtId="0" fontId="111" fillId="26" borderId="43" xfId="266" applyFont="1" applyFill="1" applyBorder="1" applyAlignment="1">
      <alignment horizontal="center" wrapText="1"/>
    </xf>
    <xf numFmtId="0" fontId="111" fillId="26" borderId="42" xfId="266" applyFont="1" applyFill="1" applyBorder="1" applyAlignment="1">
      <alignment horizontal="left" wrapText="1"/>
    </xf>
    <xf numFmtId="0" fontId="111" fillId="0" borderId="44" xfId="266" applyFont="1" applyBorder="1"/>
    <xf numFmtId="173" fontId="111" fillId="0" borderId="45" xfId="162" applyNumberFormat="1" applyFont="1" applyFill="1" applyBorder="1" applyAlignment="1">
      <alignment horizontal="left" wrapText="1"/>
    </xf>
    <xf numFmtId="0" fontId="111" fillId="26" borderId="23" xfId="266" applyFont="1" applyFill="1" applyBorder="1"/>
    <xf numFmtId="0" fontId="111" fillId="26" borderId="24" xfId="266" applyFont="1" applyFill="1" applyBorder="1" applyAlignment="1">
      <alignment horizontal="center"/>
    </xf>
    <xf numFmtId="0" fontId="111" fillId="26" borderId="26" xfId="266" applyFont="1" applyFill="1" applyBorder="1" applyAlignment="1">
      <alignment horizontal="center"/>
    </xf>
    <xf numFmtId="171" fontId="126" fillId="0" borderId="0" xfId="162" applyNumberFormat="1" applyFont="1" applyFill="1" applyBorder="1" applyAlignment="1">
      <alignment horizontal="right" vertical="center"/>
    </xf>
    <xf numFmtId="171" fontId="111" fillId="0" borderId="9" xfId="266" applyNumberFormat="1" applyFont="1" applyBorder="1"/>
    <xf numFmtId="171" fontId="111" fillId="0" borderId="20" xfId="266" applyNumberFormat="1" applyFont="1" applyBorder="1"/>
    <xf numFmtId="0" fontId="113" fillId="26" borderId="23" xfId="266" applyFont="1" applyFill="1" applyBorder="1"/>
    <xf numFmtId="0" fontId="111" fillId="26" borderId="24" xfId="266" applyFont="1" applyFill="1" applyBorder="1" applyAlignment="1">
      <alignment horizontal="right" wrapText="1"/>
    </xf>
    <xf numFmtId="0" fontId="111" fillId="26" borderId="26" xfId="266" applyFont="1" applyFill="1" applyBorder="1" applyAlignment="1">
      <alignment horizontal="right" wrapText="1"/>
    </xf>
    <xf numFmtId="0" fontId="111" fillId="28" borderId="22" xfId="267" applyFont="1" applyFill="1" applyBorder="1"/>
    <xf numFmtId="173" fontId="120" fillId="0" borderId="10" xfId="162" applyNumberFormat="1" applyFont="1" applyFill="1" applyBorder="1" applyAlignment="1">
      <alignment horizontal="center" wrapText="1"/>
    </xf>
    <xf numFmtId="173" fontId="111" fillId="0" borderId="10" xfId="162" applyNumberFormat="1" applyFont="1" applyFill="1" applyBorder="1"/>
    <xf numFmtId="267" fontId="121" fillId="0" borderId="28" xfId="267" applyNumberFormat="1" applyFont="1" applyBorder="1"/>
    <xf numFmtId="37" fontId="107" fillId="34" borderId="0" xfId="0" applyNumberFormat="1" applyFont="1" applyFill="1"/>
    <xf numFmtId="37" fontId="107" fillId="34" borderId="14" xfId="0" applyNumberFormat="1" applyFont="1" applyFill="1" applyBorder="1"/>
    <xf numFmtId="0" fontId="111" fillId="34" borderId="0" xfId="0" applyFont="1" applyFill="1" applyAlignment="1">
      <alignment horizontal="left"/>
    </xf>
    <xf numFmtId="166" fontId="116" fillId="34" borderId="0" xfId="0" applyNumberFormat="1" applyFont="1" applyFill="1"/>
    <xf numFmtId="170" fontId="118" fillId="0" borderId="0" xfId="543" applyNumberFormat="1" applyFont="1" applyFill="1" applyBorder="1"/>
    <xf numFmtId="166" fontId="116" fillId="34" borderId="14" xfId="0" applyNumberFormat="1" applyFont="1" applyFill="1" applyBorder="1"/>
    <xf numFmtId="171" fontId="122" fillId="0" borderId="0" xfId="162" applyNumberFormat="1" applyFont="1" applyFill="1"/>
    <xf numFmtId="171" fontId="122" fillId="0" borderId="0" xfId="162" applyNumberFormat="1" applyFont="1" applyFill="1" applyBorder="1"/>
    <xf numFmtId="171" fontId="122" fillId="0" borderId="0" xfId="543" applyNumberFormat="1" applyFont="1" applyFill="1"/>
    <xf numFmtId="171" fontId="122" fillId="0" borderId="14" xfId="162" applyNumberFormat="1" applyFont="1" applyFill="1" applyBorder="1"/>
    <xf numFmtId="173" fontId="122" fillId="0" borderId="0" xfId="162" applyNumberFormat="1" applyFont="1" applyFill="1"/>
    <xf numFmtId="43" fontId="122" fillId="0" borderId="0" xfId="162" applyFont="1" applyFill="1"/>
    <xf numFmtId="9" fontId="122" fillId="0" borderId="0" xfId="543" applyFont="1" applyFill="1"/>
    <xf numFmtId="9" fontId="122" fillId="0" borderId="14" xfId="543" applyFont="1" applyFill="1" applyBorder="1"/>
    <xf numFmtId="173" fontId="122" fillId="0" borderId="0" xfId="162" applyNumberFormat="1" applyFont="1" applyFill="1" applyBorder="1"/>
    <xf numFmtId="0" fontId="47" fillId="0" borderId="0" xfId="0" applyFont="1"/>
    <xf numFmtId="166" fontId="107" fillId="27" borderId="0" xfId="0" applyNumberFormat="1" applyFont="1" applyFill="1"/>
    <xf numFmtId="166" fontId="107" fillId="27" borderId="14" xfId="0" applyNumberFormat="1" applyFont="1" applyFill="1" applyBorder="1"/>
    <xf numFmtId="258" fontId="111" fillId="0" borderId="0" xfId="0" applyNumberFormat="1" applyFont="1" applyAlignment="1">
      <alignment horizontal="left" indent="3"/>
    </xf>
    <xf numFmtId="258" fontId="113" fillId="0" borderId="0" xfId="0" applyNumberFormat="1" applyFont="1" applyAlignment="1">
      <alignment horizontal="left" indent="3"/>
    </xf>
    <xf numFmtId="258" fontId="113" fillId="0" borderId="14" xfId="0" applyNumberFormat="1" applyFont="1" applyBorder="1" applyAlignment="1">
      <alignment horizontal="left" indent="3"/>
    </xf>
    <xf numFmtId="173" fontId="130" fillId="0" borderId="0" xfId="0" applyNumberFormat="1" applyFont="1"/>
    <xf numFmtId="173" fontId="122" fillId="0" borderId="0" xfId="0" applyNumberFormat="1" applyFont="1"/>
    <xf numFmtId="173" fontId="122" fillId="0" borderId="14" xfId="0" applyNumberFormat="1" applyFont="1" applyBorder="1"/>
    <xf numFmtId="170" fontId="121" fillId="0" borderId="0" xfId="543" applyNumberFormat="1" applyFont="1"/>
    <xf numFmtId="170" fontId="107" fillId="0" borderId="0" xfId="543" applyNumberFormat="1" applyFont="1" applyFill="1" applyBorder="1"/>
    <xf numFmtId="262" fontId="107" fillId="0" borderId="0" xfId="0" applyNumberFormat="1" applyFont="1" applyAlignment="1">
      <alignment horizontal="right"/>
    </xf>
    <xf numFmtId="0" fontId="111" fillId="0" borderId="0" xfId="266" applyFont="1" applyAlignment="1">
      <alignment horizontal="center" wrapText="1"/>
    </xf>
    <xf numFmtId="259" fontId="111" fillId="0" borderId="0" xfId="267" applyNumberFormat="1" applyFont="1"/>
    <xf numFmtId="259" fontId="107" fillId="0" borderId="0" xfId="267" applyNumberFormat="1" applyFont="1"/>
    <xf numFmtId="0" fontId="107" fillId="0" borderId="0" xfId="267" applyFont="1"/>
    <xf numFmtId="0" fontId="111" fillId="0" borderId="0" xfId="266" applyFont="1" applyAlignment="1">
      <alignment horizontal="center"/>
    </xf>
    <xf numFmtId="170" fontId="120" fillId="0" borderId="0" xfId="266" applyNumberFormat="1" applyFont="1"/>
    <xf numFmtId="9" fontId="107" fillId="0" borderId="0" xfId="266" applyNumberFormat="1" applyFont="1"/>
    <xf numFmtId="267" fontId="111" fillId="0" borderId="0" xfId="267" applyNumberFormat="1" applyFont="1"/>
    <xf numFmtId="0" fontId="111" fillId="0" borderId="0" xfId="266" applyFont="1" applyAlignment="1">
      <alignment horizontal="right"/>
    </xf>
    <xf numFmtId="43" fontId="107" fillId="0" borderId="0" xfId="266" applyNumberFormat="1" applyFont="1" applyAlignment="1">
      <alignment horizontal="right" wrapText="1"/>
    </xf>
    <xf numFmtId="10" fontId="120" fillId="0" borderId="0" xfId="266" applyNumberFormat="1" applyFont="1"/>
    <xf numFmtId="43" fontId="111" fillId="0" borderId="0" xfId="266" quotePrefix="1" applyNumberFormat="1" applyFont="1" applyAlignment="1">
      <alignment horizontal="right" wrapText="1"/>
    </xf>
    <xf numFmtId="0" fontId="111" fillId="26" borderId="24" xfId="266" applyFont="1" applyFill="1" applyBorder="1" applyAlignment="1">
      <alignment horizontal="center" wrapText="1"/>
    </xf>
    <xf numFmtId="0" fontId="111" fillId="26" borderId="26" xfId="266" applyFont="1" applyFill="1" applyBorder="1" applyAlignment="1">
      <alignment horizontal="center" wrapText="1"/>
    </xf>
    <xf numFmtId="171" fontId="120" fillId="0" borderId="10" xfId="162" applyNumberFormat="1" applyFont="1" applyFill="1" applyBorder="1" applyAlignment="1">
      <alignment wrapText="1"/>
    </xf>
    <xf numFmtId="171" fontId="111" fillId="0" borderId="10" xfId="162" applyNumberFormat="1" applyFont="1" applyFill="1" applyBorder="1" applyAlignment="1"/>
    <xf numFmtId="43" fontId="111" fillId="0" borderId="0" xfId="162" applyFont="1" applyFill="1" applyBorder="1" applyAlignment="1">
      <alignment horizontal="center"/>
    </xf>
    <xf numFmtId="0" fontId="107" fillId="27" borderId="0" xfId="0" applyFont="1" applyFill="1"/>
    <xf numFmtId="0" fontId="107" fillId="27" borderId="0" xfId="0" applyFont="1" applyFill="1" applyAlignment="1">
      <alignment horizontal="left"/>
    </xf>
    <xf numFmtId="170" fontId="114" fillId="27" borderId="14" xfId="543" applyNumberFormat="1" applyFont="1" applyFill="1" applyBorder="1"/>
    <xf numFmtId="170" fontId="115" fillId="0" borderId="14" xfId="543" applyNumberFormat="1" applyFont="1" applyFill="1" applyBorder="1"/>
    <xf numFmtId="39" fontId="107" fillId="27" borderId="0" xfId="0" applyNumberFormat="1" applyFont="1" applyFill="1" applyAlignment="1">
      <alignment horizontal="right"/>
    </xf>
    <xf numFmtId="171" fontId="111" fillId="0" borderId="14" xfId="0" applyNumberFormat="1" applyFont="1" applyBorder="1" applyAlignment="1">
      <alignment horizontal="right"/>
    </xf>
    <xf numFmtId="0" fontId="129" fillId="34" borderId="0" xfId="0" applyFont="1" applyFill="1"/>
    <xf numFmtId="0" fontId="111" fillId="34" borderId="0" xfId="0" applyFont="1" applyFill="1"/>
    <xf numFmtId="0" fontId="111" fillId="34" borderId="14" xfId="0" applyFont="1" applyFill="1" applyBorder="1"/>
    <xf numFmtId="0" fontId="107" fillId="34" borderId="14" xfId="0" applyFont="1" applyFill="1" applyBorder="1"/>
    <xf numFmtId="0" fontId="0" fillId="34" borderId="0" xfId="0" applyFill="1"/>
    <xf numFmtId="173" fontId="111" fillId="0" borderId="0" xfId="162" applyNumberFormat="1" applyFont="1" applyFill="1" applyBorder="1" applyAlignment="1">
      <alignment horizontal="center" wrapText="1"/>
    </xf>
    <xf numFmtId="0" fontId="111" fillId="0" borderId="0" xfId="267" applyFont="1"/>
    <xf numFmtId="43" fontId="111" fillId="0" borderId="0" xfId="266" applyNumberFormat="1" applyFont="1"/>
  </cellXfs>
  <cellStyles count="1018">
    <cellStyle name="$" xfId="1" xr:uid="{00000000-0005-0000-0000-000000000000}"/>
    <cellStyle name="$_TSA Model - 1 8 06 - v2" xfId="2" xr:uid="{00000000-0005-0000-0000-000001000000}"/>
    <cellStyle name="%" xfId="3" xr:uid="{00000000-0005-0000-0000-000002000000}"/>
    <cellStyle name="% 2" xfId="896" xr:uid="{B7F1AD14-5D86-4514-A40D-E444930ECC8F}"/>
    <cellStyle name=";;;" xfId="4" xr:uid="{00000000-0005-0000-0000-000003000000}"/>
    <cellStyle name="_%(SignOnly)" xfId="5" xr:uid="{00000000-0005-0000-0000-000004000000}"/>
    <cellStyle name="_%(SignOnly) 2" xfId="897" xr:uid="{F07D4368-C14C-45A1-BBCE-64DA46DEAA87}"/>
    <cellStyle name="_%(SignSpaceOnly)" xfId="6" xr:uid="{00000000-0005-0000-0000-000005000000}"/>
    <cellStyle name="_%(SignSpaceOnly) 2" xfId="898" xr:uid="{0F241204-55E1-4B62-AB40-87B7A70F1946}"/>
    <cellStyle name="_0% CADR" xfId="7" xr:uid="{00000000-0005-0000-0000-000006000000}"/>
    <cellStyle name="_0% CADR 2" xfId="899" xr:uid="{F20F05D9-D1D2-4AF3-A66E-0FA04859D54C}"/>
    <cellStyle name="_0% IRR" xfId="8" xr:uid="{00000000-0005-0000-0000-000007000000}"/>
    <cellStyle name="_0% IRR 2" xfId="900" xr:uid="{0D76DEC6-108B-40BC-9012-79987BE405CE}"/>
    <cellStyle name="_1% CADR" xfId="9" xr:uid="{00000000-0005-0000-0000-000008000000}"/>
    <cellStyle name="_1% CADR 2" xfId="901" xr:uid="{024B577D-4FA9-48E4-867E-D5BEF854F23A}"/>
    <cellStyle name="_10% CADR" xfId="10" xr:uid="{00000000-0005-0000-0000-000009000000}"/>
    <cellStyle name="_10% CADR 2" xfId="902" xr:uid="{E42D8FF7-A4D9-41B2-9F3B-627B5DAF8C46}"/>
    <cellStyle name="_10% CDR" xfId="11" xr:uid="{00000000-0005-0000-0000-00000A000000}"/>
    <cellStyle name="_10% CDR 2" xfId="903" xr:uid="{138CB7E1-95EB-45C1-B82E-6EE0FC49971C}"/>
    <cellStyle name="_11% CADR" xfId="12" xr:uid="{00000000-0005-0000-0000-00000B000000}"/>
    <cellStyle name="_11% CADR 2" xfId="904" xr:uid="{17E615CE-24B3-4679-BB3F-DACE0615B773}"/>
    <cellStyle name="_12% CADR" xfId="13" xr:uid="{00000000-0005-0000-0000-00000C000000}"/>
    <cellStyle name="_12% CADR 2" xfId="905" xr:uid="{2EDB48FA-5ED1-454B-B7F1-7F6436F74D38}"/>
    <cellStyle name="_12% CDR" xfId="14" xr:uid="{00000000-0005-0000-0000-00000D000000}"/>
    <cellStyle name="_12% CDR 2" xfId="906" xr:uid="{257813D0-F083-42AC-A45F-AE045560919E}"/>
    <cellStyle name="_13% CADR" xfId="15" xr:uid="{00000000-0005-0000-0000-00000E000000}"/>
    <cellStyle name="_13% CADR 2" xfId="907" xr:uid="{93500A16-0EE0-4DFD-8B59-E6EE551A72F6}"/>
    <cellStyle name="_14% CADR" xfId="16" xr:uid="{00000000-0005-0000-0000-00000F000000}"/>
    <cellStyle name="_14% CADR 2" xfId="908" xr:uid="{379D8212-85C1-43B9-AF72-6B7825EAFFE6}"/>
    <cellStyle name="_14% CDR" xfId="17" xr:uid="{00000000-0005-0000-0000-000010000000}"/>
    <cellStyle name="_14% CDR 2" xfId="909" xr:uid="{1F63A625-9496-4063-8B51-29688F59F4FE}"/>
    <cellStyle name="_16% CDR" xfId="18" xr:uid="{00000000-0005-0000-0000-000011000000}"/>
    <cellStyle name="_16% CDR 2" xfId="910" xr:uid="{B7F21A9D-38D1-4ED9-BED7-DD4828ED01B1}"/>
    <cellStyle name="_18% CDR" xfId="19" xr:uid="{00000000-0005-0000-0000-000012000000}"/>
    <cellStyle name="_18% CDR 2" xfId="911" xr:uid="{7E76E16C-EAF5-4C0F-8AF4-D3B11C13D205}"/>
    <cellStyle name="_19.6% CDR BBB Break In Yield" xfId="20" xr:uid="{00000000-0005-0000-0000-000013000000}"/>
    <cellStyle name="_19.6% CDR BBB Break In Yield 2" xfId="912" xr:uid="{4FD5D5F5-21AB-422E-8997-CF0D628CECA8}"/>
    <cellStyle name="_2% CADR" xfId="21" xr:uid="{00000000-0005-0000-0000-000014000000}"/>
    <cellStyle name="_2% CADR 2" xfId="913" xr:uid="{D5C16339-95D3-4F27-8059-595F0778DE45}"/>
    <cellStyle name="_20% CDR" xfId="22" xr:uid="{00000000-0005-0000-0000-000015000000}"/>
    <cellStyle name="_20% CDR 2" xfId="914" xr:uid="{CFE28A49-250B-4865-92BD-8B855DD00E1D}"/>
    <cellStyle name="_21.5% CDR BBB Break In Yield" xfId="23" xr:uid="{00000000-0005-0000-0000-000016000000}"/>
    <cellStyle name="_21.5% CDR BBB Break In Yield 2" xfId="915" xr:uid="{97F764FF-9874-4F61-A942-00D867975D4F}"/>
    <cellStyle name="_3% CADR" xfId="24" xr:uid="{00000000-0005-0000-0000-000017000000}"/>
    <cellStyle name="_3% CADR 2" xfId="916" xr:uid="{05AAA250-8FF3-4DCE-BB84-F9609C614342}"/>
    <cellStyle name="_3% CDR" xfId="25" xr:uid="{00000000-0005-0000-0000-000018000000}"/>
    <cellStyle name="_3% CDR 2" xfId="917" xr:uid="{DD6431F5-9E98-49D4-B6ED-FF53C793282C}"/>
    <cellStyle name="_4% CADR" xfId="26" xr:uid="{00000000-0005-0000-0000-000019000000}"/>
    <cellStyle name="_4% CADR 2" xfId="918" xr:uid="{D6FBCC10-F771-4A53-B271-49F6C32FDCFD}"/>
    <cellStyle name="_5% CADR" xfId="27" xr:uid="{00000000-0005-0000-0000-00001A000000}"/>
    <cellStyle name="_5% CADR 2" xfId="919" xr:uid="{BF94BF03-F548-45A7-9034-4A0A44561A03}"/>
    <cellStyle name="_5% CDR" xfId="28" xr:uid="{00000000-0005-0000-0000-00001B000000}"/>
    <cellStyle name="_5% CDR 2" xfId="920" xr:uid="{EF627F8A-1F31-44E3-B9EB-882077B7F52C}"/>
    <cellStyle name="_6% CADR" xfId="29" xr:uid="{00000000-0005-0000-0000-00001C000000}"/>
    <cellStyle name="_6% CADR 2" xfId="921" xr:uid="{CC910F23-4653-422C-83C8-DE9B2289503F}"/>
    <cellStyle name="_7% CADR" xfId="30" xr:uid="{00000000-0005-0000-0000-00001D000000}"/>
    <cellStyle name="_7% CADR 2" xfId="922" xr:uid="{F712DCE8-D563-401C-B6E5-4C113C50A80D}"/>
    <cellStyle name="_7% CDR" xfId="31" xr:uid="{00000000-0005-0000-0000-00001E000000}"/>
    <cellStyle name="_7% CDR 2" xfId="923" xr:uid="{C6E552B7-F838-4825-9F2D-566E05B5B164}"/>
    <cellStyle name="_8% CADR" xfId="32" xr:uid="{00000000-0005-0000-0000-00001F000000}"/>
    <cellStyle name="_8% CADR 2" xfId="924" xr:uid="{F5589FA2-BB6D-4078-B681-F29D974D9F6C}"/>
    <cellStyle name="_8.0% CDR BB Break In Yield" xfId="33" xr:uid="{00000000-0005-0000-0000-000020000000}"/>
    <cellStyle name="_8.0% CDR BB Break In Yield 2" xfId="925" xr:uid="{795A7CB9-F1DE-44D0-95A4-253C5CE195F0}"/>
    <cellStyle name="_8.1% CDR BB Break In Yield" xfId="34" xr:uid="{00000000-0005-0000-0000-000021000000}"/>
    <cellStyle name="_8.1% CDR BB Break In Yield 2" xfId="926" xr:uid="{49AB6E11-578E-414B-8C71-0CA72B13B68B}"/>
    <cellStyle name="_9% CADR" xfId="35" xr:uid="{00000000-0005-0000-0000-000022000000}"/>
    <cellStyle name="_9% CADR 2" xfId="927" xr:uid="{6E76AFE1-010E-4B41-B38C-CBC58F1E2C4F}"/>
    <cellStyle name="_Assets" xfId="36" xr:uid="{00000000-0005-0000-0000-000023000000}"/>
    <cellStyle name="_Assets 2" xfId="928" xr:uid="{BF0AFFBE-0044-4165-B164-A4279649D1D4}"/>
    <cellStyle name="_Assets_1" xfId="37" xr:uid="{00000000-0005-0000-0000-000024000000}"/>
    <cellStyle name="_Assets_1_COMPS - B2B Publishers" xfId="38" xr:uid="{00000000-0005-0000-0000-000025000000}"/>
    <cellStyle name="_Assets_1_COMPS - Directories" xfId="39" xr:uid="{00000000-0005-0000-0000-000026000000}"/>
    <cellStyle name="_Assets_1_F&amp;W Servicing Model" xfId="40" xr:uid="{00000000-0005-0000-0000-000027000000}"/>
    <cellStyle name="_Assets_1_F&amp;W Servicing Model v2" xfId="41" xr:uid="{00000000-0005-0000-0000-000028000000}"/>
    <cellStyle name="_Assets_1_S&amp;P Analysis" xfId="42" xr:uid="{00000000-0005-0000-0000-000029000000}"/>
    <cellStyle name="_Assets_1_S&amp;P Analysis 2" xfId="929" xr:uid="{0C720BFD-1F5E-4411-A76D-6568EA57D925}"/>
    <cellStyle name="_Assets_1_Univision Annual Model" xfId="43" xr:uid="{00000000-0005-0000-0000-00002A000000}"/>
    <cellStyle name="_Assets_1_Yell Servicing Model" xfId="44" xr:uid="{00000000-0005-0000-0000-00002B000000}"/>
    <cellStyle name="_Assets_S&amp;P Analysis" xfId="45" xr:uid="{00000000-0005-0000-0000-00002C000000}"/>
    <cellStyle name="_Assets_S&amp;P Analysis_COMPS - B2B Publishers" xfId="46" xr:uid="{00000000-0005-0000-0000-00002D000000}"/>
    <cellStyle name="_Assets_S&amp;P Analysis_COMPS - Directories" xfId="47" xr:uid="{00000000-0005-0000-0000-00002E000000}"/>
    <cellStyle name="_Assets_S&amp;P Analysis_F&amp;W Servicing Model" xfId="48" xr:uid="{00000000-0005-0000-0000-00002F000000}"/>
    <cellStyle name="_Assets_S&amp;P Analysis_F&amp;W Servicing Model v2" xfId="49" xr:uid="{00000000-0005-0000-0000-000030000000}"/>
    <cellStyle name="_Assets_S&amp;P Analysis_Univision Annual Model" xfId="50" xr:uid="{00000000-0005-0000-0000-000031000000}"/>
    <cellStyle name="_Assets_S&amp;P Analysis_Yell Servicing Model" xfId="51" xr:uid="{00000000-0005-0000-0000-000032000000}"/>
    <cellStyle name="_Assumptions" xfId="52" xr:uid="{00000000-0005-0000-0000-000033000000}"/>
    <cellStyle name="_Assumptions 2" xfId="930" xr:uid="{C4F58583-9839-4DFB-959C-B85A48BCE706}"/>
    <cellStyle name="_Assumptions_1" xfId="53" xr:uid="{00000000-0005-0000-0000-000034000000}"/>
    <cellStyle name="_Assumptions_1 2" xfId="931" xr:uid="{1587779E-47EF-47ED-91BE-82FD236AC6AE}"/>
    <cellStyle name="_Assumptions_1_COMPS - B2B Publishers" xfId="54" xr:uid="{00000000-0005-0000-0000-000035000000}"/>
    <cellStyle name="_Assumptions_1_COMPS - B2B Publishers 2" xfId="932" xr:uid="{89587E29-EB9E-4A5A-8CE3-1AC5A5AC5C75}"/>
    <cellStyle name="_Assumptions_1_COMPS - Directories" xfId="55" xr:uid="{00000000-0005-0000-0000-000036000000}"/>
    <cellStyle name="_Assumptions_1_COMPS - Directories 2" xfId="933" xr:uid="{29DED3A8-E4DC-466B-9CB7-B071D91AA6CF}"/>
    <cellStyle name="_Assumptions_1_F&amp;W Servicing Model" xfId="56" xr:uid="{00000000-0005-0000-0000-000037000000}"/>
    <cellStyle name="_Assumptions_1_F&amp;W Servicing Model 2" xfId="934" xr:uid="{127ABA93-6A47-497A-8FA8-EF3A1E2F2275}"/>
    <cellStyle name="_Assumptions_1_F&amp;W Servicing Model v2" xfId="57" xr:uid="{00000000-0005-0000-0000-000038000000}"/>
    <cellStyle name="_Assumptions_1_F&amp;W Servicing Model v2 2" xfId="935" xr:uid="{2F85793C-3CBF-43D6-842B-1A5AC6CE8786}"/>
    <cellStyle name="_Assumptions_1_Univision Annual Model" xfId="58" xr:uid="{00000000-0005-0000-0000-000039000000}"/>
    <cellStyle name="_Assumptions_1_Univision Annual Model 2" xfId="936" xr:uid="{E711ADFA-6DCA-49C3-A541-A381B0D854E3}"/>
    <cellStyle name="_Assumptions_1_Yell Servicing Model" xfId="59" xr:uid="{00000000-0005-0000-0000-00003A000000}"/>
    <cellStyle name="_Assumptions_1_Yell Servicing Model 2" xfId="937" xr:uid="{6C550B90-7359-4668-AD3C-398250B83979}"/>
    <cellStyle name="_Blue Mountain TRS (7-5-05)" xfId="60" xr:uid="{00000000-0005-0000-0000-00003B000000}"/>
    <cellStyle name="_Blue Mountain TRS (7-5-05) 2" xfId="938" xr:uid="{D8E33F8C-3A89-4811-A367-3E43580F5A53}"/>
    <cellStyle name="_Book2" xfId="61" xr:uid="{00000000-0005-0000-0000-00003C000000}"/>
    <cellStyle name="_Book2 2" xfId="939" xr:uid="{A0D364EB-DF40-477B-B14A-D615D6CA844E}"/>
    <cellStyle name="_CDO of CDO" xfId="62" xr:uid="{00000000-0005-0000-0000-00003D000000}"/>
    <cellStyle name="_CDO of CDO 2" xfId="940" xr:uid="{0C4EB535-73EC-4136-9BDA-1ECA28069CB9}"/>
    <cellStyle name="_CLO Portfolio 10_07_2005" xfId="63" xr:uid="{00000000-0005-0000-0000-00003E000000}"/>
    <cellStyle name="_CLO Portfolio 10_07_2005 2" xfId="941" xr:uid="{B3AA4850-99B1-497D-89EA-B14F2CBD502E}"/>
    <cellStyle name="_Comma" xfId="64" xr:uid="{00000000-0005-0000-0000-00003F000000}"/>
    <cellStyle name="_Comma 2" xfId="942" xr:uid="{EAD3B2A6-F0EF-4E56-9F6F-C8995C55CF9B}"/>
    <cellStyle name="_Comma_dcf" xfId="65" xr:uid="{00000000-0005-0000-0000-000040000000}"/>
    <cellStyle name="_Comma_dcf 2" xfId="943" xr:uid="{8A8B2ABE-8CD0-4781-ACB4-97504A648DCD}"/>
    <cellStyle name="_Currency" xfId="66" xr:uid="{00000000-0005-0000-0000-000041000000}"/>
    <cellStyle name="_Currency 2" xfId="944" xr:uid="{C381A7CF-36F9-4F6D-BAF5-050F990BE0B5}"/>
    <cellStyle name="_Currency_dcf" xfId="67" xr:uid="{00000000-0005-0000-0000-000042000000}"/>
    <cellStyle name="_Currency_dcf 2" xfId="945" xr:uid="{C2E099CC-1323-470B-AB17-E116ED73CDB6}"/>
    <cellStyle name="_CurrencySpace" xfId="68" xr:uid="{00000000-0005-0000-0000-000043000000}"/>
    <cellStyle name="_CurrencySpace 2" xfId="946" xr:uid="{5393C16D-88A3-4446-AB7C-C41B3E783440}"/>
    <cellStyle name="_CurrencySpace_dcf" xfId="69" xr:uid="{00000000-0005-0000-0000-000044000000}"/>
    <cellStyle name="_CurrencySpace_dcf 2" xfId="947" xr:uid="{EAEEC760-A672-4BD1-B34B-77856FC4DB77}"/>
    <cellStyle name="_Euro" xfId="70" xr:uid="{00000000-0005-0000-0000-000045000000}"/>
    <cellStyle name="_Euro 2" xfId="948" xr:uid="{9AAB530A-5ABB-4FAD-84E0-49FD5B8B60BC}"/>
    <cellStyle name="_EV8 Assumption List" xfId="71" xr:uid="{00000000-0005-0000-0000-000046000000}"/>
    <cellStyle name="_EV8 Assumption List 2" xfId="949" xr:uid="{971245CF-537A-45A0-94A3-44F223183755}"/>
    <cellStyle name="_Exhibit I Babson Warehouse 2006-II CLO 8 18 06" xfId="72" xr:uid="{00000000-0005-0000-0000-000047000000}"/>
    <cellStyle name="_Exhibit I Babson Warehouse 2006-II CLO 8 18 06 2" xfId="950" xr:uid="{43B59147-A078-4E4C-A1D1-6EBBC7BAB288}"/>
    <cellStyle name="_First PIK" xfId="73" xr:uid="{00000000-0005-0000-0000-000048000000}"/>
    <cellStyle name="_First PIK 2" xfId="951" xr:uid="{9BAEE8F6-1B0D-4AF1-861F-3144B86E198D}"/>
    <cellStyle name="_Galaxy VI CLO - WestLB Request" xfId="74" xr:uid="{00000000-0005-0000-0000-000049000000}"/>
    <cellStyle name="_Galaxy VI CLO - WestLB Request 2" xfId="952" xr:uid="{4B6B220F-164B-4231-B2D8-9950D0D11621}"/>
    <cellStyle name="_Heading" xfId="75" xr:uid="{00000000-0005-0000-0000-00004A000000}"/>
    <cellStyle name="_Heading_prestemp" xfId="76" xr:uid="{00000000-0005-0000-0000-00004B000000}"/>
    <cellStyle name="_Highlight" xfId="77" xr:uid="{00000000-0005-0000-0000-00004C000000}"/>
    <cellStyle name="_Highlight 2" xfId="953" xr:uid="{125F8543-53F4-4393-B090-359F2AB511B8}"/>
    <cellStyle name="_Model FINAL (2)" xfId="78" xr:uid="{00000000-0005-0000-0000-00004D000000}"/>
    <cellStyle name="_Model FINAL (2) 2" xfId="954" xr:uid="{64E882CC-EDB7-4F8F-91D4-384B4BF8A3C2}"/>
    <cellStyle name="_Multiple" xfId="79" xr:uid="{00000000-0005-0000-0000-00004E000000}"/>
    <cellStyle name="_Multiple 2" xfId="955" xr:uid="{CB80AFF2-D950-4879-B288-2818F5815D4C}"/>
    <cellStyle name="_Multiple_dcf" xfId="80" xr:uid="{00000000-0005-0000-0000-00004F000000}"/>
    <cellStyle name="_Multiple_dcf 2" xfId="956" xr:uid="{BD5F3E61-339A-4308-BFDF-7184272BB083}"/>
    <cellStyle name="_MultipleSpace" xfId="81" xr:uid="{00000000-0005-0000-0000-000050000000}"/>
    <cellStyle name="_MultipleSpace 2" xfId="957" xr:uid="{FB009E7D-2E88-423A-9537-8E9401FEB287}"/>
    <cellStyle name="_MultipleSpace_dcf" xfId="82" xr:uid="{00000000-0005-0000-0000-000051000000}"/>
    <cellStyle name="_MultipleSpace_dcf 2" xfId="958" xr:uid="{6C405CF6-8295-4FD1-B680-BEE3939E034C}"/>
    <cellStyle name="_Other Defafult Scenario 1" xfId="83" xr:uid="{00000000-0005-0000-0000-000052000000}"/>
    <cellStyle name="_Other Defafult Scenario 1 2" xfId="959" xr:uid="{A4564F5F-F6DA-46FA-B0E5-2C20A3E5D33F}"/>
    <cellStyle name="_Other Default Scenario 2" xfId="84" xr:uid="{00000000-0005-0000-0000-000053000000}"/>
    <cellStyle name="_Other Default Scenario 2 2" xfId="960" xr:uid="{C4F4FF3F-89E7-44E5-B3E5-6C44F4720C21}"/>
    <cellStyle name="_Percent" xfId="85" xr:uid="{00000000-0005-0000-0000-000054000000}"/>
    <cellStyle name="_Percent 2" xfId="961" xr:uid="{C9212CE9-B48D-4B80-AF57-C3A93AC0DE2C}"/>
    <cellStyle name="_PercentSpace" xfId="86" xr:uid="{00000000-0005-0000-0000-000055000000}"/>
    <cellStyle name="_PercentSpace 2" xfId="962" xr:uid="{0F4911C6-2CBE-40E1-905F-972A10990BEB}"/>
    <cellStyle name="_Port" xfId="87" xr:uid="{00000000-0005-0000-0000-000056000000}"/>
    <cellStyle name="_Port 2" xfId="963" xr:uid="{8EF434F5-6CB7-4921-BB6B-57A1FE2FF8B1}"/>
    <cellStyle name="_Port For S&amp;P" xfId="88" xr:uid="{00000000-0005-0000-0000-000057000000}"/>
    <cellStyle name="_Port For S&amp;P 2" xfId="964" xr:uid="{9050507F-21D8-42A3-A0F2-6FDB6A8991EB}"/>
    <cellStyle name="_Port_COMPS - B2B Publishers" xfId="89" xr:uid="{00000000-0005-0000-0000-000058000000}"/>
    <cellStyle name="_Port_COMPS - B2B Publishers 2" xfId="965" xr:uid="{2784EB84-3B47-491B-8C5A-2C7CBE5AAAC4}"/>
    <cellStyle name="_Port_COMPS - Directories" xfId="90" xr:uid="{00000000-0005-0000-0000-000059000000}"/>
    <cellStyle name="_Port_COMPS - Directories 2" xfId="966" xr:uid="{33B2EC0F-DC2C-4527-8B6F-1ED28356C2CA}"/>
    <cellStyle name="_Port_F&amp;W Servicing Model" xfId="91" xr:uid="{00000000-0005-0000-0000-00005A000000}"/>
    <cellStyle name="_Port_F&amp;W Servicing Model 2" xfId="967" xr:uid="{82C10D72-7BE6-4BAC-BDD2-A26D0AFA177F}"/>
    <cellStyle name="_Port_F&amp;W Servicing Model v2" xfId="92" xr:uid="{00000000-0005-0000-0000-00005B000000}"/>
    <cellStyle name="_Port_F&amp;W Servicing Model v2 2" xfId="968" xr:uid="{0B21F90E-F2C7-4C0E-B42B-29732AE3EF25}"/>
    <cellStyle name="_Port_Univision Annual Model" xfId="93" xr:uid="{00000000-0005-0000-0000-00005C000000}"/>
    <cellStyle name="_Port_Univision Annual Model 2" xfId="969" xr:uid="{E56C22BF-19FE-4F49-9F30-52AE03C990C5}"/>
    <cellStyle name="_Port_Yell Servicing Model" xfId="94" xr:uid="{00000000-0005-0000-0000-00005D000000}"/>
    <cellStyle name="_Port_Yell Servicing Model 2" xfId="970" xr:uid="{5B9CB7EE-C4BB-4C5E-9550-B5BAE40686FC}"/>
    <cellStyle name="_Pro Forma TTM 9.30.07 (CW NEIRB Acquisition)" xfId="95" xr:uid="{00000000-0005-0000-0000-00005E000000}"/>
    <cellStyle name="_Pro Forma TTM 9.30.07 (CW NEIRB Acquisition) 2" xfId="971" xr:uid="{194C1B0C-C8DD-4D52-8934-B3A49565DCBF}"/>
    <cellStyle name="_S&amp;P Analysis" xfId="96" xr:uid="{00000000-0005-0000-0000-00005F000000}"/>
    <cellStyle name="_S&amp;P Analysis_COMPS - B2B Publishers" xfId="97" xr:uid="{00000000-0005-0000-0000-000060000000}"/>
    <cellStyle name="_S&amp;P Analysis_COMPS - Directories" xfId="98" xr:uid="{00000000-0005-0000-0000-000061000000}"/>
    <cellStyle name="_S&amp;P Analysis_F&amp;W Servicing Model" xfId="99" xr:uid="{00000000-0005-0000-0000-000062000000}"/>
    <cellStyle name="_S&amp;P Analysis_F&amp;W Servicing Model v2" xfId="100" xr:uid="{00000000-0005-0000-0000-000063000000}"/>
    <cellStyle name="_S&amp;P Analysis_Univision Annual Model" xfId="101" xr:uid="{00000000-0005-0000-0000-000064000000}"/>
    <cellStyle name="_S&amp;P Analysis_Yell Servicing Model" xfId="102" xr:uid="{00000000-0005-0000-0000-000065000000}"/>
    <cellStyle name="_S&amp;P Hypothetical Port Summary" xfId="103" xr:uid="{00000000-0005-0000-0000-000066000000}"/>
    <cellStyle name="_S&amp;P Hypothetical Port Summary 2" xfId="972" xr:uid="{6092DADD-1E86-4215-98D2-5370BBB31FD1}"/>
    <cellStyle name="_S&amp;P Port 80Div_2099WARF" xfId="104" xr:uid="{00000000-0005-0000-0000-000067000000}"/>
    <cellStyle name="_S&amp;P Port 80Div_2099WARF 2" xfId="973" xr:uid="{C32B642F-E59D-4A8B-9586-C21212E75B48}"/>
    <cellStyle name="_S&amp;P Stress Scenarios" xfId="105" xr:uid="{00000000-0005-0000-0000-000068000000}"/>
    <cellStyle name="_S&amp;P Stress Scenarios 2" xfId="974" xr:uid="{9FD9FA9C-1E55-4AE1-9B9B-66ED69093F40}"/>
    <cellStyle name="_Sources and Uses" xfId="106" xr:uid="{00000000-0005-0000-0000-000069000000}"/>
    <cellStyle name="_Sources and Uses 2" xfId="975" xr:uid="{D8A25A01-3468-48EC-8F8C-3A357F5805B7}"/>
    <cellStyle name="_SubHeading" xfId="107" xr:uid="{00000000-0005-0000-0000-00006A000000}"/>
    <cellStyle name="_SubHeading_prestemp" xfId="108" xr:uid="{00000000-0005-0000-0000-00006B000000}"/>
    <cellStyle name="_Table" xfId="109" xr:uid="{00000000-0005-0000-0000-00006C000000}"/>
    <cellStyle name="_TableHead" xfId="110" xr:uid="{00000000-0005-0000-0000-00006D000000}"/>
    <cellStyle name="_TableRowHead" xfId="111" xr:uid="{00000000-0005-0000-0000-00006E000000}"/>
    <cellStyle name="_TableSuperHead" xfId="112" xr:uid="{00000000-0005-0000-0000-00006F000000}"/>
    <cellStyle name="£Currency [0]" xfId="113" xr:uid="{00000000-0005-0000-0000-000070000000}"/>
    <cellStyle name="£Currency [1]" xfId="114" xr:uid="{00000000-0005-0000-0000-000071000000}"/>
    <cellStyle name="£Currency [2]" xfId="115" xr:uid="{00000000-0005-0000-0000-000072000000}"/>
    <cellStyle name="£Currency [p]" xfId="116" xr:uid="{00000000-0005-0000-0000-000073000000}"/>
    <cellStyle name="£Currency [p2]" xfId="117" xr:uid="{00000000-0005-0000-0000-000074000000}"/>
    <cellStyle name="£Pounds" xfId="118" xr:uid="{00000000-0005-0000-0000-000075000000}"/>
    <cellStyle name="Accounting $" xfId="119" xr:uid="{00000000-0005-0000-0000-000076000000}"/>
    <cellStyle name="Accounting $ 2" xfId="976" xr:uid="{B9756E0B-8CDE-479D-99C5-4A5B374DDDFF}"/>
    <cellStyle name="Across" xfId="120" xr:uid="{00000000-0005-0000-0000-000077000000}"/>
    <cellStyle name="Adjustable" xfId="121" xr:uid="{00000000-0005-0000-0000-000078000000}"/>
    <cellStyle name="AFE" xfId="122" xr:uid="{00000000-0005-0000-0000-000079000000}"/>
    <cellStyle name="Andre's Title" xfId="123" xr:uid="{00000000-0005-0000-0000-00007A000000}"/>
    <cellStyle name="args.style" xfId="124" xr:uid="{00000000-0005-0000-0000-00007B000000}"/>
    <cellStyle name="Arial 10" xfId="125" xr:uid="{00000000-0005-0000-0000-00007C000000}"/>
    <cellStyle name="Arial 10 2" xfId="977" xr:uid="{4E991909-E412-46EB-BB1C-4EB5B0FF5885}"/>
    <cellStyle name="Arial 12" xfId="126" xr:uid="{00000000-0005-0000-0000-00007D000000}"/>
    <cellStyle name="Best" xfId="127" xr:uid="{00000000-0005-0000-0000-00007E000000}"/>
    <cellStyle name="Blank [$]" xfId="128" xr:uid="{00000000-0005-0000-0000-00007F000000}"/>
    <cellStyle name="Blank [,]" xfId="129" xr:uid="{00000000-0005-0000-0000-000080000000}"/>
    <cellStyle name="BlankedZeros" xfId="130" xr:uid="{00000000-0005-0000-0000-000081000000}"/>
    <cellStyle name="blp_column_header" xfId="131" xr:uid="{00000000-0005-0000-0000-000082000000}"/>
    <cellStyle name="Blue" xfId="132" xr:uid="{00000000-0005-0000-0000-000083000000}"/>
    <cellStyle name="bluepercent" xfId="133" xr:uid="{00000000-0005-0000-0000-000084000000}"/>
    <cellStyle name="Body" xfId="134" xr:uid="{00000000-0005-0000-0000-000085000000}"/>
    <cellStyle name="Bold" xfId="135" xr:uid="{00000000-0005-0000-0000-000086000000}"/>
    <cellStyle name="BoldItalic" xfId="136" xr:uid="{00000000-0005-0000-0000-000087000000}"/>
    <cellStyle name="Bottom" xfId="137" xr:uid="{00000000-0005-0000-0000-000088000000}"/>
    <cellStyle name="Bottom Edge" xfId="138" xr:uid="{00000000-0005-0000-0000-000089000000}"/>
    <cellStyle name="British Pound" xfId="139" xr:uid="{00000000-0005-0000-0000-00008A000000}"/>
    <cellStyle name="Business Description" xfId="140" xr:uid="{00000000-0005-0000-0000-00008B000000}"/>
    <cellStyle name="c" xfId="141" xr:uid="{00000000-0005-0000-0000-00008C000000}"/>
    <cellStyle name="Calc Currency (0)" xfId="142" xr:uid="{00000000-0005-0000-0000-00008D000000}"/>
    <cellStyle name="Calc Currency (2)" xfId="143" xr:uid="{00000000-0005-0000-0000-00008E000000}"/>
    <cellStyle name="Calc Percent (0)" xfId="144" xr:uid="{00000000-0005-0000-0000-00008F000000}"/>
    <cellStyle name="Calc Percent (1)" xfId="145" xr:uid="{00000000-0005-0000-0000-000090000000}"/>
    <cellStyle name="Calc Percent (2)" xfId="146" xr:uid="{00000000-0005-0000-0000-000091000000}"/>
    <cellStyle name="Calc Percent (2) 2" xfId="978" xr:uid="{8C036523-B15B-4A75-BC28-2BB7E5D54A80}"/>
    <cellStyle name="Calc Units (0)" xfId="147" xr:uid="{00000000-0005-0000-0000-000092000000}"/>
    <cellStyle name="Calc Units (1)" xfId="148" xr:uid="{00000000-0005-0000-0000-000093000000}"/>
    <cellStyle name="Calc Units (2)" xfId="149" xr:uid="{00000000-0005-0000-0000-000094000000}"/>
    <cellStyle name="Case" xfId="150" xr:uid="{00000000-0005-0000-0000-000095000000}"/>
    <cellStyle name="cc" xfId="151" xr:uid="{00000000-0005-0000-0000-000096000000}"/>
    <cellStyle name="Center" xfId="152" xr:uid="{00000000-0005-0000-0000-000097000000}"/>
    <cellStyle name="CenterBold" xfId="153" xr:uid="{00000000-0005-0000-0000-000098000000}"/>
    <cellStyle name="CenterItalic" xfId="154" xr:uid="{00000000-0005-0000-0000-000099000000}"/>
    <cellStyle name="Cents" xfId="155" xr:uid="{00000000-0005-0000-0000-00009A000000}"/>
    <cellStyle name="Cents 2" xfId="979" xr:uid="{02FAECC0-2A92-486B-8A38-A58A669E01E4}"/>
    <cellStyle name="ChartingText" xfId="156" xr:uid="{00000000-0005-0000-0000-00009B000000}"/>
    <cellStyle name="Co. Names" xfId="157" xr:uid="{00000000-0005-0000-0000-00009C000000}"/>
    <cellStyle name="Co. Names - Bold" xfId="158" xr:uid="{00000000-0005-0000-0000-00009D000000}"/>
    <cellStyle name="Co. Names_Break-Up" xfId="159" xr:uid="{00000000-0005-0000-0000-00009E000000}"/>
    <cellStyle name="COL HEADINGS" xfId="160" xr:uid="{00000000-0005-0000-0000-00009F000000}"/>
    <cellStyle name="ColumnHeaderNormal" xfId="161" xr:uid="{00000000-0005-0000-0000-0000A0000000}"/>
    <cellStyle name="Comma" xfId="162" builtinId="3"/>
    <cellStyle name="Comma  - Style1" xfId="163" xr:uid="{00000000-0005-0000-0000-0000A2000000}"/>
    <cellStyle name="Comma  - Style1 2" xfId="980" xr:uid="{4FF022FA-F44D-4BF2-8B60-C39847841849}"/>
    <cellStyle name="Comma  - Style2" xfId="164" xr:uid="{00000000-0005-0000-0000-0000A3000000}"/>
    <cellStyle name="Comma  - Style2 2" xfId="981" xr:uid="{007DBE45-10EF-4AA7-AD99-07F0CF968E91}"/>
    <cellStyle name="Comma  - Style3" xfId="165" xr:uid="{00000000-0005-0000-0000-0000A4000000}"/>
    <cellStyle name="Comma  - Style3 2" xfId="982" xr:uid="{5471A78F-A10A-44F0-BF96-5CCBB607F6A3}"/>
    <cellStyle name="Comma  - Style4" xfId="166" xr:uid="{00000000-0005-0000-0000-0000A5000000}"/>
    <cellStyle name="Comma  - Style4 2" xfId="983" xr:uid="{7884EC3E-74F2-46CE-93D0-5AE3DA723572}"/>
    <cellStyle name="Comma  - Style5" xfId="167" xr:uid="{00000000-0005-0000-0000-0000A6000000}"/>
    <cellStyle name="Comma  - Style5 2" xfId="984" xr:uid="{50D1A00F-D8B4-4D87-8470-2A5D2A7E36F5}"/>
    <cellStyle name="Comma  - Style6" xfId="168" xr:uid="{00000000-0005-0000-0000-0000A7000000}"/>
    <cellStyle name="Comma  - Style6 2" xfId="985" xr:uid="{DAAD2BC7-6DCE-4172-94CC-0AC5264281F6}"/>
    <cellStyle name="Comma  - Style7" xfId="169" xr:uid="{00000000-0005-0000-0000-0000A8000000}"/>
    <cellStyle name="Comma  - Style7 2" xfId="986" xr:uid="{4B5781B6-1F54-49B0-B8D0-04C8BF1CF287}"/>
    <cellStyle name="Comma  - Style8" xfId="170" xr:uid="{00000000-0005-0000-0000-0000A9000000}"/>
    <cellStyle name="Comma  - Style8 2" xfId="987" xr:uid="{CD3BF2F3-0DC6-4A51-9AEF-DD61288F6852}"/>
    <cellStyle name="Comma [0]; --" xfId="171" xr:uid="{00000000-0005-0000-0000-0000AA000000}"/>
    <cellStyle name="Comma [00]" xfId="172" xr:uid="{00000000-0005-0000-0000-0000AB000000}"/>
    <cellStyle name="Comma [1]" xfId="173" xr:uid="{00000000-0005-0000-0000-0000AC000000}"/>
    <cellStyle name="Comma Cents" xfId="174" xr:uid="{00000000-0005-0000-0000-0000AD000000}"/>
    <cellStyle name="Comma Cents 2" xfId="988" xr:uid="{B59E1B8F-E405-4E3F-A55A-B2F0569330D1}"/>
    <cellStyle name="Comma0" xfId="175" xr:uid="{00000000-0005-0000-0000-0000AE000000}"/>
    <cellStyle name="Comma0 2" xfId="989" xr:uid="{B10A0E38-64ED-4D79-804B-B0C5983F335E}"/>
    <cellStyle name="Commas" xfId="176" xr:uid="{00000000-0005-0000-0000-0000AF000000}"/>
    <cellStyle name="CommasBold" xfId="177" xr:uid="{00000000-0005-0000-0000-0000B0000000}"/>
    <cellStyle name="CompanyTitle" xfId="178" xr:uid="{00000000-0005-0000-0000-0000B1000000}"/>
    <cellStyle name="Copied" xfId="179" xr:uid="{00000000-0005-0000-0000-0000B2000000}"/>
    <cellStyle name="Currency $" xfId="180" xr:uid="{00000000-0005-0000-0000-0000B3000000}"/>
    <cellStyle name="Currency $ 2" xfId="990" xr:uid="{0C0BD39A-89F9-4A80-9022-8AB50624E82A}"/>
    <cellStyle name="Currency [0]; --" xfId="181" xr:uid="{00000000-0005-0000-0000-0000B4000000}"/>
    <cellStyle name="Currency [00]" xfId="182" xr:uid="{00000000-0005-0000-0000-0000B5000000}"/>
    <cellStyle name="Currency [1]" xfId="183" xr:uid="{00000000-0005-0000-0000-0000B6000000}"/>
    <cellStyle name="Currency [2]" xfId="184" xr:uid="{00000000-0005-0000-0000-0000B7000000}"/>
    <cellStyle name="data" xfId="185" xr:uid="{00000000-0005-0000-0000-0000B8000000}"/>
    <cellStyle name="data 2" xfId="991" xr:uid="{3C642814-A30A-4854-90BB-ACC363D77EAB}"/>
    <cellStyle name="Date" xfId="186" xr:uid="{00000000-0005-0000-0000-0000B9000000}"/>
    <cellStyle name="Date 2" xfId="992" xr:uid="{7ACB3341-F778-4057-AE9F-FFF7F23DEAB3}"/>
    <cellStyle name="Date Short" xfId="187" xr:uid="{00000000-0005-0000-0000-0000BA000000}"/>
    <cellStyle name="Date_COMPS - Directories" xfId="188" xr:uid="{00000000-0005-0000-0000-0000BB000000}"/>
    <cellStyle name="DateLeftBold" xfId="189" xr:uid="{00000000-0005-0000-0000-0000BC000000}"/>
    <cellStyle name="Default" xfId="190" xr:uid="{00000000-0005-0000-0000-0000BD000000}"/>
    <cellStyle name="Default 2" xfId="993" xr:uid="{0B4122D9-C508-4C34-ACE1-04E49D7202EA}"/>
    <cellStyle name="DELTA" xfId="191" xr:uid="{00000000-0005-0000-0000-0000BE000000}"/>
    <cellStyle name="Dollars" xfId="192" xr:uid="{00000000-0005-0000-0000-0000BF000000}"/>
    <cellStyle name="Dollars []" xfId="193" xr:uid="{00000000-0005-0000-0000-0000C0000000}"/>
    <cellStyle name="Dollars_Pro Forma TTM 9.30.07 (CW NEIRB Acquisition)" xfId="194" xr:uid="{00000000-0005-0000-0000-0000C1000000}"/>
    <cellStyle name="Double" xfId="195" xr:uid="{00000000-0005-0000-0000-0000C2000000}"/>
    <cellStyle name="Double Accounting" xfId="196" xr:uid="{00000000-0005-0000-0000-0000C3000000}"/>
    <cellStyle name="Enter Currency (0)" xfId="197" xr:uid="{00000000-0005-0000-0000-0000C4000000}"/>
    <cellStyle name="Enter Currency (2)" xfId="198" xr:uid="{00000000-0005-0000-0000-0000C5000000}"/>
    <cellStyle name="Enter Units (0)" xfId="199" xr:uid="{00000000-0005-0000-0000-0000C6000000}"/>
    <cellStyle name="Enter Units (1)" xfId="200" xr:uid="{00000000-0005-0000-0000-0000C7000000}"/>
    <cellStyle name="Enter Units (2)" xfId="201" xr:uid="{00000000-0005-0000-0000-0000C8000000}"/>
    <cellStyle name="Entered" xfId="202" xr:uid="{00000000-0005-0000-0000-0000C9000000}"/>
    <cellStyle name="Euro" xfId="203" xr:uid="{00000000-0005-0000-0000-0000CA000000}"/>
    <cellStyle name="Euro 2" xfId="994" xr:uid="{846067BB-087C-46D1-942A-469927B5581C}"/>
    <cellStyle name="Fit" xfId="204" xr:uid="{00000000-0005-0000-0000-0000CB000000}"/>
    <cellStyle name="Footer" xfId="205" xr:uid="{00000000-0005-0000-0000-0000CC000000}"/>
    <cellStyle name="Footnotes" xfId="206" xr:uid="{00000000-0005-0000-0000-0000CD000000}"/>
    <cellStyle name="Grey" xfId="207" xr:uid="{00000000-0005-0000-0000-0000CE000000}"/>
    <cellStyle name="GreybarHeader" xfId="208" xr:uid="{00000000-0005-0000-0000-0000CF000000}"/>
    <cellStyle name="Grouped Head" xfId="209" xr:uid="{00000000-0005-0000-0000-0000D0000000}"/>
    <cellStyle name="h" xfId="210" xr:uid="{00000000-0005-0000-0000-0000D1000000}"/>
    <cellStyle name="HAlignCenter" xfId="211" xr:uid="{00000000-0005-0000-0000-0000D2000000}"/>
    <cellStyle name="HAlignCenter 2" xfId="995" xr:uid="{2F9024D6-FF18-40F3-868B-AFED8FEF8228}"/>
    <cellStyle name="HAlignLeft" xfId="212" xr:uid="{00000000-0005-0000-0000-0000D3000000}"/>
    <cellStyle name="HAlignLeft 2" xfId="996" xr:uid="{6E1574CF-696B-46E9-B482-8D96F7A3F95E}"/>
    <cellStyle name="HAlignRight" xfId="213" xr:uid="{00000000-0005-0000-0000-0000D4000000}"/>
    <cellStyle name="HAlignRight 2" xfId="997" xr:uid="{8507D7FF-F39F-4BD1-8B90-09AFC33DE7E5}"/>
    <cellStyle name="Head 1" xfId="214" xr:uid="{00000000-0005-0000-0000-0000D5000000}"/>
    <cellStyle name="Header" xfId="215" xr:uid="{00000000-0005-0000-0000-0000D6000000}"/>
    <cellStyle name="Header1" xfId="216" xr:uid="{00000000-0005-0000-0000-0000D7000000}"/>
    <cellStyle name="Header2" xfId="217" xr:uid="{00000000-0005-0000-0000-0000D8000000}"/>
    <cellStyle name="headers" xfId="218" xr:uid="{00000000-0005-0000-0000-0000D9000000}"/>
    <cellStyle name="Heading" xfId="219" xr:uid="{00000000-0005-0000-0000-0000DA000000}"/>
    <cellStyle name="HEADINGS" xfId="220" xr:uid="{00000000-0005-0000-0000-0000DB000000}"/>
    <cellStyle name="HEADINGSTOP" xfId="221" xr:uid="{00000000-0005-0000-0000-0000DC000000}"/>
    <cellStyle name="imput" xfId="222" xr:uid="{00000000-0005-0000-0000-0000DD000000}"/>
    <cellStyle name="Input [yellow]" xfId="223" xr:uid="{00000000-0005-0000-0000-0000DE000000}"/>
    <cellStyle name="Invisible" xfId="224" xr:uid="{00000000-0005-0000-0000-0000DF000000}"/>
    <cellStyle name="ItalicHeader" xfId="225" xr:uid="{00000000-0005-0000-0000-0000E0000000}"/>
    <cellStyle name="Item Descriptions" xfId="226" xr:uid="{00000000-0005-0000-0000-0000E1000000}"/>
    <cellStyle name="Item Descriptions - Bold" xfId="227" xr:uid="{00000000-0005-0000-0000-0000E2000000}"/>
    <cellStyle name="Item Descriptions_6079BX" xfId="228" xr:uid="{00000000-0005-0000-0000-0000E3000000}"/>
    <cellStyle name="Left" xfId="229" xr:uid="{00000000-0005-0000-0000-0000E4000000}"/>
    <cellStyle name="LeftBold" xfId="230" xr:uid="{00000000-0005-0000-0000-0000E5000000}"/>
    <cellStyle name="LeftBoldBottomRule" xfId="231" xr:uid="{00000000-0005-0000-0000-0000E6000000}"/>
    <cellStyle name="LeftBoldCenterRule" xfId="232" xr:uid="{00000000-0005-0000-0000-0000E7000000}"/>
    <cellStyle name="Line" xfId="233" xr:uid="{00000000-0005-0000-0000-0000E8000000}"/>
    <cellStyle name="Link Currency (0)" xfId="234" xr:uid="{00000000-0005-0000-0000-0000E9000000}"/>
    <cellStyle name="Link Currency (2)" xfId="235" xr:uid="{00000000-0005-0000-0000-0000EA000000}"/>
    <cellStyle name="Link Units (0)" xfId="236" xr:uid="{00000000-0005-0000-0000-0000EB000000}"/>
    <cellStyle name="Link Units (1)" xfId="237" xr:uid="{00000000-0005-0000-0000-0000EC000000}"/>
    <cellStyle name="Link Units (2)" xfId="238" xr:uid="{00000000-0005-0000-0000-0000ED000000}"/>
    <cellStyle name="locked" xfId="239" xr:uid="{00000000-0005-0000-0000-0000EE000000}"/>
    <cellStyle name="locked 2" xfId="998" xr:uid="{516F3203-90C3-4283-B609-4B75739FC5B4}"/>
    <cellStyle name="m&amp;a" xfId="240" xr:uid="{00000000-0005-0000-0000-0000EF000000}"/>
    <cellStyle name="Map Labels" xfId="241" xr:uid="{00000000-0005-0000-0000-0000F0000000}"/>
    <cellStyle name="Map Legend" xfId="242" xr:uid="{00000000-0005-0000-0000-0000F1000000}"/>
    <cellStyle name="Merrill" xfId="243" xr:uid="{00000000-0005-0000-0000-0000F2000000}"/>
    <cellStyle name="Millares_Inv Detail A7" xfId="244" xr:uid="{00000000-0005-0000-0000-0000F3000000}"/>
    <cellStyle name="Milliers [0]_r00SC" xfId="245" xr:uid="{00000000-0005-0000-0000-0000F4000000}"/>
    <cellStyle name="Milliers_r00SC" xfId="246" xr:uid="{00000000-0005-0000-0000-0000F5000000}"/>
    <cellStyle name="Mix" xfId="247" xr:uid="{00000000-0005-0000-0000-0000F6000000}"/>
    <cellStyle name="mon" xfId="248" xr:uid="{00000000-0005-0000-0000-0000F7000000}"/>
    <cellStyle name="Monétaire [0]_r00SC" xfId="249" xr:uid="{00000000-0005-0000-0000-0000F8000000}"/>
    <cellStyle name="Monétaire_r00SC" xfId="250" xr:uid="{00000000-0005-0000-0000-0000F9000000}"/>
    <cellStyle name="Money" xfId="251" xr:uid="{00000000-0005-0000-0000-0000FA000000}"/>
    <cellStyle name="Money 2" xfId="999" xr:uid="{34F093B6-A656-4BE2-A07B-E825F898B6BB}"/>
    <cellStyle name="Multiple" xfId="252" xr:uid="{00000000-0005-0000-0000-0000FB000000}"/>
    <cellStyle name="Multiple []" xfId="253" xr:uid="{00000000-0005-0000-0000-0000FC000000}"/>
    <cellStyle name="Multiple [0]" xfId="254" xr:uid="{00000000-0005-0000-0000-0000FD000000}"/>
    <cellStyle name="Multiple [0] []" xfId="255" xr:uid="{00000000-0005-0000-0000-0000FE000000}"/>
    <cellStyle name="Multiple [0]_New MA Public Comps and WACC Model" xfId="256" xr:uid="{00000000-0005-0000-0000-0000FF000000}"/>
    <cellStyle name="Multiple [1]" xfId="257" xr:uid="{00000000-0005-0000-0000-000000010000}"/>
    <cellStyle name="Multiple [1] []" xfId="258" xr:uid="{00000000-0005-0000-0000-000001010000}"/>
    <cellStyle name="Multiple [1]_New MA Public Comps and WACC Model" xfId="259" xr:uid="{00000000-0005-0000-0000-000002010000}"/>
    <cellStyle name="Multiple_CapitalSum" xfId="260" xr:uid="{00000000-0005-0000-0000-000003010000}"/>
    <cellStyle name="N2Style" xfId="261" xr:uid="{00000000-0005-0000-0000-000004010000}"/>
    <cellStyle name="N2Style 2" xfId="1000" xr:uid="{200397C3-4211-4475-BA58-B6B273E235FF}"/>
    <cellStyle name="NewColumnHeaderNormal" xfId="262" xr:uid="{00000000-0005-0000-0000-000005010000}"/>
    <cellStyle name="NewSectionHeaderNormal" xfId="263" xr:uid="{00000000-0005-0000-0000-000006010000}"/>
    <cellStyle name="NewTitleNormal" xfId="264" xr:uid="{00000000-0005-0000-0000-000007010000}"/>
    <cellStyle name="Normal" xfId="0" builtinId="0"/>
    <cellStyle name="Normal - Style1" xfId="265" xr:uid="{00000000-0005-0000-0000-000009010000}"/>
    <cellStyle name="Normal 2" xfId="266" xr:uid="{00000000-0005-0000-0000-00000A010000}"/>
    <cellStyle name="Normal 2 2" xfId="267" xr:uid="{00000000-0005-0000-0000-00000B010000}"/>
    <cellStyle name="Normal 2 2 2" xfId="1002" xr:uid="{23F868B5-EE85-4B16-AB4F-7575115CAF71}"/>
    <cellStyle name="Normal 2 3" xfId="1001" xr:uid="{0B686AAB-E8E7-42A4-870E-D56854252C15}"/>
    <cellStyle name="Normal 27" xfId="1003" xr:uid="{4C95A4A1-D693-4FC4-82EC-1940502F3C05}"/>
    <cellStyle name="Normal1" xfId="268" xr:uid="{00000000-0005-0000-0000-00000C010000}"/>
    <cellStyle name="Normal10" xfId="269" xr:uid="{00000000-0005-0000-0000-00000D010000}"/>
    <cellStyle name="Normal100" xfId="270" xr:uid="{00000000-0005-0000-0000-00000E010000}"/>
    <cellStyle name="Normal101" xfId="271" xr:uid="{00000000-0005-0000-0000-00000F010000}"/>
    <cellStyle name="Normal102" xfId="272" xr:uid="{00000000-0005-0000-0000-000010010000}"/>
    <cellStyle name="Normal103" xfId="273" xr:uid="{00000000-0005-0000-0000-000011010000}"/>
    <cellStyle name="Normal104" xfId="274" xr:uid="{00000000-0005-0000-0000-000012010000}"/>
    <cellStyle name="Normal105" xfId="275" xr:uid="{00000000-0005-0000-0000-000013010000}"/>
    <cellStyle name="Normal106" xfId="276" xr:uid="{00000000-0005-0000-0000-000014010000}"/>
    <cellStyle name="Normal107" xfId="277" xr:uid="{00000000-0005-0000-0000-000015010000}"/>
    <cellStyle name="Normal108" xfId="278" xr:uid="{00000000-0005-0000-0000-000016010000}"/>
    <cellStyle name="Normal109" xfId="279" xr:uid="{00000000-0005-0000-0000-000017010000}"/>
    <cellStyle name="Normal11" xfId="280" xr:uid="{00000000-0005-0000-0000-000018010000}"/>
    <cellStyle name="Normal110" xfId="281" xr:uid="{00000000-0005-0000-0000-000019010000}"/>
    <cellStyle name="Normal111" xfId="282" xr:uid="{00000000-0005-0000-0000-00001A010000}"/>
    <cellStyle name="Normal112" xfId="283" xr:uid="{00000000-0005-0000-0000-00001B010000}"/>
    <cellStyle name="Normal113" xfId="284" xr:uid="{00000000-0005-0000-0000-00001C010000}"/>
    <cellStyle name="Normal114" xfId="285" xr:uid="{00000000-0005-0000-0000-00001D010000}"/>
    <cellStyle name="Normal115" xfId="286" xr:uid="{00000000-0005-0000-0000-00001E010000}"/>
    <cellStyle name="Normal116" xfId="287" xr:uid="{00000000-0005-0000-0000-00001F010000}"/>
    <cellStyle name="Normal117" xfId="288" xr:uid="{00000000-0005-0000-0000-000020010000}"/>
    <cellStyle name="Normal118" xfId="289" xr:uid="{00000000-0005-0000-0000-000021010000}"/>
    <cellStyle name="Normal119" xfId="290" xr:uid="{00000000-0005-0000-0000-000022010000}"/>
    <cellStyle name="Normal12" xfId="291" xr:uid="{00000000-0005-0000-0000-000023010000}"/>
    <cellStyle name="Normal120" xfId="292" xr:uid="{00000000-0005-0000-0000-000024010000}"/>
    <cellStyle name="Normal121" xfId="293" xr:uid="{00000000-0005-0000-0000-000025010000}"/>
    <cellStyle name="Normal122" xfId="294" xr:uid="{00000000-0005-0000-0000-000026010000}"/>
    <cellStyle name="Normal123" xfId="295" xr:uid="{00000000-0005-0000-0000-000027010000}"/>
    <cellStyle name="Normal124" xfId="296" xr:uid="{00000000-0005-0000-0000-000028010000}"/>
    <cellStyle name="Normal125" xfId="297" xr:uid="{00000000-0005-0000-0000-000029010000}"/>
    <cellStyle name="Normal126" xfId="298" xr:uid="{00000000-0005-0000-0000-00002A010000}"/>
    <cellStyle name="Normal127" xfId="299" xr:uid="{00000000-0005-0000-0000-00002B010000}"/>
    <cellStyle name="Normal128" xfId="300" xr:uid="{00000000-0005-0000-0000-00002C010000}"/>
    <cellStyle name="Normal129" xfId="301" xr:uid="{00000000-0005-0000-0000-00002D010000}"/>
    <cellStyle name="Normal13" xfId="302" xr:uid="{00000000-0005-0000-0000-00002E010000}"/>
    <cellStyle name="Normal130" xfId="303" xr:uid="{00000000-0005-0000-0000-00002F010000}"/>
    <cellStyle name="Normal131" xfId="304" xr:uid="{00000000-0005-0000-0000-000030010000}"/>
    <cellStyle name="Normal132" xfId="305" xr:uid="{00000000-0005-0000-0000-000031010000}"/>
    <cellStyle name="Normal133" xfId="306" xr:uid="{00000000-0005-0000-0000-000032010000}"/>
    <cellStyle name="Normal134" xfId="307" xr:uid="{00000000-0005-0000-0000-000033010000}"/>
    <cellStyle name="Normal135" xfId="308" xr:uid="{00000000-0005-0000-0000-000034010000}"/>
    <cellStyle name="Normal136" xfId="309" xr:uid="{00000000-0005-0000-0000-000035010000}"/>
    <cellStyle name="Normal137" xfId="310" xr:uid="{00000000-0005-0000-0000-000036010000}"/>
    <cellStyle name="Normal138" xfId="311" xr:uid="{00000000-0005-0000-0000-000037010000}"/>
    <cellStyle name="Normal139" xfId="312" xr:uid="{00000000-0005-0000-0000-000038010000}"/>
    <cellStyle name="Normal14" xfId="313" xr:uid="{00000000-0005-0000-0000-000039010000}"/>
    <cellStyle name="Normal140" xfId="314" xr:uid="{00000000-0005-0000-0000-00003A010000}"/>
    <cellStyle name="Normal141" xfId="315" xr:uid="{00000000-0005-0000-0000-00003B010000}"/>
    <cellStyle name="Normal142" xfId="316" xr:uid="{00000000-0005-0000-0000-00003C010000}"/>
    <cellStyle name="Normal143" xfId="317" xr:uid="{00000000-0005-0000-0000-00003D010000}"/>
    <cellStyle name="Normal144" xfId="318" xr:uid="{00000000-0005-0000-0000-00003E010000}"/>
    <cellStyle name="Normal145" xfId="319" xr:uid="{00000000-0005-0000-0000-00003F010000}"/>
    <cellStyle name="Normal146" xfId="320" xr:uid="{00000000-0005-0000-0000-000040010000}"/>
    <cellStyle name="Normal147" xfId="321" xr:uid="{00000000-0005-0000-0000-000041010000}"/>
    <cellStyle name="Normal148" xfId="322" xr:uid="{00000000-0005-0000-0000-000042010000}"/>
    <cellStyle name="Normal149" xfId="323" xr:uid="{00000000-0005-0000-0000-000043010000}"/>
    <cellStyle name="Normal15" xfId="324" xr:uid="{00000000-0005-0000-0000-000044010000}"/>
    <cellStyle name="Normal150" xfId="325" xr:uid="{00000000-0005-0000-0000-000045010000}"/>
    <cellStyle name="Normal151" xfId="326" xr:uid="{00000000-0005-0000-0000-000046010000}"/>
    <cellStyle name="Normal152" xfId="327" xr:uid="{00000000-0005-0000-0000-000047010000}"/>
    <cellStyle name="Normal153" xfId="328" xr:uid="{00000000-0005-0000-0000-000048010000}"/>
    <cellStyle name="Normal154" xfId="329" xr:uid="{00000000-0005-0000-0000-000049010000}"/>
    <cellStyle name="Normal155" xfId="330" xr:uid="{00000000-0005-0000-0000-00004A010000}"/>
    <cellStyle name="Normal156" xfId="331" xr:uid="{00000000-0005-0000-0000-00004B010000}"/>
    <cellStyle name="Normal157" xfId="332" xr:uid="{00000000-0005-0000-0000-00004C010000}"/>
    <cellStyle name="Normal158" xfId="333" xr:uid="{00000000-0005-0000-0000-00004D010000}"/>
    <cellStyle name="Normal159" xfId="334" xr:uid="{00000000-0005-0000-0000-00004E010000}"/>
    <cellStyle name="Normal16" xfId="335" xr:uid="{00000000-0005-0000-0000-00004F010000}"/>
    <cellStyle name="Normal160" xfId="336" xr:uid="{00000000-0005-0000-0000-000050010000}"/>
    <cellStyle name="Normal161" xfId="337" xr:uid="{00000000-0005-0000-0000-000051010000}"/>
    <cellStyle name="Normal162" xfId="338" xr:uid="{00000000-0005-0000-0000-000052010000}"/>
    <cellStyle name="Normal163" xfId="339" xr:uid="{00000000-0005-0000-0000-000053010000}"/>
    <cellStyle name="Normal164" xfId="340" xr:uid="{00000000-0005-0000-0000-000054010000}"/>
    <cellStyle name="Normal165" xfId="341" xr:uid="{00000000-0005-0000-0000-000055010000}"/>
    <cellStyle name="Normal166" xfId="342" xr:uid="{00000000-0005-0000-0000-000056010000}"/>
    <cellStyle name="Normal167" xfId="343" xr:uid="{00000000-0005-0000-0000-000057010000}"/>
    <cellStyle name="Normal168" xfId="344" xr:uid="{00000000-0005-0000-0000-000058010000}"/>
    <cellStyle name="Normal169" xfId="345" xr:uid="{00000000-0005-0000-0000-000059010000}"/>
    <cellStyle name="Normal17" xfId="346" xr:uid="{00000000-0005-0000-0000-00005A010000}"/>
    <cellStyle name="Normal170" xfId="347" xr:uid="{00000000-0005-0000-0000-00005B010000}"/>
    <cellStyle name="Normal171" xfId="348" xr:uid="{00000000-0005-0000-0000-00005C010000}"/>
    <cellStyle name="Normal172" xfId="349" xr:uid="{00000000-0005-0000-0000-00005D010000}"/>
    <cellStyle name="Normal173" xfId="350" xr:uid="{00000000-0005-0000-0000-00005E010000}"/>
    <cellStyle name="Normal174" xfId="351" xr:uid="{00000000-0005-0000-0000-00005F010000}"/>
    <cellStyle name="Normal175" xfId="352" xr:uid="{00000000-0005-0000-0000-000060010000}"/>
    <cellStyle name="Normal176" xfId="353" xr:uid="{00000000-0005-0000-0000-000061010000}"/>
    <cellStyle name="Normal177" xfId="354" xr:uid="{00000000-0005-0000-0000-000062010000}"/>
    <cellStyle name="Normal178" xfId="355" xr:uid="{00000000-0005-0000-0000-000063010000}"/>
    <cellStyle name="Normal179" xfId="356" xr:uid="{00000000-0005-0000-0000-000064010000}"/>
    <cellStyle name="Normal18" xfId="357" xr:uid="{00000000-0005-0000-0000-000065010000}"/>
    <cellStyle name="Normal180" xfId="358" xr:uid="{00000000-0005-0000-0000-000066010000}"/>
    <cellStyle name="Normal181" xfId="359" xr:uid="{00000000-0005-0000-0000-000067010000}"/>
    <cellStyle name="Normal182" xfId="360" xr:uid="{00000000-0005-0000-0000-000068010000}"/>
    <cellStyle name="Normal183" xfId="361" xr:uid="{00000000-0005-0000-0000-000069010000}"/>
    <cellStyle name="Normal184" xfId="362" xr:uid="{00000000-0005-0000-0000-00006A010000}"/>
    <cellStyle name="Normal185" xfId="363" xr:uid="{00000000-0005-0000-0000-00006B010000}"/>
    <cellStyle name="Normal186" xfId="364" xr:uid="{00000000-0005-0000-0000-00006C010000}"/>
    <cellStyle name="Normal187" xfId="365" xr:uid="{00000000-0005-0000-0000-00006D010000}"/>
    <cellStyle name="Normal188" xfId="366" xr:uid="{00000000-0005-0000-0000-00006E010000}"/>
    <cellStyle name="Normal189" xfId="367" xr:uid="{00000000-0005-0000-0000-00006F010000}"/>
    <cellStyle name="Normal19" xfId="368" xr:uid="{00000000-0005-0000-0000-000070010000}"/>
    <cellStyle name="Normal190" xfId="369" xr:uid="{00000000-0005-0000-0000-000071010000}"/>
    <cellStyle name="Normal191" xfId="370" xr:uid="{00000000-0005-0000-0000-000072010000}"/>
    <cellStyle name="Normal192" xfId="371" xr:uid="{00000000-0005-0000-0000-000073010000}"/>
    <cellStyle name="Normal193" xfId="372" xr:uid="{00000000-0005-0000-0000-000074010000}"/>
    <cellStyle name="Normal194" xfId="373" xr:uid="{00000000-0005-0000-0000-000075010000}"/>
    <cellStyle name="Normal195" xfId="374" xr:uid="{00000000-0005-0000-0000-000076010000}"/>
    <cellStyle name="Normal196" xfId="375" xr:uid="{00000000-0005-0000-0000-000077010000}"/>
    <cellStyle name="Normal197" xfId="376" xr:uid="{00000000-0005-0000-0000-000078010000}"/>
    <cellStyle name="Normal198" xfId="377" xr:uid="{00000000-0005-0000-0000-000079010000}"/>
    <cellStyle name="Normal199" xfId="378" xr:uid="{00000000-0005-0000-0000-00007A010000}"/>
    <cellStyle name="Normal2" xfId="379" xr:uid="{00000000-0005-0000-0000-00007B010000}"/>
    <cellStyle name="Normal20" xfId="380" xr:uid="{00000000-0005-0000-0000-00007C010000}"/>
    <cellStyle name="Normal200" xfId="381" xr:uid="{00000000-0005-0000-0000-00007D010000}"/>
    <cellStyle name="Normal201" xfId="382" xr:uid="{00000000-0005-0000-0000-00007E010000}"/>
    <cellStyle name="Normal202" xfId="383" xr:uid="{00000000-0005-0000-0000-00007F010000}"/>
    <cellStyle name="Normal203" xfId="384" xr:uid="{00000000-0005-0000-0000-000080010000}"/>
    <cellStyle name="Normal204" xfId="385" xr:uid="{00000000-0005-0000-0000-000081010000}"/>
    <cellStyle name="Normal205" xfId="386" xr:uid="{00000000-0005-0000-0000-000082010000}"/>
    <cellStyle name="Normal206" xfId="387" xr:uid="{00000000-0005-0000-0000-000083010000}"/>
    <cellStyle name="Normal207" xfId="388" xr:uid="{00000000-0005-0000-0000-000084010000}"/>
    <cellStyle name="Normal208" xfId="389" xr:uid="{00000000-0005-0000-0000-000085010000}"/>
    <cellStyle name="Normal209" xfId="390" xr:uid="{00000000-0005-0000-0000-000086010000}"/>
    <cellStyle name="Normal21" xfId="391" xr:uid="{00000000-0005-0000-0000-000087010000}"/>
    <cellStyle name="Normal210" xfId="392" xr:uid="{00000000-0005-0000-0000-000088010000}"/>
    <cellStyle name="Normal211" xfId="393" xr:uid="{00000000-0005-0000-0000-000089010000}"/>
    <cellStyle name="Normal212" xfId="394" xr:uid="{00000000-0005-0000-0000-00008A010000}"/>
    <cellStyle name="Normal213" xfId="395" xr:uid="{00000000-0005-0000-0000-00008B010000}"/>
    <cellStyle name="Normal214" xfId="396" xr:uid="{00000000-0005-0000-0000-00008C010000}"/>
    <cellStyle name="Normal215" xfId="397" xr:uid="{00000000-0005-0000-0000-00008D010000}"/>
    <cellStyle name="Normal216" xfId="398" xr:uid="{00000000-0005-0000-0000-00008E010000}"/>
    <cellStyle name="Normal217" xfId="399" xr:uid="{00000000-0005-0000-0000-00008F010000}"/>
    <cellStyle name="Normal218" xfId="400" xr:uid="{00000000-0005-0000-0000-000090010000}"/>
    <cellStyle name="Normal219" xfId="401" xr:uid="{00000000-0005-0000-0000-000091010000}"/>
    <cellStyle name="Normal22" xfId="402" xr:uid="{00000000-0005-0000-0000-000092010000}"/>
    <cellStyle name="Normal220" xfId="403" xr:uid="{00000000-0005-0000-0000-000093010000}"/>
    <cellStyle name="Normal221" xfId="404" xr:uid="{00000000-0005-0000-0000-000094010000}"/>
    <cellStyle name="Normal222" xfId="405" xr:uid="{00000000-0005-0000-0000-000095010000}"/>
    <cellStyle name="Normal223" xfId="406" xr:uid="{00000000-0005-0000-0000-000096010000}"/>
    <cellStyle name="Normal224" xfId="407" xr:uid="{00000000-0005-0000-0000-000097010000}"/>
    <cellStyle name="Normal225" xfId="408" xr:uid="{00000000-0005-0000-0000-000098010000}"/>
    <cellStyle name="Normal226" xfId="409" xr:uid="{00000000-0005-0000-0000-000099010000}"/>
    <cellStyle name="Normal227" xfId="410" xr:uid="{00000000-0005-0000-0000-00009A010000}"/>
    <cellStyle name="Normal228" xfId="411" xr:uid="{00000000-0005-0000-0000-00009B010000}"/>
    <cellStyle name="Normal229" xfId="412" xr:uid="{00000000-0005-0000-0000-00009C010000}"/>
    <cellStyle name="Normal23" xfId="413" xr:uid="{00000000-0005-0000-0000-00009D010000}"/>
    <cellStyle name="Normal230" xfId="414" xr:uid="{00000000-0005-0000-0000-00009E010000}"/>
    <cellStyle name="Normal231" xfId="415" xr:uid="{00000000-0005-0000-0000-00009F010000}"/>
    <cellStyle name="Normal232" xfId="416" xr:uid="{00000000-0005-0000-0000-0000A0010000}"/>
    <cellStyle name="Normal233" xfId="417" xr:uid="{00000000-0005-0000-0000-0000A1010000}"/>
    <cellStyle name="Normal234" xfId="418" xr:uid="{00000000-0005-0000-0000-0000A2010000}"/>
    <cellStyle name="Normal235" xfId="419" xr:uid="{00000000-0005-0000-0000-0000A3010000}"/>
    <cellStyle name="Normal236" xfId="420" xr:uid="{00000000-0005-0000-0000-0000A4010000}"/>
    <cellStyle name="Normal237" xfId="421" xr:uid="{00000000-0005-0000-0000-0000A5010000}"/>
    <cellStyle name="Normal238" xfId="422" xr:uid="{00000000-0005-0000-0000-0000A6010000}"/>
    <cellStyle name="Normal239" xfId="423" xr:uid="{00000000-0005-0000-0000-0000A7010000}"/>
    <cellStyle name="Normal24" xfId="424" xr:uid="{00000000-0005-0000-0000-0000A8010000}"/>
    <cellStyle name="Normal240" xfId="425" xr:uid="{00000000-0005-0000-0000-0000A9010000}"/>
    <cellStyle name="Normal241" xfId="426" xr:uid="{00000000-0005-0000-0000-0000AA010000}"/>
    <cellStyle name="Normal242" xfId="427" xr:uid="{00000000-0005-0000-0000-0000AB010000}"/>
    <cellStyle name="Normal243" xfId="428" xr:uid="{00000000-0005-0000-0000-0000AC010000}"/>
    <cellStyle name="Normal244" xfId="429" xr:uid="{00000000-0005-0000-0000-0000AD010000}"/>
    <cellStyle name="Normal245" xfId="430" xr:uid="{00000000-0005-0000-0000-0000AE010000}"/>
    <cellStyle name="Normal246" xfId="431" xr:uid="{00000000-0005-0000-0000-0000AF010000}"/>
    <cellStyle name="Normal247" xfId="432" xr:uid="{00000000-0005-0000-0000-0000B0010000}"/>
    <cellStyle name="Normal248" xfId="433" xr:uid="{00000000-0005-0000-0000-0000B1010000}"/>
    <cellStyle name="Normal249" xfId="434" xr:uid="{00000000-0005-0000-0000-0000B2010000}"/>
    <cellStyle name="Normal25" xfId="435" xr:uid="{00000000-0005-0000-0000-0000B3010000}"/>
    <cellStyle name="Normal250" xfId="436" xr:uid="{00000000-0005-0000-0000-0000B4010000}"/>
    <cellStyle name="Normal251" xfId="437" xr:uid="{00000000-0005-0000-0000-0000B5010000}"/>
    <cellStyle name="Normal252" xfId="438" xr:uid="{00000000-0005-0000-0000-0000B6010000}"/>
    <cellStyle name="Normal253" xfId="439" xr:uid="{00000000-0005-0000-0000-0000B7010000}"/>
    <cellStyle name="Normal26" xfId="440" xr:uid="{00000000-0005-0000-0000-0000B8010000}"/>
    <cellStyle name="Normal27" xfId="441" xr:uid="{00000000-0005-0000-0000-0000B9010000}"/>
    <cellStyle name="Normal28" xfId="442" xr:uid="{00000000-0005-0000-0000-0000BA010000}"/>
    <cellStyle name="Normal29" xfId="443" xr:uid="{00000000-0005-0000-0000-0000BB010000}"/>
    <cellStyle name="Normal3" xfId="444" xr:uid="{00000000-0005-0000-0000-0000BC010000}"/>
    <cellStyle name="Normal30" xfId="445" xr:uid="{00000000-0005-0000-0000-0000BD010000}"/>
    <cellStyle name="Normal31" xfId="446" xr:uid="{00000000-0005-0000-0000-0000BE010000}"/>
    <cellStyle name="Normal32" xfId="447" xr:uid="{00000000-0005-0000-0000-0000BF010000}"/>
    <cellStyle name="Normal33" xfId="448" xr:uid="{00000000-0005-0000-0000-0000C0010000}"/>
    <cellStyle name="Normal34" xfId="449" xr:uid="{00000000-0005-0000-0000-0000C1010000}"/>
    <cellStyle name="Normal35" xfId="450" xr:uid="{00000000-0005-0000-0000-0000C2010000}"/>
    <cellStyle name="Normal36" xfId="451" xr:uid="{00000000-0005-0000-0000-0000C3010000}"/>
    <cellStyle name="Normal37" xfId="452" xr:uid="{00000000-0005-0000-0000-0000C4010000}"/>
    <cellStyle name="Normal38" xfId="453" xr:uid="{00000000-0005-0000-0000-0000C5010000}"/>
    <cellStyle name="Normal39" xfId="454" xr:uid="{00000000-0005-0000-0000-0000C6010000}"/>
    <cellStyle name="Normal4" xfId="455" xr:uid="{00000000-0005-0000-0000-0000C7010000}"/>
    <cellStyle name="Normal40" xfId="456" xr:uid="{00000000-0005-0000-0000-0000C8010000}"/>
    <cellStyle name="Normal41" xfId="457" xr:uid="{00000000-0005-0000-0000-0000C9010000}"/>
    <cellStyle name="Normal42" xfId="458" xr:uid="{00000000-0005-0000-0000-0000CA010000}"/>
    <cellStyle name="Normal43" xfId="459" xr:uid="{00000000-0005-0000-0000-0000CB010000}"/>
    <cellStyle name="Normal44" xfId="460" xr:uid="{00000000-0005-0000-0000-0000CC010000}"/>
    <cellStyle name="Normal45" xfId="461" xr:uid="{00000000-0005-0000-0000-0000CD010000}"/>
    <cellStyle name="Normal46" xfId="462" xr:uid="{00000000-0005-0000-0000-0000CE010000}"/>
    <cellStyle name="Normal47" xfId="463" xr:uid="{00000000-0005-0000-0000-0000CF010000}"/>
    <cellStyle name="Normal48" xfId="464" xr:uid="{00000000-0005-0000-0000-0000D0010000}"/>
    <cellStyle name="Normal49" xfId="465" xr:uid="{00000000-0005-0000-0000-0000D1010000}"/>
    <cellStyle name="Normal5" xfId="466" xr:uid="{00000000-0005-0000-0000-0000D2010000}"/>
    <cellStyle name="Normal50" xfId="467" xr:uid="{00000000-0005-0000-0000-0000D3010000}"/>
    <cellStyle name="Normal51" xfId="468" xr:uid="{00000000-0005-0000-0000-0000D4010000}"/>
    <cellStyle name="Normal52" xfId="469" xr:uid="{00000000-0005-0000-0000-0000D5010000}"/>
    <cellStyle name="Normal53" xfId="470" xr:uid="{00000000-0005-0000-0000-0000D6010000}"/>
    <cellStyle name="Normal54" xfId="471" xr:uid="{00000000-0005-0000-0000-0000D7010000}"/>
    <cellStyle name="Normal55" xfId="472" xr:uid="{00000000-0005-0000-0000-0000D8010000}"/>
    <cellStyle name="Normal56" xfId="473" xr:uid="{00000000-0005-0000-0000-0000D9010000}"/>
    <cellStyle name="Normal57" xfId="474" xr:uid="{00000000-0005-0000-0000-0000DA010000}"/>
    <cellStyle name="Normal58" xfId="475" xr:uid="{00000000-0005-0000-0000-0000DB010000}"/>
    <cellStyle name="Normal59" xfId="476" xr:uid="{00000000-0005-0000-0000-0000DC010000}"/>
    <cellStyle name="Normal6" xfId="477" xr:uid="{00000000-0005-0000-0000-0000DD010000}"/>
    <cellStyle name="Normal60" xfId="478" xr:uid="{00000000-0005-0000-0000-0000DE010000}"/>
    <cellStyle name="Normal61" xfId="479" xr:uid="{00000000-0005-0000-0000-0000DF010000}"/>
    <cellStyle name="Normal62" xfId="480" xr:uid="{00000000-0005-0000-0000-0000E0010000}"/>
    <cellStyle name="Normal63" xfId="481" xr:uid="{00000000-0005-0000-0000-0000E1010000}"/>
    <cellStyle name="Normal64" xfId="482" xr:uid="{00000000-0005-0000-0000-0000E2010000}"/>
    <cellStyle name="Normal65" xfId="483" xr:uid="{00000000-0005-0000-0000-0000E3010000}"/>
    <cellStyle name="Normal66" xfId="484" xr:uid="{00000000-0005-0000-0000-0000E4010000}"/>
    <cellStyle name="Normal67" xfId="485" xr:uid="{00000000-0005-0000-0000-0000E5010000}"/>
    <cellStyle name="Normal68" xfId="486" xr:uid="{00000000-0005-0000-0000-0000E6010000}"/>
    <cellStyle name="Normal69" xfId="487" xr:uid="{00000000-0005-0000-0000-0000E7010000}"/>
    <cellStyle name="Normal7" xfId="488" xr:uid="{00000000-0005-0000-0000-0000E8010000}"/>
    <cellStyle name="Normal70" xfId="489" xr:uid="{00000000-0005-0000-0000-0000E9010000}"/>
    <cellStyle name="Normal71" xfId="490" xr:uid="{00000000-0005-0000-0000-0000EA010000}"/>
    <cellStyle name="Normal72" xfId="491" xr:uid="{00000000-0005-0000-0000-0000EB010000}"/>
    <cellStyle name="Normal73" xfId="492" xr:uid="{00000000-0005-0000-0000-0000EC010000}"/>
    <cellStyle name="Normal74" xfId="493" xr:uid="{00000000-0005-0000-0000-0000ED010000}"/>
    <cellStyle name="Normal75" xfId="494" xr:uid="{00000000-0005-0000-0000-0000EE010000}"/>
    <cellStyle name="Normal76" xfId="495" xr:uid="{00000000-0005-0000-0000-0000EF010000}"/>
    <cellStyle name="Normal77" xfId="496" xr:uid="{00000000-0005-0000-0000-0000F0010000}"/>
    <cellStyle name="Normal78" xfId="497" xr:uid="{00000000-0005-0000-0000-0000F1010000}"/>
    <cellStyle name="Normal79" xfId="498" xr:uid="{00000000-0005-0000-0000-0000F2010000}"/>
    <cellStyle name="Normal8" xfId="499" xr:uid="{00000000-0005-0000-0000-0000F3010000}"/>
    <cellStyle name="Normal80" xfId="500" xr:uid="{00000000-0005-0000-0000-0000F4010000}"/>
    <cellStyle name="Normal81" xfId="501" xr:uid="{00000000-0005-0000-0000-0000F5010000}"/>
    <cellStyle name="Normal82" xfId="502" xr:uid="{00000000-0005-0000-0000-0000F6010000}"/>
    <cellStyle name="Normal83" xfId="503" xr:uid="{00000000-0005-0000-0000-0000F7010000}"/>
    <cellStyle name="Normal84" xfId="504" xr:uid="{00000000-0005-0000-0000-0000F8010000}"/>
    <cellStyle name="Normal85" xfId="505" xr:uid="{00000000-0005-0000-0000-0000F9010000}"/>
    <cellStyle name="Normal86" xfId="506" xr:uid="{00000000-0005-0000-0000-0000FA010000}"/>
    <cellStyle name="Normal87" xfId="507" xr:uid="{00000000-0005-0000-0000-0000FB010000}"/>
    <cellStyle name="Normal88" xfId="508" xr:uid="{00000000-0005-0000-0000-0000FC010000}"/>
    <cellStyle name="Normal89" xfId="509" xr:uid="{00000000-0005-0000-0000-0000FD010000}"/>
    <cellStyle name="Normal9" xfId="510" xr:uid="{00000000-0005-0000-0000-0000FE010000}"/>
    <cellStyle name="Normal90" xfId="511" xr:uid="{00000000-0005-0000-0000-0000FF010000}"/>
    <cellStyle name="Normal91" xfId="512" xr:uid="{00000000-0005-0000-0000-000000020000}"/>
    <cellStyle name="Normal92" xfId="513" xr:uid="{00000000-0005-0000-0000-000001020000}"/>
    <cellStyle name="Normal93" xfId="514" xr:uid="{00000000-0005-0000-0000-000002020000}"/>
    <cellStyle name="Normal94" xfId="515" xr:uid="{00000000-0005-0000-0000-000003020000}"/>
    <cellStyle name="Normal95" xfId="516" xr:uid="{00000000-0005-0000-0000-000004020000}"/>
    <cellStyle name="Normal96" xfId="517" xr:uid="{00000000-0005-0000-0000-000005020000}"/>
    <cellStyle name="Normal97" xfId="518" xr:uid="{00000000-0005-0000-0000-000006020000}"/>
    <cellStyle name="Normal98" xfId="519" xr:uid="{00000000-0005-0000-0000-000007020000}"/>
    <cellStyle name="Normal99" xfId="520" xr:uid="{00000000-0005-0000-0000-000008020000}"/>
    <cellStyle name="NotDeclared_1" xfId="521" xr:uid="{00000000-0005-0000-0000-000009020000}"/>
    <cellStyle name="Numbers" xfId="522" xr:uid="{00000000-0005-0000-0000-00000A020000}"/>
    <cellStyle name="Numbers - Bold" xfId="523" xr:uid="{00000000-0005-0000-0000-00000B020000}"/>
    <cellStyle name="Numbers - Bold - Italic" xfId="524" xr:uid="{00000000-0005-0000-0000-00000C020000}"/>
    <cellStyle name="Numbers - Bold 2" xfId="1004" xr:uid="{CCF31782-FC0C-4D75-8BDC-7802617FE371}"/>
    <cellStyle name="Numbers - Bold_6079BX" xfId="525" xr:uid="{00000000-0005-0000-0000-00000D020000}"/>
    <cellStyle name="Numbers - Large" xfId="526" xr:uid="{00000000-0005-0000-0000-00000E020000}"/>
    <cellStyle name="Numbers_6079BX" xfId="527" xr:uid="{00000000-0005-0000-0000-00000F020000}"/>
    <cellStyle name="OSW_RowLabels" xfId="528" xr:uid="{00000000-0005-0000-0000-000010020000}"/>
    <cellStyle name="Outline" xfId="529" xr:uid="{00000000-0005-0000-0000-000011020000}"/>
    <cellStyle name="Output Amounts" xfId="530" xr:uid="{00000000-0005-0000-0000-000012020000}"/>
    <cellStyle name="Output Column Headings" xfId="531" xr:uid="{00000000-0005-0000-0000-000013020000}"/>
    <cellStyle name="Output Line Items" xfId="532" xr:uid="{00000000-0005-0000-0000-000014020000}"/>
    <cellStyle name="Output Report Heading" xfId="533" xr:uid="{00000000-0005-0000-0000-000015020000}"/>
    <cellStyle name="Page" xfId="534" xr:uid="{00000000-0005-0000-0000-000016020000}"/>
    <cellStyle name="PB Table Heading" xfId="535" xr:uid="{00000000-0005-0000-0000-000017020000}"/>
    <cellStyle name="PB Table Highlight1" xfId="536" xr:uid="{00000000-0005-0000-0000-000018020000}"/>
    <cellStyle name="PB Table Highlight2" xfId="537" xr:uid="{00000000-0005-0000-0000-000019020000}"/>
    <cellStyle name="PB Table Highlight3" xfId="538" xr:uid="{00000000-0005-0000-0000-00001A020000}"/>
    <cellStyle name="PB Table Standard Row" xfId="539" xr:uid="{00000000-0005-0000-0000-00001B020000}"/>
    <cellStyle name="PB Table Subtotal Row" xfId="540" xr:uid="{00000000-0005-0000-0000-00001C020000}"/>
    <cellStyle name="PB Table Total Row" xfId="541" xr:uid="{00000000-0005-0000-0000-00001D020000}"/>
    <cellStyle name="Per cent" xfId="543" builtinId="5"/>
    <cellStyle name="per.style" xfId="542" xr:uid="{00000000-0005-0000-0000-00001E020000}"/>
    <cellStyle name="Percent [0]" xfId="544" xr:uid="{00000000-0005-0000-0000-000020020000}"/>
    <cellStyle name="Percent [00]" xfId="545" xr:uid="{00000000-0005-0000-0000-000021020000}"/>
    <cellStyle name="Percent [1]" xfId="546" xr:uid="{00000000-0005-0000-0000-000022020000}"/>
    <cellStyle name="Percent [1][]" xfId="547" xr:uid="{00000000-0005-0000-0000-000023020000}"/>
    <cellStyle name="Percent [1]_New MA Public Comps and WACC Model" xfId="548" xr:uid="{00000000-0005-0000-0000-000024020000}"/>
    <cellStyle name="Percent [2]" xfId="549" xr:uid="{00000000-0005-0000-0000-000025020000}"/>
    <cellStyle name="Percent [2] 2" xfId="1005" xr:uid="{6CFF1979-B47D-4B70-84DA-89ACFF175C66}"/>
    <cellStyle name="Percent Comma" xfId="550" xr:uid="{00000000-0005-0000-0000-000026020000}"/>
    <cellStyle name="Percent Comma 2" xfId="1006" xr:uid="{F4ACE252-472C-446E-8615-3A376C3B65B2}"/>
    <cellStyle name="Percent1" xfId="551" xr:uid="{00000000-0005-0000-0000-000027020000}"/>
    <cellStyle name="Percent10" xfId="552" xr:uid="{00000000-0005-0000-0000-000028020000}"/>
    <cellStyle name="Percent100" xfId="553" xr:uid="{00000000-0005-0000-0000-000029020000}"/>
    <cellStyle name="Percent101" xfId="554" xr:uid="{00000000-0005-0000-0000-00002A020000}"/>
    <cellStyle name="Percent102" xfId="555" xr:uid="{00000000-0005-0000-0000-00002B020000}"/>
    <cellStyle name="Percent103" xfId="556" xr:uid="{00000000-0005-0000-0000-00002C020000}"/>
    <cellStyle name="Percent104" xfId="557" xr:uid="{00000000-0005-0000-0000-00002D020000}"/>
    <cellStyle name="Percent105" xfId="558" xr:uid="{00000000-0005-0000-0000-00002E020000}"/>
    <cellStyle name="Percent106" xfId="559" xr:uid="{00000000-0005-0000-0000-00002F020000}"/>
    <cellStyle name="Percent107" xfId="560" xr:uid="{00000000-0005-0000-0000-000030020000}"/>
    <cellStyle name="Percent108" xfId="561" xr:uid="{00000000-0005-0000-0000-000031020000}"/>
    <cellStyle name="Percent109" xfId="562" xr:uid="{00000000-0005-0000-0000-000032020000}"/>
    <cellStyle name="Percent11" xfId="563" xr:uid="{00000000-0005-0000-0000-000033020000}"/>
    <cellStyle name="Percent110" xfId="564" xr:uid="{00000000-0005-0000-0000-000034020000}"/>
    <cellStyle name="Percent111" xfId="565" xr:uid="{00000000-0005-0000-0000-000035020000}"/>
    <cellStyle name="Percent112" xfId="566" xr:uid="{00000000-0005-0000-0000-000036020000}"/>
    <cellStyle name="Percent113" xfId="567" xr:uid="{00000000-0005-0000-0000-000037020000}"/>
    <cellStyle name="Percent114" xfId="568" xr:uid="{00000000-0005-0000-0000-000038020000}"/>
    <cellStyle name="Percent115" xfId="569" xr:uid="{00000000-0005-0000-0000-000039020000}"/>
    <cellStyle name="Percent116" xfId="570" xr:uid="{00000000-0005-0000-0000-00003A020000}"/>
    <cellStyle name="Percent117" xfId="571" xr:uid="{00000000-0005-0000-0000-00003B020000}"/>
    <cellStyle name="Percent118" xfId="572" xr:uid="{00000000-0005-0000-0000-00003C020000}"/>
    <cellStyle name="Percent119" xfId="573" xr:uid="{00000000-0005-0000-0000-00003D020000}"/>
    <cellStyle name="Percent12" xfId="574" xr:uid="{00000000-0005-0000-0000-00003E020000}"/>
    <cellStyle name="Percent120" xfId="575" xr:uid="{00000000-0005-0000-0000-00003F020000}"/>
    <cellStyle name="Percent121" xfId="576" xr:uid="{00000000-0005-0000-0000-000040020000}"/>
    <cellStyle name="Percent122" xfId="577" xr:uid="{00000000-0005-0000-0000-000041020000}"/>
    <cellStyle name="Percent123" xfId="578" xr:uid="{00000000-0005-0000-0000-000042020000}"/>
    <cellStyle name="Percent124" xfId="579" xr:uid="{00000000-0005-0000-0000-000043020000}"/>
    <cellStyle name="Percent125" xfId="580" xr:uid="{00000000-0005-0000-0000-000044020000}"/>
    <cellStyle name="Percent126" xfId="581" xr:uid="{00000000-0005-0000-0000-000045020000}"/>
    <cellStyle name="Percent127" xfId="582" xr:uid="{00000000-0005-0000-0000-000046020000}"/>
    <cellStyle name="Percent128" xfId="583" xr:uid="{00000000-0005-0000-0000-000047020000}"/>
    <cellStyle name="Percent129" xfId="584" xr:uid="{00000000-0005-0000-0000-000048020000}"/>
    <cellStyle name="Percent13" xfId="585" xr:uid="{00000000-0005-0000-0000-000049020000}"/>
    <cellStyle name="Percent130" xfId="586" xr:uid="{00000000-0005-0000-0000-00004A020000}"/>
    <cellStyle name="Percent131" xfId="587" xr:uid="{00000000-0005-0000-0000-00004B020000}"/>
    <cellStyle name="Percent132" xfId="588" xr:uid="{00000000-0005-0000-0000-00004C020000}"/>
    <cellStyle name="Percent133" xfId="589" xr:uid="{00000000-0005-0000-0000-00004D020000}"/>
    <cellStyle name="Percent134" xfId="590" xr:uid="{00000000-0005-0000-0000-00004E020000}"/>
    <cellStyle name="Percent135" xfId="591" xr:uid="{00000000-0005-0000-0000-00004F020000}"/>
    <cellStyle name="Percent136" xfId="592" xr:uid="{00000000-0005-0000-0000-000050020000}"/>
    <cellStyle name="Percent137" xfId="593" xr:uid="{00000000-0005-0000-0000-000051020000}"/>
    <cellStyle name="Percent138" xfId="594" xr:uid="{00000000-0005-0000-0000-000052020000}"/>
    <cellStyle name="Percent139" xfId="595" xr:uid="{00000000-0005-0000-0000-000053020000}"/>
    <cellStyle name="Percent14" xfId="596" xr:uid="{00000000-0005-0000-0000-000054020000}"/>
    <cellStyle name="Percent140" xfId="597" xr:uid="{00000000-0005-0000-0000-000055020000}"/>
    <cellStyle name="Percent141" xfId="598" xr:uid="{00000000-0005-0000-0000-000056020000}"/>
    <cellStyle name="Percent142" xfId="599" xr:uid="{00000000-0005-0000-0000-000057020000}"/>
    <cellStyle name="Percent143" xfId="600" xr:uid="{00000000-0005-0000-0000-000058020000}"/>
    <cellStyle name="Percent144" xfId="601" xr:uid="{00000000-0005-0000-0000-000059020000}"/>
    <cellStyle name="Percent145" xfId="602" xr:uid="{00000000-0005-0000-0000-00005A020000}"/>
    <cellStyle name="Percent146" xfId="603" xr:uid="{00000000-0005-0000-0000-00005B020000}"/>
    <cellStyle name="Percent147" xfId="604" xr:uid="{00000000-0005-0000-0000-00005C020000}"/>
    <cellStyle name="Percent148" xfId="605" xr:uid="{00000000-0005-0000-0000-00005D020000}"/>
    <cellStyle name="Percent149" xfId="606" xr:uid="{00000000-0005-0000-0000-00005E020000}"/>
    <cellStyle name="Percent15" xfId="607" xr:uid="{00000000-0005-0000-0000-00005F020000}"/>
    <cellStyle name="Percent150" xfId="608" xr:uid="{00000000-0005-0000-0000-000060020000}"/>
    <cellStyle name="Percent151" xfId="609" xr:uid="{00000000-0005-0000-0000-000061020000}"/>
    <cellStyle name="Percent152" xfId="610" xr:uid="{00000000-0005-0000-0000-000062020000}"/>
    <cellStyle name="Percent153" xfId="611" xr:uid="{00000000-0005-0000-0000-000063020000}"/>
    <cellStyle name="Percent154" xfId="612" xr:uid="{00000000-0005-0000-0000-000064020000}"/>
    <cellStyle name="Percent155" xfId="613" xr:uid="{00000000-0005-0000-0000-000065020000}"/>
    <cellStyle name="Percent156" xfId="614" xr:uid="{00000000-0005-0000-0000-000066020000}"/>
    <cellStyle name="Percent157" xfId="615" xr:uid="{00000000-0005-0000-0000-000067020000}"/>
    <cellStyle name="Percent158" xfId="616" xr:uid="{00000000-0005-0000-0000-000068020000}"/>
    <cellStyle name="Percent159" xfId="617" xr:uid="{00000000-0005-0000-0000-000069020000}"/>
    <cellStyle name="Percent16" xfId="618" xr:uid="{00000000-0005-0000-0000-00006A020000}"/>
    <cellStyle name="Percent160" xfId="619" xr:uid="{00000000-0005-0000-0000-00006B020000}"/>
    <cellStyle name="Percent161" xfId="620" xr:uid="{00000000-0005-0000-0000-00006C020000}"/>
    <cellStyle name="Percent162" xfId="621" xr:uid="{00000000-0005-0000-0000-00006D020000}"/>
    <cellStyle name="Percent163" xfId="622" xr:uid="{00000000-0005-0000-0000-00006E020000}"/>
    <cellStyle name="Percent164" xfId="623" xr:uid="{00000000-0005-0000-0000-00006F020000}"/>
    <cellStyle name="Percent165" xfId="624" xr:uid="{00000000-0005-0000-0000-000070020000}"/>
    <cellStyle name="Percent166" xfId="625" xr:uid="{00000000-0005-0000-0000-000071020000}"/>
    <cellStyle name="Percent167" xfId="626" xr:uid="{00000000-0005-0000-0000-000072020000}"/>
    <cellStyle name="Percent168" xfId="627" xr:uid="{00000000-0005-0000-0000-000073020000}"/>
    <cellStyle name="Percent169" xfId="628" xr:uid="{00000000-0005-0000-0000-000074020000}"/>
    <cellStyle name="Percent17" xfId="629" xr:uid="{00000000-0005-0000-0000-000075020000}"/>
    <cellStyle name="Percent170" xfId="630" xr:uid="{00000000-0005-0000-0000-000076020000}"/>
    <cellStyle name="Percent171" xfId="631" xr:uid="{00000000-0005-0000-0000-000077020000}"/>
    <cellStyle name="Percent172" xfId="632" xr:uid="{00000000-0005-0000-0000-000078020000}"/>
    <cellStyle name="Percent173" xfId="633" xr:uid="{00000000-0005-0000-0000-000079020000}"/>
    <cellStyle name="Percent174" xfId="634" xr:uid="{00000000-0005-0000-0000-00007A020000}"/>
    <cellStyle name="Percent175" xfId="635" xr:uid="{00000000-0005-0000-0000-00007B020000}"/>
    <cellStyle name="Percent176" xfId="636" xr:uid="{00000000-0005-0000-0000-00007C020000}"/>
    <cellStyle name="Percent177" xfId="637" xr:uid="{00000000-0005-0000-0000-00007D020000}"/>
    <cellStyle name="Percent178" xfId="638" xr:uid="{00000000-0005-0000-0000-00007E020000}"/>
    <cellStyle name="Percent179" xfId="639" xr:uid="{00000000-0005-0000-0000-00007F020000}"/>
    <cellStyle name="Percent18" xfId="640" xr:uid="{00000000-0005-0000-0000-000080020000}"/>
    <cellStyle name="Percent180" xfId="641" xr:uid="{00000000-0005-0000-0000-000081020000}"/>
    <cellStyle name="Percent181" xfId="642" xr:uid="{00000000-0005-0000-0000-000082020000}"/>
    <cellStyle name="Percent182" xfId="643" xr:uid="{00000000-0005-0000-0000-000083020000}"/>
    <cellStyle name="Percent183" xfId="644" xr:uid="{00000000-0005-0000-0000-000084020000}"/>
    <cellStyle name="Percent184" xfId="645" xr:uid="{00000000-0005-0000-0000-000085020000}"/>
    <cellStyle name="Percent185" xfId="646" xr:uid="{00000000-0005-0000-0000-000086020000}"/>
    <cellStyle name="Percent186" xfId="647" xr:uid="{00000000-0005-0000-0000-000087020000}"/>
    <cellStyle name="Percent187" xfId="648" xr:uid="{00000000-0005-0000-0000-000088020000}"/>
    <cellStyle name="Percent188" xfId="649" xr:uid="{00000000-0005-0000-0000-000089020000}"/>
    <cellStyle name="Percent189" xfId="650" xr:uid="{00000000-0005-0000-0000-00008A020000}"/>
    <cellStyle name="Percent19" xfId="651" xr:uid="{00000000-0005-0000-0000-00008B020000}"/>
    <cellStyle name="Percent190" xfId="652" xr:uid="{00000000-0005-0000-0000-00008C020000}"/>
    <cellStyle name="Percent191" xfId="653" xr:uid="{00000000-0005-0000-0000-00008D020000}"/>
    <cellStyle name="Percent192" xfId="654" xr:uid="{00000000-0005-0000-0000-00008E020000}"/>
    <cellStyle name="Percent193" xfId="655" xr:uid="{00000000-0005-0000-0000-00008F020000}"/>
    <cellStyle name="Percent194" xfId="656" xr:uid="{00000000-0005-0000-0000-000090020000}"/>
    <cellStyle name="Percent195" xfId="657" xr:uid="{00000000-0005-0000-0000-000091020000}"/>
    <cellStyle name="Percent196" xfId="658" xr:uid="{00000000-0005-0000-0000-000092020000}"/>
    <cellStyle name="Percent197" xfId="659" xr:uid="{00000000-0005-0000-0000-000093020000}"/>
    <cellStyle name="Percent198" xfId="660" xr:uid="{00000000-0005-0000-0000-000094020000}"/>
    <cellStyle name="Percent199" xfId="661" xr:uid="{00000000-0005-0000-0000-000095020000}"/>
    <cellStyle name="Percent1Bold" xfId="662" xr:uid="{00000000-0005-0000-0000-000096020000}"/>
    <cellStyle name="Percent2" xfId="663" xr:uid="{00000000-0005-0000-0000-000097020000}"/>
    <cellStyle name="Percent20" xfId="664" xr:uid="{00000000-0005-0000-0000-000098020000}"/>
    <cellStyle name="Percent200" xfId="665" xr:uid="{00000000-0005-0000-0000-000099020000}"/>
    <cellStyle name="Percent201" xfId="666" xr:uid="{00000000-0005-0000-0000-00009A020000}"/>
    <cellStyle name="Percent202" xfId="667" xr:uid="{00000000-0005-0000-0000-00009B020000}"/>
    <cellStyle name="Percent203" xfId="668" xr:uid="{00000000-0005-0000-0000-00009C020000}"/>
    <cellStyle name="Percent204" xfId="669" xr:uid="{00000000-0005-0000-0000-00009D020000}"/>
    <cellStyle name="Percent205" xfId="670" xr:uid="{00000000-0005-0000-0000-00009E020000}"/>
    <cellStyle name="Percent206" xfId="671" xr:uid="{00000000-0005-0000-0000-00009F020000}"/>
    <cellStyle name="Percent207" xfId="672" xr:uid="{00000000-0005-0000-0000-0000A0020000}"/>
    <cellStyle name="Percent208" xfId="673" xr:uid="{00000000-0005-0000-0000-0000A1020000}"/>
    <cellStyle name="Percent209" xfId="674" xr:uid="{00000000-0005-0000-0000-0000A2020000}"/>
    <cellStyle name="Percent21" xfId="675" xr:uid="{00000000-0005-0000-0000-0000A3020000}"/>
    <cellStyle name="Percent210" xfId="676" xr:uid="{00000000-0005-0000-0000-0000A4020000}"/>
    <cellStyle name="Percent211" xfId="677" xr:uid="{00000000-0005-0000-0000-0000A5020000}"/>
    <cellStyle name="Percent212" xfId="678" xr:uid="{00000000-0005-0000-0000-0000A6020000}"/>
    <cellStyle name="Percent213" xfId="679" xr:uid="{00000000-0005-0000-0000-0000A7020000}"/>
    <cellStyle name="Percent214" xfId="680" xr:uid="{00000000-0005-0000-0000-0000A8020000}"/>
    <cellStyle name="Percent215" xfId="681" xr:uid="{00000000-0005-0000-0000-0000A9020000}"/>
    <cellStyle name="Percent216" xfId="682" xr:uid="{00000000-0005-0000-0000-0000AA020000}"/>
    <cellStyle name="Percent217" xfId="683" xr:uid="{00000000-0005-0000-0000-0000AB020000}"/>
    <cellStyle name="Percent218" xfId="684" xr:uid="{00000000-0005-0000-0000-0000AC020000}"/>
    <cellStyle name="Percent219" xfId="685" xr:uid="{00000000-0005-0000-0000-0000AD020000}"/>
    <cellStyle name="Percent22" xfId="686" xr:uid="{00000000-0005-0000-0000-0000AE020000}"/>
    <cellStyle name="Percent220" xfId="687" xr:uid="{00000000-0005-0000-0000-0000AF020000}"/>
    <cellStyle name="Percent221" xfId="688" xr:uid="{00000000-0005-0000-0000-0000B0020000}"/>
    <cellStyle name="Percent222" xfId="689" xr:uid="{00000000-0005-0000-0000-0000B1020000}"/>
    <cellStyle name="Percent223" xfId="690" xr:uid="{00000000-0005-0000-0000-0000B2020000}"/>
    <cellStyle name="Percent224" xfId="691" xr:uid="{00000000-0005-0000-0000-0000B3020000}"/>
    <cellStyle name="Percent225" xfId="692" xr:uid="{00000000-0005-0000-0000-0000B4020000}"/>
    <cellStyle name="Percent226" xfId="693" xr:uid="{00000000-0005-0000-0000-0000B5020000}"/>
    <cellStyle name="Percent227" xfId="694" xr:uid="{00000000-0005-0000-0000-0000B6020000}"/>
    <cellStyle name="Percent228" xfId="695" xr:uid="{00000000-0005-0000-0000-0000B7020000}"/>
    <cellStyle name="Percent229" xfId="696" xr:uid="{00000000-0005-0000-0000-0000B8020000}"/>
    <cellStyle name="Percent23" xfId="697" xr:uid="{00000000-0005-0000-0000-0000B9020000}"/>
    <cellStyle name="Percent230" xfId="698" xr:uid="{00000000-0005-0000-0000-0000BA020000}"/>
    <cellStyle name="Percent231" xfId="699" xr:uid="{00000000-0005-0000-0000-0000BB020000}"/>
    <cellStyle name="Percent232" xfId="700" xr:uid="{00000000-0005-0000-0000-0000BC020000}"/>
    <cellStyle name="Percent233" xfId="701" xr:uid="{00000000-0005-0000-0000-0000BD020000}"/>
    <cellStyle name="Percent234" xfId="702" xr:uid="{00000000-0005-0000-0000-0000BE020000}"/>
    <cellStyle name="Percent235" xfId="703" xr:uid="{00000000-0005-0000-0000-0000BF020000}"/>
    <cellStyle name="Percent236" xfId="704" xr:uid="{00000000-0005-0000-0000-0000C0020000}"/>
    <cellStyle name="Percent24" xfId="705" xr:uid="{00000000-0005-0000-0000-0000C1020000}"/>
    <cellStyle name="Percent25" xfId="706" xr:uid="{00000000-0005-0000-0000-0000C2020000}"/>
    <cellStyle name="Percent26" xfId="707" xr:uid="{00000000-0005-0000-0000-0000C3020000}"/>
    <cellStyle name="Percent27" xfId="708" xr:uid="{00000000-0005-0000-0000-0000C4020000}"/>
    <cellStyle name="Percent28" xfId="709" xr:uid="{00000000-0005-0000-0000-0000C5020000}"/>
    <cellStyle name="Percent29" xfId="710" xr:uid="{00000000-0005-0000-0000-0000C6020000}"/>
    <cellStyle name="Percent3" xfId="711" xr:uid="{00000000-0005-0000-0000-0000C7020000}"/>
    <cellStyle name="Percent30" xfId="712" xr:uid="{00000000-0005-0000-0000-0000C8020000}"/>
    <cellStyle name="Percent31" xfId="713" xr:uid="{00000000-0005-0000-0000-0000C9020000}"/>
    <cellStyle name="Percent32" xfId="714" xr:uid="{00000000-0005-0000-0000-0000CA020000}"/>
    <cellStyle name="Percent33" xfId="715" xr:uid="{00000000-0005-0000-0000-0000CB020000}"/>
    <cellStyle name="Percent34" xfId="716" xr:uid="{00000000-0005-0000-0000-0000CC020000}"/>
    <cellStyle name="Percent35" xfId="717" xr:uid="{00000000-0005-0000-0000-0000CD020000}"/>
    <cellStyle name="Percent36" xfId="718" xr:uid="{00000000-0005-0000-0000-0000CE020000}"/>
    <cellStyle name="Percent37" xfId="719" xr:uid="{00000000-0005-0000-0000-0000CF020000}"/>
    <cellStyle name="Percent38" xfId="720" xr:uid="{00000000-0005-0000-0000-0000D0020000}"/>
    <cellStyle name="Percent39" xfId="721" xr:uid="{00000000-0005-0000-0000-0000D1020000}"/>
    <cellStyle name="Percent4" xfId="722" xr:uid="{00000000-0005-0000-0000-0000D2020000}"/>
    <cellStyle name="Percent40" xfId="723" xr:uid="{00000000-0005-0000-0000-0000D3020000}"/>
    <cellStyle name="Percent41" xfId="724" xr:uid="{00000000-0005-0000-0000-0000D4020000}"/>
    <cellStyle name="Percent42" xfId="725" xr:uid="{00000000-0005-0000-0000-0000D5020000}"/>
    <cellStyle name="Percent43" xfId="726" xr:uid="{00000000-0005-0000-0000-0000D6020000}"/>
    <cellStyle name="Percent44" xfId="727" xr:uid="{00000000-0005-0000-0000-0000D7020000}"/>
    <cellStyle name="Percent45" xfId="728" xr:uid="{00000000-0005-0000-0000-0000D8020000}"/>
    <cellStyle name="Percent46" xfId="729" xr:uid="{00000000-0005-0000-0000-0000D9020000}"/>
    <cellStyle name="Percent47" xfId="730" xr:uid="{00000000-0005-0000-0000-0000DA020000}"/>
    <cellStyle name="Percent48" xfId="731" xr:uid="{00000000-0005-0000-0000-0000DB020000}"/>
    <cellStyle name="Percent49" xfId="732" xr:uid="{00000000-0005-0000-0000-0000DC020000}"/>
    <cellStyle name="Percent5" xfId="733" xr:uid="{00000000-0005-0000-0000-0000DD020000}"/>
    <cellStyle name="Percent50" xfId="734" xr:uid="{00000000-0005-0000-0000-0000DE020000}"/>
    <cellStyle name="Percent51" xfId="735" xr:uid="{00000000-0005-0000-0000-0000DF020000}"/>
    <cellStyle name="Percent52" xfId="736" xr:uid="{00000000-0005-0000-0000-0000E0020000}"/>
    <cellStyle name="Percent53" xfId="737" xr:uid="{00000000-0005-0000-0000-0000E1020000}"/>
    <cellStyle name="Percent54" xfId="738" xr:uid="{00000000-0005-0000-0000-0000E2020000}"/>
    <cellStyle name="Percent55" xfId="739" xr:uid="{00000000-0005-0000-0000-0000E3020000}"/>
    <cellStyle name="Percent56" xfId="740" xr:uid="{00000000-0005-0000-0000-0000E4020000}"/>
    <cellStyle name="Percent57" xfId="741" xr:uid="{00000000-0005-0000-0000-0000E5020000}"/>
    <cellStyle name="Percent58" xfId="742" xr:uid="{00000000-0005-0000-0000-0000E6020000}"/>
    <cellStyle name="Percent59" xfId="743" xr:uid="{00000000-0005-0000-0000-0000E7020000}"/>
    <cellStyle name="Percent6" xfId="744" xr:uid="{00000000-0005-0000-0000-0000E8020000}"/>
    <cellStyle name="Percent60" xfId="745" xr:uid="{00000000-0005-0000-0000-0000E9020000}"/>
    <cellStyle name="Percent61" xfId="746" xr:uid="{00000000-0005-0000-0000-0000EA020000}"/>
    <cellStyle name="Percent62" xfId="747" xr:uid="{00000000-0005-0000-0000-0000EB020000}"/>
    <cellStyle name="Percent63" xfId="748" xr:uid="{00000000-0005-0000-0000-0000EC020000}"/>
    <cellStyle name="Percent64" xfId="749" xr:uid="{00000000-0005-0000-0000-0000ED020000}"/>
    <cellStyle name="Percent65" xfId="750" xr:uid="{00000000-0005-0000-0000-0000EE020000}"/>
    <cellStyle name="Percent66" xfId="751" xr:uid="{00000000-0005-0000-0000-0000EF020000}"/>
    <cellStyle name="Percent67" xfId="752" xr:uid="{00000000-0005-0000-0000-0000F0020000}"/>
    <cellStyle name="Percent68" xfId="753" xr:uid="{00000000-0005-0000-0000-0000F1020000}"/>
    <cellStyle name="Percent69" xfId="754" xr:uid="{00000000-0005-0000-0000-0000F2020000}"/>
    <cellStyle name="Percent7" xfId="755" xr:uid="{00000000-0005-0000-0000-0000F3020000}"/>
    <cellStyle name="Percent70" xfId="756" xr:uid="{00000000-0005-0000-0000-0000F4020000}"/>
    <cellStyle name="Percent71" xfId="757" xr:uid="{00000000-0005-0000-0000-0000F5020000}"/>
    <cellStyle name="Percent72" xfId="758" xr:uid="{00000000-0005-0000-0000-0000F6020000}"/>
    <cellStyle name="Percent73" xfId="759" xr:uid="{00000000-0005-0000-0000-0000F7020000}"/>
    <cellStyle name="Percent74" xfId="760" xr:uid="{00000000-0005-0000-0000-0000F8020000}"/>
    <cellStyle name="Percent75" xfId="761" xr:uid="{00000000-0005-0000-0000-0000F9020000}"/>
    <cellStyle name="Percent76" xfId="762" xr:uid="{00000000-0005-0000-0000-0000FA020000}"/>
    <cellStyle name="Percent77" xfId="763" xr:uid="{00000000-0005-0000-0000-0000FB020000}"/>
    <cellStyle name="Percent78" xfId="764" xr:uid="{00000000-0005-0000-0000-0000FC020000}"/>
    <cellStyle name="Percent79" xfId="765" xr:uid="{00000000-0005-0000-0000-0000FD020000}"/>
    <cellStyle name="Percent8" xfId="766" xr:uid="{00000000-0005-0000-0000-0000FE020000}"/>
    <cellStyle name="Percent80" xfId="767" xr:uid="{00000000-0005-0000-0000-0000FF020000}"/>
    <cellStyle name="Percent81" xfId="768" xr:uid="{00000000-0005-0000-0000-000000030000}"/>
    <cellStyle name="Percent82" xfId="769" xr:uid="{00000000-0005-0000-0000-000001030000}"/>
    <cellStyle name="Percent83" xfId="770" xr:uid="{00000000-0005-0000-0000-000002030000}"/>
    <cellStyle name="Percent84" xfId="771" xr:uid="{00000000-0005-0000-0000-000003030000}"/>
    <cellStyle name="Percent85" xfId="772" xr:uid="{00000000-0005-0000-0000-000004030000}"/>
    <cellStyle name="Percent86" xfId="773" xr:uid="{00000000-0005-0000-0000-000005030000}"/>
    <cellStyle name="Percent87" xfId="774" xr:uid="{00000000-0005-0000-0000-000006030000}"/>
    <cellStyle name="Percent88" xfId="775" xr:uid="{00000000-0005-0000-0000-000007030000}"/>
    <cellStyle name="Percent89" xfId="776" xr:uid="{00000000-0005-0000-0000-000008030000}"/>
    <cellStyle name="Percent9" xfId="777" xr:uid="{00000000-0005-0000-0000-000009030000}"/>
    <cellStyle name="Percent90" xfId="778" xr:uid="{00000000-0005-0000-0000-00000A030000}"/>
    <cellStyle name="Percent91" xfId="779" xr:uid="{00000000-0005-0000-0000-00000B030000}"/>
    <cellStyle name="Percent92" xfId="780" xr:uid="{00000000-0005-0000-0000-00000C030000}"/>
    <cellStyle name="Percent93" xfId="781" xr:uid="{00000000-0005-0000-0000-00000D030000}"/>
    <cellStyle name="Percent94" xfId="782" xr:uid="{00000000-0005-0000-0000-00000E030000}"/>
    <cellStyle name="Percent95" xfId="783" xr:uid="{00000000-0005-0000-0000-00000F030000}"/>
    <cellStyle name="Percent96" xfId="784" xr:uid="{00000000-0005-0000-0000-000010030000}"/>
    <cellStyle name="Percent97" xfId="785" xr:uid="{00000000-0005-0000-0000-000011030000}"/>
    <cellStyle name="Percent98" xfId="786" xr:uid="{00000000-0005-0000-0000-000012030000}"/>
    <cellStyle name="Percent99" xfId="787" xr:uid="{00000000-0005-0000-0000-000013030000}"/>
    <cellStyle name="Percentage" xfId="788" xr:uid="{00000000-0005-0000-0000-000014030000}"/>
    <cellStyle name="PercentStyle" xfId="789" xr:uid="{00000000-0005-0000-0000-000015030000}"/>
    <cellStyle name="PercentStyle 2" xfId="1007" xr:uid="{D8DA38C0-DEF0-4EBE-9FAB-43D2E3D323F0}"/>
    <cellStyle name="PrePop Currency (0)" xfId="790" xr:uid="{00000000-0005-0000-0000-000016030000}"/>
    <cellStyle name="PrePop Currency (2)" xfId="791" xr:uid="{00000000-0005-0000-0000-000017030000}"/>
    <cellStyle name="PrePop Units (0)" xfId="792" xr:uid="{00000000-0005-0000-0000-000018030000}"/>
    <cellStyle name="PrePop Units (1)" xfId="793" xr:uid="{00000000-0005-0000-0000-000019030000}"/>
    <cellStyle name="PrePop Units (2)" xfId="794" xr:uid="{00000000-0005-0000-0000-00001A030000}"/>
    <cellStyle name="Price" xfId="795" xr:uid="{00000000-0005-0000-0000-00001B030000}"/>
    <cellStyle name="Price 2" xfId="1008" xr:uid="{5147C4EC-1AE8-475C-B304-BA393304DC90}"/>
    <cellStyle name="Product Header" xfId="796" xr:uid="{00000000-0005-0000-0000-00001C030000}"/>
    <cellStyle name="PSChar" xfId="797" xr:uid="{00000000-0005-0000-0000-00001D030000}"/>
    <cellStyle name="PSDate" xfId="798" xr:uid="{00000000-0005-0000-0000-00001E030000}"/>
    <cellStyle name="PSDec" xfId="799" xr:uid="{00000000-0005-0000-0000-00001F030000}"/>
    <cellStyle name="PSHeading" xfId="800" xr:uid="{00000000-0005-0000-0000-000020030000}"/>
    <cellStyle name="PSInt" xfId="801" xr:uid="{00000000-0005-0000-0000-000021030000}"/>
    <cellStyle name="PSSpacer" xfId="802" xr:uid="{00000000-0005-0000-0000-000022030000}"/>
    <cellStyle name="r" xfId="803" xr:uid="{00000000-0005-0000-0000-000023030000}"/>
    <cellStyle name="r_F&amp;W Servicing Model" xfId="804" xr:uid="{00000000-0005-0000-0000-000024030000}"/>
    <cellStyle name="r_F&amp;W Servicing Model v2" xfId="805" xr:uid="{00000000-0005-0000-0000-000025030000}"/>
    <cellStyle name="r_Yell Servicing Model" xfId="806" xr:uid="{00000000-0005-0000-0000-000026030000}"/>
    <cellStyle name="rate" xfId="807" xr:uid="{00000000-0005-0000-0000-000027030000}"/>
    <cellStyle name="Ratio" xfId="808" xr:uid="{00000000-0005-0000-0000-000028030000}"/>
    <cellStyle name="Ratio 2" xfId="1009" xr:uid="{E0CB71A6-C491-4D95-83A7-D55F242AB5E9}"/>
    <cellStyle name="Ratio Comma" xfId="809" xr:uid="{00000000-0005-0000-0000-000029030000}"/>
    <cellStyle name="Ratio Comma 2" xfId="1010" xr:uid="{5D775F0C-3EAE-4DF4-A456-EEF58C041176}"/>
    <cellStyle name="Ratio_Private" xfId="810" xr:uid="{00000000-0005-0000-0000-00002A030000}"/>
    <cellStyle name="regstoresfromspecstores" xfId="811" xr:uid="{00000000-0005-0000-0000-00002B030000}"/>
    <cellStyle name="RevList" xfId="812" xr:uid="{00000000-0005-0000-0000-00002C030000}"/>
    <cellStyle name="Right" xfId="813" xr:uid="{00000000-0005-0000-0000-00002D030000}"/>
    <cellStyle name="RightBold" xfId="814" xr:uid="{00000000-0005-0000-0000-00002E030000}"/>
    <cellStyle name="RightBoldBottomRule" xfId="815" xr:uid="{00000000-0005-0000-0000-00002F030000}"/>
    <cellStyle name="RightBoldCenterRule" xfId="816" xr:uid="{00000000-0005-0000-0000-000030030000}"/>
    <cellStyle name="Section" xfId="817" xr:uid="{00000000-0005-0000-0000-000031030000}"/>
    <cellStyle name="SectionHeaderNormal" xfId="818" xr:uid="{00000000-0005-0000-0000-000032030000}"/>
    <cellStyle name="SHADEDSTORES" xfId="819" xr:uid="{00000000-0005-0000-0000-000033030000}"/>
    <cellStyle name="Short $" xfId="820" xr:uid="{00000000-0005-0000-0000-000034030000}"/>
    <cellStyle name="ShOut" xfId="821" xr:uid="{00000000-0005-0000-0000-000035030000}"/>
    <cellStyle name="ShOut 2" xfId="1011" xr:uid="{63D97E27-4359-42AB-9FA2-0196FC569F49}"/>
    <cellStyle name="Simple" xfId="822" xr:uid="{00000000-0005-0000-0000-000036030000}"/>
    <cellStyle name="SimpleBold" xfId="823" xr:uid="{00000000-0005-0000-0000-000037030000}"/>
    <cellStyle name="Single Accounting" xfId="824" xr:uid="{00000000-0005-0000-0000-000038030000}"/>
    <cellStyle name="specstores" xfId="825" xr:uid="{00000000-0005-0000-0000-000039030000}"/>
    <cellStyle name="Stock Comma" xfId="826" xr:uid="{00000000-0005-0000-0000-00003A030000}"/>
    <cellStyle name="Stock Comma 2" xfId="1012" xr:uid="{7BF461C0-4034-4E5A-837E-2645E3465621}"/>
    <cellStyle name="Stock Price" xfId="827" xr:uid="{00000000-0005-0000-0000-00003B030000}"/>
    <cellStyle name="Stock Price 2" xfId="1013" xr:uid="{04F114DB-5361-4786-880E-B0A76A386A4F}"/>
    <cellStyle name="Style 1" xfId="828" xr:uid="{00000000-0005-0000-0000-00003C030000}"/>
    <cellStyle name="Style 21" xfId="829" xr:uid="{00000000-0005-0000-0000-00003D030000}"/>
    <cellStyle name="Style 22" xfId="830" xr:uid="{00000000-0005-0000-0000-00003E030000}"/>
    <cellStyle name="Style 23" xfId="831" xr:uid="{00000000-0005-0000-0000-00003F030000}"/>
    <cellStyle name="Style 24" xfId="832" xr:uid="{00000000-0005-0000-0000-000040030000}"/>
    <cellStyle name="Style 25" xfId="833" xr:uid="{00000000-0005-0000-0000-000041030000}"/>
    <cellStyle name="Style 26" xfId="834" xr:uid="{00000000-0005-0000-0000-000042030000}"/>
    <cellStyle name="Style 27" xfId="835" xr:uid="{00000000-0005-0000-0000-000043030000}"/>
    <cellStyle name="Style 28" xfId="836" xr:uid="{00000000-0005-0000-0000-000044030000}"/>
    <cellStyle name="Style 29" xfId="837" xr:uid="{00000000-0005-0000-0000-000045030000}"/>
    <cellStyle name="Style 30" xfId="838" xr:uid="{00000000-0005-0000-0000-000046030000}"/>
    <cellStyle name="Style 31" xfId="839" xr:uid="{00000000-0005-0000-0000-000047030000}"/>
    <cellStyle name="Style 32" xfId="840" xr:uid="{00000000-0005-0000-0000-000048030000}"/>
    <cellStyle name="Style 33" xfId="841" xr:uid="{00000000-0005-0000-0000-000049030000}"/>
    <cellStyle name="Style 34" xfId="842" xr:uid="{00000000-0005-0000-0000-00004A030000}"/>
    <cellStyle name="Style 35" xfId="843" xr:uid="{00000000-0005-0000-0000-00004B030000}"/>
    <cellStyle name="Style 36" xfId="844" xr:uid="{00000000-0005-0000-0000-00004C030000}"/>
    <cellStyle name="Style 37" xfId="845" xr:uid="{00000000-0005-0000-0000-00004D030000}"/>
    <cellStyle name="Style 38" xfId="846" xr:uid="{00000000-0005-0000-0000-00004E030000}"/>
    <cellStyle name="Style 39" xfId="847" xr:uid="{00000000-0005-0000-0000-00004F030000}"/>
    <cellStyle name="Style 40" xfId="848" xr:uid="{00000000-0005-0000-0000-000050030000}"/>
    <cellStyle name="Style 41" xfId="849" xr:uid="{00000000-0005-0000-0000-000051030000}"/>
    <cellStyle name="Style 42" xfId="850" xr:uid="{00000000-0005-0000-0000-000052030000}"/>
    <cellStyle name="Style 43" xfId="851" xr:uid="{00000000-0005-0000-0000-000053030000}"/>
    <cellStyle name="Style 44" xfId="852" xr:uid="{00000000-0005-0000-0000-000054030000}"/>
    <cellStyle name="Style 45" xfId="853" xr:uid="{00000000-0005-0000-0000-000055030000}"/>
    <cellStyle name="Style 46" xfId="854" xr:uid="{00000000-0005-0000-0000-000056030000}"/>
    <cellStyle name="Style 47" xfId="855" xr:uid="{00000000-0005-0000-0000-000057030000}"/>
    <cellStyle name="Style 48" xfId="856" xr:uid="{00000000-0005-0000-0000-000058030000}"/>
    <cellStyle name="STYLE1" xfId="857" xr:uid="{00000000-0005-0000-0000-000059030000}"/>
    <cellStyle name="SubScript" xfId="858" xr:uid="{00000000-0005-0000-0000-00005A030000}"/>
    <cellStyle name="Subtotal" xfId="859" xr:uid="{00000000-0005-0000-0000-00005B030000}"/>
    <cellStyle name="Sum" xfId="860" xr:uid="{00000000-0005-0000-0000-00005C030000}"/>
    <cellStyle name="SuperScript" xfId="861" xr:uid="{00000000-0005-0000-0000-00005D030000}"/>
    <cellStyle name="Table_Title" xfId="862" xr:uid="{00000000-0005-0000-0000-00005E030000}"/>
    <cellStyle name="Test" xfId="863" xr:uid="{00000000-0005-0000-0000-00005F030000}"/>
    <cellStyle name="Text Indent A" xfId="864" xr:uid="{00000000-0005-0000-0000-000060030000}"/>
    <cellStyle name="Text Indent B" xfId="865" xr:uid="{00000000-0005-0000-0000-000061030000}"/>
    <cellStyle name="Text Indent C" xfId="866" xr:uid="{00000000-0005-0000-0000-000062030000}"/>
    <cellStyle name="Text Indent C 2" xfId="1014" xr:uid="{9B78BFBA-E2D6-4554-97DE-E49326C504B1}"/>
    <cellStyle name="TextBold" xfId="867" xr:uid="{00000000-0005-0000-0000-000063030000}"/>
    <cellStyle name="TextItalic" xfId="868" xr:uid="{00000000-0005-0000-0000-000064030000}"/>
    <cellStyle name="TextNormal" xfId="869" xr:uid="{00000000-0005-0000-0000-000065030000}"/>
    <cellStyle name="Time" xfId="870" xr:uid="{00000000-0005-0000-0000-000066030000}"/>
    <cellStyle name="Times 10" xfId="871" xr:uid="{00000000-0005-0000-0000-000067030000}"/>
    <cellStyle name="Times 12" xfId="872" xr:uid="{00000000-0005-0000-0000-000068030000}"/>
    <cellStyle name="Title - PROJECT" xfId="873" xr:uid="{00000000-0005-0000-0000-000069030000}"/>
    <cellStyle name="Title - PROJECT 2" xfId="1015" xr:uid="{6692A9F8-4852-4534-A513-01FE5431089D}"/>
    <cellStyle name="Title - Underline" xfId="874" xr:uid="{00000000-0005-0000-0000-00006A030000}"/>
    <cellStyle name="Title - Underline 2" xfId="1016" xr:uid="{4DADB0D8-2E0A-4A4D-B0B5-FFCB2142FD9F}"/>
    <cellStyle name="Title1" xfId="875" xr:uid="{00000000-0005-0000-0000-00006B030000}"/>
    <cellStyle name="Title2" xfId="876" xr:uid="{00000000-0005-0000-0000-00006C030000}"/>
    <cellStyle name="TitleNormal" xfId="877" xr:uid="{00000000-0005-0000-0000-00006D030000}"/>
    <cellStyle name="Titles - Col. Headings" xfId="878" xr:uid="{00000000-0005-0000-0000-00006E030000}"/>
    <cellStyle name="Titles - Other" xfId="879" xr:uid="{00000000-0005-0000-0000-00006F030000}"/>
    <cellStyle name="Titles - Other 2" xfId="1017" xr:uid="{9AD879D9-705E-447D-9F60-D4901840DF51}"/>
    <cellStyle name="Top Edge" xfId="880" xr:uid="{00000000-0005-0000-0000-000070030000}"/>
    <cellStyle name="Total" xfId="881" builtinId="25" customBuiltin="1"/>
    <cellStyle name="ubordinated Debt" xfId="882" xr:uid="{00000000-0005-0000-0000-000072030000}"/>
    <cellStyle name="wheat merger's and acquisitions" xfId="883" xr:uid="{00000000-0005-0000-0000-000073030000}"/>
    <cellStyle name="x" xfId="884" xr:uid="{00000000-0005-0000-0000-000074030000}"/>
    <cellStyle name="x_TSA Model - 1 8 06 - v2" xfId="885" xr:uid="{00000000-0005-0000-0000-000075030000}"/>
    <cellStyle name="Y2K Compliant Date Fmt" xfId="886" xr:uid="{00000000-0005-0000-0000-000076030000}"/>
    <cellStyle name="Years" xfId="887" xr:uid="{00000000-0005-0000-0000-000077030000}"/>
    <cellStyle name="yellow" xfId="888" xr:uid="{00000000-0005-0000-0000-000078030000}"/>
    <cellStyle name="Yen" xfId="889" xr:uid="{00000000-0005-0000-0000-000079030000}"/>
    <cellStyle name="YYYY" xfId="890" xr:uid="{00000000-0005-0000-0000-00007A030000}"/>
    <cellStyle name="桁区切り [0.00]_Appendix" xfId="891" xr:uid="{00000000-0005-0000-0000-00007B030000}"/>
    <cellStyle name="桁区切り_Appendix" xfId="892" xr:uid="{00000000-0005-0000-0000-00007C030000}"/>
    <cellStyle name="標準_Appendix" xfId="893" xr:uid="{00000000-0005-0000-0000-00007D030000}"/>
    <cellStyle name="通貨 [0.00]_Appendix" xfId="894" xr:uid="{00000000-0005-0000-0000-00007E030000}"/>
    <cellStyle name="通貨_Appendix" xfId="895" xr:uid="{00000000-0005-0000-0000-00007F03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externalLink" Target="externalLinks/externalLink23.xml"/><Relationship Id="rId39" Type="http://schemas.openxmlformats.org/officeDocument/2006/relationships/customXml" Target="../customXml/item1.xml"/><Relationship Id="rId21" Type="http://schemas.openxmlformats.org/officeDocument/2006/relationships/externalLink" Target="externalLinks/externalLink18.xml"/><Relationship Id="rId34" Type="http://schemas.openxmlformats.org/officeDocument/2006/relationships/externalLink" Target="externalLinks/externalLink31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29" Type="http://schemas.openxmlformats.org/officeDocument/2006/relationships/externalLink" Target="externalLinks/externalLink26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externalLink" Target="externalLinks/externalLink21.xml"/><Relationship Id="rId32" Type="http://schemas.openxmlformats.org/officeDocument/2006/relationships/externalLink" Target="externalLinks/externalLink29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openxmlformats.org/officeDocument/2006/relationships/externalLink" Target="externalLinks/externalLink25.xml"/><Relationship Id="rId36" Type="http://schemas.openxmlformats.org/officeDocument/2006/relationships/styles" Target="styles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31" Type="http://schemas.openxmlformats.org/officeDocument/2006/relationships/externalLink" Target="externalLinks/externalLink28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externalLink" Target="externalLinks/externalLink19.xml"/><Relationship Id="rId27" Type="http://schemas.openxmlformats.org/officeDocument/2006/relationships/externalLink" Target="externalLinks/externalLink24.xml"/><Relationship Id="rId30" Type="http://schemas.openxmlformats.org/officeDocument/2006/relationships/externalLink" Target="externalLinks/externalLink27.xml"/><Relationship Id="rId35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externalLink" Target="externalLinks/externalLink22.xml"/><Relationship Id="rId33" Type="http://schemas.openxmlformats.org/officeDocument/2006/relationships/externalLink" Target="externalLinks/externalLink30.xml"/><Relationship Id="rId38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Documents%20and%20Settings\GBlank\Local%20Settings\Temporary%20Internet%20Files\OLK39\TSA%20Model%20-%201%208%2006%20-%20v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Office\Media\COMPS%20-%20B2B%20Publisher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My%20Documents\TPG\LBO\Bally\BFT%20Forecast%20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ETG%20Templ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\APPROVAL%20MEMOS\Endurance%20Media\BLT%20Work\EBM%20Quarterly%20Mode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%20Info%2022%20(Adam%20Silver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ChartDat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Bank%20Correspondence\JMI%20Model%20(Wx%20Model%20-%20BMO%20Adjusted%205-18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CMP%20II\INACTIVE%20DEALS\Facts%20on%20File\Transaction%20Models\FOF%20Model%20v3%20(Asset%20Purchase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jects5\Barracuda\Documents%20and%20Settings\nbk7h1e\Local%20Settings\Temporary%20Internet%20Files\OLK61\Bank%20Austria\Returns@@@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TruCom\BridgeCom%20Budget%20200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-fil01\data\Wicks\Wicks%20Model\JMI%20Model%20(Wx%20Model%20-%20BMO%20Adjusted%205-18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Crescent%20Publishing%20Company,%20LLC\R0%20-%20Aug%202,%202001\CrescentPublishing%20Model%208-01%20R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redit%20Derivatives%20Group\Emerging\CBO\MFS\Jersey%20Street%20CLO\Warehouse\Warehouse%20Report\versions\August\Jersey%20Street%20CLO%208.7.06%20Committed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wicksgroup.com/PORTFOLIO%20COMPANIES/Bressler%20Outdoor/Financial%20Models/SubDebt%20Model%20-%20IRR%20-$30MM%20Equity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unzipped\7xbb01_\7b7k01_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TEMP\Consolidated%2012-4-00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tc-neptune\accounting\Invoices\Invoice%2099\z.December%201999\DEC99Invoice%20Summary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osetta%20Stone%20Model%20(91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Company%20Materials\Company%20Materials\Bank%20Model_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%20Research\_RAs\Takacs_G\PORTFOLIO%20-%20Takacs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Spring%202002\Modeling\Problem%204%20worksheet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Bank%20Model_2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NT14\USERS$\mm93223\My%20Documents\Templates\Servicing%20Template%20-%20MAB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EMcKee\Local%20Settings\Temporary%20Internet%20Files\OLK12\65%20UVN%207-Year%20Model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windows\TEMP\financial%20forecast%207.27.98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Beckett\Deals%20in%20process\UniFocus%20R6\Unifocus%20Model%204-02%20R6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CRothbard\Local%20Settings\Temporary%20Internet%20Files\OLK146\JMI_WMI%20Financing%20Model%20(02-09-06)_vTD4%2006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jorr\Local%20Settings\Temporary%20Internet%20Files\OLK27\MC-DW-JOB%20Merger%20Model%20for%20Syndicate%20-%203.31.05%20rjf%205.03.05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Corporate%20Development\JMI_WMI%20Combination\2005.11\Oct%202005\MEDCON%20Projection%20Model%20September%202005%20(09-13-05)%20v2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M&amp;A_Deal\New%20Models\dcf.sh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Returns Summary"/>
      <sheetName val="Case Logic"/>
      <sheetName val="Option Summary"/>
      <sheetName val="TRANSACTION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 Page"/>
      <sheetName val="Deal Multiples"/>
      <sheetName val="Asset Coverage"/>
      <sheetName val="Status"/>
      <sheetName val="Output"/>
      <sheetName val="Graphs"/>
      <sheetName val="Inputs"/>
      <sheetName val="WARF"/>
      <sheetName val="Comps"/>
      <sheetName val="Magazines"/>
      <sheetName val="2"/>
      <sheetName val="4"/>
      <sheetName val="5"/>
      <sheetName val="6"/>
      <sheetName val="7"/>
      <sheetName val="8"/>
      <sheetName val="10"/>
      <sheetName val="11"/>
      <sheetName val="12"/>
      <sheetName val="14"/>
      <sheetName val="16"/>
      <sheetName val="1"/>
      <sheetName val="3"/>
      <sheetName val="9"/>
      <sheetName val="13"/>
      <sheetName val="15"/>
      <sheetName val="ARP"/>
      <sheetName val="CNG"/>
      <sheetName val="F&amp;W"/>
      <sheetName val="HNW"/>
      <sheetName val="IMO"/>
      <sheetName val="JMI"/>
      <sheetName val="MMH"/>
      <sheetName val="PRM"/>
      <sheetName val="RDA"/>
      <sheetName val="SRCE"/>
      <sheetName val="SPRG"/>
      <sheetName val="WNM"/>
      <sheetName val="RVDP"/>
      <sheetName val="SMTB"/>
      <sheetName val="TMN"/>
      <sheetName val="Portfolio"/>
      <sheetName val="LBO Summary"/>
      <sheetName val="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attrition"/>
      <sheetName val="Sheet1"/>
      <sheetName val="IncStmt"/>
      <sheetName val="CashFlow"/>
      <sheetName val="BalSht"/>
      <sheetName val="Allowance"/>
      <sheetName val="CashEBITDA"/>
      <sheetName val="FxdChg"/>
      <sheetName val="Ratio"/>
      <sheetName val="Module1"/>
      <sheetName val="LBO Summary"/>
      <sheetName val="Char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Tanning Assumptions"/>
      <sheetName val="Tanning P&amp;L"/>
      <sheetName val="Tanning Balance Sheets"/>
      <sheetName val="Tanning Cash Flows"/>
      <sheetName val="Meta P&amp;L"/>
      <sheetName val="Meta Balance Sheet"/>
      <sheetName val="Meta Cash Flow"/>
      <sheetName val="Combined Balance Sheet"/>
      <sheetName val="Combined P&amp;L"/>
      <sheetName val="Combined Cash Flow"/>
      <sheetName val="Shares"/>
      <sheetName val="EssRet"/>
      <sheetName val="Meta Segments"/>
      <sheetName val="Capex"/>
      <sheetName val="Sheet5"/>
      <sheetName val="D"/>
      <sheetName val="TRANSA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Qual. Analysis"/>
      <sheetName val="Inputs"/>
      <sheetName val="Base"/>
      <sheetName val="EV_DCF Analysis"/>
      <sheetName val="VeCTOR Import"/>
      <sheetName val="Annual Summary"/>
    </sheetNames>
    <sheetDataSet>
      <sheetData sheetId="0" refreshError="1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tions"/>
      <sheetName val="Calcs"/>
      <sheetName val="Account"/>
      <sheetName val="OCTrends"/>
      <sheetName val="ICTrends"/>
      <sheetName val="DivTrends"/>
      <sheetName val="WARFTrends"/>
      <sheetName val="WARFFitchTrends"/>
      <sheetName val="WASTrends"/>
      <sheetName val="WACTrends"/>
      <sheetName val="WALTrends"/>
      <sheetName val="Debt Structure"/>
      <sheetName val="Fund Schedule"/>
      <sheetName val="Principal"/>
      <sheetName val="Ineligible"/>
      <sheetName val="S&amp;P Industry"/>
      <sheetName val="Trade Activity Summary"/>
      <sheetName val="Sale Activity Bond"/>
      <sheetName val="Sale Activity"/>
      <sheetName val="Buy Activity Bond"/>
      <sheetName val="Buy Activity"/>
      <sheetName val="Default"/>
      <sheetName val="CCC"/>
      <sheetName val="CCCBond"/>
      <sheetName val="Presentation Info 22 (Adam Silv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M YTD 2000"/>
      <sheetName val="AUM_Chart"/>
      <sheetName val="Cap Structure"/>
      <sheetName val="TOP10"/>
      <sheetName val="DefaultHistory"/>
      <sheetName val="DefaultedSecuritySummary"/>
      <sheetName val="DefaultedSecuritySummary2"/>
      <sheetName val="DefaultedSecurityData"/>
      <sheetName val="Actual vs Covenant"/>
      <sheetName val="APEX"/>
      <sheetName val="APEX_MR"/>
      <sheetName val="APEX_SR"/>
      <sheetName val="APEX_MI"/>
      <sheetName val="APEX_SI"/>
      <sheetName val="ELC1"/>
      <sheetName val="ELC1_SR"/>
      <sheetName val="ELC1_MR"/>
      <sheetName val="ELC1_FR"/>
      <sheetName val="ELC1_SI"/>
      <sheetName val="ELC1_MI"/>
      <sheetName val="ELC2"/>
      <sheetName val="ELC2_SR"/>
      <sheetName val="ELC2_FR"/>
      <sheetName val="ELC2_SI"/>
      <sheetName val="ELC2_MI"/>
      <sheetName val="ELC3"/>
      <sheetName val="ELC3_MR"/>
      <sheetName val="ELC3_SR"/>
      <sheetName val="ELC3_FR"/>
      <sheetName val="ELC3_MI"/>
      <sheetName val="ELC3_SI"/>
      <sheetName val="ELC4"/>
      <sheetName val="ELC4_MR"/>
      <sheetName val="ELC4_SR"/>
      <sheetName val="ELC4_MI"/>
      <sheetName val="ELC4_SI"/>
      <sheetName val="ELC5"/>
      <sheetName val="ELC5_MR"/>
      <sheetName val="ELC5_SR"/>
      <sheetName val="ELC5_MI"/>
      <sheetName val="ELC5_SI"/>
      <sheetName val="TRYN"/>
      <sheetName val="TRYN_MR"/>
      <sheetName val="TRYN_SR"/>
      <sheetName val="TRYN_SI"/>
      <sheetName val="TRYN_MI"/>
      <sheetName val="SaleData"/>
      <sheetName val="SH_Results"/>
      <sheetName val="SH_APEX"/>
      <sheetName val="SH_ELC1"/>
      <sheetName val="SH_ELC2"/>
      <sheetName val="SH_ELC3"/>
      <sheetName val="SH_ELC4"/>
      <sheetName val="SH_ELC5"/>
      <sheetName val="SH_TR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DISPLAY"/>
      <sheetName val="CONTRO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&amp;U"/>
      <sheetName val="BS"/>
      <sheetName val="IS"/>
      <sheetName val="CFS"/>
      <sheetName val="REV"/>
      <sheetName val="RATIO"/>
      <sheetName val="RETURN"/>
      <sheetName val="CONTROL"/>
      <sheetName val="D&amp;A"/>
    </sheetNames>
    <sheetDataSet>
      <sheetData sheetId="0" refreshError="1"/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flows"/>
      <sheetName val="OC-IC"/>
      <sheetName val="Sources and Uses"/>
      <sheetName val="After Tax"/>
      <sheetName val="Tax Report"/>
      <sheetName val="Price Yield"/>
      <sheetName val="LIBOR"/>
      <sheetName val="Revolver"/>
      <sheetName val="PV Calc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DRIVER"/>
      <sheetName val="Sheet1"/>
      <sheetName val="Bcom IS-Mnthly"/>
      <sheetName val="Conversion Balance Sheet"/>
      <sheetName val="Bcom BS-Mnthly"/>
      <sheetName val="Bcom FAS95-Mnthly"/>
      <sheetName val="Bcom Rollup-Income"/>
      <sheetName val="Bcom Rollup- Balance"/>
      <sheetName val="Bcom Conversion Charge Adj"/>
      <sheetName val="Bcom Debt"/>
      <sheetName val="Bcom Fixed Assets"/>
      <sheetName val="Bcom Lines"/>
      <sheetName val="Bcom New AE Efficiency"/>
      <sheetName val="Bcom Rev"/>
      <sheetName val="Bcom COGS"/>
      <sheetName val="Bcom-SG&amp;A,Taxes"/>
      <sheetName val="Bcom HEADCOUNT"/>
      <sheetName val="MasterDriverTrucom"/>
      <sheetName val="TruCom IS"/>
      <sheetName val="TruCom BS"/>
      <sheetName val="TruCom FAS95-Mnthly"/>
      <sheetName val="TruCom Rev"/>
      <sheetName val="TruCom COGS"/>
      <sheetName val="TruCom Lines"/>
      <sheetName val="TruCom-SG&amp;A,Taxes"/>
      <sheetName val="TruCom HEADCOUNT"/>
      <sheetName val="TruCom Amort."/>
      <sheetName val="TruCom Fixed Assets"/>
      <sheetName val="TruCom Debt"/>
      <sheetName val="TruCom Debt worksheet"/>
      <sheetName val="Cap Tables"/>
      <sheetName val="TruCom Cash Acct. Recon."/>
      <sheetName val="MASTER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DISPLAY"/>
      <sheetName val="OPT-MIS"/>
      <sheetName val="REV"/>
      <sheetName val="EXP"/>
      <sheetName val="MODR"/>
      <sheetName val="D&amp;A"/>
      <sheetName val="DEBT"/>
      <sheetName val="COVS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CM 2000 Rev Chart"/>
      <sheetName val="MCM 2001 Rev Chart"/>
      <sheetName val="MCM 1999 P&amp;L"/>
      <sheetName val="MCM 2000 P&amp;L"/>
      <sheetName val="MCM 2001 Plan"/>
      <sheetName val="MCM 2000 and 2001 Plan"/>
      <sheetName val="GSN Hist IS"/>
      <sheetName val="GSN Hist BS"/>
      <sheetName val="CC 2000 Detail"/>
      <sheetName val="CC 2000 IS"/>
      <sheetName val="CC 2000 BS"/>
      <sheetName val="CC 2000 CF"/>
      <sheetName val="Crescent Mo IS 9-00 to 6-01"/>
      <sheetName val="Crescent Qtr IS Sep00-Jun01"/>
      <sheetName val="Target P&amp;L RollUp"/>
      <sheetName val="Target P&amp;L RollUp June"/>
      <sheetName val="Target P&amp;L Pct Sales"/>
      <sheetName val="MASTER DRIVERS"/>
      <sheetName val="Summary"/>
      <sheetName val="IS Sum"/>
      <sheetName val="BS Sum"/>
      <sheetName val="CF Sum"/>
      <sheetName val="Covenants and Capitalization"/>
      <sheetName val="Ret Earn Reconcile"/>
      <sheetName val="GSN IS Sum"/>
      <sheetName val="Maine IS Sum"/>
      <sheetName val="Conversion BS"/>
      <sheetName val="Key Ratios"/>
      <sheetName val="MCG vs Vaxa"/>
      <sheetName val="Exhibits1"/>
      <sheetName val="Exhibits2"/>
      <sheetName val="IS"/>
      <sheetName val="BS"/>
      <sheetName val="CF"/>
      <sheetName val="Debt"/>
      <sheetName val="Fixed Assets"/>
      <sheetName val="Intangibles"/>
      <sheetName val="DCF"/>
      <sheetName val="Initial TTM EBITDA by Cluster"/>
      <sheetName val="Geographic Concentration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anX"/>
      <sheetName val="Portfolio Input"/>
      <sheetName val="Warehouse Summary"/>
      <sheetName val="Investor Summary"/>
      <sheetName val="Industry"/>
      <sheetName val="Rating"/>
      <sheetName val="Broad Loan Category"/>
      <sheetName val="Diversity Calc"/>
      <sheetName val="Vlooku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"/>
      <sheetName val="Pipeline"/>
      <sheetName val="Monthly Financials"/>
      <sheetName val="Quarterly Financials"/>
      <sheetName val="Yearly Financials"/>
      <sheetName val="Distributions"/>
      <sheetName val="Returns"/>
      <sheetName val="Operations"/>
      <sheetName val="Payroll"/>
      <sheetName val="Depreciation"/>
      <sheetName val="Debt"/>
      <sheetName val="Equi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"/>
      <sheetName val="Model"/>
      <sheetName val="Portfolio Input"/>
    </sheetNames>
    <sheetDataSet>
      <sheetData sheetId="0"/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TransSum"/>
      <sheetName val="Consolidated"/>
      <sheetName val="JDPC Proj."/>
      <sheetName val="EG Proj."/>
      <sheetName val="KBB Proj. 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liminary"/>
      <sheetName val="Final"/>
    </sheetNames>
    <sheetDataSet>
      <sheetData sheetId="0" refreshError="1"/>
      <sheetData sheetId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01_05_v_Wicks_xls__01_05_v_Wic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Adj 2006"/>
      <sheetName val="Credit"/>
      <sheetName val="For Banks"/>
      <sheetName val="_01_05_v_Wicks_xls__01_05_v_Wi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 Yields"/>
      <sheetName val="Vector Output"/>
      <sheetName val="Portfolio"/>
      <sheetName val="Action Items"/>
      <sheetName val="Defense Comps"/>
      <sheetName val="Telecom"/>
      <sheetName val="WARF"/>
      <sheetName val="Template"/>
      <sheetName val="1"/>
      <sheetName val="2"/>
      <sheetName val="3"/>
      <sheetName val="4"/>
      <sheetName val="Credit Breakdown"/>
      <sheetName val="Auto EVs"/>
      <sheetName val="WARF Tracker"/>
      <sheetName val="Deal Multiples"/>
      <sheetName val="Status"/>
      <sheetName val="Output"/>
      <sheetName val="Graphs"/>
      <sheetName val="Inputs"/>
      <sheetName val="LBO Summary"/>
      <sheetName val="Tanning Assumptions"/>
      <sheetName val="IncStmt"/>
      <sheetName val="BS"/>
      <sheetName val="DCF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y-by-night - Base"/>
      <sheetName val="Fly-by-night - problem 5"/>
      <sheetName val="Fly-by-night - problem 6"/>
      <sheetName val="Fly-by-night - Base with ltd"/>
      <sheetName val="Portfolio"/>
      <sheetName val="MASTER DRIVER"/>
      <sheetName val="LBO Summary"/>
      <sheetName val="IncStm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Credit"/>
      <sheetName val="Summary"/>
      <sheetName val="Segments"/>
      <sheetName val="Adjustments"/>
      <sheetName val="Fly-by-night - problem 5"/>
      <sheetName val="Input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al Info"/>
      <sheetName val="Qualitative Analysis"/>
      <sheetName val="Base"/>
      <sheetName val="EV_DCF Analysis"/>
      <sheetName val="VeCTOR Import"/>
      <sheetName val="Annual Summary"/>
      <sheetName val="LBO Summary"/>
      <sheetName val="Fly-by-night - problem 5"/>
      <sheetName val="Segment Info"/>
    </sheetNames>
    <sheetDataSet>
      <sheetData sheetId="0" refreshError="1"/>
      <sheetData sheetId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SUMMARY"/>
      <sheetName val="TRANSACTION"/>
      <sheetName val="Capital Structure"/>
      <sheetName val="DEBT DETAIL"/>
      <sheetName val="Sheet2"/>
      <sheetName val="Flat EBITDA"/>
      <sheetName val="Scenario Fan"/>
      <sheetName val="Sheet1"/>
      <sheetName val="Sheet1 (2)"/>
      <sheetName val="Case Comparison"/>
      <sheetName val="INCOME STATEMENT"/>
      <sheetName val="BALANCE SHEET"/>
      <sheetName val="CASH FLOW"/>
      <sheetName val="World Cup"/>
      <sheetName val="Taxes"/>
      <sheetName val="CAPEX &amp; INTANG"/>
      <sheetName val="Drivers"/>
      <sheetName val="WORKING CAPITAL"/>
      <sheetName val="Buildup"/>
      <sheetName val="S&amp;U"/>
      <sheetName val="TV Build"/>
      <sheetName val="TV Group"/>
      <sheetName val="UVN"/>
      <sheetName val="TLF"/>
      <sheetName val="Gala"/>
      <sheetName val="TV Station Group"/>
      <sheetName val="UTG"/>
      <sheetName val="TTG"/>
      <sheetName val="Radio Operating Build"/>
      <sheetName val="Radio Drivers"/>
      <sheetName val="Consolidated"/>
      <sheetName val="Market Build"/>
      <sheetName val="Other"/>
      <sheetName val="Overview"/>
      <sheetName val="Margin Bridge"/>
      <sheetName val="Projections Detail"/>
      <sheetName val="VeCTOR Import"/>
      <sheetName val="LBO Summary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reciation"/>
      <sheetName val="S&amp;U"/>
      <sheetName val="Sheet1"/>
      <sheetName val="1998 assump"/>
      <sheetName val="1997 assump"/>
      <sheetName val="******"/>
      <sheetName val="1998 P &amp; L"/>
      <sheetName val="1999 P &amp; L"/>
      <sheetName val="summ people"/>
      <sheetName val="people"/>
      <sheetName val="Sheet2"/>
      <sheetName val="B"/>
      <sheetName val="Sheet5"/>
      <sheetName val="Employees"/>
      <sheetName val="Reconcile"/>
      <sheetName val="D"/>
      <sheetName val="TRANSACTION"/>
      <sheetName val="VeCTOR Im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ovCalcs Table"/>
      <sheetName val="IS Table"/>
      <sheetName val="BS Table"/>
      <sheetName val="SoCF Table"/>
      <sheetName val="RE &amp; DIVS Table"/>
      <sheetName val="Debt Table"/>
      <sheetName val="RE &amp; DIVS"/>
      <sheetName val="Debt"/>
      <sheetName val="BalSh Comb"/>
      <sheetName val="SoCF Comb"/>
      <sheetName val="IS Comb"/>
      <sheetName val="Covenant Summary"/>
      <sheetName val="UF P&amp;L-Mth"/>
      <sheetName val="Sheet1"/>
      <sheetName val="MASTER"/>
      <sheetName val="FC P&amp;L-Mth"/>
      <sheetName val="Headcount"/>
      <sheetName val="New FC Contracts"/>
      <sheetName val="UF Bal-Mth"/>
      <sheetName val="FC Bal-Mth"/>
      <sheetName val="Fixed Assets"/>
      <sheetName val="G&amp;A"/>
      <sheetName val="FC Contracts 2001"/>
      <sheetName val="End Model"/>
      <sheetName val="Combnd Hist BS"/>
      <sheetName val="UF Bal Sheet"/>
      <sheetName val="FC Bal Sheet"/>
      <sheetName val="UF P&amp;L Hist"/>
      <sheetName val="FC P&amp;L Hist"/>
      <sheetName val="UF2000"/>
      <sheetName val="UF2001"/>
      <sheetName val="FC2000"/>
      <sheetName val="FC2001"/>
      <sheetName val="vs. 2001 actuals"/>
      <sheetName val="Sheet3"/>
      <sheetName val="Equity Table"/>
      <sheetName val="Card Count Table"/>
      <sheetName val="BS Tables"/>
      <sheetName val="Concentr Table"/>
      <sheetName val="BS Analysis"/>
      <sheetName val="Table 5"/>
      <sheetName val="Table 4"/>
      <sheetName val="Table 3"/>
      <sheetName val="Table 2"/>
      <sheetName val="Table 1"/>
      <sheetName val="DCF"/>
      <sheetName val="top50hotels"/>
      <sheetName val="Sheet5"/>
      <sheetName val="D"/>
      <sheetName val="MASTER DRIV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OBS - MEDCON"/>
      <sheetName val="OBS - REFI"/>
      <sheetName val="AFS"/>
      <sheetName val="MBS"/>
      <sheetName val="MMIS (2)"/>
      <sheetName val="WHEC"/>
      <sheetName val="MIS"/>
      <sheetName val="MCF"/>
      <sheetName val="PACING06"/>
      <sheetName val="D&amp;A"/>
      <sheetName val="D&amp;A (2)"/>
      <sheetName val="DEBT"/>
      <sheetName val="CHARTS&gt;&gt;&gt;"/>
      <sheetName val="S&amp;U_CAP_MERGER"/>
      <sheetName val="S&amp;U_CAP_REFI"/>
      <sheetName val="MEDCON IS"/>
      <sheetName val="SUM IS"/>
      <sheetName val="PF IS"/>
      <sheetName val="PF BS"/>
      <sheetName val="COVS"/>
      <sheetName val="ECF"/>
      <sheetName val="Bridge"/>
      <sheetName val="HoldCo INT"/>
      <sheetName val="PACING05"/>
      <sheetName val="MASTER"/>
    </sheetNames>
    <sheetDataSet>
      <sheetData sheetId="0"/>
      <sheetData sheetId="1" refreshError="1"/>
      <sheetData sheetId="2"/>
      <sheetData sheetId="3" refreshError="1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CONTROL"/>
      <sheetName val="OBS - REFI"/>
      <sheetName val="WH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AFS"/>
      <sheetName val="MIS"/>
      <sheetName val="MBS"/>
      <sheetName val="MCF"/>
      <sheetName val="DEBT"/>
      <sheetName val="D&amp;A"/>
      <sheetName val="COVS_ACTUAL"/>
      <sheetName val="COVS"/>
      <sheetName val="PACING05"/>
      <sheetName val="PACING06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CF"/>
      <sheetName val="DCFnew"/>
      <sheetName val="COVS_ACTUAL"/>
      <sheetName val="D&amp;A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3:P1417"/>
  <sheetViews>
    <sheetView showGridLines="0" zoomScaleNormal="100" workbookViewId="0">
      <selection activeCell="K6" sqref="K6"/>
    </sheetView>
  </sheetViews>
  <sheetFormatPr defaultColWidth="11.42578125" defaultRowHeight="12.75"/>
  <cols>
    <col min="1" max="1" width="6.140625" style="34" customWidth="1"/>
    <col min="2" max="2" width="50.7109375" style="34" customWidth="1"/>
    <col min="3" max="6" width="13.7109375" style="34" customWidth="1"/>
    <col min="7" max="7" width="11.140625" style="34" customWidth="1"/>
    <col min="8" max="8" width="50.7109375" style="34" customWidth="1"/>
    <col min="9" max="11" width="13.7109375" style="34" customWidth="1"/>
    <col min="12" max="16384" width="11.42578125" style="34"/>
  </cols>
  <sheetData>
    <row r="3" spans="1:11">
      <c r="A3" s="68" t="s">
        <v>0</v>
      </c>
      <c r="H3" s="34" t="s">
        <v>1</v>
      </c>
      <c r="I3" s="418">
        <f>Model!$P$160</f>
        <v>5.5744467361614362E-2</v>
      </c>
    </row>
    <row r="4" spans="1:11">
      <c r="A4" s="68"/>
      <c r="H4" s="34" t="s">
        <v>2</v>
      </c>
      <c r="I4" s="418">
        <f>Model!$P$159</f>
        <v>5.4091620104810542E-2</v>
      </c>
    </row>
    <row r="5" spans="1:11" ht="13.5" thickBot="1"/>
    <row r="6" spans="1:11">
      <c r="B6" s="370" t="s">
        <v>3</v>
      </c>
      <c r="C6" s="371" t="s">
        <v>4</v>
      </c>
      <c r="D6" s="371" t="s">
        <v>5</v>
      </c>
      <c r="E6" s="371" t="s">
        <v>6</v>
      </c>
      <c r="F6" s="371" t="s">
        <v>7</v>
      </c>
      <c r="G6" s="151"/>
      <c r="H6" s="385" t="s">
        <v>8</v>
      </c>
      <c r="I6" s="431" t="s">
        <v>9</v>
      </c>
      <c r="J6" s="431" t="s">
        <v>10</v>
      </c>
      <c r="K6" s="432" t="s">
        <v>11</v>
      </c>
    </row>
    <row r="7" spans="1:11" ht="13.5" thickBot="1">
      <c r="A7" s="68"/>
      <c r="B7" s="372" t="s">
        <v>12</v>
      </c>
      <c r="C7" s="292">
        <f>952.168700415713+2857.31359231044</f>
        <v>3809.482292726153</v>
      </c>
      <c r="D7" s="373">
        <f>C7*$I$3</f>
        <v>212.35756133152088</v>
      </c>
      <c r="E7" s="374"/>
      <c r="F7" s="430" t="s">
        <v>13</v>
      </c>
      <c r="G7" s="151"/>
      <c r="H7" s="388" t="s">
        <v>14</v>
      </c>
      <c r="I7" s="433">
        <v>47535.008565290627</v>
      </c>
      <c r="J7" s="434">
        <f>I7*$I$3</f>
        <v>2649.8137335019023</v>
      </c>
      <c r="K7" s="391">
        <v>0.80255979414235135</v>
      </c>
    </row>
    <row r="8" spans="1:11">
      <c r="A8" s="68"/>
      <c r="B8" s="372" t="s">
        <v>15</v>
      </c>
      <c r="C8" s="292">
        <v>4875.07339197277</v>
      </c>
      <c r="D8" s="373">
        <f>C8*$I$3</f>
        <v>271.75836958430068</v>
      </c>
      <c r="E8" s="374"/>
      <c r="F8" s="374"/>
      <c r="G8" s="151"/>
    </row>
    <row r="9" spans="1:11" ht="15.75">
      <c r="A9" s="68"/>
      <c r="B9" s="372" t="s">
        <v>16</v>
      </c>
      <c r="C9" s="292">
        <v>82233.1144863269</v>
      </c>
      <c r="D9" s="373">
        <f>C9*$I$3</f>
        <v>4584.0411665269467</v>
      </c>
      <c r="E9" s="374"/>
      <c r="F9" s="374"/>
      <c r="G9" s="300"/>
      <c r="H9" s="301"/>
      <c r="I9" s="68"/>
      <c r="J9" s="68"/>
      <c r="K9" s="68"/>
    </row>
    <row r="10" spans="1:11">
      <c r="B10" s="42" t="s">
        <v>17</v>
      </c>
      <c r="C10" s="258">
        <f>SUM(C7:C9)</f>
        <v>90917.67017102582</v>
      </c>
      <c r="D10" s="258">
        <f>SUM(D7:D9)</f>
        <v>5068.1570974427686</v>
      </c>
      <c r="E10" s="43">
        <f>+C10/C15</f>
        <v>1.5350132220159103</v>
      </c>
      <c r="F10" s="43">
        <f>+D10/D15</f>
        <v>1.5819177589525097</v>
      </c>
    </row>
    <row r="11" spans="1:11">
      <c r="B11" s="41" t="s">
        <v>18</v>
      </c>
      <c r="C11" s="212">
        <f>Model!$BI$127</f>
        <v>41346.218499941373</v>
      </c>
      <c r="D11" s="373">
        <f>C11*$I$3</f>
        <v>2304.8229276961579</v>
      </c>
      <c r="E11" s="44"/>
      <c r="F11" s="44"/>
      <c r="G11" s="190"/>
    </row>
    <row r="12" spans="1:11">
      <c r="B12" s="42" t="s">
        <v>19</v>
      </c>
      <c r="C12" s="258">
        <f>+C10-C11</f>
        <v>49571.451671084447</v>
      </c>
      <c r="D12" s="258">
        <f>+D10-D11</f>
        <v>2763.3341697466108</v>
      </c>
      <c r="E12" s="43">
        <f>+C12/C15</f>
        <v>0.83694218743725612</v>
      </c>
      <c r="F12" s="43">
        <f>+D12/D15</f>
        <v>0.86251615981835017</v>
      </c>
    </row>
    <row r="13" spans="1:11">
      <c r="B13" s="41" t="s">
        <v>20</v>
      </c>
      <c r="C13" s="212">
        <f>Model!$BI$138</f>
        <v>146869.90308551581</v>
      </c>
      <c r="D13" s="373">
        <f>C13*$I$3</f>
        <v>8187.1845189539999</v>
      </c>
      <c r="E13" s="44"/>
      <c r="F13" s="421"/>
      <c r="G13" s="190"/>
    </row>
    <row r="14" spans="1:11">
      <c r="B14" s="69" t="s">
        <v>21</v>
      </c>
      <c r="C14" s="210">
        <f>C10+C13</f>
        <v>237787.57325654163</v>
      </c>
      <c r="D14" s="210">
        <f>D10+D13</f>
        <v>13255.341616396769</v>
      </c>
      <c r="E14" s="71"/>
      <c r="F14" s="420"/>
    </row>
    <row r="15" spans="1:11" s="68" customFormat="1">
      <c r="B15" s="69" t="s">
        <v>22</v>
      </c>
      <c r="C15" s="209">
        <f>Model!$BI$92</f>
        <v>59229.242372013563</v>
      </c>
      <c r="D15" s="447">
        <f>C15*$I$4</f>
        <v>3203.8056774827055</v>
      </c>
      <c r="E15" s="69"/>
      <c r="F15" s="448"/>
      <c r="G15" s="449"/>
    </row>
    <row r="16" spans="1:11">
      <c r="B16" s="259" t="s">
        <v>23</v>
      </c>
      <c r="C16" s="260">
        <f>C10-Model!$BI$124</f>
        <v>0</v>
      </c>
      <c r="E16" s="191"/>
      <c r="F16" s="191"/>
      <c r="H16" s="231"/>
    </row>
    <row r="17" spans="2:8">
      <c r="B17" s="166"/>
      <c r="C17" s="167"/>
      <c r="E17" s="191"/>
      <c r="F17" s="191"/>
      <c r="H17" s="231"/>
    </row>
    <row r="18" spans="2:8">
      <c r="E18" s="191"/>
      <c r="F18" s="191"/>
    </row>
    <row r="19" spans="2:8">
      <c r="B19" s="42" t="s">
        <v>24</v>
      </c>
      <c r="C19" s="154">
        <f>C12+Model!$BI$137</f>
        <v>422116.90621653898</v>
      </c>
      <c r="E19"/>
      <c r="F19"/>
    </row>
    <row r="20" spans="2:8">
      <c r="B20" s="42" t="s">
        <v>25</v>
      </c>
      <c r="C20" s="43">
        <f>C19/C15</f>
        <v>7.1268327824499345</v>
      </c>
      <c r="E20"/>
      <c r="F20"/>
    </row>
    <row r="22" spans="2:8" ht="13.5" thickBot="1"/>
    <row r="23" spans="2:8">
      <c r="B23" s="376" t="s">
        <v>26</v>
      </c>
      <c r="C23" s="375" t="str">
        <f>C6</f>
        <v>Peso (mn)</v>
      </c>
      <c r="D23" s="375" t="str">
        <f>D6</f>
        <v>USD (mn)</v>
      </c>
    </row>
    <row r="24" spans="2:8">
      <c r="B24" s="110" t="s">
        <v>27</v>
      </c>
      <c r="C24" s="152">
        <f>C11</f>
        <v>41346.218499941373</v>
      </c>
      <c r="D24" s="152">
        <f>C24*$I$3</f>
        <v>2304.8229276961579</v>
      </c>
    </row>
    <row r="25" spans="2:8" s="68" customFormat="1" ht="13.5" thickBot="1">
      <c r="B25" s="377" t="s">
        <v>28</v>
      </c>
      <c r="C25" s="378">
        <f>SUM(C24:C24)</f>
        <v>41346.218499941373</v>
      </c>
      <c r="D25" s="378">
        <f>SUM(D24:D24)</f>
        <v>2304.8229276961579</v>
      </c>
    </row>
    <row r="27" spans="2:8">
      <c r="C27" s="37"/>
    </row>
    <row r="28" spans="2:8" ht="13.5" thickBot="1"/>
    <row r="29" spans="2:8">
      <c r="B29" s="379" t="s">
        <v>29</v>
      </c>
      <c r="C29" s="380" t="s">
        <v>9</v>
      </c>
      <c r="D29" s="381" t="s">
        <v>10</v>
      </c>
      <c r="E29" s="381" t="s">
        <v>30</v>
      </c>
      <c r="F29" s="423"/>
      <c r="H29" s="55"/>
    </row>
    <row r="30" spans="2:8">
      <c r="B30" s="73">
        <v>2026</v>
      </c>
      <c r="C30" s="382">
        <f>E30*$C10</f>
        <v>4545.883508551291</v>
      </c>
      <c r="D30" s="187">
        <f>C30*$I$3</f>
        <v>253.40785487213842</v>
      </c>
      <c r="E30" s="249">
        <v>0.05</v>
      </c>
      <c r="F30" s="424"/>
      <c r="H30" s="55"/>
    </row>
    <row r="31" spans="2:8">
      <c r="B31" s="73">
        <v>2027</v>
      </c>
      <c r="C31" s="382">
        <f>E31*$C10</f>
        <v>9182.6846872736078</v>
      </c>
      <c r="D31" s="187">
        <f>C31*$I$3</f>
        <v>511.88386684171962</v>
      </c>
      <c r="E31" s="249">
        <v>0.10100000000000001</v>
      </c>
      <c r="F31" s="424"/>
      <c r="H31" s="55"/>
    </row>
    <row r="32" spans="2:8">
      <c r="B32" s="73">
        <v>2028</v>
      </c>
      <c r="C32" s="382">
        <f>E32*$C10</f>
        <v>10273.696729325919</v>
      </c>
      <c r="D32" s="187">
        <f>C32*$I$3</f>
        <v>572.70175201103291</v>
      </c>
      <c r="E32" s="249">
        <v>0.113</v>
      </c>
      <c r="F32" s="424"/>
    </row>
    <row r="33" spans="1:11">
      <c r="B33" s="73">
        <v>2029</v>
      </c>
      <c r="C33" s="382">
        <f>E33*$C10</f>
        <v>8728.096336418479</v>
      </c>
      <c r="D33" s="187">
        <f>C33*$I$3</f>
        <v>486.54308135450577</v>
      </c>
      <c r="E33" s="249">
        <v>9.6000000000000002E-2</v>
      </c>
      <c r="F33" s="424"/>
    </row>
    <row r="34" spans="1:11" ht="13.5" thickBot="1">
      <c r="B34" s="74" t="s">
        <v>31</v>
      </c>
      <c r="C34" s="382">
        <f>E34*$C10</f>
        <v>58187.308909456529</v>
      </c>
      <c r="D34" s="187">
        <f>C34*$I$3</f>
        <v>3243.6205423633719</v>
      </c>
      <c r="E34" s="250">
        <v>0.64</v>
      </c>
      <c r="F34" s="424"/>
    </row>
    <row r="35" spans="1:11" ht="13.5" thickBot="1">
      <c r="B35" s="206" t="s">
        <v>32</v>
      </c>
      <c r="C35" s="383">
        <f>SUM(C30:C34)</f>
        <v>90917.67017102582</v>
      </c>
      <c r="D35" s="384">
        <f>SUM(D30:D34)</f>
        <v>5068.1570974427686</v>
      </c>
      <c r="E35" s="319">
        <f>+SUM(E30:E34)</f>
        <v>1</v>
      </c>
      <c r="F35" s="425"/>
    </row>
    <row r="43" spans="1:11">
      <c r="A43" s="68" t="s">
        <v>33</v>
      </c>
      <c r="H43" s="68" t="s">
        <v>34</v>
      </c>
      <c r="I43" s="418">
        <f>Model!$P$160</f>
        <v>5.5744467361614362E-2</v>
      </c>
    </row>
    <row r="44" spans="1:11">
      <c r="A44" s="68"/>
      <c r="H44" s="68" t="s">
        <v>2</v>
      </c>
      <c r="I44" s="418">
        <f>Model!$P$159</f>
        <v>5.4091620104810542E-2</v>
      </c>
    </row>
    <row r="45" spans="1:11" ht="13.5" thickBot="1"/>
    <row r="46" spans="1:11">
      <c r="B46" s="370" t="s">
        <v>35</v>
      </c>
      <c r="C46" s="371" t="s">
        <v>4</v>
      </c>
      <c r="D46" s="371" t="s">
        <v>5</v>
      </c>
      <c r="E46" s="371" t="s">
        <v>6</v>
      </c>
      <c r="F46" s="371" t="s">
        <v>7</v>
      </c>
      <c r="G46" s="151"/>
      <c r="H46" s="385" t="s">
        <v>8</v>
      </c>
      <c r="I46" s="431" t="s">
        <v>9</v>
      </c>
      <c r="J46" s="431" t="s">
        <v>10</v>
      </c>
      <c r="K46" s="432" t="s">
        <v>11</v>
      </c>
    </row>
    <row r="47" spans="1:11" ht="13.5" thickBot="1">
      <c r="A47" s="68"/>
      <c r="B47" s="372" t="s">
        <v>12</v>
      </c>
      <c r="C47" s="292">
        <f>630.799817921953+2272.59807072897</f>
        <v>2903.3978886509231</v>
      </c>
      <c r="D47" s="373">
        <f>C47*$I$43</f>
        <v>161.84836884168143</v>
      </c>
      <c r="E47" s="374"/>
      <c r="F47" s="430" t="s">
        <v>13</v>
      </c>
      <c r="G47" s="151"/>
      <c r="H47" s="388" t="s">
        <v>14</v>
      </c>
      <c r="I47" s="433">
        <v>52846.244430780796</v>
      </c>
      <c r="J47" s="434">
        <f>I47*$I$43</f>
        <v>2945.8857478555547</v>
      </c>
      <c r="K47" s="391">
        <v>0.89403792283237504</v>
      </c>
    </row>
    <row r="48" spans="1:11">
      <c r="A48" s="68"/>
      <c r="B48" s="372" t="s">
        <v>15</v>
      </c>
      <c r="C48" s="292">
        <v>7943.5863301658301</v>
      </c>
      <c r="D48" s="373">
        <f t="shared" ref="D48:D49" si="0">C48*$I$43</f>
        <v>442.81098891609514</v>
      </c>
      <c r="E48" s="374"/>
      <c r="F48" s="374"/>
      <c r="G48" s="151"/>
    </row>
    <row r="49" spans="1:13" ht="15.75">
      <c r="A49" s="68"/>
      <c r="B49" s="372" t="s">
        <v>16</v>
      </c>
      <c r="C49" s="292">
        <v>71834.451220721705</v>
      </c>
      <c r="D49" s="373">
        <f t="shared" si="0"/>
        <v>4004.3732215129999</v>
      </c>
      <c r="E49" s="374"/>
      <c r="F49" s="374"/>
      <c r="G49" s="300"/>
      <c r="H49" s="301"/>
      <c r="I49" s="68"/>
      <c r="J49" s="68"/>
      <c r="K49" s="68"/>
    </row>
    <row r="50" spans="1:13">
      <c r="B50" s="42" t="s">
        <v>17</v>
      </c>
      <c r="C50" s="258">
        <f>SUM(C47:C49)</f>
        <v>82681.435439538458</v>
      </c>
      <c r="D50" s="258">
        <f>SUM(D47:D49)</f>
        <v>4609.0325792707763</v>
      </c>
      <c r="E50" s="43">
        <f>+C50/C55</f>
        <v>1.3987813059069252</v>
      </c>
      <c r="F50" s="43">
        <f>+D50/D55</f>
        <v>1.4415230806930552</v>
      </c>
    </row>
    <row r="51" spans="1:13">
      <c r="B51" s="41" t="s">
        <v>18</v>
      </c>
      <c r="C51" s="212">
        <f>Model!$BH$127</f>
        <v>28066.795562944499</v>
      </c>
      <c r="D51" s="373">
        <f>C51*$I$43</f>
        <v>1564.5685692036625</v>
      </c>
      <c r="E51" s="44"/>
      <c r="F51" s="44"/>
      <c r="G51" s="190"/>
    </row>
    <row r="52" spans="1:13">
      <c r="B52" s="42" t="s">
        <v>19</v>
      </c>
      <c r="C52" s="258">
        <f>+C50-C51</f>
        <v>54614.639876593959</v>
      </c>
      <c r="D52" s="258">
        <f>+D50-D51</f>
        <v>3044.464010067114</v>
      </c>
      <c r="E52" s="43">
        <f>+C52/C55</f>
        <v>0.92395514037830506</v>
      </c>
      <c r="F52" s="43">
        <f>+D52/D55</f>
        <v>0.95218791869452069</v>
      </c>
    </row>
    <row r="53" spans="1:13">
      <c r="B53" s="69" t="s">
        <v>20</v>
      </c>
      <c r="C53" s="209">
        <f>Model!$BH$138</f>
        <v>154028.64245431399</v>
      </c>
      <c r="D53" s="373">
        <f>C53*$I$43</f>
        <v>8586.2446320482741</v>
      </c>
      <c r="E53" s="71"/>
      <c r="F53" s="420"/>
      <c r="G53" s="190"/>
    </row>
    <row r="54" spans="1:13">
      <c r="B54" s="69" t="s">
        <v>21</v>
      </c>
      <c r="C54" s="210">
        <f>C50+C53</f>
        <v>236710.07789385243</v>
      </c>
      <c r="D54" s="210">
        <f>D50+D53</f>
        <v>13195.277211319051</v>
      </c>
      <c r="E54" s="71"/>
      <c r="F54" s="420"/>
    </row>
    <row r="55" spans="1:13">
      <c r="B55" s="41" t="s">
        <v>22</v>
      </c>
      <c r="C55" s="212">
        <f>Model!$BH$92</f>
        <v>59109.622848391198</v>
      </c>
      <c r="D55" s="373">
        <f>C55*$I$44</f>
        <v>3197.3352636538061</v>
      </c>
      <c r="E55" s="41"/>
      <c r="F55" s="422"/>
      <c r="G55" s="191"/>
    </row>
    <row r="56" spans="1:13">
      <c r="B56" s="259" t="s">
        <v>23</v>
      </c>
      <c r="C56" s="260">
        <f>C50-Model!$BH$124</f>
        <v>0</v>
      </c>
      <c r="E56" s="191"/>
      <c r="F56" s="191"/>
      <c r="H56" s="231"/>
    </row>
    <row r="57" spans="1:13">
      <c r="B57" s="166"/>
      <c r="C57" s="167"/>
      <c r="E57" s="191"/>
      <c r="F57" s="191"/>
      <c r="H57" s="231"/>
    </row>
    <row r="58" spans="1:13">
      <c r="E58" s="191"/>
      <c r="F58" s="191"/>
    </row>
    <row r="59" spans="1:13">
      <c r="B59" s="42" t="s">
        <v>24</v>
      </c>
      <c r="C59" s="154">
        <f>C52+Model!$BH$137</f>
        <v>454204.39987659396</v>
      </c>
      <c r="E59"/>
      <c r="F59"/>
    </row>
    <row r="60" spans="1:13">
      <c r="B60" s="42" t="s">
        <v>25</v>
      </c>
      <c r="C60" s="43">
        <f>C59/C55</f>
        <v>7.6841024860126677</v>
      </c>
      <c r="E60"/>
      <c r="F60"/>
    </row>
    <row r="62" spans="1:13" ht="13.5" thickBot="1"/>
    <row r="63" spans="1:13" s="68" customFormat="1">
      <c r="A63" s="34"/>
      <c r="B63" s="376" t="s">
        <v>36</v>
      </c>
      <c r="C63" s="375" t="str">
        <f>C46</f>
        <v>Peso (mn)</v>
      </c>
      <c r="D63" s="375" t="str">
        <f>D46</f>
        <v>USD (mn)</v>
      </c>
      <c r="E63" s="34"/>
      <c r="F63" s="34"/>
      <c r="G63" s="34"/>
      <c r="H63" s="34"/>
      <c r="I63" s="34"/>
      <c r="J63" s="34"/>
      <c r="K63" s="34"/>
      <c r="L63" s="34"/>
      <c r="M63" s="34"/>
    </row>
    <row r="64" spans="1:13">
      <c r="B64" s="110" t="s">
        <v>27</v>
      </c>
      <c r="C64" s="152">
        <f>C51</f>
        <v>28066.795562944499</v>
      </c>
      <c r="D64" s="152">
        <f>C64*$I$43</f>
        <v>1564.5685692036625</v>
      </c>
    </row>
    <row r="65" spans="1:13" ht="13.5" thickBot="1">
      <c r="A65" s="68"/>
      <c r="B65" s="377" t="s">
        <v>28</v>
      </c>
      <c r="C65" s="378">
        <f>SUM(C64:C64)</f>
        <v>28066.795562944499</v>
      </c>
      <c r="D65" s="378">
        <f>SUM(D64:D64)</f>
        <v>1564.5685692036625</v>
      </c>
      <c r="E65" s="68"/>
      <c r="F65" s="68"/>
      <c r="G65" s="68"/>
      <c r="H65" s="68"/>
      <c r="I65" s="68"/>
      <c r="J65" s="68"/>
      <c r="K65" s="68"/>
      <c r="L65" s="68"/>
      <c r="M65" s="68"/>
    </row>
    <row r="67" spans="1:13">
      <c r="C67" s="37"/>
    </row>
    <row r="68" spans="1:13" ht="13.5" thickBot="1"/>
    <row r="69" spans="1:13">
      <c r="B69" s="379" t="s">
        <v>37</v>
      </c>
      <c r="C69" s="380" t="s">
        <v>9</v>
      </c>
      <c r="D69" s="381" t="s">
        <v>10</v>
      </c>
      <c r="E69" s="381" t="s">
        <v>30</v>
      </c>
      <c r="F69" s="423"/>
      <c r="H69" s="55"/>
    </row>
    <row r="70" spans="1:13">
      <c r="B70" s="73">
        <v>2025</v>
      </c>
      <c r="C70" s="382">
        <f>E70*$C$88</f>
        <v>0</v>
      </c>
      <c r="D70" s="187">
        <f>C70*$I$81</f>
        <v>0</v>
      </c>
      <c r="E70" s="249">
        <v>0</v>
      </c>
      <c r="F70" s="424"/>
      <c r="H70" s="55"/>
    </row>
    <row r="71" spans="1:13">
      <c r="B71" s="73">
        <v>2026</v>
      </c>
      <c r="C71" s="382">
        <f>E71*$C$50</f>
        <v>8102.7806730747689</v>
      </c>
      <c r="D71" s="187">
        <f>C71*$I$43</f>
        <v>451.68519276853613</v>
      </c>
      <c r="E71" s="249">
        <v>9.8000000000000004E-2</v>
      </c>
      <c r="F71" s="424"/>
      <c r="H71" s="55"/>
    </row>
    <row r="72" spans="1:13">
      <c r="B72" s="73">
        <v>2027</v>
      </c>
      <c r="C72" s="382">
        <f t="shared" ref="C72:C74" si="1">E72*$C$50</f>
        <v>8681.5507211515378</v>
      </c>
      <c r="D72" s="187">
        <f t="shared" ref="D72:D74" si="2">C72*$I$43</f>
        <v>483.94842082343155</v>
      </c>
      <c r="E72" s="249">
        <v>0.105</v>
      </c>
      <c r="F72" s="424"/>
    </row>
    <row r="73" spans="1:13">
      <c r="B73" s="73">
        <v>2028</v>
      </c>
      <c r="C73" s="382">
        <f t="shared" si="1"/>
        <v>10169.816559063231</v>
      </c>
      <c r="D73" s="187">
        <f t="shared" si="2"/>
        <v>566.91100725030549</v>
      </c>
      <c r="E73" s="249">
        <v>0.123</v>
      </c>
      <c r="F73" s="424"/>
    </row>
    <row r="74" spans="1:13" ht="13.5" thickBot="1">
      <c r="B74" s="74" t="s">
        <v>38</v>
      </c>
      <c r="C74" s="382">
        <f t="shared" si="1"/>
        <v>55727.287486248926</v>
      </c>
      <c r="D74" s="187">
        <f t="shared" si="2"/>
        <v>3106.4879584285036</v>
      </c>
      <c r="E74" s="250">
        <v>0.67400000000000004</v>
      </c>
      <c r="F74" s="424"/>
    </row>
    <row r="75" spans="1:13" ht="13.5" thickBot="1">
      <c r="B75" s="206" t="s">
        <v>32</v>
      </c>
      <c r="C75" s="383">
        <f>SUM(C70:C74)</f>
        <v>82681.435439538458</v>
      </c>
      <c r="D75" s="384">
        <f>SUM(D70:D74)</f>
        <v>4609.0325792707772</v>
      </c>
      <c r="E75" s="319">
        <f>+SUM(E70:E74)</f>
        <v>1</v>
      </c>
      <c r="F75" s="425"/>
    </row>
    <row r="81" spans="1:11">
      <c r="A81" s="68" t="s">
        <v>39</v>
      </c>
      <c r="H81" s="68" t="s">
        <v>40</v>
      </c>
      <c r="I81" s="151">
        <f>Model!$BG$160</f>
        <v>5.439956480348157E-2</v>
      </c>
    </row>
    <row r="82" spans="1:11" ht="13.5" thickBot="1"/>
    <row r="83" spans="1:11">
      <c r="B83" s="370" t="s">
        <v>41</v>
      </c>
      <c r="C83" s="371" t="s">
        <v>9</v>
      </c>
      <c r="D83" s="371" t="s">
        <v>10</v>
      </c>
      <c r="E83" s="371" t="s">
        <v>11</v>
      </c>
      <c r="F83" s="419"/>
      <c r="G83" s="151"/>
      <c r="H83" s="385" t="s">
        <v>8</v>
      </c>
      <c r="I83" s="386" t="s">
        <v>9</v>
      </c>
      <c r="J83" s="386" t="s">
        <v>10</v>
      </c>
      <c r="K83" s="387" t="s">
        <v>11</v>
      </c>
    </row>
    <row r="84" spans="1:11" ht="13.5" thickBot="1">
      <c r="A84" s="68"/>
      <c r="B84" s="372" t="s">
        <v>42</v>
      </c>
      <c r="C84" s="292">
        <f>857.23752347045+2006.78100394513</f>
        <v>2864.0185274155801</v>
      </c>
      <c r="D84" s="373">
        <f>C84*$I$81</f>
        <v>155.80136148051571</v>
      </c>
      <c r="E84" s="374"/>
      <c r="F84" s="374"/>
      <c r="G84" s="151"/>
      <c r="H84" s="388" t="s">
        <v>14</v>
      </c>
      <c r="I84" s="389">
        <v>43947.480329724698</v>
      </c>
      <c r="J84" s="390">
        <f>I84*$I$81</f>
        <v>2390.7238041465903</v>
      </c>
      <c r="K84" s="391">
        <v>0.76965145706369098</v>
      </c>
    </row>
    <row r="85" spans="1:11">
      <c r="A85" s="68"/>
      <c r="B85" s="372" t="s">
        <v>15</v>
      </c>
      <c r="C85" s="292">
        <v>3630.40794045856</v>
      </c>
      <c r="D85" s="373">
        <f>C85*$I$81</f>
        <v>197.49261202004951</v>
      </c>
      <c r="E85" s="374"/>
      <c r="F85" s="374"/>
      <c r="G85" s="151"/>
    </row>
    <row r="86" spans="1:11" ht="15.75">
      <c r="A86" s="68"/>
      <c r="B86" s="372" t="s">
        <v>16</v>
      </c>
      <c r="C86" s="298">
        <f>Model!$BG$124-C84-C85</f>
        <v>74022.440285299585</v>
      </c>
      <c r="D86" s="373">
        <f>C86*$I$81</f>
        <v>4026.7885372119995</v>
      </c>
      <c r="E86" s="374"/>
      <c r="F86" s="374"/>
      <c r="G86" s="300"/>
      <c r="H86" s="301"/>
      <c r="I86" s="68"/>
      <c r="J86" s="68"/>
      <c r="K86" s="68"/>
    </row>
    <row r="87" spans="1:11">
      <c r="B87" s="41"/>
      <c r="C87" s="41"/>
      <c r="D87" s="37"/>
      <c r="E87" s="41"/>
      <c r="F87" s="422"/>
      <c r="G87" s="161"/>
    </row>
    <row r="88" spans="1:11">
      <c r="B88" s="42" t="s">
        <v>17</v>
      </c>
      <c r="C88" s="258">
        <f>C86+C85+C84</f>
        <v>80516.86675317373</v>
      </c>
      <c r="D88" s="258">
        <f>SUM(D84:D87)</f>
        <v>4380.0825107125647</v>
      </c>
      <c r="E88" s="43">
        <f>+C88/C93</f>
        <v>1.4020291683117532</v>
      </c>
      <c r="F88" s="420"/>
    </row>
    <row r="89" spans="1:11">
      <c r="B89" s="41" t="s">
        <v>18</v>
      </c>
      <c r="C89" s="212">
        <f>Model!$BG$127</f>
        <v>34892.935748573102</v>
      </c>
      <c r="D89" s="373">
        <f>C89*$I$81</f>
        <v>1898.1605194382212</v>
      </c>
      <c r="E89" s="44"/>
      <c r="F89" s="421"/>
      <c r="G89" s="190"/>
    </row>
    <row r="90" spans="1:11">
      <c r="B90" s="42" t="s">
        <v>19</v>
      </c>
      <c r="C90" s="258">
        <f>+C88-C89</f>
        <v>45623.931004600629</v>
      </c>
      <c r="D90" s="258">
        <f>+D88-D89</f>
        <v>2481.9219912743438</v>
      </c>
      <c r="E90" s="43">
        <f>+C90/C93</f>
        <v>0.79444325916931779</v>
      </c>
      <c r="F90" s="420"/>
    </row>
    <row r="91" spans="1:11">
      <c r="B91" s="69" t="s">
        <v>20</v>
      </c>
      <c r="C91" s="209">
        <f>Model!$BG$138</f>
        <v>149413.07775933499</v>
      </c>
      <c r="D91" s="373">
        <f>C91*$I$81</f>
        <v>8128.0064060565746</v>
      </c>
      <c r="E91" s="71"/>
      <c r="F91" s="420"/>
      <c r="G91" s="190"/>
    </row>
    <row r="92" spans="1:11">
      <c r="B92" s="69" t="s">
        <v>21</v>
      </c>
      <c r="C92" s="210">
        <f>C88+C91</f>
        <v>229929.94451250872</v>
      </c>
      <c r="D92" s="210">
        <f>D88+D91</f>
        <v>12508.088916769138</v>
      </c>
      <c r="E92" s="71"/>
      <c r="F92" s="420"/>
    </row>
    <row r="93" spans="1:11">
      <c r="B93" s="41" t="s">
        <v>22</v>
      </c>
      <c r="C93" s="212">
        <f>Model!$BG$92</f>
        <v>57428.810022638645</v>
      </c>
      <c r="D93" s="211"/>
      <c r="E93" s="41"/>
      <c r="F93" s="422"/>
      <c r="G93" s="191"/>
    </row>
    <row r="94" spans="1:11">
      <c r="B94" s="259" t="s">
        <v>23</v>
      </c>
      <c r="C94" s="260">
        <f>C88-Model!$BG$124</f>
        <v>0</v>
      </c>
      <c r="E94" s="191"/>
      <c r="F94" s="191"/>
      <c r="H94" s="231"/>
    </row>
    <row r="95" spans="1:11">
      <c r="B95" s="166"/>
      <c r="C95" s="167"/>
      <c r="E95" s="191"/>
      <c r="F95" s="191"/>
      <c r="H95" s="231"/>
    </row>
    <row r="96" spans="1:11">
      <c r="E96" s="191"/>
      <c r="F96" s="191"/>
    </row>
    <row r="97" spans="1:13">
      <c r="B97" s="42" t="s">
        <v>24</v>
      </c>
      <c r="C97" s="154">
        <f>C90+Model!$BG$137</f>
        <v>81746.821004600628</v>
      </c>
      <c r="E97"/>
      <c r="F97"/>
    </row>
    <row r="98" spans="1:13">
      <c r="B98" s="42" t="s">
        <v>25</v>
      </c>
      <c r="C98" s="43">
        <f>C97/C93</f>
        <v>1.4234461931629043</v>
      </c>
      <c r="E98"/>
      <c r="F98"/>
    </row>
    <row r="100" spans="1:13" ht="13.5" thickBot="1"/>
    <row r="101" spans="1:13">
      <c r="B101" s="376" t="s">
        <v>43</v>
      </c>
      <c r="C101" s="375" t="s">
        <v>9</v>
      </c>
      <c r="D101" s="375" t="s">
        <v>10</v>
      </c>
    </row>
    <row r="102" spans="1:13">
      <c r="B102" s="110" t="s">
        <v>27</v>
      </c>
      <c r="C102" s="152">
        <f>C89</f>
        <v>34892.935748573102</v>
      </c>
      <c r="D102" s="152">
        <f>C102*$I$81</f>
        <v>1898.1605194382212</v>
      </c>
    </row>
    <row r="103" spans="1:13" ht="13.5" thickBot="1">
      <c r="A103" s="68"/>
      <c r="B103" s="377" t="s">
        <v>28</v>
      </c>
      <c r="C103" s="378">
        <f>SUM(C102:C102)</f>
        <v>34892.935748573102</v>
      </c>
      <c r="D103" s="378">
        <f>SUM(D102:D102)</f>
        <v>1898.1605194382212</v>
      </c>
      <c r="E103" s="68"/>
      <c r="F103" s="68"/>
      <c r="G103" s="68"/>
      <c r="H103" s="68"/>
      <c r="I103" s="68"/>
      <c r="J103" s="68"/>
      <c r="K103" s="68"/>
      <c r="L103" s="68"/>
      <c r="M103" s="68"/>
    </row>
    <row r="105" spans="1:13">
      <c r="C105" s="37"/>
    </row>
    <row r="106" spans="1:13" ht="13.5" thickBot="1"/>
    <row r="107" spans="1:13">
      <c r="B107" s="379" t="s">
        <v>44</v>
      </c>
      <c r="C107" s="380" t="s">
        <v>9</v>
      </c>
      <c r="D107" s="381" t="s">
        <v>10</v>
      </c>
      <c r="E107" s="381" t="s">
        <v>30</v>
      </c>
      <c r="F107" s="423"/>
      <c r="H107" s="55"/>
    </row>
    <row r="108" spans="1:13">
      <c r="B108" s="73">
        <v>2025</v>
      </c>
      <c r="C108" s="382">
        <f>E108*$C$88</f>
        <v>454.95881230199615</v>
      </c>
      <c r="D108" s="187">
        <f>C108*$I$81</f>
        <v>24.749561392737448</v>
      </c>
      <c r="E108" s="249">
        <v>5.6504783487996701E-3</v>
      </c>
      <c r="F108" s="424"/>
      <c r="H108" s="55"/>
    </row>
    <row r="109" spans="1:13">
      <c r="B109" s="73">
        <v>2026</v>
      </c>
      <c r="C109" s="382">
        <f t="shared" ref="C109:C112" si="3">E109*$C$88</f>
        <v>4376.7535870158254</v>
      </c>
      <c r="D109" s="187">
        <f t="shared" ref="D109:D112" si="4">C109*$I$81</f>
        <v>238.09349038573779</v>
      </c>
      <c r="E109" s="249">
        <v>5.4358220376767297E-2</v>
      </c>
      <c r="F109" s="424"/>
      <c r="H109" s="55"/>
    </row>
    <row r="110" spans="1:13">
      <c r="B110" s="73">
        <v>2027</v>
      </c>
      <c r="C110" s="382">
        <f t="shared" si="3"/>
        <v>8666.040451845065</v>
      </c>
      <c r="D110" s="187">
        <f t="shared" si="4"/>
        <v>471.42882914973831</v>
      </c>
      <c r="E110" s="249">
        <v>0.107630125230916</v>
      </c>
      <c r="F110" s="424"/>
    </row>
    <row r="111" spans="1:13">
      <c r="B111" s="73">
        <v>2028</v>
      </c>
      <c r="C111" s="382">
        <f t="shared" si="3"/>
        <v>10159.658012074815</v>
      </c>
      <c r="D111" s="187">
        <f t="shared" si="4"/>
        <v>552.68097440907468</v>
      </c>
      <c r="E111" s="249">
        <v>0.12618049387365601</v>
      </c>
      <c r="F111" s="424"/>
    </row>
    <row r="112" spans="1:13" ht="13.5" thickBot="1">
      <c r="B112" s="74" t="s">
        <v>38</v>
      </c>
      <c r="C112" s="382">
        <f t="shared" si="3"/>
        <v>56859.45588993594</v>
      </c>
      <c r="D112" s="187">
        <f t="shared" si="4"/>
        <v>3093.1296553752723</v>
      </c>
      <c r="E112" s="250">
        <v>0.70618068216985996</v>
      </c>
      <c r="F112" s="424"/>
    </row>
    <row r="113" spans="1:11" ht="13.5" thickBot="1">
      <c r="B113" s="206" t="s">
        <v>32</v>
      </c>
      <c r="C113" s="383">
        <f>SUM(C108:C112)</f>
        <v>80516.866753173643</v>
      </c>
      <c r="D113" s="384">
        <f>SUM(D108:D112)</f>
        <v>4380.0825107125602</v>
      </c>
      <c r="E113" s="319">
        <f>+SUM(E108:E112)</f>
        <v>0.99999999999999889</v>
      </c>
      <c r="F113" s="425"/>
    </row>
    <row r="119" spans="1:11">
      <c r="A119" s="68" t="s">
        <v>45</v>
      </c>
    </row>
    <row r="120" spans="1:11">
      <c r="H120" s="68" t="s">
        <v>46</v>
      </c>
      <c r="I120" s="151">
        <f>Model!$BF$160</f>
        <v>5.2930216802168022E-2</v>
      </c>
    </row>
    <row r="121" spans="1:11">
      <c r="B121" s="32" t="s">
        <v>47</v>
      </c>
      <c r="C121" s="35" t="s">
        <v>9</v>
      </c>
      <c r="D121" s="35" t="s">
        <v>10</v>
      </c>
      <c r="E121" s="35" t="s">
        <v>11</v>
      </c>
      <c r="F121" s="296"/>
      <c r="G121" s="151"/>
      <c r="H121" s="33"/>
      <c r="I121" s="33"/>
    </row>
    <row r="122" spans="1:11">
      <c r="A122" s="68"/>
      <c r="B122" s="158" t="s">
        <v>42</v>
      </c>
      <c r="C122" s="285">
        <f>2101.00876827211+875.8689976</f>
        <v>2976.8777658721101</v>
      </c>
      <c r="D122" s="165">
        <f>C122*$I$120</f>
        <v>157.56678554116436</v>
      </c>
      <c r="E122" s="262"/>
      <c r="F122" s="374"/>
      <c r="G122" s="151"/>
      <c r="H122" s="33"/>
      <c r="I122" s="33"/>
    </row>
    <row r="123" spans="1:11">
      <c r="A123" s="68"/>
      <c r="B123" s="158" t="s">
        <v>15</v>
      </c>
      <c r="C123" s="285">
        <v>3755.0833975601154</v>
      </c>
      <c r="D123" s="165">
        <f>C123*$I$120</f>
        <v>198.75737834307861</v>
      </c>
      <c r="E123" s="262"/>
      <c r="F123" s="374"/>
      <c r="G123" s="151"/>
      <c r="H123" s="68"/>
      <c r="I123" s="68"/>
      <c r="J123" s="68"/>
      <c r="K123" s="68"/>
    </row>
    <row r="124" spans="1:11" ht="15.75">
      <c r="A124" s="68"/>
      <c r="B124" s="158" t="s">
        <v>16</v>
      </c>
      <c r="C124" s="299">
        <f>Model!$BF$124-C122-C123</f>
        <v>77768.883060167776</v>
      </c>
      <c r="D124" s="165">
        <f>C124*$I$120</f>
        <v>4116.3238408371326</v>
      </c>
      <c r="E124" s="262"/>
      <c r="F124" s="374"/>
      <c r="G124" s="300"/>
      <c r="H124" s="301"/>
      <c r="I124" s="68"/>
      <c r="J124" s="68"/>
      <c r="K124" s="68"/>
    </row>
    <row r="125" spans="1:11">
      <c r="B125" s="41"/>
      <c r="C125" s="41"/>
      <c r="D125" s="37"/>
      <c r="E125" s="41"/>
      <c r="F125" s="422"/>
      <c r="G125" s="161"/>
    </row>
    <row r="126" spans="1:11">
      <c r="B126" s="42" t="s">
        <v>17</v>
      </c>
      <c r="C126" s="258">
        <f>C124+C123+C122</f>
        <v>84500.844223599997</v>
      </c>
      <c r="D126" s="258">
        <f>SUM(D122:D125)</f>
        <v>4472.6480047213754</v>
      </c>
      <c r="E126" s="43">
        <f>+C126/C131</f>
        <v>1.4829649777291076</v>
      </c>
      <c r="F126" s="420"/>
    </row>
    <row r="127" spans="1:11">
      <c r="B127" s="41" t="s">
        <v>18</v>
      </c>
      <c r="C127" s="212">
        <f>Model!$BF$127</f>
        <v>37138.532177392168</v>
      </c>
      <c r="D127" s="165">
        <f>C127*$I$120</f>
        <v>1965.7505598636606</v>
      </c>
      <c r="E127" s="44"/>
      <c r="F127" s="421"/>
      <c r="G127" s="190"/>
    </row>
    <row r="128" spans="1:11">
      <c r="B128" s="42" t="s">
        <v>19</v>
      </c>
      <c r="C128" s="258">
        <f>+C126-C127</f>
        <v>47362.31204620783</v>
      </c>
      <c r="D128" s="258">
        <f>+D126-D127</f>
        <v>2506.8974448577146</v>
      </c>
      <c r="E128" s="321">
        <f>+C128/C131</f>
        <v>0.83119465461136133</v>
      </c>
      <c r="F128" s="426"/>
      <c r="H128" s="68" t="s">
        <v>8</v>
      </c>
    </row>
    <row r="129" spans="2:11">
      <c r="B129" s="69" t="s">
        <v>20</v>
      </c>
      <c r="C129" s="209">
        <f>Model!$BF$138</f>
        <v>144744.32820979445</v>
      </c>
      <c r="D129" s="165">
        <f>C129*$I$120</f>
        <v>7661.3486730285849</v>
      </c>
      <c r="E129" s="71"/>
      <c r="F129" s="420"/>
      <c r="G129" s="190"/>
      <c r="H129" s="32" t="str">
        <f>B121</f>
        <v>Amount outstanding as on 30-Jun-2025</v>
      </c>
      <c r="I129" s="35" t="s">
        <v>9</v>
      </c>
      <c r="J129" s="35" t="s">
        <v>10</v>
      </c>
      <c r="K129" s="35" t="s">
        <v>11</v>
      </c>
    </row>
    <row r="130" spans="2:11">
      <c r="B130" s="69" t="s">
        <v>21</v>
      </c>
      <c r="C130" s="210">
        <f>C126+C129</f>
        <v>229245.17243339444</v>
      </c>
      <c r="D130" s="210">
        <f>D126+D129</f>
        <v>12133.996677749961</v>
      </c>
      <c r="E130" s="71"/>
      <c r="F130" s="420"/>
      <c r="H130" s="42" t="s">
        <v>14</v>
      </c>
      <c r="I130" s="315">
        <v>44824.189173442457</v>
      </c>
      <c r="J130" s="308">
        <f>I130*$I$120</f>
        <v>2372.554050931702</v>
      </c>
      <c r="K130" s="320">
        <v>0.78860047575440761</v>
      </c>
    </row>
    <row r="131" spans="2:11">
      <c r="B131" s="41" t="s">
        <v>22</v>
      </c>
      <c r="C131" s="212">
        <f>Model!$BF$92</f>
        <v>56981.011347279244</v>
      </c>
      <c r="D131" s="211"/>
      <c r="E131" s="41"/>
      <c r="F131" s="422"/>
      <c r="G131" s="191"/>
    </row>
    <row r="132" spans="2:11">
      <c r="B132" s="259" t="s">
        <v>23</v>
      </c>
      <c r="C132" s="260">
        <f>C126-Model!$BF$124</f>
        <v>0</v>
      </c>
      <c r="E132" s="191"/>
      <c r="F132" s="191"/>
      <c r="H132" s="231"/>
    </row>
    <row r="133" spans="2:11">
      <c r="B133" s="166"/>
      <c r="C133" s="167"/>
      <c r="E133" s="191"/>
      <c r="F133" s="191"/>
      <c r="H133" s="231"/>
    </row>
    <row r="134" spans="2:11">
      <c r="E134" s="191"/>
      <c r="F134" s="191"/>
    </row>
    <row r="135" spans="2:11">
      <c r="B135" s="42" t="s">
        <v>24</v>
      </c>
      <c r="C135" s="154">
        <f>C128+Model!$BF$137</f>
        <v>430587.21204620786</v>
      </c>
      <c r="E135"/>
      <c r="F135"/>
    </row>
    <row r="136" spans="2:11">
      <c r="B136" s="42" t="s">
        <v>25</v>
      </c>
      <c r="C136" s="43">
        <f>C135/C131</f>
        <v>7.5566790035004834</v>
      </c>
      <c r="E136"/>
      <c r="F136"/>
    </row>
    <row r="138" spans="2:11" ht="13.5" thickBot="1"/>
    <row r="139" spans="2:11">
      <c r="B139" s="108" t="s">
        <v>48</v>
      </c>
      <c r="C139" s="236" t="s">
        <v>49</v>
      </c>
      <c r="D139" s="236" t="s">
        <v>50</v>
      </c>
    </row>
    <row r="140" spans="2:11">
      <c r="B140" s="110"/>
      <c r="C140" s="152"/>
      <c r="D140" s="152"/>
    </row>
    <row r="141" spans="2:11">
      <c r="B141" s="110" t="s">
        <v>27</v>
      </c>
      <c r="C141" s="152">
        <f>C127</f>
        <v>37138.532177392168</v>
      </c>
      <c r="D141" s="152">
        <f>C141*$I$120</f>
        <v>1965.7505598636606</v>
      </c>
    </row>
    <row r="142" spans="2:11" ht="13.5" thickBot="1">
      <c r="B142" s="111" t="s">
        <v>28</v>
      </c>
      <c r="C142" s="153">
        <f>SUM(C140:C141)</f>
        <v>37138.532177392168</v>
      </c>
      <c r="D142" s="153">
        <f>SUM(D140:D141)</f>
        <v>1965.7505598636606</v>
      </c>
    </row>
    <row r="144" spans="2:11">
      <c r="C144" s="37"/>
    </row>
    <row r="145" spans="1:9" ht="13.5" thickBot="1"/>
    <row r="146" spans="1:9">
      <c r="B146" s="72" t="s">
        <v>51</v>
      </c>
      <c r="C146" s="234" t="s">
        <v>52</v>
      </c>
      <c r="D146" s="235" t="s">
        <v>50</v>
      </c>
      <c r="E146" s="235" t="s">
        <v>30</v>
      </c>
      <c r="F146" s="427"/>
      <c r="H146" s="55"/>
    </row>
    <row r="147" spans="1:9">
      <c r="B147" s="73">
        <v>2025</v>
      </c>
      <c r="C147" s="318">
        <f>E147*$C$126</f>
        <v>3024.7050416234761</v>
      </c>
      <c r="D147" s="152">
        <f>C147*$I$120</f>
        <v>160.09829361574123</v>
      </c>
      <c r="E147" s="249">
        <v>3.5794968315579441E-2</v>
      </c>
      <c r="F147" s="424"/>
      <c r="H147" s="55"/>
    </row>
    <row r="148" spans="1:9">
      <c r="B148" s="73">
        <v>2026</v>
      </c>
      <c r="C148" s="318">
        <f>E148*$C$126</f>
        <v>4403.2484552506394</v>
      </c>
      <c r="D148" s="152">
        <f>C148*$I$120</f>
        <v>233.06489537022779</v>
      </c>
      <c r="E148" s="249">
        <v>5.2108928564063607E-2</v>
      </c>
      <c r="F148" s="424"/>
      <c r="H148" s="55"/>
    </row>
    <row r="149" spans="1:9">
      <c r="B149" s="73">
        <v>2027</v>
      </c>
      <c r="C149" s="318">
        <f>E149*$C$126</f>
        <v>8662.1040835300682</v>
      </c>
      <c r="D149" s="152">
        <f>C149*$I$120</f>
        <v>458.48704710419145</v>
      </c>
      <c r="E149" s="249">
        <v>0.10250908334843423</v>
      </c>
      <c r="F149" s="424"/>
    </row>
    <row r="150" spans="1:9" ht="13.5" thickBot="1">
      <c r="B150" s="74" t="s">
        <v>53</v>
      </c>
      <c r="C150" s="318">
        <f>E150*$C$126</f>
        <v>68410.786643195825</v>
      </c>
      <c r="D150" s="152">
        <f>C150*$I$120</f>
        <v>3620.9977686312154</v>
      </c>
      <c r="E150" s="250">
        <v>0.80958701977192282</v>
      </c>
      <c r="F150" s="424"/>
    </row>
    <row r="151" spans="1:9" ht="13.5" thickBot="1">
      <c r="B151" s="206" t="s">
        <v>32</v>
      </c>
      <c r="C151" s="207">
        <f>SUM(C147:C150)</f>
        <v>84500.844223600012</v>
      </c>
      <c r="D151" s="208">
        <f>SUM(D147:D150)</f>
        <v>4472.6480047213754</v>
      </c>
      <c r="E151" s="319">
        <f>+SUM(E147:E150)</f>
        <v>1</v>
      </c>
      <c r="F151" s="425"/>
    </row>
    <row r="158" spans="1:9">
      <c r="A158" s="68" t="s">
        <v>54</v>
      </c>
    </row>
    <row r="159" spans="1:9">
      <c r="H159" s="68" t="s">
        <v>55</v>
      </c>
      <c r="I159" s="151">
        <f>Model!$BE$160</f>
        <v>4.8820000000000002E-2</v>
      </c>
    </row>
    <row r="160" spans="1:9">
      <c r="B160" s="32" t="s">
        <v>56</v>
      </c>
      <c r="C160" s="35" t="s">
        <v>9</v>
      </c>
      <c r="D160" s="35" t="s">
        <v>10</v>
      </c>
      <c r="E160" s="35" t="s">
        <v>11</v>
      </c>
      <c r="F160" s="296"/>
      <c r="G160" s="151"/>
      <c r="H160" s="33"/>
      <c r="I160" s="33"/>
    </row>
    <row r="161" spans="1:11">
      <c r="A161" s="68"/>
      <c r="B161" s="158" t="s">
        <v>42</v>
      </c>
      <c r="C161" s="285">
        <f>2302.506+997.094</f>
        <v>3299.6</v>
      </c>
      <c r="D161" s="165">
        <f>C161*$I$159</f>
        <v>161.08647200000001</v>
      </c>
      <c r="E161" s="262"/>
      <c r="F161" s="374"/>
      <c r="G161" s="151"/>
      <c r="H161" s="33"/>
      <c r="I161" s="33"/>
    </row>
    <row r="162" spans="1:11">
      <c r="A162" s="68"/>
      <c r="B162" s="158" t="s">
        <v>15</v>
      </c>
      <c r="C162" s="285">
        <v>3622.9669159576852</v>
      </c>
      <c r="D162" s="165">
        <f>C162*$I$159</f>
        <v>176.87324483705419</v>
      </c>
      <c r="E162" s="262"/>
      <c r="F162" s="374"/>
      <c r="G162" s="151"/>
      <c r="H162" s="68"/>
      <c r="I162" s="68"/>
      <c r="J162" s="68"/>
      <c r="K162" s="68"/>
    </row>
    <row r="163" spans="1:11" ht="15.75">
      <c r="A163" s="68"/>
      <c r="B163" s="158" t="s">
        <v>16</v>
      </c>
      <c r="C163" s="299">
        <f>Model!$BE$124-C161-C162</f>
        <v>70674.433084042306</v>
      </c>
      <c r="D163" s="264">
        <f>C163*$I$159</f>
        <v>3450.3258231629457</v>
      </c>
      <c r="E163" s="262"/>
      <c r="F163" s="374"/>
      <c r="G163" s="300"/>
      <c r="H163" s="301"/>
      <c r="I163" s="68"/>
      <c r="J163" s="68"/>
      <c r="K163" s="68"/>
    </row>
    <row r="164" spans="1:11">
      <c r="B164" s="41"/>
      <c r="C164" s="41"/>
      <c r="D164" s="37"/>
      <c r="E164" s="41"/>
      <c r="F164" s="422"/>
      <c r="G164" s="161"/>
    </row>
    <row r="165" spans="1:11">
      <c r="B165" s="42" t="s">
        <v>17</v>
      </c>
      <c r="C165" s="258">
        <f>C163+C162+C161</f>
        <v>77597</v>
      </c>
      <c r="D165" s="258">
        <f>SUM(D161:D164)</f>
        <v>3788.2855399999999</v>
      </c>
      <c r="E165" s="43">
        <f>+C165/C170</f>
        <v>1.3491513252574923</v>
      </c>
      <c r="F165" s="420"/>
    </row>
    <row r="166" spans="1:11">
      <c r="B166" s="41" t="s">
        <v>18</v>
      </c>
      <c r="C166" s="212">
        <f>Model!$BE$127</f>
        <v>30508.71321722955</v>
      </c>
      <c r="D166" s="165">
        <f>C166*$I$159</f>
        <v>1489.4353792651466</v>
      </c>
      <c r="E166" s="44"/>
      <c r="F166" s="421"/>
      <c r="G166" s="190"/>
    </row>
    <row r="167" spans="1:11">
      <c r="B167" s="42" t="s">
        <v>19</v>
      </c>
      <c r="C167" s="258">
        <f>+C165-C166</f>
        <v>47088.286782770447</v>
      </c>
      <c r="D167" s="258">
        <f>+D165-D166</f>
        <v>2298.8501607348535</v>
      </c>
      <c r="E167" s="321">
        <f>+C167/C170</f>
        <v>0.81870722472620849</v>
      </c>
      <c r="F167" s="426"/>
      <c r="H167" s="68" t="s">
        <v>8</v>
      </c>
    </row>
    <row r="168" spans="1:11">
      <c r="B168" s="69" t="s">
        <v>20</v>
      </c>
      <c r="C168" s="209">
        <f>Model!$BE$138</f>
        <v>159723.18839996483</v>
      </c>
      <c r="D168" s="165">
        <f>C168*$I$159</f>
        <v>7797.6860576862837</v>
      </c>
      <c r="E168" s="71"/>
      <c r="F168" s="420"/>
      <c r="G168" s="190"/>
      <c r="H168" s="32" t="str">
        <f>B160</f>
        <v>Amount outstanding as on 31-Mar-2025</v>
      </c>
      <c r="I168" s="35" t="s">
        <v>9</v>
      </c>
      <c r="J168" s="35" t="s">
        <v>10</v>
      </c>
      <c r="K168" s="35" t="s">
        <v>11</v>
      </c>
    </row>
    <row r="169" spans="1:11">
      <c r="B169" s="69" t="s">
        <v>21</v>
      </c>
      <c r="C169" s="210">
        <f>C165+C168</f>
        <v>237320.18839996483</v>
      </c>
      <c r="D169" s="210">
        <f>D165+D168</f>
        <v>11585.971597686283</v>
      </c>
      <c r="E169" s="71"/>
      <c r="F169" s="420"/>
      <c r="H169" s="42" t="s">
        <v>14</v>
      </c>
      <c r="I169" s="315">
        <v>42551.647897755705</v>
      </c>
      <c r="J169" s="308">
        <f>I169*$I$159</f>
        <v>2077.3714503684337</v>
      </c>
      <c r="K169" s="320">
        <v>0.73982481556491597</v>
      </c>
    </row>
    <row r="170" spans="1:11">
      <c r="B170" s="41" t="s">
        <v>22</v>
      </c>
      <c r="C170" s="212">
        <f>Model!$BE$92</f>
        <v>57515.4162081783</v>
      </c>
      <c r="D170" s="211"/>
      <c r="E170" s="41"/>
      <c r="F170" s="422"/>
      <c r="G170" s="191"/>
    </row>
    <row r="171" spans="1:11">
      <c r="B171" s="259" t="s">
        <v>23</v>
      </c>
      <c r="C171" s="260">
        <f>C165-Model!$BE$124</f>
        <v>0</v>
      </c>
      <c r="E171" s="191"/>
      <c r="F171" s="191"/>
      <c r="H171" s="231"/>
    </row>
    <row r="172" spans="1:11">
      <c r="B172" s="166"/>
      <c r="C172" s="167"/>
      <c r="E172" s="191"/>
      <c r="F172" s="191"/>
      <c r="H172" s="231"/>
    </row>
    <row r="173" spans="1:11">
      <c r="E173" s="191"/>
      <c r="F173" s="191"/>
    </row>
    <row r="174" spans="1:11">
      <c r="B174" s="42" t="s">
        <v>24</v>
      </c>
      <c r="C174" s="154">
        <f>C167+Model!$BE$137</f>
        <v>439075.68678277044</v>
      </c>
      <c r="E174"/>
      <c r="F174"/>
    </row>
    <row r="175" spans="1:11">
      <c r="B175" s="42" t="s">
        <v>25</v>
      </c>
      <c r="C175" s="43">
        <f>C174/C170</f>
        <v>7.6340521503578529</v>
      </c>
      <c r="E175"/>
      <c r="F175"/>
      <c r="G175" s="246"/>
    </row>
    <row r="176" spans="1:11">
      <c r="G176"/>
    </row>
    <row r="177" spans="1:9" ht="13.5" thickBot="1">
      <c r="I177" s="232"/>
    </row>
    <row r="178" spans="1:9">
      <c r="B178" s="108" t="s">
        <v>57</v>
      </c>
      <c r="C178" s="236" t="s">
        <v>49</v>
      </c>
      <c r="D178" s="236" t="s">
        <v>50</v>
      </c>
      <c r="I178" s="232"/>
    </row>
    <row r="179" spans="1:9">
      <c r="B179" s="110"/>
      <c r="C179" s="152"/>
      <c r="D179" s="152"/>
      <c r="I179" s="232"/>
    </row>
    <row r="180" spans="1:9">
      <c r="B180" s="110" t="s">
        <v>27</v>
      </c>
      <c r="C180" s="152">
        <f>C166</f>
        <v>30508.71321722955</v>
      </c>
      <c r="D180" s="152">
        <f>C180*$I$159</f>
        <v>1489.4353792651466</v>
      </c>
      <c r="I180" s="232"/>
    </row>
    <row r="181" spans="1:9" ht="13.5" thickBot="1">
      <c r="B181" s="111" t="s">
        <v>28</v>
      </c>
      <c r="C181" s="153">
        <f>SUM(C179:C180)</f>
        <v>30508.71321722955</v>
      </c>
      <c r="D181" s="153">
        <f>SUM(D179:D180)</f>
        <v>1489.4353792651466</v>
      </c>
      <c r="I181" s="232"/>
    </row>
    <row r="182" spans="1:9">
      <c r="I182" s="232"/>
    </row>
    <row r="183" spans="1:9">
      <c r="C183" s="37"/>
    </row>
    <row r="184" spans="1:9" ht="13.5" thickBot="1"/>
    <row r="185" spans="1:9">
      <c r="B185" s="72" t="s">
        <v>58</v>
      </c>
      <c r="C185" s="234" t="s">
        <v>52</v>
      </c>
      <c r="D185" s="235" t="s">
        <v>50</v>
      </c>
      <c r="E185" s="235" t="s">
        <v>30</v>
      </c>
      <c r="F185" s="427"/>
    </row>
    <row r="186" spans="1:9">
      <c r="B186" s="73">
        <v>2025</v>
      </c>
      <c r="C186" s="318">
        <f t="shared" ref="C186:C188" si="5">E186*$C$165</f>
        <v>3259.0740000000001</v>
      </c>
      <c r="D186" s="152">
        <f>C186*$I$159</f>
        <v>159.10799268000002</v>
      </c>
      <c r="E186" s="249">
        <v>4.2000000000000003E-2</v>
      </c>
      <c r="F186" s="424"/>
    </row>
    <row r="187" spans="1:9">
      <c r="B187" s="73">
        <v>2026</v>
      </c>
      <c r="C187" s="318">
        <f t="shared" si="5"/>
        <v>3414.268</v>
      </c>
      <c r="D187" s="152">
        <f>C187*$I$159</f>
        <v>166.68456376</v>
      </c>
      <c r="E187" s="249">
        <v>4.3999999999999997E-2</v>
      </c>
      <c r="F187" s="424"/>
    </row>
    <row r="188" spans="1:9">
      <c r="B188" s="73">
        <v>2027</v>
      </c>
      <c r="C188" s="318">
        <f t="shared" si="5"/>
        <v>8690.8639999999996</v>
      </c>
      <c r="D188" s="152">
        <f>C188*$I$159</f>
        <v>424.28798047999999</v>
      </c>
      <c r="E188" s="249">
        <v>0.112</v>
      </c>
      <c r="F188" s="424"/>
    </row>
    <row r="189" spans="1:9" ht="13.5" thickBot="1">
      <c r="B189" s="74" t="s">
        <v>53</v>
      </c>
      <c r="C189" s="318">
        <f>E189*$C$165</f>
        <v>62232.794000000002</v>
      </c>
      <c r="D189" s="152">
        <f>C189*$I$159</f>
        <v>3038.2050030800001</v>
      </c>
      <c r="E189" s="250">
        <v>0.80200000000000005</v>
      </c>
      <c r="F189" s="424"/>
    </row>
    <row r="190" spans="1:9" ht="13.5" thickBot="1">
      <c r="B190" s="206" t="s">
        <v>32</v>
      </c>
      <c r="C190" s="207">
        <f>SUM(C186:C189)</f>
        <v>77597</v>
      </c>
      <c r="D190" s="208">
        <f>SUM(D186:D189)</f>
        <v>3788.2855399999999</v>
      </c>
      <c r="E190" s="319">
        <f>+SUM(E186:E189)</f>
        <v>1</v>
      </c>
      <c r="F190" s="425"/>
      <c r="G190" s="263"/>
    </row>
    <row r="191" spans="1:9">
      <c r="B191" s="68"/>
      <c r="C191" s="183"/>
      <c r="D191" s="183"/>
      <c r="E191" s="317"/>
      <c r="F191" s="317"/>
      <c r="G191" s="263"/>
    </row>
    <row r="192" spans="1:9">
      <c r="A192" s="68" t="s">
        <v>59</v>
      </c>
    </row>
    <row r="193" spans="1:11">
      <c r="H193" s="68" t="s">
        <v>60</v>
      </c>
      <c r="I193" s="151">
        <f>Model!$BD$160</f>
        <v>4.8031431768949598E-2</v>
      </c>
    </row>
    <row r="194" spans="1:11">
      <c r="B194" s="32" t="s">
        <v>61</v>
      </c>
      <c r="C194" s="35" t="s">
        <v>9</v>
      </c>
      <c r="D194" s="35" t="s">
        <v>10</v>
      </c>
      <c r="E194" s="35" t="s">
        <v>11</v>
      </c>
      <c r="F194" s="296"/>
      <c r="G194" s="151"/>
      <c r="H194" s="33"/>
      <c r="I194" s="33"/>
    </row>
    <row r="195" spans="1:11">
      <c r="A195" s="68"/>
      <c r="B195" s="158" t="s">
        <v>42</v>
      </c>
      <c r="C195" s="285">
        <f>2295.43098689853+888.899676389368</f>
        <v>3184.330663287898</v>
      </c>
      <c r="D195" s="165">
        <f>C195*$I$193</f>
        <v>152.94796098348669</v>
      </c>
      <c r="E195" s="262"/>
      <c r="F195" s="374"/>
      <c r="G195" s="151"/>
      <c r="H195" s="33"/>
      <c r="I195" s="33"/>
    </row>
    <row r="196" spans="1:11">
      <c r="A196" s="68"/>
      <c r="B196" s="158" t="s">
        <v>15</v>
      </c>
      <c r="C196" s="285">
        <v>3314.0074331778096</v>
      </c>
      <c r="D196" s="165">
        <f t="shared" ref="D196:D197" si="6">C196*$I$193</f>
        <v>159.17652190847176</v>
      </c>
      <c r="E196" s="262"/>
      <c r="F196" s="374"/>
      <c r="G196" s="151"/>
      <c r="H196" s="68"/>
      <c r="I196" s="68"/>
      <c r="J196" s="68"/>
      <c r="K196" s="68"/>
    </row>
    <row r="197" spans="1:11" ht="15.75">
      <c r="A197" s="68"/>
      <c r="B197" s="158" t="s">
        <v>16</v>
      </c>
      <c r="C197" s="299">
        <f>Model!$BD$124-C195-C196</f>
        <v>70382.661903534288</v>
      </c>
      <c r="D197" s="165">
        <f t="shared" si="6"/>
        <v>3380.5800229366555</v>
      </c>
      <c r="E197" s="262"/>
      <c r="F197" s="374"/>
      <c r="G197" s="300"/>
      <c r="H197" s="301"/>
      <c r="I197" s="68"/>
      <c r="J197" s="68"/>
      <c r="K197" s="68"/>
    </row>
    <row r="198" spans="1:11">
      <c r="B198" s="41"/>
      <c r="C198" s="41"/>
      <c r="D198" s="37"/>
      <c r="E198" s="41"/>
      <c r="F198" s="422"/>
      <c r="G198" s="161"/>
    </row>
    <row r="199" spans="1:11">
      <c r="B199" s="42" t="s">
        <v>17</v>
      </c>
      <c r="C199" s="258">
        <f>C197+C196+C195</f>
        <v>76881</v>
      </c>
      <c r="D199" s="258">
        <f>SUM(D195:D198)</f>
        <v>3692.7045058286139</v>
      </c>
      <c r="E199" s="43">
        <f>+C199/C204</f>
        <v>1.3678621884897002</v>
      </c>
      <c r="F199" s="420"/>
    </row>
    <row r="200" spans="1:11">
      <c r="B200" s="41" t="s">
        <v>18</v>
      </c>
      <c r="C200" s="212">
        <f>Model!$BD$127</f>
        <v>32779</v>
      </c>
      <c r="D200" s="165">
        <f>C200*$I$193</f>
        <v>1574.4223019543988</v>
      </c>
      <c r="E200" s="44"/>
      <c r="F200" s="421"/>
      <c r="G200" s="190"/>
    </row>
    <row r="201" spans="1:11">
      <c r="B201" s="42" t="s">
        <v>19</v>
      </c>
      <c r="C201" s="258">
        <f>+C199-C200</f>
        <v>44102</v>
      </c>
      <c r="D201" s="258">
        <f>+D199-D200</f>
        <v>2118.2822038742152</v>
      </c>
      <c r="E201" s="43">
        <f>+C201/C204</f>
        <v>0.78466016618895118</v>
      </c>
      <c r="F201" s="420"/>
      <c r="H201" s="68" t="s">
        <v>8</v>
      </c>
    </row>
    <row r="202" spans="1:11">
      <c r="B202" s="69" t="s">
        <v>20</v>
      </c>
      <c r="C202" s="209">
        <f>Model!$BD$138</f>
        <v>150542</v>
      </c>
      <c r="D202" s="165">
        <f>C202*$I$193</f>
        <v>7230.7478013612108</v>
      </c>
      <c r="E202" s="71"/>
      <c r="F202" s="420"/>
      <c r="G202" s="190"/>
      <c r="H202" s="32" t="str">
        <f>B194</f>
        <v>Amount outstanding as on 31-Dec-2024</v>
      </c>
      <c r="I202" s="35" t="s">
        <v>9</v>
      </c>
      <c r="J202" s="35" t="s">
        <v>10</v>
      </c>
      <c r="K202" s="35" t="s">
        <v>11</v>
      </c>
    </row>
    <row r="203" spans="1:11">
      <c r="B203" s="69" t="s">
        <v>21</v>
      </c>
      <c r="C203" s="210">
        <f>C199+C202</f>
        <v>227423</v>
      </c>
      <c r="D203" s="210">
        <f>D199+D202</f>
        <v>10923.452307189826</v>
      </c>
      <c r="E203" s="71"/>
      <c r="F203" s="420"/>
      <c r="H203" s="42" t="s">
        <v>14</v>
      </c>
      <c r="I203" s="315">
        <v>38329.23330569153</v>
      </c>
      <c r="J203" s="308">
        <f>I203*$I$193</f>
        <v>1841.0079542784731</v>
      </c>
      <c r="K203" s="320">
        <v>0.68195144382429362</v>
      </c>
    </row>
    <row r="204" spans="1:11">
      <c r="B204" s="41" t="s">
        <v>22</v>
      </c>
      <c r="C204" s="212">
        <f>Model!$BD$92</f>
        <v>56205.223484455506</v>
      </c>
      <c r="D204" s="211"/>
      <c r="E204" s="41"/>
      <c r="F204" s="422"/>
      <c r="G204" s="191"/>
    </row>
    <row r="205" spans="1:11">
      <c r="B205" s="259" t="s">
        <v>23</v>
      </c>
      <c r="C205" s="260">
        <f>C199-Model!$BD$124</f>
        <v>0</v>
      </c>
      <c r="H205" s="231"/>
    </row>
    <row r="206" spans="1:11">
      <c r="B206" s="166"/>
      <c r="C206" s="167"/>
      <c r="H206" s="231"/>
    </row>
    <row r="208" spans="1:11">
      <c r="B208" s="42" t="s">
        <v>24</v>
      </c>
      <c r="C208" s="154">
        <f>C201+Model!$BD$137</f>
        <v>427434.31640000001</v>
      </c>
      <c r="E208"/>
      <c r="F208"/>
    </row>
    <row r="209" spans="2:9">
      <c r="B209" s="42" t="s">
        <v>25</v>
      </c>
      <c r="C209" s="43">
        <f>C208/C204</f>
        <v>7.6048859856987159</v>
      </c>
      <c r="E209"/>
      <c r="F209"/>
      <c r="G209" s="246"/>
    </row>
    <row r="210" spans="2:9">
      <c r="G210"/>
    </row>
    <row r="211" spans="2:9" ht="13.5" thickBot="1">
      <c r="I211" s="232"/>
    </row>
    <row r="212" spans="2:9">
      <c r="B212" s="108" t="s">
        <v>62</v>
      </c>
      <c r="C212" s="236" t="s">
        <v>49</v>
      </c>
      <c r="D212" s="236" t="s">
        <v>50</v>
      </c>
      <c r="I212" s="232"/>
    </row>
    <row r="213" spans="2:9">
      <c r="B213" s="110"/>
      <c r="C213" s="152"/>
      <c r="D213" s="152"/>
      <c r="I213" s="232"/>
    </row>
    <row r="214" spans="2:9">
      <c r="B214" s="110" t="s">
        <v>27</v>
      </c>
      <c r="C214" s="152">
        <f>C200</f>
        <v>32779</v>
      </c>
      <c r="D214" s="152">
        <f>C214*$I$193</f>
        <v>1574.4223019543988</v>
      </c>
      <c r="I214" s="232"/>
    </row>
    <row r="215" spans="2:9" ht="13.5" thickBot="1">
      <c r="B215" s="111" t="s">
        <v>28</v>
      </c>
      <c r="C215" s="153">
        <f>SUM(C213:C214)</f>
        <v>32779</v>
      </c>
      <c r="D215" s="153">
        <f>SUM(D213:D214)</f>
        <v>1574.4223019543988</v>
      </c>
      <c r="I215" s="232"/>
    </row>
    <row r="216" spans="2:9">
      <c r="I216" s="232"/>
    </row>
    <row r="217" spans="2:9">
      <c r="C217" s="37"/>
    </row>
    <row r="218" spans="2:9" ht="13.5" thickBot="1"/>
    <row r="219" spans="2:9">
      <c r="B219" s="72" t="s">
        <v>63</v>
      </c>
      <c r="C219" s="234" t="s">
        <v>52</v>
      </c>
      <c r="D219" s="235" t="s">
        <v>50</v>
      </c>
      <c r="E219" s="235" t="s">
        <v>30</v>
      </c>
      <c r="F219" s="427"/>
    </row>
    <row r="220" spans="2:9">
      <c r="B220" s="73">
        <v>2025</v>
      </c>
      <c r="C220" s="318">
        <f>E220*$C$199</f>
        <v>3368.2296659646377</v>
      </c>
      <c r="D220" s="152">
        <f>C220*$I$193</f>
        <v>161.78089338293239</v>
      </c>
      <c r="E220" s="249">
        <v>4.3810950247325578E-2</v>
      </c>
      <c r="F220" s="424"/>
    </row>
    <row r="221" spans="2:9">
      <c r="B221" s="73">
        <v>2026</v>
      </c>
      <c r="C221" s="318">
        <f t="shared" ref="C221:C223" si="7">E221*$C$199</f>
        <v>2996.9271329624767</v>
      </c>
      <c r="D221" s="152">
        <f t="shared" ref="D221:D223" si="8">C221*$I$193</f>
        <v>143.94670110340093</v>
      </c>
      <c r="E221" s="249">
        <v>3.8981375540933089E-2</v>
      </c>
      <c r="F221" s="424"/>
    </row>
    <row r="222" spans="2:9">
      <c r="B222" s="73">
        <v>2027</v>
      </c>
      <c r="C222" s="318">
        <f t="shared" si="7"/>
        <v>8654.3842910935618</v>
      </c>
      <c r="D222" s="152">
        <f t="shared" si="8"/>
        <v>415.68246857992966</v>
      </c>
      <c r="E222" s="249">
        <v>0.11256857079243976</v>
      </c>
      <c r="F222" s="424"/>
    </row>
    <row r="223" spans="2:9" ht="13.5" thickBot="1">
      <c r="B223" s="74" t="s">
        <v>53</v>
      </c>
      <c r="C223" s="318">
        <f t="shared" si="7"/>
        <v>61861.45890997933</v>
      </c>
      <c r="D223" s="152">
        <f t="shared" si="8"/>
        <v>2971.2944427623515</v>
      </c>
      <c r="E223" s="250">
        <v>0.80463910341930167</v>
      </c>
      <c r="F223" s="424"/>
    </row>
    <row r="224" spans="2:9" ht="13.5" customHeight="1" thickBot="1">
      <c r="B224" s="206" t="s">
        <v>32</v>
      </c>
      <c r="C224" s="207">
        <f>SUM(C220:C223)</f>
        <v>76881</v>
      </c>
      <c r="D224" s="208">
        <f>SUM(D220:D223)</f>
        <v>3692.7045058286144</v>
      </c>
      <c r="E224" s="319">
        <f>+SUM(E220:E223)</f>
        <v>1</v>
      </c>
      <c r="F224" s="425"/>
      <c r="G224" s="263"/>
    </row>
    <row r="225" spans="1:11">
      <c r="B225" s="68"/>
      <c r="C225" s="183"/>
      <c r="D225" s="183"/>
      <c r="E225" s="317"/>
      <c r="F225" s="317"/>
      <c r="G225" s="263"/>
    </row>
    <row r="226" spans="1:11">
      <c r="A226" s="68" t="s">
        <v>64</v>
      </c>
    </row>
    <row r="227" spans="1:11">
      <c r="H227" s="68" t="s">
        <v>65</v>
      </c>
      <c r="I227" s="151">
        <f>Model!$BC$160</f>
        <v>5.0810000000000001E-2</v>
      </c>
    </row>
    <row r="228" spans="1:11">
      <c r="B228" s="32" t="s">
        <v>66</v>
      </c>
      <c r="C228" s="35" t="s">
        <v>9</v>
      </c>
      <c r="D228" s="35" t="s">
        <v>10</v>
      </c>
      <c r="E228" s="35" t="s">
        <v>11</v>
      </c>
      <c r="F228" s="296"/>
      <c r="G228" s="151"/>
      <c r="H228" s="33"/>
      <c r="I228" s="33"/>
    </row>
    <row r="229" spans="1:11">
      <c r="A229" s="68"/>
      <c r="B229" s="158" t="s">
        <v>42</v>
      </c>
      <c r="C229" s="285">
        <f>2204.53507094603+817.50614062955</f>
        <v>3022.0412115755798</v>
      </c>
      <c r="D229" s="165">
        <f>C229*$I$227</f>
        <v>153.54991396015521</v>
      </c>
      <c r="E229" s="262"/>
      <c r="F229" s="374"/>
      <c r="G229" s="151"/>
      <c r="H229" s="33"/>
      <c r="I229" s="33"/>
    </row>
    <row r="230" spans="1:11">
      <c r="A230" s="68"/>
      <c r="B230" s="158" t="s">
        <v>15</v>
      </c>
      <c r="C230" s="285">
        <v>2556.6241333580701</v>
      </c>
      <c r="D230" s="165">
        <f>C230*$I$227</f>
        <v>129.90207221592354</v>
      </c>
      <c r="E230" s="262"/>
      <c r="F230" s="374"/>
      <c r="G230" s="151"/>
      <c r="H230" s="68"/>
      <c r="I230" s="68"/>
      <c r="J230" s="68"/>
      <c r="K230" s="68"/>
    </row>
    <row r="231" spans="1:11" ht="15.75">
      <c r="A231" s="68"/>
      <c r="B231" s="158" t="s">
        <v>16</v>
      </c>
      <c r="C231" s="299">
        <f>Model!$BC$124-C229-C230</f>
        <v>69324.940767842418</v>
      </c>
      <c r="D231" s="165">
        <f>C231*$I$227</f>
        <v>3522.4002404140733</v>
      </c>
      <c r="E231" s="262"/>
      <c r="F231" s="374"/>
      <c r="G231" s="300"/>
      <c r="H231" s="301"/>
      <c r="I231" s="68"/>
      <c r="J231" s="68"/>
      <c r="K231" s="68"/>
    </row>
    <row r="232" spans="1:11">
      <c r="B232" s="41"/>
      <c r="C232" s="41"/>
      <c r="D232" s="37"/>
      <c r="E232" s="41"/>
      <c r="F232" s="422"/>
      <c r="G232" s="161"/>
    </row>
    <row r="233" spans="1:11">
      <c r="B233" s="42" t="s">
        <v>17</v>
      </c>
      <c r="C233" s="258">
        <f>C231+C230+C229</f>
        <v>74903.606112776062</v>
      </c>
      <c r="D233" s="258">
        <f>SUM(D229:D232)</f>
        <v>3805.852226590152</v>
      </c>
      <c r="E233" s="43">
        <f>+C233/C238</f>
        <v>1.4269093956913224</v>
      </c>
      <c r="F233" s="420"/>
    </row>
    <row r="234" spans="1:11">
      <c r="B234" s="41" t="s">
        <v>18</v>
      </c>
      <c r="C234" s="212">
        <f>Model!$BC$127</f>
        <v>41493.221950721701</v>
      </c>
      <c r="D234" s="165">
        <f>C234*$I$227</f>
        <v>2108.2706073161698</v>
      </c>
      <c r="E234" s="44"/>
      <c r="F234" s="421"/>
      <c r="G234" s="190"/>
    </row>
    <row r="235" spans="1:11">
      <c r="B235" s="42" t="s">
        <v>19</v>
      </c>
      <c r="C235" s="258">
        <f>+C233-C234</f>
        <v>33410.384162054361</v>
      </c>
      <c r="D235" s="258">
        <f>+D233-D234</f>
        <v>1697.5816192739821</v>
      </c>
      <c r="E235" s="43">
        <f>+C235/C238</f>
        <v>0.63646589995565495</v>
      </c>
      <c r="F235" s="420"/>
      <c r="H235" s="68" t="s">
        <v>8</v>
      </c>
    </row>
    <row r="236" spans="1:11">
      <c r="B236" s="69" t="s">
        <v>20</v>
      </c>
      <c r="C236" s="209">
        <f>Model!$BC$138</f>
        <v>147848.15624805199</v>
      </c>
      <c r="D236" s="165">
        <f>C236*$I$227</f>
        <v>7512.1648189635216</v>
      </c>
      <c r="E236" s="71"/>
      <c r="F236" s="420"/>
      <c r="G236" s="190"/>
      <c r="H236" s="32" t="str">
        <f>B228</f>
        <v>Amount outstanding as on 30-Sep-2024</v>
      </c>
      <c r="I236" s="35" t="s">
        <v>9</v>
      </c>
      <c r="J236" s="35" t="s">
        <v>10</v>
      </c>
      <c r="K236" s="35" t="s">
        <v>11</v>
      </c>
    </row>
    <row r="237" spans="1:11">
      <c r="B237" s="69" t="s">
        <v>21</v>
      </c>
      <c r="C237" s="210">
        <f>C233+C236</f>
        <v>222751.76236082806</v>
      </c>
      <c r="D237" s="210">
        <f>D233+D236</f>
        <v>11318.017045553674</v>
      </c>
      <c r="E237" s="71"/>
      <c r="F237" s="420"/>
      <c r="H237" s="42" t="s">
        <v>14</v>
      </c>
      <c r="I237" s="315">
        <v>30306.576835809901</v>
      </c>
      <c r="J237" s="308">
        <f>I237*$I$227</f>
        <v>1539.8771690275012</v>
      </c>
      <c r="K237" s="320">
        <v>0.57480854286211902</v>
      </c>
    </row>
    <row r="238" spans="1:11">
      <c r="B238" s="41" t="s">
        <v>22</v>
      </c>
      <c r="C238" s="212">
        <f>Model!$BC$92</f>
        <v>52493.596537351317</v>
      </c>
      <c r="D238" s="211"/>
      <c r="E238" s="41"/>
      <c r="F238" s="422"/>
    </row>
    <row r="239" spans="1:11">
      <c r="B239" s="259" t="s">
        <v>23</v>
      </c>
      <c r="C239" s="260">
        <f>C233-Model!$BC$124</f>
        <v>0</v>
      </c>
      <c r="H239" s="231"/>
    </row>
    <row r="240" spans="1:11">
      <c r="B240" s="166"/>
      <c r="C240" s="167"/>
      <c r="H240" s="231"/>
    </row>
    <row r="242" spans="2:9">
      <c r="B242" s="42" t="s">
        <v>24</v>
      </c>
      <c r="C242" s="154">
        <f>C235+Model!$BC$137</f>
        <v>395950.98416205432</v>
      </c>
      <c r="E242"/>
      <c r="F242"/>
    </row>
    <row r="243" spans="2:9">
      <c r="B243" s="42" t="s">
        <v>25</v>
      </c>
      <c r="C243" s="43">
        <f>C242/C238</f>
        <v>7.5428435138811487</v>
      </c>
      <c r="E243"/>
      <c r="F243"/>
      <c r="G243" s="246"/>
    </row>
    <row r="244" spans="2:9">
      <c r="G244"/>
    </row>
    <row r="245" spans="2:9" ht="13.5" thickBot="1">
      <c r="I245" s="232"/>
    </row>
    <row r="246" spans="2:9">
      <c r="B246" s="108" t="s">
        <v>67</v>
      </c>
      <c r="C246" s="236" t="s">
        <v>49</v>
      </c>
      <c r="D246" s="236" t="s">
        <v>50</v>
      </c>
      <c r="I246" s="232"/>
    </row>
    <row r="247" spans="2:9">
      <c r="B247" s="110"/>
      <c r="C247" s="152"/>
      <c r="D247" s="152"/>
      <c r="I247" s="232"/>
    </row>
    <row r="248" spans="2:9">
      <c r="B248" s="110" t="s">
        <v>27</v>
      </c>
      <c r="C248" s="152">
        <f>C234</f>
        <v>41493.221950721701</v>
      </c>
      <c r="D248" s="152">
        <f>C248*$I$227</f>
        <v>2108.2706073161698</v>
      </c>
      <c r="I248" s="232"/>
    </row>
    <row r="249" spans="2:9" ht="13.5" thickBot="1">
      <c r="B249" s="111" t="s">
        <v>28</v>
      </c>
      <c r="C249" s="153">
        <f>SUM(C247:C248)</f>
        <v>41493.221950721701</v>
      </c>
      <c r="D249" s="153">
        <f>SUM(D247:D248)</f>
        <v>2108.2706073161698</v>
      </c>
      <c r="I249" s="232"/>
    </row>
    <row r="250" spans="2:9">
      <c r="I250" s="232"/>
    </row>
    <row r="251" spans="2:9">
      <c r="C251" s="37"/>
    </row>
    <row r="252" spans="2:9" ht="13.5" thickBot="1"/>
    <row r="253" spans="2:9">
      <c r="B253" s="72" t="s">
        <v>68</v>
      </c>
      <c r="C253" s="234" t="s">
        <v>52</v>
      </c>
      <c r="D253" s="235" t="s">
        <v>50</v>
      </c>
      <c r="E253" s="235" t="s">
        <v>30</v>
      </c>
      <c r="F253" s="427"/>
    </row>
    <row r="254" spans="2:9">
      <c r="B254" s="73">
        <v>2023</v>
      </c>
      <c r="C254" s="318">
        <f>E254*$C$233</f>
        <v>0</v>
      </c>
      <c r="D254" s="152">
        <f t="shared" ref="D254:D259" si="9">C254*$I$227</f>
        <v>0</v>
      </c>
      <c r="E254" s="249">
        <v>0</v>
      </c>
      <c r="F254" s="424"/>
    </row>
    <row r="255" spans="2:9">
      <c r="B255" s="73">
        <v>2024</v>
      </c>
      <c r="C255" s="318">
        <f t="shared" ref="C255:C259" si="10">E255*$C$233</f>
        <v>0</v>
      </c>
      <c r="D255" s="152">
        <f t="shared" si="9"/>
        <v>0</v>
      </c>
      <c r="E255" s="249">
        <v>0</v>
      </c>
      <c r="F255" s="424"/>
    </row>
    <row r="256" spans="2:9">
      <c r="B256" s="73">
        <v>2025</v>
      </c>
      <c r="C256" s="318">
        <f t="shared" si="10"/>
        <v>2546.7226078343865</v>
      </c>
      <c r="D256" s="152">
        <f t="shared" si="9"/>
        <v>129.39897570406518</v>
      </c>
      <c r="E256" s="249">
        <v>3.4000000000000002E-2</v>
      </c>
      <c r="F256" s="424"/>
    </row>
    <row r="257" spans="1:11">
      <c r="B257" s="73">
        <v>2026</v>
      </c>
      <c r="C257" s="318">
        <f t="shared" si="10"/>
        <v>2996.1442445110424</v>
      </c>
      <c r="D257" s="152">
        <f t="shared" si="9"/>
        <v>152.23408906360606</v>
      </c>
      <c r="E257" s="249">
        <v>0.04</v>
      </c>
      <c r="F257" s="424"/>
    </row>
    <row r="258" spans="1:11">
      <c r="B258" s="73">
        <v>2027</v>
      </c>
      <c r="C258" s="318">
        <f t="shared" si="10"/>
        <v>8688.8183090820239</v>
      </c>
      <c r="D258" s="152">
        <f t="shared" si="9"/>
        <v>441.47885828445766</v>
      </c>
      <c r="E258" s="249">
        <v>0.11600000000000001</v>
      </c>
      <c r="F258" s="424"/>
    </row>
    <row r="259" spans="1:11" ht="13.5" thickBot="1">
      <c r="B259" s="74" t="s">
        <v>53</v>
      </c>
      <c r="C259" s="318">
        <f t="shared" si="10"/>
        <v>60597.017345235836</v>
      </c>
      <c r="D259" s="152">
        <f t="shared" si="9"/>
        <v>3078.9344513114329</v>
      </c>
      <c r="E259" s="250">
        <v>0.80900000000000005</v>
      </c>
      <c r="F259" s="424"/>
    </row>
    <row r="260" spans="1:11" ht="13.5" thickBot="1">
      <c r="B260" s="206" t="s">
        <v>32</v>
      </c>
      <c r="C260" s="207">
        <f>SUM(C254:C259)</f>
        <v>74828.702506663292</v>
      </c>
      <c r="D260" s="208">
        <f>SUM(D254:D259)</f>
        <v>3802.0463743635619</v>
      </c>
      <c r="E260" s="319">
        <f>+SUM(E254:E259)</f>
        <v>0.99900000000000011</v>
      </c>
      <c r="F260" s="425"/>
      <c r="G260" s="263"/>
    </row>
    <row r="261" spans="1:11">
      <c r="B261" s="68"/>
      <c r="C261" s="183"/>
      <c r="D261" s="183"/>
      <c r="E261" s="317"/>
      <c r="F261" s="317"/>
      <c r="G261" s="263"/>
    </row>
    <row r="262" spans="1:11">
      <c r="A262" s="68" t="s">
        <v>69</v>
      </c>
    </row>
    <row r="263" spans="1:11">
      <c r="H263" s="68" t="s">
        <v>70</v>
      </c>
      <c r="I263" s="151">
        <f>Model!$BB$160</f>
        <v>5.4510000000000003E-2</v>
      </c>
    </row>
    <row r="264" spans="1:11">
      <c r="B264" s="32" t="s">
        <v>71</v>
      </c>
      <c r="C264" s="35" t="s">
        <v>9</v>
      </c>
      <c r="D264" s="35" t="s">
        <v>10</v>
      </c>
      <c r="E264" s="35" t="s">
        <v>11</v>
      </c>
      <c r="F264" s="296"/>
      <c r="G264" s="151"/>
      <c r="H264" s="33"/>
      <c r="I264" s="33"/>
    </row>
    <row r="265" spans="1:11">
      <c r="A265" s="68"/>
      <c r="B265" s="158" t="s">
        <v>42</v>
      </c>
      <c r="C265" s="285">
        <f>2138.31234738717+756.161575217222</f>
        <v>2894.4739226043921</v>
      </c>
      <c r="D265" s="165">
        <f>C265*$I$263</f>
        <v>157.77777352116541</v>
      </c>
      <c r="E265" s="262"/>
      <c r="F265" s="374"/>
      <c r="G265" s="151"/>
      <c r="H265" s="33"/>
      <c r="I265" s="33"/>
    </row>
    <row r="266" spans="1:11">
      <c r="A266" s="68"/>
      <c r="B266" s="158" t="s">
        <v>15</v>
      </c>
      <c r="C266" s="285">
        <v>622.3598903128551</v>
      </c>
      <c r="D266" s="165">
        <f>C266*$I$263</f>
        <v>33.924837620953731</v>
      </c>
      <c r="E266" s="262"/>
      <c r="F266" s="374"/>
      <c r="G266" s="151"/>
      <c r="H266" s="68"/>
      <c r="I266" s="68"/>
      <c r="J266" s="68"/>
      <c r="K266" s="68"/>
    </row>
    <row r="267" spans="1:11" ht="15.75">
      <c r="A267" s="68"/>
      <c r="B267" s="158" t="s">
        <v>16</v>
      </c>
      <c r="C267" s="299">
        <f>Model!$BB$124-C265-C266</f>
        <v>67929.472650750802</v>
      </c>
      <c r="D267" s="165">
        <f>C267*$I$263</f>
        <v>3702.8355541924266</v>
      </c>
      <c r="E267" s="262"/>
      <c r="F267" s="374"/>
      <c r="G267" s="300"/>
      <c r="H267" s="301"/>
      <c r="I267" s="68"/>
      <c r="J267" s="68"/>
      <c r="K267" s="68"/>
    </row>
    <row r="268" spans="1:11">
      <c r="B268" s="41"/>
      <c r="C268" s="41"/>
      <c r="D268" s="37"/>
      <c r="E268" s="41"/>
      <c r="F268" s="422"/>
      <c r="G268" s="161"/>
    </row>
    <row r="269" spans="1:11">
      <c r="B269" s="42" t="s">
        <v>17</v>
      </c>
      <c r="C269" s="258">
        <f>C267+C266+C265</f>
        <v>71446.30646366805</v>
      </c>
      <c r="D269" s="258">
        <f>SUM(D265:D268)</f>
        <v>3894.5381653345457</v>
      </c>
      <c r="E269" s="43">
        <f>+C269/C274</f>
        <v>1.4197635140947189</v>
      </c>
      <c r="F269" s="420"/>
    </row>
    <row r="270" spans="1:11">
      <c r="B270" s="41" t="s">
        <v>18</v>
      </c>
      <c r="C270" s="212">
        <f>Model!$BB$127</f>
        <v>38270.979020019964</v>
      </c>
      <c r="D270" s="165">
        <f>C270*$I$263</f>
        <v>2086.1510663812883</v>
      </c>
      <c r="E270" s="44"/>
      <c r="F270" s="421"/>
      <c r="G270" s="190"/>
    </row>
    <row r="271" spans="1:11">
      <c r="B271" s="42" t="s">
        <v>19</v>
      </c>
      <c r="C271" s="258">
        <f>+C269-C270</f>
        <v>33175.327443648086</v>
      </c>
      <c r="D271" s="258">
        <f>+D269-D270</f>
        <v>1808.3870989532575</v>
      </c>
      <c r="E271" s="43">
        <f>+C271/C274</f>
        <v>0.65925198661723239</v>
      </c>
      <c r="F271" s="420"/>
      <c r="H271" s="68" t="s">
        <v>8</v>
      </c>
    </row>
    <row r="272" spans="1:11">
      <c r="B272" s="69" t="s">
        <v>20</v>
      </c>
      <c r="C272" s="209">
        <f>Model!$BB$138</f>
        <v>134891.77373697149</v>
      </c>
      <c r="D272" s="165">
        <f>C272*$I$263</f>
        <v>7352.9505864023158</v>
      </c>
      <c r="E272" s="71"/>
      <c r="F272" s="420"/>
      <c r="G272" s="190"/>
      <c r="H272" s="32" t="str">
        <f>B264</f>
        <v>Amount outstanding as on 30-Jun-2024</v>
      </c>
      <c r="I272" s="35" t="s">
        <v>9</v>
      </c>
      <c r="J272" s="35" t="s">
        <v>10</v>
      </c>
      <c r="K272" s="35" t="s">
        <v>11</v>
      </c>
    </row>
    <row r="273" spans="2:11">
      <c r="B273" s="69" t="s">
        <v>21</v>
      </c>
      <c r="C273" s="210">
        <f>C269+C272</f>
        <v>206338.08020063955</v>
      </c>
      <c r="D273" s="210">
        <f>D269+D272</f>
        <v>11247.488751736862</v>
      </c>
      <c r="E273" s="71"/>
      <c r="F273" s="420"/>
      <c r="H273" s="42" t="s">
        <v>14</v>
      </c>
      <c r="I273" s="315">
        <v>31217.743545588601</v>
      </c>
      <c r="J273" s="308">
        <f>I273*$I$263</f>
        <v>1701.6792006700348</v>
      </c>
      <c r="K273" s="309">
        <v>0.61895453529234923</v>
      </c>
    </row>
    <row r="274" spans="2:11">
      <c r="B274" s="41" t="s">
        <v>22</v>
      </c>
      <c r="C274" s="212">
        <f>Model!$BB$92</f>
        <v>50322.681034118716</v>
      </c>
      <c r="D274" s="211"/>
      <c r="E274" s="41"/>
      <c r="F274" s="422"/>
    </row>
    <row r="275" spans="2:11">
      <c r="B275" s="259" t="s">
        <v>23</v>
      </c>
      <c r="C275" s="260">
        <f>C269-Model!$BB$124</f>
        <v>0</v>
      </c>
      <c r="H275" s="231"/>
    </row>
    <row r="276" spans="2:11">
      <c r="B276" s="166"/>
      <c r="C276" s="167"/>
      <c r="H276" s="231"/>
    </row>
    <row r="278" spans="2:11">
      <c r="B278" s="42" t="s">
        <v>24</v>
      </c>
      <c r="C278" s="154">
        <f>C271+Model!$BB$137</f>
        <v>346871.62744364806</v>
      </c>
      <c r="E278"/>
      <c r="F278"/>
    </row>
    <row r="279" spans="2:11">
      <c r="B279" s="42" t="s">
        <v>25</v>
      </c>
      <c r="C279" s="43">
        <f>C278/C274</f>
        <v>6.892948076603262</v>
      </c>
      <c r="E279"/>
      <c r="F279"/>
      <c r="G279" s="246"/>
    </row>
    <row r="280" spans="2:11">
      <c r="G280"/>
    </row>
    <row r="281" spans="2:11" ht="13.5" thickBot="1">
      <c r="I281" s="232"/>
    </row>
    <row r="282" spans="2:11">
      <c r="B282" s="108" t="s">
        <v>72</v>
      </c>
      <c r="C282" s="236" t="s">
        <v>49</v>
      </c>
      <c r="D282" s="236" t="s">
        <v>50</v>
      </c>
      <c r="I282" s="232"/>
    </row>
    <row r="283" spans="2:11">
      <c r="B283" s="110"/>
      <c r="C283" s="152"/>
      <c r="D283" s="152"/>
      <c r="I283" s="232"/>
    </row>
    <row r="284" spans="2:11">
      <c r="B284" s="110" t="s">
        <v>27</v>
      </c>
      <c r="C284" s="152">
        <f>C270</f>
        <v>38270.979020019964</v>
      </c>
      <c r="D284" s="152">
        <f>C284*$I$263</f>
        <v>2086.1510663812883</v>
      </c>
      <c r="I284" s="232"/>
    </row>
    <row r="285" spans="2:11" ht="13.5" thickBot="1">
      <c r="B285" s="111" t="s">
        <v>28</v>
      </c>
      <c r="C285" s="153">
        <f>SUM(C283:C284)</f>
        <v>38270.979020019964</v>
      </c>
      <c r="D285" s="153">
        <f>SUM(D283:D284)</f>
        <v>2086.1510663812883</v>
      </c>
      <c r="I285" s="232"/>
    </row>
    <row r="286" spans="2:11">
      <c r="I286" s="232"/>
    </row>
    <row r="287" spans="2:11">
      <c r="C287" s="37"/>
    </row>
    <row r="288" spans="2:11" ht="13.5" thickBot="1"/>
    <row r="289" spans="1:11">
      <c r="B289" s="72" t="s">
        <v>73</v>
      </c>
      <c r="C289" s="234" t="s">
        <v>52</v>
      </c>
      <c r="D289" s="235" t="s">
        <v>50</v>
      </c>
      <c r="E289" s="235" t="s">
        <v>30</v>
      </c>
      <c r="F289" s="427"/>
    </row>
    <row r="290" spans="1:11">
      <c r="B290" s="73">
        <v>2023</v>
      </c>
      <c r="C290" s="318">
        <f>E290*$C$269</f>
        <v>0</v>
      </c>
      <c r="D290" s="152">
        <f t="shared" ref="D290:D295" si="11">C290*$I$263</f>
        <v>0</v>
      </c>
      <c r="E290" s="249">
        <v>0</v>
      </c>
      <c r="F290" s="424"/>
    </row>
    <row r="291" spans="1:11">
      <c r="B291" s="73">
        <v>2024</v>
      </c>
      <c r="C291" s="318">
        <f t="shared" ref="C291:C295" si="12">E291*$C$269</f>
        <v>214.33891939100417</v>
      </c>
      <c r="D291" s="152">
        <f t="shared" si="11"/>
        <v>11.683614496003639</v>
      </c>
      <c r="E291" s="249">
        <v>3.0000000000000001E-3</v>
      </c>
      <c r="F291" s="424"/>
    </row>
    <row r="292" spans="1:11">
      <c r="B292" s="73">
        <v>2025</v>
      </c>
      <c r="C292" s="318">
        <f t="shared" si="12"/>
        <v>2143.3891939100413</v>
      </c>
      <c r="D292" s="152">
        <f t="shared" si="11"/>
        <v>116.83614496003635</v>
      </c>
      <c r="E292" s="249">
        <v>0.03</v>
      </c>
      <c r="F292" s="424"/>
    </row>
    <row r="293" spans="1:11">
      <c r="B293" s="73">
        <v>2026</v>
      </c>
      <c r="C293" s="318">
        <f t="shared" si="12"/>
        <v>3000.7448714740581</v>
      </c>
      <c r="D293" s="152">
        <f t="shared" si="11"/>
        <v>163.5706029440509</v>
      </c>
      <c r="E293" s="249">
        <v>4.2000000000000003E-2</v>
      </c>
      <c r="F293" s="424"/>
    </row>
    <row r="294" spans="1:11">
      <c r="B294" s="73">
        <v>2027</v>
      </c>
      <c r="C294" s="318">
        <f t="shared" si="12"/>
        <v>8645.0030821038345</v>
      </c>
      <c r="D294" s="152">
        <f t="shared" si="11"/>
        <v>471.23911800548007</v>
      </c>
      <c r="E294" s="249">
        <v>0.121</v>
      </c>
      <c r="F294" s="424"/>
    </row>
    <row r="295" spans="1:11" ht="13.5" thickBot="1">
      <c r="B295" s="74" t="s">
        <v>53</v>
      </c>
      <c r="C295" s="318">
        <f t="shared" si="12"/>
        <v>57442.830396789119</v>
      </c>
      <c r="D295" s="152">
        <f t="shared" si="11"/>
        <v>3131.2086849289749</v>
      </c>
      <c r="E295" s="250">
        <v>0.80400000000000005</v>
      </c>
      <c r="F295" s="424"/>
    </row>
    <row r="296" spans="1:11" ht="13.5" thickBot="1">
      <c r="B296" s="206" t="s">
        <v>32</v>
      </c>
      <c r="C296" s="207">
        <f>SUM(C290:C295)</f>
        <v>71446.306463668065</v>
      </c>
      <c r="D296" s="208">
        <f>SUM(D290:D295)</f>
        <v>3894.5381653345457</v>
      </c>
      <c r="E296" s="261">
        <f>+SUM(E290:E295)</f>
        <v>1</v>
      </c>
      <c r="F296" s="317"/>
      <c r="G296" s="263"/>
    </row>
    <row r="297" spans="1:11">
      <c r="B297" s="68"/>
      <c r="C297" s="183"/>
      <c r="D297" s="183"/>
      <c r="E297" s="317"/>
      <c r="F297" s="317"/>
      <c r="G297" s="263"/>
    </row>
    <row r="298" spans="1:11">
      <c r="A298" s="68" t="s">
        <v>74</v>
      </c>
    </row>
    <row r="299" spans="1:11">
      <c r="H299" s="68" t="s">
        <v>75</v>
      </c>
      <c r="I299" s="151">
        <f>Model!$BA$160</f>
        <v>6.0319999999999999E-2</v>
      </c>
    </row>
    <row r="300" spans="1:11">
      <c r="B300" s="32" t="s">
        <v>76</v>
      </c>
      <c r="C300" s="35" t="s">
        <v>9</v>
      </c>
      <c r="D300" s="35" t="s">
        <v>10</v>
      </c>
      <c r="E300" s="35" t="s">
        <v>11</v>
      </c>
      <c r="F300" s="296"/>
      <c r="G300" s="151"/>
      <c r="H300" s="33"/>
      <c r="I300" s="33"/>
    </row>
    <row r="301" spans="1:11">
      <c r="A301" s="68"/>
      <c r="B301" s="158" t="s">
        <v>42</v>
      </c>
      <c r="C301" s="285">
        <f>1752.77496554327+723.213312726462</f>
        <v>2475.9882782697318</v>
      </c>
      <c r="D301" s="165">
        <f>C301*$I$299</f>
        <v>149.35161294523022</v>
      </c>
      <c r="E301" s="262"/>
      <c r="F301" s="374"/>
      <c r="G301" s="151"/>
      <c r="H301" s="33"/>
      <c r="I301" s="33"/>
    </row>
    <row r="302" spans="1:11">
      <c r="A302" s="68"/>
      <c r="B302" s="158" t="s">
        <v>15</v>
      </c>
      <c r="C302" s="285">
        <v>169.75127362732712</v>
      </c>
      <c r="D302" s="165">
        <f>C302*$I$299</f>
        <v>10.239396825200371</v>
      </c>
      <c r="E302" s="262"/>
      <c r="F302" s="374"/>
      <c r="G302" s="151"/>
      <c r="H302" s="68"/>
      <c r="I302" s="68"/>
      <c r="J302" s="68"/>
      <c r="K302" s="68"/>
    </row>
    <row r="303" spans="1:11" ht="15.75">
      <c r="A303" s="68"/>
      <c r="B303" s="158" t="s">
        <v>16</v>
      </c>
      <c r="C303" s="299">
        <f>Model!$BA$124-C301-C302</f>
        <v>64405.260448102941</v>
      </c>
      <c r="D303" s="165">
        <f>C303*$I$299</f>
        <v>3884.9253102295693</v>
      </c>
      <c r="E303" s="262"/>
      <c r="F303" s="374"/>
      <c r="G303" s="300"/>
      <c r="H303" s="301"/>
      <c r="I303" s="68"/>
      <c r="J303" s="68"/>
      <c r="K303" s="68"/>
    </row>
    <row r="304" spans="1:11">
      <c r="B304" s="41"/>
      <c r="C304" s="41"/>
      <c r="D304" s="37"/>
      <c r="E304" s="41"/>
      <c r="F304" s="422"/>
      <c r="G304" s="161"/>
    </row>
    <row r="305" spans="2:11">
      <c r="B305" s="42" t="s">
        <v>17</v>
      </c>
      <c r="C305" s="258">
        <f>C303+C302+C301</f>
        <v>67051</v>
      </c>
      <c r="D305" s="258">
        <f>SUM(D301:D304)</f>
        <v>4044.5163199999997</v>
      </c>
      <c r="E305" s="43">
        <f>+C305/C310</f>
        <v>1.4015798855393693</v>
      </c>
      <c r="F305" s="420"/>
    </row>
    <row r="306" spans="2:11">
      <c r="B306" s="41" t="s">
        <v>18</v>
      </c>
      <c r="C306" s="212">
        <f>Model!$BA$127</f>
        <v>35045.849000000002</v>
      </c>
      <c r="D306" s="165">
        <f>C306*$I$299</f>
        <v>2113.9656116800002</v>
      </c>
      <c r="E306" s="44"/>
      <c r="F306" s="421"/>
      <c r="G306" s="190"/>
    </row>
    <row r="307" spans="2:11">
      <c r="B307" s="42" t="s">
        <v>19</v>
      </c>
      <c r="C307" s="258">
        <f>+C305-C306</f>
        <v>32005.150999999998</v>
      </c>
      <c r="D307" s="258">
        <f>+D305-D306</f>
        <v>1930.5507083199996</v>
      </c>
      <c r="E307" s="43">
        <f>+C307/C310</f>
        <v>0.66900979665105997</v>
      </c>
      <c r="F307" s="420"/>
      <c r="H307" s="68" t="s">
        <v>8</v>
      </c>
    </row>
    <row r="308" spans="2:11">
      <c r="B308" s="69" t="s">
        <v>20</v>
      </c>
      <c r="C308" s="209">
        <f>Model!$BA$138</f>
        <v>125885.59603547381</v>
      </c>
      <c r="D308" s="165">
        <f>C308*$I$299</f>
        <v>7593.4191528597794</v>
      </c>
      <c r="E308" s="71"/>
      <c r="F308" s="420"/>
      <c r="G308" s="190"/>
      <c r="H308" s="32" t="str">
        <f>B300</f>
        <v>Amount outstanding as on 31-Mar-2024</v>
      </c>
      <c r="I308" s="35" t="s">
        <v>9</v>
      </c>
      <c r="J308" s="35" t="s">
        <v>10</v>
      </c>
      <c r="K308" s="35" t="s">
        <v>11</v>
      </c>
    </row>
    <row r="309" spans="2:11">
      <c r="B309" s="69" t="s">
        <v>21</v>
      </c>
      <c r="C309" s="210">
        <f>C305+C308</f>
        <v>192936.59603547381</v>
      </c>
      <c r="D309" s="210">
        <f>D305+D308</f>
        <v>11637.935472859779</v>
      </c>
      <c r="E309" s="71"/>
      <c r="F309" s="420"/>
      <c r="H309" s="42" t="s">
        <v>14</v>
      </c>
      <c r="I309" s="315">
        <v>33080.769407457097</v>
      </c>
      <c r="J309" s="308">
        <f>I309*$I$299</f>
        <v>1995.432010657812</v>
      </c>
      <c r="K309" s="309">
        <v>0.6914957462378255</v>
      </c>
    </row>
    <row r="310" spans="2:11">
      <c r="B310" s="41" t="s">
        <v>22</v>
      </c>
      <c r="C310" s="212">
        <f>Model!$BA$92</f>
        <v>47839.584951090248</v>
      </c>
      <c r="D310" s="211"/>
      <c r="E310" s="41"/>
      <c r="F310" s="422"/>
    </row>
    <row r="311" spans="2:11">
      <c r="B311" s="259" t="s">
        <v>23</v>
      </c>
      <c r="C311" s="260">
        <f>C305-Model!$BA$124</f>
        <v>0</v>
      </c>
      <c r="H311" s="231"/>
    </row>
    <row r="312" spans="2:11">
      <c r="B312" s="166"/>
      <c r="C312" s="167"/>
      <c r="H312" s="231"/>
    </row>
    <row r="314" spans="2:11">
      <c r="B314" s="42" t="s">
        <v>24</v>
      </c>
      <c r="C314" s="154">
        <f>C307+Model!$BA$137</f>
        <v>361121.55100000004</v>
      </c>
      <c r="E314"/>
      <c r="F314"/>
    </row>
    <row r="315" spans="2:11">
      <c r="B315" s="42" t="s">
        <v>25</v>
      </c>
      <c r="C315" s="43">
        <f>C314/C310</f>
        <v>7.548592893713435</v>
      </c>
      <c r="E315"/>
      <c r="F315"/>
      <c r="G315" s="246"/>
    </row>
    <row r="316" spans="2:11">
      <c r="G316"/>
    </row>
    <row r="317" spans="2:11" ht="13.5" thickBot="1">
      <c r="I317" s="232"/>
    </row>
    <row r="318" spans="2:11">
      <c r="B318" s="108" t="s">
        <v>77</v>
      </c>
      <c r="C318" s="236" t="s">
        <v>49</v>
      </c>
      <c r="D318" s="236" t="s">
        <v>50</v>
      </c>
      <c r="I318" s="232"/>
    </row>
    <row r="319" spans="2:11">
      <c r="B319" s="110"/>
      <c r="C319" s="152"/>
      <c r="D319" s="152"/>
      <c r="I319" s="232"/>
    </row>
    <row r="320" spans="2:11">
      <c r="B320" s="110" t="s">
        <v>27</v>
      </c>
      <c r="C320" s="152">
        <f>C306</f>
        <v>35045.849000000002</v>
      </c>
      <c r="D320" s="152">
        <f>C320*$I$299</f>
        <v>2113.9656116800002</v>
      </c>
      <c r="I320" s="232"/>
    </row>
    <row r="321" spans="1:9" ht="13.5" thickBot="1">
      <c r="B321" s="111" t="s">
        <v>28</v>
      </c>
      <c r="C321" s="153">
        <f>SUM(C319:C320)</f>
        <v>35045.849000000002</v>
      </c>
      <c r="D321" s="153">
        <f>SUM(D319:D320)</f>
        <v>2113.9656116800002</v>
      </c>
      <c r="I321" s="232"/>
    </row>
    <row r="322" spans="1:9">
      <c r="I322" s="232"/>
    </row>
    <row r="323" spans="1:9">
      <c r="C323" s="37"/>
    </row>
    <row r="324" spans="1:9" ht="13.5" thickBot="1"/>
    <row r="325" spans="1:9">
      <c r="B325" s="72" t="s">
        <v>78</v>
      </c>
      <c r="C325" s="234" t="s">
        <v>52</v>
      </c>
      <c r="D325" s="235" t="s">
        <v>50</v>
      </c>
      <c r="E325" s="235" t="s">
        <v>30</v>
      </c>
      <c r="F325" s="427"/>
    </row>
    <row r="326" spans="1:9">
      <c r="B326" s="73">
        <v>2023</v>
      </c>
      <c r="C326" s="318">
        <f>E326*$C$305</f>
        <v>0</v>
      </c>
      <c r="D326" s="152">
        <f t="shared" ref="D326:D331" si="13">C326*$I$299</f>
        <v>0</v>
      </c>
      <c r="E326" s="249">
        <v>0</v>
      </c>
      <c r="F326" s="424"/>
    </row>
    <row r="327" spans="1:9">
      <c r="B327" s="73">
        <v>2024</v>
      </c>
      <c r="C327" s="318">
        <f t="shared" ref="C327:C331" si="14">E327*$C$305</f>
        <v>67.051000000000002</v>
      </c>
      <c r="D327" s="152">
        <f t="shared" si="13"/>
        <v>4.0445163199999996</v>
      </c>
      <c r="E327" s="249">
        <v>1E-3</v>
      </c>
      <c r="F327" s="424"/>
    </row>
    <row r="328" spans="1:9">
      <c r="B328" s="73">
        <v>2025</v>
      </c>
      <c r="C328" s="318">
        <f t="shared" si="14"/>
        <v>1877.4280000000001</v>
      </c>
      <c r="D328" s="152">
        <f t="shared" si="13"/>
        <v>113.24645696</v>
      </c>
      <c r="E328" s="249">
        <v>2.8000000000000001E-2</v>
      </c>
      <c r="F328" s="424"/>
    </row>
    <row r="329" spans="1:9">
      <c r="B329" s="73">
        <v>2026</v>
      </c>
      <c r="C329" s="318">
        <f t="shared" si="14"/>
        <v>3017.2950000000001</v>
      </c>
      <c r="D329" s="152">
        <f t="shared" si="13"/>
        <v>182.0032344</v>
      </c>
      <c r="E329" s="249">
        <v>4.4999999999999998E-2</v>
      </c>
      <c r="F329" s="424"/>
    </row>
    <row r="330" spans="1:9">
      <c r="B330" s="73">
        <v>2027</v>
      </c>
      <c r="C330" s="318">
        <f t="shared" si="14"/>
        <v>8649.5789999999997</v>
      </c>
      <c r="D330" s="152">
        <f t="shared" si="13"/>
        <v>521.74260528000002</v>
      </c>
      <c r="E330" s="249">
        <v>0.129</v>
      </c>
      <c r="F330" s="424"/>
    </row>
    <row r="331" spans="1:9" ht="13.5" thickBot="1">
      <c r="B331" s="74" t="s">
        <v>53</v>
      </c>
      <c r="C331" s="318">
        <f t="shared" si="14"/>
        <v>53439.647000000004</v>
      </c>
      <c r="D331" s="152">
        <f t="shared" si="13"/>
        <v>3223.47950704</v>
      </c>
      <c r="E331" s="250">
        <v>0.79700000000000004</v>
      </c>
      <c r="F331" s="424"/>
    </row>
    <row r="332" spans="1:9" ht="13.5" thickBot="1">
      <c r="B332" s="206" t="s">
        <v>32</v>
      </c>
      <c r="C332" s="207">
        <f>SUM(C326:C331)</f>
        <v>67051</v>
      </c>
      <c r="D332" s="208">
        <f>SUM(D326:D331)</f>
        <v>4044.5163200000002</v>
      </c>
      <c r="E332" s="261">
        <f>+SUM(E326:E331)</f>
        <v>1</v>
      </c>
      <c r="F332" s="317"/>
      <c r="G332" s="263"/>
    </row>
    <row r="333" spans="1:9">
      <c r="B333" s="68"/>
      <c r="C333" s="183"/>
      <c r="D333" s="183"/>
      <c r="E333" s="317"/>
      <c r="F333" s="317"/>
      <c r="G333" s="263"/>
    </row>
    <row r="334" spans="1:9">
      <c r="A334" s="68" t="s">
        <v>79</v>
      </c>
    </row>
    <row r="335" spans="1:9">
      <c r="H335" s="68" t="s">
        <v>80</v>
      </c>
      <c r="I335" s="151">
        <f>Model!$BA$160</f>
        <v>6.0319999999999999E-2</v>
      </c>
    </row>
    <row r="336" spans="1:9">
      <c r="B336" s="32" t="s">
        <v>81</v>
      </c>
      <c r="C336" s="35" t="s">
        <v>9</v>
      </c>
      <c r="D336" s="35" t="s">
        <v>10</v>
      </c>
      <c r="E336" s="35" t="s">
        <v>11</v>
      </c>
      <c r="F336" s="296"/>
      <c r="G336" s="151"/>
      <c r="H336" s="33"/>
      <c r="I336" s="33"/>
    </row>
    <row r="337" spans="1:11">
      <c r="A337" s="68"/>
      <c r="B337" s="158" t="s">
        <v>42</v>
      </c>
      <c r="C337" s="285">
        <f>1768.934+751.725</f>
        <v>2520.6590000000001</v>
      </c>
      <c r="D337" s="165">
        <f>C337*$I$299</f>
        <v>152.04615088</v>
      </c>
      <c r="E337" s="262"/>
      <c r="F337" s="374"/>
      <c r="G337" s="151"/>
      <c r="H337" s="33"/>
      <c r="I337" s="33"/>
    </row>
    <row r="338" spans="1:11">
      <c r="A338" s="68"/>
      <c r="B338" s="158" t="s">
        <v>15</v>
      </c>
      <c r="C338" s="285">
        <v>140</v>
      </c>
      <c r="D338" s="165">
        <f>C338*$I$299</f>
        <v>8.444799999999999</v>
      </c>
      <c r="E338" s="262"/>
      <c r="F338" s="374"/>
      <c r="G338" s="151"/>
      <c r="H338" s="68"/>
      <c r="I338" s="68"/>
      <c r="J338" s="68"/>
      <c r="K338" s="68"/>
    </row>
    <row r="339" spans="1:11" ht="15.75">
      <c r="A339" s="68"/>
      <c r="B339" s="158" t="s">
        <v>16</v>
      </c>
      <c r="C339" s="299">
        <f>Model!$BA$124-C337-C338</f>
        <v>64390.341</v>
      </c>
      <c r="D339" s="165">
        <f>C339*$I$299</f>
        <v>3884.0253691200001</v>
      </c>
      <c r="E339" s="262"/>
      <c r="F339" s="374"/>
      <c r="G339" s="300"/>
      <c r="H339" s="301"/>
      <c r="I339" s="68"/>
      <c r="J339" s="68"/>
      <c r="K339" s="68"/>
    </row>
    <row r="340" spans="1:11">
      <c r="B340" s="41"/>
      <c r="C340" s="41"/>
      <c r="D340" s="37"/>
      <c r="E340" s="41"/>
      <c r="F340" s="422"/>
      <c r="G340" s="161"/>
    </row>
    <row r="341" spans="1:11">
      <c r="B341" s="42" t="s">
        <v>17</v>
      </c>
      <c r="C341" s="258">
        <f>C339+C338+C337</f>
        <v>67051</v>
      </c>
      <c r="D341" s="258">
        <f>SUM(D337:D340)</f>
        <v>4044.5163200000002</v>
      </c>
      <c r="E341" s="43">
        <f>+C341/C346</f>
        <v>1.4015798855393693</v>
      </c>
      <c r="F341" s="420"/>
    </row>
    <row r="342" spans="1:11">
      <c r="B342" s="41" t="s">
        <v>18</v>
      </c>
      <c r="C342" s="212">
        <f>Model!$BA$127</f>
        <v>35045.849000000002</v>
      </c>
      <c r="D342" s="165">
        <f>C342*$I$299</f>
        <v>2113.9656116800002</v>
      </c>
      <c r="E342" s="44"/>
      <c r="F342" s="421"/>
      <c r="G342" s="190"/>
    </row>
    <row r="343" spans="1:11">
      <c r="B343" s="42" t="s">
        <v>19</v>
      </c>
      <c r="C343" s="258">
        <f>+C341-C342</f>
        <v>32005.150999999998</v>
      </c>
      <c r="D343" s="258">
        <f>+D341-D342</f>
        <v>1930.55070832</v>
      </c>
      <c r="E343" s="43">
        <f>+C343/C346</f>
        <v>0.66900979665105997</v>
      </c>
      <c r="F343" s="420"/>
      <c r="H343" s="68" t="s">
        <v>8</v>
      </c>
    </row>
    <row r="344" spans="1:11">
      <c r="B344" s="69" t="s">
        <v>20</v>
      </c>
      <c r="C344" s="209">
        <f>Model!$BA$138</f>
        <v>125885.59603547381</v>
      </c>
      <c r="D344" s="165">
        <f>C344*$I$299</f>
        <v>7593.4191528597794</v>
      </c>
      <c r="E344" s="71"/>
      <c r="F344" s="420"/>
      <c r="G344" s="190"/>
      <c r="H344" s="32" t="str">
        <f>B336</f>
        <v>Amount outstanding as on 31-Dec-2023</v>
      </c>
      <c r="I344" s="35" t="s">
        <v>9</v>
      </c>
      <c r="J344" s="35" t="s">
        <v>10</v>
      </c>
      <c r="K344" s="35" t="s">
        <v>11</v>
      </c>
    </row>
    <row r="345" spans="1:11">
      <c r="B345" s="69" t="s">
        <v>21</v>
      </c>
      <c r="C345" s="210">
        <f>C341+C344</f>
        <v>192936.59603547381</v>
      </c>
      <c r="D345" s="210">
        <f>D341+D344</f>
        <v>11637.935472859779</v>
      </c>
      <c r="E345" s="71"/>
      <c r="F345" s="420"/>
      <c r="H345" s="42" t="s">
        <v>14</v>
      </c>
      <c r="I345" s="315">
        <v>37794</v>
      </c>
      <c r="J345" s="308">
        <f>I345*$I$299</f>
        <v>2279.7340799999997</v>
      </c>
      <c r="K345" s="309">
        <v>0.81</v>
      </c>
    </row>
    <row r="346" spans="1:11">
      <c r="B346" s="41" t="s">
        <v>22</v>
      </c>
      <c r="C346" s="212">
        <f>Model!$BA$92</f>
        <v>47839.584951090248</v>
      </c>
      <c r="D346" s="211"/>
      <c r="E346" s="41"/>
      <c r="F346" s="422"/>
    </row>
    <row r="347" spans="1:11">
      <c r="B347" s="259" t="s">
        <v>23</v>
      </c>
      <c r="C347" s="260">
        <f>C341-Model!AZ198</f>
        <v>-684</v>
      </c>
      <c r="H347" s="231"/>
    </row>
    <row r="348" spans="1:11">
      <c r="B348" s="166"/>
      <c r="C348" s="167"/>
      <c r="H348" s="231"/>
    </row>
    <row r="350" spans="1:11">
      <c r="B350" s="42" t="s">
        <v>24</v>
      </c>
      <c r="C350" s="154">
        <f>C343+Model!$BA$137</f>
        <v>361121.55100000004</v>
      </c>
      <c r="E350"/>
      <c r="F350"/>
    </row>
    <row r="351" spans="1:11">
      <c r="B351" s="42" t="s">
        <v>25</v>
      </c>
      <c r="C351" s="43">
        <f>C350/C346</f>
        <v>7.548592893713435</v>
      </c>
      <c r="E351"/>
      <c r="F351"/>
      <c r="G351" s="246"/>
    </row>
    <row r="352" spans="1:11">
      <c r="G352"/>
    </row>
    <row r="353" spans="2:9" ht="13.5" thickBot="1">
      <c r="I353" s="232"/>
    </row>
    <row r="354" spans="2:9">
      <c r="B354" s="108" t="s">
        <v>82</v>
      </c>
      <c r="C354" s="236" t="s">
        <v>49</v>
      </c>
      <c r="D354" s="236" t="s">
        <v>50</v>
      </c>
      <c r="I354" s="232"/>
    </row>
    <row r="355" spans="2:9">
      <c r="B355" s="110"/>
      <c r="C355" s="152"/>
      <c r="D355" s="152"/>
      <c r="I355" s="232"/>
    </row>
    <row r="356" spans="2:9">
      <c r="B356" s="110" t="s">
        <v>27</v>
      </c>
      <c r="C356" s="152">
        <f>C342</f>
        <v>35045.849000000002</v>
      </c>
      <c r="D356" s="152">
        <f>C356*$I$299</f>
        <v>2113.9656116800002</v>
      </c>
      <c r="I356" s="232"/>
    </row>
    <row r="357" spans="2:9" ht="13.5" thickBot="1">
      <c r="B357" s="111" t="s">
        <v>28</v>
      </c>
      <c r="C357" s="153">
        <f>SUM(C355:C356)</f>
        <v>35045.849000000002</v>
      </c>
      <c r="D357" s="153">
        <f>SUM(D355:D356)</f>
        <v>2113.9656116800002</v>
      </c>
      <c r="I357" s="232"/>
    </row>
    <row r="358" spans="2:9">
      <c r="I358" s="232"/>
    </row>
    <row r="359" spans="2:9">
      <c r="C359" s="37"/>
    </row>
    <row r="360" spans="2:9" ht="13.5" thickBot="1"/>
    <row r="361" spans="2:9">
      <c r="B361" s="72" t="s">
        <v>83</v>
      </c>
      <c r="C361" s="234" t="s">
        <v>52</v>
      </c>
      <c r="D361" s="235" t="s">
        <v>50</v>
      </c>
      <c r="E361" s="235" t="s">
        <v>30</v>
      </c>
      <c r="F361" s="427"/>
    </row>
    <row r="362" spans="2:9">
      <c r="B362" s="73">
        <v>2023</v>
      </c>
      <c r="C362" s="245">
        <f t="shared" ref="C362:C367" si="15">E362*$C$341</f>
        <v>0</v>
      </c>
      <c r="D362" s="152">
        <f t="shared" ref="D362:D367" si="16">C362*$I$299</f>
        <v>0</v>
      </c>
      <c r="E362" s="249">
        <v>0</v>
      </c>
      <c r="F362" s="424"/>
    </row>
    <row r="363" spans="2:9">
      <c r="B363" s="73">
        <v>2024</v>
      </c>
      <c r="C363" s="245">
        <f t="shared" si="15"/>
        <v>134.102</v>
      </c>
      <c r="D363" s="152">
        <f t="shared" si="16"/>
        <v>8.0890326399999992</v>
      </c>
      <c r="E363" s="249">
        <v>2E-3</v>
      </c>
      <c r="F363" s="424"/>
    </row>
    <row r="364" spans="2:9">
      <c r="B364" s="73">
        <v>2025</v>
      </c>
      <c r="C364" s="245">
        <f t="shared" si="15"/>
        <v>1877.4280000000001</v>
      </c>
      <c r="D364" s="152">
        <f t="shared" si="16"/>
        <v>113.24645696</v>
      </c>
      <c r="E364" s="249">
        <v>2.8000000000000001E-2</v>
      </c>
      <c r="F364" s="424"/>
    </row>
    <row r="365" spans="2:9">
      <c r="B365" s="73">
        <v>2026</v>
      </c>
      <c r="C365" s="245">
        <f t="shared" si="15"/>
        <v>2950.2439999999997</v>
      </c>
      <c r="D365" s="152">
        <f t="shared" si="16"/>
        <v>177.95871807999998</v>
      </c>
      <c r="E365" s="249">
        <v>4.3999999999999997E-2</v>
      </c>
      <c r="F365" s="424"/>
    </row>
    <row r="366" spans="2:9">
      <c r="B366" s="73">
        <v>2027</v>
      </c>
      <c r="C366" s="245">
        <f t="shared" si="15"/>
        <v>8582.5280000000002</v>
      </c>
      <c r="D366" s="152">
        <f t="shared" si="16"/>
        <v>517.69808895999995</v>
      </c>
      <c r="E366" s="249">
        <v>0.128</v>
      </c>
      <c r="F366" s="424"/>
    </row>
    <row r="367" spans="2:9" ht="13.5" thickBot="1">
      <c r="B367" s="74" t="s">
        <v>53</v>
      </c>
      <c r="C367" s="245">
        <f t="shared" si="15"/>
        <v>53506.698000000004</v>
      </c>
      <c r="D367" s="152">
        <f t="shared" si="16"/>
        <v>3227.5240233600002</v>
      </c>
      <c r="E367" s="250">
        <v>0.79800000000000004</v>
      </c>
      <c r="F367" s="424"/>
    </row>
    <row r="368" spans="2:9" ht="13.5" thickBot="1">
      <c r="B368" s="206" t="s">
        <v>32</v>
      </c>
      <c r="C368" s="207">
        <f>SUM(C362:C367)</f>
        <v>67051</v>
      </c>
      <c r="D368" s="208">
        <f>SUM(D362:D367)</f>
        <v>4044.5163200000002</v>
      </c>
      <c r="E368" s="261">
        <f>+SUM(E362:E367)</f>
        <v>1</v>
      </c>
      <c r="F368" s="317"/>
      <c r="G368" s="263"/>
    </row>
    <row r="370" spans="1:11">
      <c r="B370" s="259" t="s">
        <v>23</v>
      </c>
      <c r="C370" s="260">
        <f>C368-C341</f>
        <v>0</v>
      </c>
    </row>
    <row r="372" spans="1:11">
      <c r="A372" s="68" t="s">
        <v>84</v>
      </c>
    </row>
    <row r="374" spans="1:11">
      <c r="H374" s="68" t="s">
        <v>85</v>
      </c>
      <c r="I374" s="151">
        <f>Model!AY160</f>
        <v>5.7340000000000002E-2</v>
      </c>
    </row>
    <row r="375" spans="1:11">
      <c r="B375" s="32" t="s">
        <v>86</v>
      </c>
      <c r="C375" s="35" t="s">
        <v>9</v>
      </c>
      <c r="D375" s="35" t="s">
        <v>10</v>
      </c>
      <c r="E375" s="35" t="s">
        <v>11</v>
      </c>
      <c r="F375" s="296"/>
      <c r="G375" s="151"/>
      <c r="H375" s="33"/>
      <c r="I375" s="33"/>
    </row>
    <row r="376" spans="1:11">
      <c r="B376" s="158" t="s">
        <v>42</v>
      </c>
      <c r="C376" s="285">
        <f>1615.05773641117+609.351734259747</f>
        <v>2224.409470670917</v>
      </c>
      <c r="D376" s="165">
        <f>C376*$I$374</f>
        <v>127.54763904827038</v>
      </c>
      <c r="E376" s="262"/>
      <c r="F376" s="374"/>
      <c r="G376" s="151"/>
      <c r="H376" s="33"/>
      <c r="I376" s="33"/>
    </row>
    <row r="377" spans="1:11">
      <c r="A377" s="68"/>
      <c r="B377" s="158" t="s">
        <v>15</v>
      </c>
      <c r="C377" s="285">
        <v>37.994581165064297</v>
      </c>
      <c r="D377" s="165">
        <f>C377*$I$374</f>
        <v>2.178609284004787</v>
      </c>
      <c r="E377" s="262"/>
      <c r="F377" s="374"/>
      <c r="G377" s="151"/>
      <c r="H377" s="68"/>
      <c r="I377" s="68"/>
      <c r="J377" s="68"/>
      <c r="K377" s="68"/>
    </row>
    <row r="378" spans="1:11" ht="15.75">
      <c r="A378" s="68"/>
      <c r="B378" s="158" t="s">
        <v>16</v>
      </c>
      <c r="C378" s="299">
        <f>Model!AY124-C376-C377</f>
        <v>66122.667811682593</v>
      </c>
      <c r="D378" s="165">
        <f>C378*$I$374</f>
        <v>3791.47377232188</v>
      </c>
      <c r="E378" s="262"/>
      <c r="F378" s="374"/>
      <c r="G378" s="300"/>
      <c r="H378" s="301"/>
      <c r="I378" s="68"/>
      <c r="J378" s="68"/>
      <c r="K378" s="68"/>
    </row>
    <row r="379" spans="1:11">
      <c r="B379" s="41"/>
      <c r="C379" s="41"/>
      <c r="D379" s="37"/>
      <c r="E379" s="41"/>
      <c r="F379" s="422"/>
      <c r="G379" s="161"/>
    </row>
    <row r="380" spans="1:11">
      <c r="B380" s="42" t="s">
        <v>17</v>
      </c>
      <c r="C380" s="258">
        <f>C378+C377+C376</f>
        <v>68385.071863518577</v>
      </c>
      <c r="D380" s="258">
        <f>SUM(D376:D379)</f>
        <v>3921.2000206541552</v>
      </c>
      <c r="E380" s="43">
        <f>+C380/C385</f>
        <v>1.4953503176377572</v>
      </c>
      <c r="F380" s="420"/>
    </row>
    <row r="381" spans="1:11">
      <c r="B381" s="41" t="s">
        <v>18</v>
      </c>
      <c r="C381" s="212">
        <f>Model!AY127</f>
        <v>38543.698639888396</v>
      </c>
      <c r="D381" s="165">
        <f>C381*$I$374</f>
        <v>2210.0956800112008</v>
      </c>
      <c r="E381" s="44"/>
      <c r="F381" s="421"/>
      <c r="G381" s="190"/>
    </row>
    <row r="382" spans="1:11">
      <c r="B382" s="42" t="s">
        <v>19</v>
      </c>
      <c r="C382" s="258">
        <f>+C380-C381</f>
        <v>29841.37322363018</v>
      </c>
      <c r="D382" s="258">
        <f>+D380-D381</f>
        <v>1711.1043406429544</v>
      </c>
      <c r="E382" s="43">
        <f>+C382/C385</f>
        <v>0.65252994129713671</v>
      </c>
      <c r="F382" s="420"/>
      <c r="H382" s="68" t="s">
        <v>8</v>
      </c>
    </row>
    <row r="383" spans="1:11">
      <c r="B383" s="69" t="s">
        <v>20</v>
      </c>
      <c r="C383" s="209">
        <f>Model!AY138</f>
        <v>130825.016</v>
      </c>
      <c r="D383" s="165">
        <f>C383*$I$374</f>
        <v>7501.5064174400004</v>
      </c>
      <c r="E383" s="71"/>
      <c r="F383" s="420"/>
      <c r="G383" s="190"/>
      <c r="H383" s="32" t="str">
        <f>B375</f>
        <v>Amount outstanding as on 30-Sept-2023</v>
      </c>
      <c r="I383" s="35" t="s">
        <v>9</v>
      </c>
      <c r="J383" s="35" t="s">
        <v>10</v>
      </c>
      <c r="K383" s="35" t="s">
        <v>11</v>
      </c>
    </row>
    <row r="384" spans="1:11">
      <c r="B384" s="69" t="s">
        <v>21</v>
      </c>
      <c r="C384" s="210">
        <f>C380+C383</f>
        <v>199210.08786351857</v>
      </c>
      <c r="D384" s="210">
        <f>D380+D383</f>
        <v>11422.706438094156</v>
      </c>
      <c r="E384" s="71"/>
      <c r="F384" s="420"/>
      <c r="H384" s="42" t="s">
        <v>14</v>
      </c>
      <c r="I384" s="315">
        <v>29580</v>
      </c>
      <c r="J384" s="308">
        <f>I384*$I$374</f>
        <v>1696.1172000000001</v>
      </c>
      <c r="K384" s="309">
        <v>0.65</v>
      </c>
    </row>
    <row r="385" spans="2:9">
      <c r="B385" s="41" t="s">
        <v>22</v>
      </c>
      <c r="C385" s="212">
        <f>Model!AY92</f>
        <v>45731.806826074178</v>
      </c>
      <c r="D385" s="211"/>
      <c r="E385" s="41"/>
      <c r="F385" s="422"/>
    </row>
    <row r="386" spans="2:9">
      <c r="B386" s="259" t="s">
        <v>23</v>
      </c>
      <c r="C386" s="260">
        <f>C380-Model!AY198</f>
        <v>0</v>
      </c>
      <c r="H386" s="231"/>
    </row>
    <row r="387" spans="2:9">
      <c r="B387" s="166"/>
      <c r="C387" s="167"/>
      <c r="H387" s="231"/>
    </row>
    <row r="389" spans="2:9">
      <c r="B389" s="42" t="s">
        <v>24</v>
      </c>
      <c r="C389" s="154">
        <f>C382+Model!AY137</f>
        <v>310449.5732236302</v>
      </c>
      <c r="E389"/>
      <c r="F389"/>
    </row>
    <row r="390" spans="2:9">
      <c r="B390" s="42" t="s">
        <v>25</v>
      </c>
      <c r="C390" s="43">
        <f>C389/C385</f>
        <v>6.7884825632261281</v>
      </c>
      <c r="E390"/>
      <c r="F390"/>
      <c r="G390" s="246"/>
    </row>
    <row r="391" spans="2:9">
      <c r="G391"/>
    </row>
    <row r="392" spans="2:9" ht="13.5" thickBot="1">
      <c r="I392" s="232"/>
    </row>
    <row r="393" spans="2:9">
      <c r="B393" s="108" t="s">
        <v>87</v>
      </c>
      <c r="C393" s="236" t="s">
        <v>49</v>
      </c>
      <c r="D393" s="236" t="s">
        <v>50</v>
      </c>
      <c r="I393" s="232"/>
    </row>
    <row r="394" spans="2:9">
      <c r="B394" s="110"/>
      <c r="C394" s="152"/>
      <c r="D394" s="152"/>
      <c r="I394" s="232"/>
    </row>
    <row r="395" spans="2:9">
      <c r="B395" s="110" t="s">
        <v>27</v>
      </c>
      <c r="C395" s="152">
        <f>C381</f>
        <v>38543.698639888396</v>
      </c>
      <c r="D395" s="152">
        <f>C395*$I$374</f>
        <v>2210.0956800112008</v>
      </c>
      <c r="I395" s="232"/>
    </row>
    <row r="396" spans="2:9" ht="13.5" thickBot="1">
      <c r="B396" s="111" t="s">
        <v>28</v>
      </c>
      <c r="C396" s="153">
        <f>SUM(C394:C395)</f>
        <v>38543.698639888396</v>
      </c>
      <c r="D396" s="153">
        <f>SUM(D394:D395)</f>
        <v>2210.0956800112008</v>
      </c>
      <c r="I396" s="232"/>
    </row>
    <row r="397" spans="2:9">
      <c r="I397" s="232"/>
    </row>
    <row r="398" spans="2:9">
      <c r="C398" s="37"/>
    </row>
    <row r="399" spans="2:9" ht="13.5" thickBot="1"/>
    <row r="400" spans="2:9">
      <c r="B400" s="72" t="s">
        <v>88</v>
      </c>
      <c r="C400" s="234" t="s">
        <v>52</v>
      </c>
      <c r="D400" s="235" t="s">
        <v>50</v>
      </c>
      <c r="E400" s="235" t="s">
        <v>30</v>
      </c>
      <c r="F400" s="427"/>
    </row>
    <row r="401" spans="1:11">
      <c r="B401" s="73">
        <v>2023</v>
      </c>
      <c r="C401" s="245">
        <f t="shared" ref="C401:C406" si="17">E401*$C$380</f>
        <v>0</v>
      </c>
      <c r="D401" s="152">
        <f t="shared" ref="D401:D406" si="18">C401*$I$374</f>
        <v>0</v>
      </c>
      <c r="E401" s="249">
        <v>0</v>
      </c>
      <c r="F401" s="424"/>
    </row>
    <row r="402" spans="1:11">
      <c r="B402" s="73">
        <v>2024</v>
      </c>
      <c r="C402" s="245">
        <f t="shared" si="17"/>
        <v>68.385071863518576</v>
      </c>
      <c r="D402" s="152">
        <f t="shared" si="18"/>
        <v>3.9212000206541551</v>
      </c>
      <c r="E402" s="249">
        <v>1E-3</v>
      </c>
      <c r="F402" s="424"/>
      <c r="G402" s="263"/>
    </row>
    <row r="403" spans="1:11">
      <c r="B403" s="73">
        <v>2025</v>
      </c>
      <c r="C403" s="245">
        <f t="shared" si="17"/>
        <v>1846.3969403150015</v>
      </c>
      <c r="D403" s="152">
        <f t="shared" si="18"/>
        <v>105.87240055766219</v>
      </c>
      <c r="E403" s="249">
        <v>2.7E-2</v>
      </c>
      <c r="F403" s="424"/>
      <c r="G403" s="314"/>
    </row>
    <row r="404" spans="1:11">
      <c r="B404" s="73">
        <v>2026</v>
      </c>
      <c r="C404" s="245">
        <f t="shared" si="17"/>
        <v>2940.5580901312987</v>
      </c>
      <c r="D404" s="152">
        <f t="shared" si="18"/>
        <v>168.61160088812866</v>
      </c>
      <c r="E404" s="249">
        <v>4.2999999999999997E-2</v>
      </c>
      <c r="F404" s="424"/>
      <c r="G404" s="314"/>
    </row>
    <row r="405" spans="1:11">
      <c r="B405" s="73">
        <v>2027</v>
      </c>
      <c r="C405" s="245">
        <f t="shared" si="17"/>
        <v>8548.1339829398221</v>
      </c>
      <c r="D405" s="152">
        <f t="shared" si="18"/>
        <v>490.1500025817694</v>
      </c>
      <c r="E405" s="249">
        <v>0.125</v>
      </c>
      <c r="F405" s="424"/>
      <c r="G405" s="314"/>
    </row>
    <row r="406" spans="1:11" ht="13.5" thickBot="1">
      <c r="B406" s="74" t="s">
        <v>53</v>
      </c>
      <c r="C406" s="245">
        <f t="shared" si="17"/>
        <v>54981.597778268937</v>
      </c>
      <c r="D406" s="152">
        <f t="shared" si="18"/>
        <v>3152.6448166059408</v>
      </c>
      <c r="E406" s="250">
        <v>0.80400000000000005</v>
      </c>
      <c r="F406" s="424"/>
      <c r="G406" s="314"/>
    </row>
    <row r="407" spans="1:11" ht="13.5" thickBot="1">
      <c r="B407" s="206" t="s">
        <v>32</v>
      </c>
      <c r="C407" s="207">
        <f>SUM(C401:C406)</f>
        <v>68385.071863518577</v>
      </c>
      <c r="D407" s="208">
        <f>SUM(D401:D406)</f>
        <v>3921.2000206541552</v>
      </c>
      <c r="E407" s="261">
        <f>+SUM(E401:E406)</f>
        <v>1</v>
      </c>
      <c r="F407" s="317"/>
      <c r="G407" s="263"/>
    </row>
    <row r="409" spans="1:11">
      <c r="B409" s="259" t="s">
        <v>23</v>
      </c>
      <c r="C409" s="260">
        <f>C407-C380</f>
        <v>0</v>
      </c>
    </row>
    <row r="411" spans="1:11">
      <c r="A411" s="68" t="s">
        <v>89</v>
      </c>
    </row>
    <row r="413" spans="1:11">
      <c r="H413" s="68" t="s">
        <v>90</v>
      </c>
      <c r="I413" s="151">
        <f>Model!AX160</f>
        <v>5.8400640071015177E-2</v>
      </c>
    </row>
    <row r="414" spans="1:11">
      <c r="B414" s="32" t="s">
        <v>91</v>
      </c>
      <c r="C414" s="35" t="s">
        <v>9</v>
      </c>
      <c r="D414" s="35" t="s">
        <v>10</v>
      </c>
      <c r="E414" s="35" t="s">
        <v>11</v>
      </c>
      <c r="F414" s="296"/>
      <c r="G414" s="151"/>
      <c r="H414" s="33"/>
      <c r="I414" s="33"/>
    </row>
    <row r="415" spans="1:11">
      <c r="B415" s="158" t="s">
        <v>42</v>
      </c>
      <c r="C415" s="285">
        <f>608.619092415801+1817.44929587881</f>
        <v>2426.0683882946109</v>
      </c>
      <c r="D415" s="165">
        <f>C415*$I$413</f>
        <v>141.68394673246146</v>
      </c>
      <c r="E415" s="262"/>
      <c r="F415" s="374"/>
      <c r="G415" s="151"/>
      <c r="H415" s="33"/>
      <c r="I415" s="33"/>
    </row>
    <row r="416" spans="1:11">
      <c r="A416" s="68"/>
      <c r="B416" s="158" t="s">
        <v>15</v>
      </c>
      <c r="C416" s="285">
        <v>387.40199971145398</v>
      </c>
      <c r="D416" s="165">
        <f>C416*$I$413</f>
        <v>22.62452474794015</v>
      </c>
      <c r="E416" s="262"/>
      <c r="F416" s="374"/>
      <c r="G416" s="151"/>
      <c r="H416" s="68"/>
      <c r="I416" s="68"/>
      <c r="J416" s="68"/>
      <c r="K416" s="68"/>
    </row>
    <row r="417" spans="1:11" ht="15.75">
      <c r="A417" s="68"/>
      <c r="B417" s="158" t="s">
        <v>16</v>
      </c>
      <c r="C417" s="299">
        <f>Model!AX124-C415-C416</f>
        <v>75157.656308590798</v>
      </c>
      <c r="D417" s="165">
        <f>C417*$I$413</f>
        <v>4389.2552346590746</v>
      </c>
      <c r="E417" s="262"/>
      <c r="F417" s="374"/>
      <c r="G417" s="300"/>
      <c r="H417" s="301"/>
      <c r="I417" s="68"/>
      <c r="J417" s="68"/>
      <c r="K417" s="68"/>
    </row>
    <row r="418" spans="1:11">
      <c r="B418" s="41"/>
      <c r="C418" s="41"/>
      <c r="D418" s="37"/>
      <c r="E418" s="41"/>
      <c r="F418" s="422"/>
      <c r="G418" s="161"/>
    </row>
    <row r="419" spans="1:11">
      <c r="B419" s="42" t="s">
        <v>17</v>
      </c>
      <c r="C419" s="258">
        <f>C417+C416+C415</f>
        <v>77971.126696596868</v>
      </c>
      <c r="D419" s="258">
        <f>SUM(D415:D418)</f>
        <v>4553.5637061394764</v>
      </c>
      <c r="E419" s="43">
        <f>+C419/C424</f>
        <v>1.751065957529695</v>
      </c>
      <c r="F419" s="420"/>
    </row>
    <row r="420" spans="1:11">
      <c r="B420" s="41" t="s">
        <v>18</v>
      </c>
      <c r="C420" s="212">
        <f>Model!AX127</f>
        <v>30948.923731616302</v>
      </c>
      <c r="D420" s="165">
        <f>C420*$I$413</f>
        <v>1807.4369554354234</v>
      </c>
      <c r="E420" s="44"/>
      <c r="F420" s="421"/>
      <c r="G420" s="190"/>
    </row>
    <row r="421" spans="1:11">
      <c r="B421" s="42" t="s">
        <v>19</v>
      </c>
      <c r="C421" s="258">
        <f>+C419-C420</f>
        <v>47022.202964980563</v>
      </c>
      <c r="D421" s="258">
        <f>+D419-D420</f>
        <v>2746.1267507040529</v>
      </c>
      <c r="E421" s="43">
        <f>+C421/C424</f>
        <v>1.056018841185004</v>
      </c>
      <c r="F421" s="420"/>
      <c r="H421" s="68" t="s">
        <v>8</v>
      </c>
    </row>
    <row r="422" spans="1:11">
      <c r="B422" s="69" t="s">
        <v>20</v>
      </c>
      <c r="C422" s="209">
        <f>Model!AX138</f>
        <v>123685.384607068</v>
      </c>
      <c r="D422" s="165">
        <f>C422*$I$413</f>
        <v>7223.3056284824588</v>
      </c>
      <c r="E422" s="71"/>
      <c r="F422" s="420"/>
      <c r="G422" s="190"/>
      <c r="H422" s="32" t="str">
        <f>B414</f>
        <v>Amount outstanding as on 30-Jun-2023</v>
      </c>
      <c r="I422" s="35" t="s">
        <v>9</v>
      </c>
      <c r="J422" s="35" t="s">
        <v>10</v>
      </c>
      <c r="K422" s="35" t="s">
        <v>11</v>
      </c>
    </row>
    <row r="423" spans="1:11">
      <c r="B423" s="69" t="s">
        <v>21</v>
      </c>
      <c r="C423" s="210">
        <f>C419+C422</f>
        <v>201656.51130366488</v>
      </c>
      <c r="D423" s="210">
        <f>D419+D422</f>
        <v>11776.869334621935</v>
      </c>
      <c r="E423" s="71"/>
      <c r="F423" s="420"/>
      <c r="H423" s="42" t="s">
        <v>14</v>
      </c>
      <c r="I423" s="315">
        <v>37209.164926073201</v>
      </c>
      <c r="J423" s="308">
        <f>I423*$I$413</f>
        <v>2173.0390481906429</v>
      </c>
      <c r="K423" s="309">
        <v>0.836731057565821</v>
      </c>
    </row>
    <row r="424" spans="1:11">
      <c r="B424" s="41" t="s">
        <v>22</v>
      </c>
      <c r="C424" s="212">
        <f>Model!AX92</f>
        <v>44527.806826074178</v>
      </c>
      <c r="D424" s="211"/>
      <c r="E424" s="41"/>
      <c r="F424" s="422"/>
    </row>
    <row r="425" spans="1:11">
      <c r="B425" s="259" t="s">
        <v>23</v>
      </c>
      <c r="C425" s="260">
        <f>C419-Model!AX198</f>
        <v>0</v>
      </c>
      <c r="H425" s="231"/>
    </row>
    <row r="426" spans="1:11">
      <c r="B426" s="166"/>
      <c r="C426" s="167"/>
      <c r="H426" s="231"/>
    </row>
    <row r="428" spans="1:11">
      <c r="B428" s="42" t="s">
        <v>24</v>
      </c>
      <c r="C428" s="154">
        <f>C421+Model!AX137</f>
        <v>344710.10296498059</v>
      </c>
      <c r="E428"/>
      <c r="F428"/>
    </row>
    <row r="429" spans="1:11">
      <c r="B429" s="42" t="s">
        <v>25</v>
      </c>
      <c r="C429" s="43">
        <f>C428/C424</f>
        <v>7.7414570250769339</v>
      </c>
      <c r="E429"/>
      <c r="F429"/>
      <c r="G429" s="246"/>
    </row>
    <row r="430" spans="1:11">
      <c r="G430"/>
    </row>
    <row r="431" spans="1:11" ht="13.5" thickBot="1">
      <c r="I431" s="232"/>
    </row>
    <row r="432" spans="1:11">
      <c r="B432" s="108" t="s">
        <v>92</v>
      </c>
      <c r="C432" s="236" t="s">
        <v>49</v>
      </c>
      <c r="D432" s="236" t="s">
        <v>50</v>
      </c>
      <c r="I432" s="232"/>
    </row>
    <row r="433" spans="2:9">
      <c r="B433" s="110"/>
      <c r="C433" s="152"/>
      <c r="D433" s="152"/>
      <c r="I433" s="232"/>
    </row>
    <row r="434" spans="2:9">
      <c r="B434" s="110" t="s">
        <v>27</v>
      </c>
      <c r="C434" s="152">
        <f>C420</f>
        <v>30948.923731616302</v>
      </c>
      <c r="D434" s="152">
        <f>C434*$I$413</f>
        <v>1807.4369554354234</v>
      </c>
      <c r="I434" s="232"/>
    </row>
    <row r="435" spans="2:9" ht="13.5" thickBot="1">
      <c r="B435" s="111" t="s">
        <v>28</v>
      </c>
      <c r="C435" s="153">
        <f>SUM(C433:C434)</f>
        <v>30948.923731616302</v>
      </c>
      <c r="D435" s="153">
        <f>SUM(D433:D434)</f>
        <v>1807.4369554354234</v>
      </c>
      <c r="I435" s="232"/>
    </row>
    <row r="436" spans="2:9">
      <c r="I436" s="232"/>
    </row>
    <row r="437" spans="2:9">
      <c r="C437" s="37"/>
    </row>
    <row r="438" spans="2:9" ht="13.5" thickBot="1"/>
    <row r="439" spans="2:9">
      <c r="B439" s="72" t="s">
        <v>93</v>
      </c>
      <c r="C439" s="234" t="s">
        <v>52</v>
      </c>
      <c r="D439" s="235" t="s">
        <v>50</v>
      </c>
      <c r="E439" s="235" t="s">
        <v>30</v>
      </c>
      <c r="F439" s="427"/>
    </row>
    <row r="440" spans="2:9">
      <c r="B440" s="73">
        <v>2023</v>
      </c>
      <c r="C440" s="245">
        <f t="shared" ref="C440:C445" si="19">E440*$C$419</f>
        <v>389.85563348298433</v>
      </c>
      <c r="D440" s="152">
        <f t="shared" ref="D440:D445" si="20">C440*$I$413</f>
        <v>22.767818530697379</v>
      </c>
      <c r="E440" s="249">
        <v>5.0000000000000001E-3</v>
      </c>
      <c r="F440" s="424"/>
    </row>
    <row r="441" spans="2:9">
      <c r="B441" s="73">
        <v>2024</v>
      </c>
      <c r="C441" s="245">
        <f t="shared" si="19"/>
        <v>77.971126696596869</v>
      </c>
      <c r="D441" s="152">
        <f t="shared" si="20"/>
        <v>4.5535637061394763</v>
      </c>
      <c r="E441" s="249">
        <v>1E-3</v>
      </c>
      <c r="F441" s="424"/>
      <c r="G441" s="263"/>
    </row>
    <row r="442" spans="2:9">
      <c r="B442" s="73">
        <v>2025</v>
      </c>
      <c r="C442" s="245">
        <f t="shared" si="19"/>
        <v>2183.1915475047122</v>
      </c>
      <c r="D442" s="152">
        <f t="shared" si="20"/>
        <v>127.49978377190533</v>
      </c>
      <c r="E442" s="249">
        <v>2.8000000000000001E-2</v>
      </c>
      <c r="F442" s="424"/>
      <c r="G442" s="314"/>
    </row>
    <row r="443" spans="2:9">
      <c r="B443" s="73">
        <v>2026</v>
      </c>
      <c r="C443" s="245">
        <f t="shared" si="19"/>
        <v>3430.7295746502618</v>
      </c>
      <c r="D443" s="152">
        <f t="shared" si="20"/>
        <v>200.35680307013695</v>
      </c>
      <c r="E443" s="249">
        <v>4.3999999999999997E-2</v>
      </c>
      <c r="F443" s="424"/>
      <c r="G443" s="314"/>
    </row>
    <row r="444" spans="2:9">
      <c r="B444" s="73">
        <v>2027</v>
      </c>
      <c r="C444" s="245">
        <f t="shared" si="19"/>
        <v>9824.3619637712054</v>
      </c>
      <c r="D444" s="152">
        <f t="shared" si="20"/>
        <v>573.74902697357402</v>
      </c>
      <c r="E444" s="249">
        <v>0.126</v>
      </c>
      <c r="F444" s="424"/>
      <c r="G444" s="314"/>
    </row>
    <row r="445" spans="2:9" ht="13.5" thickBot="1">
      <c r="B445" s="74" t="s">
        <v>53</v>
      </c>
      <c r="C445" s="245">
        <f t="shared" si="19"/>
        <v>62065.016850491113</v>
      </c>
      <c r="D445" s="152">
        <f t="shared" si="20"/>
        <v>3624.6367100870234</v>
      </c>
      <c r="E445" s="250">
        <v>0.79600000000000004</v>
      </c>
      <c r="F445" s="424"/>
      <c r="G445" s="314"/>
    </row>
    <row r="446" spans="2:9" ht="13.5" thickBot="1">
      <c r="B446" s="206" t="s">
        <v>32</v>
      </c>
      <c r="C446" s="207">
        <f>SUM(C440:C445)</f>
        <v>77971.126696596868</v>
      </c>
      <c r="D446" s="208">
        <f>SUM(D440:D445)</f>
        <v>4553.5637061394764</v>
      </c>
      <c r="E446" s="261">
        <f>+SUM(E440:E445)</f>
        <v>1</v>
      </c>
      <c r="F446" s="317"/>
      <c r="G446" s="263"/>
    </row>
    <row r="448" spans="2:9">
      <c r="B448" s="259" t="s">
        <v>23</v>
      </c>
      <c r="C448" s="260">
        <f>C446-C419</f>
        <v>0</v>
      </c>
    </row>
    <row r="450" spans="1:11">
      <c r="A450" s="68" t="s">
        <v>94</v>
      </c>
    </row>
    <row r="452" spans="1:11">
      <c r="H452" s="68" t="s">
        <v>95</v>
      </c>
      <c r="I452" s="151">
        <f>Model!AW160</f>
        <v>5.5480000000000002E-2</v>
      </c>
    </row>
    <row r="453" spans="1:11">
      <c r="B453" s="32" t="s">
        <v>96</v>
      </c>
      <c r="C453" s="35" t="s">
        <v>9</v>
      </c>
      <c r="D453" s="35" t="s">
        <v>10</v>
      </c>
      <c r="E453" s="35" t="s">
        <v>11</v>
      </c>
      <c r="F453" s="296"/>
      <c r="G453" s="151"/>
      <c r="H453" s="33"/>
      <c r="I453" s="33"/>
    </row>
    <row r="454" spans="1:11">
      <c r="B454" s="158" t="s">
        <v>42</v>
      </c>
      <c r="C454" s="285">
        <f>520.419+1698.724</f>
        <v>2219.143</v>
      </c>
      <c r="D454" s="165">
        <f>C454*$I$452</f>
        <v>123.11805364</v>
      </c>
      <c r="E454" s="262"/>
      <c r="F454" s="374"/>
      <c r="G454" s="151"/>
      <c r="H454" s="33"/>
      <c r="I454" s="33"/>
    </row>
    <row r="455" spans="1:11">
      <c r="A455" s="68"/>
      <c r="B455" s="158" t="s">
        <v>15</v>
      </c>
      <c r="C455" s="285">
        <v>7901</v>
      </c>
      <c r="D455" s="165">
        <f>C455*$I$452</f>
        <v>438.34748000000002</v>
      </c>
      <c r="E455" s="262"/>
      <c r="F455" s="374"/>
      <c r="G455" s="151"/>
      <c r="H455" s="68"/>
      <c r="I455" s="68"/>
      <c r="J455" s="68"/>
      <c r="K455" s="68"/>
    </row>
    <row r="456" spans="1:11" ht="15.75">
      <c r="A456" s="68"/>
      <c r="B456" s="158" t="s">
        <v>16</v>
      </c>
      <c r="C456" s="299">
        <f>Model!AW124-C454-C455</f>
        <v>73046.182000000001</v>
      </c>
      <c r="D456" s="165">
        <f>C456*$I$452</f>
        <v>4052.60217736</v>
      </c>
      <c r="E456" s="262"/>
      <c r="F456" s="374"/>
      <c r="G456" s="300"/>
      <c r="H456" s="301"/>
      <c r="I456" s="68"/>
      <c r="J456" s="68"/>
      <c r="K456" s="68"/>
    </row>
    <row r="457" spans="1:11">
      <c r="B457" s="41"/>
      <c r="C457" s="41"/>
      <c r="D457" s="37"/>
      <c r="E457" s="41"/>
      <c r="F457" s="422"/>
      <c r="G457" s="161"/>
    </row>
    <row r="458" spans="1:11">
      <c r="B458" s="42" t="s">
        <v>17</v>
      </c>
      <c r="C458" s="258">
        <f>C456+C455+C454</f>
        <v>83166.324999999997</v>
      </c>
      <c r="D458" s="258">
        <f>SUM(D454:D457)</f>
        <v>4614.0677109999997</v>
      </c>
      <c r="E458" s="43">
        <f>+C458/C463</f>
        <v>1.9033021939847317</v>
      </c>
      <c r="F458" s="420"/>
    </row>
    <row r="459" spans="1:11">
      <c r="B459" s="41" t="s">
        <v>18</v>
      </c>
      <c r="C459" s="212">
        <f>Model!AW127</f>
        <v>41147.228000000003</v>
      </c>
      <c r="D459" s="165">
        <f>C459*$I$452</f>
        <v>2282.8482094400001</v>
      </c>
      <c r="E459" s="44"/>
      <c r="F459" s="421"/>
      <c r="G459" s="190"/>
    </row>
    <row r="460" spans="1:11">
      <c r="B460" s="42" t="s">
        <v>19</v>
      </c>
      <c r="C460" s="258">
        <f>+C458-C459</f>
        <v>42019.096999999994</v>
      </c>
      <c r="D460" s="258">
        <f>+D458-D459</f>
        <v>2331.2195015599996</v>
      </c>
      <c r="E460" s="43">
        <f>+C460/C463</f>
        <v>0.96162767213000266</v>
      </c>
      <c r="F460" s="420"/>
      <c r="H460" s="68" t="s">
        <v>8</v>
      </c>
    </row>
    <row r="461" spans="1:11">
      <c r="B461" s="69" t="s">
        <v>20</v>
      </c>
      <c r="C461" s="209">
        <f>Model!AW138</f>
        <v>120899</v>
      </c>
      <c r="D461" s="165">
        <f>C461*$I$452</f>
        <v>6707.4765200000002</v>
      </c>
      <c r="E461" s="71"/>
      <c r="F461" s="420"/>
      <c r="G461" s="190"/>
      <c r="H461" s="32" t="str">
        <f>B453</f>
        <v>Amount outstanding as on 31-Mar-2023</v>
      </c>
      <c r="I461" s="35" t="s">
        <v>9</v>
      </c>
      <c r="J461" s="35" t="s">
        <v>10</v>
      </c>
      <c r="K461" s="35" t="s">
        <v>11</v>
      </c>
    </row>
    <row r="462" spans="1:11">
      <c r="B462" s="69" t="s">
        <v>21</v>
      </c>
      <c r="C462" s="210">
        <f>C458+C461</f>
        <v>204065.32500000001</v>
      </c>
      <c r="D462" s="210">
        <f>D458+D461</f>
        <v>11321.544231</v>
      </c>
      <c r="E462" s="71"/>
      <c r="F462" s="420"/>
      <c r="H462" s="42" t="s">
        <v>14</v>
      </c>
      <c r="I462" s="315">
        <v>35246</v>
      </c>
      <c r="J462" s="308">
        <f>I462*$I$452</f>
        <v>1955.4480800000001</v>
      </c>
      <c r="K462" s="309">
        <v>0.81</v>
      </c>
    </row>
    <row r="463" spans="1:11">
      <c r="B463" s="41" t="s">
        <v>22</v>
      </c>
      <c r="C463" s="212">
        <f>Model!AW92</f>
        <v>43695.806826074178</v>
      </c>
      <c r="D463" s="211"/>
      <c r="E463" s="41"/>
      <c r="F463" s="422"/>
    </row>
    <row r="464" spans="1:11">
      <c r="B464" s="259" t="s">
        <v>23</v>
      </c>
      <c r="C464" s="260">
        <f>C458-Model!AW198</f>
        <v>0</v>
      </c>
      <c r="H464" s="231"/>
    </row>
    <row r="465" spans="2:9">
      <c r="B465" s="166"/>
      <c r="C465" s="167"/>
      <c r="H465" s="231"/>
    </row>
    <row r="467" spans="2:9">
      <c r="B467" s="42" t="s">
        <v>24</v>
      </c>
      <c r="C467" s="154">
        <f>C460+Model!AW137</f>
        <v>355079.09700000001</v>
      </c>
      <c r="E467"/>
      <c r="F467"/>
    </row>
    <row r="468" spans="2:9">
      <c r="B468" s="42" t="s">
        <v>25</v>
      </c>
      <c r="C468" s="43">
        <f>C467/C463</f>
        <v>8.1261595286098949</v>
      </c>
      <c r="E468"/>
      <c r="F468"/>
      <c r="G468" s="246"/>
    </row>
    <row r="469" spans="2:9">
      <c r="G469"/>
    </row>
    <row r="470" spans="2:9" ht="13.5" thickBot="1">
      <c r="I470" s="232"/>
    </row>
    <row r="471" spans="2:9">
      <c r="B471" s="108" t="s">
        <v>97</v>
      </c>
      <c r="C471" s="236" t="s">
        <v>49</v>
      </c>
      <c r="D471" s="236" t="s">
        <v>50</v>
      </c>
      <c r="I471" s="232"/>
    </row>
    <row r="472" spans="2:9">
      <c r="B472" s="110"/>
      <c r="C472" s="152"/>
      <c r="D472" s="152"/>
      <c r="I472" s="232"/>
    </row>
    <row r="473" spans="2:9">
      <c r="B473" s="110" t="s">
        <v>27</v>
      </c>
      <c r="C473" s="152">
        <f>C459</f>
        <v>41147.228000000003</v>
      </c>
      <c r="D473" s="152">
        <f>C473*$I$452</f>
        <v>2282.8482094400001</v>
      </c>
      <c r="I473" s="232"/>
    </row>
    <row r="474" spans="2:9" ht="13.5" thickBot="1">
      <c r="B474" s="111" t="s">
        <v>28</v>
      </c>
      <c r="C474" s="153">
        <f>SUM(C472:C473)</f>
        <v>41147.228000000003</v>
      </c>
      <c r="D474" s="153">
        <f>SUM(D472:D473)</f>
        <v>2282.8482094400001</v>
      </c>
      <c r="I474" s="232"/>
    </row>
    <row r="475" spans="2:9">
      <c r="I475" s="232"/>
    </row>
    <row r="476" spans="2:9">
      <c r="C476" s="37"/>
    </row>
    <row r="477" spans="2:9" ht="13.5" thickBot="1"/>
    <row r="478" spans="2:9">
      <c r="B478" s="72" t="s">
        <v>98</v>
      </c>
      <c r="C478" s="234" t="s">
        <v>52</v>
      </c>
      <c r="D478" s="235" t="s">
        <v>50</v>
      </c>
      <c r="E478" s="235" t="s">
        <v>30</v>
      </c>
      <c r="F478" s="427"/>
    </row>
    <row r="479" spans="2:9">
      <c r="B479" s="73">
        <v>2023</v>
      </c>
      <c r="C479" s="245">
        <f t="shared" ref="C479:C484" si="21">E479*$C$458</f>
        <v>8482.96515</v>
      </c>
      <c r="D479" s="152">
        <f t="shared" ref="D479:D484" si="22">C479*$I$452</f>
        <v>470.63490652199999</v>
      </c>
      <c r="E479" s="249">
        <v>0.10199999999999999</v>
      </c>
      <c r="F479" s="424"/>
    </row>
    <row r="480" spans="2:9">
      <c r="B480" s="73">
        <v>2024</v>
      </c>
      <c r="C480" s="245">
        <f t="shared" si="21"/>
        <v>0</v>
      </c>
      <c r="D480" s="152">
        <f t="shared" si="22"/>
        <v>0</v>
      </c>
      <c r="E480" s="249">
        <v>0</v>
      </c>
      <c r="F480" s="424"/>
      <c r="G480" s="263"/>
    </row>
    <row r="481" spans="1:11">
      <c r="B481" s="73">
        <v>2025</v>
      </c>
      <c r="C481" s="245">
        <f t="shared" si="21"/>
        <v>2079.1581249999999</v>
      </c>
      <c r="D481" s="152">
        <f t="shared" si="22"/>
        <v>115.351692775</v>
      </c>
      <c r="E481" s="249">
        <v>2.5000000000000001E-2</v>
      </c>
      <c r="F481" s="424"/>
      <c r="G481" s="314"/>
    </row>
    <row r="482" spans="1:11">
      <c r="B482" s="73">
        <v>2026</v>
      </c>
      <c r="C482" s="245">
        <f t="shared" si="21"/>
        <v>3160.32035</v>
      </c>
      <c r="D482" s="152">
        <f t="shared" si="22"/>
        <v>175.33457301800001</v>
      </c>
      <c r="E482" s="249">
        <v>3.7999999999999999E-2</v>
      </c>
      <c r="F482" s="424"/>
      <c r="G482" s="314"/>
    </row>
    <row r="483" spans="1:11">
      <c r="B483" s="73">
        <v>2027</v>
      </c>
      <c r="C483" s="245">
        <f t="shared" si="21"/>
        <v>9148.2957499999993</v>
      </c>
      <c r="D483" s="152">
        <f t="shared" si="22"/>
        <v>507.54744820999997</v>
      </c>
      <c r="E483" s="249">
        <v>0.11</v>
      </c>
      <c r="F483" s="424"/>
      <c r="G483" s="314"/>
    </row>
    <row r="484" spans="1:11" ht="13.5" thickBot="1">
      <c r="B484" s="74" t="s">
        <v>53</v>
      </c>
      <c r="C484" s="245">
        <f t="shared" si="21"/>
        <v>60295.585624999992</v>
      </c>
      <c r="D484" s="152">
        <f t="shared" si="22"/>
        <v>3345.1990904749996</v>
      </c>
      <c r="E484" s="250">
        <v>0.72499999999999998</v>
      </c>
      <c r="F484" s="424"/>
      <c r="G484" s="314"/>
    </row>
    <row r="485" spans="1:11" ht="13.5" thickBot="1">
      <c r="B485" s="206" t="s">
        <v>32</v>
      </c>
      <c r="C485" s="207">
        <f>SUM(C479:C484)</f>
        <v>83166.324999999983</v>
      </c>
      <c r="D485" s="208">
        <f>SUM(D479:D484)</f>
        <v>4614.0677109999997</v>
      </c>
      <c r="E485" s="261">
        <f>+SUM(E479:E484)</f>
        <v>1</v>
      </c>
      <c r="F485" s="317"/>
      <c r="G485" s="263"/>
    </row>
    <row r="487" spans="1:11">
      <c r="B487" s="259" t="s">
        <v>23</v>
      </c>
      <c r="C487" s="260">
        <f>C485-C458</f>
        <v>0</v>
      </c>
    </row>
    <row r="489" spans="1:11">
      <c r="A489" s="68" t="s">
        <v>99</v>
      </c>
    </row>
    <row r="491" spans="1:11">
      <c r="H491" s="68" t="s">
        <v>100</v>
      </c>
      <c r="I491" s="151">
        <f>Model!AV160</f>
        <v>5.126E-2</v>
      </c>
    </row>
    <row r="492" spans="1:11">
      <c r="B492" s="32" t="s">
        <v>101</v>
      </c>
      <c r="C492" s="35" t="s">
        <v>9</v>
      </c>
      <c r="D492" s="35" t="s">
        <v>10</v>
      </c>
      <c r="E492" s="35" t="s">
        <v>11</v>
      </c>
      <c r="F492" s="296"/>
      <c r="G492" s="151"/>
      <c r="H492" s="33"/>
      <c r="I492" s="33"/>
    </row>
    <row r="493" spans="1:11">
      <c r="B493" s="158" t="s">
        <v>42</v>
      </c>
      <c r="C493" s="285">
        <f>472+1663</f>
        <v>2135</v>
      </c>
      <c r="D493" s="165">
        <f>C493*$I$491</f>
        <v>109.4401</v>
      </c>
      <c r="E493" s="262"/>
      <c r="F493" s="374"/>
      <c r="G493" s="151"/>
      <c r="H493" s="33"/>
      <c r="I493" s="33"/>
    </row>
    <row r="494" spans="1:11">
      <c r="A494" s="68"/>
      <c r="B494" s="158" t="s">
        <v>15</v>
      </c>
      <c r="C494" s="285">
        <v>8524</v>
      </c>
      <c r="D494" s="165">
        <f>C494*$I$491</f>
        <v>436.94024000000002</v>
      </c>
      <c r="E494" s="262"/>
      <c r="F494" s="374"/>
      <c r="G494" s="151"/>
      <c r="H494" s="68"/>
      <c r="I494" s="68"/>
      <c r="J494" s="68"/>
      <c r="K494" s="68"/>
    </row>
    <row r="495" spans="1:11" ht="15.75">
      <c r="A495" s="68"/>
      <c r="B495" s="158" t="s">
        <v>16</v>
      </c>
      <c r="C495" s="299">
        <f>Model!AV124-C493-C494</f>
        <v>70145.508412944298</v>
      </c>
      <c r="D495" s="165">
        <f>C495*$I$491</f>
        <v>3595.6587612475246</v>
      </c>
      <c r="E495" s="262"/>
      <c r="F495" s="374"/>
      <c r="G495" s="300"/>
      <c r="H495" s="301"/>
      <c r="I495" s="68"/>
      <c r="J495" s="68"/>
      <c r="K495" s="68"/>
    </row>
    <row r="496" spans="1:11">
      <c r="B496" s="41"/>
      <c r="C496" s="41"/>
      <c r="D496" s="37"/>
      <c r="E496" s="41"/>
      <c r="F496" s="422"/>
      <c r="G496" s="161"/>
    </row>
    <row r="497" spans="2:11">
      <c r="B497" s="42" t="s">
        <v>17</v>
      </c>
      <c r="C497" s="258">
        <f>C495+C494+C493</f>
        <v>80804.508412944298</v>
      </c>
      <c r="D497" s="258">
        <f>SUM(D493:D496)</f>
        <v>4142.0391012475247</v>
      </c>
      <c r="E497" s="43">
        <f>+C497/C502</f>
        <v>1.8791393552166393</v>
      </c>
      <c r="F497" s="420"/>
    </row>
    <row r="498" spans="2:11">
      <c r="B498" s="41" t="s">
        <v>18</v>
      </c>
      <c r="C498" s="212">
        <f>Model!AV127</f>
        <v>40277.075216526406</v>
      </c>
      <c r="D498" s="165">
        <f>C498*$I$491</f>
        <v>2064.6028755991438</v>
      </c>
      <c r="E498" s="44"/>
      <c r="F498" s="421"/>
      <c r="G498" s="190"/>
    </row>
    <row r="499" spans="2:11">
      <c r="B499" s="42" t="s">
        <v>19</v>
      </c>
      <c r="C499" s="258">
        <f>+C497-C498</f>
        <v>40527.433196417893</v>
      </c>
      <c r="D499" s="258">
        <f>+D497-D498</f>
        <v>2077.436225648381</v>
      </c>
      <c r="E499" s="43">
        <f>+C499/C502</f>
        <v>0.94248076228754574</v>
      </c>
      <c r="F499" s="420"/>
      <c r="H499" s="68" t="s">
        <v>8</v>
      </c>
    </row>
    <row r="500" spans="2:11">
      <c r="B500" s="69" t="s">
        <v>20</v>
      </c>
      <c r="C500" s="209">
        <f>Model!AV138</f>
        <v>131875.54827450291</v>
      </c>
      <c r="D500" s="165">
        <f>C500*$I$491</f>
        <v>6759.9406045510195</v>
      </c>
      <c r="E500" s="71"/>
      <c r="F500" s="420"/>
      <c r="G500" s="190"/>
      <c r="H500" s="32" t="str">
        <f>B492</f>
        <v>Amount outstanding as on 31-Dec-2022</v>
      </c>
      <c r="I500" s="35" t="s">
        <v>9</v>
      </c>
      <c r="J500" s="35" t="s">
        <v>10</v>
      </c>
      <c r="K500" s="35" t="s">
        <v>11</v>
      </c>
    </row>
    <row r="501" spans="2:11">
      <c r="B501" s="69" t="s">
        <v>21</v>
      </c>
      <c r="C501" s="210">
        <f>C497+C500</f>
        <v>212680.05668744721</v>
      </c>
      <c r="D501" s="210">
        <f>D497+D500</f>
        <v>10901.979705798545</v>
      </c>
      <c r="E501" s="71"/>
      <c r="F501" s="420"/>
      <c r="H501" s="42" t="s">
        <v>14</v>
      </c>
      <c r="I501" s="315">
        <v>38104</v>
      </c>
      <c r="J501" s="308">
        <f>I501*$I$491</f>
        <v>1953.2110399999999</v>
      </c>
      <c r="K501" s="309">
        <v>0.82</v>
      </c>
    </row>
    <row r="502" spans="2:11">
      <c r="B502" s="41" t="s">
        <v>22</v>
      </c>
      <c r="C502" s="212">
        <f>Model!AV92</f>
        <v>43000.806826074178</v>
      </c>
      <c r="D502" s="211"/>
      <c r="E502" s="41"/>
      <c r="F502" s="422"/>
    </row>
    <row r="503" spans="2:11">
      <c r="B503" s="259" t="s">
        <v>23</v>
      </c>
      <c r="C503" s="260">
        <f>C497-Model!L198</f>
        <v>0</v>
      </c>
      <c r="H503" s="231"/>
    </row>
    <row r="504" spans="2:11">
      <c r="B504" s="166"/>
      <c r="C504" s="167"/>
      <c r="H504" s="231"/>
    </row>
    <row r="506" spans="2:11">
      <c r="B506" s="42" t="s">
        <v>24</v>
      </c>
      <c r="C506" s="154">
        <f>C499+Model!AV137</f>
        <v>335279.67666110769</v>
      </c>
      <c r="E506"/>
      <c r="F506"/>
    </row>
    <row r="507" spans="2:11">
      <c r="B507" s="42" t="s">
        <v>25</v>
      </c>
      <c r="C507" s="43">
        <f>C506/C502</f>
        <v>7.7970554835684123</v>
      </c>
      <c r="E507"/>
      <c r="F507"/>
      <c r="G507" s="246"/>
    </row>
    <row r="508" spans="2:11">
      <c r="G508"/>
    </row>
    <row r="509" spans="2:11" ht="13.5" thickBot="1">
      <c r="I509" s="232"/>
    </row>
    <row r="510" spans="2:11">
      <c r="B510" s="108" t="s">
        <v>102</v>
      </c>
      <c r="C510" s="236" t="s">
        <v>49</v>
      </c>
      <c r="D510" s="236" t="s">
        <v>50</v>
      </c>
      <c r="I510" s="232"/>
    </row>
    <row r="511" spans="2:11">
      <c r="B511" s="110"/>
      <c r="C511" s="152"/>
      <c r="D511" s="152"/>
      <c r="I511" s="232"/>
    </row>
    <row r="512" spans="2:11">
      <c r="B512" s="110" t="s">
        <v>27</v>
      </c>
      <c r="C512" s="152">
        <f>C498</f>
        <v>40277.075216526406</v>
      </c>
      <c r="D512" s="152">
        <f>C512*$I$491</f>
        <v>2064.6028755991438</v>
      </c>
      <c r="I512" s="232"/>
    </row>
    <row r="513" spans="1:9" ht="13.5" thickBot="1">
      <c r="B513" s="111" t="s">
        <v>28</v>
      </c>
      <c r="C513" s="153">
        <f>SUM(C511:C512)</f>
        <v>40277.075216526406</v>
      </c>
      <c r="D513" s="153">
        <f>SUM(D511:D512)</f>
        <v>2064.6028755991438</v>
      </c>
      <c r="I513" s="232"/>
    </row>
    <row r="514" spans="1:9">
      <c r="I514" s="232"/>
    </row>
    <row r="515" spans="1:9">
      <c r="C515" s="37"/>
    </row>
    <row r="516" spans="1:9" ht="13.5" thickBot="1"/>
    <row r="517" spans="1:9">
      <c r="B517" s="72" t="s">
        <v>103</v>
      </c>
      <c r="C517" s="234" t="s">
        <v>52</v>
      </c>
      <c r="D517" s="235" t="s">
        <v>50</v>
      </c>
      <c r="E517" s="235" t="s">
        <v>30</v>
      </c>
      <c r="F517" s="427"/>
    </row>
    <row r="518" spans="1:9">
      <c r="B518" s="73">
        <v>2023</v>
      </c>
      <c r="C518" s="245">
        <f t="shared" ref="C518:C523" si="23">E518*$C$497</f>
        <v>8484.4733833591508</v>
      </c>
      <c r="D518" s="152">
        <f t="shared" ref="D518:D523" si="24">C518*$I$491</f>
        <v>434.91410563099009</v>
      </c>
      <c r="E518" s="249">
        <v>0.105</v>
      </c>
      <c r="F518" s="424"/>
    </row>
    <row r="519" spans="1:9">
      <c r="B519" s="73">
        <v>2024</v>
      </c>
      <c r="C519" s="245">
        <f t="shared" si="23"/>
        <v>0</v>
      </c>
      <c r="D519" s="152">
        <f t="shared" si="24"/>
        <v>0</v>
      </c>
      <c r="E519" s="249">
        <v>0</v>
      </c>
      <c r="F519" s="424"/>
      <c r="G519" s="263"/>
    </row>
    <row r="520" spans="1:9">
      <c r="B520" s="73">
        <v>2025</v>
      </c>
      <c r="C520" s="245">
        <f t="shared" si="23"/>
        <v>1858.5036934977188</v>
      </c>
      <c r="D520" s="152">
        <f t="shared" si="24"/>
        <v>95.266899328693071</v>
      </c>
      <c r="E520" s="249">
        <v>2.3E-2</v>
      </c>
      <c r="F520" s="424"/>
      <c r="G520" s="314"/>
    </row>
    <row r="521" spans="1:9">
      <c r="B521" s="73">
        <v>2026</v>
      </c>
      <c r="C521" s="245">
        <f t="shared" si="23"/>
        <v>2908.9623028659944</v>
      </c>
      <c r="D521" s="152">
        <f t="shared" si="24"/>
        <v>149.11340764491086</v>
      </c>
      <c r="E521" s="249">
        <v>3.5999999999999997E-2</v>
      </c>
      <c r="F521" s="424"/>
      <c r="G521" s="314"/>
    </row>
    <row r="522" spans="1:9">
      <c r="B522" s="73">
        <v>2027</v>
      </c>
      <c r="C522" s="245">
        <f t="shared" si="23"/>
        <v>8565.2778917720952</v>
      </c>
      <c r="D522" s="152">
        <f t="shared" si="24"/>
        <v>439.05614473223761</v>
      </c>
      <c r="E522" s="249">
        <v>0.106</v>
      </c>
      <c r="F522" s="424"/>
      <c r="G522" s="314"/>
    </row>
    <row r="523" spans="1:9" ht="13.5" thickBot="1">
      <c r="B523" s="74" t="s">
        <v>53</v>
      </c>
      <c r="C523" s="245">
        <f t="shared" si="23"/>
        <v>58987.291141449343</v>
      </c>
      <c r="D523" s="152">
        <f t="shared" si="24"/>
        <v>3023.6885439106932</v>
      </c>
      <c r="E523" s="250">
        <f>72.9%+0.1%</f>
        <v>0.73000000000000009</v>
      </c>
      <c r="F523" s="424"/>
      <c r="G523" s="314"/>
    </row>
    <row r="524" spans="1:9" ht="13.5" thickBot="1">
      <c r="B524" s="206" t="s">
        <v>32</v>
      </c>
      <c r="C524" s="207">
        <f>SUM(C518:C523)</f>
        <v>80804.508412944298</v>
      </c>
      <c r="D524" s="208">
        <f>SUM(D518:D523)</f>
        <v>4142.0391012475247</v>
      </c>
      <c r="E524" s="261">
        <f>+SUM(E518:E523)</f>
        <v>1</v>
      </c>
      <c r="F524" s="317"/>
      <c r="G524" s="263"/>
    </row>
    <row r="526" spans="1:9">
      <c r="B526" s="259" t="s">
        <v>23</v>
      </c>
      <c r="C526" s="260">
        <f>C524-C497</f>
        <v>0</v>
      </c>
    </row>
    <row r="528" spans="1:9">
      <c r="A528" s="68" t="s">
        <v>104</v>
      </c>
    </row>
    <row r="530" spans="1:11">
      <c r="H530" s="68" t="s">
        <v>105</v>
      </c>
      <c r="I530" s="151">
        <f>Model!AU160</f>
        <v>4.9549999999999997E-2</v>
      </c>
    </row>
    <row r="531" spans="1:11">
      <c r="B531" s="32" t="s">
        <v>106</v>
      </c>
      <c r="C531" s="35" t="s">
        <v>9</v>
      </c>
      <c r="D531" s="35" t="s">
        <v>10</v>
      </c>
      <c r="E531" s="35" t="s">
        <v>11</v>
      </c>
      <c r="F531" s="296"/>
      <c r="G531" s="151"/>
      <c r="H531" s="33"/>
      <c r="I531" s="33"/>
      <c r="K531" s="68"/>
    </row>
    <row r="532" spans="1:11">
      <c r="B532" s="158" t="s">
        <v>42</v>
      </c>
      <c r="C532" s="285">
        <f>508+941</f>
        <v>1449</v>
      </c>
      <c r="D532" s="165">
        <f>C532*$I$530</f>
        <v>71.79795</v>
      </c>
      <c r="E532" s="262"/>
      <c r="F532" s="374"/>
      <c r="G532" s="151"/>
      <c r="H532" s="33"/>
      <c r="I532" s="33"/>
      <c r="K532" s="68"/>
    </row>
    <row r="533" spans="1:11">
      <c r="A533" s="68"/>
      <c r="B533" s="158" t="s">
        <v>15</v>
      </c>
      <c r="C533" s="285">
        <v>8673</v>
      </c>
      <c r="D533" s="165">
        <f t="shared" ref="D533:D534" si="25">C533*$I$530</f>
        <v>429.74714999999998</v>
      </c>
      <c r="E533" s="262"/>
      <c r="F533" s="374"/>
      <c r="G533" s="151"/>
      <c r="H533" s="68"/>
      <c r="I533" s="68"/>
      <c r="J533" s="68"/>
    </row>
    <row r="534" spans="1:11" ht="15.75">
      <c r="A534" s="68"/>
      <c r="B534" s="158" t="s">
        <v>16</v>
      </c>
      <c r="C534" s="299">
        <f>Model!AU124-C532-C533</f>
        <v>65934</v>
      </c>
      <c r="D534" s="165">
        <f t="shared" si="25"/>
        <v>3267.0296999999996</v>
      </c>
      <c r="E534" s="262"/>
      <c r="F534" s="374"/>
      <c r="G534" s="300"/>
      <c r="H534" s="301"/>
      <c r="I534" s="68"/>
      <c r="J534" s="68"/>
    </row>
    <row r="535" spans="1:11">
      <c r="B535" s="41"/>
      <c r="C535" s="41"/>
      <c r="D535" s="37"/>
      <c r="E535" s="41"/>
      <c r="F535" s="422"/>
      <c r="G535" s="161"/>
    </row>
    <row r="536" spans="1:11">
      <c r="B536" s="42" t="s">
        <v>17</v>
      </c>
      <c r="C536" s="258">
        <f>C534+C533+C532</f>
        <v>76056</v>
      </c>
      <c r="D536" s="258">
        <f>SUM(D532:D535)</f>
        <v>3768.5747999999994</v>
      </c>
      <c r="E536" s="43">
        <f>+C536/C541</f>
        <v>1.8205987372224128</v>
      </c>
      <c r="F536" s="420"/>
    </row>
    <row r="537" spans="1:11">
      <c r="B537" s="41" t="s">
        <v>18</v>
      </c>
      <c r="C537" s="212">
        <f>Model!AU127</f>
        <v>39205</v>
      </c>
      <c r="D537" s="165">
        <f>C537*$I$530</f>
        <v>1942.6077499999999</v>
      </c>
      <c r="E537" s="44"/>
      <c r="F537" s="421"/>
      <c r="G537" s="190"/>
      <c r="K537" s="35" t="s">
        <v>11</v>
      </c>
    </row>
    <row r="538" spans="1:11">
      <c r="B538" s="42" t="s">
        <v>19</v>
      </c>
      <c r="C538" s="258">
        <f>+C536-C537</f>
        <v>36851</v>
      </c>
      <c r="D538" s="258">
        <f>+D536-D537</f>
        <v>1825.9670499999995</v>
      </c>
      <c r="E538" s="43">
        <f>+C538/C541</f>
        <v>0.8821248036365722</v>
      </c>
      <c r="F538" s="420"/>
      <c r="H538" s="68" t="s">
        <v>8</v>
      </c>
      <c r="K538" s="309">
        <v>0.86</v>
      </c>
    </row>
    <row r="539" spans="1:11">
      <c r="B539" s="69" t="s">
        <v>20</v>
      </c>
      <c r="C539" s="209">
        <f>Model!AU138</f>
        <v>126761</v>
      </c>
      <c r="D539" s="165">
        <f>C539*$I$530</f>
        <v>6281.0075499999994</v>
      </c>
      <c r="E539" s="71"/>
      <c r="F539" s="420"/>
      <c r="G539" s="190"/>
      <c r="H539" s="32" t="s">
        <v>106</v>
      </c>
      <c r="I539" s="35" t="s">
        <v>9</v>
      </c>
      <c r="J539" s="35" t="s">
        <v>10</v>
      </c>
    </row>
    <row r="540" spans="1:11">
      <c r="B540" s="69" t="s">
        <v>21</v>
      </c>
      <c r="C540" s="210">
        <f>C536+C539</f>
        <v>202817</v>
      </c>
      <c r="D540" s="210">
        <f>D536+D539</f>
        <v>10049.582349999999</v>
      </c>
      <c r="E540" s="71"/>
      <c r="F540" s="420"/>
      <c r="H540" s="42" t="s">
        <v>14</v>
      </c>
      <c r="I540" s="315">
        <v>34275</v>
      </c>
      <c r="J540" s="308">
        <f>I540*$I$530</f>
        <v>1698.3262499999998</v>
      </c>
    </row>
    <row r="541" spans="1:11">
      <c r="B541" s="41" t="s">
        <v>22</v>
      </c>
      <c r="C541" s="212">
        <f>Model!AU92</f>
        <v>41775.267907762282</v>
      </c>
      <c r="D541" s="211"/>
      <c r="E541" s="41"/>
      <c r="F541" s="422"/>
    </row>
    <row r="542" spans="1:11">
      <c r="B542" s="166"/>
      <c r="C542" s="167"/>
      <c r="H542" s="231"/>
    </row>
    <row r="543" spans="1:11">
      <c r="B543" s="166"/>
      <c r="C543" s="167"/>
      <c r="H543" s="231"/>
    </row>
    <row r="545" spans="1:13">
      <c r="B545" s="42" t="s">
        <v>24</v>
      </c>
      <c r="C545" s="154">
        <f>C538+Model!AU137</f>
        <v>294273</v>
      </c>
      <c r="E545"/>
      <c r="F545"/>
    </row>
    <row r="546" spans="1:13">
      <c r="B546" s="42" t="s">
        <v>25</v>
      </c>
      <c r="C546" s="43">
        <f>C545/C541</f>
        <v>7.0441918086495621</v>
      </c>
      <c r="E546"/>
      <c r="F546"/>
      <c r="G546" s="246"/>
    </row>
    <row r="547" spans="1:13" s="68" customFormat="1">
      <c r="A547" s="34"/>
      <c r="B547" s="34"/>
      <c r="C547" s="34"/>
      <c r="D547" s="34"/>
      <c r="E547" s="34"/>
      <c r="F547" s="34"/>
      <c r="G547"/>
      <c r="H547" s="34"/>
      <c r="I547" s="34"/>
      <c r="J547" s="34"/>
      <c r="K547" s="34"/>
      <c r="L547" s="34"/>
      <c r="M547" s="34"/>
    </row>
    <row r="548" spans="1:13" s="68" customFormat="1" ht="13.5" thickBot="1">
      <c r="A548" s="34"/>
      <c r="B548" s="34"/>
      <c r="C548" s="34"/>
      <c r="D548" s="34"/>
      <c r="E548" s="34"/>
      <c r="F548" s="34"/>
      <c r="G548" s="34"/>
      <c r="H548" s="34"/>
      <c r="I548" s="232"/>
      <c r="J548" s="34"/>
      <c r="K548" s="34"/>
      <c r="L548" s="34"/>
      <c r="M548" s="34"/>
    </row>
    <row r="549" spans="1:13">
      <c r="B549" s="108" t="s">
        <v>107</v>
      </c>
      <c r="C549" s="236" t="s">
        <v>49</v>
      </c>
      <c r="D549" s="236" t="s">
        <v>50</v>
      </c>
      <c r="I549" s="232"/>
    </row>
    <row r="550" spans="1:13">
      <c r="B550" s="110"/>
      <c r="C550" s="152"/>
      <c r="D550" s="152"/>
      <c r="I550" s="232"/>
    </row>
    <row r="551" spans="1:13">
      <c r="B551" s="110" t="s">
        <v>27</v>
      </c>
      <c r="C551" s="152">
        <f>C537</f>
        <v>39205</v>
      </c>
      <c r="D551" s="152">
        <f>C551*$I$530</f>
        <v>1942.6077499999999</v>
      </c>
      <c r="I551" s="232"/>
    </row>
    <row r="552" spans="1:13" ht="13.5" thickBot="1">
      <c r="B552" s="111" t="s">
        <v>28</v>
      </c>
      <c r="C552" s="153">
        <f>SUM(C550:C551)</f>
        <v>39205</v>
      </c>
      <c r="D552" s="153">
        <f>SUM(D550:D551)</f>
        <v>1942.6077499999999</v>
      </c>
      <c r="I552" s="232"/>
    </row>
    <row r="553" spans="1:13">
      <c r="I553" s="232"/>
    </row>
    <row r="554" spans="1:13">
      <c r="C554" s="37"/>
    </row>
    <row r="555" spans="1:13" ht="13.5" thickBot="1"/>
    <row r="556" spans="1:13">
      <c r="B556" s="72" t="s">
        <v>108</v>
      </c>
      <c r="C556" s="234" t="s">
        <v>52</v>
      </c>
      <c r="D556" s="235" t="s">
        <v>50</v>
      </c>
      <c r="E556" s="235" t="s">
        <v>30</v>
      </c>
      <c r="F556" s="427"/>
    </row>
    <row r="557" spans="1:13">
      <c r="B557" s="73"/>
      <c r="C557" s="182"/>
      <c r="D557" s="187"/>
      <c r="E557" s="233"/>
    </row>
    <row r="558" spans="1:13">
      <c r="B558" s="73">
        <v>2021</v>
      </c>
      <c r="C558" s="245">
        <f>E558*$C$536</f>
        <v>0</v>
      </c>
      <c r="D558" s="152">
        <f>C558*$I$530</f>
        <v>0</v>
      </c>
      <c r="E558" s="249">
        <v>0</v>
      </c>
      <c r="F558" s="424"/>
      <c r="G558" s="263"/>
    </row>
    <row r="559" spans="1:13">
      <c r="B559" s="73">
        <v>2022</v>
      </c>
      <c r="C559" s="245">
        <f>E559*$C$536</f>
        <v>152.11199999999999</v>
      </c>
      <c r="D559" s="152">
        <f t="shared" ref="D559:D562" si="26">C559*$I$530</f>
        <v>7.5371495999999993</v>
      </c>
      <c r="E559" s="249">
        <v>2E-3</v>
      </c>
      <c r="F559" s="424"/>
      <c r="G559" s="314"/>
    </row>
    <row r="560" spans="1:13">
      <c r="B560" s="73">
        <v>2023</v>
      </c>
      <c r="C560" s="245">
        <f t="shared" ref="C560:C562" si="27">E560*$C$536</f>
        <v>8442.2160000000003</v>
      </c>
      <c r="D560" s="152">
        <f t="shared" si="26"/>
        <v>418.31180280000001</v>
      </c>
      <c r="E560" s="249">
        <v>0.111</v>
      </c>
      <c r="F560" s="424"/>
      <c r="G560" s="314"/>
    </row>
    <row r="561" spans="1:11">
      <c r="B561" s="73">
        <v>2024</v>
      </c>
      <c r="C561" s="245">
        <f t="shared" si="27"/>
        <v>0</v>
      </c>
      <c r="D561" s="152">
        <f t="shared" si="26"/>
        <v>0</v>
      </c>
      <c r="E561" s="249">
        <v>0</v>
      </c>
      <c r="F561" s="424"/>
      <c r="G561" s="314"/>
    </row>
    <row r="562" spans="1:11" ht="13.5" thickBot="1">
      <c r="B562" s="74" t="s">
        <v>109</v>
      </c>
      <c r="C562" s="245">
        <f t="shared" si="27"/>
        <v>67461.672000000006</v>
      </c>
      <c r="D562" s="152">
        <f t="shared" si="26"/>
        <v>3342.7258476000002</v>
      </c>
      <c r="E562" s="250">
        <f>2.3%+3.2%+83.2%</f>
        <v>0.88700000000000012</v>
      </c>
      <c r="F562" s="424"/>
      <c r="G562" s="314"/>
    </row>
    <row r="563" spans="1:11" ht="13.5" thickBot="1">
      <c r="B563" s="206" t="s">
        <v>32</v>
      </c>
      <c r="C563" s="207">
        <f>SUM(C557:C562)</f>
        <v>76056</v>
      </c>
      <c r="D563" s="208">
        <f>SUM(D557:D562)</f>
        <v>3768.5748000000003</v>
      </c>
      <c r="E563" s="261">
        <f>+SUM(E558:E562)</f>
        <v>1.0000000000000002</v>
      </c>
      <c r="F563" s="317"/>
      <c r="G563" s="263"/>
    </row>
    <row r="565" spans="1:11">
      <c r="B565" s="259" t="s">
        <v>23</v>
      </c>
      <c r="C565" s="260">
        <f>C563-C536</f>
        <v>0</v>
      </c>
    </row>
    <row r="567" spans="1:11">
      <c r="A567" s="68" t="s">
        <v>110</v>
      </c>
    </row>
    <row r="568" spans="1:11">
      <c r="B568" s="32" t="s">
        <v>111</v>
      </c>
      <c r="C568" s="35" t="s">
        <v>9</v>
      </c>
      <c r="D568" s="35" t="s">
        <v>10</v>
      </c>
      <c r="E568" s="35" t="s">
        <v>11</v>
      </c>
      <c r="F568" s="296"/>
      <c r="G568" s="151"/>
      <c r="H568" s="33"/>
      <c r="I568" s="33"/>
    </row>
    <row r="569" spans="1:11">
      <c r="B569" s="158" t="s">
        <v>42</v>
      </c>
      <c r="C569" s="285">
        <f>536+972</f>
        <v>1508</v>
      </c>
      <c r="D569" s="165">
        <f>C569*$I$571</f>
        <v>74.983839689722046</v>
      </c>
      <c r="E569" s="262"/>
      <c r="F569" s="374"/>
      <c r="G569" s="151"/>
      <c r="H569" s="33"/>
      <c r="I569" s="33"/>
    </row>
    <row r="570" spans="1:11">
      <c r="A570" s="68"/>
      <c r="B570" s="158" t="s">
        <v>15</v>
      </c>
      <c r="C570" s="285">
        <v>8749</v>
      </c>
      <c r="D570" s="165">
        <f t="shared" ref="D570:D571" si="28">C570*$I$571</f>
        <v>435.03555268261152</v>
      </c>
      <c r="E570" s="262"/>
      <c r="F570" s="374"/>
      <c r="G570" s="151"/>
      <c r="H570" s="68"/>
      <c r="I570" s="68"/>
      <c r="J570" s="68"/>
    </row>
    <row r="571" spans="1:11">
      <c r="A571" s="68"/>
      <c r="B571" s="158" t="s">
        <v>16</v>
      </c>
      <c r="C571" s="299">
        <f>Model!AT124-C569-C570</f>
        <v>72603.269163761768</v>
      </c>
      <c r="D571" s="165">
        <f t="shared" si="28"/>
        <v>3610.1272519398221</v>
      </c>
      <c r="E571" s="262"/>
      <c r="F571" s="374"/>
      <c r="G571" s="300"/>
      <c r="H571" s="68" t="s">
        <v>112</v>
      </c>
      <c r="I571" s="151">
        <f>Model!AT160</f>
        <v>4.9724031624484112E-2</v>
      </c>
      <c r="J571" s="68"/>
      <c r="K571" s="68"/>
    </row>
    <row r="572" spans="1:11">
      <c r="B572" s="41"/>
      <c r="C572" s="41"/>
      <c r="D572" s="37"/>
      <c r="E572" s="41"/>
      <c r="F572" s="422"/>
      <c r="G572" s="161"/>
      <c r="K572" s="68"/>
    </row>
    <row r="573" spans="1:11">
      <c r="B573" s="42" t="s">
        <v>17</v>
      </c>
      <c r="C573" s="258">
        <f>C571+C570+C569</f>
        <v>82860.269163761768</v>
      </c>
      <c r="D573" s="258">
        <f>SUM(D569:D572)</f>
        <v>4120.1466443121553</v>
      </c>
      <c r="E573" s="43">
        <f>+C573/C578</f>
        <v>2.0474862394994946</v>
      </c>
      <c r="F573" s="420"/>
    </row>
    <row r="574" spans="1:11">
      <c r="B574" s="41" t="s">
        <v>18</v>
      </c>
      <c r="C574" s="212">
        <f>Model!AT127</f>
        <v>45572.086758024932</v>
      </c>
      <c r="D574" s="165">
        <f>C574*$I$571</f>
        <v>2266.0278831497653</v>
      </c>
      <c r="E574" s="44"/>
      <c r="F574" s="421"/>
      <c r="G574" s="190"/>
    </row>
    <row r="575" spans="1:11">
      <c r="B575" s="42" t="s">
        <v>19</v>
      </c>
      <c r="C575" s="258">
        <f>+C573-C574</f>
        <v>37288.182405736836</v>
      </c>
      <c r="D575" s="258">
        <f>+D573-D574</f>
        <v>1854.11876116239</v>
      </c>
      <c r="E575" s="43">
        <f>+C575/C578</f>
        <v>0.92139503216920582</v>
      </c>
      <c r="F575" s="420"/>
      <c r="H575" s="68" t="s">
        <v>8</v>
      </c>
    </row>
    <row r="576" spans="1:11">
      <c r="B576" s="69" t="s">
        <v>20</v>
      </c>
      <c r="C576" s="209">
        <f>Model!AT138</f>
        <v>123834.47604814627</v>
      </c>
      <c r="D576" s="165">
        <f>C576*$I$571</f>
        <v>6157.5494032194456</v>
      </c>
      <c r="E576" s="71"/>
      <c r="F576" s="420"/>
      <c r="G576" s="190"/>
      <c r="H576" s="32" t="s">
        <v>111</v>
      </c>
      <c r="I576" s="35" t="s">
        <v>9</v>
      </c>
      <c r="J576" s="35" t="s">
        <v>10</v>
      </c>
    </row>
    <row r="577" spans="1:13">
      <c r="B577" s="69" t="s">
        <v>21</v>
      </c>
      <c r="C577" s="210">
        <f>C573+C576</f>
        <v>206694.74521190804</v>
      </c>
      <c r="D577" s="210">
        <f>D573+D576</f>
        <v>10277.696047531601</v>
      </c>
      <c r="E577" s="71"/>
      <c r="F577" s="420"/>
      <c r="H577" s="42" t="s">
        <v>14</v>
      </c>
      <c r="I577" s="315">
        <v>34760</v>
      </c>
      <c r="J577" s="308">
        <f>I577*$I$571</f>
        <v>1728.4073392670678</v>
      </c>
      <c r="K577" s="35" t="s">
        <v>11</v>
      </c>
    </row>
    <row r="578" spans="1:13">
      <c r="B578" s="41" t="s">
        <v>22</v>
      </c>
      <c r="C578" s="212">
        <f>Model!AT92</f>
        <v>40469.267907762282</v>
      </c>
      <c r="D578" s="211"/>
      <c r="E578" s="41"/>
      <c r="F578" s="422"/>
      <c r="K578" s="309">
        <v>0.86</v>
      </c>
    </row>
    <row r="579" spans="1:13">
      <c r="B579" s="166"/>
      <c r="C579" s="167"/>
      <c r="H579" s="231"/>
    </row>
    <row r="580" spans="1:13">
      <c r="B580" s="166"/>
      <c r="C580" s="167"/>
      <c r="H580" s="231"/>
    </row>
    <row r="582" spans="1:13">
      <c r="B582" s="42" t="s">
        <v>24</v>
      </c>
      <c r="C582" s="154">
        <f>C575+Model!AT137</f>
        <v>37288.182405736836</v>
      </c>
      <c r="E582"/>
      <c r="F582"/>
    </row>
    <row r="583" spans="1:13">
      <c r="B583" s="42" t="s">
        <v>25</v>
      </c>
      <c r="C583" s="43">
        <f>C582/C578</f>
        <v>0.92139503216920582</v>
      </c>
      <c r="E583"/>
      <c r="F583"/>
      <c r="G583" s="246"/>
    </row>
    <row r="584" spans="1:13">
      <c r="G584"/>
    </row>
    <row r="585" spans="1:13" ht="13.5" thickBot="1">
      <c r="I585" s="232"/>
    </row>
    <row r="586" spans="1:13" s="68" customFormat="1">
      <c r="A586" s="34"/>
      <c r="B586" s="108" t="s">
        <v>113</v>
      </c>
      <c r="C586" s="236" t="s">
        <v>49</v>
      </c>
      <c r="D586" s="236" t="s">
        <v>50</v>
      </c>
      <c r="E586" s="34"/>
      <c r="F586" s="34"/>
      <c r="G586" s="34"/>
      <c r="H586" s="34"/>
      <c r="I586" s="232"/>
      <c r="J586" s="34"/>
      <c r="K586" s="34"/>
      <c r="L586" s="34"/>
      <c r="M586" s="34"/>
    </row>
    <row r="587" spans="1:13" s="68" customFormat="1">
      <c r="A587" s="34"/>
      <c r="B587" s="110"/>
      <c r="C587" s="152"/>
      <c r="D587" s="152"/>
      <c r="E587" s="34"/>
      <c r="F587" s="34"/>
      <c r="G587" s="34"/>
      <c r="H587" s="34"/>
      <c r="I587" s="232"/>
      <c r="J587" s="34"/>
      <c r="K587" s="34"/>
      <c r="L587" s="34"/>
    </row>
    <row r="588" spans="1:13">
      <c r="B588" s="110" t="s">
        <v>27</v>
      </c>
      <c r="C588" s="152">
        <f>C574</f>
        <v>45572.086758024932</v>
      </c>
      <c r="D588" s="152">
        <f>C588*$I$571</f>
        <v>2266.0278831497653</v>
      </c>
      <c r="I588" s="232"/>
      <c r="M588" s="68"/>
    </row>
    <row r="589" spans="1:13" ht="13.5" thickBot="1">
      <c r="B589" s="111" t="s">
        <v>28</v>
      </c>
      <c r="C589" s="153">
        <f>SUM(C587:C588)</f>
        <v>45572.086758024932</v>
      </c>
      <c r="D589" s="153">
        <f>SUM(D587:D588)</f>
        <v>2266.0278831497653</v>
      </c>
      <c r="I589" s="232"/>
    </row>
    <row r="590" spans="1:13">
      <c r="I590" s="232"/>
    </row>
    <row r="591" spans="1:13">
      <c r="C591" s="37"/>
    </row>
    <row r="592" spans="1:13" ht="13.5" thickBot="1"/>
    <row r="593" spans="1:9">
      <c r="B593" s="72" t="s">
        <v>114</v>
      </c>
      <c r="C593" s="234" t="s">
        <v>52</v>
      </c>
      <c r="D593" s="235" t="s">
        <v>50</v>
      </c>
      <c r="E593" s="235" t="s">
        <v>30</v>
      </c>
      <c r="F593" s="427"/>
    </row>
    <row r="594" spans="1:9">
      <c r="B594" s="73"/>
      <c r="C594" s="182"/>
      <c r="D594" s="187"/>
      <c r="E594" s="233"/>
    </row>
    <row r="595" spans="1:9">
      <c r="B595" s="73">
        <v>2021</v>
      </c>
      <c r="C595" s="245">
        <f>E595*$C$573</f>
        <v>0</v>
      </c>
      <c r="D595" s="152">
        <f>C595*$I$571</f>
        <v>0</v>
      </c>
      <c r="E595" s="249">
        <v>0</v>
      </c>
      <c r="F595" s="424"/>
      <c r="G595" s="263"/>
    </row>
    <row r="596" spans="1:9">
      <c r="B596" s="73">
        <v>2022</v>
      </c>
      <c r="C596" s="245">
        <f>E596*$C$573</f>
        <v>414.30134581880884</v>
      </c>
      <c r="D596" s="152">
        <f t="shared" ref="D596:D599" si="29">C596*$I$571</f>
        <v>20.60073322156078</v>
      </c>
      <c r="E596" s="249">
        <v>5.0000000000000001E-3</v>
      </c>
      <c r="F596" s="424"/>
      <c r="G596" s="314"/>
    </row>
    <row r="597" spans="1:9">
      <c r="B597" s="73">
        <v>2023</v>
      </c>
      <c r="C597" s="245">
        <f>E597*$C$573</f>
        <v>8534.6077238674625</v>
      </c>
      <c r="D597" s="152">
        <f t="shared" si="29"/>
        <v>424.37510436415209</v>
      </c>
      <c r="E597" s="249">
        <v>0.10299999999999999</v>
      </c>
      <c r="F597" s="424"/>
      <c r="G597" s="314"/>
    </row>
    <row r="598" spans="1:9">
      <c r="B598" s="73">
        <v>2024</v>
      </c>
      <c r="C598" s="245">
        <f>E598*$C$573</f>
        <v>0</v>
      </c>
      <c r="D598" s="152">
        <f t="shared" si="29"/>
        <v>0</v>
      </c>
      <c r="E598" s="249">
        <v>0</v>
      </c>
      <c r="F598" s="424"/>
      <c r="G598" s="314"/>
    </row>
    <row r="599" spans="1:9" ht="13.5" thickBot="1">
      <c r="B599" s="74" t="s">
        <v>109</v>
      </c>
      <c r="C599" s="245">
        <f>E599*$C$573</f>
        <v>73911.360094075499</v>
      </c>
      <c r="D599" s="152">
        <f t="shared" si="29"/>
        <v>3675.1708067264431</v>
      </c>
      <c r="E599" s="250">
        <f>2.2%+2.9%+84.1%</f>
        <v>0.89200000000000002</v>
      </c>
      <c r="F599" s="424"/>
      <c r="G599" s="314"/>
    </row>
    <row r="600" spans="1:9" ht="13.5" thickBot="1">
      <c r="B600" s="206" t="s">
        <v>32</v>
      </c>
      <c r="C600" s="207">
        <f>SUM(C594:C599)</f>
        <v>82860.269163761768</v>
      </c>
      <c r="D600" s="208">
        <f>SUM(D594:D599)</f>
        <v>4120.1466443121562</v>
      </c>
      <c r="E600" s="261">
        <f>+SUM(E595:E599)</f>
        <v>1</v>
      </c>
      <c r="F600" s="317"/>
      <c r="G600" s="263"/>
    </row>
    <row r="602" spans="1:9">
      <c r="B602" s="259" t="s">
        <v>23</v>
      </c>
      <c r="C602" s="260">
        <f>C600-C573</f>
        <v>0</v>
      </c>
    </row>
    <row r="603" spans="1:9">
      <c r="B603" s="259"/>
      <c r="C603" s="260"/>
    </row>
    <row r="605" spans="1:9">
      <c r="A605" s="68" t="s">
        <v>115</v>
      </c>
    </row>
    <row r="607" spans="1:9">
      <c r="H607" s="68" t="s">
        <v>116</v>
      </c>
      <c r="I607" s="151">
        <f>Model!AS160</f>
        <v>5.0320288637175629E-2</v>
      </c>
    </row>
    <row r="608" spans="1:9">
      <c r="B608" s="32" t="s">
        <v>117</v>
      </c>
      <c r="C608" s="35" t="s">
        <v>9</v>
      </c>
      <c r="D608" s="35" t="s">
        <v>10</v>
      </c>
      <c r="E608" s="35" t="s">
        <v>11</v>
      </c>
      <c r="F608" s="296"/>
      <c r="G608" s="151"/>
      <c r="H608" s="33"/>
      <c r="I608" s="33"/>
    </row>
    <row r="609" spans="1:12">
      <c r="B609" s="158" t="s">
        <v>42</v>
      </c>
      <c r="C609" s="285">
        <f>645+946</f>
        <v>1591</v>
      </c>
      <c r="D609" s="165">
        <f>C609*$I$607</f>
        <v>80.059579221746432</v>
      </c>
      <c r="E609" s="262"/>
      <c r="F609" s="374"/>
      <c r="G609" s="151"/>
      <c r="H609" s="33"/>
      <c r="I609" s="33"/>
    </row>
    <row r="610" spans="1:12">
      <c r="A610" s="68"/>
      <c r="B610" s="158" t="s">
        <v>15</v>
      </c>
      <c r="C610" s="285">
        <v>3101</v>
      </c>
      <c r="D610" s="165">
        <f>C610*$I$607</f>
        <v>156.04321506388163</v>
      </c>
      <c r="E610" s="262"/>
      <c r="F610" s="374"/>
      <c r="G610" s="151"/>
      <c r="H610" s="68"/>
      <c r="I610" s="68"/>
      <c r="J610" s="68"/>
      <c r="K610" s="68"/>
    </row>
    <row r="611" spans="1:12" ht="15.75">
      <c r="A611" s="68"/>
      <c r="B611" s="158" t="s">
        <v>16</v>
      </c>
      <c r="C611" s="299">
        <f>Model!AS124-C609-C610</f>
        <v>81389</v>
      </c>
      <c r="D611" s="165">
        <f>C611*$I$607</f>
        <v>4095.5179718910872</v>
      </c>
      <c r="E611" s="262"/>
      <c r="F611" s="374"/>
      <c r="G611" s="300"/>
      <c r="H611" s="301"/>
      <c r="I611" s="68"/>
      <c r="J611" s="68"/>
      <c r="K611" s="68"/>
    </row>
    <row r="612" spans="1:12">
      <c r="B612" s="41"/>
      <c r="C612" s="41"/>
      <c r="D612" s="37"/>
      <c r="E612" s="41"/>
      <c r="F612" s="422"/>
      <c r="G612" s="161"/>
    </row>
    <row r="613" spans="1:12">
      <c r="B613" s="42" t="s">
        <v>17</v>
      </c>
      <c r="C613" s="258">
        <f>C611+C610+C609</f>
        <v>86081</v>
      </c>
      <c r="D613" s="258">
        <f>SUM(D609:D612)</f>
        <v>4331.6207661767148</v>
      </c>
      <c r="E613" s="43">
        <f>+C613/C618</f>
        <v>2.1590815311469664</v>
      </c>
      <c r="F613" s="420"/>
    </row>
    <row r="614" spans="1:12">
      <c r="B614" s="41" t="s">
        <v>18</v>
      </c>
      <c r="C614" s="212">
        <f>Model!AS127</f>
        <v>49443</v>
      </c>
      <c r="D614" s="165">
        <f>C614*$I$607</f>
        <v>2487.9860310878748</v>
      </c>
      <c r="E614" s="44"/>
      <c r="F614" s="421"/>
      <c r="G614" s="190"/>
    </row>
    <row r="615" spans="1:12">
      <c r="B615" s="42" t="s">
        <v>19</v>
      </c>
      <c r="C615" s="258">
        <f>+C613-C614</f>
        <v>36638</v>
      </c>
      <c r="D615" s="258">
        <f>+D613-D614</f>
        <v>1843.63473508884</v>
      </c>
      <c r="E615" s="43">
        <f>+C615/C618</f>
        <v>0.9189534175737103</v>
      </c>
      <c r="F615" s="420"/>
      <c r="H615" s="68" t="s">
        <v>8</v>
      </c>
    </row>
    <row r="616" spans="1:12">
      <c r="B616" s="69" t="s">
        <v>20</v>
      </c>
      <c r="C616" s="209">
        <f>Model!AS138</f>
        <v>123400</v>
      </c>
      <c r="D616" s="165">
        <f>C616*$I$607</f>
        <v>6209.5236178274727</v>
      </c>
      <c r="E616" s="71"/>
      <c r="F616" s="420"/>
      <c r="G616" s="190"/>
      <c r="H616" s="32" t="s">
        <v>117</v>
      </c>
      <c r="I616" s="35" t="s">
        <v>9</v>
      </c>
      <c r="J616" s="35" t="s">
        <v>10</v>
      </c>
      <c r="K616" s="35" t="s">
        <v>11</v>
      </c>
    </row>
    <row r="617" spans="1:12">
      <c r="B617" s="69" t="s">
        <v>21</v>
      </c>
      <c r="C617" s="210">
        <f>C613+C616</f>
        <v>209481</v>
      </c>
      <c r="D617" s="210">
        <f>D613+D616</f>
        <v>10541.144384004187</v>
      </c>
      <c r="E617" s="71"/>
      <c r="F617" s="420"/>
      <c r="H617" s="42" t="s">
        <v>14</v>
      </c>
      <c r="I617" s="285">
        <v>34246</v>
      </c>
      <c r="J617" s="308">
        <f>I617*$I$607</f>
        <v>1723.2686046687165</v>
      </c>
      <c r="K617" s="309">
        <v>0.90717647425286196</v>
      </c>
    </row>
    <row r="618" spans="1:12">
      <c r="B618" s="41" t="s">
        <v>22</v>
      </c>
      <c r="C618" s="212">
        <f>Model!AS92</f>
        <v>39869.267907762282</v>
      </c>
      <c r="D618" s="211"/>
      <c r="E618" s="41"/>
      <c r="F618" s="422"/>
    </row>
    <row r="620" spans="1:12">
      <c r="B620" s="166"/>
      <c r="C620" s="167"/>
      <c r="H620" s="231"/>
    </row>
    <row r="621" spans="1:12">
      <c r="L621" s="68"/>
    </row>
    <row r="622" spans="1:12">
      <c r="B622" s="42" t="s">
        <v>24</v>
      </c>
      <c r="C622" s="154">
        <f>C615+Model!AS137</f>
        <v>272175.2</v>
      </c>
      <c r="E622"/>
      <c r="F622"/>
      <c r="L622" s="68"/>
    </row>
    <row r="623" spans="1:12">
      <c r="B623" s="42" t="s">
        <v>25</v>
      </c>
      <c r="C623" s="43">
        <f>C622/C618</f>
        <v>6.8266916921995779</v>
      </c>
      <c r="E623"/>
      <c r="F623"/>
      <c r="G623" s="246"/>
    </row>
    <row r="624" spans="1:12">
      <c r="G624"/>
    </row>
    <row r="625" spans="1:13" s="68" customFormat="1" ht="13.5" thickBot="1">
      <c r="A625" s="34"/>
      <c r="B625" s="34"/>
      <c r="C625" s="34"/>
      <c r="D625" s="34"/>
      <c r="E625" s="34"/>
      <c r="F625" s="34"/>
      <c r="G625" s="34"/>
      <c r="H625" s="34"/>
      <c r="I625" s="232"/>
      <c r="J625" s="34"/>
      <c r="K625" s="34"/>
      <c r="L625" s="34"/>
      <c r="M625" s="34"/>
    </row>
    <row r="626" spans="1:13">
      <c r="B626" s="108" t="s">
        <v>118</v>
      </c>
      <c r="C626" s="236" t="s">
        <v>49</v>
      </c>
      <c r="D626" s="236" t="s">
        <v>50</v>
      </c>
      <c r="I626" s="232"/>
      <c r="M626" s="68"/>
    </row>
    <row r="627" spans="1:13">
      <c r="B627" s="110"/>
      <c r="C627" s="152"/>
      <c r="D627" s="152"/>
      <c r="I627" s="232"/>
      <c r="M627" s="68"/>
    </row>
    <row r="628" spans="1:13">
      <c r="B628" s="110" t="s">
        <v>27</v>
      </c>
      <c r="C628" s="152">
        <f>C614</f>
        <v>49443</v>
      </c>
      <c r="D628" s="152">
        <f>C628*$I$607</f>
        <v>2487.9860310878748</v>
      </c>
      <c r="I628" s="232"/>
    </row>
    <row r="629" spans="1:13" ht="13.5" thickBot="1">
      <c r="B629" s="111" t="s">
        <v>28</v>
      </c>
      <c r="C629" s="153">
        <f>SUM(C627:C628)</f>
        <v>49443</v>
      </c>
      <c r="D629" s="153">
        <f>SUM(D627:D628)</f>
        <v>2487.9860310878748</v>
      </c>
      <c r="I629" s="232"/>
    </row>
    <row r="630" spans="1:13" s="68" customFormat="1">
      <c r="A630" s="34"/>
      <c r="B630" s="34"/>
      <c r="C630" s="34"/>
      <c r="D630" s="34"/>
      <c r="E630" s="34"/>
      <c r="F630" s="34"/>
      <c r="G630" s="34"/>
      <c r="H630" s="34"/>
      <c r="I630" s="232"/>
      <c r="J630" s="34"/>
      <c r="K630" s="34"/>
      <c r="L630" s="34"/>
      <c r="M630" s="34"/>
    </row>
    <row r="631" spans="1:13">
      <c r="C631" s="37"/>
    </row>
    <row r="632" spans="1:13" ht="13.5" thickBot="1"/>
    <row r="633" spans="1:13">
      <c r="B633" s="72" t="s">
        <v>119</v>
      </c>
      <c r="C633" s="234" t="s">
        <v>52</v>
      </c>
      <c r="D633" s="235" t="s">
        <v>50</v>
      </c>
      <c r="E633" s="235" t="s">
        <v>30</v>
      </c>
      <c r="F633" s="427"/>
    </row>
    <row r="634" spans="1:13">
      <c r="B634" s="73"/>
      <c r="C634" s="182"/>
      <c r="D634" s="187"/>
      <c r="E634" s="233"/>
    </row>
    <row r="635" spans="1:13">
      <c r="B635" s="73">
        <v>2021</v>
      </c>
      <c r="C635" s="245">
        <f>E635*$C$613</f>
        <v>0</v>
      </c>
      <c r="D635" s="152">
        <f>C635*$I$607</f>
        <v>0</v>
      </c>
      <c r="E635" s="249">
        <v>0</v>
      </c>
      <c r="F635" s="424"/>
      <c r="G635" s="263"/>
    </row>
    <row r="636" spans="1:13">
      <c r="B636" s="73">
        <v>2022</v>
      </c>
      <c r="C636" s="245">
        <f>E636*$C$613</f>
        <v>2238.1059999999998</v>
      </c>
      <c r="D636" s="152">
        <f>C636*$I$607</f>
        <v>112.62213992059459</v>
      </c>
      <c r="E636" s="249">
        <v>2.5999999999999999E-2</v>
      </c>
      <c r="F636" s="424"/>
      <c r="G636" s="263"/>
    </row>
    <row r="637" spans="1:13">
      <c r="B637" s="73">
        <v>2023</v>
      </c>
      <c r="C637" s="245">
        <f>E637*$C$613</f>
        <v>8694.1810000000005</v>
      </c>
      <c r="D637" s="152">
        <f>C637*$I$607</f>
        <v>437.49369738384826</v>
      </c>
      <c r="E637" s="249">
        <v>0.10100000000000001</v>
      </c>
      <c r="F637" s="424"/>
      <c r="G637" s="263"/>
    </row>
    <row r="638" spans="1:13">
      <c r="B638" s="73">
        <v>2024</v>
      </c>
      <c r="C638" s="245">
        <f>E638*$C$613</f>
        <v>86.081000000000003</v>
      </c>
      <c r="D638" s="152">
        <f>C638*$I$607</f>
        <v>4.3316207661767159</v>
      </c>
      <c r="E638" s="249">
        <v>1E-3</v>
      </c>
      <c r="F638" s="424"/>
      <c r="G638" s="263"/>
    </row>
    <row r="639" spans="1:13" ht="13.5" thickBot="1">
      <c r="B639" s="74" t="s">
        <v>109</v>
      </c>
      <c r="C639" s="245">
        <f>E639*$C$613</f>
        <v>75062.632000000012</v>
      </c>
      <c r="D639" s="152">
        <f>C639*$I$607</f>
        <v>3777.1733081060966</v>
      </c>
      <c r="E639" s="250">
        <f>2.1%+2.9%+82.2%</f>
        <v>0.87200000000000011</v>
      </c>
      <c r="F639" s="424"/>
      <c r="G639" s="263"/>
    </row>
    <row r="640" spans="1:13" ht="13.5" thickBot="1">
      <c r="B640" s="206" t="s">
        <v>32</v>
      </c>
      <c r="C640" s="207">
        <f>SUM(C634:C639)</f>
        <v>86081.000000000015</v>
      </c>
      <c r="D640" s="208">
        <f>SUM(D634:D639)</f>
        <v>4331.6207661767157</v>
      </c>
      <c r="E640" s="261">
        <f>+SUM(E635:E639)</f>
        <v>1</v>
      </c>
      <c r="F640" s="317"/>
      <c r="G640" s="263"/>
    </row>
    <row r="641" spans="1:13" s="68" customFormat="1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</row>
    <row r="642" spans="1:13">
      <c r="B642" s="259" t="s">
        <v>23</v>
      </c>
      <c r="C642" s="260">
        <f>C640-C613</f>
        <v>0</v>
      </c>
    </row>
    <row r="643" spans="1:13">
      <c r="B643" s="259"/>
      <c r="C643" s="260"/>
    </row>
    <row r="646" spans="1:13">
      <c r="H646" s="68" t="s">
        <v>120</v>
      </c>
      <c r="I646" s="151">
        <f>Model!AR160</f>
        <v>4.886892864647728E-2</v>
      </c>
    </row>
    <row r="647" spans="1:13">
      <c r="B647" s="32" t="s">
        <v>121</v>
      </c>
      <c r="C647" s="35" t="s">
        <v>9</v>
      </c>
      <c r="D647" s="35" t="s">
        <v>10</v>
      </c>
      <c r="E647" s="35" t="s">
        <v>11</v>
      </c>
      <c r="F647" s="296"/>
      <c r="G647" s="151"/>
      <c r="H647" s="33"/>
      <c r="I647" s="33"/>
    </row>
    <row r="648" spans="1:13">
      <c r="B648" s="158" t="s">
        <v>42</v>
      </c>
      <c r="C648" s="285">
        <f>614.345271175642+890.913181723625</f>
        <v>1505.258452899267</v>
      </c>
      <c r="D648" s="165">
        <f>C648*$I$646</f>
        <v>73.560367929241067</v>
      </c>
      <c r="E648" s="262"/>
      <c r="F648" s="374"/>
      <c r="G648" s="151"/>
      <c r="H648" s="33"/>
      <c r="I648" s="33"/>
    </row>
    <row r="649" spans="1:13">
      <c r="A649" s="68"/>
      <c r="B649" s="158" t="s">
        <v>15</v>
      </c>
      <c r="C649" s="285">
        <v>2453</v>
      </c>
      <c r="D649" s="165">
        <f>C649*$I$646</f>
        <v>119.87548196980877</v>
      </c>
      <c r="E649" s="262"/>
      <c r="F649" s="374"/>
      <c r="G649" s="151"/>
      <c r="H649" s="68"/>
      <c r="I649" s="68"/>
      <c r="J649" s="68"/>
    </row>
    <row r="650" spans="1:13" ht="15.75">
      <c r="A650" s="68"/>
      <c r="B650" s="158" t="s">
        <v>16</v>
      </c>
      <c r="C650" s="299">
        <f>Model!AR124-C648-C649</f>
        <v>83329.470414998679</v>
      </c>
      <c r="D650" s="165">
        <f>C650*$I$646</f>
        <v>4072.2219438593102</v>
      </c>
      <c r="E650" s="262"/>
      <c r="F650" s="374"/>
      <c r="G650" s="300"/>
      <c r="H650" s="301"/>
      <c r="I650" s="68"/>
      <c r="J650" s="68"/>
    </row>
    <row r="651" spans="1:13">
      <c r="B651" s="41"/>
      <c r="C651" s="41"/>
      <c r="D651" s="37"/>
      <c r="E651" s="41"/>
      <c r="F651" s="422"/>
      <c r="G651" s="161"/>
    </row>
    <row r="652" spans="1:13">
      <c r="B652" s="42" t="s">
        <v>17</v>
      </c>
      <c r="C652" s="258">
        <f>C650+C649+C648</f>
        <v>87287.728867897953</v>
      </c>
      <c r="D652" s="258">
        <f>SUM(D648:D651)</f>
        <v>4265.6577937583597</v>
      </c>
      <c r="E652" s="43">
        <f>+C652/C657</f>
        <v>2.2468307272904213</v>
      </c>
      <c r="F652" s="420"/>
    </row>
    <row r="653" spans="1:13">
      <c r="B653" s="41" t="s">
        <v>18</v>
      </c>
      <c r="C653" s="212">
        <f>Model!AR127</f>
        <v>47247.727693024499</v>
      </c>
      <c r="D653" s="165">
        <f>C653*$I$646</f>
        <v>2308.9458333386028</v>
      </c>
      <c r="E653" s="44"/>
      <c r="F653" s="421"/>
      <c r="G653" s="190"/>
    </row>
    <row r="654" spans="1:13">
      <c r="B654" s="42" t="s">
        <v>19</v>
      </c>
      <c r="C654" s="258">
        <f>+C652-C653</f>
        <v>40040.001174873454</v>
      </c>
      <c r="D654" s="258">
        <f>+D652-D653</f>
        <v>1956.7119604197569</v>
      </c>
      <c r="E654" s="43">
        <f>+C654/C657</f>
        <v>1.0306500825173404</v>
      </c>
      <c r="F654" s="420"/>
      <c r="H654" s="68" t="s">
        <v>8</v>
      </c>
    </row>
    <row r="655" spans="1:13">
      <c r="B655" s="69" t="s">
        <v>20</v>
      </c>
      <c r="C655" s="209">
        <f>Model!AR138</f>
        <v>127572</v>
      </c>
      <c r="D655" s="165">
        <f>C655*$I$646</f>
        <v>6234.3069652883996</v>
      </c>
      <c r="E655" s="71"/>
      <c r="F655" s="420"/>
      <c r="G655" s="190"/>
      <c r="H655" s="32" t="s">
        <v>121</v>
      </c>
      <c r="I655" s="35" t="s">
        <v>9</v>
      </c>
      <c r="J655" s="35" t="s">
        <v>10</v>
      </c>
    </row>
    <row r="656" spans="1:13">
      <c r="B656" s="69" t="s">
        <v>21</v>
      </c>
      <c r="C656" s="210">
        <f>C652+C655</f>
        <v>214859.72886789794</v>
      </c>
      <c r="D656" s="210">
        <f>D652+D655</f>
        <v>10499.964759046759</v>
      </c>
      <c r="E656" s="71"/>
      <c r="F656" s="420"/>
      <c r="H656" s="42" t="s">
        <v>14</v>
      </c>
      <c r="I656" s="285">
        <v>35243.093475892791</v>
      </c>
      <c r="J656" s="308">
        <f>I656*I646</f>
        <v>1722.2922203545338</v>
      </c>
    </row>
    <row r="657" spans="2:13">
      <c r="B657" s="41" t="s">
        <v>22</v>
      </c>
      <c r="C657" s="212">
        <f>Model!AR92</f>
        <v>38849.267907762282</v>
      </c>
      <c r="D657" s="211"/>
      <c r="E657" s="41"/>
      <c r="F657" s="422"/>
      <c r="K657" s="68"/>
    </row>
    <row r="658" spans="2:13">
      <c r="K658" s="68"/>
    </row>
    <row r="659" spans="2:13">
      <c r="B659" s="166"/>
      <c r="C659" s="167"/>
      <c r="H659" s="231"/>
    </row>
    <row r="660" spans="2:13">
      <c r="L660" s="68"/>
    </row>
    <row r="661" spans="2:13">
      <c r="B661" s="42" t="s">
        <v>24</v>
      </c>
      <c r="C661" s="154">
        <f>C654+Model!AR137</f>
        <v>275573.77526815346</v>
      </c>
      <c r="E661"/>
      <c r="F661"/>
      <c r="L661" s="68"/>
    </row>
    <row r="662" spans="2:13">
      <c r="B662" s="42" t="s">
        <v>25</v>
      </c>
      <c r="C662" s="43">
        <f>C661/C657</f>
        <v>7.0934097374095542</v>
      </c>
      <c r="E662"/>
      <c r="F662"/>
      <c r="G662" s="246"/>
    </row>
    <row r="663" spans="2:13">
      <c r="G663"/>
      <c r="K663" s="35" t="s">
        <v>11</v>
      </c>
    </row>
    <row r="664" spans="2:13" ht="13.5" thickBot="1">
      <c r="I664" s="232"/>
      <c r="K664" s="309">
        <v>0.85327301120164478</v>
      </c>
    </row>
    <row r="665" spans="2:13">
      <c r="B665" s="108" t="s">
        <v>122</v>
      </c>
      <c r="C665" s="236" t="s">
        <v>49</v>
      </c>
      <c r="D665" s="236" t="s">
        <v>50</v>
      </c>
      <c r="I665" s="232"/>
      <c r="M665" s="68"/>
    </row>
    <row r="666" spans="2:13">
      <c r="B666" s="110"/>
      <c r="C666" s="152"/>
      <c r="D666" s="152"/>
      <c r="I666" s="232"/>
    </row>
    <row r="667" spans="2:13">
      <c r="B667" s="110" t="s">
        <v>27</v>
      </c>
      <c r="C667" s="152">
        <f>C653</f>
        <v>47247.727693024499</v>
      </c>
      <c r="D667" s="152">
        <f>C667*I646</f>
        <v>2308.9458333386028</v>
      </c>
      <c r="I667" s="232"/>
    </row>
    <row r="668" spans="2:13" ht="13.5" thickBot="1">
      <c r="B668" s="111" t="s">
        <v>28</v>
      </c>
      <c r="C668" s="153">
        <f>SUM(C666:C667)</f>
        <v>47247.727693024499</v>
      </c>
      <c r="D668" s="153">
        <f>SUM(D666:D667)</f>
        <v>2308.9458333386028</v>
      </c>
      <c r="I668" s="232"/>
    </row>
    <row r="669" spans="2:13">
      <c r="I669" s="232"/>
    </row>
    <row r="670" spans="2:13">
      <c r="C670" s="37"/>
      <c r="M670" s="68"/>
    </row>
    <row r="671" spans="2:13" ht="13.5" thickBot="1"/>
    <row r="672" spans="2:13">
      <c r="B672" s="72" t="s">
        <v>123</v>
      </c>
      <c r="C672" s="234" t="s">
        <v>52</v>
      </c>
      <c r="D672" s="235" t="s">
        <v>50</v>
      </c>
      <c r="E672" s="235" t="s">
        <v>30</v>
      </c>
      <c r="F672" s="427"/>
    </row>
    <row r="673" spans="1:13">
      <c r="B673" s="73"/>
      <c r="C673" s="182"/>
      <c r="D673" s="187"/>
      <c r="E673" s="233"/>
    </row>
    <row r="674" spans="1:13">
      <c r="B674" s="73">
        <v>2021</v>
      </c>
      <c r="C674" s="245">
        <f>E674*$C$652</f>
        <v>0</v>
      </c>
      <c r="D674" s="152">
        <f>C674*$I$693</f>
        <v>0</v>
      </c>
      <c r="E674" s="249">
        <v>0</v>
      </c>
      <c r="F674" s="424"/>
      <c r="G674" s="263"/>
    </row>
    <row r="675" spans="1:13">
      <c r="B675" s="73">
        <v>2022</v>
      </c>
      <c r="C675" s="245">
        <f>E675*$C$652</f>
        <v>2444.0564083011427</v>
      </c>
      <c r="D675" s="152">
        <f>C675*$I$693</f>
        <v>120.33758780409369</v>
      </c>
      <c r="E675" s="249">
        <v>2.8000000000000001E-2</v>
      </c>
      <c r="F675" s="424"/>
      <c r="G675" s="263"/>
    </row>
    <row r="676" spans="1:13">
      <c r="B676" s="73">
        <v>2023</v>
      </c>
      <c r="C676" s="245">
        <f>E676*$C$652</f>
        <v>8554.1974290540002</v>
      </c>
      <c r="D676" s="152">
        <f>C676*$I$693</f>
        <v>421.1815573143279</v>
      </c>
      <c r="E676" s="249">
        <v>9.8000000000000004E-2</v>
      </c>
      <c r="F676" s="424"/>
      <c r="G676" s="263"/>
    </row>
    <row r="677" spans="1:13">
      <c r="B677" s="73">
        <v>2024</v>
      </c>
      <c r="C677" s="245">
        <f>E677*$C$652</f>
        <v>0</v>
      </c>
      <c r="D677" s="152">
        <f>C677*$I$693</f>
        <v>0</v>
      </c>
      <c r="E677" s="249">
        <v>0</v>
      </c>
      <c r="F677" s="424"/>
      <c r="G677" s="263"/>
    </row>
    <row r="678" spans="1:13" ht="13.5" thickBot="1">
      <c r="B678" s="74" t="s">
        <v>109</v>
      </c>
      <c r="C678" s="245">
        <f>E678*$C$652</f>
        <v>76289.475030542817</v>
      </c>
      <c r="D678" s="152">
        <f>C678*$I$693</f>
        <v>3756.2518478849247</v>
      </c>
      <c r="E678" s="250">
        <f>2.1%+2.8%+82.5%</f>
        <v>0.874</v>
      </c>
      <c r="F678" s="424"/>
      <c r="G678" s="263"/>
    </row>
    <row r="679" spans="1:13" s="68" customFormat="1" ht="13.5" thickBot="1">
      <c r="A679" s="34"/>
      <c r="B679" s="206" t="s">
        <v>32</v>
      </c>
      <c r="C679" s="207">
        <f>SUM(C673:C678)</f>
        <v>87287.728867897968</v>
      </c>
      <c r="D679" s="208">
        <f>SUM(D673:D678)</f>
        <v>4297.7709930033461</v>
      </c>
      <c r="E679" s="261">
        <f>+SUM(E674:E678)</f>
        <v>1</v>
      </c>
      <c r="F679" s="317"/>
      <c r="G679" s="263"/>
      <c r="H679" s="34"/>
      <c r="I679" s="34"/>
      <c r="J679" s="34"/>
      <c r="K679" s="34"/>
      <c r="L679" s="34"/>
      <c r="M679" s="34"/>
    </row>
    <row r="681" spans="1:13">
      <c r="B681" s="259" t="s">
        <v>23</v>
      </c>
      <c r="C681" s="260">
        <f>C679-C652</f>
        <v>0</v>
      </c>
      <c r="M681" s="68"/>
    </row>
    <row r="684" spans="1:13" s="68" customFormat="1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</row>
    <row r="691" spans="1:13">
      <c r="A691" s="68" t="s">
        <v>124</v>
      </c>
    </row>
    <row r="693" spans="1:13">
      <c r="H693" s="68" t="s">
        <v>125</v>
      </c>
      <c r="I693" s="151">
        <f>Model!AQ160</f>
        <v>4.9236829148202856E-2</v>
      </c>
    </row>
    <row r="694" spans="1:13">
      <c r="B694" s="32" t="s">
        <v>126</v>
      </c>
      <c r="C694" s="35" t="s">
        <v>9</v>
      </c>
      <c r="D694" s="35" t="s">
        <v>10</v>
      </c>
      <c r="E694" s="35" t="s">
        <v>11</v>
      </c>
      <c r="F694" s="296"/>
      <c r="G694" s="151"/>
      <c r="H694" s="33"/>
      <c r="I694" s="33"/>
    </row>
    <row r="695" spans="1:13" s="68" customFormat="1">
      <c r="A695" s="34"/>
      <c r="B695" s="158" t="s">
        <v>42</v>
      </c>
      <c r="C695" s="285">
        <f>558.225694425489+838.084005197831</f>
        <v>1396.3096996233198</v>
      </c>
      <c r="D695" s="165">
        <f>C695*$I$693</f>
        <v>68.749862118331848</v>
      </c>
      <c r="E695" s="262"/>
      <c r="F695" s="374"/>
      <c r="G695" s="151"/>
      <c r="H695" s="33"/>
      <c r="I695" s="33"/>
      <c r="J695" s="34"/>
      <c r="K695" s="34"/>
      <c r="L695" s="34"/>
      <c r="M695" s="34"/>
    </row>
    <row r="696" spans="1:13">
      <c r="A696" s="68"/>
      <c r="B696" s="158" t="s">
        <v>15</v>
      </c>
      <c r="C696" s="285">
        <v>2703.6060874918853</v>
      </c>
      <c r="D696" s="264">
        <f>C696*$I$693</f>
        <v>133.11699101387913</v>
      </c>
      <c r="E696" s="262"/>
      <c r="F696" s="374"/>
      <c r="G696" s="151"/>
      <c r="H696" s="68"/>
      <c r="I696" s="68"/>
      <c r="J696" s="68"/>
      <c r="K696" s="68"/>
    </row>
    <row r="697" spans="1:13" ht="15.75">
      <c r="A697" s="68"/>
      <c r="B697" s="158" t="s">
        <v>16</v>
      </c>
      <c r="C697" s="299">
        <f>Model!AQ124-C695-C696</f>
        <v>82690.015032654803</v>
      </c>
      <c r="D697" s="264">
        <f>C697*$I$693</f>
        <v>4071.3941424251502</v>
      </c>
      <c r="E697" s="262"/>
      <c r="F697" s="374"/>
      <c r="G697" s="300"/>
      <c r="H697" s="301"/>
      <c r="I697" s="68"/>
      <c r="J697" s="68"/>
      <c r="K697" s="68"/>
    </row>
    <row r="698" spans="1:13">
      <c r="B698" s="41"/>
      <c r="C698" s="41"/>
      <c r="D698" s="37"/>
      <c r="E698" s="41"/>
      <c r="F698" s="422"/>
      <c r="G698" s="161"/>
    </row>
    <row r="699" spans="1:13">
      <c r="B699" s="42" t="s">
        <v>17</v>
      </c>
      <c r="C699" s="258">
        <f>C697+C696+C695</f>
        <v>86789.930819770016</v>
      </c>
      <c r="D699" s="258">
        <f>SUM(D695:D698)</f>
        <v>4273.2609955573607</v>
      </c>
      <c r="E699" s="43">
        <f>+C699/C704</f>
        <v>2.2781282370817637</v>
      </c>
      <c r="F699" s="420"/>
      <c r="L699" s="68"/>
    </row>
    <row r="700" spans="1:13">
      <c r="B700" s="41" t="s">
        <v>18</v>
      </c>
      <c r="C700" s="212">
        <f>Model!AQ127</f>
        <v>50088.027773117428</v>
      </c>
      <c r="D700" s="165">
        <f>C700*$I$693</f>
        <v>2466.1756658354225</v>
      </c>
      <c r="E700" s="44"/>
      <c r="F700" s="421"/>
      <c r="G700" s="190"/>
    </row>
    <row r="701" spans="1:13">
      <c r="B701" s="42" t="s">
        <v>19</v>
      </c>
      <c r="C701" s="258">
        <f>+C699-C700</f>
        <v>36701.903046652587</v>
      </c>
      <c r="D701" s="258">
        <f>+D699-D700</f>
        <v>1807.0853297219383</v>
      </c>
      <c r="E701" s="43">
        <f>+C701/C704</f>
        <v>0.96337951759457385</v>
      </c>
      <c r="F701" s="420"/>
      <c r="H701" s="68" t="s">
        <v>8</v>
      </c>
    </row>
    <row r="702" spans="1:13">
      <c r="B702" s="69" t="s">
        <v>20</v>
      </c>
      <c r="C702" s="209">
        <f>Model!AQ138</f>
        <v>122744.67454423982</v>
      </c>
      <c r="D702" s="165">
        <f>C702*$I$693</f>
        <v>6043.5585693865005</v>
      </c>
      <c r="E702" s="71"/>
      <c r="F702" s="420"/>
      <c r="G702" s="190"/>
      <c r="H702" s="32" t="s">
        <v>126</v>
      </c>
      <c r="I702" s="35" t="s">
        <v>9</v>
      </c>
      <c r="J702" s="35" t="s">
        <v>10</v>
      </c>
      <c r="K702" s="35" t="s">
        <v>11</v>
      </c>
    </row>
    <row r="703" spans="1:13">
      <c r="B703" s="69" t="s">
        <v>21</v>
      </c>
      <c r="C703" s="210">
        <f>C699+C702</f>
        <v>209534.60536400985</v>
      </c>
      <c r="D703" s="210">
        <f>D699+D702</f>
        <v>10316.81956494386</v>
      </c>
      <c r="E703" s="71"/>
      <c r="F703" s="420"/>
      <c r="H703" s="42" t="s">
        <v>14</v>
      </c>
      <c r="I703" s="307">
        <v>32542.273678813111</v>
      </c>
      <c r="J703" s="308">
        <f>I703*I693</f>
        <v>1602.27836921778</v>
      </c>
      <c r="K703" s="309">
        <v>0.93633363764471822</v>
      </c>
    </row>
    <row r="704" spans="1:13">
      <c r="B704" s="41" t="s">
        <v>22</v>
      </c>
      <c r="C704" s="212">
        <f>Model!AQ92</f>
        <v>38097.034840736691</v>
      </c>
      <c r="D704" s="211"/>
      <c r="E704" s="41"/>
      <c r="F704" s="422"/>
      <c r="L704" s="68"/>
    </row>
    <row r="706" spans="2:13">
      <c r="B706" s="166"/>
      <c r="C706" s="167"/>
      <c r="H706" s="231"/>
    </row>
    <row r="708" spans="2:13">
      <c r="B708" s="42" t="s">
        <v>24</v>
      </c>
      <c r="C708" s="154">
        <f>C701+Model!AQ137</f>
        <v>272247.90304665256</v>
      </c>
      <c r="E708"/>
      <c r="F708"/>
    </row>
    <row r="709" spans="2:13">
      <c r="B709" s="42" t="s">
        <v>25</v>
      </c>
      <c r="C709" s="43">
        <f>C708/C704</f>
        <v>7.1461704089248759</v>
      </c>
      <c r="E709"/>
      <c r="F709"/>
      <c r="G709" s="246"/>
    </row>
    <row r="710" spans="2:13">
      <c r="G710"/>
    </row>
    <row r="711" spans="2:13" ht="13.5" thickBot="1">
      <c r="I711" s="232"/>
    </row>
    <row r="712" spans="2:13">
      <c r="B712" s="108" t="s">
        <v>127</v>
      </c>
      <c r="C712" s="236" t="s">
        <v>49</v>
      </c>
      <c r="D712" s="236" t="s">
        <v>50</v>
      </c>
      <c r="I712" s="232"/>
    </row>
    <row r="713" spans="2:13">
      <c r="B713" s="110"/>
      <c r="C713" s="152"/>
      <c r="D713" s="152"/>
      <c r="I713" s="232"/>
    </row>
    <row r="714" spans="2:13">
      <c r="B714" s="110" t="s">
        <v>27</v>
      </c>
      <c r="C714" s="152">
        <f>C700</f>
        <v>50088.027773117428</v>
      </c>
      <c r="D714" s="152">
        <f>C714*I693</f>
        <v>2466.1756658354225</v>
      </c>
      <c r="I714" s="232"/>
    </row>
    <row r="715" spans="2:13" ht="13.5" thickBot="1">
      <c r="B715" s="111" t="s">
        <v>28</v>
      </c>
      <c r="C715" s="153">
        <f>SUM(C713:C714)</f>
        <v>50088.027773117428</v>
      </c>
      <c r="D715" s="153">
        <f>SUM(D713:D714)</f>
        <v>2466.1756658354225</v>
      </c>
      <c r="I715" s="232"/>
      <c r="L715" s="68"/>
    </row>
    <row r="716" spans="2:13">
      <c r="I716" s="232"/>
    </row>
    <row r="717" spans="2:13">
      <c r="C717" s="37"/>
    </row>
    <row r="718" spans="2:13" ht="13.5" thickBot="1"/>
    <row r="719" spans="2:13">
      <c r="B719" s="72" t="s">
        <v>128</v>
      </c>
      <c r="C719" s="234" t="s">
        <v>52</v>
      </c>
      <c r="D719" s="235" t="s">
        <v>50</v>
      </c>
      <c r="E719" s="235" t="s">
        <v>30</v>
      </c>
      <c r="F719" s="427"/>
      <c r="M719" s="68"/>
    </row>
    <row r="720" spans="2:13">
      <c r="B720" s="73"/>
      <c r="C720" s="182"/>
      <c r="D720" s="187"/>
      <c r="E720" s="233"/>
    </row>
    <row r="721" spans="1:13">
      <c r="B721" s="73">
        <v>2021</v>
      </c>
      <c r="C721" s="245">
        <f>E721*$C$699</f>
        <v>433.94965409885009</v>
      </c>
      <c r="D721" s="152">
        <f>C721*$I$693</f>
        <v>21.366304977786807</v>
      </c>
      <c r="E721" s="249">
        <v>5.0000000000000001E-3</v>
      </c>
      <c r="F721" s="424"/>
      <c r="G721" s="263"/>
    </row>
    <row r="722" spans="1:13">
      <c r="B722" s="73">
        <v>2022</v>
      </c>
      <c r="C722" s="245">
        <f>E722*$C$699</f>
        <v>2256.5382013140202</v>
      </c>
      <c r="D722" s="152">
        <f>C722*$I$693</f>
        <v>111.10478588449139</v>
      </c>
      <c r="E722" s="249">
        <v>2.5999999999999999E-2</v>
      </c>
      <c r="F722" s="424"/>
      <c r="G722" s="263"/>
    </row>
    <row r="723" spans="1:13">
      <c r="B723" s="73">
        <v>2023</v>
      </c>
      <c r="C723" s="245">
        <f>E723*$C$699</f>
        <v>8592.2031511572313</v>
      </c>
      <c r="D723" s="152">
        <f>C723*$I$693</f>
        <v>423.05283856017877</v>
      </c>
      <c r="E723" s="249">
        <v>9.9000000000000005E-2</v>
      </c>
      <c r="F723" s="424"/>
      <c r="G723" s="263"/>
    </row>
    <row r="724" spans="1:13">
      <c r="B724" s="73">
        <v>2024</v>
      </c>
      <c r="C724" s="245">
        <f>E724*$C$699</f>
        <v>0</v>
      </c>
      <c r="D724" s="152">
        <f>C724*$I$693</f>
        <v>0</v>
      </c>
      <c r="E724" s="249">
        <v>0</v>
      </c>
      <c r="F724" s="424"/>
      <c r="G724" s="263"/>
      <c r="M724" s="68"/>
    </row>
    <row r="725" spans="1:13" ht="13.5" thickBot="1">
      <c r="B725" s="74" t="s">
        <v>109</v>
      </c>
      <c r="C725" s="245">
        <f>E725*$C$699</f>
        <v>75507.239813199922</v>
      </c>
      <c r="D725" s="152">
        <f>C725*$I$693</f>
        <v>3717.737066134905</v>
      </c>
      <c r="E725" s="250">
        <f>2.1%+84.9%</f>
        <v>0.87000000000000011</v>
      </c>
      <c r="F725" s="424"/>
      <c r="G725" s="263"/>
    </row>
    <row r="726" spans="1:13" ht="13.5" thickBot="1">
      <c r="B726" s="206" t="s">
        <v>32</v>
      </c>
      <c r="C726" s="207">
        <f>SUM(C720:C725)</f>
        <v>86789.93081977003</v>
      </c>
      <c r="D726" s="208">
        <f>SUM(D720:D725)</f>
        <v>4273.2609955573616</v>
      </c>
      <c r="E726" s="261">
        <f>+SUM(E721:E725)</f>
        <v>1</v>
      </c>
      <c r="F726" s="317"/>
      <c r="G726" s="263"/>
    </row>
    <row r="728" spans="1:13">
      <c r="B728" s="259" t="s">
        <v>23</v>
      </c>
      <c r="C728" s="260">
        <f>C726-C699</f>
        <v>0</v>
      </c>
    </row>
    <row r="730" spans="1:13">
      <c r="A730" s="68" t="s">
        <v>129</v>
      </c>
    </row>
    <row r="732" spans="1:13">
      <c r="H732" s="68" t="s">
        <v>130</v>
      </c>
      <c r="I732" s="151">
        <f>Model!AP160</f>
        <v>4.3535045711797997E-2</v>
      </c>
    </row>
    <row r="733" spans="1:13">
      <c r="B733" s="32" t="s">
        <v>131</v>
      </c>
      <c r="C733" s="35" t="s">
        <v>9</v>
      </c>
      <c r="D733" s="35" t="s">
        <v>10</v>
      </c>
      <c r="E733" s="35" t="s">
        <v>11</v>
      </c>
      <c r="F733" s="296"/>
      <c r="G733" s="151"/>
      <c r="H733" s="33"/>
      <c r="I733" s="33"/>
    </row>
    <row r="734" spans="1:13">
      <c r="B734" s="158" t="s">
        <v>42</v>
      </c>
      <c r="C734" s="285">
        <f>553.678263202475+890.69848283725</f>
        <v>1444.376746039725</v>
      </c>
      <c r="D734" s="165">
        <f>C734*$I$732</f>
        <v>62.881007663897478</v>
      </c>
      <c r="E734" s="262"/>
      <c r="F734" s="374"/>
      <c r="G734" s="151"/>
      <c r="H734" s="33"/>
      <c r="I734" s="33"/>
    </row>
    <row r="735" spans="1:13">
      <c r="A735" s="68"/>
      <c r="B735" s="158" t="s">
        <v>15</v>
      </c>
      <c r="C735" s="264">
        <f>3147.93558581383</f>
        <v>3147.9355858138301</v>
      </c>
      <c r="D735" s="264">
        <f>C735*$I$732</f>
        <v>137.0455196262007</v>
      </c>
      <c r="E735" s="262"/>
      <c r="F735" s="374"/>
      <c r="G735" s="151"/>
      <c r="H735" s="68"/>
      <c r="I735" s="68"/>
      <c r="J735" s="68"/>
      <c r="K735" s="68"/>
      <c r="M735" s="68"/>
    </row>
    <row r="736" spans="1:13" ht="15.75">
      <c r="A736" s="68"/>
      <c r="B736" s="158" t="s">
        <v>16</v>
      </c>
      <c r="C736" s="299">
        <f>Model!AP124-C734-C735</f>
        <v>81213.022434107101</v>
      </c>
      <c r="D736" s="264">
        <f>C736*$I$732</f>
        <v>3535.6126440621288</v>
      </c>
      <c r="E736" s="262"/>
      <c r="F736" s="374"/>
      <c r="G736" s="300"/>
      <c r="H736" s="301"/>
      <c r="I736" s="68"/>
      <c r="J736" s="68"/>
    </row>
    <row r="737" spans="2:11">
      <c r="B737" s="41"/>
      <c r="C737" s="41"/>
      <c r="D737" s="37"/>
      <c r="E737" s="41"/>
      <c r="F737" s="422"/>
      <c r="G737" s="161"/>
      <c r="K737" s="35" t="s">
        <v>11</v>
      </c>
    </row>
    <row r="738" spans="2:11">
      <c r="B738" s="42" t="s">
        <v>17</v>
      </c>
      <c r="C738" s="258">
        <f>C736+C735+C734</f>
        <v>85805.334765960652</v>
      </c>
      <c r="D738" s="258">
        <f>SUM(D734:D737)</f>
        <v>3735.5391713522267</v>
      </c>
      <c r="E738" s="43">
        <f>+C738/C743</f>
        <v>2.2085158503974425</v>
      </c>
      <c r="F738" s="420"/>
      <c r="K738" s="309">
        <v>1.0065554764977536</v>
      </c>
    </row>
    <row r="739" spans="2:11">
      <c r="B739" s="41" t="s">
        <v>18</v>
      </c>
      <c r="C739" s="212">
        <f>Model!AP127</f>
        <v>46785.612999999998</v>
      </c>
      <c r="D739" s="165">
        <f>C739*$I$732</f>
        <v>2036.8138006094905</v>
      </c>
      <c r="E739" s="44"/>
      <c r="F739" s="421"/>
      <c r="G739" s="190"/>
      <c r="K739" s="295"/>
    </row>
    <row r="740" spans="2:11">
      <c r="B740" s="42" t="s">
        <v>19</v>
      </c>
      <c r="C740" s="258">
        <f>+C738-C739</f>
        <v>39019.721765960654</v>
      </c>
      <c r="D740" s="258">
        <f>+D738-D739</f>
        <v>1698.7253707427362</v>
      </c>
      <c r="E740" s="43">
        <f>+C740/C743</f>
        <v>1.0043160397109534</v>
      </c>
      <c r="F740" s="420"/>
      <c r="H740" s="68" t="s">
        <v>8</v>
      </c>
      <c r="K740" s="71"/>
    </row>
    <row r="741" spans="2:11">
      <c r="B741" s="69" t="s">
        <v>20</v>
      </c>
      <c r="C741" s="209">
        <f>Model!AP138</f>
        <v>119585.34600000001</v>
      </c>
      <c r="D741" s="165">
        <f>C741*$I$732</f>
        <v>5206.1535045711798</v>
      </c>
      <c r="E741" s="71"/>
      <c r="F741" s="420"/>
      <c r="G741" s="190"/>
      <c r="H741" s="32" t="s">
        <v>131</v>
      </c>
      <c r="I741" s="35" t="s">
        <v>9</v>
      </c>
      <c r="J741" s="35" t="s">
        <v>10</v>
      </c>
      <c r="K741" s="41"/>
    </row>
    <row r="742" spans="2:11">
      <c r="B742" s="69" t="s">
        <v>21</v>
      </c>
      <c r="C742" s="210">
        <f>C738+C741</f>
        <v>205390.68076596066</v>
      </c>
      <c r="D742" s="210">
        <f>D738+D741</f>
        <v>8941.6926759234066</v>
      </c>
      <c r="E742" s="71"/>
      <c r="F742" s="420"/>
      <c r="H742" s="42" t="s">
        <v>14</v>
      </c>
      <c r="I742" s="307">
        <v>36391.66071271593</v>
      </c>
      <c r="J742" s="308">
        <f>I742*I732</f>
        <v>1584.3126126563313</v>
      </c>
      <c r="K742" s="41"/>
    </row>
    <row r="743" spans="2:11">
      <c r="B743" s="41" t="s">
        <v>22</v>
      </c>
      <c r="C743" s="212">
        <f>Model!AP92</f>
        <v>38852.034840736691</v>
      </c>
      <c r="D743" s="211"/>
      <c r="E743" s="41"/>
      <c r="F743" s="422"/>
    </row>
    <row r="745" spans="2:11">
      <c r="B745" s="166"/>
      <c r="C745" s="167"/>
      <c r="H745" s="231"/>
    </row>
    <row r="747" spans="2:11">
      <c r="B747" s="42" t="s">
        <v>24</v>
      </c>
      <c r="C747" s="154">
        <f>C740+Model!AP137</f>
        <v>247397.72176596065</v>
      </c>
      <c r="E747"/>
      <c r="F747"/>
    </row>
    <row r="748" spans="2:11">
      <c r="B748" s="42" t="s">
        <v>25</v>
      </c>
      <c r="C748" s="43">
        <f>C747/C743</f>
        <v>6.3676902067060341</v>
      </c>
      <c r="E748"/>
      <c r="F748"/>
      <c r="G748" s="246"/>
    </row>
    <row r="749" spans="2:11">
      <c r="G749"/>
    </row>
    <row r="750" spans="2:11" ht="13.5" thickBot="1">
      <c r="I750" s="232"/>
    </row>
    <row r="751" spans="2:11">
      <c r="B751" s="108" t="s">
        <v>132</v>
      </c>
      <c r="C751" s="236" t="s">
        <v>49</v>
      </c>
      <c r="D751" s="236" t="s">
        <v>50</v>
      </c>
      <c r="I751" s="232"/>
      <c r="K751" s="68"/>
    </row>
    <row r="752" spans="2:11">
      <c r="B752" s="110"/>
      <c r="C752" s="152"/>
      <c r="D752" s="152"/>
      <c r="I752" s="232"/>
    </row>
    <row r="753" spans="2:12">
      <c r="B753" s="110" t="s">
        <v>27</v>
      </c>
      <c r="C753" s="152">
        <f>C739</f>
        <v>46785.612999999998</v>
      </c>
      <c r="D753" s="152">
        <f>C753*I732</f>
        <v>2036.8138006094905</v>
      </c>
      <c r="I753" s="232"/>
      <c r="L753" s="68"/>
    </row>
    <row r="754" spans="2:12" ht="13.5" thickBot="1">
      <c r="B754" s="111" t="s">
        <v>28</v>
      </c>
      <c r="C754" s="153">
        <f>SUM(C752:C753)</f>
        <v>46785.612999999998</v>
      </c>
      <c r="D754" s="153">
        <f>SUM(D752:D753)</f>
        <v>2036.8138006094905</v>
      </c>
      <c r="I754" s="232"/>
    </row>
    <row r="755" spans="2:12">
      <c r="I755" s="232"/>
    </row>
    <row r="756" spans="2:12">
      <c r="C756" s="37"/>
    </row>
    <row r="757" spans="2:12" ht="13.5" thickBot="1"/>
    <row r="758" spans="2:12">
      <c r="B758" s="72" t="s">
        <v>133</v>
      </c>
      <c r="C758" s="234" t="s">
        <v>52</v>
      </c>
      <c r="D758" s="235" t="s">
        <v>50</v>
      </c>
      <c r="E758" s="235" t="s">
        <v>30</v>
      </c>
      <c r="F758" s="427"/>
      <c r="L758" s="68"/>
    </row>
    <row r="759" spans="2:12">
      <c r="B759" s="73"/>
      <c r="C759" s="182"/>
      <c r="D759" s="187"/>
      <c r="E759" s="233"/>
    </row>
    <row r="760" spans="2:12">
      <c r="B760" s="73">
        <v>2021</v>
      </c>
      <c r="C760" s="245">
        <f>E760*$C$738</f>
        <v>1201.2746867234491</v>
      </c>
      <c r="D760" s="152">
        <f>C760*$I$732</f>
        <v>52.297548398931177</v>
      </c>
      <c r="E760" s="249">
        <v>1.4E-2</v>
      </c>
      <c r="F760" s="424"/>
      <c r="G760" s="263"/>
    </row>
    <row r="761" spans="2:12">
      <c r="B761" s="73">
        <v>2022</v>
      </c>
      <c r="C761" s="245">
        <f>E761*$C$738</f>
        <v>2230.9387039149769</v>
      </c>
      <c r="D761" s="152">
        <f>C761*$I$732</f>
        <v>97.124018455157895</v>
      </c>
      <c r="E761" s="249">
        <v>2.5999999999999999E-2</v>
      </c>
      <c r="F761" s="424"/>
      <c r="G761" s="263"/>
    </row>
    <row r="762" spans="2:12">
      <c r="B762" s="73">
        <v>2023</v>
      </c>
      <c r="C762" s="245">
        <f>E762*$C$738</f>
        <v>8151.5068027662619</v>
      </c>
      <c r="D762" s="152">
        <f>C762*$I$732</f>
        <v>354.87622127846157</v>
      </c>
      <c r="E762" s="249">
        <v>9.5000000000000001E-2</v>
      </c>
      <c r="F762" s="424"/>
      <c r="G762" s="263"/>
    </row>
    <row r="763" spans="2:12">
      <c r="B763" s="73">
        <v>2024</v>
      </c>
      <c r="C763" s="245">
        <f>E763*$C$738</f>
        <v>343.22133906384261</v>
      </c>
      <c r="D763" s="152">
        <f>C763*$I$732</f>
        <v>14.942156685408907</v>
      </c>
      <c r="E763" s="249">
        <v>4.0000000000000001E-3</v>
      </c>
      <c r="F763" s="424"/>
      <c r="G763" s="263"/>
    </row>
    <row r="764" spans="2:12" ht="13.5" thickBot="1">
      <c r="B764" s="74" t="s">
        <v>109</v>
      </c>
      <c r="C764" s="245">
        <f>E764*$C$738</f>
        <v>73878.393233492126</v>
      </c>
      <c r="D764" s="152">
        <f>C764*$I$732</f>
        <v>3216.2992265342677</v>
      </c>
      <c r="E764" s="250">
        <f>9.3%+76.8%</f>
        <v>0.86099999999999999</v>
      </c>
      <c r="F764" s="424"/>
      <c r="G764" s="263"/>
    </row>
    <row r="765" spans="2:12" ht="13.5" thickBot="1">
      <c r="B765" s="206" t="s">
        <v>32</v>
      </c>
      <c r="C765" s="207">
        <f>SUM(C759:C764)</f>
        <v>85805.334765960652</v>
      </c>
      <c r="D765" s="208">
        <f>SUM(D759:D764)</f>
        <v>3735.5391713522272</v>
      </c>
      <c r="E765" s="261">
        <f>+SUM(E760:E764)</f>
        <v>1</v>
      </c>
      <c r="F765" s="317"/>
      <c r="G765" s="263"/>
    </row>
    <row r="767" spans="2:12">
      <c r="B767" s="259" t="s">
        <v>23</v>
      </c>
      <c r="C767" s="260">
        <f>C765-C738</f>
        <v>0</v>
      </c>
    </row>
    <row r="769" spans="1:12">
      <c r="A769" s="68" t="s">
        <v>134</v>
      </c>
      <c r="L769" s="68"/>
    </row>
    <row r="771" spans="1:12">
      <c r="H771" s="68" t="s">
        <v>135</v>
      </c>
      <c r="I771" s="151">
        <f>Model!AO160</f>
        <v>4.8935649620748721E-2</v>
      </c>
    </row>
    <row r="772" spans="1:12">
      <c r="B772" s="32" t="s">
        <v>136</v>
      </c>
      <c r="C772" s="35" t="s">
        <v>9</v>
      </c>
      <c r="D772" s="35" t="s">
        <v>10</v>
      </c>
      <c r="E772" s="35" t="s">
        <v>11</v>
      </c>
      <c r="F772" s="296"/>
      <c r="G772" s="151"/>
      <c r="H772" s="33"/>
      <c r="I772" s="33"/>
    </row>
    <row r="773" spans="1:12">
      <c r="B773" s="158" t="s">
        <v>42</v>
      </c>
      <c r="C773" s="285">
        <f>550.116262124493+866.868298501638</f>
        <v>1416.984560626131</v>
      </c>
      <c r="D773" s="165">
        <f>C773*$I$771</f>
        <v>69.341059976810925</v>
      </c>
      <c r="E773" s="262"/>
      <c r="F773" s="374"/>
      <c r="G773" s="151"/>
      <c r="H773" s="33"/>
      <c r="I773" s="33"/>
    </row>
    <row r="774" spans="1:12">
      <c r="A774" s="68"/>
      <c r="B774" s="158" t="s">
        <v>15</v>
      </c>
      <c r="C774" s="264">
        <f>SUM(C775:C778)</f>
        <v>0</v>
      </c>
      <c r="D774" s="264">
        <f t="shared" ref="D774:D790" si="30">C774*$I$771</f>
        <v>0</v>
      </c>
      <c r="E774" s="262"/>
      <c r="F774" s="374"/>
      <c r="G774" s="151"/>
      <c r="H774" s="68"/>
      <c r="I774" s="68"/>
      <c r="J774" s="68"/>
    </row>
    <row r="775" spans="1:12" ht="25.5">
      <c r="B775" s="158" t="s">
        <v>137</v>
      </c>
      <c r="C775" s="285"/>
      <c r="D775" s="165">
        <f t="shared" si="30"/>
        <v>0</v>
      </c>
      <c r="E775" s="284"/>
      <c r="F775" s="374"/>
      <c r="G775" s="161"/>
      <c r="H775" s="68" t="s">
        <v>8</v>
      </c>
    </row>
    <row r="776" spans="1:12" ht="25.5">
      <c r="B776" s="158" t="s">
        <v>138</v>
      </c>
      <c r="C776" s="285"/>
      <c r="D776" s="165">
        <f t="shared" si="30"/>
        <v>0</v>
      </c>
      <c r="E776" s="262"/>
      <c r="F776" s="374"/>
      <c r="G776" s="162"/>
      <c r="H776" s="32" t="s">
        <v>136</v>
      </c>
      <c r="I776" s="35" t="s">
        <v>9</v>
      </c>
      <c r="J776" s="35" t="s">
        <v>10</v>
      </c>
    </row>
    <row r="777" spans="1:12" ht="25.5">
      <c r="B777" s="158" t="s">
        <v>139</v>
      </c>
      <c r="C777" s="285"/>
      <c r="D777" s="165">
        <f t="shared" si="30"/>
        <v>0</v>
      </c>
      <c r="E777" s="262"/>
      <c r="F777" s="374"/>
      <c r="G777" s="161"/>
      <c r="H777" s="42" t="s">
        <v>14</v>
      </c>
      <c r="I777" s="307">
        <v>37309.188877276953</v>
      </c>
      <c r="J777" s="308">
        <f>I777*I771</f>
        <v>1825.7493945327603</v>
      </c>
    </row>
    <row r="778" spans="1:12">
      <c r="B778" s="158" t="s">
        <v>140</v>
      </c>
      <c r="C778" s="285"/>
      <c r="D778" s="165">
        <f t="shared" si="30"/>
        <v>0</v>
      </c>
      <c r="E778" s="262"/>
      <c r="F778" s="374"/>
      <c r="G778" s="161"/>
      <c r="H778" s="69"/>
      <c r="I778" s="294"/>
      <c r="J778" s="70"/>
    </row>
    <row r="779" spans="1:12">
      <c r="A779" s="68"/>
      <c r="B779" s="158" t="s">
        <v>16</v>
      </c>
      <c r="C779" s="306">
        <f>SUM(C780:C789)</f>
        <v>0</v>
      </c>
      <c r="D779" s="264">
        <f t="shared" si="30"/>
        <v>0</v>
      </c>
      <c r="E779" s="262"/>
      <c r="F779" s="374"/>
      <c r="G779" s="296"/>
      <c r="H779" s="69"/>
      <c r="I779" s="297"/>
      <c r="J779" s="70"/>
    </row>
    <row r="780" spans="1:12" ht="25.5">
      <c r="B780" s="158" t="s">
        <v>141</v>
      </c>
      <c r="C780" s="285"/>
      <c r="D780" s="165">
        <f t="shared" si="30"/>
        <v>0</v>
      </c>
      <c r="E780" s="262"/>
      <c r="F780" s="374"/>
      <c r="G780" s="161"/>
      <c r="H780" s="41"/>
      <c r="I780" s="244"/>
      <c r="J780" s="211"/>
    </row>
    <row r="781" spans="1:12">
      <c r="B781" s="293" t="s">
        <v>142</v>
      </c>
      <c r="C781" s="285"/>
      <c r="D781" s="165">
        <f t="shared" si="30"/>
        <v>0</v>
      </c>
      <c r="E781" s="262"/>
      <c r="F781" s="374"/>
      <c r="G781" s="163"/>
      <c r="H781" s="41"/>
      <c r="I781" s="244"/>
      <c r="J781" s="211"/>
    </row>
    <row r="782" spans="1:12">
      <c r="B782" s="293" t="s">
        <v>143</v>
      </c>
      <c r="C782" s="285"/>
      <c r="D782" s="165">
        <f t="shared" si="30"/>
        <v>0</v>
      </c>
      <c r="E782" s="262"/>
      <c r="F782" s="374"/>
      <c r="G782" s="161"/>
    </row>
    <row r="783" spans="1:12">
      <c r="B783" s="293" t="s">
        <v>144</v>
      </c>
      <c r="C783" s="285"/>
      <c r="D783" s="165">
        <f t="shared" si="30"/>
        <v>0</v>
      </c>
      <c r="E783" s="262"/>
      <c r="F783" s="374"/>
      <c r="G783" s="161"/>
    </row>
    <row r="784" spans="1:12">
      <c r="B784" s="158" t="s">
        <v>145</v>
      </c>
      <c r="C784" s="285"/>
      <c r="D784" s="165">
        <f t="shared" si="30"/>
        <v>0</v>
      </c>
      <c r="E784" s="262"/>
      <c r="F784" s="374"/>
      <c r="G784" s="161"/>
    </row>
    <row r="785" spans="1:11">
      <c r="B785" s="158" t="s">
        <v>146</v>
      </c>
      <c r="C785" s="285"/>
      <c r="D785" s="165">
        <f t="shared" si="30"/>
        <v>0</v>
      </c>
      <c r="E785" s="262"/>
      <c r="F785" s="374"/>
      <c r="G785" s="161"/>
    </row>
    <row r="786" spans="1:11" ht="25.5">
      <c r="B786" s="158" t="s">
        <v>147</v>
      </c>
      <c r="C786" s="285"/>
      <c r="D786" s="165">
        <f t="shared" si="30"/>
        <v>0</v>
      </c>
      <c r="E786" s="262"/>
      <c r="F786" s="374"/>
      <c r="G786" s="161"/>
    </row>
    <row r="787" spans="1:11" ht="25.5">
      <c r="B787" s="158" t="s">
        <v>148</v>
      </c>
      <c r="C787" s="285"/>
      <c r="D787" s="165">
        <f t="shared" si="30"/>
        <v>0</v>
      </c>
      <c r="E787" s="262"/>
      <c r="F787" s="374"/>
      <c r="G787" s="161"/>
    </row>
    <row r="788" spans="1:11">
      <c r="B788" s="158" t="s">
        <v>149</v>
      </c>
      <c r="C788" s="285"/>
      <c r="D788" s="165">
        <f t="shared" si="30"/>
        <v>0</v>
      </c>
      <c r="E788" s="262"/>
      <c r="F788" s="374"/>
      <c r="G788" s="161"/>
    </row>
    <row r="789" spans="1:11">
      <c r="B789" s="158" t="s">
        <v>150</v>
      </c>
      <c r="C789" s="285"/>
      <c r="D789" s="165">
        <f t="shared" si="30"/>
        <v>0</v>
      </c>
      <c r="E789" s="262"/>
      <c r="F789" s="374"/>
      <c r="G789" s="161"/>
      <c r="K789" s="68"/>
    </row>
    <row r="790" spans="1:11" ht="15.75">
      <c r="A790" s="68"/>
      <c r="B790" s="158" t="s">
        <v>151</v>
      </c>
      <c r="C790" s="299">
        <f>Model!AO124-C773-C774-C779</f>
        <v>88761.627935663957</v>
      </c>
      <c r="D790" s="264">
        <f t="shared" si="30"/>
        <v>4343.6079244269131</v>
      </c>
      <c r="E790" s="262"/>
      <c r="F790" s="374"/>
      <c r="G790" s="300"/>
      <c r="H790" s="301"/>
      <c r="I790" s="68"/>
      <c r="J790" s="68"/>
    </row>
    <row r="791" spans="1:11">
      <c r="B791" s="41"/>
      <c r="C791" s="41"/>
      <c r="D791" s="37"/>
      <c r="E791" s="41"/>
      <c r="F791" s="422"/>
      <c r="G791" s="161"/>
      <c r="K791" s="35" t="s">
        <v>11</v>
      </c>
    </row>
    <row r="792" spans="1:11">
      <c r="B792" s="42" t="s">
        <v>17</v>
      </c>
      <c r="C792" s="258">
        <f>C790+C779+C774+C773</f>
        <v>90178.612496290094</v>
      </c>
      <c r="D792" s="258">
        <f>SUM(D773:D791)</f>
        <v>4412.9489844037244</v>
      </c>
      <c r="E792" s="43">
        <f>+C792/C797</f>
        <v>2.4329032252623377</v>
      </c>
      <c r="F792" s="420"/>
      <c r="K792" s="248">
        <v>1.05319296562148</v>
      </c>
    </row>
    <row r="793" spans="1:11">
      <c r="B793" s="41" t="s">
        <v>18</v>
      </c>
      <c r="C793" s="212">
        <f>Model!AO127</f>
        <v>48424.992211382458</v>
      </c>
      <c r="D793" s="165">
        <f>C793*$I$771</f>
        <v>2369.7084517436979</v>
      </c>
      <c r="E793" s="44"/>
      <c r="F793" s="421"/>
      <c r="G793" s="190"/>
      <c r="K793" s="295"/>
    </row>
    <row r="794" spans="1:11">
      <c r="B794" s="42" t="s">
        <v>19</v>
      </c>
      <c r="C794" s="258">
        <f>+C792-C793</f>
        <v>41753.620284907636</v>
      </c>
      <c r="D794" s="258">
        <f>+D792-D793</f>
        <v>2043.2405326600265</v>
      </c>
      <c r="E794" s="43">
        <f>+C794/C797</f>
        <v>1.126459086534624</v>
      </c>
      <c r="F794" s="420"/>
      <c r="K794" s="71"/>
    </row>
    <row r="795" spans="1:11">
      <c r="B795" s="69" t="s">
        <v>20</v>
      </c>
      <c r="C795" s="209">
        <f>Model!AO138</f>
        <v>113688.73278581881</v>
      </c>
      <c r="D795" s="165">
        <f>C795*$I$771</f>
        <v>5563.4319934337564</v>
      </c>
      <c r="E795" s="71"/>
      <c r="F795" s="420"/>
      <c r="G795" s="190"/>
      <c r="K795" s="41"/>
    </row>
    <row r="796" spans="1:11">
      <c r="B796" s="69" t="s">
        <v>21</v>
      </c>
      <c r="C796" s="210">
        <f>C792+C795</f>
        <v>203867.3452821089</v>
      </c>
      <c r="D796" s="210">
        <f>D792+D795</f>
        <v>9976.3809778374816</v>
      </c>
      <c r="E796" s="71"/>
      <c r="F796" s="420"/>
      <c r="K796" s="41"/>
    </row>
    <row r="797" spans="1:11">
      <c r="B797" s="41" t="s">
        <v>22</v>
      </c>
      <c r="C797" s="211">
        <f>Model!AO92</f>
        <v>37066.255476136423</v>
      </c>
      <c r="D797" s="211"/>
      <c r="E797" s="41"/>
      <c r="F797" s="422"/>
    </row>
    <row r="799" spans="1:11">
      <c r="B799" s="166"/>
      <c r="C799" s="167"/>
      <c r="H799" s="231"/>
    </row>
    <row r="801" spans="2:11">
      <c r="B801" s="42" t="s">
        <v>24</v>
      </c>
      <c r="C801" s="154">
        <f>C794+Model!AO137</f>
        <v>244988.12028490764</v>
      </c>
      <c r="E801"/>
      <c r="F801"/>
    </row>
    <row r="802" spans="2:11">
      <c r="B802" s="42" t="s">
        <v>25</v>
      </c>
      <c r="C802" s="43">
        <f>C801/C797</f>
        <v>6.6094650548834943</v>
      </c>
      <c r="E802"/>
      <c r="F802"/>
      <c r="G802" s="246"/>
    </row>
    <row r="803" spans="2:11">
      <c r="G803"/>
    </row>
    <row r="804" spans="2:11" ht="13.5" thickBot="1">
      <c r="I804" s="232"/>
    </row>
    <row r="805" spans="2:11">
      <c r="B805" s="108" t="s">
        <v>152</v>
      </c>
      <c r="C805" s="236" t="s">
        <v>49</v>
      </c>
      <c r="D805" s="236" t="s">
        <v>50</v>
      </c>
      <c r="I805" s="232"/>
      <c r="K805" s="68"/>
    </row>
    <row r="806" spans="2:11">
      <c r="B806" s="110"/>
      <c r="C806" s="152"/>
      <c r="D806" s="152"/>
      <c r="I806" s="232"/>
    </row>
    <row r="807" spans="2:11">
      <c r="B807" s="110" t="s">
        <v>27</v>
      </c>
      <c r="C807" s="152">
        <f>C793</f>
        <v>48424.992211382458</v>
      </c>
      <c r="D807" s="152">
        <f>C807*I771</f>
        <v>2369.7084517436979</v>
      </c>
      <c r="I807" s="232"/>
    </row>
    <row r="808" spans="2:11" ht="13.5" thickBot="1">
      <c r="B808" s="111" t="s">
        <v>28</v>
      </c>
      <c r="C808" s="153">
        <f>SUM(C806:C807)</f>
        <v>48424.992211382458</v>
      </c>
      <c r="D808" s="153">
        <f>SUM(D806:D807)</f>
        <v>2369.7084517436979</v>
      </c>
      <c r="I808" s="232"/>
    </row>
    <row r="809" spans="2:11">
      <c r="I809" s="232"/>
    </row>
    <row r="810" spans="2:11">
      <c r="C810" s="37"/>
    </row>
    <row r="811" spans="2:11" ht="13.5" thickBot="1"/>
    <row r="812" spans="2:11">
      <c r="B812" s="72" t="s">
        <v>153</v>
      </c>
      <c r="C812" s="234" t="s">
        <v>52</v>
      </c>
      <c r="D812" s="235" t="s">
        <v>50</v>
      </c>
      <c r="E812" s="235" t="s">
        <v>30</v>
      </c>
      <c r="F812" s="427"/>
    </row>
    <row r="813" spans="2:11">
      <c r="B813" s="73"/>
      <c r="C813" s="182"/>
      <c r="D813" s="187"/>
      <c r="E813" s="233"/>
    </row>
    <row r="814" spans="2:11">
      <c r="B814" s="73">
        <v>2021</v>
      </c>
      <c r="C814" s="245">
        <f>E814*$C$792</f>
        <v>3967.8589498367637</v>
      </c>
      <c r="D814" s="152">
        <f>C814*$I$771</f>
        <v>194.16975531376386</v>
      </c>
      <c r="E814" s="249">
        <v>4.3999999999999997E-2</v>
      </c>
      <c r="F814" s="424"/>
      <c r="G814" s="263"/>
    </row>
    <row r="815" spans="2:11">
      <c r="B815" s="73">
        <v>2022</v>
      </c>
      <c r="C815" s="245">
        <f>E815*$C$792</f>
        <v>1983.9294749183819</v>
      </c>
      <c r="D815" s="152">
        <f>C815*$I$771</f>
        <v>97.084877656881929</v>
      </c>
      <c r="E815" s="249">
        <v>2.1999999999999999E-2</v>
      </c>
      <c r="F815" s="424"/>
      <c r="G815" s="263"/>
    </row>
    <row r="816" spans="2:11">
      <c r="B816" s="73">
        <v>2023</v>
      </c>
      <c r="C816" s="245">
        <f>E816*$C$792</f>
        <v>8206.2537371623985</v>
      </c>
      <c r="D816" s="152">
        <f>C816*$I$771</f>
        <v>401.5783575807389</v>
      </c>
      <c r="E816" s="249">
        <v>9.0999999999999998E-2</v>
      </c>
      <c r="F816" s="424"/>
      <c r="G816" s="263"/>
    </row>
    <row r="817" spans="1:10">
      <c r="B817" s="73">
        <v>2024</v>
      </c>
      <c r="C817" s="245">
        <f>E817*$C$792</f>
        <v>360.7144499851604</v>
      </c>
      <c r="D817" s="152">
        <f>C817*$I$771</f>
        <v>17.651795937614899</v>
      </c>
      <c r="E817" s="249">
        <v>4.0000000000000001E-3</v>
      </c>
      <c r="F817" s="424"/>
      <c r="G817" s="263"/>
    </row>
    <row r="818" spans="1:10" ht="13.5" thickBot="1">
      <c r="B818" s="74" t="s">
        <v>109</v>
      </c>
      <c r="C818" s="245">
        <f>E818*$C$792</f>
        <v>75659.855884387391</v>
      </c>
      <c r="D818" s="152">
        <f>C818*$I$771</f>
        <v>3702.4641979147245</v>
      </c>
      <c r="E818" s="250">
        <f>8.7%+75.3%-0.1%</f>
        <v>0.83899999999999997</v>
      </c>
      <c r="F818" s="424"/>
      <c r="G818" s="263"/>
    </row>
    <row r="819" spans="1:10" ht="13.5" thickBot="1">
      <c r="B819" s="206" t="s">
        <v>32</v>
      </c>
      <c r="C819" s="207">
        <f>SUM(C813:C818)</f>
        <v>90178.612496290094</v>
      </c>
      <c r="D819" s="208">
        <f>SUM(D813:D818)</f>
        <v>4412.9489844037244</v>
      </c>
      <c r="E819" s="261">
        <f>+SUM(E814:E818)</f>
        <v>1</v>
      </c>
      <c r="F819" s="317"/>
      <c r="G819" s="263"/>
    </row>
    <row r="821" spans="1:10">
      <c r="B821" s="259" t="s">
        <v>23</v>
      </c>
      <c r="C821" s="260">
        <f>C819-C792</f>
        <v>0</v>
      </c>
    </row>
    <row r="823" spans="1:10">
      <c r="A823" s="68" t="s">
        <v>154</v>
      </c>
    </row>
    <row r="825" spans="1:10">
      <c r="H825" s="68" t="s">
        <v>155</v>
      </c>
      <c r="I825" s="151">
        <f>Model!AN160</f>
        <v>5.0125313283208024E-2</v>
      </c>
    </row>
    <row r="826" spans="1:10">
      <c r="B826" s="32" t="s">
        <v>156</v>
      </c>
      <c r="C826" s="35" t="s">
        <v>9</v>
      </c>
      <c r="D826" s="35" t="s">
        <v>10</v>
      </c>
      <c r="E826" s="35" t="s">
        <v>11</v>
      </c>
      <c r="F826" s="296"/>
      <c r="G826" s="151"/>
      <c r="H826" s="33"/>
      <c r="I826" s="33"/>
    </row>
    <row r="827" spans="1:10">
      <c r="B827" s="158" t="s">
        <v>42</v>
      </c>
      <c r="C827" s="159">
        <f>560+746</f>
        <v>1306</v>
      </c>
      <c r="D827" s="165">
        <f t="shared" ref="D827:D844" si="31">C827*$I$879</f>
        <v>58.147818343722172</v>
      </c>
      <c r="E827" s="262"/>
      <c r="F827" s="374"/>
      <c r="G827" s="151"/>
      <c r="H827" s="33"/>
      <c r="I827" s="33"/>
    </row>
    <row r="828" spans="1:10">
      <c r="A828" s="68"/>
      <c r="B828" s="158" t="s">
        <v>15</v>
      </c>
      <c r="C828" s="264">
        <f>SUM(C829:C832)</f>
        <v>5017</v>
      </c>
      <c r="D828" s="264">
        <f t="shared" si="31"/>
        <v>223.37488869100622</v>
      </c>
      <c r="E828" s="262"/>
      <c r="F828" s="374"/>
      <c r="G828" s="151"/>
      <c r="H828" s="68"/>
      <c r="I828" s="68"/>
      <c r="J828" s="68"/>
    </row>
    <row r="829" spans="1:10" ht="25.5">
      <c r="B829" s="158" t="s">
        <v>137</v>
      </c>
      <c r="C829" s="292">
        <v>711</v>
      </c>
      <c r="D829" s="165">
        <f t="shared" si="31"/>
        <v>31.656277827248442</v>
      </c>
      <c r="E829" s="262"/>
      <c r="F829" s="374"/>
      <c r="G829" s="161"/>
      <c r="H829" s="68" t="s">
        <v>8</v>
      </c>
    </row>
    <row r="830" spans="1:10" ht="25.5">
      <c r="B830" s="158" t="s">
        <v>138</v>
      </c>
      <c r="C830" s="292">
        <v>498</v>
      </c>
      <c r="D830" s="165">
        <f t="shared" si="31"/>
        <v>22.172751558325913</v>
      </c>
      <c r="E830" s="262"/>
      <c r="F830" s="374"/>
      <c r="G830" s="162"/>
      <c r="H830" s="32" t="s">
        <v>156</v>
      </c>
      <c r="I830" s="35" t="s">
        <v>9</v>
      </c>
      <c r="J830" s="35" t="s">
        <v>10</v>
      </c>
    </row>
    <row r="831" spans="1:10" ht="25.5">
      <c r="B831" s="158" t="s">
        <v>139</v>
      </c>
      <c r="C831" s="292">
        <v>436</v>
      </c>
      <c r="D831" s="165">
        <f t="shared" si="31"/>
        <v>19.412288512911843</v>
      </c>
      <c r="E831" s="262"/>
      <c r="F831" s="374"/>
      <c r="G831" s="161"/>
      <c r="H831" s="42" t="s">
        <v>14</v>
      </c>
      <c r="I831" s="242">
        <v>38743.281679995198</v>
      </c>
      <c r="J831" s="45">
        <f>I831*I825</f>
        <v>1942.0191318293334</v>
      </c>
    </row>
    <row r="832" spans="1:10">
      <c r="B832" s="158" t="s">
        <v>140</v>
      </c>
      <c r="C832" s="292">
        <v>3372</v>
      </c>
      <c r="D832" s="165">
        <f t="shared" si="31"/>
        <v>150.13357079252003</v>
      </c>
      <c r="E832" s="262"/>
      <c r="F832" s="374"/>
      <c r="G832" s="161"/>
      <c r="H832" s="69"/>
      <c r="I832" s="294"/>
      <c r="J832" s="70"/>
    </row>
    <row r="833" spans="1:11">
      <c r="A833" s="68"/>
      <c r="B833" s="158" t="s">
        <v>16</v>
      </c>
      <c r="C833" s="298">
        <f>SUM(C834:C843)</f>
        <v>80235</v>
      </c>
      <c r="D833" s="264">
        <f t="shared" si="31"/>
        <v>3572.3508459483523</v>
      </c>
      <c r="E833" s="262"/>
      <c r="F833" s="374"/>
      <c r="G833" s="296"/>
      <c r="H833" s="69"/>
      <c r="I833" s="297"/>
      <c r="J833" s="70"/>
    </row>
    <row r="834" spans="1:11" ht="25.5">
      <c r="B834" s="158" t="s">
        <v>141</v>
      </c>
      <c r="C834" s="292">
        <v>50598</v>
      </c>
      <c r="D834" s="165">
        <f t="shared" si="31"/>
        <v>2252.8049866429205</v>
      </c>
      <c r="E834" s="262"/>
      <c r="F834" s="374"/>
      <c r="G834" s="161"/>
      <c r="H834" s="41"/>
      <c r="I834" s="244"/>
      <c r="J834" s="211"/>
    </row>
    <row r="835" spans="1:11">
      <c r="B835" s="293" t="s">
        <v>142</v>
      </c>
      <c r="C835" s="292">
        <v>2500</v>
      </c>
      <c r="D835" s="165">
        <f t="shared" si="31"/>
        <v>111.30899376669635</v>
      </c>
      <c r="E835" s="262"/>
      <c r="F835" s="374"/>
      <c r="G835" s="163"/>
      <c r="H835" s="41"/>
      <c r="I835" s="244"/>
      <c r="J835" s="211"/>
    </row>
    <row r="836" spans="1:11">
      <c r="B836" s="293" t="s">
        <v>143</v>
      </c>
      <c r="C836" s="292">
        <v>7497</v>
      </c>
      <c r="D836" s="165">
        <f t="shared" si="31"/>
        <v>333.79341050756898</v>
      </c>
      <c r="E836" s="262"/>
      <c r="F836" s="374"/>
      <c r="G836" s="161"/>
    </row>
    <row r="837" spans="1:11">
      <c r="B837" s="293" t="s">
        <v>144</v>
      </c>
      <c r="C837" s="292">
        <v>11486</v>
      </c>
      <c r="D837" s="165">
        <f t="shared" si="31"/>
        <v>511.39804096170968</v>
      </c>
      <c r="E837" s="262"/>
      <c r="F837" s="374"/>
      <c r="G837" s="161"/>
    </row>
    <row r="838" spans="1:11">
      <c r="B838" s="158" t="s">
        <v>145</v>
      </c>
      <c r="C838" s="292">
        <v>157</v>
      </c>
      <c r="D838" s="165">
        <f t="shared" si="31"/>
        <v>6.9902048085485307</v>
      </c>
      <c r="E838" s="262"/>
      <c r="F838" s="374"/>
      <c r="G838" s="161"/>
    </row>
    <row r="839" spans="1:11">
      <c r="B839" s="158" t="s">
        <v>146</v>
      </c>
      <c r="C839" s="292">
        <v>1031</v>
      </c>
      <c r="D839" s="165">
        <f t="shared" si="31"/>
        <v>45.90382902938557</v>
      </c>
      <c r="E839" s="262"/>
      <c r="F839" s="374"/>
      <c r="G839" s="161"/>
    </row>
    <row r="840" spans="1:11" ht="25.5">
      <c r="B840" s="158" t="s">
        <v>147</v>
      </c>
      <c r="C840" s="292">
        <v>1459</v>
      </c>
      <c r="D840" s="165">
        <f t="shared" si="31"/>
        <v>64.95992876224399</v>
      </c>
      <c r="E840" s="262"/>
      <c r="F840" s="374"/>
      <c r="G840" s="161"/>
    </row>
    <row r="841" spans="1:11" ht="25.5">
      <c r="B841" s="158" t="s">
        <v>148</v>
      </c>
      <c r="C841" s="292">
        <v>1722</v>
      </c>
      <c r="D841" s="165">
        <f t="shared" si="31"/>
        <v>76.669634906500448</v>
      </c>
      <c r="E841" s="262"/>
      <c r="F841" s="374"/>
      <c r="G841" s="161"/>
    </row>
    <row r="842" spans="1:11">
      <c r="B842" s="158" t="s">
        <v>149</v>
      </c>
      <c r="C842" s="292">
        <v>3737</v>
      </c>
      <c r="D842" s="165">
        <f t="shared" si="31"/>
        <v>166.38468388245769</v>
      </c>
      <c r="E842" s="262"/>
      <c r="F842" s="374"/>
      <c r="G842" s="161"/>
    </row>
    <row r="843" spans="1:11">
      <c r="B843" s="158" t="s">
        <v>150</v>
      </c>
      <c r="C843" s="292">
        <v>48</v>
      </c>
      <c r="D843" s="165">
        <f t="shared" si="31"/>
        <v>2.1371326803205699</v>
      </c>
      <c r="E843" s="262"/>
      <c r="F843" s="374"/>
      <c r="G843" s="161"/>
    </row>
    <row r="844" spans="1:11" ht="15.75">
      <c r="A844" s="68"/>
      <c r="B844" s="158" t="s">
        <v>151</v>
      </c>
      <c r="C844" s="299">
        <f>Model!AN124-C827-C828-C833</f>
        <v>2226</v>
      </c>
      <c r="D844" s="264">
        <f t="shared" si="31"/>
        <v>99.109528049866427</v>
      </c>
      <c r="E844" s="262"/>
      <c r="F844" s="374"/>
      <c r="G844" s="300"/>
      <c r="H844" s="301"/>
      <c r="I844" s="68"/>
      <c r="J844" s="68"/>
    </row>
    <row r="845" spans="1:11">
      <c r="B845" s="41"/>
      <c r="C845" s="41"/>
      <c r="D845" s="37"/>
      <c r="E845" s="41"/>
      <c r="F845" s="422"/>
      <c r="G845" s="161"/>
      <c r="K845" s="35" t="s">
        <v>11</v>
      </c>
    </row>
    <row r="846" spans="1:11">
      <c r="B846" s="42" t="s">
        <v>17</v>
      </c>
      <c r="C846" s="258">
        <f>C844+C833+C828+C827</f>
        <v>88784</v>
      </c>
      <c r="D846" s="258">
        <f>SUM(D827:D845)</f>
        <v>7748.7088156723066</v>
      </c>
      <c r="E846" s="43">
        <f>+C846/C851</f>
        <v>2.3773564592743566</v>
      </c>
      <c r="F846" s="420"/>
      <c r="K846" s="248">
        <v>1.05319296562148</v>
      </c>
    </row>
    <row r="847" spans="1:11">
      <c r="B847" s="41" t="s">
        <v>18</v>
      </c>
      <c r="C847" s="212">
        <f>Model!AN127</f>
        <v>43497</v>
      </c>
      <c r="D847" s="165">
        <f>C847*$I$879</f>
        <v>1936.6429207479964</v>
      </c>
      <c r="E847" s="44"/>
      <c r="F847" s="421"/>
      <c r="G847" s="190"/>
      <c r="K847" s="71"/>
    </row>
    <row r="848" spans="1:11">
      <c r="B848" s="42" t="s">
        <v>19</v>
      </c>
      <c r="C848" s="258">
        <f>+C846-C847</f>
        <v>45287</v>
      </c>
      <c r="D848" s="258">
        <f>+D846-D847</f>
        <v>5812.0658949243098</v>
      </c>
      <c r="E848" s="43">
        <f>+C848/C851</f>
        <v>1.2126435165250247</v>
      </c>
      <c r="F848" s="420"/>
      <c r="K848" s="41"/>
    </row>
    <row r="849" spans="2:11">
      <c r="B849" s="69" t="s">
        <v>20</v>
      </c>
      <c r="C849" s="209">
        <f>Model!AN138</f>
        <v>122457</v>
      </c>
      <c r="D849" s="165">
        <f>C849*$I$879</f>
        <v>5452.2261798753334</v>
      </c>
      <c r="E849" s="71"/>
      <c r="F849" s="420"/>
      <c r="G849" s="190"/>
      <c r="K849" s="41"/>
    </row>
    <row r="850" spans="2:11">
      <c r="B850" s="69" t="s">
        <v>21</v>
      </c>
      <c r="C850" s="210">
        <f>C846+C849</f>
        <v>211241</v>
      </c>
      <c r="D850" s="210">
        <f>D846+D849</f>
        <v>13200.934995547639</v>
      </c>
      <c r="E850" s="71"/>
      <c r="F850" s="420"/>
    </row>
    <row r="851" spans="2:11">
      <c r="B851" s="41" t="s">
        <v>22</v>
      </c>
      <c r="C851" s="211">
        <f>Model!AN92</f>
        <v>37345.682703005186</v>
      </c>
      <c r="D851" s="211"/>
      <c r="E851" s="41"/>
      <c r="F851" s="422"/>
    </row>
    <row r="853" spans="2:11">
      <c r="B853" s="166"/>
      <c r="C853" s="167"/>
      <c r="H853" s="231"/>
    </row>
    <row r="855" spans="2:11">
      <c r="B855" s="42" t="s">
        <v>24</v>
      </c>
      <c r="C855" s="154">
        <f>C848+Model!AN137</f>
        <v>251787.45499999999</v>
      </c>
      <c r="E855"/>
      <c r="F855"/>
    </row>
    <row r="856" spans="2:11">
      <c r="B856" s="42" t="s">
        <v>25</v>
      </c>
      <c r="C856" s="43">
        <f>C855/C851</f>
        <v>6.7420766411572064</v>
      </c>
      <c r="E856"/>
      <c r="F856"/>
      <c r="G856" s="246"/>
    </row>
    <row r="857" spans="2:11">
      <c r="G857"/>
    </row>
    <row r="858" spans="2:11" ht="13.5" thickBot="1">
      <c r="I858" s="232"/>
    </row>
    <row r="859" spans="2:11">
      <c r="B859" s="108" t="s">
        <v>157</v>
      </c>
      <c r="C859" s="236" t="s">
        <v>49</v>
      </c>
      <c r="D859" s="236" t="s">
        <v>50</v>
      </c>
      <c r="I859" s="232"/>
    </row>
    <row r="860" spans="2:11">
      <c r="B860" s="110"/>
      <c r="C860" s="152"/>
      <c r="D860" s="152"/>
      <c r="I860" s="232"/>
    </row>
    <row r="861" spans="2:11">
      <c r="B861" s="110" t="s">
        <v>27</v>
      </c>
      <c r="C861" s="152">
        <f>C847</f>
        <v>43497</v>
      </c>
      <c r="D861" s="152">
        <f>C861*I825</f>
        <v>2180.3007518796994</v>
      </c>
      <c r="I861" s="232"/>
    </row>
    <row r="862" spans="2:11" ht="13.5" thickBot="1">
      <c r="B862" s="111" t="s">
        <v>28</v>
      </c>
      <c r="C862" s="153">
        <f>SUM(C860:C861)</f>
        <v>43497</v>
      </c>
      <c r="D862" s="153">
        <f>SUM(D860:D861)</f>
        <v>2180.3007518796994</v>
      </c>
      <c r="I862" s="232"/>
    </row>
    <row r="863" spans="2:11">
      <c r="I863" s="232"/>
    </row>
    <row r="864" spans="2:11">
      <c r="C864" s="37"/>
    </row>
    <row r="865" spans="1:9" ht="13.5" thickBot="1"/>
    <row r="866" spans="1:9">
      <c r="B866" s="72" t="s">
        <v>158</v>
      </c>
      <c r="C866" s="234" t="s">
        <v>52</v>
      </c>
      <c r="D866" s="235" t="s">
        <v>50</v>
      </c>
      <c r="E866" s="235" t="s">
        <v>30</v>
      </c>
      <c r="F866" s="427"/>
    </row>
    <row r="867" spans="1:9">
      <c r="B867" s="73"/>
      <c r="C867" s="182"/>
      <c r="D867" s="187"/>
      <c r="E867" s="233"/>
    </row>
    <row r="868" spans="1:9">
      <c r="B868" s="73">
        <v>2021</v>
      </c>
      <c r="C868" s="245">
        <f>E868*$C$846</f>
        <v>5060.6880000000001</v>
      </c>
      <c r="D868" s="152">
        <f>C868*$I$879</f>
        <v>225.32003561887799</v>
      </c>
      <c r="E868" s="249">
        <v>5.7000000000000002E-2</v>
      </c>
      <c r="F868" s="424"/>
      <c r="G868" s="263"/>
    </row>
    <row r="869" spans="1:9">
      <c r="B869" s="73">
        <v>2022</v>
      </c>
      <c r="C869" s="245">
        <f>E869*$C$846</f>
        <v>1864.4640000000002</v>
      </c>
      <c r="D869" s="152">
        <f>C869*$I$879</f>
        <v>83.012644701691897</v>
      </c>
      <c r="E869" s="249">
        <v>2.1000000000000001E-2</v>
      </c>
      <c r="F869" s="424"/>
      <c r="G869" s="263"/>
    </row>
    <row r="870" spans="1:9">
      <c r="B870" s="73">
        <v>2023</v>
      </c>
      <c r="C870" s="245">
        <f>E870*$C$846</f>
        <v>7635.4239999999991</v>
      </c>
      <c r="D870" s="152">
        <f>C870*$I$879</f>
        <v>339.95654496883344</v>
      </c>
      <c r="E870" s="249">
        <v>8.5999999999999993E-2</v>
      </c>
      <c r="F870" s="424"/>
      <c r="G870" s="263"/>
    </row>
    <row r="871" spans="1:9">
      <c r="B871" s="73">
        <v>2024</v>
      </c>
      <c r="C871" s="245">
        <f>E871*$C$846</f>
        <v>355.13600000000002</v>
      </c>
      <c r="D871" s="152">
        <f>C871*$I$879</f>
        <v>15.81193232413179</v>
      </c>
      <c r="E871" s="249">
        <v>4.0000000000000001E-3</v>
      </c>
      <c r="F871" s="424"/>
      <c r="G871" s="263"/>
    </row>
    <row r="872" spans="1:9" ht="13.5" thickBot="1">
      <c r="B872" s="74" t="s">
        <v>109</v>
      </c>
      <c r="C872" s="245">
        <f>E872*$C$846</f>
        <v>73868.288</v>
      </c>
      <c r="D872" s="152">
        <f>C872*$I$879</f>
        <v>3288.881923419412</v>
      </c>
      <c r="E872" s="250">
        <f>83.3%-0.1%</f>
        <v>0.83199999999999996</v>
      </c>
      <c r="F872" s="424"/>
      <c r="G872" s="263"/>
    </row>
    <row r="873" spans="1:9" ht="13.5" thickBot="1">
      <c r="B873" s="206" t="s">
        <v>32</v>
      </c>
      <c r="C873" s="207">
        <f>SUM(C867:C872)</f>
        <v>88784</v>
      </c>
      <c r="D873" s="208">
        <f>SUM(D867:D872)</f>
        <v>3952.9830810329472</v>
      </c>
      <c r="E873" s="261">
        <f>+SUM(E868:E872)</f>
        <v>1</v>
      </c>
      <c r="F873" s="317"/>
      <c r="G873" s="263"/>
    </row>
    <row r="875" spans="1:9">
      <c r="B875" s="259" t="s">
        <v>23</v>
      </c>
      <c r="C875" s="260">
        <f>C873-C846</f>
        <v>0</v>
      </c>
    </row>
    <row r="876" spans="1:9">
      <c r="B876" s="259"/>
      <c r="C876" s="260"/>
    </row>
    <row r="877" spans="1:9">
      <c r="A877" s="68" t="s">
        <v>159</v>
      </c>
    </row>
    <row r="879" spans="1:9">
      <c r="H879" s="68" t="s">
        <v>160</v>
      </c>
      <c r="I879" s="151">
        <f>Model!AM160</f>
        <v>4.4523597506678537E-2</v>
      </c>
    </row>
    <row r="880" spans="1:9">
      <c r="B880" s="32" t="s">
        <v>161</v>
      </c>
      <c r="C880" s="35" t="s">
        <v>9</v>
      </c>
      <c r="D880" s="35" t="s">
        <v>10</v>
      </c>
      <c r="E880" s="35" t="s">
        <v>11</v>
      </c>
      <c r="F880" s="296"/>
      <c r="G880" s="151"/>
      <c r="H880" s="33"/>
      <c r="I880" s="33"/>
    </row>
    <row r="881" spans="2:11">
      <c r="B881" s="158" t="s">
        <v>42</v>
      </c>
      <c r="C881" s="159">
        <f>556+726</f>
        <v>1282</v>
      </c>
      <c r="D881" s="165">
        <f>C881*$I$879</f>
        <v>57.079252003561884</v>
      </c>
      <c r="E881" s="262"/>
      <c r="F881" s="374"/>
      <c r="G881" s="151"/>
      <c r="H881" s="33"/>
      <c r="I881" s="33"/>
    </row>
    <row r="882" spans="2:11" ht="25.5">
      <c r="B882" s="158" t="s">
        <v>162</v>
      </c>
      <c r="C882" s="279"/>
      <c r="D882" s="165">
        <f t="shared" ref="D882:D891" si="32">C882*$I$879</f>
        <v>0</v>
      </c>
      <c r="E882" s="262"/>
      <c r="F882" s="374"/>
      <c r="G882" s="161"/>
    </row>
    <row r="883" spans="2:11" ht="25.5">
      <c r="B883" s="158" t="s">
        <v>163</v>
      </c>
      <c r="C883" s="279"/>
      <c r="D883" s="165">
        <f t="shared" si="32"/>
        <v>0</v>
      </c>
      <c r="E883" s="262"/>
      <c r="F883" s="374"/>
      <c r="G883" s="162"/>
      <c r="H883" s="68" t="s">
        <v>8</v>
      </c>
    </row>
    <row r="884" spans="2:11" ht="25.5">
      <c r="B884" s="158" t="s">
        <v>164</v>
      </c>
      <c r="C884" s="279"/>
      <c r="D884" s="165">
        <f t="shared" si="32"/>
        <v>0</v>
      </c>
      <c r="E884" s="262"/>
      <c r="F884" s="374"/>
      <c r="G884" s="161"/>
      <c r="H884" s="32" t="s">
        <v>161</v>
      </c>
      <c r="I884" s="35" t="s">
        <v>9</v>
      </c>
      <c r="J884" s="35" t="s">
        <v>10</v>
      </c>
    </row>
    <row r="885" spans="2:11" ht="25.5">
      <c r="B885" s="158" t="s">
        <v>165</v>
      </c>
      <c r="C885" s="279"/>
      <c r="D885" s="165">
        <f t="shared" si="32"/>
        <v>0</v>
      </c>
      <c r="E885" s="262"/>
      <c r="F885" s="374"/>
      <c r="G885" s="161"/>
      <c r="H885" s="42" t="s">
        <v>14</v>
      </c>
      <c r="I885" s="242">
        <v>38743.281679995198</v>
      </c>
      <c r="J885" s="45">
        <f>I885*I879</f>
        <v>1724.9902796079784</v>
      </c>
    </row>
    <row r="886" spans="2:11" ht="25.5">
      <c r="B886" s="158" t="s">
        <v>166</v>
      </c>
      <c r="C886" s="279"/>
      <c r="D886" s="165">
        <f t="shared" si="32"/>
        <v>0</v>
      </c>
      <c r="E886" s="262"/>
      <c r="F886" s="374"/>
      <c r="G886" s="163"/>
      <c r="H886" s="41"/>
      <c r="I886" s="244"/>
      <c r="J886" s="70"/>
    </row>
    <row r="887" spans="2:11" ht="25.5">
      <c r="B887" s="158" t="s">
        <v>167</v>
      </c>
      <c r="C887" s="279"/>
      <c r="D887" s="165">
        <f t="shared" si="32"/>
        <v>0</v>
      </c>
      <c r="E887" s="262"/>
      <c r="F887" s="374"/>
      <c r="G887" s="161"/>
      <c r="H887" s="41"/>
      <c r="I887" s="244"/>
      <c r="J887" s="211"/>
    </row>
    <row r="888" spans="2:11" ht="25.5">
      <c r="B888" s="158" t="s">
        <v>168</v>
      </c>
      <c r="C888" s="279"/>
      <c r="D888" s="165">
        <f t="shared" si="32"/>
        <v>0</v>
      </c>
      <c r="E888" s="262"/>
      <c r="F888" s="374"/>
      <c r="G888" s="161"/>
      <c r="H888" s="41"/>
      <c r="I888" s="244"/>
      <c r="J888" s="211"/>
    </row>
    <row r="889" spans="2:11" ht="25.5">
      <c r="B889" s="158" t="s">
        <v>169</v>
      </c>
      <c r="C889" s="279"/>
      <c r="D889" s="165">
        <f t="shared" si="32"/>
        <v>0</v>
      </c>
      <c r="E889" s="262"/>
      <c r="F889" s="374"/>
      <c r="G889" s="162"/>
    </row>
    <row r="890" spans="2:11">
      <c r="B890" s="158" t="s">
        <v>170</v>
      </c>
      <c r="C890" s="205">
        <f>D890/$I$879</f>
        <v>15834.300000000001</v>
      </c>
      <c r="D890" s="285">
        <v>705</v>
      </c>
      <c r="E890" s="284"/>
      <c r="F890" s="374"/>
      <c r="G890" s="162"/>
    </row>
    <row r="891" spans="2:11" ht="15.75">
      <c r="B891" s="158" t="s">
        <v>151</v>
      </c>
      <c r="C891" s="241">
        <f>Model!AM124-SUM(Capitalisation!C881:C890)</f>
        <v>87287.7</v>
      </c>
      <c r="D891" s="165">
        <f t="shared" si="32"/>
        <v>3886.3624220837041</v>
      </c>
      <c r="E891" s="262"/>
      <c r="F891" s="374"/>
      <c r="G891" s="164"/>
      <c r="H891" s="203"/>
    </row>
    <row r="892" spans="2:11" ht="15.75">
      <c r="B892" s="41"/>
      <c r="C892" s="41"/>
      <c r="D892" s="37"/>
      <c r="E892" s="41"/>
      <c r="F892" s="422"/>
      <c r="G892" s="161"/>
      <c r="H892" s="203"/>
    </row>
    <row r="893" spans="2:11" ht="15.75">
      <c r="B893" s="42" t="s">
        <v>17</v>
      </c>
      <c r="C893" s="258">
        <f>SUM(C881:C892)</f>
        <v>104404</v>
      </c>
      <c r="D893" s="258">
        <f>SUM(D881:D892)</f>
        <v>4648.4416740872657</v>
      </c>
      <c r="E893" s="43">
        <f>+C893/C898</f>
        <v>2.8416575274789602</v>
      </c>
      <c r="F893" s="420"/>
      <c r="H893" s="203"/>
      <c r="K893" s="35" t="s">
        <v>11</v>
      </c>
    </row>
    <row r="894" spans="2:11">
      <c r="B894" s="41" t="s">
        <v>18</v>
      </c>
      <c r="C894" s="212">
        <f>Model!AM127</f>
        <v>58057</v>
      </c>
      <c r="D894" s="165">
        <f>C894*$I$879</f>
        <v>2584.9065004452359</v>
      </c>
      <c r="E894" s="44"/>
      <c r="F894" s="421"/>
      <c r="G894" s="190"/>
      <c r="K894" s="248">
        <v>1.19</v>
      </c>
    </row>
    <row r="895" spans="2:11">
      <c r="B895" s="42" t="s">
        <v>19</v>
      </c>
      <c r="C895" s="258">
        <f>+C893-C894</f>
        <v>46347</v>
      </c>
      <c r="D895" s="258">
        <f>+D893-D894</f>
        <v>2063.5351736420298</v>
      </c>
      <c r="E895" s="43">
        <f>+C895/C898</f>
        <v>1.2614679650786116</v>
      </c>
      <c r="F895" s="420"/>
      <c r="K895" s="71"/>
    </row>
    <row r="896" spans="2:11">
      <c r="B896" s="69" t="s">
        <v>20</v>
      </c>
      <c r="C896" s="209">
        <f>Model!AM138</f>
        <v>124383</v>
      </c>
      <c r="D896" s="165">
        <f>C896*$I$879</f>
        <v>5537.9786286731969</v>
      </c>
      <c r="E896" s="71"/>
      <c r="F896" s="420"/>
      <c r="G896" s="190"/>
      <c r="K896" s="41"/>
    </row>
    <row r="897" spans="2:11">
      <c r="B897" s="69" t="s">
        <v>21</v>
      </c>
      <c r="C897" s="210">
        <f>C893+C896</f>
        <v>228787</v>
      </c>
      <c r="D897" s="210">
        <f>D893+D896</f>
        <v>10186.420302760464</v>
      </c>
      <c r="E897" s="71"/>
      <c r="F897" s="420"/>
      <c r="K897" s="41"/>
    </row>
    <row r="898" spans="2:11">
      <c r="B898" s="41" t="s">
        <v>22</v>
      </c>
      <c r="C898" s="211">
        <f>Model!AM92</f>
        <v>36740.528719737857</v>
      </c>
      <c r="D898" s="211"/>
      <c r="E898" s="41"/>
      <c r="F898" s="422"/>
    </row>
    <row r="900" spans="2:11">
      <c r="B900" s="166"/>
      <c r="C900" s="167"/>
    </row>
    <row r="902" spans="2:11">
      <c r="B902" s="42" t="s">
        <v>24</v>
      </c>
      <c r="C902" s="154">
        <f>C895+Model!AM137</f>
        <v>238200.32000000001</v>
      </c>
      <c r="E902"/>
      <c r="F902"/>
      <c r="H902" s="231"/>
    </row>
    <row r="903" spans="2:11">
      <c r="B903" s="42" t="s">
        <v>25</v>
      </c>
      <c r="C903" s="43">
        <f>C902/C898</f>
        <v>6.4833122521732607</v>
      </c>
      <c r="E903"/>
      <c r="F903"/>
      <c r="G903" s="246"/>
    </row>
    <row r="904" spans="2:11">
      <c r="G904"/>
    </row>
    <row r="905" spans="2:11" ht="13.5" thickBot="1"/>
    <row r="906" spans="2:11">
      <c r="B906" s="108" t="s">
        <v>171</v>
      </c>
      <c r="C906" s="236" t="s">
        <v>49</v>
      </c>
      <c r="D906" s="236" t="s">
        <v>50</v>
      </c>
    </row>
    <row r="907" spans="2:11">
      <c r="B907" s="110"/>
      <c r="C907" s="152"/>
      <c r="D907" s="152"/>
      <c r="I907" s="232"/>
    </row>
    <row r="908" spans="2:11">
      <c r="B908" s="110" t="s">
        <v>27</v>
      </c>
      <c r="C908" s="152">
        <f>C894</f>
        <v>58057</v>
      </c>
      <c r="D908" s="152">
        <f>C908*I879</f>
        <v>2584.9065004452359</v>
      </c>
      <c r="I908" s="232"/>
    </row>
    <row r="909" spans="2:11" ht="13.5" thickBot="1">
      <c r="B909" s="111" t="s">
        <v>28</v>
      </c>
      <c r="C909" s="153">
        <f>SUM(C907:C908)</f>
        <v>58057</v>
      </c>
      <c r="D909" s="153">
        <f>SUM(D907:D908)</f>
        <v>2584.9065004452359</v>
      </c>
      <c r="I909" s="232"/>
    </row>
    <row r="910" spans="2:11">
      <c r="I910" s="232"/>
    </row>
    <row r="911" spans="2:11">
      <c r="C911" s="37"/>
      <c r="I911" s="232"/>
    </row>
    <row r="912" spans="2:11" ht="13.5" thickBot="1">
      <c r="I912" s="232"/>
    </row>
    <row r="913" spans="1:9">
      <c r="B913" s="72" t="s">
        <v>172</v>
      </c>
      <c r="C913" s="234" t="s">
        <v>52</v>
      </c>
      <c r="D913" s="235" t="s">
        <v>50</v>
      </c>
      <c r="E913" s="235" t="s">
        <v>30</v>
      </c>
      <c r="F913" s="427"/>
    </row>
    <row r="914" spans="1:9">
      <c r="B914" s="73"/>
      <c r="C914" s="182"/>
      <c r="D914" s="187"/>
      <c r="E914" s="233"/>
    </row>
    <row r="915" spans="1:9">
      <c r="B915" s="73">
        <v>2020</v>
      </c>
      <c r="C915" s="245">
        <f t="shared" ref="C915:C920" si="33">E915*$C$893</f>
        <v>5324.6039999999994</v>
      </c>
      <c r="D915" s="152">
        <f t="shared" ref="D915:D920" si="34">C915*$I$879</f>
        <v>237.07052537845053</v>
      </c>
      <c r="E915" s="249">
        <v>5.0999999999999997E-2</v>
      </c>
      <c r="F915" s="424"/>
      <c r="G915" s="263"/>
    </row>
    <row r="916" spans="1:9">
      <c r="B916" s="73">
        <v>2021</v>
      </c>
      <c r="C916" s="245">
        <f t="shared" si="33"/>
        <v>9083.1479999999992</v>
      </c>
      <c r="D916" s="152">
        <f t="shared" si="34"/>
        <v>404.41442564559213</v>
      </c>
      <c r="E916" s="249">
        <v>8.6999999999999994E-2</v>
      </c>
      <c r="F916" s="424"/>
      <c r="G916" s="263"/>
    </row>
    <row r="917" spans="1:9">
      <c r="B917" s="73">
        <v>2022</v>
      </c>
      <c r="C917" s="245">
        <f t="shared" si="33"/>
        <v>1879.2719999999999</v>
      </c>
      <c r="D917" s="152">
        <f t="shared" si="34"/>
        <v>83.671950133570789</v>
      </c>
      <c r="E917" s="249">
        <v>1.7999999999999999E-2</v>
      </c>
      <c r="F917" s="424"/>
      <c r="G917" s="263"/>
    </row>
    <row r="918" spans="1:9">
      <c r="B918" s="73">
        <v>2023</v>
      </c>
      <c r="C918" s="245">
        <f t="shared" si="33"/>
        <v>7621.4919999999993</v>
      </c>
      <c r="D918" s="152">
        <f t="shared" si="34"/>
        <v>339.33624220837038</v>
      </c>
      <c r="E918" s="249">
        <v>7.2999999999999995E-2</v>
      </c>
      <c r="F918" s="424"/>
      <c r="G918" s="263"/>
    </row>
    <row r="919" spans="1:9">
      <c r="B919" s="73">
        <v>2024</v>
      </c>
      <c r="C919" s="245">
        <f t="shared" si="33"/>
        <v>313.21199999999999</v>
      </c>
      <c r="D919" s="152">
        <f t="shared" si="34"/>
        <v>13.945325022261798</v>
      </c>
      <c r="E919" s="249">
        <v>3.0000000000000001E-3</v>
      </c>
      <c r="F919" s="424"/>
      <c r="G919" s="263"/>
    </row>
    <row r="920" spans="1:9" ht="13.5" thickBot="1">
      <c r="B920" s="74" t="s">
        <v>109</v>
      </c>
      <c r="C920" s="245">
        <f t="shared" si="33"/>
        <v>80182.271999999997</v>
      </c>
      <c r="D920" s="152">
        <f t="shared" si="34"/>
        <v>3570.0032056990203</v>
      </c>
      <c r="E920" s="250">
        <v>0.76800000000000002</v>
      </c>
      <c r="F920" s="424"/>
      <c r="G920" s="263"/>
    </row>
    <row r="921" spans="1:9" ht="13.5" thickBot="1">
      <c r="B921" s="206" t="s">
        <v>32</v>
      </c>
      <c r="C921" s="207">
        <f>SUM(C914:C920)</f>
        <v>104404</v>
      </c>
      <c r="D921" s="208">
        <f>SUM(D914:D920)</f>
        <v>4648.4416740872657</v>
      </c>
      <c r="E921" s="261">
        <f>+SUM(E915:E920)</f>
        <v>1</v>
      </c>
      <c r="F921" s="317"/>
      <c r="G921" s="263"/>
    </row>
    <row r="923" spans="1:9">
      <c r="B923" s="259" t="s">
        <v>23</v>
      </c>
      <c r="C923" s="260">
        <f>C921-C893</f>
        <v>0</v>
      </c>
    </row>
    <row r="924" spans="1:9">
      <c r="B924" s="259"/>
      <c r="C924" s="260"/>
    </row>
    <row r="925" spans="1:9">
      <c r="A925" s="68" t="s">
        <v>173</v>
      </c>
    </row>
    <row r="927" spans="1:9">
      <c r="H927" s="68" t="s">
        <v>174</v>
      </c>
      <c r="I927" s="151">
        <f>Model!AL160</f>
        <v>4.3535045711797997E-2</v>
      </c>
    </row>
    <row r="928" spans="1:9">
      <c r="B928" s="32" t="s">
        <v>175</v>
      </c>
      <c r="C928" s="35" t="s">
        <v>9</v>
      </c>
      <c r="D928" s="35" t="s">
        <v>10</v>
      </c>
      <c r="E928" s="35" t="s">
        <v>11</v>
      </c>
      <c r="F928" s="296"/>
      <c r="G928" s="151"/>
      <c r="H928" s="33"/>
      <c r="I928" s="33"/>
    </row>
    <row r="929" spans="2:11">
      <c r="B929" s="158" t="s">
        <v>42</v>
      </c>
      <c r="C929" s="159">
        <f>493+817</f>
        <v>1310</v>
      </c>
      <c r="D929" s="165">
        <f t="shared" ref="D929:D938" si="35">C929*$I$927</f>
        <v>57.030909882455376</v>
      </c>
      <c r="E929" s="262"/>
      <c r="F929" s="374"/>
      <c r="G929" s="151"/>
      <c r="H929" s="33"/>
      <c r="I929" s="33"/>
    </row>
    <row r="930" spans="2:11" ht="25.5">
      <c r="B930" s="158" t="s">
        <v>162</v>
      </c>
      <c r="C930" s="159">
        <v>2500</v>
      </c>
      <c r="D930" s="165">
        <f t="shared" si="35"/>
        <v>108.83761427949499</v>
      </c>
      <c r="E930" s="262"/>
      <c r="F930" s="374"/>
      <c r="G930" s="161"/>
    </row>
    <row r="931" spans="2:11" ht="25.5">
      <c r="B931" s="158" t="s">
        <v>163</v>
      </c>
      <c r="C931" s="159">
        <v>7500</v>
      </c>
      <c r="D931" s="165">
        <f t="shared" si="35"/>
        <v>326.51284283848497</v>
      </c>
      <c r="E931" s="262"/>
      <c r="F931" s="374"/>
      <c r="G931" s="162"/>
      <c r="H931" s="68" t="s">
        <v>8</v>
      </c>
    </row>
    <row r="932" spans="2:11" ht="25.5">
      <c r="B932" s="158" t="s">
        <v>164</v>
      </c>
      <c r="C932" s="159">
        <v>1500</v>
      </c>
      <c r="D932" s="165">
        <f t="shared" si="35"/>
        <v>65.302568567696994</v>
      </c>
      <c r="E932" s="262"/>
      <c r="F932" s="374"/>
      <c r="G932" s="161"/>
      <c r="H932" s="32" t="s">
        <v>175</v>
      </c>
      <c r="I932" s="35" t="s">
        <v>9</v>
      </c>
      <c r="J932" s="35" t="s">
        <v>10</v>
      </c>
    </row>
    <row r="933" spans="2:11" ht="25.5">
      <c r="B933" s="158" t="s">
        <v>165</v>
      </c>
      <c r="C933" s="159">
        <v>8500</v>
      </c>
      <c r="D933" s="165">
        <f t="shared" si="35"/>
        <v>370.04788855028295</v>
      </c>
      <c r="E933" s="262"/>
      <c r="F933" s="374"/>
      <c r="G933" s="161"/>
      <c r="H933" s="42" t="s">
        <v>14</v>
      </c>
      <c r="I933" s="242">
        <v>43473.847199965436</v>
      </c>
      <c r="J933" s="45">
        <f>I933*I927</f>
        <v>1892.6359251182166</v>
      </c>
    </row>
    <row r="934" spans="2:11" ht="25.5">
      <c r="B934" s="158" t="s">
        <v>166</v>
      </c>
      <c r="C934" s="159">
        <v>1393.48</v>
      </c>
      <c r="D934" s="165">
        <f t="shared" si="35"/>
        <v>60.665215498476272</v>
      </c>
      <c r="E934" s="262"/>
      <c r="F934" s="374"/>
      <c r="G934" s="163"/>
      <c r="H934" s="41"/>
      <c r="I934" s="244"/>
      <c r="J934" s="70"/>
    </row>
    <row r="935" spans="2:11" ht="25.5">
      <c r="B935" s="158" t="s">
        <v>167</v>
      </c>
      <c r="C935" s="159">
        <v>2666.43</v>
      </c>
      <c r="D935" s="165">
        <f t="shared" si="35"/>
        <v>116.08315193730952</v>
      </c>
      <c r="E935" s="262"/>
      <c r="F935" s="374"/>
      <c r="G935" s="161"/>
      <c r="H935" s="41"/>
      <c r="I935" s="244"/>
      <c r="J935" s="211"/>
    </row>
    <row r="936" spans="2:11" ht="25.5">
      <c r="B936" s="158" t="s">
        <v>168</v>
      </c>
      <c r="C936" s="159">
        <v>28715.05</v>
      </c>
      <c r="D936" s="165">
        <f t="shared" si="35"/>
        <v>1250.1110143665651</v>
      </c>
      <c r="E936" s="262"/>
      <c r="F936" s="374"/>
      <c r="G936" s="161"/>
      <c r="H936" s="41"/>
      <c r="I936" s="244"/>
      <c r="J936" s="211"/>
    </row>
    <row r="937" spans="2:11" ht="25.5">
      <c r="B937" s="158" t="s">
        <v>169</v>
      </c>
      <c r="C937" s="159">
        <v>13782.9</v>
      </c>
      <c r="D937" s="165">
        <f t="shared" si="35"/>
        <v>600.03918154114058</v>
      </c>
      <c r="E937" s="262"/>
      <c r="F937" s="374"/>
      <c r="G937" s="162"/>
    </row>
    <row r="938" spans="2:11" ht="15.75">
      <c r="B938" s="158" t="s">
        <v>151</v>
      </c>
      <c r="C938" s="241">
        <f>Model!AL124-SUM(Capitalisation!C929:C937)</f>
        <v>24728.14</v>
      </c>
      <c r="D938" s="165">
        <f t="shared" si="35"/>
        <v>1076.5407052677406</v>
      </c>
      <c r="E938" s="262"/>
      <c r="F938" s="374"/>
      <c r="G938" s="164"/>
      <c r="H938" s="203"/>
    </row>
    <row r="939" spans="2:11" ht="15.75">
      <c r="B939" s="41"/>
      <c r="C939" s="41"/>
      <c r="D939" s="37"/>
      <c r="E939" s="41"/>
      <c r="F939" s="422"/>
      <c r="G939" s="161"/>
      <c r="H939" s="203"/>
    </row>
    <row r="940" spans="2:11" ht="15.75">
      <c r="B940" s="42" t="s">
        <v>17</v>
      </c>
      <c r="C940" s="258">
        <f>SUM(C929:C939)</f>
        <v>92596</v>
      </c>
      <c r="D940" s="258">
        <f>SUM(D929:D939)</f>
        <v>4031.1710927296476</v>
      </c>
      <c r="E940" s="43">
        <f>+C940/C945</f>
        <v>2.5206652850995277</v>
      </c>
      <c r="F940" s="420"/>
      <c r="H940" s="203"/>
      <c r="K940" s="35" t="s">
        <v>11</v>
      </c>
    </row>
    <row r="941" spans="2:11">
      <c r="B941" s="41" t="s">
        <v>18</v>
      </c>
      <c r="C941" s="212">
        <f>Model!AL127</f>
        <v>41473.254999999997</v>
      </c>
      <c r="D941" s="165">
        <f>C941*$I$927</f>
        <v>1805.5400522420548</v>
      </c>
      <c r="E941" s="44"/>
      <c r="F941" s="421"/>
      <c r="G941" s="190"/>
      <c r="K941" s="248">
        <v>1.21</v>
      </c>
    </row>
    <row r="942" spans="2:11">
      <c r="B942" s="42" t="s">
        <v>19</v>
      </c>
      <c r="C942" s="258">
        <f>+C940-C941</f>
        <v>51122.745000000003</v>
      </c>
      <c r="D942" s="258">
        <f>+D940-D941</f>
        <v>2225.6310404875931</v>
      </c>
      <c r="E942" s="43">
        <f>+C942/C945</f>
        <v>1.3916727353286908</v>
      </c>
      <c r="F942" s="420"/>
      <c r="K942" s="71"/>
    </row>
    <row r="943" spans="2:11">
      <c r="B943" s="69" t="s">
        <v>20</v>
      </c>
      <c r="C943" s="209">
        <f>Model!AL138</f>
        <v>125883.181</v>
      </c>
      <c r="D943" s="165">
        <f>C943*$I$927</f>
        <v>5480.330039181541</v>
      </c>
      <c r="E943" s="71"/>
      <c r="F943" s="420"/>
      <c r="G943" s="190"/>
      <c r="K943" s="41"/>
    </row>
    <row r="944" spans="2:11">
      <c r="B944" s="69" t="s">
        <v>21</v>
      </c>
      <c r="C944" s="210">
        <f>C940+C943</f>
        <v>218479.18099999998</v>
      </c>
      <c r="D944" s="210">
        <f>D940+D943</f>
        <v>9511.5011319111891</v>
      </c>
      <c r="E944" s="71"/>
      <c r="F944" s="420"/>
      <c r="K944" s="41"/>
    </row>
    <row r="945" spans="2:9">
      <c r="B945" s="41" t="s">
        <v>22</v>
      </c>
      <c r="C945" s="211">
        <f>Model!AL92</f>
        <v>36734.746397058378</v>
      </c>
      <c r="D945" s="211"/>
      <c r="E945" s="41"/>
      <c r="F945" s="422"/>
    </row>
    <row r="947" spans="2:9">
      <c r="B947" s="166"/>
      <c r="C947" s="167"/>
    </row>
    <row r="949" spans="2:9">
      <c r="B949" s="42" t="s">
        <v>24</v>
      </c>
      <c r="C949" s="154">
        <f>C942+Model!AL137</f>
        <v>249353.845</v>
      </c>
      <c r="E949"/>
      <c r="F949"/>
      <c r="H949" s="231"/>
    </row>
    <row r="950" spans="2:9">
      <c r="B950" s="42" t="s">
        <v>25</v>
      </c>
      <c r="C950" s="43">
        <f>C949/C945</f>
        <v>6.7879560758303645</v>
      </c>
      <c r="E950"/>
      <c r="F950"/>
      <c r="G950" s="246"/>
    </row>
    <row r="951" spans="2:9">
      <c r="G951"/>
    </row>
    <row r="952" spans="2:9" ht="13.5" thickBot="1"/>
    <row r="953" spans="2:9">
      <c r="B953" s="108" t="s">
        <v>176</v>
      </c>
      <c r="C953" s="236" t="s">
        <v>49</v>
      </c>
      <c r="D953" s="236" t="s">
        <v>50</v>
      </c>
    </row>
    <row r="954" spans="2:9">
      <c r="B954" s="110"/>
      <c r="C954" s="152"/>
      <c r="D954" s="152"/>
      <c r="I954" s="232"/>
    </row>
    <row r="955" spans="2:9">
      <c r="B955" s="110" t="s">
        <v>27</v>
      </c>
      <c r="C955" s="152">
        <f>C941</f>
        <v>41473.254999999997</v>
      </c>
      <c r="D955" s="152">
        <f>C955*I927</f>
        <v>1805.5400522420548</v>
      </c>
      <c r="I955" s="232"/>
    </row>
    <row r="956" spans="2:9" ht="13.5" thickBot="1">
      <c r="B956" s="111" t="s">
        <v>28</v>
      </c>
      <c r="C956" s="153">
        <f>SUM(C954:C955)</f>
        <v>41473.254999999997</v>
      </c>
      <c r="D956" s="153">
        <f>SUM(D954:D955)</f>
        <v>1805.5400522420548</v>
      </c>
      <c r="I956" s="232"/>
    </row>
    <row r="957" spans="2:9">
      <c r="I957" s="232"/>
    </row>
    <row r="958" spans="2:9">
      <c r="C958" s="37"/>
      <c r="I958" s="232"/>
    </row>
    <row r="959" spans="2:9" ht="13.5" thickBot="1">
      <c r="I959" s="232"/>
    </row>
    <row r="960" spans="2:9">
      <c r="B960" s="72" t="s">
        <v>177</v>
      </c>
      <c r="C960" s="234" t="s">
        <v>52</v>
      </c>
      <c r="D960" s="235" t="s">
        <v>50</v>
      </c>
      <c r="E960" s="235" t="s">
        <v>30</v>
      </c>
      <c r="F960" s="427"/>
    </row>
    <row r="961" spans="1:9">
      <c r="B961" s="73"/>
      <c r="C961" s="182"/>
      <c r="D961" s="187"/>
      <c r="E961" s="233"/>
    </row>
    <row r="962" spans="1:9">
      <c r="B962" s="73">
        <v>2020</v>
      </c>
      <c r="C962" s="245">
        <f t="shared" ref="C962:C967" si="36">E962*$C$940</f>
        <v>4444.6080000000002</v>
      </c>
      <c r="D962" s="152">
        <f t="shared" ref="D962:D967" si="37">C962*$I$927</f>
        <v>193.49621245102307</v>
      </c>
      <c r="E962" s="249">
        <v>4.8000000000000001E-2</v>
      </c>
      <c r="F962" s="424"/>
      <c r="G962" s="263"/>
    </row>
    <row r="963" spans="1:9">
      <c r="B963" s="73">
        <v>2021</v>
      </c>
      <c r="C963" s="245">
        <f t="shared" si="36"/>
        <v>13426.419999999998</v>
      </c>
      <c r="D963" s="152">
        <f t="shared" si="37"/>
        <v>584.51980844579873</v>
      </c>
      <c r="E963" s="249">
        <v>0.14499999999999999</v>
      </c>
      <c r="F963" s="424"/>
      <c r="G963" s="263"/>
    </row>
    <row r="964" spans="1:9">
      <c r="B964" s="73">
        <v>2022</v>
      </c>
      <c r="C964" s="245">
        <f t="shared" si="36"/>
        <v>1574.1320000000001</v>
      </c>
      <c r="D964" s="152">
        <f t="shared" si="37"/>
        <v>68.529908576404011</v>
      </c>
      <c r="E964" s="249">
        <v>1.7000000000000001E-2</v>
      </c>
      <c r="F964" s="424"/>
      <c r="G964" s="263"/>
    </row>
    <row r="965" spans="1:9">
      <c r="B965" s="73">
        <v>2023</v>
      </c>
      <c r="C965" s="245">
        <f t="shared" si="36"/>
        <v>7592.8720000000003</v>
      </c>
      <c r="D965" s="152">
        <f t="shared" si="37"/>
        <v>330.55602960383112</v>
      </c>
      <c r="E965" s="249">
        <v>8.2000000000000003E-2</v>
      </c>
      <c r="F965" s="424"/>
      <c r="G965" s="263"/>
    </row>
    <row r="966" spans="1:9">
      <c r="B966" s="73">
        <v>2024</v>
      </c>
      <c r="C966" s="245">
        <f t="shared" si="36"/>
        <v>370.38400000000001</v>
      </c>
      <c r="D966" s="152">
        <f t="shared" si="37"/>
        <v>16.12468437091859</v>
      </c>
      <c r="E966" s="249">
        <v>4.0000000000000001E-3</v>
      </c>
      <c r="F966" s="424"/>
      <c r="G966" s="263"/>
    </row>
    <row r="967" spans="1:9" ht="13.5" thickBot="1">
      <c r="B967" s="74" t="s">
        <v>109</v>
      </c>
      <c r="C967" s="245">
        <f t="shared" si="36"/>
        <v>65280.179999999993</v>
      </c>
      <c r="D967" s="152">
        <f t="shared" si="37"/>
        <v>2841.9756203744009</v>
      </c>
      <c r="E967" s="250">
        <v>0.70499999999999996</v>
      </c>
      <c r="F967" s="424"/>
      <c r="G967" s="263"/>
    </row>
    <row r="968" spans="1:9" ht="13.5" thickBot="1">
      <c r="B968" s="206" t="s">
        <v>32</v>
      </c>
      <c r="C968" s="207">
        <f>SUM(C961:C967)</f>
        <v>92688.59599999999</v>
      </c>
      <c r="D968" s="208">
        <f>SUM(D961:D967)</f>
        <v>4035.2022638223766</v>
      </c>
      <c r="E968" s="261">
        <f>+SUM(E962:E967)</f>
        <v>1.0009999999999999</v>
      </c>
      <c r="F968" s="317"/>
      <c r="G968" s="263"/>
    </row>
    <row r="970" spans="1:9">
      <c r="B970" s="259" t="s">
        <v>23</v>
      </c>
      <c r="C970" s="260">
        <f>C968-C940</f>
        <v>92.595999999990454</v>
      </c>
    </row>
    <row r="971" spans="1:9">
      <c r="B971" s="259"/>
      <c r="C971" s="260"/>
    </row>
    <row r="972" spans="1:9">
      <c r="A972" s="68" t="s">
        <v>178</v>
      </c>
      <c r="C972" s="277"/>
    </row>
    <row r="974" spans="1:9">
      <c r="H974" s="68" t="s">
        <v>179</v>
      </c>
      <c r="I974" s="151">
        <f>Model!AK160</f>
        <v>4.2535091450446615E-2</v>
      </c>
    </row>
    <row r="975" spans="1:9">
      <c r="B975" s="32" t="s">
        <v>180</v>
      </c>
      <c r="C975" s="35" t="s">
        <v>9</v>
      </c>
      <c r="D975" s="35" t="s">
        <v>10</v>
      </c>
      <c r="E975" s="35" t="s">
        <v>11</v>
      </c>
      <c r="F975" s="296"/>
      <c r="G975" s="151"/>
      <c r="H975" s="33"/>
      <c r="I975" s="33"/>
    </row>
    <row r="976" spans="1:9">
      <c r="B976" s="158" t="s">
        <v>42</v>
      </c>
      <c r="C976" s="159">
        <f>565+1015</f>
        <v>1580</v>
      </c>
      <c r="D976" s="165">
        <f t="shared" ref="D976:D985" si="38">C976*$I$974</f>
        <v>67.205444491705649</v>
      </c>
      <c r="E976" s="262"/>
      <c r="F976" s="374"/>
      <c r="G976" s="151"/>
      <c r="H976" s="33"/>
      <c r="I976" s="33"/>
    </row>
    <row r="977" spans="2:11" ht="25.5">
      <c r="B977" s="158" t="s">
        <v>162</v>
      </c>
      <c r="C977" s="159">
        <v>2500</v>
      </c>
      <c r="D977" s="165">
        <f t="shared" si="38"/>
        <v>106.33772862611653</v>
      </c>
      <c r="E977" s="262"/>
      <c r="F977" s="374"/>
      <c r="G977" s="161"/>
    </row>
    <row r="978" spans="2:11" ht="25.5">
      <c r="B978" s="158" t="s">
        <v>163</v>
      </c>
      <c r="C978" s="159">
        <v>7500</v>
      </c>
      <c r="D978" s="165">
        <f t="shared" si="38"/>
        <v>319.01318587834959</v>
      </c>
      <c r="E978" s="262"/>
      <c r="F978" s="374"/>
      <c r="G978" s="162"/>
      <c r="H978" s="68" t="s">
        <v>8</v>
      </c>
    </row>
    <row r="979" spans="2:11" ht="25.5">
      <c r="B979" s="158" t="s">
        <v>181</v>
      </c>
      <c r="C979" s="159">
        <v>1500</v>
      </c>
      <c r="D979" s="165">
        <f t="shared" si="38"/>
        <v>63.802637175669922</v>
      </c>
      <c r="E979" s="262"/>
      <c r="F979" s="374"/>
      <c r="G979" s="161"/>
      <c r="H979" s="32" t="s">
        <v>180</v>
      </c>
      <c r="I979" s="35" t="s">
        <v>9</v>
      </c>
      <c r="J979" s="35" t="s">
        <v>10</v>
      </c>
    </row>
    <row r="980" spans="2:11" ht="25.5">
      <c r="B980" s="158" t="s">
        <v>165</v>
      </c>
      <c r="C980" s="159">
        <v>8500</v>
      </c>
      <c r="D980" s="165">
        <f t="shared" si="38"/>
        <v>361.54827732879625</v>
      </c>
      <c r="E980" s="262"/>
      <c r="F980" s="374"/>
      <c r="G980" s="161"/>
      <c r="H980" s="42" t="s">
        <v>14</v>
      </c>
      <c r="I980" s="242">
        <v>45619.140408480504</v>
      </c>
      <c r="J980" s="45">
        <f>I980*I974</f>
        <v>1940.4143091654828</v>
      </c>
    </row>
    <row r="981" spans="2:11" ht="25.5">
      <c r="B981" s="158" t="s">
        <v>182</v>
      </c>
      <c r="C981" s="159">
        <v>1548.232</v>
      </c>
      <c r="D981" s="165">
        <f t="shared" si="38"/>
        <v>65.854189706507867</v>
      </c>
      <c r="E981" s="262"/>
      <c r="F981" s="374"/>
      <c r="G981" s="163"/>
      <c r="H981" s="41"/>
      <c r="I981" s="244"/>
      <c r="J981" s="70"/>
    </row>
    <row r="982" spans="2:11" ht="25.5">
      <c r="B982" s="158" t="s">
        <v>167</v>
      </c>
      <c r="C982" s="159">
        <v>2689.4409999999998</v>
      </c>
      <c r="D982" s="165">
        <f t="shared" si="38"/>
        <v>114.39561888558059</v>
      </c>
      <c r="E982" s="262"/>
      <c r="F982" s="374"/>
      <c r="G982" s="161"/>
      <c r="H982" s="41"/>
      <c r="I982" s="244"/>
      <c r="J982" s="211"/>
    </row>
    <row r="983" spans="2:11" ht="25.5">
      <c r="B983" s="158" t="s">
        <v>168</v>
      </c>
      <c r="C983" s="159">
        <v>29390.25</v>
      </c>
      <c r="D983" s="165">
        <f t="shared" si="38"/>
        <v>1250.1169715014887</v>
      </c>
      <c r="E983" s="262"/>
      <c r="F983" s="374"/>
      <c r="G983" s="161"/>
      <c r="H983" s="41"/>
      <c r="I983" s="244"/>
      <c r="J983" s="211"/>
    </row>
    <row r="984" spans="2:11" ht="25.5">
      <c r="B984" s="158" t="s">
        <v>169</v>
      </c>
      <c r="C984" s="159">
        <v>14107.32</v>
      </c>
      <c r="D984" s="165">
        <f t="shared" si="38"/>
        <v>600.05614632071456</v>
      </c>
      <c r="E984" s="262"/>
      <c r="F984" s="374"/>
      <c r="G984" s="162"/>
    </row>
    <row r="985" spans="2:11" ht="15.75">
      <c r="B985" s="158" t="s">
        <v>151</v>
      </c>
      <c r="C985" s="241">
        <f>Model!AK124-SUM(Capitalisation!C976:C984)</f>
        <v>23622.757000000012</v>
      </c>
      <c r="D985" s="165">
        <f t="shared" si="38"/>
        <v>1004.7961293066785</v>
      </c>
      <c r="E985" s="262"/>
      <c r="F985" s="374"/>
      <c r="G985" s="164"/>
      <c r="H985" s="203"/>
    </row>
    <row r="986" spans="2:11" ht="15.75">
      <c r="B986" s="41"/>
      <c r="C986" s="41"/>
      <c r="D986" s="37"/>
      <c r="E986" s="41"/>
      <c r="F986" s="422"/>
      <c r="G986" s="161"/>
      <c r="H986" s="203"/>
    </row>
    <row r="987" spans="2:11" ht="15.75">
      <c r="B987" s="42" t="s">
        <v>17</v>
      </c>
      <c r="C987" s="258">
        <f>SUM(C976:C986)</f>
        <v>92938</v>
      </c>
      <c r="D987" s="258">
        <f>SUM(D976:D986)</f>
        <v>3953.1263292216081</v>
      </c>
      <c r="E987" s="43">
        <f>+C987/C992</f>
        <v>2.4656214270652455</v>
      </c>
      <c r="F987" s="420"/>
      <c r="H987" s="203"/>
      <c r="K987" s="35" t="s">
        <v>11</v>
      </c>
    </row>
    <row r="988" spans="2:11">
      <c r="B988" s="41" t="s">
        <v>18</v>
      </c>
      <c r="C988" s="212">
        <f>Model!AK127</f>
        <v>39433.163</v>
      </c>
      <c r="D988" s="165">
        <f>C988*$I$974</f>
        <v>1677.2931943853678</v>
      </c>
      <c r="E988" s="44"/>
      <c r="F988" s="421"/>
      <c r="G988" s="190"/>
      <c r="K988" s="248">
        <v>1.34</v>
      </c>
    </row>
    <row r="989" spans="2:11">
      <c r="B989" s="42" t="s">
        <v>19</v>
      </c>
      <c r="C989" s="258">
        <f>+C987-C988</f>
        <v>53504.837</v>
      </c>
      <c r="D989" s="258">
        <f>+D987-D988</f>
        <v>2275.8331348362403</v>
      </c>
      <c r="E989" s="43">
        <f>+C989/C992</f>
        <v>1.4194696739636461</v>
      </c>
      <c r="F989" s="420"/>
      <c r="K989" s="71"/>
    </row>
    <row r="990" spans="2:11">
      <c r="B990" s="69" t="s">
        <v>20</v>
      </c>
      <c r="C990" s="209">
        <f>Model!AK138</f>
        <v>127818.493</v>
      </c>
      <c r="D990" s="165">
        <f>C990*$I$974</f>
        <v>5436.771288813271</v>
      </c>
      <c r="E990" s="71"/>
      <c r="F990" s="420"/>
      <c r="G990" s="190"/>
      <c r="K990" s="41"/>
    </row>
    <row r="991" spans="2:11">
      <c r="B991" s="69" t="s">
        <v>21</v>
      </c>
      <c r="C991" s="210">
        <f>C987+C990</f>
        <v>220756.49300000002</v>
      </c>
      <c r="D991" s="210">
        <f>D987+D990</f>
        <v>9389.89761803488</v>
      </c>
      <c r="E991" s="71"/>
      <c r="F991" s="420"/>
    </row>
    <row r="992" spans="2:11">
      <c r="B992" s="41" t="s">
        <v>22</v>
      </c>
      <c r="C992" s="211">
        <f>Model!AK92</f>
        <v>37693.540046259775</v>
      </c>
      <c r="D992" s="211"/>
      <c r="E992" s="41"/>
      <c r="F992" s="422"/>
    </row>
    <row r="994" spans="2:9">
      <c r="B994" s="166"/>
      <c r="C994" s="167"/>
    </row>
    <row r="996" spans="2:9">
      <c r="B996" s="42" t="s">
        <v>24</v>
      </c>
      <c r="C996" s="154">
        <f>C989+Model!AK137</f>
        <v>259805.08700000003</v>
      </c>
      <c r="E996"/>
      <c r="F996"/>
      <c r="H996" s="231"/>
    </row>
    <row r="997" spans="2:9">
      <c r="B997" s="42" t="s">
        <v>25</v>
      </c>
      <c r="C997" s="43">
        <f>C996/C992</f>
        <v>6.892562669389811</v>
      </c>
      <c r="E997"/>
      <c r="F997"/>
      <c r="G997" s="246"/>
    </row>
    <row r="998" spans="2:9">
      <c r="H998"/>
    </row>
    <row r="999" spans="2:9" ht="13.5" thickBot="1"/>
    <row r="1000" spans="2:9">
      <c r="B1000" s="108" t="s">
        <v>183</v>
      </c>
      <c r="C1000" s="236" t="s">
        <v>49</v>
      </c>
      <c r="D1000" s="236" t="s">
        <v>50</v>
      </c>
    </row>
    <row r="1001" spans="2:9">
      <c r="B1001" s="110"/>
      <c r="C1001" s="152"/>
      <c r="D1001" s="152"/>
      <c r="I1001" s="232"/>
    </row>
    <row r="1002" spans="2:9">
      <c r="B1002" s="110" t="s">
        <v>27</v>
      </c>
      <c r="C1002" s="152">
        <f>C988</f>
        <v>39433.163</v>
      </c>
      <c r="D1002" s="152">
        <f>C1002*I974</f>
        <v>1677.2931943853678</v>
      </c>
      <c r="I1002" s="232"/>
    </row>
    <row r="1003" spans="2:9" ht="13.5" thickBot="1">
      <c r="B1003" s="111" t="s">
        <v>28</v>
      </c>
      <c r="C1003" s="153">
        <f>SUM(C1001:C1002)</f>
        <v>39433.163</v>
      </c>
      <c r="D1003" s="153">
        <f>SUM(D1001:D1002)</f>
        <v>1677.2931943853678</v>
      </c>
      <c r="I1003" s="232"/>
    </row>
    <row r="1004" spans="2:9">
      <c r="I1004" s="232"/>
    </row>
    <row r="1005" spans="2:9">
      <c r="C1005" s="37"/>
      <c r="I1005" s="232"/>
    </row>
    <row r="1006" spans="2:9" ht="13.5" thickBot="1">
      <c r="I1006" s="232"/>
    </row>
    <row r="1007" spans="2:9">
      <c r="B1007" s="72" t="s">
        <v>184</v>
      </c>
      <c r="C1007" s="234" t="s">
        <v>52</v>
      </c>
      <c r="D1007" s="235" t="s">
        <v>50</v>
      </c>
      <c r="E1007" s="235" t="s">
        <v>30</v>
      </c>
      <c r="F1007" s="427"/>
    </row>
    <row r="1008" spans="2:9">
      <c r="B1008" s="73"/>
      <c r="C1008" s="182"/>
      <c r="D1008" s="187"/>
      <c r="E1008" s="233"/>
    </row>
    <row r="1009" spans="1:9">
      <c r="B1009" s="73">
        <v>2020</v>
      </c>
      <c r="C1009" s="245">
        <f t="shared" ref="C1009:C1014" si="39">E1009*$C$987</f>
        <v>4553.9620000000004</v>
      </c>
      <c r="D1009" s="152">
        <f t="shared" ref="D1009:D1014" si="40">C1009*$I$974</f>
        <v>193.70319013185878</v>
      </c>
      <c r="E1009" s="249">
        <v>4.9000000000000002E-2</v>
      </c>
      <c r="F1009" s="424"/>
      <c r="G1009" s="263"/>
    </row>
    <row r="1010" spans="1:9">
      <c r="B1010" s="73">
        <v>2021</v>
      </c>
      <c r="C1010" s="245">
        <f t="shared" si="39"/>
        <v>12267.816000000001</v>
      </c>
      <c r="D1010" s="152">
        <f t="shared" si="40"/>
        <v>521.81267545725223</v>
      </c>
      <c r="E1010" s="249">
        <v>0.13200000000000001</v>
      </c>
      <c r="F1010" s="424"/>
      <c r="G1010" s="263"/>
    </row>
    <row r="1011" spans="1:9">
      <c r="B1011" s="73">
        <v>2022</v>
      </c>
      <c r="C1011" s="245">
        <f t="shared" si="39"/>
        <v>1579.9460000000001</v>
      </c>
      <c r="D1011" s="152">
        <f t="shared" si="40"/>
        <v>67.203147596767337</v>
      </c>
      <c r="E1011" s="249">
        <v>1.7000000000000001E-2</v>
      </c>
      <c r="F1011" s="424"/>
      <c r="G1011" s="263"/>
    </row>
    <row r="1012" spans="1:9">
      <c r="B1012" s="73">
        <v>2023</v>
      </c>
      <c r="C1012" s="245">
        <f t="shared" si="39"/>
        <v>7620.9160000000002</v>
      </c>
      <c r="D1012" s="152">
        <f t="shared" si="40"/>
        <v>324.15635899617183</v>
      </c>
      <c r="E1012" s="249">
        <v>8.2000000000000003E-2</v>
      </c>
      <c r="F1012" s="424"/>
      <c r="G1012" s="263"/>
    </row>
    <row r="1013" spans="1:9">
      <c r="B1013" s="73">
        <v>2024</v>
      </c>
      <c r="C1013" s="245">
        <f t="shared" si="39"/>
        <v>371.75200000000001</v>
      </c>
      <c r="D1013" s="152">
        <f t="shared" si="40"/>
        <v>15.81250531688643</v>
      </c>
      <c r="E1013" s="249">
        <v>4.0000000000000001E-3</v>
      </c>
      <c r="F1013" s="424"/>
      <c r="G1013" s="263"/>
    </row>
    <row r="1014" spans="1:9" ht="13.5" thickBot="1">
      <c r="B1014" s="74" t="s">
        <v>109</v>
      </c>
      <c r="C1014" s="245">
        <f t="shared" si="39"/>
        <v>66543.607999999993</v>
      </c>
      <c r="D1014" s="152">
        <f t="shared" si="40"/>
        <v>2830.4384517226708</v>
      </c>
      <c r="E1014" s="250">
        <v>0.71599999999999997</v>
      </c>
      <c r="F1014" s="424"/>
      <c r="G1014" s="263"/>
    </row>
    <row r="1015" spans="1:9" ht="13.5" thickBot="1">
      <c r="B1015" s="206" t="s">
        <v>32</v>
      </c>
      <c r="C1015" s="207">
        <f>SUM(C1008:C1014)</f>
        <v>92938</v>
      </c>
      <c r="D1015" s="208">
        <f>SUM(D1008:D1014)</f>
        <v>3953.1263292216072</v>
      </c>
      <c r="E1015" s="261">
        <f>+SUM(E1009:E1014)</f>
        <v>1</v>
      </c>
      <c r="F1015" s="317"/>
      <c r="G1015" s="263"/>
    </row>
    <row r="1017" spans="1:9">
      <c r="B1017" s="259" t="s">
        <v>23</v>
      </c>
      <c r="C1017" s="260">
        <f>C1015-C987</f>
        <v>0</v>
      </c>
    </row>
    <row r="1018" spans="1:9">
      <c r="B1018" s="259"/>
      <c r="C1018" s="260"/>
    </row>
    <row r="1019" spans="1:9">
      <c r="A1019" s="68" t="s">
        <v>185</v>
      </c>
    </row>
    <row r="1021" spans="1:9">
      <c r="H1021" s="68" t="s">
        <v>186</v>
      </c>
      <c r="I1021" s="151">
        <f>Model!AJ160</f>
        <v>5.305039787798408E-2</v>
      </c>
    </row>
    <row r="1022" spans="1:9">
      <c r="B1022" s="32" t="s">
        <v>187</v>
      </c>
      <c r="C1022" s="35" t="s">
        <v>9</v>
      </c>
      <c r="D1022" s="35" t="s">
        <v>10</v>
      </c>
      <c r="E1022" s="35" t="s">
        <v>11</v>
      </c>
      <c r="F1022" s="296"/>
      <c r="G1022" s="151"/>
      <c r="H1022" s="33"/>
      <c r="I1022" s="33"/>
    </row>
    <row r="1023" spans="1:9">
      <c r="B1023" s="158" t="s">
        <v>42</v>
      </c>
      <c r="C1023" s="159">
        <f>483+900</f>
        <v>1383</v>
      </c>
      <c r="D1023" s="165">
        <f t="shared" ref="D1023:D1031" si="41">C1023*$I$1021</f>
        <v>73.368700265251988</v>
      </c>
      <c r="E1023" s="262"/>
      <c r="F1023" s="374"/>
      <c r="G1023" s="151"/>
      <c r="H1023" s="33"/>
      <c r="I1023" s="33"/>
    </row>
    <row r="1024" spans="1:9" ht="25.5">
      <c r="B1024" s="158" t="s">
        <v>162</v>
      </c>
      <c r="C1024" s="159">
        <v>2500</v>
      </c>
      <c r="D1024" s="165">
        <f t="shared" si="41"/>
        <v>132.62599469496021</v>
      </c>
      <c r="E1024" s="262"/>
      <c r="F1024" s="374"/>
      <c r="G1024" s="161"/>
    </row>
    <row r="1025" spans="2:11" ht="25.5">
      <c r="B1025" s="158" t="s">
        <v>163</v>
      </c>
      <c r="C1025" s="159">
        <v>7500</v>
      </c>
      <c r="D1025" s="165">
        <f t="shared" si="41"/>
        <v>397.87798408488061</v>
      </c>
      <c r="E1025" s="262"/>
      <c r="F1025" s="374"/>
      <c r="G1025" s="162"/>
      <c r="H1025" s="68" t="s">
        <v>8</v>
      </c>
    </row>
    <row r="1026" spans="2:11" ht="25.5">
      <c r="B1026" s="158" t="s">
        <v>181</v>
      </c>
      <c r="C1026" s="159">
        <v>1500</v>
      </c>
      <c r="D1026" s="165">
        <f t="shared" si="41"/>
        <v>79.575596816976116</v>
      </c>
      <c r="E1026" s="262"/>
      <c r="F1026" s="374"/>
      <c r="G1026" s="161"/>
      <c r="H1026" s="32" t="s">
        <v>187</v>
      </c>
      <c r="I1026" s="35" t="s">
        <v>9</v>
      </c>
      <c r="J1026" s="35" t="s">
        <v>10</v>
      </c>
    </row>
    <row r="1027" spans="2:11" ht="25.5">
      <c r="B1027" s="158" t="s">
        <v>165</v>
      </c>
      <c r="C1027" s="159">
        <v>8500</v>
      </c>
      <c r="D1027" s="165">
        <f t="shared" si="41"/>
        <v>450.92838196286471</v>
      </c>
      <c r="E1027" s="262"/>
      <c r="F1027" s="374"/>
      <c r="G1027" s="161"/>
      <c r="H1027" s="42" t="s">
        <v>14</v>
      </c>
      <c r="I1027" s="242">
        <v>49784.395049295301</v>
      </c>
      <c r="J1027" s="45">
        <f>I1027*I1021</f>
        <v>2641.0819654798565</v>
      </c>
    </row>
    <row r="1028" spans="2:11" ht="25.5">
      <c r="B1028" s="158" t="s">
        <v>188</v>
      </c>
      <c r="C1028" s="159">
        <v>9420.8050000000003</v>
      </c>
      <c r="D1028" s="165">
        <f t="shared" si="41"/>
        <v>499.77745358090181</v>
      </c>
      <c r="E1028" s="262"/>
      <c r="F1028" s="374"/>
      <c r="G1028" s="163"/>
      <c r="H1028" s="41"/>
      <c r="I1028" s="244"/>
      <c r="J1028" s="70"/>
    </row>
    <row r="1029" spans="2:11" ht="25.5">
      <c r="B1029" s="158" t="s">
        <v>189</v>
      </c>
      <c r="C1029" s="159">
        <v>16747.896000000001</v>
      </c>
      <c r="D1029" s="165">
        <f t="shared" si="41"/>
        <v>888.48254641909807</v>
      </c>
      <c r="E1029" s="262"/>
      <c r="F1029" s="374"/>
      <c r="G1029" s="161"/>
      <c r="H1029" s="41"/>
      <c r="I1029" s="244"/>
      <c r="J1029" s="211"/>
    </row>
    <row r="1030" spans="2:11" ht="25.5">
      <c r="B1030" s="158" t="s">
        <v>169</v>
      </c>
      <c r="C1030" s="159">
        <v>11307.12</v>
      </c>
      <c r="D1030" s="165">
        <f t="shared" si="41"/>
        <v>599.84721485411137</v>
      </c>
      <c r="E1030" s="262"/>
      <c r="F1030" s="374"/>
      <c r="G1030" s="162"/>
    </row>
    <row r="1031" spans="2:11" ht="15.75">
      <c r="B1031" s="158" t="s">
        <v>151</v>
      </c>
      <c r="C1031" s="241">
        <f>Model!AJ124-SUM(Capitalisation!C1023:C1030)</f>
        <v>12501.178999999996</v>
      </c>
      <c r="D1031" s="165">
        <f t="shared" si="41"/>
        <v>663.19251989389898</v>
      </c>
      <c r="E1031" s="262"/>
      <c r="F1031" s="374"/>
      <c r="G1031" s="164"/>
      <c r="H1031" s="203"/>
    </row>
    <row r="1032" spans="2:11" ht="15.75">
      <c r="B1032" s="41"/>
      <c r="C1032" s="41"/>
      <c r="D1032" s="37"/>
      <c r="E1032" s="41"/>
      <c r="F1032" s="422"/>
      <c r="G1032" s="161"/>
      <c r="H1032" s="203"/>
    </row>
    <row r="1033" spans="2:11" ht="15.75">
      <c r="B1033" s="42" t="s">
        <v>17</v>
      </c>
      <c r="C1033" s="258">
        <f>SUM(C1023:C1032)</f>
        <v>71360</v>
      </c>
      <c r="D1033" s="258">
        <f>SUM(D1023:D1032)</f>
        <v>3785.6763925729438</v>
      </c>
      <c r="E1033" s="43">
        <f>+C1033/C1038</f>
        <v>1.9209805836900709</v>
      </c>
      <c r="F1033" s="420"/>
      <c r="H1033" s="203"/>
      <c r="K1033" s="35" t="s">
        <v>11</v>
      </c>
    </row>
    <row r="1034" spans="2:11">
      <c r="B1034" s="41" t="s">
        <v>18</v>
      </c>
      <c r="C1034" s="212">
        <f>Model!AJ127</f>
        <v>20490.901000000002</v>
      </c>
      <c r="D1034" s="165">
        <f>C1034*$I$1021</f>
        <v>1087.0504509283819</v>
      </c>
      <c r="E1034" s="44"/>
      <c r="F1034" s="421"/>
      <c r="G1034" s="190"/>
      <c r="K1034" s="248">
        <v>1.17</v>
      </c>
    </row>
    <row r="1035" spans="2:11">
      <c r="B1035" s="42" t="s">
        <v>19</v>
      </c>
      <c r="C1035" s="258">
        <f>+C1033-C1034</f>
        <v>50869.099000000002</v>
      </c>
      <c r="D1035" s="258">
        <f>+D1033-D1034</f>
        <v>2698.6259416445619</v>
      </c>
      <c r="E1035" s="43">
        <f>+C1035/C1038</f>
        <v>1.3693743201906952</v>
      </c>
      <c r="F1035" s="420"/>
      <c r="K1035" s="71"/>
    </row>
    <row r="1036" spans="2:11">
      <c r="B1036" s="69" t="s">
        <v>20</v>
      </c>
      <c r="C1036" s="209">
        <f>Model!AJ138</f>
        <v>129686.276</v>
      </c>
      <c r="D1036" s="165">
        <f>C1036*$I$1021</f>
        <v>6879.9085411140577</v>
      </c>
      <c r="E1036" s="71"/>
      <c r="F1036" s="420"/>
      <c r="G1036" s="190"/>
      <c r="K1036" s="41"/>
    </row>
    <row r="1037" spans="2:11">
      <c r="B1037" s="69" t="s">
        <v>21</v>
      </c>
      <c r="C1037" s="210">
        <f>C1033+C1036</f>
        <v>201046.27600000001</v>
      </c>
      <c r="D1037" s="210">
        <f>D1033+D1036</f>
        <v>10665.584933687001</v>
      </c>
      <c r="E1037" s="71"/>
      <c r="F1037" s="420"/>
    </row>
    <row r="1038" spans="2:11">
      <c r="B1038" s="41" t="s">
        <v>190</v>
      </c>
      <c r="C1038" s="211">
        <f>Model!AJ92</f>
        <v>37147.694571135318</v>
      </c>
      <c r="D1038" s="211"/>
      <c r="E1038" s="41"/>
      <c r="F1038" s="422"/>
    </row>
    <row r="1040" spans="2:11">
      <c r="B1040" s="166"/>
      <c r="C1040" s="167"/>
    </row>
    <row r="1042" spans="2:9">
      <c r="B1042" s="42" t="s">
        <v>191</v>
      </c>
      <c r="C1042" s="154">
        <f>C1035+Model!AJ137</f>
        <v>217785.84899999999</v>
      </c>
      <c r="E1042"/>
      <c r="F1042"/>
      <c r="H1042" s="231"/>
    </row>
    <row r="1043" spans="2:9">
      <c r="B1043" s="42" t="s">
        <v>25</v>
      </c>
      <c r="C1043" s="43">
        <f>C1042/C1038</f>
        <v>5.8627016161919512</v>
      </c>
      <c r="E1043"/>
      <c r="F1043"/>
      <c r="G1043" s="246"/>
    </row>
    <row r="1044" spans="2:9">
      <c r="G1044"/>
    </row>
    <row r="1045" spans="2:9" ht="13.5" thickBot="1"/>
    <row r="1046" spans="2:9">
      <c r="B1046" s="108" t="s">
        <v>192</v>
      </c>
      <c r="C1046" s="236" t="s">
        <v>49</v>
      </c>
      <c r="D1046" s="236" t="s">
        <v>50</v>
      </c>
    </row>
    <row r="1047" spans="2:9">
      <c r="B1047" s="110"/>
      <c r="C1047" s="152"/>
      <c r="D1047" s="152"/>
      <c r="I1047" s="232"/>
    </row>
    <row r="1048" spans="2:9">
      <c r="B1048" s="110" t="s">
        <v>27</v>
      </c>
      <c r="C1048" s="152">
        <f>C1034</f>
        <v>20490.901000000002</v>
      </c>
      <c r="D1048" s="152">
        <f>C1048*I1021</f>
        <v>1087.0504509283819</v>
      </c>
      <c r="I1048" s="232"/>
    </row>
    <row r="1049" spans="2:9" ht="13.5" thickBot="1">
      <c r="B1049" s="111" t="s">
        <v>28</v>
      </c>
      <c r="C1049" s="153">
        <f>SUM(C1047:C1048)</f>
        <v>20490.901000000002</v>
      </c>
      <c r="D1049" s="153">
        <f>SUM(D1047:D1048)</f>
        <v>1087.0504509283819</v>
      </c>
      <c r="I1049" s="232"/>
    </row>
    <row r="1050" spans="2:9">
      <c r="I1050" s="232"/>
    </row>
    <row r="1051" spans="2:9">
      <c r="C1051" s="37"/>
      <c r="I1051" s="232"/>
    </row>
    <row r="1052" spans="2:9" ht="13.5" thickBot="1">
      <c r="I1052" s="232"/>
    </row>
    <row r="1053" spans="2:9">
      <c r="B1053" s="72" t="s">
        <v>193</v>
      </c>
      <c r="C1053" s="234" t="s">
        <v>52</v>
      </c>
      <c r="D1053" s="235" t="s">
        <v>50</v>
      </c>
      <c r="E1053" s="235" t="s">
        <v>30</v>
      </c>
      <c r="F1053" s="427"/>
    </row>
    <row r="1054" spans="2:9">
      <c r="B1054" s="73"/>
      <c r="C1054" s="182"/>
      <c r="D1054" s="187"/>
      <c r="E1054" s="233"/>
    </row>
    <row r="1055" spans="2:9">
      <c r="B1055" s="73">
        <v>2020</v>
      </c>
      <c r="C1055" s="245">
        <f t="shared" ref="C1055:C1060" si="42">E1055*$C$1033</f>
        <v>11703.04</v>
      </c>
      <c r="D1055" s="152">
        <f t="shared" ref="D1055:D1060" si="43">C1055*$I$1021</f>
        <v>620.85092838196283</v>
      </c>
      <c r="E1055" s="249">
        <v>0.16400000000000001</v>
      </c>
      <c r="F1055" s="424"/>
      <c r="G1055" s="263"/>
    </row>
    <row r="1056" spans="2:9">
      <c r="B1056" s="73">
        <v>2021</v>
      </c>
      <c r="C1056" s="245">
        <f t="shared" si="42"/>
        <v>3496.6400000000003</v>
      </c>
      <c r="D1056" s="152">
        <f t="shared" si="43"/>
        <v>185.49814323607427</v>
      </c>
      <c r="E1056" s="249">
        <v>4.9000000000000002E-2</v>
      </c>
      <c r="F1056" s="424"/>
      <c r="G1056" s="263"/>
    </row>
    <row r="1057" spans="1:10">
      <c r="B1057" s="73">
        <v>2022</v>
      </c>
      <c r="C1057" s="245">
        <f t="shared" si="42"/>
        <v>1569.9199999999998</v>
      </c>
      <c r="D1057" s="152">
        <f t="shared" si="43"/>
        <v>83.284880636604754</v>
      </c>
      <c r="E1057" s="249">
        <v>2.1999999999999999E-2</v>
      </c>
      <c r="F1057" s="424"/>
      <c r="G1057" s="263"/>
    </row>
    <row r="1058" spans="1:10">
      <c r="B1058" s="73">
        <v>2023</v>
      </c>
      <c r="C1058" s="245">
        <f t="shared" si="42"/>
        <v>24904.639999999999</v>
      </c>
      <c r="D1058" s="152">
        <f t="shared" si="43"/>
        <v>1321.2010610079574</v>
      </c>
      <c r="E1058" s="249">
        <v>0.34899999999999998</v>
      </c>
      <c r="F1058" s="424"/>
      <c r="G1058" s="263"/>
    </row>
    <row r="1059" spans="1:10">
      <c r="B1059" s="73">
        <v>2024</v>
      </c>
      <c r="C1059" s="245">
        <f t="shared" si="42"/>
        <v>356.8</v>
      </c>
      <c r="D1059" s="152">
        <f t="shared" si="43"/>
        <v>18.928381962864719</v>
      </c>
      <c r="E1059" s="249">
        <v>5.0000000000000001E-3</v>
      </c>
      <c r="F1059" s="424"/>
      <c r="G1059" s="263"/>
    </row>
    <row r="1060" spans="1:10" ht="13.5" thickBot="1">
      <c r="B1060" s="74" t="s">
        <v>109</v>
      </c>
      <c r="C1060" s="245">
        <f t="shared" si="42"/>
        <v>29328.959999999999</v>
      </c>
      <c r="D1060" s="152">
        <f t="shared" si="43"/>
        <v>1555.9129973474799</v>
      </c>
      <c r="E1060" s="250">
        <v>0.41099999999999998</v>
      </c>
      <c r="F1060" s="424"/>
      <c r="G1060" s="263"/>
    </row>
    <row r="1061" spans="1:10" ht="13.5" thickBot="1">
      <c r="B1061" s="206" t="s">
        <v>32</v>
      </c>
      <c r="C1061" s="207">
        <f>SUM(C1054:C1060)</f>
        <v>71360</v>
      </c>
      <c r="D1061" s="208">
        <f>SUM(D1054:D1060)</f>
        <v>3785.6763925729438</v>
      </c>
      <c r="E1061" s="261">
        <f>+SUM(E1055:E1060)</f>
        <v>1</v>
      </c>
      <c r="F1061" s="317"/>
      <c r="G1061" s="263"/>
    </row>
    <row r="1063" spans="1:10">
      <c r="B1063" s="259" t="s">
        <v>23</v>
      </c>
      <c r="C1063" s="260">
        <f>C1061-C1033</f>
        <v>0</v>
      </c>
    </row>
    <row r="1064" spans="1:10">
      <c r="B1064" s="259"/>
      <c r="C1064" s="260"/>
    </row>
    <row r="1065" spans="1:10">
      <c r="A1065" s="68" t="s">
        <v>194</v>
      </c>
    </row>
    <row r="1067" spans="1:10">
      <c r="H1067" s="68" t="s">
        <v>195</v>
      </c>
      <c r="I1067" s="151">
        <f>Model!AI160</f>
        <v>5.091649694501018E-2</v>
      </c>
    </row>
    <row r="1068" spans="1:10">
      <c r="B1068" s="32" t="s">
        <v>196</v>
      </c>
      <c r="C1068" s="35" t="s">
        <v>9</v>
      </c>
      <c r="D1068" s="35" t="s">
        <v>10</v>
      </c>
      <c r="E1068" s="35" t="s">
        <v>11</v>
      </c>
      <c r="F1068" s="296"/>
      <c r="G1068" s="151"/>
      <c r="H1068" s="33"/>
      <c r="I1068" s="33"/>
    </row>
    <row r="1069" spans="1:10">
      <c r="B1069" s="158" t="s">
        <v>42</v>
      </c>
      <c r="C1069" s="159">
        <f>470.744083847586+913.029260663512</f>
        <v>1383.773344511098</v>
      </c>
      <c r="D1069" s="165">
        <f t="shared" ref="D1069:D1077" si="44">C1069*$I$1067</f>
        <v>70.456891268385846</v>
      </c>
      <c r="E1069" s="262"/>
      <c r="F1069" s="374"/>
      <c r="G1069" s="151"/>
      <c r="H1069" s="33"/>
      <c r="I1069" s="33"/>
    </row>
    <row r="1070" spans="1:10" ht="25.5">
      <c r="B1070" s="158" t="s">
        <v>162</v>
      </c>
      <c r="C1070" s="159">
        <v>2500</v>
      </c>
      <c r="D1070" s="165">
        <f t="shared" si="44"/>
        <v>127.29124236252545</v>
      </c>
      <c r="E1070" s="262"/>
      <c r="F1070" s="374"/>
      <c r="G1070" s="161"/>
    </row>
    <row r="1071" spans="1:10" ht="25.5">
      <c r="B1071" s="158" t="s">
        <v>163</v>
      </c>
      <c r="C1071" s="159">
        <v>7500</v>
      </c>
      <c r="D1071" s="165">
        <f t="shared" si="44"/>
        <v>381.87372708757636</v>
      </c>
      <c r="E1071" s="262"/>
      <c r="F1071" s="374"/>
      <c r="G1071" s="162"/>
      <c r="H1071" s="68" t="s">
        <v>8</v>
      </c>
    </row>
    <row r="1072" spans="1:10" ht="25.5">
      <c r="B1072" s="158" t="s">
        <v>181</v>
      </c>
      <c r="C1072" s="159">
        <v>1500</v>
      </c>
      <c r="D1072" s="165">
        <f t="shared" si="44"/>
        <v>76.374745417515271</v>
      </c>
      <c r="E1072" s="262"/>
      <c r="F1072" s="374"/>
      <c r="G1072" s="161"/>
      <c r="H1072" s="32" t="s">
        <v>196</v>
      </c>
      <c r="I1072" s="35" t="s">
        <v>9</v>
      </c>
      <c r="J1072" s="35" t="s">
        <v>10</v>
      </c>
    </row>
    <row r="1073" spans="2:11" ht="25.5">
      <c r="B1073" s="158" t="s">
        <v>165</v>
      </c>
      <c r="C1073" s="159">
        <v>8500</v>
      </c>
      <c r="D1073" s="165">
        <f t="shared" si="44"/>
        <v>432.79022403258654</v>
      </c>
      <c r="E1073" s="262"/>
      <c r="F1073" s="374"/>
      <c r="G1073" s="161"/>
      <c r="H1073" s="42" t="s">
        <v>14</v>
      </c>
      <c r="I1073" s="242">
        <v>44455.077504010886</v>
      </c>
      <c r="J1073" s="45">
        <f>I1073*I1067</f>
        <v>2263.496817923161</v>
      </c>
    </row>
    <row r="1074" spans="2:11" ht="25.5">
      <c r="B1074" s="158" t="s">
        <v>188</v>
      </c>
      <c r="C1074" s="159">
        <v>9813.5040000000008</v>
      </c>
      <c r="D1074" s="165">
        <f t="shared" si="44"/>
        <v>499.6692464358452</v>
      </c>
      <c r="E1074" s="262"/>
      <c r="F1074" s="374"/>
      <c r="G1074" s="163"/>
      <c r="H1074" s="41"/>
      <c r="I1074" s="244"/>
      <c r="J1074" s="70"/>
    </row>
    <row r="1075" spans="2:11" ht="25.5">
      <c r="B1075" s="158" t="s">
        <v>189</v>
      </c>
      <c r="C1075" s="159">
        <v>17526.058000000001</v>
      </c>
      <c r="D1075" s="165">
        <f t="shared" si="44"/>
        <v>892.36547861507131</v>
      </c>
      <c r="E1075" s="262"/>
      <c r="F1075" s="374"/>
      <c r="G1075" s="161"/>
      <c r="H1075" s="41"/>
      <c r="I1075" s="244"/>
      <c r="J1075" s="211"/>
    </row>
    <row r="1076" spans="2:11" ht="25.5">
      <c r="B1076" s="158" t="s">
        <v>169</v>
      </c>
      <c r="C1076" s="159">
        <v>11781.78</v>
      </c>
      <c r="D1076" s="165">
        <f t="shared" si="44"/>
        <v>599.88696537678209</v>
      </c>
      <c r="E1076" s="262"/>
      <c r="F1076" s="374"/>
      <c r="G1076" s="162"/>
    </row>
    <row r="1077" spans="2:11" ht="15.75">
      <c r="B1077" s="158" t="s">
        <v>151</v>
      </c>
      <c r="C1077" s="241">
        <f>Model!AI124-SUM(Capitalisation!C1069:C1076)</f>
        <v>17411.266189419286</v>
      </c>
      <c r="D1077" s="165">
        <f t="shared" si="44"/>
        <v>886.52068174232613</v>
      </c>
      <c r="E1077" s="262"/>
      <c r="F1077" s="374"/>
      <c r="G1077" s="164"/>
      <c r="H1077" s="203"/>
    </row>
    <row r="1078" spans="2:11" ht="15.75">
      <c r="B1078" s="41"/>
      <c r="C1078" s="41"/>
      <c r="D1078" s="37"/>
      <c r="E1078" s="41"/>
      <c r="F1078" s="422"/>
      <c r="G1078" s="161"/>
      <c r="H1078" s="203"/>
    </row>
    <row r="1079" spans="2:11" ht="15.75">
      <c r="B1079" s="42" t="s">
        <v>17</v>
      </c>
      <c r="C1079" s="258">
        <f>SUM(C1069:C1078)</f>
        <v>77916.381533930384</v>
      </c>
      <c r="D1079" s="258">
        <f>SUM(D1069:D1078)</f>
        <v>3967.2292023386144</v>
      </c>
      <c r="E1079" s="43">
        <f>+C1079/C1084</f>
        <v>2.0578292701400631</v>
      </c>
      <c r="F1079" s="420"/>
      <c r="H1079" s="203"/>
    </row>
    <row r="1080" spans="2:11">
      <c r="B1080" s="41" t="s">
        <v>18</v>
      </c>
      <c r="C1080" s="212">
        <f>Model!AI127</f>
        <v>30230.074000000001</v>
      </c>
      <c r="D1080" s="165">
        <f>C1080*$I$1067</f>
        <v>1539.2094704684316</v>
      </c>
      <c r="E1080" s="44"/>
      <c r="F1080" s="421"/>
      <c r="G1080" s="190"/>
      <c r="K1080" s="35" t="s">
        <v>11</v>
      </c>
    </row>
    <row r="1081" spans="2:11">
      <c r="B1081" s="42" t="s">
        <v>19</v>
      </c>
      <c r="C1081" s="258">
        <f>+C1079-C1080</f>
        <v>47686.307533930383</v>
      </c>
      <c r="D1081" s="258">
        <f>+D1079-D1080</f>
        <v>2428.019731870183</v>
      </c>
      <c r="E1081" s="43">
        <f>+C1081/C1084</f>
        <v>1.25943065497067</v>
      </c>
      <c r="F1081" s="420"/>
      <c r="K1081" s="248">
        <v>1.39</v>
      </c>
    </row>
    <row r="1082" spans="2:11">
      <c r="B1082" s="69" t="s">
        <v>20</v>
      </c>
      <c r="C1082" s="209">
        <f>Model!AI138</f>
        <v>129700.24800000001</v>
      </c>
      <c r="D1082" s="264">
        <f>C1082*$I$1067</f>
        <v>6603.8822810590627</v>
      </c>
      <c r="E1082" s="71"/>
      <c r="F1082" s="420"/>
      <c r="G1082" s="190"/>
      <c r="K1082" s="71"/>
    </row>
    <row r="1083" spans="2:11">
      <c r="B1083" s="69" t="s">
        <v>21</v>
      </c>
      <c r="C1083" s="210">
        <f>C1079+C1082</f>
        <v>207616.62953393039</v>
      </c>
      <c r="D1083" s="210">
        <f>D1079+D1082</f>
        <v>10571.111483397677</v>
      </c>
      <c r="E1083" s="71"/>
      <c r="F1083" s="420"/>
      <c r="K1083" s="41"/>
    </row>
    <row r="1084" spans="2:11">
      <c r="B1084" s="41" t="s">
        <v>197</v>
      </c>
      <c r="C1084" s="211">
        <f>Model!AI92</f>
        <v>37863.384812592893</v>
      </c>
      <c r="D1084" s="211"/>
      <c r="E1084" s="41"/>
      <c r="F1084" s="422"/>
    </row>
    <row r="1086" spans="2:11">
      <c r="B1086" s="166"/>
      <c r="C1086" s="167"/>
    </row>
    <row r="1088" spans="2:11">
      <c r="B1088" s="42" t="s">
        <v>198</v>
      </c>
      <c r="C1088" s="154">
        <f>C1081+Model!AI137</f>
        <v>291193.70753393037</v>
      </c>
      <c r="E1088"/>
      <c r="F1088"/>
      <c r="H1088" s="231"/>
    </row>
    <row r="1089" spans="2:9">
      <c r="B1089" s="42" t="s">
        <v>25</v>
      </c>
      <c r="C1089" s="43">
        <f>C1088/C1084</f>
        <v>7.6906412085240445</v>
      </c>
      <c r="E1089"/>
      <c r="F1089"/>
      <c r="G1089" s="246"/>
    </row>
    <row r="1090" spans="2:9">
      <c r="G1090"/>
    </row>
    <row r="1091" spans="2:9" ht="13.5" thickBot="1"/>
    <row r="1092" spans="2:9">
      <c r="B1092" s="108" t="s">
        <v>199</v>
      </c>
      <c r="C1092" s="236" t="s">
        <v>49</v>
      </c>
      <c r="D1092" s="236" t="s">
        <v>50</v>
      </c>
    </row>
    <row r="1093" spans="2:9">
      <c r="B1093" s="110"/>
      <c r="C1093" s="152"/>
      <c r="D1093" s="152"/>
      <c r="I1093" s="232"/>
    </row>
    <row r="1094" spans="2:9">
      <c r="B1094" s="110" t="s">
        <v>27</v>
      </c>
      <c r="C1094" s="152">
        <f>C1080</f>
        <v>30230.074000000001</v>
      </c>
      <c r="D1094" s="152">
        <f>C1094*I1067</f>
        <v>1539.2094704684316</v>
      </c>
      <c r="I1094" s="232"/>
    </row>
    <row r="1095" spans="2:9" ht="13.5" thickBot="1">
      <c r="B1095" s="111" t="s">
        <v>28</v>
      </c>
      <c r="C1095" s="153">
        <f>SUM(C1093:C1094)</f>
        <v>30230.074000000001</v>
      </c>
      <c r="D1095" s="153">
        <f>SUM(D1093:D1094)</f>
        <v>1539.2094704684316</v>
      </c>
      <c r="I1095" s="232"/>
    </row>
    <row r="1096" spans="2:9">
      <c r="I1096" s="232"/>
    </row>
    <row r="1097" spans="2:9">
      <c r="C1097" s="37"/>
      <c r="I1097" s="232"/>
    </row>
    <row r="1098" spans="2:9" ht="13.5" thickBot="1">
      <c r="I1098" s="232"/>
    </row>
    <row r="1099" spans="2:9">
      <c r="B1099" s="72" t="s">
        <v>200</v>
      </c>
      <c r="C1099" s="234" t="s">
        <v>52</v>
      </c>
      <c r="D1099" s="235" t="s">
        <v>50</v>
      </c>
      <c r="E1099" s="235" t="s">
        <v>30</v>
      </c>
      <c r="F1099" s="427"/>
    </row>
    <row r="1100" spans="2:9">
      <c r="B1100" s="73"/>
      <c r="C1100" s="182"/>
      <c r="D1100" s="187"/>
      <c r="E1100" s="233"/>
    </row>
    <row r="1101" spans="2:9">
      <c r="B1101" s="73">
        <v>2019</v>
      </c>
      <c r="C1101" s="245">
        <f t="shared" ref="C1101:C1106" si="45">E1101*$C$1079</f>
        <v>5220.3975627733362</v>
      </c>
      <c r="D1101" s="152">
        <f t="shared" ref="D1101:D1106" si="46">C1101*$I$1067</f>
        <v>265.80435655668714</v>
      </c>
      <c r="E1101" s="249">
        <v>6.7000000000000004E-2</v>
      </c>
      <c r="F1101" s="424"/>
      <c r="G1101" s="263"/>
    </row>
    <row r="1102" spans="2:9">
      <c r="B1102" s="73">
        <v>2020</v>
      </c>
      <c r="C1102" s="245">
        <f t="shared" si="45"/>
        <v>11843.289993157417</v>
      </c>
      <c r="D1102" s="152">
        <f t="shared" si="46"/>
        <v>603.01883875546923</v>
      </c>
      <c r="E1102" s="249">
        <v>0.152</v>
      </c>
      <c r="F1102" s="424"/>
      <c r="G1102" s="263"/>
    </row>
    <row r="1103" spans="2:9">
      <c r="B1103" s="73">
        <v>2021</v>
      </c>
      <c r="C1103" s="245">
        <f t="shared" si="45"/>
        <v>3506.2371690268669</v>
      </c>
      <c r="D1103" s="152">
        <f t="shared" si="46"/>
        <v>178.52531410523761</v>
      </c>
      <c r="E1103" s="249">
        <v>4.4999999999999998E-2</v>
      </c>
      <c r="F1103" s="424"/>
      <c r="G1103" s="263"/>
    </row>
    <row r="1104" spans="2:9">
      <c r="B1104" s="73">
        <v>2022</v>
      </c>
      <c r="C1104" s="245">
        <f t="shared" si="45"/>
        <v>1558.3276306786076</v>
      </c>
      <c r="D1104" s="152">
        <f t="shared" si="46"/>
        <v>79.344584046772283</v>
      </c>
      <c r="E1104" s="249">
        <v>0.02</v>
      </c>
      <c r="F1104" s="424"/>
      <c r="G1104" s="263"/>
    </row>
    <row r="1105" spans="1:16">
      <c r="B1105" s="73">
        <v>2023</v>
      </c>
      <c r="C1105" s="245">
        <f t="shared" si="45"/>
        <v>25634.489524663099</v>
      </c>
      <c r="D1105" s="152">
        <f t="shared" si="46"/>
        <v>1305.218407569404</v>
      </c>
      <c r="E1105" s="249">
        <v>0.32900000000000001</v>
      </c>
      <c r="F1105" s="424"/>
      <c r="G1105" s="263"/>
    </row>
    <row r="1106" spans="1:16" ht="13.5" thickBot="1">
      <c r="B1106" s="74" t="s">
        <v>201</v>
      </c>
      <c r="C1106" s="245">
        <f t="shared" si="45"/>
        <v>30153.63965363106</v>
      </c>
      <c r="D1106" s="152">
        <f t="shared" si="46"/>
        <v>1535.3177013050438</v>
      </c>
      <c r="E1106" s="250">
        <v>0.38700000000000001</v>
      </c>
      <c r="F1106" s="424"/>
      <c r="G1106" s="263"/>
    </row>
    <row r="1107" spans="1:16" ht="13.5" thickBot="1">
      <c r="B1107" s="206" t="s">
        <v>32</v>
      </c>
      <c r="C1107" s="207">
        <f>SUM(C1100:C1106)</f>
        <v>77916.381533930384</v>
      </c>
      <c r="D1107" s="208">
        <f>SUM(D1100:D1106)</f>
        <v>3967.2292023386135</v>
      </c>
      <c r="E1107" s="261">
        <f>+SUM(E1101:E1106)</f>
        <v>1</v>
      </c>
      <c r="F1107" s="317"/>
      <c r="G1107" s="263"/>
    </row>
    <row r="1109" spans="1:16">
      <c r="B1109" s="259" t="s">
        <v>23</v>
      </c>
      <c r="C1109" s="260">
        <f>C1107-C1079</f>
        <v>0</v>
      </c>
    </row>
    <row r="1110" spans="1:16">
      <c r="B1110" s="259"/>
      <c r="C1110" s="260"/>
    </row>
    <row r="1112" spans="1:16">
      <c r="A1112" s="68" t="s">
        <v>202</v>
      </c>
    </row>
    <row r="1113" spans="1:16">
      <c r="P1113" s="34">
        <f>24909+11310</f>
        <v>36219</v>
      </c>
    </row>
    <row r="1114" spans="1:16">
      <c r="H1114" s="68" t="s">
        <v>203</v>
      </c>
      <c r="I1114" s="151">
        <f>Model!AH160</f>
        <v>5.2164840897235255E-2</v>
      </c>
    </row>
    <row r="1115" spans="1:16">
      <c r="B1115" s="32" t="s">
        <v>204</v>
      </c>
      <c r="C1115" s="35" t="s">
        <v>9</v>
      </c>
      <c r="D1115" s="35" t="s">
        <v>10</v>
      </c>
      <c r="E1115" s="35" t="s">
        <v>11</v>
      </c>
      <c r="F1115" s="296"/>
      <c r="G1115" s="151"/>
      <c r="H1115" s="33"/>
      <c r="I1115" s="33"/>
    </row>
    <row r="1116" spans="1:16">
      <c r="B1116" s="158" t="s">
        <v>42</v>
      </c>
      <c r="C1116" s="159">
        <f>487+1076</f>
        <v>1563</v>
      </c>
      <c r="D1116" s="165">
        <f t="shared" ref="D1116:D1124" si="47">C1116*$I$1114</f>
        <v>81.533646322378701</v>
      </c>
      <c r="E1116" s="262"/>
      <c r="F1116" s="374"/>
      <c r="G1116" s="151"/>
      <c r="H1116" s="33"/>
      <c r="I1116" s="33"/>
    </row>
    <row r="1117" spans="1:16" ht="25.5">
      <c r="B1117" s="158" t="s">
        <v>162</v>
      </c>
      <c r="C1117" s="159">
        <v>2500</v>
      </c>
      <c r="D1117" s="165">
        <f t="shared" si="47"/>
        <v>130.41210224308813</v>
      </c>
      <c r="E1117" s="262"/>
      <c r="F1117" s="374"/>
      <c r="G1117" s="161"/>
    </row>
    <row r="1118" spans="1:16" ht="25.5">
      <c r="B1118" s="158" t="s">
        <v>163</v>
      </c>
      <c r="C1118" s="159">
        <v>7500</v>
      </c>
      <c r="D1118" s="165">
        <f t="shared" si="47"/>
        <v>391.23630672926441</v>
      </c>
      <c r="E1118" s="262"/>
      <c r="F1118" s="374"/>
      <c r="G1118" s="162"/>
      <c r="H1118" s="68" t="s">
        <v>8</v>
      </c>
    </row>
    <row r="1119" spans="1:16" ht="25.5">
      <c r="B1119" s="158" t="s">
        <v>181</v>
      </c>
      <c r="C1119" s="159">
        <v>1500</v>
      </c>
      <c r="D1119" s="165">
        <f t="shared" si="47"/>
        <v>78.247261345852877</v>
      </c>
      <c r="E1119" s="262"/>
      <c r="F1119" s="374"/>
      <c r="G1119" s="161"/>
      <c r="H1119" s="32" t="s">
        <v>204</v>
      </c>
      <c r="I1119" s="35" t="s">
        <v>9</v>
      </c>
      <c r="J1119" s="35" t="s">
        <v>10</v>
      </c>
    </row>
    <row r="1120" spans="1:16" ht="25.5">
      <c r="B1120" s="158" t="s">
        <v>165</v>
      </c>
      <c r="C1120" s="159">
        <v>8500</v>
      </c>
      <c r="D1120" s="165">
        <f t="shared" si="47"/>
        <v>443.40114762649966</v>
      </c>
      <c r="E1120" s="262"/>
      <c r="F1120" s="374"/>
      <c r="G1120" s="161"/>
      <c r="H1120" s="42" t="s">
        <v>14</v>
      </c>
      <c r="I1120" s="242">
        <v>51670</v>
      </c>
      <c r="J1120" s="45">
        <f>I1120*$I$1114</f>
        <v>2695.3573291601456</v>
      </c>
    </row>
    <row r="1121" spans="2:11" ht="25.5">
      <c r="B1121" s="158" t="s">
        <v>188</v>
      </c>
      <c r="C1121" s="159">
        <v>9577.0380000000005</v>
      </c>
      <c r="D1121" s="165">
        <f t="shared" si="47"/>
        <v>499.58466353677613</v>
      </c>
      <c r="E1121" s="262"/>
      <c r="F1121" s="374"/>
      <c r="G1121" s="163"/>
      <c r="H1121" s="41"/>
      <c r="I1121" s="244"/>
      <c r="J1121" s="70"/>
    </row>
    <row r="1122" spans="2:11" ht="25.5">
      <c r="B1122" s="158" t="s">
        <v>189</v>
      </c>
      <c r="C1122" s="159">
        <v>17251.650000000001</v>
      </c>
      <c r="D1122" s="165">
        <f t="shared" si="47"/>
        <v>899.92957746478862</v>
      </c>
      <c r="E1122" s="262"/>
      <c r="F1122" s="374"/>
      <c r="G1122" s="161"/>
      <c r="H1122" s="41"/>
      <c r="I1122" s="244"/>
      <c r="J1122" s="211"/>
    </row>
    <row r="1123" spans="2:11" ht="25.5">
      <c r="B1123" s="158" t="s">
        <v>169</v>
      </c>
      <c r="C1123" s="159">
        <v>11341.069</v>
      </c>
      <c r="D1123" s="165">
        <f t="shared" si="47"/>
        <v>591.60505998956694</v>
      </c>
      <c r="E1123" s="262"/>
      <c r="F1123" s="374"/>
      <c r="G1123" s="162"/>
    </row>
    <row r="1124" spans="2:11" ht="15.75">
      <c r="B1124" s="158" t="s">
        <v>151</v>
      </c>
      <c r="C1124" s="241">
        <f>Model!AH124-SUM(Capitalisation!C1116:C1123)</f>
        <v>17419.243000000002</v>
      </c>
      <c r="D1124" s="165">
        <f t="shared" si="47"/>
        <v>908.67203964527903</v>
      </c>
      <c r="E1124" s="262"/>
      <c r="F1124" s="374"/>
      <c r="G1124" s="164"/>
      <c r="H1124" s="203"/>
    </row>
    <row r="1125" spans="2:11" ht="15.75">
      <c r="B1125" s="41"/>
      <c r="C1125" s="41"/>
      <c r="D1125" s="37"/>
      <c r="E1125" s="41"/>
      <c r="F1125" s="422"/>
      <c r="G1125" s="161"/>
      <c r="H1125" s="203"/>
    </row>
    <row r="1126" spans="2:11" ht="15.75">
      <c r="B1126" s="42" t="s">
        <v>17</v>
      </c>
      <c r="C1126" s="258">
        <f>SUM(C1116:C1125)</f>
        <v>77152</v>
      </c>
      <c r="D1126" s="258">
        <f>SUM(D1116:D1125)</f>
        <v>4024.6218049034942</v>
      </c>
      <c r="E1126" s="43">
        <f>+C1126/C1131</f>
        <v>2.1262402097199695</v>
      </c>
      <c r="F1126" s="420"/>
      <c r="H1126" s="203"/>
      <c r="K1126" s="35" t="s">
        <v>11</v>
      </c>
    </row>
    <row r="1127" spans="2:11">
      <c r="B1127" s="41" t="s">
        <v>18</v>
      </c>
      <c r="C1127" s="212">
        <f>Model!AH127</f>
        <v>23485.576000000001</v>
      </c>
      <c r="D1127" s="212">
        <f>C1127*$I$1114</f>
        <v>1225.1213354199269</v>
      </c>
      <c r="E1127" s="44"/>
      <c r="F1127" s="421"/>
      <c r="G1127" s="190"/>
      <c r="K1127" s="248">
        <v>1.43</v>
      </c>
    </row>
    <row r="1128" spans="2:11">
      <c r="B1128" s="42" t="s">
        <v>19</v>
      </c>
      <c r="C1128" s="258">
        <f>+C1126-C1127</f>
        <v>53666.423999999999</v>
      </c>
      <c r="D1128" s="258">
        <f>+D1126-D1127</f>
        <v>2799.500469483567</v>
      </c>
      <c r="E1128" s="43">
        <f>+C1128/C1131</f>
        <v>1.4789987119022294</v>
      </c>
      <c r="F1128" s="420"/>
      <c r="K1128" s="71"/>
    </row>
    <row r="1129" spans="2:11">
      <c r="B1129" s="69" t="s">
        <v>20</v>
      </c>
      <c r="C1129" s="209">
        <f>Model!AH138</f>
        <v>129189.849</v>
      </c>
      <c r="D1129" s="209">
        <f>C1129*$I$1114</f>
        <v>6739.1679186228475</v>
      </c>
      <c r="E1129" s="71"/>
      <c r="F1129" s="420"/>
      <c r="G1129" s="190"/>
      <c r="K1129" s="41"/>
    </row>
    <row r="1130" spans="2:11">
      <c r="B1130" s="69" t="s">
        <v>21</v>
      </c>
      <c r="C1130" s="210">
        <f>C1126+C1129</f>
        <v>206341.84899999999</v>
      </c>
      <c r="D1130" s="210">
        <f>D1126+D1129</f>
        <v>10763.789723526341</v>
      </c>
      <c r="E1130" s="71"/>
      <c r="F1130" s="420"/>
    </row>
    <row r="1131" spans="2:11">
      <c r="B1131" s="41" t="s">
        <v>205</v>
      </c>
      <c r="C1131" s="211">
        <f>Model!AH92</f>
        <v>36285.646206531426</v>
      </c>
      <c r="D1131" s="211"/>
      <c r="E1131" s="41"/>
      <c r="F1131" s="422"/>
    </row>
    <row r="1133" spans="2:11">
      <c r="B1133" s="166"/>
      <c r="C1133" s="167"/>
    </row>
    <row r="1135" spans="2:11">
      <c r="B1135" s="42" t="s">
        <v>206</v>
      </c>
      <c r="C1135" s="154">
        <f>C1128+Model!AH137</f>
        <v>299946.924</v>
      </c>
      <c r="E1135"/>
      <c r="F1135"/>
      <c r="H1135" s="231"/>
    </row>
    <row r="1136" spans="2:11">
      <c r="B1136" s="42" t="s">
        <v>25</v>
      </c>
      <c r="C1136" s="43">
        <f>C1135/C1131</f>
        <v>8.2662693201811983</v>
      </c>
      <c r="E1136"/>
      <c r="F1136"/>
      <c r="G1136" s="246"/>
    </row>
    <row r="1137" spans="2:9">
      <c r="G1137"/>
    </row>
    <row r="1138" spans="2:9" ht="13.5" thickBot="1"/>
    <row r="1139" spans="2:9">
      <c r="B1139" s="108" t="s">
        <v>207</v>
      </c>
      <c r="C1139" s="236" t="s">
        <v>49</v>
      </c>
      <c r="D1139" s="236" t="s">
        <v>50</v>
      </c>
    </row>
    <row r="1140" spans="2:9">
      <c r="B1140" s="110"/>
      <c r="C1140" s="152"/>
      <c r="D1140" s="152"/>
      <c r="I1140" s="232"/>
    </row>
    <row r="1141" spans="2:9">
      <c r="B1141" s="110" t="s">
        <v>27</v>
      </c>
      <c r="C1141" s="152">
        <f>C1127</f>
        <v>23485.576000000001</v>
      </c>
      <c r="D1141" s="152">
        <f>C1141*I1114</f>
        <v>1225.1213354199269</v>
      </c>
      <c r="I1141" s="232"/>
    </row>
    <row r="1142" spans="2:9" ht="13.5" thickBot="1">
      <c r="B1142" s="111" t="s">
        <v>28</v>
      </c>
      <c r="C1142" s="153">
        <f>SUM(C1140:C1141)</f>
        <v>23485.576000000001</v>
      </c>
      <c r="D1142" s="153">
        <f>SUM(D1140:D1141)</f>
        <v>1225.1213354199269</v>
      </c>
      <c r="I1142" s="232"/>
    </row>
    <row r="1143" spans="2:9">
      <c r="I1143" s="232"/>
    </row>
    <row r="1144" spans="2:9">
      <c r="C1144" s="37"/>
      <c r="I1144" s="232"/>
    </row>
    <row r="1145" spans="2:9" ht="13.5" thickBot="1">
      <c r="I1145" s="232"/>
    </row>
    <row r="1146" spans="2:9">
      <c r="B1146" s="72" t="s">
        <v>208</v>
      </c>
      <c r="C1146" s="234" t="s">
        <v>52</v>
      </c>
      <c r="D1146" s="235" t="s">
        <v>50</v>
      </c>
      <c r="E1146" s="235" t="s">
        <v>30</v>
      </c>
      <c r="F1146" s="427"/>
    </row>
    <row r="1147" spans="2:9">
      <c r="B1147" s="73"/>
      <c r="C1147" s="182"/>
      <c r="D1147" s="187"/>
      <c r="E1147" s="233"/>
    </row>
    <row r="1148" spans="2:9">
      <c r="B1148" s="73">
        <v>2019</v>
      </c>
      <c r="C1148" s="245">
        <f t="shared" ref="C1148:C1153" si="48">E1148*$C$1126</f>
        <v>6403.616</v>
      </c>
      <c r="D1148" s="152">
        <f t="shared" ref="D1148:D1153" si="49">C1148*$I$1114</f>
        <v>334.04360980699005</v>
      </c>
      <c r="E1148" s="249">
        <v>8.3000000000000004E-2</v>
      </c>
      <c r="F1148" s="424"/>
      <c r="G1148" s="263"/>
    </row>
    <row r="1149" spans="2:9">
      <c r="B1149" s="73">
        <v>2020</v>
      </c>
      <c r="C1149" s="245">
        <f t="shared" si="48"/>
        <v>11264.191999999999</v>
      </c>
      <c r="D1149" s="152">
        <f t="shared" si="49"/>
        <v>587.59478351591019</v>
      </c>
      <c r="E1149" s="249">
        <v>0.14599999999999999</v>
      </c>
      <c r="F1149" s="424"/>
      <c r="G1149" s="263"/>
    </row>
    <row r="1150" spans="2:9">
      <c r="B1150" s="73">
        <v>2021</v>
      </c>
      <c r="C1150" s="245">
        <f t="shared" si="48"/>
        <v>12190.016</v>
      </c>
      <c r="D1150" s="152">
        <f t="shared" si="49"/>
        <v>635.89024517475207</v>
      </c>
      <c r="E1150" s="249">
        <v>0.158</v>
      </c>
      <c r="F1150" s="424"/>
      <c r="G1150" s="263"/>
    </row>
    <row r="1151" spans="2:9">
      <c r="B1151" s="73">
        <v>2022</v>
      </c>
      <c r="C1151" s="245">
        <f t="shared" si="48"/>
        <v>1620.192</v>
      </c>
      <c r="D1151" s="152">
        <f t="shared" si="49"/>
        <v>84.517057902973377</v>
      </c>
      <c r="E1151" s="249">
        <v>2.1000000000000001E-2</v>
      </c>
      <c r="F1151" s="424"/>
      <c r="G1151" s="263"/>
    </row>
    <row r="1152" spans="2:9">
      <c r="B1152" s="73">
        <v>2023</v>
      </c>
      <c r="C1152" s="245">
        <f t="shared" si="48"/>
        <v>25228.704000000002</v>
      </c>
      <c r="D1152" s="152">
        <f t="shared" si="49"/>
        <v>1316.0513302034428</v>
      </c>
      <c r="E1152" s="249">
        <v>0.32700000000000001</v>
      </c>
      <c r="F1152" s="424"/>
      <c r="G1152" s="263"/>
    </row>
    <row r="1153" spans="1:10" ht="13.5" thickBot="1">
      <c r="B1153" s="74" t="s">
        <v>201</v>
      </c>
      <c r="C1153" s="245">
        <f t="shared" si="48"/>
        <v>20445.280000000002</v>
      </c>
      <c r="D1153" s="152">
        <f t="shared" si="49"/>
        <v>1066.5247782994261</v>
      </c>
      <c r="E1153" s="250">
        <v>0.26500000000000001</v>
      </c>
      <c r="F1153" s="424"/>
      <c r="G1153" s="263"/>
    </row>
    <row r="1154" spans="1:10" ht="13.5" thickBot="1">
      <c r="B1154" s="206" t="s">
        <v>32</v>
      </c>
      <c r="C1154" s="207">
        <f>SUM(C1147:C1153)</f>
        <v>77152</v>
      </c>
      <c r="D1154" s="208">
        <f>SUM(D1147:D1153)</f>
        <v>4024.6218049034946</v>
      </c>
      <c r="E1154" s="261">
        <f>+SUM(E1148:E1153)</f>
        <v>1</v>
      </c>
      <c r="F1154" s="317"/>
      <c r="G1154" s="263"/>
    </row>
    <row r="1156" spans="1:10">
      <c r="B1156" s="259" t="s">
        <v>23</v>
      </c>
      <c r="C1156" s="260">
        <f>C1154-C1126</f>
        <v>0</v>
      </c>
    </row>
    <row r="1158" spans="1:10">
      <c r="A1158" s="68" t="s">
        <v>209</v>
      </c>
    </row>
    <row r="1160" spans="1:10">
      <c r="H1160" s="68" t="s">
        <v>210</v>
      </c>
      <c r="I1160" s="151">
        <f>Model!AG160</f>
        <v>5.1599587203302377E-2</v>
      </c>
    </row>
    <row r="1161" spans="1:10">
      <c r="B1161" s="32" t="s">
        <v>211</v>
      </c>
      <c r="C1161" s="35" t="s">
        <v>9</v>
      </c>
      <c r="D1161" s="35" t="s">
        <v>10</v>
      </c>
      <c r="E1161" s="35" t="s">
        <v>11</v>
      </c>
      <c r="F1161" s="296"/>
      <c r="G1161" s="151"/>
      <c r="H1161" s="33"/>
      <c r="I1161" s="33"/>
    </row>
    <row r="1162" spans="1:10">
      <c r="B1162" s="158" t="s">
        <v>42</v>
      </c>
      <c r="C1162" s="159">
        <f>498+1146</f>
        <v>1644</v>
      </c>
      <c r="D1162" s="165">
        <f t="shared" ref="D1162:D1170" si="50">C1162*$I$1160</f>
        <v>84.829721362229108</v>
      </c>
      <c r="E1162" s="247"/>
      <c r="F1162" s="296"/>
      <c r="G1162" s="151"/>
      <c r="H1162" s="33"/>
      <c r="I1162" s="33"/>
    </row>
    <row r="1163" spans="1:10" ht="25.5">
      <c r="B1163" s="158" t="s">
        <v>162</v>
      </c>
      <c r="C1163" s="159">
        <v>2500</v>
      </c>
      <c r="D1163" s="165">
        <f t="shared" si="50"/>
        <v>128.99896800825593</v>
      </c>
      <c r="E1163" s="160"/>
      <c r="F1163" s="161"/>
      <c r="G1163" s="161"/>
    </row>
    <row r="1164" spans="1:10" ht="25.5">
      <c r="B1164" s="158" t="s">
        <v>163</v>
      </c>
      <c r="C1164" s="159">
        <v>7500</v>
      </c>
      <c r="D1164" s="165">
        <f t="shared" si="50"/>
        <v>386.99690402476784</v>
      </c>
      <c r="E1164" s="160"/>
      <c r="F1164" s="161"/>
      <c r="G1164" s="162"/>
      <c r="H1164" s="68" t="s">
        <v>8</v>
      </c>
    </row>
    <row r="1165" spans="1:10" ht="25.5">
      <c r="B1165" s="158" t="s">
        <v>181</v>
      </c>
      <c r="C1165" s="159">
        <v>1500</v>
      </c>
      <c r="D1165" s="165">
        <f t="shared" si="50"/>
        <v>77.399380804953566</v>
      </c>
      <c r="E1165" s="160"/>
      <c r="F1165" s="161"/>
      <c r="G1165" s="161"/>
      <c r="H1165" s="32" t="s">
        <v>211</v>
      </c>
      <c r="I1165" s="35" t="s">
        <v>9</v>
      </c>
      <c r="J1165" s="35" t="s">
        <v>10</v>
      </c>
    </row>
    <row r="1166" spans="1:10" ht="25.5">
      <c r="B1166" s="158" t="s">
        <v>165</v>
      </c>
      <c r="C1166" s="159">
        <v>8500</v>
      </c>
      <c r="D1166" s="165">
        <f t="shared" si="50"/>
        <v>438.59649122807019</v>
      </c>
      <c r="E1166" s="160"/>
      <c r="F1166" s="161"/>
      <c r="G1166" s="161"/>
      <c r="H1166" s="42" t="s">
        <v>14</v>
      </c>
      <c r="I1166" s="242">
        <v>51590</v>
      </c>
      <c r="J1166" s="45">
        <f>I1166*$I$1160</f>
        <v>2662.0227038183698</v>
      </c>
    </row>
    <row r="1167" spans="1:10" ht="25.5">
      <c r="B1167" s="158" t="s">
        <v>188</v>
      </c>
      <c r="C1167" s="159">
        <v>9679.6859999999997</v>
      </c>
      <c r="D1167" s="165">
        <f t="shared" si="50"/>
        <v>499.46780185758519</v>
      </c>
      <c r="E1167" s="160"/>
      <c r="F1167" s="161"/>
      <c r="G1167" s="163"/>
      <c r="H1167" s="41"/>
      <c r="I1167" s="244"/>
      <c r="J1167" s="70"/>
    </row>
    <row r="1168" spans="1:10" ht="25.5">
      <c r="B1168" s="158" t="s">
        <v>189</v>
      </c>
      <c r="C1168" s="159">
        <v>17270.901999999998</v>
      </c>
      <c r="D1168" s="165">
        <f t="shared" si="50"/>
        <v>891.17141382868931</v>
      </c>
      <c r="E1168" s="160"/>
      <c r="F1168" s="161"/>
      <c r="G1168" s="161"/>
      <c r="H1168" s="41"/>
      <c r="I1168" s="244"/>
      <c r="J1168" s="211"/>
    </row>
    <row r="1169" spans="2:11" ht="25.5">
      <c r="B1169" s="158" t="s">
        <v>169</v>
      </c>
      <c r="C1169" s="159">
        <v>11627.58</v>
      </c>
      <c r="D1169" s="165">
        <f t="shared" si="50"/>
        <v>599.97832817337462</v>
      </c>
      <c r="E1169" s="160"/>
      <c r="F1169" s="161"/>
      <c r="G1169" s="162"/>
    </row>
    <row r="1170" spans="2:11" ht="15.75">
      <c r="B1170" s="158" t="s">
        <v>151</v>
      </c>
      <c r="C1170" s="241">
        <f>Model!AG124-SUM(Capitalisation!C1162:C1169)</f>
        <v>17611.831999999995</v>
      </c>
      <c r="D1170" s="165">
        <f t="shared" si="50"/>
        <v>908.76326109391107</v>
      </c>
      <c r="E1170" s="205"/>
      <c r="F1170" s="428"/>
      <c r="G1170" s="164"/>
      <c r="H1170" s="203"/>
      <c r="K1170" s="35" t="s">
        <v>11</v>
      </c>
    </row>
    <row r="1171" spans="2:11" ht="15.75">
      <c r="B1171" s="41"/>
      <c r="C1171" s="41"/>
      <c r="D1171" s="37"/>
      <c r="E1171" s="41"/>
      <c r="F1171" s="422"/>
      <c r="G1171" s="161"/>
      <c r="H1171" s="203"/>
      <c r="K1171" s="43">
        <f>+I1210/I1218</f>
        <v>2.3072258574007218</v>
      </c>
    </row>
    <row r="1172" spans="2:11" ht="15.75">
      <c r="B1172" s="42" t="s">
        <v>17</v>
      </c>
      <c r="C1172" s="45">
        <f>SUM(C1162:C1171)</f>
        <v>77834</v>
      </c>
      <c r="D1172" s="45">
        <f>SUM(D1162:D1171)</f>
        <v>4016.2022703818366</v>
      </c>
      <c r="E1172" s="43">
        <f>+C1172/C1177</f>
        <v>2.1722029014300315</v>
      </c>
      <c r="F1172" s="420"/>
      <c r="H1172" s="203"/>
      <c r="K1172" s="44"/>
    </row>
    <row r="1173" spans="2:11">
      <c r="B1173" s="41" t="s">
        <v>18</v>
      </c>
      <c r="C1173" s="212">
        <f>Model!AG127</f>
        <v>23615.403999999999</v>
      </c>
      <c r="D1173" s="212">
        <f>C1173*$I$1160</f>
        <v>1218.5450980392156</v>
      </c>
      <c r="E1173" s="44"/>
      <c r="F1173" s="421"/>
      <c r="G1173" s="190"/>
      <c r="K1173" s="43">
        <f>+I1212/I1218</f>
        <v>1.6380302346570397</v>
      </c>
    </row>
    <row r="1174" spans="2:11">
      <c r="B1174" s="42" t="s">
        <v>19</v>
      </c>
      <c r="C1174" s="45">
        <f>+C1172-C1173</f>
        <v>54218.596000000005</v>
      </c>
      <c r="D1174" s="45">
        <f>+D1172-D1173</f>
        <v>2797.6571723426209</v>
      </c>
      <c r="E1174" s="43">
        <f>+C1174/C1177</f>
        <v>1.5131406781440335</v>
      </c>
      <c r="F1174" s="420"/>
      <c r="K1174" s="43"/>
    </row>
    <row r="1175" spans="2:11">
      <c r="B1175" s="69" t="s">
        <v>20</v>
      </c>
      <c r="C1175" s="209">
        <f>Model!AG138</f>
        <v>125482.852</v>
      </c>
      <c r="D1175" s="209">
        <f>C1175*$I$1160</f>
        <v>6474.8633642930863</v>
      </c>
      <c r="E1175" s="71"/>
      <c r="F1175" s="420"/>
      <c r="G1175" s="190"/>
      <c r="K1175" s="43">
        <f>+I1214/I1218</f>
        <v>1.6059341155234657</v>
      </c>
    </row>
    <row r="1176" spans="2:11">
      <c r="B1176" s="69" t="s">
        <v>21</v>
      </c>
      <c r="C1176" s="210">
        <f>C1172+C1175</f>
        <v>203316.85200000001</v>
      </c>
      <c r="D1176" s="210">
        <f>D1172+D1175</f>
        <v>10491.065634674924</v>
      </c>
      <c r="E1176" s="71"/>
      <c r="F1176" s="420"/>
      <c r="K1176" s="71"/>
    </row>
    <row r="1177" spans="2:11">
      <c r="B1177" s="41" t="s">
        <v>212</v>
      </c>
      <c r="C1177" s="211">
        <f>Model!AG92</f>
        <v>35831.827656964902</v>
      </c>
      <c r="D1177" s="211"/>
      <c r="E1177" s="41"/>
      <c r="F1177" s="422"/>
      <c r="K1177" s="71"/>
    </row>
    <row r="1178" spans="2:11">
      <c r="K1178" s="71"/>
    </row>
    <row r="1179" spans="2:11">
      <c r="B1179" s="166"/>
      <c r="C1179" s="167"/>
      <c r="K1179" s="41"/>
    </row>
    <row r="1181" spans="2:11">
      <c r="B1181" s="42" t="s">
        <v>213</v>
      </c>
      <c r="C1181" s="154">
        <f>C1174+Model!AG137</f>
        <v>310204.99599999998</v>
      </c>
      <c r="E1181"/>
      <c r="F1181"/>
      <c r="H1181" s="231"/>
    </row>
    <row r="1182" spans="2:11">
      <c r="B1182" s="42" t="s">
        <v>25</v>
      </c>
      <c r="C1182" s="43">
        <f>C1181/C1177</f>
        <v>8.6572473771011538</v>
      </c>
      <c r="E1182"/>
      <c r="F1182"/>
      <c r="G1182" s="246"/>
    </row>
    <row r="1183" spans="2:11">
      <c r="G1183"/>
    </row>
    <row r="1184" spans="2:11" ht="13.5" thickBot="1"/>
    <row r="1185" spans="2:9">
      <c r="B1185" s="108" t="s">
        <v>214</v>
      </c>
      <c r="C1185" s="236" t="s">
        <v>49</v>
      </c>
      <c r="D1185" s="236" t="s">
        <v>50</v>
      </c>
    </row>
    <row r="1186" spans="2:9">
      <c r="B1186" s="110"/>
      <c r="C1186" s="152"/>
      <c r="D1186" s="152"/>
      <c r="I1186" s="232"/>
    </row>
    <row r="1187" spans="2:9">
      <c r="B1187" s="110" t="s">
        <v>27</v>
      </c>
      <c r="C1187" s="152">
        <f>C1173</f>
        <v>23615.403999999999</v>
      </c>
      <c r="D1187" s="152">
        <f>C1187*I1160</f>
        <v>1218.5450980392156</v>
      </c>
      <c r="I1187" s="232"/>
    </row>
    <row r="1188" spans="2:9" ht="13.5" thickBot="1">
      <c r="B1188" s="111" t="s">
        <v>28</v>
      </c>
      <c r="C1188" s="153">
        <f>SUM(C1186:C1187)</f>
        <v>23615.403999999999</v>
      </c>
      <c r="D1188" s="153">
        <f>SUM(D1186:D1187)</f>
        <v>1218.5450980392156</v>
      </c>
      <c r="I1188" s="232"/>
    </row>
    <row r="1189" spans="2:9">
      <c r="I1189" s="232"/>
    </row>
    <row r="1190" spans="2:9">
      <c r="C1190" s="37"/>
      <c r="I1190" s="232"/>
    </row>
    <row r="1191" spans="2:9" ht="13.5" thickBot="1">
      <c r="I1191" s="232"/>
    </row>
    <row r="1192" spans="2:9">
      <c r="B1192" s="72" t="s">
        <v>215</v>
      </c>
      <c r="C1192" s="234" t="s">
        <v>52</v>
      </c>
      <c r="D1192" s="235" t="s">
        <v>50</v>
      </c>
      <c r="E1192" s="235" t="s">
        <v>30</v>
      </c>
      <c r="F1192" s="427"/>
    </row>
    <row r="1193" spans="2:9">
      <c r="B1193" s="73"/>
      <c r="C1193" s="182"/>
      <c r="D1193" s="187"/>
      <c r="E1193" s="233"/>
    </row>
    <row r="1194" spans="2:9">
      <c r="B1194" s="73">
        <v>2019</v>
      </c>
      <c r="C1194" s="245">
        <f t="shared" ref="C1194:C1199" si="51">E1194*$C$1172</f>
        <v>7005.0599999999995</v>
      </c>
      <c r="D1194" s="152">
        <f t="shared" ref="D1194:D1199" si="52">C1194*$I$1160</f>
        <v>361.45820433436535</v>
      </c>
      <c r="E1194" s="249">
        <v>0.09</v>
      </c>
      <c r="F1194" s="424"/>
      <c r="G1194" s="191"/>
    </row>
    <row r="1195" spans="2:9">
      <c r="B1195" s="73">
        <v>2020</v>
      </c>
      <c r="C1195" s="245">
        <f t="shared" si="51"/>
        <v>11441.598</v>
      </c>
      <c r="D1195" s="152">
        <f t="shared" si="52"/>
        <v>590.38173374613007</v>
      </c>
      <c r="E1195" s="249">
        <v>0.14699999999999999</v>
      </c>
      <c r="F1195" s="424"/>
    </row>
    <row r="1196" spans="2:9">
      <c r="B1196" s="73">
        <v>2021</v>
      </c>
      <c r="C1196" s="245">
        <f t="shared" si="51"/>
        <v>12375.606</v>
      </c>
      <c r="D1196" s="152">
        <f t="shared" si="52"/>
        <v>638.57616099071208</v>
      </c>
      <c r="E1196" s="249">
        <v>0.159</v>
      </c>
      <c r="F1196" s="424"/>
      <c r="G1196" s="191"/>
    </row>
    <row r="1197" spans="2:9">
      <c r="B1197" s="73">
        <v>2022</v>
      </c>
      <c r="C1197" s="245">
        <f t="shared" si="51"/>
        <v>1790.182</v>
      </c>
      <c r="D1197" s="152">
        <f t="shared" si="52"/>
        <v>92.372652218782264</v>
      </c>
      <c r="E1197" s="249">
        <v>2.3E-2</v>
      </c>
      <c r="F1197" s="424"/>
    </row>
    <row r="1198" spans="2:9">
      <c r="B1198" s="73">
        <v>2023</v>
      </c>
      <c r="C1198" s="245">
        <f t="shared" si="51"/>
        <v>25062.547999999999</v>
      </c>
      <c r="D1198" s="152">
        <f t="shared" si="52"/>
        <v>1293.2171310629515</v>
      </c>
      <c r="E1198" s="249">
        <v>0.32200000000000001</v>
      </c>
      <c r="F1198" s="424"/>
    </row>
    <row r="1199" spans="2:9" ht="13.5" thickBot="1">
      <c r="B1199" s="74" t="s">
        <v>201</v>
      </c>
      <c r="C1199" s="245">
        <f t="shared" si="51"/>
        <v>20159.006000000001</v>
      </c>
      <c r="D1199" s="152">
        <f t="shared" si="52"/>
        <v>1040.1963880288959</v>
      </c>
      <c r="E1199" s="250">
        <v>0.25900000000000001</v>
      </c>
      <c r="F1199" s="424"/>
    </row>
    <row r="1200" spans="2:9" ht="13.5" thickBot="1">
      <c r="B1200" s="206" t="s">
        <v>32</v>
      </c>
      <c r="C1200" s="207">
        <f>SUM(C1193:C1199)</f>
        <v>77834</v>
      </c>
      <c r="D1200" s="208">
        <f>SUM(D1193:D1199)</f>
        <v>4016.202270381837</v>
      </c>
      <c r="E1200" s="238">
        <f>+SUM(E1194:E1199)</f>
        <v>1</v>
      </c>
      <c r="F1200" s="232"/>
    </row>
    <row r="1203" spans="1:11">
      <c r="A1203" s="68" t="s">
        <v>216</v>
      </c>
    </row>
    <row r="1205" spans="1:11">
      <c r="H1205" s="68" t="s">
        <v>217</v>
      </c>
      <c r="I1205" s="151">
        <f>Model!AF160</f>
        <v>5.08130081300813E-2</v>
      </c>
    </row>
    <row r="1206" spans="1:11">
      <c r="B1206" s="32" t="s">
        <v>218</v>
      </c>
      <c r="C1206" s="35" t="s">
        <v>9</v>
      </c>
      <c r="D1206" s="35" t="s">
        <v>10</v>
      </c>
      <c r="E1206" s="35" t="s">
        <v>11</v>
      </c>
      <c r="F1206" s="296"/>
      <c r="G1206" s="151"/>
      <c r="H1206" s="33"/>
      <c r="I1206" s="33"/>
    </row>
    <row r="1207" spans="1:11" ht="25.5">
      <c r="B1207" s="158" t="s">
        <v>162</v>
      </c>
      <c r="C1207" s="159">
        <v>2500</v>
      </c>
      <c r="D1207" s="165">
        <f t="shared" ref="D1207:D1214" si="53">C1207*$I$1205</f>
        <v>127.03252032520325</v>
      </c>
      <c r="E1207" s="160"/>
      <c r="F1207" s="161"/>
      <c r="G1207" s="161"/>
    </row>
    <row r="1208" spans="1:11" ht="25.5">
      <c r="B1208" s="158" t="s">
        <v>163</v>
      </c>
      <c r="C1208" s="159">
        <v>7500</v>
      </c>
      <c r="D1208" s="165">
        <f t="shared" si="53"/>
        <v>381.09756097560972</v>
      </c>
      <c r="E1208" s="160"/>
      <c r="F1208" s="161"/>
      <c r="G1208" s="162"/>
      <c r="H1208" s="68" t="s">
        <v>8</v>
      </c>
    </row>
    <row r="1209" spans="1:11" ht="25.5">
      <c r="B1209" s="158" t="s">
        <v>181</v>
      </c>
      <c r="C1209" s="159">
        <v>1500</v>
      </c>
      <c r="D1209" s="165">
        <f t="shared" si="53"/>
        <v>76.219512195121951</v>
      </c>
      <c r="E1209" s="160"/>
      <c r="F1209" s="161"/>
      <c r="G1209" s="161"/>
      <c r="H1209" s="32" t="s">
        <v>218</v>
      </c>
      <c r="I1209" s="35" t="s">
        <v>9</v>
      </c>
      <c r="J1209" s="35" t="s">
        <v>10</v>
      </c>
    </row>
    <row r="1210" spans="1:11" ht="25.5">
      <c r="B1210" s="158" t="s">
        <v>165</v>
      </c>
      <c r="C1210" s="159">
        <v>8500</v>
      </c>
      <c r="D1210" s="165">
        <f t="shared" si="53"/>
        <v>431.91056910569102</v>
      </c>
      <c r="E1210" s="160"/>
      <c r="F1210" s="161"/>
      <c r="G1210" s="161"/>
      <c r="H1210" s="42" t="s">
        <v>17</v>
      </c>
      <c r="I1210" s="242">
        <f>11604+70201</f>
        <v>81805</v>
      </c>
      <c r="J1210" s="45">
        <f>I1210*$I$1205</f>
        <v>4156.7581300813008</v>
      </c>
    </row>
    <row r="1211" spans="1:11" ht="25.5">
      <c r="B1211" s="158" t="s">
        <v>188</v>
      </c>
      <c r="C1211" s="159">
        <v>9841.4500000000007</v>
      </c>
      <c r="D1211" s="165">
        <f t="shared" si="53"/>
        <v>500.07367886178866</v>
      </c>
      <c r="E1211" s="160"/>
      <c r="F1211" s="161"/>
      <c r="G1211" s="163"/>
      <c r="H1211" s="41" t="s">
        <v>18</v>
      </c>
      <c r="I1211" s="243">
        <v>23727</v>
      </c>
      <c r="J1211" s="212">
        <f>I1211*$I$1205</f>
        <v>1205.6402439024389</v>
      </c>
    </row>
    <row r="1212" spans="1:11" ht="25.5">
      <c r="B1212" s="158" t="s">
        <v>189</v>
      </c>
      <c r="C1212" s="159">
        <v>17520.076000000001</v>
      </c>
      <c r="D1212" s="165">
        <f t="shared" si="53"/>
        <v>890.24776422764228</v>
      </c>
      <c r="E1212" s="160"/>
      <c r="F1212" s="161"/>
      <c r="G1212" s="161"/>
      <c r="H1212" s="42" t="s">
        <v>19</v>
      </c>
      <c r="I1212" s="45">
        <f>+I1210-I1211</f>
        <v>58078</v>
      </c>
      <c r="J1212" s="45">
        <f>+J1210-J1211</f>
        <v>2951.1178861788621</v>
      </c>
    </row>
    <row r="1213" spans="1:11" ht="25.5">
      <c r="B1213" s="158" t="s">
        <v>169</v>
      </c>
      <c r="C1213" s="159">
        <v>11809.74</v>
      </c>
      <c r="D1213" s="165">
        <f t="shared" si="53"/>
        <v>600.08841463414626</v>
      </c>
      <c r="E1213" s="160"/>
      <c r="F1213" s="161"/>
      <c r="G1213" s="162"/>
      <c r="H1213" s="42" t="s">
        <v>219</v>
      </c>
      <c r="I1213" s="45">
        <f>I1212-I1214</f>
        <v>1138</v>
      </c>
      <c r="J1213" s="45">
        <f>J1212-J1214</f>
        <v>57.825203252033134</v>
      </c>
    </row>
    <row r="1214" spans="1:11">
      <c r="B1214" s="158" t="s">
        <v>151</v>
      </c>
      <c r="C1214" s="241">
        <f>Model!AF124-SUM(Capitalisation!C1207:C1213)</f>
        <v>22633.734000000004</v>
      </c>
      <c r="D1214" s="165">
        <f t="shared" si="53"/>
        <v>1150.0881097560978</v>
      </c>
      <c r="E1214" s="205"/>
      <c r="F1214" s="428"/>
      <c r="G1214" s="164"/>
      <c r="H1214" s="42" t="s">
        <v>14</v>
      </c>
      <c r="I1214" s="242">
        <v>56940</v>
      </c>
      <c r="J1214" s="45">
        <f>I1214*$I$1205</f>
        <v>2893.292682926829</v>
      </c>
      <c r="K1214" s="35" t="s">
        <v>11</v>
      </c>
    </row>
    <row r="1215" spans="1:11">
      <c r="B1215" s="41"/>
      <c r="C1215" s="41"/>
      <c r="D1215" s="37"/>
      <c r="E1215" s="41"/>
      <c r="F1215" s="422"/>
      <c r="G1215" s="161"/>
      <c r="H1215" s="69"/>
      <c r="I1215" s="70"/>
      <c r="J1215" s="70"/>
      <c r="K1215" s="43">
        <f>+I1254/I1262</f>
        <v>2.4838068417129131</v>
      </c>
    </row>
    <row r="1216" spans="1:11">
      <c r="B1216" s="42" t="s">
        <v>17</v>
      </c>
      <c r="C1216" s="45">
        <f>SUM(C1207:C1215)</f>
        <v>81805</v>
      </c>
      <c r="D1216" s="45">
        <f>SUM(D1207:D1215)</f>
        <v>4156.7581300813017</v>
      </c>
      <c r="E1216" s="43">
        <f>+C1216/C1221</f>
        <v>2.3072428247072123</v>
      </c>
      <c r="F1216" s="420"/>
      <c r="H1216" s="69" t="s">
        <v>20</v>
      </c>
      <c r="I1216" s="209">
        <f>C1219</f>
        <v>131750.17600000001</v>
      </c>
      <c r="J1216" s="209">
        <f>I1216*$I$1205</f>
        <v>6694.6227642276426</v>
      </c>
      <c r="K1216" s="44"/>
    </row>
    <row r="1217" spans="1:13">
      <c r="B1217" s="41" t="s">
        <v>18</v>
      </c>
      <c r="C1217" s="212">
        <f>Model!AF127</f>
        <v>23727</v>
      </c>
      <c r="D1217" s="212">
        <f>C1217*$I$1205</f>
        <v>1205.6402439024389</v>
      </c>
      <c r="E1217" s="44"/>
      <c r="F1217" s="421"/>
      <c r="G1217" s="190"/>
      <c r="H1217" s="69" t="s">
        <v>21</v>
      </c>
      <c r="I1217" s="210">
        <f>I1210+I1216</f>
        <v>213555.17600000001</v>
      </c>
      <c r="J1217" s="210">
        <f>J1210+J1216</f>
        <v>10851.380894308943</v>
      </c>
      <c r="K1217" s="43">
        <f>+I1256/I1262</f>
        <v>1.9737154532151633</v>
      </c>
    </row>
    <row r="1218" spans="1:13">
      <c r="B1218" s="42" t="s">
        <v>19</v>
      </c>
      <c r="C1218" s="45">
        <f>+C1216-C1217</f>
        <v>58078</v>
      </c>
      <c r="D1218" s="45">
        <f>+D1216-D1217</f>
        <v>2951.117886178863</v>
      </c>
      <c r="E1218" s="43">
        <f>+C1218/C1221</f>
        <v>1.6380422807083366</v>
      </c>
      <c r="F1218" s="420"/>
      <c r="H1218" s="41" t="s">
        <v>220</v>
      </c>
      <c r="I1218" s="244">
        <v>35456</v>
      </c>
      <c r="J1218" s="211"/>
      <c r="K1218" s="43"/>
    </row>
    <row r="1219" spans="1:13">
      <c r="B1219" s="69" t="s">
        <v>20</v>
      </c>
      <c r="C1219" s="209">
        <f>Model!AF138</f>
        <v>131750.17600000001</v>
      </c>
      <c r="D1219" s="209">
        <f>C1219*$I$1205</f>
        <v>6694.6227642276426</v>
      </c>
      <c r="E1219" s="71"/>
      <c r="F1219" s="420"/>
      <c r="G1219" s="190"/>
      <c r="K1219" s="43">
        <f>+I1258/I1262</f>
        <v>1.9112344349650736</v>
      </c>
    </row>
    <row r="1220" spans="1:13" ht="15.75">
      <c r="B1220" s="69" t="s">
        <v>21</v>
      </c>
      <c r="C1220" s="210">
        <f>C1216+C1219</f>
        <v>213555.17600000001</v>
      </c>
      <c r="D1220" s="210">
        <f>D1216+D1219</f>
        <v>10851.380894308944</v>
      </c>
      <c r="E1220" s="71"/>
      <c r="F1220" s="420"/>
      <c r="H1220" s="203"/>
      <c r="K1220" s="71"/>
    </row>
    <row r="1221" spans="1:13">
      <c r="B1221" s="41" t="s">
        <v>220</v>
      </c>
      <c r="C1221" s="211">
        <f>Model!AF92</f>
        <v>35455.739258992391</v>
      </c>
      <c r="D1221" s="211"/>
      <c r="E1221" s="41"/>
      <c r="F1221" s="422"/>
      <c r="K1221" s="71"/>
    </row>
    <row r="1222" spans="1:13">
      <c r="K1222" s="71"/>
    </row>
    <row r="1223" spans="1:13">
      <c r="B1223" s="166"/>
      <c r="C1223" s="167"/>
      <c r="K1223" s="41"/>
    </row>
    <row r="1225" spans="1:13">
      <c r="B1225" s="42" t="s">
        <v>221</v>
      </c>
      <c r="C1225" s="154">
        <f>C1218+Model!AF137</f>
        <v>308388.3</v>
      </c>
      <c r="E1225"/>
      <c r="F1225"/>
      <c r="H1225" s="231"/>
    </row>
    <row r="1226" spans="1:13">
      <c r="B1226" s="42" t="s">
        <v>25</v>
      </c>
      <c r="C1226" s="43">
        <f>C1225/C1221</f>
        <v>8.6978386699915049</v>
      </c>
      <c r="E1226"/>
      <c r="F1226"/>
      <c r="G1226" s="246"/>
    </row>
    <row r="1227" spans="1:13">
      <c r="G1227"/>
    </row>
    <row r="1228" spans="1:13" ht="13.5" thickBot="1"/>
    <row r="1229" spans="1:13" s="33" customFormat="1">
      <c r="A1229" s="34"/>
      <c r="B1229" s="108" t="s">
        <v>222</v>
      </c>
      <c r="C1229" s="236" t="s">
        <v>49</v>
      </c>
      <c r="D1229" s="236" t="s">
        <v>50</v>
      </c>
      <c r="E1229" s="34"/>
      <c r="F1229" s="34"/>
      <c r="G1229" s="34"/>
      <c r="H1229" s="34"/>
      <c r="I1229" s="34"/>
      <c r="J1229" s="34"/>
      <c r="K1229" s="34"/>
      <c r="L1229" s="34"/>
      <c r="M1229" s="34"/>
    </row>
    <row r="1230" spans="1:13">
      <c r="B1230" s="110"/>
      <c r="C1230" s="152"/>
      <c r="D1230" s="152"/>
      <c r="I1230" s="232"/>
    </row>
    <row r="1231" spans="1:13">
      <c r="B1231" s="110" t="s">
        <v>27</v>
      </c>
      <c r="C1231" s="152">
        <f>C1217</f>
        <v>23727</v>
      </c>
      <c r="D1231" s="152">
        <f>C1231*I1205</f>
        <v>1205.6402439024389</v>
      </c>
      <c r="I1231" s="232"/>
    </row>
    <row r="1232" spans="1:13" ht="13.5" thickBot="1">
      <c r="B1232" s="111" t="s">
        <v>28</v>
      </c>
      <c r="C1232" s="153">
        <f>SUM(C1230:C1231)</f>
        <v>23727</v>
      </c>
      <c r="D1232" s="153">
        <f>SUM(D1230:D1231)</f>
        <v>1205.6402439024389</v>
      </c>
      <c r="I1232" s="232"/>
    </row>
    <row r="1233" spans="1:9">
      <c r="I1233" s="232"/>
    </row>
    <row r="1234" spans="1:9">
      <c r="C1234" s="37"/>
      <c r="I1234" s="232"/>
    </row>
    <row r="1235" spans="1:9" ht="13.5" thickBot="1">
      <c r="I1235" s="232"/>
    </row>
    <row r="1236" spans="1:9">
      <c r="B1236" s="72" t="s">
        <v>223</v>
      </c>
      <c r="C1236" s="234" t="s">
        <v>52</v>
      </c>
      <c r="D1236" s="235" t="s">
        <v>50</v>
      </c>
      <c r="E1236" s="235" t="s">
        <v>30</v>
      </c>
      <c r="F1236" s="427"/>
    </row>
    <row r="1237" spans="1:9">
      <c r="B1237" s="73"/>
      <c r="C1237" s="182"/>
      <c r="D1237" s="187"/>
      <c r="E1237" s="233"/>
    </row>
    <row r="1238" spans="1:9">
      <c r="B1238" s="73">
        <v>2019</v>
      </c>
      <c r="C1238" s="245">
        <f t="shared" ref="C1238:C1243" si="54">E1238*$C$1216</f>
        <v>11616.31</v>
      </c>
      <c r="D1238" s="187">
        <f t="shared" ref="D1238:D1243" si="55">C1238*$I$1205</f>
        <v>590.25965447154465</v>
      </c>
      <c r="E1238" s="239">
        <v>0.14199999999999999</v>
      </c>
      <c r="F1238" s="429"/>
      <c r="G1238" s="191"/>
    </row>
    <row r="1239" spans="1:9">
      <c r="B1239" s="73">
        <v>2020</v>
      </c>
      <c r="C1239" s="245">
        <f t="shared" si="54"/>
        <v>11125.480000000001</v>
      </c>
      <c r="D1239" s="187">
        <f t="shared" si="55"/>
        <v>565.31910569105696</v>
      </c>
      <c r="E1239" s="239">
        <v>0.13600000000000001</v>
      </c>
      <c r="F1239" s="429"/>
    </row>
    <row r="1240" spans="1:9">
      <c r="B1240" s="73">
        <v>2021</v>
      </c>
      <c r="C1240" s="245">
        <f t="shared" si="54"/>
        <v>12025.334999999999</v>
      </c>
      <c r="D1240" s="187">
        <f t="shared" si="55"/>
        <v>611.04344512195121</v>
      </c>
      <c r="E1240" s="239">
        <v>0.14699999999999999</v>
      </c>
      <c r="F1240" s="429"/>
      <c r="G1240" s="191"/>
    </row>
    <row r="1241" spans="1:9">
      <c r="B1241" s="73">
        <v>2022</v>
      </c>
      <c r="C1241" s="245">
        <f t="shared" si="54"/>
        <v>1554.2950000000001</v>
      </c>
      <c r="D1241" s="187">
        <f t="shared" si="55"/>
        <v>78.978404471544721</v>
      </c>
      <c r="E1241" s="239">
        <v>1.9E-2</v>
      </c>
      <c r="F1241" s="429"/>
    </row>
    <row r="1242" spans="1:9">
      <c r="B1242" s="73">
        <v>2023</v>
      </c>
      <c r="C1242" s="245">
        <f t="shared" si="54"/>
        <v>25195.94</v>
      </c>
      <c r="D1242" s="187">
        <f t="shared" si="55"/>
        <v>1280.2815040650405</v>
      </c>
      <c r="E1242" s="239">
        <v>0.308</v>
      </c>
      <c r="F1242" s="429"/>
    </row>
    <row r="1243" spans="1:9" ht="13.5" thickBot="1">
      <c r="B1243" s="74" t="s">
        <v>201</v>
      </c>
      <c r="C1243" s="245">
        <f t="shared" si="54"/>
        <v>20287.64</v>
      </c>
      <c r="D1243" s="187">
        <f t="shared" si="55"/>
        <v>1030.8760162601625</v>
      </c>
      <c r="E1243" s="240">
        <v>0.248</v>
      </c>
      <c r="F1243" s="429"/>
    </row>
    <row r="1244" spans="1:9" ht="13.5" thickBot="1">
      <c r="B1244" s="206" t="s">
        <v>32</v>
      </c>
      <c r="C1244" s="207">
        <f>SUM(C1237:C1243)</f>
        <v>81805</v>
      </c>
      <c r="D1244" s="208">
        <f>SUM(D1237:D1243)</f>
        <v>4156.7581300812999</v>
      </c>
      <c r="E1244" s="238">
        <f>+SUM(E1238:E1243)</f>
        <v>1</v>
      </c>
      <c r="F1244" s="232"/>
    </row>
    <row r="1247" spans="1:9">
      <c r="A1247" s="34" t="s">
        <v>224</v>
      </c>
    </row>
    <row r="1249" spans="2:10">
      <c r="B1249" s="32" t="s">
        <v>225</v>
      </c>
      <c r="C1249" s="32" t="s">
        <v>9</v>
      </c>
      <c r="D1249" s="32" t="s">
        <v>10</v>
      </c>
      <c r="E1249" s="35" t="s">
        <v>11</v>
      </c>
      <c r="F1249" s="296"/>
      <c r="H1249" s="68" t="s">
        <v>226</v>
      </c>
      <c r="I1249" s="151">
        <f>Model!AE160</f>
        <v>5.3163211057947905E-2</v>
      </c>
    </row>
    <row r="1250" spans="2:10" ht="25.5">
      <c r="B1250" s="158" t="s">
        <v>162</v>
      </c>
      <c r="C1250" s="159">
        <v>2500</v>
      </c>
      <c r="D1250" s="165">
        <f>C1250*$I$1249</f>
        <v>132.90802764486978</v>
      </c>
      <c r="E1250" s="160"/>
      <c r="F1250" s="161"/>
      <c r="G1250" s="151"/>
      <c r="H1250" s="33"/>
      <c r="I1250" s="33"/>
    </row>
    <row r="1251" spans="2:10" ht="25.5">
      <c r="B1251" s="158" t="s">
        <v>163</v>
      </c>
      <c r="C1251" s="159">
        <v>7500</v>
      </c>
      <c r="D1251" s="165">
        <f t="shared" ref="D1251:D1258" si="56">C1251*$I$1249</f>
        <v>398.72408293460927</v>
      </c>
      <c r="E1251" s="160"/>
      <c r="F1251" s="161"/>
      <c r="G1251" s="161"/>
    </row>
    <row r="1252" spans="2:10" ht="25.5">
      <c r="B1252" s="158" t="s">
        <v>181</v>
      </c>
      <c r="C1252" s="159">
        <v>1500</v>
      </c>
      <c r="D1252" s="165">
        <f t="shared" si="56"/>
        <v>79.744816586921857</v>
      </c>
      <c r="E1252" s="160"/>
      <c r="F1252" s="161"/>
      <c r="G1252" s="162"/>
      <c r="H1252" s="68" t="s">
        <v>8</v>
      </c>
    </row>
    <row r="1253" spans="2:10" ht="25.5">
      <c r="B1253" s="158" t="s">
        <v>165</v>
      </c>
      <c r="C1253" s="159">
        <v>8500</v>
      </c>
      <c r="D1253" s="165">
        <f t="shared" si="56"/>
        <v>451.8872939925572</v>
      </c>
      <c r="E1253" s="160"/>
      <c r="F1253" s="161"/>
      <c r="G1253" s="161"/>
      <c r="H1253" s="32" t="s">
        <v>225</v>
      </c>
      <c r="I1253" s="32" t="s">
        <v>9</v>
      </c>
      <c r="J1253" s="32" t="s">
        <v>10</v>
      </c>
    </row>
    <row r="1254" spans="2:10" ht="25.5">
      <c r="B1254" s="158" t="s">
        <v>227</v>
      </c>
      <c r="C1254" s="159">
        <v>8369.9429999999993</v>
      </c>
      <c r="D1254" s="165">
        <f t="shared" si="56"/>
        <v>444.97304625199365</v>
      </c>
      <c r="E1254" s="160"/>
      <c r="F1254" s="161"/>
      <c r="G1254" s="161"/>
      <c r="H1254" s="42" t="s">
        <v>17</v>
      </c>
      <c r="I1254" s="45">
        <f>10121+79840</f>
        <v>89961</v>
      </c>
      <c r="J1254" s="45">
        <f>I1254*$I$1249</f>
        <v>4782.6156299840513</v>
      </c>
    </row>
    <row r="1255" spans="2:10" ht="12" customHeight="1">
      <c r="B1255" s="158" t="s">
        <v>188</v>
      </c>
      <c r="C1255" s="159">
        <v>9406</v>
      </c>
      <c r="D1255" s="165">
        <f t="shared" si="56"/>
        <v>500.05316321105801</v>
      </c>
      <c r="E1255" s="160"/>
      <c r="F1255" s="161"/>
      <c r="G1255" s="163"/>
      <c r="H1255" s="41" t="s">
        <v>18</v>
      </c>
      <c r="I1255" s="212">
        <v>18475</v>
      </c>
      <c r="J1255" s="212">
        <f>I1255*$I$1249</f>
        <v>982.19032429558752</v>
      </c>
    </row>
    <row r="1256" spans="2:10" ht="25.5">
      <c r="B1256" s="158" t="s">
        <v>189</v>
      </c>
      <c r="C1256" s="159">
        <v>16732.903999999999</v>
      </c>
      <c r="D1256" s="165">
        <f t="shared" si="56"/>
        <v>889.57490696438072</v>
      </c>
      <c r="E1256" s="160"/>
      <c r="F1256" s="161"/>
      <c r="G1256" s="161"/>
      <c r="H1256" s="42" t="s">
        <v>19</v>
      </c>
      <c r="I1256" s="45">
        <f>+I1254-I1255</f>
        <v>71486</v>
      </c>
      <c r="J1256" s="45">
        <f>I1256*$I$1249</f>
        <v>3800.4253056884641</v>
      </c>
    </row>
    <row r="1257" spans="2:10" ht="25.5">
      <c r="B1257" s="158" t="s">
        <v>169</v>
      </c>
      <c r="C1257" s="159">
        <v>11287.2</v>
      </c>
      <c r="D1257" s="165">
        <f t="shared" si="56"/>
        <v>600.06379585326965</v>
      </c>
      <c r="E1257" s="160"/>
      <c r="F1257" s="161"/>
      <c r="G1257" s="162"/>
      <c r="H1257" s="42" t="s">
        <v>219</v>
      </c>
      <c r="I1257" s="45">
        <f>I1256-I1258</f>
        <v>2263</v>
      </c>
      <c r="J1257" s="45">
        <f>I1257*$I$1249</f>
        <v>120.30834662413611</v>
      </c>
    </row>
    <row r="1258" spans="2:10">
      <c r="B1258" s="158" t="s">
        <v>151</v>
      </c>
      <c r="C1258" s="159">
        <f>Model!AE124-SUM(Capitalisation!C1250:C1257)</f>
        <v>24164.953000000009</v>
      </c>
      <c r="D1258" s="165">
        <f t="shared" si="56"/>
        <v>1284.686496544392</v>
      </c>
      <c r="E1258" s="205"/>
      <c r="F1258" s="428"/>
      <c r="G1258" s="164"/>
      <c r="H1258" s="42" t="s">
        <v>14</v>
      </c>
      <c r="I1258" s="45">
        <v>69223</v>
      </c>
      <c r="J1258" s="45">
        <f>I1258*$I$1249</f>
        <v>3680.1169590643281</v>
      </c>
    </row>
    <row r="1259" spans="2:10">
      <c r="B1259" s="41"/>
      <c r="C1259" s="41"/>
      <c r="D1259" s="37"/>
      <c r="E1259" s="41"/>
      <c r="F1259" s="422"/>
      <c r="G1259" s="161"/>
      <c r="H1259" s="69"/>
      <c r="I1259" s="70"/>
      <c r="J1259" s="70"/>
    </row>
    <row r="1260" spans="2:10">
      <c r="B1260" s="42" t="s">
        <v>17</v>
      </c>
      <c r="C1260" s="45">
        <f>SUM(C1250:C1259)</f>
        <v>89961</v>
      </c>
      <c r="D1260" s="45">
        <f>SUM(D1250:D1259)</f>
        <v>4782.6156299840522</v>
      </c>
      <c r="E1260" s="43">
        <f>+C1260/C1265</f>
        <v>2.294794500106923</v>
      </c>
      <c r="F1260" s="420"/>
      <c r="H1260" s="69" t="s">
        <v>20</v>
      </c>
      <c r="I1260" s="209">
        <f>C1263</f>
        <v>131118.69</v>
      </c>
      <c r="J1260" s="209">
        <f>I1260*$I$1249</f>
        <v>6970.6905901116434</v>
      </c>
    </row>
    <row r="1261" spans="2:10">
      <c r="B1261" s="41" t="s">
        <v>18</v>
      </c>
      <c r="C1261" s="212">
        <f>Model!AE127</f>
        <v>18474.878000000001</v>
      </c>
      <c r="D1261" s="165">
        <f>C1261*$I$1249</f>
        <v>982.18383838383852</v>
      </c>
      <c r="E1261" s="44"/>
      <c r="F1261" s="421"/>
      <c r="G1261" s="190"/>
      <c r="H1261" s="69" t="s">
        <v>21</v>
      </c>
      <c r="I1261" s="210">
        <f>I1254+I1260</f>
        <v>221079.69</v>
      </c>
      <c r="J1261" s="210">
        <f>J1254+J1260</f>
        <v>11753.306220095696</v>
      </c>
    </row>
    <row r="1262" spans="2:10">
      <c r="B1262" s="42" t="s">
        <v>19</v>
      </c>
      <c r="C1262" s="45">
        <f>+C1260-C1261</f>
        <v>71486.122000000003</v>
      </c>
      <c r="D1262" s="45">
        <f>+D1260-D1261</f>
        <v>3800.4317916002137</v>
      </c>
      <c r="E1262" s="43">
        <f>+C1262/C1265</f>
        <v>1.8235230777733966</v>
      </c>
      <c r="F1262" s="420"/>
      <c r="H1262" s="41" t="s">
        <v>228</v>
      </c>
      <c r="I1262" s="211">
        <f>24909+11310</f>
        <v>36219</v>
      </c>
      <c r="J1262" s="211"/>
    </row>
    <row r="1263" spans="2:10">
      <c r="B1263" s="69" t="s">
        <v>20</v>
      </c>
      <c r="C1263" s="209">
        <f>Model!AE138</f>
        <v>131118.69</v>
      </c>
      <c r="D1263" s="165">
        <f>C1263*$I$1249</f>
        <v>6970.6905901116434</v>
      </c>
      <c r="E1263" s="71"/>
      <c r="F1263" s="420"/>
      <c r="G1263" s="190"/>
    </row>
    <row r="1264" spans="2:10" ht="15.75">
      <c r="B1264" s="69" t="s">
        <v>21</v>
      </c>
      <c r="C1264" s="210">
        <f>C1260+C1263</f>
        <v>221079.69</v>
      </c>
      <c r="D1264" s="70">
        <f>D1260+D1263</f>
        <v>11753.306220095696</v>
      </c>
      <c r="E1264" s="71"/>
      <c r="F1264" s="420"/>
      <c r="H1264" s="203"/>
    </row>
    <row r="1265" spans="2:13">
      <c r="B1265" s="41" t="s">
        <v>228</v>
      </c>
      <c r="C1265" s="211">
        <f>Model!AE92</f>
        <v>39202.203071259049</v>
      </c>
      <c r="D1265" s="6"/>
      <c r="E1265" s="41"/>
      <c r="F1265" s="422"/>
      <c r="M1265" s="33"/>
    </row>
    <row r="1267" spans="2:13">
      <c r="B1267" s="166"/>
      <c r="C1267" s="167"/>
    </row>
    <row r="1269" spans="2:13">
      <c r="B1269" s="42" t="s">
        <v>229</v>
      </c>
      <c r="C1269" s="154">
        <f>C1262+Model!AE137</f>
        <v>311527.22200000001</v>
      </c>
      <c r="E1269"/>
      <c r="F1269"/>
      <c r="H1269" s="231"/>
    </row>
    <row r="1270" spans="2:13">
      <c r="B1270" s="42" t="s">
        <v>25</v>
      </c>
      <c r="C1270" s="43">
        <f>C1269/C1265</f>
        <v>7.9466764006534891</v>
      </c>
      <c r="E1270"/>
      <c r="F1270"/>
      <c r="G1270"/>
    </row>
    <row r="1271" spans="2:13">
      <c r="G1271"/>
    </row>
    <row r="1272" spans="2:13" ht="13.5" thickBot="1"/>
    <row r="1273" spans="2:13">
      <c r="B1273" s="108" t="s">
        <v>230</v>
      </c>
      <c r="C1273" s="109" t="s">
        <v>49</v>
      </c>
      <c r="D1273" s="109" t="s">
        <v>50</v>
      </c>
    </row>
    <row r="1274" spans="2:13">
      <c r="B1274" s="110"/>
      <c r="C1274" s="152"/>
      <c r="D1274" s="152"/>
    </row>
    <row r="1275" spans="2:13">
      <c r="B1275" s="110" t="s">
        <v>27</v>
      </c>
      <c r="C1275" s="152">
        <f>C1261</f>
        <v>18474.878000000001</v>
      </c>
      <c r="D1275" s="152">
        <f>C1275*I1249</f>
        <v>982.18383838383852</v>
      </c>
    </row>
    <row r="1276" spans="2:13" ht="13.5" thickBot="1">
      <c r="B1276" s="111" t="s">
        <v>28</v>
      </c>
      <c r="C1276" s="153">
        <f>SUM(C1274:C1275)</f>
        <v>18474.878000000001</v>
      </c>
      <c r="D1276" s="153">
        <f>SUM(D1274:D1275)</f>
        <v>982.18383838383852</v>
      </c>
    </row>
    <row r="1278" spans="2:13">
      <c r="C1278" s="37"/>
    </row>
    <row r="1279" spans="2:13" ht="13.5" thickBot="1"/>
    <row r="1280" spans="2:13">
      <c r="B1280" s="72" t="s">
        <v>231</v>
      </c>
      <c r="C1280" s="75" t="s">
        <v>52</v>
      </c>
      <c r="D1280" s="76" t="s">
        <v>50</v>
      </c>
    </row>
    <row r="1281" spans="2:9">
      <c r="B1281" s="73"/>
      <c r="C1281" s="182"/>
      <c r="D1281" s="187"/>
    </row>
    <row r="1282" spans="2:9">
      <c r="B1282" s="73">
        <v>2018</v>
      </c>
      <c r="C1282" s="182">
        <v>8478</v>
      </c>
      <c r="D1282" s="187">
        <f t="shared" ref="D1282:D1287" si="57">C1282*$I$1249</f>
        <v>450.71770334928232</v>
      </c>
      <c r="G1282" s="191"/>
    </row>
    <row r="1283" spans="2:9">
      <c r="B1283" s="73">
        <v>2019</v>
      </c>
      <c r="C1283" s="182">
        <v>13271</v>
      </c>
      <c r="D1283" s="187">
        <f t="shared" si="57"/>
        <v>705.52897395002663</v>
      </c>
    </row>
    <row r="1284" spans="2:9">
      <c r="B1284" s="73">
        <v>2020</v>
      </c>
      <c r="C1284" s="182">
        <v>10670</v>
      </c>
      <c r="D1284" s="187">
        <f t="shared" si="57"/>
        <v>567.25146198830419</v>
      </c>
      <c r="G1284" s="191"/>
    </row>
    <row r="1285" spans="2:9">
      <c r="B1285" s="73">
        <v>2021</v>
      </c>
      <c r="C1285" s="182">
        <v>11869</v>
      </c>
      <c r="D1285" s="187">
        <f t="shared" si="57"/>
        <v>630.99415204678371</v>
      </c>
    </row>
    <row r="1286" spans="2:9">
      <c r="B1286" s="73">
        <v>2022</v>
      </c>
      <c r="C1286" s="182">
        <v>1564</v>
      </c>
      <c r="D1286" s="187">
        <f t="shared" si="57"/>
        <v>83.14726209463052</v>
      </c>
    </row>
    <row r="1287" spans="2:9" ht="13.5" thickBot="1">
      <c r="B1287" s="74" t="s">
        <v>232</v>
      </c>
      <c r="C1287" s="193">
        <v>44108</v>
      </c>
      <c r="D1287" s="187">
        <f t="shared" si="57"/>
        <v>2344.9229133439662</v>
      </c>
    </row>
    <row r="1288" spans="2:9" ht="13.5" thickBot="1">
      <c r="B1288" s="206" t="s">
        <v>32</v>
      </c>
      <c r="C1288" s="207">
        <f>SUM(C1281:C1287)</f>
        <v>89960</v>
      </c>
      <c r="D1288" s="208">
        <f>SUM(D1281:D1287)</f>
        <v>4782.5624667729935</v>
      </c>
    </row>
    <row r="1292" spans="2:9" ht="38.25">
      <c r="B1292" s="32" t="s">
        <v>10</v>
      </c>
      <c r="C1292" s="157" t="s">
        <v>233</v>
      </c>
      <c r="D1292" s="35" t="s">
        <v>11</v>
      </c>
      <c r="E1292" s="68"/>
      <c r="F1292" s="68"/>
      <c r="H1292" s="68" t="s">
        <v>234</v>
      </c>
      <c r="I1292" s="151">
        <f>Model!AD160</f>
        <v>5.0352467270896276E-2</v>
      </c>
    </row>
    <row r="1293" spans="2:9" ht="25.5">
      <c r="B1293" s="158" t="s">
        <v>162</v>
      </c>
      <c r="C1293" s="159">
        <f>2500*I1292</f>
        <v>125.8811681772407</v>
      </c>
      <c r="D1293" s="160"/>
      <c r="E1293" s="161"/>
      <c r="F1293" s="161"/>
      <c r="G1293" s="151"/>
      <c r="H1293" s="33"/>
      <c r="I1293" s="33"/>
    </row>
    <row r="1294" spans="2:9" ht="25.5">
      <c r="B1294" s="158" t="s">
        <v>163</v>
      </c>
      <c r="C1294" s="159">
        <f>7500*I1292</f>
        <v>377.64350453172204</v>
      </c>
      <c r="D1294" s="160"/>
      <c r="E1294" s="162"/>
      <c r="F1294" s="162"/>
      <c r="G1294" s="161"/>
    </row>
    <row r="1295" spans="2:9" ht="25.5">
      <c r="B1295" s="158" t="s">
        <v>181</v>
      </c>
      <c r="C1295" s="159">
        <f>1500*I1292</f>
        <v>75.528700906344412</v>
      </c>
      <c r="D1295" s="160"/>
      <c r="E1295" s="161"/>
      <c r="F1295" s="161"/>
      <c r="G1295" s="162"/>
    </row>
    <row r="1296" spans="2:9" ht="25.5">
      <c r="B1296" s="158" t="s">
        <v>165</v>
      </c>
      <c r="C1296" s="159">
        <f>8500*I1292</f>
        <v>427.99597180261833</v>
      </c>
      <c r="D1296" s="160"/>
      <c r="E1296" s="161"/>
      <c r="F1296" s="161"/>
      <c r="G1296" s="161"/>
    </row>
    <row r="1297" spans="2:12" ht="25.5">
      <c r="B1297" s="158" t="s">
        <v>227</v>
      </c>
      <c r="C1297" s="159">
        <v>1000</v>
      </c>
      <c r="D1297" s="160"/>
      <c r="E1297" s="192"/>
      <c r="F1297" s="192"/>
      <c r="G1297" s="161"/>
    </row>
    <row r="1298" spans="2:12" ht="25.5">
      <c r="B1298" s="158" t="s">
        <v>188</v>
      </c>
      <c r="C1298" s="159">
        <v>500</v>
      </c>
      <c r="D1298" s="160"/>
      <c r="E1298" s="192"/>
      <c r="F1298" s="192"/>
      <c r="G1298" s="163"/>
    </row>
    <row r="1299" spans="2:12" ht="25.5">
      <c r="B1299" s="158" t="s">
        <v>189</v>
      </c>
      <c r="C1299" s="159">
        <v>900</v>
      </c>
      <c r="D1299" s="160"/>
      <c r="E1299" s="192"/>
      <c r="F1299" s="192"/>
      <c r="G1299" s="161"/>
    </row>
    <row r="1300" spans="2:12" ht="25.5">
      <c r="B1300" s="158" t="s">
        <v>169</v>
      </c>
      <c r="C1300" s="159">
        <v>600</v>
      </c>
      <c r="D1300" s="160"/>
      <c r="E1300" s="192"/>
      <c r="F1300" s="192"/>
      <c r="G1300" s="162"/>
    </row>
    <row r="1301" spans="2:12">
      <c r="B1301" s="158" t="s">
        <v>151</v>
      </c>
      <c r="C1301" s="202">
        <f>(Model!AD124*Capitalisation!I1292)-SUM(C1293:C1300)</f>
        <v>688.87210473313235</v>
      </c>
      <c r="D1301" s="160"/>
      <c r="E1301" s="204"/>
      <c r="F1301" s="204"/>
      <c r="G1301" s="164"/>
    </row>
    <row r="1302" spans="2:12">
      <c r="B1302" s="41"/>
      <c r="C1302" s="37"/>
      <c r="D1302" s="41"/>
      <c r="G1302" s="161"/>
    </row>
    <row r="1303" spans="2:12">
      <c r="B1303" s="42" t="s">
        <v>17</v>
      </c>
      <c r="C1303" s="45">
        <f>SUM(C1293:C1302)</f>
        <v>4695.9214501510578</v>
      </c>
      <c r="D1303" s="43">
        <f>+C1303/C1308</f>
        <v>2.3524938955254182</v>
      </c>
    </row>
    <row r="1304" spans="2:12" ht="15.75">
      <c r="B1304" s="41" t="s">
        <v>18</v>
      </c>
      <c r="C1304" s="46">
        <f>Model!AD127*I1292</f>
        <v>1181.7426988922457</v>
      </c>
      <c r="D1304" s="44"/>
      <c r="G1304" s="190"/>
      <c r="H1304" s="203"/>
    </row>
    <row r="1305" spans="2:12">
      <c r="B1305" s="42" t="s">
        <v>19</v>
      </c>
      <c r="C1305" s="45">
        <f>+C1303-C1304</f>
        <v>3514.1787512588121</v>
      </c>
      <c r="D1305" s="43">
        <f>+C1305/C1308</f>
        <v>1.7604817601571165</v>
      </c>
      <c r="L1305" s="33"/>
    </row>
    <row r="1306" spans="2:12">
      <c r="B1306" s="69" t="s">
        <v>20</v>
      </c>
      <c r="C1306" s="70">
        <f>Model!AD138*I1292</f>
        <v>6688.2555387714001</v>
      </c>
      <c r="D1306" s="71"/>
      <c r="G1306" s="190"/>
    </row>
    <row r="1307" spans="2:12" ht="15.75">
      <c r="B1307" s="69" t="s">
        <v>21</v>
      </c>
      <c r="C1307" s="70">
        <f>C1303+C1306</f>
        <v>11384.176988922458</v>
      </c>
      <c r="D1307" s="71"/>
      <c r="H1307" s="203"/>
    </row>
    <row r="1308" spans="2:12">
      <c r="B1308" s="41" t="s">
        <v>235</v>
      </c>
      <c r="C1308" s="6">
        <f>Model!AD92*I1292</f>
        <v>1996.1460725075531</v>
      </c>
      <c r="D1308" s="41"/>
    </row>
    <row r="1310" spans="2:12">
      <c r="B1310" s="166"/>
      <c r="C1310" s="167"/>
    </row>
    <row r="1312" spans="2:12">
      <c r="B1312" s="42" t="s">
        <v>236</v>
      </c>
      <c r="C1312" s="154">
        <f>C1305+I1292*Model!AD137</f>
        <v>15998.569486404835</v>
      </c>
      <c r="E1312"/>
      <c r="F1312"/>
    </row>
    <row r="1313" spans="2:7">
      <c r="B1313" s="42" t="s">
        <v>25</v>
      </c>
      <c r="C1313" s="43">
        <f>C1312/C1308</f>
        <v>8.0147288351034742</v>
      </c>
      <c r="E1313"/>
      <c r="F1313"/>
      <c r="G1313"/>
    </row>
    <row r="1314" spans="2:7">
      <c r="G1314"/>
    </row>
    <row r="1315" spans="2:7" ht="13.5" thickBot="1"/>
    <row r="1316" spans="2:7">
      <c r="B1316" s="108" t="s">
        <v>237</v>
      </c>
      <c r="C1316" s="109" t="s">
        <v>49</v>
      </c>
      <c r="D1316" s="109" t="s">
        <v>50</v>
      </c>
    </row>
    <row r="1317" spans="2:7">
      <c r="B1317" s="110"/>
      <c r="C1317" s="152"/>
      <c r="D1317" s="152"/>
    </row>
    <row r="1318" spans="2:7">
      <c r="B1318" s="110" t="s">
        <v>27</v>
      </c>
      <c r="C1318" s="152">
        <f>Model!AD127</f>
        <v>23469.41</v>
      </c>
      <c r="D1318" s="152">
        <f>C1318*I1292</f>
        <v>1181.7426988922457</v>
      </c>
    </row>
    <row r="1319" spans="2:7" ht="13.5" thickBot="1">
      <c r="B1319" s="111" t="s">
        <v>28</v>
      </c>
      <c r="C1319" s="153">
        <f>SUM(C1317:C1318)</f>
        <v>23469.41</v>
      </c>
      <c r="D1319" s="153">
        <f>SUM(D1317:D1318)</f>
        <v>1181.7426988922457</v>
      </c>
    </row>
    <row r="1321" spans="2:7">
      <c r="C1321" s="37"/>
    </row>
    <row r="1322" spans="2:7" ht="13.5" thickBot="1"/>
    <row r="1323" spans="2:7">
      <c r="B1323" s="72" t="s">
        <v>238</v>
      </c>
      <c r="C1323" s="75" t="s">
        <v>52</v>
      </c>
      <c r="D1323" s="76" t="s">
        <v>50</v>
      </c>
    </row>
    <row r="1324" spans="2:7">
      <c r="B1324" s="73"/>
      <c r="C1324" s="182"/>
      <c r="D1324" s="187"/>
    </row>
    <row r="1325" spans="2:7">
      <c r="B1325" s="73">
        <v>2018</v>
      </c>
      <c r="C1325" s="182">
        <v>10260</v>
      </c>
      <c r="D1325" s="187">
        <f>C1325*$I$1336</f>
        <v>559.43293347873498</v>
      </c>
      <c r="G1325" s="191"/>
    </row>
    <row r="1326" spans="2:7">
      <c r="B1326" s="73">
        <v>2019</v>
      </c>
      <c r="C1326" s="182">
        <v>13418</v>
      </c>
      <c r="D1326" s="187">
        <f>C1326*$I$1336</f>
        <v>731.62486368593238</v>
      </c>
    </row>
    <row r="1327" spans="2:7">
      <c r="B1327" s="73">
        <v>2020</v>
      </c>
      <c r="C1327" s="182">
        <v>10243</v>
      </c>
      <c r="D1327" s="187">
        <f>C1327*$I$1336</f>
        <v>558.50599781897495</v>
      </c>
      <c r="G1327" s="191"/>
    </row>
    <row r="1328" spans="2:7">
      <c r="B1328" s="73">
        <v>2021</v>
      </c>
      <c r="C1328" s="182">
        <v>12095</v>
      </c>
      <c r="D1328" s="187">
        <f>C1328*$I$1336</f>
        <v>659.48745910577975</v>
      </c>
    </row>
    <row r="1329" spans="2:11" ht="13.5" thickBot="1">
      <c r="B1329" s="74" t="s">
        <v>239</v>
      </c>
      <c r="C1329" s="193">
        <f>1571+45675</f>
        <v>47246</v>
      </c>
      <c r="D1329" s="188">
        <f>C1329*$I$1336</f>
        <v>2576.1177753544166</v>
      </c>
    </row>
    <row r="1330" spans="2:11">
      <c r="B1330" s="68" t="s">
        <v>32</v>
      </c>
      <c r="C1330" s="183">
        <f>SUM(C1324:C1329)</f>
        <v>93262</v>
      </c>
      <c r="D1330" s="183">
        <f>SUM(D1324:D1329)</f>
        <v>5085.1690294438386</v>
      </c>
    </row>
    <row r="1336" spans="2:11" ht="51">
      <c r="B1336" s="32" t="s">
        <v>10</v>
      </c>
      <c r="C1336" s="157" t="s">
        <v>240</v>
      </c>
      <c r="D1336" s="35" t="s">
        <v>11</v>
      </c>
      <c r="E1336" s="68"/>
      <c r="F1336" s="68"/>
      <c r="H1336" s="68" t="s">
        <v>241</v>
      </c>
      <c r="I1336" s="151">
        <f>Model!AC160</f>
        <v>5.4525627044711013E-2</v>
      </c>
    </row>
    <row r="1337" spans="2:11" ht="25.5">
      <c r="B1337" s="158" t="s">
        <v>162</v>
      </c>
      <c r="C1337" s="159">
        <f>2500*I1336</f>
        <v>136.31406761177755</v>
      </c>
      <c r="D1337" s="160"/>
      <c r="E1337" s="161"/>
      <c r="F1337" s="161"/>
      <c r="G1337" s="151"/>
      <c r="H1337" s="33"/>
      <c r="I1337" s="33"/>
      <c r="K1337" s="33"/>
    </row>
    <row r="1338" spans="2:11" ht="25.5">
      <c r="B1338" s="158" t="s">
        <v>163</v>
      </c>
      <c r="C1338" s="159">
        <f>7500*I1336</f>
        <v>408.94220283533258</v>
      </c>
      <c r="D1338" s="160"/>
      <c r="E1338" s="162"/>
      <c r="F1338" s="162"/>
      <c r="G1338" s="161"/>
    </row>
    <row r="1339" spans="2:11" ht="25.5">
      <c r="B1339" s="158" t="s">
        <v>181</v>
      </c>
      <c r="C1339" s="159">
        <f>1500*I1336</f>
        <v>81.788440567066516</v>
      </c>
      <c r="D1339" s="160"/>
      <c r="E1339" s="161"/>
      <c r="F1339" s="161"/>
      <c r="G1339" s="162"/>
    </row>
    <row r="1340" spans="2:11" ht="25.5">
      <c r="B1340" s="158" t="s">
        <v>165</v>
      </c>
      <c r="C1340" s="159">
        <f>8500*I1336</f>
        <v>463.46782988004361</v>
      </c>
      <c r="D1340" s="160"/>
      <c r="E1340" s="161"/>
      <c r="F1340" s="161"/>
      <c r="G1340" s="161"/>
    </row>
    <row r="1341" spans="2:11" ht="25.5">
      <c r="B1341" s="158" t="s">
        <v>227</v>
      </c>
      <c r="C1341" s="159">
        <v>445</v>
      </c>
      <c r="D1341" s="160"/>
      <c r="E1341" s="192"/>
      <c r="F1341" s="192"/>
      <c r="G1341" s="161"/>
    </row>
    <row r="1342" spans="2:11" ht="25.5">
      <c r="B1342" s="158" t="s">
        <v>188</v>
      </c>
      <c r="C1342" s="159">
        <v>500</v>
      </c>
      <c r="D1342" s="160"/>
      <c r="E1342" s="192"/>
      <c r="F1342" s="192"/>
      <c r="G1342" s="163"/>
    </row>
    <row r="1343" spans="2:11" ht="25.5">
      <c r="B1343" s="158" t="s">
        <v>189</v>
      </c>
      <c r="C1343" s="159">
        <v>900</v>
      </c>
      <c r="D1343" s="160"/>
      <c r="E1343" s="192"/>
      <c r="F1343" s="192"/>
      <c r="G1343" s="161"/>
    </row>
    <row r="1344" spans="2:11" ht="25.5">
      <c r="B1344" s="158" t="s">
        <v>169</v>
      </c>
      <c r="C1344" s="159">
        <v>600</v>
      </c>
      <c r="D1344" s="160"/>
      <c r="E1344" s="192"/>
      <c r="F1344" s="192"/>
      <c r="G1344" s="162"/>
    </row>
    <row r="1345" spans="2:7">
      <c r="B1345" s="158" t="s">
        <v>151</v>
      </c>
      <c r="C1345" s="165">
        <f>(Model!AC124*Capitalisation!I1336)-SUM(Capitalisation!C1337:C1344)</f>
        <v>755.43620501635723</v>
      </c>
      <c r="D1345" s="160"/>
      <c r="E1345" s="161"/>
      <c r="F1345" s="161"/>
      <c r="G1345" s="164"/>
    </row>
    <row r="1346" spans="2:7">
      <c r="B1346" s="41"/>
      <c r="C1346" s="37"/>
      <c r="D1346" s="41"/>
      <c r="G1346" s="161"/>
    </row>
    <row r="1347" spans="2:7">
      <c r="B1347" s="42" t="s">
        <v>17</v>
      </c>
      <c r="C1347" s="45">
        <f>SUM(C1337:C1346)</f>
        <v>4290.9487459105776</v>
      </c>
      <c r="D1347" s="43">
        <f>+C1347/C1352</f>
        <v>2.001055705890987</v>
      </c>
    </row>
    <row r="1348" spans="2:7">
      <c r="B1348" s="41" t="s">
        <v>18</v>
      </c>
      <c r="C1348" s="46">
        <f>Model!AC127*I1336</f>
        <v>1065.9214830970557</v>
      </c>
      <c r="D1348" s="44"/>
      <c r="G1348" s="190"/>
    </row>
    <row r="1349" spans="2:7">
      <c r="B1349" s="42" t="s">
        <v>19</v>
      </c>
      <c r="C1349" s="45">
        <f>+C1347-C1348</f>
        <v>3225.0272628135217</v>
      </c>
      <c r="D1349" s="43">
        <f>+C1349/C1352</f>
        <v>1.50397023783082</v>
      </c>
    </row>
    <row r="1350" spans="2:7">
      <c r="B1350" s="69" t="s">
        <v>20</v>
      </c>
      <c r="C1350" s="70">
        <f>Model!AC138*Capitalisation!I1336</f>
        <v>7030.861504907306</v>
      </c>
      <c r="D1350" s="71"/>
      <c r="G1350" s="190"/>
    </row>
    <row r="1351" spans="2:7">
      <c r="B1351" s="69" t="s">
        <v>21</v>
      </c>
      <c r="C1351" s="70">
        <f>C1347+C1350</f>
        <v>11321.810250817884</v>
      </c>
      <c r="D1351" s="71"/>
    </row>
    <row r="1352" spans="2:7">
      <c r="B1352" s="41" t="s">
        <v>242</v>
      </c>
      <c r="C1352" s="6">
        <f>Model!AC92*Capitalisation!I1336</f>
        <v>2144.3424754634684</v>
      </c>
      <c r="D1352" s="41"/>
    </row>
    <row r="1354" spans="2:7">
      <c r="B1354" s="166"/>
      <c r="C1354" s="167"/>
    </row>
    <row r="1356" spans="2:7">
      <c r="B1356" s="42" t="s">
        <v>243</v>
      </c>
      <c r="C1356" s="154">
        <f>C1349+I1336*Model!AC137</f>
        <v>16997.27917121047</v>
      </c>
      <c r="E1356"/>
      <c r="F1356"/>
    </row>
    <row r="1357" spans="2:7">
      <c r="B1357" s="42" t="s">
        <v>25</v>
      </c>
      <c r="C1357" s="43">
        <f>C1356/C1352</f>
        <v>7.9265692703945323</v>
      </c>
      <c r="E1357"/>
      <c r="F1357"/>
      <c r="G1357"/>
    </row>
    <row r="1358" spans="2:7">
      <c r="G1358"/>
    </row>
    <row r="1359" spans="2:7" ht="13.5" thickBot="1"/>
    <row r="1360" spans="2:7">
      <c r="B1360" s="108" t="s">
        <v>244</v>
      </c>
      <c r="C1360" s="109" t="s">
        <v>49</v>
      </c>
      <c r="D1360" s="109" t="s">
        <v>50</v>
      </c>
    </row>
    <row r="1361" spans="2:10">
      <c r="B1361" s="110"/>
      <c r="C1361" s="152"/>
      <c r="D1361" s="152"/>
    </row>
    <row r="1362" spans="2:10">
      <c r="B1362" s="110" t="s">
        <v>27</v>
      </c>
      <c r="C1362" s="152">
        <f>Model!AC127</f>
        <v>19549</v>
      </c>
      <c r="D1362" s="152">
        <f>C1362*I1336</f>
        <v>1065.9214830970557</v>
      </c>
    </row>
    <row r="1363" spans="2:10" ht="13.5" thickBot="1">
      <c r="B1363" s="111" t="s">
        <v>28</v>
      </c>
      <c r="C1363" s="153">
        <f>SUM(C1361:C1362)</f>
        <v>19549</v>
      </c>
      <c r="D1363" s="153">
        <f>SUM(D1361:D1362)</f>
        <v>1065.9214830970557</v>
      </c>
    </row>
    <row r="1365" spans="2:10">
      <c r="C1365" s="37"/>
    </row>
    <row r="1366" spans="2:10" ht="13.5" thickBot="1"/>
    <row r="1367" spans="2:10">
      <c r="B1367" s="72" t="s">
        <v>245</v>
      </c>
      <c r="C1367" s="75" t="s">
        <v>52</v>
      </c>
      <c r="D1367" s="76" t="s">
        <v>50</v>
      </c>
    </row>
    <row r="1368" spans="2:10">
      <c r="B1368" s="73"/>
      <c r="C1368" s="182"/>
      <c r="D1368" s="187"/>
    </row>
    <row r="1369" spans="2:10">
      <c r="B1369" s="73">
        <v>2018</v>
      </c>
      <c r="C1369" s="182">
        <v>10978</v>
      </c>
      <c r="D1369" s="187">
        <f>C1369*$I$1336</f>
        <v>598.58233369683751</v>
      </c>
      <c r="G1369" s="191"/>
    </row>
    <row r="1370" spans="2:10">
      <c r="B1370" s="73">
        <v>2019</v>
      </c>
      <c r="C1370" s="182">
        <v>6836</v>
      </c>
      <c r="D1370" s="187">
        <f>C1370*$I$1336</f>
        <v>372.73718647764446</v>
      </c>
    </row>
    <row r="1371" spans="2:10">
      <c r="B1371" s="73">
        <v>2020</v>
      </c>
      <c r="C1371" s="182">
        <v>9506</v>
      </c>
      <c r="D1371" s="187">
        <f>C1371*$I$1336</f>
        <v>518.32061068702285</v>
      </c>
      <c r="G1371" s="191"/>
    </row>
    <row r="1372" spans="2:10">
      <c r="B1372" s="73">
        <v>2021</v>
      </c>
      <c r="C1372" s="182">
        <v>6393</v>
      </c>
      <c r="D1372" s="187">
        <f>C1372*$I$1336</f>
        <v>348.58233369683751</v>
      </c>
    </row>
    <row r="1373" spans="2:10" ht="13.5" thickBot="1">
      <c r="B1373" s="74" t="s">
        <v>239</v>
      </c>
      <c r="C1373" s="193">
        <f>1576+43407</f>
        <v>44983</v>
      </c>
      <c r="D1373" s="188">
        <f>C1373*$I$1336</f>
        <v>2452.7262813522357</v>
      </c>
    </row>
    <row r="1374" spans="2:10">
      <c r="B1374" s="68" t="s">
        <v>32</v>
      </c>
      <c r="C1374" s="183">
        <f>SUM(C1368:C1373)</f>
        <v>78696</v>
      </c>
      <c r="D1374" s="183">
        <f>SUM(D1368:D1373)</f>
        <v>4290.9487459105785</v>
      </c>
    </row>
    <row r="1376" spans="2:10">
      <c r="J1376" s="33"/>
    </row>
    <row r="1379" spans="1:9" ht="38.25">
      <c r="B1379" s="32" t="s">
        <v>10</v>
      </c>
      <c r="C1379" s="157" t="s">
        <v>246</v>
      </c>
      <c r="D1379" s="35" t="s">
        <v>11</v>
      </c>
      <c r="E1379" s="68"/>
      <c r="F1379" s="68"/>
      <c r="H1379" s="68" t="s">
        <v>247</v>
      </c>
      <c r="I1379" s="151">
        <f>Model!AB160</f>
        <v>5.0658561296859174E-2</v>
      </c>
    </row>
    <row r="1380" spans="1:9" ht="25.5">
      <c r="A1380" s="33"/>
      <c r="B1380" s="158" t="s">
        <v>162</v>
      </c>
      <c r="C1380" s="159">
        <f>2500*I1379</f>
        <v>126.64640324214794</v>
      </c>
      <c r="D1380" s="160"/>
      <c r="E1380" s="161"/>
      <c r="F1380" s="161"/>
      <c r="G1380" s="151"/>
      <c r="H1380" s="33"/>
      <c r="I1380" s="33"/>
    </row>
    <row r="1381" spans="1:9" ht="25.5">
      <c r="B1381" s="158" t="s">
        <v>163</v>
      </c>
      <c r="C1381" s="159">
        <f>7500*I1379</f>
        <v>379.93920972644378</v>
      </c>
      <c r="D1381" s="160"/>
      <c r="E1381" s="162"/>
      <c r="F1381" s="162"/>
      <c r="G1381" s="161"/>
    </row>
    <row r="1382" spans="1:9" ht="25.5">
      <c r="B1382" s="158" t="s">
        <v>181</v>
      </c>
      <c r="C1382" s="159">
        <f>1500*I1379</f>
        <v>75.987841945288764</v>
      </c>
      <c r="D1382" s="160"/>
      <c r="E1382" s="161"/>
      <c r="F1382" s="161"/>
      <c r="G1382" s="162"/>
    </row>
    <row r="1383" spans="1:9" ht="25.5">
      <c r="B1383" s="158" t="s">
        <v>165</v>
      </c>
      <c r="C1383" s="159">
        <f>8500*I1379</f>
        <v>430.59777102330298</v>
      </c>
      <c r="D1383" s="160"/>
      <c r="E1383" s="161"/>
      <c r="F1383" s="161"/>
      <c r="G1383" s="161"/>
    </row>
    <row r="1384" spans="1:9" ht="25.5">
      <c r="B1384" s="158" t="s">
        <v>227</v>
      </c>
      <c r="C1384" s="159">
        <v>445</v>
      </c>
      <c r="D1384" s="160"/>
      <c r="E1384" s="192"/>
      <c r="F1384" s="192"/>
      <c r="G1384" s="161"/>
    </row>
    <row r="1385" spans="1:9" ht="25.5">
      <c r="B1385" s="158" t="s">
        <v>188</v>
      </c>
      <c r="C1385" s="159">
        <v>500</v>
      </c>
      <c r="D1385" s="160"/>
      <c r="E1385" s="192"/>
      <c r="F1385" s="192"/>
      <c r="G1385" s="163"/>
    </row>
    <row r="1386" spans="1:9" ht="25.5">
      <c r="B1386" s="158" t="s">
        <v>189</v>
      </c>
      <c r="C1386" s="159">
        <v>900</v>
      </c>
      <c r="D1386" s="160"/>
      <c r="E1386" s="192"/>
      <c r="F1386" s="192"/>
      <c r="G1386" s="161"/>
    </row>
    <row r="1387" spans="1:9" ht="25.5">
      <c r="B1387" s="158" t="s">
        <v>169</v>
      </c>
      <c r="C1387" s="159">
        <v>600</v>
      </c>
      <c r="D1387" s="160"/>
      <c r="E1387" s="192"/>
      <c r="F1387" s="192"/>
      <c r="G1387" s="162"/>
    </row>
    <row r="1388" spans="1:9">
      <c r="B1388" s="158" t="s">
        <v>151</v>
      </c>
      <c r="C1388" s="165">
        <f>(Model!AB124*Capitalisation!I1379)-SUM(Capitalisation!C1380:C1387)</f>
        <v>764.72644376899734</v>
      </c>
      <c r="D1388" s="160"/>
      <c r="E1388" s="161"/>
      <c r="F1388" s="161"/>
      <c r="G1388" s="164"/>
    </row>
    <row r="1389" spans="1:9">
      <c r="B1389" s="41"/>
      <c r="C1389" s="37"/>
      <c r="D1389" s="41"/>
      <c r="G1389" s="161"/>
    </row>
    <row r="1390" spans="1:9">
      <c r="B1390" s="42" t="s">
        <v>17</v>
      </c>
      <c r="C1390" s="45">
        <f>SUM(C1380:C1389)</f>
        <v>4222.8976697061807</v>
      </c>
      <c r="D1390" s="43">
        <f>+C1390/C1395</f>
        <v>2.1079662055794035</v>
      </c>
    </row>
    <row r="1391" spans="1:9">
      <c r="B1391" s="41" t="s">
        <v>18</v>
      </c>
      <c r="C1391" s="46">
        <f>Model!AB127*I1379</f>
        <v>950.70921985815608</v>
      </c>
      <c r="D1391" s="44"/>
      <c r="G1391" s="190"/>
    </row>
    <row r="1392" spans="1:9">
      <c r="B1392" s="42" t="s">
        <v>19</v>
      </c>
      <c r="C1392" s="45">
        <f>+C1390-C1391</f>
        <v>3272.1884498480249</v>
      </c>
      <c r="D1392" s="43">
        <f>+C1392/C1395</f>
        <v>1.6333956467969102</v>
      </c>
    </row>
    <row r="1393" spans="2:7">
      <c r="B1393" s="69" t="s">
        <v>20</v>
      </c>
      <c r="C1393" s="70">
        <f>Model!AB138*Capitalisation!I1379</f>
        <v>7128.1661600810539</v>
      </c>
      <c r="D1393" s="71"/>
      <c r="G1393" s="190"/>
    </row>
    <row r="1394" spans="2:7">
      <c r="B1394" s="69" t="s">
        <v>21</v>
      </c>
      <c r="C1394" s="70">
        <f>C1390+C1393</f>
        <v>11351.063829787236</v>
      </c>
      <c r="D1394" s="71"/>
    </row>
    <row r="1395" spans="2:7">
      <c r="B1395" s="41" t="s">
        <v>248</v>
      </c>
      <c r="C1395" s="6">
        <f>Model!AB92*Capitalisation!I1379</f>
        <v>2003.3042553191497</v>
      </c>
      <c r="D1395" s="41"/>
    </row>
    <row r="1397" spans="2:7">
      <c r="B1397" s="166" t="s">
        <v>23</v>
      </c>
      <c r="C1397" s="167">
        <f>C1390-Model!AB130*Capitalisation!I1379</f>
        <v>0</v>
      </c>
    </row>
    <row r="1399" spans="2:7">
      <c r="B1399" s="42" t="s">
        <v>249</v>
      </c>
      <c r="C1399" s="154">
        <f>C1392+I1379*Model!AB137</f>
        <v>17847.11246200608</v>
      </c>
      <c r="E1399"/>
      <c r="F1399"/>
    </row>
    <row r="1400" spans="2:7">
      <c r="B1400" s="42" t="s">
        <v>25</v>
      </c>
      <c r="C1400" s="43">
        <f>C1399/C1395</f>
        <v>8.9088376938343927</v>
      </c>
      <c r="E1400"/>
      <c r="F1400"/>
      <c r="G1400"/>
    </row>
    <row r="1401" spans="2:7">
      <c r="G1401"/>
    </row>
    <row r="1402" spans="2:7" ht="13.5" thickBot="1"/>
    <row r="1403" spans="2:7">
      <c r="B1403" s="108" t="s">
        <v>250</v>
      </c>
      <c r="C1403" s="109" t="s">
        <v>49</v>
      </c>
      <c r="D1403" s="109" t="s">
        <v>50</v>
      </c>
    </row>
    <row r="1404" spans="2:7">
      <c r="B1404" s="110"/>
      <c r="C1404" s="152"/>
      <c r="D1404" s="152"/>
    </row>
    <row r="1405" spans="2:7">
      <c r="B1405" s="110" t="s">
        <v>27</v>
      </c>
      <c r="C1405" s="152" t="e">
        <f>Model!#REF!</f>
        <v>#REF!</v>
      </c>
      <c r="D1405" s="152" t="e">
        <f>C1405*I1379</f>
        <v>#REF!</v>
      </c>
    </row>
    <row r="1406" spans="2:7" ht="13.5" thickBot="1">
      <c r="B1406" s="111" t="s">
        <v>28</v>
      </c>
      <c r="C1406" s="153" t="e">
        <f>SUM(C1404:C1405)</f>
        <v>#REF!</v>
      </c>
      <c r="D1406" s="153" t="e">
        <f>SUM(D1404:D1405)</f>
        <v>#REF!</v>
      </c>
    </row>
    <row r="1408" spans="2:7">
      <c r="C1408" s="37"/>
    </row>
    <row r="1409" spans="2:7" ht="13.5" thickBot="1"/>
    <row r="1410" spans="2:7">
      <c r="B1410" s="72" t="s">
        <v>251</v>
      </c>
      <c r="C1410" s="75" t="s">
        <v>52</v>
      </c>
      <c r="D1410" s="76" t="s">
        <v>50</v>
      </c>
    </row>
    <row r="1411" spans="2:7">
      <c r="B1411" s="73"/>
      <c r="C1411" s="182"/>
      <c r="D1411" s="187"/>
    </row>
    <row r="1412" spans="2:7">
      <c r="B1412" s="73">
        <v>2018</v>
      </c>
      <c r="C1412" s="182">
        <f>Model!AB$115*0.146</f>
        <v>12170.56</v>
      </c>
      <c r="D1412" s="187">
        <f>C1412*$I$1379</f>
        <v>616.54305977710237</v>
      </c>
      <c r="G1412" s="191"/>
    </row>
    <row r="1413" spans="2:7">
      <c r="B1413" s="73">
        <v>2019</v>
      </c>
      <c r="C1413" s="182">
        <f>Model!AB$115*0.086</f>
        <v>7168.9599999999991</v>
      </c>
      <c r="D1413" s="187">
        <f>C1413*$I$1379</f>
        <v>363.16919959473148</v>
      </c>
    </row>
    <row r="1414" spans="2:7">
      <c r="B1414" s="73">
        <v>2020</v>
      </c>
      <c r="C1414" s="182">
        <f>Model!AB$115*0.123</f>
        <v>10253.280000000001</v>
      </c>
      <c r="D1414" s="187">
        <f>C1414*$I$1379</f>
        <v>519.41641337386022</v>
      </c>
      <c r="G1414" s="191"/>
    </row>
    <row r="1415" spans="2:7">
      <c r="B1415" s="73">
        <v>2021</v>
      </c>
      <c r="C1415" s="182">
        <f>Model!AB$115*0.08</f>
        <v>6668.8</v>
      </c>
      <c r="D1415" s="187">
        <f>C1415*$I$1379</f>
        <v>337.83181357649448</v>
      </c>
    </row>
    <row r="1416" spans="2:7" ht="13.5" thickBot="1">
      <c r="B1416" s="74" t="s">
        <v>239</v>
      </c>
      <c r="C1416" s="193">
        <f>Model!AB$115*0.565</f>
        <v>47098.399999999994</v>
      </c>
      <c r="D1416" s="188">
        <f>C1416*$I$1379</f>
        <v>2385.9371833839919</v>
      </c>
    </row>
    <row r="1417" spans="2:7">
      <c r="B1417" s="68" t="s">
        <v>32</v>
      </c>
      <c r="C1417" s="183">
        <f>SUM(C1411:C1416)</f>
        <v>83360</v>
      </c>
      <c r="D1417" s="183">
        <f>SUM(D1411:D1416)</f>
        <v>4222.8976697061807</v>
      </c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2.75"/>
  <sheetData>
    <row r="1" spans="1:1">
      <c r="A1" t="s">
        <v>252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B2:BP357"/>
  <sheetViews>
    <sheetView showGridLines="0" tabSelected="1" zoomScaleNormal="100" zoomScaleSheetLayoutView="100" workbookViewId="0">
      <pane xSplit="2" ySplit="6" topLeftCell="J7" activePane="bottomRight" state="frozen"/>
      <selection pane="bottomRight" activeCell="B2" sqref="B2"/>
      <selection pane="bottomLeft" activeCell="P4" sqref="P4"/>
      <selection pane="topRight" activeCell="P4" sqref="P4"/>
    </sheetView>
  </sheetViews>
  <sheetFormatPr defaultColWidth="11.42578125" defaultRowHeight="13.5" customHeight="1" outlineLevelRow="1" outlineLevelCol="1"/>
  <cols>
    <col min="1" max="1" width="2.7109375" style="1" customWidth="1"/>
    <col min="2" max="2" width="50.7109375" style="1" customWidth="1"/>
    <col min="3" max="5" width="12.7109375" style="1" hidden="1" customWidth="1" outlineLevel="1"/>
    <col min="6" max="6" width="12.7109375" style="1" hidden="1" customWidth="1" outlineLevel="1" collapsed="1"/>
    <col min="7" max="9" width="12.7109375" style="1" hidden="1" customWidth="1" outlineLevel="1"/>
    <col min="10" max="11" width="12.7109375" style="1" hidden="1" customWidth="1" outlineLevel="1" collapsed="1"/>
    <col min="12" max="12" width="12.7109375" style="1" hidden="1" customWidth="1" outlineLevel="1"/>
    <col min="13" max="13" width="12.7109375" style="1" customWidth="1" collapsed="1"/>
    <col min="14" max="17" width="12.7109375" style="1" customWidth="1"/>
    <col min="18" max="19" width="12.7109375" style="1" hidden="1" customWidth="1" outlineLevel="1"/>
    <col min="20" max="20" width="12.7109375" style="88" hidden="1" customWidth="1" outlineLevel="1"/>
    <col min="21" max="32" width="12.7109375" style="1" hidden="1" customWidth="1" outlineLevel="1"/>
    <col min="33" max="33" width="12.7109375" style="1" hidden="1" customWidth="1" outlineLevel="1" collapsed="1"/>
    <col min="34" max="40" width="12.7109375" style="1" hidden="1" customWidth="1" outlineLevel="1"/>
    <col min="41" max="41" width="12.7109375" style="1" hidden="1" customWidth="1" outlineLevel="1" collapsed="1"/>
    <col min="42" max="44" width="12.7109375" style="1" hidden="1" customWidth="1" outlineLevel="1"/>
    <col min="45" max="46" width="12.7109375" style="1" hidden="1" customWidth="1" outlineLevel="1" collapsed="1"/>
    <col min="47" max="55" width="12.7109375" style="1" hidden="1" customWidth="1" outlineLevel="1"/>
    <col min="56" max="56" width="12.7109375" style="1" customWidth="1" collapsed="1"/>
    <col min="57" max="57" width="12.7109375" style="1" customWidth="1"/>
    <col min="58" max="58" width="12.7109375" customWidth="1"/>
    <col min="59" max="61" width="12.7109375" style="1" customWidth="1"/>
    <col min="62" max="62" width="12.7109375" customWidth="1"/>
    <col min="63" max="63" width="15.5703125" customWidth="1"/>
    <col min="64" max="65" width="12.7109375" style="1" hidden="1" customWidth="1" outlineLevel="1"/>
    <col min="66" max="66" width="12.7109375" style="1" customWidth="1" collapsed="1"/>
    <col min="67" max="70" width="12.7109375" style="1" customWidth="1"/>
    <col min="71" max="16384" width="11.42578125" style="1"/>
  </cols>
  <sheetData>
    <row r="2" spans="2:68" s="2" customFormat="1" ht="21">
      <c r="B2" s="10" t="s">
        <v>253</v>
      </c>
      <c r="C2" s="12" t="s">
        <v>254</v>
      </c>
      <c r="D2" s="12" t="s">
        <v>254</v>
      </c>
      <c r="E2" s="12" t="s">
        <v>254</v>
      </c>
      <c r="F2" s="12" t="s">
        <v>254</v>
      </c>
      <c r="G2" s="12" t="s">
        <v>254</v>
      </c>
      <c r="H2" s="12" t="s">
        <v>254</v>
      </c>
      <c r="I2" s="12" t="s">
        <v>254</v>
      </c>
      <c r="J2" s="12" t="s">
        <v>254</v>
      </c>
      <c r="K2" s="12" t="s">
        <v>254</v>
      </c>
      <c r="L2" s="12" t="s">
        <v>254</v>
      </c>
      <c r="M2" s="12" t="s">
        <v>254</v>
      </c>
      <c r="N2" s="12" t="s">
        <v>254</v>
      </c>
      <c r="O2" s="12" t="s">
        <v>254</v>
      </c>
      <c r="P2" s="310" t="s">
        <v>255</v>
      </c>
      <c r="Q2" s="340"/>
      <c r="R2" s="12" t="s">
        <v>254</v>
      </c>
      <c r="S2" s="12" t="s">
        <v>254</v>
      </c>
      <c r="T2" s="77" t="s">
        <v>254</v>
      </c>
      <c r="U2" s="12" t="s">
        <v>256</v>
      </c>
      <c r="V2" s="12" t="s">
        <v>256</v>
      </c>
      <c r="W2" s="12" t="s">
        <v>256</v>
      </c>
      <c r="X2" s="12" t="s">
        <v>256</v>
      </c>
      <c r="Y2" s="12" t="s">
        <v>256</v>
      </c>
      <c r="Z2" s="12" t="s">
        <v>256</v>
      </c>
      <c r="AA2" s="12" t="s">
        <v>256</v>
      </c>
      <c r="AB2" s="12" t="s">
        <v>256</v>
      </c>
      <c r="AC2" s="12" t="s">
        <v>256</v>
      </c>
      <c r="AD2" s="12" t="s">
        <v>256</v>
      </c>
      <c r="AE2" s="12" t="s">
        <v>256</v>
      </c>
      <c r="AF2" s="12" t="s">
        <v>256</v>
      </c>
      <c r="AG2" s="12" t="s">
        <v>256</v>
      </c>
      <c r="AH2" s="12" t="s">
        <v>256</v>
      </c>
      <c r="AI2" s="12" t="s">
        <v>256</v>
      </c>
      <c r="AJ2" s="12" t="s">
        <v>256</v>
      </c>
      <c r="AK2" s="12" t="s">
        <v>256</v>
      </c>
      <c r="AL2" s="12" t="s">
        <v>256</v>
      </c>
      <c r="AM2" s="12" t="s">
        <v>256</v>
      </c>
      <c r="AN2" s="12" t="s">
        <v>256</v>
      </c>
      <c r="AO2" s="12" t="s">
        <v>256</v>
      </c>
      <c r="AP2" s="12" t="s">
        <v>256</v>
      </c>
      <c r="AQ2" s="12" t="s">
        <v>256</v>
      </c>
      <c r="AR2" s="12" t="s">
        <v>256</v>
      </c>
      <c r="AS2" s="12" t="s">
        <v>256</v>
      </c>
      <c r="AT2" s="310" t="s">
        <v>256</v>
      </c>
      <c r="AU2" s="310" t="s">
        <v>256</v>
      </c>
      <c r="AV2" s="12" t="s">
        <v>256</v>
      </c>
      <c r="AW2" s="12" t="s">
        <v>256</v>
      </c>
      <c r="AX2" s="310" t="s">
        <v>256</v>
      </c>
      <c r="AY2" s="310" t="s">
        <v>256</v>
      </c>
      <c r="AZ2" s="310" t="s">
        <v>256</v>
      </c>
      <c r="BA2" s="12" t="s">
        <v>256</v>
      </c>
      <c r="BB2" s="310" t="s">
        <v>256</v>
      </c>
      <c r="BC2" s="310" t="s">
        <v>256</v>
      </c>
      <c r="BD2" s="310" t="s">
        <v>256</v>
      </c>
      <c r="BE2" s="12" t="s">
        <v>256</v>
      </c>
      <c r="BF2" s="12" t="s">
        <v>256</v>
      </c>
      <c r="BG2" s="310" t="s">
        <v>256</v>
      </c>
      <c r="BH2" s="310" t="s">
        <v>256</v>
      </c>
      <c r="BI2" s="12" t="s">
        <v>256</v>
      </c>
      <c r="BJ2" s="325"/>
      <c r="BK2" s="337"/>
      <c r="BL2" s="12" t="s">
        <v>256</v>
      </c>
      <c r="BM2" s="12" t="s">
        <v>256</v>
      </c>
    </row>
    <row r="3" spans="2:68" s="2" customFormat="1" ht="13.5" customHeight="1">
      <c r="B3" s="11" t="s">
        <v>49</v>
      </c>
      <c r="C3" s="13">
        <v>41975</v>
      </c>
      <c r="D3" s="13">
        <v>42341</v>
      </c>
      <c r="E3" s="13">
        <v>42708</v>
      </c>
      <c r="F3" s="13">
        <v>43073</v>
      </c>
      <c r="G3" s="13">
        <v>43073</v>
      </c>
      <c r="H3" s="13">
        <v>43438</v>
      </c>
      <c r="I3" s="13">
        <v>43803</v>
      </c>
      <c r="J3" s="13">
        <v>44169</v>
      </c>
      <c r="K3" s="13">
        <v>44534</v>
      </c>
      <c r="L3" s="13">
        <v>44899</v>
      </c>
      <c r="M3" s="13">
        <v>45264</v>
      </c>
      <c r="N3" s="13">
        <v>45630</v>
      </c>
      <c r="O3" s="13">
        <v>45995</v>
      </c>
      <c r="P3" s="14">
        <f>BI3</f>
        <v>46112</v>
      </c>
      <c r="Q3" s="332"/>
      <c r="R3" s="13">
        <v>43439</v>
      </c>
      <c r="S3" s="13">
        <v>43805</v>
      </c>
      <c r="T3" s="78">
        <v>44172</v>
      </c>
      <c r="U3" s="13">
        <v>42437</v>
      </c>
      <c r="V3" s="13">
        <v>42527</v>
      </c>
      <c r="W3" s="13">
        <v>42622</v>
      </c>
      <c r="X3" s="13">
        <v>42714</v>
      </c>
      <c r="Y3" s="13">
        <v>42801</v>
      </c>
      <c r="Z3" s="13">
        <v>42892</v>
      </c>
      <c r="AA3" s="13">
        <v>42987</v>
      </c>
      <c r="AB3" s="13">
        <v>43100</v>
      </c>
      <c r="AC3" s="13">
        <v>43190</v>
      </c>
      <c r="AD3" s="13">
        <v>43281</v>
      </c>
      <c r="AE3" s="13">
        <v>43373</v>
      </c>
      <c r="AF3" s="13">
        <v>43465</v>
      </c>
      <c r="AG3" s="13">
        <v>43555</v>
      </c>
      <c r="AH3" s="13">
        <v>43646</v>
      </c>
      <c r="AI3" s="13">
        <v>43738</v>
      </c>
      <c r="AJ3" s="13">
        <v>43830</v>
      </c>
      <c r="AK3" s="13">
        <v>43921</v>
      </c>
      <c r="AL3" s="13">
        <v>44012</v>
      </c>
      <c r="AM3" s="13">
        <v>44104</v>
      </c>
      <c r="AN3" s="13">
        <v>44196</v>
      </c>
      <c r="AO3" s="13">
        <v>44286</v>
      </c>
      <c r="AP3" s="13">
        <v>44377</v>
      </c>
      <c r="AQ3" s="13">
        <v>44469</v>
      </c>
      <c r="AR3" s="13">
        <v>44561</v>
      </c>
      <c r="AS3" s="13">
        <v>44651</v>
      </c>
      <c r="AT3" s="14">
        <v>44742</v>
      </c>
      <c r="AU3" s="14">
        <v>44834</v>
      </c>
      <c r="AV3" s="13">
        <v>44926</v>
      </c>
      <c r="AW3" s="13">
        <v>45016</v>
      </c>
      <c r="AX3" s="14">
        <v>45107</v>
      </c>
      <c r="AY3" s="14">
        <v>45199</v>
      </c>
      <c r="AZ3" s="14">
        <v>45291</v>
      </c>
      <c r="BA3" s="13">
        <v>45382</v>
      </c>
      <c r="BB3" s="14">
        <v>45473</v>
      </c>
      <c r="BC3" s="14">
        <v>45565</v>
      </c>
      <c r="BD3" s="14">
        <v>45657</v>
      </c>
      <c r="BE3" s="13">
        <v>45747</v>
      </c>
      <c r="BF3" s="13">
        <v>45838</v>
      </c>
      <c r="BG3" s="14">
        <v>45930</v>
      </c>
      <c r="BH3" s="14">
        <v>46022</v>
      </c>
      <c r="BI3" s="13">
        <v>46112</v>
      </c>
      <c r="BJ3" s="326"/>
      <c r="BK3" s="328"/>
      <c r="BL3" s="13">
        <v>43190</v>
      </c>
      <c r="BM3" s="13">
        <v>43281</v>
      </c>
    </row>
    <row r="4" spans="2:68" s="5" customFormat="1" ht="13.5" customHeight="1">
      <c r="B4" s="11"/>
      <c r="C4" s="14" t="s">
        <v>257</v>
      </c>
      <c r="D4" s="14" t="s">
        <v>257</v>
      </c>
      <c r="E4" s="14" t="s">
        <v>257</v>
      </c>
      <c r="F4" s="14" t="s">
        <v>257</v>
      </c>
      <c r="G4" s="14" t="s">
        <v>257</v>
      </c>
      <c r="H4" s="14" t="s">
        <v>257</v>
      </c>
      <c r="I4" s="14" t="s">
        <v>257</v>
      </c>
      <c r="J4" s="14" t="s">
        <v>257</v>
      </c>
      <c r="K4" s="14" t="s">
        <v>257</v>
      </c>
      <c r="L4" s="14" t="s">
        <v>257</v>
      </c>
      <c r="M4" s="14" t="s">
        <v>257</v>
      </c>
      <c r="N4" s="14" t="s">
        <v>257</v>
      </c>
      <c r="O4" s="14" t="s">
        <v>257</v>
      </c>
      <c r="P4" s="14" t="s">
        <v>257</v>
      </c>
      <c r="Q4" s="332"/>
      <c r="R4" s="15" t="s">
        <v>258</v>
      </c>
      <c r="S4" s="15" t="s">
        <v>258</v>
      </c>
      <c r="T4" s="107" t="s">
        <v>258</v>
      </c>
      <c r="U4" s="14" t="s">
        <v>257</v>
      </c>
      <c r="V4" s="14" t="s">
        <v>257</v>
      </c>
      <c r="W4" s="14" t="s">
        <v>257</v>
      </c>
      <c r="X4" s="14" t="s">
        <v>257</v>
      </c>
      <c r="Y4" s="14" t="s">
        <v>257</v>
      </c>
      <c r="Z4" s="14" t="s">
        <v>257</v>
      </c>
      <c r="AA4" s="14" t="s">
        <v>257</v>
      </c>
      <c r="AB4" s="14" t="s">
        <v>257</v>
      </c>
      <c r="AC4" s="14" t="s">
        <v>257</v>
      </c>
      <c r="AD4" s="14" t="s">
        <v>257</v>
      </c>
      <c r="AE4" s="14" t="s">
        <v>257</v>
      </c>
      <c r="AF4" s="14" t="s">
        <v>257</v>
      </c>
      <c r="AG4" s="14" t="s">
        <v>257</v>
      </c>
      <c r="AH4" s="14" t="s">
        <v>257</v>
      </c>
      <c r="AI4" s="14" t="s">
        <v>257</v>
      </c>
      <c r="AJ4" s="14" t="s">
        <v>257</v>
      </c>
      <c r="AK4" s="14" t="s">
        <v>257</v>
      </c>
      <c r="AL4" s="14" t="s">
        <v>257</v>
      </c>
      <c r="AM4" s="14" t="s">
        <v>257</v>
      </c>
      <c r="AN4" s="14" t="s">
        <v>257</v>
      </c>
      <c r="AO4" s="14" t="s">
        <v>257</v>
      </c>
      <c r="AP4" s="14" t="s">
        <v>257</v>
      </c>
      <c r="AQ4" s="14" t="s">
        <v>257</v>
      </c>
      <c r="AR4" s="14" t="s">
        <v>257</v>
      </c>
      <c r="AS4" s="14" t="s">
        <v>257</v>
      </c>
      <c r="AT4" s="14" t="s">
        <v>257</v>
      </c>
      <c r="AU4" s="14" t="s">
        <v>257</v>
      </c>
      <c r="AV4" s="14" t="s">
        <v>257</v>
      </c>
      <c r="AW4" s="14" t="s">
        <v>257</v>
      </c>
      <c r="AX4" s="14" t="s">
        <v>257</v>
      </c>
      <c r="AY4" s="14" t="s">
        <v>257</v>
      </c>
      <c r="AZ4" s="14" t="s">
        <v>257</v>
      </c>
      <c r="BA4" s="14" t="s">
        <v>257</v>
      </c>
      <c r="BB4" s="14" t="s">
        <v>257</v>
      </c>
      <c r="BC4" s="14" t="s">
        <v>257</v>
      </c>
      <c r="BD4" s="14" t="s">
        <v>257</v>
      </c>
      <c r="BE4" s="14" t="s">
        <v>257</v>
      </c>
      <c r="BF4" s="14" t="s">
        <v>257</v>
      </c>
      <c r="BG4" s="14" t="s">
        <v>257</v>
      </c>
      <c r="BH4" s="14" t="s">
        <v>257</v>
      </c>
      <c r="BI4" s="14" t="s">
        <v>257</v>
      </c>
      <c r="BJ4" s="326"/>
      <c r="BK4" s="332"/>
      <c r="BL4" s="14" t="s">
        <v>257</v>
      </c>
      <c r="BM4" s="14" t="s">
        <v>257</v>
      </c>
    </row>
    <row r="5" spans="2:68" s="3" customFormat="1" ht="13.5" customHeight="1">
      <c r="C5" s="24" t="s">
        <v>259</v>
      </c>
      <c r="D5" s="24" t="s">
        <v>259</v>
      </c>
      <c r="E5" s="24" t="s">
        <v>259</v>
      </c>
      <c r="F5" s="24" t="s">
        <v>259</v>
      </c>
      <c r="G5" s="24" t="s">
        <v>259</v>
      </c>
      <c r="H5" s="24" t="s">
        <v>259</v>
      </c>
      <c r="I5" s="24" t="s">
        <v>259</v>
      </c>
      <c r="J5" s="24" t="s">
        <v>259</v>
      </c>
      <c r="K5" s="24" t="s">
        <v>259</v>
      </c>
      <c r="L5" s="24" t="s">
        <v>259</v>
      </c>
      <c r="M5" s="24" t="s">
        <v>259</v>
      </c>
      <c r="N5" s="24" t="s">
        <v>259</v>
      </c>
      <c r="O5" s="24" t="s">
        <v>259</v>
      </c>
      <c r="P5" s="435" t="s">
        <v>255</v>
      </c>
      <c r="Q5" s="24"/>
      <c r="R5" s="24" t="s">
        <v>259</v>
      </c>
      <c r="S5" s="24" t="s">
        <v>259</v>
      </c>
      <c r="T5" s="113" t="s">
        <v>259</v>
      </c>
      <c r="U5" s="24" t="s">
        <v>260</v>
      </c>
      <c r="V5" s="24" t="s">
        <v>261</v>
      </c>
      <c r="W5" s="24" t="s">
        <v>262</v>
      </c>
      <c r="X5" s="24" t="s">
        <v>263</v>
      </c>
      <c r="Y5" s="24" t="s">
        <v>260</v>
      </c>
      <c r="Z5" s="24" t="s">
        <v>261</v>
      </c>
      <c r="AA5" s="24" t="s">
        <v>262</v>
      </c>
      <c r="AB5" s="24" t="s">
        <v>263</v>
      </c>
      <c r="AC5" s="24" t="s">
        <v>260</v>
      </c>
      <c r="AD5" s="24" t="s">
        <v>261</v>
      </c>
      <c r="AE5" s="24" t="s">
        <v>262</v>
      </c>
      <c r="AF5" s="24" t="s">
        <v>263</v>
      </c>
      <c r="AG5" s="24" t="s">
        <v>260</v>
      </c>
      <c r="AH5" s="24" t="s">
        <v>261</v>
      </c>
      <c r="AI5" s="24" t="s">
        <v>262</v>
      </c>
      <c r="AJ5" s="24" t="s">
        <v>263</v>
      </c>
      <c r="AK5" s="24" t="s">
        <v>260</v>
      </c>
      <c r="AL5" s="24" t="s">
        <v>261</v>
      </c>
      <c r="AM5" s="24" t="s">
        <v>262</v>
      </c>
      <c r="AN5" s="24" t="s">
        <v>263</v>
      </c>
      <c r="AO5" s="24" t="s">
        <v>260</v>
      </c>
      <c r="AP5" s="24" t="s">
        <v>261</v>
      </c>
      <c r="AQ5" s="24" t="s">
        <v>262</v>
      </c>
      <c r="AR5" s="24" t="s">
        <v>263</v>
      </c>
      <c r="AS5" s="24" t="s">
        <v>260</v>
      </c>
      <c r="AT5" s="24" t="s">
        <v>261</v>
      </c>
      <c r="AU5" s="24" t="s">
        <v>262</v>
      </c>
      <c r="AV5" s="24" t="s">
        <v>263</v>
      </c>
      <c r="AW5" s="24" t="s">
        <v>260</v>
      </c>
      <c r="AX5" s="24" t="s">
        <v>261</v>
      </c>
      <c r="AY5" s="24" t="s">
        <v>262</v>
      </c>
      <c r="AZ5" s="24" t="s">
        <v>263</v>
      </c>
      <c r="BA5" s="24" t="s">
        <v>260</v>
      </c>
      <c r="BB5" s="24" t="s">
        <v>261</v>
      </c>
      <c r="BC5" s="24" t="s">
        <v>262</v>
      </c>
      <c r="BD5" s="24" t="s">
        <v>263</v>
      </c>
      <c r="BE5" s="24" t="s">
        <v>260</v>
      </c>
      <c r="BF5" s="24" t="s">
        <v>261</v>
      </c>
      <c r="BG5" s="24" t="s">
        <v>262</v>
      </c>
      <c r="BH5" s="24" t="s">
        <v>263</v>
      </c>
      <c r="BI5" s="24" t="s">
        <v>260</v>
      </c>
      <c r="BJ5" s="24"/>
      <c r="BK5" s="24"/>
      <c r="BL5" s="24" t="s">
        <v>260</v>
      </c>
      <c r="BM5" s="24" t="s">
        <v>261</v>
      </c>
    </row>
    <row r="6" spans="2:68" ht="13.5" customHeight="1">
      <c r="B6" s="17" t="s">
        <v>264</v>
      </c>
      <c r="C6" s="18"/>
      <c r="D6" s="18"/>
      <c r="E6" s="18"/>
      <c r="F6" s="18"/>
      <c r="G6" s="18" t="s">
        <v>265</v>
      </c>
      <c r="H6" s="18"/>
      <c r="I6" s="18"/>
      <c r="J6" s="18"/>
      <c r="K6" s="18"/>
      <c r="L6" s="18"/>
      <c r="M6" s="18"/>
      <c r="N6" s="18"/>
      <c r="O6" s="18"/>
      <c r="P6" s="18"/>
      <c r="R6" s="18"/>
      <c r="S6" s="18"/>
      <c r="T6" s="114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"/>
      <c r="BK6" s="1"/>
      <c r="BL6" s="18" t="s">
        <v>265</v>
      </c>
      <c r="BM6" s="18" t="s">
        <v>265</v>
      </c>
    </row>
    <row r="7" spans="2:68" s="5" customFormat="1" ht="16.5" customHeight="1">
      <c r="B7" s="5" t="s">
        <v>266</v>
      </c>
      <c r="C7" s="27">
        <v>147298</v>
      </c>
      <c r="D7" s="27">
        <v>152360</v>
      </c>
      <c r="E7" s="27">
        <v>177718</v>
      </c>
      <c r="F7" s="27">
        <v>203780.02900000001</v>
      </c>
      <c r="G7" s="27">
        <v>183256.14972006774</v>
      </c>
      <c r="H7" s="27">
        <v>182342.00332209052</v>
      </c>
      <c r="I7" s="27">
        <v>194471</v>
      </c>
      <c r="J7" s="27">
        <v>183614.617556874</v>
      </c>
      <c r="K7" s="27">
        <v>194803.62610274626</v>
      </c>
      <c r="L7" s="27">
        <v>226740.31515876396</v>
      </c>
      <c r="M7" s="27">
        <v>245088</v>
      </c>
      <c r="N7" s="27">
        <v>279793.21943687578</v>
      </c>
      <c r="O7" s="27">
        <v>291745.65437160898</v>
      </c>
      <c r="P7" s="8">
        <f>SUM(BF7:BI7)</f>
        <v>292514.2412681937</v>
      </c>
      <c r="Q7" s="8"/>
      <c r="R7" s="48"/>
      <c r="S7" s="48"/>
      <c r="T7" s="83"/>
      <c r="U7" s="27">
        <v>37096.690999999999</v>
      </c>
      <c r="V7" s="27">
        <v>39938.563999999998</v>
      </c>
      <c r="W7" s="27">
        <v>42351</v>
      </c>
      <c r="X7" s="8">
        <f>E7-W7-V7-U7</f>
        <v>58331.745000000003</v>
      </c>
      <c r="Y7" s="27">
        <v>51357.35</v>
      </c>
      <c r="Z7" s="27">
        <v>50107.504999999997</v>
      </c>
      <c r="AA7" s="27">
        <v>49363</v>
      </c>
      <c r="AB7" s="27">
        <f>F7-AA7-Z7-Y7</f>
        <v>52952.174000000006</v>
      </c>
      <c r="AC7" s="27">
        <v>49713</v>
      </c>
      <c r="AD7" s="27">
        <v>52085.985000000001</v>
      </c>
      <c r="AE7" s="27">
        <v>44148.103000000003</v>
      </c>
      <c r="AF7" s="225">
        <f>H7-AE7-AD7-AC7</f>
        <v>36394.915322090514</v>
      </c>
      <c r="AG7" s="27">
        <v>46247.735999999997</v>
      </c>
      <c r="AH7" s="27">
        <v>47978.325808098336</v>
      </c>
      <c r="AI7" s="27">
        <v>48698.552143166955</v>
      </c>
      <c r="AJ7" s="8">
        <f>I7-AI7-AH7-AG7</f>
        <v>51546.386048734719</v>
      </c>
      <c r="AK7" s="27">
        <v>45348.1893203707</v>
      </c>
      <c r="AL7" s="27">
        <v>43074.655001929001</v>
      </c>
      <c r="AM7" s="27">
        <v>46734.010845961799</v>
      </c>
      <c r="AN7" s="8">
        <f>J7-AM7-AL7-AK7</f>
        <v>48457.762388612493</v>
      </c>
      <c r="AO7" s="27">
        <v>44690.40693672021</v>
      </c>
      <c r="AP7" s="27">
        <v>47786.358993595255</v>
      </c>
      <c r="AQ7" s="27">
        <v>48315.596638839466</v>
      </c>
      <c r="AR7" s="8">
        <f>K7-AQ7-AP7-AO7</f>
        <v>54011.263533591329</v>
      </c>
      <c r="AS7" s="27">
        <v>51195</v>
      </c>
      <c r="AT7" s="27">
        <v>57310.599223786347</v>
      </c>
      <c r="AU7" s="27">
        <v>57093.487327726507</v>
      </c>
      <c r="AV7" s="8">
        <f>L7-AU7-AT7-AS7</f>
        <v>61141.228607251105</v>
      </c>
      <c r="AW7" s="27">
        <v>57357.398000000001</v>
      </c>
      <c r="AX7" s="27">
        <v>61428.388020007587</v>
      </c>
      <c r="AY7" s="27">
        <v>62853.010851432038</v>
      </c>
      <c r="AZ7" s="8">
        <f>M7-AY7-AX7-AW7</f>
        <v>63449.203128560373</v>
      </c>
      <c r="BA7" s="27">
        <v>63802.606121487508</v>
      </c>
      <c r="BB7" s="27">
        <v>69455.803128575353</v>
      </c>
      <c r="BC7" s="27">
        <v>69601.220946843619</v>
      </c>
      <c r="BD7" s="8">
        <f>N7-BC7-BB7-BA7</f>
        <v>76933.589239969297</v>
      </c>
      <c r="BE7" s="27">
        <v>70156.790304248905</v>
      </c>
      <c r="BF7" s="27">
        <v>72916.61262423858</v>
      </c>
      <c r="BG7" s="27">
        <v>71883.716856269093</v>
      </c>
      <c r="BH7" s="8">
        <f>O7-BG7-BF7-BE7</f>
        <v>76788.534586852373</v>
      </c>
      <c r="BI7" s="27">
        <v>70925.377200833653</v>
      </c>
      <c r="BJ7" s="27"/>
      <c r="BK7" s="27"/>
      <c r="BL7" s="27">
        <v>44122.32</v>
      </c>
      <c r="BM7" s="27">
        <v>44569.235689486144</v>
      </c>
      <c r="BN7" s="27"/>
    </row>
    <row r="8" spans="2:68" s="28" customFormat="1" ht="13.5" customHeight="1">
      <c r="B8" s="20" t="s">
        <v>267</v>
      </c>
      <c r="C8" s="168">
        <f>C7/156011-1</f>
        <v>-5.5848626058419004E-2</v>
      </c>
      <c r="D8" s="63">
        <f>D7/C7-1</f>
        <v>3.4365707613138063E-2</v>
      </c>
      <c r="E8" s="63">
        <f>E7/D7-1</f>
        <v>0.16643475977946975</v>
      </c>
      <c r="F8" s="63">
        <f>F7/E7-1</f>
        <v>0.14664822359018226</v>
      </c>
      <c r="G8" s="63"/>
      <c r="H8" s="63">
        <f t="shared" ref="H8:O8" si="0">H7/G7-1</f>
        <v>-4.9883531841830031E-3</v>
      </c>
      <c r="I8" s="63">
        <f t="shared" si="0"/>
        <v>6.6517842608566191E-2</v>
      </c>
      <c r="J8" s="63">
        <f t="shared" si="0"/>
        <v>-5.5825199865923492E-2</v>
      </c>
      <c r="K8" s="63">
        <f t="shared" si="0"/>
        <v>6.0937460724805881E-2</v>
      </c>
      <c r="L8" s="63">
        <f t="shared" si="0"/>
        <v>0.16394299066678131</v>
      </c>
      <c r="M8" s="63">
        <f t="shared" si="0"/>
        <v>8.0919376108253838E-2</v>
      </c>
      <c r="N8" s="63">
        <f t="shared" si="0"/>
        <v>0.14160309536523941</v>
      </c>
      <c r="O8" s="63">
        <f t="shared" si="0"/>
        <v>4.2718815555248923E-2</v>
      </c>
      <c r="P8" s="60"/>
      <c r="Q8" s="322"/>
      <c r="R8" s="181"/>
      <c r="S8" s="181"/>
      <c r="T8" s="80"/>
      <c r="U8" s="124">
        <f>U7/34374-1</f>
        <v>7.920786059230811E-2</v>
      </c>
      <c r="V8" s="124">
        <f>V7/35328-1</f>
        <v>0.13050735960144921</v>
      </c>
      <c r="W8" s="124">
        <f>W7/37661-1</f>
        <v>0.12453200924032815</v>
      </c>
      <c r="X8" s="124">
        <f>X7/(D7-109513)-1</f>
        <v>0.36139624711181662</v>
      </c>
      <c r="Y8" s="21">
        <f t="shared" ref="Y8:AF8" si="1">Y7/U7-1</f>
        <v>0.38441862644838043</v>
      </c>
      <c r="Z8" s="21">
        <f t="shared" si="1"/>
        <v>0.25461458754501032</v>
      </c>
      <c r="AA8" s="21">
        <f t="shared" si="1"/>
        <v>0.16556869967651289</v>
      </c>
      <c r="AB8" s="21">
        <f t="shared" si="1"/>
        <v>-9.2223728263229554E-2</v>
      </c>
      <c r="AC8" s="21">
        <f t="shared" si="1"/>
        <v>-3.2017812445540916E-2</v>
      </c>
      <c r="AD8" s="21">
        <f t="shared" si="1"/>
        <v>3.9484703938062804E-2</v>
      </c>
      <c r="AE8" s="21">
        <f t="shared" si="1"/>
        <v>-0.10564384255413972</v>
      </c>
      <c r="AF8" s="21">
        <f t="shared" si="1"/>
        <v>-0.31268326542947023</v>
      </c>
      <c r="AG8" s="21">
        <f>AG7/BL7-1</f>
        <v>4.8170993728344325E-2</v>
      </c>
      <c r="AH8" s="21">
        <f>AH7/BM7-1</f>
        <v>7.648975949157677E-2</v>
      </c>
      <c r="AI8" s="21">
        <f t="shared" ref="AI8:AX8" si="2">AI7/AE7-1</f>
        <v>0.10307235948885385</v>
      </c>
      <c r="AJ8" s="21">
        <f t="shared" si="2"/>
        <v>0.41630734932491409</v>
      </c>
      <c r="AK8" s="21">
        <f t="shared" si="2"/>
        <v>-1.9450610071578334E-2</v>
      </c>
      <c r="AL8" s="21">
        <f t="shared" si="2"/>
        <v>-0.10220595911959973</v>
      </c>
      <c r="AM8" s="21">
        <f t="shared" si="2"/>
        <v>-4.03408563652915E-2</v>
      </c>
      <c r="AN8" s="21">
        <f t="shared" si="2"/>
        <v>-5.991930563671477E-2</v>
      </c>
      <c r="AO8" s="21">
        <f t="shared" si="2"/>
        <v>-1.4505152102181285E-2</v>
      </c>
      <c r="AP8" s="21">
        <f t="shared" si="2"/>
        <v>0.10938460195340505</v>
      </c>
      <c r="AQ8" s="21">
        <f t="shared" si="2"/>
        <v>3.3842286682619127E-2</v>
      </c>
      <c r="AR8" s="21">
        <f>AR7/AN7-1</f>
        <v>0.11460498527443153</v>
      </c>
      <c r="AS8" s="21">
        <f t="shared" si="2"/>
        <v>0.14554785935357506</v>
      </c>
      <c r="AT8" s="21">
        <f t="shared" si="2"/>
        <v>0.19930876573935286</v>
      </c>
      <c r="AU8" s="21">
        <f t="shared" si="2"/>
        <v>0.18167820123390044</v>
      </c>
      <c r="AV8" s="21">
        <f>AV7/AR7-1</f>
        <v>0.13200885532376816</v>
      </c>
      <c r="AW8" s="21">
        <f t="shared" si="2"/>
        <v>0.12037109092684828</v>
      </c>
      <c r="AX8" s="21">
        <f t="shared" si="2"/>
        <v>7.1850388095614059E-2</v>
      </c>
      <c r="AY8" s="21">
        <f>AY7/AU7-1</f>
        <v>0.10087881811536348</v>
      </c>
      <c r="AZ8" s="21">
        <f>AZ7/AV7-1</f>
        <v>3.7748252265829452E-2</v>
      </c>
      <c r="BA8" s="21">
        <f t="shared" ref="BA8:BB8" si="3">BA7/AW7-1</f>
        <v>0.112369255688473</v>
      </c>
      <c r="BB8" s="21">
        <f t="shared" si="3"/>
        <v>0.13067924077631976</v>
      </c>
      <c r="BC8" s="21">
        <f>BC7/AY7-1</f>
        <v>0.10736494567241284</v>
      </c>
      <c r="BD8" s="21">
        <f>BD7/AZ7-1</f>
        <v>0.21252254475264176</v>
      </c>
      <c r="BE8" s="21">
        <f t="shared" ref="BE8:BF8" si="4">BE7/BA7-1</f>
        <v>9.9591295231143073E-2</v>
      </c>
      <c r="BF8" s="21">
        <f t="shared" si="4"/>
        <v>4.9827506698851831E-2</v>
      </c>
      <c r="BG8" s="21">
        <f>BG7/BC7-1</f>
        <v>3.2793906175420107E-2</v>
      </c>
      <c r="BH8" s="21">
        <f>BH7/BD7-1</f>
        <v>-1.8854528243115176E-3</v>
      </c>
      <c r="BI8" s="21">
        <f t="shared" ref="BI8" si="5">BI7/BE7-1</f>
        <v>1.0955274510872304E-2</v>
      </c>
      <c r="BJ8" s="323"/>
      <c r="BK8" s="323"/>
      <c r="BL8" s="21">
        <f>BL7/Y7-1</f>
        <v>-0.14087623290531925</v>
      </c>
      <c r="BM8" s="21">
        <f>BM7/Z7-1</f>
        <v>-0.11052774051539493</v>
      </c>
    </row>
    <row r="9" spans="2:68" s="28" customFormat="1" ht="13.5" customHeight="1">
      <c r="B9" s="20" t="s">
        <v>268</v>
      </c>
      <c r="C9" s="21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29"/>
      <c r="Q9" s="322"/>
      <c r="R9" s="59"/>
      <c r="S9" s="59"/>
      <c r="T9" s="84"/>
      <c r="U9" s="21"/>
      <c r="V9" s="21"/>
      <c r="W9" s="21"/>
      <c r="X9" s="21"/>
      <c r="Y9" s="21"/>
      <c r="Z9" s="124"/>
      <c r="AA9" s="124"/>
      <c r="AB9" s="124"/>
      <c r="AC9" s="124"/>
      <c r="AD9" s="124"/>
      <c r="AE9" s="124"/>
      <c r="AF9" s="221"/>
      <c r="AG9" s="124"/>
      <c r="AH9" s="252"/>
      <c r="AI9" s="124"/>
      <c r="AJ9" s="124"/>
      <c r="AK9" s="124"/>
      <c r="AL9" s="124"/>
      <c r="AM9" s="124"/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4"/>
      <c r="BE9" s="124"/>
      <c r="BF9" s="124"/>
      <c r="BG9" s="124"/>
      <c r="BH9" s="124"/>
      <c r="BI9" s="124"/>
      <c r="BJ9" s="327"/>
      <c r="BK9" s="327"/>
      <c r="BL9" s="124"/>
      <c r="BM9" s="124"/>
    </row>
    <row r="10" spans="2:68" s="28" customFormat="1" ht="13.5" customHeight="1">
      <c r="B10" s="5" t="s">
        <v>269</v>
      </c>
      <c r="C10" s="4">
        <v>-78916</v>
      </c>
      <c r="D10" s="4">
        <v>-80330</v>
      </c>
      <c r="E10" s="4">
        <v>-98056</v>
      </c>
      <c r="F10" s="4">
        <v>-112094.379</v>
      </c>
      <c r="G10" s="4">
        <v>-99748.780862690604</v>
      </c>
      <c r="H10" s="4">
        <v>-98404.379050426898</v>
      </c>
      <c r="I10" s="4">
        <v>-106964</v>
      </c>
      <c r="J10" s="4">
        <v>-100804.22621108701</v>
      </c>
      <c r="K10" s="4">
        <v>-106205.71956496499</v>
      </c>
      <c r="L10" s="4">
        <v>-126440.74168447001</v>
      </c>
      <c r="M10" s="4">
        <v>-134228</v>
      </c>
      <c r="N10" s="4">
        <v>-151057.42484295499</v>
      </c>
      <c r="O10" s="4">
        <v>-158570.13503700701</v>
      </c>
      <c r="P10" s="6">
        <f>SUM(BF10:BI10)</f>
        <v>-157915.73779143652</v>
      </c>
      <c r="Q10" s="6"/>
      <c r="R10" s="38"/>
      <c r="S10" s="38"/>
      <c r="T10" s="82"/>
      <c r="U10" s="4">
        <v>-20181.424999999999</v>
      </c>
      <c r="V10" s="4">
        <v>-21494.569</v>
      </c>
      <c r="W10" s="4">
        <v>-23474</v>
      </c>
      <c r="X10" s="6">
        <f>E10-W10-V10-U10</f>
        <v>-32906.005999999994</v>
      </c>
      <c r="Y10" s="4">
        <v>-29060.169000000002</v>
      </c>
      <c r="Z10" s="4">
        <v>-27282.146000000001</v>
      </c>
      <c r="AA10" s="4">
        <v>-27347</v>
      </c>
      <c r="AB10" s="4">
        <f>F10-AA10-Z10-Y10</f>
        <v>-28405.063999999998</v>
      </c>
      <c r="AC10" s="4">
        <v>-27796</v>
      </c>
      <c r="AD10" s="4">
        <v>-29135.072</v>
      </c>
      <c r="AE10" s="4">
        <v>-23911.382000000001</v>
      </c>
      <c r="AF10" s="226">
        <f>H10-AE10-AD10-AC10</f>
        <v>-17561.9250504269</v>
      </c>
      <c r="AG10" s="4">
        <v>-25355.446</v>
      </c>
      <c r="AH10" s="4">
        <v>-25875.922272761345</v>
      </c>
      <c r="AI10" s="4">
        <v>-27031.757578700701</v>
      </c>
      <c r="AJ10" s="6">
        <f>I10-AI10-AH10-AG10</f>
        <v>-28700.874148537961</v>
      </c>
      <c r="AK10" s="4">
        <v>-24634.476292858828</v>
      </c>
      <c r="AL10" s="4">
        <v>-23999.621332016686</v>
      </c>
      <c r="AM10" s="4">
        <v>-25366.796084115598</v>
      </c>
      <c r="AN10" s="6">
        <f>J10-AM10-AL10-AK10</f>
        <v>-26803.332502095891</v>
      </c>
      <c r="AO10" s="4">
        <v>-24768.416002886999</v>
      </c>
      <c r="AP10" s="4">
        <v>-25226.365545719698</v>
      </c>
      <c r="AQ10" s="4">
        <v>-26498.929342150201</v>
      </c>
      <c r="AR10" s="6">
        <f>K10-AQ10-AP10-AO10</f>
        <v>-29712.0086742081</v>
      </c>
      <c r="AS10" s="4">
        <v>-28593</v>
      </c>
      <c r="AT10" s="4">
        <v>-32039.217934542601</v>
      </c>
      <c r="AU10" s="4">
        <v>-31701.6382144362</v>
      </c>
      <c r="AV10" s="6">
        <f>L10-AU10-AT10-AS10</f>
        <v>-34106.885535491208</v>
      </c>
      <c r="AW10" s="4">
        <v>-31899.218000000001</v>
      </c>
      <c r="AX10" s="4">
        <v>-34160.985128695298</v>
      </c>
      <c r="AY10" s="4">
        <v>-34005.125319496998</v>
      </c>
      <c r="AZ10" s="6">
        <f>M10-AY10-AX10-AW10</f>
        <v>-34162.671551807718</v>
      </c>
      <c r="BA10" s="4">
        <v>-35374.2278126729</v>
      </c>
      <c r="BB10" s="4">
        <v>-37494.500954104602</v>
      </c>
      <c r="BC10" s="4">
        <v>-37506.960136688402</v>
      </c>
      <c r="BD10" s="6">
        <f>N10-BC10-BB10-BA10</f>
        <v>-40681.735939489088</v>
      </c>
      <c r="BE10" s="4">
        <v>-38324.456376798102</v>
      </c>
      <c r="BF10" s="4">
        <v>-39874.525487939602</v>
      </c>
      <c r="BG10" s="4">
        <v>-39492.547634291899</v>
      </c>
      <c r="BH10" s="6">
        <f>O10-BG10-BF10-BE10</f>
        <v>-40878.605537977419</v>
      </c>
      <c r="BI10" s="4">
        <v>-37670.059131227601</v>
      </c>
      <c r="BJ10" s="4"/>
      <c r="BK10" s="4"/>
      <c r="BL10" s="4">
        <v>-23906.967000000001</v>
      </c>
      <c r="BM10" s="4">
        <v>-23712.032637694581</v>
      </c>
      <c r="BN10" s="4"/>
      <c r="BP10" s="4"/>
    </row>
    <row r="11" spans="2:68" s="5" customFormat="1" ht="16.5" customHeight="1">
      <c r="B11" s="5" t="s">
        <v>270</v>
      </c>
      <c r="C11" s="8">
        <f t="shared" ref="C11:H11" si="6">C7+C10</f>
        <v>68382</v>
      </c>
      <c r="D11" s="8">
        <f t="shared" si="6"/>
        <v>72030</v>
      </c>
      <c r="E11" s="8">
        <f t="shared" si="6"/>
        <v>79662</v>
      </c>
      <c r="F11" s="8">
        <f t="shared" si="6"/>
        <v>91685.650000000009</v>
      </c>
      <c r="G11" s="8">
        <f t="shared" si="6"/>
        <v>83507.368857377136</v>
      </c>
      <c r="H11" s="8">
        <f t="shared" si="6"/>
        <v>83937.624271663619</v>
      </c>
      <c r="I11" s="8">
        <f t="shared" ref="I11:N11" si="7">I7+I10</f>
        <v>87507</v>
      </c>
      <c r="J11" s="8">
        <f t="shared" si="7"/>
        <v>82810.391345786993</v>
      </c>
      <c r="K11" s="8">
        <f t="shared" si="7"/>
        <v>88597.906537781266</v>
      </c>
      <c r="L11" s="8">
        <f t="shared" si="7"/>
        <v>100299.57347429395</v>
      </c>
      <c r="M11" s="8">
        <f t="shared" si="7"/>
        <v>110860</v>
      </c>
      <c r="N11" s="8">
        <f t="shared" si="7"/>
        <v>128735.79459392079</v>
      </c>
      <c r="O11" s="8">
        <f t="shared" ref="O11" si="8">O7+O10</f>
        <v>133175.51933460197</v>
      </c>
      <c r="P11" s="8">
        <f t="shared" ref="P11" si="9">P7+P10</f>
        <v>134598.50347675718</v>
      </c>
      <c r="Q11" s="8"/>
      <c r="R11" s="48"/>
      <c r="S11" s="48"/>
      <c r="T11" s="83"/>
      <c r="U11" s="8">
        <f t="shared" ref="U11:AA11" si="10">U7+U10</f>
        <v>16915.266</v>
      </c>
      <c r="V11" s="8">
        <f t="shared" si="10"/>
        <v>18443.994999999999</v>
      </c>
      <c r="W11" s="8">
        <f t="shared" si="10"/>
        <v>18877</v>
      </c>
      <c r="X11" s="8">
        <f t="shared" si="10"/>
        <v>25425.739000000009</v>
      </c>
      <c r="Y11" s="8">
        <f t="shared" si="10"/>
        <v>22297.180999999997</v>
      </c>
      <c r="Z11" s="8">
        <f t="shared" si="10"/>
        <v>22825.358999999997</v>
      </c>
      <c r="AA11" s="8">
        <f t="shared" si="10"/>
        <v>22016</v>
      </c>
      <c r="AB11" s="8">
        <f t="shared" ref="AB11:AG11" si="11">AB7+AB10</f>
        <v>24547.110000000008</v>
      </c>
      <c r="AC11" s="8">
        <f t="shared" si="11"/>
        <v>21917</v>
      </c>
      <c r="AD11" s="8">
        <f t="shared" si="11"/>
        <v>22950.913</v>
      </c>
      <c r="AE11" s="8">
        <f t="shared" si="11"/>
        <v>20236.721000000001</v>
      </c>
      <c r="AF11" s="8">
        <f t="shared" si="11"/>
        <v>18832.990271663613</v>
      </c>
      <c r="AG11" s="8">
        <f t="shared" si="11"/>
        <v>20892.289999999997</v>
      </c>
      <c r="AH11" s="8">
        <f t="shared" ref="AH11:AM11" si="12">AH7+AH10</f>
        <v>22102.403535336991</v>
      </c>
      <c r="AI11" s="8">
        <f t="shared" si="12"/>
        <v>21666.794564466254</v>
      </c>
      <c r="AJ11" s="8">
        <f t="shared" si="12"/>
        <v>22845.511900196758</v>
      </c>
      <c r="AK11" s="8">
        <f t="shared" si="12"/>
        <v>20713.713027511872</v>
      </c>
      <c r="AL11" s="8">
        <f t="shared" si="12"/>
        <v>19075.033669912315</v>
      </c>
      <c r="AM11" s="8">
        <f t="shared" si="12"/>
        <v>21367.2147618462</v>
      </c>
      <c r="AN11" s="8">
        <f t="shared" ref="AN11:AS11" si="13">AN7+AN10</f>
        <v>21654.429886516602</v>
      </c>
      <c r="AO11" s="8">
        <f t="shared" si="13"/>
        <v>19921.990933833211</v>
      </c>
      <c r="AP11" s="8">
        <f t="shared" si="13"/>
        <v>22559.993447875557</v>
      </c>
      <c r="AQ11" s="8">
        <f t="shared" si="13"/>
        <v>21816.667296689266</v>
      </c>
      <c r="AR11" s="8">
        <f t="shared" si="13"/>
        <v>24299.254859383229</v>
      </c>
      <c r="AS11" s="8">
        <f t="shared" si="13"/>
        <v>22602</v>
      </c>
      <c r="AT11" s="8">
        <f>AT7+AT10</f>
        <v>25271.381289243745</v>
      </c>
      <c r="AU11" s="8">
        <f>AU7+AU10</f>
        <v>25391.849113290307</v>
      </c>
      <c r="AV11" s="8">
        <f t="shared" ref="AV11:AW11" si="14">AV7+AV10</f>
        <v>27034.343071759897</v>
      </c>
      <c r="AW11" s="8">
        <f t="shared" si="14"/>
        <v>25458.18</v>
      </c>
      <c r="AX11" s="8">
        <f>AX7+AX10</f>
        <v>27267.402891312289</v>
      </c>
      <c r="AY11" s="8">
        <f>AY7+AY10</f>
        <v>28847.88553193504</v>
      </c>
      <c r="AZ11" s="8">
        <f t="shared" ref="AZ11:BA11" si="15">AZ7+AZ10</f>
        <v>29286.531576752655</v>
      </c>
      <c r="BA11" s="8">
        <f t="shared" si="15"/>
        <v>28428.378308814608</v>
      </c>
      <c r="BB11" s="8">
        <f>BB7+BB10</f>
        <v>31961.302174470751</v>
      </c>
      <c r="BC11" s="8">
        <f>BC7+BC10</f>
        <v>32094.260810155218</v>
      </c>
      <c r="BD11" s="8">
        <f t="shared" ref="BD11" si="16">BD7+BD10</f>
        <v>36251.853300480208</v>
      </c>
      <c r="BE11" s="8">
        <f>BE7+BE10</f>
        <v>31832.333927450803</v>
      </c>
      <c r="BF11" s="8">
        <f>BF7+BF10</f>
        <v>33042.087136298978</v>
      </c>
      <c r="BG11" s="8">
        <f>BG7+BG10</f>
        <v>32391.169221977194</v>
      </c>
      <c r="BH11" s="8">
        <f t="shared" ref="BH11" si="17">BH7+BH10</f>
        <v>35909.929048874954</v>
      </c>
      <c r="BI11" s="8">
        <f>BI7+BI10</f>
        <v>33255.318069606052</v>
      </c>
      <c r="BJ11" s="8"/>
      <c r="BK11" s="8"/>
      <c r="BL11" s="8">
        <f>BL7+BL10</f>
        <v>20215.352999999999</v>
      </c>
      <c r="BM11" s="8">
        <f>BM7+BM10</f>
        <v>20857.203051791563</v>
      </c>
      <c r="BN11" s="4"/>
      <c r="BP11" s="4"/>
    </row>
    <row r="12" spans="2:68" s="28" customFormat="1" ht="13.5" customHeight="1">
      <c r="B12" s="20" t="s">
        <v>271</v>
      </c>
      <c r="C12" s="21">
        <f t="shared" ref="C12:H12" si="18">C11/C7</f>
        <v>0.46424255590707275</v>
      </c>
      <c r="D12" s="21">
        <f t="shared" si="18"/>
        <v>0.47276187975846679</v>
      </c>
      <c r="E12" s="21">
        <f t="shared" si="18"/>
        <v>0.44824947388559405</v>
      </c>
      <c r="F12" s="21">
        <f t="shared" si="18"/>
        <v>0.44992460963875908</v>
      </c>
      <c r="G12" s="21">
        <f t="shared" si="18"/>
        <v>0.45568658396969769</v>
      </c>
      <c r="H12" s="21">
        <f t="shared" si="18"/>
        <v>0.46033071230107886</v>
      </c>
      <c r="I12" s="21">
        <f t="shared" ref="I12:L12" si="19">I11/I7</f>
        <v>0.44997454633338646</v>
      </c>
      <c r="J12" s="21">
        <f t="shared" si="19"/>
        <v>0.45100108285298557</v>
      </c>
      <c r="K12" s="21">
        <f t="shared" si="19"/>
        <v>0.45480624929975189</v>
      </c>
      <c r="L12" s="21">
        <f t="shared" si="19"/>
        <v>0.44235438856148729</v>
      </c>
      <c r="M12" s="21">
        <f t="shared" ref="M12:N12" si="20">M11/M7</f>
        <v>0.45232732732732733</v>
      </c>
      <c r="N12" s="21">
        <f t="shared" si="20"/>
        <v>0.46011048749866112</v>
      </c>
      <c r="O12" s="21">
        <f t="shared" ref="O12" si="21">O11/O7</f>
        <v>0.45647815944833436</v>
      </c>
      <c r="P12" s="21">
        <f t="shared" ref="P12" si="22">P11/P7</f>
        <v>0.46014342034495892</v>
      </c>
      <c r="Q12" s="323"/>
      <c r="R12" s="21"/>
      <c r="S12" s="21"/>
      <c r="T12" s="85"/>
      <c r="U12" s="21">
        <f t="shared" ref="U12:AA12" si="23">U11/U7</f>
        <v>0.45597775823185954</v>
      </c>
      <c r="V12" s="21">
        <f t="shared" si="23"/>
        <v>0.46180916770067143</v>
      </c>
      <c r="W12" s="21">
        <f t="shared" si="23"/>
        <v>0.44572737361573517</v>
      </c>
      <c r="X12" s="29">
        <f t="shared" si="23"/>
        <v>0.43588167986402615</v>
      </c>
      <c r="Y12" s="21">
        <f t="shared" si="23"/>
        <v>0.43415754512255789</v>
      </c>
      <c r="Z12" s="21">
        <f t="shared" si="23"/>
        <v>0.45552774978518684</v>
      </c>
      <c r="AA12" s="21">
        <f t="shared" si="23"/>
        <v>0.44600206632498024</v>
      </c>
      <c r="AB12" s="21">
        <f t="shared" ref="AB12:AG12" si="24">AB11/AB7</f>
        <v>0.46357133514480453</v>
      </c>
      <c r="AC12" s="21">
        <f t="shared" si="24"/>
        <v>0.44087059722808924</v>
      </c>
      <c r="AD12" s="21">
        <f t="shared" si="24"/>
        <v>0.44063509598599315</v>
      </c>
      <c r="AE12" s="21">
        <f t="shared" si="24"/>
        <v>0.45838257195331811</v>
      </c>
      <c r="AF12" s="21">
        <f t="shared" si="24"/>
        <v>0.51746212637105959</v>
      </c>
      <c r="AG12" s="21">
        <f t="shared" si="24"/>
        <v>0.45174730283013204</v>
      </c>
      <c r="AH12" s="21">
        <f t="shared" ref="AH12:AM12" si="25">AH11/AH7</f>
        <v>0.46067475600839519</v>
      </c>
      <c r="AI12" s="21">
        <f t="shared" si="25"/>
        <v>0.44491660657115428</v>
      </c>
      <c r="AJ12" s="21">
        <f t="shared" si="25"/>
        <v>0.4432029799062418</v>
      </c>
      <c r="AK12" s="21">
        <f t="shared" si="25"/>
        <v>0.45677045407868444</v>
      </c>
      <c r="AL12" s="21">
        <f t="shared" si="25"/>
        <v>0.44283659774078477</v>
      </c>
      <c r="AM12" s="21">
        <f t="shared" si="25"/>
        <v>0.45720909408511645</v>
      </c>
      <c r="AN12" s="21">
        <f t="shared" ref="AN12:AS12" si="26">AN11/AN7</f>
        <v>0.4468722619269222</v>
      </c>
      <c r="AO12" s="21">
        <f t="shared" si="26"/>
        <v>0.44577779213427027</v>
      </c>
      <c r="AP12" s="21">
        <f t="shared" si="26"/>
        <v>0.47210111678312305</v>
      </c>
      <c r="AQ12" s="21">
        <f t="shared" si="26"/>
        <v>0.45154502509343947</v>
      </c>
      <c r="AR12" s="21">
        <f t="shared" si="26"/>
        <v>0.44989236077157768</v>
      </c>
      <c r="AS12" s="21">
        <f t="shared" si="26"/>
        <v>0.44148842660416054</v>
      </c>
      <c r="AT12" s="21">
        <f>AT11/AT7</f>
        <v>0.44095475586573596</v>
      </c>
      <c r="AU12" s="21">
        <f>AU11/AU7</f>
        <v>0.44474160367077764</v>
      </c>
      <c r="AV12" s="21">
        <f t="shared" ref="AV12:AW12" si="27">AV11/AV7</f>
        <v>0.44216224775950497</v>
      </c>
      <c r="AW12" s="21">
        <f t="shared" si="27"/>
        <v>0.44385172423616565</v>
      </c>
      <c r="AX12" s="21">
        <f>AX11/AX7</f>
        <v>0.44388927937407596</v>
      </c>
      <c r="AY12" s="21">
        <f>AY11/AY7</f>
        <v>0.45897380477323263</v>
      </c>
      <c r="AZ12" s="21">
        <f t="shared" ref="AZ12:BA12" si="28">AZ11/AZ7</f>
        <v>0.46157445850679119</v>
      </c>
      <c r="BA12" s="21">
        <f t="shared" si="28"/>
        <v>0.4455676662279861</v>
      </c>
      <c r="BB12" s="21">
        <f>BB11/BB7</f>
        <v>0.46016748399416757</v>
      </c>
      <c r="BC12" s="21">
        <f>BC11/BC7</f>
        <v>0.46111634786789868</v>
      </c>
      <c r="BD12" s="21">
        <f t="shared" ref="BD12" si="29">BD11/BD7</f>
        <v>0.47120969733264817</v>
      </c>
      <c r="BE12" s="21">
        <f>BE11/BE7</f>
        <v>0.45373133219754697</v>
      </c>
      <c r="BF12" s="21">
        <f>BF11/BF7</f>
        <v>0.45314895943637529</v>
      </c>
      <c r="BG12" s="21">
        <f>BG11/BG7</f>
        <v>0.45060509721197461</v>
      </c>
      <c r="BH12" s="21">
        <f t="shared" ref="BH12" si="30">BH11/BH7</f>
        <v>0.46764701582185686</v>
      </c>
      <c r="BI12" s="21">
        <f>BI11/BI7</f>
        <v>0.46887756374477441</v>
      </c>
      <c r="BJ12" s="323"/>
      <c r="BK12" s="323"/>
      <c r="BL12" s="21">
        <f>BL11/BL7</f>
        <v>0.4581661390425526</v>
      </c>
      <c r="BM12" s="21">
        <f>BM11/BM7</f>
        <v>0.46797309240624391</v>
      </c>
    </row>
    <row r="13" spans="2:68" ht="16.5" customHeight="1">
      <c r="B13" s="1" t="s">
        <v>272</v>
      </c>
      <c r="C13" s="4">
        <v>-6385</v>
      </c>
      <c r="D13" s="4">
        <v>-6405</v>
      </c>
      <c r="E13" s="4">
        <v>-7423</v>
      </c>
      <c r="F13" s="4">
        <v>-8983.6319999999996</v>
      </c>
      <c r="G13" s="4">
        <v>-7693.9359999999997</v>
      </c>
      <c r="H13" s="4">
        <v>-7999.4290000000001</v>
      </c>
      <c r="I13" s="4">
        <v>-8427.0130000000008</v>
      </c>
      <c r="J13" s="4">
        <v>-7891</v>
      </c>
      <c r="K13" s="4">
        <f>-9012.3</f>
        <v>-9012.2999999999993</v>
      </c>
      <c r="L13" s="4">
        <f>-11263.165</f>
        <v>-11263.165000000001</v>
      </c>
      <c r="M13" s="4">
        <v>-12820.439</v>
      </c>
      <c r="N13" s="4">
        <v>-13677.955</v>
      </c>
      <c r="O13" s="4">
        <v>-15043.398999999999</v>
      </c>
      <c r="P13" s="6">
        <f t="shared" ref="P13:P16" si="31">SUM(BF13:BI13)</f>
        <v>-15401.222000000002</v>
      </c>
      <c r="Q13" s="6"/>
      <c r="R13" s="38"/>
      <c r="S13" s="38"/>
      <c r="T13" s="82"/>
      <c r="U13" s="4">
        <v>-1754.6389999999999</v>
      </c>
      <c r="V13" s="4">
        <v>-1893.7919999999999</v>
      </c>
      <c r="W13" s="4">
        <v>-1433.8150000000001</v>
      </c>
      <c r="X13" s="6">
        <f>E13-W13-V13-U13</f>
        <v>-2340.7539999999999</v>
      </c>
      <c r="Y13" s="4">
        <v>-2270.9749999999999</v>
      </c>
      <c r="Z13" s="4">
        <v>-2250.9119999999998</v>
      </c>
      <c r="AA13" s="4">
        <v>-2412.3020000000001</v>
      </c>
      <c r="AB13" s="4">
        <f>F13-AA13-Z13-Y13</f>
        <v>-2049.4429999999998</v>
      </c>
      <c r="AC13" s="4">
        <v>-2521</v>
      </c>
      <c r="AD13" s="4">
        <v>-2424.9110000000001</v>
      </c>
      <c r="AE13" s="4">
        <v>-2074.3429999999998</v>
      </c>
      <c r="AF13" s="226">
        <f>H13-AE13-AD13-AC13</f>
        <v>-979.17500000000018</v>
      </c>
      <c r="AG13" s="4">
        <v>-2201.085</v>
      </c>
      <c r="AH13" s="4">
        <v>-2172.027</v>
      </c>
      <c r="AI13" s="4">
        <v>-2137.9960000000001</v>
      </c>
      <c r="AJ13" s="6">
        <f>I13-AI13-AH13-AG13</f>
        <v>-1915.9050000000007</v>
      </c>
      <c r="AK13" s="4">
        <v>-1855.454</v>
      </c>
      <c r="AL13" s="4">
        <v>-1882.01</v>
      </c>
      <c r="AM13" s="4">
        <v>-14216.2647173643</v>
      </c>
      <c r="AN13" s="6">
        <f>J13-AM13-AL13-AK13</f>
        <v>10062.7287173643</v>
      </c>
      <c r="AO13" s="4">
        <v>-13793.0415098166</v>
      </c>
      <c r="AP13" s="4">
        <v>-2279.413</v>
      </c>
      <c r="AQ13" s="4">
        <v>-15530.3133034536</v>
      </c>
      <c r="AR13" s="6">
        <f>K13-AQ13-AP13-AO13</f>
        <v>22590.467813270203</v>
      </c>
      <c r="AS13" s="4">
        <v>-13299.43</v>
      </c>
      <c r="AT13" s="4">
        <v>-14580.662</v>
      </c>
      <c r="AU13" s="4">
        <v>-2894.893</v>
      </c>
      <c r="AV13" s="6">
        <f>L13-AU13-AT13-AS13</f>
        <v>19511.82</v>
      </c>
      <c r="AW13" s="4">
        <f>-3077.837</f>
        <v>-3077.837</v>
      </c>
      <c r="AX13" s="4">
        <v>-3520.6759999999999</v>
      </c>
      <c r="AY13" s="4">
        <f>-3239.448</f>
        <v>-3239.4479999999999</v>
      </c>
      <c r="AZ13" s="6">
        <f>M13-AY13-AX13-AW13</f>
        <v>-2982.4780000000005</v>
      </c>
      <c r="BA13" s="4">
        <v>-3150.047</v>
      </c>
      <c r="BB13" s="4">
        <v>-3525.0659999999998</v>
      </c>
      <c r="BC13" s="4">
        <v>-3339.3310000000001</v>
      </c>
      <c r="BD13" s="6">
        <f t="shared" ref="BD13:BD16" si="32">N13-BC13-BB13-BA13</f>
        <v>-3663.511</v>
      </c>
      <c r="BE13" s="4">
        <v>-3610.52</v>
      </c>
      <c r="BF13" s="4">
        <v>-3957.37</v>
      </c>
      <c r="BG13" s="4">
        <v>-3733.6680000000001</v>
      </c>
      <c r="BH13" s="6">
        <f t="shared" ref="BH13:BH16" si="33">O13-BG13-BF13-BE13</f>
        <v>-3741.8409999999999</v>
      </c>
      <c r="BI13" s="4">
        <v>-3968.3429999999998</v>
      </c>
      <c r="BJ13" s="4"/>
      <c r="BK13" s="4"/>
      <c r="BL13" s="4">
        <v>-2220.9650000000001</v>
      </c>
      <c r="BM13" s="4">
        <v>-2043.713</v>
      </c>
      <c r="BP13" s="4"/>
    </row>
    <row r="14" spans="2:68" ht="16.5" customHeight="1">
      <c r="B14" s="1" t="s">
        <v>273</v>
      </c>
      <c r="C14" s="4">
        <v>-40465</v>
      </c>
      <c r="D14" s="4">
        <v>-41879</v>
      </c>
      <c r="E14" s="4">
        <v>-48039</v>
      </c>
      <c r="F14" s="4">
        <v>-55926.792000000001</v>
      </c>
      <c r="G14" s="4">
        <v>-50351.275999999998</v>
      </c>
      <c r="H14" s="4">
        <v>-49924.623</v>
      </c>
      <c r="I14" s="4">
        <v>-52110.243999999999</v>
      </c>
      <c r="J14" s="4">
        <v>-48553</v>
      </c>
      <c r="K14" s="4">
        <f>-51708.385</f>
        <v>-51708.385000000002</v>
      </c>
      <c r="L14" s="4">
        <v>-57717.601000000002</v>
      </c>
      <c r="M14" s="4">
        <v>-63277.733</v>
      </c>
      <c r="N14" s="4">
        <v>-74422.854999999996</v>
      </c>
      <c r="O14" s="4">
        <v>-76664.429999999993</v>
      </c>
      <c r="P14" s="6">
        <f t="shared" si="31"/>
        <v>-77973.106</v>
      </c>
      <c r="Q14" s="6"/>
      <c r="R14" s="38"/>
      <c r="S14" s="38"/>
      <c r="T14" s="82"/>
      <c r="U14" s="4">
        <v>-10278.870999999999</v>
      </c>
      <c r="V14" s="4">
        <v>-10735.707</v>
      </c>
      <c r="W14" s="4">
        <v>-11761.409</v>
      </c>
      <c r="X14" s="6">
        <f>E14-W14-V14-U14</f>
        <v>-15263.012999999999</v>
      </c>
      <c r="Y14" s="4">
        <v>-14372.957</v>
      </c>
      <c r="Z14" s="4">
        <v>-13917.335999999999</v>
      </c>
      <c r="AA14" s="4">
        <v>-13851.427</v>
      </c>
      <c r="AB14" s="4">
        <f>F14-AA14-Z14-Y14</f>
        <v>-13785.072000000006</v>
      </c>
      <c r="AC14" s="4">
        <v>-13413</v>
      </c>
      <c r="AD14" s="4">
        <v>-13701.501</v>
      </c>
      <c r="AE14" s="4">
        <v>-12181.297</v>
      </c>
      <c r="AF14" s="226">
        <f>H14-AE14-AD14-AC14</f>
        <v>-10628.825000000001</v>
      </c>
      <c r="AG14" s="4">
        <v>-12645.462</v>
      </c>
      <c r="AH14" s="4">
        <v>-12864.394</v>
      </c>
      <c r="AI14" s="4">
        <v>-12564.513999999999</v>
      </c>
      <c r="AJ14" s="6">
        <f>I14-AI14-AH14-AG14</f>
        <v>-14035.873999999996</v>
      </c>
      <c r="AK14" s="4">
        <v>-12680.138999999999</v>
      </c>
      <c r="AL14" s="4">
        <v>-11748.465</v>
      </c>
      <c r="AM14" s="227"/>
      <c r="AN14" s="6">
        <f>J14-AM14-AL14-AK14</f>
        <v>-24124.396000000004</v>
      </c>
      <c r="AO14" s="4"/>
      <c r="AP14" s="4">
        <v>-12909.532999999999</v>
      </c>
      <c r="AQ14" s="227"/>
      <c r="AR14" s="6">
        <f>K14-AQ14-AP14-AO14</f>
        <v>-38798.851999999999</v>
      </c>
      <c r="AS14" s="4">
        <v>-2457.9189999999999</v>
      </c>
      <c r="AT14" s="4">
        <v>-2867.5949999999998</v>
      </c>
      <c r="AU14" s="4">
        <v>-15038.114</v>
      </c>
      <c r="AV14" s="6">
        <f>L14-AU14-AT14-AS14</f>
        <v>-37353.972999999998</v>
      </c>
      <c r="AW14" s="4">
        <v>-14747.048000000001</v>
      </c>
      <c r="AX14" s="4">
        <v>-15274.939</v>
      </c>
      <c r="AY14" s="4">
        <v>-16730.544000000002</v>
      </c>
      <c r="AZ14" s="6">
        <f>M14-AY14-AX14-AW14</f>
        <v>-16525.201999999997</v>
      </c>
      <c r="BA14" s="4">
        <v>-16517.964</v>
      </c>
      <c r="BB14" s="4">
        <v>-18095.512999999999</v>
      </c>
      <c r="BC14" s="4">
        <v>-19085.431</v>
      </c>
      <c r="BD14" s="6">
        <f t="shared" si="32"/>
        <v>-20723.947</v>
      </c>
      <c r="BE14" s="4">
        <v>-18867.901999999998</v>
      </c>
      <c r="BF14" s="4">
        <v>-19721.363000000001</v>
      </c>
      <c r="BG14" s="4">
        <v>-18621.853999999999</v>
      </c>
      <c r="BH14" s="6">
        <f t="shared" si="33"/>
        <v>-19453.310999999991</v>
      </c>
      <c r="BI14" s="4">
        <v>-20176.578000000001</v>
      </c>
      <c r="BJ14" s="4"/>
      <c r="BK14" s="4"/>
      <c r="BL14" s="4">
        <v>-12149.138999999999</v>
      </c>
      <c r="BM14" s="4">
        <v>-12324.138000000001</v>
      </c>
      <c r="BP14" s="4"/>
    </row>
    <row r="15" spans="2:68" ht="16.5" customHeight="1">
      <c r="B15" s="1" t="s">
        <v>274</v>
      </c>
      <c r="C15" s="4">
        <v>-548</v>
      </c>
      <c r="D15" s="4">
        <v>-1099</v>
      </c>
      <c r="E15" s="4">
        <v>-323</v>
      </c>
      <c r="F15" s="4">
        <v>-503</v>
      </c>
      <c r="G15" s="4">
        <v>-368.89440886004297</v>
      </c>
      <c r="H15" s="4">
        <v>-1032.4654918712299</v>
      </c>
      <c r="I15" s="4">
        <v>-1338.8661297031974</v>
      </c>
      <c r="J15" s="4">
        <v>-748.10042348326601</v>
      </c>
      <c r="K15" s="4">
        <v>-559.76570321276301</v>
      </c>
      <c r="L15" s="4">
        <v>-672.79894842139095</v>
      </c>
      <c r="M15" s="4">
        <v>-813</v>
      </c>
      <c r="N15" s="4">
        <v>-687.81457877139303</v>
      </c>
      <c r="O15" s="4">
        <v>1085.9292384883599</v>
      </c>
      <c r="P15" s="6">
        <f t="shared" si="31"/>
        <v>1093.984026716947</v>
      </c>
      <c r="Q15" s="6"/>
      <c r="R15" s="38"/>
      <c r="S15" s="38"/>
      <c r="T15" s="82"/>
      <c r="U15" s="4">
        <v>-33</v>
      </c>
      <c r="V15" s="4">
        <v>-21</v>
      </c>
      <c r="W15" s="4">
        <v>-87</v>
      </c>
      <c r="X15" s="6">
        <f>E15-W15-V15-U15</f>
        <v>-182</v>
      </c>
      <c r="Y15" s="4">
        <v>391</v>
      </c>
      <c r="Z15" s="4">
        <v>-132</v>
      </c>
      <c r="AA15" s="4">
        <v>-260</v>
      </c>
      <c r="AB15" s="4">
        <f>F15-AA15-Z15-Y15</f>
        <v>-502</v>
      </c>
      <c r="AC15" s="4">
        <v>-51</v>
      </c>
      <c r="AD15" s="4">
        <v>-481</v>
      </c>
      <c r="AE15" s="4">
        <v>-118.45618810218818</v>
      </c>
      <c r="AF15" s="226">
        <f>H15-AE15-AD15-AC15</f>
        <v>-382.00930376904171</v>
      </c>
      <c r="AG15" s="4">
        <v>-309.80655294518698</v>
      </c>
      <c r="AH15" s="4">
        <v>-655.14652635620598</v>
      </c>
      <c r="AI15" s="4">
        <v>63.220390679855598</v>
      </c>
      <c r="AJ15" s="6">
        <f>I15-AI15-AH15-AG15</f>
        <v>-437.13344108166012</v>
      </c>
      <c r="AK15" s="4">
        <v>-316.72558656768734</v>
      </c>
      <c r="AL15" s="4">
        <v>-205.69510583185004</v>
      </c>
      <c r="AM15" s="4">
        <v>-3.4171597884242102</v>
      </c>
      <c r="AN15" s="6">
        <f>J15-AM15-AL15-AK15</f>
        <v>-222.26257129530444</v>
      </c>
      <c r="AO15" s="4">
        <v>-212.12564303655299</v>
      </c>
      <c r="AP15" s="4">
        <v>-151.778305308125</v>
      </c>
      <c r="AQ15" s="4">
        <v>136.33676177788001</v>
      </c>
      <c r="AR15" s="6">
        <f>K15-AQ15-AP15-AO15</f>
        <v>-332.19851664596501</v>
      </c>
      <c r="AS15" s="4">
        <v>-22</v>
      </c>
      <c r="AT15" s="4">
        <v>-259.50811746220802</v>
      </c>
      <c r="AU15" s="4">
        <v>-166.74736459674699</v>
      </c>
      <c r="AV15" s="6">
        <f>L15-AU15-AT15-AS15</f>
        <v>-224.54346636243594</v>
      </c>
      <c r="AW15" s="4">
        <v>-175.125</v>
      </c>
      <c r="AX15" s="4">
        <v>46.361128598964001</v>
      </c>
      <c r="AY15" s="4">
        <v>-500.17999307953102</v>
      </c>
      <c r="AZ15" s="6">
        <f>M15-AY15-AX15-AW15</f>
        <v>-184.05613551943298</v>
      </c>
      <c r="BA15" s="4">
        <v>-188</v>
      </c>
      <c r="BB15" s="4">
        <v>-672.492745495485</v>
      </c>
      <c r="BC15" s="4">
        <v>-75.990260948731901</v>
      </c>
      <c r="BD15" s="6">
        <f t="shared" si="32"/>
        <v>248.6684276728239</v>
      </c>
      <c r="BE15" s="4">
        <v>-184.06102656924199</v>
      </c>
      <c r="BF15" s="4">
        <v>291.35103704843903</v>
      </c>
      <c r="BG15" s="4">
        <f>158.962797887283</f>
        <v>158.96279788728299</v>
      </c>
      <c r="BH15" s="6">
        <f t="shared" si="33"/>
        <v>819.67643012188</v>
      </c>
      <c r="BI15" s="4">
        <v>-176.00623834065499</v>
      </c>
      <c r="BJ15" s="4"/>
      <c r="BK15" s="4"/>
      <c r="BL15" s="4">
        <v>-31.2931975425806</v>
      </c>
      <c r="BM15" s="4">
        <v>-470.07002406518842</v>
      </c>
    </row>
    <row r="16" spans="2:68" ht="16.5" customHeight="1">
      <c r="B16" s="1" t="s">
        <v>275</v>
      </c>
      <c r="C16" s="4">
        <v>-241</v>
      </c>
      <c r="D16" s="4">
        <v>-3</v>
      </c>
      <c r="E16" s="4">
        <v>43</v>
      </c>
      <c r="F16" s="4">
        <v>-98</v>
      </c>
      <c r="G16" s="4">
        <v>-97.520307423315799</v>
      </c>
      <c r="H16" s="4">
        <v>-308.573290514831</v>
      </c>
      <c r="I16" s="4">
        <v>-207.76035587829051</v>
      </c>
      <c r="J16" s="4">
        <v>-375.20449325141999</v>
      </c>
      <c r="K16" s="4">
        <f>84.9671310573073</f>
        <v>84.967131057307299</v>
      </c>
      <c r="L16" s="4">
        <v>191.96574200764601</v>
      </c>
      <c r="M16" s="4">
        <v>232</v>
      </c>
      <c r="N16" s="4">
        <v>193.606644137394</v>
      </c>
      <c r="O16" s="4">
        <v>382.98740833132001</v>
      </c>
      <c r="P16" s="6">
        <f t="shared" si="31"/>
        <v>402.25965969918036</v>
      </c>
      <c r="Q16" s="6"/>
      <c r="R16" s="38"/>
      <c r="S16" s="38"/>
      <c r="T16" s="82"/>
      <c r="U16" s="4">
        <v>59</v>
      </c>
      <c r="V16" s="4">
        <v>211</v>
      </c>
      <c r="W16" s="4">
        <v>49</v>
      </c>
      <c r="X16" s="6">
        <f>E16-W16-V16-U16</f>
        <v>-276</v>
      </c>
      <c r="Y16" s="4">
        <v>46</v>
      </c>
      <c r="Z16" s="4">
        <v>-35</v>
      </c>
      <c r="AA16" s="4">
        <v>-6</v>
      </c>
      <c r="AB16" s="4">
        <f>F16-AA16-Z16-Y16</f>
        <v>-103</v>
      </c>
      <c r="AC16" s="4">
        <v>-49</v>
      </c>
      <c r="AD16" s="4">
        <v>-67</v>
      </c>
      <c r="AE16" s="4">
        <v>-85.145740638763911</v>
      </c>
      <c r="AF16" s="226">
        <f>H16-AE16-AD16-AC16</f>
        <v>-107.42754987606708</v>
      </c>
      <c r="AG16" s="4">
        <v>-21.583056682298899</v>
      </c>
      <c r="AH16" s="4">
        <v>-73.030735813349807</v>
      </c>
      <c r="AI16" s="4">
        <v>-14.8280411051929</v>
      </c>
      <c r="AJ16" s="6">
        <f>I16-AI16-AH16-AG16</f>
        <v>-98.318522277448892</v>
      </c>
      <c r="AK16" s="4">
        <v>-132.6060772427119</v>
      </c>
      <c r="AL16" s="4">
        <v>-108.83108139067279</v>
      </c>
      <c r="AM16" s="4">
        <v>-28.397051923238202</v>
      </c>
      <c r="AN16" s="6">
        <f>J16-AM16-AL16-AK16</f>
        <v>-105.37028269479706</v>
      </c>
      <c r="AO16" s="4">
        <v>-17.7192881706214</v>
      </c>
      <c r="AP16" s="4">
        <v>28.811767811869998</v>
      </c>
      <c r="AQ16" s="4">
        <v>53.384536092597003</v>
      </c>
      <c r="AR16" s="6">
        <f>K16-AQ16-AP16-AO16</f>
        <v>20.490115323461698</v>
      </c>
      <c r="AS16" s="4">
        <v>21</v>
      </c>
      <c r="AT16" s="4">
        <v>88.865107109033104</v>
      </c>
      <c r="AU16" s="4">
        <v>42.793611584492602</v>
      </c>
      <c r="AV16" s="6">
        <f>L16-AU16-AT16-AS16</f>
        <v>39.307023314120315</v>
      </c>
      <c r="AW16" s="4">
        <v>81.388000000000005</v>
      </c>
      <c r="AX16" s="4">
        <v>43.887359173840203</v>
      </c>
      <c r="AY16" s="4">
        <v>81.8557488411424</v>
      </c>
      <c r="AZ16" s="6">
        <f>M16-AY16-AX16-AW16</f>
        <v>24.868891985017399</v>
      </c>
      <c r="BA16" s="4">
        <v>44</v>
      </c>
      <c r="BB16" s="4">
        <v>77.751425632114007</v>
      </c>
      <c r="BC16" s="4">
        <v>44.781421471740401</v>
      </c>
      <c r="BD16" s="6">
        <f t="shared" si="32"/>
        <v>27.073797033539591</v>
      </c>
      <c r="BE16" s="4">
        <v>77.859483882073903</v>
      </c>
      <c r="BF16" s="4">
        <v>111.80593751303699</v>
      </c>
      <c r="BG16" s="4">
        <v>96.867622131037805</v>
      </c>
      <c r="BH16" s="6">
        <f t="shared" si="33"/>
        <v>96.454364805171281</v>
      </c>
      <c r="BI16" s="4">
        <v>97.131735249934295</v>
      </c>
      <c r="BJ16" s="4"/>
      <c r="BK16" s="4"/>
      <c r="BL16" s="4">
        <v>-48.649913470444801</v>
      </c>
      <c r="BM16" s="4">
        <v>-67.264183294658793</v>
      </c>
    </row>
    <row r="17" spans="2:66" s="5" customFormat="1" ht="13.5" customHeight="1">
      <c r="B17" s="16" t="s">
        <v>276</v>
      </c>
      <c r="C17" s="8">
        <f t="shared" ref="C17:H17" si="34">SUM(C11,C13,C14,C15,C16)</f>
        <v>20743</v>
      </c>
      <c r="D17" s="8">
        <f t="shared" si="34"/>
        <v>22644</v>
      </c>
      <c r="E17" s="8">
        <f t="shared" si="34"/>
        <v>23920</v>
      </c>
      <c r="F17" s="8">
        <f t="shared" si="34"/>
        <v>26174.22600000001</v>
      </c>
      <c r="G17" s="8">
        <f t="shared" si="34"/>
        <v>24995.742141093779</v>
      </c>
      <c r="H17" s="8">
        <f t="shared" si="34"/>
        <v>24672.533489277554</v>
      </c>
      <c r="I17" s="8">
        <f t="shared" ref="I17:L17" si="35">SUM(I11,I13,I14,I15,I16)</f>
        <v>25423.116514418507</v>
      </c>
      <c r="J17" s="8">
        <f t="shared" si="35"/>
        <v>25243.08642905231</v>
      </c>
      <c r="K17" s="8">
        <f t="shared" si="35"/>
        <v>27402.422965625803</v>
      </c>
      <c r="L17" s="8">
        <f t="shared" si="35"/>
        <v>30837.974267880199</v>
      </c>
      <c r="M17" s="8">
        <f t="shared" ref="M17:N17" si="36">SUM(M11,M13,M14,M15,M16)</f>
        <v>34180.828000000001</v>
      </c>
      <c r="N17" s="8">
        <f t="shared" si="36"/>
        <v>40140.776659286785</v>
      </c>
      <c r="O17" s="8">
        <f t="shared" ref="O17" si="37">SUM(O11,O13,O14,O15,O16)</f>
        <v>42936.606981421646</v>
      </c>
      <c r="P17" s="8">
        <f t="shared" ref="P17" si="38">SUM(P11,P13,P14,P15,P16)</f>
        <v>42720.419163173297</v>
      </c>
      <c r="Q17" s="8"/>
      <c r="R17" s="48"/>
      <c r="S17" s="48"/>
      <c r="T17" s="83"/>
      <c r="U17" s="8">
        <f t="shared" ref="U17:AB17" si="39">SUM(U11,U13,U14,U15,U16)</f>
        <v>4907.7560000000012</v>
      </c>
      <c r="V17" s="8">
        <f t="shared" si="39"/>
        <v>6004.4959999999974</v>
      </c>
      <c r="W17" s="8">
        <f t="shared" si="39"/>
        <v>5643.7760000000017</v>
      </c>
      <c r="X17" s="8">
        <f t="shared" si="39"/>
        <v>7363.9720000000088</v>
      </c>
      <c r="Y17" s="8">
        <f t="shared" si="39"/>
        <v>6090.248999999998</v>
      </c>
      <c r="Z17" s="8">
        <f t="shared" si="39"/>
        <v>6490.1109999999971</v>
      </c>
      <c r="AA17" s="8">
        <f t="shared" si="39"/>
        <v>5486.2710000000006</v>
      </c>
      <c r="AB17" s="8">
        <f t="shared" si="39"/>
        <v>8107.595000000003</v>
      </c>
      <c r="AC17" s="8">
        <f t="shared" ref="AC17:AH17" si="40">SUM(AC11,AC13,AC14,AC15,AC16)</f>
        <v>5883</v>
      </c>
      <c r="AD17" s="8">
        <f t="shared" si="40"/>
        <v>6276.5010000000002</v>
      </c>
      <c r="AE17" s="8">
        <f>SUM(AE11,AE13,AE14,AE15,AE16)</f>
        <v>5777.4790712590484</v>
      </c>
      <c r="AF17" s="8">
        <f t="shared" si="40"/>
        <v>6735.5534180185041</v>
      </c>
      <c r="AG17" s="8">
        <f t="shared" si="40"/>
        <v>5714.3533903725129</v>
      </c>
      <c r="AH17" s="8">
        <f t="shared" si="40"/>
        <v>6337.8052731674334</v>
      </c>
      <c r="AI17" s="8">
        <f t="shared" ref="AI17:AN17" si="41">SUM(AI11,AI13,AI14,AI15,AI16)</f>
        <v>7012.6769140409187</v>
      </c>
      <c r="AJ17" s="8">
        <f t="shared" si="41"/>
        <v>6358.2809368376502</v>
      </c>
      <c r="AK17" s="8">
        <f>SUM(AK11,AK13,AK14,AK15,AK16)</f>
        <v>5728.7883637014729</v>
      </c>
      <c r="AL17" s="8">
        <f t="shared" si="41"/>
        <v>5130.0324826897931</v>
      </c>
      <c r="AM17" s="8">
        <f t="shared" si="41"/>
        <v>7119.1358327702383</v>
      </c>
      <c r="AN17" s="8">
        <f t="shared" si="41"/>
        <v>7265.1297498907979</v>
      </c>
      <c r="AO17" s="8">
        <f t="shared" ref="AO17:AT17" si="42">SUM(AO11,AO13,AO14,AO15,AO16)</f>
        <v>5899.104492809437</v>
      </c>
      <c r="AP17" s="8">
        <f t="shared" si="42"/>
        <v>7248.0809103793017</v>
      </c>
      <c r="AQ17" s="8">
        <f t="shared" si="42"/>
        <v>6476.0752911061427</v>
      </c>
      <c r="AR17" s="8">
        <f t="shared" si="42"/>
        <v>7779.1622713309253</v>
      </c>
      <c r="AS17" s="8">
        <f t="shared" si="42"/>
        <v>6843.6509999999998</v>
      </c>
      <c r="AT17" s="8">
        <f t="shared" si="42"/>
        <v>7652.481278890571</v>
      </c>
      <c r="AU17" s="8">
        <f t="shared" ref="AU17:AW17" si="43">SUM(AU11,AU13,AU14,AU15,AU16)</f>
        <v>7334.8883602780534</v>
      </c>
      <c r="AV17" s="8">
        <f t="shared" si="43"/>
        <v>9006.9536287115825</v>
      </c>
      <c r="AW17" s="8">
        <f t="shared" si="43"/>
        <v>7539.558</v>
      </c>
      <c r="AX17" s="8">
        <f>SUM(AX11,AX13,AX14,AX15,AX16)</f>
        <v>8562.0363790850952</v>
      </c>
      <c r="AY17" s="8">
        <f t="shared" ref="AY17:BA17" si="44">SUM(AY11,AY13,AY14,AY15,AY16)</f>
        <v>8459.5692876966496</v>
      </c>
      <c r="AZ17" s="8">
        <f t="shared" si="44"/>
        <v>9619.664333218243</v>
      </c>
      <c r="BA17" s="8">
        <f t="shared" si="44"/>
        <v>8616.3673088146097</v>
      </c>
      <c r="BB17" s="8">
        <f>SUM(BB11,BB13,BB14,BB15,BB16)</f>
        <v>9745.981854607382</v>
      </c>
      <c r="BC17" s="8">
        <f t="shared" ref="BC17:BD17" si="45">SUM(BC11,BC13,BC14,BC15,BC16)</f>
        <v>9638.2899706782264</v>
      </c>
      <c r="BD17" s="8">
        <f t="shared" si="45"/>
        <v>12140.137525186574</v>
      </c>
      <c r="BE17" s="8">
        <f>SUM(BE11,BE13,BE14,BE15,BE16)</f>
        <v>9247.7103847636372</v>
      </c>
      <c r="BF17" s="8">
        <f>SUM(BF11,BF13,BF14,BF15,BF16)</f>
        <v>9766.5111108604542</v>
      </c>
      <c r="BG17" s="8">
        <f t="shared" ref="BG17:BH17" si="46">SUM(BG11,BG13,BG14,BG15,BG16)</f>
        <v>10291.477641995514</v>
      </c>
      <c r="BH17" s="8">
        <f t="shared" si="46"/>
        <v>13630.907843802013</v>
      </c>
      <c r="BI17" s="8">
        <f>SUM(BI11,BI13,BI14,BI15,BI16)</f>
        <v>9031.5225665153284</v>
      </c>
      <c r="BJ17" s="8"/>
      <c r="BK17" s="8"/>
      <c r="BL17" s="8">
        <f>SUM(BL11,BL13,BL14,BL15,BL16)</f>
        <v>5765.3058889869744</v>
      </c>
      <c r="BM17" s="8">
        <f>SUM(BM11,BM13,BM14,BM15,BM16)</f>
        <v>5952.0178444317144</v>
      </c>
    </row>
    <row r="18" spans="2:66" ht="13.5" customHeight="1">
      <c r="B18" s="7" t="s">
        <v>277</v>
      </c>
      <c r="C18" s="4">
        <v>379</v>
      </c>
      <c r="D18" s="4">
        <v>414</v>
      </c>
      <c r="E18" s="4">
        <v>715</v>
      </c>
      <c r="F18" s="4">
        <v>887</v>
      </c>
      <c r="G18" s="4">
        <v>791.06622359423102</v>
      </c>
      <c r="H18" s="4">
        <v>1003.8276884946116</v>
      </c>
      <c r="I18" s="4">
        <v>1229.8969433571551</v>
      </c>
      <c r="J18" s="4">
        <v>1048.09449129113</v>
      </c>
      <c r="K18" s="4">
        <v>931.91729208156596</v>
      </c>
      <c r="L18" s="4">
        <v>2410.5867309319415</v>
      </c>
      <c r="M18" s="4">
        <v>3188</v>
      </c>
      <c r="N18" s="4">
        <v>3039.4915175159153</v>
      </c>
      <c r="O18" s="4">
        <v>2369.4484536640198</v>
      </c>
      <c r="P18" s="6">
        <f t="shared" ref="P18:P24" si="47">SUM(BF18:BI18)</f>
        <v>2293.6846824217178</v>
      </c>
      <c r="Q18" s="6"/>
      <c r="R18" s="38"/>
      <c r="S18" s="38"/>
      <c r="T18" s="82"/>
      <c r="U18" s="4">
        <v>118</v>
      </c>
      <c r="V18" s="4">
        <v>144</v>
      </c>
      <c r="W18" s="4">
        <v>153</v>
      </c>
      <c r="X18" s="6">
        <f t="shared" ref="X18:X24" si="48">E18-W18-V18-U18</f>
        <v>300</v>
      </c>
      <c r="Y18" s="4">
        <v>185</v>
      </c>
      <c r="Z18" s="4">
        <v>182</v>
      </c>
      <c r="AA18" s="4">
        <v>274</v>
      </c>
      <c r="AB18" s="4">
        <f t="shared" ref="AB18:AB24" si="49">F18-AA18-Z18-Y18</f>
        <v>246</v>
      </c>
      <c r="AC18" s="4">
        <v>414</v>
      </c>
      <c r="AD18" s="4">
        <v>93</v>
      </c>
      <c r="AE18" s="4">
        <v>275.92167942507501</v>
      </c>
      <c r="AF18" s="226">
        <f t="shared" ref="AF18:AF24" si="50">H18-AE18-AD18-AC18</f>
        <v>220.90600906953659</v>
      </c>
      <c r="AG18" s="4">
        <v>248.90400102719275</v>
      </c>
      <c r="AH18" s="4">
        <v>299.64150688476445</v>
      </c>
      <c r="AI18" s="4">
        <v>365.13119733324658</v>
      </c>
      <c r="AJ18" s="6">
        <f t="shared" ref="AJ18:AJ24" si="51">I18-AI18-AH18-AG18</f>
        <v>316.2202381119514</v>
      </c>
      <c r="AK18" s="4">
        <v>287.81279721422402</v>
      </c>
      <c r="AL18" s="4">
        <v>268.70093214327841</v>
      </c>
      <c r="AM18" s="4">
        <v>297.57743970983302</v>
      </c>
      <c r="AN18" s="6">
        <f t="shared" ref="AN18:AN24" si="52">J18-AM18-AL18-AK18</f>
        <v>194.00332222379456</v>
      </c>
      <c r="AO18" s="4">
        <v>162.6563482891757</v>
      </c>
      <c r="AP18" s="4">
        <v>193.53725044882401</v>
      </c>
      <c r="AQ18" s="4">
        <v>202.40457302228504</v>
      </c>
      <c r="AR18" s="6">
        <f t="shared" ref="AR18:AR24" si="53">K18-AQ18-AP18-AO18</f>
        <v>373.31912032128122</v>
      </c>
      <c r="AS18" s="4">
        <v>405</v>
      </c>
      <c r="AT18" s="4">
        <v>540.79387464829699</v>
      </c>
      <c r="AU18" s="4">
        <v>649.09503747715269</v>
      </c>
      <c r="AV18" s="6">
        <f t="shared" ref="AV18:AV24" si="54">L18-AU18-AT18-AS18</f>
        <v>815.6978188064918</v>
      </c>
      <c r="AW18" s="4">
        <v>1041.7727</v>
      </c>
      <c r="AX18" s="4">
        <v>834.47012313055598</v>
      </c>
      <c r="AY18" s="4">
        <v>720.9306919714702</v>
      </c>
      <c r="AZ18" s="6">
        <f t="shared" ref="AZ18:AZ24" si="55">M18-AY18-AX18-AW18</f>
        <v>590.82648489797407</v>
      </c>
      <c r="BA18" s="4">
        <v>622.64099999999996</v>
      </c>
      <c r="BB18" s="4">
        <v>678.10925156721885</v>
      </c>
      <c r="BC18" s="4">
        <v>849.99003337632507</v>
      </c>
      <c r="BD18" s="6">
        <f t="shared" ref="BD18:BD24" si="56">N18-BC18-BB18-BA18</f>
        <v>888.75123257237158</v>
      </c>
      <c r="BE18" s="4">
        <v>590.27317521200496</v>
      </c>
      <c r="BF18" s="4">
        <v>626.04968149454771</v>
      </c>
      <c r="BG18" s="4">
        <f>619.565930503511</f>
        <v>619.56593050351103</v>
      </c>
      <c r="BH18" s="6">
        <f t="shared" ref="BH18:BH27" si="57">O18-BG18-BF18-BE18</f>
        <v>533.55966645395608</v>
      </c>
      <c r="BI18" s="4">
        <v>514.50940396970293</v>
      </c>
      <c r="BJ18" s="4"/>
      <c r="BK18" s="4"/>
      <c r="BL18" s="4">
        <v>376.32470613853485</v>
      </c>
      <c r="BM18" s="4">
        <v>49.50868144058699</v>
      </c>
    </row>
    <row r="19" spans="2:66" ht="13.5" customHeight="1">
      <c r="B19" s="7" t="s">
        <v>278</v>
      </c>
      <c r="C19" s="4">
        <v>-5546</v>
      </c>
      <c r="D19" s="4">
        <v>-6337</v>
      </c>
      <c r="E19" s="4">
        <v>-7471</v>
      </c>
      <c r="F19" s="4">
        <v>-8809</v>
      </c>
      <c r="G19" s="4">
        <v>-8777.6801597339199</v>
      </c>
      <c r="H19" s="4">
        <v>-7568.08642432344</v>
      </c>
      <c r="I19" s="4">
        <v>-6903.6413743682842</v>
      </c>
      <c r="J19" s="4">
        <v>-7893.5667550491498</v>
      </c>
      <c r="K19" s="4">
        <v>-6191.89523532761</v>
      </c>
      <c r="L19" s="4">
        <v>-6499.5489733377099</v>
      </c>
      <c r="M19" s="4">
        <v>-7102</v>
      </c>
      <c r="N19" s="4">
        <v>-7531.7851527234998</v>
      </c>
      <c r="O19" s="4">
        <v>-8129.6723536803302</v>
      </c>
      <c r="P19" s="6">
        <f t="shared" si="47"/>
        <v>-8338.0080604902905</v>
      </c>
      <c r="Q19" s="6"/>
      <c r="R19" s="38"/>
      <c r="S19" s="38"/>
      <c r="T19" s="82"/>
      <c r="U19" s="4">
        <v>-1578</v>
      </c>
      <c r="V19" s="4">
        <v>-1826</v>
      </c>
      <c r="W19" s="4">
        <v>-1925</v>
      </c>
      <c r="X19" s="6">
        <f t="shared" si="48"/>
        <v>-2142</v>
      </c>
      <c r="Y19" s="4">
        <v>-2513</v>
      </c>
      <c r="Z19" s="4">
        <v>-2128</v>
      </c>
      <c r="AA19" s="4">
        <v>-2170.0659999999998</v>
      </c>
      <c r="AB19" s="4">
        <f t="shared" si="49"/>
        <v>-1997.9340000000002</v>
      </c>
      <c r="AC19" s="4">
        <v>-2012</v>
      </c>
      <c r="AD19" s="4">
        <v>-1682</v>
      </c>
      <c r="AE19" s="4">
        <v>-1833.8803566804945</v>
      </c>
      <c r="AF19" s="226">
        <f t="shared" si="50"/>
        <v>-2040.2060676429455</v>
      </c>
      <c r="AG19" s="4">
        <v>-1734.8841285901626</v>
      </c>
      <c r="AH19" s="4">
        <v>-1732.2960388606407</v>
      </c>
      <c r="AI19" s="4">
        <v>-1785.9269405826749</v>
      </c>
      <c r="AJ19" s="6">
        <f t="shared" si="51"/>
        <v>-1650.5342663348065</v>
      </c>
      <c r="AK19" s="4">
        <v>-3070.0343051683421</v>
      </c>
      <c r="AL19" s="4">
        <v>-1625.0210468523576</v>
      </c>
      <c r="AM19" s="4">
        <v>-1700.9419453715</v>
      </c>
      <c r="AN19" s="6">
        <f t="shared" si="52"/>
        <v>-1497.5694576569504</v>
      </c>
      <c r="AO19" s="4">
        <v>-1470.8420819835701</v>
      </c>
      <c r="AP19" s="4">
        <v>-1463.4894224529301</v>
      </c>
      <c r="AQ19" s="4">
        <v>-1612.5552454692699</v>
      </c>
      <c r="AR19" s="6">
        <f t="shared" si="53"/>
        <v>-1645.0084854218403</v>
      </c>
      <c r="AS19" s="4">
        <v>-1645</v>
      </c>
      <c r="AT19" s="4">
        <v>-1687.7697074677801</v>
      </c>
      <c r="AU19" s="4">
        <v>-1339.3537378861699</v>
      </c>
      <c r="AV19" s="6">
        <f t="shared" si="54"/>
        <v>-1827.4255279837598</v>
      </c>
      <c r="AW19" s="4">
        <v>-1912.8256940000001</v>
      </c>
      <c r="AX19" s="4">
        <v>-1769.4475424264799</v>
      </c>
      <c r="AY19" s="4">
        <v>-1707.22220966756</v>
      </c>
      <c r="AZ19" s="6">
        <f t="shared" si="55"/>
        <v>-1712.5045539059602</v>
      </c>
      <c r="BA19" s="4">
        <v>-1796.8240000000001</v>
      </c>
      <c r="BB19" s="4">
        <v>-1835.5746792889299</v>
      </c>
      <c r="BC19" s="4">
        <v>-1908.6332014064101</v>
      </c>
      <c r="BD19" s="6">
        <f t="shared" si="56"/>
        <v>-1990.7532720281597</v>
      </c>
      <c r="BE19" s="4">
        <v>-1878.62737628996</v>
      </c>
      <c r="BF19" s="4">
        <v>-2101.2748277431801</v>
      </c>
      <c r="BG19" s="4">
        <f>-1941.56642011274</f>
        <v>-1941.5664201127399</v>
      </c>
      <c r="BH19" s="6">
        <f t="shared" si="57"/>
        <v>-2208.2037295344498</v>
      </c>
      <c r="BI19" s="4">
        <v>-2086.9630830999199</v>
      </c>
      <c r="BJ19" s="4"/>
      <c r="BK19" s="4"/>
      <c r="BL19" s="4">
        <v>-2009.4971951811349</v>
      </c>
      <c r="BM19" s="4">
        <v>-1678.6647146609403</v>
      </c>
    </row>
    <row r="20" spans="2:66" ht="13.5" customHeight="1">
      <c r="B20" s="7" t="s">
        <v>279</v>
      </c>
      <c r="C20" s="4">
        <v>390</v>
      </c>
      <c r="D20" s="4">
        <v>-650</v>
      </c>
      <c r="E20" s="4">
        <v>-3489</v>
      </c>
      <c r="F20" s="4">
        <v>-28158</v>
      </c>
      <c r="G20" s="4">
        <v>-30987.695361021299</v>
      </c>
      <c r="H20" s="4">
        <v>-848.436900476387</v>
      </c>
      <c r="I20" s="4">
        <v>-1151.2768641856269</v>
      </c>
      <c r="J20" s="4">
        <v>-2862.4381424810099</v>
      </c>
      <c r="K20" s="4">
        <v>-246.90913615745899</v>
      </c>
      <c r="L20" s="4">
        <v>-309.71230310736598</v>
      </c>
      <c r="M20" s="4">
        <v>-459</v>
      </c>
      <c r="N20" s="4">
        <v>-30.923285673544601</v>
      </c>
      <c r="O20" s="4">
        <v>-450.56963324740201</v>
      </c>
      <c r="P20" s="6">
        <f t="shared" si="47"/>
        <v>-263.3373412137866</v>
      </c>
      <c r="Q20" s="6"/>
      <c r="R20" s="38"/>
      <c r="S20" s="38"/>
      <c r="T20" s="82"/>
      <c r="U20" s="4">
        <v>-314</v>
      </c>
      <c r="V20" s="4">
        <v>-492</v>
      </c>
      <c r="W20" s="4">
        <v>-806</v>
      </c>
      <c r="X20" s="6">
        <f t="shared" si="48"/>
        <v>-1877</v>
      </c>
      <c r="Y20" s="4">
        <v>2471</v>
      </c>
      <c r="Z20" s="4">
        <v>-1330</v>
      </c>
      <c r="AA20" s="4">
        <v>-597</v>
      </c>
      <c r="AB20" s="4">
        <f t="shared" si="49"/>
        <v>-28702</v>
      </c>
      <c r="AC20" s="4">
        <v>-62</v>
      </c>
      <c r="AD20" s="4">
        <v>-59</v>
      </c>
      <c r="AE20" s="4">
        <v>-95.374339471224104</v>
      </c>
      <c r="AF20" s="226">
        <f t="shared" si="50"/>
        <v>-632.06256100516293</v>
      </c>
      <c r="AG20" s="4">
        <v>-75.05120173047689</v>
      </c>
      <c r="AH20" s="4">
        <v>2.5285229143245003</v>
      </c>
      <c r="AI20" s="4">
        <v>-2.1909702203911996</v>
      </c>
      <c r="AJ20" s="6">
        <f t="shared" si="51"/>
        <v>-1076.5632151490834</v>
      </c>
      <c r="AK20" s="4">
        <v>6.9260155000268</v>
      </c>
      <c r="AL20" s="4">
        <v>-997.28603213170391</v>
      </c>
      <c r="AM20" s="4">
        <v>-1813.46278932014</v>
      </c>
      <c r="AN20" s="6">
        <f t="shared" si="52"/>
        <v>-58.615336529192767</v>
      </c>
      <c r="AO20" s="4">
        <v>-3.5389469545713501</v>
      </c>
      <c r="AP20" s="4">
        <v>83.149406247892301</v>
      </c>
      <c r="AQ20" s="4">
        <v>-296.40873533985598</v>
      </c>
      <c r="AR20" s="6">
        <f t="shared" si="53"/>
        <v>-30.110860110923959</v>
      </c>
      <c r="AS20" s="4">
        <v>-180</v>
      </c>
      <c r="AT20" s="4">
        <v>-69.772149517880493</v>
      </c>
      <c r="AU20" s="4">
        <v>-93.957475894967104</v>
      </c>
      <c r="AV20" s="6">
        <f t="shared" si="54"/>
        <v>34.017322305481628</v>
      </c>
      <c r="AW20" s="4">
        <v>0</v>
      </c>
      <c r="AX20" s="4">
        <v>-228.196090317825</v>
      </c>
      <c r="AY20" s="4">
        <v>-137.62950436017999</v>
      </c>
      <c r="AZ20" s="6">
        <f t="shared" si="55"/>
        <v>-93.174405321994982</v>
      </c>
      <c r="BA20" s="4">
        <v>90.344301655454501</v>
      </c>
      <c r="BB20" s="4">
        <v>-63.493574575118203</v>
      </c>
      <c r="BC20" s="4">
        <v>-93.591052371408693</v>
      </c>
      <c r="BD20" s="6">
        <f t="shared" si="56"/>
        <v>35.817039617527797</v>
      </c>
      <c r="BE20" s="4">
        <v>-25.5075261910374</v>
      </c>
      <c r="BF20" s="4">
        <v>-99.438132016933594</v>
      </c>
      <c r="BG20" s="4">
        <v>-180.449414344822</v>
      </c>
      <c r="BH20" s="6">
        <f t="shared" si="57"/>
        <v>-145.174560694609</v>
      </c>
      <c r="BI20" s="4">
        <v>161.72476584257799</v>
      </c>
      <c r="BJ20" s="4"/>
      <c r="BK20" s="4"/>
      <c r="BL20" s="4">
        <v>-61.973535622525901</v>
      </c>
      <c r="BM20" s="4">
        <v>-58.565832422177394</v>
      </c>
    </row>
    <row r="21" spans="2:66" ht="12.75">
      <c r="B21" s="7" t="s">
        <v>280</v>
      </c>
      <c r="C21" s="4">
        <v>116</v>
      </c>
      <c r="D21" s="4">
        <v>158</v>
      </c>
      <c r="E21" s="4">
        <v>104</v>
      </c>
      <c r="F21" s="4">
        <v>158</v>
      </c>
      <c r="G21" s="4">
        <v>157.90020559733</v>
      </c>
      <c r="H21" s="4">
        <v>82.801829705083307</v>
      </c>
      <c r="I21" s="4">
        <v>77.498786906333805</v>
      </c>
      <c r="J21" s="4">
        <v>94.111099791787495</v>
      </c>
      <c r="K21" s="4">
        <v>3.2441780577711001</v>
      </c>
      <c r="L21" s="4">
        <v>193.741849607158</v>
      </c>
      <c r="M21" s="4">
        <v>-17</v>
      </c>
      <c r="N21" s="4">
        <v>112.113957458446</v>
      </c>
      <c r="O21" s="4">
        <v>148.359765021322</v>
      </c>
      <c r="P21" s="6">
        <f t="shared" si="47"/>
        <v>54.032999284792012</v>
      </c>
      <c r="Q21" s="6"/>
      <c r="R21" s="38"/>
      <c r="S21" s="38"/>
      <c r="T21" s="82"/>
      <c r="U21" s="4">
        <v>38</v>
      </c>
      <c r="V21" s="4">
        <v>34</v>
      </c>
      <c r="W21" s="4">
        <v>0</v>
      </c>
      <c r="X21" s="6">
        <f t="shared" si="48"/>
        <v>32</v>
      </c>
      <c r="Y21" s="4">
        <v>37</v>
      </c>
      <c r="Z21" s="4">
        <v>-11</v>
      </c>
      <c r="AA21" s="4">
        <v>40</v>
      </c>
      <c r="AB21" s="4">
        <f t="shared" si="49"/>
        <v>92</v>
      </c>
      <c r="AC21" s="4">
        <v>-12</v>
      </c>
      <c r="AD21" s="4">
        <v>18</v>
      </c>
      <c r="AE21" s="4">
        <v>33.979281599153495</v>
      </c>
      <c r="AF21" s="226">
        <f t="shared" si="50"/>
        <v>42.822548105929812</v>
      </c>
      <c r="AG21" s="4">
        <v>33.539540177357303</v>
      </c>
      <c r="AH21" s="4">
        <v>-2.6839012436281</v>
      </c>
      <c r="AI21" s="4">
        <v>-16.447027084147802</v>
      </c>
      <c r="AJ21" s="6">
        <f t="shared" si="51"/>
        <v>63.090175056752408</v>
      </c>
      <c r="AK21" s="4">
        <v>73.111029394423795</v>
      </c>
      <c r="AL21" s="4">
        <v>24.575912879410001</v>
      </c>
      <c r="AM21" s="4">
        <v>14.5307217738626</v>
      </c>
      <c r="AN21" s="6">
        <f t="shared" si="52"/>
        <v>-18.106564255908893</v>
      </c>
      <c r="AO21" s="4">
        <v>1.6982726826015999</v>
      </c>
      <c r="AP21" s="4">
        <v>-72.203677528545498</v>
      </c>
      <c r="AQ21" s="4">
        <v>19.990174790853601</v>
      </c>
      <c r="AR21" s="6">
        <f t="shared" si="53"/>
        <v>53.759408112861401</v>
      </c>
      <c r="AS21" s="4">
        <v>3</v>
      </c>
      <c r="AT21" s="4">
        <v>25.1878090246461</v>
      </c>
      <c r="AU21" s="4">
        <v>112.704893013998</v>
      </c>
      <c r="AV21" s="6">
        <f t="shared" si="54"/>
        <v>52.849147568513899</v>
      </c>
      <c r="AW21" s="4">
        <v>-73.272000000000006</v>
      </c>
      <c r="AX21" s="4">
        <v>-31.227816401256899</v>
      </c>
      <c r="AY21" s="4">
        <v>16.220696116201701</v>
      </c>
      <c r="AZ21" s="6">
        <f t="shared" si="55"/>
        <v>71.2791202850552</v>
      </c>
      <c r="BA21" s="4">
        <v>-13.1834665455472</v>
      </c>
      <c r="BB21" s="4">
        <v>-44.925395853155202</v>
      </c>
      <c r="BC21" s="4">
        <v>132.801136356911</v>
      </c>
      <c r="BD21" s="6">
        <f t="shared" si="56"/>
        <v>37.421683500237393</v>
      </c>
      <c r="BE21" s="4">
        <v>75.955112523351502</v>
      </c>
      <c r="BF21" s="4">
        <v>54.487432233272202</v>
      </c>
      <c r="BG21" s="4">
        <v>13.149827606948699</v>
      </c>
      <c r="BH21" s="6">
        <f t="shared" si="57"/>
        <v>4.7673926577496104</v>
      </c>
      <c r="BI21" s="4">
        <v>-18.371653213178501</v>
      </c>
      <c r="BJ21" s="4"/>
      <c r="BK21" s="4"/>
      <c r="BL21" s="4">
        <v>-11.509166249440298</v>
      </c>
      <c r="BM21" s="4">
        <v>17.686462478296804</v>
      </c>
    </row>
    <row r="22" spans="2:66" ht="13.5" customHeight="1">
      <c r="B22" s="7" t="s">
        <v>281</v>
      </c>
      <c r="C22" s="4">
        <v>-968</v>
      </c>
      <c r="D22" s="4">
        <v>-1459</v>
      </c>
      <c r="E22" s="4">
        <v>-1792</v>
      </c>
      <c r="F22" s="4">
        <v>810</v>
      </c>
      <c r="G22" s="4">
        <v>788.34935515077404</v>
      </c>
      <c r="H22" s="4">
        <v>-277.03122339868099</v>
      </c>
      <c r="I22" s="4">
        <v>-329.74774976921111</v>
      </c>
      <c r="J22" s="4">
        <v>3.7956462800046</v>
      </c>
      <c r="K22" s="4">
        <v>227.46328359430001</v>
      </c>
      <c r="L22" s="4">
        <v>-323.829418192258</v>
      </c>
      <c r="M22" s="4">
        <v>-1046</v>
      </c>
      <c r="N22" s="4">
        <v>303.86371803171198</v>
      </c>
      <c r="O22" s="4">
        <v>20.295538035106802</v>
      </c>
      <c r="P22" s="6">
        <f t="shared" si="47"/>
        <v>-37.106553492741796</v>
      </c>
      <c r="Q22" s="6"/>
      <c r="R22" s="38"/>
      <c r="S22" s="38"/>
      <c r="T22" s="82"/>
      <c r="U22" s="4">
        <v>-160</v>
      </c>
      <c r="V22" s="4">
        <v>-1241</v>
      </c>
      <c r="W22" s="4">
        <v>-432</v>
      </c>
      <c r="X22" s="6">
        <f t="shared" si="48"/>
        <v>41</v>
      </c>
      <c r="Y22" s="4">
        <v>53</v>
      </c>
      <c r="Z22" s="4">
        <v>139</v>
      </c>
      <c r="AA22" s="4">
        <v>97</v>
      </c>
      <c r="AB22" s="4">
        <f t="shared" si="49"/>
        <v>521</v>
      </c>
      <c r="AC22" s="4">
        <v>-228</v>
      </c>
      <c r="AD22" s="4">
        <v>268</v>
      </c>
      <c r="AE22" s="4">
        <v>60.156692321157323</v>
      </c>
      <c r="AF22" s="226">
        <f t="shared" si="50"/>
        <v>-377.18791571983832</v>
      </c>
      <c r="AG22" s="4">
        <v>-112.45542574228078</v>
      </c>
      <c r="AH22" s="4">
        <v>-90.78383466758693</v>
      </c>
      <c r="AI22" s="4">
        <v>38.057758917103627</v>
      </c>
      <c r="AJ22" s="6">
        <f t="shared" si="51"/>
        <v>-164.56624827644703</v>
      </c>
      <c r="AK22" s="4">
        <v>486.17034655196892</v>
      </c>
      <c r="AL22" s="4">
        <v>8.4036538336488054</v>
      </c>
      <c r="AM22" s="4">
        <v>-134.84538295842401</v>
      </c>
      <c r="AN22" s="6">
        <f t="shared" si="52"/>
        <v>-355.93297114718911</v>
      </c>
      <c r="AO22" s="4">
        <v>14.385750984839399</v>
      </c>
      <c r="AP22" s="4">
        <v>-170.650055063369</v>
      </c>
      <c r="AQ22" s="4">
        <v>305.448126124564</v>
      </c>
      <c r="AR22" s="6">
        <f t="shared" si="53"/>
        <v>78.279461548265601</v>
      </c>
      <c r="AS22" s="4">
        <v>-165</v>
      </c>
      <c r="AT22" s="4">
        <v>79.611724524751907</v>
      </c>
      <c r="AU22" s="4">
        <v>40.4171586729382</v>
      </c>
      <c r="AV22" s="6">
        <f t="shared" si="54"/>
        <v>-278.85830138994811</v>
      </c>
      <c r="AW22" s="4">
        <v>-640.35699999999997</v>
      </c>
      <c r="AX22" s="4">
        <v>-436.681334154826</v>
      </c>
      <c r="AY22" s="4">
        <v>322.06075436073502</v>
      </c>
      <c r="AZ22" s="6">
        <f t="shared" si="55"/>
        <v>-291.02242020590904</v>
      </c>
      <c r="BA22" s="4">
        <v>25.606986732705099</v>
      </c>
      <c r="BB22" s="4">
        <v>177.18976635957</v>
      </c>
      <c r="BC22" s="4">
        <v>49.0837370057097</v>
      </c>
      <c r="BD22" s="6">
        <f t="shared" si="56"/>
        <v>51.983227933727179</v>
      </c>
      <c r="BE22" s="4">
        <v>-59.141348309090397</v>
      </c>
      <c r="BF22" s="4">
        <v>55.293805255545202</v>
      </c>
      <c r="BG22" s="4">
        <v>-64.969948445602597</v>
      </c>
      <c r="BH22" s="6">
        <f t="shared" si="57"/>
        <v>89.113029534254594</v>
      </c>
      <c r="BI22" s="4">
        <v>-116.543439836939</v>
      </c>
      <c r="BJ22" s="4"/>
      <c r="BK22" s="4"/>
      <c r="BL22" s="4">
        <v>-221.00441967689648</v>
      </c>
      <c r="BM22" s="4">
        <v>250.67443563207758</v>
      </c>
      <c r="BN22" s="28"/>
    </row>
    <row r="23" spans="2:66" ht="12.75">
      <c r="B23" s="7" t="s">
        <v>282</v>
      </c>
      <c r="C23" s="4">
        <v>-312</v>
      </c>
      <c r="D23" s="4">
        <v>-33</v>
      </c>
      <c r="E23" s="4">
        <v>2417</v>
      </c>
      <c r="F23" s="4">
        <v>1591</v>
      </c>
      <c r="G23" s="4">
        <v>1590.5731591557701</v>
      </c>
      <c r="H23" s="4">
        <v>211.770928281273</v>
      </c>
      <c r="I23" s="4">
        <v>220.72095682203241</v>
      </c>
      <c r="J23" s="4">
        <v>375.77574281199702</v>
      </c>
      <c r="K23" s="4">
        <v>734.20885357655197</v>
      </c>
      <c r="L23" s="4">
        <v>535.51407380521198</v>
      </c>
      <c r="M23" s="4">
        <v>93</v>
      </c>
      <c r="N23" s="4">
        <v>215.55844042365499</v>
      </c>
      <c r="O23" s="4">
        <v>383.24732424409399</v>
      </c>
      <c r="P23" s="6">
        <f t="shared" si="47"/>
        <v>400.32000022634355</v>
      </c>
      <c r="Q23" s="6"/>
      <c r="R23" s="38"/>
      <c r="S23" s="38"/>
      <c r="T23" s="82"/>
      <c r="U23" s="4">
        <v>68</v>
      </c>
      <c r="V23" s="4">
        <v>158</v>
      </c>
      <c r="W23" s="4">
        <v>478</v>
      </c>
      <c r="X23" s="6">
        <f t="shared" si="48"/>
        <v>1713</v>
      </c>
      <c r="Y23" s="4">
        <v>555</v>
      </c>
      <c r="Z23" s="4">
        <v>178</v>
      </c>
      <c r="AA23" s="4">
        <v>1301</v>
      </c>
      <c r="AB23" s="4">
        <f t="shared" si="49"/>
        <v>-443</v>
      </c>
      <c r="AC23" s="4">
        <v>0</v>
      </c>
      <c r="AD23" s="4">
        <v>0</v>
      </c>
      <c r="AE23" s="4">
        <v>116.59956722961961</v>
      </c>
      <c r="AF23" s="226">
        <f t="shared" si="50"/>
        <v>95.171361051653392</v>
      </c>
      <c r="AG23" s="4">
        <v>5.0024547924974287</v>
      </c>
      <c r="AH23" s="4">
        <v>-35.632799053499461</v>
      </c>
      <c r="AI23" s="4">
        <v>102.75646393160187</v>
      </c>
      <c r="AJ23" s="6">
        <f t="shared" si="51"/>
        <v>148.59483715143259</v>
      </c>
      <c r="AK23" s="4">
        <v>97.9664589506326</v>
      </c>
      <c r="AL23" s="4">
        <v>80.787493764903672</v>
      </c>
      <c r="AM23" s="4">
        <v>116.60855444413799</v>
      </c>
      <c r="AN23" s="6">
        <f t="shared" si="52"/>
        <v>80.41323565232274</v>
      </c>
      <c r="AO23" s="4">
        <v>170.59914126166399</v>
      </c>
      <c r="AP23" s="4">
        <v>118.116971946736</v>
      </c>
      <c r="AQ23" s="4">
        <v>117.249442650482</v>
      </c>
      <c r="AR23" s="6">
        <f t="shared" si="53"/>
        <v>328.24329771766998</v>
      </c>
      <c r="AS23" s="4">
        <v>147</v>
      </c>
      <c r="AT23" s="4">
        <v>138.097287584925</v>
      </c>
      <c r="AU23" s="4">
        <v>124.330475139162</v>
      </c>
      <c r="AV23" s="6">
        <f t="shared" si="54"/>
        <v>126.08631108112502</v>
      </c>
      <c r="AW23" s="4">
        <v>59.643000000000001</v>
      </c>
      <c r="AX23" s="4">
        <v>63.0593905030019</v>
      </c>
      <c r="AY23" s="4">
        <v>17.0910227229428</v>
      </c>
      <c r="AZ23" s="6">
        <f t="shared" si="55"/>
        <v>-46.793413225944697</v>
      </c>
      <c r="BA23" s="4">
        <v>6.6165638991926601</v>
      </c>
      <c r="BB23" s="4">
        <v>34.083325184924597</v>
      </c>
      <c r="BC23" s="4">
        <v>100.234946009495</v>
      </c>
      <c r="BD23" s="6">
        <f t="shared" si="56"/>
        <v>74.623605330042736</v>
      </c>
      <c r="BE23" s="4">
        <v>86.886298828425396</v>
      </c>
      <c r="BF23" s="4">
        <v>76.8894944375281</v>
      </c>
      <c r="BG23" s="4">
        <v>136.46437410276801</v>
      </c>
      <c r="BH23" s="6">
        <f t="shared" si="57"/>
        <v>83.007156875372488</v>
      </c>
      <c r="BI23" s="4">
        <v>103.958974810675</v>
      </c>
      <c r="BJ23" s="4"/>
      <c r="BK23" s="4"/>
      <c r="BL23" s="4">
        <v>0</v>
      </c>
      <c r="BM23" s="4">
        <v>0</v>
      </c>
      <c r="BN23" s="28"/>
    </row>
    <row r="24" spans="2:66" ht="13.5" customHeight="1">
      <c r="B24" s="7" t="s">
        <v>283</v>
      </c>
      <c r="C24" s="4">
        <v>25</v>
      </c>
      <c r="D24" s="4">
        <v>142</v>
      </c>
      <c r="E24" s="4">
        <v>51</v>
      </c>
      <c r="F24" s="4">
        <v>246</v>
      </c>
      <c r="G24" s="4">
        <v>245.63090940379001</v>
      </c>
      <c r="H24" s="4">
        <v>-313.56521788389898</v>
      </c>
      <c r="I24" s="4">
        <v>-288.49079343212583</v>
      </c>
      <c r="J24" s="4">
        <v>-212.48255883632001</v>
      </c>
      <c r="K24" s="4">
        <v>79.556065778816503</v>
      </c>
      <c r="L24" s="4">
        <v>-671.52286696741999</v>
      </c>
      <c r="M24" s="4">
        <v>169</v>
      </c>
      <c r="N24" s="4">
        <v>67.361381492290406</v>
      </c>
      <c r="O24" s="4">
        <v>411.66760460868898</v>
      </c>
      <c r="P24" s="6">
        <f t="shared" si="47"/>
        <v>109.52970103101498</v>
      </c>
      <c r="Q24" s="6"/>
      <c r="R24" s="38"/>
      <c r="S24" s="38"/>
      <c r="T24" s="82"/>
      <c r="U24" s="4">
        <v>283</v>
      </c>
      <c r="V24" s="4">
        <v>115</v>
      </c>
      <c r="W24" s="4">
        <v>-134</v>
      </c>
      <c r="X24" s="6">
        <f t="shared" si="48"/>
        <v>-213</v>
      </c>
      <c r="Y24" s="4">
        <v>434</v>
      </c>
      <c r="Z24" s="4">
        <v>-82</v>
      </c>
      <c r="AA24" s="4">
        <v>203</v>
      </c>
      <c r="AB24" s="4">
        <f t="shared" si="49"/>
        <v>-309</v>
      </c>
      <c r="AC24" s="4">
        <v>-246</v>
      </c>
      <c r="AD24" s="4">
        <v>-59</v>
      </c>
      <c r="AE24" s="4">
        <v>58.985205487596701</v>
      </c>
      <c r="AF24" s="226">
        <f t="shared" si="50"/>
        <v>-67.550423371495697</v>
      </c>
      <c r="AG24" s="4">
        <v>1.7606814710700001E-2</v>
      </c>
      <c r="AH24" s="4">
        <v>0.33468447268110002</v>
      </c>
      <c r="AI24" s="4">
        <v>-149.9286458584013</v>
      </c>
      <c r="AJ24" s="6">
        <f t="shared" si="51"/>
        <v>-138.91443886111631</v>
      </c>
      <c r="AK24" s="4">
        <v>2.0373823867003997</v>
      </c>
      <c r="AL24" s="4">
        <v>-0.84389286755019999</v>
      </c>
      <c r="AM24" s="4">
        <v>0.31619542701879999</v>
      </c>
      <c r="AN24" s="6">
        <f t="shared" si="52"/>
        <v>-213.992243782489</v>
      </c>
      <c r="AO24" s="4">
        <v>-8.1636745101722994</v>
      </c>
      <c r="AP24" s="4">
        <v>-0.75620188032930002</v>
      </c>
      <c r="AQ24" s="4">
        <v>-42.240867042814202</v>
      </c>
      <c r="AR24" s="6">
        <f t="shared" si="53"/>
        <v>130.71680921213232</v>
      </c>
      <c r="AS24" s="4">
        <v>-936</v>
      </c>
      <c r="AT24" s="4">
        <v>355.46497582998597</v>
      </c>
      <c r="AU24" s="4">
        <v>-156.71579770952599</v>
      </c>
      <c r="AV24" s="6">
        <f t="shared" si="54"/>
        <v>65.727954912120026</v>
      </c>
      <c r="AW24" s="4">
        <v>52.9</v>
      </c>
      <c r="AX24" s="4">
        <v>-67.969913930275993</v>
      </c>
      <c r="AY24" s="4">
        <v>94.6825438032877</v>
      </c>
      <c r="AZ24" s="6">
        <f t="shared" si="55"/>
        <v>89.387370126988287</v>
      </c>
      <c r="BA24" s="4">
        <v>-46.409702002009197</v>
      </c>
      <c r="BB24" s="4">
        <v>61.113011188856802</v>
      </c>
      <c r="BC24" s="4">
        <v>86.098911764350802</v>
      </c>
      <c r="BD24" s="6">
        <f t="shared" si="56"/>
        <v>-33.440839458908002</v>
      </c>
      <c r="BE24" s="4">
        <v>134.734907296985</v>
      </c>
      <c r="BF24" s="4">
        <v>153.55435119548301</v>
      </c>
      <c r="BG24" s="4">
        <v>-38.999411104537302</v>
      </c>
      <c r="BH24" s="6">
        <f t="shared" si="57"/>
        <v>162.37775722075827</v>
      </c>
      <c r="BI24" s="4">
        <v>-167.402996280689</v>
      </c>
      <c r="BJ24" s="4"/>
      <c r="BK24" s="4"/>
      <c r="BL24" s="4">
        <v>-245.80661878054832</v>
      </c>
      <c r="BM24" s="4">
        <v>-59.332912627320603</v>
      </c>
      <c r="BN24" s="4"/>
    </row>
    <row r="25" spans="2:66" s="5" customFormat="1" ht="13.5" customHeight="1">
      <c r="B25" s="5" t="s">
        <v>284</v>
      </c>
      <c r="C25" s="8">
        <f t="shared" ref="C25:H25" si="58">SUM(C17,C18,C19,C20,C21,C22,C23,C24)</f>
        <v>14827</v>
      </c>
      <c r="D25" s="8">
        <f t="shared" si="58"/>
        <v>14879</v>
      </c>
      <c r="E25" s="8">
        <f t="shared" si="58"/>
        <v>14455</v>
      </c>
      <c r="F25" s="8">
        <f t="shared" si="58"/>
        <v>-7100.7739999999903</v>
      </c>
      <c r="G25" s="8">
        <f t="shared" si="58"/>
        <v>-11196.113526759544</v>
      </c>
      <c r="H25" s="8">
        <f t="shared" si="58"/>
        <v>16963.814169676116</v>
      </c>
      <c r="I25" s="8">
        <f t="shared" ref="I25:N25" si="59">SUM(I17,I18,I19,I20,I21,I22,I23,I24)</f>
        <v>18278.076419748773</v>
      </c>
      <c r="J25" s="8">
        <f t="shared" si="59"/>
        <v>15796.37595286075</v>
      </c>
      <c r="K25" s="8">
        <f t="shared" si="59"/>
        <v>22940.008267229739</v>
      </c>
      <c r="L25" s="8">
        <f t="shared" si="59"/>
        <v>26173.203360619758</v>
      </c>
      <c r="M25" s="8">
        <f t="shared" si="59"/>
        <v>29006.828000000001</v>
      </c>
      <c r="N25" s="8">
        <f t="shared" si="59"/>
        <v>36316.457235811766</v>
      </c>
      <c r="O25" s="8">
        <f t="shared" ref="O25" si="60">SUM(O17,O18,O19,O20,O21,O22,O23,O24)</f>
        <v>37689.383680067142</v>
      </c>
      <c r="P25" s="8">
        <f t="shared" ref="P25" si="61">SUM(P17,P18,P19,P20,P21,P22,P23,P24)</f>
        <v>36939.534590940348</v>
      </c>
      <c r="Q25" s="8"/>
      <c r="R25" s="48"/>
      <c r="S25" s="48"/>
      <c r="T25" s="83"/>
      <c r="U25" s="8">
        <f t="shared" ref="U25:AB25" si="62">SUM(U17,U18,U19,U20,U21,U22,U23,U24)</f>
        <v>3362.7560000000012</v>
      </c>
      <c r="V25" s="8">
        <f t="shared" si="62"/>
        <v>2896.4959999999974</v>
      </c>
      <c r="W25" s="8">
        <f t="shared" si="62"/>
        <v>2977.7760000000017</v>
      </c>
      <c r="X25" s="8">
        <f t="shared" si="62"/>
        <v>5217.9720000000088</v>
      </c>
      <c r="Y25" s="8">
        <f t="shared" si="62"/>
        <v>7312.248999999998</v>
      </c>
      <c r="Z25" s="8">
        <f t="shared" si="62"/>
        <v>3438.1109999999971</v>
      </c>
      <c r="AA25" s="8">
        <f t="shared" si="62"/>
        <v>4634.2050000000008</v>
      </c>
      <c r="AB25" s="8">
        <f t="shared" si="62"/>
        <v>-22485.338999999996</v>
      </c>
      <c r="AC25" s="8">
        <f t="shared" ref="AC25:AH25" si="63">SUM(AC17,AC18,AC19,AC20,AC21,AC22,AC23,AC24)</f>
        <v>3737</v>
      </c>
      <c r="AD25" s="8">
        <f t="shared" si="63"/>
        <v>4855.5010000000002</v>
      </c>
      <c r="AE25" s="8">
        <f>SUM(AE17,AE18,AE19,AE20,AE21,AE22,AE23,AE24)</f>
        <v>4393.8668011699319</v>
      </c>
      <c r="AF25" s="8">
        <f t="shared" si="63"/>
        <v>3977.4463685061819</v>
      </c>
      <c r="AG25" s="8">
        <f t="shared" si="63"/>
        <v>4079.4262371213508</v>
      </c>
      <c r="AH25" s="8">
        <f t="shared" si="63"/>
        <v>4778.9134136138482</v>
      </c>
      <c r="AI25" s="8">
        <f t="shared" ref="AI25:AN25" si="64">SUM(AI17,AI18,AI19,AI20,AI21,AI22,AI23,AI24)</f>
        <v>5564.1287504772554</v>
      </c>
      <c r="AJ25" s="8">
        <f t="shared" si="64"/>
        <v>3855.6080185363335</v>
      </c>
      <c r="AK25" s="8">
        <f t="shared" si="64"/>
        <v>3612.7780885311072</v>
      </c>
      <c r="AL25" s="8">
        <f t="shared" si="64"/>
        <v>2889.349503459423</v>
      </c>
      <c r="AM25" s="8">
        <f t="shared" si="64"/>
        <v>3898.9186264750269</v>
      </c>
      <c r="AN25" s="8">
        <f t="shared" si="64"/>
        <v>5395.3297343951845</v>
      </c>
      <c r="AO25" s="8">
        <f t="shared" ref="AO25:AU25" si="65">SUM(AO17,AO18,AO19,AO20,AO21,AO22,AO23,AO24)</f>
        <v>4765.8993025794043</v>
      </c>
      <c r="AP25" s="8">
        <f t="shared" si="65"/>
        <v>5935.7851820975811</v>
      </c>
      <c r="AQ25" s="8">
        <f t="shared" si="65"/>
        <v>5169.9627598423867</v>
      </c>
      <c r="AR25" s="8">
        <f t="shared" si="65"/>
        <v>7068.3610227103709</v>
      </c>
      <c r="AS25" s="8">
        <f t="shared" si="65"/>
        <v>4472.6509999999998</v>
      </c>
      <c r="AT25" s="8">
        <f t="shared" si="65"/>
        <v>7034.0950935175169</v>
      </c>
      <c r="AU25" s="8">
        <f t="shared" si="65"/>
        <v>6671.4089130906414</v>
      </c>
      <c r="AV25" s="8">
        <f t="shared" ref="AV25:AY25" si="66">SUM(AV17,AV18,AV19,AV20,AV21,AV22,AV23,AV24)</f>
        <v>7995.0483540116074</v>
      </c>
      <c r="AW25" s="8">
        <f t="shared" si="66"/>
        <v>6067.4190060000001</v>
      </c>
      <c r="AX25" s="8">
        <f t="shared" si="66"/>
        <v>6926.0431954879887</v>
      </c>
      <c r="AY25" s="8">
        <f t="shared" si="66"/>
        <v>7785.703282643547</v>
      </c>
      <c r="AZ25" s="8">
        <f t="shared" ref="AZ25:BC25" si="67">SUM(AZ17,AZ18,AZ19,AZ20,AZ21,AZ22,AZ23,AZ24)</f>
        <v>8227.662515868451</v>
      </c>
      <c r="BA25" s="8">
        <f t="shared" si="67"/>
        <v>7505.1589925544049</v>
      </c>
      <c r="BB25" s="8">
        <f t="shared" si="67"/>
        <v>8752.4835591907486</v>
      </c>
      <c r="BC25" s="8">
        <f t="shared" si="67"/>
        <v>8854.2744814132002</v>
      </c>
      <c r="BD25" s="8">
        <f t="shared" ref="BD25" si="68">SUM(BD17,BD18,BD19,BD20,BD21,BD22,BD23,BD24)</f>
        <v>11204.540202653414</v>
      </c>
      <c r="BE25" s="8">
        <f>SUM(BE17,BE18,BE19,BE20,BE21,BE22,BE23,BE24)</f>
        <v>8172.2836278343166</v>
      </c>
      <c r="BF25" s="8">
        <f>SUM(BF17,BF18,BF19,BF20,BF21,BF22,BF23,BF24)</f>
        <v>8532.072915716717</v>
      </c>
      <c r="BG25" s="8">
        <f t="shared" ref="BG25:BH25" si="69">SUM(BG17,BG18,BG19,BG20,BG21,BG22,BG23,BG24)</f>
        <v>8834.6725802010387</v>
      </c>
      <c r="BH25" s="8">
        <f t="shared" si="69"/>
        <v>12150.354556315044</v>
      </c>
      <c r="BI25" s="8">
        <f>SUM(BI17,BI18,BI19,BI20,BI21,BI22,BI23,BI24)</f>
        <v>7422.4345387075582</v>
      </c>
      <c r="BJ25" s="8"/>
      <c r="BK25" s="8"/>
      <c r="BL25" s="8">
        <f>SUM(BL17,BL18,BL19,BL20,BL21,BL22,BL23,BL24)</f>
        <v>3591.8396596149632</v>
      </c>
      <c r="BM25" s="8">
        <f>SUM(BM17,BM18,BM19,BM20,BM21,BM22,BM23,BM24)</f>
        <v>4473.3239642722374</v>
      </c>
      <c r="BN25" s="8"/>
    </row>
    <row r="26" spans="2:66" s="5" customFormat="1" ht="13.5" customHeight="1">
      <c r="B26" s="7" t="s">
        <v>285</v>
      </c>
      <c r="C26" s="4">
        <v>-3861</v>
      </c>
      <c r="D26" s="4">
        <v>-4551</v>
      </c>
      <c r="E26" s="4">
        <v>-3928</v>
      </c>
      <c r="F26" s="4">
        <v>-4553.5990000000002</v>
      </c>
      <c r="G26" s="4">
        <v>-4184.0111275214504</v>
      </c>
      <c r="H26" s="4">
        <v>-5260.1630895841199</v>
      </c>
      <c r="I26" s="4">
        <v>-5647.6193527830264</v>
      </c>
      <c r="J26" s="4">
        <v>-5428.1500976850002</v>
      </c>
      <c r="K26" s="4">
        <v>-6608.6917109882797</v>
      </c>
      <c r="L26" s="4">
        <v>-6547.2249500287298</v>
      </c>
      <c r="M26" s="4">
        <v>-8781</v>
      </c>
      <c r="N26" s="4">
        <v>-11767.6825679307</v>
      </c>
      <c r="O26" s="4">
        <v>-12673.7836326627</v>
      </c>
      <c r="P26" s="6">
        <f t="shared" ref="P26:P27" si="70">SUM(BF26:BI26)</f>
        <v>-12680.908969962449</v>
      </c>
      <c r="Q26" s="6"/>
      <c r="R26" s="38"/>
      <c r="S26" s="38"/>
      <c r="T26" s="82"/>
      <c r="U26" s="4">
        <v>-875.774</v>
      </c>
      <c r="V26" s="4">
        <v>-751.84799999999996</v>
      </c>
      <c r="W26" s="4">
        <v>-690.51900000000001</v>
      </c>
      <c r="X26" s="6">
        <f>E26-W26-V26-U26</f>
        <v>-1609.8589999999999</v>
      </c>
      <c r="Y26" s="4">
        <v>-1253.8789999999999</v>
      </c>
      <c r="Z26" s="4">
        <v>-850.11099999999999</v>
      </c>
      <c r="AA26" s="4">
        <v>-1295.9949999999999</v>
      </c>
      <c r="AB26" s="4">
        <f>F26-AA26-Z26-Y26</f>
        <v>-1153.6140000000005</v>
      </c>
      <c r="AC26" s="4">
        <v>-1196</v>
      </c>
      <c r="AD26" s="4">
        <v>-1663.5709999999999</v>
      </c>
      <c r="AE26" s="4">
        <v>-1381.7374523510991</v>
      </c>
      <c r="AF26" s="226">
        <f>H26-AE26-AD26-AC26</f>
        <v>-1018.8546372330211</v>
      </c>
      <c r="AG26" s="4">
        <v>-1330.9131073072451</v>
      </c>
      <c r="AH26" s="4">
        <v>-1181.196245026721</v>
      </c>
      <c r="AI26" s="4">
        <v>-1439.17863660378</v>
      </c>
      <c r="AJ26" s="6">
        <f>I26-AI26-AH26-AG26</f>
        <v>-1696.3313638452798</v>
      </c>
      <c r="AK26" s="4">
        <v>-1122.0167366171117</v>
      </c>
      <c r="AL26" s="4">
        <v>-969.48836058295717</v>
      </c>
      <c r="AM26" s="4">
        <v>-1320.0948357303</v>
      </c>
      <c r="AN26" s="6">
        <f>J26-AM26-AL26-AK26</f>
        <v>-2016.5501647546307</v>
      </c>
      <c r="AO26" s="4">
        <v>-1659.5941013895599</v>
      </c>
      <c r="AP26" s="4">
        <v>-2267.5078081793499</v>
      </c>
      <c r="AQ26" s="4">
        <v>-1696.9124992916099</v>
      </c>
      <c r="AR26" s="6">
        <f>K26-AQ26-AP26-AO26</f>
        <v>-984.67730212776041</v>
      </c>
      <c r="AS26" s="4">
        <v>-1321</v>
      </c>
      <c r="AT26" s="4">
        <v>-2458.3444439724699</v>
      </c>
      <c r="AU26" s="4">
        <v>-2166.34239112462</v>
      </c>
      <c r="AV26" s="6">
        <f>L26-AU26-AT26-AS26</f>
        <v>-601.53811493163994</v>
      </c>
      <c r="AW26" s="4">
        <v>-1989.2460000000001</v>
      </c>
      <c r="AX26" s="4">
        <v>-1881.1485351845899</v>
      </c>
      <c r="AY26" s="4">
        <v>-2272.8343513578502</v>
      </c>
      <c r="AZ26" s="6">
        <f>M26-AY26-AX26-AW26</f>
        <v>-2637.7711134575593</v>
      </c>
      <c r="BA26" s="4">
        <v>-2258.2089999999998</v>
      </c>
      <c r="BB26" s="4">
        <v>-3043.6347845321702</v>
      </c>
      <c r="BC26" s="4">
        <v>-2731.1197773490699</v>
      </c>
      <c r="BD26" s="6">
        <f>N26-BC26-BB26-BA26</f>
        <v>-3734.7190060494604</v>
      </c>
      <c r="BE26" s="4">
        <v>-2680.7614966408401</v>
      </c>
      <c r="BF26" s="4">
        <v>-3028.9689104602699</v>
      </c>
      <c r="BG26" s="4">
        <v>-2697.5235725940802</v>
      </c>
      <c r="BH26" s="6">
        <f t="shared" si="57"/>
        <v>-4266.5296529675106</v>
      </c>
      <c r="BI26" s="4">
        <v>-2687.8868339405899</v>
      </c>
      <c r="BJ26" s="4"/>
      <c r="BK26" s="4"/>
      <c r="BL26" s="4">
        <v>-1102.1294621260317</v>
      </c>
      <c r="BM26" s="4">
        <v>-1397.1735524437324</v>
      </c>
      <c r="BN26" s="4"/>
    </row>
    <row r="27" spans="2:66" s="5" customFormat="1" ht="13.5" customHeight="1">
      <c r="B27" s="7" t="s">
        <v>286</v>
      </c>
      <c r="C27" s="4">
        <v>0</v>
      </c>
      <c r="D27" s="4">
        <v>0</v>
      </c>
      <c r="E27" s="4">
        <v>0</v>
      </c>
      <c r="F27" s="4">
        <v>0</v>
      </c>
      <c r="G27" s="4">
        <v>3725.888573324637</v>
      </c>
      <c r="H27" s="4">
        <v>3365.9911317257256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6">
        <f t="shared" si="70"/>
        <v>0</v>
      </c>
      <c r="Q27" s="6"/>
      <c r="R27" s="38"/>
      <c r="S27" s="38"/>
      <c r="T27" s="82"/>
      <c r="U27" s="4">
        <v>0</v>
      </c>
      <c r="V27" s="4">
        <v>0</v>
      </c>
      <c r="W27" s="4">
        <v>0</v>
      </c>
      <c r="X27" s="6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409.69973484048245</v>
      </c>
      <c r="AF27" s="226">
        <f>H27-AE27-AD27-AC27</f>
        <v>2956.2913968852431</v>
      </c>
      <c r="AG27" s="4">
        <v>0</v>
      </c>
      <c r="AH27" s="4">
        <v>0</v>
      </c>
      <c r="AI27" s="4">
        <v>0</v>
      </c>
      <c r="AJ27" s="6">
        <f>I27-AI27-AH27-AG27</f>
        <v>0</v>
      </c>
      <c r="AK27" s="4">
        <v>0</v>
      </c>
      <c r="AL27" s="4">
        <v>0</v>
      </c>
      <c r="AM27" s="4">
        <v>0</v>
      </c>
      <c r="AN27" s="6">
        <f>J27-AM27-AL27-AK27</f>
        <v>0</v>
      </c>
      <c r="AO27" s="4">
        <v>0</v>
      </c>
      <c r="AP27" s="4">
        <v>0</v>
      </c>
      <c r="AQ27" s="4">
        <v>0</v>
      </c>
      <c r="AR27" s="6">
        <f>K27-AQ27-AP27-AO27</f>
        <v>0</v>
      </c>
      <c r="AS27" s="4">
        <v>0</v>
      </c>
      <c r="AT27" s="4">
        <v>0</v>
      </c>
      <c r="AU27" s="4">
        <v>0</v>
      </c>
      <c r="AV27" s="6">
        <f>L27-AU27-AT27-AS27</f>
        <v>0</v>
      </c>
      <c r="AW27" s="4">
        <v>0</v>
      </c>
      <c r="AX27" s="4">
        <v>0</v>
      </c>
      <c r="AY27" s="4">
        <v>0</v>
      </c>
      <c r="AZ27" s="6">
        <f>M27-AY27-AX27-AW27</f>
        <v>0</v>
      </c>
      <c r="BA27" s="4">
        <v>0</v>
      </c>
      <c r="BB27" s="4">
        <v>0</v>
      </c>
      <c r="BC27" s="4">
        <v>0</v>
      </c>
      <c r="BD27" s="6">
        <f>N27-BC27-BB27-BA27</f>
        <v>0</v>
      </c>
      <c r="BE27" s="4">
        <v>0</v>
      </c>
      <c r="BF27" s="4">
        <v>0</v>
      </c>
      <c r="BG27" s="4">
        <v>0</v>
      </c>
      <c r="BH27" s="6">
        <f t="shared" si="57"/>
        <v>0</v>
      </c>
      <c r="BI27" s="4">
        <v>0</v>
      </c>
      <c r="BJ27" s="4"/>
      <c r="BK27" s="4"/>
      <c r="BL27" s="4">
        <v>51.230869855045803</v>
      </c>
      <c r="BM27" s="4">
        <v>114.7443399550706</v>
      </c>
      <c r="BN27" s="4"/>
    </row>
    <row r="28" spans="2:66" s="5" customFormat="1" ht="13.5" customHeight="1">
      <c r="B28" s="5" t="s">
        <v>287</v>
      </c>
      <c r="C28" s="8">
        <f>SUM(C25,C26)</f>
        <v>10966</v>
      </c>
      <c r="D28" s="8">
        <f>SUM(D25,D26)</f>
        <v>10328</v>
      </c>
      <c r="E28" s="8">
        <f t="shared" ref="E28:J28" si="71">SUM(E25,E26,E27)</f>
        <v>10527</v>
      </c>
      <c r="F28" s="8">
        <f t="shared" si="71"/>
        <v>-11654.37299999999</v>
      </c>
      <c r="G28" s="8">
        <f t="shared" si="71"/>
        <v>-11654.236080956356</v>
      </c>
      <c r="H28" s="8">
        <f t="shared" si="71"/>
        <v>15069.642211817722</v>
      </c>
      <c r="I28" s="8">
        <f t="shared" si="71"/>
        <v>12630.457066965748</v>
      </c>
      <c r="J28" s="8">
        <f t="shared" si="71"/>
        <v>10368.22585517575</v>
      </c>
      <c r="K28" s="8">
        <f>SUM(K25,K26,K27)</f>
        <v>16331.31655624146</v>
      </c>
      <c r="L28" s="8">
        <f>SUM(L25,L26,L27)</f>
        <v>19625.978410591029</v>
      </c>
      <c r="M28" s="8">
        <f>SUM(M25,M26,M27)</f>
        <v>20225.828000000001</v>
      </c>
      <c r="N28" s="8">
        <f>SUM(N25,N26,N27)</f>
        <v>24548.774667881065</v>
      </c>
      <c r="O28" s="8">
        <f>SUM(O25,O26,O27)</f>
        <v>25015.600047404441</v>
      </c>
      <c r="P28" s="8">
        <f t="shared" ref="P28" si="72">SUM(P25,P26,P27)</f>
        <v>24258.625620977899</v>
      </c>
      <c r="Q28" s="8"/>
      <c r="R28" s="8">
        <f t="shared" ref="R28:AF28" si="73">SUM(R25,R26,R27)</f>
        <v>0</v>
      </c>
      <c r="S28" s="8">
        <f t="shared" si="73"/>
        <v>0</v>
      </c>
      <c r="T28" s="8">
        <f t="shared" si="73"/>
        <v>0</v>
      </c>
      <c r="U28" s="8">
        <f t="shared" si="73"/>
        <v>2486.9820000000013</v>
      </c>
      <c r="V28" s="8">
        <f t="shared" si="73"/>
        <v>2144.6479999999974</v>
      </c>
      <c r="W28" s="8">
        <f t="shared" si="73"/>
        <v>2287.2570000000014</v>
      </c>
      <c r="X28" s="8">
        <f t="shared" si="73"/>
        <v>3608.1130000000089</v>
      </c>
      <c r="Y28" s="8">
        <f t="shared" si="73"/>
        <v>6058.3699999999981</v>
      </c>
      <c r="Z28" s="8">
        <f t="shared" si="73"/>
        <v>2587.9999999999973</v>
      </c>
      <c r="AA28" s="8">
        <f t="shared" si="73"/>
        <v>3338.2100000000009</v>
      </c>
      <c r="AB28" s="8">
        <f t="shared" si="73"/>
        <v>-23638.952999999998</v>
      </c>
      <c r="AC28" s="8">
        <f t="shared" si="73"/>
        <v>2541</v>
      </c>
      <c r="AD28" s="8">
        <f t="shared" si="73"/>
        <v>3191.9300000000003</v>
      </c>
      <c r="AE28" s="8">
        <f>SUM(AE25,AE26,AE27)</f>
        <v>3421.8290836593155</v>
      </c>
      <c r="AF28" s="8">
        <f t="shared" si="73"/>
        <v>5914.8831281584044</v>
      </c>
      <c r="AG28" s="8">
        <f t="shared" ref="AG28:AL28" si="74">SUM(AG25,AG26,AG27)</f>
        <v>2748.5131298141059</v>
      </c>
      <c r="AH28" s="8">
        <f t="shared" si="74"/>
        <v>3597.7171685871272</v>
      </c>
      <c r="AI28" s="8">
        <f t="shared" si="74"/>
        <v>4124.9501138734759</v>
      </c>
      <c r="AJ28" s="8">
        <f t="shared" si="74"/>
        <v>2159.2766546910534</v>
      </c>
      <c r="AK28" s="8">
        <f t="shared" si="74"/>
        <v>2490.7613519139954</v>
      </c>
      <c r="AL28" s="8">
        <f t="shared" si="74"/>
        <v>1919.8611428764657</v>
      </c>
      <c r="AM28" s="8">
        <f t="shared" ref="AM28:AS28" si="75">SUM(AM25,AM26,AM27)</f>
        <v>2578.8237907447269</v>
      </c>
      <c r="AN28" s="8">
        <f t="shared" si="75"/>
        <v>3378.7795696405537</v>
      </c>
      <c r="AO28" s="8">
        <f t="shared" si="75"/>
        <v>3106.3052011898444</v>
      </c>
      <c r="AP28" s="8">
        <f t="shared" si="75"/>
        <v>3668.2773739182312</v>
      </c>
      <c r="AQ28" s="8">
        <f t="shared" si="75"/>
        <v>3473.0502605507768</v>
      </c>
      <c r="AR28" s="8">
        <f t="shared" si="75"/>
        <v>6083.6837205826105</v>
      </c>
      <c r="AS28" s="8">
        <f t="shared" si="75"/>
        <v>3151.6509999999998</v>
      </c>
      <c r="AT28" s="8">
        <f>SUM(AT25,AT26,AT27)</f>
        <v>4575.7506495450471</v>
      </c>
      <c r="AU28" s="8">
        <f>SUM(AU25,AU26,AU27)</f>
        <v>4505.0665219660214</v>
      </c>
      <c r="AV28" s="8">
        <f t="shared" ref="AV28:AW28" si="76">SUM(AV25,AV26,AV27)</f>
        <v>7393.5102390799675</v>
      </c>
      <c r="AW28" s="8">
        <f t="shared" si="76"/>
        <v>4078.173006</v>
      </c>
      <c r="AX28" s="237">
        <f>SUM(AX25,AX26,AX27)</f>
        <v>5044.8946603033983</v>
      </c>
      <c r="AY28" s="8">
        <f>SUM(AY25,AY26,AY27)</f>
        <v>5512.8689312856968</v>
      </c>
      <c r="AZ28" s="8">
        <f t="shared" ref="AZ28:BA28" si="77">SUM(AZ25,AZ26,AZ27)</f>
        <v>5589.8914024108917</v>
      </c>
      <c r="BA28" s="8">
        <f t="shared" si="77"/>
        <v>5246.9499925544051</v>
      </c>
      <c r="BB28" s="8">
        <f>SUM(BB25,BB26,BB27)</f>
        <v>5708.8487746585779</v>
      </c>
      <c r="BC28" s="8">
        <f>SUM(BC25,BC26,BC27)</f>
        <v>6123.1547040641308</v>
      </c>
      <c r="BD28" s="8">
        <f t="shared" ref="BD28" si="78">SUM(BD25,BD26,BD27)</f>
        <v>7469.8211966039535</v>
      </c>
      <c r="BE28" s="8">
        <f>SUM(BE25,BE26,BE27)</f>
        <v>5491.5221311934765</v>
      </c>
      <c r="BF28" s="8">
        <f>SUM(BF25,BF26,BF27)</f>
        <v>5503.1040052564476</v>
      </c>
      <c r="BG28" s="8">
        <f>SUM(BG25,BG26,BG27)</f>
        <v>6137.1490076069585</v>
      </c>
      <c r="BH28" s="8">
        <f t="shared" ref="BH28" si="79">SUM(BH25,BH26,BH27)</f>
        <v>7883.8249033475331</v>
      </c>
      <c r="BI28" s="8">
        <f>SUM(BI25,BI26,BI27)</f>
        <v>4734.5477047669683</v>
      </c>
      <c r="BJ28" s="8"/>
      <c r="BK28" s="8"/>
      <c r="BL28" s="8">
        <f>SUM(BL25,BL26,BL27)</f>
        <v>2540.9410673439775</v>
      </c>
      <c r="BM28" s="8">
        <f>SUM(BM25,BM26,BM27)</f>
        <v>3190.8947517835754</v>
      </c>
    </row>
    <row r="29" spans="2:66" s="28" customFormat="1" ht="13.5" customHeight="1">
      <c r="B29" s="62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63"/>
      <c r="Q29" s="8"/>
      <c r="R29" s="181"/>
      <c r="S29" s="181"/>
      <c r="T29" s="80"/>
      <c r="U29" s="63"/>
      <c r="Y29" s="63"/>
      <c r="Z29" s="63"/>
      <c r="AF29" s="222"/>
    </row>
    <row r="30" spans="2:66" s="5" customFormat="1" ht="13.5" customHeight="1">
      <c r="B30" s="7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8"/>
      <c r="R30" s="25"/>
      <c r="S30" s="25"/>
      <c r="T30" s="86"/>
      <c r="U30" s="4"/>
      <c r="Y30" s="4"/>
      <c r="Z30" s="4"/>
    </row>
    <row r="31" spans="2:66" s="5" customFormat="1" ht="13.5" customHeight="1">
      <c r="B31" s="394" t="s">
        <v>288</v>
      </c>
      <c r="C31" s="339"/>
      <c r="D31" s="339"/>
      <c r="E31" s="339"/>
      <c r="F31" s="339"/>
      <c r="G31" s="339"/>
      <c r="H31" s="339"/>
      <c r="I31" s="339"/>
      <c r="J31" s="339"/>
      <c r="K31" s="339"/>
      <c r="L31" s="339"/>
      <c r="M31" s="339"/>
      <c r="N31" s="339"/>
      <c r="O31" s="339"/>
      <c r="P31" s="339"/>
      <c r="Q31" s="8"/>
      <c r="R31" s="392"/>
      <c r="S31" s="392"/>
      <c r="T31" s="393"/>
      <c r="U31" s="339"/>
      <c r="V31" s="339"/>
      <c r="W31" s="339"/>
      <c r="X31" s="339"/>
      <c r="Y31" s="339"/>
      <c r="Z31" s="339"/>
      <c r="AA31" s="339"/>
      <c r="AB31" s="339"/>
      <c r="AC31" s="339"/>
      <c r="AD31" s="339"/>
      <c r="AE31" s="339"/>
      <c r="AF31" s="339"/>
      <c r="AG31" s="339"/>
      <c r="AH31" s="339"/>
      <c r="AI31" s="339"/>
      <c r="AJ31" s="339"/>
      <c r="AK31" s="339"/>
      <c r="AL31" s="339"/>
      <c r="AM31" s="339"/>
      <c r="AN31" s="339"/>
      <c r="AO31" s="339"/>
      <c r="AP31" s="339"/>
      <c r="AQ31" s="339"/>
      <c r="AR31" s="339"/>
      <c r="AS31" s="339"/>
      <c r="AT31" s="339"/>
      <c r="AU31" s="339"/>
      <c r="AV31" s="339"/>
      <c r="AW31" s="339"/>
      <c r="AX31" s="339"/>
      <c r="AY31" s="339"/>
      <c r="AZ31" s="339"/>
      <c r="BA31" s="339"/>
      <c r="BB31" s="339"/>
      <c r="BC31" s="339"/>
      <c r="BD31" s="339"/>
      <c r="BE31" s="339"/>
      <c r="BF31" s="339"/>
      <c r="BG31" s="339"/>
      <c r="BH31" s="339"/>
      <c r="BI31" s="339"/>
      <c r="BJ31" s="4"/>
      <c r="BK31" s="4"/>
      <c r="BL31" s="199"/>
      <c r="BM31" s="199"/>
    </row>
    <row r="32" spans="2:66" s="28" customFormat="1" ht="13.5" customHeight="1">
      <c r="B32" s="436" t="str">
        <f>B10</f>
        <v>COGS</v>
      </c>
      <c r="C32" s="29">
        <f t="shared" ref="C32:H32" si="80">-C10/C7</f>
        <v>0.53575744409292725</v>
      </c>
      <c r="D32" s="29">
        <f t="shared" si="80"/>
        <v>0.52723812024153316</v>
      </c>
      <c r="E32" s="29">
        <f t="shared" si="80"/>
        <v>0.551750526114406</v>
      </c>
      <c r="F32" s="29">
        <f t="shared" si="80"/>
        <v>0.55007539036124087</v>
      </c>
      <c r="G32" s="29">
        <f t="shared" si="80"/>
        <v>0.54431341603030237</v>
      </c>
      <c r="H32" s="29">
        <f t="shared" si="80"/>
        <v>0.53966928769892109</v>
      </c>
      <c r="I32" s="29">
        <f t="shared" ref="I32:N32" si="81">-I10/I7</f>
        <v>0.55002545366661348</v>
      </c>
      <c r="J32" s="29">
        <f t="shared" si="81"/>
        <v>0.54899891714701443</v>
      </c>
      <c r="K32" s="29">
        <f t="shared" si="81"/>
        <v>0.54519375070024811</v>
      </c>
      <c r="L32" s="29">
        <f t="shared" si="81"/>
        <v>0.55764561143851277</v>
      </c>
      <c r="M32" s="29">
        <f t="shared" si="81"/>
        <v>0.54767267267267272</v>
      </c>
      <c r="N32" s="29">
        <f t="shared" si="81"/>
        <v>0.53988951250133888</v>
      </c>
      <c r="O32" s="29">
        <f t="shared" ref="O32" si="82">-O10/O7</f>
        <v>0.54352184055166564</v>
      </c>
      <c r="P32" s="29">
        <f t="shared" ref="P32" si="83">-P10/P7</f>
        <v>0.53985657965504108</v>
      </c>
      <c r="Q32" s="8"/>
      <c r="R32" s="59"/>
      <c r="S32" s="59"/>
      <c r="T32" s="84"/>
      <c r="U32" s="29">
        <f t="shared" ref="U32:AA32" si="84">-U10/U7</f>
        <v>0.5440222417681404</v>
      </c>
      <c r="V32" s="29">
        <f t="shared" si="84"/>
        <v>0.53819083229932851</v>
      </c>
      <c r="W32" s="29">
        <f t="shared" si="84"/>
        <v>0.55427262638426489</v>
      </c>
      <c r="X32" s="29">
        <f t="shared" si="84"/>
        <v>0.56411832013597385</v>
      </c>
      <c r="Y32" s="29">
        <f t="shared" si="84"/>
        <v>0.56584245487744211</v>
      </c>
      <c r="Z32" s="29">
        <f t="shared" si="84"/>
        <v>0.54447225021481316</v>
      </c>
      <c r="AA32" s="29">
        <f t="shared" si="84"/>
        <v>0.5539979336750197</v>
      </c>
      <c r="AB32" s="29">
        <f t="shared" ref="AB32:AG32" si="85">-AB10/AB7</f>
        <v>0.53642866485519547</v>
      </c>
      <c r="AC32" s="29">
        <f t="shared" si="85"/>
        <v>0.55912940277191081</v>
      </c>
      <c r="AD32" s="29">
        <f t="shared" si="85"/>
        <v>0.55936490401400685</v>
      </c>
      <c r="AE32" s="29">
        <f t="shared" si="85"/>
        <v>0.54161742804668189</v>
      </c>
      <c r="AF32" s="29">
        <f t="shared" si="85"/>
        <v>0.48253787362894046</v>
      </c>
      <c r="AG32" s="29">
        <f t="shared" si="85"/>
        <v>0.54825269716986802</v>
      </c>
      <c r="AH32" s="29">
        <f t="shared" ref="AH32:AM32" si="86">-AH10/AH7</f>
        <v>0.53932524399160486</v>
      </c>
      <c r="AI32" s="29">
        <f t="shared" si="86"/>
        <v>0.55508339342884572</v>
      </c>
      <c r="AJ32" s="29">
        <f t="shared" si="86"/>
        <v>0.5567970200937582</v>
      </c>
      <c r="AK32" s="29">
        <f t="shared" si="86"/>
        <v>0.54322954592131556</v>
      </c>
      <c r="AL32" s="29">
        <f t="shared" si="86"/>
        <v>0.55716340225921523</v>
      </c>
      <c r="AM32" s="29">
        <f t="shared" si="86"/>
        <v>0.54279090591488355</v>
      </c>
      <c r="AN32" s="29">
        <f t="shared" ref="AN32:AS32" si="87">-AN10/AN7</f>
        <v>0.5531277380730778</v>
      </c>
      <c r="AO32" s="29">
        <f t="shared" si="87"/>
        <v>0.55422220786572973</v>
      </c>
      <c r="AP32" s="29">
        <f t="shared" si="87"/>
        <v>0.52789888321687695</v>
      </c>
      <c r="AQ32" s="29">
        <f t="shared" si="87"/>
        <v>0.54845497490656059</v>
      </c>
      <c r="AR32" s="29">
        <f t="shared" si="87"/>
        <v>0.55010763922842232</v>
      </c>
      <c r="AS32" s="29">
        <f t="shared" si="87"/>
        <v>0.55851157339583946</v>
      </c>
      <c r="AT32" s="29">
        <f>-AT10/AT7</f>
        <v>0.55904524413426404</v>
      </c>
      <c r="AU32" s="29">
        <f>-AU10/AU7</f>
        <v>0.55525839632922236</v>
      </c>
      <c r="AV32" s="29">
        <f t="shared" ref="AV32:AW32" si="88">-AV10/AV7</f>
        <v>0.55783775224049503</v>
      </c>
      <c r="AW32" s="29">
        <f t="shared" si="88"/>
        <v>0.5561482757638343</v>
      </c>
      <c r="AX32" s="29">
        <f>-AX10/AX7</f>
        <v>0.55611072062592404</v>
      </c>
      <c r="AY32" s="29">
        <f>-AY10/AY7</f>
        <v>0.54102619522676731</v>
      </c>
      <c r="AZ32" s="29">
        <f t="shared" ref="AZ32:BA32" si="89">-AZ10/AZ7</f>
        <v>0.53842554149320887</v>
      </c>
      <c r="BA32" s="29">
        <f t="shared" si="89"/>
        <v>0.55443233377201395</v>
      </c>
      <c r="BB32" s="29">
        <f>-BB10/BB7</f>
        <v>0.53983251600583249</v>
      </c>
      <c r="BC32" s="29">
        <f>-BC10/BC7</f>
        <v>0.53888365213210132</v>
      </c>
      <c r="BD32" s="29">
        <f t="shared" ref="BD32" si="90">-BD10/BD7</f>
        <v>0.52879030266735183</v>
      </c>
      <c r="BE32" s="29">
        <f>-BE10/BE7</f>
        <v>0.54626866780245298</v>
      </c>
      <c r="BF32" s="29">
        <f>-BF10/BF7</f>
        <v>0.54685104056362477</v>
      </c>
      <c r="BG32" s="29">
        <f>-BG10/BG7</f>
        <v>0.54939490278802539</v>
      </c>
      <c r="BH32" s="29">
        <f t="shared" ref="BH32" si="91">-BH10/BH7</f>
        <v>0.53235298417814314</v>
      </c>
      <c r="BI32" s="29">
        <f>-BI10/BI7</f>
        <v>0.53112243625522559</v>
      </c>
      <c r="BJ32" s="322"/>
      <c r="BK32" s="322"/>
      <c r="BL32" s="29">
        <f>-BL10/BL7</f>
        <v>0.54183386095744746</v>
      </c>
      <c r="BM32" s="29">
        <f>-BM10/BM7</f>
        <v>0.53202690759375615</v>
      </c>
    </row>
    <row r="33" spans="2:65" s="28" customFormat="1" ht="13.5" customHeight="1">
      <c r="B33" s="436" t="str">
        <f>B13</f>
        <v>Administrative expenses</v>
      </c>
      <c r="C33" s="29">
        <f t="shared" ref="C33:H33" si="92">-C13/C7</f>
        <v>4.3347499626607285E-2</v>
      </c>
      <c r="D33" s="29">
        <f t="shared" si="92"/>
        <v>4.2038592806510892E-2</v>
      </c>
      <c r="E33" s="29">
        <f t="shared" si="92"/>
        <v>4.1768419631100957E-2</v>
      </c>
      <c r="F33" s="29">
        <f t="shared" si="92"/>
        <v>4.4084948088804123E-2</v>
      </c>
      <c r="G33" s="29">
        <f t="shared" si="92"/>
        <v>4.1984599216740304E-2</v>
      </c>
      <c r="H33" s="29">
        <f t="shared" si="92"/>
        <v>4.3870467880457245E-2</v>
      </c>
      <c r="I33" s="29">
        <f t="shared" ref="I33:N33" si="93">-I13/I7</f>
        <v>4.3333005949473188E-2</v>
      </c>
      <c r="J33" s="29">
        <f t="shared" si="93"/>
        <v>4.2975881250607889E-2</v>
      </c>
      <c r="K33" s="29">
        <f t="shared" si="93"/>
        <v>4.6263512544918423E-2</v>
      </c>
      <c r="L33" s="29">
        <f t="shared" si="93"/>
        <v>4.9674293661069992E-2</v>
      </c>
      <c r="M33" s="29">
        <f t="shared" si="93"/>
        <v>5.2309533718501111E-2</v>
      </c>
      <c r="N33" s="29">
        <f t="shared" si="93"/>
        <v>4.8885941651941593E-2</v>
      </c>
      <c r="O33" s="29">
        <f t="shared" ref="O33" si="94">-O13/O7</f>
        <v>5.1563403857383852E-2</v>
      </c>
      <c r="P33" s="29">
        <f t="shared" ref="P33" si="95">-P13/P7</f>
        <v>5.2651186941285656E-2</v>
      </c>
      <c r="Q33" s="8"/>
      <c r="R33" s="59"/>
      <c r="S33" s="59"/>
      <c r="T33" s="84"/>
      <c r="U33" s="29">
        <f t="shared" ref="U33:AA33" si="96">-U13/U7</f>
        <v>4.7299070421132711E-2</v>
      </c>
      <c r="V33" s="29">
        <f t="shared" si="96"/>
        <v>4.7417628735975582E-2</v>
      </c>
      <c r="W33" s="29">
        <f t="shared" si="96"/>
        <v>3.3855516988973107E-2</v>
      </c>
      <c r="X33" s="29">
        <f t="shared" si="96"/>
        <v>4.0128304064964967E-2</v>
      </c>
      <c r="Y33" s="29">
        <f t="shared" si="96"/>
        <v>4.4219084512732841E-2</v>
      </c>
      <c r="Z33" s="29">
        <f t="shared" si="96"/>
        <v>4.4921653951838149E-2</v>
      </c>
      <c r="AA33" s="29">
        <f t="shared" si="96"/>
        <v>4.8868626299049901E-2</v>
      </c>
      <c r="AB33" s="29">
        <f t="shared" ref="AB33:AG33" si="97">-AB13/AB7</f>
        <v>3.8703661156574976E-2</v>
      </c>
      <c r="AC33" s="29">
        <f t="shared" si="97"/>
        <v>5.07110816084324E-2</v>
      </c>
      <c r="AD33" s="29">
        <f t="shared" si="97"/>
        <v>4.6555920944952853E-2</v>
      </c>
      <c r="AE33" s="29">
        <f t="shared" si="97"/>
        <v>4.698600526505068E-2</v>
      </c>
      <c r="AF33" s="29">
        <f t="shared" si="97"/>
        <v>2.6904170303308089E-2</v>
      </c>
      <c r="AG33" s="29">
        <f t="shared" si="97"/>
        <v>4.7593356786157059E-2</v>
      </c>
      <c r="AH33" s="29">
        <f t="shared" ref="AH33:AM33" si="98">-AH13/AH7</f>
        <v>4.5271004425781365E-2</v>
      </c>
      <c r="AI33" s="29">
        <f t="shared" si="98"/>
        <v>4.3902660467493776E-2</v>
      </c>
      <c r="AJ33" s="29">
        <f t="shared" si="98"/>
        <v>3.7168561112870285E-2</v>
      </c>
      <c r="AK33" s="29">
        <f t="shared" si="98"/>
        <v>4.0915724041191606E-2</v>
      </c>
      <c r="AL33" s="29">
        <f t="shared" si="98"/>
        <v>4.3691818307441309E-2</v>
      </c>
      <c r="AM33" s="29">
        <f t="shared" si="98"/>
        <v>0.30419526293649374</v>
      </c>
      <c r="AN33" s="29">
        <f t="shared" ref="AN33:AS33" si="99">-AN13/AN7</f>
        <v>-0.20765978908941587</v>
      </c>
      <c r="AO33" s="29">
        <f t="shared" si="99"/>
        <v>0.30863539751040941</v>
      </c>
      <c r="AP33" s="29">
        <f t="shared" si="99"/>
        <v>4.770007692583373E-2</v>
      </c>
      <c r="AQ33" s="29">
        <f t="shared" si="99"/>
        <v>0.32143478263433561</v>
      </c>
      <c r="AR33" s="29">
        <f t="shared" si="99"/>
        <v>-0.4182547553108153</v>
      </c>
      <c r="AS33" s="29">
        <f t="shared" si="99"/>
        <v>0.25977986131458153</v>
      </c>
      <c r="AT33" s="29">
        <f>-AT13/AT7</f>
        <v>0.25441475394569601</v>
      </c>
      <c r="AU33" s="29">
        <f>-AU13/AU7</f>
        <v>5.0704434699930183E-2</v>
      </c>
      <c r="AV33" s="29">
        <f t="shared" ref="AV33:AW33" si="100">-AV13/AV7</f>
        <v>-0.31912705132794755</v>
      </c>
      <c r="AW33" s="29">
        <f t="shared" si="100"/>
        <v>5.366068035373571E-2</v>
      </c>
      <c r="AX33" s="29">
        <f>-AX13/AX7</f>
        <v>5.7313501354671642E-2</v>
      </c>
      <c r="AY33" s="29">
        <f>-AY13/AY7</f>
        <v>5.1540060788133155E-2</v>
      </c>
      <c r="AZ33" s="29">
        <f t="shared" ref="AZ33:BA33" si="101">-AZ13/AZ7</f>
        <v>4.7005759772221607E-2</v>
      </c>
      <c r="BA33" s="29">
        <f t="shared" si="101"/>
        <v>4.9371760677016041E-2</v>
      </c>
      <c r="BB33" s="29">
        <f>-BB13/BB7</f>
        <v>5.0752649040346709E-2</v>
      </c>
      <c r="BC33" s="29">
        <f>-BC13/BC7</f>
        <v>4.7978052030873707E-2</v>
      </c>
      <c r="BD33" s="29">
        <f t="shared" ref="BD33" si="102">-BD13/BD7</f>
        <v>4.7619135363265966E-2</v>
      </c>
      <c r="BE33" s="29">
        <f>-BE13/BE7</f>
        <v>5.1463585838836985E-2</v>
      </c>
      <c r="BF33" s="29">
        <f>-BF13/BF7</f>
        <v>5.4272543081417234E-2</v>
      </c>
      <c r="BG33" s="29">
        <f>-BG13/BG7</f>
        <v>5.1940385991245265E-2</v>
      </c>
      <c r="BH33" s="29">
        <f t="shared" ref="BH33" si="103">-BH13/BH7</f>
        <v>4.8729162760200305E-2</v>
      </c>
      <c r="BI33" s="29">
        <f>-BI13/BI7</f>
        <v>5.5950960807203944E-2</v>
      </c>
      <c r="BJ33" s="322"/>
      <c r="BK33" s="322"/>
      <c r="BL33" s="29">
        <f>-BL13/BL7</f>
        <v>5.033654168683787E-2</v>
      </c>
      <c r="BM33" s="29">
        <f>-BM13/BM7</f>
        <v>4.5854791278866616E-2</v>
      </c>
    </row>
    <row r="34" spans="2:65" s="28" customFormat="1" ht="13.5" customHeight="1">
      <c r="B34" s="436" t="str">
        <f>B14</f>
        <v>Selling expenses</v>
      </c>
      <c r="C34" s="29">
        <f t="shared" ref="C34:H34" si="104">-C14/C7</f>
        <v>0.27471520319352605</v>
      </c>
      <c r="D34" s="29">
        <f t="shared" si="104"/>
        <v>0.27486873195064321</v>
      </c>
      <c r="E34" s="29">
        <f t="shared" si="104"/>
        <v>0.27031026682722065</v>
      </c>
      <c r="F34" s="29">
        <f t="shared" si="104"/>
        <v>0.27444687428128689</v>
      </c>
      <c r="G34" s="29">
        <f t="shared" si="104"/>
        <v>0.27475899759388106</v>
      </c>
      <c r="H34" s="29">
        <f t="shared" si="104"/>
        <v>0.27379661345396489</v>
      </c>
      <c r="I34" s="29">
        <f t="shared" ref="I34:N34" si="105">-I14/I7</f>
        <v>0.26795894503550655</v>
      </c>
      <c r="J34" s="29">
        <f t="shared" si="105"/>
        <v>0.26442883821578572</v>
      </c>
      <c r="K34" s="29">
        <f t="shared" si="105"/>
        <v>0.26543851382277239</v>
      </c>
      <c r="L34" s="29">
        <f t="shared" si="105"/>
        <v>0.25455376543684366</v>
      </c>
      <c r="M34" s="29">
        <f t="shared" si="105"/>
        <v>0.25818372584541061</v>
      </c>
      <c r="N34" s="29">
        <f t="shared" si="105"/>
        <v>0.26599234659720034</v>
      </c>
      <c r="O34" s="29">
        <f t="shared" ref="O34" si="106">-O14/O7</f>
        <v>0.26277830998075197</v>
      </c>
      <c r="P34" s="29">
        <f t="shared" ref="P34" si="107">-P14/P7</f>
        <v>0.26656174298368546</v>
      </c>
      <c r="Q34" s="8"/>
      <c r="R34" s="59"/>
      <c r="S34" s="59"/>
      <c r="T34" s="84"/>
      <c r="U34" s="29">
        <f t="shared" ref="U34:AA34" si="108">-U14/U7</f>
        <v>0.27708323095448051</v>
      </c>
      <c r="V34" s="29">
        <f t="shared" si="108"/>
        <v>0.26880553341877794</v>
      </c>
      <c r="W34" s="29">
        <f t="shared" si="108"/>
        <v>0.27771266321928645</v>
      </c>
      <c r="X34" s="29">
        <f t="shared" si="108"/>
        <v>0.26165877602324428</v>
      </c>
      <c r="Y34" s="29">
        <f t="shared" si="108"/>
        <v>0.27986173352012905</v>
      </c>
      <c r="Z34" s="29">
        <f t="shared" si="108"/>
        <v>0.27774953073396891</v>
      </c>
      <c r="AA34" s="29">
        <f t="shared" si="108"/>
        <v>0.28060342766849666</v>
      </c>
      <c r="AB34" s="29">
        <f t="shared" ref="AB34:AG34" si="109">-AB14/AB7</f>
        <v>0.26033061456551349</v>
      </c>
      <c r="AC34" s="29">
        <f t="shared" si="109"/>
        <v>0.26980870194918832</v>
      </c>
      <c r="AD34" s="29">
        <f t="shared" si="109"/>
        <v>0.26305542652212488</v>
      </c>
      <c r="AE34" s="29">
        <f t="shared" si="109"/>
        <v>0.27591892226943476</v>
      </c>
      <c r="AF34" s="29">
        <f t="shared" si="109"/>
        <v>0.29204148178217232</v>
      </c>
      <c r="AG34" s="29">
        <f t="shared" si="109"/>
        <v>0.27342877930283982</v>
      </c>
      <c r="AH34" s="29">
        <f>-AH14/AH7</f>
        <v>0.26812928094770244</v>
      </c>
      <c r="AI34" s="29">
        <f>-AI14/AI7</f>
        <v>0.25800590463268969</v>
      </c>
      <c r="AJ34" s="29">
        <f>-AJ14/AJ7</f>
        <v>0.27229598573078873</v>
      </c>
      <c r="AK34" s="29">
        <f>-AK14/AK7</f>
        <v>0.27961731636998344</v>
      </c>
      <c r="AL34" s="29">
        <f>-AL14/AL7</f>
        <v>0.27274658379675637</v>
      </c>
      <c r="AM34" s="29"/>
      <c r="AN34" s="29">
        <f>-AN14/AN7</f>
        <v>0.49784378829818199</v>
      </c>
      <c r="AO34" s="29"/>
      <c r="AP34" s="29">
        <f>-AP14/AP7</f>
        <v>0.27015100693757077</v>
      </c>
      <c r="AQ34" s="29"/>
      <c r="AR34" s="29">
        <f>-AR14/AR7</f>
        <v>0.71834742351231529</v>
      </c>
      <c r="AS34" s="29"/>
      <c r="AT34" s="29">
        <f>-AT14/AT7</f>
        <v>5.0036032406546978E-2</v>
      </c>
      <c r="AU34" s="29">
        <f>-AU14/AU7</f>
        <v>0.2633945604632385</v>
      </c>
      <c r="AV34" s="29">
        <f>-AV14/AV7</f>
        <v>0.61094573744908298</v>
      </c>
      <c r="AW34" s="29"/>
      <c r="AX34" s="29">
        <f t="shared" ref="AX34:BD34" si="110">-AX14/AX7</f>
        <v>0.24866254011133848</v>
      </c>
      <c r="AY34" s="29">
        <f t="shared" si="110"/>
        <v>0.26618524352869272</v>
      </c>
      <c r="AZ34" s="29">
        <f t="shared" si="110"/>
        <v>0.26044774694044209</v>
      </c>
      <c r="BA34" s="29">
        <f t="shared" si="110"/>
        <v>0.25889168176842015</v>
      </c>
      <c r="BB34" s="29">
        <f t="shared" si="110"/>
        <v>0.26053277314354722</v>
      </c>
      <c r="BC34" s="29">
        <f t="shared" si="110"/>
        <v>0.27421115233849236</v>
      </c>
      <c r="BD34" s="29">
        <f t="shared" si="110"/>
        <v>0.2693744982488519</v>
      </c>
      <c r="BE34" s="29">
        <f>-BE14/BE7</f>
        <v>0.26893907087504404</v>
      </c>
      <c r="BF34" s="29">
        <f>-BF14/BF7</f>
        <v>0.27046460731287897</v>
      </c>
      <c r="BG34" s="29">
        <f t="shared" ref="BG34:BH34" si="111">-BG14/BG7</f>
        <v>0.25905524664555457</v>
      </c>
      <c r="BH34" s="29">
        <f t="shared" si="111"/>
        <v>0.2533361406708074</v>
      </c>
      <c r="BI34" s="29">
        <f>-BI14/BI7</f>
        <v>0.28447614656835196</v>
      </c>
      <c r="BJ34" s="322"/>
      <c r="BK34" s="322"/>
      <c r="BL34" s="29">
        <f>-BL14/BL7</f>
        <v>0.27535131878831393</v>
      </c>
      <c r="BM34" s="29">
        <f>-BM14/BM7</f>
        <v>0.27651670057485994</v>
      </c>
    </row>
    <row r="35" spans="2:65" s="28" customFormat="1" ht="13.5" customHeight="1">
      <c r="B35" s="436" t="str">
        <f>B17</f>
        <v>Operating Profit</v>
      </c>
      <c r="C35" s="29">
        <f t="shared" ref="C35:H35" si="112">C17/C7</f>
        <v>0.1408233648793602</v>
      </c>
      <c r="D35" s="29">
        <f t="shared" si="112"/>
        <v>0.14862168548175375</v>
      </c>
      <c r="E35" s="29">
        <f t="shared" si="112"/>
        <v>0.13459525765538663</v>
      </c>
      <c r="F35" s="29">
        <f t="shared" si="112"/>
        <v>0.12844352868356892</v>
      </c>
      <c r="G35" s="29">
        <f t="shared" si="112"/>
        <v>0.13639783537565278</v>
      </c>
      <c r="H35" s="29">
        <f t="shared" si="112"/>
        <v>0.13530910618381095</v>
      </c>
      <c r="I35" s="29">
        <f t="shared" ref="I35:N35" si="113">I17/I7</f>
        <v>0.13072960243130599</v>
      </c>
      <c r="J35" s="29">
        <f t="shared" si="113"/>
        <v>0.13747863195713897</v>
      </c>
      <c r="K35" s="29">
        <f t="shared" si="113"/>
        <v>0.14066690396806478</v>
      </c>
      <c r="L35" s="29">
        <f t="shared" si="113"/>
        <v>0.13600569553009309</v>
      </c>
      <c r="M35" s="29">
        <f t="shared" si="113"/>
        <v>0.13946349066457764</v>
      </c>
      <c r="N35" s="29">
        <f t="shared" si="113"/>
        <v>0.14346586647123147</v>
      </c>
      <c r="O35" s="29">
        <f t="shared" ref="O35" si="114">O17/O7</f>
        <v>0.14717136772406367</v>
      </c>
      <c r="P35" s="29">
        <f t="shared" ref="P35" si="115">P17/P7</f>
        <v>0.14604560440530753</v>
      </c>
      <c r="Q35" s="8"/>
      <c r="R35" s="59"/>
      <c r="S35" s="59"/>
      <c r="T35" s="84"/>
      <c r="U35" s="29">
        <f t="shared" ref="U35:AA35" si="116">U17/U7</f>
        <v>0.13229632799324342</v>
      </c>
      <c r="V35" s="29">
        <f t="shared" si="116"/>
        <v>0.15034331229335129</v>
      </c>
      <c r="W35" s="29">
        <f t="shared" si="116"/>
        <v>0.13326193006068338</v>
      </c>
      <c r="X35" s="29">
        <f t="shared" si="116"/>
        <v>0.12624295741538349</v>
      </c>
      <c r="Y35" s="29">
        <f t="shared" si="116"/>
        <v>0.11858573310344085</v>
      </c>
      <c r="Z35" s="29">
        <f t="shared" si="116"/>
        <v>0.12952373102592113</v>
      </c>
      <c r="AA35" s="29">
        <f t="shared" si="116"/>
        <v>0.11114136093835465</v>
      </c>
      <c r="AB35" s="29">
        <f t="shared" ref="AB35:AG35" si="117">AB17/AB7</f>
        <v>0.15311165505688212</v>
      </c>
      <c r="AC35" s="29">
        <f t="shared" si="117"/>
        <v>0.11833926739484642</v>
      </c>
      <c r="AD35" s="29">
        <f t="shared" si="117"/>
        <v>0.12050268416734368</v>
      </c>
      <c r="AE35" s="29">
        <f t="shared" si="117"/>
        <v>0.13086585104821033</v>
      </c>
      <c r="AF35" s="29">
        <f t="shared" si="117"/>
        <v>0.18506852834825102</v>
      </c>
      <c r="AG35" s="29">
        <f t="shared" si="117"/>
        <v>0.12355963522998215</v>
      </c>
      <c r="AH35" s="29">
        <f t="shared" ref="AH35:AM35" si="118">AH17/AH7</f>
        <v>0.13209725780172316</v>
      </c>
      <c r="AI35" s="29">
        <f t="shared" si="118"/>
        <v>0.14400175375696234</v>
      </c>
      <c r="AJ35" s="29">
        <f t="shared" si="118"/>
        <v>0.12335066382396218</v>
      </c>
      <c r="AK35" s="29">
        <f t="shared" si="118"/>
        <v>0.1263289328539533</v>
      </c>
      <c r="AL35" s="29">
        <f t="shared" si="118"/>
        <v>0.11909631040480896</v>
      </c>
      <c r="AM35" s="29">
        <f t="shared" si="118"/>
        <v>0.1523330804247757</v>
      </c>
      <c r="AN35" s="29">
        <f t="shared" ref="AN35:AS35" si="119">AN17/AN7</f>
        <v>0.14992705795259942</v>
      </c>
      <c r="AO35" s="29">
        <f t="shared" si="119"/>
        <v>0.13199934610491079</v>
      </c>
      <c r="AP35" s="29">
        <f t="shared" si="119"/>
        <v>0.15167677686744774</v>
      </c>
      <c r="AQ35" s="29">
        <f t="shared" si="119"/>
        <v>0.13403695166004054</v>
      </c>
      <c r="AR35" s="29">
        <f t="shared" si="119"/>
        <v>0.14402851854211512</v>
      </c>
      <c r="AS35" s="29">
        <f t="shared" si="119"/>
        <v>0.13367811309698213</v>
      </c>
      <c r="AT35" s="29">
        <f>AT17/AT7</f>
        <v>0.13352645727903092</v>
      </c>
      <c r="AU35" s="29">
        <f>AU17/AU7</f>
        <v>0.12847154208981007</v>
      </c>
      <c r="AV35" s="29">
        <f t="shared" ref="AV35:AW35" si="120">AV17/AV7</f>
        <v>0.14731391295011356</v>
      </c>
      <c r="AW35" s="29">
        <f t="shared" si="120"/>
        <v>0.13144874528652781</v>
      </c>
      <c r="AX35" s="29">
        <f>AX17/AX7</f>
        <v>0.13938240372344443</v>
      </c>
      <c r="AY35" s="29">
        <f>AY17/AY7</f>
        <v>0.13459290451006148</v>
      </c>
      <c r="AZ35" s="29">
        <f t="shared" ref="AZ35:BA35" si="121">AZ17/AZ7</f>
        <v>0.1516120590786135</v>
      </c>
      <c r="BA35" s="29">
        <f t="shared" si="121"/>
        <v>0.13504726268403605</v>
      </c>
      <c r="BB35" s="29">
        <f>BB17/BB7</f>
        <v>0.14031918739123631</v>
      </c>
      <c r="BC35" s="29">
        <f>BC17/BC7</f>
        <v>0.13847874849838129</v>
      </c>
      <c r="BD35" s="29">
        <f t="shared" ref="BD35" si="122">BD17/BD7</f>
        <v>0.15780022283010045</v>
      </c>
      <c r="BE35" s="29">
        <f>BE17/BE7</f>
        <v>0.131814901232783</v>
      </c>
      <c r="BF35" s="29">
        <f>BF17/BF7</f>
        <v>0.13394082307676919</v>
      </c>
      <c r="BG35" s="29">
        <f>BG17/BG7</f>
        <v>0.14316841270983857</v>
      </c>
      <c r="BH35" s="29">
        <f t="shared" ref="BH35" si="123">BH17/BH7</f>
        <v>0.1775122798884077</v>
      </c>
      <c r="BI35" s="29">
        <f>BI17/BI7</f>
        <v>0.12733837905354378</v>
      </c>
      <c r="BJ35" s="322"/>
      <c r="BK35" s="322"/>
      <c r="BL35" s="29">
        <f>BL17/BL7</f>
        <v>0.13066642662912953</v>
      </c>
      <c r="BM35" s="29">
        <f>BM17/BM7</f>
        <v>0.1335454322326598</v>
      </c>
    </row>
    <row r="36" spans="2:65" s="28" customFormat="1" ht="13.5" customHeight="1">
      <c r="B36" s="436" t="s">
        <v>289</v>
      </c>
      <c r="C36" s="29">
        <f>C18/C127</f>
        <v>2.9248340793332304E-2</v>
      </c>
      <c r="D36" s="29">
        <f>D18/D127</f>
        <v>2.5892801300894365E-2</v>
      </c>
      <c r="E36" s="29">
        <f>E18/E127</f>
        <v>6.8251240931653301E-2</v>
      </c>
      <c r="F36" s="29">
        <f>F18/F127</f>
        <v>4.7263814141844725E-2</v>
      </c>
      <c r="G36" s="29">
        <f>G18/G127</f>
        <v>4.2151980795770823E-2</v>
      </c>
      <c r="H36" s="29">
        <f>H18/H127</f>
        <v>4.230740036644378E-2</v>
      </c>
      <c r="I36" s="29">
        <f>I18/I127</f>
        <v>6.0021613659504529E-2</v>
      </c>
      <c r="J36" s="29">
        <f>J18/J127</f>
        <v>2.4095788015061497E-2</v>
      </c>
      <c r="K36" s="29">
        <f>K18/K127</f>
        <v>1.9724065845798361E-2</v>
      </c>
      <c r="L36" s="29">
        <f>L18/L127</f>
        <v>5.9850093830617436E-2</v>
      </c>
      <c r="M36" s="29">
        <f>M18/M127</f>
        <v>0.10264005151320026</v>
      </c>
      <c r="N36" s="29">
        <f>N18/N127</f>
        <v>9.2726792077730116E-2</v>
      </c>
      <c r="O36" s="29">
        <f>O18/O127</f>
        <v>8.4421766223726324E-2</v>
      </c>
      <c r="P36" s="29">
        <f>P18/P127</f>
        <v>5.5475077664598763E-2</v>
      </c>
      <c r="Q36" s="8"/>
      <c r="R36" s="59"/>
      <c r="S36" s="59"/>
      <c r="T36" s="84"/>
      <c r="U36" s="29"/>
      <c r="V36" s="29"/>
      <c r="W36" s="29"/>
      <c r="X36" s="29">
        <f>SUM(U18:X18)/X127</f>
        <v>6.8251240931653301E-2</v>
      </c>
      <c r="Y36" s="29">
        <f>SUM(V18:Y18)/Y127</f>
        <v>6.0015349194167303E-2</v>
      </c>
      <c r="Z36" s="29">
        <f>SUM(W18:Z18)/Z127</f>
        <v>3.3947422893810808E-2</v>
      </c>
      <c r="AA36" s="29">
        <f>SUM(X18:AA18)/AA127</f>
        <v>4.6570325645847767E-2</v>
      </c>
      <c r="AB36" s="29">
        <f>SUM(Y18:AB18)/AB127</f>
        <v>4.7263814141844725E-2</v>
      </c>
      <c r="AC36" s="29">
        <f>SUM(Z18:AC18)/AC127</f>
        <v>5.7087319044452405E-2</v>
      </c>
      <c r="AD36" s="29">
        <f>SUM(AA18:AD18)/AD127</f>
        <v>4.3759088958776553E-2</v>
      </c>
      <c r="AE36" s="29">
        <f>SUM(AB18:AE18)/AE127</f>
        <v>5.5693016182573711E-2</v>
      </c>
      <c r="AF36" s="29">
        <f>SUM(AC18:AF18)/AF127</f>
        <v>4.230740036644378E-2</v>
      </c>
      <c r="AG36" s="29">
        <f>(AG18+H18-BL18)/AG127</f>
        <v>3.7111665901767746E-2</v>
      </c>
      <c r="AH36" s="29">
        <f>(AH18+H18-BM18+AG18-BL18)/AH127</f>
        <v>4.7967305925451738E-2</v>
      </c>
      <c r="AI36" s="29">
        <f>(AI18+H18-AE18+AH18-BM18+AG18-BL18)/AI127</f>
        <v>4.0216551462481327E-2</v>
      </c>
      <c r="AJ36" s="29">
        <f>SUM(AG18:AJ18)/AJ127</f>
        <v>6.0021613659504529E-2</v>
      </c>
      <c r="AK36" s="29">
        <f>SUM(AH18:AK18)/AK127</f>
        <v>3.2176108711953602E-2</v>
      </c>
      <c r="AL36" s="29">
        <f>SUM(AI18:AL18)/AL127</f>
        <v>2.9847311594006797E-2</v>
      </c>
      <c r="AM36" s="29">
        <f>SUM(AJ18:AM18)/AM127</f>
        <v>2.0157972461189638E-2</v>
      </c>
      <c r="AN36" s="29">
        <f>SUM(AK18:AN18)/AN127</f>
        <v>2.4095788015061497E-2</v>
      </c>
      <c r="AO36" s="29">
        <f>SUM(AL18:AO18)/AO127</f>
        <v>1.9059126294482746E-2</v>
      </c>
      <c r="AP36" s="29">
        <f>SUM(AM18:AP18)/AP127</f>
        <v>1.8120407242962218E-2</v>
      </c>
      <c r="AQ36" s="29">
        <f>SUM(AN18:AQ18)/AQ127</f>
        <v>1.502557651886636E-2</v>
      </c>
      <c r="AR36" s="29">
        <f>SUM(AO18:AR18)/AR127</f>
        <v>1.9724065845798361E-2</v>
      </c>
      <c r="AS36" s="29">
        <f>SUM(AP18:AS18)/AS127</f>
        <v>2.3749791553756654E-2</v>
      </c>
      <c r="AT36" s="29">
        <f>SUM(AQ18:AT18)/AT127</f>
        <v>3.3387050631907583E-2</v>
      </c>
      <c r="AU36" s="29">
        <f>SUM(AR18:AU18)/AU127</f>
        <v>5.0202985140842524E-2</v>
      </c>
      <c r="AV36" s="29">
        <f>SUM(AS18:AV18)/AV127</f>
        <v>5.9850093830617436E-2</v>
      </c>
      <c r="AW36" s="29">
        <f>SUM(AT18:AW18)/AW127</f>
        <v>7.405989611091035E-2</v>
      </c>
      <c r="AX36" s="29">
        <f>SUM(AU18:AX18)/AX127</f>
        <v>0.10795321053446261</v>
      </c>
      <c r="AY36" s="29">
        <f>SUM(AV18:AY18)/AY127</f>
        <v>8.85455069010056E-2</v>
      </c>
      <c r="AZ36" s="29">
        <f>SUM(AW18:AZ18)/AZ127</f>
        <v>0.10264005151320026</v>
      </c>
      <c r="BA36" s="29">
        <f>SUM(AX18:BA18)/BA127</f>
        <v>7.9007025910543649E-2</v>
      </c>
      <c r="BB36" s="29">
        <f>SUM(AY18:BB18)/BB127</f>
        <v>6.826340729538255E-2</v>
      </c>
      <c r="BC36" s="29">
        <f>SUM(AZ18:BC18)/BC127</f>
        <v>6.6072641288195594E-2</v>
      </c>
      <c r="BD36" s="29">
        <f>SUM(BA18:BD18)/BD127</f>
        <v>9.2726792077730116E-2</v>
      </c>
      <c r="BE36" s="29">
        <f>SUM(BB18:BE18)/BE127</f>
        <v>9.8566061154938225E-2</v>
      </c>
      <c r="BF36" s="29">
        <f>SUM(BC18:BF18)/BF127</f>
        <v>7.9568683774048687E-2</v>
      </c>
      <c r="BG36" s="29">
        <f>SUM(BD18:BG18)/BG127</f>
        <v>7.8085720256251462E-2</v>
      </c>
      <c r="BH36" s="29">
        <f>SUM(BE18:BH18)/BH127</f>
        <v>8.4421766223726324E-2</v>
      </c>
      <c r="BI36" s="29">
        <f>SUM(BF18:BI18)/BI127</f>
        <v>5.5475077664598763E-2</v>
      </c>
      <c r="BJ36" s="322"/>
      <c r="BK36" s="322"/>
      <c r="BL36" s="29">
        <f>SUM(Z18:AB18,BL18)/AC127</f>
        <v>5.516009545953935E-2</v>
      </c>
      <c r="BM36" s="29">
        <f>SUM(AA18:AC18,BM18)/AD127</f>
        <v>4.1905982359189561E-2</v>
      </c>
    </row>
    <row r="37" spans="2:65" s="28" customFormat="1" ht="13.5" customHeight="1">
      <c r="B37" s="436" t="s">
        <v>290</v>
      </c>
      <c r="C37" s="29">
        <f>-C19/C130</f>
        <v>8.3995941054417128E-2</v>
      </c>
      <c r="D37" s="29">
        <f>-D19/D130</f>
        <v>9.4964783455717072E-2</v>
      </c>
      <c r="E37" s="29">
        <f>-E19/E130</f>
        <v>8.4029738271716017E-2</v>
      </c>
      <c r="F37" s="29">
        <f>-F19/F130</f>
        <v>0.10567418426103647</v>
      </c>
      <c r="G37" s="29">
        <f>-G19/G130</f>
        <v>0.10529846640755662</v>
      </c>
      <c r="H37" s="29">
        <f>-H19/H130</f>
        <v>9.2513739066358291E-2</v>
      </c>
      <c r="I37" s="29">
        <f>-I19/I130</f>
        <v>9.6743853340362729E-2</v>
      </c>
      <c r="J37" s="29">
        <f>-J19/J130</f>
        <v>8.8907536887830582E-2</v>
      </c>
      <c r="K37" s="29">
        <f>-K19/K130</f>
        <v>7.0936606045718983E-2</v>
      </c>
      <c r="L37" s="29">
        <f>-L19/L130</f>
        <v>8.0435474467864337E-2</v>
      </c>
      <c r="M37" s="29">
        <f>-M19/M130</f>
        <v>0.10484978223961025</v>
      </c>
      <c r="N37" s="29">
        <f>-N19/N130</f>
        <v>9.7966794822173228E-2</v>
      </c>
      <c r="O37" s="29">
        <f>-O19/O130</f>
        <v>9.832524448157684E-2</v>
      </c>
      <c r="P37" s="29">
        <f>-P19/P130</f>
        <v>9.1709433873587057E-2</v>
      </c>
      <c r="Q37" s="8"/>
      <c r="R37" s="59"/>
      <c r="S37" s="59"/>
      <c r="T37" s="84"/>
      <c r="U37" s="29"/>
      <c r="V37" s="29"/>
      <c r="W37" s="29"/>
      <c r="X37" s="29">
        <f>-SUM(U19:X19)/X130</f>
        <v>8.4029738271716017E-2</v>
      </c>
      <c r="Y37" s="29">
        <f>-SUM(V19:Y19)/Y130</f>
        <v>0.10320695413024261</v>
      </c>
      <c r="Z37" s="29">
        <f>-SUM(W19:Z19)/Z130</f>
        <v>9.9412066898795587E-2</v>
      </c>
      <c r="AA37" s="29">
        <f>-SUM(X19:AA19)/AA130</f>
        <v>0.11381257230026058</v>
      </c>
      <c r="AB37" s="29">
        <f>-SUM(Y19:AB19)/AB130</f>
        <v>0.10567418426103647</v>
      </c>
      <c r="AC37" s="29">
        <f>-SUM(Z19:AC19)/AC130</f>
        <v>0.10557080410694317</v>
      </c>
      <c r="AD37" s="29">
        <f>-SUM(AA19:AD19)/AD130</f>
        <v>8.430104759760243E-2</v>
      </c>
      <c r="AE37" s="29">
        <f>-SUM(AB19:AE19)/AE130</f>
        <v>8.3656410629945138E-2</v>
      </c>
      <c r="AF37" s="29">
        <f>-SUM(AC19:AF19)/AF130</f>
        <v>9.2513739066358291E-2</v>
      </c>
      <c r="AG37" s="29">
        <f>-(AG19+H19-BL19)/AG130</f>
        <v>9.3705493200047119E-2</v>
      </c>
      <c r="AH37" s="29">
        <f>-(AH19+H19-BM19+AG19-BL19)/AH130</f>
        <v>9.522895948170064E-2</v>
      </c>
      <c r="AI37" s="29">
        <f>-(AI19+H19-AE19+AH19-BM19+AG19-BL19)/AI130</f>
        <v>9.3679289542671781E-2</v>
      </c>
      <c r="AJ37" s="29">
        <f>-SUM(AG19:AJ19)/AJ130</f>
        <v>9.6743853340362743E-2</v>
      </c>
      <c r="AK37" s="29">
        <f>-SUM(AH19:AK19)/AK130</f>
        <v>8.864825529865572E-2</v>
      </c>
      <c r="AL37" s="29">
        <f>-SUM(AI19:AL19)/AL130</f>
        <v>8.7817147165516654E-2</v>
      </c>
      <c r="AM37" s="29">
        <f>-SUM(AJ19:AM19)/AM130</f>
        <v>7.7071104207951865E-2</v>
      </c>
      <c r="AN37" s="29">
        <f>-SUM(AK19:AN19)/AN130</f>
        <v>8.8907536887830582E-2</v>
      </c>
      <c r="AO37" s="29">
        <f>-SUM(AL19:AO19)/AO130</f>
        <v>6.9798972923023464E-2</v>
      </c>
      <c r="AP37" s="29">
        <f>-SUM(AM19:AP19)/AP130</f>
        <v>7.1473911548654387E-2</v>
      </c>
      <c r="AQ37" s="29">
        <f>-SUM(AN19:AQ19)/AQ130</f>
        <v>6.9644671339982728E-2</v>
      </c>
      <c r="AR37" s="29">
        <f>-SUM(AO19:AR19)/AR130</f>
        <v>7.0936606045718983E-2</v>
      </c>
      <c r="AS37" s="29">
        <f>-SUM(AP19:AS19)/AS130</f>
        <v>7.3954219320686798E-2</v>
      </c>
      <c r="AT37" s="29">
        <f>-SUM(AQ19:AT19)/AT130</f>
        <v>7.9535506037688761E-2</v>
      </c>
      <c r="AU37" s="29">
        <f>-SUM(AR19:AU19)/AU130</f>
        <v>8.3058955648151231E-2</v>
      </c>
      <c r="AV37" s="29">
        <f>-SUM(AS19:AV19)/AV130</f>
        <v>8.0435474467864337E-2</v>
      </c>
      <c r="AW37" s="29">
        <f>-SUM(AT19:AW19)/AW130</f>
        <v>8.1371572777055021E-2</v>
      </c>
      <c r="AX37" s="29">
        <f>-SUM(AU19:AX19)/AX130</f>
        <v>8.784088152204865E-2</v>
      </c>
      <c r="AY37" s="29">
        <f>-SUM(AV19:AY19)/AY130</f>
        <v>0.10553357300671078</v>
      </c>
      <c r="AZ37" s="29">
        <f>-SUM(AW19:AZ19)/AZ130</f>
        <v>0.10484978223961026</v>
      </c>
      <c r="BA37" s="29">
        <f>-SUM(AX19:BA19)/BA130</f>
        <v>0.10418932314208587</v>
      </c>
      <c r="BB37" s="29">
        <f>-SUM(AY19:BB19)/BB130</f>
        <v>9.8705248625394024E-2</v>
      </c>
      <c r="BC37" s="29">
        <f>-SUM(AZ19:BC19)/BC130</f>
        <v>9.6838280705474455E-2</v>
      </c>
      <c r="BD37" s="29">
        <f>-SUM(BA19:BD19)/BD130</f>
        <v>9.7966794822173228E-2</v>
      </c>
      <c r="BE37" s="29">
        <f>-SUM(BB19:BE19)/BE130</f>
        <v>9.8117047424687284E-2</v>
      </c>
      <c r="BF37" s="29">
        <f>-SUM(BC19:BF19)/BF130</f>
        <v>9.3245088257557618E-2</v>
      </c>
      <c r="BG37" s="29">
        <f>-SUM(BD19:BG19)/BG130</f>
        <v>9.8267881193503645E-2</v>
      </c>
      <c r="BH37" s="29">
        <f>-SUM(BE19:BH19)/BH130</f>
        <v>9.832524448157684E-2</v>
      </c>
      <c r="BI37" s="29">
        <f>-SUM(BF19:BI19)/BI130</f>
        <v>9.1709433873587057E-2</v>
      </c>
      <c r="BJ37" s="322"/>
      <c r="BK37" s="322"/>
      <c r="BL37" s="29">
        <f>-SUM(Z19:AB19,BL19)/AC130</f>
        <v>0.10553900065036514</v>
      </c>
      <c r="BM37" s="29">
        <f>-SUM(AA19:AC19,BM19)/AD130</f>
        <v>8.426528468128093E-2</v>
      </c>
    </row>
    <row r="38" spans="2:65" s="28" customFormat="1" ht="13.5" customHeight="1">
      <c r="B38" s="436" t="str">
        <f>B21</f>
        <v>Share of profit (loss) of associates and joint ventures accounted for using equity method</v>
      </c>
      <c r="C38" s="29">
        <f t="shared" ref="C38:H38" si="124">C21/C7</f>
        <v>7.8751917880758731E-4</v>
      </c>
      <c r="D38" s="29">
        <f t="shared" si="124"/>
        <v>1.0370175899186138E-3</v>
      </c>
      <c r="E38" s="29">
        <f t="shared" si="124"/>
        <v>5.8519677241472448E-4</v>
      </c>
      <c r="F38" s="29">
        <f t="shared" si="124"/>
        <v>7.7534585099111946E-4</v>
      </c>
      <c r="G38" s="29">
        <f t="shared" si="124"/>
        <v>8.6163659903653917E-4</v>
      </c>
      <c r="H38" s="29">
        <f t="shared" si="124"/>
        <v>4.5410178783009982E-4</v>
      </c>
      <c r="I38" s="29">
        <f t="shared" ref="I38:N38" si="125">I21/I7</f>
        <v>3.9851076461957721E-4</v>
      </c>
      <c r="J38" s="29">
        <f t="shared" si="125"/>
        <v>5.1254688239969184E-4</v>
      </c>
      <c r="K38" s="29">
        <f t="shared" si="125"/>
        <v>1.6653581469063655E-5</v>
      </c>
      <c r="L38" s="29">
        <f t="shared" si="125"/>
        <v>8.5446582127002703E-4</v>
      </c>
      <c r="M38" s="29">
        <f t="shared" si="125"/>
        <v>-6.9362841101971537E-5</v>
      </c>
      <c r="N38" s="29">
        <f t="shared" si="125"/>
        <v>4.0070291082854514E-4</v>
      </c>
      <c r="O38" s="29">
        <f t="shared" ref="O38" si="126">O21/O7</f>
        <v>5.0852433548967207E-4</v>
      </c>
      <c r="P38" s="29">
        <f t="shared" ref="P38" si="127">P21/P7</f>
        <v>1.8471920905639423E-4</v>
      </c>
      <c r="Q38" s="8"/>
      <c r="R38" s="59"/>
      <c r="S38" s="59"/>
      <c r="T38" s="84"/>
      <c r="U38" s="29">
        <f t="shared" ref="U38:AA38" si="128">U21/U7</f>
        <v>1.0243501233034504E-3</v>
      </c>
      <c r="V38" s="29">
        <f t="shared" si="128"/>
        <v>8.5130752322492122E-4</v>
      </c>
      <c r="W38" s="29">
        <f t="shared" si="128"/>
        <v>0</v>
      </c>
      <c r="X38" s="29">
        <f t="shared" si="128"/>
        <v>5.4858636579447435E-4</v>
      </c>
      <c r="Y38" s="29">
        <f t="shared" si="128"/>
        <v>7.204421567701605E-4</v>
      </c>
      <c r="Z38" s="29">
        <f t="shared" si="128"/>
        <v>-2.1952799286254626E-4</v>
      </c>
      <c r="AA38" s="29">
        <f t="shared" si="128"/>
        <v>8.1032352166602521E-4</v>
      </c>
      <c r="AB38" s="29">
        <f t="shared" ref="AB38:AG38" si="129">AB21/AB7</f>
        <v>1.7374168622425207E-3</v>
      </c>
      <c r="AC38" s="29">
        <f t="shared" si="129"/>
        <v>-2.4138555307464849E-4</v>
      </c>
      <c r="AD38" s="29">
        <f t="shared" si="129"/>
        <v>3.4558240570856054E-4</v>
      </c>
      <c r="AE38" s="29">
        <f t="shared" si="129"/>
        <v>7.696657226507217E-4</v>
      </c>
      <c r="AF38" s="29">
        <f t="shared" si="129"/>
        <v>1.176607988422436E-3</v>
      </c>
      <c r="AG38" s="29">
        <f t="shared" si="129"/>
        <v>7.25214747319897E-4</v>
      </c>
      <c r="AH38" s="29">
        <f t="shared" ref="AH38:AM38" si="130">AH21/AH7</f>
        <v>-5.5939868647419125E-5</v>
      </c>
      <c r="AI38" s="29">
        <f t="shared" si="130"/>
        <v>-3.3773133615545354E-4</v>
      </c>
      <c r="AJ38" s="29">
        <f t="shared" si="130"/>
        <v>1.2239495315365769E-3</v>
      </c>
      <c r="AK38" s="29">
        <f t="shared" si="130"/>
        <v>1.6122149635990394E-3</v>
      </c>
      <c r="AL38" s="29">
        <f t="shared" si="130"/>
        <v>5.7054230331756405E-4</v>
      </c>
      <c r="AM38" s="29">
        <f t="shared" si="130"/>
        <v>3.1092391838048657E-4</v>
      </c>
      <c r="AN38" s="29">
        <f t="shared" ref="AN38:AS38" si="131">AN21/AN7</f>
        <v>-3.7365663132980136E-4</v>
      </c>
      <c r="AO38" s="29">
        <f t="shared" si="131"/>
        <v>3.8000832818691595E-5</v>
      </c>
      <c r="AP38" s="29">
        <f t="shared" si="131"/>
        <v>-1.5109683819648798E-3</v>
      </c>
      <c r="AQ38" s="29">
        <f t="shared" si="131"/>
        <v>4.1374165241672906E-4</v>
      </c>
      <c r="AR38" s="29">
        <f t="shared" si="131"/>
        <v>9.953369833576788E-4</v>
      </c>
      <c r="AS38" s="29">
        <f t="shared" si="131"/>
        <v>5.8599472604746556E-5</v>
      </c>
      <c r="AT38" s="29">
        <f>AT21/AT7</f>
        <v>4.3949652186138868E-4</v>
      </c>
      <c r="AU38" s="29">
        <f>AU21/AU7</f>
        <v>1.9740411435555231E-3</v>
      </c>
      <c r="AV38" s="29">
        <f t="shared" ref="AV38:AW38" si="132">AV21/AV7</f>
        <v>8.6437823989435174E-4</v>
      </c>
      <c r="AW38" s="29">
        <f t="shared" si="132"/>
        <v>-1.2774638068484209E-3</v>
      </c>
      <c r="AX38" s="29">
        <f>AX21/AX7</f>
        <v>-5.083613197058958E-4</v>
      </c>
      <c r="AY38" s="29">
        <f>AY21/AY7</f>
        <v>2.5807349395788143E-4</v>
      </c>
      <c r="AZ38" s="29">
        <f t="shared" ref="AZ38:BA38" si="133">AZ21/AZ7</f>
        <v>1.1234044995116787E-3</v>
      </c>
      <c r="BA38" s="29">
        <f t="shared" si="133"/>
        <v>-2.0662896622818762E-4</v>
      </c>
      <c r="BB38" s="29">
        <f>BB21/BB7</f>
        <v>-6.4681990315467385E-4</v>
      </c>
      <c r="BC38" s="29">
        <f>BC21/BC7</f>
        <v>1.9080288326886522E-3</v>
      </c>
      <c r="BD38" s="29">
        <f t="shared" ref="BD38" si="134">BD21/BD7</f>
        <v>4.8641541191471813E-4</v>
      </c>
      <c r="BE38" s="29">
        <f>BE21/BE7</f>
        <v>1.0826480543644744E-3</v>
      </c>
      <c r="BF38" s="29">
        <f>BF21/BF7</f>
        <v>7.4725676731669452E-4</v>
      </c>
      <c r="BG38" s="29">
        <f>BG21/BG7</f>
        <v>1.8293193760753458E-4</v>
      </c>
      <c r="BH38" s="29">
        <f t="shared" ref="BH38" si="135">BH21/BH7</f>
        <v>6.2084693807477301E-5</v>
      </c>
      <c r="BI38" s="29">
        <f>BI21/BI7</f>
        <v>-2.5902792397080915E-4</v>
      </c>
      <c r="BJ38" s="322"/>
      <c r="BK38" s="322"/>
      <c r="BL38" s="29">
        <f>BL21/BL7</f>
        <v>-2.6084680609361202E-4</v>
      </c>
      <c r="BM38" s="29">
        <f>BM21/BM7</f>
        <v>3.9683118197310775E-4</v>
      </c>
    </row>
    <row r="39" spans="2:65" s="28" customFormat="1" ht="13.5" customHeight="1">
      <c r="B39" s="436" t="str">
        <f>B25</f>
        <v>Profit before tax</v>
      </c>
      <c r="C39" s="29">
        <f t="shared" ref="C39:H39" si="136">C25/C7</f>
        <v>0.10065988676017325</v>
      </c>
      <c r="D39" s="29">
        <f t="shared" si="136"/>
        <v>9.7656865318981365E-2</v>
      </c>
      <c r="E39" s="29">
        <f t="shared" si="136"/>
        <v>8.1336724473604252E-2</v>
      </c>
      <c r="F39" s="29">
        <f t="shared" si="136"/>
        <v>-3.4845288985605113E-2</v>
      </c>
      <c r="G39" s="29">
        <f t="shared" si="136"/>
        <v>-6.1095431415874042E-2</v>
      </c>
      <c r="H39" s="29">
        <f t="shared" si="136"/>
        <v>9.3032948309288266E-2</v>
      </c>
      <c r="I39" s="29">
        <f t="shared" ref="I39:N39" si="137">I25/I7</f>
        <v>9.3988699702005823E-2</v>
      </c>
      <c r="J39" s="29">
        <f t="shared" si="137"/>
        <v>8.6030056664567436E-2</v>
      </c>
      <c r="K39" s="29">
        <f t="shared" si="137"/>
        <v>0.11775965738507545</v>
      </c>
      <c r="L39" s="29">
        <f t="shared" si="137"/>
        <v>0.11543250851659634</v>
      </c>
      <c r="M39" s="29">
        <f t="shared" si="137"/>
        <v>0.11835270596683641</v>
      </c>
      <c r="N39" s="29">
        <f t="shared" si="137"/>
        <v>0.12979748869148394</v>
      </c>
      <c r="O39" s="29">
        <f t="shared" ref="O39" si="138">O25/O7</f>
        <v>0.12918575860622949</v>
      </c>
      <c r="P39" s="29">
        <f t="shared" ref="P39" si="139">P25/P7</f>
        <v>0.12628285867651853</v>
      </c>
      <c r="Q39" s="8"/>
      <c r="R39" s="59"/>
      <c r="S39" s="59"/>
      <c r="T39" s="84"/>
      <c r="U39" s="29">
        <f t="shared" ref="U39:AA39" si="140">U25/U7</f>
        <v>9.0648408506300501E-2</v>
      </c>
      <c r="V39" s="29">
        <f t="shared" si="140"/>
        <v>7.2523789287967322E-2</v>
      </c>
      <c r="W39" s="29">
        <f t="shared" si="140"/>
        <v>7.031182262520369E-2</v>
      </c>
      <c r="X39" s="29">
        <f t="shared" si="140"/>
        <v>8.9453384259291557E-2</v>
      </c>
      <c r="Y39" s="29">
        <f t="shared" si="140"/>
        <v>0.14237979568649858</v>
      </c>
      <c r="Z39" s="29">
        <f t="shared" si="140"/>
        <v>6.8614691551694654E-2</v>
      </c>
      <c r="AA39" s="29">
        <f t="shared" si="140"/>
        <v>9.3880132893057563E-2</v>
      </c>
      <c r="AB39" s="29">
        <f t="shared" ref="AB39:AG39" si="141">AB25/AB7</f>
        <v>-0.42463486012868884</v>
      </c>
      <c r="AC39" s="29">
        <f t="shared" si="141"/>
        <v>7.5171484319996776E-2</v>
      </c>
      <c r="AD39" s="29">
        <f t="shared" si="141"/>
        <v>9.3220873138906757E-2</v>
      </c>
      <c r="AE39" s="29">
        <f t="shared" si="141"/>
        <v>9.9525608182302452E-2</v>
      </c>
      <c r="AF39" s="29">
        <f t="shared" si="141"/>
        <v>0.10928577064423071</v>
      </c>
      <c r="AG39" s="29">
        <f t="shared" si="141"/>
        <v>8.8208128439440828E-2</v>
      </c>
      <c r="AH39" s="29">
        <f t="shared" ref="AH39:AM39" si="142">AH25/AH7</f>
        <v>9.9605672626601069E-2</v>
      </c>
      <c r="AI39" s="29">
        <f t="shared" si="142"/>
        <v>0.11425655395502299</v>
      </c>
      <c r="AJ39" s="29">
        <f t="shared" si="142"/>
        <v>7.4798803836432587E-2</v>
      </c>
      <c r="AK39" s="29">
        <f t="shared" si="142"/>
        <v>7.9667526811444789E-2</v>
      </c>
      <c r="AL39" s="29">
        <f t="shared" si="142"/>
        <v>6.7077716660296646E-2</v>
      </c>
      <c r="AM39" s="29">
        <f t="shared" si="142"/>
        <v>8.3427862404665085E-2</v>
      </c>
      <c r="AN39" s="29">
        <f t="shared" ref="AN39:AS39" si="143">AN25/AN7</f>
        <v>0.1113408764343415</v>
      </c>
      <c r="AO39" s="29">
        <f t="shared" si="143"/>
        <v>0.10664255774908747</v>
      </c>
      <c r="AP39" s="29">
        <f t="shared" si="143"/>
        <v>0.12421505440272498</v>
      </c>
      <c r="AQ39" s="29">
        <f t="shared" si="143"/>
        <v>0.10700401360016339</v>
      </c>
      <c r="AR39" s="29">
        <f t="shared" si="143"/>
        <v>0.13086827747168572</v>
      </c>
      <c r="AS39" s="29">
        <f t="shared" si="143"/>
        <v>8.7364996581697427E-2</v>
      </c>
      <c r="AT39" s="29">
        <f>AT25/AT7</f>
        <v>0.12273637318030461</v>
      </c>
      <c r="AU39" s="29">
        <f>AU25/AU7</f>
        <v>0.11685061160821371</v>
      </c>
      <c r="AV39" s="29">
        <f t="shared" ref="AV39:AW39" si="144">AV25/AV7</f>
        <v>0.13076361951063944</v>
      </c>
      <c r="AW39" s="29">
        <f t="shared" si="144"/>
        <v>0.10578267525315566</v>
      </c>
      <c r="AX39" s="29">
        <f>AX25/AX7</f>
        <v>0.11274987703131874</v>
      </c>
      <c r="AY39" s="29">
        <f>AY25/AY7</f>
        <v>0.1238716041948555</v>
      </c>
      <c r="AZ39" s="29">
        <f t="shared" ref="AZ39:BA39" si="145">AZ25/AZ7</f>
        <v>0.12967322062654771</v>
      </c>
      <c r="BA39" s="29">
        <f t="shared" si="145"/>
        <v>0.11763091586358899</v>
      </c>
      <c r="BB39" s="29">
        <f>BB25/BB7</f>
        <v>0.12601515157759108</v>
      </c>
      <c r="BC39" s="29">
        <f>BC25/BC7</f>
        <v>0.12721435573918244</v>
      </c>
      <c r="BD39" s="29">
        <f t="shared" ref="BD39" si="146">BD25/BD7</f>
        <v>0.1456391195749947</v>
      </c>
      <c r="BE39" s="29">
        <f>BE25/BE7</f>
        <v>0.11648599647152584</v>
      </c>
      <c r="BF39" s="29">
        <f>BF25/BF7</f>
        <v>0.11701137242462258</v>
      </c>
      <c r="BG39" s="29">
        <f>BG25/BG7</f>
        <v>0.12290227838198593</v>
      </c>
      <c r="BH39" s="29">
        <f t="shared" ref="BH39" si="147">BH25/BH7</f>
        <v>0.158231363857742</v>
      </c>
      <c r="BI39" s="29">
        <f>BI25/BI7</f>
        <v>0.10465132272317779</v>
      </c>
      <c r="BJ39" s="322"/>
      <c r="BK39" s="322"/>
      <c r="BL39" s="29">
        <f>BL25/BL7</f>
        <v>8.1406409717688533E-2</v>
      </c>
      <c r="BM39" s="29">
        <f>BM25/BM7</f>
        <v>0.10036797569152597</v>
      </c>
    </row>
    <row r="40" spans="2:65" s="28" customFormat="1" ht="13.5" customHeight="1">
      <c r="B40" s="437" t="s">
        <v>291</v>
      </c>
      <c r="C40" s="29">
        <f t="shared" ref="C40:H40" si="148">C26/C25</f>
        <v>-0.26040331827072233</v>
      </c>
      <c r="D40" s="29">
        <f t="shared" si="148"/>
        <v>-0.30586732979366893</v>
      </c>
      <c r="E40" s="29">
        <f t="shared" si="148"/>
        <v>-0.27173988239363545</v>
      </c>
      <c r="F40" s="29">
        <f t="shared" si="148"/>
        <v>0.64128206305397217</v>
      </c>
      <c r="G40" s="29">
        <f t="shared" si="148"/>
        <v>0.37370209917230229</v>
      </c>
      <c r="H40" s="29">
        <f t="shared" si="148"/>
        <v>-0.31008139071618646</v>
      </c>
      <c r="I40" s="29">
        <f t="shared" ref="I40:N40" si="149">I26/I25</f>
        <v>-0.30898324435721181</v>
      </c>
      <c r="J40" s="29">
        <f t="shared" si="149"/>
        <v>-0.3436326226903933</v>
      </c>
      <c r="K40" s="29">
        <f t="shared" si="149"/>
        <v>-0.2880858469623539</v>
      </c>
      <c r="L40" s="29">
        <f t="shared" si="149"/>
        <v>-0.25014992852879808</v>
      </c>
      <c r="M40" s="29">
        <f t="shared" si="149"/>
        <v>-0.30272182811578019</v>
      </c>
      <c r="N40" s="29">
        <f t="shared" si="149"/>
        <v>-0.3240316777465439</v>
      </c>
      <c r="O40" s="29">
        <f t="shared" ref="O40" si="150">O26/O25</f>
        <v>-0.33626932560761158</v>
      </c>
      <c r="P40" s="29">
        <f t="shared" ref="P40" si="151">P26/P25</f>
        <v>-0.34328827123535338</v>
      </c>
      <c r="Q40" s="8"/>
      <c r="R40" s="59"/>
      <c r="S40" s="59"/>
      <c r="T40" s="84"/>
      <c r="U40" s="29">
        <f t="shared" ref="U40:AA40" si="152">U26/U25</f>
        <v>-0.26043340640831497</v>
      </c>
      <c r="V40" s="29">
        <f t="shared" si="152"/>
        <v>-0.259571565091062</v>
      </c>
      <c r="W40" s="29">
        <f t="shared" si="152"/>
        <v>-0.23189084739752069</v>
      </c>
      <c r="X40" s="29">
        <f t="shared" si="152"/>
        <v>-0.30852196983808983</v>
      </c>
      <c r="Y40" s="29">
        <f t="shared" si="152"/>
        <v>-0.1714765183734854</v>
      </c>
      <c r="Z40" s="29">
        <f t="shared" si="152"/>
        <v>-0.24726106865077965</v>
      </c>
      <c r="AA40" s="29">
        <f t="shared" si="152"/>
        <v>-0.27965853905901866</v>
      </c>
      <c r="AB40" s="29">
        <f t="shared" ref="AB40:AG40" si="153">AB26/AB25</f>
        <v>5.1305163778051138E-2</v>
      </c>
      <c r="AC40" s="29">
        <f t="shared" si="153"/>
        <v>-0.32004281509232002</v>
      </c>
      <c r="AD40" s="29">
        <f t="shared" si="153"/>
        <v>-0.34261572595701245</v>
      </c>
      <c r="AE40" s="29">
        <f t="shared" si="153"/>
        <v>-0.31446958109499157</v>
      </c>
      <c r="AF40" s="29">
        <f t="shared" si="153"/>
        <v>-0.25615798249359539</v>
      </c>
      <c r="AG40" s="29">
        <f t="shared" si="153"/>
        <v>-0.32625007291378422</v>
      </c>
      <c r="AH40" s="29">
        <f t="shared" ref="AH40:AM40" si="154">AH26/AH25</f>
        <v>-0.24716837130001318</v>
      </c>
      <c r="AI40" s="29">
        <f t="shared" si="154"/>
        <v>-0.25865300771128569</v>
      </c>
      <c r="AJ40" s="29">
        <f t="shared" si="154"/>
        <v>-0.43996468408872158</v>
      </c>
      <c r="AK40" s="29">
        <f t="shared" si="154"/>
        <v>-0.31056896081688323</v>
      </c>
      <c r="AL40" s="29">
        <f t="shared" si="154"/>
        <v>-0.33553862536262474</v>
      </c>
      <c r="AM40" s="29">
        <f t="shared" si="154"/>
        <v>-0.33857973510049488</v>
      </c>
      <c r="AN40" s="29">
        <f t="shared" ref="AN40:AS40" si="155">AN26/AN25</f>
        <v>-0.37375846593751988</v>
      </c>
      <c r="AO40" s="29">
        <f t="shared" si="155"/>
        <v>-0.34822265348563974</v>
      </c>
      <c r="AP40" s="29">
        <f t="shared" si="155"/>
        <v>-0.38200637971505236</v>
      </c>
      <c r="AQ40" s="29">
        <f t="shared" si="155"/>
        <v>-0.3282252848071468</v>
      </c>
      <c r="AR40" s="29">
        <f t="shared" si="155"/>
        <v>-0.1393077262131957</v>
      </c>
      <c r="AS40" s="29">
        <f t="shared" si="155"/>
        <v>-0.29535056502284662</v>
      </c>
      <c r="AT40" s="29">
        <f>AT26/AT25</f>
        <v>-0.34948979382408857</v>
      </c>
      <c r="AU40" s="29">
        <f>AU26/AU25</f>
        <v>-0.32472037306449947</v>
      </c>
      <c r="AV40" s="29">
        <f t="shared" ref="AV40:AW40" si="156">AV26/AV25</f>
        <v>-7.523883387519617E-2</v>
      </c>
      <c r="AW40" s="29">
        <f t="shared" si="156"/>
        <v>-0.32785703410838413</v>
      </c>
      <c r="AX40" s="29">
        <f>AX26/AX25</f>
        <v>-0.27160508274191464</v>
      </c>
      <c r="AY40" s="29">
        <f>AY26/AY25</f>
        <v>-0.29192409071440173</v>
      </c>
      <c r="AZ40" s="29">
        <f t="shared" ref="AZ40:BA40" si="157">AZ26/AZ25</f>
        <v>-0.32059787435011677</v>
      </c>
      <c r="BA40" s="29">
        <f t="shared" si="157"/>
        <v>-0.30088756310696241</v>
      </c>
      <c r="BB40" s="29">
        <f>BB26/BB25</f>
        <v>-0.34774527297867708</v>
      </c>
      <c r="BC40" s="29">
        <f>BC26/BC25</f>
        <v>-0.30845212479940709</v>
      </c>
      <c r="BD40" s="29">
        <f t="shared" ref="BD40" si="158">BD26/BD25</f>
        <v>-0.33332193365373614</v>
      </c>
      <c r="BE40" s="29">
        <f>BE26/BE25</f>
        <v>-0.32803089304320326</v>
      </c>
      <c r="BF40" s="29">
        <f>BF26/BF25</f>
        <v>-0.35500973097413202</v>
      </c>
      <c r="BG40" s="29">
        <f>BG26/BG25</f>
        <v>-0.30533373456752333</v>
      </c>
      <c r="BH40" s="29">
        <f t="shared" ref="BH40" si="159">BH26/BH25</f>
        <v>-0.35114445699446839</v>
      </c>
      <c r="BI40" s="29">
        <f>BI26/BI25</f>
        <v>-0.36213008278125169</v>
      </c>
      <c r="BJ40" s="322"/>
      <c r="BK40" s="322"/>
      <c r="BL40" s="29">
        <f>BL26/BL25</f>
        <v>-0.30684261174514049</v>
      </c>
      <c r="BM40" s="29">
        <f>BM26/BM25</f>
        <v>-0.31233453324703209</v>
      </c>
    </row>
    <row r="41" spans="2:65" s="28" customFormat="1" ht="13.5" customHeight="1">
      <c r="B41" s="1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8"/>
      <c r="R41" s="181"/>
      <c r="S41" s="181"/>
      <c r="T41" s="80"/>
      <c r="U41" s="60"/>
      <c r="V41" s="60"/>
      <c r="W41" s="60"/>
      <c r="X41" s="60"/>
      <c r="Y41" s="60"/>
      <c r="Z41" s="60"/>
      <c r="AA41" s="322"/>
      <c r="AB41" s="322"/>
      <c r="AC41" s="322"/>
      <c r="AD41" s="322"/>
      <c r="AE41" s="322"/>
      <c r="AF41" s="322"/>
      <c r="AG41" s="322"/>
      <c r="AH41" s="322"/>
      <c r="AI41" s="322"/>
      <c r="AJ41" s="322"/>
      <c r="AK41" s="322"/>
      <c r="AL41" s="322"/>
      <c r="AM41" s="322"/>
      <c r="AN41" s="322"/>
      <c r="AO41" s="322"/>
      <c r="AP41" s="322"/>
      <c r="AQ41" s="322"/>
      <c r="AR41" s="322"/>
      <c r="AS41" s="322"/>
      <c r="AT41" s="322"/>
      <c r="AU41" s="322"/>
      <c r="AV41" s="322"/>
      <c r="AW41" s="322"/>
      <c r="AX41" s="322"/>
      <c r="AY41" s="322"/>
      <c r="AZ41" s="322"/>
      <c r="BA41" s="322"/>
      <c r="BB41" s="322"/>
      <c r="BC41" s="322"/>
      <c r="BD41" s="322"/>
      <c r="BE41" s="322"/>
      <c r="BF41" s="322"/>
      <c r="BG41" s="322"/>
      <c r="BH41" s="322"/>
      <c r="BI41" s="322"/>
      <c r="BJ41" s="322"/>
      <c r="BK41" s="322"/>
      <c r="BL41" s="322"/>
      <c r="BM41" s="322"/>
    </row>
    <row r="42" spans="2:65" s="28" customFormat="1" ht="13.5" customHeight="1">
      <c r="B42" s="22" t="s">
        <v>292</v>
      </c>
      <c r="C42" s="29">
        <f t="shared" ref="C42:H42" si="160">-C69/C7</f>
        <v>7.2743689663131883E-2</v>
      </c>
      <c r="D42" s="29">
        <f t="shared" si="160"/>
        <v>6.768180624835915E-2</v>
      </c>
      <c r="E42" s="29">
        <f t="shared" si="160"/>
        <v>5.617889015181355E-2</v>
      </c>
      <c r="F42" s="29">
        <f t="shared" si="160"/>
        <v>5.2737214008346231E-2</v>
      </c>
      <c r="G42" s="29">
        <f t="shared" si="160"/>
        <v>5.1242100275184853E-2</v>
      </c>
      <c r="H42" s="29">
        <f t="shared" si="160"/>
        <v>5.2202064398657558E-2</v>
      </c>
      <c r="I42" s="29">
        <f t="shared" ref="I42:M42" si="161">-I69/I7</f>
        <v>5.139095803487409E-2</v>
      </c>
      <c r="J42" s="29">
        <f t="shared" si="161"/>
        <v>5.1090703587878927E-2</v>
      </c>
      <c r="K42" s="29">
        <f t="shared" si="161"/>
        <v>4.6636708883479677E-2</v>
      </c>
      <c r="L42" s="29">
        <f t="shared" si="161"/>
        <v>7.2474980854170493E-2</v>
      </c>
      <c r="M42" s="29">
        <f t="shared" si="161"/>
        <v>7.929688928058494E-2</v>
      </c>
      <c r="N42" s="29">
        <f t="shared" ref="N42:O42" si="162">-N69/N7</f>
        <v>8.3876146274140195E-2</v>
      </c>
      <c r="O42" s="29">
        <f t="shared" si="162"/>
        <v>7.2666940132024418E-2</v>
      </c>
      <c r="P42" s="29">
        <f t="shared" ref="P42" si="163">-P69/P7</f>
        <v>6.6843713028224616E-2</v>
      </c>
      <c r="Q42" s="8"/>
      <c r="R42" s="29"/>
      <c r="S42" s="29"/>
      <c r="T42" s="438"/>
      <c r="U42" s="29">
        <f t="shared" ref="U42:AA42" si="164">-U69/U7</f>
        <v>3.1033765248765721E-2</v>
      </c>
      <c r="V42" s="29">
        <f t="shared" si="164"/>
        <v>5.5990445725589942E-2</v>
      </c>
      <c r="W42" s="29">
        <f t="shared" si="164"/>
        <v>5.9050506481547062E-2</v>
      </c>
      <c r="X42" s="29">
        <f t="shared" si="164"/>
        <v>7.021432326428774E-2</v>
      </c>
      <c r="Y42" s="29">
        <f t="shared" si="164"/>
        <v>2.6998491939323195E-2</v>
      </c>
      <c r="Z42" s="29">
        <f t="shared" si="164"/>
        <v>5.0778281616695939E-2</v>
      </c>
      <c r="AA42" s="29">
        <f t="shared" si="164"/>
        <v>4.7187610153353744E-2</v>
      </c>
      <c r="AB42" s="29">
        <f t="shared" ref="AB42:AG42" si="165">-AB69/AB7</f>
        <v>8.472787160731117E-2</v>
      </c>
      <c r="AC42" s="29">
        <f t="shared" si="165"/>
        <v>3.0515217347575081E-2</v>
      </c>
      <c r="AD42" s="29">
        <f t="shared" si="165"/>
        <v>4.5638956429450254E-2</v>
      </c>
      <c r="AE42" s="29">
        <f t="shared" si="165"/>
        <v>4.4642189948682506E-2</v>
      </c>
      <c r="AF42" s="29">
        <f t="shared" si="165"/>
        <v>0.10038786923024876</v>
      </c>
      <c r="AG42" s="29">
        <f t="shared" si="165"/>
        <v>2.8599497281337191E-2</v>
      </c>
      <c r="AH42" s="29">
        <f>-AH69/AH7</f>
        <v>4.1503053023661245E-2</v>
      </c>
      <c r="AI42" s="29">
        <f>-AI69/AI7</f>
        <v>4.9483729884115757E-2</v>
      </c>
      <c r="AJ42" s="29">
        <f>-AJ69/AJ7</f>
        <v>8.2844915567166541E-2</v>
      </c>
      <c r="AK42" s="29">
        <f>-AK69/AK7</f>
        <v>3.8854164331728093E-2</v>
      </c>
      <c r="AL42" s="29">
        <f>-AL69/AL7</f>
        <v>3.4660474934346881E-2</v>
      </c>
      <c r="AM42" s="29"/>
      <c r="AN42" s="29">
        <f>-AN69/AN7</f>
        <v>0</v>
      </c>
      <c r="AO42" s="29"/>
      <c r="AP42" s="29">
        <f>-AP69/AP7</f>
        <v>7.3408292112612336E-2</v>
      </c>
      <c r="AQ42" s="29"/>
      <c r="AR42" s="29">
        <f t="shared" ref="AR42:AW42" si="166">-AR69/AR7</f>
        <v>0</v>
      </c>
      <c r="AS42" s="29">
        <f t="shared" si="166"/>
        <v>6.7351401504053124E-2</v>
      </c>
      <c r="AT42" s="29">
        <f t="shared" si="166"/>
        <v>5.3145596822443644E-2</v>
      </c>
      <c r="AU42" s="29">
        <f t="shared" si="166"/>
        <v>6.8454900601280746E-2</v>
      </c>
      <c r="AV42" s="29">
        <f t="shared" si="166"/>
        <v>9.8637370189920748E-2</v>
      </c>
      <c r="AW42" s="29">
        <f t="shared" si="166"/>
        <v>5.9829161009012304E-2</v>
      </c>
      <c r="AX42" s="29">
        <f>-AX69/AX7</f>
        <v>4.3314420022439508E-2</v>
      </c>
      <c r="AY42" s="29">
        <f t="shared" ref="AY42:BA42" si="167">-AY69/AY7</f>
        <v>8.0453711469015254E-2</v>
      </c>
      <c r="AZ42" s="29">
        <f t="shared" si="167"/>
        <v>0.13058600567783044</v>
      </c>
      <c r="BA42" s="29">
        <f t="shared" si="167"/>
        <v>5.5291471844939641E-2</v>
      </c>
      <c r="BB42" s="29">
        <f>-BB69/BB7</f>
        <v>7.6634417287590822E-2</v>
      </c>
      <c r="BC42" s="29">
        <f t="shared" ref="BC42:BE42" si="168">-BC69/BC7</f>
        <v>8.3917579613448937E-2</v>
      </c>
      <c r="BD42" s="29">
        <f t="shared" si="168"/>
        <v>0.11408236749001446</v>
      </c>
      <c r="BE42" s="29">
        <f t="shared" si="168"/>
        <v>7.6020253732688184E-2</v>
      </c>
      <c r="BF42" s="29">
        <f t="shared" ref="BF42:BI42" si="169">-BF69/BF7</f>
        <v>5.4713265693774542E-2</v>
      </c>
      <c r="BG42" s="29">
        <f t="shared" si="169"/>
        <v>7.116389112472371E-2</v>
      </c>
      <c r="BH42" s="29">
        <f t="shared" si="169"/>
        <v>8.805866704425637E-2</v>
      </c>
      <c r="BI42" s="29">
        <f t="shared" si="169"/>
        <v>5.1967450092837535E-2</v>
      </c>
      <c r="BJ42" s="322"/>
      <c r="BK42" s="322"/>
      <c r="BL42" s="60">
        <f>-BL69/BL7</f>
        <v>0</v>
      </c>
      <c r="BM42" s="60">
        <f>-BM69/BM7</f>
        <v>0</v>
      </c>
    </row>
    <row r="43" spans="2:65" s="28" customFormat="1" ht="13.5" customHeight="1">
      <c r="B43" s="22" t="s">
        <v>293</v>
      </c>
      <c r="C43" s="29">
        <f t="shared" ref="C43:H43" si="170">C47/C7</f>
        <v>4.717647218563728E-2</v>
      </c>
      <c r="D43" s="29">
        <f t="shared" si="170"/>
        <v>4.6888947230244157E-2</v>
      </c>
      <c r="E43" s="29">
        <f t="shared" si="170"/>
        <v>4.8762646439865408E-2</v>
      </c>
      <c r="F43" s="29">
        <f t="shared" si="170"/>
        <v>6.5614869453178848E-2</v>
      </c>
      <c r="G43" s="29">
        <f t="shared" si="170"/>
        <v>5.2564778943105468E-2</v>
      </c>
      <c r="H43" s="29">
        <f t="shared" si="170"/>
        <v>5.4996593309804317E-2</v>
      </c>
      <c r="I43" s="29">
        <f t="shared" ref="I43:M43" si="171">I47/I7</f>
        <v>5.4722421337885858E-2</v>
      </c>
      <c r="J43" s="29">
        <f t="shared" si="171"/>
        <v>5.1210519756617161E-2</v>
      </c>
      <c r="K43" s="29">
        <f t="shared" si="171"/>
        <v>5.0481606511848007E-2</v>
      </c>
      <c r="L43" s="29">
        <f t="shared" si="171"/>
        <v>4.5977707990307752E-2</v>
      </c>
      <c r="M43" s="29">
        <f t="shared" si="171"/>
        <v>4.9929640748436234E-2</v>
      </c>
      <c r="N43" s="29">
        <f t="shared" ref="N43:O43" si="172">N47/N7</f>
        <v>5.7415428035762231E-2</v>
      </c>
      <c r="O43" s="29">
        <f t="shared" si="172"/>
        <v>5.5435328714060546E-2</v>
      </c>
      <c r="P43" s="29">
        <f t="shared" ref="P43" si="173">P47/P7</f>
        <v>5.6437673573170449E-2</v>
      </c>
      <c r="Q43" s="8"/>
      <c r="R43" s="59"/>
      <c r="S43" s="59"/>
      <c r="T43" s="84"/>
      <c r="U43" s="29">
        <f t="shared" ref="U43:AA43" si="174">U47/U7</f>
        <v>4.9805709086020639E-2</v>
      </c>
      <c r="V43" s="29">
        <f t="shared" si="174"/>
        <v>4.9284471019038142E-2</v>
      </c>
      <c r="W43" s="29">
        <f t="shared" si="174"/>
        <v>5.1383178673466978E-2</v>
      </c>
      <c r="X43" s="29">
        <f t="shared" si="174"/>
        <v>4.5839413856040144E-2</v>
      </c>
      <c r="Y43" s="29">
        <f t="shared" si="174"/>
        <v>5.5176834474520202E-2</v>
      </c>
      <c r="Z43" s="29">
        <f t="shared" si="174"/>
        <v>5.3987321859270389E-2</v>
      </c>
      <c r="AA43" s="29">
        <f t="shared" si="174"/>
        <v>6.9818811660555466E-2</v>
      </c>
      <c r="AB43" s="29">
        <f t="shared" ref="AB43:AG43" si="175">AB47/AB7</f>
        <v>8.2822435203510236E-2</v>
      </c>
      <c r="AC43" s="29">
        <f t="shared" si="175"/>
        <v>5.548331422364372E-2</v>
      </c>
      <c r="AD43" s="29">
        <f t="shared" si="175"/>
        <v>5.5801728622392362E-2</v>
      </c>
      <c r="AE43" s="29">
        <f t="shared" si="175"/>
        <v>3.7818272735297379E-2</v>
      </c>
      <c r="AF43" s="29">
        <f t="shared" si="175"/>
        <v>7.401731742359402E-2</v>
      </c>
      <c r="AG43" s="29">
        <f t="shared" si="175"/>
        <v>5.793286832462459E-2</v>
      </c>
      <c r="AH43" s="29">
        <f>AH47/AH7</f>
        <v>4.8911981826675048E-2</v>
      </c>
      <c r="AI43" s="29">
        <f>AI47/AI7</f>
        <v>5.9899152472221766E-2</v>
      </c>
      <c r="AJ43" s="29">
        <f>AJ47/AJ7</f>
        <v>5.2359499993816748E-2</v>
      </c>
      <c r="AK43" s="29">
        <f>AK47/AK7</f>
        <v>5.993326394575841E-2</v>
      </c>
      <c r="AL43" s="29">
        <f>AL47/AL7</f>
        <v>5.4694599408735695E-2</v>
      </c>
      <c r="AM43" s="29"/>
      <c r="AN43" s="29">
        <f>AN47/AN7</f>
        <v>4.4669664741033857E-2</v>
      </c>
      <c r="AO43" s="29"/>
      <c r="AP43" s="29">
        <f>AP47/AP7</f>
        <v>5.0866524489254085E-2</v>
      </c>
      <c r="AQ43" s="29"/>
      <c r="AR43" s="29">
        <f t="shared" ref="AR43:AW43" si="176">AR47/AR7</f>
        <v>4.6032509468209463E-2</v>
      </c>
      <c r="AS43" s="29">
        <f t="shared" si="176"/>
        <v>4.9830549858384601E-2</v>
      </c>
      <c r="AT43" s="29">
        <f t="shared" si="176"/>
        <v>5.1554617226733448E-2</v>
      </c>
      <c r="AU43" s="29">
        <f t="shared" si="176"/>
        <v>5.7650602068981448E-2</v>
      </c>
      <c r="AV43" s="29">
        <f t="shared" si="176"/>
        <v>2.6624016435428957E-2</v>
      </c>
      <c r="AW43" s="29">
        <f t="shared" si="176"/>
        <v>4.3735892621907295E-2</v>
      </c>
      <c r="AX43" s="29">
        <f>AX47/AX7</f>
        <v>4.6826695133973799E-2</v>
      </c>
      <c r="AY43" s="29">
        <f t="shared" ref="AY43:BA43" si="177">AY47/AY7</f>
        <v>5.3620993720768804E-2</v>
      </c>
      <c r="AZ43" s="29">
        <f t="shared" si="177"/>
        <v>5.4876173718327773E-2</v>
      </c>
      <c r="BA43" s="29">
        <f t="shared" si="177"/>
        <v>5.2144553424588479E-2</v>
      </c>
      <c r="BB43" s="29">
        <f>BB47/BB7</f>
        <v>6.0126211624737538E-2</v>
      </c>
      <c r="BC43" s="29">
        <f t="shared" ref="BC43:BE43" si="178">BC47/BC7</f>
        <v>6.2680294110033757E-2</v>
      </c>
      <c r="BD43" s="29">
        <f t="shared" si="178"/>
        <v>5.4576288154257663E-2</v>
      </c>
      <c r="BE43" s="29">
        <f t="shared" si="178"/>
        <v>5.7107549427201643E-2</v>
      </c>
      <c r="BF43" s="29">
        <f t="shared" ref="BF43:BI43" si="179">BF47/BF7</f>
        <v>4.9661917048281885E-2</v>
      </c>
      <c r="BG43" s="29">
        <f t="shared" si="179"/>
        <v>5.7832795051967589E-2</v>
      </c>
      <c r="BH43" s="29">
        <f t="shared" si="179"/>
        <v>5.7145495385941818E-2</v>
      </c>
      <c r="BI43" s="29">
        <f t="shared" si="179"/>
        <v>6.1223352691760928E-2</v>
      </c>
      <c r="BJ43" s="322"/>
      <c r="BK43" s="322"/>
      <c r="BL43" s="60">
        <f>BL47/BL7</f>
        <v>5.3171750714830955E-2</v>
      </c>
      <c r="BM43" s="60">
        <f>BM47/BM7</f>
        <v>5.510229112094326E-2</v>
      </c>
    </row>
    <row r="44" spans="2:65" s="28" customFormat="1" ht="13.5" customHeight="1"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8"/>
      <c r="R44" s="60"/>
      <c r="S44" s="60"/>
      <c r="T44" s="79"/>
      <c r="U44" s="60"/>
      <c r="Y44" s="60"/>
      <c r="Z44" s="60"/>
    </row>
    <row r="45" spans="2:65" ht="13.5" customHeight="1">
      <c r="B45" s="17" t="s">
        <v>294</v>
      </c>
      <c r="C45" s="47">
        <f>C3</f>
        <v>41975</v>
      </c>
      <c r="D45" s="47">
        <f t="shared" ref="D45:AD45" si="180">D3</f>
        <v>42341</v>
      </c>
      <c r="E45" s="47">
        <f t="shared" si="180"/>
        <v>42708</v>
      </c>
      <c r="F45" s="47">
        <f t="shared" si="180"/>
        <v>43073</v>
      </c>
      <c r="G45" s="47">
        <f t="shared" ref="G45:L45" si="181">G3</f>
        <v>43073</v>
      </c>
      <c r="H45" s="47">
        <f t="shared" si="181"/>
        <v>43438</v>
      </c>
      <c r="I45" s="47">
        <f t="shared" si="181"/>
        <v>43803</v>
      </c>
      <c r="J45" s="47">
        <f t="shared" si="181"/>
        <v>44169</v>
      </c>
      <c r="K45" s="47">
        <f t="shared" si="181"/>
        <v>44534</v>
      </c>
      <c r="L45" s="47">
        <f t="shared" si="181"/>
        <v>44899</v>
      </c>
      <c r="M45" s="47">
        <f t="shared" ref="M45:N45" si="182">M3</f>
        <v>45264</v>
      </c>
      <c r="N45" s="47">
        <f t="shared" si="182"/>
        <v>45630</v>
      </c>
      <c r="O45" s="47">
        <f t="shared" ref="O45" si="183">O3</f>
        <v>45995</v>
      </c>
      <c r="P45" s="311" t="s">
        <v>255</v>
      </c>
      <c r="Q45" s="8"/>
      <c r="R45" s="47">
        <f t="shared" si="180"/>
        <v>43439</v>
      </c>
      <c r="S45" s="47">
        <f t="shared" si="180"/>
        <v>43805</v>
      </c>
      <c r="T45" s="81">
        <f t="shared" si="180"/>
        <v>44172</v>
      </c>
      <c r="U45" s="47">
        <f t="shared" si="180"/>
        <v>42437</v>
      </c>
      <c r="V45" s="47">
        <f t="shared" si="180"/>
        <v>42527</v>
      </c>
      <c r="W45" s="47">
        <f t="shared" si="180"/>
        <v>42622</v>
      </c>
      <c r="X45" s="47">
        <f t="shared" si="180"/>
        <v>42714</v>
      </c>
      <c r="Y45" s="47">
        <f t="shared" si="180"/>
        <v>42801</v>
      </c>
      <c r="Z45" s="47">
        <f t="shared" si="180"/>
        <v>42892</v>
      </c>
      <c r="AA45" s="47">
        <f t="shared" si="180"/>
        <v>42987</v>
      </c>
      <c r="AB45" s="47">
        <f t="shared" si="180"/>
        <v>43100</v>
      </c>
      <c r="AC45" s="47">
        <f t="shared" si="180"/>
        <v>43190</v>
      </c>
      <c r="AD45" s="47">
        <f t="shared" si="180"/>
        <v>43281</v>
      </c>
      <c r="AE45" s="47">
        <f t="shared" ref="AE45:AJ45" si="184">AE3</f>
        <v>43373</v>
      </c>
      <c r="AF45" s="47">
        <f t="shared" si="184"/>
        <v>43465</v>
      </c>
      <c r="AG45" s="47">
        <f t="shared" si="184"/>
        <v>43555</v>
      </c>
      <c r="AH45" s="47">
        <f t="shared" si="184"/>
        <v>43646</v>
      </c>
      <c r="AI45" s="47">
        <f t="shared" si="184"/>
        <v>43738</v>
      </c>
      <c r="AJ45" s="47">
        <f t="shared" si="184"/>
        <v>43830</v>
      </c>
      <c r="AK45" s="47">
        <f t="shared" ref="AK45:AP45" si="185">AK3</f>
        <v>43921</v>
      </c>
      <c r="AL45" s="47">
        <f t="shared" si="185"/>
        <v>44012</v>
      </c>
      <c r="AM45" s="47">
        <f t="shared" si="185"/>
        <v>44104</v>
      </c>
      <c r="AN45" s="47">
        <f t="shared" si="185"/>
        <v>44196</v>
      </c>
      <c r="AO45" s="47">
        <f t="shared" si="185"/>
        <v>44286</v>
      </c>
      <c r="AP45" s="47">
        <f t="shared" si="185"/>
        <v>44377</v>
      </c>
      <c r="AQ45" s="47">
        <f t="shared" ref="AQ45:AV45" si="186">AQ3</f>
        <v>44469</v>
      </c>
      <c r="AR45" s="47">
        <f t="shared" si="186"/>
        <v>44561</v>
      </c>
      <c r="AS45" s="47">
        <f t="shared" si="186"/>
        <v>44651</v>
      </c>
      <c r="AT45" s="47">
        <f t="shared" si="186"/>
        <v>44742</v>
      </c>
      <c r="AU45" s="47">
        <f t="shared" si="186"/>
        <v>44834</v>
      </c>
      <c r="AV45" s="47">
        <f t="shared" si="186"/>
        <v>44926</v>
      </c>
      <c r="AW45" s="47">
        <f t="shared" ref="AW45:AZ45" si="187">AW3</f>
        <v>45016</v>
      </c>
      <c r="AX45" s="47">
        <f t="shared" si="187"/>
        <v>45107</v>
      </c>
      <c r="AY45" s="47">
        <f t="shared" si="187"/>
        <v>45199</v>
      </c>
      <c r="AZ45" s="47">
        <f t="shared" si="187"/>
        <v>45291</v>
      </c>
      <c r="BA45" s="47">
        <f t="shared" ref="BA45:BD45" si="188">BA3</f>
        <v>45382</v>
      </c>
      <c r="BB45" s="47">
        <f t="shared" si="188"/>
        <v>45473</v>
      </c>
      <c r="BC45" s="47">
        <f t="shared" si="188"/>
        <v>45565</v>
      </c>
      <c r="BD45" s="47">
        <f t="shared" si="188"/>
        <v>45657</v>
      </c>
      <c r="BE45" s="47">
        <f t="shared" ref="BE45:BH45" si="189">BE3</f>
        <v>45747</v>
      </c>
      <c r="BF45" s="311">
        <f t="shared" si="189"/>
        <v>45838</v>
      </c>
      <c r="BG45" s="311">
        <f t="shared" si="189"/>
        <v>45930</v>
      </c>
      <c r="BH45" s="311">
        <f t="shared" si="189"/>
        <v>46022</v>
      </c>
      <c r="BI45" s="47">
        <f t="shared" ref="BI45" si="190">BI3</f>
        <v>46112</v>
      </c>
      <c r="BJ45" s="28"/>
      <c r="BK45" s="328"/>
      <c r="BL45" s="47">
        <f>BL3</f>
        <v>43190</v>
      </c>
      <c r="BM45" s="47">
        <f>BM3</f>
        <v>43281</v>
      </c>
    </row>
    <row r="46" spans="2:65" s="5" customFormat="1" ht="13.5" customHeight="1">
      <c r="B46" s="16" t="s">
        <v>295</v>
      </c>
      <c r="C46" s="8">
        <f t="shared" ref="C46:H46" si="191">C17</f>
        <v>20743</v>
      </c>
      <c r="D46" s="8">
        <f t="shared" si="191"/>
        <v>22644</v>
      </c>
      <c r="E46" s="8">
        <f t="shared" si="191"/>
        <v>23920</v>
      </c>
      <c r="F46" s="8">
        <f t="shared" si="191"/>
        <v>26174.22600000001</v>
      </c>
      <c r="G46" s="8">
        <f t="shared" si="191"/>
        <v>24995.742141093779</v>
      </c>
      <c r="H46" s="8">
        <f t="shared" si="191"/>
        <v>24672.533489277554</v>
      </c>
      <c r="I46" s="8">
        <f t="shared" ref="I46:N46" si="192">I17</f>
        <v>25423.116514418507</v>
      </c>
      <c r="J46" s="8">
        <f t="shared" si="192"/>
        <v>25243.08642905231</v>
      </c>
      <c r="K46" s="8">
        <f t="shared" si="192"/>
        <v>27402.422965625803</v>
      </c>
      <c r="L46" s="8">
        <f t="shared" si="192"/>
        <v>30837.974267880199</v>
      </c>
      <c r="M46" s="8">
        <f t="shared" si="192"/>
        <v>34180.828000000001</v>
      </c>
      <c r="N46" s="8">
        <f t="shared" si="192"/>
        <v>40140.776659286785</v>
      </c>
      <c r="O46" s="8">
        <f t="shared" ref="O46" si="193">O17</f>
        <v>42936.606981421646</v>
      </c>
      <c r="P46" s="8">
        <f t="shared" ref="P46" si="194">P17</f>
        <v>42720.419163173297</v>
      </c>
      <c r="Q46" s="8"/>
      <c r="R46" s="48"/>
      <c r="S46" s="48"/>
      <c r="T46" s="83"/>
      <c r="U46" s="8">
        <f t="shared" ref="U46:AA46" si="195">U17</f>
        <v>4907.7560000000012</v>
      </c>
      <c r="V46" s="8">
        <f t="shared" si="195"/>
        <v>6004.4959999999974</v>
      </c>
      <c r="W46" s="8">
        <f t="shared" si="195"/>
        <v>5643.7760000000017</v>
      </c>
      <c r="X46" s="8">
        <f t="shared" si="195"/>
        <v>7363.9720000000088</v>
      </c>
      <c r="Y46" s="8">
        <f t="shared" si="195"/>
        <v>6090.248999999998</v>
      </c>
      <c r="Z46" s="8">
        <f t="shared" si="195"/>
        <v>6490.1109999999971</v>
      </c>
      <c r="AA46" s="8">
        <f t="shared" si="195"/>
        <v>5486.2710000000006</v>
      </c>
      <c r="AB46" s="8">
        <f t="shared" ref="AB46:AG46" si="196">AB17</f>
        <v>8107.595000000003</v>
      </c>
      <c r="AC46" s="8">
        <f t="shared" si="196"/>
        <v>5883</v>
      </c>
      <c r="AD46" s="8">
        <f t="shared" si="196"/>
        <v>6276.5010000000002</v>
      </c>
      <c r="AE46" s="8">
        <f t="shared" si="196"/>
        <v>5777.4790712590484</v>
      </c>
      <c r="AF46" s="8">
        <f t="shared" si="196"/>
        <v>6735.5534180185041</v>
      </c>
      <c r="AG46" s="8">
        <f t="shared" si="196"/>
        <v>5714.3533903725129</v>
      </c>
      <c r="AH46" s="8">
        <f t="shared" ref="AH46:AM46" si="197">AH17</f>
        <v>6337.8052731674334</v>
      </c>
      <c r="AI46" s="8">
        <f t="shared" si="197"/>
        <v>7012.6769140409187</v>
      </c>
      <c r="AJ46" s="8">
        <f t="shared" si="197"/>
        <v>6358.2809368376502</v>
      </c>
      <c r="AK46" s="8">
        <f t="shared" si="197"/>
        <v>5728.7883637014729</v>
      </c>
      <c r="AL46" s="8">
        <f t="shared" si="197"/>
        <v>5130.0324826897931</v>
      </c>
      <c r="AM46" s="8">
        <f t="shared" si="197"/>
        <v>7119.1358327702383</v>
      </c>
      <c r="AN46" s="8">
        <f t="shared" ref="AN46:AS46" si="198">AN17</f>
        <v>7265.1297498907979</v>
      </c>
      <c r="AO46" s="8">
        <f t="shared" si="198"/>
        <v>5899.104492809437</v>
      </c>
      <c r="AP46" s="8">
        <f t="shared" si="198"/>
        <v>7248.0809103793017</v>
      </c>
      <c r="AQ46" s="8">
        <f t="shared" si="198"/>
        <v>6476.0752911061427</v>
      </c>
      <c r="AR46" s="8">
        <f t="shared" si="198"/>
        <v>7779.1622713309253</v>
      </c>
      <c r="AS46" s="8">
        <f t="shared" si="198"/>
        <v>6843.6509999999998</v>
      </c>
      <c r="AT46" s="8">
        <f>AT17</f>
        <v>7652.481278890571</v>
      </c>
      <c r="AU46" s="8">
        <f>AU17</f>
        <v>7334.8883602780534</v>
      </c>
      <c r="AV46" s="8">
        <f t="shared" ref="AV46:AW46" si="199">AV17</f>
        <v>9006.9536287115825</v>
      </c>
      <c r="AW46" s="8">
        <f t="shared" si="199"/>
        <v>7539.558</v>
      </c>
      <c r="AX46" s="8">
        <f>AX17</f>
        <v>8562.0363790850952</v>
      </c>
      <c r="AY46" s="8">
        <f>AY17</f>
        <v>8459.5692876966496</v>
      </c>
      <c r="AZ46" s="8">
        <f t="shared" ref="AZ46:BA46" si="200">AZ17</f>
        <v>9619.664333218243</v>
      </c>
      <c r="BA46" s="8">
        <f t="shared" si="200"/>
        <v>8616.3673088146097</v>
      </c>
      <c r="BB46" s="8">
        <f>BB17</f>
        <v>9745.981854607382</v>
      </c>
      <c r="BC46" s="8">
        <f>BC17</f>
        <v>9638.2899706782264</v>
      </c>
      <c r="BD46" s="8">
        <f t="shared" ref="BD46" si="201">BD17</f>
        <v>12140.137525186574</v>
      </c>
      <c r="BE46" s="8">
        <f>BE17</f>
        <v>9247.7103847636372</v>
      </c>
      <c r="BF46" s="8">
        <f>BF17</f>
        <v>9766.5111108604542</v>
      </c>
      <c r="BG46" s="8">
        <f>BG17</f>
        <v>10291.477641995514</v>
      </c>
      <c r="BH46" s="8">
        <f t="shared" ref="BH46" si="202">BH17</f>
        <v>13630.907843802013</v>
      </c>
      <c r="BI46" s="8">
        <f>BI17</f>
        <v>9031.5225665153284</v>
      </c>
      <c r="BJ46" s="8"/>
      <c r="BK46" s="8"/>
      <c r="BL46" s="8">
        <f>BL17</f>
        <v>5765.3058889869744</v>
      </c>
      <c r="BM46" s="8">
        <f>BM17</f>
        <v>5952.0178444317144</v>
      </c>
    </row>
    <row r="47" spans="2:65" ht="13.5" customHeight="1">
      <c r="B47" s="7" t="s">
        <v>296</v>
      </c>
      <c r="C47" s="131">
        <f>6072+877</f>
        <v>6949</v>
      </c>
      <c r="D47" s="131">
        <f>6310+834</f>
        <v>7144</v>
      </c>
      <c r="E47" s="131">
        <f>7579+1087</f>
        <v>8666</v>
      </c>
      <c r="F47" s="131">
        <f>10216+3155</f>
        <v>13371</v>
      </c>
      <c r="G47" s="131">
        <v>9632.8189999999995</v>
      </c>
      <c r="H47" s="131">
        <v>10028.189</v>
      </c>
      <c r="I47" s="131">
        <v>10641.924000000001</v>
      </c>
      <c r="J47" s="131">
        <v>9403</v>
      </c>
      <c r="K47" s="131">
        <v>9834</v>
      </c>
      <c r="L47" s="131">
        <v>10425</v>
      </c>
      <c r="M47" s="131">
        <f>9694.75068125808+2542.40511049466</f>
        <v>12237.155791752739</v>
      </c>
      <c r="N47" s="131">
        <f>11142.0725597909+4922.37489568127</f>
        <v>16064.447455472171</v>
      </c>
      <c r="O47" s="131">
        <f>12802.8692650829+3370.14698590594</f>
        <v>16173.01625098884</v>
      </c>
      <c r="P47" s="6">
        <f>SUM(BF47:BI47)</f>
        <v>16508.823264197941</v>
      </c>
      <c r="Q47" s="8"/>
      <c r="R47" s="38"/>
      <c r="S47" s="38"/>
      <c r="T47" s="82"/>
      <c r="U47" s="131">
        <v>1847.627</v>
      </c>
      <c r="V47" s="131">
        <f>3815.978-U47</f>
        <v>1968.3510000000001</v>
      </c>
      <c r="W47" s="131">
        <f>5992.107-V47-U47</f>
        <v>2176.1289999999999</v>
      </c>
      <c r="X47" s="6">
        <f>E47-W47-V47-U47</f>
        <v>2673.8930000000005</v>
      </c>
      <c r="Y47" s="131">
        <v>2833.7359999999999</v>
      </c>
      <c r="Z47" s="131">
        <f>5538.906-Y47</f>
        <v>2705.17</v>
      </c>
      <c r="AA47" s="131">
        <f>8985.372-Z47-Y47</f>
        <v>3446.4659999999994</v>
      </c>
      <c r="AB47" s="131">
        <f>F47-AA47-Z47-Y47</f>
        <v>4385.6279999999997</v>
      </c>
      <c r="AC47" s="131">
        <v>2758.2420000000002</v>
      </c>
      <c r="AD47" s="131">
        <f>5664.73-AC47</f>
        <v>2906.4879999999994</v>
      </c>
      <c r="AE47" s="131">
        <f>7334.335-AD47-AC47</f>
        <v>1669.6050000000005</v>
      </c>
      <c r="AF47" s="226">
        <f>H47-AE47-AD47-AC47</f>
        <v>2693.8539999999994</v>
      </c>
      <c r="AG47" s="131">
        <v>2679.2640000000001</v>
      </c>
      <c r="AH47" s="131">
        <f>5025.979-AG47</f>
        <v>2346.7150000000001</v>
      </c>
      <c r="AI47" s="131">
        <f>7942.981-AH47-AG47</f>
        <v>2917.0019999999995</v>
      </c>
      <c r="AJ47" s="6">
        <f>I47-AI47-AH47-AG47</f>
        <v>2698.9430000000011</v>
      </c>
      <c r="AK47" s="131">
        <v>2717.8649999999998</v>
      </c>
      <c r="AL47" s="131">
        <f>5073.816-AK47</f>
        <v>2355.951</v>
      </c>
      <c r="AM47" s="305">
        <f>AN47</f>
        <v>2164.5920000000001</v>
      </c>
      <c r="AN47" s="6">
        <f>(J47-AL47-AK47)/2</f>
        <v>2164.5920000000001</v>
      </c>
      <c r="AO47" s="305">
        <f>AP47</f>
        <v>2430.7260000000001</v>
      </c>
      <c r="AP47" s="131">
        <f>(4861.452)/2</f>
        <v>2430.7260000000001</v>
      </c>
      <c r="AQ47" s="6">
        <f>AR47</f>
        <v>2486.2739999999994</v>
      </c>
      <c r="AR47" s="6">
        <f>(K47-AP47-AO47)/2</f>
        <v>2486.2739999999994</v>
      </c>
      <c r="AS47" s="131">
        <v>2551.0749999999998</v>
      </c>
      <c r="AT47" s="131">
        <f>2398.74162017738+555.884385839652</f>
        <v>2954.6260060170321</v>
      </c>
      <c r="AU47" s="131">
        <f>2514.77846384937+776.695454811826</f>
        <v>3291.473918661196</v>
      </c>
      <c r="AV47" s="6">
        <f>(L47-AT47-AS47-AU47)</f>
        <v>1627.8250753217726</v>
      </c>
      <c r="AW47" s="131">
        <v>2508.5770000000002</v>
      </c>
      <c r="AX47" s="131">
        <f>2396.68426280076+479.804135583584</f>
        <v>2876.4883983843438</v>
      </c>
      <c r="AY47" s="131">
        <f>2468.20024918712+902.040651008931</f>
        <v>3370.2409001960509</v>
      </c>
      <c r="AZ47" s="6">
        <f>(M47-AX47-AW47-AY47)</f>
        <v>3481.8494931723449</v>
      </c>
      <c r="BA47" s="131">
        <f>2540.8919842685+786.066419261381</f>
        <v>3326.9584035298813</v>
      </c>
      <c r="BB47" s="131">
        <f>1519.41194461577+2656.70237285906</f>
        <v>4176.1143174748295</v>
      </c>
      <c r="BC47" s="131">
        <f>2858.45149058624+1504.17350877936</f>
        <v>4362.6249993656002</v>
      </c>
      <c r="BD47" s="6">
        <f>(N47-BB47-BA47-BC47)</f>
        <v>4198.749735101861</v>
      </c>
      <c r="BE47" s="131">
        <f>3113.88539158829+892.596978365425</f>
        <v>4006.4823699537151</v>
      </c>
      <c r="BF47" s="131">
        <f>3159.82077568664+461.3579919</f>
        <v>3621.1787675866399</v>
      </c>
      <c r="BG47" s="131">
        <f>3214.70199622051+942.534268301768</f>
        <v>4157.2362645222784</v>
      </c>
      <c r="BH47" s="6">
        <f>O47-BG47-BF47-BE47</f>
        <v>4388.1188489262058</v>
      </c>
      <c r="BI47" s="131">
        <f>3405.98741761751+936.301965545308</f>
        <v>4342.289383162818</v>
      </c>
      <c r="BJ47" s="131"/>
      <c r="BK47" s="131"/>
      <c r="BL47" s="131">
        <v>2346.0610000000001</v>
      </c>
      <c r="BM47" s="131">
        <f>4801.928-BL47</f>
        <v>2455.8669999999997</v>
      </c>
    </row>
    <row r="48" spans="2:65" s="5" customFormat="1" ht="13.5" customHeight="1">
      <c r="B48" s="5" t="s">
        <v>294</v>
      </c>
      <c r="C48" s="8">
        <f t="shared" ref="C48:AA48" si="203">SUM(C46+C47)</f>
        <v>27692</v>
      </c>
      <c r="D48" s="8">
        <f t="shared" si="203"/>
        <v>29788</v>
      </c>
      <c r="E48" s="8">
        <f t="shared" si="203"/>
        <v>32586</v>
      </c>
      <c r="F48" s="8">
        <f t="shared" ref="F48:K48" si="204">SUM(F46+F47)</f>
        <v>39545.22600000001</v>
      </c>
      <c r="G48" s="8">
        <f t="shared" si="204"/>
        <v>34628.561141093778</v>
      </c>
      <c r="H48" s="8">
        <f t="shared" si="204"/>
        <v>34700.722489277556</v>
      </c>
      <c r="I48" s="8">
        <f t="shared" si="204"/>
        <v>36065.040514418506</v>
      </c>
      <c r="J48" s="8">
        <f t="shared" si="204"/>
        <v>34646.08642905231</v>
      </c>
      <c r="K48" s="8">
        <f t="shared" si="204"/>
        <v>37236.422965625803</v>
      </c>
      <c r="L48" s="8">
        <f t="shared" ref="L48:M48" si="205">SUM(L46+L47)</f>
        <v>41262.974267880199</v>
      </c>
      <c r="M48" s="8">
        <f t="shared" si="205"/>
        <v>46417.98379175274</v>
      </c>
      <c r="N48" s="8">
        <f t="shared" ref="N48:O48" si="206">SUM(N46+N47)</f>
        <v>56205.224114758952</v>
      </c>
      <c r="O48" s="8">
        <f t="shared" si="206"/>
        <v>59109.623232410486</v>
      </c>
      <c r="P48" s="8">
        <f t="shared" ref="P48" si="207">SUM(P46+P47)</f>
        <v>59229.242427371239</v>
      </c>
      <c r="Q48" s="322"/>
      <c r="R48" s="48"/>
      <c r="S48" s="48"/>
      <c r="T48" s="83"/>
      <c r="U48" s="8">
        <f t="shared" si="203"/>
        <v>6755.3830000000016</v>
      </c>
      <c r="V48" s="8">
        <f t="shared" si="203"/>
        <v>7972.8469999999979</v>
      </c>
      <c r="W48" s="8">
        <f t="shared" si="203"/>
        <v>7819.9050000000016</v>
      </c>
      <c r="X48" s="8">
        <f t="shared" si="203"/>
        <v>10037.865000000009</v>
      </c>
      <c r="Y48" s="8">
        <f t="shared" si="203"/>
        <v>8923.9849999999969</v>
      </c>
      <c r="Z48" s="8">
        <f t="shared" si="203"/>
        <v>9195.2809999999972</v>
      </c>
      <c r="AA48" s="8">
        <f t="shared" si="203"/>
        <v>8932.737000000001</v>
      </c>
      <c r="AB48" s="8">
        <f t="shared" ref="AB48:AG48" si="208">SUM(AB46+AB47)</f>
        <v>12493.223000000002</v>
      </c>
      <c r="AC48" s="8">
        <f t="shared" si="208"/>
        <v>8641.2420000000002</v>
      </c>
      <c r="AD48" s="8">
        <f t="shared" si="208"/>
        <v>9182.9889999999996</v>
      </c>
      <c r="AE48" s="8">
        <f t="shared" si="208"/>
        <v>7447.0840712590489</v>
      </c>
      <c r="AF48" s="8">
        <f t="shared" si="208"/>
        <v>9429.4074180185034</v>
      </c>
      <c r="AG48" s="8">
        <f t="shared" si="208"/>
        <v>8393.6173903725139</v>
      </c>
      <c r="AH48" s="8">
        <f t="shared" ref="AH48:AM48" si="209">SUM(AH46+AH47)</f>
        <v>8684.5202731674326</v>
      </c>
      <c r="AI48" s="8">
        <f t="shared" si="209"/>
        <v>9929.6789140409182</v>
      </c>
      <c r="AJ48" s="8">
        <f t="shared" si="209"/>
        <v>9057.2239368376504</v>
      </c>
      <c r="AK48" s="8">
        <f t="shared" si="209"/>
        <v>8446.6533637014727</v>
      </c>
      <c r="AL48" s="8">
        <f t="shared" si="209"/>
        <v>7485.9834826897932</v>
      </c>
      <c r="AM48" s="8">
        <f t="shared" si="209"/>
        <v>9283.7278327702388</v>
      </c>
      <c r="AN48" s="8">
        <f t="shared" ref="AN48:AS48" si="210">SUM(AN46+AN47)</f>
        <v>9429.7217498907976</v>
      </c>
      <c r="AO48" s="8">
        <f t="shared" si="210"/>
        <v>8329.8304928094367</v>
      </c>
      <c r="AP48" s="8">
        <f t="shared" si="210"/>
        <v>9678.8069103793023</v>
      </c>
      <c r="AQ48" s="8">
        <f t="shared" si="210"/>
        <v>8962.3492911061421</v>
      </c>
      <c r="AR48" s="8">
        <f t="shared" si="210"/>
        <v>10265.436271330924</v>
      </c>
      <c r="AS48" s="8">
        <f t="shared" si="210"/>
        <v>9394.7259999999987</v>
      </c>
      <c r="AT48" s="8">
        <f>SUM(AT46+AT47)</f>
        <v>10607.107284907603</v>
      </c>
      <c r="AU48" s="8">
        <f>SUM(AU46+AU47)</f>
        <v>10626.36227893925</v>
      </c>
      <c r="AV48" s="8">
        <f t="shared" ref="AV48:AW48" si="211">SUM(AV46+AV47)</f>
        <v>10634.778704033355</v>
      </c>
      <c r="AW48" s="8">
        <f t="shared" si="211"/>
        <v>10048.135</v>
      </c>
      <c r="AX48" s="8">
        <f>SUM(AX46+AX47)</f>
        <v>11438.52477746944</v>
      </c>
      <c r="AY48" s="8">
        <f>SUM(AY46+AY47)</f>
        <v>11829.810187892701</v>
      </c>
      <c r="AZ48" s="8">
        <f t="shared" ref="AZ48:BA48" si="212">SUM(AZ46+AZ47)</f>
        <v>13101.513826390588</v>
      </c>
      <c r="BA48" s="8">
        <f t="shared" si="212"/>
        <v>11943.325712344491</v>
      </c>
      <c r="BB48" s="8">
        <f>SUM(BB46+BB47)</f>
        <v>13922.096172082212</v>
      </c>
      <c r="BC48" s="8">
        <f>SUM(BC46+BC47)</f>
        <v>14000.914970043827</v>
      </c>
      <c r="BD48" s="8">
        <f t="shared" ref="BD48:BE48" si="213">SUM(BD46+BD47)</f>
        <v>16338.887260288435</v>
      </c>
      <c r="BE48" s="8">
        <f t="shared" si="213"/>
        <v>13254.192754717353</v>
      </c>
      <c r="BF48" s="8">
        <f>SUM(BF46+BF47)</f>
        <v>13387.689878447094</v>
      </c>
      <c r="BG48" s="8">
        <f>SUM(BG46+BG47)</f>
        <v>14448.713906517793</v>
      </c>
      <c r="BH48" s="8">
        <f t="shared" ref="BH48" si="214">SUM(BH46+BH47)</f>
        <v>18019.026692728221</v>
      </c>
      <c r="BI48" s="8">
        <f>SUM(BI46+BI47)</f>
        <v>13373.811949678147</v>
      </c>
      <c r="BJ48" s="8"/>
      <c r="BK48" s="8"/>
      <c r="BL48" s="8">
        <f>SUM(BL46+BL47)</f>
        <v>8111.366888986975</v>
      </c>
      <c r="BM48" s="8">
        <f>SUM(BM46+BM47)</f>
        <v>8407.8848444317136</v>
      </c>
    </row>
    <row r="49" spans="2:65" s="28" customFormat="1" ht="13.5" customHeight="1">
      <c r="B49" s="20" t="s">
        <v>297</v>
      </c>
      <c r="C49" s="168">
        <f>C48/(72935-6487-44828-478-1101+6371+761)-1</f>
        <v>1.9099841754683045E-2</v>
      </c>
      <c r="D49" s="21">
        <f t="shared" ref="D49:O49" si="215">+D48/C48-1</f>
        <v>7.5689729885887624E-2</v>
      </c>
      <c r="E49" s="21">
        <f t="shared" si="215"/>
        <v>9.393044178863974E-2</v>
      </c>
      <c r="F49" s="21">
        <f t="shared" si="215"/>
        <v>0.2135649051740014</v>
      </c>
      <c r="G49" s="21">
        <f t="shared" si="215"/>
        <v>-0.12433017474489161</v>
      </c>
      <c r="H49" s="21">
        <f t="shared" si="215"/>
        <v>2.0838679346149025E-3</v>
      </c>
      <c r="I49" s="21">
        <f t="shared" si="215"/>
        <v>3.9316703724613378E-2</v>
      </c>
      <c r="J49" s="21">
        <f t="shared" si="215"/>
        <v>-3.9344308647009885E-2</v>
      </c>
      <c r="K49" s="21">
        <f t="shared" si="215"/>
        <v>7.4765631664573284E-2</v>
      </c>
      <c r="L49" s="21">
        <f t="shared" si="215"/>
        <v>0.10813475037522924</v>
      </c>
      <c r="M49" s="21">
        <f t="shared" si="215"/>
        <v>0.1249306337058036</v>
      </c>
      <c r="N49" s="21">
        <f t="shared" si="215"/>
        <v>0.2108501818371773</v>
      </c>
      <c r="O49" s="21">
        <f t="shared" si="215"/>
        <v>5.1674896122135827E-2</v>
      </c>
      <c r="P49" s="21"/>
      <c r="Q49" s="322"/>
      <c r="R49" s="21"/>
      <c r="S49" s="21"/>
      <c r="T49" s="85"/>
      <c r="U49" s="21"/>
      <c r="V49" s="21"/>
      <c r="W49" s="21"/>
      <c r="X49" s="21"/>
      <c r="Y49" s="21">
        <f t="shared" ref="Y49:AF49" si="216">+Y48/U48-1</f>
        <v>0.32101836416972884</v>
      </c>
      <c r="Z49" s="21">
        <f t="shared" si="216"/>
        <v>0.15332465303799259</v>
      </c>
      <c r="AA49" s="21">
        <f t="shared" si="216"/>
        <v>0.14230761115384394</v>
      </c>
      <c r="AB49" s="21">
        <f t="shared" si="216"/>
        <v>0.24460958580335457</v>
      </c>
      <c r="AC49" s="21">
        <f t="shared" si="216"/>
        <v>-3.1683491175746759E-2</v>
      </c>
      <c r="AD49" s="21">
        <f t="shared" si="216"/>
        <v>-1.3367726337017993E-3</v>
      </c>
      <c r="AE49" s="21">
        <f t="shared" si="216"/>
        <v>-0.16631553450425685</v>
      </c>
      <c r="AF49" s="21">
        <f t="shared" si="216"/>
        <v>-0.24523820490369042</v>
      </c>
      <c r="AG49" s="21">
        <f>AG48/BL48-1</f>
        <v>3.4796909725382852E-2</v>
      </c>
      <c r="AH49" s="21">
        <f>AH48/BM48-1</f>
        <v>3.2901905039639745E-2</v>
      </c>
      <c r="AI49" s="21">
        <f t="shared" ref="AI49:BI49" si="217">+AI48/AE48-1</f>
        <v>0.33336468596656332</v>
      </c>
      <c r="AJ49" s="21">
        <f t="shared" si="217"/>
        <v>-3.94705059057745E-2</v>
      </c>
      <c r="AK49" s="21">
        <f t="shared" si="217"/>
        <v>6.3186074444840923E-3</v>
      </c>
      <c r="AL49" s="21">
        <f t="shared" si="217"/>
        <v>-0.13800840492948807</v>
      </c>
      <c r="AM49" s="21">
        <f t="shared" si="217"/>
        <v>-6.5052564827376425E-2</v>
      </c>
      <c r="AN49" s="21">
        <f t="shared" si="217"/>
        <v>4.1127150620414721E-2</v>
      </c>
      <c r="AO49" s="21">
        <f t="shared" si="217"/>
        <v>-1.3830669480775493E-2</v>
      </c>
      <c r="AP49" s="21">
        <f t="shared" si="217"/>
        <v>0.29292389340159275</v>
      </c>
      <c r="AQ49" s="21">
        <f t="shared" si="217"/>
        <v>-3.4617402346681869E-2</v>
      </c>
      <c r="AR49" s="21">
        <f>+AR48/AN48-1</f>
        <v>8.8625575982642868E-2</v>
      </c>
      <c r="AS49" s="21">
        <f t="shared" si="217"/>
        <v>0.12784119774223646</v>
      </c>
      <c r="AT49" s="21">
        <f t="shared" si="217"/>
        <v>9.5910620298955918E-2</v>
      </c>
      <c r="AU49" s="21">
        <f t="shared" si="217"/>
        <v>0.18566705378068726</v>
      </c>
      <c r="AV49" s="21">
        <f>+AV48/AR48-1</f>
        <v>3.5979224159612411E-2</v>
      </c>
      <c r="AW49" s="21">
        <f t="shared" si="217"/>
        <v>6.955061808082541E-2</v>
      </c>
      <c r="AX49" s="21">
        <f t="shared" si="217"/>
        <v>7.8383056777866722E-2</v>
      </c>
      <c r="AY49" s="21">
        <f t="shared" si="217"/>
        <v>0.11325116510836497</v>
      </c>
      <c r="AZ49" s="21">
        <f>+AZ48/AV48-1</f>
        <v>0.23194983092800014</v>
      </c>
      <c r="BA49" s="21">
        <f t="shared" si="217"/>
        <v>0.18861119126529369</v>
      </c>
      <c r="BB49" s="21">
        <f t="shared" si="217"/>
        <v>0.21712340034483146</v>
      </c>
      <c r="BC49" s="21">
        <f t="shared" si="217"/>
        <v>0.18352828554875367</v>
      </c>
      <c r="BD49" s="21">
        <f>+BD48/AZ48-1</f>
        <v>0.24709918844467826</v>
      </c>
      <c r="BE49" s="21">
        <f t="shared" si="217"/>
        <v>0.10975728820808794</v>
      </c>
      <c r="BF49" s="21">
        <f t="shared" si="217"/>
        <v>-3.8385476370056737E-2</v>
      </c>
      <c r="BG49" s="21">
        <f t="shared" si="217"/>
        <v>3.1983548034687059E-2</v>
      </c>
      <c r="BH49" s="21">
        <f>+BH48/BD48-1</f>
        <v>0.10283071335728922</v>
      </c>
      <c r="BI49" s="21">
        <f t="shared" si="217"/>
        <v>9.0250079483882306E-3</v>
      </c>
      <c r="BJ49" s="323"/>
      <c r="BK49" s="323"/>
      <c r="BL49" s="21">
        <f>+BL48/AE48-1</f>
        <v>8.9200391907972465E-2</v>
      </c>
      <c r="BM49" s="21">
        <f>+BM48/AF48-1</f>
        <v>-0.1083336977925865</v>
      </c>
    </row>
    <row r="50" spans="2:65" s="28" customFormat="1" ht="13.5" customHeight="1">
      <c r="B50" s="20" t="s">
        <v>298</v>
      </c>
      <c r="C50" s="21">
        <f t="shared" ref="C50:H50" si="218">C48/C7</f>
        <v>0.18799983706499748</v>
      </c>
      <c r="D50" s="21">
        <f t="shared" si="218"/>
        <v>0.19551063271199789</v>
      </c>
      <c r="E50" s="21">
        <f t="shared" si="218"/>
        <v>0.18335790409525202</v>
      </c>
      <c r="F50" s="21">
        <f t="shared" si="218"/>
        <v>0.19405839813674777</v>
      </c>
      <c r="G50" s="21">
        <f t="shared" si="218"/>
        <v>0.18896261431875824</v>
      </c>
      <c r="H50" s="21">
        <f t="shared" si="218"/>
        <v>0.19030569949361528</v>
      </c>
      <c r="I50" s="21">
        <f t="shared" ref="I50:N50" si="219">I48/I7</f>
        <v>0.18545202376919184</v>
      </c>
      <c r="J50" s="21">
        <f t="shared" si="219"/>
        <v>0.18868915171375614</v>
      </c>
      <c r="K50" s="21">
        <f t="shared" si="219"/>
        <v>0.19114851047991277</v>
      </c>
      <c r="L50" s="21">
        <f t="shared" si="219"/>
        <v>0.18198340352040082</v>
      </c>
      <c r="M50" s="21">
        <f t="shared" si="219"/>
        <v>0.18939313141301387</v>
      </c>
      <c r="N50" s="21">
        <f t="shared" si="219"/>
        <v>0.20088129450699369</v>
      </c>
      <c r="O50" s="21">
        <f t="shared" ref="O50" si="220">O48/O7</f>
        <v>0.20260669643812421</v>
      </c>
      <c r="P50" s="21">
        <f t="shared" ref="P50" si="221">P48/P7</f>
        <v>0.20248327797847798</v>
      </c>
      <c r="Q50" s="322"/>
      <c r="R50" s="21"/>
      <c r="S50" s="21"/>
      <c r="T50" s="85"/>
      <c r="U50" s="21">
        <f t="shared" ref="U50:AA50" si="222">U48/U7</f>
        <v>0.18210203707926406</v>
      </c>
      <c r="V50" s="21">
        <f t="shared" si="222"/>
        <v>0.19962778331238945</v>
      </c>
      <c r="W50" s="21">
        <f t="shared" si="222"/>
        <v>0.18464510873415035</v>
      </c>
      <c r="X50" s="21">
        <f t="shared" si="222"/>
        <v>0.17208237127142362</v>
      </c>
      <c r="Y50" s="21">
        <f t="shared" si="222"/>
        <v>0.17376256757796105</v>
      </c>
      <c r="Z50" s="21">
        <f t="shared" si="222"/>
        <v>0.18351105288519151</v>
      </c>
      <c r="AA50" s="21">
        <f t="shared" si="222"/>
        <v>0.18096017259891015</v>
      </c>
      <c r="AB50" s="21">
        <f t="shared" ref="AB50:AG50" si="223">AB48/AB7</f>
        <v>0.23593409026039233</v>
      </c>
      <c r="AC50" s="21">
        <f t="shared" si="223"/>
        <v>0.17382258161849012</v>
      </c>
      <c r="AD50" s="21">
        <f t="shared" si="223"/>
        <v>0.17630441278973605</v>
      </c>
      <c r="AE50" s="21">
        <f t="shared" si="223"/>
        <v>0.16868412378350772</v>
      </c>
      <c r="AF50" s="21">
        <f t="shared" si="223"/>
        <v>0.25908584577184507</v>
      </c>
      <c r="AG50" s="21">
        <f t="shared" si="223"/>
        <v>0.18149250355460675</v>
      </c>
      <c r="AH50" s="21">
        <f t="shared" ref="AH50:AM50" si="224">AH48/AH7</f>
        <v>0.18100923962839818</v>
      </c>
      <c r="AI50" s="21">
        <f t="shared" si="224"/>
        <v>0.20390090622918411</v>
      </c>
      <c r="AJ50" s="21">
        <f t="shared" si="224"/>
        <v>0.1757101638177789</v>
      </c>
      <c r="AK50" s="21">
        <f t="shared" si="224"/>
        <v>0.18626219679971173</v>
      </c>
      <c r="AL50" s="21">
        <f t="shared" si="224"/>
        <v>0.17379090981354467</v>
      </c>
      <c r="AM50" s="21">
        <f t="shared" si="224"/>
        <v>0.19865035473565457</v>
      </c>
      <c r="AN50" s="21">
        <f t="shared" ref="AN50:AS50" si="225">AN48/AN7</f>
        <v>0.19459672269363326</v>
      </c>
      <c r="AO50" s="21">
        <f t="shared" si="225"/>
        <v>0.18638967652731683</v>
      </c>
      <c r="AP50" s="21">
        <f t="shared" si="225"/>
        <v>0.20254330135670182</v>
      </c>
      <c r="AQ50" s="21">
        <f t="shared" si="225"/>
        <v>0.18549598710536416</v>
      </c>
      <c r="AR50" s="21">
        <f t="shared" si="225"/>
        <v>0.19006102801032457</v>
      </c>
      <c r="AS50" s="21">
        <f t="shared" si="225"/>
        <v>0.18350866295536672</v>
      </c>
      <c r="AT50" s="21">
        <f>AT48/AT7</f>
        <v>0.18508107450576439</v>
      </c>
      <c r="AU50" s="21">
        <f>AU48/AU7</f>
        <v>0.18612214415879152</v>
      </c>
      <c r="AV50" s="21">
        <f t="shared" ref="AV50:AW50" si="226">AV48/AV7</f>
        <v>0.17393792938554253</v>
      </c>
      <c r="AW50" s="21">
        <f t="shared" si="226"/>
        <v>0.17518463790843511</v>
      </c>
      <c r="AX50" s="21">
        <f>AX48/AX7</f>
        <v>0.18620909885741826</v>
      </c>
      <c r="AY50" s="21">
        <f>AY48/AY7</f>
        <v>0.18821389823083029</v>
      </c>
      <c r="AZ50" s="21">
        <f t="shared" ref="AZ50:BA50" si="227">AZ48/AZ7</f>
        <v>0.20648823279694126</v>
      </c>
      <c r="BA50" s="21">
        <f t="shared" si="227"/>
        <v>0.18719181610862454</v>
      </c>
      <c r="BB50" s="21">
        <f>BB48/BB7</f>
        <v>0.20044539901597386</v>
      </c>
      <c r="BC50" s="21">
        <f>BC48/BC7</f>
        <v>0.20115904260841505</v>
      </c>
      <c r="BD50" s="21">
        <f t="shared" ref="BD50:BE50" si="228">BD48/BD7</f>
        <v>0.21237651098435811</v>
      </c>
      <c r="BE50" s="21">
        <f t="shared" si="228"/>
        <v>0.18892245065998464</v>
      </c>
      <c r="BF50" s="21">
        <f>BF48/BF7</f>
        <v>0.18360274012505107</v>
      </c>
      <c r="BG50" s="21">
        <f>BG48/BG7</f>
        <v>0.20100120776180616</v>
      </c>
      <c r="BH50" s="21">
        <f t="shared" ref="BH50:BI50" si="229">BH48/BH7</f>
        <v>0.23465777527434953</v>
      </c>
      <c r="BI50" s="21">
        <f t="shared" si="229"/>
        <v>0.18856173174530472</v>
      </c>
      <c r="BJ50" s="323"/>
      <c r="BK50" s="323"/>
      <c r="BL50" s="21">
        <f>BL48/BL7</f>
        <v>0.18383817734396049</v>
      </c>
      <c r="BM50" s="21">
        <f>BM48/BM7</f>
        <v>0.18864772335360305</v>
      </c>
    </row>
    <row r="51" spans="2:65" s="28" customFormat="1" ht="13.5" customHeight="1">
      <c r="B51" s="62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322"/>
      <c r="R51" s="63"/>
      <c r="S51" s="63"/>
      <c r="T51" s="439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323"/>
      <c r="BK51" s="323"/>
      <c r="BL51" s="63"/>
      <c r="BM51" s="63"/>
    </row>
    <row r="52" spans="2:65" ht="13.5" customHeight="1">
      <c r="B52" s="338" t="s">
        <v>299</v>
      </c>
      <c r="C52" s="395">
        <f>C53-C48</f>
        <v>0</v>
      </c>
      <c r="D52" s="395">
        <f>D53-D48</f>
        <v>0</v>
      </c>
      <c r="E52" s="395">
        <f>E53-E48</f>
        <v>0</v>
      </c>
      <c r="F52" s="395">
        <f>F53-F48</f>
        <v>0</v>
      </c>
      <c r="G52" s="395">
        <f>8402.55182355531+2893.25303455118-G47</f>
        <v>1662.9858581064909</v>
      </c>
      <c r="H52" s="395">
        <f>8404.2946576632+2378.91111205164-H47</f>
        <v>755.01676971484085</v>
      </c>
      <c r="I52" s="395">
        <f>8941.75357050996+2782.82448620685-I47</f>
        <v>1082.6540567168086</v>
      </c>
      <c r="J52" s="395">
        <f>9010.80618971043+3091.47609696208-J47</f>
        <v>2699.282286672511</v>
      </c>
      <c r="K52" s="395">
        <f>8945.69435724393+2501.09687238262-K47</f>
        <v>1612.7912296265495</v>
      </c>
      <c r="L52" s="395">
        <f>9656.9023758967+2505.93018229728-L47</f>
        <v>1737.8325581939789</v>
      </c>
      <c r="M52" s="395">
        <f>M53-M48</f>
        <v>-0.39884066249214811</v>
      </c>
      <c r="N52" s="395">
        <f>N53-N48</f>
        <v>-6.3030344608705491E-4</v>
      </c>
      <c r="O52" s="395">
        <f>O53-O48</f>
        <v>-3.840192875941284E-4</v>
      </c>
      <c r="P52" s="395">
        <f>P53-P48</f>
        <v>-5.5357675591949373E-5</v>
      </c>
      <c r="Q52" s="396"/>
      <c r="R52" s="395"/>
      <c r="S52" s="395"/>
      <c r="T52" s="397"/>
      <c r="U52" s="395">
        <f t="shared" ref="U52:AB52" si="230">U53-U48</f>
        <v>0</v>
      </c>
      <c r="V52" s="395">
        <f t="shared" si="230"/>
        <v>0</v>
      </c>
      <c r="W52" s="395">
        <f t="shared" si="230"/>
        <v>0</v>
      </c>
      <c r="X52" s="395">
        <f t="shared" si="230"/>
        <v>0</v>
      </c>
      <c r="Y52" s="395">
        <f t="shared" si="230"/>
        <v>0</v>
      </c>
      <c r="Z52" s="395">
        <f t="shared" si="230"/>
        <v>0</v>
      </c>
      <c r="AA52" s="395">
        <f t="shared" si="230"/>
        <v>0</v>
      </c>
      <c r="AB52" s="395">
        <f t="shared" si="230"/>
        <v>0</v>
      </c>
      <c r="AC52" s="395">
        <f>2353+470-AC47</f>
        <v>64.757999999999811</v>
      </c>
      <c r="AD52" s="395">
        <f>2478+757-AD47</f>
        <v>328.51200000000063</v>
      </c>
      <c r="AE52" s="395">
        <f>2190+524-AE47</f>
        <v>1044.3949999999995</v>
      </c>
      <c r="AF52" s="395">
        <f>H52-AE52-AD52-AC52</f>
        <v>-682.64823028515912</v>
      </c>
      <c r="AG52" s="395">
        <f>2261.82556809202+564.40279327978-AG47</f>
        <v>146.9643613717999</v>
      </c>
      <c r="AH52" s="395">
        <f>2217.56956465803+624.639446775664-AH47</f>
        <v>495.49401143369369</v>
      </c>
      <c r="AI52" s="395">
        <f>2251.32723352231+805.213529757293-AI47</f>
        <v>139.5387632796037</v>
      </c>
      <c r="AJ52" s="395">
        <f>I52-AI52-AH52-AG52</f>
        <v>300.65692063171127</v>
      </c>
      <c r="AK52" s="395">
        <f>2258.58205015296+1099.05681301433-AK47</f>
        <v>639.77386316729007</v>
      </c>
      <c r="AL52" s="395">
        <f>2324.24387421658+766.944278493358-AL47</f>
        <v>735.23715270993807</v>
      </c>
      <c r="AM52" s="395">
        <f>2281.1731167926+674.37706315679-AM47</f>
        <v>790.95817994938989</v>
      </c>
      <c r="AN52" s="395">
        <f>J52-AM52-AL52-AK52</f>
        <v>533.31309084589293</v>
      </c>
      <c r="AO52" s="395">
        <f>2236.41598106985+671.921233036883-AO47</f>
        <v>477.61121410673286</v>
      </c>
      <c r="AP52" s="395">
        <f>2179.14157064379+579.760348152311-AP47</f>
        <v>328.17591879610109</v>
      </c>
      <c r="AQ52" s="395">
        <f>2202.20725103765+641.239209254708-AQ47</f>
        <v>357.17246029235866</v>
      </c>
      <c r="AR52" s="395">
        <f>K52-AQ52-AP52-AO52</f>
        <v>449.83163643135686</v>
      </c>
      <c r="AS52" s="395">
        <f>2236.41598106985+671.921233036883-AS47</f>
        <v>357.26221410673315</v>
      </c>
      <c r="AT52" s="395">
        <f>2398.74162017738+555.884385839652-AT47</f>
        <v>0</v>
      </c>
      <c r="AU52" s="395">
        <f>2514.77846384937+776.695454811826-AU47</f>
        <v>0</v>
      </c>
      <c r="AV52" s="395">
        <f>L52-AU52-AT52-AS52</f>
        <v>1380.5703440872458</v>
      </c>
      <c r="AW52" s="395">
        <f>2326.37559388078+471.120291957671-AW47</f>
        <v>288.91888583845048</v>
      </c>
      <c r="AX52" s="395">
        <f>2396.68426280076+479.804135583584-AX47</f>
        <v>0</v>
      </c>
      <c r="AY52" s="395">
        <f>AY53-AY48</f>
        <v>0.18981210729907616</v>
      </c>
      <c r="AZ52" s="395">
        <f>(M52-AX52-AW52-AY52)</f>
        <v>-289.5075386082417</v>
      </c>
      <c r="BA52" s="395">
        <f>BA53-BA48</f>
        <v>0.67428765550903336</v>
      </c>
      <c r="BB52" s="395">
        <f>BB53-BB48</f>
        <v>-8.9053744886768982E-5</v>
      </c>
      <c r="BC52" s="395">
        <f>BC53-BC48</f>
        <v>5.3318877326091751E-4</v>
      </c>
      <c r="BD52" s="395">
        <f>(N52-BB52-BA52-BC52)</f>
        <v>-0.67536209398349456</v>
      </c>
      <c r="BE52" s="395">
        <f>BE53-BE48</f>
        <v>-3.0994562621344812E-5</v>
      </c>
      <c r="BF52" s="395">
        <f>BF53-BF48</f>
        <v>1.3436823228403227E-3</v>
      </c>
      <c r="BG52" s="395">
        <f>BG53-BG48</f>
        <v>2.7207420680497307E-4</v>
      </c>
      <c r="BH52" s="395">
        <f>(R52-BF52-BE52-BG52)</f>
        <v>-1.584761967023951E-3</v>
      </c>
      <c r="BI52" s="395">
        <f>BI53-BI48</f>
        <v>2.9766700936306734E-4</v>
      </c>
      <c r="BJ52" s="4"/>
      <c r="BK52" s="4"/>
      <c r="BL52" s="199">
        <f>1982.84417617477+416.343288610067-BL47</f>
        <v>53.126464784837026</v>
      </c>
      <c r="BM52" s="199">
        <f>2064.70950718658+709.468383416311-BM47</f>
        <v>318.3108906028915</v>
      </c>
    </row>
    <row r="53" spans="2:65" s="5" customFormat="1" ht="13.5" customHeight="1">
      <c r="B53" s="5" t="s">
        <v>300</v>
      </c>
      <c r="C53" s="8">
        <f>C48</f>
        <v>27692</v>
      </c>
      <c r="D53" s="8">
        <f>D48</f>
        <v>29788</v>
      </c>
      <c r="E53" s="8">
        <f>E48</f>
        <v>32586</v>
      </c>
      <c r="F53" s="8">
        <f>F48</f>
        <v>39545.22600000001</v>
      </c>
      <c r="G53" s="8">
        <f t="shared" ref="G53:L53" si="231">G48+G52</f>
        <v>36291.546999200269</v>
      </c>
      <c r="H53" s="8">
        <f t="shared" si="231"/>
        <v>35455.739258992398</v>
      </c>
      <c r="I53" s="8">
        <f t="shared" si="231"/>
        <v>37147.694571135318</v>
      </c>
      <c r="J53" s="8">
        <f t="shared" si="231"/>
        <v>37345.368715724821</v>
      </c>
      <c r="K53" s="8">
        <f t="shared" si="231"/>
        <v>38849.214195252353</v>
      </c>
      <c r="L53" s="8">
        <f t="shared" si="231"/>
        <v>43000.806826074178</v>
      </c>
      <c r="M53" s="278">
        <v>46417.584951090248</v>
      </c>
      <c r="N53" s="278">
        <v>56205.223484455506</v>
      </c>
      <c r="O53" s="278">
        <v>59109.622848391198</v>
      </c>
      <c r="P53" s="8">
        <f>SUM(BF53:BI53)</f>
        <v>59229.242372013563</v>
      </c>
      <c r="Q53" s="322"/>
      <c r="R53" s="48"/>
      <c r="S53" s="48"/>
      <c r="T53" s="83"/>
      <c r="U53" s="8">
        <f t="shared" ref="U53:AA53" si="232">U48</f>
        <v>6755.3830000000016</v>
      </c>
      <c r="V53" s="8">
        <f t="shared" si="232"/>
        <v>7972.8469999999979</v>
      </c>
      <c r="W53" s="8">
        <f t="shared" si="232"/>
        <v>7819.9050000000016</v>
      </c>
      <c r="X53" s="8">
        <f t="shared" si="232"/>
        <v>10037.865000000009</v>
      </c>
      <c r="Y53" s="8">
        <f t="shared" si="232"/>
        <v>8923.9849999999969</v>
      </c>
      <c r="Z53" s="8">
        <f t="shared" si="232"/>
        <v>9195.2809999999972</v>
      </c>
      <c r="AA53" s="8">
        <f t="shared" si="232"/>
        <v>8932.737000000001</v>
      </c>
      <c r="AB53" s="8">
        <f>AB48</f>
        <v>12493.223000000002</v>
      </c>
      <c r="AC53" s="8">
        <f t="shared" ref="AC53:AH53" si="233">AC48+AC52</f>
        <v>8706</v>
      </c>
      <c r="AD53" s="8">
        <f t="shared" si="233"/>
        <v>9511.5010000000002</v>
      </c>
      <c r="AE53" s="8">
        <f t="shared" si="233"/>
        <v>8491.4790712590475</v>
      </c>
      <c r="AF53" s="8">
        <f t="shared" si="233"/>
        <v>8746.7591877333434</v>
      </c>
      <c r="AG53" s="8">
        <f t="shared" si="233"/>
        <v>8540.5817517443138</v>
      </c>
      <c r="AH53" s="8">
        <f t="shared" si="233"/>
        <v>9180.0142846011258</v>
      </c>
      <c r="AI53" s="8">
        <f>AI48+AI52</f>
        <v>10069.217677320521</v>
      </c>
      <c r="AJ53" s="8">
        <f>AJ48+AJ52</f>
        <v>9357.8808574693612</v>
      </c>
      <c r="AK53" s="8">
        <f>AK48+AK52</f>
        <v>9086.4272268687637</v>
      </c>
      <c r="AL53" s="8">
        <f>AL48+AL52</f>
        <v>8221.2206353997317</v>
      </c>
      <c r="AM53" s="278">
        <v>10075</v>
      </c>
      <c r="AN53" s="8">
        <f>AN48+AN52</f>
        <v>9963.034840736691</v>
      </c>
      <c r="AO53" s="278">
        <v>8807</v>
      </c>
      <c r="AP53" s="278">
        <v>10007</v>
      </c>
      <c r="AQ53" s="278">
        <v>9320</v>
      </c>
      <c r="AR53" s="8">
        <f>AR48+AR52</f>
        <v>10715.267907762282</v>
      </c>
      <c r="AS53" s="312">
        <v>9827</v>
      </c>
      <c r="AT53" s="278">
        <v>10607</v>
      </c>
      <c r="AU53" s="278">
        <v>10626</v>
      </c>
      <c r="AV53" s="8">
        <f>(L53-AT53-AS53-AU53)</f>
        <v>11940.806826074178</v>
      </c>
      <c r="AW53" s="312">
        <v>10522</v>
      </c>
      <c r="AX53" s="278">
        <v>11439</v>
      </c>
      <c r="AY53" s="278">
        <v>11830</v>
      </c>
      <c r="AZ53" s="8">
        <f>(M53-AX53-AW53-AY53)</f>
        <v>12626.584951090248</v>
      </c>
      <c r="BA53" s="312">
        <v>11944</v>
      </c>
      <c r="BB53" s="278">
        <v>13922.096083028468</v>
      </c>
      <c r="BC53" s="278">
        <v>14000.9155032326</v>
      </c>
      <c r="BD53" s="8">
        <f>(N53-BB53-BA53-BC53)</f>
        <v>16338.211898194439</v>
      </c>
      <c r="BE53" s="312">
        <v>13254.19272372279</v>
      </c>
      <c r="BF53" s="278">
        <v>13387.691222129417</v>
      </c>
      <c r="BG53" s="278">
        <v>14448.714178591999</v>
      </c>
      <c r="BH53" s="8">
        <f>O53-BG53-BF53-BE53</f>
        <v>18019.024723946994</v>
      </c>
      <c r="BI53" s="312">
        <v>13373.812247345157</v>
      </c>
      <c r="BJ53" s="278"/>
      <c r="BK53" s="278"/>
      <c r="BL53" s="8">
        <f>BL48+BL52</f>
        <v>8164.4933537718116</v>
      </c>
      <c r="BM53" s="8">
        <f>BM48+BM52</f>
        <v>8726.1957350346056</v>
      </c>
    </row>
    <row r="54" spans="2:65" s="28" customFormat="1" ht="13.5" customHeight="1">
      <c r="B54" s="20" t="s">
        <v>297</v>
      </c>
      <c r="C54" s="124"/>
      <c r="D54" s="21">
        <f>+D53/C53-1</f>
        <v>7.5689729885887624E-2</v>
      </c>
      <c r="E54" s="21">
        <f>+E53/D53-1</f>
        <v>9.393044178863974E-2</v>
      </c>
      <c r="F54" s="21">
        <f>+F53/E53-1</f>
        <v>0.2135649051740014</v>
      </c>
      <c r="G54" s="21"/>
      <c r="H54" s="21">
        <f t="shared" ref="H54:O54" si="234">+H53/G53-1</f>
        <v>-2.3030369585134713E-2</v>
      </c>
      <c r="I54" s="21">
        <f t="shared" si="234"/>
        <v>4.7720209689713355E-2</v>
      </c>
      <c r="J54" s="21">
        <f t="shared" si="234"/>
        <v>5.3213031621914819E-3</v>
      </c>
      <c r="K54" s="21">
        <f t="shared" si="234"/>
        <v>4.026859370367708E-2</v>
      </c>
      <c r="L54" s="21">
        <f t="shared" si="234"/>
        <v>0.10686426268383009</v>
      </c>
      <c r="M54" s="21">
        <f t="shared" si="234"/>
        <v>7.9458465484983698E-2</v>
      </c>
      <c r="N54" s="21">
        <f t="shared" si="234"/>
        <v>0.21086057242483425</v>
      </c>
      <c r="O54" s="21">
        <f t="shared" si="234"/>
        <v>5.1674901083507807E-2</v>
      </c>
      <c r="P54" s="21"/>
      <c r="Q54" s="322"/>
      <c r="R54" s="59"/>
      <c r="S54" s="59"/>
      <c r="T54" s="84"/>
      <c r="U54" s="21"/>
      <c r="V54" s="22"/>
      <c r="W54" s="22"/>
      <c r="X54" s="22"/>
      <c r="Y54" s="21">
        <f t="shared" ref="Y54:AF54" si="235">+Y53/U53-1</f>
        <v>0.32101836416972884</v>
      </c>
      <c r="Z54" s="21">
        <f t="shared" si="235"/>
        <v>0.15332465303799259</v>
      </c>
      <c r="AA54" s="21">
        <f t="shared" si="235"/>
        <v>0.14230761115384394</v>
      </c>
      <c r="AB54" s="21">
        <f t="shared" si="235"/>
        <v>0.24460958580335457</v>
      </c>
      <c r="AC54" s="58">
        <f t="shared" si="235"/>
        <v>-2.4426867593345003E-2</v>
      </c>
      <c r="AD54" s="58">
        <f t="shared" si="235"/>
        <v>3.4389378638891355E-2</v>
      </c>
      <c r="AE54" s="58">
        <f t="shared" si="235"/>
        <v>-4.9397841752304328E-2</v>
      </c>
      <c r="AF54" s="58">
        <f t="shared" si="235"/>
        <v>-0.29987968775284468</v>
      </c>
      <c r="AG54" s="21">
        <f>AG53/BL53-1</f>
        <v>4.6063899090414306E-2</v>
      </c>
      <c r="AH54" s="21">
        <f>AH53/BM53-1</f>
        <v>5.200646001378284E-2</v>
      </c>
      <c r="AI54" s="58">
        <f t="shared" ref="AI54:BI54" si="236">+AI53/AE53-1</f>
        <v>0.1858025666460883</v>
      </c>
      <c r="AJ54" s="21">
        <f t="shared" si="236"/>
        <v>6.986835428064242E-2</v>
      </c>
      <c r="AK54" s="21">
        <f t="shared" si="236"/>
        <v>6.3911978245857481E-2</v>
      </c>
      <c r="AL54" s="21">
        <f t="shared" si="236"/>
        <v>-0.10444359011616222</v>
      </c>
      <c r="AM54" s="58">
        <f t="shared" si="236"/>
        <v>5.7425739166427903E-4</v>
      </c>
      <c r="AN54" s="21">
        <f t="shared" si="236"/>
        <v>6.4667844406706809E-2</v>
      </c>
      <c r="AO54" s="21">
        <f t="shared" si="236"/>
        <v>-3.0752155923561619E-2</v>
      </c>
      <c r="AP54" s="21">
        <f t="shared" si="236"/>
        <v>0.2172158422449928</v>
      </c>
      <c r="AQ54" s="58">
        <f t="shared" si="236"/>
        <v>-7.4937965260545858E-2</v>
      </c>
      <c r="AR54" s="21">
        <f>+AR53/AN53-1</f>
        <v>7.5502402536009594E-2</v>
      </c>
      <c r="AS54" s="21">
        <f t="shared" si="236"/>
        <v>0.11581696377881223</v>
      </c>
      <c r="AT54" s="21">
        <f t="shared" si="236"/>
        <v>5.9958029379434397E-2</v>
      </c>
      <c r="AU54" s="21">
        <f t="shared" si="236"/>
        <v>0.14012875536480696</v>
      </c>
      <c r="AV54" s="21">
        <f>+AV53/AR53-1</f>
        <v>0.1143731476302241</v>
      </c>
      <c r="AW54" s="21">
        <f t="shared" si="236"/>
        <v>7.0723516841355361E-2</v>
      </c>
      <c r="AX54" s="21">
        <f>+AX53/AT53-1</f>
        <v>7.8438766852078734E-2</v>
      </c>
      <c r="AY54" s="21">
        <f t="shared" si="236"/>
        <v>0.1133069828722002</v>
      </c>
      <c r="AZ54" s="21">
        <f>+AZ53/AV53-1</f>
        <v>5.7431473015591372E-2</v>
      </c>
      <c r="BA54" s="21">
        <f t="shared" si="236"/>
        <v>0.13514540961794341</v>
      </c>
      <c r="BB54" s="21">
        <f>+BB53/AX53-1</f>
        <v>0.21707282830915875</v>
      </c>
      <c r="BC54" s="21">
        <f t="shared" si="236"/>
        <v>0.18350934093259519</v>
      </c>
      <c r="BD54" s="21">
        <f>+BD53/AZ53-1</f>
        <v>0.29395335013238943</v>
      </c>
      <c r="BE54" s="21">
        <f t="shared" si="236"/>
        <v>0.10969463527484846</v>
      </c>
      <c r="BF54" s="21">
        <f>+BF53/BB53-1</f>
        <v>-3.8385373704647008E-2</v>
      </c>
      <c r="BG54" s="21">
        <f t="shared" si="236"/>
        <v>3.1983528166855235E-2</v>
      </c>
      <c r="BH54" s="21">
        <f>+BH53/BD53-1</f>
        <v>0.10287617985529396</v>
      </c>
      <c r="BI54" s="21">
        <f t="shared" si="236"/>
        <v>9.025032766293517E-3</v>
      </c>
      <c r="BJ54" s="323"/>
      <c r="BK54" s="323"/>
      <c r="BL54" s="58">
        <f>+BL53/AE53-1</f>
        <v>-3.8507510263315448E-2</v>
      </c>
      <c r="BM54" s="58">
        <f>+BM53/AF53-1</f>
        <v>-2.3509796322707111E-3</v>
      </c>
    </row>
    <row r="55" spans="2:65" s="28" customFormat="1" ht="13.5" customHeight="1">
      <c r="B55" s="20" t="s">
        <v>298</v>
      </c>
      <c r="C55" s="21">
        <f t="shared" ref="C55:H55" si="237">C53/C7</f>
        <v>0.18799983706499748</v>
      </c>
      <c r="D55" s="21">
        <f t="shared" si="237"/>
        <v>0.19551063271199789</v>
      </c>
      <c r="E55" s="21">
        <f t="shared" si="237"/>
        <v>0.18335790409525202</v>
      </c>
      <c r="F55" s="21">
        <f t="shared" si="237"/>
        <v>0.19405839813674777</v>
      </c>
      <c r="G55" s="21">
        <f t="shared" si="237"/>
        <v>0.19803726671458113</v>
      </c>
      <c r="H55" s="21">
        <f t="shared" si="237"/>
        <v>0.19444636240155302</v>
      </c>
      <c r="I55" s="21">
        <f t="shared" ref="I55:N55" si="238">I53/I7</f>
        <v>0.19101919860100128</v>
      </c>
      <c r="J55" s="21">
        <f t="shared" si="238"/>
        <v>0.2033899545288502</v>
      </c>
      <c r="K55" s="21">
        <f t="shared" si="238"/>
        <v>0.19942757212723503</v>
      </c>
      <c r="L55" s="21">
        <f t="shared" si="238"/>
        <v>0.18964782154406437</v>
      </c>
      <c r="M55" s="21">
        <f t="shared" si="238"/>
        <v>0.18939150407645519</v>
      </c>
      <c r="N55" s="21">
        <f t="shared" si="238"/>
        <v>0.20088129225424628</v>
      </c>
      <c r="O55" s="21">
        <f t="shared" ref="O55" si="239">O53/O7</f>
        <v>0.20260669512184312</v>
      </c>
      <c r="P55" s="21">
        <f t="shared" ref="P55" si="240">P53/P7</f>
        <v>0.20248327778923017</v>
      </c>
      <c r="Q55" s="322"/>
      <c r="R55" s="21"/>
      <c r="S55" s="21"/>
      <c r="T55" s="85"/>
      <c r="U55" s="21">
        <f t="shared" ref="U55:AA55" si="241">U53/U7</f>
        <v>0.18210203707926406</v>
      </c>
      <c r="V55" s="21">
        <f t="shared" si="241"/>
        <v>0.19962778331238945</v>
      </c>
      <c r="W55" s="21">
        <f t="shared" si="241"/>
        <v>0.18464510873415035</v>
      </c>
      <c r="X55" s="21">
        <f t="shared" si="241"/>
        <v>0.17208237127142362</v>
      </c>
      <c r="Y55" s="21">
        <f t="shared" si="241"/>
        <v>0.17376256757796105</v>
      </c>
      <c r="Z55" s="21">
        <f t="shared" si="241"/>
        <v>0.18351105288519151</v>
      </c>
      <c r="AA55" s="21">
        <f t="shared" si="241"/>
        <v>0.18096017259891015</v>
      </c>
      <c r="AB55" s="21">
        <f t="shared" ref="AB55:AG55" si="242">AB53/AB7</f>
        <v>0.23593409026039233</v>
      </c>
      <c r="AC55" s="58">
        <f t="shared" si="242"/>
        <v>0.17512521875565748</v>
      </c>
      <c r="AD55" s="58">
        <f t="shared" si="242"/>
        <v>0.18261152208218775</v>
      </c>
      <c r="AE55" s="58">
        <f t="shared" si="242"/>
        <v>0.19234074613033875</v>
      </c>
      <c r="AF55" s="58">
        <f t="shared" si="242"/>
        <v>0.24032915340853531</v>
      </c>
      <c r="AG55" s="58">
        <f t="shared" si="242"/>
        <v>0.18467026692386226</v>
      </c>
      <c r="AH55" s="58">
        <f t="shared" ref="AH55:AM55" si="243">AH53/AH7</f>
        <v>0.19133669485089905</v>
      </c>
      <c r="AI55" s="58">
        <f t="shared" si="243"/>
        <v>0.20676626376321056</v>
      </c>
      <c r="AJ55" s="58">
        <f t="shared" si="243"/>
        <v>0.18154290872345383</v>
      </c>
      <c r="AK55" s="58">
        <f t="shared" si="243"/>
        <v>0.20037023226387302</v>
      </c>
      <c r="AL55" s="58">
        <f t="shared" si="243"/>
        <v>0.19085981385182454</v>
      </c>
      <c r="AM55" s="58">
        <f t="shared" si="243"/>
        <v>0.21558175336604055</v>
      </c>
      <c r="AN55" s="58">
        <f t="shared" ref="AN55:AS55" si="244">AN53/AN7</f>
        <v>0.20560245355196158</v>
      </c>
      <c r="AO55" s="58">
        <f t="shared" si="244"/>
        <v>0.1970669010123437</v>
      </c>
      <c r="AP55" s="58">
        <f t="shared" si="244"/>
        <v>0.20941122552026251</v>
      </c>
      <c r="AQ55" s="58">
        <f t="shared" si="244"/>
        <v>0.19289837336931343</v>
      </c>
      <c r="AR55" s="58">
        <f t="shared" si="244"/>
        <v>0.19838950631284741</v>
      </c>
      <c r="AS55" s="58">
        <f t="shared" si="244"/>
        <v>0.19195233909561479</v>
      </c>
      <c r="AT55" s="58">
        <f>AT53/AT7</f>
        <v>0.18507920251508453</v>
      </c>
      <c r="AU55" s="58">
        <f>AU53/AU7</f>
        <v>0.18611579879513962</v>
      </c>
      <c r="AV55" s="58">
        <f t="shared" ref="AV55:AW55" si="245">AV53/AV7</f>
        <v>0.19529877135406543</v>
      </c>
      <c r="AW55" s="58">
        <f t="shared" si="245"/>
        <v>0.18344625744703411</v>
      </c>
      <c r="AX55" s="58">
        <f>AX53/AX7</f>
        <v>0.18621683506124645</v>
      </c>
      <c r="AY55" s="58">
        <f>AY53/AY7</f>
        <v>0.18821691816742087</v>
      </c>
      <c r="AZ55" s="58">
        <f t="shared" ref="AZ55:BA55" si="246">AZ53/AZ7</f>
        <v>0.19900305013297553</v>
      </c>
      <c r="BA55" s="58">
        <f t="shared" si="246"/>
        <v>0.18720238444895571</v>
      </c>
      <c r="BB55" s="58">
        <f>BB53/BB7</f>
        <v>0.20044539773380965</v>
      </c>
      <c r="BC55" s="58">
        <f>BC53/BC7</f>
        <v>0.20115905026903891</v>
      </c>
      <c r="BD55" s="58">
        <f t="shared" ref="BD55:BE55" si="247">BD53/BD7</f>
        <v>0.21236773247680807</v>
      </c>
      <c r="BE55" s="58">
        <f t="shared" si="247"/>
        <v>0.18892245021819473</v>
      </c>
      <c r="BF55" s="58">
        <f>BF53/BF7</f>
        <v>0.18360275855270802</v>
      </c>
      <c r="BG55" s="58">
        <f>BG53/BG7</f>
        <v>0.20100121154672743</v>
      </c>
      <c r="BH55" s="58">
        <f t="shared" ref="BH55:BI55" si="248">BH53/BH7</f>
        <v>0.23465774963534969</v>
      </c>
      <c r="BI55" s="58">
        <f t="shared" si="248"/>
        <v>0.18856173594220887</v>
      </c>
      <c r="BJ55" s="323"/>
      <c r="BK55" s="323"/>
      <c r="BL55" s="58">
        <f>BL53/BL7</f>
        <v>0.18504224967707528</v>
      </c>
      <c r="BM55" s="58">
        <f>BM53/BM7</f>
        <v>0.19578966522625627</v>
      </c>
    </row>
    <row r="56" spans="2:65" s="5" customFormat="1" ht="13.5" hidden="1" customHeight="1" outlineLevel="1">
      <c r="B56" s="5" t="s">
        <v>301</v>
      </c>
      <c r="C56" s="4">
        <v>940</v>
      </c>
      <c r="D56" s="4">
        <v>1044</v>
      </c>
      <c r="E56" s="4">
        <v>1232</v>
      </c>
      <c r="F56" s="6">
        <f>E56</f>
        <v>1232</v>
      </c>
      <c r="G56" s="6">
        <v>1420</v>
      </c>
      <c r="H56" s="6">
        <v>1063</v>
      </c>
      <c r="I56" s="267"/>
      <c r="J56" s="267"/>
      <c r="K56" s="267"/>
      <c r="L56" s="267"/>
      <c r="M56" s="267"/>
      <c r="N56" s="267"/>
      <c r="O56" s="267"/>
      <c r="P56" s="267"/>
      <c r="Q56" s="322"/>
      <c r="R56" s="91"/>
      <c r="S56" s="91"/>
      <c r="T56" s="115"/>
      <c r="U56" s="131">
        <f>$E$56*0.25</f>
        <v>308</v>
      </c>
      <c r="V56" s="131">
        <f>$E$56*0.25</f>
        <v>308</v>
      </c>
      <c r="W56" s="131">
        <f>$E$56*0.25</f>
        <v>308</v>
      </c>
      <c r="X56" s="131">
        <f>$E$56*0.25</f>
        <v>308</v>
      </c>
      <c r="Y56" s="131">
        <f>$F$56*0.25</f>
        <v>308</v>
      </c>
      <c r="Z56" s="131">
        <f>$F$56*0.25</f>
        <v>308</v>
      </c>
      <c r="AA56" s="131">
        <f>$F$56*0.25</f>
        <v>308</v>
      </c>
      <c r="AB56" s="131">
        <f>$F$56*0.25</f>
        <v>308</v>
      </c>
      <c r="AC56" s="131">
        <f>$H$56*0.25</f>
        <v>265.75</v>
      </c>
      <c r="AD56" s="131">
        <f>$H$56*0.25</f>
        <v>265.75</v>
      </c>
      <c r="AE56" s="131">
        <f>$H$56*0.25</f>
        <v>265.75</v>
      </c>
      <c r="AF56" s="226">
        <f>H56-AE56-AD56-AC56</f>
        <v>265.75</v>
      </c>
      <c r="AG56" s="189"/>
      <c r="AH56" s="189"/>
      <c r="AI56" s="189"/>
      <c r="AJ56" s="189"/>
      <c r="AK56" s="189"/>
      <c r="AL56" s="189"/>
      <c r="AM56" s="189"/>
      <c r="AN56" s="189"/>
      <c r="AO56" s="189"/>
      <c r="AP56" s="189"/>
      <c r="AQ56" s="189"/>
      <c r="AR56" s="189"/>
      <c r="AS56" s="189"/>
      <c r="AT56" s="189"/>
      <c r="AU56" s="189"/>
      <c r="AV56" s="189"/>
      <c r="AW56" s="189"/>
      <c r="AX56" s="189"/>
      <c r="AY56" s="189"/>
      <c r="AZ56" s="189"/>
      <c r="BA56" s="189"/>
      <c r="BB56" s="189"/>
      <c r="BC56" s="189"/>
      <c r="BD56" s="189"/>
      <c r="BE56" s="189"/>
      <c r="BF56" s="189"/>
      <c r="BG56" s="189"/>
      <c r="BH56" s="189"/>
      <c r="BI56" s="189"/>
      <c r="BJ56" s="131"/>
      <c r="BK56" s="131"/>
      <c r="BL56" s="131">
        <f>$H$56*0.25</f>
        <v>265.75</v>
      </c>
      <c r="BM56" s="131">
        <f>$H$56*0.25</f>
        <v>265.75</v>
      </c>
    </row>
    <row r="57" spans="2:65" s="28" customFormat="1" ht="13.5" hidden="1" customHeight="1" outlineLevel="1">
      <c r="B57" s="5" t="s">
        <v>302</v>
      </c>
      <c r="C57" s="8">
        <f t="shared" ref="C57:H57" si="249">C53+C56</f>
        <v>28632</v>
      </c>
      <c r="D57" s="8">
        <f t="shared" si="249"/>
        <v>30832</v>
      </c>
      <c r="E57" s="8">
        <f t="shared" si="249"/>
        <v>33818</v>
      </c>
      <c r="F57" s="8">
        <f t="shared" si="249"/>
        <v>40777.22600000001</v>
      </c>
      <c r="G57" s="8">
        <f t="shared" si="249"/>
        <v>37711.546999200269</v>
      </c>
      <c r="H57" s="8">
        <f t="shared" si="249"/>
        <v>36518.739258992398</v>
      </c>
      <c r="I57" s="265"/>
      <c r="J57" s="265"/>
      <c r="K57" s="265"/>
      <c r="L57" s="265"/>
      <c r="M57" s="265"/>
      <c r="N57" s="265"/>
      <c r="O57" s="265"/>
      <c r="P57" s="265"/>
      <c r="Q57" s="322"/>
      <c r="R57" s="48"/>
      <c r="S57" s="48"/>
      <c r="T57" s="83"/>
      <c r="U57" s="8">
        <f t="shared" ref="U57:AA57" si="250">U53+U56</f>
        <v>7063.3830000000016</v>
      </c>
      <c r="V57" s="8">
        <f t="shared" si="250"/>
        <v>8280.8469999999979</v>
      </c>
      <c r="W57" s="8">
        <f t="shared" si="250"/>
        <v>8127.9050000000016</v>
      </c>
      <c r="X57" s="8">
        <f t="shared" si="250"/>
        <v>10345.865000000009</v>
      </c>
      <c r="Y57" s="8">
        <f t="shared" si="250"/>
        <v>9231.9849999999969</v>
      </c>
      <c r="Z57" s="8">
        <f t="shared" si="250"/>
        <v>9503.2809999999972</v>
      </c>
      <c r="AA57" s="8">
        <f t="shared" si="250"/>
        <v>9240.737000000001</v>
      </c>
      <c r="AB57" s="8">
        <f>AB53+AB56</f>
        <v>12801.223000000002</v>
      </c>
      <c r="AC57" s="8">
        <f>AC53+AC56</f>
        <v>8971.75</v>
      </c>
      <c r="AD57" s="8">
        <f>AD53+AD56</f>
        <v>9777.2510000000002</v>
      </c>
      <c r="AE57" s="8">
        <f>AE53+AE56</f>
        <v>8757.2290712590475</v>
      </c>
      <c r="AF57" s="8">
        <f>AF53+AF56</f>
        <v>9012.5091877333434</v>
      </c>
      <c r="AG57" s="265"/>
      <c r="AH57" s="265"/>
      <c r="AI57" s="265"/>
      <c r="AJ57" s="265"/>
      <c r="AK57" s="265"/>
      <c r="AL57" s="265"/>
      <c r="AM57" s="265"/>
      <c r="AN57" s="265"/>
      <c r="AO57" s="265"/>
      <c r="AP57" s="265"/>
      <c r="AQ57" s="265"/>
      <c r="AR57" s="265"/>
      <c r="AS57" s="265"/>
      <c r="AT57" s="265"/>
      <c r="AU57" s="265"/>
      <c r="AV57" s="265"/>
      <c r="AW57" s="265"/>
      <c r="AX57" s="265"/>
      <c r="AY57" s="265"/>
      <c r="AZ57" s="265"/>
      <c r="BA57" s="265"/>
      <c r="BB57" s="265"/>
      <c r="BC57" s="265"/>
      <c r="BD57" s="265"/>
      <c r="BE57" s="265"/>
      <c r="BF57" s="265"/>
      <c r="BG57" s="265"/>
      <c r="BH57" s="265"/>
      <c r="BI57" s="265"/>
      <c r="BJ57" s="8"/>
      <c r="BK57" s="8"/>
      <c r="BL57" s="8">
        <f>BL53+BL56</f>
        <v>8430.2433537718116</v>
      </c>
      <c r="BM57" s="8">
        <f>BM53+BM56</f>
        <v>8991.9457350346056</v>
      </c>
    </row>
    <row r="58" spans="2:65" s="28" customFormat="1" ht="13.5" hidden="1" customHeight="1" outlineLevel="1">
      <c r="B58" s="20" t="s">
        <v>303</v>
      </c>
      <c r="C58" s="21">
        <f t="shared" ref="C58:H58" si="251">C56/C7</f>
        <v>6.3816209317166563E-3</v>
      </c>
      <c r="D58" s="21">
        <f t="shared" si="251"/>
        <v>6.852192176424258E-3</v>
      </c>
      <c r="E58" s="21">
        <f t="shared" si="251"/>
        <v>6.932330996297505E-3</v>
      </c>
      <c r="F58" s="21">
        <f t="shared" si="251"/>
        <v>6.045734736842146E-3</v>
      </c>
      <c r="G58" s="21">
        <f t="shared" si="251"/>
        <v>7.7487167670450118E-3</v>
      </c>
      <c r="H58" s="21">
        <f t="shared" si="251"/>
        <v>5.8297045147754981E-3</v>
      </c>
      <c r="I58" s="268"/>
      <c r="J58" s="268"/>
      <c r="K58" s="268"/>
      <c r="L58" s="268"/>
      <c r="M58" s="268"/>
      <c r="N58" s="268"/>
      <c r="O58" s="268"/>
      <c r="P58" s="268"/>
      <c r="Q58" s="323"/>
      <c r="R58" s="59"/>
      <c r="S58" s="59"/>
      <c r="T58" s="84"/>
      <c r="U58" s="21">
        <f t="shared" ref="U58:AA58" si="252">U56/U7</f>
        <v>8.302627315196388E-3</v>
      </c>
      <c r="V58" s="21">
        <f t="shared" si="252"/>
        <v>7.7118446221551683E-3</v>
      </c>
      <c r="W58" s="21">
        <f t="shared" si="252"/>
        <v>7.2725555476848246E-3</v>
      </c>
      <c r="X58" s="21">
        <f t="shared" si="252"/>
        <v>5.2801437707718155E-3</v>
      </c>
      <c r="Y58" s="21">
        <f t="shared" si="252"/>
        <v>5.9971941698705247E-3</v>
      </c>
      <c r="Z58" s="21">
        <f t="shared" si="252"/>
        <v>6.1467838001512953E-3</v>
      </c>
      <c r="AA58" s="21">
        <f t="shared" si="252"/>
        <v>6.239491116828394E-3</v>
      </c>
      <c r="AB58" s="21">
        <f>AB56/AB7</f>
        <v>5.8165694953336566E-3</v>
      </c>
      <c r="AC58" s="58">
        <f>AC56/AC7</f>
        <v>5.3456842274656529E-3</v>
      </c>
      <c r="AD58" s="58">
        <f>AD56/AD7</f>
        <v>5.1021402398361091E-3</v>
      </c>
      <c r="AE58" s="58">
        <f>AE56/AE7</f>
        <v>6.019511189416224E-3</v>
      </c>
      <c r="AF58" s="58">
        <f>AF56/AF7</f>
        <v>7.3018441627943154E-3</v>
      </c>
      <c r="AG58" s="266"/>
      <c r="AH58" s="266"/>
      <c r="AI58" s="266"/>
      <c r="AJ58" s="266"/>
      <c r="AK58" s="266"/>
      <c r="AL58" s="266"/>
      <c r="AM58" s="266"/>
      <c r="AN58" s="266"/>
      <c r="AO58" s="266"/>
      <c r="AP58" s="266"/>
      <c r="AQ58" s="266"/>
      <c r="AR58" s="266"/>
      <c r="AS58" s="266"/>
      <c r="AT58" s="266"/>
      <c r="AU58" s="266"/>
      <c r="AV58" s="266"/>
      <c r="AW58" s="266"/>
      <c r="AX58" s="266"/>
      <c r="AY58" s="266"/>
      <c r="AZ58" s="266"/>
      <c r="BA58" s="266"/>
      <c r="BB58" s="266"/>
      <c r="BC58" s="266"/>
      <c r="BD58" s="266"/>
      <c r="BE58" s="266"/>
      <c r="BF58" s="266"/>
      <c r="BG58" s="266"/>
      <c r="BH58" s="266"/>
      <c r="BI58" s="266"/>
      <c r="BJ58" s="323"/>
      <c r="BK58" s="323"/>
      <c r="BL58" s="58">
        <f>BL56/BL7</f>
        <v>6.0230287074659718E-3</v>
      </c>
      <c r="BM58" s="58">
        <f>BM56/BM7</f>
        <v>5.9626331008115147E-3</v>
      </c>
    </row>
    <row r="59" spans="2:65" s="5" customFormat="1" ht="13.5" hidden="1" customHeight="1" outlineLevel="1">
      <c r="B59" s="5" t="s">
        <v>304</v>
      </c>
      <c r="C59" s="131">
        <v>6072</v>
      </c>
      <c r="D59" s="131">
        <v>6310</v>
      </c>
      <c r="E59" s="131">
        <v>7579</v>
      </c>
      <c r="F59" s="131">
        <v>10216</v>
      </c>
      <c r="G59" s="189"/>
      <c r="H59" s="189"/>
      <c r="I59" s="227"/>
      <c r="J59" s="227"/>
      <c r="K59" s="227"/>
      <c r="L59" s="227"/>
      <c r="M59" s="227"/>
      <c r="N59" s="227"/>
      <c r="O59" s="227"/>
      <c r="P59" s="227"/>
      <c r="Q59" s="4"/>
      <c r="R59" s="189"/>
      <c r="S59" s="189"/>
      <c r="T59" s="228"/>
      <c r="U59" s="189"/>
      <c r="V59" s="189"/>
      <c r="W59" s="189"/>
      <c r="X59" s="189"/>
      <c r="Y59" s="189"/>
      <c r="Z59" s="189"/>
      <c r="AA59" s="189"/>
      <c r="AB59" s="189"/>
      <c r="AC59" s="189"/>
      <c r="AD59" s="189"/>
      <c r="AE59" s="189"/>
      <c r="AF59" s="189"/>
      <c r="AG59" s="189"/>
      <c r="AH59" s="189"/>
      <c r="AI59" s="189"/>
      <c r="AJ59" s="189"/>
      <c r="AK59" s="189"/>
      <c r="AL59" s="189"/>
      <c r="AM59" s="189"/>
      <c r="AN59" s="189"/>
      <c r="AO59" s="189"/>
      <c r="AP59" s="189"/>
      <c r="AQ59" s="189"/>
      <c r="AR59" s="189"/>
      <c r="AS59" s="189"/>
      <c r="AT59" s="189"/>
      <c r="AU59" s="189"/>
      <c r="AV59" s="189"/>
      <c r="AW59" s="189"/>
      <c r="AX59" s="189"/>
      <c r="AY59" s="189"/>
      <c r="AZ59" s="189"/>
      <c r="BA59" s="189"/>
      <c r="BB59" s="189"/>
      <c r="BC59" s="189"/>
      <c r="BD59" s="189"/>
      <c r="BE59" s="189"/>
      <c r="BF59" s="189"/>
      <c r="BG59" s="189"/>
      <c r="BH59" s="189"/>
      <c r="BI59" s="189"/>
      <c r="BJ59" s="131"/>
      <c r="BK59" s="131"/>
      <c r="BL59" s="189"/>
      <c r="BM59" s="189"/>
    </row>
    <row r="60" spans="2:65" s="5" customFormat="1" ht="13.5" hidden="1" customHeight="1" outlineLevel="1">
      <c r="B60" s="5" t="s">
        <v>305</v>
      </c>
      <c r="C60" s="131">
        <v>877</v>
      </c>
      <c r="D60" s="131">
        <v>834</v>
      </c>
      <c r="E60" s="131">
        <v>1087</v>
      </c>
      <c r="F60" s="131">
        <v>3155</v>
      </c>
      <c r="G60" s="189"/>
      <c r="H60" s="189"/>
      <c r="I60" s="227"/>
      <c r="J60" s="227"/>
      <c r="K60" s="227"/>
      <c r="L60" s="227"/>
      <c r="M60" s="227"/>
      <c r="N60" s="227"/>
      <c r="O60" s="227"/>
      <c r="P60" s="227"/>
      <c r="Q60" s="4"/>
      <c r="R60" s="189"/>
      <c r="S60" s="189"/>
      <c r="T60" s="228"/>
      <c r="U60" s="189"/>
      <c r="V60" s="189"/>
      <c r="W60" s="189"/>
      <c r="X60" s="189"/>
      <c r="Y60" s="189"/>
      <c r="Z60" s="189"/>
      <c r="AA60" s="189"/>
      <c r="AB60" s="189"/>
      <c r="AC60" s="189"/>
      <c r="AD60" s="189"/>
      <c r="AE60" s="189"/>
      <c r="AF60" s="189"/>
      <c r="AG60" s="189"/>
      <c r="AH60" s="189"/>
      <c r="AI60" s="189"/>
      <c r="AJ60" s="189"/>
      <c r="AK60" s="189"/>
      <c r="AL60" s="189"/>
      <c r="AM60" s="189"/>
      <c r="AN60" s="189"/>
      <c r="AO60" s="189"/>
      <c r="AP60" s="189"/>
      <c r="AQ60" s="189"/>
      <c r="AR60" s="189"/>
      <c r="AS60" s="189"/>
      <c r="AT60" s="189"/>
      <c r="AU60" s="189"/>
      <c r="AV60" s="189"/>
      <c r="AW60" s="189"/>
      <c r="AX60" s="189"/>
      <c r="AY60" s="189"/>
      <c r="AZ60" s="189"/>
      <c r="BA60" s="189"/>
      <c r="BB60" s="189"/>
      <c r="BC60" s="189"/>
      <c r="BD60" s="189"/>
      <c r="BE60" s="189"/>
      <c r="BF60" s="189"/>
      <c r="BG60" s="189"/>
      <c r="BH60" s="189"/>
      <c r="BI60" s="189"/>
      <c r="BJ60" s="131"/>
      <c r="BK60" s="131"/>
      <c r="BL60" s="189"/>
      <c r="BM60" s="189"/>
    </row>
    <row r="61" spans="2:65" ht="13.5" customHeight="1" collapsed="1"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</row>
    <row r="62" spans="2:65" ht="13.5" customHeight="1">
      <c r="B62" s="17" t="s">
        <v>306</v>
      </c>
      <c r="C62" s="47">
        <f>C3</f>
        <v>41975</v>
      </c>
      <c r="D62" s="47">
        <f t="shared" ref="D62:AD62" si="253">D3</f>
        <v>42341</v>
      </c>
      <c r="E62" s="47">
        <f t="shared" si="253"/>
        <v>42708</v>
      </c>
      <c r="F62" s="47">
        <f t="shared" si="253"/>
        <v>43073</v>
      </c>
      <c r="G62" s="47">
        <f t="shared" ref="G62:L62" si="254">G3</f>
        <v>43073</v>
      </c>
      <c r="H62" s="47">
        <f t="shared" si="254"/>
        <v>43438</v>
      </c>
      <c r="I62" s="47">
        <f t="shared" si="254"/>
        <v>43803</v>
      </c>
      <c r="J62" s="47">
        <f t="shared" si="254"/>
        <v>44169</v>
      </c>
      <c r="K62" s="47">
        <f t="shared" si="254"/>
        <v>44534</v>
      </c>
      <c r="L62" s="47">
        <f t="shared" si="254"/>
        <v>44899</v>
      </c>
      <c r="M62" s="47">
        <f t="shared" ref="M62:N62" si="255">M3</f>
        <v>45264</v>
      </c>
      <c r="N62" s="47">
        <f t="shared" si="255"/>
        <v>45630</v>
      </c>
      <c r="O62" s="47">
        <f t="shared" ref="O62" si="256">O3</f>
        <v>45995</v>
      </c>
      <c r="P62" s="311" t="s">
        <v>255</v>
      </c>
      <c r="Q62" s="328"/>
      <c r="R62" s="47">
        <f t="shared" si="253"/>
        <v>43439</v>
      </c>
      <c r="S62" s="47">
        <f t="shared" si="253"/>
        <v>43805</v>
      </c>
      <c r="T62" s="81">
        <f t="shared" si="253"/>
        <v>44172</v>
      </c>
      <c r="U62" s="47">
        <f t="shared" si="253"/>
        <v>42437</v>
      </c>
      <c r="V62" s="47">
        <f t="shared" si="253"/>
        <v>42527</v>
      </c>
      <c r="W62" s="47">
        <f t="shared" si="253"/>
        <v>42622</v>
      </c>
      <c r="X62" s="47">
        <f t="shared" si="253"/>
        <v>42714</v>
      </c>
      <c r="Y62" s="47">
        <f t="shared" si="253"/>
        <v>42801</v>
      </c>
      <c r="Z62" s="47">
        <f t="shared" si="253"/>
        <v>42892</v>
      </c>
      <c r="AA62" s="47">
        <f t="shared" si="253"/>
        <v>42987</v>
      </c>
      <c r="AB62" s="47">
        <f t="shared" si="253"/>
        <v>43100</v>
      </c>
      <c r="AC62" s="47">
        <f t="shared" si="253"/>
        <v>43190</v>
      </c>
      <c r="AD62" s="47">
        <f t="shared" si="253"/>
        <v>43281</v>
      </c>
      <c r="AE62" s="47">
        <f t="shared" ref="AE62:AJ62" si="257">AE3</f>
        <v>43373</v>
      </c>
      <c r="AF62" s="47">
        <f t="shared" si="257"/>
        <v>43465</v>
      </c>
      <c r="AG62" s="47">
        <f t="shared" si="257"/>
        <v>43555</v>
      </c>
      <c r="AH62" s="47">
        <f t="shared" si="257"/>
        <v>43646</v>
      </c>
      <c r="AI62" s="47">
        <f t="shared" si="257"/>
        <v>43738</v>
      </c>
      <c r="AJ62" s="47">
        <f t="shared" si="257"/>
        <v>43830</v>
      </c>
      <c r="AK62" s="47">
        <f t="shared" ref="AK62:AP62" si="258">AK3</f>
        <v>43921</v>
      </c>
      <c r="AL62" s="47">
        <f t="shared" si="258"/>
        <v>44012</v>
      </c>
      <c r="AM62" s="47">
        <f t="shared" si="258"/>
        <v>44104</v>
      </c>
      <c r="AN62" s="47">
        <f t="shared" si="258"/>
        <v>44196</v>
      </c>
      <c r="AO62" s="47">
        <f t="shared" si="258"/>
        <v>44286</v>
      </c>
      <c r="AP62" s="47">
        <f t="shared" si="258"/>
        <v>44377</v>
      </c>
      <c r="AQ62" s="47">
        <f t="shared" ref="AQ62:AV62" si="259">AQ3</f>
        <v>44469</v>
      </c>
      <c r="AR62" s="47">
        <f t="shared" si="259"/>
        <v>44561</v>
      </c>
      <c r="AS62" s="47">
        <f t="shared" si="259"/>
        <v>44651</v>
      </c>
      <c r="AT62" s="47">
        <f t="shared" si="259"/>
        <v>44742</v>
      </c>
      <c r="AU62" s="47">
        <f t="shared" si="259"/>
        <v>44834</v>
      </c>
      <c r="AV62" s="47">
        <f t="shared" si="259"/>
        <v>44926</v>
      </c>
      <c r="AW62" s="47">
        <f t="shared" ref="AW62:AZ62" si="260">AW3</f>
        <v>45016</v>
      </c>
      <c r="AX62" s="47">
        <f t="shared" si="260"/>
        <v>45107</v>
      </c>
      <c r="AY62" s="47">
        <f t="shared" si="260"/>
        <v>45199</v>
      </c>
      <c r="AZ62" s="47">
        <f t="shared" si="260"/>
        <v>45291</v>
      </c>
      <c r="BA62" s="47">
        <f t="shared" ref="BA62:BD62" si="261">BA3</f>
        <v>45382</v>
      </c>
      <c r="BB62" s="47">
        <f t="shared" si="261"/>
        <v>45473</v>
      </c>
      <c r="BC62" s="47">
        <f t="shared" si="261"/>
        <v>45565</v>
      </c>
      <c r="BD62" s="47">
        <f t="shared" si="261"/>
        <v>45657</v>
      </c>
      <c r="BE62" s="47">
        <f t="shared" ref="BE62:BH62" si="262">BE3</f>
        <v>45747</v>
      </c>
      <c r="BF62" s="311">
        <f t="shared" si="262"/>
        <v>45838</v>
      </c>
      <c r="BG62" s="311">
        <f t="shared" si="262"/>
        <v>45930</v>
      </c>
      <c r="BH62" s="311">
        <f t="shared" si="262"/>
        <v>46022</v>
      </c>
      <c r="BI62" s="47">
        <f t="shared" ref="BI62" si="263">BI3</f>
        <v>46112</v>
      </c>
      <c r="BJ62" s="8"/>
      <c r="BK62" s="328"/>
      <c r="BL62" s="47">
        <f>BL3</f>
        <v>43190</v>
      </c>
      <c r="BM62" s="47">
        <f>BM3</f>
        <v>43281</v>
      </c>
    </row>
    <row r="63" spans="2:65" s="5" customFormat="1" ht="13.5" customHeight="1">
      <c r="B63" s="5" t="s">
        <v>307</v>
      </c>
      <c r="C63" s="8">
        <f t="shared" ref="C63:H63" si="264">C53</f>
        <v>27692</v>
      </c>
      <c r="D63" s="8">
        <f t="shared" si="264"/>
        <v>29788</v>
      </c>
      <c r="E63" s="8">
        <f t="shared" si="264"/>
        <v>32586</v>
      </c>
      <c r="F63" s="8">
        <f t="shared" si="264"/>
        <v>39545.22600000001</v>
      </c>
      <c r="G63" s="8">
        <f t="shared" si="264"/>
        <v>36291.546999200269</v>
      </c>
      <c r="H63" s="8">
        <f t="shared" si="264"/>
        <v>35455.739258992398</v>
      </c>
      <c r="I63" s="8">
        <f t="shared" ref="I63:M63" si="265">I53</f>
        <v>37147.694571135318</v>
      </c>
      <c r="J63" s="8">
        <f t="shared" si="265"/>
        <v>37345.368715724821</v>
      </c>
      <c r="K63" s="8">
        <f t="shared" si="265"/>
        <v>38849.214195252353</v>
      </c>
      <c r="L63" s="8">
        <f t="shared" si="265"/>
        <v>43000.806826074178</v>
      </c>
      <c r="M63" s="8">
        <f t="shared" si="265"/>
        <v>46417.584951090248</v>
      </c>
      <c r="N63" s="8">
        <f t="shared" ref="N63:O63" si="266">N53</f>
        <v>56205.223484455506</v>
      </c>
      <c r="O63" s="8">
        <f t="shared" si="266"/>
        <v>59109.622848391198</v>
      </c>
      <c r="P63" s="8">
        <f t="shared" ref="P63" si="267">P53</f>
        <v>59229.242372013563</v>
      </c>
      <c r="Q63" s="341"/>
      <c r="R63" s="48"/>
      <c r="S63" s="48"/>
      <c r="T63" s="83"/>
      <c r="U63" s="8">
        <f t="shared" ref="U63:AA63" si="268">U53</f>
        <v>6755.3830000000016</v>
      </c>
      <c r="V63" s="8">
        <f t="shared" si="268"/>
        <v>7972.8469999999979</v>
      </c>
      <c r="W63" s="8">
        <f t="shared" si="268"/>
        <v>7819.9050000000016</v>
      </c>
      <c r="X63" s="8">
        <f t="shared" si="268"/>
        <v>10037.865000000009</v>
      </c>
      <c r="Y63" s="8">
        <f t="shared" si="268"/>
        <v>8923.9849999999969</v>
      </c>
      <c r="Z63" s="8">
        <f t="shared" si="268"/>
        <v>9195.2809999999972</v>
      </c>
      <c r="AA63" s="8">
        <f t="shared" si="268"/>
        <v>8932.737000000001</v>
      </c>
      <c r="AB63" s="8">
        <f t="shared" ref="AB63:AG63" si="269">AB53</f>
        <v>12493.223000000002</v>
      </c>
      <c r="AC63" s="342">
        <f t="shared" si="269"/>
        <v>8706</v>
      </c>
      <c r="AD63" s="342">
        <f t="shared" si="269"/>
        <v>9511.5010000000002</v>
      </c>
      <c r="AE63" s="342">
        <f t="shared" si="269"/>
        <v>8491.4790712590475</v>
      </c>
      <c r="AF63" s="342">
        <f t="shared" si="269"/>
        <v>8746.7591877333434</v>
      </c>
      <c r="AG63" s="342">
        <f t="shared" si="269"/>
        <v>8540.5817517443138</v>
      </c>
      <c r="AH63" s="342">
        <f t="shared" ref="AH63:AM63" si="270">AH53</f>
        <v>9180.0142846011258</v>
      </c>
      <c r="AI63" s="342">
        <f t="shared" si="270"/>
        <v>10069.217677320521</v>
      </c>
      <c r="AJ63" s="342">
        <f t="shared" si="270"/>
        <v>9357.8808574693612</v>
      </c>
      <c r="AK63" s="342">
        <f t="shared" si="270"/>
        <v>9086.4272268687637</v>
      </c>
      <c r="AL63" s="342">
        <f t="shared" si="270"/>
        <v>8221.2206353997317</v>
      </c>
      <c r="AM63" s="342">
        <f t="shared" si="270"/>
        <v>10075</v>
      </c>
      <c r="AN63" s="342">
        <f>AN53</f>
        <v>9963.034840736691</v>
      </c>
      <c r="AO63" s="342">
        <f>AO53</f>
        <v>8807</v>
      </c>
      <c r="AP63" s="342">
        <f>AP53+AO53</f>
        <v>18814</v>
      </c>
      <c r="AQ63" s="342">
        <f t="shared" ref="AQ63:AY63" si="271">AQ53</f>
        <v>9320</v>
      </c>
      <c r="AR63" s="342">
        <f t="shared" si="271"/>
        <v>10715.267907762282</v>
      </c>
      <c r="AS63" s="342">
        <f t="shared" si="271"/>
        <v>9827</v>
      </c>
      <c r="AT63" s="342">
        <f t="shared" si="271"/>
        <v>10607</v>
      </c>
      <c r="AU63" s="342">
        <f t="shared" si="271"/>
        <v>10626</v>
      </c>
      <c r="AV63" s="342">
        <f t="shared" si="271"/>
        <v>11940.806826074178</v>
      </c>
      <c r="AW63" s="342">
        <f t="shared" si="271"/>
        <v>10522</v>
      </c>
      <c r="AX63" s="342">
        <f t="shared" si="271"/>
        <v>11439</v>
      </c>
      <c r="AY63" s="342">
        <f t="shared" si="271"/>
        <v>11830</v>
      </c>
      <c r="AZ63" s="342">
        <f t="shared" ref="AZ63:BC63" si="272">AZ53</f>
        <v>12626.584951090248</v>
      </c>
      <c r="BA63" s="342">
        <f t="shared" si="272"/>
        <v>11944</v>
      </c>
      <c r="BB63" s="342">
        <f t="shared" si="272"/>
        <v>13922.096083028468</v>
      </c>
      <c r="BC63" s="342">
        <f t="shared" si="272"/>
        <v>14000.9155032326</v>
      </c>
      <c r="BD63" s="342">
        <f t="shared" ref="BD63:BG63" si="273">BD53</f>
        <v>16338.211898194439</v>
      </c>
      <c r="BE63" s="342">
        <f t="shared" si="273"/>
        <v>13254.19272372279</v>
      </c>
      <c r="BF63" s="342">
        <f t="shared" si="273"/>
        <v>13387.691222129417</v>
      </c>
      <c r="BG63" s="342">
        <f t="shared" si="273"/>
        <v>14448.714178591999</v>
      </c>
      <c r="BH63" s="342">
        <f t="shared" ref="BH63:BI63" si="274">BH53</f>
        <v>18019.024723946994</v>
      </c>
      <c r="BI63" s="342">
        <f t="shared" si="274"/>
        <v>13373.812247345157</v>
      </c>
      <c r="BJ63" s="8"/>
      <c r="BK63" s="8"/>
      <c r="BL63" s="342"/>
      <c r="BM63" s="342"/>
    </row>
    <row r="64" spans="2:65" ht="13.5" customHeight="1">
      <c r="B64" s="7" t="s">
        <v>308</v>
      </c>
      <c r="C64" s="131">
        <f>-777-588+4978</f>
        <v>3613</v>
      </c>
      <c r="D64" s="131">
        <f>-1010-1784+3329</f>
        <v>535</v>
      </c>
      <c r="E64" s="131">
        <f>-2142.412-2727.044-3552.112+11197.853+672.894</f>
        <v>3449.1790000000001</v>
      </c>
      <c r="F64" s="131">
        <f>-482.321-2724.494+3718.338-1903.567+549.79</f>
        <v>-842.25399999999991</v>
      </c>
      <c r="G64" s="131">
        <f>-688.216-3362.739-2435.481+3668.182+425.27</f>
        <v>-2392.9839999999999</v>
      </c>
      <c r="H64" s="131">
        <f>-1386.021-1683.363-808.923+1665.58+395.176</f>
        <v>-1817.5509999999999</v>
      </c>
      <c r="I64" s="131">
        <f>-1140.216-612.177-1345.231+5727.126-709.769</f>
        <v>1919.7330000000004</v>
      </c>
      <c r="J64" s="131">
        <f>3040-552+190-1037+378-528</f>
        <v>1491</v>
      </c>
      <c r="K64" s="131">
        <f>-2041-550-2262+4448-401-471</f>
        <v>-1277</v>
      </c>
      <c r="L64" s="131">
        <f>-3420-514-179+3420-424-483</f>
        <v>-1600</v>
      </c>
      <c r="M64" s="131">
        <f>-1604.679-778.924+3742.447+1140.081-616.383</f>
        <v>1882.5420000000001</v>
      </c>
      <c r="N64" s="131">
        <f>-2300.449-2214.85+5146.451-1090.567-3172.156</f>
        <v>-3631.5709999999999</v>
      </c>
      <c r="O64" s="131">
        <f>-590.759-4219.901-2360.856-7582.68+12.01</f>
        <v>-14742.186</v>
      </c>
      <c r="P64" s="6">
        <f>SUM(BF64:BI64)</f>
        <v>-8346.1660000000011</v>
      </c>
      <c r="Q64" s="131"/>
      <c r="R64" s="38"/>
      <c r="S64" s="38"/>
      <c r="T64" s="82"/>
      <c r="U64" s="131">
        <f>-372.935+1277.71-1221.632-708.116+170.641</f>
        <v>-854.33199999999999</v>
      </c>
      <c r="V64" s="131">
        <f>-500.491+1114.681-1939.935+353.634-222.908-U64</f>
        <v>-340.68699999999978</v>
      </c>
      <c r="W64" s="131">
        <f>-638.773+593.352-2735.876+3980.191+16.843-V64-U64</f>
        <v>2410.7559999999989</v>
      </c>
      <c r="X64" s="6">
        <f>E64-W64-V64-U64</f>
        <v>2233.4420000000009</v>
      </c>
      <c r="Y64" s="131">
        <f>-1074.797+3702.532-953.387-2364.961+170.681</f>
        <v>-519.93199999999956</v>
      </c>
      <c r="Z64" s="131">
        <f>96.864+3530.138-1157.901-635.751+16.126-Y64</f>
        <v>2369.4079999999994</v>
      </c>
      <c r="AA64" s="131">
        <f>-263.615+2948.702-3210.659+3497.177+435.455-Z64-Y64</f>
        <v>1557.5840000000005</v>
      </c>
      <c r="AB64" s="131">
        <f>F64-AA64-Z64-Y64</f>
        <v>-4249.3140000000003</v>
      </c>
      <c r="AC64" s="131">
        <f>-1439.387+2949.974-2037.944-1015.042-40.381</f>
        <v>-1582.78</v>
      </c>
      <c r="AD64" s="131">
        <f>-586.122+2951.015-466.323-2248.902-1049.179-AC64</f>
        <v>183.26900000000001</v>
      </c>
      <c r="AE64" s="131">
        <f>-1605.475+2999.051-943.336-766.873+198.487-AD64-AC64</f>
        <v>1281.3649999999998</v>
      </c>
      <c r="AF64" s="226">
        <f>H64-AE64-AD64-AC64</f>
        <v>-1699.4049999999995</v>
      </c>
      <c r="AG64" s="131">
        <f>-799.001+3866.959-228.966-1489.058-420.24</f>
        <v>929.69399999999973</v>
      </c>
      <c r="AH64" s="131">
        <f>-167.368+3613.499-540.124-944.866-201.371-AG64</f>
        <v>830.07599999999979</v>
      </c>
      <c r="AI64" s="131">
        <f>-174.308+3200.768-780.345+2925.561-481.663-AH64-AG64</f>
        <v>2930.2429999999995</v>
      </c>
      <c r="AJ64" s="6">
        <f>I64-AI64-AH64-AG64</f>
        <v>-2770.2799999999988</v>
      </c>
      <c r="AK64" s="131">
        <f>-747.38+3579.406+744.988-2030.66-214.848</f>
        <v>1331.5060000000001</v>
      </c>
      <c r="AL64" s="131">
        <f>542.927+4541.158+2821.401-3401.88-396.308-AK64</f>
        <v>2775.7919999999995</v>
      </c>
      <c r="AM64" s="189"/>
      <c r="AN64" s="189"/>
      <c r="AO64" s="189"/>
      <c r="AP64" s="4">
        <f>-1952.826+2405.322+2818.986+3648.098-2844.286-AO64</f>
        <v>4075.2939999999999</v>
      </c>
      <c r="AQ64" s="189"/>
      <c r="AR64" s="189"/>
      <c r="AS64" s="131">
        <f>-801.064+2290.477-1053.04+836.032-595.698</f>
        <v>676.70700000000022</v>
      </c>
      <c r="AT64" s="4">
        <f>-2101.326+598.323-516.611+4089.978-624.424-AS64</f>
        <v>769.23299999999983</v>
      </c>
      <c r="AU64" s="4">
        <f>-1147.205-301.665-2109.91+3407.748-1341.006-AT64-AS64</f>
        <v>-2937.9780000000001</v>
      </c>
      <c r="AV64" s="6">
        <f>L64-SUM(AS64:AU64)</f>
        <v>-107.96199999999999</v>
      </c>
      <c r="AW64" s="131">
        <f>-2299.08+2193.307-605.202+996.653-743.979</f>
        <v>-458.30100000000016</v>
      </c>
      <c r="AX64" s="4">
        <f>-705.974+2226.241+164.23-614.932-1184.433-AW64</f>
        <v>343.43299999999999</v>
      </c>
      <c r="AY64" s="4">
        <f>-259.856+1712.991+283.803+1933.752-487.953-AX64-AW64</f>
        <v>3297.6050000000005</v>
      </c>
      <c r="AZ64" s="6">
        <f>M64-SUM(AW64:AY64)</f>
        <v>-1300.1949999999999</v>
      </c>
      <c r="BA64" s="131">
        <f>-546.872+1247.839+604.657-686.209-1233.613</f>
        <v>-614.19799999999998</v>
      </c>
      <c r="BB64" s="4">
        <f>-655.755+310.46-493.13+2419.51-830.65-BA64</f>
        <v>1364.6330000000003</v>
      </c>
      <c r="BC64" s="4">
        <f>-1681.55+915.455-1483.743+5788.192-1969.2-BB64-BA64</f>
        <v>818.71899999999994</v>
      </c>
      <c r="BD64" s="6">
        <f>N64-SUM(BA64:BC64)</f>
        <v>-5200.7250000000004</v>
      </c>
      <c r="BE64" s="131">
        <f>(-610368000+2360416000-1003961000-4060529000-1554441000)/1000000</f>
        <v>-4868.8829999999998</v>
      </c>
      <c r="BF64" s="4">
        <f>-1008.428+2951.403-1352.471-5945.194-1957.307-BE64</f>
        <v>-2443.1140000000005</v>
      </c>
      <c r="BG64" s="4">
        <f>-105.784+1425.997-1868.653-4555.833-1723.667-BF64-BE64</f>
        <v>484.05700000000161</v>
      </c>
      <c r="BH64" s="6">
        <f>O64-SUM(BE64:BG64)</f>
        <v>-7914.246000000001</v>
      </c>
      <c r="BI64" s="131">
        <f>-435.986+4979.539-1516.192-1117.381-382.843</f>
        <v>1527.1369999999997</v>
      </c>
      <c r="BJ64" s="4"/>
      <c r="BK64" s="4"/>
      <c r="BL64" s="131"/>
      <c r="BM64" s="131"/>
    </row>
    <row r="65" spans="2:67" ht="13.5" customHeight="1">
      <c r="B65" s="7" t="s">
        <v>309</v>
      </c>
      <c r="C65" s="4">
        <v>-4471</v>
      </c>
      <c r="D65" s="4">
        <v>-5919</v>
      </c>
      <c r="E65" s="4">
        <v>-2771</v>
      </c>
      <c r="F65" s="4">
        <v>-5385.4210000000003</v>
      </c>
      <c r="G65" s="4">
        <v>-5254.4579999999996</v>
      </c>
      <c r="H65" s="4">
        <v>-6182.3720000000003</v>
      </c>
      <c r="I65" s="4">
        <v>-4805.3789999999999</v>
      </c>
      <c r="J65" s="4">
        <f>3162-4990</f>
        <v>-1828</v>
      </c>
      <c r="K65" s="4">
        <f>2443-6106</f>
        <v>-3663</v>
      </c>
      <c r="L65" s="4">
        <f>41-5298</f>
        <v>-5257</v>
      </c>
      <c r="M65" s="4">
        <v>-5299.5510000000004</v>
      </c>
      <c r="N65" s="4">
        <v>-9671.777</v>
      </c>
      <c r="O65" s="4">
        <v>-12604.937</v>
      </c>
      <c r="P65" s="6">
        <f t="shared" ref="P65:P67" si="275">SUM(BF65:BI65)</f>
        <v>-11400.560000000001</v>
      </c>
      <c r="Q65" s="131"/>
      <c r="R65" s="38"/>
      <c r="S65" s="38"/>
      <c r="T65" s="82"/>
      <c r="U65" s="4">
        <v>547.43799999999999</v>
      </c>
      <c r="V65" s="4">
        <f>1196.485-U65</f>
        <v>649.04699999999991</v>
      </c>
      <c r="W65" s="4">
        <f>1422.295-V65-U65</f>
        <v>225.81000000000017</v>
      </c>
      <c r="X65" s="6">
        <f>E65-W65-V65-U65</f>
        <v>-4193.2950000000001</v>
      </c>
      <c r="Y65" s="4">
        <v>2596.4639999999999</v>
      </c>
      <c r="Z65" s="4">
        <f>4185.604-Y65</f>
        <v>1589.1400000000003</v>
      </c>
      <c r="AA65" s="4">
        <f>5640.768-Z65-Y65</f>
        <v>1455.1639999999998</v>
      </c>
      <c r="AB65" s="4">
        <f>F65-AA65-Z65-Y65</f>
        <v>-11026.189</v>
      </c>
      <c r="AC65" s="4">
        <v>-2169.9450000000002</v>
      </c>
      <c r="AD65" s="4">
        <f>-3413.282-AC65</f>
        <v>-1243.337</v>
      </c>
      <c r="AE65" s="4">
        <f>-6062.781-AD65-AC65</f>
        <v>-2649.4989999999993</v>
      </c>
      <c r="AF65" s="226">
        <f>H65-AE65-AD65-AC65</f>
        <v>-119.5910000000008</v>
      </c>
      <c r="AG65" s="4">
        <v>-2025.6559999999999</v>
      </c>
      <c r="AH65" s="4">
        <f>-3304.447-AG65</f>
        <v>-1278.7910000000002</v>
      </c>
      <c r="AI65" s="4">
        <f>-4148.43-AH65-AG65</f>
        <v>-843.98300000000017</v>
      </c>
      <c r="AJ65" s="6">
        <f>I65-AI65-AH65-AG65</f>
        <v>-656.94899999999961</v>
      </c>
      <c r="AK65" s="4">
        <v>-2355.788</v>
      </c>
      <c r="AL65" s="4">
        <f>-2589.423-AK65</f>
        <v>-233.63499999999976</v>
      </c>
      <c r="AM65" s="227"/>
      <c r="AN65" s="267"/>
      <c r="AO65" s="227"/>
      <c r="AP65" s="4">
        <f>-3719.751-AO65</f>
        <v>-3719.7510000000002</v>
      </c>
      <c r="AQ65" s="227"/>
      <c r="AR65" s="267"/>
      <c r="AS65" s="4">
        <v>-1553.2360000000001</v>
      </c>
      <c r="AT65" s="4">
        <f>-2786.757-AS65</f>
        <v>-1233.521</v>
      </c>
      <c r="AU65" s="4">
        <f>-4388.924-AT65-AS65</f>
        <v>-1602.1670000000001</v>
      </c>
      <c r="AV65" s="6">
        <f>L65-SUM(AS65:AU65)</f>
        <v>-868.07600000000002</v>
      </c>
      <c r="AW65" s="4">
        <v>-1266.1980000000001</v>
      </c>
      <c r="AX65" s="4">
        <f>-2791.863-AW65</f>
        <v>-1525.6649999999997</v>
      </c>
      <c r="AY65" s="4">
        <f>-3587.157-AX65-AW65</f>
        <v>-795.2940000000001</v>
      </c>
      <c r="AZ65" s="6">
        <f>M65-SUM(AW65:AY65)</f>
        <v>-1712.3940000000002</v>
      </c>
      <c r="BA65" s="4">
        <v>-1711.307</v>
      </c>
      <c r="BB65" s="4">
        <f>-5535.319-BA65</f>
        <v>-3824.0120000000006</v>
      </c>
      <c r="BC65" s="4">
        <f>-7386.868-BB65-BA65</f>
        <v>-1851.5489999999998</v>
      </c>
      <c r="BD65" s="6">
        <f t="shared" ref="BD65:BD67" si="276">N65-SUM(BA65:BC65)</f>
        <v>-2284.9089999999997</v>
      </c>
      <c r="BE65" s="4">
        <v>-4269.4489999999996</v>
      </c>
      <c r="BF65" s="4">
        <f>-7263.504-BE65</f>
        <v>-2994.0550000000003</v>
      </c>
      <c r="BG65" s="4">
        <f>-9636.198-BF65-BE65</f>
        <v>-2372.6940000000004</v>
      </c>
      <c r="BH65" s="6">
        <f t="shared" ref="BH65:BH67" si="277">O65-SUM(BE65:BG65)</f>
        <v>-2968.7389999999996</v>
      </c>
      <c r="BI65" s="4">
        <v>-3065.0720000000001</v>
      </c>
      <c r="BJ65" s="4"/>
      <c r="BK65" s="346"/>
      <c r="BL65" s="4"/>
      <c r="BM65" s="4"/>
    </row>
    <row r="66" spans="2:67" ht="13.5" customHeight="1">
      <c r="B66" s="7" t="s">
        <v>310</v>
      </c>
      <c r="C66" s="4">
        <v>-3182</v>
      </c>
      <c r="D66" s="4">
        <v>-3568</v>
      </c>
      <c r="E66" s="4">
        <v>-4122</v>
      </c>
      <c r="F66" s="4">
        <v>-4589.1989999999996</v>
      </c>
      <c r="G66" s="4">
        <v>-4557.6040000000003</v>
      </c>
      <c r="H66" s="4">
        <v>-4984.0569999999998</v>
      </c>
      <c r="I66" s="4">
        <v>-4810.6379999999999</v>
      </c>
      <c r="J66" s="4">
        <f>-6102-105</f>
        <v>-6207</v>
      </c>
      <c r="K66" s="4">
        <f>-4646-101</f>
        <v>-4747</v>
      </c>
      <c r="L66" s="4">
        <f>-4724-139</f>
        <v>-4863</v>
      </c>
      <c r="M66" s="4">
        <f>-4815.405</f>
        <v>-4815.4049999999997</v>
      </c>
      <c r="N66" s="4">
        <f>-5008.776</f>
        <v>-5008.7759999999998</v>
      </c>
      <c r="O66" s="4">
        <v>-5379.6679999999997</v>
      </c>
      <c r="P66" s="6">
        <f t="shared" si="275"/>
        <v>-5298.5219999999999</v>
      </c>
      <c r="Q66" s="131"/>
      <c r="R66" s="38"/>
      <c r="S66" s="38"/>
      <c r="T66" s="82"/>
      <c r="U66" s="4">
        <v>-480.92200000000003</v>
      </c>
      <c r="V66" s="4">
        <f>-1921.812-U66</f>
        <v>-1440.8899999999999</v>
      </c>
      <c r="W66" s="4">
        <f>-2487.513-V66-U66</f>
        <v>-565.70100000000002</v>
      </c>
      <c r="X66" s="6">
        <f>E66-W66-V66-U66</f>
        <v>-1634.4870000000001</v>
      </c>
      <c r="Y66" s="4">
        <v>-1157.394</v>
      </c>
      <c r="Z66" s="4">
        <f>-2168.18-Y66</f>
        <v>-1010.7859999999998</v>
      </c>
      <c r="AA66" s="4">
        <f>-2782.818-Z66-Y66</f>
        <v>-614.63800000000037</v>
      </c>
      <c r="AB66" s="4">
        <f>F66-AA66-Z66-Y66</f>
        <v>-1806.3809999999996</v>
      </c>
      <c r="AC66" s="4">
        <f>-550.277</f>
        <v>-550.27700000000004</v>
      </c>
      <c r="AD66" s="4">
        <f>-2361.847-AC66</f>
        <v>-1811.5700000000002</v>
      </c>
      <c r="AE66" s="4">
        <f>-3011.58-AD66-AC66</f>
        <v>-649.73299999999972</v>
      </c>
      <c r="AF66" s="226">
        <f>H66-AE66-AD66-AC66</f>
        <v>-1972.4770000000003</v>
      </c>
      <c r="AG66" s="4">
        <v>-616.65300000000002</v>
      </c>
      <c r="AH66" s="4">
        <f>-2320.284-AG66</f>
        <v>-1703.6310000000001</v>
      </c>
      <c r="AI66" s="4">
        <f>-2986.999-AH66-AG66</f>
        <v>-666.71499999999969</v>
      </c>
      <c r="AJ66" s="6">
        <f>I66-AI66-AH66-AG66</f>
        <v>-1823.6390000000004</v>
      </c>
      <c r="AK66" s="4">
        <v>-2116.42</v>
      </c>
      <c r="AL66" s="4">
        <f>-3661.382-AK66</f>
        <v>-1544.962</v>
      </c>
      <c r="AM66" s="227"/>
      <c r="AN66" s="267"/>
      <c r="AO66" s="227"/>
      <c r="AP66" s="4">
        <f>-2367.284-AO66</f>
        <v>-2367.2840000000001</v>
      </c>
      <c r="AQ66" s="227"/>
      <c r="AR66" s="267"/>
      <c r="AS66" s="4">
        <v>-1644.6320000000001</v>
      </c>
      <c r="AT66" s="4">
        <f>-3339.509-AS66</f>
        <v>-1694.877</v>
      </c>
      <c r="AU66" s="4">
        <f>-4688.93-AT66-AS66</f>
        <v>-1349.4210000000003</v>
      </c>
      <c r="AV66" s="6">
        <f>L66-SUM(AS66:AU66)</f>
        <v>-174.06999999999971</v>
      </c>
      <c r="AW66" s="4">
        <v>-1912.825</v>
      </c>
      <c r="AX66" s="4">
        <f>-3678.014-AW66</f>
        <v>-1765.1890000000001</v>
      </c>
      <c r="AY66" s="4">
        <f>-5381.567-AX66-AW66</f>
        <v>-1703.5529999999997</v>
      </c>
      <c r="AZ66" s="6">
        <f>M66-SUM(AW66:AY66)</f>
        <v>566.16200000000026</v>
      </c>
      <c r="BA66" s="4">
        <v>-1155.4100000000001</v>
      </c>
      <c r="BB66" s="4">
        <f>-2415.913-BA66</f>
        <v>-1260.5029999999999</v>
      </c>
      <c r="BC66" s="4">
        <f>-3683.601-BB66-BA66</f>
        <v>-1267.6879999999999</v>
      </c>
      <c r="BD66" s="6">
        <f t="shared" si="276"/>
        <v>-1325.1750000000002</v>
      </c>
      <c r="BE66" s="4">
        <v>-1312.1020000000001</v>
      </c>
      <c r="BF66" s="4">
        <f>-2656.015-BE66</f>
        <v>-1343.9129999999998</v>
      </c>
      <c r="BG66" s="4">
        <f>-3811.432-BF66-BE66</f>
        <v>-1155.4170000000001</v>
      </c>
      <c r="BH66" s="6">
        <f t="shared" si="277"/>
        <v>-1568.2359999999999</v>
      </c>
      <c r="BI66" s="4">
        <v>-1230.9559999999999</v>
      </c>
      <c r="BJ66" s="4"/>
      <c r="BK66" s="346"/>
      <c r="BL66" s="4"/>
      <c r="BM66" s="4"/>
    </row>
    <row r="67" spans="2:67" ht="13.5" customHeight="1">
      <c r="B67" s="7" t="s">
        <v>311</v>
      </c>
      <c r="C67" s="4">
        <v>379</v>
      </c>
      <c r="D67" s="4">
        <v>414</v>
      </c>
      <c r="E67" s="4">
        <v>715</v>
      </c>
      <c r="F67" s="4">
        <v>886.68499999999995</v>
      </c>
      <c r="G67" s="4">
        <v>887.79700000000003</v>
      </c>
      <c r="H67" s="4">
        <v>1002.67</v>
      </c>
      <c r="I67" s="4">
        <v>1228.076</v>
      </c>
      <c r="J67" s="4">
        <v>1047</v>
      </c>
      <c r="K67" s="4">
        <v>932</v>
      </c>
      <c r="L67" s="4">
        <v>2411</v>
      </c>
      <c r="M67" s="4">
        <v>3187.79</v>
      </c>
      <c r="N67" s="4">
        <v>3039.4259999999999</v>
      </c>
      <c r="O67" s="4">
        <v>2369.4479999999999</v>
      </c>
      <c r="P67" s="6">
        <f t="shared" si="275"/>
        <v>2293.6839999999997</v>
      </c>
      <c r="Q67" s="131"/>
      <c r="R67" s="38"/>
      <c r="S67" s="38"/>
      <c r="T67" s="82"/>
      <c r="U67" s="4">
        <v>117.65900000000001</v>
      </c>
      <c r="V67" s="4">
        <f>257.927-U67</f>
        <v>140.26800000000003</v>
      </c>
      <c r="W67" s="4">
        <f>430.027-V67-U67</f>
        <v>172.09999999999997</v>
      </c>
      <c r="X67" s="6">
        <f>E67-W67-V67-U67</f>
        <v>284.97300000000007</v>
      </c>
      <c r="Y67" s="4">
        <v>184.857</v>
      </c>
      <c r="Z67" s="4">
        <f>362.119-Y67</f>
        <v>177.26200000000003</v>
      </c>
      <c r="AA67" s="4">
        <f>640.84-Z67-Y67</f>
        <v>278.721</v>
      </c>
      <c r="AB67" s="4">
        <f>F67-AA67-Z67-Y67</f>
        <v>245.84499999999989</v>
      </c>
      <c r="AC67" s="4">
        <v>198.30099999999999</v>
      </c>
      <c r="AD67" s="4">
        <f>506.269-AC67</f>
        <v>307.96800000000002</v>
      </c>
      <c r="AE67" s="4">
        <f>701.249-AD67-AC67</f>
        <v>194.98000000000002</v>
      </c>
      <c r="AF67" s="226">
        <f>H67-AE67-AD67-AC67</f>
        <v>301.42099999999994</v>
      </c>
      <c r="AG67" s="4">
        <v>248.81200000000001</v>
      </c>
      <c r="AH67" s="4">
        <f>550.502-AG67</f>
        <v>301.68999999999994</v>
      </c>
      <c r="AI67" s="4">
        <f>906.221-AH67-AG67</f>
        <v>355.71900000000005</v>
      </c>
      <c r="AJ67" s="6">
        <f>I67-AI67-AH67-AG67</f>
        <v>321.85500000000002</v>
      </c>
      <c r="AK67" s="4">
        <v>287.77499999999998</v>
      </c>
      <c r="AL67" s="4">
        <f>555.538-AK67</f>
        <v>267.76300000000003</v>
      </c>
      <c r="AM67" s="227"/>
      <c r="AN67" s="267"/>
      <c r="AO67" s="227"/>
      <c r="AP67" s="4">
        <f>356.363-AO67</f>
        <v>356.363</v>
      </c>
      <c r="AQ67" s="227"/>
      <c r="AR67" s="267"/>
      <c r="AS67" s="4">
        <v>404.83100000000002</v>
      </c>
      <c r="AT67" s="4">
        <f>947.828-AS67</f>
        <v>542.99699999999996</v>
      </c>
      <c r="AU67" s="4">
        <f>1605.505-AT67-AS67</f>
        <v>657.67700000000025</v>
      </c>
      <c r="AV67" s="6">
        <f>L67-SUM(AS67:AU67)</f>
        <v>805.49499999999989</v>
      </c>
      <c r="AW67" s="4">
        <v>1041.7729999999999</v>
      </c>
      <c r="AX67" s="4">
        <f>1865.804-AW67</f>
        <v>824.03100000000018</v>
      </c>
      <c r="AY67" s="4">
        <f>2577.848-AX67-AW67</f>
        <v>712.04399999999987</v>
      </c>
      <c r="AZ67" s="6">
        <f>M67-SUM(AW67:AY67)</f>
        <v>609.94200000000001</v>
      </c>
      <c r="BA67" s="4">
        <v>622.64099999999996</v>
      </c>
      <c r="BB67" s="4">
        <f>1307.383-BA67</f>
        <v>684.74200000000008</v>
      </c>
      <c r="BC67" s="4">
        <f>2165.305-BB67-BA67</f>
        <v>857.92199999999968</v>
      </c>
      <c r="BD67" s="6">
        <f t="shared" si="276"/>
        <v>874.12100000000009</v>
      </c>
      <c r="BE67" s="4">
        <v>590.27300000000002</v>
      </c>
      <c r="BF67" s="4">
        <f>1214.133-BE67</f>
        <v>623.86</v>
      </c>
      <c r="BG67" s="4">
        <f>1829.888-BF67-BE67</f>
        <v>615.75499999999977</v>
      </c>
      <c r="BH67" s="6">
        <f t="shared" si="277"/>
        <v>539.55999999999995</v>
      </c>
      <c r="BI67" s="4">
        <v>514.50900000000001</v>
      </c>
      <c r="BJ67" s="4"/>
      <c r="BK67" s="346"/>
      <c r="BL67" s="4"/>
      <c r="BM67" s="4"/>
    </row>
    <row r="68" spans="2:67" s="5" customFormat="1" ht="13.5" customHeight="1">
      <c r="B68" s="5" t="s">
        <v>312</v>
      </c>
      <c r="C68" s="39">
        <f t="shared" ref="C68:H68" si="278">SUM(C63:C67)</f>
        <v>24031</v>
      </c>
      <c r="D68" s="39">
        <f t="shared" si="278"/>
        <v>21250</v>
      </c>
      <c r="E68" s="39">
        <f t="shared" si="278"/>
        <v>29857.179000000004</v>
      </c>
      <c r="F68" s="39">
        <f t="shared" si="278"/>
        <v>29615.037000000008</v>
      </c>
      <c r="G68" s="39">
        <f t="shared" si="278"/>
        <v>24974.297999200273</v>
      </c>
      <c r="H68" s="39">
        <f t="shared" si="278"/>
        <v>23474.429258992397</v>
      </c>
      <c r="I68" s="39">
        <f t="shared" ref="I68:M68" si="279">SUM(I63:I67)</f>
        <v>30679.48657113532</v>
      </c>
      <c r="J68" s="39">
        <f t="shared" si="279"/>
        <v>31848.368715724821</v>
      </c>
      <c r="K68" s="39">
        <f t="shared" si="279"/>
        <v>30094.214195252353</v>
      </c>
      <c r="L68" s="39">
        <f t="shared" si="279"/>
        <v>33691.806826074178</v>
      </c>
      <c r="M68" s="39">
        <f t="shared" si="279"/>
        <v>41372.960951090252</v>
      </c>
      <c r="N68" s="39">
        <f t="shared" ref="N68:O68" si="280">SUM(N63:N67)</f>
        <v>40932.525484455509</v>
      </c>
      <c r="O68" s="39">
        <f t="shared" si="280"/>
        <v>28752.279848391201</v>
      </c>
      <c r="P68" s="39">
        <f t="shared" ref="P68" si="281">SUM(P63:P67)</f>
        <v>36477.678372013565</v>
      </c>
      <c r="Q68" s="131"/>
      <c r="R68" s="39"/>
      <c r="S68" s="39"/>
      <c r="T68" s="122"/>
      <c r="U68" s="39">
        <f t="shared" ref="U68:AA68" si="282">SUM(U63:U67)</f>
        <v>6085.2260000000006</v>
      </c>
      <c r="V68" s="39">
        <f t="shared" si="282"/>
        <v>6980.5849999999991</v>
      </c>
      <c r="W68" s="39">
        <f t="shared" si="282"/>
        <v>10062.870000000001</v>
      </c>
      <c r="X68" s="39">
        <f t="shared" si="282"/>
        <v>6728.4980000000096</v>
      </c>
      <c r="Y68" s="39">
        <f t="shared" si="282"/>
        <v>10027.979999999998</v>
      </c>
      <c r="Z68" s="39">
        <f t="shared" si="282"/>
        <v>12320.304999999998</v>
      </c>
      <c r="AA68" s="39">
        <f t="shared" si="282"/>
        <v>11609.567999999999</v>
      </c>
      <c r="AB68" s="39">
        <f t="shared" ref="AB68:AL68" si="283">SUM(AB63:AB67)</f>
        <v>-4342.815999999998</v>
      </c>
      <c r="AC68" s="39">
        <f t="shared" si="283"/>
        <v>4601.299</v>
      </c>
      <c r="AD68" s="39">
        <f t="shared" si="283"/>
        <v>6947.831000000001</v>
      </c>
      <c r="AE68" s="39">
        <f t="shared" si="283"/>
        <v>6668.5920712590469</v>
      </c>
      <c r="AF68" s="39">
        <f t="shared" si="283"/>
        <v>5256.7071877333419</v>
      </c>
      <c r="AG68" s="39">
        <f t="shared" si="283"/>
        <v>7076.778751744313</v>
      </c>
      <c r="AH68" s="39">
        <f t="shared" si="283"/>
        <v>7329.358284601125</v>
      </c>
      <c r="AI68" s="39">
        <f t="shared" si="283"/>
        <v>11844.48167732052</v>
      </c>
      <c r="AJ68" s="39">
        <f t="shared" si="283"/>
        <v>4428.8678574693622</v>
      </c>
      <c r="AK68" s="39">
        <f t="shared" si="283"/>
        <v>6233.5002268687622</v>
      </c>
      <c r="AL68" s="39">
        <f t="shared" si="283"/>
        <v>9486.1786353997322</v>
      </c>
      <c r="AM68" s="302"/>
      <c r="AN68" s="302"/>
      <c r="AO68" s="302"/>
      <c r="AP68" s="39">
        <f>SUM(AP63:AP67)</f>
        <v>17158.622000000003</v>
      </c>
      <c r="AQ68" s="302"/>
      <c r="AR68" s="302"/>
      <c r="AS68" s="39">
        <f t="shared" ref="AS68:AZ68" si="284">SUM(AS63:AS67)</f>
        <v>7710.67</v>
      </c>
      <c r="AT68" s="39">
        <f t="shared" si="284"/>
        <v>8990.8319999999985</v>
      </c>
      <c r="AU68" s="39">
        <f t="shared" si="284"/>
        <v>5394.1109999999999</v>
      </c>
      <c r="AV68" s="8">
        <f t="shared" si="284"/>
        <v>11596.193826074177</v>
      </c>
      <c r="AW68" s="39">
        <f t="shared" si="284"/>
        <v>7926.4490000000005</v>
      </c>
      <c r="AX68" s="39">
        <f t="shared" si="284"/>
        <v>9315.6100000000024</v>
      </c>
      <c r="AY68" s="39">
        <f t="shared" si="284"/>
        <v>13340.802</v>
      </c>
      <c r="AZ68" s="8">
        <f t="shared" si="284"/>
        <v>10790.099951090247</v>
      </c>
      <c r="BA68" s="39">
        <f t="shared" ref="BA68:BD68" si="285">SUM(BA63:BA67)</f>
        <v>9085.7259999999987</v>
      </c>
      <c r="BB68" s="39">
        <f t="shared" si="285"/>
        <v>10886.956083028466</v>
      </c>
      <c r="BC68" s="39">
        <f t="shared" si="285"/>
        <v>12558.3195032326</v>
      </c>
      <c r="BD68" s="8">
        <f t="shared" si="285"/>
        <v>8401.5238981944385</v>
      </c>
      <c r="BE68" s="39">
        <f t="shared" ref="BE68:BH68" si="286">SUM(BE63:BE67)</f>
        <v>3394.031723722791</v>
      </c>
      <c r="BF68" s="39">
        <f t="shared" si="286"/>
        <v>7230.4692221294172</v>
      </c>
      <c r="BG68" s="39">
        <f>SUM(BG63:BG67)</f>
        <v>12020.415178592</v>
      </c>
      <c r="BH68" s="8">
        <f t="shared" si="286"/>
        <v>6107.3637239469936</v>
      </c>
      <c r="BI68" s="39">
        <f>SUM(BI63:BI67)</f>
        <v>11119.430247345157</v>
      </c>
      <c r="BJ68" s="39"/>
      <c r="BK68" s="346"/>
      <c r="BL68" s="39"/>
      <c r="BM68" s="39"/>
    </row>
    <row r="69" spans="2:67" ht="13.5" customHeight="1">
      <c r="B69" s="7" t="s">
        <v>313</v>
      </c>
      <c r="C69" s="4">
        <f>-10862+147</f>
        <v>-10715</v>
      </c>
      <c r="D69" s="4">
        <f>-10545+233</f>
        <v>-10312</v>
      </c>
      <c r="E69" s="4">
        <f>-10308+324</f>
        <v>-9984</v>
      </c>
      <c r="F69" s="4">
        <f>-11069.208+322.417</f>
        <v>-10746.791000000001</v>
      </c>
      <c r="G69" s="4">
        <f>323.623-9714.053</f>
        <v>-9390.43</v>
      </c>
      <c r="H69" s="4">
        <f>398.689-9917.318</f>
        <v>-9518.628999999999</v>
      </c>
      <c r="I69" s="4">
        <f>-10323.839+329.788</f>
        <v>-9994.0509999999995</v>
      </c>
      <c r="J69" s="4">
        <f>-9655+274</f>
        <v>-9381</v>
      </c>
      <c r="K69" s="4">
        <f>-9344+259</f>
        <v>-9085</v>
      </c>
      <c r="L69" s="4">
        <f>-16756+323</f>
        <v>-16433</v>
      </c>
      <c r="M69" s="4">
        <f>-19613.087+178.371</f>
        <v>-19434.716</v>
      </c>
      <c r="N69" s="4">
        <f>-23944.46+476.483</f>
        <v>-23467.976999999999</v>
      </c>
      <c r="O69" s="4">
        <f>-21665.497+465.233</f>
        <v>-21200.263999999999</v>
      </c>
      <c r="P69" s="6">
        <f t="shared" ref="P69:P71" si="287">SUM(BF69:BI69)</f>
        <v>-19552.737999999998</v>
      </c>
      <c r="Q69" s="131"/>
      <c r="R69" s="38"/>
      <c r="S69" s="38"/>
      <c r="T69" s="82"/>
      <c r="U69" s="4">
        <f>-1182.136+30.886</f>
        <v>-1151.25</v>
      </c>
      <c r="V69" s="4">
        <f>-3562.206+174.778-U69</f>
        <v>-2236.1780000000003</v>
      </c>
      <c r="W69" s="4">
        <f>-6103.559+215.283-V69-U69</f>
        <v>-2500.8479999999995</v>
      </c>
      <c r="X69" s="6">
        <f>E69-W69-V69-U69</f>
        <v>-4095.7240000000002</v>
      </c>
      <c r="Y69" s="4">
        <f>-1409.881+23.31</f>
        <v>-1386.5710000000001</v>
      </c>
      <c r="Z69" s="4">
        <f>-4078.768+147.824-Y69</f>
        <v>-2544.3729999999996</v>
      </c>
      <c r="AA69" s="4">
        <f>-6458.109+197.843-Z69-Y69</f>
        <v>-2329.322000000001</v>
      </c>
      <c r="AB69" s="4">
        <f>F69-AA69-Z69-Y69</f>
        <v>-4486.5250000000015</v>
      </c>
      <c r="AC69" s="4">
        <f>-1579.124+62.121</f>
        <v>-1517.0029999999999</v>
      </c>
      <c r="AD69" s="4">
        <f>-3989.205+95.052-AC69</f>
        <v>-2377.1499999999996</v>
      </c>
      <c r="AE69" s="4">
        <f>-6055.299+190.278-AD69-AC69</f>
        <v>-1970.8680000000002</v>
      </c>
      <c r="AF69" s="226">
        <f>H69-AE69-AD69-AC69</f>
        <v>-3653.6079999999993</v>
      </c>
      <c r="AG69" s="4">
        <f>-1521.746+199.084</f>
        <v>-1322.662</v>
      </c>
      <c r="AH69" s="4">
        <f>-3542.418+228.509-AG69</f>
        <v>-1991.2470000000001</v>
      </c>
      <c r="AI69" s="4">
        <f>-5993.011+269.316-AH69-AG69</f>
        <v>-2409.7860000000001</v>
      </c>
      <c r="AJ69" s="6">
        <f>I69-AI69-AH69-AG69</f>
        <v>-4270.3559999999989</v>
      </c>
      <c r="AK69" s="4">
        <f>-1802.642+40.676</f>
        <v>-1761.9660000000001</v>
      </c>
      <c r="AL69" s="4">
        <f>-3397.129+142.175-AK69</f>
        <v>-1492.9879999999996</v>
      </c>
      <c r="AM69" s="227"/>
      <c r="AN69" s="267"/>
      <c r="AO69" s="227"/>
      <c r="AP69" s="4">
        <f>-4202.645+694.73-AO69</f>
        <v>-3507.9150000000004</v>
      </c>
      <c r="AQ69" s="227"/>
      <c r="AR69" s="267"/>
      <c r="AS69" s="4">
        <f>-3528.364+80.309</f>
        <v>-3448.0549999999998</v>
      </c>
      <c r="AT69" s="4">
        <f>-6646.462+152.601-AS69</f>
        <v>-3045.8060000000009</v>
      </c>
      <c r="AU69" s="4">
        <f>-10663.25+261.06-AT69-AS69</f>
        <v>-3908.3290000000002</v>
      </c>
      <c r="AV69" s="6">
        <f>L69-SUM(AS69:AU69)</f>
        <v>-6030.8099999999995</v>
      </c>
      <c r="AW69" s="4">
        <f>-3474.356+42.711</f>
        <v>-3431.6450000000004</v>
      </c>
      <c r="AX69" s="4">
        <f>-6198.999+106.619-AW69</f>
        <v>-2660.7349999999997</v>
      </c>
      <c r="AY69" s="4">
        <f>-11310.303+161.165-AX69-AW69</f>
        <v>-5056.757999999998</v>
      </c>
      <c r="AZ69" s="6">
        <f>M69-SUM(AW69:AY69)</f>
        <v>-8285.5780000000013</v>
      </c>
      <c r="BA69" s="4">
        <f>-3557.86+30.12</f>
        <v>-3527.7400000000002</v>
      </c>
      <c r="BB69" s="4">
        <f>-8948.774+98.329-BA69</f>
        <v>-5322.7049999999999</v>
      </c>
      <c r="BC69" s="4">
        <f>-14837.479+146.268-BB69-BA69</f>
        <v>-5840.7659999999996</v>
      </c>
      <c r="BD69" s="6">
        <f t="shared" ref="BD69:BD71" si="288">N69-SUM(BA69:BC69)</f>
        <v>-8776.7659999999996</v>
      </c>
      <c r="BE69" s="4">
        <f>(-5363048000+29711000)/1000000</f>
        <v>-5333.3370000000004</v>
      </c>
      <c r="BF69" s="4">
        <f>-9442.136+119.293-BE69</f>
        <v>-3989.5060000000003</v>
      </c>
      <c r="BG69" s="4">
        <f>-14678.296+239.928-BF69-BE69</f>
        <v>-5115.5250000000005</v>
      </c>
      <c r="BH69" s="6">
        <f t="shared" ref="BH69:BH71" si="289">O69-SUM(BE69:BG69)</f>
        <v>-6761.895999999997</v>
      </c>
      <c r="BI69" s="4">
        <f>-3716.728+30.917</f>
        <v>-3685.8110000000001</v>
      </c>
      <c r="BJ69" s="4"/>
      <c r="BK69" s="346"/>
      <c r="BL69" s="4"/>
      <c r="BM69" s="4"/>
    </row>
    <row r="70" spans="2:67" ht="13.5" customHeight="1">
      <c r="B70" s="7" t="s">
        <v>314</v>
      </c>
      <c r="C70" s="4">
        <v>-634</v>
      </c>
      <c r="D70" s="4">
        <v>-956</v>
      </c>
      <c r="E70" s="4">
        <v>-2385</v>
      </c>
      <c r="F70" s="4">
        <v>-3753.4079999999999</v>
      </c>
      <c r="G70" s="4">
        <v>-3410.5390000000002</v>
      </c>
      <c r="H70" s="4">
        <v>-1373.3420000000001</v>
      </c>
      <c r="I70" s="4">
        <v>-1420.595</v>
      </c>
      <c r="J70" s="4">
        <v>-289</v>
      </c>
      <c r="K70" s="4">
        <v>-645</v>
      </c>
      <c r="L70" s="4">
        <v>-979</v>
      </c>
      <c r="M70" s="4">
        <v>-1018.55</v>
      </c>
      <c r="N70" s="4">
        <v>-1847.9870000000001</v>
      </c>
      <c r="O70" s="4">
        <v>-2125.4470000000001</v>
      </c>
      <c r="P70" s="6">
        <f t="shared" si="287"/>
        <v>-2238.5690000000004</v>
      </c>
      <c r="Q70" s="131"/>
      <c r="R70" s="38"/>
      <c r="S70" s="38"/>
      <c r="T70" s="82"/>
      <c r="U70" s="4">
        <v>-336.70499999999998</v>
      </c>
      <c r="V70" s="4">
        <f>-578.208-U70</f>
        <v>-241.50299999999999</v>
      </c>
      <c r="W70" s="4">
        <f>-909.227-V70-U70</f>
        <v>-331.01899999999995</v>
      </c>
      <c r="X70" s="6">
        <f>E70-W70-V70-U70</f>
        <v>-1475.7730000000004</v>
      </c>
      <c r="Y70" s="4">
        <v>-2477.6309999999999</v>
      </c>
      <c r="Z70" s="4">
        <f>-2454.865-Y70</f>
        <v>22.766000000000076</v>
      </c>
      <c r="AA70" s="4">
        <f>-3348.405-Z70-Y70</f>
        <v>-893.54000000000042</v>
      </c>
      <c r="AB70" s="4">
        <f>F70-AA70-Z70-Y70</f>
        <v>-405.0029999999997</v>
      </c>
      <c r="AC70" s="4">
        <v>-302.65499999999997</v>
      </c>
      <c r="AD70" s="4">
        <f>-295.333-AC70</f>
        <v>7.3219999999999459</v>
      </c>
      <c r="AE70" s="4">
        <f>-1006.879-AD70-AC70</f>
        <v>-711.54600000000005</v>
      </c>
      <c r="AF70" s="226">
        <f>H70-AE70-AD70-AC70</f>
        <v>-366.46299999999997</v>
      </c>
      <c r="AG70" s="4">
        <v>-210.35599999999999</v>
      </c>
      <c r="AH70" s="4">
        <f>-629.635-AG70</f>
        <v>-419.279</v>
      </c>
      <c r="AI70" s="4">
        <f>-915.432-AH70-AG70</f>
        <v>-285.79700000000003</v>
      </c>
      <c r="AJ70" s="6">
        <f>I70-AI70-AH70-AG70</f>
        <v>-505.16300000000001</v>
      </c>
      <c r="AK70" s="4">
        <v>-308.66800000000001</v>
      </c>
      <c r="AL70" s="4">
        <f>-271.692-AK70</f>
        <v>36.975999999999999</v>
      </c>
      <c r="AM70" s="227"/>
      <c r="AN70" s="267"/>
      <c r="AO70" s="227"/>
      <c r="AP70" s="4">
        <f>-96.707-AO70</f>
        <v>-96.706999999999994</v>
      </c>
      <c r="AQ70" s="227"/>
      <c r="AR70" s="267"/>
      <c r="AS70" s="4">
        <v>74.837999999999994</v>
      </c>
      <c r="AT70" s="4">
        <f>-253.079-AS70</f>
        <v>-327.91700000000003</v>
      </c>
      <c r="AU70" s="4">
        <f>-360.706-AT70-AS70</f>
        <v>-107.62699999999998</v>
      </c>
      <c r="AV70" s="6">
        <f>L70-SUM(AS70:AU70)</f>
        <v>-618.29399999999998</v>
      </c>
      <c r="AW70" s="4">
        <v>-235.15899999999999</v>
      </c>
      <c r="AX70" s="4">
        <f>-410.878-AW70</f>
        <v>-175.71899999999999</v>
      </c>
      <c r="AY70" s="4">
        <f>-642.8-AX70-AW70</f>
        <v>-231.92199999999997</v>
      </c>
      <c r="AZ70" s="6">
        <f>M70-SUM(AW70:AY70)</f>
        <v>-375.75</v>
      </c>
      <c r="BA70" s="4">
        <v>-247.285</v>
      </c>
      <c r="BB70" s="4">
        <f>-571.325-BA70</f>
        <v>-324.04000000000008</v>
      </c>
      <c r="BC70" s="4">
        <f>-1025.902-BB70-BA70</f>
        <v>-454.577</v>
      </c>
      <c r="BD70" s="6">
        <f t="shared" si="288"/>
        <v>-822.08500000000004</v>
      </c>
      <c r="BE70" s="4">
        <v>-384.553</v>
      </c>
      <c r="BF70" s="4">
        <f>-661.793-BE70</f>
        <v>-277.24</v>
      </c>
      <c r="BG70" s="4">
        <f>-1223.842-BF70-BE70</f>
        <v>-562.04900000000009</v>
      </c>
      <c r="BH70" s="6">
        <f t="shared" si="289"/>
        <v>-901.60500000000002</v>
      </c>
      <c r="BI70" s="4">
        <v>-497.67500000000001</v>
      </c>
      <c r="BJ70" s="4"/>
      <c r="BK70" s="346"/>
      <c r="BL70" s="4"/>
      <c r="BM70" s="4"/>
    </row>
    <row r="71" spans="2:67" ht="13.5" customHeight="1">
      <c r="B71" s="7" t="s">
        <v>315</v>
      </c>
      <c r="C71" s="4">
        <v>0</v>
      </c>
      <c r="D71" s="4">
        <v>0</v>
      </c>
      <c r="E71" s="4">
        <v>-13198</v>
      </c>
      <c r="F71" s="4">
        <f>-4012.597+169.647</f>
        <v>-3842.9500000000003</v>
      </c>
      <c r="G71" s="4">
        <f>-25.221-169.647</f>
        <v>-194.86799999999999</v>
      </c>
      <c r="H71" s="4">
        <v>-1957.0219999999999</v>
      </c>
      <c r="I71" s="4">
        <v>-571.39300000000003</v>
      </c>
      <c r="J71" s="4">
        <v>-1576</v>
      </c>
      <c r="K71" s="4">
        <v>1</v>
      </c>
      <c r="L71" s="4">
        <f>-2356-558</f>
        <v>-2914</v>
      </c>
      <c r="M71" s="4">
        <f>-1202.022</f>
        <v>-1202.0219999999999</v>
      </c>
      <c r="N71" s="4">
        <v>-732.57399999999996</v>
      </c>
      <c r="O71" s="4">
        <v>-490.53100000000001</v>
      </c>
      <c r="P71" s="6">
        <f t="shared" si="287"/>
        <v>-340.245</v>
      </c>
      <c r="Q71" s="4"/>
      <c r="R71" s="38"/>
      <c r="S71" s="38"/>
      <c r="T71" s="82"/>
      <c r="U71" s="4">
        <v>0</v>
      </c>
      <c r="V71" s="4">
        <v>0</v>
      </c>
      <c r="W71" s="4">
        <v>0</v>
      </c>
      <c r="X71" s="6">
        <f>E71-W71-V71-U71</f>
        <v>-13198</v>
      </c>
      <c r="Y71" s="4">
        <v>-4037.817</v>
      </c>
      <c r="Z71" s="4">
        <f>-8124.834-Y71</f>
        <v>-4087.0169999999998</v>
      </c>
      <c r="AA71" s="4">
        <f>-8124.834-Z71-Y71</f>
        <v>0</v>
      </c>
      <c r="AB71" s="4">
        <f>F71-AA71-Z71-Y71</f>
        <v>4281.884</v>
      </c>
      <c r="AC71" s="4">
        <v>0</v>
      </c>
      <c r="AD71" s="4">
        <f>-5989.178-AC71</f>
        <v>-5989.1779999999999</v>
      </c>
      <c r="AE71" s="4">
        <f>-5692.399-AD71-AC71</f>
        <v>296.77899999999954</v>
      </c>
      <c r="AF71" s="226">
        <f>H71-AE71-AD71-AC71</f>
        <v>3735.3770000000004</v>
      </c>
      <c r="AG71" s="4">
        <v>-152.251</v>
      </c>
      <c r="AH71" s="4">
        <f>-202.142-AG71</f>
        <v>-49.890999999999991</v>
      </c>
      <c r="AI71" s="4">
        <f>-319.597-AH71-AG71</f>
        <v>-117.45500000000001</v>
      </c>
      <c r="AJ71" s="6">
        <f>I71-AI71-AH71-AG71</f>
        <v>-251.79600000000002</v>
      </c>
      <c r="AK71" s="4">
        <v>-249.13900000000001</v>
      </c>
      <c r="AL71" s="4">
        <f>-239.838-AK71</f>
        <v>9.3010000000000161</v>
      </c>
      <c r="AM71" s="227"/>
      <c r="AN71" s="267"/>
      <c r="AO71" s="227"/>
      <c r="AP71" s="4">
        <f>16.911-AO71</f>
        <v>16.911000000000001</v>
      </c>
      <c r="AQ71" s="227"/>
      <c r="AR71" s="267"/>
      <c r="AS71" s="4">
        <v>-1624.8610000000001</v>
      </c>
      <c r="AT71" s="4">
        <f>-1873.228-AS71</f>
        <v>-248.36699999999996</v>
      </c>
      <c r="AU71" s="4">
        <f>-2120.707-AT71-AS71</f>
        <v>-247.47899999999981</v>
      </c>
      <c r="AV71" s="6">
        <f>L71-SUM(AS71:AU71)</f>
        <v>-793.29300000000012</v>
      </c>
      <c r="AW71" s="4">
        <v>-229.571</v>
      </c>
      <c r="AX71" s="4">
        <f>-604.498-AW71</f>
        <v>-374.92700000000002</v>
      </c>
      <c r="AY71" s="4">
        <f>-934.646-AX71-AW71</f>
        <v>-330.14799999999991</v>
      </c>
      <c r="AZ71" s="6">
        <f>M71-SUM(AW71:AY71)</f>
        <v>-267.37599999999998</v>
      </c>
      <c r="BA71" s="4">
        <v>-113.16800000000001</v>
      </c>
      <c r="BB71" s="4">
        <f>-276.061-BA71</f>
        <v>-162.89299999999997</v>
      </c>
      <c r="BC71" s="4">
        <f>-556.602-BB71-BA71</f>
        <v>-280.541</v>
      </c>
      <c r="BD71" s="6">
        <f t="shared" si="288"/>
        <v>-175.97199999999998</v>
      </c>
      <c r="BE71" s="4">
        <v>0</v>
      </c>
      <c r="BF71" s="4">
        <f>-371.468-BE71</f>
        <v>-371.46800000000002</v>
      </c>
      <c r="BG71" s="4">
        <f>-527.154-BF71-BE71</f>
        <v>-155.68599999999998</v>
      </c>
      <c r="BH71" s="6">
        <f t="shared" si="289"/>
        <v>36.62299999999999</v>
      </c>
      <c r="BI71" s="4">
        <v>150.286</v>
      </c>
      <c r="BJ71" s="4"/>
      <c r="BK71" s="346"/>
      <c r="BL71" s="4"/>
      <c r="BM71" s="4"/>
    </row>
    <row r="72" spans="2:67" s="5" customFormat="1" ht="13.5" customHeight="1">
      <c r="B72" s="16" t="s">
        <v>316</v>
      </c>
      <c r="C72" s="8">
        <f>SUM(C68:C71)</f>
        <v>12682</v>
      </c>
      <c r="D72" s="8">
        <f t="shared" ref="D72:BI72" si="290">SUM(D68:D71)</f>
        <v>9982</v>
      </c>
      <c r="E72" s="8">
        <f t="shared" si="290"/>
        <v>4290.1790000000037</v>
      </c>
      <c r="F72" s="8">
        <f t="shared" si="290"/>
        <v>11271.888000000006</v>
      </c>
      <c r="G72" s="8">
        <f t="shared" si="290"/>
        <v>11978.460999200272</v>
      </c>
      <c r="H72" s="8">
        <f t="shared" si="290"/>
        <v>10625.436258992399</v>
      </c>
      <c r="I72" s="8">
        <f t="shared" si="290"/>
        <v>18693.447571135319</v>
      </c>
      <c r="J72" s="8">
        <f t="shared" si="290"/>
        <v>20602.368715724821</v>
      </c>
      <c r="K72" s="8">
        <f t="shared" si="290"/>
        <v>20365.214195252353</v>
      </c>
      <c r="L72" s="8">
        <f t="shared" si="290"/>
        <v>13365.806826074178</v>
      </c>
      <c r="M72" s="8">
        <f t="shared" si="290"/>
        <v>19717.672951090251</v>
      </c>
      <c r="N72" s="8">
        <f t="shared" si="290"/>
        <v>14883.987484455509</v>
      </c>
      <c r="O72" s="8">
        <f t="shared" si="290"/>
        <v>4936.0378483912018</v>
      </c>
      <c r="P72" s="8">
        <f t="shared" si="290"/>
        <v>14346.126372013567</v>
      </c>
      <c r="Q72" s="4"/>
      <c r="R72" s="8">
        <f t="shared" si="290"/>
        <v>0</v>
      </c>
      <c r="S72" s="8">
        <f t="shared" si="290"/>
        <v>0</v>
      </c>
      <c r="T72" s="8">
        <f t="shared" si="290"/>
        <v>0</v>
      </c>
      <c r="U72" s="8">
        <f t="shared" si="290"/>
        <v>4597.2710000000006</v>
      </c>
      <c r="V72" s="8">
        <f t="shared" si="290"/>
        <v>4502.9039999999995</v>
      </c>
      <c r="W72" s="8">
        <f t="shared" si="290"/>
        <v>7231.0030000000006</v>
      </c>
      <c r="X72" s="8">
        <f t="shared" si="290"/>
        <v>-12040.998999999991</v>
      </c>
      <c r="Y72" s="8">
        <f t="shared" si="290"/>
        <v>2125.9609999999984</v>
      </c>
      <c r="Z72" s="8">
        <f t="shared" si="290"/>
        <v>5711.6809999999987</v>
      </c>
      <c r="AA72" s="8">
        <f t="shared" si="290"/>
        <v>8386.7059999999983</v>
      </c>
      <c r="AB72" s="8">
        <f t="shared" si="290"/>
        <v>-4952.4600000000009</v>
      </c>
      <c r="AC72" s="8">
        <f t="shared" si="290"/>
        <v>2781.6410000000005</v>
      </c>
      <c r="AD72" s="8">
        <f t="shared" si="290"/>
        <v>-1411.1749999999984</v>
      </c>
      <c r="AE72" s="8">
        <f t="shared" si="290"/>
        <v>4282.9570712590457</v>
      </c>
      <c r="AF72" s="8">
        <f t="shared" si="290"/>
        <v>4972.0131877333433</v>
      </c>
      <c r="AG72" s="8">
        <f t="shared" si="290"/>
        <v>5391.5097517443128</v>
      </c>
      <c r="AH72" s="8">
        <f t="shared" si="290"/>
        <v>4868.9412846011255</v>
      </c>
      <c r="AI72" s="8">
        <f t="shared" si="290"/>
        <v>9031.4436773205198</v>
      </c>
      <c r="AJ72" s="8">
        <f t="shared" si="290"/>
        <v>-598.44714253063671</v>
      </c>
      <c r="AK72" s="8">
        <f t="shared" si="290"/>
        <v>3913.727226868762</v>
      </c>
      <c r="AL72" s="8">
        <f t="shared" si="290"/>
        <v>8039.4676353997329</v>
      </c>
      <c r="AM72" s="8">
        <f t="shared" si="290"/>
        <v>0</v>
      </c>
      <c r="AN72" s="8">
        <f t="shared" si="290"/>
        <v>0</v>
      </c>
      <c r="AO72" s="8">
        <f t="shared" si="290"/>
        <v>0</v>
      </c>
      <c r="AP72" s="8">
        <f t="shared" si="290"/>
        <v>13570.911000000002</v>
      </c>
      <c r="AQ72" s="8">
        <f t="shared" si="290"/>
        <v>0</v>
      </c>
      <c r="AR72" s="8">
        <f t="shared" si="290"/>
        <v>0</v>
      </c>
      <c r="AS72" s="8">
        <f t="shared" si="290"/>
        <v>2712.5919999999996</v>
      </c>
      <c r="AT72" s="8">
        <f t="shared" si="290"/>
        <v>5368.7419999999975</v>
      </c>
      <c r="AU72" s="8">
        <f t="shared" si="290"/>
        <v>1130.6759999999999</v>
      </c>
      <c r="AV72" s="8">
        <f t="shared" si="290"/>
        <v>4153.7968260741782</v>
      </c>
      <c r="AW72" s="8">
        <f t="shared" si="290"/>
        <v>4030.0740000000005</v>
      </c>
      <c r="AX72" s="8">
        <f t="shared" si="290"/>
        <v>6104.229000000003</v>
      </c>
      <c r="AY72" s="8">
        <f t="shared" si="290"/>
        <v>7721.974000000002</v>
      </c>
      <c r="AZ72" s="8">
        <f t="shared" si="290"/>
        <v>1861.3959510902462</v>
      </c>
      <c r="BA72" s="8">
        <f t="shared" si="290"/>
        <v>5197.5329999999994</v>
      </c>
      <c r="BB72" s="8">
        <f t="shared" si="290"/>
        <v>5077.3180830284664</v>
      </c>
      <c r="BC72" s="8">
        <f t="shared" si="290"/>
        <v>5982.4355032326002</v>
      </c>
      <c r="BD72" s="8">
        <f t="shared" si="290"/>
        <v>-1373.2991018055611</v>
      </c>
      <c r="BE72" s="8">
        <f t="shared" si="290"/>
        <v>-2323.8582762772094</v>
      </c>
      <c r="BF72" s="8">
        <f t="shared" si="290"/>
        <v>2592.2552221294172</v>
      </c>
      <c r="BG72" s="8">
        <f t="shared" si="290"/>
        <v>6187.1551785920001</v>
      </c>
      <c r="BH72" s="8">
        <f t="shared" si="290"/>
        <v>-1519.5142760530034</v>
      </c>
      <c r="BI72" s="8">
        <f t="shared" si="290"/>
        <v>7086.2302473451573</v>
      </c>
      <c r="BJ72" s="8"/>
      <c r="BK72" s="346"/>
      <c r="BL72" s="8"/>
      <c r="BM72" s="8"/>
    </row>
    <row r="73" spans="2:67" ht="13.5" customHeight="1">
      <c r="B73" s="7" t="s">
        <v>317</v>
      </c>
      <c r="C73" s="4">
        <f>-257+148-58</f>
        <v>-167</v>
      </c>
      <c r="D73" s="4">
        <f>-72+13-32</f>
        <v>-91</v>
      </c>
      <c r="E73" s="4">
        <f>5-2068</f>
        <v>-2063</v>
      </c>
      <c r="F73" s="4">
        <f>-862.022-1064.079</f>
        <v>-1926.1010000000001</v>
      </c>
      <c r="G73" s="4">
        <f>-791.361+2151.802</f>
        <v>1360.4410000000003</v>
      </c>
      <c r="H73" s="4">
        <f>-384.363-944.796</f>
        <v>-1329.1590000000001</v>
      </c>
      <c r="I73" s="4">
        <v>13.952</v>
      </c>
      <c r="J73" s="4">
        <f>-325+16</f>
        <v>-309</v>
      </c>
      <c r="K73" s="4">
        <f>-766+16</f>
        <v>-750</v>
      </c>
      <c r="L73" s="4">
        <f>-1698+16</f>
        <v>-1682</v>
      </c>
      <c r="M73" s="4">
        <f>-1602.804</f>
        <v>-1602.8040000000001</v>
      </c>
      <c r="N73" s="4">
        <f>-383.353</f>
        <v>-383.35300000000001</v>
      </c>
      <c r="O73" s="4">
        <f>339.908</f>
        <v>339.90800000000002</v>
      </c>
      <c r="P73" s="6">
        <f>SUM(BF73:BI73)</f>
        <v>84.893000000000043</v>
      </c>
      <c r="Q73" s="4"/>
      <c r="R73" s="38"/>
      <c r="S73" s="38"/>
      <c r="T73" s="82"/>
      <c r="U73" s="4">
        <f>-899.234-297.904</f>
        <v>-1197.1379999999999</v>
      </c>
      <c r="V73" s="4">
        <f>-175.204-1223.303-U73</f>
        <v>-201.36900000000014</v>
      </c>
      <c r="W73" s="4">
        <f>-2062.019-50.316-V73-U73</f>
        <v>-713.82799999999952</v>
      </c>
      <c r="X73" s="6">
        <f>E73-W73-V73-U73</f>
        <v>49.334999999999582</v>
      </c>
      <c r="Y73" s="4">
        <f>-323.642-185.626</f>
        <v>-509.26800000000003</v>
      </c>
      <c r="Z73" s="4">
        <f>-829.983-271.357-Y73</f>
        <v>-592.07199999999989</v>
      </c>
      <c r="AA73" s="4">
        <f>-896.324-64.215-Z73-Y73</f>
        <v>140.80099999999993</v>
      </c>
      <c r="AB73" s="4">
        <f>F73-AA73-Z73-Y73</f>
        <v>-965.56200000000013</v>
      </c>
      <c r="AC73" s="4">
        <f>-23.325+198.301</f>
        <v>174.976</v>
      </c>
      <c r="AD73" s="4">
        <f>-97.095-543.412-AC73</f>
        <v>-815.48300000000006</v>
      </c>
      <c r="AE73" s="4">
        <f>-201.511-701.249-AD73-AC73</f>
        <v>-262.25299999999993</v>
      </c>
      <c r="AF73" s="226">
        <f>H73-AE73-AD73-AC73</f>
        <v>-426.39900000000011</v>
      </c>
      <c r="AG73" s="4">
        <v>140.892</v>
      </c>
      <c r="AH73" s="4">
        <f>-15.113-AG73</f>
        <v>-156.005</v>
      </c>
      <c r="AI73" s="4">
        <f>50.037-AH73-AG73</f>
        <v>65.150000000000006</v>
      </c>
      <c r="AJ73" s="6">
        <f>I73-AI73-AH73-AG73</f>
        <v>-36.085000000000008</v>
      </c>
      <c r="AK73" s="4">
        <v>-123.788</v>
      </c>
      <c r="AL73" s="4">
        <f>-366.809-AK73</f>
        <v>-243.02100000000002</v>
      </c>
      <c r="AM73" s="227"/>
      <c r="AN73" s="267"/>
      <c r="AO73" s="227"/>
      <c r="AP73" s="4">
        <f>-226.625-AO73</f>
        <v>-226.625</v>
      </c>
      <c r="AQ73" s="227"/>
      <c r="AR73" s="267"/>
      <c r="AS73" s="4">
        <v>-419.25099999999998</v>
      </c>
      <c r="AT73" s="4">
        <f>-283.712-AS73</f>
        <v>135.53899999999999</v>
      </c>
      <c r="AU73" s="4">
        <f>-794.949-AT73-AS73</f>
        <v>-511.23699999999997</v>
      </c>
      <c r="AV73" s="6">
        <f>L73-SUM(AS73:AU73)</f>
        <v>-887.05100000000004</v>
      </c>
      <c r="AW73" s="4">
        <v>-363.83199999999999</v>
      </c>
      <c r="AX73" s="4">
        <f>-808.139-AW73</f>
        <v>-444.30700000000002</v>
      </c>
      <c r="AY73" s="4">
        <f>-1401.506-AX73-AW73</f>
        <v>-593.36700000000008</v>
      </c>
      <c r="AZ73" s="6">
        <f>M73-SUM(AW73:AY73)</f>
        <v>-201.298</v>
      </c>
      <c r="BA73" s="4">
        <v>228.36600000000001</v>
      </c>
      <c r="BB73" s="4">
        <f>-820.408-BA73</f>
        <v>-1048.7740000000001</v>
      </c>
      <c r="BC73" s="4">
        <f>128.547-BB73-BA73</f>
        <v>948.95500000000015</v>
      </c>
      <c r="BD73" s="6">
        <f>N73-SUM(BA73:BC73)</f>
        <v>-511.90000000000003</v>
      </c>
      <c r="BE73" s="4">
        <v>327.33999999999997</v>
      </c>
      <c r="BF73" s="4">
        <f>-19.655-BE73</f>
        <v>-346.995</v>
      </c>
      <c r="BG73" s="4">
        <f>201.968-BF73-BE73</f>
        <v>221.62299999999999</v>
      </c>
      <c r="BH73" s="6">
        <f>O73-SUM(BE73:BG73)</f>
        <v>137.94000000000005</v>
      </c>
      <c r="BI73" s="4">
        <v>72.325000000000003</v>
      </c>
      <c r="BJ73" s="4"/>
      <c r="BK73" s="346"/>
      <c r="BL73" s="4"/>
      <c r="BM73" s="4"/>
    </row>
    <row r="74" spans="2:67" ht="13.5" customHeight="1">
      <c r="B74" s="7" t="s">
        <v>318</v>
      </c>
      <c r="C74" s="4">
        <v>0</v>
      </c>
      <c r="D74" s="4">
        <v>0</v>
      </c>
      <c r="E74" s="4">
        <v>0</v>
      </c>
      <c r="F74" s="4">
        <v>4082.2779999999998</v>
      </c>
      <c r="G74" s="4">
        <v>4082.2779999999998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6">
        <f t="shared" ref="P74:P77" si="291">SUM(BF74:BI74)</f>
        <v>0</v>
      </c>
      <c r="Q74" s="4"/>
      <c r="R74" s="38"/>
      <c r="S74" s="38"/>
      <c r="T74" s="82"/>
      <c r="U74" s="4">
        <v>0</v>
      </c>
      <c r="V74" s="4">
        <v>0</v>
      </c>
      <c r="W74" s="4">
        <v>0</v>
      </c>
      <c r="X74" s="6">
        <f>E74-W74-V74-U74</f>
        <v>0</v>
      </c>
      <c r="Y74" s="4">
        <v>0</v>
      </c>
      <c r="Z74" s="4">
        <v>0</v>
      </c>
      <c r="AA74" s="4">
        <v>0</v>
      </c>
      <c r="AB74" s="4">
        <f>F74-AA74-Z74-Y74</f>
        <v>4082.2779999999998</v>
      </c>
      <c r="AC74" s="4">
        <v>0</v>
      </c>
      <c r="AD74" s="4">
        <v>0</v>
      </c>
      <c r="AE74" s="4">
        <v>0</v>
      </c>
      <c r="AF74" s="226">
        <f>H74-AE74-AD74-AC74</f>
        <v>0</v>
      </c>
      <c r="AG74" s="4">
        <v>0</v>
      </c>
      <c r="AH74" s="4">
        <f>-AG74</f>
        <v>0</v>
      </c>
      <c r="AI74" s="4">
        <f>-AH74-AG74</f>
        <v>0</v>
      </c>
      <c r="AJ74" s="6">
        <f>I74-AI74-AH74-AG74</f>
        <v>0</v>
      </c>
      <c r="AK74" s="4">
        <v>0</v>
      </c>
      <c r="AL74" s="4">
        <f>-AK74</f>
        <v>0</v>
      </c>
      <c r="AM74" s="227"/>
      <c r="AN74" s="267"/>
      <c r="AO74" s="227"/>
      <c r="AP74" s="4">
        <f>-AO74</f>
        <v>0</v>
      </c>
      <c r="AQ74" s="227"/>
      <c r="AR74" s="267"/>
      <c r="AS74" s="4">
        <f t="shared" ref="AS74:AU74" si="292">-AR74</f>
        <v>0</v>
      </c>
      <c r="AT74" s="4">
        <f t="shared" si="292"/>
        <v>0</v>
      </c>
      <c r="AU74" s="4">
        <f t="shared" si="292"/>
        <v>0</v>
      </c>
      <c r="AV74" s="6">
        <f>L74-SUM(AS74:AU74)</f>
        <v>0</v>
      </c>
      <c r="AW74" s="4">
        <v>0</v>
      </c>
      <c r="AX74" s="4">
        <f t="shared" ref="AX74:AY74" si="293">-AW74</f>
        <v>0</v>
      </c>
      <c r="AY74" s="4">
        <f t="shared" si="293"/>
        <v>0</v>
      </c>
      <c r="AZ74" s="6">
        <f>M74-SUM(AW74:AY74)</f>
        <v>0</v>
      </c>
      <c r="BA74" s="4">
        <v>0</v>
      </c>
      <c r="BB74" s="4">
        <f t="shared" ref="BB74:BC74" si="294">-BA74</f>
        <v>0</v>
      </c>
      <c r="BC74" s="4">
        <f t="shared" si="294"/>
        <v>0</v>
      </c>
      <c r="BD74" s="6">
        <f t="shared" ref="BD74:BD77" si="295">N74-SUM(BA74:BC74)</f>
        <v>0</v>
      </c>
      <c r="BE74" s="4">
        <v>0</v>
      </c>
      <c r="BF74" s="4">
        <f t="shared" ref="BF74:BG74" si="296">-BE74</f>
        <v>0</v>
      </c>
      <c r="BG74" s="4">
        <f t="shared" si="296"/>
        <v>0</v>
      </c>
      <c r="BH74" s="6">
        <f t="shared" ref="BH74:BH77" si="297">O74-SUM(BE74:BG74)</f>
        <v>0</v>
      </c>
      <c r="BI74" s="4">
        <v>0</v>
      </c>
      <c r="BJ74" s="4"/>
      <c r="BK74" s="346"/>
      <c r="BL74" s="4"/>
      <c r="BM74" s="4"/>
    </row>
    <row r="75" spans="2:67" ht="13.5" customHeight="1">
      <c r="B75" s="7" t="s">
        <v>319</v>
      </c>
      <c r="C75" s="4">
        <v>-6030</v>
      </c>
      <c r="D75" s="4">
        <v>-6416</v>
      </c>
      <c r="E75" s="4">
        <v>-7013</v>
      </c>
      <c r="F75" s="4">
        <v>-6992.2449999999999</v>
      </c>
      <c r="G75" s="4">
        <v>-6992.2449999999999</v>
      </c>
      <c r="H75" s="4">
        <f>-7037.792+7.939</f>
        <v>-7029.8530000000001</v>
      </c>
      <c r="I75" s="4">
        <v>-7440.6080000000002</v>
      </c>
      <c r="J75" s="4">
        <v>-10278</v>
      </c>
      <c r="K75" s="4">
        <v>-10649</v>
      </c>
      <c r="L75" s="4">
        <v>-11463</v>
      </c>
      <c r="M75" s="4">
        <v>-12275.3</v>
      </c>
      <c r="N75" s="4">
        <v>-12870.49</v>
      </c>
      <c r="O75" s="4">
        <v>-15734.607</v>
      </c>
      <c r="P75" s="6">
        <f t="shared" si="291"/>
        <v>-15734.607</v>
      </c>
      <c r="Q75" s="4"/>
      <c r="R75" s="38"/>
      <c r="S75" s="38"/>
      <c r="T75" s="82"/>
      <c r="U75" s="4">
        <v>0</v>
      </c>
      <c r="V75" s="4">
        <f>-3471.986-U75</f>
        <v>-3471.9859999999999</v>
      </c>
      <c r="W75" s="4">
        <f>-3471.986-V75-U75</f>
        <v>0</v>
      </c>
      <c r="X75" s="6">
        <f>E75-W75-V75-U75</f>
        <v>-3541.0140000000001</v>
      </c>
      <c r="Y75" s="4">
        <v>0</v>
      </c>
      <c r="Z75" s="4">
        <f>-3463.126-Y75</f>
        <v>-3463.1260000000002</v>
      </c>
      <c r="AA75" s="4">
        <f>-3463.126-Z75-Y75</f>
        <v>0</v>
      </c>
      <c r="AB75" s="4">
        <f>F75-AA75-Z75-Y75</f>
        <v>-3529.1189999999997</v>
      </c>
      <c r="AC75" s="4">
        <v>-4.3999999999999997E-2</v>
      </c>
      <c r="AD75" s="4">
        <f>-3529.397-AC75</f>
        <v>-3529.3530000000001</v>
      </c>
      <c r="AE75" s="4">
        <f>-3529.397-AD75-AC75</f>
        <v>1.3096468354234503E-13</v>
      </c>
      <c r="AF75" s="226">
        <f>H75-AE75-AD75-AC75</f>
        <v>-3500.4560000000001</v>
      </c>
      <c r="AG75" s="4">
        <v>0</v>
      </c>
      <c r="AH75" s="4">
        <f>-3721.735-AG75</f>
        <v>-3721.7350000000001</v>
      </c>
      <c r="AI75" s="4">
        <f>-3721.735-AH75-AG75</f>
        <v>0</v>
      </c>
      <c r="AJ75" s="6">
        <f>I75-AI75-AH75-AG75</f>
        <v>-3718.873</v>
      </c>
      <c r="AK75" s="4">
        <v>0</v>
      </c>
      <c r="AL75" s="4">
        <f>-5105.021-AK75</f>
        <v>-5105.0209999999997</v>
      </c>
      <c r="AM75" s="227"/>
      <c r="AN75" s="267"/>
      <c r="AO75" s="227"/>
      <c r="AP75" s="4">
        <f>-5294.953-AO75</f>
        <v>-5294.9530000000004</v>
      </c>
      <c r="AQ75" s="227"/>
      <c r="AR75" s="267"/>
      <c r="AS75" s="4">
        <v>-0.89</v>
      </c>
      <c r="AT75" s="4">
        <f>-5735.42-AS75</f>
        <v>-5734.53</v>
      </c>
      <c r="AU75" s="4">
        <f>-5763.571-AT75-AS75</f>
        <v>-28.151000000000167</v>
      </c>
      <c r="AV75" s="6">
        <f>L75-SUM(AS75:AU75)</f>
        <v>-5699.4290000000001</v>
      </c>
      <c r="AW75" s="4">
        <v>0</v>
      </c>
      <c r="AX75" s="4">
        <f>-6099.531-AW75</f>
        <v>-6099.5309999999999</v>
      </c>
      <c r="AY75" s="4">
        <f>-6099.373-AX75-AW75</f>
        <v>0.15800000000035652</v>
      </c>
      <c r="AZ75" s="6">
        <f>M75-SUM(AW75:AY75)</f>
        <v>-6175.9269999999997</v>
      </c>
      <c r="BA75" s="4">
        <v>0</v>
      </c>
      <c r="BB75" s="4">
        <f>-3194.404-BA75</f>
        <v>-3194.404</v>
      </c>
      <c r="BC75" s="4">
        <f>-6484.318-BB75-BA75</f>
        <v>-3289.9140000000002</v>
      </c>
      <c r="BD75" s="6">
        <f t="shared" si="295"/>
        <v>-6386.1719999999996</v>
      </c>
      <c r="BE75" s="4">
        <v>0</v>
      </c>
      <c r="BF75" s="4">
        <f>-4053.217-BE75</f>
        <v>-4053.2170000000001</v>
      </c>
      <c r="BG75" s="4">
        <f>-7918.748-BF75-BE75</f>
        <v>-3865.5309999999995</v>
      </c>
      <c r="BH75" s="6">
        <f t="shared" si="297"/>
        <v>-7815.8590000000004</v>
      </c>
      <c r="BI75" s="4">
        <v>0</v>
      </c>
      <c r="BJ75" s="4"/>
      <c r="BK75" s="346"/>
      <c r="BL75" s="4"/>
      <c r="BM75" s="4"/>
    </row>
    <row r="76" spans="2:67" ht="15.75" customHeight="1">
      <c r="B76" s="7" t="s">
        <v>320</v>
      </c>
      <c r="C76" s="4">
        <f>6180-6490</f>
        <v>-310</v>
      </c>
      <c r="D76" s="4">
        <f>1907-9076</f>
        <v>-7169</v>
      </c>
      <c r="E76" s="4">
        <f>8040-4948</f>
        <v>3092</v>
      </c>
      <c r="F76" s="4">
        <v>-620.81200000000001</v>
      </c>
      <c r="G76" s="4">
        <v>620.81200000000001</v>
      </c>
      <c r="H76" s="4">
        <v>530.92200000000003</v>
      </c>
      <c r="I76" s="4">
        <f>-9724.384-492.009</f>
        <v>-10216.393</v>
      </c>
      <c r="J76" s="4">
        <f>62297-45187-573</f>
        <v>16537</v>
      </c>
      <c r="K76" s="4">
        <f>11191-14189-629</f>
        <v>-3627</v>
      </c>
      <c r="L76" s="4">
        <f>6089-8432-631</f>
        <v>-2974</v>
      </c>
      <c r="M76" s="4">
        <f>-8249.973-689.567</f>
        <v>-8939.5400000000009</v>
      </c>
      <c r="N76" s="4">
        <f>1349.573-855.502</f>
        <v>494.07100000000014</v>
      </c>
      <c r="O76" s="4">
        <f>11846.543-895.48</f>
        <v>10951.063</v>
      </c>
      <c r="P76" s="6">
        <f t="shared" si="291"/>
        <v>17428.262000000002</v>
      </c>
      <c r="Q76" s="4"/>
      <c r="R76" s="38"/>
      <c r="S76" s="38"/>
      <c r="T76" s="82"/>
      <c r="U76" s="4">
        <v>391.23899999999998</v>
      </c>
      <c r="V76" s="4">
        <f>-1232.797-U76</f>
        <v>-1624.0360000000001</v>
      </c>
      <c r="W76" s="4">
        <f>-1035.995-V76-U76</f>
        <v>196.80200000000019</v>
      </c>
      <c r="X76" s="6">
        <f>E76-W76-V76-U76</f>
        <v>4127.9950000000008</v>
      </c>
      <c r="Y76" s="4">
        <v>-649.899</v>
      </c>
      <c r="Z76" s="4">
        <f>9637.282-Y76</f>
        <v>10287.180999999999</v>
      </c>
      <c r="AA76" s="4">
        <f>-531.22-Z76-Y76</f>
        <v>-10168.501999999999</v>
      </c>
      <c r="AB76" s="4">
        <f>F76-AA76-Z76-Y76</f>
        <v>-89.591999999999985</v>
      </c>
      <c r="AC76" s="4">
        <f>-295.395</f>
        <v>-295.39499999999998</v>
      </c>
      <c r="AD76" s="4">
        <f>9746.637-AC76</f>
        <v>10042.032000000001</v>
      </c>
      <c r="AE76" s="4">
        <f>8646.744-AD76-AC76</f>
        <v>-1099.8930000000005</v>
      </c>
      <c r="AF76" s="226">
        <f>H76-AE76-AD76-AC76</f>
        <v>-8115.8220000000001</v>
      </c>
      <c r="AG76" s="4">
        <f>-4811.139-151.478</f>
        <v>-4962.6170000000002</v>
      </c>
      <c r="AH76" s="4">
        <f>-4807.004-297.818-AG76</f>
        <v>-142.20499999999993</v>
      </c>
      <c r="AI76" s="4">
        <f>-4815.598-442.747-AH76-AG76</f>
        <v>-153.52300000000014</v>
      </c>
      <c r="AJ76" s="6">
        <f>I76-AI76-AH76-AG76</f>
        <v>-4958.0479999999989</v>
      </c>
      <c r="AK76" s="4">
        <f>12550.3-172.802</f>
        <v>12377.498</v>
      </c>
      <c r="AL76" s="4">
        <f>13477.655-336.812-AK76</f>
        <v>763.34500000000116</v>
      </c>
      <c r="AM76" s="227"/>
      <c r="AN76" s="267"/>
      <c r="AO76" s="227"/>
      <c r="AP76" s="4">
        <f>-2575.092-310.03-AO76</f>
        <v>-2885.1220000000003</v>
      </c>
      <c r="AQ76" s="227"/>
      <c r="AR76" s="267"/>
      <c r="AS76" s="4">
        <f>-206.564-165.853</f>
        <v>-372.41700000000003</v>
      </c>
      <c r="AT76" s="4">
        <f>-2088.129-331.997-AS76</f>
        <v>-2047.7089999999998</v>
      </c>
      <c r="AU76" s="4">
        <f>-8728.539-484.111-AT76-AS76</f>
        <v>-6792.5240000000013</v>
      </c>
      <c r="AV76" s="6">
        <f>L76-SUM(AS76:AU76)</f>
        <v>6238.6500000000015</v>
      </c>
      <c r="AW76" s="4">
        <f>-517.251-143.398</f>
        <v>-660.649</v>
      </c>
      <c r="AX76" s="4">
        <f>-8007.444-298.267-AW76</f>
        <v>-7645.0620000000008</v>
      </c>
      <c r="AY76" s="4">
        <f>-8363.245-458.921-AX76-AW76</f>
        <v>-516.45500000000027</v>
      </c>
      <c r="AZ76" s="6">
        <f>M76-SUM(AW76:AY76)</f>
        <v>-117.3739999999998</v>
      </c>
      <c r="BA76" s="4">
        <f>-221.266-186.593</f>
        <v>-407.85899999999998</v>
      </c>
      <c r="BB76" s="4">
        <f>290.017-386.892-BA76</f>
        <v>310.98399999999998</v>
      </c>
      <c r="BC76" s="4">
        <f>524.137-582.01-BB76-BA76</f>
        <v>39.001999999999953</v>
      </c>
      <c r="BD76" s="6">
        <f t="shared" si="295"/>
        <v>551.94400000000019</v>
      </c>
      <c r="BE76" s="4">
        <f>(361801000-233394000)/1000000</f>
        <v>128.40700000000001</v>
      </c>
      <c r="BF76" s="4">
        <f>11040.139-463.538-BE76</f>
        <v>10448.194</v>
      </c>
      <c r="BG76" s="4">
        <f>8596.692-631.213-BF76-BE76</f>
        <v>-2611.1220000000003</v>
      </c>
      <c r="BH76" s="6">
        <f t="shared" si="297"/>
        <v>2985.5840000000017</v>
      </c>
      <c r="BI76" s="4">
        <f>6808.56-202.954</f>
        <v>6605.6060000000007</v>
      </c>
      <c r="BJ76" s="4"/>
      <c r="BK76" s="346"/>
      <c r="BL76" s="4"/>
      <c r="BM76" s="4"/>
      <c r="BO76" s="347"/>
    </row>
    <row r="77" spans="2:67" ht="13.5" customHeight="1">
      <c r="B77" s="7" t="s">
        <v>321</v>
      </c>
      <c r="C77" s="4">
        <v>-1828</v>
      </c>
      <c r="D77" s="4">
        <v>8586</v>
      </c>
      <c r="E77" s="4">
        <f>-2517+826</f>
        <v>-1691</v>
      </c>
      <c r="F77" s="4">
        <v>-2654.6610000000001</v>
      </c>
      <c r="G77" s="4">
        <v>-2686.2559999999999</v>
      </c>
      <c r="H77" s="4">
        <v>-1721.0989999999999</v>
      </c>
      <c r="I77" s="4">
        <v>-326.80399999999997</v>
      </c>
      <c r="J77" s="4">
        <v>365</v>
      </c>
      <c r="K77" s="4">
        <v>-1240</v>
      </c>
      <c r="L77" s="4">
        <v>-1547</v>
      </c>
      <c r="M77" s="4">
        <v>-321.32499999999999</v>
      </c>
      <c r="N77" s="4">
        <v>-2273.777</v>
      </c>
      <c r="O77" s="4">
        <v>-1984.972</v>
      </c>
      <c r="P77" s="6">
        <f t="shared" si="291"/>
        <v>-2269.8719999999998</v>
      </c>
      <c r="Q77" s="4"/>
      <c r="R77" s="38"/>
      <c r="S77" s="38"/>
      <c r="T77" s="82"/>
      <c r="U77" s="4">
        <v>-133.578</v>
      </c>
      <c r="V77" s="4">
        <f>-872.577-U77</f>
        <v>-738.99900000000002</v>
      </c>
      <c r="W77" s="4">
        <f>-1479.639-V77-U77</f>
        <v>-607.0619999999999</v>
      </c>
      <c r="X77" s="6">
        <f>E77-W77-V77-U77</f>
        <v>-211.36100000000008</v>
      </c>
      <c r="Y77" s="4">
        <f>-1036.741-616.824</f>
        <v>-1653.5650000000001</v>
      </c>
      <c r="Z77" s="4">
        <f>-3605.988-Y77</f>
        <v>-1952.4229999999998</v>
      </c>
      <c r="AA77" s="4">
        <f>-1466.488-Z77-Y77</f>
        <v>2139.5</v>
      </c>
      <c r="AB77" s="4">
        <f>F77-AA77-Z77-Y77</f>
        <v>-1188.1730000000002</v>
      </c>
      <c r="AC77" s="4">
        <f>-425.997</f>
        <v>-425.99700000000001</v>
      </c>
      <c r="AD77" s="4">
        <f>-1555.342-AC77</f>
        <v>-1129.345</v>
      </c>
      <c r="AE77" s="4">
        <f>-1822.246-AD77-AC77</f>
        <v>-266.90400000000005</v>
      </c>
      <c r="AF77" s="226">
        <f>H77-AE77-AD77-AC77</f>
        <v>101.14700000000011</v>
      </c>
      <c r="AG77" s="4">
        <v>-5.1319999999999997</v>
      </c>
      <c r="AH77" s="4">
        <f>-957.924-AG77</f>
        <v>-952.79200000000003</v>
      </c>
      <c r="AI77" s="4">
        <f>-518.368-AH77-AG77</f>
        <v>439.55599999999998</v>
      </c>
      <c r="AJ77" s="6">
        <f>I77-AI77-AH77-AG77</f>
        <v>191.56400000000014</v>
      </c>
      <c r="AK77" s="4">
        <v>-447.95800000000003</v>
      </c>
      <c r="AL77" s="4">
        <f>-811.17-AK77</f>
        <v>-363.21199999999993</v>
      </c>
      <c r="AM77" s="227"/>
      <c r="AN77" s="267"/>
      <c r="AO77" s="227"/>
      <c r="AP77" s="4">
        <f>-481.737-AO77</f>
        <v>-481.73700000000002</v>
      </c>
      <c r="AQ77" s="227"/>
      <c r="AR77" s="267"/>
      <c r="AS77" s="4">
        <v>-104.875</v>
      </c>
      <c r="AT77" s="4">
        <f>-751.281-AS77</f>
        <v>-646.40599999999995</v>
      </c>
      <c r="AU77" s="4">
        <f>-1025.856-AT77-AS77</f>
        <v>-274.57500000000005</v>
      </c>
      <c r="AV77" s="6">
        <f>L77-SUM(AS77:AU77)</f>
        <v>-521.14400000000001</v>
      </c>
      <c r="AW77" s="4">
        <v>-462.13799999999998</v>
      </c>
      <c r="AX77" s="4">
        <f>-850.441-2587.406-AW77</f>
        <v>-2975.7089999999998</v>
      </c>
      <c r="AY77" s="4">
        <f>-1420.278-AX77-AW77</f>
        <v>2017.5689999999997</v>
      </c>
      <c r="AZ77" s="6">
        <f>M77-SUM(AW77:AY77)</f>
        <v>1098.953</v>
      </c>
      <c r="BA77" s="4">
        <f>-643.62</f>
        <v>-643.62</v>
      </c>
      <c r="BB77" s="4">
        <f>-64.504-BA77</f>
        <v>579.11599999999999</v>
      </c>
      <c r="BC77" s="4">
        <f>-1942.443-BB77-BA77</f>
        <v>-1877.9390000000003</v>
      </c>
      <c r="BD77" s="6">
        <f t="shared" si="295"/>
        <v>-331.33399999999983</v>
      </c>
      <c r="BE77" s="4">
        <v>-728.14</v>
      </c>
      <c r="BF77" s="4">
        <f>-773.398-BE77</f>
        <v>-45.258000000000038</v>
      </c>
      <c r="BG77" s="4">
        <f>-1706.918-BF77-BE77</f>
        <v>-933.51999999999987</v>
      </c>
      <c r="BH77" s="6">
        <f t="shared" si="297"/>
        <v>-278.05400000000009</v>
      </c>
      <c r="BI77" s="4">
        <f>-1013.04</f>
        <v>-1013.04</v>
      </c>
      <c r="BJ77" s="4"/>
      <c r="BK77" s="346"/>
      <c r="BL77" s="4"/>
      <c r="BM77" s="4"/>
    </row>
    <row r="78" spans="2:67" s="5" customFormat="1" ht="13.5" customHeight="1">
      <c r="B78" s="16" t="s">
        <v>322</v>
      </c>
      <c r="C78" s="8">
        <f t="shared" ref="C78:H78" si="298">SUM(C72:C77)</f>
        <v>4347</v>
      </c>
      <c r="D78" s="8">
        <f t="shared" si="298"/>
        <v>4892</v>
      </c>
      <c r="E78" s="8">
        <f t="shared" si="298"/>
        <v>-3384.8209999999963</v>
      </c>
      <c r="F78" s="8">
        <f t="shared" si="298"/>
        <v>3160.3470000000061</v>
      </c>
      <c r="G78" s="8">
        <f t="shared" si="298"/>
        <v>8363.4909992002722</v>
      </c>
      <c r="H78" s="8">
        <f t="shared" si="298"/>
        <v>1076.2472589923989</v>
      </c>
      <c r="I78" s="8">
        <f t="shared" ref="I78:M78" si="299">SUM(I72:I77)</f>
        <v>723.59457113531982</v>
      </c>
      <c r="J78" s="8">
        <f t="shared" si="299"/>
        <v>26917.368715724821</v>
      </c>
      <c r="K78" s="8">
        <f t="shared" si="299"/>
        <v>4099.2141952523525</v>
      </c>
      <c r="L78" s="8">
        <f t="shared" si="299"/>
        <v>-4300.1931739258216</v>
      </c>
      <c r="M78" s="8">
        <f t="shared" si="299"/>
        <v>-3421.2960489097486</v>
      </c>
      <c r="N78" s="8">
        <f t="shared" ref="N78:O78" si="300">SUM(N72:N77)</f>
        <v>-149.56151554449025</v>
      </c>
      <c r="O78" s="8">
        <f t="shared" si="300"/>
        <v>-1492.5701516087977</v>
      </c>
      <c r="P78" s="8">
        <f t="shared" ref="P78" si="301">SUM(P72:P77)</f>
        <v>13854.80237201357</v>
      </c>
      <c r="Q78" s="8"/>
      <c r="R78" s="8">
        <f t="shared" ref="R78:Z78" si="302">SUM(R72:R77)</f>
        <v>0</v>
      </c>
      <c r="S78" s="8">
        <f t="shared" si="302"/>
        <v>0</v>
      </c>
      <c r="T78" s="173">
        <f t="shared" si="302"/>
        <v>0</v>
      </c>
      <c r="U78" s="8">
        <f t="shared" si="302"/>
        <v>3657.7940000000008</v>
      </c>
      <c r="V78" s="8">
        <f t="shared" si="302"/>
        <v>-1533.4860000000001</v>
      </c>
      <c r="W78" s="8">
        <f t="shared" si="302"/>
        <v>6106.9150000000018</v>
      </c>
      <c r="X78" s="8">
        <f t="shared" si="302"/>
        <v>-11616.043999999993</v>
      </c>
      <c r="Y78" s="8">
        <f t="shared" si="302"/>
        <v>-686.77100000000166</v>
      </c>
      <c r="Z78" s="8">
        <f t="shared" si="302"/>
        <v>9991.2409999999982</v>
      </c>
      <c r="AA78" s="8">
        <f t="shared" ref="AA78:AF78" si="303">SUM(AA72:AA77)</f>
        <v>498.5049999999992</v>
      </c>
      <c r="AB78" s="8">
        <f t="shared" si="303"/>
        <v>-6642.6280000000006</v>
      </c>
      <c r="AC78" s="8">
        <f t="shared" si="303"/>
        <v>2235.1810000000009</v>
      </c>
      <c r="AD78" s="8">
        <f t="shared" si="303"/>
        <v>3156.6760000000022</v>
      </c>
      <c r="AE78" s="8">
        <f t="shared" si="303"/>
        <v>2653.9070712590456</v>
      </c>
      <c r="AF78" s="8">
        <f t="shared" si="303"/>
        <v>-6969.5168122666573</v>
      </c>
      <c r="AG78" s="8">
        <f t="shared" ref="AG78:AL78" si="304">SUM(AG72:AG77)</f>
        <v>564.65275174431247</v>
      </c>
      <c r="AH78" s="8">
        <f t="shared" si="304"/>
        <v>-103.79571539887468</v>
      </c>
      <c r="AI78" s="8">
        <f t="shared" si="304"/>
        <v>9382.6266773205207</v>
      </c>
      <c r="AJ78" s="8">
        <f t="shared" si="304"/>
        <v>-9119.8891425306356</v>
      </c>
      <c r="AK78" s="8">
        <f t="shared" si="304"/>
        <v>15719.479226868762</v>
      </c>
      <c r="AL78" s="8">
        <f t="shared" si="304"/>
        <v>3091.5586353997346</v>
      </c>
      <c r="AM78" s="265"/>
      <c r="AN78" s="265"/>
      <c r="AO78" s="265"/>
      <c r="AP78" s="8">
        <f>SUM(AP72:AP77)</f>
        <v>4682.4740000000011</v>
      </c>
      <c r="AQ78" s="265"/>
      <c r="AR78" s="265"/>
      <c r="AS78" s="8">
        <f t="shared" ref="AS78:AZ78" si="305">SUM(AS72:AS77)</f>
        <v>1815.1589999999997</v>
      </c>
      <c r="AT78" s="8">
        <f t="shared" si="305"/>
        <v>-2924.3640000000023</v>
      </c>
      <c r="AU78" s="8">
        <f t="shared" si="305"/>
        <v>-6475.8110000000015</v>
      </c>
      <c r="AV78" s="8">
        <f t="shared" si="305"/>
        <v>3284.8228260741798</v>
      </c>
      <c r="AW78" s="8">
        <f t="shared" si="305"/>
        <v>2543.4550000000008</v>
      </c>
      <c r="AX78" s="8">
        <f t="shared" si="305"/>
        <v>-11060.379999999997</v>
      </c>
      <c r="AY78" s="8">
        <f t="shared" si="305"/>
        <v>8629.8790000000026</v>
      </c>
      <c r="AZ78" s="8">
        <f t="shared" si="305"/>
        <v>-3534.2500489097533</v>
      </c>
      <c r="BA78" s="8">
        <f t="shared" ref="BA78:BD78" si="306">SUM(BA72:BA77)</f>
        <v>4374.4199999999992</v>
      </c>
      <c r="BB78" s="8">
        <f t="shared" si="306"/>
        <v>1724.240083028466</v>
      </c>
      <c r="BC78" s="8">
        <f t="shared" si="306"/>
        <v>1802.5395032325996</v>
      </c>
      <c r="BD78" s="8">
        <f t="shared" si="306"/>
        <v>-8050.7611018055595</v>
      </c>
      <c r="BE78" s="8">
        <f t="shared" ref="BE78:BH78" si="307">SUM(BE72:BE77)</f>
        <v>-2596.2512762772094</v>
      </c>
      <c r="BF78" s="8">
        <f t="shared" si="307"/>
        <v>8594.9792221294174</v>
      </c>
      <c r="BG78" s="8">
        <f t="shared" si="307"/>
        <v>-1001.394821408</v>
      </c>
      <c r="BH78" s="8">
        <f t="shared" si="307"/>
        <v>-6489.9032760530017</v>
      </c>
      <c r="BI78" s="8">
        <f t="shared" ref="BI78" si="308">SUM(BI72:BI77)</f>
        <v>12751.121247345156</v>
      </c>
      <c r="BJ78" s="8"/>
      <c r="BK78" s="346"/>
      <c r="BL78" s="8"/>
      <c r="BM78" s="8"/>
    </row>
    <row r="79" spans="2:67" ht="13.5" customHeight="1">
      <c r="B79" s="7" t="s">
        <v>323</v>
      </c>
      <c r="C79" s="4">
        <v>-4267</v>
      </c>
      <c r="D79" s="4">
        <v>-659</v>
      </c>
      <c r="E79" s="4">
        <v>-1310</v>
      </c>
      <c r="F79" s="4">
        <v>-3351.6759999999999</v>
      </c>
      <c r="G79" s="4">
        <v>-3277.3969999999999</v>
      </c>
      <c r="H79" s="4">
        <v>-1055.9010000000001</v>
      </c>
      <c r="I79" s="4">
        <v>-989.30200000000002</v>
      </c>
      <c r="J79" s="4">
        <v>-2050</v>
      </c>
      <c r="K79" s="4">
        <v>840</v>
      </c>
      <c r="L79" s="4">
        <v>-2018</v>
      </c>
      <c r="M79" s="4">
        <v>-5084.6019999999999</v>
      </c>
      <c r="N79" s="4">
        <v>2311.64</v>
      </c>
      <c r="O79" s="4">
        <v>-2230.3580000000002</v>
      </c>
      <c r="P79" s="6">
        <f t="shared" ref="P79:P80" si="309">SUM(BF79:BI79)</f>
        <v>-2239.4240000000004</v>
      </c>
      <c r="Q79" s="4"/>
      <c r="R79" s="38"/>
      <c r="S79" s="38"/>
      <c r="T79" s="82"/>
      <c r="U79" s="4">
        <v>-315.43299999999999</v>
      </c>
      <c r="V79" s="131">
        <f>421.5-U79</f>
        <v>736.93299999999999</v>
      </c>
      <c r="W79" s="4">
        <f>-140.645-V79-U79</f>
        <v>-562.14499999999998</v>
      </c>
      <c r="X79" s="6">
        <f>E79-W79-V79-U79</f>
        <v>-1169.355</v>
      </c>
      <c r="Y79" s="4">
        <v>-966.99800000000005</v>
      </c>
      <c r="Z79" s="4">
        <f>-2796.843-Y79</f>
        <v>-1829.8449999999998</v>
      </c>
      <c r="AA79" s="4">
        <f>-3007.528-Z79-Y79</f>
        <v>-210.68499999999995</v>
      </c>
      <c r="AB79" s="4">
        <f>F79-AA79-Z79-Y79</f>
        <v>-344.14800000000014</v>
      </c>
      <c r="AC79" s="4">
        <v>1145.7619999999999</v>
      </c>
      <c r="AD79" s="4">
        <f>-534.078-AC79</f>
        <v>-1679.84</v>
      </c>
      <c r="AE79" s="4">
        <f>-1558.003-AD79-AC79</f>
        <v>-1023.925</v>
      </c>
      <c r="AF79" s="226">
        <f>H79-AE79-AD79-AC79</f>
        <v>502.10199999999986</v>
      </c>
      <c r="AG79" s="4">
        <v>-553.79600000000005</v>
      </c>
      <c r="AH79" s="4">
        <f>-631.652-AG79</f>
        <v>-77.855999999999995</v>
      </c>
      <c r="AI79" s="4">
        <f>-380.058-AH79-AG79</f>
        <v>251.59400000000005</v>
      </c>
      <c r="AJ79" s="6">
        <f>I79-AI79-AH79-AG79</f>
        <v>-609.24400000000014</v>
      </c>
      <c r="AK79" s="4">
        <v>3733.8330000000001</v>
      </c>
      <c r="AL79" s="4">
        <f>2858.632-AK79</f>
        <v>-875.20100000000002</v>
      </c>
      <c r="AM79" s="227"/>
      <c r="AN79" s="267"/>
      <c r="AO79" s="227"/>
      <c r="AP79" s="4">
        <f>-301.881-AO79</f>
        <v>-301.88099999999997</v>
      </c>
      <c r="AQ79" s="227"/>
      <c r="AR79" s="267"/>
      <c r="AS79" s="4">
        <f>232.823</f>
        <v>232.82300000000001</v>
      </c>
      <c r="AT79" s="4">
        <f>-1183.757-AS79</f>
        <v>-1416.5800000000002</v>
      </c>
      <c r="AU79" s="4">
        <f>-1185.739-AT79-AS79</f>
        <v>-1.9819999999998856</v>
      </c>
      <c r="AV79" s="6">
        <f>L79-SUM(AS79:AU79)</f>
        <v>-832.26099999999997</v>
      </c>
      <c r="AW79" s="4">
        <v>-2447.4319999999998</v>
      </c>
      <c r="AX79" s="4">
        <f>-4255.277-AW79</f>
        <v>-1807.8450000000003</v>
      </c>
      <c r="AY79" s="4">
        <f>-2994.812-AX79-AW79</f>
        <v>1260.4650000000001</v>
      </c>
      <c r="AZ79" s="6">
        <f>M79-SUM(AW79:AY79)</f>
        <v>-2089.79</v>
      </c>
      <c r="BA79" s="4">
        <v>-460.12799999999999</v>
      </c>
      <c r="BB79" s="4">
        <f>990.84-BA79</f>
        <v>1450.9680000000001</v>
      </c>
      <c r="BC79" s="4">
        <f>2731.907-BB79-BA79</f>
        <v>1741.067</v>
      </c>
      <c r="BD79" s="6">
        <f t="shared" ref="BD79:BD80" si="310">N79-SUM(BA79:BC79)</f>
        <v>-420.26700000000028</v>
      </c>
      <c r="BE79" s="4">
        <v>451.06400000000002</v>
      </c>
      <c r="BF79" s="4">
        <f>-1330.838-BE79</f>
        <v>-1781.902</v>
      </c>
      <c r="BG79" s="4">
        <f>-2158.282-BF79-BE79</f>
        <v>-827.44400000000019</v>
      </c>
      <c r="BH79" s="6">
        <f>O79-SUM(BE79:BG79)</f>
        <v>-72.076000000000022</v>
      </c>
      <c r="BI79" s="4">
        <v>441.99799999999999</v>
      </c>
      <c r="BJ79" s="4"/>
      <c r="BK79" s="4"/>
      <c r="BL79" s="4"/>
      <c r="BM79" s="4"/>
      <c r="BO79" s="346"/>
    </row>
    <row r="80" spans="2:67" ht="13.5" customHeight="1">
      <c r="B80" s="7" t="s">
        <v>324</v>
      </c>
      <c r="C80" s="4">
        <v>0</v>
      </c>
      <c r="D80" s="4">
        <v>0</v>
      </c>
      <c r="E80" s="4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288">
        <v>0</v>
      </c>
      <c r="L80" s="288">
        <v>0</v>
      </c>
      <c r="M80" s="288">
        <v>0</v>
      </c>
      <c r="N80" s="288">
        <v>0</v>
      </c>
      <c r="O80" s="288">
        <v>0</v>
      </c>
      <c r="P80" s="6">
        <f t="shared" si="309"/>
        <v>0</v>
      </c>
      <c r="Q80" s="4"/>
      <c r="R80" s="289"/>
      <c r="S80" s="289"/>
      <c r="T80" s="290"/>
      <c r="U80" s="288">
        <v>0</v>
      </c>
      <c r="V80" s="288">
        <v>0</v>
      </c>
      <c r="W80" s="288">
        <v>0</v>
      </c>
      <c r="X80" s="25">
        <f>E80-W80-V80-U80</f>
        <v>0</v>
      </c>
      <c r="Y80" s="288">
        <v>0</v>
      </c>
      <c r="Z80" s="288">
        <v>0</v>
      </c>
      <c r="AA80" s="288">
        <v>0</v>
      </c>
      <c r="AB80" s="25">
        <f>F80-AA80-Z80-Y80</f>
        <v>0</v>
      </c>
      <c r="AC80" s="288">
        <v>0</v>
      </c>
      <c r="AD80" s="288">
        <v>0</v>
      </c>
      <c r="AE80" s="288">
        <v>0</v>
      </c>
      <c r="AF80" s="291">
        <f>H80-AE80-AD80-AC80</f>
        <v>0</v>
      </c>
      <c r="AG80" s="288">
        <v>0</v>
      </c>
      <c r="AH80" s="288">
        <f>-AG80</f>
        <v>0</v>
      </c>
      <c r="AI80" s="288">
        <f>-AH80-AG80</f>
        <v>0</v>
      </c>
      <c r="AJ80" s="25">
        <f>I80-AI80-AH80-AG80</f>
        <v>0</v>
      </c>
      <c r="AK80" s="288">
        <v>0</v>
      </c>
      <c r="AL80" s="288">
        <f>-AK80</f>
        <v>0</v>
      </c>
      <c r="AM80" s="227"/>
      <c r="AN80" s="267"/>
      <c r="AO80" s="227"/>
      <c r="AP80" s="288">
        <f>-AO80</f>
        <v>0</v>
      </c>
      <c r="AQ80" s="227"/>
      <c r="AR80" s="267"/>
      <c r="AS80" s="4">
        <v>0</v>
      </c>
      <c r="AT80" s="288">
        <f>-AS80</f>
        <v>0</v>
      </c>
      <c r="AU80" s="288">
        <f>-AT80</f>
        <v>0</v>
      </c>
      <c r="AV80" s="6">
        <f>L80-SUM(AS80:AU80)</f>
        <v>0</v>
      </c>
      <c r="AW80" s="4">
        <v>0</v>
      </c>
      <c r="AX80" s="288">
        <f>-AW80</f>
        <v>0</v>
      </c>
      <c r="AY80" s="288">
        <f>-AX80</f>
        <v>0</v>
      </c>
      <c r="AZ80" s="6">
        <f>M80-SUM(AW80:AY80)</f>
        <v>0</v>
      </c>
      <c r="BA80" s="4">
        <v>0</v>
      </c>
      <c r="BB80" s="288">
        <f>-BA80</f>
        <v>0</v>
      </c>
      <c r="BC80" s="288">
        <f>-BB80</f>
        <v>0</v>
      </c>
      <c r="BD80" s="6">
        <f t="shared" si="310"/>
        <v>0</v>
      </c>
      <c r="BE80" s="4">
        <v>0</v>
      </c>
      <c r="BF80" s="288">
        <f>-BE80</f>
        <v>0</v>
      </c>
      <c r="BG80" s="288">
        <f>-BF80</f>
        <v>0</v>
      </c>
      <c r="BH80" s="6">
        <f>O80-SUM(BE80:BG80)</f>
        <v>0</v>
      </c>
      <c r="BI80" s="4">
        <v>0</v>
      </c>
      <c r="BJ80" s="288"/>
      <c r="BK80" s="288"/>
      <c r="BL80" s="4"/>
      <c r="BM80" s="4"/>
      <c r="BO80" s="346"/>
    </row>
    <row r="81" spans="2:65" ht="13.5" customHeight="1">
      <c r="B81" s="7" t="s">
        <v>325</v>
      </c>
      <c r="C81" s="4">
        <f>1919-C78</f>
        <v>-2428</v>
      </c>
      <c r="D81" s="4">
        <f>3690-D78</f>
        <v>-1202</v>
      </c>
      <c r="E81" s="4">
        <f>-4203-E78</f>
        <v>-818.17900000000373</v>
      </c>
      <c r="F81" s="4">
        <f>11642.767-F78</f>
        <v>8482.4199999999946</v>
      </c>
      <c r="G81" s="4">
        <f>11568.488-G78</f>
        <v>3204.9970007997272</v>
      </c>
      <c r="H81" s="4">
        <f>6015.819-H78</f>
        <v>4939.5717410076013</v>
      </c>
      <c r="I81" s="4">
        <f>-2246.57-I78</f>
        <v>-2970.1645711353199</v>
      </c>
      <c r="J81" s="4">
        <f>25056-J78</f>
        <v>-1861.3687157248205</v>
      </c>
      <c r="K81" s="4">
        <f>2911-K78</f>
        <v>-1188.2141952523525</v>
      </c>
      <c r="L81" s="4">
        <f>-4953-L78</f>
        <v>-652.80682607417839</v>
      </c>
      <c r="M81" s="4">
        <f>-4132.555-M78</f>
        <v>-711.25895109025168</v>
      </c>
      <c r="N81" s="4">
        <f>-592.59-N78</f>
        <v>-443.02848445550978</v>
      </c>
      <c r="O81" s="4">
        <f>-2481.814-O78</f>
        <v>-989.24384839120216</v>
      </c>
      <c r="P81" s="6">
        <f>SUM(BF81:BI81)</f>
        <v>-777.87337201356672</v>
      </c>
      <c r="Q81" s="4"/>
      <c r="R81" s="38"/>
      <c r="S81" s="38"/>
      <c r="T81" s="82"/>
      <c r="U81" s="4">
        <f>2549.441-U78</f>
        <v>-1108.353000000001</v>
      </c>
      <c r="V81" s="4">
        <f>-765.012-V78-U81-U78</f>
        <v>-1780.9669999999996</v>
      </c>
      <c r="W81" s="4">
        <f>4256.232-V81-U81-W78-V78-U78</f>
        <v>-1085.6710000000021</v>
      </c>
      <c r="X81" s="6">
        <f>E81-W81-V81-U81</f>
        <v>3156.811999999999</v>
      </c>
      <c r="Y81" s="4">
        <f>3521.304-Y78</f>
        <v>4208.0750000000016</v>
      </c>
      <c r="Z81" s="4">
        <f>16476.555-Z78-Y81-Y78</f>
        <v>2964.010000000002</v>
      </c>
      <c r="AA81" s="4">
        <f>12737.803-Z81-Y81-AA78-Z78-Y78</f>
        <v>-4237.2569999999996</v>
      </c>
      <c r="AB81" s="4">
        <f>F81-AA81-Z81-Y81</f>
        <v>5547.5919999999905</v>
      </c>
      <c r="AC81" s="4">
        <f>782.357-AC78-AC79</f>
        <v>-2598.5860000000011</v>
      </c>
      <c r="AD81" s="4">
        <f>5236.633-AD78-AC81-AC78</f>
        <v>2443.3619999999978</v>
      </c>
      <c r="AE81" s="4">
        <f>1266.046-AD81-AC81-AE78-AD78-AC78</f>
        <v>-6624.4940712590451</v>
      </c>
      <c r="AF81" s="226">
        <f>H81-AE81-AD81-AC81</f>
        <v>11719.28981226665</v>
      </c>
      <c r="AG81" s="4">
        <f>-111.369-AG78-AG79</f>
        <v>-122.22575174431245</v>
      </c>
      <c r="AH81" s="4">
        <f>390.455-AH78-AG81-AG78</f>
        <v>51.823715398874697</v>
      </c>
      <c r="AI81" s="4">
        <f>6883.359-AH81-AG81-AI78-AH78-AG78</f>
        <v>-2889.7226773205207</v>
      </c>
      <c r="AJ81" s="6">
        <f>I81-AI81-AH81-AG81</f>
        <v>-10.039857469361436</v>
      </c>
      <c r="AK81" s="4">
        <f>18942.262-AK78-AK79</f>
        <v>-511.05022686876282</v>
      </c>
      <c r="AL81" s="4">
        <f>18123.722-AL78-AK81-AK78</f>
        <v>-176.26563539973176</v>
      </c>
      <c r="AM81" s="227"/>
      <c r="AN81" s="267"/>
      <c r="AO81" s="227"/>
      <c r="AP81" s="4">
        <f>3590.266-AP78-AO81-AO78</f>
        <v>-1092.208000000001</v>
      </c>
      <c r="AQ81" s="227"/>
      <c r="AR81" s="267"/>
      <c r="AS81" s="4">
        <f>1962.85-AS78-AR81-AR78</f>
        <v>147.69100000000026</v>
      </c>
      <c r="AT81" s="4">
        <f>-1675.64-AT78-AS81-AS78-AS79-AT79</f>
        <v>469.63100000000247</v>
      </c>
      <c r="AU81" s="4">
        <f>-8041.901-AU78-AT81-AT78-AT79-AU79-AS81-AS79-AS78</f>
        <v>111.53200000000174</v>
      </c>
      <c r="AV81" s="6">
        <f>L81-SUM(AS81:AU81)</f>
        <v>-1381.6608260741828</v>
      </c>
      <c r="AW81" s="4">
        <f>870.153-AW79-AW78</f>
        <v>774.1299999999992</v>
      </c>
      <c r="AX81" s="4">
        <f>-9328.151-AX78-AW81-AW78-AW79-AX79</f>
        <v>2669.9209999999975</v>
      </c>
      <c r="AY81" s="4">
        <f>-1733.376-AY78-AX81-AX78-AX79-AY79-AW81-AW79-AW78</f>
        <v>-2295.5690000000022</v>
      </c>
      <c r="AZ81" s="6">
        <f>M81-SUM(AW81:AY81)</f>
        <v>-1859.7409510902462</v>
      </c>
      <c r="BA81" s="4">
        <f>3985.931-BA79-BA78</f>
        <v>71.639000000001033</v>
      </c>
      <c r="BB81" s="4">
        <f>7211.061-BB78-BA81-BA78-BA79-BB79</f>
        <v>49.921916971533392</v>
      </c>
      <c r="BC81" s="4">
        <f>10433.304-BC78-BB81-BB78-BB79-BC79-BA81-BA79-BA78</f>
        <v>-321.36350323259967</v>
      </c>
      <c r="BD81" s="6">
        <f>N81-SUM(BA81:BC81)</f>
        <v>-243.22589819444454</v>
      </c>
      <c r="BE81" s="4">
        <f>-2270.254-BE79-BE78</f>
        <v>-125.06672372279036</v>
      </c>
      <c r="BF81" s="4">
        <f>4359.565-BF78-BE81-BE78-BE79-BF79</f>
        <v>-183.25822212941762</v>
      </c>
      <c r="BG81" s="4">
        <f>2113.967-BG78-BF81-BF78-BF79-BG79-BE81-BE79-BE78</f>
        <v>-416.75917859199944</v>
      </c>
      <c r="BH81" s="6">
        <f>O81-SUM(BE81:BG81)</f>
        <v>-264.15972394699475</v>
      </c>
      <c r="BI81" s="4">
        <f>13279.423-BI79-BI78</f>
        <v>86.303752654845084</v>
      </c>
      <c r="BJ81" s="4"/>
      <c r="BK81" s="4"/>
      <c r="BL81" s="4"/>
      <c r="BM81" s="4"/>
    </row>
    <row r="82" spans="2:65" ht="13.5" customHeight="1">
      <c r="B82" s="16" t="s">
        <v>326</v>
      </c>
      <c r="C82" s="8">
        <f t="shared" ref="C82:H82" si="311">SUM(C78:C81)</f>
        <v>-2348</v>
      </c>
      <c r="D82" s="8">
        <f t="shared" si="311"/>
        <v>3031</v>
      </c>
      <c r="E82" s="8">
        <f t="shared" si="311"/>
        <v>-5513</v>
      </c>
      <c r="F82" s="8">
        <f t="shared" si="311"/>
        <v>8291.0910000000003</v>
      </c>
      <c r="G82" s="237">
        <f t="shared" si="311"/>
        <v>8291.0910000000003</v>
      </c>
      <c r="H82" s="8">
        <f t="shared" si="311"/>
        <v>4959.9179999999997</v>
      </c>
      <c r="I82" s="8">
        <f t="shared" ref="I82:M82" si="312">SUM(I78:I81)</f>
        <v>-3235.8720000000003</v>
      </c>
      <c r="J82" s="8">
        <f t="shared" si="312"/>
        <v>23006</v>
      </c>
      <c r="K82" s="8">
        <f t="shared" si="312"/>
        <v>3751</v>
      </c>
      <c r="L82" s="8">
        <f t="shared" si="312"/>
        <v>-6971</v>
      </c>
      <c r="M82" s="8">
        <f t="shared" si="312"/>
        <v>-9217.1569999999992</v>
      </c>
      <c r="N82" s="8">
        <f t="shared" ref="N82:O82" si="313">SUM(N78:N81)</f>
        <v>1719.0499999999997</v>
      </c>
      <c r="O82" s="8">
        <f t="shared" si="313"/>
        <v>-4712.1719999999996</v>
      </c>
      <c r="P82" s="8">
        <f>SUM(P78:P81)</f>
        <v>10837.505000000003</v>
      </c>
      <c r="Q82" s="8"/>
      <c r="R82" s="8">
        <f t="shared" ref="R82:Z82" si="314">SUM(R78:R81)</f>
        <v>0</v>
      </c>
      <c r="S82" s="8">
        <f t="shared" si="314"/>
        <v>0</v>
      </c>
      <c r="T82" s="173">
        <f t="shared" si="314"/>
        <v>0</v>
      </c>
      <c r="U82" s="8">
        <f t="shared" si="314"/>
        <v>2234.0079999999998</v>
      </c>
      <c r="V82" s="8">
        <f t="shared" si="314"/>
        <v>-2577.5199999999995</v>
      </c>
      <c r="W82" s="8">
        <f t="shared" si="314"/>
        <v>4459.0990000000002</v>
      </c>
      <c r="X82" s="8">
        <f t="shared" si="314"/>
        <v>-9628.5869999999923</v>
      </c>
      <c r="Y82" s="8">
        <f t="shared" si="314"/>
        <v>2554.306</v>
      </c>
      <c r="Z82" s="8">
        <f t="shared" si="314"/>
        <v>11125.406000000001</v>
      </c>
      <c r="AA82" s="8">
        <f t="shared" ref="AA82:AF82" si="315">SUM(AA78:AA81)</f>
        <v>-3949.4370000000004</v>
      </c>
      <c r="AB82" s="8">
        <f t="shared" si="315"/>
        <v>-1439.1840000000102</v>
      </c>
      <c r="AC82" s="8">
        <f t="shared" si="315"/>
        <v>782.35699999999997</v>
      </c>
      <c r="AD82" s="8">
        <f t="shared" si="315"/>
        <v>3920.1980000000003</v>
      </c>
      <c r="AE82" s="8">
        <f t="shared" si="315"/>
        <v>-4994.5119999999997</v>
      </c>
      <c r="AF82" s="8">
        <f t="shared" si="315"/>
        <v>5251.8749999999927</v>
      </c>
      <c r="AG82" s="8">
        <f t="shared" ref="AG82:AL82" si="316">SUM(AG78:AG81)</f>
        <v>-111.36900000000003</v>
      </c>
      <c r="AH82" s="8">
        <f t="shared" si="316"/>
        <v>-129.82799999999997</v>
      </c>
      <c r="AI82" s="8">
        <f t="shared" si="316"/>
        <v>6744.4980000000014</v>
      </c>
      <c r="AJ82" s="8">
        <f t="shared" si="316"/>
        <v>-9739.172999999997</v>
      </c>
      <c r="AK82" s="8">
        <f t="shared" si="316"/>
        <v>18942.261999999999</v>
      </c>
      <c r="AL82" s="8">
        <f t="shared" si="316"/>
        <v>2040.0920000000028</v>
      </c>
      <c r="AM82" s="265"/>
      <c r="AN82" s="265"/>
      <c r="AO82" s="265"/>
      <c r="AP82" s="8">
        <f>SUM(AP78:AP81)</f>
        <v>3288.3849999999998</v>
      </c>
      <c r="AQ82" s="265"/>
      <c r="AR82" s="265"/>
      <c r="AS82" s="8">
        <f t="shared" ref="AS82:AZ82" si="317">SUM(AS78:AS81)</f>
        <v>2195.6729999999998</v>
      </c>
      <c r="AT82" s="8">
        <f t="shared" si="317"/>
        <v>-3871.3129999999996</v>
      </c>
      <c r="AU82" s="8">
        <f t="shared" si="317"/>
        <v>-6366.2609999999995</v>
      </c>
      <c r="AV82" s="8">
        <f t="shared" si="317"/>
        <v>1070.9009999999971</v>
      </c>
      <c r="AW82" s="8">
        <f t="shared" si="317"/>
        <v>870.15300000000025</v>
      </c>
      <c r="AX82" s="8">
        <f t="shared" si="317"/>
        <v>-10198.304</v>
      </c>
      <c r="AY82" s="8">
        <f t="shared" si="317"/>
        <v>7594.7750000000005</v>
      </c>
      <c r="AZ82" s="8">
        <f t="shared" si="317"/>
        <v>-7483.7809999999999</v>
      </c>
      <c r="BA82" s="8">
        <f t="shared" ref="BA82:BD82" si="318">SUM(BA78:BA81)</f>
        <v>3985.931</v>
      </c>
      <c r="BB82" s="8">
        <f t="shared" si="318"/>
        <v>3225.1299999999992</v>
      </c>
      <c r="BC82" s="8">
        <f t="shared" si="318"/>
        <v>3222.2429999999999</v>
      </c>
      <c r="BD82" s="8">
        <f t="shared" si="318"/>
        <v>-8714.2540000000045</v>
      </c>
      <c r="BE82" s="8">
        <f t="shared" ref="BE82:BH82" si="319">SUM(BE78:BE81)</f>
        <v>-2270.2539999999999</v>
      </c>
      <c r="BF82" s="8">
        <f t="shared" si="319"/>
        <v>6629.8189999999995</v>
      </c>
      <c r="BG82" s="8">
        <f t="shared" si="319"/>
        <v>-2245.5979999999995</v>
      </c>
      <c r="BH82" s="8">
        <f t="shared" si="319"/>
        <v>-6826.1389999999965</v>
      </c>
      <c r="BI82" s="8">
        <f t="shared" ref="BI82" si="320">SUM(BI78:BI81)</f>
        <v>13279.423000000001</v>
      </c>
      <c r="BJ82" s="8"/>
      <c r="BK82" s="8"/>
      <c r="BL82" s="8"/>
      <c r="BM82" s="8"/>
    </row>
    <row r="83" spans="2:65" s="5" customFormat="1" ht="13.5" customHeight="1">
      <c r="B83" s="16" t="s">
        <v>327</v>
      </c>
      <c r="C83" s="27">
        <f>15306+C82</f>
        <v>12958</v>
      </c>
      <c r="D83" s="237">
        <f>D82+C83</f>
        <v>15989</v>
      </c>
      <c r="E83" s="237">
        <f>E82+D83</f>
        <v>10476</v>
      </c>
      <c r="F83" s="8">
        <f>F82+E83</f>
        <v>18767.091</v>
      </c>
      <c r="G83" s="8">
        <f>G82+E83</f>
        <v>18767.091</v>
      </c>
      <c r="H83" s="8">
        <f>H82+G83</f>
        <v>23727.008999999998</v>
      </c>
      <c r="I83" s="278">
        <f>23726.773+I82</f>
        <v>20490.901000000002</v>
      </c>
      <c r="J83" s="8">
        <f>J82+I83</f>
        <v>43496.900999999998</v>
      </c>
      <c r="K83" s="8">
        <f>K82+J83</f>
        <v>47247.900999999998</v>
      </c>
      <c r="L83" s="8">
        <f>L82+K83</f>
        <v>40276.900999999998</v>
      </c>
      <c r="M83" s="8">
        <f>M82+40277.075</f>
        <v>31059.917999999998</v>
      </c>
      <c r="N83" s="8">
        <f>N82+M83</f>
        <v>32778.968000000001</v>
      </c>
      <c r="O83" s="8">
        <f>O82+N83</f>
        <v>28066.796000000002</v>
      </c>
      <c r="P83" s="8">
        <f>BE83+P82</f>
        <v>41346.218999999983</v>
      </c>
      <c r="Q83" s="8"/>
      <c r="R83" s="48"/>
      <c r="S83" s="48"/>
      <c r="T83" s="83"/>
      <c r="U83" s="8">
        <f>D83+U82</f>
        <v>18223.008000000002</v>
      </c>
      <c r="V83" s="8">
        <f>V82+U83</f>
        <v>15645.488000000001</v>
      </c>
      <c r="W83" s="8">
        <f>W82+V83</f>
        <v>20104.587</v>
      </c>
      <c r="X83" s="8">
        <f>X82+W83</f>
        <v>10476.000000000007</v>
      </c>
      <c r="Y83" s="8">
        <f>X83+Y82</f>
        <v>13030.306000000008</v>
      </c>
      <c r="Z83" s="8">
        <f>Y83+Z82</f>
        <v>24155.712000000007</v>
      </c>
      <c r="AA83" s="8">
        <f>Z83+AA82</f>
        <v>20206.275000000005</v>
      </c>
      <c r="AB83" s="8">
        <f>AB82+AA83</f>
        <v>18767.090999999993</v>
      </c>
      <c r="AC83" s="8">
        <f>AB83+AC82</f>
        <v>19549.447999999993</v>
      </c>
      <c r="AD83" s="8">
        <f>AC83+AD82</f>
        <v>23469.645999999993</v>
      </c>
      <c r="AE83" s="8">
        <f>AD83+AE82</f>
        <v>18475.133999999995</v>
      </c>
      <c r="AF83" s="8">
        <f>AE83+AF82</f>
        <v>23727.008999999987</v>
      </c>
      <c r="AG83" s="278">
        <v>23615.403999999999</v>
      </c>
      <c r="AH83" s="8">
        <f>AG83+AH82</f>
        <v>23485.575999999997</v>
      </c>
      <c r="AI83" s="8">
        <f>AH83+AI82</f>
        <v>30230.074000000001</v>
      </c>
      <c r="AJ83" s="8">
        <f>AI83+AJ82</f>
        <v>20490.901000000005</v>
      </c>
      <c r="AK83" s="8">
        <f>AJ83+AK82</f>
        <v>39433.163</v>
      </c>
      <c r="AL83" s="8">
        <f>AK83+AL82</f>
        <v>41473.255000000005</v>
      </c>
      <c r="AM83" s="278">
        <v>58057</v>
      </c>
      <c r="AN83" s="8">
        <v>43497.228000000003</v>
      </c>
      <c r="AO83" s="343">
        <v>48424.992211382458</v>
      </c>
      <c r="AP83" s="8">
        <f>AN83+AP82</f>
        <v>46785.613000000005</v>
      </c>
      <c r="AQ83" s="278">
        <v>50088.027773117428</v>
      </c>
      <c r="AR83" s="8">
        <v>47247.727693024499</v>
      </c>
      <c r="AS83" s="8">
        <f>AR83+AS82</f>
        <v>49443.400693024501</v>
      </c>
      <c r="AT83" s="8">
        <v>45572.086758024932</v>
      </c>
      <c r="AU83" s="8">
        <f t="shared" ref="AU83:BI83" si="321">AT83+AU82</f>
        <v>39205.825758024934</v>
      </c>
      <c r="AV83" s="8">
        <f t="shared" si="321"/>
        <v>40276.726758024932</v>
      </c>
      <c r="AW83" s="8">
        <f>AV83+AW82+40277.075-AV83</f>
        <v>41147.227999999988</v>
      </c>
      <c r="AX83" s="8">
        <f t="shared" si="321"/>
        <v>30948.923999999988</v>
      </c>
      <c r="AY83" s="8">
        <f t="shared" si="321"/>
        <v>38543.698999999986</v>
      </c>
      <c r="AZ83" s="8">
        <f t="shared" si="321"/>
        <v>31059.917999999987</v>
      </c>
      <c r="BA83" s="8">
        <f t="shared" si="321"/>
        <v>35045.848999999987</v>
      </c>
      <c r="BB83" s="8">
        <f t="shared" si="321"/>
        <v>38270.978999999985</v>
      </c>
      <c r="BC83" s="8">
        <f t="shared" si="321"/>
        <v>41493.221999999987</v>
      </c>
      <c r="BD83" s="8">
        <f t="shared" si="321"/>
        <v>32778.967999999979</v>
      </c>
      <c r="BE83" s="8">
        <f t="shared" si="321"/>
        <v>30508.713999999978</v>
      </c>
      <c r="BF83" s="8">
        <f t="shared" si="321"/>
        <v>37138.532999999981</v>
      </c>
      <c r="BG83" s="8">
        <f t="shared" si="321"/>
        <v>34892.934999999983</v>
      </c>
      <c r="BH83" s="8">
        <f t="shared" si="321"/>
        <v>28066.795999999988</v>
      </c>
      <c r="BI83" s="8">
        <f t="shared" si="321"/>
        <v>41346.21899999999</v>
      </c>
      <c r="BJ83" s="8"/>
      <c r="BK83" s="8"/>
      <c r="BL83" s="344"/>
      <c r="BM83" s="345"/>
    </row>
    <row r="84" spans="2:65" ht="11.25" customHeight="1"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336"/>
      <c r="R84" s="170"/>
      <c r="S84" s="170"/>
      <c r="T84" s="89"/>
      <c r="U84" s="56"/>
      <c r="Y84" s="56"/>
      <c r="Z84" s="56"/>
      <c r="BF84" s="1"/>
      <c r="BJ84" s="1"/>
      <c r="BK84" s="1"/>
    </row>
    <row r="85" spans="2:65" ht="11.25" customHeight="1">
      <c r="B85" s="137" t="s">
        <v>328</v>
      </c>
      <c r="C85" s="398">
        <f t="shared" ref="C85:H85" si="322">C83-C127</f>
        <v>0</v>
      </c>
      <c r="D85" s="398">
        <f t="shared" si="322"/>
        <v>0</v>
      </c>
      <c r="E85" s="398">
        <f t="shared" si="322"/>
        <v>0</v>
      </c>
      <c r="F85" s="398">
        <f t="shared" si="322"/>
        <v>9.1000000000349246E-2</v>
      </c>
      <c r="G85" s="398">
        <f t="shared" si="322"/>
        <v>9.1000000000349246E-2</v>
      </c>
      <c r="H85" s="398">
        <f t="shared" si="322"/>
        <v>8.9999999981955625E-3</v>
      </c>
      <c r="I85" s="398">
        <f t="shared" ref="I85:M85" si="323">I83-I127</f>
        <v>0</v>
      </c>
      <c r="J85" s="398">
        <f t="shared" si="323"/>
        <v>-9.900000000197906E-2</v>
      </c>
      <c r="K85" s="398">
        <f t="shared" si="323"/>
        <v>0.17330697549914476</v>
      </c>
      <c r="L85" s="398">
        <f t="shared" si="323"/>
        <v>-0.17421652640769025</v>
      </c>
      <c r="M85" s="398">
        <f t="shared" si="323"/>
        <v>-8.2000000002153683E-2</v>
      </c>
      <c r="N85" s="398">
        <f t="shared" ref="N85:O85" si="324">N83-N127</f>
        <v>-3.19999999992433E-2</v>
      </c>
      <c r="O85" s="398">
        <f t="shared" si="324"/>
        <v>4.3705550342565402E-4</v>
      </c>
      <c r="P85" s="398">
        <f t="shared" ref="P85" si="325">P83-P127</f>
        <v>5.0005860975943506E-4</v>
      </c>
      <c r="Q85" s="399"/>
      <c r="R85" s="400"/>
      <c r="S85" s="400"/>
      <c r="T85" s="401"/>
      <c r="U85" s="398">
        <f t="shared" ref="U85:AB85" si="326">U83-U127</f>
        <v>8.0000000016298145E-3</v>
      </c>
      <c r="V85" s="398">
        <f t="shared" si="326"/>
        <v>-0.51199999999880674</v>
      </c>
      <c r="W85" s="398">
        <f t="shared" si="326"/>
        <v>-0.41300000000046566</v>
      </c>
      <c r="X85" s="398">
        <f t="shared" si="326"/>
        <v>0</v>
      </c>
      <c r="Y85" s="398">
        <f t="shared" si="326"/>
        <v>0.30600000000777072</v>
      </c>
      <c r="Z85" s="398">
        <f t="shared" si="326"/>
        <v>0.7120000000068103</v>
      </c>
      <c r="AA85" s="398">
        <f t="shared" si="326"/>
        <v>0.27500000000509317</v>
      </c>
      <c r="AB85" s="398">
        <f t="shared" si="326"/>
        <v>9.0999999993073288E-2</v>
      </c>
      <c r="AC85" s="399">
        <f t="shared" ref="AC85:AH85" si="327">AC83-AC127</f>
        <v>0.44799999999304418</v>
      </c>
      <c r="AD85" s="399">
        <f t="shared" si="327"/>
        <v>0.23599999999350985</v>
      </c>
      <c r="AE85" s="399">
        <f t="shared" si="327"/>
        <v>0.2559999999939464</v>
      </c>
      <c r="AF85" s="399">
        <f t="shared" si="327"/>
        <v>8.9999999872816261E-3</v>
      </c>
      <c r="AG85" s="399">
        <f t="shared" si="327"/>
        <v>0</v>
      </c>
      <c r="AH85" s="399">
        <f t="shared" si="327"/>
        <v>0</v>
      </c>
      <c r="AI85" s="399">
        <f t="shared" ref="AI85:AN85" si="328">AI83-AI127</f>
        <v>0</v>
      </c>
      <c r="AJ85" s="399">
        <f t="shared" si="328"/>
        <v>0</v>
      </c>
      <c r="AK85" s="399">
        <f t="shared" si="328"/>
        <v>0</v>
      </c>
      <c r="AL85" s="399">
        <f t="shared" si="328"/>
        <v>0</v>
      </c>
      <c r="AM85" s="399">
        <f>AM83-AM127</f>
        <v>0</v>
      </c>
      <c r="AN85" s="399">
        <f t="shared" si="328"/>
        <v>0.22800000000279397</v>
      </c>
      <c r="AO85" s="399">
        <f t="shared" ref="AO85:AT85" si="329">AO83-AO127</f>
        <v>0</v>
      </c>
      <c r="AP85" s="399">
        <f t="shared" si="329"/>
        <v>0</v>
      </c>
      <c r="AQ85" s="399">
        <f t="shared" si="329"/>
        <v>0</v>
      </c>
      <c r="AR85" s="399">
        <f t="shared" si="329"/>
        <v>0</v>
      </c>
      <c r="AS85" s="399">
        <f t="shared" si="329"/>
        <v>0.40069302450137911</v>
      </c>
      <c r="AT85" s="399">
        <f t="shared" si="329"/>
        <v>0</v>
      </c>
      <c r="AU85" s="399">
        <f t="shared" ref="AU85:AX85" si="330">AU83-AU127</f>
        <v>0.82575802493374795</v>
      </c>
      <c r="AV85" s="399">
        <f t="shared" si="330"/>
        <v>-0.34845850147394231</v>
      </c>
      <c r="AW85" s="399">
        <f t="shared" si="330"/>
        <v>0</v>
      </c>
      <c r="AX85" s="399">
        <f t="shared" si="330"/>
        <v>2.6838368648895994E-4</v>
      </c>
      <c r="AY85" s="399">
        <f t="shared" ref="AY85:BB85" si="331">AY83-AY127</f>
        <v>3.601115895435214E-4</v>
      </c>
      <c r="AZ85" s="399">
        <f t="shared" si="331"/>
        <v>-8.200000001306762E-2</v>
      </c>
      <c r="BA85" s="399">
        <f t="shared" si="331"/>
        <v>0</v>
      </c>
      <c r="BB85" s="399">
        <f t="shared" si="331"/>
        <v>-2.0019979274366051E-5</v>
      </c>
      <c r="BC85" s="399">
        <f t="shared" ref="BC85:BE85" si="332">BC83-BC127</f>
        <v>4.9278285587206483E-5</v>
      </c>
      <c r="BD85" s="399">
        <f t="shared" si="332"/>
        <v>-3.2000000021071173E-2</v>
      </c>
      <c r="BE85" s="399">
        <f t="shared" si="332"/>
        <v>7.8277042848640122E-4</v>
      </c>
      <c r="BF85" s="399">
        <f t="shared" ref="BF85:BI85" si="333">BF83-BF127</f>
        <v>8.2260781346121803E-4</v>
      </c>
      <c r="BG85" s="399">
        <f t="shared" si="333"/>
        <v>-7.4857311847154051E-4</v>
      </c>
      <c r="BH85" s="399">
        <f t="shared" si="333"/>
        <v>4.370554888737388E-4</v>
      </c>
      <c r="BI85" s="399">
        <f t="shared" si="333"/>
        <v>5.0005861703539267E-4</v>
      </c>
      <c r="BJ85" s="1"/>
      <c r="BK85" s="1"/>
    </row>
    <row r="86" spans="2:65" ht="11.25" customHeight="1">
      <c r="B86" s="137" t="s">
        <v>329</v>
      </c>
      <c r="C86" s="402">
        <f>(24406)-SUM(C63:C65)-C81</f>
        <v>0</v>
      </c>
      <c r="D86" s="402">
        <f>23202-SUM(D63:D65)-D81</f>
        <v>0</v>
      </c>
      <c r="E86" s="402">
        <f>32446-SUM(E63:E65)-E81</f>
        <v>0</v>
      </c>
      <c r="F86" s="398">
        <f>34114.069-SUM(F63:F65)-F81</f>
        <v>-7685.9019999999982</v>
      </c>
      <c r="G86" s="398"/>
      <c r="H86" s="398"/>
      <c r="I86" s="398"/>
      <c r="J86" s="398">
        <f>35147-SUM(J63:J65)-J81</f>
        <v>0</v>
      </c>
      <c r="K86" s="398">
        <f>32721-SUM(K63:K65)-K81</f>
        <v>0</v>
      </c>
      <c r="L86" s="398">
        <f>35491-SUM(L63:L65)-L81</f>
        <v>0</v>
      </c>
      <c r="M86" s="398">
        <f>42289.318-SUM(M63:M65)-M81</f>
        <v>1.0000000011132215E-3</v>
      </c>
      <c r="N86" s="398">
        <f>42458.847-SUM(N63:N65)-N81</f>
        <v>3.5242919693700969E-12</v>
      </c>
      <c r="O86" s="398">
        <f>30773.256-SUM(O63:O65)-O81</f>
        <v>4.7748471843078732E-12</v>
      </c>
      <c r="P86" s="402"/>
      <c r="Q86" s="399"/>
      <c r="R86" s="403"/>
      <c r="S86" s="404"/>
      <c r="T86" s="405"/>
      <c r="U86" s="402"/>
      <c r="V86" s="402"/>
      <c r="W86" s="402"/>
      <c r="X86" s="402"/>
      <c r="Y86" s="402"/>
      <c r="Z86" s="402"/>
      <c r="AA86" s="402"/>
      <c r="AB86" s="402"/>
      <c r="AC86" s="406"/>
      <c r="AD86" s="406"/>
      <c r="AE86" s="406"/>
      <c r="AF86" s="406"/>
      <c r="AG86" s="406"/>
      <c r="AH86" s="406"/>
      <c r="AI86" s="406"/>
      <c r="AJ86" s="406"/>
      <c r="AK86" s="406"/>
      <c r="AL86" s="406"/>
      <c r="AM86" s="406"/>
      <c r="AN86" s="406"/>
      <c r="AO86" s="406"/>
      <c r="AP86" s="406"/>
      <c r="AQ86" s="406"/>
      <c r="AR86" s="406"/>
      <c r="AS86" s="406"/>
      <c r="AT86" s="406"/>
      <c r="AU86" s="406"/>
      <c r="AV86" s="406"/>
      <c r="AW86" s="406"/>
      <c r="AX86" s="406"/>
      <c r="AY86" s="406"/>
      <c r="AZ86" s="406"/>
      <c r="BA86" s="406"/>
      <c r="BB86" s="406"/>
      <c r="BC86" s="406"/>
      <c r="BD86" s="406"/>
      <c r="BE86" s="406"/>
      <c r="BF86" s="407"/>
      <c r="BG86" s="406"/>
      <c r="BH86" s="406"/>
      <c r="BI86" s="398"/>
      <c r="BL86" s="197"/>
      <c r="BM86" s="197"/>
    </row>
    <row r="87" spans="2:65" ht="11.25" customHeight="1"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336"/>
      <c r="R87" s="170"/>
      <c r="S87" s="170"/>
      <c r="T87" s="89"/>
      <c r="U87" s="56"/>
      <c r="Y87" s="56"/>
      <c r="Z87" s="56"/>
    </row>
    <row r="88" spans="2:65" ht="13.5" customHeight="1">
      <c r="B88" s="17" t="s">
        <v>330</v>
      </c>
      <c r="C88" s="47">
        <f>C3</f>
        <v>41975</v>
      </c>
      <c r="D88" s="47">
        <f>D3</f>
        <v>42341</v>
      </c>
      <c r="E88" s="47">
        <f>E3</f>
        <v>42708</v>
      </c>
      <c r="F88" s="47">
        <f>F3</f>
        <v>43073</v>
      </c>
      <c r="G88" s="47">
        <f>G3</f>
        <v>43073</v>
      </c>
      <c r="H88" s="47">
        <f>H3</f>
        <v>43438</v>
      </c>
      <c r="I88" s="47">
        <f>I3</f>
        <v>43803</v>
      </c>
      <c r="J88" s="47">
        <f>J3</f>
        <v>44169</v>
      </c>
      <c r="K88" s="47">
        <f>K3</f>
        <v>44534</v>
      </c>
      <c r="L88" s="47">
        <f>L3</f>
        <v>44899</v>
      </c>
      <c r="M88" s="47">
        <f>M3</f>
        <v>45264</v>
      </c>
      <c r="N88" s="47">
        <f>N3</f>
        <v>45630</v>
      </c>
      <c r="O88" s="47">
        <f>O3</f>
        <v>45995</v>
      </c>
      <c r="P88" s="311" t="s">
        <v>255</v>
      </c>
      <c r="Q88" s="332"/>
      <c r="R88" s="47">
        <f>R3</f>
        <v>43439</v>
      </c>
      <c r="S88" s="47">
        <f>S3</f>
        <v>43805</v>
      </c>
      <c r="T88" s="81">
        <f>T3</f>
        <v>44172</v>
      </c>
      <c r="U88" s="47">
        <f>U3</f>
        <v>42437</v>
      </c>
      <c r="V88" s="47">
        <f>V3</f>
        <v>42527</v>
      </c>
      <c r="W88" s="47">
        <f>W3</f>
        <v>42622</v>
      </c>
      <c r="X88" s="47">
        <f>X3</f>
        <v>42714</v>
      </c>
      <c r="Y88" s="47">
        <f>Y3</f>
        <v>42801</v>
      </c>
      <c r="Z88" s="47">
        <f>Z3</f>
        <v>42892</v>
      </c>
      <c r="AA88" s="47">
        <f>AA3</f>
        <v>42987</v>
      </c>
      <c r="AB88" s="47">
        <f>AB3</f>
        <v>43100</v>
      </c>
      <c r="AC88" s="47">
        <f>AC3</f>
        <v>43190</v>
      </c>
      <c r="AD88" s="47">
        <f>AD3</f>
        <v>43281</v>
      </c>
      <c r="AE88" s="47">
        <f>AE3</f>
        <v>43373</v>
      </c>
      <c r="AF88" s="47">
        <f>AF3</f>
        <v>43465</v>
      </c>
      <c r="AG88" s="47">
        <f>AG3</f>
        <v>43555</v>
      </c>
      <c r="AH88" s="47">
        <f>AH3</f>
        <v>43646</v>
      </c>
      <c r="AI88" s="47">
        <f>AI3</f>
        <v>43738</v>
      </c>
      <c r="AJ88" s="47">
        <f>AJ3</f>
        <v>43830</v>
      </c>
      <c r="AK88" s="47">
        <f>AK3</f>
        <v>43921</v>
      </c>
      <c r="AL88" s="47">
        <f>AL3</f>
        <v>44012</v>
      </c>
      <c r="AM88" s="47">
        <f>AM3</f>
        <v>44104</v>
      </c>
      <c r="AN88" s="47">
        <f>AN3</f>
        <v>44196</v>
      </c>
      <c r="AO88" s="47">
        <f>AO3</f>
        <v>44286</v>
      </c>
      <c r="AP88" s="47">
        <f>AP3</f>
        <v>44377</v>
      </c>
      <c r="AQ88" s="47">
        <f>AQ3</f>
        <v>44469</v>
      </c>
      <c r="AR88" s="47">
        <f>AR3</f>
        <v>44561</v>
      </c>
      <c r="AS88" s="47">
        <f>AS3</f>
        <v>44651</v>
      </c>
      <c r="AT88" s="47">
        <f>AT3</f>
        <v>44742</v>
      </c>
      <c r="AU88" s="47">
        <f>AU3</f>
        <v>44834</v>
      </c>
      <c r="AV88" s="47">
        <f>AV3</f>
        <v>44926</v>
      </c>
      <c r="AW88" s="47">
        <f>AW3</f>
        <v>45016</v>
      </c>
      <c r="AX88" s="47">
        <f>AX3</f>
        <v>45107</v>
      </c>
      <c r="AY88" s="47">
        <f>AY3</f>
        <v>45199</v>
      </c>
      <c r="AZ88" s="47">
        <f>AZ3</f>
        <v>45291</v>
      </c>
      <c r="BA88" s="47">
        <f>BA3</f>
        <v>45382</v>
      </c>
      <c r="BB88" s="47">
        <f>BB3</f>
        <v>45473</v>
      </c>
      <c r="BC88" s="47">
        <f>BC3</f>
        <v>45565</v>
      </c>
      <c r="BD88" s="47">
        <f>BD3</f>
        <v>45657</v>
      </c>
      <c r="BE88" s="47">
        <f>BE3</f>
        <v>45747</v>
      </c>
      <c r="BF88" s="311">
        <f>BF3</f>
        <v>45838</v>
      </c>
      <c r="BG88" s="311">
        <f>BG3</f>
        <v>45930</v>
      </c>
      <c r="BH88" s="311">
        <f>BH3</f>
        <v>46022</v>
      </c>
      <c r="BI88" s="47">
        <f>BI3</f>
        <v>46112</v>
      </c>
      <c r="BK88" s="328"/>
      <c r="BL88" s="47"/>
      <c r="BM88" s="47"/>
    </row>
    <row r="89" spans="2:65" ht="13.5" customHeight="1">
      <c r="B89" s="1" t="str">
        <f>+B7</f>
        <v>Revenues</v>
      </c>
      <c r="C89" s="6">
        <f>+C7</f>
        <v>147298</v>
      </c>
      <c r="D89" s="6">
        <f>+D7</f>
        <v>152360</v>
      </c>
      <c r="E89" s="6">
        <f>+E7</f>
        <v>177718</v>
      </c>
      <c r="F89" s="6">
        <f>+F7</f>
        <v>203780.02900000001</v>
      </c>
      <c r="G89" s="6">
        <f>+G7</f>
        <v>183256.14972006774</v>
      </c>
      <c r="H89" s="6">
        <f>+H7</f>
        <v>182342.00332209052</v>
      </c>
      <c r="I89" s="6">
        <f>+I7</f>
        <v>194471</v>
      </c>
      <c r="J89" s="6">
        <f>+J7</f>
        <v>183614.617556874</v>
      </c>
      <c r="K89" s="6">
        <f>+K7</f>
        <v>194803.62610274626</v>
      </c>
      <c r="L89" s="6">
        <f>+L7</f>
        <v>226740.31515876396</v>
      </c>
      <c r="M89" s="6">
        <f>+M7</f>
        <v>245088</v>
      </c>
      <c r="N89" s="6">
        <f>+N7</f>
        <v>279793.21943687578</v>
      </c>
      <c r="O89" s="6">
        <f>+O7</f>
        <v>291745.65437160898</v>
      </c>
      <c r="P89" s="6">
        <f>+P7</f>
        <v>292514.2412681937</v>
      </c>
      <c r="Q89" s="6"/>
      <c r="R89" s="38"/>
      <c r="S89" s="38"/>
      <c r="T89" s="82"/>
      <c r="U89" s="38"/>
      <c r="V89" s="38"/>
      <c r="W89" s="38"/>
      <c r="X89" s="6">
        <f t="shared" ref="X89:X98" si="334">E89</f>
        <v>177718</v>
      </c>
      <c r="Y89" s="6">
        <f>E7+Y7-U7</f>
        <v>191978.65900000001</v>
      </c>
      <c r="Z89" s="6">
        <f>E7+Y7+Z7-U7-V7</f>
        <v>202147.59999999998</v>
      </c>
      <c r="AA89" s="6">
        <f>E7+Y7+Z7+AA7-U7-V7-W7</f>
        <v>209159.59999999998</v>
      </c>
      <c r="AB89" s="6">
        <f t="shared" ref="AB89:AB98" si="335">F89</f>
        <v>203780.02900000001</v>
      </c>
      <c r="AC89" s="6">
        <f>F7+AC7-Y7</f>
        <v>202135.679</v>
      </c>
      <c r="AD89" s="6">
        <f>SUM(AA7:AD7)</f>
        <v>204114.15899999999</v>
      </c>
      <c r="AE89" s="6">
        <f>SUM(AB7:AE7)</f>
        <v>198899.26199999999</v>
      </c>
      <c r="AF89" s="6">
        <f>SUM(AC7:AF7)</f>
        <v>182342.00332209049</v>
      </c>
      <c r="AG89" s="6">
        <f>AG7+H7-BL7</f>
        <v>184467.41932209051</v>
      </c>
      <c r="AH89" s="6">
        <f>AH7+H7-BM7+AG7-BL7</f>
        <v>187876.50944070271</v>
      </c>
      <c r="AI89" s="6">
        <f>AI7+H7-AE7+AH7-BM7+AG7-BL7</f>
        <v>192426.95858386965</v>
      </c>
      <c r="AJ89" s="6">
        <f>SUM(AG7:AJ7)</f>
        <v>194471</v>
      </c>
      <c r="AK89" s="6">
        <f>SUM(AH7:AK7)</f>
        <v>193571.4533203707</v>
      </c>
      <c r="AL89" s="6">
        <f>SUM(AI7:AL7)</f>
        <v>188667.78251420139</v>
      </c>
      <c r="AM89" s="6">
        <f>SUM(AJ7:AM7)</f>
        <v>186703.24121699622</v>
      </c>
      <c r="AN89" s="6">
        <f>SUM(AK7:AN7)</f>
        <v>183614.617556874</v>
      </c>
      <c r="AO89" s="6">
        <f>SUM(AL7:AO7)</f>
        <v>182956.83517322352</v>
      </c>
      <c r="AP89" s="6">
        <f>SUM(AM7:AP7)</f>
        <v>187668.53916488978</v>
      </c>
      <c r="AQ89" s="6">
        <f>SUM(AN7:AQ7)</f>
        <v>189250.12495776743</v>
      </c>
      <c r="AR89" s="6">
        <f>SUM(AO7:AR7)</f>
        <v>194803.62610274626</v>
      </c>
      <c r="AS89" s="6">
        <f>SUM(AP7:AS7)</f>
        <v>201308.21916602604</v>
      </c>
      <c r="AT89" s="6">
        <f>SUM(AQ7:AT7)</f>
        <v>210832.45939621716</v>
      </c>
      <c r="AU89" s="6">
        <f>SUM(AR7:AU7)</f>
        <v>219610.35008510418</v>
      </c>
      <c r="AV89" s="6">
        <f>SUM(AS7:AV7)</f>
        <v>226740.31515876396</v>
      </c>
      <c r="AW89" s="6">
        <f>SUM(AT7:AW7)</f>
        <v>232902.71315876395</v>
      </c>
      <c r="AX89" s="6">
        <f>SUM(AU7:AX7)</f>
        <v>237020.5019549852</v>
      </c>
      <c r="AY89" s="6">
        <f>SUM(AV7:AY7)</f>
        <v>242780.02547869075</v>
      </c>
      <c r="AZ89" s="6">
        <f>SUM(AW7:AZ7)</f>
        <v>245088</v>
      </c>
      <c r="BA89" s="6">
        <f>SUM(AX7:BA7)</f>
        <v>251533.20812148752</v>
      </c>
      <c r="BB89" s="6">
        <f>SUM(AY7:BB7)</f>
        <v>259560.62323005527</v>
      </c>
      <c r="BC89" s="6">
        <f>SUM(AZ7:BC7)</f>
        <v>266308.83332546684</v>
      </c>
      <c r="BD89" s="6">
        <f>SUM(BA7:BD7)</f>
        <v>279793.21943687578</v>
      </c>
      <c r="BE89" s="6">
        <f>SUM(BB7:BE7)</f>
        <v>286147.40361963719</v>
      </c>
      <c r="BF89" s="6">
        <f>SUM(BC7:BF7)</f>
        <v>289608.2131153004</v>
      </c>
      <c r="BG89" s="6">
        <f>SUM(BD7:BG7)</f>
        <v>291890.70902472589</v>
      </c>
      <c r="BH89" s="6">
        <f>SUM(BE7:BH7)</f>
        <v>291745.65437160892</v>
      </c>
      <c r="BI89" s="6">
        <f>SUM(BF7:BI7)</f>
        <v>292514.2412681937</v>
      </c>
      <c r="BJ89" s="6"/>
      <c r="BK89" s="6"/>
      <c r="BL89" s="6"/>
      <c r="BM89" s="6"/>
    </row>
    <row r="90" spans="2:65" ht="13.5" customHeight="1">
      <c r="B90" s="1" t="s">
        <v>295</v>
      </c>
      <c r="C90" s="6">
        <f>C17</f>
        <v>20743</v>
      </c>
      <c r="D90" s="6">
        <f>D17</f>
        <v>22644</v>
      </c>
      <c r="E90" s="6">
        <f>E17</f>
        <v>23920</v>
      </c>
      <c r="F90" s="6">
        <f>F17</f>
        <v>26174.22600000001</v>
      </c>
      <c r="G90" s="6">
        <f>G17</f>
        <v>24995.742141093779</v>
      </c>
      <c r="H90" s="6">
        <f>H17</f>
        <v>24672.533489277554</v>
      </c>
      <c r="I90" s="6">
        <f>I17</f>
        <v>25423.116514418507</v>
      </c>
      <c r="J90" s="6">
        <f>J17</f>
        <v>25243.08642905231</v>
      </c>
      <c r="K90" s="6">
        <f>K17</f>
        <v>27402.422965625803</v>
      </c>
      <c r="L90" s="6">
        <f>L17</f>
        <v>30837.974267880199</v>
      </c>
      <c r="M90" s="6">
        <f>M17</f>
        <v>34180.828000000001</v>
      </c>
      <c r="N90" s="6">
        <f>N17</f>
        <v>40140.776659286785</v>
      </c>
      <c r="O90" s="6">
        <f>O17</f>
        <v>42936.606981421646</v>
      </c>
      <c r="P90" s="6">
        <f>P17</f>
        <v>42720.419163173297</v>
      </c>
      <c r="Q90" s="6"/>
      <c r="R90" s="38"/>
      <c r="S90" s="38"/>
      <c r="T90" s="82"/>
      <c r="U90" s="38"/>
      <c r="V90" s="38"/>
      <c r="W90" s="38"/>
      <c r="X90" s="6">
        <f t="shared" si="334"/>
        <v>23920</v>
      </c>
      <c r="Y90" s="6">
        <f>E17+Y17-U17</f>
        <v>25102.492999999995</v>
      </c>
      <c r="Z90" s="6">
        <f>E17+Y17+Z17-U17-V17</f>
        <v>25588.107999999993</v>
      </c>
      <c r="AA90" s="6">
        <f>E17+Y17+Z17+AA17-U17-V17-W17</f>
        <v>25430.602999999992</v>
      </c>
      <c r="AB90" s="6">
        <f t="shared" si="335"/>
        <v>26174.22600000001</v>
      </c>
      <c r="AC90" s="6">
        <f>F17+AC17-Y17</f>
        <v>25966.977000000014</v>
      </c>
      <c r="AD90" s="6">
        <f>SUM(AA17:AD17)</f>
        <v>25753.367000000002</v>
      </c>
      <c r="AE90" s="6">
        <f>SUM(AB17:AE17)</f>
        <v>26044.575071259052</v>
      </c>
      <c r="AF90" s="6">
        <f>SUM(AC17:AF17)</f>
        <v>24672.53348927755</v>
      </c>
      <c r="AG90" s="6">
        <f>AG17+H17-BL17</f>
        <v>24621.580990663093</v>
      </c>
      <c r="AH90" s="6">
        <f>AH17+H17-BM17+AG17-BL17</f>
        <v>25007.368419398812</v>
      </c>
      <c r="AI90" s="6">
        <f>AI17+H17-AE17+AH17-BM17+AG17-BL17</f>
        <v>26242.56626218068</v>
      </c>
      <c r="AJ90" s="6">
        <f>SUM(AG17:AJ17)</f>
        <v>25423.116514418518</v>
      </c>
      <c r="AK90" s="6">
        <f>SUM(AH17:AK17)</f>
        <v>25437.551487747478</v>
      </c>
      <c r="AL90" s="6">
        <f>SUM(AI17:AL17)</f>
        <v>24229.778697269834</v>
      </c>
      <c r="AM90" s="6">
        <f>SUM(AJ17:AM17)</f>
        <v>24336.237615999155</v>
      </c>
      <c r="AN90" s="6">
        <f>SUM(AK17:AN17)</f>
        <v>25243.086429052306</v>
      </c>
      <c r="AO90" s="6">
        <f>SUM(AL17:AO17)</f>
        <v>25413.402558160269</v>
      </c>
      <c r="AP90" s="6">
        <f>SUM(AM17:AP17)</f>
        <v>27531.450985849777</v>
      </c>
      <c r="AQ90" s="6">
        <f>SUM(AN17:AQ17)</f>
        <v>26888.390444185679</v>
      </c>
      <c r="AR90" s="6">
        <f>SUM(AO17:AR17)</f>
        <v>27402.422965625807</v>
      </c>
      <c r="AS90" s="6">
        <f>SUM(AP17:AS17)</f>
        <v>28346.969472816367</v>
      </c>
      <c r="AT90" s="6">
        <f>SUM(AQ17:AT17)</f>
        <v>28751.369841327636</v>
      </c>
      <c r="AU90" s="6">
        <f>SUM(AR17:AU17)</f>
        <v>29610.182910499549</v>
      </c>
      <c r="AV90" s="6">
        <f>SUM(AS17:AV17)</f>
        <v>30837.974267880207</v>
      </c>
      <c r="AW90" s="6">
        <f>SUM(AT17:AW17)</f>
        <v>31533.88126788021</v>
      </c>
      <c r="AX90" s="6">
        <f>SUM(AU17:AX17)</f>
        <v>32443.436368074734</v>
      </c>
      <c r="AY90" s="6">
        <f>SUM(AV17:AY17)</f>
        <v>33568.117295493328</v>
      </c>
      <c r="AZ90" s="6">
        <f>SUM(AW17:AZ17)</f>
        <v>34180.827999999987</v>
      </c>
      <c r="BA90" s="6">
        <f>SUM(AX17:BA17)</f>
        <v>35257.637308814599</v>
      </c>
      <c r="BB90" s="6">
        <f>SUM(AY17:BB17)</f>
        <v>36441.582784336882</v>
      </c>
      <c r="BC90" s="6">
        <f>SUM(AZ17:BC17)</f>
        <v>37620.303467318459</v>
      </c>
      <c r="BD90" s="6">
        <f>SUM(BA17:BD17)</f>
        <v>40140.776659286792</v>
      </c>
      <c r="BE90" s="6">
        <f>SUM(BB17:BE17)</f>
        <v>40772.119735235821</v>
      </c>
      <c r="BF90" s="6">
        <f>SUM(BC17:BF17)</f>
        <v>40792.648991488895</v>
      </c>
      <c r="BG90" s="6">
        <f>SUM(BD17:BG17)</f>
        <v>41445.836662806178</v>
      </c>
      <c r="BH90" s="6">
        <f>SUM(BE17:BH17)</f>
        <v>42936.606981421624</v>
      </c>
      <c r="BI90" s="6">
        <f>SUM(BF17:BI17)</f>
        <v>42720.419163173312</v>
      </c>
      <c r="BJ90" s="6"/>
      <c r="BK90" s="6"/>
      <c r="BL90" s="6"/>
      <c r="BM90" s="6"/>
    </row>
    <row r="91" spans="2:65" ht="13.5" customHeight="1">
      <c r="B91" s="1" t="s">
        <v>331</v>
      </c>
      <c r="C91" s="6">
        <f>C48</f>
        <v>27692</v>
      </c>
      <c r="D91" s="6">
        <f>D48</f>
        <v>29788</v>
      </c>
      <c r="E91" s="6">
        <f>E48</f>
        <v>32586</v>
      </c>
      <c r="F91" s="6">
        <f>F48</f>
        <v>39545.22600000001</v>
      </c>
      <c r="G91" s="6">
        <f>G48</f>
        <v>34628.561141093778</v>
      </c>
      <c r="H91" s="6">
        <f>H48</f>
        <v>34700.722489277556</v>
      </c>
      <c r="I91" s="6">
        <f>I48</f>
        <v>36065.040514418506</v>
      </c>
      <c r="J91" s="6">
        <f>J48</f>
        <v>34646.08642905231</v>
      </c>
      <c r="K91" s="6">
        <f>K48</f>
        <v>37236.422965625803</v>
      </c>
      <c r="L91" s="6">
        <f>L48</f>
        <v>41262.974267880199</v>
      </c>
      <c r="M91" s="6">
        <f>M48</f>
        <v>46417.98379175274</v>
      </c>
      <c r="N91" s="6">
        <f>N48</f>
        <v>56205.224114758952</v>
      </c>
      <c r="O91" s="6">
        <f>O48</f>
        <v>59109.623232410486</v>
      </c>
      <c r="P91" s="6">
        <f>P48</f>
        <v>59229.242427371239</v>
      </c>
      <c r="Q91" s="6"/>
      <c r="R91" s="6"/>
      <c r="S91" s="6"/>
      <c r="T91" s="90"/>
      <c r="U91" s="6"/>
      <c r="V91" s="6"/>
      <c r="W91" s="6"/>
      <c r="X91" s="6">
        <f t="shared" si="334"/>
        <v>32586</v>
      </c>
      <c r="Y91" s="6">
        <f>E48+Y48-U48</f>
        <v>34754.601999999999</v>
      </c>
      <c r="Z91" s="6">
        <f>E48+Y48+Z48-U48-V48</f>
        <v>35977.035999999993</v>
      </c>
      <c r="AA91" s="6">
        <f>E48+Y48+Z48+AA48-U48-V48-W48</f>
        <v>37089.868000000002</v>
      </c>
      <c r="AB91" s="6">
        <f t="shared" si="335"/>
        <v>39545.22600000001</v>
      </c>
      <c r="AC91" s="6">
        <f>F48+AC48-Y48</f>
        <v>39262.483000000007</v>
      </c>
      <c r="AD91" s="6">
        <f>SUM(AA48:AD48)</f>
        <v>39250.191000000006</v>
      </c>
      <c r="AE91" s="6">
        <f>SUM(AB48:AE48)</f>
        <v>37764.538071259056</v>
      </c>
      <c r="AF91" s="6">
        <f>SUM(AC48:AF48)</f>
        <v>34700.722489277556</v>
      </c>
      <c r="AG91" s="6">
        <f>AG48+H48-BL48</f>
        <v>34982.972990663096</v>
      </c>
      <c r="AH91" s="6">
        <f>AH48+H48-BM48+AG48-BL48</f>
        <v>35259.608419398821</v>
      </c>
      <c r="AI91" s="6">
        <f>AI48+H48-AE48+AH48-BM48+AG48-BL48</f>
        <v>37742.203262180687</v>
      </c>
      <c r="AJ91" s="6">
        <f>SUM(AG48:AJ48)</f>
        <v>36065.040514418521</v>
      </c>
      <c r="AK91" s="6">
        <f>SUM(AH48:AK48)</f>
        <v>36118.076487747472</v>
      </c>
      <c r="AL91" s="6">
        <f>SUM(AI48:AL48)</f>
        <v>34919.539697269836</v>
      </c>
      <c r="AM91" s="6">
        <f>SUM(AJ48:AM48)</f>
        <v>34273.588615999157</v>
      </c>
      <c r="AN91" s="6">
        <f>SUM(AK48:AN48)</f>
        <v>34646.086429052302</v>
      </c>
      <c r="AO91" s="6">
        <f>SUM(AL48:AO48)</f>
        <v>34529.263558160266</v>
      </c>
      <c r="AP91" s="6">
        <f>SUM(AM48:AP48)</f>
        <v>36722.086985849775</v>
      </c>
      <c r="AQ91" s="6">
        <f>SUM(AN48:AQ48)</f>
        <v>36400.708444185679</v>
      </c>
      <c r="AR91" s="6">
        <f>SUM(AO48:AR48)</f>
        <v>37236.422965625803</v>
      </c>
      <c r="AS91" s="6">
        <f>SUM(AP48:AS48)</f>
        <v>38301.318472816361</v>
      </c>
      <c r="AT91" s="6">
        <f>SUM(AQ48:AT48)</f>
        <v>39229.618847344667</v>
      </c>
      <c r="AU91" s="6">
        <f>SUM(AR48:AU48)</f>
        <v>40893.631835177774</v>
      </c>
      <c r="AV91" s="6">
        <f>SUM(AS48:AV48)</f>
        <v>41262.974267880207</v>
      </c>
      <c r="AW91" s="6">
        <f>SUM(AT48:AW48)</f>
        <v>41916.383267880214</v>
      </c>
      <c r="AX91" s="6">
        <f>SUM(AU48:AX48)</f>
        <v>42747.800760442042</v>
      </c>
      <c r="AY91" s="6">
        <f>SUM(AV48:AY48)</f>
        <v>43951.2486693955</v>
      </c>
      <c r="AZ91" s="6">
        <f>SUM(AW48:AZ48)</f>
        <v>46417.983791752726</v>
      </c>
      <c r="BA91" s="6">
        <f>SUM(AX48:BA48)</f>
        <v>48313.174504097224</v>
      </c>
      <c r="BB91" s="6">
        <f>SUM(AY48:BB48)</f>
        <v>50796.745898709996</v>
      </c>
      <c r="BC91" s="6">
        <f>SUM(AZ48:BC48)</f>
        <v>52967.85068086112</v>
      </c>
      <c r="BD91" s="6">
        <f>SUM(BA48:BD48)</f>
        <v>56205.224114758967</v>
      </c>
      <c r="BE91" s="6">
        <f>SUM(BB48:BE48)</f>
        <v>57516.091157131828</v>
      </c>
      <c r="BF91" s="6">
        <f>SUM(BC48:BF48)</f>
        <v>56981.684863496703</v>
      </c>
      <c r="BG91" s="6">
        <f>SUM(BD48:BG48)</f>
        <v>57429.483799970672</v>
      </c>
      <c r="BH91" s="6">
        <f>SUM(BE48:BH48)</f>
        <v>59109.623232410457</v>
      </c>
      <c r="BI91" s="6">
        <f>SUM(BF48:BI48)</f>
        <v>59229.242427371253</v>
      </c>
      <c r="BJ91" s="6"/>
      <c r="BK91" s="6"/>
      <c r="BL91" s="6"/>
      <c r="BM91" s="6"/>
    </row>
    <row r="92" spans="2:65" s="5" customFormat="1" ht="13.5" customHeight="1">
      <c r="B92" s="1" t="s">
        <v>332</v>
      </c>
      <c r="C92" s="6">
        <f>+C53</f>
        <v>27692</v>
      </c>
      <c r="D92" s="6">
        <f>+D53</f>
        <v>29788</v>
      </c>
      <c r="E92" s="6">
        <f>+E53</f>
        <v>32586</v>
      </c>
      <c r="F92" s="6">
        <f>+F53</f>
        <v>39545.22600000001</v>
      </c>
      <c r="G92" s="6">
        <f>+G53</f>
        <v>36291.546999200269</v>
      </c>
      <c r="H92" s="6">
        <f>+H53</f>
        <v>35455.739258992398</v>
      </c>
      <c r="I92" s="6">
        <f>+I53</f>
        <v>37147.694571135318</v>
      </c>
      <c r="J92" s="6">
        <f>+J53</f>
        <v>37345.368715724821</v>
      </c>
      <c r="K92" s="6">
        <f>+K53</f>
        <v>38849.214195252353</v>
      </c>
      <c r="L92" s="6">
        <f>+L53</f>
        <v>43000.806826074178</v>
      </c>
      <c r="M92" s="6">
        <f>+M53</f>
        <v>46417.584951090248</v>
      </c>
      <c r="N92" s="6">
        <f>+N53</f>
        <v>56205.223484455506</v>
      </c>
      <c r="O92" s="6">
        <f>+O53</f>
        <v>59109.622848391198</v>
      </c>
      <c r="P92" s="6">
        <f>+P53</f>
        <v>59229.242372013563</v>
      </c>
      <c r="Q92" s="6"/>
      <c r="R92" s="38"/>
      <c r="S92" s="38"/>
      <c r="T92" s="82"/>
      <c r="U92" s="38"/>
      <c r="V92" s="38"/>
      <c r="W92" s="38"/>
      <c r="X92" s="6">
        <f t="shared" si="334"/>
        <v>32586</v>
      </c>
      <c r="Y92" s="6">
        <f>E53+Y53-U53</f>
        <v>34754.601999999999</v>
      </c>
      <c r="Z92" s="6">
        <f>E53+Y53+Z53-U53-V53</f>
        <v>35977.035999999993</v>
      </c>
      <c r="AA92" s="6">
        <f>E53+Y53+Z53+AA53-U53-V53-W53</f>
        <v>37089.868000000002</v>
      </c>
      <c r="AB92" s="6">
        <f t="shared" si="335"/>
        <v>39545.22600000001</v>
      </c>
      <c r="AC92" s="6">
        <f>F53+AC53-Y53</f>
        <v>39327.241000000009</v>
      </c>
      <c r="AD92" s="6">
        <f>SUM(AA53:AD53)</f>
        <v>39643.461000000003</v>
      </c>
      <c r="AE92" s="6">
        <f>SUM(AB53:AE53)</f>
        <v>39202.203071259049</v>
      </c>
      <c r="AF92" s="6">
        <f>SUM(AC53:AF53)</f>
        <v>35455.739258992391</v>
      </c>
      <c r="AG92" s="6">
        <f>AG53+H53-BL53</f>
        <v>35831.827656964902</v>
      </c>
      <c r="AH92" s="6">
        <f>AH53+H53-BM53+AG53-BL53</f>
        <v>36285.646206531426</v>
      </c>
      <c r="AI92" s="6">
        <f>AI53+H53-AE53+AH53-BM53+AG53-BL53</f>
        <v>37863.384812592893</v>
      </c>
      <c r="AJ92" s="6">
        <f>SUM(AG53:AJ53)</f>
        <v>37147.694571135318</v>
      </c>
      <c r="AK92" s="6">
        <f>SUM(AH53:AK53)</f>
        <v>37693.540046259775</v>
      </c>
      <c r="AL92" s="6">
        <f>SUM(AI53:AL53)</f>
        <v>36734.746397058378</v>
      </c>
      <c r="AM92" s="6">
        <f>SUM(AJ53:AM53)</f>
        <v>36740.528719737857</v>
      </c>
      <c r="AN92" s="6">
        <f>SUM(AK53:AN53)</f>
        <v>37345.682703005186</v>
      </c>
      <c r="AO92" s="6">
        <f>SUM(AL53:AO53)</f>
        <v>37066.255476136423</v>
      </c>
      <c r="AP92" s="6">
        <f>SUM(AM53:AP53)</f>
        <v>38852.034840736691</v>
      </c>
      <c r="AQ92" s="6">
        <f>SUM(AN53:AQ53)</f>
        <v>38097.034840736691</v>
      </c>
      <c r="AR92" s="6">
        <f>SUM(AO53:AR53)</f>
        <v>38849.267907762282</v>
      </c>
      <c r="AS92" s="6">
        <f>SUM(AP53:AS53)</f>
        <v>39869.267907762282</v>
      </c>
      <c r="AT92" s="6">
        <f>SUM(AQ53:AT53)</f>
        <v>40469.267907762282</v>
      </c>
      <c r="AU92" s="6">
        <f>SUM(AR53:AU53)</f>
        <v>41775.267907762282</v>
      </c>
      <c r="AV92" s="6">
        <f>SUM(AS53:AV53)</f>
        <v>43000.806826074178</v>
      </c>
      <c r="AW92" s="6">
        <f>SUM(AT53:AW53)</f>
        <v>43695.806826074178</v>
      </c>
      <c r="AX92" s="6">
        <f>SUM(AU53:AX53)</f>
        <v>44527.806826074178</v>
      </c>
      <c r="AY92" s="6">
        <f>SUM(AV53:AY53)</f>
        <v>45731.806826074178</v>
      </c>
      <c r="AZ92" s="6">
        <f>SUM(AW53:AZ53)</f>
        <v>46417.584951090248</v>
      </c>
      <c r="BA92" s="6">
        <f>SUM(AX53:BA53)</f>
        <v>47839.584951090248</v>
      </c>
      <c r="BB92" s="6">
        <f>SUM(AY53:BB53)</f>
        <v>50322.681034118716</v>
      </c>
      <c r="BC92" s="6">
        <f>SUM(AZ53:BC53)</f>
        <v>52493.596537351317</v>
      </c>
      <c r="BD92" s="6">
        <f>SUM(BA53:BD53)</f>
        <v>56205.223484455506</v>
      </c>
      <c r="BE92" s="6">
        <f>SUM(BB53:BE53)</f>
        <v>57515.4162081783</v>
      </c>
      <c r="BF92" s="6">
        <f>SUM(BC53:BF53)</f>
        <v>56981.011347279244</v>
      </c>
      <c r="BG92" s="6">
        <f>SUM(BD53:BG53)</f>
        <v>57428.810022638645</v>
      </c>
      <c r="BH92" s="6">
        <f>SUM(BE53:BH53)</f>
        <v>59109.622848391198</v>
      </c>
      <c r="BI92" s="6">
        <f>SUM(BF53:BI53)</f>
        <v>59229.242372013563</v>
      </c>
      <c r="BJ92" s="6"/>
      <c r="BK92" s="6"/>
      <c r="BL92" s="6"/>
      <c r="BM92" s="6"/>
    </row>
    <row r="93" spans="2:65" s="5" customFormat="1" ht="13.5" customHeight="1">
      <c r="B93" s="1" t="s">
        <v>333</v>
      </c>
      <c r="C93" s="6">
        <f>C57</f>
        <v>28632</v>
      </c>
      <c r="D93" s="6">
        <f>D57</f>
        <v>30832</v>
      </c>
      <c r="E93" s="6">
        <f>E57</f>
        <v>33818</v>
      </c>
      <c r="F93" s="6">
        <f>F57</f>
        <v>40777.22600000001</v>
      </c>
      <c r="G93" s="6">
        <f>G57</f>
        <v>37711.546999200269</v>
      </c>
      <c r="H93" s="6">
        <f>H57</f>
        <v>36518.739258992398</v>
      </c>
      <c r="I93" s="267"/>
      <c r="J93" s="267"/>
      <c r="K93" s="267"/>
      <c r="L93" s="267"/>
      <c r="M93" s="408"/>
      <c r="N93" s="408"/>
      <c r="O93" s="408"/>
      <c r="P93" s="408"/>
      <c r="Q93" s="6"/>
      <c r="R93" s="408"/>
      <c r="S93" s="408"/>
      <c r="T93" s="409"/>
      <c r="U93" s="408"/>
      <c r="V93" s="408"/>
      <c r="W93" s="408"/>
      <c r="X93" s="408">
        <f t="shared" si="334"/>
        <v>33818</v>
      </c>
      <c r="Y93" s="408">
        <f>E57+Y57-U57</f>
        <v>35986.601999999999</v>
      </c>
      <c r="Z93" s="408">
        <f>E57+Y57+Z57-U57-V57</f>
        <v>37209.035999999993</v>
      </c>
      <c r="AA93" s="408">
        <f>E57+Y57+Z57+AA57-U57-V57-W57</f>
        <v>38321.868000000002</v>
      </c>
      <c r="AB93" s="408">
        <f t="shared" si="335"/>
        <v>40777.22600000001</v>
      </c>
      <c r="AC93" s="408">
        <f>F57+AC57-Y57</f>
        <v>40516.991000000009</v>
      </c>
      <c r="AD93" s="408">
        <f>SUM(AA57:AD57)</f>
        <v>40790.961000000003</v>
      </c>
      <c r="AE93" s="408">
        <f>SUM(AB57:AE57)</f>
        <v>40307.453071259049</v>
      </c>
      <c r="AF93" s="408">
        <f>SUM(AC57:AF57)</f>
        <v>36518.739258992391</v>
      </c>
      <c r="AG93" s="408"/>
      <c r="AH93" s="408"/>
      <c r="AI93" s="408"/>
      <c r="AJ93" s="408"/>
      <c r="AK93" s="408"/>
      <c r="AL93" s="408"/>
      <c r="AM93" s="408"/>
      <c r="AN93" s="408"/>
      <c r="AO93" s="408"/>
      <c r="AP93" s="408"/>
      <c r="AQ93" s="408"/>
      <c r="AR93" s="408"/>
      <c r="AS93" s="408"/>
      <c r="AT93" s="408"/>
      <c r="AU93" s="408"/>
      <c r="AV93" s="408"/>
      <c r="AW93" s="408"/>
      <c r="AX93" s="408"/>
      <c r="AY93" s="408"/>
      <c r="AZ93" s="408"/>
      <c r="BA93" s="408"/>
      <c r="BB93" s="408"/>
      <c r="BC93" s="408"/>
      <c r="BD93" s="408"/>
      <c r="BE93" s="408"/>
      <c r="BF93" s="408"/>
      <c r="BG93" s="408"/>
      <c r="BH93" s="408"/>
      <c r="BI93" s="408"/>
      <c r="BJ93" s="6"/>
      <c r="BK93" s="6"/>
      <c r="BL93" s="6"/>
      <c r="BM93" s="6"/>
    </row>
    <row r="94" spans="2:65" s="5" customFormat="1" ht="13.5" customHeight="1">
      <c r="B94" s="1" t="s">
        <v>334</v>
      </c>
      <c r="C94" s="6">
        <f>C56</f>
        <v>940</v>
      </c>
      <c r="D94" s="6">
        <f>D56</f>
        <v>1044</v>
      </c>
      <c r="E94" s="6">
        <f>E56</f>
        <v>1232</v>
      </c>
      <c r="F94" s="6">
        <f>F56</f>
        <v>1232</v>
      </c>
      <c r="G94" s="6">
        <f>G56</f>
        <v>1420</v>
      </c>
      <c r="H94" s="6">
        <f>H56</f>
        <v>1063</v>
      </c>
      <c r="I94" s="267"/>
      <c r="J94" s="267"/>
      <c r="K94" s="267"/>
      <c r="L94" s="267"/>
      <c r="M94" s="408"/>
      <c r="N94" s="408"/>
      <c r="O94" s="408"/>
      <c r="P94" s="408"/>
      <c r="Q94" s="6"/>
      <c r="R94" s="408"/>
      <c r="S94" s="408"/>
      <c r="T94" s="409"/>
      <c r="U94" s="408"/>
      <c r="V94" s="408"/>
      <c r="W94" s="408"/>
      <c r="X94" s="408">
        <f t="shared" si="334"/>
        <v>1232</v>
      </c>
      <c r="Y94" s="408">
        <f>E56+Y56-U56</f>
        <v>1232</v>
      </c>
      <c r="Z94" s="408">
        <f>E56+Y56+Z56-U56-V56</f>
        <v>1232</v>
      </c>
      <c r="AA94" s="408">
        <f>E56+Y56+Z56+AA56-U56-V56-W56</f>
        <v>1232</v>
      </c>
      <c r="AB94" s="408">
        <f t="shared" si="335"/>
        <v>1232</v>
      </c>
      <c r="AC94" s="408">
        <f>F56+AC56-Y56</f>
        <v>1189.75</v>
      </c>
      <c r="AD94" s="408">
        <f>SUM(AA56:AD56)</f>
        <v>1147.5</v>
      </c>
      <c r="AE94" s="408">
        <f>SUM(AB56:AE56)</f>
        <v>1105.25</v>
      </c>
      <c r="AF94" s="408">
        <f>SUM(AC56:AF56)</f>
        <v>1063</v>
      </c>
      <c r="AG94" s="408"/>
      <c r="AH94" s="408"/>
      <c r="AI94" s="408"/>
      <c r="AJ94" s="408"/>
      <c r="AK94" s="408"/>
      <c r="AL94" s="408"/>
      <c r="AM94" s="408"/>
      <c r="AN94" s="408"/>
      <c r="AO94" s="408"/>
      <c r="AP94" s="408"/>
      <c r="AQ94" s="408"/>
      <c r="AR94" s="408"/>
      <c r="AS94" s="408"/>
      <c r="AT94" s="408"/>
      <c r="AU94" s="408"/>
      <c r="AV94" s="408"/>
      <c r="AW94" s="408"/>
      <c r="AX94" s="408"/>
      <c r="AY94" s="408"/>
      <c r="AZ94" s="408"/>
      <c r="BA94" s="408"/>
      <c r="BB94" s="408"/>
      <c r="BC94" s="408"/>
      <c r="BD94" s="408"/>
      <c r="BE94" s="408"/>
      <c r="BF94" s="408"/>
      <c r="BG94" s="408"/>
      <c r="BH94" s="408"/>
      <c r="BI94" s="408"/>
      <c r="BJ94" s="6"/>
      <c r="BK94" s="6"/>
      <c r="BL94" s="6"/>
      <c r="BM94" s="6"/>
    </row>
    <row r="95" spans="2:65" ht="13.5" customHeight="1">
      <c r="B95" s="1" t="s">
        <v>310</v>
      </c>
      <c r="C95" s="6">
        <f>-C66</f>
        <v>3182</v>
      </c>
      <c r="D95" s="6">
        <f>-D66</f>
        <v>3568</v>
      </c>
      <c r="E95" s="6">
        <f>-E66</f>
        <v>4122</v>
      </c>
      <c r="F95" s="6">
        <f>-F66</f>
        <v>4589.1989999999996</v>
      </c>
      <c r="G95" s="6">
        <f>-G66</f>
        <v>4557.6040000000003</v>
      </c>
      <c r="H95" s="6">
        <f>-H66</f>
        <v>4984.0569999999998</v>
      </c>
      <c r="I95" s="6">
        <f>-I66</f>
        <v>4810.6379999999999</v>
      </c>
      <c r="J95" s="6">
        <f>-J66</f>
        <v>6207</v>
      </c>
      <c r="K95" s="6">
        <f>-K66</f>
        <v>4747</v>
      </c>
      <c r="L95" s="6">
        <f>-L66</f>
        <v>4863</v>
      </c>
      <c r="M95" s="6">
        <f>-M66</f>
        <v>4815.4049999999997</v>
      </c>
      <c r="N95" s="6">
        <f>-N66</f>
        <v>5008.7759999999998</v>
      </c>
      <c r="O95" s="6">
        <f>-O66</f>
        <v>5379.6679999999997</v>
      </c>
      <c r="P95" s="6">
        <f>-P66</f>
        <v>5298.5219999999999</v>
      </c>
      <c r="Q95" s="6"/>
      <c r="R95" s="38"/>
      <c r="S95" s="38"/>
      <c r="T95" s="82"/>
      <c r="U95" s="38"/>
      <c r="V95" s="38"/>
      <c r="W95" s="38"/>
      <c r="X95" s="6">
        <f t="shared" si="334"/>
        <v>4122</v>
      </c>
      <c r="Y95" s="6">
        <f>-(E66+Y66-U66)</f>
        <v>4798.4719999999998</v>
      </c>
      <c r="Z95" s="6">
        <f>-(E66+Y66+Z66-U66-V66)</f>
        <v>4368.3680000000004</v>
      </c>
      <c r="AA95" s="6">
        <f>-(E66+Y66+Z66+AA66-U66-V66-W66)</f>
        <v>4417.3050000000012</v>
      </c>
      <c r="AB95" s="6">
        <f t="shared" si="335"/>
        <v>4589.1989999999996</v>
      </c>
      <c r="AC95" s="6">
        <f>-(F66+AC66-Y66)</f>
        <v>3982.0819999999994</v>
      </c>
      <c r="AD95" s="6">
        <f>-SUM(AA66:AD66)</f>
        <v>4782.866</v>
      </c>
      <c r="AE95" s="6">
        <f>-SUM(AB66:AE66)</f>
        <v>4817.9609999999993</v>
      </c>
      <c r="AF95" s="6">
        <f>-SUM(AC66:AF66)</f>
        <v>4984.0570000000007</v>
      </c>
      <c r="AG95" s="6">
        <f>-(AG66+H66-BL66)</f>
        <v>5600.71</v>
      </c>
      <c r="AH95" s="6">
        <f>-(AH66+H66-BM66+AG66-BL66)</f>
        <v>7304.3410000000003</v>
      </c>
      <c r="AI95" s="6">
        <f>-(AI66+H66-AE66+AH66-BM66+AG66-BL66)</f>
        <v>7321.3229999999994</v>
      </c>
      <c r="AJ95" s="6">
        <f>-SUM(AG66:AJ66)</f>
        <v>4810.6379999999999</v>
      </c>
      <c r="AK95" s="6">
        <f>-SUM(AH66:AK66)</f>
        <v>6310.4049999999997</v>
      </c>
      <c r="AL95" s="6">
        <f>-SUM(AI66:AL66)</f>
        <v>6151.7360000000008</v>
      </c>
      <c r="AM95" s="267"/>
      <c r="AN95" s="267"/>
      <c r="AO95" s="267"/>
      <c r="AP95" s="6">
        <f>-SUM(AM66:AP66)</f>
        <v>2367.2840000000001</v>
      </c>
      <c r="AQ95" s="267"/>
      <c r="AR95" s="267"/>
      <c r="AS95" s="267"/>
      <c r="AT95" s="267"/>
      <c r="AU95" s="267"/>
      <c r="AV95" s="6">
        <f>-SUM(AS66:AV66)</f>
        <v>4863</v>
      </c>
      <c r="AW95" s="6">
        <f>-SUM(AT66:AW66)</f>
        <v>5131.1930000000002</v>
      </c>
      <c r="AX95" s="6">
        <f>-SUM(AU66:AX66)</f>
        <v>5201.5050000000001</v>
      </c>
      <c r="AY95" s="6">
        <f>-SUM(AV66:AY66)</f>
        <v>5555.6369999999997</v>
      </c>
      <c r="AZ95" s="6">
        <f>-SUM(AW66:AZ66)</f>
        <v>4815.4049999999997</v>
      </c>
      <c r="BA95" s="6">
        <f>-SUM(AX66:BA66)</f>
        <v>4057.99</v>
      </c>
      <c r="BB95" s="6">
        <f>-SUM(AY66:BB66)</f>
        <v>3553.3039999999992</v>
      </c>
      <c r="BC95" s="6">
        <f>-SUM(AZ66:BC66)</f>
        <v>3117.4389999999994</v>
      </c>
      <c r="BD95" s="6">
        <f>-SUM(BA66:BD66)</f>
        <v>5008.7759999999998</v>
      </c>
      <c r="BE95" s="6">
        <f>-SUM(BB66:BE66)</f>
        <v>5165.4679999999998</v>
      </c>
      <c r="BF95" s="6">
        <f>-SUM(BC66:BF66)</f>
        <v>5248.8779999999997</v>
      </c>
      <c r="BG95" s="6">
        <f>-SUM(BD66:BG66)</f>
        <v>5136.607</v>
      </c>
      <c r="BH95" s="6">
        <f>-SUM(BE66:BH66)</f>
        <v>5379.6679999999997</v>
      </c>
      <c r="BI95" s="6">
        <f>-SUM(BF66:BI66)</f>
        <v>5298.5219999999999</v>
      </c>
      <c r="BJ95" s="6"/>
      <c r="BK95" s="6"/>
      <c r="BL95" s="6"/>
      <c r="BM95" s="6"/>
    </row>
    <row r="96" spans="2:65" ht="13.5" customHeight="1">
      <c r="B96" s="1" t="s">
        <v>335</v>
      </c>
      <c r="C96" s="6">
        <f>+C28</f>
        <v>10966</v>
      </c>
      <c r="D96" s="6">
        <f>+D28</f>
        <v>10328</v>
      </c>
      <c r="E96" s="6">
        <f>+E28</f>
        <v>10527</v>
      </c>
      <c r="F96" s="6">
        <f>+F28</f>
        <v>-11654.37299999999</v>
      </c>
      <c r="G96" s="6">
        <f>+G28</f>
        <v>-11654.236080956356</v>
      </c>
      <c r="H96" s="6">
        <f>+H28</f>
        <v>15069.642211817722</v>
      </c>
      <c r="I96" s="6">
        <f>+I28</f>
        <v>12630.457066965748</v>
      </c>
      <c r="J96" s="6">
        <f>+J28</f>
        <v>10368.22585517575</v>
      </c>
      <c r="K96" s="6">
        <f>+K28</f>
        <v>16331.31655624146</v>
      </c>
      <c r="L96" s="6">
        <f>+L28</f>
        <v>19625.978410591029</v>
      </c>
      <c r="M96" s="6">
        <f>+M28</f>
        <v>20225.828000000001</v>
      </c>
      <c r="N96" s="6">
        <f>+N28</f>
        <v>24548.774667881065</v>
      </c>
      <c r="O96" s="6">
        <f>+O28</f>
        <v>25015.600047404441</v>
      </c>
      <c r="P96" s="6">
        <f>+P28</f>
        <v>24258.625620977899</v>
      </c>
      <c r="Q96" s="6"/>
      <c r="R96" s="38"/>
      <c r="S96" s="38"/>
      <c r="T96" s="82"/>
      <c r="U96" s="38"/>
      <c r="V96" s="38"/>
      <c r="W96" s="38"/>
      <c r="X96" s="6">
        <f t="shared" si="334"/>
        <v>10527</v>
      </c>
      <c r="Y96" s="6">
        <f>E28+Y28-U28</f>
        <v>14098.387999999997</v>
      </c>
      <c r="Z96" s="6">
        <f>E28+Y28+Z28-U28-V28</f>
        <v>14541.739999999998</v>
      </c>
      <c r="AA96" s="6">
        <f>E28+Y28+Z28+AA28-U28-V28-W28</f>
        <v>15592.692999999996</v>
      </c>
      <c r="AB96" s="6">
        <f t="shared" si="335"/>
        <v>-11654.37299999999</v>
      </c>
      <c r="AC96" s="6">
        <f>F28+AC28-Y28</f>
        <v>-15171.742999999988</v>
      </c>
      <c r="AD96" s="6">
        <f>SUM(AA28:AD28)</f>
        <v>-14567.812999999995</v>
      </c>
      <c r="AE96" s="6">
        <f>SUM(AB28:AE28)</f>
        <v>-14484.193916340682</v>
      </c>
      <c r="AF96" s="6">
        <f>SUM(AC28:AF28)</f>
        <v>15069.64221181772</v>
      </c>
      <c r="AG96" s="6">
        <f>AG28+H28-BL28</f>
        <v>15277.21427428785</v>
      </c>
      <c r="AH96" s="6">
        <f>AH28+H28-BM28+AG28-BL28</f>
        <v>15684.036691091402</v>
      </c>
      <c r="AI96" s="6">
        <f>AI28+H28-AE28+AH28-BM28+AG28-BL28</f>
        <v>16387.157721305564</v>
      </c>
      <c r="AJ96" s="6">
        <f>SUM(AG28:AJ28)</f>
        <v>12630.457066965762</v>
      </c>
      <c r="AK96" s="6">
        <f>SUM(AH28:AK28)</f>
        <v>12372.705289065652</v>
      </c>
      <c r="AL96" s="6">
        <f>SUM(AI28:AL28)</f>
        <v>10694.84926335499</v>
      </c>
      <c r="AM96" s="6">
        <f>SUM(AJ28:AM28)</f>
        <v>9148.7229402262419</v>
      </c>
      <c r="AN96" s="6">
        <f>SUM(AK28:AN28)</f>
        <v>10368.225855175742</v>
      </c>
      <c r="AO96" s="6">
        <f>SUM(AL28:AO28)</f>
        <v>10983.769704451592</v>
      </c>
      <c r="AP96" s="6">
        <f>SUM(AM28:AP28)</f>
        <v>12732.185935493355</v>
      </c>
      <c r="AQ96" s="6">
        <f>SUM(AN28:AQ28)</f>
        <v>13626.412405299407</v>
      </c>
      <c r="AR96" s="6">
        <f>SUM(AO28:AR28)</f>
        <v>16331.316556241463</v>
      </c>
      <c r="AS96" s="6">
        <f>SUM(AP28:AS28)</f>
        <v>16376.662355051618</v>
      </c>
      <c r="AT96" s="6">
        <f>SUM(AQ28:AT28)</f>
        <v>17284.135630678436</v>
      </c>
      <c r="AU96" s="6">
        <f>SUM(AR28:AU28)</f>
        <v>18316.15189209368</v>
      </c>
      <c r="AV96" s="6">
        <f>SUM(AS28:AV28)</f>
        <v>19625.978410591037</v>
      </c>
      <c r="AW96" s="6">
        <f>SUM(AT28:AW28)</f>
        <v>20552.50041659104</v>
      </c>
      <c r="AX96" s="6">
        <f>SUM(AU28:AX28)</f>
        <v>21021.644427349387</v>
      </c>
      <c r="AY96" s="6">
        <f>SUM(AV28:AY28)</f>
        <v>22029.446836669063</v>
      </c>
      <c r="AZ96" s="6">
        <f>SUM(AW28:AZ28)</f>
        <v>20225.827999999987</v>
      </c>
      <c r="BA96" s="6">
        <f>SUM(AX28:BA28)</f>
        <v>21394.60498655439</v>
      </c>
      <c r="BB96" s="6">
        <f>SUM(AY28:BB28)</f>
        <v>22058.55910090957</v>
      </c>
      <c r="BC96" s="6">
        <f>SUM(AZ28:BC28)</f>
        <v>22668.844873688005</v>
      </c>
      <c r="BD96" s="6">
        <f>SUM(BA28:BD28)</f>
        <v>24548.774667881065</v>
      </c>
      <c r="BE96" s="6">
        <f>SUM(BB28:BE28)</f>
        <v>24793.346806520138</v>
      </c>
      <c r="BF96" s="6">
        <f>SUM(BC28:BF28)</f>
        <v>24587.602037118006</v>
      </c>
      <c r="BG96" s="6">
        <f>SUM(BD28:BG28)</f>
        <v>24601.596340660835</v>
      </c>
      <c r="BH96" s="6">
        <f>SUM(BE28:BH28)</f>
        <v>25015.600047404416</v>
      </c>
      <c r="BI96" s="6">
        <f>SUM(BF28:BI28)</f>
        <v>24258.625620977909</v>
      </c>
      <c r="BJ96" s="6"/>
      <c r="BK96" s="6"/>
      <c r="BL96" s="6"/>
      <c r="BM96" s="6"/>
    </row>
    <row r="97" spans="2:65" ht="13.5" customHeight="1">
      <c r="B97" s="1" t="s">
        <v>336</v>
      </c>
      <c r="C97" s="6">
        <f>-C69</f>
        <v>10715</v>
      </c>
      <c r="D97" s="6">
        <f>-D69</f>
        <v>10312</v>
      </c>
      <c r="E97" s="6">
        <f>-E69</f>
        <v>9984</v>
      </c>
      <c r="F97" s="6">
        <f>-F69</f>
        <v>10746.791000000001</v>
      </c>
      <c r="G97" s="6">
        <f>-G69</f>
        <v>9390.43</v>
      </c>
      <c r="H97" s="6">
        <f>-H69</f>
        <v>9518.628999999999</v>
      </c>
      <c r="I97" s="6">
        <f>-I69</f>
        <v>9994.0509999999995</v>
      </c>
      <c r="J97" s="6">
        <f>-J69</f>
        <v>9381</v>
      </c>
      <c r="K97" s="6">
        <f>-K69</f>
        <v>9085</v>
      </c>
      <c r="L97" s="6">
        <f>-L69</f>
        <v>16433</v>
      </c>
      <c r="M97" s="6">
        <f>-M69</f>
        <v>19434.716</v>
      </c>
      <c r="N97" s="6">
        <f>-N69</f>
        <v>23467.976999999999</v>
      </c>
      <c r="O97" s="6">
        <f>-O69</f>
        <v>21200.263999999999</v>
      </c>
      <c r="P97" s="6">
        <f>-P69</f>
        <v>19552.737999999998</v>
      </c>
      <c r="Q97" s="6"/>
      <c r="R97" s="38"/>
      <c r="S97" s="38"/>
      <c r="T97" s="82"/>
      <c r="U97" s="38"/>
      <c r="V97" s="38"/>
      <c r="W97" s="38"/>
      <c r="X97" s="6">
        <f t="shared" si="334"/>
        <v>9984</v>
      </c>
      <c r="Y97" s="6">
        <f>-(E69+Y69-U69)</f>
        <v>10219.321</v>
      </c>
      <c r="Z97" s="6">
        <f>-(E69+Y69+Z69-U69-V69)</f>
        <v>10527.516</v>
      </c>
      <c r="AA97" s="6">
        <f>-(E69+Y69+Z69+AA69-U69-V69-W69)</f>
        <v>10355.99</v>
      </c>
      <c r="AB97" s="6">
        <f t="shared" si="335"/>
        <v>10746.791000000001</v>
      </c>
      <c r="AC97" s="6">
        <f>-(F69+AC69-Y69)</f>
        <v>10877.223000000002</v>
      </c>
      <c r="AD97" s="6">
        <f>-SUM(AA69:AD69)</f>
        <v>10710.000000000002</v>
      </c>
      <c r="AE97" s="6">
        <f>-SUM(AB69:AE69)</f>
        <v>10351.546</v>
      </c>
      <c r="AF97" s="6">
        <f>-SUM(AC69:AF69)</f>
        <v>9518.628999999999</v>
      </c>
      <c r="AG97" s="6">
        <f>-(AG69+H69-BL69)</f>
        <v>10841.290999999999</v>
      </c>
      <c r="AH97" s="6">
        <f>-(AH69+H69-BM69+AG69-BL69)</f>
        <v>12832.537999999999</v>
      </c>
      <c r="AI97" s="6">
        <f>-(AI69+H69-AE69+AH69-BM69+AG69-BL69)</f>
        <v>13271.455999999998</v>
      </c>
      <c r="AJ97" s="6">
        <f>-SUM(AG69:AJ69)</f>
        <v>9994.0509999999995</v>
      </c>
      <c r="AK97" s="6">
        <f>-SUM(AH69:AK69)</f>
        <v>10433.355</v>
      </c>
      <c r="AL97" s="6">
        <f>-SUM(AI69:AL69)</f>
        <v>9935.0959999999977</v>
      </c>
      <c r="AM97" s="267"/>
      <c r="AN97" s="267"/>
      <c r="AO97" s="267"/>
      <c r="AP97" s="6">
        <f>-SUM(AM69:AP69)</f>
        <v>3507.9150000000004</v>
      </c>
      <c r="AQ97" s="267"/>
      <c r="AR97" s="267"/>
      <c r="AS97" s="267"/>
      <c r="AT97" s="267"/>
      <c r="AU97" s="267"/>
      <c r="AV97" s="6">
        <f>-SUM(AS69:AV69)</f>
        <v>16433</v>
      </c>
      <c r="AW97" s="6">
        <f>-SUM(AT69:AW69)</f>
        <v>16416.59</v>
      </c>
      <c r="AX97" s="6">
        <f>-SUM(AU69:AX69)</f>
        <v>16031.519</v>
      </c>
      <c r="AY97" s="6">
        <f>-SUM(AV69:AY69)</f>
        <v>17179.947999999997</v>
      </c>
      <c r="AZ97" s="6">
        <f>-SUM(AW69:AZ69)</f>
        <v>19434.716</v>
      </c>
      <c r="BA97" s="6">
        <f>-SUM(AX69:BA69)</f>
        <v>19530.811000000002</v>
      </c>
      <c r="BB97" s="6">
        <f>-SUM(AY69:BB69)</f>
        <v>22192.781000000003</v>
      </c>
      <c r="BC97" s="6">
        <f>-SUM(AZ69:BC69)</f>
        <v>22976.789000000001</v>
      </c>
      <c r="BD97" s="6">
        <f>-SUM(BA69:BD69)</f>
        <v>23467.976999999999</v>
      </c>
      <c r="BE97" s="6">
        <f>-SUM(BB69:BE69)</f>
        <v>25273.574000000001</v>
      </c>
      <c r="BF97" s="6">
        <f>-SUM(BC69:BF69)</f>
        <v>23940.375</v>
      </c>
      <c r="BG97" s="6">
        <f>-SUM(BD69:BG69)</f>
        <v>23215.134000000002</v>
      </c>
      <c r="BH97" s="6">
        <f>-SUM(BE69:BH69)</f>
        <v>21200.263999999999</v>
      </c>
      <c r="BI97" s="6">
        <f>-SUM(BF69:BI69)</f>
        <v>19552.737999999998</v>
      </c>
      <c r="BJ97" s="6"/>
      <c r="BK97" s="6"/>
      <c r="BL97" s="6"/>
      <c r="BM97" s="6"/>
    </row>
    <row r="98" spans="2:65" ht="13.5" customHeight="1">
      <c r="B98" s="1" t="s">
        <v>316</v>
      </c>
      <c r="C98" s="6">
        <f t="shared" ref="C98:H98" si="336">+C72</f>
        <v>12682</v>
      </c>
      <c r="D98" s="6">
        <f t="shared" si="336"/>
        <v>9982</v>
      </c>
      <c r="E98" s="6">
        <f t="shared" si="336"/>
        <v>4290.1790000000037</v>
      </c>
      <c r="F98" s="6">
        <f t="shared" si="336"/>
        <v>11271.888000000006</v>
      </c>
      <c r="G98" s="6">
        <f t="shared" si="336"/>
        <v>11978.460999200272</v>
      </c>
      <c r="H98" s="6">
        <f t="shared" si="336"/>
        <v>10625.436258992399</v>
      </c>
      <c r="I98" s="6">
        <f t="shared" ref="I98:M98" si="337">+I72</f>
        <v>18693.447571135319</v>
      </c>
      <c r="J98" s="6">
        <f t="shared" si="337"/>
        <v>20602.368715724821</v>
      </c>
      <c r="K98" s="6">
        <f t="shared" si="337"/>
        <v>20365.214195252353</v>
      </c>
      <c r="L98" s="6">
        <f t="shared" si="337"/>
        <v>13365.806826074178</v>
      </c>
      <c r="M98" s="6">
        <f t="shared" si="337"/>
        <v>19717.672951090251</v>
      </c>
      <c r="N98" s="6">
        <f t="shared" ref="N98:O98" si="338">+N72</f>
        <v>14883.987484455509</v>
      </c>
      <c r="O98" s="6">
        <f t="shared" si="338"/>
        <v>4936.0378483912018</v>
      </c>
      <c r="P98" s="6">
        <f t="shared" ref="P98" si="339">+P72</f>
        <v>14346.126372013567</v>
      </c>
      <c r="Q98" s="6"/>
      <c r="R98" s="38"/>
      <c r="S98" s="38"/>
      <c r="T98" s="82"/>
      <c r="U98" s="38"/>
      <c r="V98" s="38"/>
      <c r="W98" s="38"/>
      <c r="X98" s="6">
        <f t="shared" si="334"/>
        <v>4290.1790000000037</v>
      </c>
      <c r="Y98" s="6">
        <f>(E72+Y72-U72)</f>
        <v>1818.8690000000015</v>
      </c>
      <c r="Z98" s="6">
        <f>(E72+Y72+Z72-U72-V72)</f>
        <v>3027.6459999999997</v>
      </c>
      <c r="AA98" s="6">
        <f>(E72+Y72+Z72+AA72-U72-V72-W72)</f>
        <v>4183.3489999999983</v>
      </c>
      <c r="AB98" s="6">
        <f t="shared" si="335"/>
        <v>11271.888000000006</v>
      </c>
      <c r="AC98" s="6">
        <f>(F72+AC72-Y72)</f>
        <v>11927.568000000007</v>
      </c>
      <c r="AD98" s="6">
        <f>SUM(AA72:AD72)</f>
        <v>4804.7119999999995</v>
      </c>
      <c r="AE98" s="6">
        <f>SUM(AB72:AE72)</f>
        <v>700.96307125904696</v>
      </c>
      <c r="AF98" s="6">
        <f>SUM(AC72:AF72)</f>
        <v>10625.436258992391</v>
      </c>
      <c r="AG98" s="6">
        <f>(AG72+H72-BL72)</f>
        <v>16016.946010736712</v>
      </c>
      <c r="AH98" s="6">
        <f>(AH72+H72-BM72+AG72-BL72)</f>
        <v>20885.887295337838</v>
      </c>
      <c r="AI98" s="6">
        <f>(AI72+H72-AE72+AH72-BM72+AG72-BL72)</f>
        <v>25634.373901399311</v>
      </c>
      <c r="AJ98" s="6">
        <f>SUM(AG72:AJ72)</f>
        <v>18693.447571135323</v>
      </c>
      <c r="AK98" s="6">
        <f>SUM(AH72:AK72)</f>
        <v>17215.665046259772</v>
      </c>
      <c r="AL98" s="6">
        <f>SUM(AI72:AL72)</f>
        <v>20386.191397058377</v>
      </c>
      <c r="AM98" s="267"/>
      <c r="AN98" s="267"/>
      <c r="AO98" s="267"/>
      <c r="AP98" s="6">
        <f>SUM(AM72:AP72)</f>
        <v>13570.911000000002</v>
      </c>
      <c r="AQ98" s="267"/>
      <c r="AR98" s="267"/>
      <c r="AS98" s="267"/>
      <c r="AT98" s="267"/>
      <c r="AU98" s="267"/>
      <c r="AV98" s="6">
        <f t="shared" ref="AV98:BI98" si="340">SUM(AS72:AV72)</f>
        <v>13365.806826074175</v>
      </c>
      <c r="AW98" s="6">
        <f t="shared" si="340"/>
        <v>14683.288826074177</v>
      </c>
      <c r="AX98" s="6">
        <f t="shared" si="340"/>
        <v>15418.775826074181</v>
      </c>
      <c r="AY98" s="6">
        <f t="shared" si="340"/>
        <v>22010.073826074185</v>
      </c>
      <c r="AZ98" s="6">
        <f t="shared" si="340"/>
        <v>19717.672951090251</v>
      </c>
      <c r="BA98" s="6">
        <f t="shared" si="340"/>
        <v>20885.13195109025</v>
      </c>
      <c r="BB98" s="6">
        <f t="shared" si="340"/>
        <v>19858.221034118713</v>
      </c>
      <c r="BC98" s="6">
        <f t="shared" si="340"/>
        <v>18118.682537351313</v>
      </c>
      <c r="BD98" s="6">
        <f t="shared" si="340"/>
        <v>14883.987484455503</v>
      </c>
      <c r="BE98" s="6">
        <f t="shared" si="340"/>
        <v>7362.5962081782964</v>
      </c>
      <c r="BF98" s="6">
        <f t="shared" si="340"/>
        <v>4877.5333472792472</v>
      </c>
      <c r="BG98" s="6">
        <f t="shared" si="340"/>
        <v>5082.2530226386471</v>
      </c>
      <c r="BH98" s="6">
        <f t="shared" si="340"/>
        <v>4936.0378483912045</v>
      </c>
      <c r="BI98" s="6">
        <f t="shared" si="340"/>
        <v>14346.126372013572</v>
      </c>
      <c r="BJ98" s="6"/>
      <c r="BK98" s="6"/>
      <c r="BL98" s="6"/>
      <c r="BM98" s="6"/>
    </row>
    <row r="99" spans="2:65" ht="13.5" customHeight="1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90"/>
      <c r="U99" s="6"/>
    </row>
    <row r="100" spans="2:65" ht="13.5" customHeight="1">
      <c r="B100" s="17" t="s">
        <v>337</v>
      </c>
      <c r="C100" s="47">
        <f>C3</f>
        <v>41975</v>
      </c>
      <c r="D100" s="47">
        <f>D3</f>
        <v>42341</v>
      </c>
      <c r="E100" s="47">
        <f>E3</f>
        <v>42708</v>
      </c>
      <c r="F100" s="47">
        <f>F3</f>
        <v>43073</v>
      </c>
      <c r="G100" s="47">
        <f>G3</f>
        <v>43073</v>
      </c>
      <c r="H100" s="47">
        <f>H3</f>
        <v>43438</v>
      </c>
      <c r="I100" s="47">
        <f>I3</f>
        <v>43803</v>
      </c>
      <c r="J100" s="47">
        <f>J3</f>
        <v>44169</v>
      </c>
      <c r="K100" s="47">
        <f>K3</f>
        <v>44534</v>
      </c>
      <c r="L100" s="47">
        <f>L3</f>
        <v>44899</v>
      </c>
      <c r="M100" s="47">
        <f>M3</f>
        <v>45264</v>
      </c>
      <c r="N100" s="47">
        <f>N3</f>
        <v>45630</v>
      </c>
      <c r="O100" s="47">
        <f>O3</f>
        <v>45995</v>
      </c>
      <c r="P100" s="311" t="s">
        <v>255</v>
      </c>
      <c r="Q100" s="332"/>
      <c r="R100" s="47">
        <f>R3</f>
        <v>43439</v>
      </c>
      <c r="S100" s="47">
        <f>S3</f>
        <v>43805</v>
      </c>
      <c r="T100" s="81">
        <f>T3</f>
        <v>44172</v>
      </c>
      <c r="U100" s="47">
        <f>U3</f>
        <v>42437</v>
      </c>
      <c r="V100" s="47">
        <f>V3</f>
        <v>42527</v>
      </c>
      <c r="W100" s="47">
        <f>W3</f>
        <v>42622</v>
      </c>
      <c r="X100" s="47">
        <f>X3</f>
        <v>42714</v>
      </c>
      <c r="Y100" s="47">
        <f>Y3</f>
        <v>42801</v>
      </c>
      <c r="Z100" s="47">
        <f>Z3</f>
        <v>42892</v>
      </c>
      <c r="AA100" s="47">
        <f>AA3</f>
        <v>42987</v>
      </c>
      <c r="AB100" s="47">
        <f>AB3</f>
        <v>43100</v>
      </c>
      <c r="AC100" s="47">
        <f>AC3</f>
        <v>43190</v>
      </c>
      <c r="AD100" s="47">
        <f>AD3</f>
        <v>43281</v>
      </c>
      <c r="AE100" s="47">
        <f>AE3</f>
        <v>43373</v>
      </c>
      <c r="AF100" s="47">
        <f>AF3</f>
        <v>43465</v>
      </c>
      <c r="AG100" s="47">
        <f>AG3</f>
        <v>43555</v>
      </c>
      <c r="AH100" s="47">
        <f>AH3</f>
        <v>43646</v>
      </c>
      <c r="AI100" s="47">
        <f>AI3</f>
        <v>43738</v>
      </c>
      <c r="AJ100" s="47">
        <f>AJ3</f>
        <v>43830</v>
      </c>
      <c r="AK100" s="47">
        <f>AK3</f>
        <v>43921</v>
      </c>
      <c r="AL100" s="47">
        <f>AL3</f>
        <v>44012</v>
      </c>
      <c r="AM100" s="47">
        <f>AM3</f>
        <v>44104</v>
      </c>
      <c r="AN100" s="47">
        <f>AN3</f>
        <v>44196</v>
      </c>
      <c r="AO100" s="47">
        <f>AO3</f>
        <v>44286</v>
      </c>
      <c r="AP100" s="47">
        <f>AP3</f>
        <v>44377</v>
      </c>
      <c r="AQ100" s="47">
        <f>AQ3</f>
        <v>44469</v>
      </c>
      <c r="AR100" s="47">
        <f>AR3</f>
        <v>44561</v>
      </c>
      <c r="AS100" s="47">
        <f>AS3</f>
        <v>44651</v>
      </c>
      <c r="AT100" s="47">
        <f>AT3</f>
        <v>44742</v>
      </c>
      <c r="AU100" s="47">
        <f>AU3</f>
        <v>44834</v>
      </c>
      <c r="AV100" s="47">
        <f>AV3</f>
        <v>44926</v>
      </c>
      <c r="AW100" s="47">
        <f>AW3</f>
        <v>45016</v>
      </c>
      <c r="AX100" s="47">
        <f>AX3</f>
        <v>45107</v>
      </c>
      <c r="AY100" s="47">
        <f>AY3</f>
        <v>45199</v>
      </c>
      <c r="AZ100" s="47">
        <f>AZ3</f>
        <v>45291</v>
      </c>
      <c r="BA100" s="47">
        <f>BA3</f>
        <v>45382</v>
      </c>
      <c r="BB100" s="47">
        <f>BB3</f>
        <v>45473</v>
      </c>
      <c r="BC100" s="47">
        <f>BC3</f>
        <v>45565</v>
      </c>
      <c r="BD100" s="47">
        <f>BD3</f>
        <v>45657</v>
      </c>
      <c r="BE100" s="47">
        <f>BE3</f>
        <v>45747</v>
      </c>
      <c r="BF100" s="311">
        <f>BF3</f>
        <v>45838</v>
      </c>
      <c r="BG100" s="311">
        <f>BG3</f>
        <v>45930</v>
      </c>
      <c r="BH100" s="311">
        <f>BH3</f>
        <v>46022</v>
      </c>
      <c r="BI100" s="47">
        <f>BI3</f>
        <v>46112</v>
      </c>
      <c r="BK100" s="328"/>
      <c r="BL100" s="47"/>
      <c r="BM100" s="47"/>
    </row>
    <row r="101" spans="2:65" ht="13.5" customHeight="1"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T101" s="1"/>
      <c r="BF101" s="1"/>
    </row>
    <row r="102" spans="2:65" s="5" customFormat="1" ht="13.5" customHeight="1">
      <c r="B102" s="1" t="s">
        <v>338</v>
      </c>
      <c r="C102" s="4">
        <v>50527</v>
      </c>
      <c r="D102" s="4">
        <v>50532</v>
      </c>
      <c r="E102" s="4">
        <v>65288</v>
      </c>
      <c r="F102" s="4">
        <v>75827.335000000006</v>
      </c>
      <c r="G102" s="4">
        <v>75827.335000000006</v>
      </c>
      <c r="H102" s="4">
        <v>61942.351999999999</v>
      </c>
      <c r="I102" s="4">
        <f>61188.272+1381.292</f>
        <v>62569.563999999998</v>
      </c>
      <c r="J102" s="4">
        <v>59460</v>
      </c>
      <c r="K102" s="4">
        <v>62183</v>
      </c>
      <c r="L102" s="4">
        <f>71204.8552265682+2069.05243946665</f>
        <v>73273.907666034851</v>
      </c>
      <c r="M102" s="4">
        <f>78730+2387</f>
        <v>81117</v>
      </c>
      <c r="N102" s="4">
        <f>99381.4585765696+2989.21760027174</f>
        <v>102370.67617684134</v>
      </c>
      <c r="O102" s="4">
        <f>109130.494226489+2617.23312515084</f>
        <v>111747.72735163984</v>
      </c>
      <c r="P102" s="6">
        <f>BI102</f>
        <v>115186.69540942587</v>
      </c>
      <c r="Q102" s="6"/>
      <c r="R102" s="4"/>
      <c r="S102" s="4"/>
      <c r="T102" s="93"/>
      <c r="U102" s="127">
        <v>50824</v>
      </c>
      <c r="V102" s="127">
        <v>54947</v>
      </c>
      <c r="W102" s="127">
        <v>57385</v>
      </c>
      <c r="X102" s="4">
        <v>65288</v>
      </c>
      <c r="Y102" s="127">
        <v>79506</v>
      </c>
      <c r="Z102" s="127">
        <v>71429</v>
      </c>
      <c r="AA102" s="127">
        <v>75473</v>
      </c>
      <c r="AB102" s="127">
        <v>75827.335000000006</v>
      </c>
      <c r="AC102" s="127">
        <v>71244.45</v>
      </c>
      <c r="AD102" s="127">
        <v>72523.445000000007</v>
      </c>
      <c r="AE102" s="127">
        <v>58329.542999999998</v>
      </c>
      <c r="AF102" s="229">
        <f>H102</f>
        <v>61942.351999999999</v>
      </c>
      <c r="AG102" s="127">
        <f>60411.291+1636.54</f>
        <v>62047.830999999998</v>
      </c>
      <c r="AH102" s="127">
        <f>60480.912+1551.836</f>
        <v>62032.748</v>
      </c>
      <c r="AI102" s="127">
        <f>59405.571+1357.406</f>
        <v>60762.977000000006</v>
      </c>
      <c r="AJ102" s="134">
        <f>I102</f>
        <v>62569.563999999998</v>
      </c>
      <c r="AK102" s="127">
        <f>63120.154+1463.73</f>
        <v>64583.884000000005</v>
      </c>
      <c r="AL102" s="127">
        <f>61275.375+1225.213</f>
        <v>62500.588000000003</v>
      </c>
      <c r="AM102" s="127">
        <f>59905+1293</f>
        <v>61198</v>
      </c>
      <c r="AN102" s="134">
        <f>J102</f>
        <v>59460</v>
      </c>
      <c r="AO102" s="224">
        <f>57992.050642121+1390.10246928447</f>
        <v>59382.153111405474</v>
      </c>
      <c r="AP102" s="127">
        <f>58424.0070171094+1424.56259798821</f>
        <v>59848.569615097607</v>
      </c>
      <c r="AQ102" s="127">
        <f>59075.7817899999+1373.71905806462</f>
        <v>60449.500848064519</v>
      </c>
      <c r="AR102" s="134">
        <f>K102</f>
        <v>62183</v>
      </c>
      <c r="AS102" s="127">
        <f>65454+1551</f>
        <v>67005</v>
      </c>
      <c r="AT102" s="127">
        <f>65046.1345850334+1463.83608298447</f>
        <v>66509.970668017864</v>
      </c>
      <c r="AU102" s="127">
        <f>66248+1381</f>
        <v>67629</v>
      </c>
      <c r="AV102" s="134">
        <f>L102</f>
        <v>73273.907666034851</v>
      </c>
      <c r="AW102" s="127">
        <v>69920.668999999994</v>
      </c>
      <c r="AX102" s="127">
        <f>71023.3012062558+2325.36787360422</f>
        <v>73348.669079860018</v>
      </c>
      <c r="AY102" s="127">
        <f>73985.6248934675+2118.545781407</f>
        <v>76104.170674874491</v>
      </c>
      <c r="AZ102" s="134">
        <f>M102</f>
        <v>81117</v>
      </c>
      <c r="BA102" s="127">
        <f>79511.158+2325.431</f>
        <v>81836.588999999993</v>
      </c>
      <c r="BB102" s="4">
        <f>83764.2408913545+2738.2516949389</f>
        <v>86502.492586293389</v>
      </c>
      <c r="BC102" s="127">
        <f>91477.6941160111+2814.74967208567</f>
        <v>94292.443788096774</v>
      </c>
      <c r="BD102" s="134">
        <f>N102</f>
        <v>102370.67617684134</v>
      </c>
      <c r="BE102" s="127">
        <f>103266.066120791+3091.41858183572</f>
        <v>106357.48470262672</v>
      </c>
      <c r="BF102" s="127">
        <f>102548.908664528+2745.824164</f>
        <v>105294.73282852801</v>
      </c>
      <c r="BG102" s="127">
        <f>105685.363307809+2569.26653352106</f>
        <v>108254.62984133007</v>
      </c>
      <c r="BH102" s="134">
        <f>O102</f>
        <v>111747.72735163984</v>
      </c>
      <c r="BI102" s="4">
        <f>111725.454254199+3461.24115522688</f>
        <v>115186.69540942587</v>
      </c>
      <c r="BJ102" s="127"/>
      <c r="BK102" s="127"/>
      <c r="BL102" s="127"/>
      <c r="BM102" s="127"/>
    </row>
    <row r="103" spans="2:65" s="5" customFormat="1" ht="13.5" customHeight="1">
      <c r="B103" s="1" t="s">
        <v>339</v>
      </c>
      <c r="C103" s="172">
        <v>2324</v>
      </c>
      <c r="D103" s="172">
        <v>2261</v>
      </c>
      <c r="E103" s="172">
        <v>2319</v>
      </c>
      <c r="F103" s="172">
        <v>3029.0630000000001</v>
      </c>
      <c r="G103" s="172">
        <v>3029.0630000000001</v>
      </c>
      <c r="H103" s="172">
        <v>2652.4180000000001</v>
      </c>
      <c r="I103" s="172">
        <v>3293.4380000000001</v>
      </c>
      <c r="J103" s="172">
        <v>3838</v>
      </c>
      <c r="K103" s="172">
        <v>4126</v>
      </c>
      <c r="L103" s="172">
        <v>3709</v>
      </c>
      <c r="M103" s="172">
        <v>3559.902</v>
      </c>
      <c r="N103" s="172">
        <v>4866.8119999999999</v>
      </c>
      <c r="O103" s="172">
        <v>5533.8310000000001</v>
      </c>
      <c r="P103" s="6">
        <f t="shared" ref="P103:P106" si="341">BI103</f>
        <v>5495.2049999999999</v>
      </c>
      <c r="Q103" s="6"/>
      <c r="R103" s="172"/>
      <c r="S103" s="172"/>
      <c r="T103" s="123"/>
      <c r="U103" s="127">
        <v>2277.672</v>
      </c>
      <c r="V103" s="127">
        <v>2356.8870000000002</v>
      </c>
      <c r="W103" s="127">
        <v>2467.0509999999999</v>
      </c>
      <c r="X103" s="172">
        <v>2319</v>
      </c>
      <c r="Y103" s="133">
        <v>2753.6950000000002</v>
      </c>
      <c r="Z103" s="133">
        <v>2632.9949999999999</v>
      </c>
      <c r="AA103" s="127">
        <v>2715.357</v>
      </c>
      <c r="AB103" s="127">
        <v>3029.0630000000001</v>
      </c>
      <c r="AC103" s="127">
        <v>2872.3310000000001</v>
      </c>
      <c r="AD103" s="127">
        <v>3083.3310000000001</v>
      </c>
      <c r="AE103" s="127">
        <v>3040.895</v>
      </c>
      <c r="AF103" s="229">
        <f>H103</f>
        <v>2652.4180000000001</v>
      </c>
      <c r="AG103" s="127">
        <v>2578.5520000000001</v>
      </c>
      <c r="AH103" s="127">
        <v>2556.5320000000002</v>
      </c>
      <c r="AI103" s="127">
        <v>2784.4639999999999</v>
      </c>
      <c r="AJ103" s="134">
        <f>I103</f>
        <v>3293.4380000000001</v>
      </c>
      <c r="AK103" s="127">
        <v>3399.3119999999999</v>
      </c>
      <c r="AL103" s="127">
        <v>3611.5340000000001</v>
      </c>
      <c r="AM103" s="305"/>
      <c r="AN103" s="134">
        <f>J103</f>
        <v>3838</v>
      </c>
      <c r="AO103" s="305"/>
      <c r="AP103" s="127">
        <v>3870.9360000000001</v>
      </c>
      <c r="AQ103" s="305"/>
      <c r="AR103" s="134">
        <f>K103</f>
        <v>4126</v>
      </c>
      <c r="AS103" s="131">
        <v>0</v>
      </c>
      <c r="AT103" s="127">
        <v>0</v>
      </c>
      <c r="AU103" s="127">
        <v>0</v>
      </c>
      <c r="AV103" s="134">
        <f>L103</f>
        <v>3709</v>
      </c>
      <c r="AW103" s="131">
        <v>3698.8609999999999</v>
      </c>
      <c r="AX103" s="127">
        <v>3678.2109999999998</v>
      </c>
      <c r="AY103" s="127">
        <v>3678.2109999999998</v>
      </c>
      <c r="AZ103" s="134">
        <f>M103</f>
        <v>3559.902</v>
      </c>
      <c r="BA103" s="131">
        <v>3594.1849999999999</v>
      </c>
      <c r="BB103" s="172">
        <v>3781.51</v>
      </c>
      <c r="BC103" s="127">
        <v>3901.6439999999998</v>
      </c>
      <c r="BD103" s="134">
        <f t="shared" ref="BD103:BD106" si="342">N103</f>
        <v>4866.8119999999999</v>
      </c>
      <c r="BE103" s="131">
        <v>4954.7979999999998</v>
      </c>
      <c r="BF103" s="131">
        <v>4817.2079999999996</v>
      </c>
      <c r="BG103" s="127">
        <v>4893.7209999999995</v>
      </c>
      <c r="BH103" s="134">
        <f t="shared" ref="BH103:BH106" si="343">O103</f>
        <v>5533.8310000000001</v>
      </c>
      <c r="BI103" s="127">
        <v>5495.2049999999999</v>
      </c>
      <c r="BJ103" s="131"/>
      <c r="BK103" s="131"/>
      <c r="BL103" s="127"/>
      <c r="BM103" s="127"/>
    </row>
    <row r="104" spans="2:65" s="5" customFormat="1" ht="13.5" customHeight="1">
      <c r="B104" s="7" t="s">
        <v>340</v>
      </c>
      <c r="C104" s="4">
        <v>7819</v>
      </c>
      <c r="D104" s="4">
        <v>8066</v>
      </c>
      <c r="E104" s="4">
        <v>10744</v>
      </c>
      <c r="F104" s="4">
        <v>11364.223</v>
      </c>
      <c r="G104" s="4">
        <v>11364.223</v>
      </c>
      <c r="H104" s="4">
        <v>10051.112999999999</v>
      </c>
      <c r="I104" s="4">
        <v>10538.011</v>
      </c>
      <c r="J104" s="4">
        <v>9727</v>
      </c>
      <c r="K104" s="4">
        <v>11959.83839571627</v>
      </c>
      <c r="L104" s="4">
        <v>11887.828150390855</v>
      </c>
      <c r="M104" s="4">
        <v>11879.813</v>
      </c>
      <c r="N104" s="4">
        <v>14058.684999999999</v>
      </c>
      <c r="O104" s="4">
        <v>14014.116904889001</v>
      </c>
      <c r="P104" s="6">
        <f t="shared" si="341"/>
        <v>14813.642942503719</v>
      </c>
      <c r="Q104" s="6"/>
      <c r="R104" s="4"/>
      <c r="S104" s="4"/>
      <c r="T104" s="93"/>
      <c r="U104" s="127">
        <v>8101</v>
      </c>
      <c r="V104" s="127">
        <v>8732</v>
      </c>
      <c r="W104" s="127">
        <v>9474</v>
      </c>
      <c r="X104" s="4">
        <v>10744</v>
      </c>
      <c r="Y104" s="127">
        <v>13424</v>
      </c>
      <c r="Z104" s="127">
        <v>10962</v>
      </c>
      <c r="AA104" s="127">
        <v>11240</v>
      </c>
      <c r="AB104" s="127">
        <v>11364.223</v>
      </c>
      <c r="AC104" s="127">
        <v>12142.097</v>
      </c>
      <c r="AD104" s="127">
        <v>11384.915000000001</v>
      </c>
      <c r="AE104" s="127">
        <v>10299.026</v>
      </c>
      <c r="AF104" s="229">
        <f>H104</f>
        <v>10051.112999999999</v>
      </c>
      <c r="AG104" s="127">
        <v>10661.164000000001</v>
      </c>
      <c r="AH104" s="127">
        <v>10020.141</v>
      </c>
      <c r="AI104" s="127">
        <v>9657.5329999999994</v>
      </c>
      <c r="AJ104" s="134">
        <f>I104</f>
        <v>10538.011</v>
      </c>
      <c r="AK104" s="127">
        <v>11478.669</v>
      </c>
      <c r="AL104" s="127">
        <v>9967.3040000000001</v>
      </c>
      <c r="AM104" s="127">
        <v>9771</v>
      </c>
      <c r="AN104" s="134">
        <f>J104</f>
        <v>9727</v>
      </c>
      <c r="AO104" s="224">
        <v>10159.913837556178</v>
      </c>
      <c r="AP104" s="127">
        <v>11580.486999999999</v>
      </c>
      <c r="AQ104" s="127">
        <v>13634.26614914126</v>
      </c>
      <c r="AR104" s="134">
        <f>K104</f>
        <v>11959.83839571627</v>
      </c>
      <c r="AS104" s="127">
        <v>13546</v>
      </c>
      <c r="AT104" s="127">
        <v>14271.039431861236</v>
      </c>
      <c r="AU104" s="127">
        <v>13146</v>
      </c>
      <c r="AV104" s="134">
        <f>L104</f>
        <v>11887.828150390855</v>
      </c>
      <c r="AW104" s="127">
        <v>13842.481</v>
      </c>
      <c r="AX104" s="127">
        <v>12066.9716609732</v>
      </c>
      <c r="AY104" s="127">
        <v>11591.2735187249</v>
      </c>
      <c r="AZ104" s="134">
        <f>M104</f>
        <v>11879.813</v>
      </c>
      <c r="BA104" s="127">
        <v>12181.04</v>
      </c>
      <c r="BB104" s="4">
        <v>12412.77</v>
      </c>
      <c r="BC104" s="127">
        <v>13973.175924514</v>
      </c>
      <c r="BD104" s="134">
        <f t="shared" si="342"/>
        <v>14058.684999999999</v>
      </c>
      <c r="BE104" s="127">
        <v>15049.484305426189</v>
      </c>
      <c r="BF104" s="127">
        <v>14984.692397381101</v>
      </c>
      <c r="BG104" s="127">
        <f>13908.9507496491</f>
        <v>13908.950749649101</v>
      </c>
      <c r="BH104" s="134">
        <f t="shared" si="343"/>
        <v>14014.116904889001</v>
      </c>
      <c r="BI104" s="4">
        <v>14813.642942503719</v>
      </c>
      <c r="BJ104" s="127"/>
      <c r="BK104" s="127"/>
      <c r="BL104" s="127"/>
      <c r="BM104" s="127"/>
    </row>
    <row r="105" spans="2:65" s="5" customFormat="1" ht="13.5" customHeight="1">
      <c r="B105" s="7" t="s">
        <v>341</v>
      </c>
      <c r="C105" s="4">
        <v>10339</v>
      </c>
      <c r="D105" s="4">
        <v>9647</v>
      </c>
      <c r="E105" s="4">
        <v>15005</v>
      </c>
      <c r="F105" s="4">
        <v>17576.232</v>
      </c>
      <c r="G105" s="4">
        <v>17576.232</v>
      </c>
      <c r="H105" s="4">
        <v>14847.41</v>
      </c>
      <c r="I105" s="4">
        <v>15476.819</v>
      </c>
      <c r="J105" s="4">
        <v>11523</v>
      </c>
      <c r="K105" s="4">
        <v>13013.60979444952</v>
      </c>
      <c r="L105" s="4">
        <v>16317.553641226645</v>
      </c>
      <c r="M105" s="4">
        <v>17750</v>
      </c>
      <c r="N105" s="4">
        <v>18619.600999999999</v>
      </c>
      <c r="O105" s="4">
        <v>22146.398230406201</v>
      </c>
      <c r="P105" s="6">
        <f t="shared" si="341"/>
        <v>17748.823577041545</v>
      </c>
      <c r="Q105" s="6"/>
      <c r="R105" s="4"/>
      <c r="S105" s="4"/>
      <c r="T105" s="93"/>
      <c r="U105" s="127">
        <v>8427</v>
      </c>
      <c r="V105" s="127">
        <v>8829</v>
      </c>
      <c r="W105" s="127">
        <v>9628</v>
      </c>
      <c r="X105" s="4">
        <v>15005</v>
      </c>
      <c r="Y105" s="127">
        <v>11520</v>
      </c>
      <c r="Z105" s="127">
        <v>10444</v>
      </c>
      <c r="AA105" s="127">
        <v>12073</v>
      </c>
      <c r="AB105" s="127">
        <v>17576.232</v>
      </c>
      <c r="AC105" s="127">
        <v>13131.81</v>
      </c>
      <c r="AD105" s="127">
        <v>13766.191999999999</v>
      </c>
      <c r="AE105" s="127">
        <v>12605.343999999999</v>
      </c>
      <c r="AF105" s="229">
        <f>H105</f>
        <v>14847.41</v>
      </c>
      <c r="AG105" s="127">
        <v>10813.683999999999</v>
      </c>
      <c r="AH105" s="127">
        <v>11529.724</v>
      </c>
      <c r="AI105" s="127">
        <v>10950.684999999999</v>
      </c>
      <c r="AJ105" s="134">
        <f>I105</f>
        <v>15476.819</v>
      </c>
      <c r="AK105" s="127">
        <v>10940.755999999999</v>
      </c>
      <c r="AL105" s="127">
        <v>9184.67</v>
      </c>
      <c r="AM105" s="127">
        <v>8943</v>
      </c>
      <c r="AN105" s="134">
        <f>J105</f>
        <v>11523</v>
      </c>
      <c r="AO105" s="224">
        <v>8737.0032664818409</v>
      </c>
      <c r="AP105" s="127">
        <v>8898.0550000000003</v>
      </c>
      <c r="AQ105" s="127">
        <v>8928.2286356894892</v>
      </c>
      <c r="AR105" s="134">
        <f>K105</f>
        <v>13013.60979444952</v>
      </c>
      <c r="AS105" s="127">
        <v>11701</v>
      </c>
      <c r="AT105" s="127">
        <v>12704.220461536861</v>
      </c>
      <c r="AU105" s="127">
        <v>14241</v>
      </c>
      <c r="AV105" s="134">
        <f>L105</f>
        <v>16317.553641226645</v>
      </c>
      <c r="AW105" s="127">
        <v>14024.35</v>
      </c>
      <c r="AX105" s="127">
        <v>13779.2178998207</v>
      </c>
      <c r="AY105" s="127">
        <v>14291.6774343711</v>
      </c>
      <c r="AZ105" s="134">
        <f>M105</f>
        <v>17750</v>
      </c>
      <c r="BA105" s="127">
        <v>15946.014999999999</v>
      </c>
      <c r="BB105" s="4">
        <v>16802.852999999999</v>
      </c>
      <c r="BC105" s="127">
        <v>16599.704797786599</v>
      </c>
      <c r="BD105" s="134">
        <f t="shared" si="342"/>
        <v>18619.600999999999</v>
      </c>
      <c r="BE105" s="127">
        <v>16841.186424194282</v>
      </c>
      <c r="BF105" s="127">
        <v>15943.245961663013</v>
      </c>
      <c r="BG105" s="127">
        <v>17330.098431852399</v>
      </c>
      <c r="BH105" s="134">
        <f t="shared" si="343"/>
        <v>22146.398230406201</v>
      </c>
      <c r="BI105" s="4">
        <v>17748.823577041545</v>
      </c>
      <c r="BJ105" s="127"/>
      <c r="BK105" s="127"/>
      <c r="BL105" s="127"/>
      <c r="BM105" s="127"/>
    </row>
    <row r="106" spans="2:65" s="5" customFormat="1" ht="13.5" customHeight="1">
      <c r="B106" s="7" t="s">
        <v>342</v>
      </c>
      <c r="C106" s="4">
        <f>5336+14151</f>
        <v>19487</v>
      </c>
      <c r="D106" s="4">
        <f>4744+15470</f>
        <v>20214</v>
      </c>
      <c r="E106" s="4">
        <f>6355+21489</f>
        <v>27844</v>
      </c>
      <c r="F106" s="4">
        <v>31352.883999999998</v>
      </c>
      <c r="G106" s="4">
        <v>31352.883999999998</v>
      </c>
      <c r="H106" s="4">
        <v>25831.707999999999</v>
      </c>
      <c r="I106" s="4">
        <v>30645.286</v>
      </c>
      <c r="J106" s="4">
        <f>17195+10013</f>
        <v>27208</v>
      </c>
      <c r="K106" s="4">
        <f>22745+11885</f>
        <v>34630</v>
      </c>
      <c r="L106" s="4">
        <v>26834.058083427</v>
      </c>
      <c r="M106" s="4">
        <v>27352</v>
      </c>
      <c r="N106" s="4">
        <v>33773.243002723328</v>
      </c>
      <c r="O106" s="4">
        <v>31897.8620665253</v>
      </c>
      <c r="P106" s="6">
        <f t="shared" si="341"/>
        <v>29385.249028346312</v>
      </c>
      <c r="Q106" s="6"/>
      <c r="R106" s="4"/>
      <c r="S106" s="4"/>
      <c r="T106" s="93"/>
      <c r="U106" s="127">
        <v>19107.260999999999</v>
      </c>
      <c r="V106" s="127">
        <v>20227.405999999999</v>
      </c>
      <c r="W106" s="127">
        <v>22711.88</v>
      </c>
      <c r="X106" s="4">
        <f>6355+21489</f>
        <v>27844</v>
      </c>
      <c r="Y106" s="127">
        <v>30221.986000000001</v>
      </c>
      <c r="Z106" s="127">
        <v>27285.251</v>
      </c>
      <c r="AA106" s="127">
        <v>29624.147000000001</v>
      </c>
      <c r="AB106" s="127">
        <v>31352.883999999998</v>
      </c>
      <c r="AC106" s="127">
        <v>36195.824999999997</v>
      </c>
      <c r="AD106" s="127">
        <v>31086.258000000002</v>
      </c>
      <c r="AE106" s="127">
        <v>26508.274000000001</v>
      </c>
      <c r="AF106" s="229">
        <f>H106</f>
        <v>25831.707999999999</v>
      </c>
      <c r="AG106" s="127">
        <v>31481.129000000001</v>
      </c>
      <c r="AH106" s="127">
        <v>28356.077000000001</v>
      </c>
      <c r="AI106" s="127">
        <v>31580.850999999999</v>
      </c>
      <c r="AJ106" s="134">
        <f>I106</f>
        <v>30645.286</v>
      </c>
      <c r="AK106" s="127">
        <v>39352.016000000003</v>
      </c>
      <c r="AL106" s="127">
        <v>32324.817999999999</v>
      </c>
      <c r="AM106" s="305"/>
      <c r="AN106" s="134">
        <f>J106</f>
        <v>27208</v>
      </c>
      <c r="AO106" s="305"/>
      <c r="AP106" s="127">
        <v>19663.290814604399</v>
      </c>
      <c r="AQ106" s="305"/>
      <c r="AR106" s="134">
        <f>K106</f>
        <v>34630</v>
      </c>
      <c r="AS106" s="131">
        <v>39547.478000000003</v>
      </c>
      <c r="AT106" s="127">
        <v>25539.832434042553</v>
      </c>
      <c r="AU106" s="127">
        <v>25523</v>
      </c>
      <c r="AV106" s="134">
        <f>L106</f>
        <v>26834.058083427</v>
      </c>
      <c r="AW106" s="131">
        <v>24759.3904837349</v>
      </c>
      <c r="AX106" s="127">
        <v>22948.680693490001</v>
      </c>
      <c r="AY106" s="127">
        <v>24452.105856903599</v>
      </c>
      <c r="AZ106" s="134">
        <f>M106</f>
        <v>27352</v>
      </c>
      <c r="BA106" s="131">
        <v>24604.06425648187</v>
      </c>
      <c r="BB106" s="4">
        <v>25652.730145974601</v>
      </c>
      <c r="BC106" s="127">
        <v>30965.9474283052</v>
      </c>
      <c r="BD106" s="134">
        <f t="shared" si="342"/>
        <v>33773.243002723328</v>
      </c>
      <c r="BE106" s="131">
        <v>29178.703908751733</v>
      </c>
      <c r="BF106" s="131">
        <v>29271.43159657385</v>
      </c>
      <c r="BG106" s="127">
        <v>31216.409713295099</v>
      </c>
      <c r="BH106" s="134">
        <f t="shared" si="343"/>
        <v>31897.8620665253</v>
      </c>
      <c r="BI106" s="4">
        <v>29385.249028346312</v>
      </c>
      <c r="BJ106" s="131"/>
      <c r="BK106" s="131"/>
      <c r="BL106" s="127"/>
      <c r="BM106" s="127"/>
    </row>
    <row r="107" spans="2:65" s="5" customFormat="1" ht="13.5" customHeight="1">
      <c r="B107" s="5" t="s">
        <v>343</v>
      </c>
      <c r="C107" s="136">
        <f t="shared" ref="C107:H107" si="344">C104+C105-C106</f>
        <v>-1329</v>
      </c>
      <c r="D107" s="136">
        <f t="shared" si="344"/>
        <v>-2501</v>
      </c>
      <c r="E107" s="136">
        <f t="shared" si="344"/>
        <v>-2095</v>
      </c>
      <c r="F107" s="136">
        <f t="shared" si="344"/>
        <v>-2412.4289999999964</v>
      </c>
      <c r="G107" s="136">
        <f t="shared" si="344"/>
        <v>-2412.4289999999964</v>
      </c>
      <c r="H107" s="136">
        <f t="shared" si="344"/>
        <v>-933.18499999999767</v>
      </c>
      <c r="I107" s="136">
        <f t="shared" ref="I107:N107" si="345">I104+I105-I106</f>
        <v>-4630.4559999999983</v>
      </c>
      <c r="J107" s="136">
        <f t="shared" si="345"/>
        <v>-5958</v>
      </c>
      <c r="K107" s="136">
        <f t="shared" si="345"/>
        <v>-9656.5518098342109</v>
      </c>
      <c r="L107" s="136">
        <f t="shared" si="345"/>
        <v>1371.323708190499</v>
      </c>
      <c r="M107" s="136">
        <f t="shared" si="345"/>
        <v>2277.8130000000019</v>
      </c>
      <c r="N107" s="136">
        <f t="shared" si="345"/>
        <v>-1094.9570027233276</v>
      </c>
      <c r="O107" s="136">
        <f t="shared" ref="O107" si="346">O104+O105-O106</f>
        <v>4262.6530687699014</v>
      </c>
      <c r="P107" s="136">
        <f t="shared" ref="P107" si="347">P104+P105-P106</f>
        <v>3177.2174911989496</v>
      </c>
      <c r="Q107" s="136"/>
      <c r="R107" s="4"/>
      <c r="S107" s="136"/>
      <c r="T107" s="93"/>
      <c r="U107" s="136">
        <f t="shared" ref="U107:AA107" si="348">U104+U105-U106</f>
        <v>-2579.2609999999986</v>
      </c>
      <c r="V107" s="136">
        <f t="shared" si="348"/>
        <v>-2666.405999999999</v>
      </c>
      <c r="W107" s="136">
        <f t="shared" si="348"/>
        <v>-3609.880000000001</v>
      </c>
      <c r="X107" s="136">
        <f t="shared" si="348"/>
        <v>-2095</v>
      </c>
      <c r="Y107" s="136">
        <f t="shared" si="348"/>
        <v>-5277.9860000000008</v>
      </c>
      <c r="Z107" s="136">
        <f t="shared" si="348"/>
        <v>-5879.2510000000002</v>
      </c>
      <c r="AA107" s="136">
        <f t="shared" si="348"/>
        <v>-6311.1470000000008</v>
      </c>
      <c r="AB107" s="136">
        <f t="shared" ref="AB107:AG107" si="349">AB104+AB105-AB106</f>
        <v>-2412.4289999999964</v>
      </c>
      <c r="AC107" s="136">
        <f t="shared" si="349"/>
        <v>-10921.917999999998</v>
      </c>
      <c r="AD107" s="136">
        <f t="shared" si="349"/>
        <v>-5935.1510000000017</v>
      </c>
      <c r="AE107" s="136">
        <f t="shared" si="349"/>
        <v>-3603.9040000000023</v>
      </c>
      <c r="AF107" s="136">
        <f t="shared" si="349"/>
        <v>-933.18499999999767</v>
      </c>
      <c r="AG107" s="136">
        <f t="shared" si="349"/>
        <v>-10006.281000000003</v>
      </c>
      <c r="AH107" s="136">
        <f t="shared" ref="AH107:AM107" si="350">AH104+AH105-AH106</f>
        <v>-6806.2120000000032</v>
      </c>
      <c r="AI107" s="136">
        <f t="shared" si="350"/>
        <v>-10972.632999999998</v>
      </c>
      <c r="AJ107" s="136">
        <f t="shared" si="350"/>
        <v>-4630.4559999999983</v>
      </c>
      <c r="AK107" s="136">
        <f t="shared" si="350"/>
        <v>-16932.591000000004</v>
      </c>
      <c r="AL107" s="136">
        <f t="shared" si="350"/>
        <v>-13172.843999999997</v>
      </c>
      <c r="AM107" s="136">
        <f t="shared" si="350"/>
        <v>18714</v>
      </c>
      <c r="AN107" s="136">
        <f t="shared" ref="AN107:AS107" si="351">AN104+AN105-AN106</f>
        <v>-5958</v>
      </c>
      <c r="AO107" s="136">
        <f t="shared" si="351"/>
        <v>18896.917104038017</v>
      </c>
      <c r="AP107" s="136">
        <f t="shared" si="351"/>
        <v>815.25118539560208</v>
      </c>
      <c r="AQ107" s="136">
        <f t="shared" si="351"/>
        <v>22562.494784830749</v>
      </c>
      <c r="AR107" s="136">
        <f t="shared" si="351"/>
        <v>-9656.5518098342109</v>
      </c>
      <c r="AS107" s="136">
        <f t="shared" si="351"/>
        <v>-14300.478000000003</v>
      </c>
      <c r="AT107" s="136">
        <f>AT104+AT105-AT106</f>
        <v>1435.4274593555456</v>
      </c>
      <c r="AU107" s="136">
        <f>AU104+AU105-AU106</f>
        <v>1864</v>
      </c>
      <c r="AV107" s="136">
        <f t="shared" ref="AV107:AW107" si="352">AV104+AV105-AV106</f>
        <v>1371.323708190499</v>
      </c>
      <c r="AW107" s="136">
        <f t="shared" si="352"/>
        <v>3107.4405162650983</v>
      </c>
      <c r="AX107" s="136">
        <f>AX104+AX105-AX106</f>
        <v>2897.508867303899</v>
      </c>
      <c r="AY107" s="136">
        <f>AY104+AY105-AY106</f>
        <v>1430.8450961923991</v>
      </c>
      <c r="AZ107" s="136">
        <f t="shared" ref="AZ107:BA107" si="353">AZ104+AZ105-AZ106</f>
        <v>2277.8130000000019</v>
      </c>
      <c r="BA107" s="136">
        <f t="shared" si="353"/>
        <v>3522.9907435181303</v>
      </c>
      <c r="BB107" s="136">
        <f>BB104+BB105-BB106</f>
        <v>3562.8928540253983</v>
      </c>
      <c r="BC107" s="136">
        <f>BC104+BC105-BC106</f>
        <v>-393.06670600459984</v>
      </c>
      <c r="BD107" s="136">
        <f t="shared" ref="BD107:BE107" si="354">BD104+BD105-BD106</f>
        <v>-1094.9570027233276</v>
      </c>
      <c r="BE107" s="136">
        <f t="shared" si="354"/>
        <v>2711.9668208687362</v>
      </c>
      <c r="BF107" s="136">
        <f t="shared" ref="BF107" si="355">BF104+BF105-BF106</f>
        <v>1656.5067624702642</v>
      </c>
      <c r="BG107" s="136">
        <f>BG104+BG105-BG106</f>
        <v>22.639468206398305</v>
      </c>
      <c r="BH107" s="136">
        <f t="shared" ref="BH107:BI107" si="356">BH104+BH105-BH106</f>
        <v>4262.6530687699014</v>
      </c>
      <c r="BI107" s="136">
        <f t="shared" si="356"/>
        <v>3177.2174911989496</v>
      </c>
      <c r="BJ107" s="136"/>
      <c r="BK107" s="136"/>
      <c r="BL107" s="198"/>
      <c r="BM107" s="198"/>
    </row>
    <row r="108" spans="2:65" s="28" customFormat="1" ht="13.5" customHeight="1">
      <c r="B108" s="23" t="s">
        <v>344</v>
      </c>
      <c r="C108" s="40">
        <f t="shared" ref="C108:H108" si="357">+C107/C89</f>
        <v>-9.0225257640972716E-3</v>
      </c>
      <c r="D108" s="40">
        <f t="shared" si="357"/>
        <v>-1.6415069572066159E-2</v>
      </c>
      <c r="E108" s="40">
        <f t="shared" si="357"/>
        <v>-1.1788338828931228E-2</v>
      </c>
      <c r="F108" s="40">
        <f t="shared" si="357"/>
        <v>-1.1838397569371217E-2</v>
      </c>
      <c r="G108" s="40">
        <f t="shared" si="357"/>
        <v>-1.3164245803947608E-2</v>
      </c>
      <c r="H108" s="40">
        <f t="shared" si="357"/>
        <v>-5.1177731021832176E-3</v>
      </c>
      <c r="I108" s="40">
        <f t="shared" ref="I108:N108" si="358">+I107/I89</f>
        <v>-2.3810521877297892E-2</v>
      </c>
      <c r="J108" s="40">
        <f t="shared" si="358"/>
        <v>-3.244839697010795E-2</v>
      </c>
      <c r="K108" s="40">
        <f t="shared" si="358"/>
        <v>-4.9570698467086068E-2</v>
      </c>
      <c r="L108" s="40">
        <f t="shared" si="358"/>
        <v>6.0479924235365724E-3</v>
      </c>
      <c r="M108" s="40">
        <f t="shared" si="358"/>
        <v>9.2938577164120729E-3</v>
      </c>
      <c r="N108" s="40">
        <f t="shared" si="358"/>
        <v>-3.9134508153095583E-3</v>
      </c>
      <c r="O108" s="40">
        <f t="shared" ref="O108" si="359">+O107/O89</f>
        <v>1.4610853683326425E-2</v>
      </c>
      <c r="P108" s="40">
        <f t="shared" ref="P108" si="360">+P107/P89</f>
        <v>1.0861753183107061E-2</v>
      </c>
      <c r="Q108" s="329"/>
      <c r="R108" s="40"/>
      <c r="S108" s="40"/>
      <c r="T108" s="95"/>
      <c r="U108" s="40"/>
      <c r="V108" s="40"/>
      <c r="W108" s="40"/>
      <c r="X108" s="40">
        <f t="shared" ref="X108:AD108" si="361">+X107/X89</f>
        <v>-1.1788338828931228E-2</v>
      </c>
      <c r="Y108" s="40">
        <f t="shared" si="361"/>
        <v>-2.7492566244042786E-2</v>
      </c>
      <c r="Z108" s="40">
        <f t="shared" si="361"/>
        <v>-2.9083951528487108E-2</v>
      </c>
      <c r="AA108" s="40">
        <f t="shared" si="361"/>
        <v>-3.017383376139561E-2</v>
      </c>
      <c r="AB108" s="40">
        <f t="shared" si="361"/>
        <v>-1.1838397569371217E-2</v>
      </c>
      <c r="AC108" s="40">
        <f t="shared" si="361"/>
        <v>-5.4032608463941673E-2</v>
      </c>
      <c r="AD108" s="40">
        <f t="shared" si="361"/>
        <v>-2.9077605537399305E-2</v>
      </c>
      <c r="AE108" s="40">
        <f t="shared" ref="AE108:AK108" si="362">+AE107/AE89</f>
        <v>-1.8119242694827106E-2</v>
      </c>
      <c r="AF108" s="40">
        <f t="shared" si="362"/>
        <v>-5.1177731021832176E-3</v>
      </c>
      <c r="AG108" s="40">
        <f t="shared" si="362"/>
        <v>-5.4244164290760052E-2</v>
      </c>
      <c r="AH108" s="40">
        <f t="shared" si="362"/>
        <v>-3.6227051589694186E-2</v>
      </c>
      <c r="AI108" s="40">
        <f t="shared" si="362"/>
        <v>-5.7022327228736798E-2</v>
      </c>
      <c r="AJ108" s="40">
        <f t="shared" si="362"/>
        <v>-2.3810521877297892E-2</v>
      </c>
      <c r="AK108" s="40">
        <f t="shared" si="362"/>
        <v>-8.7474628668389939E-2</v>
      </c>
      <c r="AL108" s="40">
        <f t="shared" ref="AL108:AQ108" si="363">+AL107/AL89</f>
        <v>-6.9820314970885144E-2</v>
      </c>
      <c r="AM108" s="40">
        <f t="shared" si="363"/>
        <v>0.10023393208396214</v>
      </c>
      <c r="AN108" s="40">
        <f t="shared" si="363"/>
        <v>-3.244839697010795E-2</v>
      </c>
      <c r="AO108" s="40">
        <f t="shared" si="363"/>
        <v>0.10328620456375089</v>
      </c>
      <c r="AP108" s="40">
        <f t="shared" si="363"/>
        <v>4.3441015154879218E-3</v>
      </c>
      <c r="AQ108" s="40">
        <f t="shared" si="363"/>
        <v>0.11922050138601355</v>
      </c>
      <c r="AR108" s="40">
        <f t="shared" ref="AR108:AW108" si="364">+AR107/AR89</f>
        <v>-4.9570698467086068E-2</v>
      </c>
      <c r="AS108" s="40">
        <f t="shared" si="364"/>
        <v>-7.1037725430405249E-2</v>
      </c>
      <c r="AT108" s="40">
        <f t="shared" si="364"/>
        <v>6.8083798076744367E-3</v>
      </c>
      <c r="AU108" s="40">
        <f t="shared" si="364"/>
        <v>8.4877602502689709E-3</v>
      </c>
      <c r="AV108" s="40">
        <f t="shared" si="364"/>
        <v>6.0479924235365724E-3</v>
      </c>
      <c r="AW108" s="40">
        <f t="shared" si="364"/>
        <v>1.3342225490292309E-2</v>
      </c>
      <c r="AX108" s="40">
        <f t="shared" ref="AX108:BA108" si="365">+AX107/AX89</f>
        <v>1.2224718298226338E-2</v>
      </c>
      <c r="AY108" s="40">
        <f t="shared" si="365"/>
        <v>5.8935865640972473E-3</v>
      </c>
      <c r="AZ108" s="40">
        <f t="shared" si="365"/>
        <v>9.2938577164120729E-3</v>
      </c>
      <c r="BA108" s="40">
        <f t="shared" si="365"/>
        <v>1.40060661167911E-2</v>
      </c>
      <c r="BB108" s="40">
        <f t="shared" ref="BB108:BE108" si="366">+BB107/BB89</f>
        <v>1.3726630833628083E-2</v>
      </c>
      <c r="BC108" s="40">
        <f t="shared" si="366"/>
        <v>-1.4759807292017875E-3</v>
      </c>
      <c r="BD108" s="40">
        <f t="shared" si="366"/>
        <v>-3.9134508153095583E-3</v>
      </c>
      <c r="BE108" s="40">
        <f t="shared" si="366"/>
        <v>9.4775167852776711E-3</v>
      </c>
      <c r="BF108" s="40">
        <f t="shared" ref="BF108:BI108" si="367">+BF107/BF89</f>
        <v>5.7198196993493641E-3</v>
      </c>
      <c r="BG108" s="40">
        <f t="shared" si="367"/>
        <v>7.7561455388703483E-5</v>
      </c>
      <c r="BH108" s="40">
        <f t="shared" si="367"/>
        <v>1.4610853683326428E-2</v>
      </c>
      <c r="BI108" s="40">
        <f t="shared" si="367"/>
        <v>1.0861753183107061E-2</v>
      </c>
      <c r="BJ108" s="329"/>
      <c r="BK108" s="329"/>
      <c r="BL108" s="40"/>
      <c r="BM108" s="40"/>
    </row>
    <row r="109" spans="2:65" ht="13.5" customHeight="1"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4"/>
      <c r="S109" s="4"/>
      <c r="T109" s="93"/>
      <c r="U109" s="38"/>
      <c r="Y109" s="38"/>
      <c r="Z109" s="38"/>
      <c r="BF109" s="1"/>
      <c r="BJ109" s="1"/>
      <c r="BK109" s="1"/>
    </row>
    <row r="110" spans="2:65" ht="13.5" customHeight="1">
      <c r="B110" s="1" t="s">
        <v>345</v>
      </c>
      <c r="C110" s="38"/>
      <c r="D110" s="38"/>
      <c r="E110" s="38"/>
      <c r="F110" s="38"/>
      <c r="G110" s="38"/>
      <c r="H110" s="38"/>
      <c r="I110" s="38"/>
      <c r="J110" s="316">
        <f>365/(-J10/(AVERAGE(J104,I104)))</f>
        <v>36.688585851108222</v>
      </c>
      <c r="K110" s="316">
        <f>365/(-K10/(AVERAGE(K104,J104)))</f>
        <v>37.265864997009345</v>
      </c>
      <c r="L110" s="316">
        <f>365/(-L10/(AVERAGE(L104,K104)))</f>
        <v>34.420860607772802</v>
      </c>
      <c r="M110" s="316">
        <f>365/(-M10/(AVERAGE(M104,L104)))</f>
        <v>32.315124340274238</v>
      </c>
      <c r="N110" s="316">
        <f>365/(-N10/(AVERAGE(N104,M104)))</f>
        <v>31.33759158095944</v>
      </c>
      <c r="O110" s="316">
        <f>365/(-O10/(AVERAGE(O104,N104)))</f>
        <v>32.309276563626383</v>
      </c>
      <c r="P110" s="316">
        <f>365/(-P10/(AVERAGE(P104,M104)))</f>
        <v>30.849083046687344</v>
      </c>
      <c r="Q110" s="330"/>
      <c r="R110" s="316" t="e">
        <f>365/(-R10/(AVERAGE(R104,Q104)))</f>
        <v>#DIV/0!</v>
      </c>
      <c r="S110" s="316" t="e">
        <f>365/(-S10/(AVERAGE(S104,R104)))</f>
        <v>#DIV/0!</v>
      </c>
      <c r="T110" s="316" t="e">
        <f>365/(-T10/(AVERAGE(T104,S104)))</f>
        <v>#DIV/0!</v>
      </c>
      <c r="U110" s="316">
        <f>365/(-U10/(AVERAGE(U104,T104)))</f>
        <v>146.51418321550634</v>
      </c>
      <c r="V110" s="316">
        <f>365/(-V10/(AVERAGE(V104,U104)))</f>
        <v>142.92086991835009</v>
      </c>
      <c r="W110" s="316">
        <f>365/(-W10/(AVERAGE(W104,V104)))</f>
        <v>141.54362273153276</v>
      </c>
      <c r="X110" s="316">
        <f>365/(-X10/(AVERAGE(X104,W104)))</f>
        <v>112.13104987581904</v>
      </c>
      <c r="Y110" s="316">
        <f>365/(-Y10/(AVERAGE(Y104,X104)))</f>
        <v>151.77681864135064</v>
      </c>
      <c r="Z110" s="316">
        <f>365/(-Z10/(AVERAGE(Z104,Y104)))</f>
        <v>163.1266470020357</v>
      </c>
      <c r="AA110" s="316">
        <f>365/(-AA10/(AVERAGE(AA104,Z104)))</f>
        <v>148.16488097414705</v>
      </c>
      <c r="AB110" s="316">
        <f>365/(-AB10/(AVERAGE(AB104,AA104)))</f>
        <v>145.23011451408806</v>
      </c>
      <c r="AC110" s="316">
        <f>365/(-AC10/(AVERAGE(AC104,AB104)))</f>
        <v>154.33527845733198</v>
      </c>
      <c r="AD110" s="316">
        <f>365/(-AD10/(AVERAGE(AD104,AC104)))</f>
        <v>147.37151464736385</v>
      </c>
      <c r="AE110" s="316">
        <f>365/(-AE10/(AVERAGE(AE104,AD104)))</f>
        <v>165.49939407517303</v>
      </c>
      <c r="AF110" s="316">
        <f>365/(-AF10/(AVERAGE(AF104,AE104)))</f>
        <v>211.4745596986659</v>
      </c>
      <c r="AG110" s="316">
        <f>365/(-AG10/(AVERAGE(AG104,AF104)))</f>
        <v>149.08002614112959</v>
      </c>
      <c r="AH110" s="316">
        <f>365/(-AH10/(AVERAGE(AH104,AG104)))</f>
        <v>145.86294249589358</v>
      </c>
      <c r="AI110" s="316">
        <f>365/(-AI10/(AVERAGE(AI104,AH104)))</f>
        <v>132.85024085261909</v>
      </c>
      <c r="AJ110" s="316">
        <f>365/(-AJ10/(AVERAGE(AJ104,AI104)))</f>
        <v>128.41723081064245</v>
      </c>
      <c r="AK110" s="316">
        <f>365/(-AK10/(AVERAGE(AK104,AJ104)))</f>
        <v>163.10653623128866</v>
      </c>
      <c r="AL110" s="316">
        <f>365/(-AL10/(AVERAGE(AL104,AK104)))</f>
        <v>163.08132609070279</v>
      </c>
      <c r="AM110" s="316">
        <f>365/(-AM10/(AVERAGE(AM104,AL104)))</f>
        <v>142.00612753991751</v>
      </c>
      <c r="AN110" s="316">
        <f>365/(-AN10/(AVERAGE(AN104,AM104)))</f>
        <v>132.75905149935187</v>
      </c>
      <c r="AO110" s="316">
        <f>91/(-AO10/(AVERAGE(AO104,AN104)))</f>
        <v>36.532597785152532</v>
      </c>
      <c r="AP110" s="316">
        <f>91/(-AP10/(AVERAGE(AP104,AO104)))</f>
        <v>39.212475388736578</v>
      </c>
      <c r="AQ110" s="316">
        <f>91/(-AQ10/(AVERAGE(AQ104,AP104)))</f>
        <v>43.295004619716245</v>
      </c>
      <c r="AR110" s="316">
        <f>91/(-AR10/(AVERAGE(AR104,AQ104)))</f>
        <v>39.193976064025073</v>
      </c>
      <c r="AS110" s="316">
        <f>91/(-AS10/(AVERAGE(AS104,AR104)))</f>
        <v>40.587404155041106</v>
      </c>
      <c r="AT110" s="316">
        <f>91/(-AT10/(AVERAGE(AT104,AS104)))</f>
        <v>39.503938477384537</v>
      </c>
      <c r="AU110" s="316">
        <f>91/(-AU10/(AVERAGE(AU104,AT104)))</f>
        <v>39.35049935626401</v>
      </c>
      <c r="AV110" s="316">
        <f>91/(-AV10/(AVERAGE(AV104,AU104)))</f>
        <v>33.396165113273497</v>
      </c>
      <c r="AW110" s="316">
        <f>91/(-AW10/(AVERAGE(AW104,AV104)))</f>
        <v>36.700870420797898</v>
      </c>
      <c r="AX110" s="316">
        <f>91/(-AX10/(AVERAGE(AX104,AW104)))</f>
        <v>34.509546245023792</v>
      </c>
      <c r="AY110" s="316">
        <f>91/(-AY10/(AVERAGE(AY104,AX104)))</f>
        <v>31.655526793752937</v>
      </c>
      <c r="AZ110" s="316">
        <f>91/(-AZ10/(AVERAGE(AZ104,AY104)))</f>
        <v>31.260272926327193</v>
      </c>
      <c r="BA110" s="316">
        <f>91/(-BA10/(AVERAGE(BA104,AZ104)))</f>
        <v>30.948203796770844</v>
      </c>
      <c r="BB110" s="316">
        <f>91/(-BB10/(AVERAGE(BB104,BA104)))</f>
        <v>29.844865954336665</v>
      </c>
      <c r="BC110" s="316">
        <f>91/(-BC10/(AVERAGE(BC104,BB104)))</f>
        <v>32.009006733420335</v>
      </c>
      <c r="BD110" s="316">
        <f>91/(-BD10/(AVERAGE(BD104,BC104)))</f>
        <v>31.351898895428626</v>
      </c>
      <c r="BE110" s="316">
        <f>91/(-BE10/(AVERAGE(BE104,BD104)))</f>
        <v>34.558134116122929</v>
      </c>
      <c r="BF110" s="316">
        <f>91/(-BF10/(AVERAGE(BF104,BE104)))</f>
        <v>34.271380618461734</v>
      </c>
      <c r="BG110" s="316">
        <f>91/(-BG10/(AVERAGE(BG104,BF104)))</f>
        <v>33.288831486990141</v>
      </c>
      <c r="BH110" s="316">
        <f>91/(-BH10/(AVERAGE(BH104,BG104)))</f>
        <v>31.079816974215333</v>
      </c>
      <c r="BI110" s="316">
        <f>91/(-BI10/(AVERAGE(BI104,BH104)))</f>
        <v>34.819777385723043</v>
      </c>
      <c r="BJ110" s="330"/>
      <c r="BK110" s="330"/>
    </row>
    <row r="111" spans="2:65" ht="13.5" customHeight="1">
      <c r="B111" s="1" t="s">
        <v>346</v>
      </c>
      <c r="C111" s="38"/>
      <c r="D111" s="38"/>
      <c r="E111" s="38"/>
      <c r="F111" s="38"/>
      <c r="G111" s="38"/>
      <c r="H111" s="38"/>
      <c r="I111" s="38"/>
      <c r="J111" s="316">
        <f>365/(J7/(AVERAGE(J105,I105)))</f>
        <v>26.835918801365224</v>
      </c>
      <c r="K111" s="316">
        <f>365/(K7/(AVERAGE(K105,J105)))</f>
        <v>22.986899048404876</v>
      </c>
      <c r="L111" s="316">
        <f>365/(L7/(AVERAGE(L105,K105)))</f>
        <v>23.608229190573208</v>
      </c>
      <c r="M111" s="316">
        <f>365/(M7/(AVERAGE(M105,L105)))</f>
        <v>25.36773950386744</v>
      </c>
      <c r="N111" s="316">
        <f>365/(N7/(AVERAGE(N105,M105)))</f>
        <v>23.722705631890683</v>
      </c>
      <c r="O111" s="316">
        <f>365/(O7/(AVERAGE(O105,N105)))</f>
        <v>25.500962047142423</v>
      </c>
      <c r="P111" s="316">
        <f>365/(P7/(AVERAGE(P105,M105)))</f>
        <v>22.147760309796997</v>
      </c>
      <c r="Q111" s="330"/>
      <c r="R111" s="316" t="e">
        <f>365/(R7/(AVERAGE(R105,Q105)))</f>
        <v>#DIV/0!</v>
      </c>
      <c r="S111" s="316" t="e">
        <f>365/(S7/(AVERAGE(S105,R105)))</f>
        <v>#DIV/0!</v>
      </c>
      <c r="T111" s="316" t="e">
        <f>365/(T7/(AVERAGE(T105,S105)))</f>
        <v>#DIV/0!</v>
      </c>
      <c r="U111" s="316">
        <f>365/(U7/(AVERAGE(U105,T105)))</f>
        <v>82.91453811877723</v>
      </c>
      <c r="V111" s="316">
        <f>365/(V7/(AVERAGE(V105,U105)))</f>
        <v>78.851608185011358</v>
      </c>
      <c r="W111" s="316">
        <f>365/(W7/(AVERAGE(W105,V105)))</f>
        <v>79.535371065618278</v>
      </c>
      <c r="X111" s="316">
        <f>365/(X7/(AVERAGE(X105,W105)))</f>
        <v>77.068198456946547</v>
      </c>
      <c r="Y111" s="316">
        <f>365/(Y7/(AVERAGE(Y105,X105)))</f>
        <v>94.257443189728448</v>
      </c>
      <c r="Z111" s="316">
        <f>365/(Z7/(AVERAGE(Z105,Y105)))</f>
        <v>79.996599311819665</v>
      </c>
      <c r="AA111" s="316">
        <f>365/(AA7/(AVERAGE(AA105,Z105)))</f>
        <v>83.247624739177112</v>
      </c>
      <c r="AB111" s="316">
        <f>365/(AB7/(AVERAGE(AB105,AA105)))</f>
        <v>102.18626415602878</v>
      </c>
      <c r="AC111" s="316">
        <f>365/(AC7/(AVERAGE(AC105,AB105)))</f>
        <v>112.73143171806169</v>
      </c>
      <c r="AD111" s="316">
        <f>365/(AD7/(AVERAGE(AD105,AC105)))</f>
        <v>94.245800765791415</v>
      </c>
      <c r="AE111" s="316">
        <f>365/(AE7/(AVERAGE(AE105,AD105)))</f>
        <v>109.01499708832336</v>
      </c>
      <c r="AF111" s="316">
        <f>365/(AF7/(AVERAGE(AF105,AE105)))</f>
        <v>137.66009786424803</v>
      </c>
      <c r="AG111" s="316">
        <f>365/(AG7/(AVERAGE(AG105,AF105)))</f>
        <v>101.26224676165769</v>
      </c>
      <c r="AH111" s="316">
        <f>365/(AH7/(AVERAGE(AH105,AG105)))</f>
        <v>84.989875976700361</v>
      </c>
      <c r="AI111" s="316">
        <f>365/(AI7/(AVERAGE(AI105,AH105)))</f>
        <v>84.246337148560556</v>
      </c>
      <c r="AJ111" s="316">
        <f>365/(AJ7/(AVERAGE(AJ105,AI105)))</f>
        <v>93.566588265568384</v>
      </c>
      <c r="AK111" s="316">
        <f>365/(AK7/(AVERAGE(AK105,AJ105)))</f>
        <v>106.31532393586178</v>
      </c>
      <c r="AL111" s="316">
        <f>365/(AL7/(AVERAGE(AL105,AK105)))</f>
        <v>85.268013053976119</v>
      </c>
      <c r="AM111" s="316">
        <f>365/(AM7/(AVERAGE(AM105,AL105)))</f>
        <v>70.789981752355075</v>
      </c>
      <c r="AN111" s="316">
        <f>365/(AN7/(AVERAGE(AN105,AM105)))</f>
        <v>77.078363009137419</v>
      </c>
      <c r="AO111" s="316">
        <f>91/(AO7/(AVERAGE(AO105,AN105)))</f>
        <v>20.62702516739661</v>
      </c>
      <c r="AP111" s="316">
        <f>91/(AP7/(AVERAGE(AP105,AO105)))</f>
        <v>16.791301283959882</v>
      </c>
      <c r="AQ111" s="316">
        <f>91/(AQ7/(AVERAGE(AQ105,AP105)))</f>
        <v>16.787455021757015</v>
      </c>
      <c r="AR111" s="316">
        <f>91/(AR7/(AVERAGE(AR105,AQ105)))</f>
        <v>18.484175026759317</v>
      </c>
      <c r="AS111" s="316">
        <f>91/(AS7/(AVERAGE(AS105,AR105)))</f>
        <v>21.965323677067158</v>
      </c>
      <c r="AT111" s="316">
        <f>91/(AT7/(AVERAGE(AT105,AS105)))</f>
        <v>19.3757794551038</v>
      </c>
      <c r="AU111" s="316">
        <f>91/(AU7/(AVERAGE(AU105,AT105)))</f>
        <v>21.473684449549062</v>
      </c>
      <c r="AV111" s="316">
        <f>91/(AV7/(AVERAGE(AV105,AU105)))</f>
        <v>22.741024711939055</v>
      </c>
      <c r="AW111" s="316">
        <f>91/(AW7/(AVERAGE(AW105,AV105)))</f>
        <v>24.069373155243415</v>
      </c>
      <c r="AX111" s="316">
        <f>91/(AX7/(AVERAGE(AX105,AW105)))</f>
        <v>20.594099572168549</v>
      </c>
      <c r="AY111" s="316">
        <f>91/(AY7/(AVERAGE(AY105,AX105)))</f>
        <v>20.320836192314673</v>
      </c>
      <c r="AZ111" s="316">
        <f>91/(AZ7/(AVERAGE(AZ105,AY105)))</f>
        <v>22.977377987078967</v>
      </c>
      <c r="BA111" s="316">
        <f>91/(BA7/(AVERAGE(BA105,AZ105)))</f>
        <v>24.029875512932346</v>
      </c>
      <c r="BB111" s="316">
        <f>91/(BB7/(AVERAGE(BB105,BA105)))</f>
        <v>21.453549262710307</v>
      </c>
      <c r="BC111" s="316">
        <f>91/(BC7/(AVERAGE(BC105,BB105)))</f>
        <v>21.836059182927496</v>
      </c>
      <c r="BD111" s="316">
        <f>91/(BD7/(AVERAGE(BD105,BC105)))</f>
        <v>20.829372834807959</v>
      </c>
      <c r="BE111" s="316">
        <f>91/(BE7/(AVERAGE(BE105,BD105)))</f>
        <v>22.99799949233315</v>
      </c>
      <c r="BF111" s="316">
        <f>91/(BF7/(AVERAGE(BF105,BE105)))</f>
        <v>20.457500970919298</v>
      </c>
      <c r="BG111" s="316">
        <f>91/(BG7/(AVERAGE(BG105,BF105)))</f>
        <v>21.060919442049116</v>
      </c>
      <c r="BH111" s="316">
        <f>91/(BH7/(AVERAGE(BH105,BG105)))</f>
        <v>23.391260268174278</v>
      </c>
      <c r="BI111" s="316">
        <f>91/(BI7/(AVERAGE(BI105,BH105)))</f>
        <v>25.593555704311942</v>
      </c>
      <c r="BJ111" s="330"/>
      <c r="BK111" s="330"/>
    </row>
    <row r="112" spans="2:65" ht="13.5" customHeight="1">
      <c r="B112" s="1" t="s">
        <v>347</v>
      </c>
      <c r="C112" s="38"/>
      <c r="D112" s="38"/>
      <c r="E112" s="38"/>
      <c r="F112" s="38"/>
      <c r="G112" s="38"/>
      <c r="H112" s="38"/>
      <c r="I112" s="38"/>
      <c r="J112" s="316">
        <f>365/(-J10/(AVERAGE(J106,I106)))</f>
        <v>104.73990121099455</v>
      </c>
      <c r="K112" s="316">
        <f>365/(-K10/(AVERAGE(K106,J106)))</f>
        <v>106.26014348593355</v>
      </c>
      <c r="L112" s="316">
        <f>365/(-L10/(AVERAGE(L106,K106)))</f>
        <v>88.715001595116163</v>
      </c>
      <c r="M112" s="316">
        <f>365/(-M10/(AVERAGE(M106,L106)))</f>
        <v>73.672822363630743</v>
      </c>
      <c r="N112" s="316">
        <f>365/(-N10/(AVERAGE(N106,M106)))</f>
        <v>73.848451074778595</v>
      </c>
      <c r="O112" s="316">
        <f>365/(-O10/(AVERAGE(O106,N106)))</f>
        <v>75.581550538131467</v>
      </c>
      <c r="P112" s="316">
        <f>365/(-P10/(AVERAGE(P106,M106)))</f>
        <v>65.570082453395031</v>
      </c>
      <c r="Q112" s="330"/>
      <c r="R112" s="316" t="e">
        <f>365/(-R10/(AVERAGE(R106,Q106)))</f>
        <v>#DIV/0!</v>
      </c>
      <c r="S112" s="316" t="e">
        <f>365/(-S10/(AVERAGE(S106,R106)))</f>
        <v>#DIV/0!</v>
      </c>
      <c r="T112" s="316" t="e">
        <f>365/(-T10/(AVERAGE(T106,S106)))</f>
        <v>#DIV/0!</v>
      </c>
      <c r="U112" s="316">
        <f>365/(-U10/(AVERAGE(U106,T106)))</f>
        <v>345.57273656344881</v>
      </c>
      <c r="V112" s="316">
        <f>365/(-V10/(AVERAGE(V106,U106)))</f>
        <v>333.97165244392664</v>
      </c>
      <c r="W112" s="316">
        <f>365/(-W10/(AVERAGE(W106,V106)))</f>
        <v>333.8340161455227</v>
      </c>
      <c r="X112" s="316">
        <f>365/(-X10/(AVERAGE(X106,W106)))</f>
        <v>280.38796625758846</v>
      </c>
      <c r="Y112" s="316">
        <f>365/(-Y10/(AVERAGE(Y106,X106)))</f>
        <v>364.65866543997049</v>
      </c>
      <c r="Z112" s="316">
        <f>365/(-Z10/(AVERAGE(Z106,Y106)))</f>
        <v>384.68640819164301</v>
      </c>
      <c r="AA112" s="316">
        <f>365/(-AA10/(AVERAGE(AA106,Z106)))</f>
        <v>379.78444198632394</v>
      </c>
      <c r="AB112" s="316">
        <f>365/(-AB10/(AVERAGE(AB106,AA106)))</f>
        <v>391.7719797251645</v>
      </c>
      <c r="AC112" s="316">
        <f>365/(-AC10/(AVERAGE(AC106,AB106)))</f>
        <v>443.50407945387826</v>
      </c>
      <c r="AD112" s="316">
        <f>365/(-AD10/(AVERAGE(AD106,AC106)))</f>
        <v>421.45013911412332</v>
      </c>
      <c r="AE112" s="316">
        <f>365/(-AE10/(AVERAGE(AE106,AD106)))</f>
        <v>439.58153861621219</v>
      </c>
      <c r="AF112" s="316">
        <f>365/(-AF10/(AVERAGE(AF106,AE106)))</f>
        <v>543.90658698135178</v>
      </c>
      <c r="AG112" s="316">
        <f>365/(-AG10/(AVERAGE(AG106,AF106)))</f>
        <v>412.51858683534886</v>
      </c>
      <c r="AH112" s="316">
        <f>365/(-AH10/(AVERAGE(AH106,AG106)))</f>
        <v>422.0251545003054</v>
      </c>
      <c r="AI112" s="316">
        <f>365/(-AI10/(AVERAGE(AI106,AH106)))</f>
        <v>404.65327968976874</v>
      </c>
      <c r="AJ112" s="316">
        <f>365/(-AJ10/(AVERAGE(AJ106,AI106)))</f>
        <v>395.67679868309853</v>
      </c>
      <c r="AK112" s="316">
        <f>365/(-AK10/(AVERAGE(AK106,AJ106)))</f>
        <v>518.56217534866539</v>
      </c>
      <c r="AL112" s="316">
        <f>365/(-AL10/(AVERAGE(AL106,AK106)))</f>
        <v>545.05119160148024</v>
      </c>
      <c r="AM112" s="316">
        <f>365/(-AM10/(AVERAGE(AM106,AL106)))</f>
        <v>465.11820140297982</v>
      </c>
      <c r="AN112" s="316">
        <f>365/(-AN10/(AVERAGE(AN106,AM106)))</f>
        <v>370.51064449629354</v>
      </c>
      <c r="AO112" s="316">
        <f>91/(-AO10/(AVERAGE(AO106,AN106)))</f>
        <v>99.963114302965778</v>
      </c>
      <c r="AP112" s="316">
        <f>91/(-AP10/(AVERAGE(AP106,AO106)))</f>
        <v>70.932115087526398</v>
      </c>
      <c r="AQ112" s="316">
        <f>91/(-AQ10/(AVERAGE(AQ106,AP106)))</f>
        <v>67.525726833150856</v>
      </c>
      <c r="AR112" s="316">
        <f>91/(-AR10/(AVERAGE(AR106,AQ106)))</f>
        <v>106.06250269223816</v>
      </c>
      <c r="AS112" s="316">
        <f>91/(-AS10/(AVERAGE(AS106,AR106)))</f>
        <v>118.03851463644948</v>
      </c>
      <c r="AT112" s="316">
        <f>91/(-AT10/(AVERAGE(AT106,AS106)))</f>
        <v>92.432737615485593</v>
      </c>
      <c r="AU112" s="316">
        <f>91/(-AU10/(AVERAGE(AU106,AT106)))</f>
        <v>73.288290656567128</v>
      </c>
      <c r="AV112" s="316">
        <f>91/(-AV10/(AVERAGE(AV106,AU106)))</f>
        <v>69.846487165091418</v>
      </c>
      <c r="AW112" s="316">
        <f>91/(-AW10/(AVERAGE(AW106,AV106)))</f>
        <v>73.591205583969696</v>
      </c>
      <c r="AX112" s="316">
        <f>91/(-AX10/(AVERAGE(AX106,AW106)))</f>
        <v>63.543754092159539</v>
      </c>
      <c r="AY112" s="316">
        <f>91/(-AY10/(AVERAGE(AY106,AX106)))</f>
        <v>63.423844722793433</v>
      </c>
      <c r="AZ112" s="316">
        <f>91/(-AZ10/(AVERAGE(AZ106,AY106)))</f>
        <v>68.995974536551969</v>
      </c>
      <c r="BA112" s="316">
        <f>91/(-BA10/(AVERAGE(BA106,AZ106)))</f>
        <v>66.82834000472559</v>
      </c>
      <c r="BB112" s="316">
        <f>91/(-BB10/(AVERAGE(BB106,BA106)))</f>
        <v>60.987187110739264</v>
      </c>
      <c r="BC112" s="316">
        <f>91/(-BC10/(AVERAGE(BC106,BB106)))</f>
        <v>68.68458068159471</v>
      </c>
      <c r="BD112" s="316">
        <f>91/(-BD10/(AVERAGE(BD106,BC106)))</f>
        <v>72.406771652841897</v>
      </c>
      <c r="BE112" s="316">
        <f>91/(-BE10/(AVERAGE(BE106,BD106)))</f>
        <v>74.738531352167882</v>
      </c>
      <c r="BF112" s="316">
        <f>91/(-BF10/(AVERAGE(BF106,BE106)))</f>
        <v>66.696246110732957</v>
      </c>
      <c r="BG112" s="316">
        <f>91/(-BG10/(AVERAGE(BG106,BF106)))</f>
        <v>69.689015889399556</v>
      </c>
      <c r="BH112" s="316">
        <f>91/(-BH10/(AVERAGE(BH106,BG106)))</f>
        <v>70.249445356298551</v>
      </c>
      <c r="BI112" s="316">
        <f>91/(-BI10/(AVERAGE(BI106,BH106)))</f>
        <v>74.021162141079699</v>
      </c>
      <c r="BJ112" s="330"/>
      <c r="BK112" s="330"/>
    </row>
    <row r="113" spans="2:65" ht="13.5" customHeight="1"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4"/>
      <c r="S113" s="4"/>
      <c r="T113" s="93"/>
      <c r="U113" s="38"/>
      <c r="Y113" s="38"/>
      <c r="Z113" s="38"/>
      <c r="BF113" s="1"/>
      <c r="BJ113" s="1"/>
      <c r="BK113" s="1"/>
    </row>
    <row r="114" spans="2:65" ht="13.5" customHeight="1">
      <c r="B114" s="5" t="s">
        <v>348</v>
      </c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BJ114" s="1"/>
      <c r="BK114" s="1"/>
    </row>
    <row r="115" spans="2:65" ht="13.5" customHeight="1">
      <c r="B115" s="1" t="s">
        <v>349</v>
      </c>
      <c r="C115" s="131">
        <f>301+905+64821</f>
        <v>66027</v>
      </c>
      <c r="D115" s="131">
        <f>384+3086+63260</f>
        <v>66730</v>
      </c>
      <c r="E115" s="131">
        <f>1573+1479+85857</f>
        <v>88909</v>
      </c>
      <c r="F115" s="131">
        <f>12171+71189</f>
        <v>83360</v>
      </c>
      <c r="G115" s="131">
        <f>12171+71189</f>
        <v>83360</v>
      </c>
      <c r="H115" s="131">
        <f>11604+70201</f>
        <v>81805</v>
      </c>
      <c r="I115" s="131">
        <f>11485+483+58492+900</f>
        <v>71360</v>
      </c>
      <c r="J115" s="131">
        <f>1645+3372+560+82461+746</f>
        <v>88784</v>
      </c>
      <c r="K115" s="131">
        <f>2453+614.345271175642+83329.4704149987+890.913181723625</f>
        <v>87287.728867897953</v>
      </c>
      <c r="L115" s="131">
        <f>8523.85819939672+471.824637105254+70145.5524697198+1663.27310672253</f>
        <v>80804.508412944298</v>
      </c>
      <c r="M115" s="131">
        <f>140+752+65074+1769</f>
        <v>67735</v>
      </c>
      <c r="N115" s="131">
        <f>3314+889+70383+2295</f>
        <v>76881</v>
      </c>
      <c r="O115" s="131">
        <f>7943.58633016583+630.799817921953+71834.4512207217+2272.59807072897</f>
        <v>82681.435439538458</v>
      </c>
      <c r="P115" s="6">
        <f>BI115</f>
        <v>90917.67017102582</v>
      </c>
      <c r="Q115" s="6"/>
      <c r="R115" s="4"/>
      <c r="S115" s="4"/>
      <c r="T115" s="93"/>
      <c r="U115" s="127">
        <f>3939+63953</f>
        <v>67892</v>
      </c>
      <c r="V115" s="127">
        <f>3355+68020</f>
        <v>71375</v>
      </c>
      <c r="W115" s="127">
        <f>3678+69808</f>
        <v>73486</v>
      </c>
      <c r="X115" s="131">
        <f>1573+1479+85857</f>
        <v>88909</v>
      </c>
      <c r="Y115" s="132">
        <f>2412+79036</f>
        <v>81448</v>
      </c>
      <c r="Z115" s="132">
        <f>2050+85545</f>
        <v>87595</v>
      </c>
      <c r="AA115" s="127">
        <f>2155+76510</f>
        <v>78665</v>
      </c>
      <c r="AB115" s="127">
        <f>12171+71189</f>
        <v>83360</v>
      </c>
      <c r="AC115" s="127">
        <f>11233+67463</f>
        <v>78696</v>
      </c>
      <c r="AD115" s="127">
        <f>12003+81258</f>
        <v>93261</v>
      </c>
      <c r="AE115" s="127">
        <f>10121+79840</f>
        <v>89961</v>
      </c>
      <c r="AF115" s="229">
        <f>H115</f>
        <v>81805</v>
      </c>
      <c r="AG115" s="127">
        <f>16862+498+59328+1146</f>
        <v>77834</v>
      </c>
      <c r="AH115" s="127">
        <f>16726+487+58863+1076</f>
        <v>77152</v>
      </c>
      <c r="AI115" s="127">
        <f>16698.8988951059+470.744083847586+59833.7092943134+913.029260663512</f>
        <v>77916.381533930384</v>
      </c>
      <c r="AJ115" s="134">
        <f>I115</f>
        <v>71360</v>
      </c>
      <c r="AK115" s="127">
        <f>13597+565+77761+1015</f>
        <v>92938</v>
      </c>
      <c r="AL115" s="127">
        <f>17247+493+74039+817</f>
        <v>92596</v>
      </c>
      <c r="AM115" s="127">
        <f>14282+556+88840+726</f>
        <v>104404</v>
      </c>
      <c r="AN115" s="134">
        <f>J115</f>
        <v>88784</v>
      </c>
      <c r="AO115" s="224">
        <f>4056.19827015546+550.116262124493+866.868298501638+84705.4296655085</f>
        <v>90178.612496290094</v>
      </c>
      <c r="AP115" s="224">
        <f>3147.93558581383+553.678263202475+81213.0224341071+890.69848283725</f>
        <v>85805.334765960652</v>
      </c>
      <c r="AQ115" s="127">
        <f>2703.60608749189+558.225694425489+82690.0150326548+838.084005197831</f>
        <v>86789.930819770016</v>
      </c>
      <c r="AR115" s="134">
        <f>K115</f>
        <v>87287.728867897953</v>
      </c>
      <c r="AS115" s="131">
        <f>3101+645+81389+946</f>
        <v>86081</v>
      </c>
      <c r="AT115" s="224">
        <f>8749.22220724645+536.206920875771+72603.1474245454+971.692611094136</f>
        <v>82860.269163761768</v>
      </c>
      <c r="AU115" s="224">
        <f>8673+508+65934+941</f>
        <v>76056</v>
      </c>
      <c r="AV115" s="134">
        <f>L115</f>
        <v>80804.508412944298</v>
      </c>
      <c r="AW115" s="131">
        <f>9901.171+520.419+71046.011+1698.724</f>
        <v>83166.324999999997</v>
      </c>
      <c r="AX115" s="224">
        <f>7901.1623844406+520.418893196717+67850.8214069629+1698.72401199665</f>
        <v>77971.126696596868</v>
      </c>
      <c r="AY115" s="224">
        <f>37.9945811650643+609.351734259747+66122.6678116826+1615.05773641117</f>
        <v>68385.071863518577</v>
      </c>
      <c r="AZ115" s="134">
        <f>M115</f>
        <v>67735</v>
      </c>
      <c r="BA115" s="131">
        <f>170+753+64375+1753</f>
        <v>67051</v>
      </c>
      <c r="BB115" s="131">
        <f>622.359890312855+756.161575217222+67929.4726507508+2138.31234738717</f>
        <v>71446.30646366805</v>
      </c>
      <c r="BC115" s="224">
        <f>2556.62413335807+817.50614062955+69324.9407678424+2204.53507094603</f>
        <v>74903.606112776062</v>
      </c>
      <c r="BD115" s="134">
        <f>N115</f>
        <v>76881</v>
      </c>
      <c r="BE115" s="131">
        <f>3623+997+70674+2303</f>
        <v>77597</v>
      </c>
      <c r="BF115" s="131">
        <f>3755.083398+875.8689976+77768.88306+2101.008768</f>
        <v>84500.844223599997</v>
      </c>
      <c r="BG115" s="127">
        <f>3630.40794045856+857.23752347045+74022.4402852996+2006.78100394513</f>
        <v>80516.86675317373</v>
      </c>
      <c r="BH115" s="134">
        <f t="shared" ref="BH115" si="368">O115</f>
        <v>82681.435439538458</v>
      </c>
      <c r="BI115" s="131">
        <f>4875.07339197277+952.168700415713+82233.1144863269+2857.31359231044</f>
        <v>90917.67017102582</v>
      </c>
      <c r="BJ115" s="131"/>
      <c r="BK115" s="131"/>
      <c r="BL115" s="127"/>
      <c r="BM115" s="127"/>
    </row>
    <row r="116" spans="2:65" ht="13.5" customHeight="1"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4"/>
      <c r="S116" s="4"/>
      <c r="T116" s="93"/>
      <c r="U116" s="38"/>
      <c r="Y116" s="38"/>
      <c r="Z116" s="38"/>
      <c r="BF116" s="1"/>
      <c r="BI116" s="38"/>
      <c r="BJ116" s="1"/>
      <c r="BK116" s="1"/>
    </row>
    <row r="117" spans="2:65" ht="13.5" customHeight="1">
      <c r="B117" s="5" t="s">
        <v>350</v>
      </c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BJ117" s="1"/>
      <c r="BK117" s="1"/>
    </row>
    <row r="118" spans="2:65" ht="13.5" customHeight="1">
      <c r="B118" s="1" t="s">
        <v>351</v>
      </c>
      <c r="C118" s="131">
        <f>301+309+232</f>
        <v>842</v>
      </c>
      <c r="D118" s="131">
        <f>165+18+123</f>
        <v>306</v>
      </c>
      <c r="E118" s="131">
        <f>644+40</f>
        <v>684</v>
      </c>
      <c r="F118" s="131"/>
      <c r="G118" s="131">
        <f>0.1%*$G$115</f>
        <v>83.36</v>
      </c>
      <c r="H118" s="131">
        <f>0.2%*$H$115</f>
        <v>163.61000000000001</v>
      </c>
      <c r="I118" s="131">
        <f>0.2%*$I$115</f>
        <v>142.72</v>
      </c>
      <c r="J118" s="131">
        <f>0.2%*$J$115</f>
        <v>177.56800000000001</v>
      </c>
      <c r="K118" s="131">
        <f>0.6%*$K$115</f>
        <v>523.72637320738772</v>
      </c>
      <c r="L118" s="131"/>
      <c r="M118" s="131">
        <f>0.1%*$M$115</f>
        <v>67.734999999999999</v>
      </c>
      <c r="N118" s="131">
        <f>0.9%*N$115</f>
        <v>691.92900000000009</v>
      </c>
      <c r="O118" s="131">
        <f>0.783012831909024%*O$115</f>
        <v>647.40624909816154</v>
      </c>
      <c r="P118" s="6">
        <f t="shared" ref="P118:P123" si="369">BI118</f>
        <v>545.50602102615494</v>
      </c>
      <c r="Q118" s="6"/>
      <c r="R118" s="4"/>
      <c r="S118" s="4"/>
      <c r="T118" s="93"/>
      <c r="U118" s="189"/>
      <c r="V118" s="189"/>
      <c r="W118" s="189"/>
      <c r="X118" s="131">
        <f>644+40</f>
        <v>684</v>
      </c>
      <c r="Y118" s="189"/>
      <c r="Z118" s="189"/>
      <c r="AA118" s="189"/>
      <c r="AB118" s="189"/>
      <c r="AC118" s="189"/>
      <c r="AD118" s="131">
        <f>0.2%*$AD$115</f>
        <v>186.52199999999999</v>
      </c>
      <c r="AE118" s="131">
        <f>0.2%*$AE$115</f>
        <v>179.922</v>
      </c>
      <c r="AF118" s="226">
        <f t="shared" ref="AF118:AF123" si="370">H118</f>
        <v>163.61000000000001</v>
      </c>
      <c r="AG118" s="131">
        <f>0.3%*$AG$115</f>
        <v>233.50200000000001</v>
      </c>
      <c r="AH118" s="131">
        <f>0.3%*AH$115</f>
        <v>231.45600000000002</v>
      </c>
      <c r="AI118" s="131">
        <f>0.2%*AI$115</f>
        <v>155.83276306786078</v>
      </c>
      <c r="AJ118" s="134">
        <f t="shared" ref="AJ118:AJ123" si="371">I118</f>
        <v>142.72</v>
      </c>
      <c r="AK118" s="131">
        <f>0.6%*$AK$115</f>
        <v>557.62800000000004</v>
      </c>
      <c r="AL118" s="131">
        <f>0.6%*AL$115</f>
        <v>555.57600000000002</v>
      </c>
      <c r="AM118" s="131">
        <f>0.9%*AM$115</f>
        <v>939.63600000000008</v>
      </c>
      <c r="AN118" s="134">
        <f t="shared" ref="AN118:AN123" si="372">J118</f>
        <v>177.56800000000001</v>
      </c>
      <c r="AO118" s="131">
        <f>0.7%*AO$115</f>
        <v>631.25028747403064</v>
      </c>
      <c r="AP118" s="131">
        <f>0.8%*AP$115</f>
        <v>686.44267812768521</v>
      </c>
      <c r="AQ118" s="131">
        <f>0.7%*AQ$115</f>
        <v>607.52951573839005</v>
      </c>
      <c r="AR118" s="134">
        <f t="shared" ref="AR118:AR123" si="373">K118</f>
        <v>523.72637320738772</v>
      </c>
      <c r="AS118" s="131">
        <f>0.5%*AS$115</f>
        <v>430.40500000000003</v>
      </c>
      <c r="AT118" s="131">
        <f>0.2%*AT$115</f>
        <v>165.72053832752354</v>
      </c>
      <c r="AU118" s="131">
        <f>0.2%*AU$115</f>
        <v>152.11199999999999</v>
      </c>
      <c r="AV118" s="134">
        <f t="shared" ref="AV118:AV123" si="374">L118</f>
        <v>0</v>
      </c>
      <c r="AW118" s="131">
        <v>0</v>
      </c>
      <c r="AX118" s="131">
        <v>0</v>
      </c>
      <c r="AY118" s="131">
        <f>0%*AY$115</f>
        <v>0</v>
      </c>
      <c r="AZ118" s="134">
        <f t="shared" ref="AZ118:AZ123" si="375">M118</f>
        <v>67.734999999999999</v>
      </c>
      <c r="BA118" s="131">
        <v>0</v>
      </c>
      <c r="BB118" s="131">
        <f>0.7%*BB$115</f>
        <v>500.12414524567629</v>
      </c>
      <c r="BC118" s="131">
        <f>0.9%*BC$115</f>
        <v>674.13245501498466</v>
      </c>
      <c r="BD118" s="134">
        <f t="shared" ref="BD118:BD123" si="376">N118</f>
        <v>691.92900000000009</v>
      </c>
      <c r="BE118" s="131">
        <v>0</v>
      </c>
      <c r="BF118" s="131">
        <f>0.6%*BF$115</f>
        <v>507.00506534160002</v>
      </c>
      <c r="BG118" s="131">
        <f>0.6%*BG$115</f>
        <v>483.10120051904238</v>
      </c>
      <c r="BH118" s="134">
        <f t="shared" ref="BH118:BH123" si="377">O118</f>
        <v>647.40624909816154</v>
      </c>
      <c r="BI118" s="131">
        <f>0.6%*BI$115</f>
        <v>545.50602102615494</v>
      </c>
      <c r="BJ118" s="131"/>
      <c r="BK118" s="131"/>
      <c r="BL118" s="189"/>
      <c r="BM118" s="189"/>
    </row>
    <row r="119" spans="2:65" ht="13.5" customHeight="1">
      <c r="B119" s="1" t="s">
        <v>352</v>
      </c>
      <c r="C119" s="131">
        <f>769</f>
        <v>769</v>
      </c>
      <c r="D119" s="131">
        <f>219+874</f>
        <v>1093</v>
      </c>
      <c r="E119" s="131">
        <f>723+758+1206</f>
        <v>2687</v>
      </c>
      <c r="F119" s="131"/>
      <c r="G119" s="131">
        <f>3.1%*$G$115</f>
        <v>2584.16</v>
      </c>
      <c r="H119" s="131">
        <f>1.6%*$H$115</f>
        <v>1308.8800000000001</v>
      </c>
      <c r="I119" s="131">
        <f>1.5%*$I$115</f>
        <v>1070.3999999999999</v>
      </c>
      <c r="J119" s="131">
        <f>1.5%*$J$115</f>
        <v>1331.76</v>
      </c>
      <c r="K119" s="131">
        <f>1.7%*$K$115</f>
        <v>1483.8913907542653</v>
      </c>
      <c r="L119" s="131">
        <f>1.4%*$L$115</f>
        <v>1131.26311778122</v>
      </c>
      <c r="M119" s="131">
        <f>1.3%*$M$115</f>
        <v>880.55500000000006</v>
      </c>
      <c r="N119" s="131">
        <f>2.4%*N$115</f>
        <v>1845.144</v>
      </c>
      <c r="O119" s="131">
        <f>2.92292478806853%*O$115</f>
        <v>2416.7161715931479</v>
      </c>
      <c r="P119" s="6">
        <f t="shared" si="369"/>
        <v>1454.6827227364131</v>
      </c>
      <c r="Q119" s="6"/>
      <c r="R119" s="4"/>
      <c r="S119" s="4"/>
      <c r="T119" s="93"/>
      <c r="U119" s="189"/>
      <c r="V119" s="189"/>
      <c r="W119" s="189"/>
      <c r="X119" s="131">
        <f>723+758+1206</f>
        <v>2687</v>
      </c>
      <c r="Y119" s="189"/>
      <c r="Z119" s="189"/>
      <c r="AA119" s="189"/>
      <c r="AB119" s="189"/>
      <c r="AC119" s="189"/>
      <c r="AD119" s="131">
        <f>2.7%*$AD$115</f>
        <v>2518.0470000000005</v>
      </c>
      <c r="AE119" s="131">
        <f>1.6%*$AE$115</f>
        <v>1439.376</v>
      </c>
      <c r="AF119" s="226">
        <f t="shared" si="370"/>
        <v>1308.8800000000001</v>
      </c>
      <c r="AG119" s="131">
        <f>1.9%*$AG$115</f>
        <v>1478.846</v>
      </c>
      <c r="AH119" s="131">
        <f>1.7%*AH$115</f>
        <v>1311.5840000000001</v>
      </c>
      <c r="AI119" s="131">
        <f>1.6%*AI$115</f>
        <v>1246.6621045428863</v>
      </c>
      <c r="AJ119" s="134">
        <f t="shared" si="371"/>
        <v>1070.3999999999999</v>
      </c>
      <c r="AK119" s="131">
        <f>2%*$AK$115</f>
        <v>1858.76</v>
      </c>
      <c r="AL119" s="131">
        <f>2.1%*AL$115</f>
        <v>1944.5160000000001</v>
      </c>
      <c r="AM119" s="131">
        <f>1.1%*AM$115</f>
        <v>1148.4440000000002</v>
      </c>
      <c r="AN119" s="134">
        <f t="shared" si="372"/>
        <v>1331.76</v>
      </c>
      <c r="AO119" s="131">
        <f>2.1%*AO$115</f>
        <v>1893.750862422092</v>
      </c>
      <c r="AP119" s="131">
        <f>2.2%*AP$115</f>
        <v>1887.7173648511346</v>
      </c>
      <c r="AQ119" s="131">
        <f>1.8%*AQ$115</f>
        <v>1562.2187547558606</v>
      </c>
      <c r="AR119" s="134">
        <f t="shared" si="373"/>
        <v>1483.8913907542653</v>
      </c>
      <c r="AS119" s="131">
        <f>1.8%*AS$115</f>
        <v>1549.4580000000001</v>
      </c>
      <c r="AT119" s="131">
        <f>1.7%*AT$115</f>
        <v>1408.6245757839501</v>
      </c>
      <c r="AU119" s="131">
        <f>1.7%*AU$115</f>
        <v>1292.952</v>
      </c>
      <c r="AV119" s="134">
        <f t="shared" si="374"/>
        <v>1131.26311778122</v>
      </c>
      <c r="AW119" s="131">
        <f>1.1%*AW$115</f>
        <v>914.82957500000009</v>
      </c>
      <c r="AX119" s="131">
        <f>1.2%*AX$115</f>
        <v>935.65352035916248</v>
      </c>
      <c r="AY119" s="131">
        <f>1.3%*AY$115</f>
        <v>889.00593422574161</v>
      </c>
      <c r="AZ119" s="134">
        <f t="shared" si="375"/>
        <v>880.55500000000006</v>
      </c>
      <c r="BA119" s="131">
        <f>1.1%*BA$115</f>
        <v>737.56100000000004</v>
      </c>
      <c r="BB119" s="131">
        <f>1.3%*BB$115</f>
        <v>928.80198402768474</v>
      </c>
      <c r="BC119" s="131">
        <f>1.4%*BC$115</f>
        <v>1048.6504855788648</v>
      </c>
      <c r="BD119" s="134">
        <f t="shared" si="376"/>
        <v>1845.144</v>
      </c>
      <c r="BE119" s="131">
        <f>3%*BE$115</f>
        <v>2327.91</v>
      </c>
      <c r="BF119" s="131">
        <f>3.8%*BF$115</f>
        <v>3211.0320804967996</v>
      </c>
      <c r="BG119" s="131">
        <f>3%*BG$115</f>
        <v>2415.5060025952116</v>
      </c>
      <c r="BH119" s="134">
        <f t="shared" si="377"/>
        <v>2416.7161715931479</v>
      </c>
      <c r="BI119" s="131">
        <f>1.6%*BI$115</f>
        <v>1454.6827227364131</v>
      </c>
      <c r="BJ119" s="131"/>
      <c r="BK119" s="131"/>
      <c r="BL119" s="189"/>
      <c r="BM119" s="189"/>
    </row>
    <row r="120" spans="2:65" ht="13.5" customHeight="1">
      <c r="B120" s="1" t="s">
        <v>353</v>
      </c>
      <c r="C120" s="131">
        <f>43893+30+6956</f>
        <v>50879</v>
      </c>
      <c r="D120" s="131">
        <f>51333</f>
        <v>51333</v>
      </c>
      <c r="E120" s="131">
        <f>206+61703+4218</f>
        <v>66127</v>
      </c>
      <c r="F120" s="131"/>
      <c r="G120" s="131">
        <f>1.4%*$G$115</f>
        <v>1167.04</v>
      </c>
      <c r="H120" s="131">
        <f>8.5%*$H$115</f>
        <v>6953.4250000000002</v>
      </c>
      <c r="I120" s="131">
        <f>9.3%*$I$115</f>
        <v>6636.4800000000014</v>
      </c>
      <c r="J120" s="131">
        <f>9.3%*$J$115</f>
        <v>8256.9120000000021</v>
      </c>
      <c r="K120" s="131">
        <f>27.9%*$K$115</f>
        <v>24353.276354143527</v>
      </c>
      <c r="L120" s="131">
        <f>17.4%*$L$115</f>
        <v>14059.984463852306</v>
      </c>
      <c r="M120" s="131">
        <f>15.9%*$M$115</f>
        <v>10769.865</v>
      </c>
      <c r="N120" s="131">
        <f>18.3%*N$115</f>
        <v>14069.223</v>
      </c>
      <c r="O120" s="131">
        <f>18.6359038997538%*O$115</f>
        <v>15408.432851449368</v>
      </c>
      <c r="P120" s="6">
        <f t="shared" si="369"/>
        <v>16547.015971126701</v>
      </c>
      <c r="Q120" s="6"/>
      <c r="R120" s="4"/>
      <c r="S120" s="4"/>
      <c r="T120" s="93"/>
      <c r="U120" s="189"/>
      <c r="V120" s="189"/>
      <c r="W120" s="189"/>
      <c r="X120" s="131">
        <f>206+61703+4218</f>
        <v>66127</v>
      </c>
      <c r="Y120" s="189"/>
      <c r="Z120" s="189"/>
      <c r="AA120" s="189"/>
      <c r="AB120" s="189"/>
      <c r="AC120" s="189"/>
      <c r="AD120" s="131">
        <f>1.3%*$AD$115</f>
        <v>1212.393</v>
      </c>
      <c r="AE120" s="131">
        <f>1.3%*$AE$115</f>
        <v>1169.4930000000002</v>
      </c>
      <c r="AF120" s="226">
        <f t="shared" si="370"/>
        <v>6953.4250000000002</v>
      </c>
      <c r="AG120" s="131">
        <f>9.5%*$AG$115</f>
        <v>7394.2300000000005</v>
      </c>
      <c r="AH120" s="131">
        <f>8.9%*AH$115</f>
        <v>6866.5280000000012</v>
      </c>
      <c r="AI120" s="131">
        <f>9.2%*AI$115</f>
        <v>7168.3071011215952</v>
      </c>
      <c r="AJ120" s="134">
        <f t="shared" si="371"/>
        <v>6636.4800000000014</v>
      </c>
      <c r="AK120" s="131">
        <f>14.9%*$AK$115</f>
        <v>13847.761999999999</v>
      </c>
      <c r="AL120" s="131">
        <f>13.2%*AL$115</f>
        <v>12222.672</v>
      </c>
      <c r="AM120" s="131">
        <f>27.7%*AM$115</f>
        <v>28919.907999999996</v>
      </c>
      <c r="AN120" s="134">
        <f t="shared" si="372"/>
        <v>8256.9120000000021</v>
      </c>
      <c r="AO120" s="131">
        <f>33.1%*AO$115</f>
        <v>29849.120736272023</v>
      </c>
      <c r="AP120" s="131">
        <f>26.6%*AP$115</f>
        <v>22824.219047745533</v>
      </c>
      <c r="AQ120" s="131">
        <f>27.4%*AQ$115</f>
        <v>23780.441044616982</v>
      </c>
      <c r="AR120" s="134">
        <f t="shared" si="373"/>
        <v>24353.276354143527</v>
      </c>
      <c r="AS120" s="131">
        <f>26.7%*AS$115</f>
        <v>22983.627</v>
      </c>
      <c r="AT120" s="131">
        <f>27.8%*AT$115</f>
        <v>23035.154827525774</v>
      </c>
      <c r="AU120" s="131">
        <f>20.7%*AU$115</f>
        <v>15743.591999999999</v>
      </c>
      <c r="AV120" s="134">
        <f t="shared" si="374"/>
        <v>14059.984463852306</v>
      </c>
      <c r="AW120" s="131">
        <f>17.2%*AW$115</f>
        <v>14304.607899999999</v>
      </c>
      <c r="AX120" s="131">
        <f>16.2%*AX$115</f>
        <v>12631.322524848692</v>
      </c>
      <c r="AY120" s="131">
        <f>16.7%*AY$115</f>
        <v>11420.3070012076</v>
      </c>
      <c r="AZ120" s="134">
        <f t="shared" si="375"/>
        <v>10769.865</v>
      </c>
      <c r="BA120" s="131">
        <f>17.2%*BA$115</f>
        <v>11532.771999999999</v>
      </c>
      <c r="BB120" s="131">
        <f>17.1%*BB$115</f>
        <v>12217.318405287237</v>
      </c>
      <c r="BC120" s="131">
        <f>17.7%*BC$115</f>
        <v>13257.938281961362</v>
      </c>
      <c r="BD120" s="134">
        <f t="shared" si="376"/>
        <v>14069.223</v>
      </c>
      <c r="BE120" s="131">
        <f>17.9%*BE$115</f>
        <v>13889.862999999999</v>
      </c>
      <c r="BF120" s="131">
        <f>26.3%*BF$115</f>
        <v>22223.722030806799</v>
      </c>
      <c r="BG120" s="131">
        <f>24.2%*BG$115</f>
        <v>19485.081754268042</v>
      </c>
      <c r="BH120" s="134">
        <f t="shared" si="377"/>
        <v>15408.432851449368</v>
      </c>
      <c r="BI120" s="131">
        <f>18.2%*BI$115</f>
        <v>16547.015971126701</v>
      </c>
      <c r="BJ120" s="131"/>
      <c r="BK120" s="131"/>
      <c r="BL120" s="189"/>
      <c r="BM120" s="189"/>
    </row>
    <row r="121" spans="2:65" ht="13.5" customHeight="1">
      <c r="B121" s="1" t="s">
        <v>354</v>
      </c>
      <c r="C121" s="131">
        <f>233+760+83</f>
        <v>1076</v>
      </c>
      <c r="D121" s="131">
        <f>551+460+502</f>
        <v>1513</v>
      </c>
      <c r="E121" s="131">
        <f>508+7022+1864+26</f>
        <v>9420</v>
      </c>
      <c r="F121" s="131"/>
      <c r="G121" s="131">
        <f>51.5%*$G$115</f>
        <v>42930.400000000001</v>
      </c>
      <c r="H121" s="131">
        <f>27.7%*$H$115</f>
        <v>22659.984999999997</v>
      </c>
      <c r="I121" s="131">
        <f>18.8%*$I$115</f>
        <v>13415.68</v>
      </c>
      <c r="J121" s="131">
        <f>18.8%*$J$115</f>
        <v>16691.392</v>
      </c>
      <c r="K121" s="131">
        <f>14.7%*$K$115</f>
        <v>12831.296143580998</v>
      </c>
      <c r="L121" s="131">
        <f>18%*$L$115</f>
        <v>14544.811514329973</v>
      </c>
      <c r="M121" s="131">
        <f>21.3%*$M$115</f>
        <v>14427.555</v>
      </c>
      <c r="N121" s="131">
        <f>19.2%*N$115</f>
        <v>14761.152</v>
      </c>
      <c r="O121" s="131">
        <f>16.934312232729%*O$115</f>
        <v>14001.532435833691</v>
      </c>
      <c r="P121" s="6">
        <f t="shared" si="369"/>
        <v>14910.497908048234</v>
      </c>
      <c r="Q121" s="6"/>
      <c r="R121" s="4"/>
      <c r="S121" s="4"/>
      <c r="T121" s="93"/>
      <c r="U121" s="189"/>
      <c r="V121" s="189"/>
      <c r="W121" s="189"/>
      <c r="X121" s="131">
        <f>508+7022+1864+26</f>
        <v>9420</v>
      </c>
      <c r="Y121" s="189"/>
      <c r="Z121" s="189"/>
      <c r="AA121" s="189"/>
      <c r="AB121" s="189"/>
      <c r="AC121" s="189"/>
      <c r="AD121" s="131">
        <f>42.4%*$AD$115</f>
        <v>39542.663999999997</v>
      </c>
      <c r="AE121" s="131">
        <f>40.1%*$AE$115</f>
        <v>36074.361000000004</v>
      </c>
      <c r="AF121" s="226">
        <f t="shared" si="370"/>
        <v>22659.984999999997</v>
      </c>
      <c r="AG121" s="131">
        <f>29.3%*$AG$115</f>
        <v>22805.361999999997</v>
      </c>
      <c r="AH121" s="131">
        <f>29%*AH$115</f>
        <v>22374.079999999998</v>
      </c>
      <c r="AI121" s="131">
        <f>23%*AI$115</f>
        <v>17920.767752803989</v>
      </c>
      <c r="AJ121" s="134">
        <f t="shared" si="371"/>
        <v>13415.68</v>
      </c>
      <c r="AK121" s="131">
        <f>15%*$AK$115</f>
        <v>13940.699999999999</v>
      </c>
      <c r="AL121" s="131">
        <f>13.8%*AL$115</f>
        <v>12778.248000000001</v>
      </c>
      <c r="AM121" s="131">
        <f>11.4%*AM$115</f>
        <v>11902.056</v>
      </c>
      <c r="AN121" s="134">
        <f t="shared" si="372"/>
        <v>16691.392</v>
      </c>
      <c r="AO121" s="131">
        <f>8.3%*AO$115</f>
        <v>7484.8248371920781</v>
      </c>
      <c r="AP121" s="131">
        <f>15.7%*AP$115</f>
        <v>13471.437558255822</v>
      </c>
      <c r="AQ121" s="131">
        <f>15%*AQ$115</f>
        <v>13018.489622965502</v>
      </c>
      <c r="AR121" s="134">
        <f t="shared" si="373"/>
        <v>12831.296143580998</v>
      </c>
      <c r="AS121" s="131">
        <f>16.8%*AS$115</f>
        <v>14461.608</v>
      </c>
      <c r="AT121" s="131">
        <f>15.7%*AT$115</f>
        <v>13009.062258710597</v>
      </c>
      <c r="AU121" s="131">
        <f>18.1%*AU$115</f>
        <v>13766.136000000002</v>
      </c>
      <c r="AV121" s="134">
        <f t="shared" si="374"/>
        <v>14544.811514329973</v>
      </c>
      <c r="AW121" s="131">
        <f>17.7%*AW$115</f>
        <v>14720.439524999998</v>
      </c>
      <c r="AX121" s="131">
        <f>19.7%*AX$115</f>
        <v>15360.311959229581</v>
      </c>
      <c r="AY121" s="131">
        <f>19.5%*AY$115</f>
        <v>13335.089013386123</v>
      </c>
      <c r="AZ121" s="134">
        <f t="shared" si="375"/>
        <v>14427.555</v>
      </c>
      <c r="BA121" s="131">
        <f>17.7%*BA$115</f>
        <v>11868.027</v>
      </c>
      <c r="BB121" s="131">
        <f>20%*BB$115</f>
        <v>14289.26129273361</v>
      </c>
      <c r="BC121" s="131">
        <f>21.1%*BC$115</f>
        <v>15804.66088979575</v>
      </c>
      <c r="BD121" s="134">
        <f t="shared" si="376"/>
        <v>14761.152</v>
      </c>
      <c r="BE121" s="131">
        <f>20.3%*BE$115</f>
        <v>15752.191000000001</v>
      </c>
      <c r="BF121" s="131">
        <f>17.7%*BF$115</f>
        <v>14956.649427577198</v>
      </c>
      <c r="BG121" s="131">
        <f>18.4%*BG$115</f>
        <v>14815.103482583967</v>
      </c>
      <c r="BH121" s="134">
        <f t="shared" si="377"/>
        <v>14001.532435833691</v>
      </c>
      <c r="BI121" s="131">
        <f>16.4%*BI$115</f>
        <v>14910.497908048234</v>
      </c>
      <c r="BJ121" s="131"/>
      <c r="BK121" s="131"/>
      <c r="BL121" s="189"/>
      <c r="BM121" s="189"/>
    </row>
    <row r="122" spans="2:65" ht="13.5" customHeight="1">
      <c r="B122" s="1" t="s">
        <v>355</v>
      </c>
      <c r="C122" s="131"/>
      <c r="D122" s="131"/>
      <c r="E122" s="131"/>
      <c r="F122" s="131"/>
      <c r="G122" s="131">
        <v>0</v>
      </c>
      <c r="H122" s="131">
        <f>1.7%*$H$115</f>
        <v>1390.6850000000002</v>
      </c>
      <c r="I122" s="131">
        <f>1.9%*$I$115</f>
        <v>1355.84</v>
      </c>
      <c r="J122" s="131">
        <f>1.9%*$J$115</f>
        <v>1686.896</v>
      </c>
      <c r="K122" s="131">
        <f>1.7%*$K$115</f>
        <v>1483.8913907542653</v>
      </c>
      <c r="L122" s="131">
        <f>1.2%*$L$115</f>
        <v>969.65410095533161</v>
      </c>
      <c r="M122" s="131">
        <v>0</v>
      </c>
      <c r="N122" s="131">
        <v>0</v>
      </c>
      <c r="O122" s="131">
        <v>0</v>
      </c>
      <c r="P122" s="6">
        <f t="shared" si="369"/>
        <v>0</v>
      </c>
      <c r="Q122" s="6"/>
      <c r="R122" s="4"/>
      <c r="S122" s="4"/>
      <c r="T122" s="93"/>
      <c r="U122" s="189"/>
      <c r="V122" s="189"/>
      <c r="W122" s="189"/>
      <c r="X122" s="131"/>
      <c r="Y122" s="189"/>
      <c r="Z122" s="189"/>
      <c r="AA122" s="189"/>
      <c r="AB122" s="189"/>
      <c r="AC122" s="189"/>
      <c r="AD122" s="131"/>
      <c r="AE122" s="131">
        <f>1.4%*$AE$115</f>
        <v>1259.454</v>
      </c>
      <c r="AF122" s="226">
        <f t="shared" si="370"/>
        <v>1390.6850000000002</v>
      </c>
      <c r="AG122" s="131">
        <f>1.7%*$AG$115</f>
        <v>1323.1780000000001</v>
      </c>
      <c r="AH122" s="131">
        <f>1.6%*AH$115</f>
        <v>1234.432</v>
      </c>
      <c r="AI122" s="131">
        <f>1.8%*AI$115</f>
        <v>1402.4948676107472</v>
      </c>
      <c r="AJ122" s="134">
        <f t="shared" si="371"/>
        <v>1355.84</v>
      </c>
      <c r="AK122" s="131">
        <f>2.3%*$AK$115</f>
        <v>2137.5740000000001</v>
      </c>
      <c r="AL122" s="131">
        <f>2.4%*AL$115</f>
        <v>2222.3040000000001</v>
      </c>
      <c r="AM122" s="131">
        <f>1.8%*AM$115</f>
        <v>1879.2720000000002</v>
      </c>
      <c r="AN122" s="134">
        <f t="shared" si="372"/>
        <v>1686.896</v>
      </c>
      <c r="AO122" s="131">
        <f>1.6%*AO$115</f>
        <v>1442.8577999406416</v>
      </c>
      <c r="AP122" s="131">
        <f>1.6%*AP$115</f>
        <v>1372.8853562553704</v>
      </c>
      <c r="AQ122" s="131">
        <f>1.7%*AQ$115</f>
        <v>1475.4288239360903</v>
      </c>
      <c r="AR122" s="134">
        <f t="shared" si="373"/>
        <v>1483.8913907542653</v>
      </c>
      <c r="AS122" s="131">
        <f>1.6%*AS$115</f>
        <v>1377.296</v>
      </c>
      <c r="AT122" s="131">
        <f>1.6%*AT$115</f>
        <v>1325.7643066201883</v>
      </c>
      <c r="AU122" s="131">
        <f>1.3%*AU$115</f>
        <v>988.72800000000007</v>
      </c>
      <c r="AV122" s="134">
        <f t="shared" si="374"/>
        <v>969.65410095533161</v>
      </c>
      <c r="AW122" s="131">
        <f>0.5%*AW$115</f>
        <v>415.83162499999997</v>
      </c>
      <c r="AX122" s="131">
        <f>0.5%*AX$115</f>
        <v>389.85563348298433</v>
      </c>
      <c r="AY122" s="131">
        <f>0%*AY$115</f>
        <v>0</v>
      </c>
      <c r="AZ122" s="134">
        <f t="shared" si="375"/>
        <v>0</v>
      </c>
      <c r="BA122" s="131">
        <f>0.5%*BA$115</f>
        <v>335.255</v>
      </c>
      <c r="BB122" s="131">
        <v>0</v>
      </c>
      <c r="BC122" s="131">
        <f>0%*BC$115</f>
        <v>0</v>
      </c>
      <c r="BD122" s="134">
        <f t="shared" si="376"/>
        <v>0</v>
      </c>
      <c r="BE122" s="131">
        <f>0%*BE$115</f>
        <v>0</v>
      </c>
      <c r="BF122" s="131">
        <v>0</v>
      </c>
      <c r="BG122" s="131">
        <f>0%*BG$115</f>
        <v>0</v>
      </c>
      <c r="BH122" s="134">
        <f t="shared" si="377"/>
        <v>0</v>
      </c>
      <c r="BI122" s="131">
        <v>0</v>
      </c>
      <c r="BJ122" s="131"/>
      <c r="BK122" s="131"/>
      <c r="BL122" s="189"/>
      <c r="BM122" s="189"/>
    </row>
    <row r="123" spans="2:65" ht="13.5" customHeight="1">
      <c r="B123" s="1" t="s">
        <v>356</v>
      </c>
      <c r="C123" s="131">
        <f>9988+2473</f>
        <v>12461</v>
      </c>
      <c r="D123" s="131">
        <f>9989+2496</f>
        <v>12485</v>
      </c>
      <c r="E123" s="131">
        <f>9991</f>
        <v>9991</v>
      </c>
      <c r="F123" s="131"/>
      <c r="G123" s="131">
        <f>43.9%*$G$115</f>
        <v>36595.040000000001</v>
      </c>
      <c r="H123" s="131">
        <f>60.3%*$H$115</f>
        <v>49328.415000000001</v>
      </c>
      <c r="I123" s="131">
        <f>68.2%*$I$115</f>
        <v>48667.520000000004</v>
      </c>
      <c r="J123" s="131">
        <f>68.2%*$J$115</f>
        <v>60550.688000000002</v>
      </c>
      <c r="K123" s="131">
        <f>53.5%*$K$115</f>
        <v>46698.93494432541</v>
      </c>
      <c r="L123" s="131">
        <f>62%*$L$115</f>
        <v>50098.795216025464</v>
      </c>
      <c r="M123" s="131">
        <f>61.4%*$M$115</f>
        <v>41589.29</v>
      </c>
      <c r="N123" s="131">
        <f>59.1%*N$115</f>
        <v>45436.670999999995</v>
      </c>
      <c r="O123" s="131">
        <f>60.7238462475396%*O$115</f>
        <v>50207.347731564041</v>
      </c>
      <c r="P123" s="6">
        <f t="shared" si="369"/>
        <v>57459.967548088316</v>
      </c>
      <c r="Q123" s="6"/>
      <c r="R123" s="4"/>
      <c r="S123" s="4"/>
      <c r="T123" s="93"/>
      <c r="U123" s="189"/>
      <c r="V123" s="189"/>
      <c r="W123" s="189"/>
      <c r="X123" s="131">
        <f>9991</f>
        <v>9991</v>
      </c>
      <c r="Y123" s="189"/>
      <c r="Z123" s="189"/>
      <c r="AA123" s="189"/>
      <c r="AB123" s="189"/>
      <c r="AC123" s="189"/>
      <c r="AD123" s="131">
        <f>53.3%*$AD$115</f>
        <v>49708.11299999999</v>
      </c>
      <c r="AE123" s="131">
        <f>55.5%*$AE$115</f>
        <v>49928.355000000003</v>
      </c>
      <c r="AF123" s="226">
        <f t="shared" si="370"/>
        <v>49328.415000000001</v>
      </c>
      <c r="AG123" s="131">
        <f>57.3%*$AG$115</f>
        <v>44598.881999999998</v>
      </c>
      <c r="AH123" s="131">
        <f>58.5%*AH$115</f>
        <v>45133.919999999998</v>
      </c>
      <c r="AI123" s="131">
        <f>64.2%*AI$115</f>
        <v>50022.316944783306</v>
      </c>
      <c r="AJ123" s="134">
        <f t="shared" si="371"/>
        <v>48667.520000000004</v>
      </c>
      <c r="AK123" s="131">
        <f>65.3%*$AK$115</f>
        <v>60688.514000000003</v>
      </c>
      <c r="AL123" s="131">
        <f>68%*AL$115</f>
        <v>62965.280000000006</v>
      </c>
      <c r="AM123" s="131">
        <f>57.1%*AM$115</f>
        <v>59614.684000000008</v>
      </c>
      <c r="AN123" s="134">
        <f t="shared" si="372"/>
        <v>60550.688000000002</v>
      </c>
      <c r="AO123" s="131">
        <f>54.4%*AO$115</f>
        <v>49057.165197981813</v>
      </c>
      <c r="AP123" s="131">
        <f>53%*AP$115</f>
        <v>45476.827425959149</v>
      </c>
      <c r="AQ123" s="131">
        <f>53.4%*AQ$115</f>
        <v>46345.823057757189</v>
      </c>
      <c r="AR123" s="134">
        <f t="shared" si="373"/>
        <v>46698.93494432541</v>
      </c>
      <c r="AS123" s="131">
        <f>52.7%*AS$115</f>
        <v>45364.687000000005</v>
      </c>
      <c r="AT123" s="131">
        <f>53%*AT$115</f>
        <v>43915.942656793741</v>
      </c>
      <c r="AU123" s="131">
        <f>58%*AU$115</f>
        <v>44112.479999999996</v>
      </c>
      <c r="AV123" s="134">
        <f t="shared" si="374"/>
        <v>50098.795216025464</v>
      </c>
      <c r="AW123" s="131">
        <f>63.6%*AW$115</f>
        <v>52893.782699999996</v>
      </c>
      <c r="AX123" s="131">
        <f>62.4%*AX$115</f>
        <v>48653.983058676444</v>
      </c>
      <c r="AY123" s="131">
        <f>62.4%*AY$115</f>
        <v>42672.284842835594</v>
      </c>
      <c r="AZ123" s="134">
        <f t="shared" si="375"/>
        <v>41589.29</v>
      </c>
      <c r="BA123" s="131">
        <f>63.6%*BA$115</f>
        <v>42644.436000000002</v>
      </c>
      <c r="BB123" s="131">
        <f>60.9%*BB$115</f>
        <v>43510.800636373839</v>
      </c>
      <c r="BC123" s="131">
        <f>58.9%*BC$115</f>
        <v>44118.2240004251</v>
      </c>
      <c r="BD123" s="134">
        <f t="shared" si="376"/>
        <v>45436.670999999995</v>
      </c>
      <c r="BE123" s="131">
        <f>57.9%*BE$115</f>
        <v>44928.663</v>
      </c>
      <c r="BF123" s="131">
        <f>51.6%*BF$115</f>
        <v>43602.435619377597</v>
      </c>
      <c r="BG123" s="131">
        <f>53.8%*BG$115</f>
        <v>43318.074313207464</v>
      </c>
      <c r="BH123" s="134">
        <f t="shared" si="377"/>
        <v>50207.347731564041</v>
      </c>
      <c r="BI123" s="131">
        <f>63.2%*BI$115</f>
        <v>57459.967548088316</v>
      </c>
      <c r="BJ123" s="131"/>
      <c r="BK123" s="131"/>
      <c r="BL123" s="189"/>
      <c r="BM123" s="189"/>
    </row>
    <row r="124" spans="2:65" ht="13.5" customHeight="1">
      <c r="B124" s="5" t="s">
        <v>357</v>
      </c>
      <c r="C124" s="8">
        <f>SUM(C118:C123)</f>
        <v>66027</v>
      </c>
      <c r="D124" s="8">
        <f>SUM(D118:D123)</f>
        <v>66730</v>
      </c>
      <c r="E124" s="8">
        <f>SUM(E118:E123)</f>
        <v>88909</v>
      </c>
      <c r="F124" s="8">
        <f t="shared" ref="F124:J124" si="378">F115</f>
        <v>83360</v>
      </c>
      <c r="G124" s="8">
        <f t="shared" si="378"/>
        <v>83360</v>
      </c>
      <c r="H124" s="8">
        <f t="shared" si="378"/>
        <v>81805</v>
      </c>
      <c r="I124" s="8">
        <f t="shared" si="378"/>
        <v>71360</v>
      </c>
      <c r="J124" s="8">
        <f t="shared" si="378"/>
        <v>88784</v>
      </c>
      <c r="K124" s="8">
        <f>K115</f>
        <v>87287.728867897953</v>
      </c>
      <c r="L124" s="8">
        <f>L115</f>
        <v>80804.508412944298</v>
      </c>
      <c r="M124" s="8">
        <f>M115</f>
        <v>67735</v>
      </c>
      <c r="N124" s="8">
        <f>N115</f>
        <v>76881</v>
      </c>
      <c r="O124" s="8">
        <f>O115</f>
        <v>82681.435439538458</v>
      </c>
      <c r="P124" s="8">
        <f t="shared" ref="P124" si="379">P115</f>
        <v>90917.67017102582</v>
      </c>
      <c r="Q124" s="8"/>
      <c r="R124" s="8"/>
      <c r="S124" s="8"/>
      <c r="T124" s="173"/>
      <c r="U124" s="8">
        <f t="shared" ref="U124:Z124" si="380">U115</f>
        <v>67892</v>
      </c>
      <c r="V124" s="8">
        <f t="shared" si="380"/>
        <v>71375</v>
      </c>
      <c r="W124" s="8">
        <f t="shared" si="380"/>
        <v>73486</v>
      </c>
      <c r="X124" s="8">
        <f t="shared" si="380"/>
        <v>88909</v>
      </c>
      <c r="Y124" s="8">
        <f t="shared" si="380"/>
        <v>81448</v>
      </c>
      <c r="Z124" s="8">
        <f t="shared" si="380"/>
        <v>87595</v>
      </c>
      <c r="AA124" s="8">
        <f t="shared" ref="AA124:AF124" si="381">AA115</f>
        <v>78665</v>
      </c>
      <c r="AB124" s="8">
        <f t="shared" si="381"/>
        <v>83360</v>
      </c>
      <c r="AC124" s="8">
        <f t="shared" si="381"/>
        <v>78696</v>
      </c>
      <c r="AD124" s="8">
        <f t="shared" si="381"/>
        <v>93261</v>
      </c>
      <c r="AE124" s="8">
        <f t="shared" si="381"/>
        <v>89961</v>
      </c>
      <c r="AF124" s="8">
        <f t="shared" si="381"/>
        <v>81805</v>
      </c>
      <c r="AG124" s="8">
        <f t="shared" ref="AG124:AL124" si="382">AG115</f>
        <v>77834</v>
      </c>
      <c r="AH124" s="8">
        <f t="shared" si="382"/>
        <v>77152</v>
      </c>
      <c r="AI124" s="8">
        <f t="shared" si="382"/>
        <v>77916.381533930384</v>
      </c>
      <c r="AJ124" s="8">
        <f t="shared" si="382"/>
        <v>71360</v>
      </c>
      <c r="AK124" s="8">
        <f t="shared" si="382"/>
        <v>92938</v>
      </c>
      <c r="AL124" s="8">
        <f t="shared" si="382"/>
        <v>92596</v>
      </c>
      <c r="AM124" s="8">
        <f t="shared" ref="AM124:AS124" si="383">AM115</f>
        <v>104404</v>
      </c>
      <c r="AN124" s="8">
        <f t="shared" si="383"/>
        <v>88784</v>
      </c>
      <c r="AO124" s="8">
        <f t="shared" si="383"/>
        <v>90178.612496290094</v>
      </c>
      <c r="AP124" s="8">
        <f t="shared" si="383"/>
        <v>85805.334765960652</v>
      </c>
      <c r="AQ124" s="8">
        <f t="shared" si="383"/>
        <v>86789.930819770016</v>
      </c>
      <c r="AR124" s="8">
        <f t="shared" si="383"/>
        <v>87287.728867897953</v>
      </c>
      <c r="AS124" s="8">
        <f t="shared" si="383"/>
        <v>86081</v>
      </c>
      <c r="AT124" s="8">
        <f>AT115</f>
        <v>82860.269163761768</v>
      </c>
      <c r="AU124" s="8">
        <f>AU115</f>
        <v>76056</v>
      </c>
      <c r="AV124" s="8">
        <f t="shared" ref="AV124:AW124" si="384">AV115</f>
        <v>80804.508412944298</v>
      </c>
      <c r="AW124" s="8">
        <f t="shared" si="384"/>
        <v>83166.324999999997</v>
      </c>
      <c r="AX124" s="8">
        <f>AX115</f>
        <v>77971.126696596868</v>
      </c>
      <c r="AY124" s="8">
        <f>AY115</f>
        <v>68385.071863518577</v>
      </c>
      <c r="AZ124" s="8">
        <f t="shared" ref="AZ124:BA124" si="385">AZ115</f>
        <v>67735</v>
      </c>
      <c r="BA124" s="8">
        <f t="shared" si="385"/>
        <v>67051</v>
      </c>
      <c r="BB124" s="8">
        <f>BB115</f>
        <v>71446.30646366805</v>
      </c>
      <c r="BC124" s="8">
        <f>BC115</f>
        <v>74903.606112776062</v>
      </c>
      <c r="BD124" s="8">
        <f t="shared" ref="BD124:BE124" si="386">BD115</f>
        <v>76881</v>
      </c>
      <c r="BE124" s="8">
        <f t="shared" si="386"/>
        <v>77597</v>
      </c>
      <c r="BF124" s="8">
        <f t="shared" ref="BF124" si="387">BF115</f>
        <v>84500.844223599997</v>
      </c>
      <c r="BG124" s="8">
        <f>BG115</f>
        <v>80516.86675317373</v>
      </c>
      <c r="BH124" s="8">
        <f t="shared" ref="BH124" si="388">BH115</f>
        <v>82681.435439538458</v>
      </c>
      <c r="BI124" s="8">
        <f>SUM(BI118:BI123)</f>
        <v>90917.67017102582</v>
      </c>
      <c r="BJ124" s="8"/>
      <c r="BK124" s="8"/>
      <c r="BL124" s="8"/>
      <c r="BM124" s="8"/>
    </row>
    <row r="125" spans="2:65" ht="13.5" customHeight="1">
      <c r="B125" s="155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  <c r="R125" s="4"/>
      <c r="S125" s="4"/>
      <c r="T125" s="93"/>
      <c r="U125" s="156"/>
      <c r="V125" s="156"/>
      <c r="W125" s="156"/>
      <c r="X125" s="156"/>
      <c r="Y125" s="156"/>
      <c r="Z125" s="156"/>
      <c r="AA125" s="156"/>
      <c r="AB125" s="156"/>
      <c r="AC125" s="156"/>
      <c r="AD125" s="156"/>
      <c r="AE125" s="156"/>
      <c r="AF125" s="156"/>
      <c r="AG125" s="156"/>
      <c r="AH125" s="156"/>
      <c r="AI125" s="156"/>
      <c r="AJ125" s="156"/>
      <c r="AK125" s="156"/>
      <c r="AL125" s="156"/>
      <c r="AM125" s="156"/>
      <c r="AN125" s="156"/>
      <c r="AO125" s="156"/>
      <c r="AP125" s="156"/>
      <c r="AQ125" s="156"/>
      <c r="AR125" s="156"/>
      <c r="AS125" s="156"/>
      <c r="AT125" s="156"/>
      <c r="AU125" s="156"/>
      <c r="AV125" s="156"/>
      <c r="AW125" s="156"/>
      <c r="AX125" s="156"/>
      <c r="AY125" s="156"/>
      <c r="AZ125" s="156"/>
      <c r="BA125" s="156"/>
      <c r="BB125" s="156"/>
      <c r="BC125" s="156"/>
      <c r="BD125" s="156"/>
      <c r="BE125" s="156"/>
      <c r="BG125" s="156"/>
      <c r="BH125" s="156"/>
      <c r="BI125" s="156"/>
      <c r="BL125" s="156"/>
      <c r="BM125" s="156"/>
    </row>
    <row r="126" spans="2:65" ht="13.5" customHeight="1"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</row>
    <row r="127" spans="2:65" ht="13.5" customHeight="1">
      <c r="B127" s="7" t="s">
        <v>358</v>
      </c>
      <c r="C127" s="4">
        <v>12958</v>
      </c>
      <c r="D127" s="4">
        <v>15989</v>
      </c>
      <c r="E127" s="4">
        <v>10476</v>
      </c>
      <c r="F127" s="4">
        <v>18767</v>
      </c>
      <c r="G127" s="4">
        <v>18767</v>
      </c>
      <c r="H127" s="4">
        <v>23727</v>
      </c>
      <c r="I127" s="4">
        <v>20490.901000000002</v>
      </c>
      <c r="J127" s="4">
        <v>43497</v>
      </c>
      <c r="K127" s="4">
        <v>47247.727693024499</v>
      </c>
      <c r="L127" s="4">
        <v>40277.075216526406</v>
      </c>
      <c r="M127" s="4">
        <v>31060</v>
      </c>
      <c r="N127" s="4">
        <v>32779</v>
      </c>
      <c r="O127" s="4">
        <v>28066.795562944499</v>
      </c>
      <c r="P127" s="6">
        <f>BI127</f>
        <v>41346.218499941373</v>
      </c>
      <c r="Q127" s="6"/>
      <c r="R127" s="38"/>
      <c r="S127" s="38"/>
      <c r="T127" s="82"/>
      <c r="U127" s="4">
        <v>18223</v>
      </c>
      <c r="V127" s="4">
        <v>15646</v>
      </c>
      <c r="W127" s="4">
        <v>20105</v>
      </c>
      <c r="X127" s="4">
        <v>10476</v>
      </c>
      <c r="Y127" s="4">
        <v>13030</v>
      </c>
      <c r="Z127" s="4">
        <v>24155</v>
      </c>
      <c r="AA127" s="4">
        <v>20206</v>
      </c>
      <c r="AB127" s="4">
        <v>18767</v>
      </c>
      <c r="AC127" s="4">
        <v>19549</v>
      </c>
      <c r="AD127" s="4">
        <v>23469.41</v>
      </c>
      <c r="AE127" s="4">
        <v>18474.878000000001</v>
      </c>
      <c r="AF127" s="226">
        <f>H127</f>
        <v>23727</v>
      </c>
      <c r="AG127" s="4">
        <v>23615.403999999999</v>
      </c>
      <c r="AH127" s="4">
        <v>23485.576000000001</v>
      </c>
      <c r="AI127" s="4">
        <v>30230.074000000001</v>
      </c>
      <c r="AJ127" s="134">
        <f>I127</f>
        <v>20490.901000000002</v>
      </c>
      <c r="AK127" s="4">
        <v>39433.163</v>
      </c>
      <c r="AL127" s="4">
        <v>41473.254999999997</v>
      </c>
      <c r="AM127" s="4">
        <v>58057</v>
      </c>
      <c r="AN127" s="134">
        <f>J127</f>
        <v>43497</v>
      </c>
      <c r="AO127" s="303">
        <v>48424.992211382458</v>
      </c>
      <c r="AP127" s="4">
        <v>46785.612999999998</v>
      </c>
      <c r="AQ127" s="4">
        <v>50088.027773117428</v>
      </c>
      <c r="AR127" s="134">
        <f>K127</f>
        <v>47247.727693024499</v>
      </c>
      <c r="AS127" s="4">
        <v>49443</v>
      </c>
      <c r="AT127" s="4">
        <v>45572.086758024932</v>
      </c>
      <c r="AU127" s="4">
        <v>39205</v>
      </c>
      <c r="AV127" s="134">
        <f>L127</f>
        <v>40277.075216526406</v>
      </c>
      <c r="AW127" s="4">
        <v>41147.228000000003</v>
      </c>
      <c r="AX127" s="4">
        <v>30948.923731616302</v>
      </c>
      <c r="AY127" s="4">
        <v>38543.698639888396</v>
      </c>
      <c r="AZ127" s="134">
        <f>M127</f>
        <v>31060</v>
      </c>
      <c r="BA127" s="4">
        <v>35045.849000000002</v>
      </c>
      <c r="BB127" s="4">
        <v>38270.979020019964</v>
      </c>
      <c r="BC127" s="4">
        <v>41493.221950721701</v>
      </c>
      <c r="BD127" s="134">
        <f>N127</f>
        <v>32779</v>
      </c>
      <c r="BE127" s="4">
        <v>30508.71321722955</v>
      </c>
      <c r="BF127" s="4">
        <v>37138.532177392168</v>
      </c>
      <c r="BG127" s="4">
        <v>34892.935748573102</v>
      </c>
      <c r="BH127" s="134">
        <f t="shared" ref="BH127" si="389">O127</f>
        <v>28066.795562944499</v>
      </c>
      <c r="BI127" s="4">
        <v>41346.218499941373</v>
      </c>
      <c r="BJ127" s="4"/>
      <c r="BK127" s="4"/>
      <c r="BL127" s="4"/>
      <c r="BM127" s="4"/>
    </row>
    <row r="128" spans="2:65" ht="13.5" customHeight="1">
      <c r="B128" s="7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38"/>
      <c r="S128" s="38"/>
      <c r="T128" s="82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G128" s="4"/>
      <c r="BH128" s="4"/>
      <c r="BI128" s="4"/>
      <c r="BL128" s="4"/>
      <c r="BM128" s="4"/>
    </row>
    <row r="129" spans="2:65" ht="13.5" customHeight="1">
      <c r="B129" s="5" t="s">
        <v>19</v>
      </c>
      <c r="C129" s="8">
        <f>+C130-C127</f>
        <v>53069</v>
      </c>
      <c r="D129" s="8">
        <f>+D130-D127</f>
        <v>50741</v>
      </c>
      <c r="E129" s="8">
        <f>+E130-E127</f>
        <v>78433</v>
      </c>
      <c r="F129" s="8">
        <f t="shared" ref="F129:J129" si="390">+F130-F127</f>
        <v>64593</v>
      </c>
      <c r="G129" s="8">
        <f t="shared" si="390"/>
        <v>64593</v>
      </c>
      <c r="H129" s="8">
        <f t="shared" si="390"/>
        <v>58078</v>
      </c>
      <c r="I129" s="8">
        <f t="shared" si="390"/>
        <v>50869.099000000002</v>
      </c>
      <c r="J129" s="8">
        <f t="shared" si="390"/>
        <v>45287</v>
      </c>
      <c r="K129" s="8">
        <f>+K130-K127</f>
        <v>40040.001174873454</v>
      </c>
      <c r="L129" s="8">
        <f>+L130-L127</f>
        <v>40527.433196417893</v>
      </c>
      <c r="M129" s="8">
        <f>+M130-M127</f>
        <v>36675</v>
      </c>
      <c r="N129" s="8">
        <f>+N130-N127</f>
        <v>44102</v>
      </c>
      <c r="O129" s="8">
        <f>+O130-O127</f>
        <v>54614.639876593959</v>
      </c>
      <c r="P129" s="8">
        <f t="shared" ref="P129" si="391">+P130-P127</f>
        <v>49571.451671084447</v>
      </c>
      <c r="Q129" s="8"/>
      <c r="R129" s="8"/>
      <c r="S129" s="8"/>
      <c r="T129" s="173"/>
      <c r="U129" s="8">
        <f t="shared" ref="U129:Z129" si="392">+U130-U127</f>
        <v>49669</v>
      </c>
      <c r="V129" s="8">
        <f t="shared" si="392"/>
        <v>55729</v>
      </c>
      <c r="W129" s="8">
        <f t="shared" si="392"/>
        <v>53381</v>
      </c>
      <c r="X129" s="8">
        <f t="shared" si="392"/>
        <v>78433</v>
      </c>
      <c r="Y129" s="8">
        <f t="shared" si="392"/>
        <v>68418</v>
      </c>
      <c r="Z129" s="8">
        <f t="shared" si="392"/>
        <v>63440</v>
      </c>
      <c r="AA129" s="8">
        <f t="shared" ref="AA129:AF129" si="393">+AA130-AA127</f>
        <v>58459</v>
      </c>
      <c r="AB129" s="8">
        <f t="shared" si="393"/>
        <v>64593</v>
      </c>
      <c r="AC129" s="8">
        <f t="shared" si="393"/>
        <v>59147</v>
      </c>
      <c r="AD129" s="8">
        <f t="shared" si="393"/>
        <v>69791.59</v>
      </c>
      <c r="AE129" s="8">
        <f t="shared" si="393"/>
        <v>71486.122000000003</v>
      </c>
      <c r="AF129" s="8">
        <f t="shared" si="393"/>
        <v>58078</v>
      </c>
      <c r="AG129" s="8">
        <f t="shared" ref="AG129:AL129" si="394">+AG130-AG127</f>
        <v>54218.596000000005</v>
      </c>
      <c r="AH129" s="8">
        <f t="shared" si="394"/>
        <v>53666.423999999999</v>
      </c>
      <c r="AI129" s="8">
        <f t="shared" si="394"/>
        <v>47686.307533930383</v>
      </c>
      <c r="AJ129" s="8">
        <f t="shared" si="394"/>
        <v>50869.099000000002</v>
      </c>
      <c r="AK129" s="8">
        <f t="shared" si="394"/>
        <v>53504.837</v>
      </c>
      <c r="AL129" s="8">
        <f t="shared" si="394"/>
        <v>51122.745000000003</v>
      </c>
      <c r="AM129" s="8">
        <f t="shared" ref="AM129:AS129" si="395">+AM130-AM127</f>
        <v>46347</v>
      </c>
      <c r="AN129" s="8">
        <f t="shared" si="395"/>
        <v>45287</v>
      </c>
      <c r="AO129" s="8">
        <f t="shared" si="395"/>
        <v>41753.620284907636</v>
      </c>
      <c r="AP129" s="8">
        <f t="shared" si="395"/>
        <v>39019.721765960654</v>
      </c>
      <c r="AQ129" s="8">
        <f t="shared" si="395"/>
        <v>36701.903046652587</v>
      </c>
      <c r="AR129" s="8">
        <f t="shared" si="395"/>
        <v>40040.001174873454</v>
      </c>
      <c r="AS129" s="8">
        <f t="shared" si="395"/>
        <v>36638</v>
      </c>
      <c r="AT129" s="8">
        <f>+AT130-AT127</f>
        <v>37288.182405736836</v>
      </c>
      <c r="AU129" s="8">
        <f>+AU130-AU127</f>
        <v>36851</v>
      </c>
      <c r="AV129" s="8">
        <f t="shared" ref="AV129:AW129" si="396">+AV130-AV127</f>
        <v>40527.433196417893</v>
      </c>
      <c r="AW129" s="8">
        <f t="shared" si="396"/>
        <v>42019.096999999994</v>
      </c>
      <c r="AX129" s="8">
        <f>+AX130-AX127</f>
        <v>47022.202964980563</v>
      </c>
      <c r="AY129" s="8">
        <f>+AY130-AY127</f>
        <v>29841.37322363018</v>
      </c>
      <c r="AZ129" s="8">
        <f t="shared" ref="AZ129:BA129" si="397">+AZ130-AZ127</f>
        <v>36675</v>
      </c>
      <c r="BA129" s="8">
        <f t="shared" si="397"/>
        <v>32005.150999999998</v>
      </c>
      <c r="BB129" s="8">
        <f>+BB130-BB127</f>
        <v>33175.327443648086</v>
      </c>
      <c r="BC129" s="8">
        <f>+BC130-BC127</f>
        <v>33410.384162054361</v>
      </c>
      <c r="BD129" s="8">
        <f t="shared" ref="BD129:BE129" si="398">+BD130-BD127</f>
        <v>44102</v>
      </c>
      <c r="BE129" s="8">
        <f t="shared" si="398"/>
        <v>47088.286782770447</v>
      </c>
      <c r="BF129" s="8">
        <f t="shared" ref="BF129" si="399">+BF130-BF127</f>
        <v>47362.31204620783</v>
      </c>
      <c r="BG129" s="8">
        <f>+BG130-BG127</f>
        <v>45623.931004600629</v>
      </c>
      <c r="BH129" s="8">
        <f t="shared" ref="BH129" si="400">+BH130-BH127</f>
        <v>54614.639876593959</v>
      </c>
      <c r="BI129" s="8">
        <f>+BI130-BI127</f>
        <v>49571.451671084447</v>
      </c>
      <c r="BJ129" s="8"/>
      <c r="BK129" s="8"/>
      <c r="BL129" s="8"/>
      <c r="BM129" s="8"/>
    </row>
    <row r="130" spans="2:65" s="5" customFormat="1" ht="13.5" customHeight="1">
      <c r="B130" s="5" t="s">
        <v>359</v>
      </c>
      <c r="C130" s="8">
        <f t="shared" ref="C130:H130" si="401">C124</f>
        <v>66027</v>
      </c>
      <c r="D130" s="8">
        <f t="shared" si="401"/>
        <v>66730</v>
      </c>
      <c r="E130" s="8">
        <f t="shared" si="401"/>
        <v>88909</v>
      </c>
      <c r="F130" s="8">
        <f t="shared" si="401"/>
        <v>83360</v>
      </c>
      <c r="G130" s="8">
        <f t="shared" si="401"/>
        <v>83360</v>
      </c>
      <c r="H130" s="8">
        <f t="shared" si="401"/>
        <v>81805</v>
      </c>
      <c r="I130" s="8">
        <f t="shared" ref="I130:N130" si="402">I124</f>
        <v>71360</v>
      </c>
      <c r="J130" s="8">
        <f t="shared" si="402"/>
        <v>88784</v>
      </c>
      <c r="K130" s="8">
        <f t="shared" si="402"/>
        <v>87287.728867897953</v>
      </c>
      <c r="L130" s="8">
        <f t="shared" si="402"/>
        <v>80804.508412944298</v>
      </c>
      <c r="M130" s="8">
        <f t="shared" si="402"/>
        <v>67735</v>
      </c>
      <c r="N130" s="8">
        <f t="shared" si="402"/>
        <v>76881</v>
      </c>
      <c r="O130" s="8">
        <f t="shared" ref="O130" si="403">O124</f>
        <v>82681.435439538458</v>
      </c>
      <c r="P130" s="8">
        <f t="shared" ref="P130" si="404">P124</f>
        <v>90917.67017102582</v>
      </c>
      <c r="Q130" s="8"/>
      <c r="R130" s="8"/>
      <c r="S130" s="8"/>
      <c r="T130" s="173"/>
      <c r="U130" s="8">
        <f t="shared" ref="U130:AA130" si="405">U124</f>
        <v>67892</v>
      </c>
      <c r="V130" s="8">
        <f t="shared" si="405"/>
        <v>71375</v>
      </c>
      <c r="W130" s="8">
        <f t="shared" si="405"/>
        <v>73486</v>
      </c>
      <c r="X130" s="8">
        <f t="shared" si="405"/>
        <v>88909</v>
      </c>
      <c r="Y130" s="8">
        <f t="shared" si="405"/>
        <v>81448</v>
      </c>
      <c r="Z130" s="8">
        <f t="shared" si="405"/>
        <v>87595</v>
      </c>
      <c r="AA130" s="8">
        <f t="shared" si="405"/>
        <v>78665</v>
      </c>
      <c r="AB130" s="8">
        <f t="shared" ref="AB130:AG130" si="406">AB124</f>
        <v>83360</v>
      </c>
      <c r="AC130" s="8">
        <f t="shared" si="406"/>
        <v>78696</v>
      </c>
      <c r="AD130" s="8">
        <f t="shared" si="406"/>
        <v>93261</v>
      </c>
      <c r="AE130" s="8">
        <f t="shared" si="406"/>
        <v>89961</v>
      </c>
      <c r="AF130" s="8">
        <f t="shared" si="406"/>
        <v>81805</v>
      </c>
      <c r="AG130" s="8">
        <f t="shared" si="406"/>
        <v>77834</v>
      </c>
      <c r="AH130" s="8">
        <f t="shared" ref="AH130:AM130" si="407">AH124</f>
        <v>77152</v>
      </c>
      <c r="AI130" s="8">
        <f t="shared" si="407"/>
        <v>77916.381533930384</v>
      </c>
      <c r="AJ130" s="8">
        <f t="shared" si="407"/>
        <v>71360</v>
      </c>
      <c r="AK130" s="8">
        <f t="shared" si="407"/>
        <v>92938</v>
      </c>
      <c r="AL130" s="8">
        <f t="shared" si="407"/>
        <v>92596</v>
      </c>
      <c r="AM130" s="8">
        <f t="shared" si="407"/>
        <v>104404</v>
      </c>
      <c r="AN130" s="8">
        <f t="shared" ref="AN130:AS130" si="408">AN124</f>
        <v>88784</v>
      </c>
      <c r="AO130" s="8">
        <f t="shared" si="408"/>
        <v>90178.612496290094</v>
      </c>
      <c r="AP130" s="8">
        <f t="shared" si="408"/>
        <v>85805.334765960652</v>
      </c>
      <c r="AQ130" s="8">
        <f t="shared" si="408"/>
        <v>86789.930819770016</v>
      </c>
      <c r="AR130" s="8">
        <f t="shared" si="408"/>
        <v>87287.728867897953</v>
      </c>
      <c r="AS130" s="8">
        <f t="shared" si="408"/>
        <v>86081</v>
      </c>
      <c r="AT130" s="8">
        <f>AT124</f>
        <v>82860.269163761768</v>
      </c>
      <c r="AU130" s="8">
        <f>AU124</f>
        <v>76056</v>
      </c>
      <c r="AV130" s="8">
        <f t="shared" ref="AV130:AW130" si="409">AV124</f>
        <v>80804.508412944298</v>
      </c>
      <c r="AW130" s="8">
        <f t="shared" si="409"/>
        <v>83166.324999999997</v>
      </c>
      <c r="AX130" s="8">
        <f>AX124</f>
        <v>77971.126696596868</v>
      </c>
      <c r="AY130" s="8">
        <f>AY124</f>
        <v>68385.071863518577</v>
      </c>
      <c r="AZ130" s="8">
        <f t="shared" ref="AZ130:BA130" si="410">AZ124</f>
        <v>67735</v>
      </c>
      <c r="BA130" s="8">
        <f t="shared" si="410"/>
        <v>67051</v>
      </c>
      <c r="BB130" s="8">
        <f>BB124</f>
        <v>71446.30646366805</v>
      </c>
      <c r="BC130" s="8">
        <f>BC124</f>
        <v>74903.606112776062</v>
      </c>
      <c r="BD130" s="8">
        <f t="shared" ref="BD130:BE130" si="411">BD124</f>
        <v>76881</v>
      </c>
      <c r="BE130" s="8">
        <f t="shared" si="411"/>
        <v>77597</v>
      </c>
      <c r="BF130" s="8">
        <f t="shared" ref="BF130" si="412">BF124</f>
        <v>84500.844223599997</v>
      </c>
      <c r="BG130" s="8">
        <f>BG124</f>
        <v>80516.86675317373</v>
      </c>
      <c r="BH130" s="8">
        <f t="shared" ref="BH130:BI130" si="413">BH124</f>
        <v>82681.435439538458</v>
      </c>
      <c r="BI130" s="8">
        <f t="shared" si="413"/>
        <v>90917.67017102582</v>
      </c>
      <c r="BJ130" s="8"/>
      <c r="BK130" s="8"/>
      <c r="BL130" s="8"/>
      <c r="BM130" s="8"/>
    </row>
    <row r="131" spans="2:65" ht="13.5" customHeight="1">
      <c r="B131" s="5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48"/>
      <c r="S131" s="48"/>
      <c r="T131" s="83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G131" s="27"/>
      <c r="BH131" s="27"/>
      <c r="BI131" s="27"/>
      <c r="BL131" s="27"/>
      <c r="BM131" s="27"/>
    </row>
    <row r="132" spans="2:65" ht="13.5" hidden="1" customHeight="1" outlineLevel="1">
      <c r="B132" s="5" t="s">
        <v>360</v>
      </c>
      <c r="C132" s="8">
        <f>C56*8</f>
        <v>7520</v>
      </c>
      <c r="D132" s="8">
        <f>D56*8</f>
        <v>8352</v>
      </c>
      <c r="E132" s="8">
        <f>E56*8</f>
        <v>9856</v>
      </c>
      <c r="F132" s="8">
        <f>F56*8</f>
        <v>9856</v>
      </c>
      <c r="G132" s="8">
        <f>G56*8</f>
        <v>11360</v>
      </c>
      <c r="H132" s="8">
        <f>H56*8</f>
        <v>8504</v>
      </c>
      <c r="I132" s="265"/>
      <c r="J132" s="265"/>
      <c r="K132" s="265"/>
      <c r="L132" s="265"/>
      <c r="M132" s="265"/>
      <c r="N132" s="265"/>
      <c r="O132" s="265"/>
      <c r="P132" s="265"/>
      <c r="Q132" s="8"/>
      <c r="R132" s="48"/>
      <c r="S132" s="48"/>
      <c r="T132" s="83"/>
      <c r="U132" s="8">
        <f>U56*8*4</f>
        <v>9856</v>
      </c>
      <c r="V132" s="8">
        <f>V56*8*4</f>
        <v>9856</v>
      </c>
      <c r="W132" s="8">
        <f>W56*8*4</f>
        <v>9856</v>
      </c>
      <c r="X132" s="8">
        <f t="shared" ref="X132:AD132" si="414">X94*8</f>
        <v>9856</v>
      </c>
      <c r="Y132" s="8">
        <f t="shared" si="414"/>
        <v>9856</v>
      </c>
      <c r="Z132" s="8">
        <f t="shared" si="414"/>
        <v>9856</v>
      </c>
      <c r="AA132" s="8">
        <f t="shared" si="414"/>
        <v>9856</v>
      </c>
      <c r="AB132" s="8">
        <f t="shared" si="414"/>
        <v>9856</v>
      </c>
      <c r="AC132" s="8">
        <f t="shared" si="414"/>
        <v>9518</v>
      </c>
      <c r="AD132" s="8">
        <f t="shared" si="414"/>
        <v>9180</v>
      </c>
      <c r="AE132" s="8">
        <f>AE94*8</f>
        <v>8842</v>
      </c>
      <c r="AF132" s="8">
        <f>AF94*8</f>
        <v>8504</v>
      </c>
      <c r="AG132" s="265"/>
      <c r="AH132" s="265"/>
      <c r="AI132" s="265"/>
      <c r="AJ132" s="265"/>
      <c r="AK132" s="265"/>
      <c r="AL132" s="265"/>
      <c r="AM132" s="265"/>
      <c r="AN132" s="265"/>
      <c r="AO132" s="265"/>
      <c r="AP132" s="265"/>
      <c r="AQ132" s="265"/>
      <c r="AR132" s="265"/>
      <c r="AS132" s="265"/>
      <c r="AT132" s="265"/>
      <c r="AU132" s="265"/>
      <c r="AV132" s="265"/>
      <c r="AW132" s="265"/>
      <c r="AX132" s="265"/>
      <c r="AY132" s="265"/>
      <c r="AZ132" s="265"/>
      <c r="BA132" s="265"/>
      <c r="BB132" s="265"/>
      <c r="BC132" s="265"/>
      <c r="BD132" s="265"/>
      <c r="BE132" s="265"/>
      <c r="BF132" s="265"/>
      <c r="BG132" s="265"/>
      <c r="BH132" s="265"/>
      <c r="BI132" s="265"/>
      <c r="BJ132" s="8"/>
      <c r="BK132" s="8"/>
      <c r="BL132" s="8"/>
      <c r="BM132" s="8"/>
    </row>
    <row r="133" spans="2:65" ht="13.5" hidden="1" customHeight="1" outlineLevel="1">
      <c r="B133" s="5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48"/>
      <c r="S133" s="48"/>
      <c r="T133" s="83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</row>
    <row r="134" spans="2:65" ht="13.5" hidden="1" customHeight="1" outlineLevel="1">
      <c r="B134" s="5" t="s">
        <v>361</v>
      </c>
      <c r="C134" s="8">
        <f t="shared" ref="C134:H134" si="415">C132+C129</f>
        <v>60589</v>
      </c>
      <c r="D134" s="8">
        <f t="shared" si="415"/>
        <v>59093</v>
      </c>
      <c r="E134" s="8">
        <f t="shared" si="415"/>
        <v>88289</v>
      </c>
      <c r="F134" s="8">
        <f t="shared" si="415"/>
        <v>74449</v>
      </c>
      <c r="G134" s="8">
        <f t="shared" si="415"/>
        <v>75953</v>
      </c>
      <c r="H134" s="8">
        <f t="shared" si="415"/>
        <v>66582</v>
      </c>
      <c r="I134" s="265"/>
      <c r="J134" s="265"/>
      <c r="K134" s="265"/>
      <c r="L134" s="265"/>
      <c r="M134" s="265"/>
      <c r="N134" s="265"/>
      <c r="O134" s="265"/>
      <c r="P134" s="265"/>
      <c r="Q134" s="8"/>
      <c r="R134" s="8"/>
      <c r="S134" s="8"/>
      <c r="T134" s="173"/>
      <c r="U134" s="8">
        <f t="shared" ref="U134:AA134" si="416">U132+U129</f>
        <v>59525</v>
      </c>
      <c r="V134" s="8">
        <f t="shared" si="416"/>
        <v>65585</v>
      </c>
      <c r="W134" s="8">
        <f t="shared" si="416"/>
        <v>63237</v>
      </c>
      <c r="X134" s="8">
        <f t="shared" si="416"/>
        <v>88289</v>
      </c>
      <c r="Y134" s="8">
        <f t="shared" si="416"/>
        <v>78274</v>
      </c>
      <c r="Z134" s="8">
        <f t="shared" si="416"/>
        <v>73296</v>
      </c>
      <c r="AA134" s="8">
        <f t="shared" si="416"/>
        <v>68315</v>
      </c>
      <c r="AB134" s="8">
        <f>AB132+AB129</f>
        <v>74449</v>
      </c>
      <c r="AC134" s="8">
        <f>AC132+AC129</f>
        <v>68665</v>
      </c>
      <c r="AD134" s="8">
        <f>AD132+AD129</f>
        <v>78971.59</v>
      </c>
      <c r="AE134" s="8">
        <f>AE132+AE129</f>
        <v>80328.122000000003</v>
      </c>
      <c r="AF134" s="8">
        <f>AF132+AF129</f>
        <v>66582</v>
      </c>
      <c r="AG134" s="265"/>
      <c r="AH134" s="265"/>
      <c r="AI134" s="265"/>
      <c r="AJ134" s="265"/>
      <c r="AK134" s="265"/>
      <c r="AL134" s="265"/>
      <c r="AM134" s="265"/>
      <c r="AN134" s="265"/>
      <c r="AO134" s="265"/>
      <c r="AP134" s="265"/>
      <c r="AQ134" s="265"/>
      <c r="AR134" s="265"/>
      <c r="AS134" s="265"/>
      <c r="AT134" s="265"/>
      <c r="AU134" s="265"/>
      <c r="AV134" s="265"/>
      <c r="AW134" s="265"/>
      <c r="AX134" s="265"/>
      <c r="AY134" s="265"/>
      <c r="AZ134" s="265"/>
      <c r="BA134" s="265"/>
      <c r="BB134" s="265"/>
      <c r="BC134" s="265"/>
      <c r="BD134" s="265"/>
      <c r="BE134" s="265"/>
      <c r="BF134" s="265"/>
      <c r="BG134" s="265"/>
      <c r="BH134" s="265"/>
      <c r="BI134" s="265"/>
      <c r="BJ134" s="8"/>
      <c r="BK134" s="8"/>
      <c r="BL134" s="8"/>
      <c r="BM134" s="8"/>
    </row>
    <row r="135" spans="2:65" ht="13.5" hidden="1" customHeight="1" outlineLevel="1">
      <c r="B135" s="5" t="s">
        <v>362</v>
      </c>
      <c r="C135" s="8">
        <f t="shared" ref="C135:H135" si="417">C130+C132</f>
        <v>73547</v>
      </c>
      <c r="D135" s="8">
        <f t="shared" si="417"/>
        <v>75082</v>
      </c>
      <c r="E135" s="8">
        <f t="shared" si="417"/>
        <v>98765</v>
      </c>
      <c r="F135" s="8">
        <f t="shared" si="417"/>
        <v>93216</v>
      </c>
      <c r="G135" s="8">
        <f t="shared" si="417"/>
        <v>94720</v>
      </c>
      <c r="H135" s="8">
        <f t="shared" si="417"/>
        <v>90309</v>
      </c>
      <c r="I135" s="265"/>
      <c r="J135" s="265"/>
      <c r="K135" s="265"/>
      <c r="L135" s="265"/>
      <c r="M135" s="265"/>
      <c r="N135" s="265"/>
      <c r="O135" s="265"/>
      <c r="P135" s="265"/>
      <c r="Q135" s="8"/>
      <c r="R135" s="8"/>
      <c r="S135" s="8"/>
      <c r="T135" s="173"/>
      <c r="U135" s="8">
        <f t="shared" ref="U135:AA135" si="418">U130+U132</f>
        <v>77748</v>
      </c>
      <c r="V135" s="8">
        <f t="shared" si="418"/>
        <v>81231</v>
      </c>
      <c r="W135" s="8">
        <f t="shared" si="418"/>
        <v>83342</v>
      </c>
      <c r="X135" s="8">
        <f t="shared" si="418"/>
        <v>98765</v>
      </c>
      <c r="Y135" s="8">
        <f t="shared" si="418"/>
        <v>91304</v>
      </c>
      <c r="Z135" s="8">
        <f t="shared" si="418"/>
        <v>97451</v>
      </c>
      <c r="AA135" s="8">
        <f t="shared" si="418"/>
        <v>88521</v>
      </c>
      <c r="AB135" s="8">
        <f>AB130+AB132</f>
        <v>93216</v>
      </c>
      <c r="AC135" s="8">
        <f>AC130+AC132</f>
        <v>88214</v>
      </c>
      <c r="AD135" s="8">
        <f>AD130+AD132</f>
        <v>102441</v>
      </c>
      <c r="AE135" s="8">
        <f>AE130+AE132</f>
        <v>98803</v>
      </c>
      <c r="AF135" s="8">
        <f>AF130+AF132</f>
        <v>90309</v>
      </c>
      <c r="AG135" s="265"/>
      <c r="AH135" s="265"/>
      <c r="AI135" s="265"/>
      <c r="AJ135" s="265"/>
      <c r="AK135" s="265"/>
      <c r="AL135" s="265"/>
      <c r="AM135" s="265"/>
      <c r="AN135" s="265"/>
      <c r="AO135" s="265"/>
      <c r="AP135" s="265"/>
      <c r="AQ135" s="265"/>
      <c r="AR135" s="265"/>
      <c r="AS135" s="265"/>
      <c r="AT135" s="265"/>
      <c r="AU135" s="265"/>
      <c r="AV135" s="265"/>
      <c r="AW135" s="265"/>
      <c r="AX135" s="265"/>
      <c r="AY135" s="265"/>
      <c r="AZ135" s="265"/>
      <c r="BA135" s="265"/>
      <c r="BB135" s="265"/>
      <c r="BC135" s="265"/>
      <c r="BD135" s="265"/>
      <c r="BE135" s="265"/>
      <c r="BF135" s="265"/>
      <c r="BG135" s="265"/>
      <c r="BH135" s="265"/>
      <c r="BI135" s="265"/>
      <c r="BJ135" s="8"/>
      <c r="BK135" s="8"/>
      <c r="BL135" s="8"/>
      <c r="BM135" s="8"/>
    </row>
    <row r="136" spans="2:65" ht="13.5" customHeight="1" collapsed="1"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L136" s="27"/>
      <c r="BM136" s="27"/>
    </row>
    <row r="137" spans="2:65" ht="12.75">
      <c r="B137" s="5" t="s">
        <v>363</v>
      </c>
      <c r="C137" s="132">
        <v>262514.90000000002</v>
      </c>
      <c r="D137" s="132">
        <v>256835.1</v>
      </c>
      <c r="E137" s="132">
        <v>272319.8</v>
      </c>
      <c r="F137" s="132">
        <v>287709</v>
      </c>
      <c r="G137" s="132">
        <f>F137</f>
        <v>287709</v>
      </c>
      <c r="H137" s="132">
        <v>250310.3</v>
      </c>
      <c r="I137" s="132">
        <f>8855/I160</f>
        <v>166916.75</v>
      </c>
      <c r="J137" s="132">
        <f>10350.9/J160</f>
        <v>206500.45499999999</v>
      </c>
      <c r="K137" s="132">
        <f>210.08*54.79/K160</f>
        <v>235533.77409328002</v>
      </c>
      <c r="L137" s="132">
        <f>15109/L160</f>
        <v>294752.24346468982</v>
      </c>
      <c r="M137" s="132">
        <f>20708/M160</f>
        <v>351578.94736842107</v>
      </c>
      <c r="N137" s="132">
        <f>18412/N160</f>
        <v>383332.31640000001</v>
      </c>
      <c r="O137" s="132">
        <v>399589.76</v>
      </c>
      <c r="P137" s="6">
        <f>BI137</f>
        <v>372545.45454545453</v>
      </c>
      <c r="Q137" s="6"/>
      <c r="R137" s="175"/>
      <c r="S137" s="175"/>
      <c r="T137" s="92"/>
      <c r="U137" s="132">
        <v>297588.7</v>
      </c>
      <c r="V137" s="127">
        <v>314329</v>
      </c>
      <c r="W137" s="127">
        <v>301921.09999999998</v>
      </c>
      <c r="X137" s="127">
        <v>272319.8</v>
      </c>
      <c r="Y137" s="127">
        <v>278766.59999999998</v>
      </c>
      <c r="Z137" s="127">
        <v>323045</v>
      </c>
      <c r="AA137" s="127">
        <v>295608.09999999998</v>
      </c>
      <c r="AB137" s="127">
        <v>287709</v>
      </c>
      <c r="AC137" s="127">
        <v>252583.1</v>
      </c>
      <c r="AD137" s="127">
        <v>247940</v>
      </c>
      <c r="AE137" s="127">
        <v>240041.1</v>
      </c>
      <c r="AF137" s="226">
        <f>H137</f>
        <v>250310.3</v>
      </c>
      <c r="AG137" s="127">
        <v>255986.4</v>
      </c>
      <c r="AH137" s="127">
        <v>246280.5</v>
      </c>
      <c r="AI137" s="127">
        <v>243507.4</v>
      </c>
      <c r="AJ137" s="134">
        <f>I137</f>
        <v>166916.75</v>
      </c>
      <c r="AK137" s="132">
        <f>8775/AK160</f>
        <v>206300.25000000003</v>
      </c>
      <c r="AL137" s="132">
        <f>8630/AL160</f>
        <v>198231.1</v>
      </c>
      <c r="AM137" s="132">
        <f>8542/AM160</f>
        <v>191853.32</v>
      </c>
      <c r="AN137" s="134">
        <f>J137</f>
        <v>206500.45499999999</v>
      </c>
      <c r="AO137" s="132">
        <v>203234.5</v>
      </c>
      <c r="AP137" s="132">
        <v>208378</v>
      </c>
      <c r="AQ137" s="132">
        <v>235546</v>
      </c>
      <c r="AR137" s="134">
        <f>K137</f>
        <v>235533.77409328002</v>
      </c>
      <c r="AS137" s="132">
        <f>20.34*11.58*1000</f>
        <v>235537.2</v>
      </c>
      <c r="AT137" s="132">
        <v>0</v>
      </c>
      <c r="AU137" s="132">
        <v>257422</v>
      </c>
      <c r="AV137" s="134">
        <f>L137</f>
        <v>294752.24346468982</v>
      </c>
      <c r="AW137" s="132">
        <v>313060</v>
      </c>
      <c r="AX137" s="132">
        <v>297687.90000000002</v>
      </c>
      <c r="AY137" s="132">
        <v>280608.2</v>
      </c>
      <c r="AZ137" s="134">
        <f>M137</f>
        <v>351578.94736842107</v>
      </c>
      <c r="BA137" s="132">
        <v>329116.40000000002</v>
      </c>
      <c r="BB137" s="132">
        <v>313696.3</v>
      </c>
      <c r="BC137" s="132">
        <v>362540.6</v>
      </c>
      <c r="BD137" s="134">
        <f>N137</f>
        <v>383332.31640000001</v>
      </c>
      <c r="BE137" s="132">
        <v>391987.4</v>
      </c>
      <c r="BF137" s="132">
        <v>383224.9</v>
      </c>
      <c r="BG137" s="132">
        <v>36122.89</v>
      </c>
      <c r="BH137" s="134">
        <f t="shared" ref="BH137:BH138" si="419">O137</f>
        <v>399589.76</v>
      </c>
      <c r="BI137" s="132">
        <v>372545.45454545453</v>
      </c>
      <c r="BJ137" s="127"/>
      <c r="BK137" s="127"/>
      <c r="BL137" s="127"/>
      <c r="BM137" s="127"/>
    </row>
    <row r="138" spans="2:65" ht="12.75">
      <c r="B138" s="1" t="s">
        <v>364</v>
      </c>
      <c r="C138" s="138">
        <v>110118</v>
      </c>
      <c r="D138" s="138">
        <v>108735</v>
      </c>
      <c r="E138" s="138">
        <v>129233</v>
      </c>
      <c r="F138" s="138">
        <v>140710</v>
      </c>
      <c r="G138" s="138">
        <v>140710</v>
      </c>
      <c r="H138" s="138">
        <v>131750.17600000001</v>
      </c>
      <c r="I138" s="138">
        <v>129686.276</v>
      </c>
      <c r="J138" s="138">
        <v>122457</v>
      </c>
      <c r="K138" s="138">
        <v>127572</v>
      </c>
      <c r="L138" s="138">
        <v>131875.54827450291</v>
      </c>
      <c r="M138" s="138">
        <v>133705</v>
      </c>
      <c r="N138" s="138">
        <v>150542</v>
      </c>
      <c r="O138" s="138">
        <v>154028.64245431399</v>
      </c>
      <c r="P138" s="6">
        <f>BI138</f>
        <v>146869.90308551581</v>
      </c>
      <c r="Q138" s="6"/>
      <c r="R138" s="138"/>
      <c r="S138" s="138"/>
      <c r="T138" s="176"/>
      <c r="U138" s="138">
        <v>105918</v>
      </c>
      <c r="V138" s="127">
        <v>114169</v>
      </c>
      <c r="W138" s="127">
        <v>118995</v>
      </c>
      <c r="X138" s="138">
        <v>129233</v>
      </c>
      <c r="Y138" s="132">
        <v>131308</v>
      </c>
      <c r="Z138" s="132">
        <v>127730</v>
      </c>
      <c r="AA138" s="127">
        <v>135434</v>
      </c>
      <c r="AB138" s="127">
        <v>140710</v>
      </c>
      <c r="AC138" s="127">
        <v>128946</v>
      </c>
      <c r="AD138" s="127">
        <v>132828.755</v>
      </c>
      <c r="AE138" s="127">
        <v>131118.69</v>
      </c>
      <c r="AF138" s="226">
        <f>H138</f>
        <v>131750.17600000001</v>
      </c>
      <c r="AG138" s="127">
        <v>125482.852</v>
      </c>
      <c r="AH138" s="127">
        <v>129189.849</v>
      </c>
      <c r="AI138" s="127">
        <v>129700.24800000001</v>
      </c>
      <c r="AJ138" s="134">
        <f>I138</f>
        <v>129686.276</v>
      </c>
      <c r="AK138" s="127">
        <v>127818.493</v>
      </c>
      <c r="AL138" s="127">
        <v>125883.181</v>
      </c>
      <c r="AM138" s="127">
        <v>124383</v>
      </c>
      <c r="AN138" s="134">
        <f>J138</f>
        <v>122457</v>
      </c>
      <c r="AO138" s="127">
        <v>113688.73278581881</v>
      </c>
      <c r="AP138" s="127">
        <v>119585.34600000001</v>
      </c>
      <c r="AQ138" s="127">
        <v>122744.67454423982</v>
      </c>
      <c r="AR138" s="134">
        <f>K138</f>
        <v>127572</v>
      </c>
      <c r="AS138" s="127">
        <v>123400</v>
      </c>
      <c r="AT138" s="127">
        <v>123834.47604814627</v>
      </c>
      <c r="AU138" s="127">
        <v>126761</v>
      </c>
      <c r="AV138" s="134">
        <f>L138</f>
        <v>131875.54827450291</v>
      </c>
      <c r="AW138" s="127">
        <v>120899</v>
      </c>
      <c r="AX138" s="127">
        <v>123685.384607068</v>
      </c>
      <c r="AY138" s="127">
        <v>130825.016</v>
      </c>
      <c r="AZ138" s="134">
        <f>M138</f>
        <v>133705</v>
      </c>
      <c r="BA138" s="127">
        <v>125885.59603547381</v>
      </c>
      <c r="BB138" s="127">
        <v>134891.77373697149</v>
      </c>
      <c r="BC138" s="127">
        <v>147848.15624805199</v>
      </c>
      <c r="BD138" s="134">
        <f>N138</f>
        <v>150542</v>
      </c>
      <c r="BE138" s="127">
        <v>159723.18839996483</v>
      </c>
      <c r="BF138" s="127">
        <v>144744.32820979445</v>
      </c>
      <c r="BG138" s="127">
        <v>149413.07775933499</v>
      </c>
      <c r="BH138" s="134">
        <f t="shared" si="419"/>
        <v>154028.64245431399</v>
      </c>
      <c r="BI138" s="138">
        <v>146869.90308551581</v>
      </c>
      <c r="BJ138" s="127"/>
      <c r="BK138" s="127"/>
      <c r="BL138" s="127"/>
      <c r="BM138" s="127"/>
    </row>
    <row r="139" spans="2:65" s="5" customFormat="1" ht="12.75">
      <c r="B139" s="5" t="s">
        <v>365</v>
      </c>
      <c r="C139" s="141">
        <f t="shared" ref="C139:H139" si="420">C130+C138</f>
        <v>176145</v>
      </c>
      <c r="D139" s="136">
        <f t="shared" si="420"/>
        <v>175465</v>
      </c>
      <c r="E139" s="136">
        <f t="shared" si="420"/>
        <v>218142</v>
      </c>
      <c r="F139" s="136">
        <f t="shared" si="420"/>
        <v>224070</v>
      </c>
      <c r="G139" s="136">
        <f t="shared" si="420"/>
        <v>224070</v>
      </c>
      <c r="H139" s="136">
        <f t="shared" si="420"/>
        <v>213555.17600000001</v>
      </c>
      <c r="I139" s="136">
        <f t="shared" ref="I139:N139" si="421">I130+I138</f>
        <v>201046.27600000001</v>
      </c>
      <c r="J139" s="136">
        <f t="shared" si="421"/>
        <v>211241</v>
      </c>
      <c r="K139" s="136">
        <f t="shared" si="421"/>
        <v>214859.72886789794</v>
      </c>
      <c r="L139" s="136">
        <f t="shared" si="421"/>
        <v>212680.05668744721</v>
      </c>
      <c r="M139" s="136">
        <f t="shared" si="421"/>
        <v>201440</v>
      </c>
      <c r="N139" s="136">
        <f t="shared" si="421"/>
        <v>227423</v>
      </c>
      <c r="O139" s="136">
        <f t="shared" ref="O139" si="422">O130+O138</f>
        <v>236710.07789385243</v>
      </c>
      <c r="P139" s="136">
        <f t="shared" ref="P139" si="423">P130+P138</f>
        <v>237787.57325654163</v>
      </c>
      <c r="Q139" s="136"/>
      <c r="R139" s="4"/>
      <c r="S139" s="4"/>
      <c r="T139" s="93"/>
      <c r="U139" s="136">
        <f t="shared" ref="U139:AA139" si="424">U130+U138</f>
        <v>173810</v>
      </c>
      <c r="V139" s="136">
        <f t="shared" si="424"/>
        <v>185544</v>
      </c>
      <c r="W139" s="136">
        <f t="shared" si="424"/>
        <v>192481</v>
      </c>
      <c r="X139" s="136">
        <f t="shared" si="424"/>
        <v>218142</v>
      </c>
      <c r="Y139" s="136">
        <f t="shared" si="424"/>
        <v>212756</v>
      </c>
      <c r="Z139" s="136">
        <f t="shared" si="424"/>
        <v>215325</v>
      </c>
      <c r="AA139" s="136">
        <f t="shared" si="424"/>
        <v>214099</v>
      </c>
      <c r="AB139" s="136">
        <f t="shared" ref="AB139:AG139" si="425">AB130+AB138</f>
        <v>224070</v>
      </c>
      <c r="AC139" s="136">
        <f t="shared" si="425"/>
        <v>207642</v>
      </c>
      <c r="AD139" s="136">
        <f t="shared" si="425"/>
        <v>226089.755</v>
      </c>
      <c r="AE139" s="136">
        <f t="shared" si="425"/>
        <v>221079.69</v>
      </c>
      <c r="AF139" s="136">
        <f t="shared" si="425"/>
        <v>213555.17600000001</v>
      </c>
      <c r="AG139" s="136">
        <f t="shared" si="425"/>
        <v>203316.85200000001</v>
      </c>
      <c r="AH139" s="136">
        <f t="shared" ref="AH139:AM139" si="426">AH130+AH138</f>
        <v>206341.84899999999</v>
      </c>
      <c r="AI139" s="136">
        <f t="shared" si="426"/>
        <v>207616.62953393039</v>
      </c>
      <c r="AJ139" s="136">
        <f t="shared" si="426"/>
        <v>201046.27600000001</v>
      </c>
      <c r="AK139" s="136">
        <f t="shared" si="426"/>
        <v>220756.49300000002</v>
      </c>
      <c r="AL139" s="136">
        <f t="shared" si="426"/>
        <v>218479.18099999998</v>
      </c>
      <c r="AM139" s="136">
        <f t="shared" si="426"/>
        <v>228787</v>
      </c>
      <c r="AN139" s="136">
        <f t="shared" ref="AN139:AS139" si="427">AN130+AN138</f>
        <v>211241</v>
      </c>
      <c r="AO139" s="136">
        <f t="shared" si="427"/>
        <v>203867.3452821089</v>
      </c>
      <c r="AP139" s="136">
        <f t="shared" si="427"/>
        <v>205390.68076596066</v>
      </c>
      <c r="AQ139" s="136">
        <f t="shared" si="427"/>
        <v>209534.60536400985</v>
      </c>
      <c r="AR139" s="136">
        <f t="shared" si="427"/>
        <v>214859.72886789794</v>
      </c>
      <c r="AS139" s="136">
        <f t="shared" si="427"/>
        <v>209481</v>
      </c>
      <c r="AT139" s="136">
        <f>AT130+AT138</f>
        <v>206694.74521190804</v>
      </c>
      <c r="AU139" s="136">
        <f>AU130+AU138</f>
        <v>202817</v>
      </c>
      <c r="AV139" s="136">
        <f t="shared" ref="AV139:AW139" si="428">AV130+AV138</f>
        <v>212680.05668744721</v>
      </c>
      <c r="AW139" s="136">
        <f t="shared" si="428"/>
        <v>204065.32500000001</v>
      </c>
      <c r="AX139" s="136">
        <f>AX130+AX138</f>
        <v>201656.51130366488</v>
      </c>
      <c r="AY139" s="136">
        <f>AY130+AY138</f>
        <v>199210.08786351857</v>
      </c>
      <c r="AZ139" s="136">
        <f t="shared" ref="AZ139:BA139" si="429">AZ130+AZ138</f>
        <v>201440</v>
      </c>
      <c r="BA139" s="136">
        <f t="shared" si="429"/>
        <v>192936.59603547381</v>
      </c>
      <c r="BB139" s="136">
        <f>BB130+BB138</f>
        <v>206338.08020063955</v>
      </c>
      <c r="BC139" s="136">
        <f>BC130+BC138</f>
        <v>222751.76236082806</v>
      </c>
      <c r="BD139" s="136">
        <f t="shared" ref="BD139:BE139" si="430">BD130+BD138</f>
        <v>227423</v>
      </c>
      <c r="BE139" s="136">
        <f t="shared" si="430"/>
        <v>237320.18839996483</v>
      </c>
      <c r="BF139" s="136">
        <f t="shared" ref="BF139" si="431">BF130+BF138</f>
        <v>229245.17243339444</v>
      </c>
      <c r="BG139" s="136">
        <f>BG130+BG138</f>
        <v>229929.94451250872</v>
      </c>
      <c r="BH139" s="136">
        <f t="shared" ref="BH139:BI139" si="432">BH130+BH138</f>
        <v>236710.07789385243</v>
      </c>
      <c r="BI139" s="136">
        <f t="shared" si="432"/>
        <v>237787.57325654163</v>
      </c>
      <c r="BJ139" s="136"/>
      <c r="BK139" s="136"/>
      <c r="BL139" s="136"/>
      <c r="BM139" s="136"/>
    </row>
    <row r="140" spans="2:65" s="5" customFormat="1" ht="12.75">
      <c r="B140" s="5" t="s">
        <v>366</v>
      </c>
      <c r="C140" s="141">
        <f t="shared" ref="C140:H140" si="433">C129+C137</f>
        <v>315583.90000000002</v>
      </c>
      <c r="D140" s="141">
        <f t="shared" si="433"/>
        <v>307576.09999999998</v>
      </c>
      <c r="E140" s="141">
        <f t="shared" si="433"/>
        <v>350752.8</v>
      </c>
      <c r="F140" s="141">
        <f t="shared" si="433"/>
        <v>352302</v>
      </c>
      <c r="G140" s="141">
        <f t="shared" si="433"/>
        <v>352302</v>
      </c>
      <c r="H140" s="141">
        <f t="shared" si="433"/>
        <v>308388.3</v>
      </c>
      <c r="I140" s="141">
        <f t="shared" ref="I140:N140" si="434">I129+I137</f>
        <v>217785.84899999999</v>
      </c>
      <c r="J140" s="141">
        <f t="shared" si="434"/>
        <v>251787.45499999999</v>
      </c>
      <c r="K140" s="141">
        <f t="shared" si="434"/>
        <v>275573.77526815346</v>
      </c>
      <c r="L140" s="141">
        <f t="shared" si="434"/>
        <v>335279.67666110769</v>
      </c>
      <c r="M140" s="141">
        <f t="shared" si="434"/>
        <v>388253.94736842107</v>
      </c>
      <c r="N140" s="141">
        <f t="shared" si="434"/>
        <v>427434.31640000001</v>
      </c>
      <c r="O140" s="141">
        <f t="shared" ref="O140" si="435">O129+O137</f>
        <v>454204.39987659396</v>
      </c>
      <c r="P140" s="141">
        <f t="shared" ref="P140" si="436">P129+P137</f>
        <v>422116.90621653898</v>
      </c>
      <c r="Q140" s="136"/>
      <c r="R140" s="4"/>
      <c r="S140" s="4"/>
      <c r="T140" s="93"/>
      <c r="U140" s="141">
        <f t="shared" ref="U140:AA140" si="437">U129+U137</f>
        <v>347257.7</v>
      </c>
      <c r="V140" s="141">
        <f t="shared" si="437"/>
        <v>370058</v>
      </c>
      <c r="W140" s="141">
        <f t="shared" si="437"/>
        <v>355302.1</v>
      </c>
      <c r="X140" s="141">
        <f t="shared" si="437"/>
        <v>350752.8</v>
      </c>
      <c r="Y140" s="141">
        <f t="shared" si="437"/>
        <v>347184.6</v>
      </c>
      <c r="Z140" s="141">
        <f t="shared" si="437"/>
        <v>386485</v>
      </c>
      <c r="AA140" s="141">
        <f t="shared" si="437"/>
        <v>354067.1</v>
      </c>
      <c r="AB140" s="141">
        <f t="shared" ref="AB140:AG140" si="438">AB129+AB137</f>
        <v>352302</v>
      </c>
      <c r="AC140" s="141">
        <f t="shared" si="438"/>
        <v>311730.09999999998</v>
      </c>
      <c r="AD140" s="141">
        <f t="shared" si="438"/>
        <v>317731.58999999997</v>
      </c>
      <c r="AE140" s="141">
        <f t="shared" si="438"/>
        <v>311527.22200000001</v>
      </c>
      <c r="AF140" s="141">
        <f t="shared" si="438"/>
        <v>308388.3</v>
      </c>
      <c r="AG140" s="141">
        <f t="shared" si="438"/>
        <v>310204.99599999998</v>
      </c>
      <c r="AH140" s="141">
        <f t="shared" ref="AH140:AM140" si="439">AH129+AH137</f>
        <v>299946.924</v>
      </c>
      <c r="AI140" s="141">
        <f t="shared" si="439"/>
        <v>291193.70753393037</v>
      </c>
      <c r="AJ140" s="141">
        <f t="shared" si="439"/>
        <v>217785.84899999999</v>
      </c>
      <c r="AK140" s="141">
        <f t="shared" si="439"/>
        <v>259805.08700000003</v>
      </c>
      <c r="AL140" s="141">
        <f t="shared" si="439"/>
        <v>249353.845</v>
      </c>
      <c r="AM140" s="141">
        <f t="shared" si="439"/>
        <v>238200.32000000001</v>
      </c>
      <c r="AN140" s="141">
        <f t="shared" ref="AN140:AS140" si="440">AN129+AN137</f>
        <v>251787.45499999999</v>
      </c>
      <c r="AO140" s="141">
        <f t="shared" si="440"/>
        <v>244988.12028490764</v>
      </c>
      <c r="AP140" s="141">
        <f t="shared" si="440"/>
        <v>247397.72176596065</v>
      </c>
      <c r="AQ140" s="141">
        <f t="shared" si="440"/>
        <v>272247.90304665256</v>
      </c>
      <c r="AR140" s="141">
        <f t="shared" si="440"/>
        <v>275573.77526815346</v>
      </c>
      <c r="AS140" s="141">
        <f t="shared" si="440"/>
        <v>272175.2</v>
      </c>
      <c r="AT140" s="141">
        <f>AT129+AT137</f>
        <v>37288.182405736836</v>
      </c>
      <c r="AU140" s="141">
        <f>AU129+AU137</f>
        <v>294273</v>
      </c>
      <c r="AV140" s="141">
        <f t="shared" ref="AV140:AW140" si="441">AV129+AV137</f>
        <v>335279.67666110769</v>
      </c>
      <c r="AW140" s="141">
        <f t="shared" si="441"/>
        <v>355079.09700000001</v>
      </c>
      <c r="AX140" s="141">
        <f>AX129+AX137</f>
        <v>344710.10296498059</v>
      </c>
      <c r="AY140" s="141">
        <f>AY129+AY137</f>
        <v>310449.5732236302</v>
      </c>
      <c r="AZ140" s="141">
        <f t="shared" ref="AZ140:BA140" si="442">AZ129+AZ137</f>
        <v>388253.94736842107</v>
      </c>
      <c r="BA140" s="141">
        <f t="shared" si="442"/>
        <v>361121.55100000004</v>
      </c>
      <c r="BB140" s="141">
        <f>BB129+BB137</f>
        <v>346871.62744364806</v>
      </c>
      <c r="BC140" s="141">
        <f>BC129+BC137</f>
        <v>395950.98416205432</v>
      </c>
      <c r="BD140" s="141">
        <f t="shared" ref="BD140:BE140" si="443">BD129+BD137</f>
        <v>427434.31640000001</v>
      </c>
      <c r="BE140" s="141">
        <f t="shared" si="443"/>
        <v>439075.68678277044</v>
      </c>
      <c r="BF140" s="141">
        <f t="shared" ref="BF140" si="444">BF129+BF137</f>
        <v>430587.21204620786</v>
      </c>
      <c r="BG140" s="141">
        <f>BG129+BG137</f>
        <v>81746.821004600628</v>
      </c>
      <c r="BH140" s="141">
        <f t="shared" ref="BH140:BI140" si="445">BH129+BH137</f>
        <v>454204.39987659396</v>
      </c>
      <c r="BI140" s="141">
        <f t="shared" si="445"/>
        <v>422116.90621653898</v>
      </c>
      <c r="BJ140" s="136"/>
      <c r="BK140" s="136"/>
      <c r="BL140" s="141"/>
      <c r="BM140" s="141"/>
    </row>
    <row r="141" spans="2:65" ht="12.75">
      <c r="R141" s="177"/>
      <c r="S141" s="177"/>
      <c r="T141" s="87"/>
      <c r="BF141" s="313"/>
      <c r="BJ141" s="313"/>
      <c r="BK141" s="313"/>
    </row>
    <row r="142" spans="2:65" ht="13.5" customHeight="1">
      <c r="B142" s="17" t="s">
        <v>367</v>
      </c>
      <c r="C142" s="47">
        <f>C3</f>
        <v>41975</v>
      </c>
      <c r="D142" s="47">
        <f>D3</f>
        <v>42341</v>
      </c>
      <c r="E142" s="47">
        <f>E3</f>
        <v>42708</v>
      </c>
      <c r="F142" s="47">
        <f>F3</f>
        <v>43073</v>
      </c>
      <c r="G142" s="47">
        <f>G3</f>
        <v>43073</v>
      </c>
      <c r="H142" s="47">
        <f>H3</f>
        <v>43438</v>
      </c>
      <c r="I142" s="47">
        <f>I3</f>
        <v>43803</v>
      </c>
      <c r="J142" s="47">
        <f>J3</f>
        <v>44169</v>
      </c>
      <c r="K142" s="47">
        <f>K3</f>
        <v>44534</v>
      </c>
      <c r="L142" s="47">
        <f>L3</f>
        <v>44899</v>
      </c>
      <c r="M142" s="47">
        <f>M3</f>
        <v>45264</v>
      </c>
      <c r="N142" s="47">
        <f>N3</f>
        <v>45630</v>
      </c>
      <c r="O142" s="47">
        <f>O3</f>
        <v>45995</v>
      </c>
      <c r="P142" s="311" t="s">
        <v>255</v>
      </c>
      <c r="Q142" s="328"/>
      <c r="R142" s="47">
        <f>R3</f>
        <v>43439</v>
      </c>
      <c r="S142" s="47">
        <f>S3</f>
        <v>43805</v>
      </c>
      <c r="T142" s="81">
        <f>T3</f>
        <v>44172</v>
      </c>
      <c r="U142" s="47">
        <f>U3</f>
        <v>42437</v>
      </c>
      <c r="V142" s="47">
        <f>V3</f>
        <v>42527</v>
      </c>
      <c r="W142" s="47">
        <f>W3</f>
        <v>42622</v>
      </c>
      <c r="X142" s="47">
        <f>X3</f>
        <v>42714</v>
      </c>
      <c r="Y142" s="47">
        <f>Y3</f>
        <v>42801</v>
      </c>
      <c r="Z142" s="47">
        <f>Z3</f>
        <v>42892</v>
      </c>
      <c r="AA142" s="47">
        <f>AA3</f>
        <v>42987</v>
      </c>
      <c r="AB142" s="47">
        <f>AB3</f>
        <v>43100</v>
      </c>
      <c r="AC142" s="47">
        <f>AC3</f>
        <v>43190</v>
      </c>
      <c r="AD142" s="47">
        <f>AD3</f>
        <v>43281</v>
      </c>
      <c r="AE142" s="47">
        <f>AE3</f>
        <v>43373</v>
      </c>
      <c r="AF142" s="47">
        <f>AF3</f>
        <v>43465</v>
      </c>
      <c r="AG142" s="47">
        <f>AG3</f>
        <v>43555</v>
      </c>
      <c r="AH142" s="47">
        <f>AH3</f>
        <v>43646</v>
      </c>
      <c r="AI142" s="47">
        <f>AI3</f>
        <v>43738</v>
      </c>
      <c r="AJ142" s="47">
        <f>AJ3</f>
        <v>43830</v>
      </c>
      <c r="AK142" s="47">
        <f>AK3</f>
        <v>43921</v>
      </c>
      <c r="AL142" s="47">
        <f>AL3</f>
        <v>44012</v>
      </c>
      <c r="AM142" s="47">
        <f>AM3</f>
        <v>44104</v>
      </c>
      <c r="AN142" s="47">
        <f>AN3</f>
        <v>44196</v>
      </c>
      <c r="AO142" s="47">
        <f>AO3</f>
        <v>44286</v>
      </c>
      <c r="AP142" s="47">
        <f>AP3</f>
        <v>44377</v>
      </c>
      <c r="AQ142" s="47">
        <f>AQ3</f>
        <v>44469</v>
      </c>
      <c r="AR142" s="47">
        <f>AR3</f>
        <v>44561</v>
      </c>
      <c r="AS142" s="47">
        <f>AS3</f>
        <v>44651</v>
      </c>
      <c r="AT142" s="47">
        <f>AT3</f>
        <v>44742</v>
      </c>
      <c r="AU142" s="47">
        <f>AU3</f>
        <v>44834</v>
      </c>
      <c r="AV142" s="47">
        <f>AV3</f>
        <v>44926</v>
      </c>
      <c r="AW142" s="47">
        <f>AW3</f>
        <v>45016</v>
      </c>
      <c r="AX142" s="47">
        <f>AX3</f>
        <v>45107</v>
      </c>
      <c r="AY142" s="47">
        <f>AY3</f>
        <v>45199</v>
      </c>
      <c r="AZ142" s="47">
        <f>AZ3</f>
        <v>45291</v>
      </c>
      <c r="BA142" s="47">
        <f>BA3</f>
        <v>45382</v>
      </c>
      <c r="BB142" s="47">
        <f>BB3</f>
        <v>45473</v>
      </c>
      <c r="BC142" s="47">
        <f>BC3</f>
        <v>45565</v>
      </c>
      <c r="BD142" s="47">
        <f>BD3</f>
        <v>45657</v>
      </c>
      <c r="BE142" s="47">
        <f>BE3</f>
        <v>45747</v>
      </c>
      <c r="BF142" s="311">
        <f>BF3</f>
        <v>45838</v>
      </c>
      <c r="BG142" s="311">
        <f>BG3</f>
        <v>45930</v>
      </c>
      <c r="BH142" s="311">
        <f>BH3</f>
        <v>46022</v>
      </c>
      <c r="BI142" s="47">
        <f>BI3</f>
        <v>46112</v>
      </c>
      <c r="BJ142" s="313"/>
      <c r="BK142" s="328"/>
      <c r="BL142" s="47"/>
      <c r="BM142" s="47"/>
    </row>
    <row r="143" spans="2:65" ht="13.5" customHeight="1">
      <c r="B143" s="5"/>
    </row>
    <row r="144" spans="2:65" ht="13.5" customHeight="1">
      <c r="B144" s="5" t="s">
        <v>368</v>
      </c>
      <c r="C144" s="8">
        <f t="shared" ref="C144:AG144" si="446">C129</f>
        <v>53069</v>
      </c>
      <c r="D144" s="8">
        <f t="shared" si="446"/>
        <v>50741</v>
      </c>
      <c r="E144" s="8">
        <f t="shared" si="446"/>
        <v>78433</v>
      </c>
      <c r="F144" s="8">
        <f t="shared" si="446"/>
        <v>64593</v>
      </c>
      <c r="G144" s="8">
        <f t="shared" si="446"/>
        <v>64593</v>
      </c>
      <c r="H144" s="8">
        <f t="shared" si="446"/>
        <v>58078</v>
      </c>
      <c r="I144" s="8">
        <f t="shared" ref="I144:K145" si="447">I129</f>
        <v>50869.099000000002</v>
      </c>
      <c r="J144" s="8">
        <f t="shared" si="447"/>
        <v>45287</v>
      </c>
      <c r="K144" s="8">
        <f t="shared" si="447"/>
        <v>40040.001174873454</v>
      </c>
      <c r="L144" s="8">
        <f t="shared" ref="L144:M144" si="448">L129</f>
        <v>40527.433196417893</v>
      </c>
      <c r="M144" s="8">
        <f t="shared" si="448"/>
        <v>36675</v>
      </c>
      <c r="N144" s="8">
        <f t="shared" ref="N144:O144" si="449">N129</f>
        <v>44102</v>
      </c>
      <c r="O144" s="8">
        <f t="shared" si="449"/>
        <v>54614.639876593959</v>
      </c>
      <c r="P144" s="8">
        <f t="shared" ref="P144" si="450">P129</f>
        <v>49571.451671084447</v>
      </c>
      <c r="Q144" s="8"/>
      <c r="R144" s="8">
        <f t="shared" si="446"/>
        <v>0</v>
      </c>
      <c r="S144" s="8">
        <f t="shared" si="446"/>
        <v>0</v>
      </c>
      <c r="T144" s="173">
        <f t="shared" si="446"/>
        <v>0</v>
      </c>
      <c r="U144" s="8">
        <f t="shared" si="446"/>
        <v>49669</v>
      </c>
      <c r="V144" s="8">
        <f t="shared" si="446"/>
        <v>55729</v>
      </c>
      <c r="W144" s="8">
        <f t="shared" si="446"/>
        <v>53381</v>
      </c>
      <c r="X144" s="8">
        <f t="shared" si="446"/>
        <v>78433</v>
      </c>
      <c r="Y144" s="8">
        <f t="shared" si="446"/>
        <v>68418</v>
      </c>
      <c r="Z144" s="8">
        <f t="shared" si="446"/>
        <v>63440</v>
      </c>
      <c r="AA144" s="8">
        <f t="shared" si="446"/>
        <v>58459</v>
      </c>
      <c r="AB144" s="8">
        <f t="shared" si="446"/>
        <v>64593</v>
      </c>
      <c r="AC144" s="8">
        <f t="shared" si="446"/>
        <v>59147</v>
      </c>
      <c r="AD144" s="8">
        <f t="shared" si="446"/>
        <v>69791.59</v>
      </c>
      <c r="AE144" s="8">
        <f t="shared" si="446"/>
        <v>71486.122000000003</v>
      </c>
      <c r="AF144" s="8">
        <f t="shared" si="446"/>
        <v>58078</v>
      </c>
      <c r="AG144" s="8">
        <f t="shared" si="446"/>
        <v>54218.596000000005</v>
      </c>
      <c r="AH144" s="8">
        <f t="shared" ref="AH144:AK145" si="451">AH129</f>
        <v>53666.423999999999</v>
      </c>
      <c r="AI144" s="8">
        <f t="shared" si="451"/>
        <v>47686.307533930383</v>
      </c>
      <c r="AJ144" s="8">
        <f t="shared" si="451"/>
        <v>50869.099000000002</v>
      </c>
      <c r="AK144" s="8">
        <f t="shared" si="451"/>
        <v>53504.837</v>
      </c>
      <c r="AL144" s="8">
        <f t="shared" ref="AL144:AO145" si="452">AL129</f>
        <v>51122.745000000003</v>
      </c>
      <c r="AM144" s="8">
        <f t="shared" si="452"/>
        <v>46347</v>
      </c>
      <c r="AN144" s="8">
        <f t="shared" si="452"/>
        <v>45287</v>
      </c>
      <c r="AO144" s="8">
        <f t="shared" si="452"/>
        <v>41753.620284907636</v>
      </c>
      <c r="AP144" s="8">
        <f t="shared" ref="AP144:AS145" si="453">AP129</f>
        <v>39019.721765960654</v>
      </c>
      <c r="AQ144" s="8">
        <f t="shared" si="453"/>
        <v>36701.903046652587</v>
      </c>
      <c r="AR144" s="8">
        <f t="shared" si="453"/>
        <v>40040.001174873454</v>
      </c>
      <c r="AS144" s="8">
        <f t="shared" si="453"/>
        <v>36638</v>
      </c>
      <c r="AT144" s="8">
        <f>AT129</f>
        <v>37288.182405736836</v>
      </c>
      <c r="AU144" s="8">
        <f>AU129</f>
        <v>36851</v>
      </c>
      <c r="AV144" s="8">
        <f t="shared" ref="AV144:AW144" si="454">AV129</f>
        <v>40527.433196417893</v>
      </c>
      <c r="AW144" s="8">
        <f t="shared" si="454"/>
        <v>42019.096999999994</v>
      </c>
      <c r="AX144" s="8">
        <f>AX129</f>
        <v>47022.202964980563</v>
      </c>
      <c r="AY144" s="8">
        <f>AY129</f>
        <v>29841.37322363018</v>
      </c>
      <c r="AZ144" s="8">
        <f t="shared" ref="AZ144:BA144" si="455">AZ129</f>
        <v>36675</v>
      </c>
      <c r="BA144" s="8">
        <f t="shared" si="455"/>
        <v>32005.150999999998</v>
      </c>
      <c r="BB144" s="8">
        <f>BB129</f>
        <v>33175.327443648086</v>
      </c>
      <c r="BC144" s="8">
        <f>BC129</f>
        <v>33410.384162054361</v>
      </c>
      <c r="BD144" s="8">
        <f t="shared" ref="BD144:BE144" si="456">BD129</f>
        <v>44102</v>
      </c>
      <c r="BE144" s="8">
        <f t="shared" si="456"/>
        <v>47088.286782770447</v>
      </c>
      <c r="BF144" s="8">
        <f t="shared" ref="BF144" si="457">BF129</f>
        <v>47362.31204620783</v>
      </c>
      <c r="BG144" s="8">
        <f>BG129</f>
        <v>45623.931004600629</v>
      </c>
      <c r="BH144" s="8">
        <f t="shared" ref="BH144:BI144" si="458">BH129</f>
        <v>54614.639876593959</v>
      </c>
      <c r="BI144" s="8">
        <f t="shared" si="458"/>
        <v>49571.451671084447</v>
      </c>
      <c r="BJ144" s="8"/>
      <c r="BK144" s="8"/>
      <c r="BL144" s="6"/>
      <c r="BM144" s="6"/>
    </row>
    <row r="145" spans="2:65" ht="13.5" customHeight="1">
      <c r="B145" s="1" t="s">
        <v>369</v>
      </c>
      <c r="C145" s="6">
        <f>C130</f>
        <v>66027</v>
      </c>
      <c r="D145" s="6">
        <f t="shared" ref="D145:AE145" si="459">D130</f>
        <v>66730</v>
      </c>
      <c r="E145" s="6">
        <f t="shared" si="459"/>
        <v>88909</v>
      </c>
      <c r="F145" s="6">
        <f t="shared" si="459"/>
        <v>83360</v>
      </c>
      <c r="G145" s="6">
        <f>G130</f>
        <v>83360</v>
      </c>
      <c r="H145" s="6">
        <f>H130</f>
        <v>81805</v>
      </c>
      <c r="I145" s="6">
        <f t="shared" si="447"/>
        <v>71360</v>
      </c>
      <c r="J145" s="6">
        <f t="shared" si="447"/>
        <v>88784</v>
      </c>
      <c r="K145" s="6">
        <f t="shared" si="447"/>
        <v>87287.728867897953</v>
      </c>
      <c r="L145" s="6">
        <f t="shared" ref="L145:M145" si="460">L130</f>
        <v>80804.508412944298</v>
      </c>
      <c r="M145" s="6">
        <f t="shared" si="460"/>
        <v>67735</v>
      </c>
      <c r="N145" s="6">
        <f t="shared" ref="N145:O145" si="461">N130</f>
        <v>76881</v>
      </c>
      <c r="O145" s="6">
        <f t="shared" si="461"/>
        <v>82681.435439538458</v>
      </c>
      <c r="P145" s="6">
        <f>P130</f>
        <v>90917.67017102582</v>
      </c>
      <c r="Q145" s="6"/>
      <c r="R145" s="6">
        <f t="shared" si="459"/>
        <v>0</v>
      </c>
      <c r="S145" s="6">
        <f t="shared" si="459"/>
        <v>0</v>
      </c>
      <c r="T145" s="90">
        <f t="shared" si="459"/>
        <v>0</v>
      </c>
      <c r="U145" s="6">
        <f t="shared" si="459"/>
        <v>67892</v>
      </c>
      <c r="V145" s="6">
        <f t="shared" si="459"/>
        <v>71375</v>
      </c>
      <c r="W145" s="6">
        <f t="shared" si="459"/>
        <v>73486</v>
      </c>
      <c r="X145" s="6">
        <f t="shared" si="459"/>
        <v>88909</v>
      </c>
      <c r="Y145" s="6">
        <f t="shared" si="459"/>
        <v>81448</v>
      </c>
      <c r="Z145" s="6">
        <f t="shared" si="459"/>
        <v>87595</v>
      </c>
      <c r="AA145" s="6">
        <f t="shared" si="459"/>
        <v>78665</v>
      </c>
      <c r="AB145" s="6">
        <f t="shared" si="459"/>
        <v>83360</v>
      </c>
      <c r="AC145" s="6">
        <f t="shared" si="459"/>
        <v>78696</v>
      </c>
      <c r="AD145" s="6">
        <f t="shared" si="459"/>
        <v>93261</v>
      </c>
      <c r="AE145" s="6">
        <f t="shared" si="459"/>
        <v>89961</v>
      </c>
      <c r="AF145" s="6">
        <f>AF130</f>
        <v>81805</v>
      </c>
      <c r="AG145" s="6">
        <f>AG130</f>
        <v>77834</v>
      </c>
      <c r="AH145" s="6">
        <f t="shared" si="451"/>
        <v>77152</v>
      </c>
      <c r="AI145" s="6">
        <f t="shared" si="451"/>
        <v>77916.381533930384</v>
      </c>
      <c r="AJ145" s="6">
        <f t="shared" si="451"/>
        <v>71360</v>
      </c>
      <c r="AK145" s="6">
        <f>AK130</f>
        <v>92938</v>
      </c>
      <c r="AL145" s="6">
        <f t="shared" si="452"/>
        <v>92596</v>
      </c>
      <c r="AM145" s="6">
        <f t="shared" si="452"/>
        <v>104404</v>
      </c>
      <c r="AN145" s="6">
        <f t="shared" si="452"/>
        <v>88784</v>
      </c>
      <c r="AO145" s="6">
        <f>AO130</f>
        <v>90178.612496290094</v>
      </c>
      <c r="AP145" s="6">
        <f t="shared" si="453"/>
        <v>85805.334765960652</v>
      </c>
      <c r="AQ145" s="6">
        <f t="shared" si="453"/>
        <v>86789.930819770016</v>
      </c>
      <c r="AR145" s="6">
        <f t="shared" si="453"/>
        <v>87287.728867897953</v>
      </c>
      <c r="AS145" s="6">
        <f t="shared" si="453"/>
        <v>86081</v>
      </c>
      <c r="AT145" s="6">
        <f>AT130</f>
        <v>82860.269163761768</v>
      </c>
      <c r="AU145" s="6">
        <f>AU130</f>
        <v>76056</v>
      </c>
      <c r="AV145" s="6">
        <f t="shared" ref="AV145:AW145" si="462">AV130</f>
        <v>80804.508412944298</v>
      </c>
      <c r="AW145" s="6">
        <f t="shared" si="462"/>
        <v>83166.324999999997</v>
      </c>
      <c r="AX145" s="6">
        <f>AX130</f>
        <v>77971.126696596868</v>
      </c>
      <c r="AY145" s="6">
        <f>AY130</f>
        <v>68385.071863518577</v>
      </c>
      <c r="AZ145" s="6">
        <f t="shared" ref="AZ145:BA145" si="463">AZ130</f>
        <v>67735</v>
      </c>
      <c r="BA145" s="6">
        <f t="shared" si="463"/>
        <v>67051</v>
      </c>
      <c r="BB145" s="6">
        <f>BB130</f>
        <v>71446.30646366805</v>
      </c>
      <c r="BC145" s="6">
        <f>BC130</f>
        <v>74903.606112776062</v>
      </c>
      <c r="BD145" s="6">
        <f t="shared" ref="BD145:BE145" si="464">BD130</f>
        <v>76881</v>
      </c>
      <c r="BE145" s="6">
        <f t="shared" si="464"/>
        <v>77597</v>
      </c>
      <c r="BF145" s="6">
        <f t="shared" ref="BF145" si="465">BF130</f>
        <v>84500.844223599997</v>
      </c>
      <c r="BG145" s="6">
        <f>BG130</f>
        <v>80516.86675317373</v>
      </c>
      <c r="BH145" s="6">
        <f t="shared" ref="BH145:BI145" si="466">BH130</f>
        <v>82681.435439538458</v>
      </c>
      <c r="BI145" s="6">
        <f t="shared" si="466"/>
        <v>90917.67017102582</v>
      </c>
      <c r="BJ145" s="6"/>
      <c r="BK145" s="6"/>
      <c r="BL145" s="6"/>
      <c r="BM145" s="6"/>
    </row>
    <row r="146" spans="2:65" ht="13.5" customHeight="1">
      <c r="B146" s="5"/>
      <c r="BF146" s="1"/>
      <c r="BJ146" s="1"/>
      <c r="BK146" s="1"/>
    </row>
    <row r="147" spans="2:65" s="5" customFormat="1" ht="13.5" customHeight="1">
      <c r="B147" s="5" t="s">
        <v>370</v>
      </c>
      <c r="C147" s="410">
        <f t="shared" ref="C147:H147" si="467">+C129/C92</f>
        <v>1.9164018489094323</v>
      </c>
      <c r="D147" s="410">
        <f t="shared" si="467"/>
        <v>1.7034040553242917</v>
      </c>
      <c r="E147" s="410">
        <f t="shared" si="467"/>
        <v>2.4069539065856502</v>
      </c>
      <c r="F147" s="410">
        <f t="shared" si="467"/>
        <v>1.63339564679691</v>
      </c>
      <c r="G147" s="410">
        <f t="shared" si="467"/>
        <v>1.7798359491653357</v>
      </c>
      <c r="H147" s="410">
        <f t="shared" si="467"/>
        <v>1.6380422807083361</v>
      </c>
      <c r="I147" s="410">
        <f t="shared" ref="I147:N147" si="468">+I129/I92</f>
        <v>1.3693743201906952</v>
      </c>
      <c r="J147" s="410">
        <f t="shared" si="468"/>
        <v>1.2126537120232324</v>
      </c>
      <c r="K147" s="410">
        <f t="shared" si="468"/>
        <v>1.0306515074831712</v>
      </c>
      <c r="L147" s="410">
        <f t="shared" si="468"/>
        <v>0.94248076228754574</v>
      </c>
      <c r="M147" s="410">
        <f t="shared" si="468"/>
        <v>0.79011004210245073</v>
      </c>
      <c r="N147" s="410">
        <f t="shared" si="468"/>
        <v>0.78466016618895118</v>
      </c>
      <c r="O147" s="410">
        <f t="shared" ref="O147" si="469">+O129/O92</f>
        <v>0.92395514037830506</v>
      </c>
      <c r="P147" s="410">
        <f t="shared" ref="P147" si="470">+P129/P92</f>
        <v>0.83694218743725612</v>
      </c>
      <c r="Q147" s="410"/>
      <c r="R147" s="411"/>
      <c r="S147" s="411"/>
      <c r="T147" s="412"/>
      <c r="U147" s="410"/>
      <c r="V147" s="410"/>
      <c r="W147" s="410"/>
      <c r="X147" s="410">
        <f t="shared" ref="X147:AG147" si="471">+X129/X92</f>
        <v>2.4069539065856502</v>
      </c>
      <c r="Y147" s="410">
        <f t="shared" si="471"/>
        <v>1.9686026040522635</v>
      </c>
      <c r="Z147" s="410">
        <f t="shared" si="471"/>
        <v>1.7633470417073829</v>
      </c>
      <c r="AA147" s="410">
        <f t="shared" si="471"/>
        <v>1.5761447304153251</v>
      </c>
      <c r="AB147" s="410">
        <f t="shared" si="471"/>
        <v>1.63339564679691</v>
      </c>
      <c r="AC147" s="410">
        <f t="shared" si="471"/>
        <v>1.5039702378308202</v>
      </c>
      <c r="AD147" s="410">
        <f t="shared" si="471"/>
        <v>1.7604817601571163</v>
      </c>
      <c r="AE147" s="410">
        <f t="shared" si="471"/>
        <v>1.8235230777733966</v>
      </c>
      <c r="AF147" s="410">
        <f t="shared" si="471"/>
        <v>1.6380422807083366</v>
      </c>
      <c r="AG147" s="410">
        <f t="shared" si="471"/>
        <v>1.5131406781440335</v>
      </c>
      <c r="AH147" s="410">
        <f t="shared" ref="AH147:AM147" si="472">+AH129/AH92</f>
        <v>1.4789987119022294</v>
      </c>
      <c r="AI147" s="410">
        <f t="shared" si="472"/>
        <v>1.25943065497067</v>
      </c>
      <c r="AJ147" s="410">
        <f t="shared" si="472"/>
        <v>1.3693743201906952</v>
      </c>
      <c r="AK147" s="410">
        <f t="shared" si="472"/>
        <v>1.4194696739636461</v>
      </c>
      <c r="AL147" s="410">
        <f t="shared" si="472"/>
        <v>1.3916727353286908</v>
      </c>
      <c r="AM147" s="410">
        <f t="shared" si="472"/>
        <v>1.2614679650786116</v>
      </c>
      <c r="AN147" s="410">
        <f t="shared" ref="AN147:AS147" si="473">+AN129/AN92</f>
        <v>1.2126435165250247</v>
      </c>
      <c r="AO147" s="410">
        <f t="shared" si="473"/>
        <v>1.126459086534624</v>
      </c>
      <c r="AP147" s="410">
        <f t="shared" si="473"/>
        <v>1.0043160397109534</v>
      </c>
      <c r="AQ147" s="410">
        <f t="shared" si="473"/>
        <v>0.96337951759457385</v>
      </c>
      <c r="AR147" s="410">
        <f t="shared" si="473"/>
        <v>1.0306500825173404</v>
      </c>
      <c r="AS147" s="410">
        <f t="shared" si="473"/>
        <v>0.9189534175737103</v>
      </c>
      <c r="AT147" s="410">
        <f>+AT129/AT92</f>
        <v>0.92139503216920582</v>
      </c>
      <c r="AU147" s="410">
        <f>+AU129/AU92</f>
        <v>0.8821248036365722</v>
      </c>
      <c r="AV147" s="410">
        <f t="shared" ref="AV147:AW147" si="474">+AV129/AV92</f>
        <v>0.94248076228754574</v>
      </c>
      <c r="AW147" s="410">
        <f t="shared" si="474"/>
        <v>0.96162767213000266</v>
      </c>
      <c r="AX147" s="410">
        <f>+AX129/AX92</f>
        <v>1.056018841185004</v>
      </c>
      <c r="AY147" s="410">
        <f>+AY129/AY92</f>
        <v>0.65252994129713671</v>
      </c>
      <c r="AZ147" s="410">
        <f t="shared" ref="AZ147:BA147" si="475">+AZ129/AZ92</f>
        <v>0.79011004210245073</v>
      </c>
      <c r="BA147" s="410">
        <f t="shared" si="475"/>
        <v>0.66900979665105997</v>
      </c>
      <c r="BB147" s="410">
        <f>+BB129/BB92</f>
        <v>0.65925198661723239</v>
      </c>
      <c r="BC147" s="410">
        <f>+BC129/BC92</f>
        <v>0.63646589995565495</v>
      </c>
      <c r="BD147" s="410">
        <f t="shared" ref="BD147:BE147" si="476">+BD129/BD92</f>
        <v>0.78466016618895118</v>
      </c>
      <c r="BE147" s="410">
        <f t="shared" si="476"/>
        <v>0.81870722472620849</v>
      </c>
      <c r="BF147" s="410">
        <f t="shared" ref="BF147" si="477">+BF129/BF92</f>
        <v>0.83119465461136133</v>
      </c>
      <c r="BG147" s="410">
        <f>+BG129/BG92</f>
        <v>0.79444325916931779</v>
      </c>
      <c r="BH147" s="410">
        <f t="shared" ref="BH147:BI147" si="478">+BH129/BH92</f>
        <v>0.92395514037830506</v>
      </c>
      <c r="BI147" s="410">
        <f t="shared" si="478"/>
        <v>0.83694218743725612</v>
      </c>
      <c r="BJ147" s="30"/>
      <c r="BK147" s="30"/>
      <c r="BL147" s="30"/>
      <c r="BM147" s="30"/>
    </row>
    <row r="148" spans="2:65" ht="13.5" customHeight="1">
      <c r="B148" s="1" t="s">
        <v>371</v>
      </c>
      <c r="C148" s="31">
        <f t="shared" ref="C148:H148" si="479">+C130/C92</f>
        <v>2.3843348259425103</v>
      </c>
      <c r="D148" s="31">
        <f t="shared" si="479"/>
        <v>2.240163824358802</v>
      </c>
      <c r="E148" s="31">
        <f t="shared" si="479"/>
        <v>2.7284416620634628</v>
      </c>
      <c r="F148" s="31">
        <f t="shared" si="479"/>
        <v>2.1079662055794035</v>
      </c>
      <c r="G148" s="31">
        <f t="shared" si="479"/>
        <v>2.296953612967696</v>
      </c>
      <c r="H148" s="31">
        <f t="shared" si="479"/>
        <v>2.3072428247072114</v>
      </c>
      <c r="I148" s="31">
        <f t="shared" ref="I148:N148" si="480">+I130/I92</f>
        <v>1.9209805836900709</v>
      </c>
      <c r="J148" s="31">
        <f t="shared" si="480"/>
        <v>2.3773764472866534</v>
      </c>
      <c r="K148" s="31">
        <f t="shared" si="480"/>
        <v>2.2468338337346636</v>
      </c>
      <c r="L148" s="31">
        <f t="shared" si="480"/>
        <v>1.8791393552166393</v>
      </c>
      <c r="M148" s="31">
        <f t="shared" si="480"/>
        <v>1.4592529980043489</v>
      </c>
      <c r="N148" s="31">
        <f t="shared" si="480"/>
        <v>1.3678621884897002</v>
      </c>
      <c r="O148" s="31">
        <f t="shared" ref="O148" si="481">+O130/O92</f>
        <v>1.3987813059069252</v>
      </c>
      <c r="P148" s="31">
        <f t="shared" ref="P148" si="482">+P130/P92</f>
        <v>1.5350132220159103</v>
      </c>
      <c r="Q148" s="31"/>
      <c r="R148" s="178"/>
      <c r="S148" s="178"/>
      <c r="T148" s="94"/>
      <c r="U148" s="31"/>
      <c r="V148" s="31"/>
      <c r="W148" s="31"/>
      <c r="X148" s="31">
        <f t="shared" ref="X148:AG148" si="483">+X130/X92</f>
        <v>2.7284416620634628</v>
      </c>
      <c r="Y148" s="31">
        <f t="shared" si="483"/>
        <v>2.3435169822977691</v>
      </c>
      <c r="Z148" s="31">
        <f t="shared" si="483"/>
        <v>2.4347475428492782</v>
      </c>
      <c r="AA148" s="31">
        <f t="shared" si="483"/>
        <v>2.120929629622839</v>
      </c>
      <c r="AB148" s="31">
        <f t="shared" si="483"/>
        <v>2.1079662055794035</v>
      </c>
      <c r="AC148" s="31">
        <f t="shared" si="483"/>
        <v>2.0010557058909875</v>
      </c>
      <c r="AD148" s="31">
        <f t="shared" si="483"/>
        <v>2.3524938955254182</v>
      </c>
      <c r="AE148" s="31">
        <f t="shared" si="483"/>
        <v>2.294794500106923</v>
      </c>
      <c r="AF148" s="31">
        <f t="shared" si="483"/>
        <v>2.3072428247072123</v>
      </c>
      <c r="AG148" s="31">
        <f t="shared" si="483"/>
        <v>2.1722029014300315</v>
      </c>
      <c r="AH148" s="31">
        <f t="shared" ref="AH148:AM148" si="484">+AH130/AH92</f>
        <v>2.1262402097199695</v>
      </c>
      <c r="AI148" s="31">
        <f t="shared" si="484"/>
        <v>2.0578292701400631</v>
      </c>
      <c r="AJ148" s="31">
        <f t="shared" si="484"/>
        <v>1.9209805836900709</v>
      </c>
      <c r="AK148" s="31">
        <f t="shared" si="484"/>
        <v>2.4656214270652455</v>
      </c>
      <c r="AL148" s="31">
        <f t="shared" si="484"/>
        <v>2.5206652850995277</v>
      </c>
      <c r="AM148" s="31">
        <f t="shared" si="484"/>
        <v>2.8416575274789602</v>
      </c>
      <c r="AN148" s="31">
        <f t="shared" ref="AN148:AS148" si="485">+AN130/AN92</f>
        <v>2.3773564592743566</v>
      </c>
      <c r="AO148" s="31">
        <f t="shared" si="485"/>
        <v>2.4329032252623377</v>
      </c>
      <c r="AP148" s="31">
        <f t="shared" si="485"/>
        <v>2.2085158503974425</v>
      </c>
      <c r="AQ148" s="31">
        <f t="shared" si="485"/>
        <v>2.2781282370817637</v>
      </c>
      <c r="AR148" s="31">
        <f t="shared" si="485"/>
        <v>2.2468307272904213</v>
      </c>
      <c r="AS148" s="31">
        <f t="shared" si="485"/>
        <v>2.1590815311469664</v>
      </c>
      <c r="AT148" s="31">
        <f>+AT130/AT92</f>
        <v>2.0474862394994946</v>
      </c>
      <c r="AU148" s="31">
        <f>+AU130/AU92</f>
        <v>1.8205987372224128</v>
      </c>
      <c r="AV148" s="31">
        <f t="shared" ref="AV148:AW148" si="486">+AV130/AV92</f>
        <v>1.8791393552166393</v>
      </c>
      <c r="AW148" s="31">
        <f t="shared" si="486"/>
        <v>1.9033021939847317</v>
      </c>
      <c r="AX148" s="31">
        <f>+AX130/AX92</f>
        <v>1.751065957529695</v>
      </c>
      <c r="AY148" s="31">
        <f>+AY130/AY92</f>
        <v>1.4953503176377572</v>
      </c>
      <c r="AZ148" s="31">
        <f t="shared" ref="AZ148:BA148" si="487">+AZ130/AZ92</f>
        <v>1.4592529980043489</v>
      </c>
      <c r="BA148" s="31">
        <f t="shared" si="487"/>
        <v>1.4015798855393693</v>
      </c>
      <c r="BB148" s="31">
        <f>+BB130/BB92</f>
        <v>1.4197635140947189</v>
      </c>
      <c r="BC148" s="31">
        <f>+BC130/BC92</f>
        <v>1.4269093956913224</v>
      </c>
      <c r="BD148" s="31">
        <f t="shared" ref="BD148:BE148" si="488">+BD130/BD92</f>
        <v>1.3678621884897002</v>
      </c>
      <c r="BE148" s="31">
        <f t="shared" si="488"/>
        <v>1.3491513252574923</v>
      </c>
      <c r="BF148" s="31">
        <f t="shared" ref="BF148" si="489">+BF130/BF92</f>
        <v>1.4829649777291076</v>
      </c>
      <c r="BG148" s="31">
        <f>+BG130/BG92</f>
        <v>1.4020291683117532</v>
      </c>
      <c r="BH148" s="31">
        <f t="shared" ref="BH148:BI148" si="490">+BH130/BH92</f>
        <v>1.3987813059069252</v>
      </c>
      <c r="BI148" s="31">
        <f t="shared" si="490"/>
        <v>1.5350132220159103</v>
      </c>
      <c r="BJ148" s="31"/>
      <c r="BK148" s="31"/>
      <c r="BL148" s="31"/>
      <c r="BM148" s="31"/>
    </row>
    <row r="149" spans="2:65" ht="13.5" customHeight="1"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178"/>
      <c r="S149" s="178"/>
      <c r="T149" s="94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G149" s="31"/>
      <c r="BH149" s="31"/>
      <c r="BI149" s="31"/>
      <c r="BL149" s="31"/>
      <c r="BM149" s="31"/>
    </row>
    <row r="150" spans="2:65" ht="13.5" hidden="1" customHeight="1" outlineLevel="1">
      <c r="B150" s="1" t="s">
        <v>372</v>
      </c>
      <c r="C150" s="31">
        <f t="shared" ref="C150:H150" si="491">C134/C93</f>
        <v>2.1161288069293098</v>
      </c>
      <c r="D150" s="31">
        <f t="shared" si="491"/>
        <v>1.9166126102750389</v>
      </c>
      <c r="E150" s="31">
        <f t="shared" si="491"/>
        <v>2.6107102726358744</v>
      </c>
      <c r="F150" s="31">
        <f t="shared" si="491"/>
        <v>1.825749500468717</v>
      </c>
      <c r="G150" s="31">
        <f t="shared" si="491"/>
        <v>2.0140515583094669</v>
      </c>
      <c r="H150" s="31">
        <f t="shared" si="491"/>
        <v>1.8232283301950192</v>
      </c>
      <c r="I150" s="269"/>
      <c r="J150" s="269"/>
      <c r="K150" s="269"/>
      <c r="L150" s="348"/>
      <c r="M150" s="348"/>
      <c r="N150" s="348"/>
      <c r="O150" s="348"/>
      <c r="P150" s="348"/>
      <c r="Q150" s="31"/>
      <c r="R150" s="349"/>
      <c r="S150" s="349"/>
      <c r="T150" s="350"/>
      <c r="U150" s="348"/>
      <c r="V150" s="348"/>
      <c r="W150" s="348"/>
      <c r="X150" s="348">
        <f t="shared" ref="X150:AF150" si="492">X134/X93</f>
        <v>2.6107102726358744</v>
      </c>
      <c r="Y150" s="348">
        <f t="shared" si="492"/>
        <v>2.1750872727577892</v>
      </c>
      <c r="Z150" s="348">
        <f t="shared" si="492"/>
        <v>1.9698440991591402</v>
      </c>
      <c r="AA150" s="348">
        <f t="shared" si="492"/>
        <v>1.782663621721154</v>
      </c>
      <c r="AB150" s="348">
        <f t="shared" si="492"/>
        <v>1.825749500468717</v>
      </c>
      <c r="AC150" s="348">
        <f t="shared" si="492"/>
        <v>1.6947211109531797</v>
      </c>
      <c r="AD150" s="348">
        <f t="shared" si="492"/>
        <v>1.9360070972586303</v>
      </c>
      <c r="AE150" s="348">
        <f t="shared" si="492"/>
        <v>1.9928850840063972</v>
      </c>
      <c r="AF150" s="348">
        <f t="shared" si="492"/>
        <v>1.8232283301950194</v>
      </c>
      <c r="AG150" s="348"/>
      <c r="AH150" s="348"/>
      <c r="AI150" s="348"/>
      <c r="AJ150" s="348"/>
      <c r="AK150" s="348"/>
      <c r="AL150" s="348"/>
      <c r="AM150" s="348"/>
      <c r="AN150" s="348"/>
      <c r="AO150" s="348"/>
      <c r="AP150" s="348"/>
      <c r="AQ150" s="348"/>
      <c r="AR150" s="348"/>
      <c r="AS150" s="348"/>
      <c r="AT150" s="348"/>
      <c r="AU150" s="348"/>
      <c r="AV150" s="348"/>
      <c r="AW150" s="348"/>
      <c r="AX150" s="348"/>
      <c r="AY150" s="348"/>
      <c r="AZ150" s="348"/>
      <c r="BA150" s="348"/>
      <c r="BB150" s="348"/>
      <c r="BC150" s="348"/>
      <c r="BD150" s="348"/>
      <c r="BE150" s="348"/>
      <c r="BF150" s="348"/>
      <c r="BG150" s="348"/>
      <c r="BH150" s="348"/>
      <c r="BI150" s="348"/>
      <c r="BJ150" s="31"/>
      <c r="BK150" s="31"/>
      <c r="BL150" s="31"/>
      <c r="BM150" s="31"/>
    </row>
    <row r="151" spans="2:65" ht="13.5" hidden="1" customHeight="1" outlineLevel="1">
      <c r="B151" s="1" t="s">
        <v>373</v>
      </c>
      <c r="C151" s="31">
        <f t="shared" ref="C151:H151" si="493">C135/C93</f>
        <v>2.5686993573623917</v>
      </c>
      <c r="D151" s="31">
        <f t="shared" si="493"/>
        <v>2.4351971977166582</v>
      </c>
      <c r="E151" s="31">
        <f t="shared" si="493"/>
        <v>2.9204861316458692</v>
      </c>
      <c r="F151" s="31">
        <f t="shared" si="493"/>
        <v>2.2859818860655206</v>
      </c>
      <c r="G151" s="31">
        <f t="shared" si="493"/>
        <v>2.5116975445745751</v>
      </c>
      <c r="H151" s="31">
        <f t="shared" si="493"/>
        <v>2.4729495550085905</v>
      </c>
      <c r="I151" s="269"/>
      <c r="J151" s="269"/>
      <c r="K151" s="269"/>
      <c r="L151" s="348"/>
      <c r="M151" s="348"/>
      <c r="N151" s="348"/>
      <c r="O151" s="348"/>
      <c r="P151" s="348"/>
      <c r="Q151" s="31"/>
      <c r="R151" s="349"/>
      <c r="S151" s="349"/>
      <c r="T151" s="350"/>
      <c r="U151" s="348"/>
      <c r="V151" s="348"/>
      <c r="W151" s="348"/>
      <c r="X151" s="348">
        <f t="shared" ref="X151:AF151" si="494">X135/X93</f>
        <v>2.9204861316458692</v>
      </c>
      <c r="Y151" s="348">
        <f t="shared" si="494"/>
        <v>2.5371664710105168</v>
      </c>
      <c r="Z151" s="348">
        <f t="shared" si="494"/>
        <v>2.6190143705953579</v>
      </c>
      <c r="AA151" s="348">
        <f t="shared" si="494"/>
        <v>2.3099343695876202</v>
      </c>
      <c r="AB151" s="348">
        <f t="shared" si="494"/>
        <v>2.2859818860655206</v>
      </c>
      <c r="AC151" s="348">
        <f t="shared" si="494"/>
        <v>2.177210049976317</v>
      </c>
      <c r="AD151" s="348">
        <f t="shared" si="494"/>
        <v>2.5113652017171155</v>
      </c>
      <c r="AE151" s="348">
        <f t="shared" si="494"/>
        <v>2.4512340143478526</v>
      </c>
      <c r="AF151" s="348">
        <f t="shared" si="494"/>
        <v>2.4729495550085909</v>
      </c>
      <c r="AG151" s="348"/>
      <c r="AH151" s="348"/>
      <c r="AI151" s="348"/>
      <c r="AJ151" s="348"/>
      <c r="AK151" s="348"/>
      <c r="AL151" s="348"/>
      <c r="AM151" s="348"/>
      <c r="AN151" s="348"/>
      <c r="AO151" s="348"/>
      <c r="AP151" s="348"/>
      <c r="AQ151" s="348"/>
      <c r="AR151" s="348"/>
      <c r="AS151" s="348"/>
      <c r="AT151" s="348"/>
      <c r="AU151" s="348"/>
      <c r="AV151" s="348"/>
      <c r="AW151" s="348"/>
      <c r="AX151" s="348"/>
      <c r="AY151" s="348"/>
      <c r="AZ151" s="348"/>
      <c r="BA151" s="348"/>
      <c r="BB151" s="348"/>
      <c r="BC151" s="348"/>
      <c r="BD151" s="348"/>
      <c r="BE151" s="348"/>
      <c r="BF151" s="348"/>
      <c r="BG151" s="348"/>
      <c r="BH151" s="348"/>
      <c r="BI151" s="348"/>
      <c r="BJ151" s="31"/>
      <c r="BK151" s="31"/>
      <c r="BL151" s="31"/>
      <c r="BM151" s="31"/>
    </row>
    <row r="152" spans="2:65" ht="13.5" hidden="1" customHeight="1" outlineLevel="1"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178"/>
      <c r="S152" s="178"/>
      <c r="T152" s="94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G152" s="31"/>
      <c r="BH152" s="31"/>
      <c r="BI152" s="31"/>
      <c r="BL152" s="31"/>
      <c r="BM152" s="31"/>
    </row>
    <row r="153" spans="2:65" s="5" customFormat="1" ht="13.5" customHeight="1" collapsed="1">
      <c r="B153" s="5" t="s">
        <v>374</v>
      </c>
      <c r="C153" s="410">
        <f t="shared" ref="C153:H153" si="495">+(C92-C97)/C95</f>
        <v>5.3353236957888122</v>
      </c>
      <c r="D153" s="410">
        <f t="shared" si="495"/>
        <v>5.4585201793721971</v>
      </c>
      <c r="E153" s="410">
        <f t="shared" si="495"/>
        <v>5.4832605531295489</v>
      </c>
      <c r="F153" s="410">
        <f t="shared" si="495"/>
        <v>6.2752639403957007</v>
      </c>
      <c r="G153" s="410">
        <f t="shared" si="495"/>
        <v>5.9024691480875182</v>
      </c>
      <c r="H153" s="410">
        <f t="shared" si="495"/>
        <v>5.2040155758636786</v>
      </c>
      <c r="I153" s="410">
        <f>+(I92-I97)/I95</f>
        <v>5.6444994554018235</v>
      </c>
      <c r="J153" s="410">
        <f>+(J92-J97)/J95</f>
        <v>4.5052954270541035</v>
      </c>
      <c r="K153" s="410">
        <f t="shared" ref="K153:L153" si="496">+(K92-K97)/K95</f>
        <v>6.2701104266383725</v>
      </c>
      <c r="L153" s="410">
        <f t="shared" si="496"/>
        <v>5.4632545395998724</v>
      </c>
      <c r="M153" s="410">
        <f t="shared" ref="M153:N153" si="497">+(M92-M97)/M95</f>
        <v>5.6034474672618915</v>
      </c>
      <c r="N153" s="410">
        <f t="shared" si="497"/>
        <v>6.5359773494473519</v>
      </c>
      <c r="O153" s="410">
        <f t="shared" ref="O153" si="498">+(O92-O97)/O95</f>
        <v>7.0467840856333899</v>
      </c>
      <c r="P153" s="410">
        <f t="shared" ref="P153" si="499">+(P92-P97)/P95</f>
        <v>7.4882211250634736</v>
      </c>
      <c r="Q153" s="410"/>
      <c r="R153" s="411"/>
      <c r="S153" s="411"/>
      <c r="T153" s="412"/>
      <c r="U153" s="410"/>
      <c r="V153" s="410"/>
      <c r="W153" s="410"/>
      <c r="X153" s="410">
        <f t="shared" ref="X153:AG153" si="500">+(X92-X97)/X95</f>
        <v>5.4832605531295489</v>
      </c>
      <c r="Y153" s="410">
        <f t="shared" si="500"/>
        <v>5.1131445593513938</v>
      </c>
      <c r="Z153" s="410">
        <f t="shared" si="500"/>
        <v>5.8258644876072694</v>
      </c>
      <c r="AA153" s="410">
        <f t="shared" si="500"/>
        <v>6.0520788127602687</v>
      </c>
      <c r="AB153" s="410">
        <f t="shared" si="500"/>
        <v>6.2752639403957007</v>
      </c>
      <c r="AC153" s="410">
        <f t="shared" si="500"/>
        <v>7.1445083250420289</v>
      </c>
      <c r="AD153" s="410">
        <f t="shared" si="500"/>
        <v>6.0493982060128806</v>
      </c>
      <c r="AE153" s="410">
        <f t="shared" si="500"/>
        <v>5.9881466602280611</v>
      </c>
      <c r="AF153" s="410">
        <f t="shared" si="500"/>
        <v>5.2040155758636759</v>
      </c>
      <c r="AG153" s="410">
        <f t="shared" si="500"/>
        <v>4.4620301099262241</v>
      </c>
      <c r="AH153" s="410">
        <f>+(AH92-AH97)/AH95</f>
        <v>3.2108451955530861</v>
      </c>
      <c r="AI153" s="410">
        <f>+(AI92-AI97)/AI95</f>
        <v>3.358946028278345</v>
      </c>
      <c r="AJ153" s="410">
        <f>+(AJ92-AJ97)/AJ95</f>
        <v>5.6444994554018235</v>
      </c>
      <c r="AK153" s="410">
        <f>+(AK92-AK97)/AK95</f>
        <v>4.3198788423658669</v>
      </c>
      <c r="AL153" s="410">
        <f>+(AL92-AL97)/AL95</f>
        <v>4.3564370117733233</v>
      </c>
      <c r="AM153" s="410"/>
      <c r="AN153" s="410"/>
      <c r="AO153" s="410"/>
      <c r="AP153" s="410">
        <f>+(AP92-AP97)/AP95</f>
        <v>14.930240664295745</v>
      </c>
      <c r="AQ153" s="410"/>
      <c r="AR153" s="410"/>
      <c r="AS153" s="410"/>
      <c r="AT153" s="410"/>
      <c r="AU153" s="410"/>
      <c r="AV153" s="410">
        <f t="shared" ref="AV153:BA153" si="501">+(AV92-AV97)/AV95</f>
        <v>5.4632545395998724</v>
      </c>
      <c r="AW153" s="410">
        <f t="shared" si="501"/>
        <v>5.3163497896247867</v>
      </c>
      <c r="AX153" s="410">
        <f t="shared" si="501"/>
        <v>5.4784697555946167</v>
      </c>
      <c r="AY153" s="410">
        <f t="shared" si="501"/>
        <v>5.1392592471527898</v>
      </c>
      <c r="AZ153" s="410">
        <f t="shared" si="501"/>
        <v>5.6034474672618915</v>
      </c>
      <c r="BA153" s="410">
        <f t="shared" si="501"/>
        <v>6.9760580856754819</v>
      </c>
      <c r="BB153" s="410">
        <f t="shared" ref="BB153:BC153" si="502">+(BB92-BB97)/BB95</f>
        <v>7.9165475383245338</v>
      </c>
      <c r="BC153" s="410">
        <f t="shared" si="502"/>
        <v>9.468287122009869</v>
      </c>
      <c r="BD153" s="410">
        <f>+(BD92-BD97)/BD95</f>
        <v>6.5359773494473519</v>
      </c>
      <c r="BE153" s="410">
        <f t="shared" ref="BE153:BG153" si="503">+(BE92-BE97)/BE95</f>
        <v>6.24180465510159</v>
      </c>
      <c r="BF153" s="410">
        <f t="shared" si="503"/>
        <v>6.2947998309884978</v>
      </c>
      <c r="BG153" s="410">
        <f t="shared" si="503"/>
        <v>6.6607540780594352</v>
      </c>
      <c r="BH153" s="410">
        <f>+(BH92-BH97)/BH95</f>
        <v>7.0467840856333899</v>
      </c>
      <c r="BI153" s="410">
        <f t="shared" ref="BI153" si="504">+(BI92-BI97)/BI95</f>
        <v>7.4882211250634736</v>
      </c>
      <c r="BJ153" s="30"/>
      <c r="BK153" s="30"/>
      <c r="BL153" s="30"/>
      <c r="BM153" s="30"/>
    </row>
    <row r="154" spans="2:65" ht="13.5" customHeight="1">
      <c r="B154" s="1" t="s">
        <v>375</v>
      </c>
      <c r="C154" s="31">
        <f t="shared" ref="C154:H154" si="505">+C92/C95</f>
        <v>8.7027027027027035</v>
      </c>
      <c r="D154" s="31">
        <f t="shared" si="505"/>
        <v>8.3486547085201792</v>
      </c>
      <c r="E154" s="31">
        <f t="shared" si="505"/>
        <v>7.905385735080058</v>
      </c>
      <c r="F154" s="31">
        <f t="shared" si="505"/>
        <v>8.6170214017740374</v>
      </c>
      <c r="G154" s="31">
        <f t="shared" si="505"/>
        <v>7.9628565797292321</v>
      </c>
      <c r="H154" s="31">
        <f t="shared" si="505"/>
        <v>7.1138310133677045</v>
      </c>
      <c r="I154" s="31">
        <f>+I92/I95</f>
        <v>7.7219891771393563</v>
      </c>
      <c r="J154" s="31">
        <f>+J92/J95</f>
        <v>6.016653571085036</v>
      </c>
      <c r="K154" s="31">
        <f t="shared" ref="K154:L154" si="506">+K92/K95</f>
        <v>8.1839507468406048</v>
      </c>
      <c r="L154" s="31">
        <f t="shared" si="506"/>
        <v>8.8424443401345219</v>
      </c>
      <c r="M154" s="31">
        <f t="shared" ref="M154:N154" si="507">+M92/M95</f>
        <v>9.6393937687671656</v>
      </c>
      <c r="N154" s="31">
        <f t="shared" si="507"/>
        <v>11.221348985152362</v>
      </c>
      <c r="O154" s="31">
        <f t="shared" ref="O154" si="508">+O92/O95</f>
        <v>10.987596790060502</v>
      </c>
      <c r="P154" s="31">
        <f t="shared" ref="P154" si="509">+P92/P95</f>
        <v>11.178446059488582</v>
      </c>
      <c r="Q154" s="31"/>
      <c r="R154" s="178"/>
      <c r="S154" s="178"/>
      <c r="T154" s="94"/>
      <c r="U154" s="31"/>
      <c r="V154" s="31"/>
      <c r="W154" s="31"/>
      <c r="X154" s="31">
        <f t="shared" ref="X154:AG154" si="510">+X92/X95</f>
        <v>7.905385735080058</v>
      </c>
      <c r="Y154" s="31">
        <f t="shared" si="510"/>
        <v>7.2428477231918826</v>
      </c>
      <c r="Z154" s="31">
        <f t="shared" si="510"/>
        <v>8.2358070565483477</v>
      </c>
      <c r="AA154" s="31">
        <f t="shared" si="510"/>
        <v>8.3964924314712235</v>
      </c>
      <c r="AB154" s="31">
        <f t="shared" si="510"/>
        <v>8.6170214017740374</v>
      </c>
      <c r="AC154" s="31">
        <f t="shared" si="510"/>
        <v>9.8760500160468858</v>
      </c>
      <c r="AD154" s="31">
        <f t="shared" si="510"/>
        <v>8.2886413710942364</v>
      </c>
      <c r="AE154" s="31">
        <f t="shared" si="510"/>
        <v>8.136679203351596</v>
      </c>
      <c r="AF154" s="31">
        <f t="shared" si="510"/>
        <v>7.1138310133677018</v>
      </c>
      <c r="AG154" s="31">
        <f t="shared" si="510"/>
        <v>6.3977295123234201</v>
      </c>
      <c r="AH154" s="31">
        <f>+AH92/AH95</f>
        <v>4.9676823968830899</v>
      </c>
      <c r="AI154" s="31">
        <f>+AI92/AI95</f>
        <v>5.1716588398835697</v>
      </c>
      <c r="AJ154" s="31">
        <f>+AJ92/AJ95</f>
        <v>7.7219891771393563</v>
      </c>
      <c r="AK154" s="31">
        <f>+AK92/AK95</f>
        <v>5.9732362734657727</v>
      </c>
      <c r="AL154" s="31">
        <f>+AL92/AL95</f>
        <v>5.9714438976344848</v>
      </c>
      <c r="AM154" s="269"/>
      <c r="AN154" s="269"/>
      <c r="AO154" s="269"/>
      <c r="AP154" s="31">
        <f>+AP92/AP95</f>
        <v>16.412071741597835</v>
      </c>
      <c r="AQ154" s="269"/>
      <c r="AR154" s="269"/>
      <c r="AS154" s="269"/>
      <c r="AT154" s="269"/>
      <c r="AU154" s="269"/>
      <c r="AV154" s="31">
        <f t="shared" ref="AV154:BA154" si="511">+AV92/AV95</f>
        <v>8.8424443401345219</v>
      </c>
      <c r="AW154" s="31">
        <f t="shared" si="511"/>
        <v>8.5157207741112408</v>
      </c>
      <c r="AX154" s="31">
        <f t="shared" si="511"/>
        <v>8.560562150007387</v>
      </c>
      <c r="AY154" s="31">
        <f t="shared" si="511"/>
        <v>8.2316045533705999</v>
      </c>
      <c r="AZ154" s="31">
        <f t="shared" si="511"/>
        <v>9.6393937687671656</v>
      </c>
      <c r="BA154" s="31">
        <f t="shared" si="511"/>
        <v>11.78898542162259</v>
      </c>
      <c r="BB154" s="31">
        <f t="shared" ref="BB154:BE154" si="512">+BB92/BB95</f>
        <v>14.162222268097164</v>
      </c>
      <c r="BC154" s="31">
        <f t="shared" si="512"/>
        <v>16.838692445097188</v>
      </c>
      <c r="BD154" s="31">
        <f t="shared" si="512"/>
        <v>11.221348985152362</v>
      </c>
      <c r="BE154" s="31">
        <f t="shared" si="512"/>
        <v>11.134599267322594</v>
      </c>
      <c r="BF154" s="31">
        <f t="shared" ref="BF154:BI154" si="513">+BF92/BF95</f>
        <v>10.855846020288382</v>
      </c>
      <c r="BG154" s="31">
        <f t="shared" si="513"/>
        <v>11.180300541318159</v>
      </c>
      <c r="BH154" s="31">
        <f t="shared" si="513"/>
        <v>10.987596790060502</v>
      </c>
      <c r="BI154" s="31">
        <f t="shared" si="513"/>
        <v>11.178446059488582</v>
      </c>
      <c r="BJ154" s="31"/>
      <c r="BK154" s="31"/>
      <c r="BL154" s="31"/>
      <c r="BM154" s="31"/>
    </row>
    <row r="155" spans="2:65" ht="13.5" customHeight="1"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116"/>
      <c r="U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</row>
    <row r="156" spans="2:65" s="5" customFormat="1" ht="13.5" customHeight="1">
      <c r="B156" s="5" t="s">
        <v>376</v>
      </c>
      <c r="C156" s="139">
        <f t="shared" ref="C156:H156" si="514">C129/C138</f>
        <v>0.48192847672496775</v>
      </c>
      <c r="D156" s="139">
        <f t="shared" si="514"/>
        <v>0.46664827332505632</v>
      </c>
      <c r="E156" s="139">
        <f t="shared" si="514"/>
        <v>0.60691154736019437</v>
      </c>
      <c r="F156" s="139">
        <f t="shared" si="514"/>
        <v>0.45905052945774999</v>
      </c>
      <c r="G156" s="139">
        <f t="shared" si="514"/>
        <v>0.45905052945774999</v>
      </c>
      <c r="H156" s="139">
        <f t="shared" si="514"/>
        <v>0.44081914547119844</v>
      </c>
      <c r="I156" s="139">
        <f t="shared" ref="I156:N156" si="515">I129/I138</f>
        <v>0.39224735699866964</v>
      </c>
      <c r="J156" s="139">
        <f t="shared" si="515"/>
        <v>0.3698196101488686</v>
      </c>
      <c r="K156" s="139">
        <f t="shared" si="515"/>
        <v>0.31386198519168357</v>
      </c>
      <c r="L156" s="139">
        <f t="shared" si="515"/>
        <v>0.30731575130257521</v>
      </c>
      <c r="M156" s="139">
        <f t="shared" si="515"/>
        <v>0.27429789461875026</v>
      </c>
      <c r="N156" s="139">
        <f t="shared" si="515"/>
        <v>0.292954790025375</v>
      </c>
      <c r="O156" s="139">
        <f t="shared" ref="O156" si="516">O129/O138</f>
        <v>0.35457457136774451</v>
      </c>
      <c r="P156" s="139">
        <f t="shared" ref="P156" si="517">P129/P138</f>
        <v>0.33751946879287581</v>
      </c>
      <c r="Q156" s="331"/>
      <c r="R156" s="139"/>
      <c r="S156" s="179"/>
      <c r="T156" s="180"/>
      <c r="U156" s="139">
        <f t="shared" ref="U156:AG156" si="518">U129/U138</f>
        <v>0.4689382352385808</v>
      </c>
      <c r="V156" s="140">
        <f t="shared" si="518"/>
        <v>0.48812724995401552</v>
      </c>
      <c r="W156" s="140">
        <f t="shared" si="518"/>
        <v>0.44859868061683261</v>
      </c>
      <c r="X156" s="139">
        <f t="shared" si="518"/>
        <v>0.60691154736019437</v>
      </c>
      <c r="Y156" s="139">
        <f t="shared" si="518"/>
        <v>0.52104974563621409</v>
      </c>
      <c r="Z156" s="139">
        <f t="shared" si="518"/>
        <v>0.49667266891098411</v>
      </c>
      <c r="AA156" s="139">
        <f t="shared" si="518"/>
        <v>0.43164198059571451</v>
      </c>
      <c r="AB156" s="139">
        <f t="shared" si="518"/>
        <v>0.45905052945774999</v>
      </c>
      <c r="AC156" s="139">
        <f t="shared" si="518"/>
        <v>0.45869588820126256</v>
      </c>
      <c r="AD156" s="139">
        <f t="shared" si="518"/>
        <v>0.5254253117105554</v>
      </c>
      <c r="AE156" s="139">
        <f t="shared" si="518"/>
        <v>0.54520161847254578</v>
      </c>
      <c r="AF156" s="139">
        <f t="shared" si="518"/>
        <v>0.44081914547119844</v>
      </c>
      <c r="AG156" s="139">
        <f t="shared" si="518"/>
        <v>0.4320797235306702</v>
      </c>
      <c r="AH156" s="139">
        <f t="shared" ref="AH156:AM156" si="519">AH129/AH138</f>
        <v>0.41540743653938322</v>
      </c>
      <c r="AI156" s="139">
        <f t="shared" si="519"/>
        <v>0.36766550773233975</v>
      </c>
      <c r="AJ156" s="139">
        <f t="shared" si="519"/>
        <v>0.39224735699866964</v>
      </c>
      <c r="AK156" s="139">
        <f t="shared" si="519"/>
        <v>0.41860012384905837</v>
      </c>
      <c r="AL156" s="139">
        <f t="shared" si="519"/>
        <v>0.40611259259487575</v>
      </c>
      <c r="AM156" s="139">
        <f t="shared" si="519"/>
        <v>0.37261522876920478</v>
      </c>
      <c r="AN156" s="139">
        <f t="shared" ref="AN156:AS156" si="520">AN129/AN138</f>
        <v>0.3698196101488686</v>
      </c>
      <c r="AO156" s="139">
        <f t="shared" si="520"/>
        <v>0.3672626060804845</v>
      </c>
      <c r="AP156" s="139">
        <f t="shared" si="520"/>
        <v>0.32629183316458066</v>
      </c>
      <c r="AQ156" s="139">
        <f t="shared" si="520"/>
        <v>0.29901014592225289</v>
      </c>
      <c r="AR156" s="139">
        <f t="shared" si="520"/>
        <v>0.31386198519168357</v>
      </c>
      <c r="AS156" s="139">
        <f t="shared" si="520"/>
        <v>0.29690437601296599</v>
      </c>
      <c r="AT156" s="139">
        <f>AT129/AT138</f>
        <v>0.30111309544556364</v>
      </c>
      <c r="AU156" s="139">
        <f>AU129/AU138</f>
        <v>0.29071244310158489</v>
      </c>
      <c r="AV156" s="139">
        <f t="shared" ref="AV156:AW156" si="521">AV129/AV138</f>
        <v>0.30731575130257521</v>
      </c>
      <c r="AW156" s="139">
        <f t="shared" si="521"/>
        <v>0.34755537266644054</v>
      </c>
      <c r="AX156" s="139">
        <f>AX129/AX138</f>
        <v>0.38017590448834226</v>
      </c>
      <c r="AY156" s="139">
        <f>AY129/AY138</f>
        <v>0.22810142995610397</v>
      </c>
      <c r="AZ156" s="139">
        <f t="shared" ref="AZ156:BA156" si="522">AZ129/AZ138</f>
        <v>0.27429789461875026</v>
      </c>
      <c r="BA156" s="139">
        <f t="shared" si="522"/>
        <v>0.25423997667676879</v>
      </c>
      <c r="BB156" s="139">
        <f>BB129/BB138</f>
        <v>0.24594033071532889</v>
      </c>
      <c r="BC156" s="139">
        <f>BC129/BC138</f>
        <v>0.22597768555192629</v>
      </c>
      <c r="BD156" s="139">
        <f t="shared" ref="BD156:BE156" si="523">BD129/BD138</f>
        <v>0.292954790025375</v>
      </c>
      <c r="BE156" s="139">
        <f t="shared" si="523"/>
        <v>0.29481183824640467</v>
      </c>
      <c r="BF156" s="139">
        <f t="shared" ref="BF156" si="524">BF129/BF138</f>
        <v>0.32721359539256167</v>
      </c>
      <c r="BG156" s="139">
        <f>BG129/BG138</f>
        <v>0.30535433503410414</v>
      </c>
      <c r="BH156" s="139">
        <f t="shared" ref="BH156:BI156" si="525">BH129/BH138</f>
        <v>0.35457457136774451</v>
      </c>
      <c r="BI156" s="139">
        <f t="shared" si="525"/>
        <v>0.33751946879287581</v>
      </c>
      <c r="BJ156" s="331"/>
      <c r="BK156" s="331"/>
      <c r="BL156" s="139"/>
      <c r="BM156" s="139"/>
    </row>
    <row r="157" spans="2:65" s="5" customFormat="1" ht="13.5" customHeight="1"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T157" s="117"/>
      <c r="U157" s="36"/>
      <c r="Y157" s="36"/>
      <c r="Z157" s="36"/>
    </row>
    <row r="158" spans="2:65" s="5" customFormat="1" ht="13.5" customHeight="1"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117"/>
      <c r="U158" s="36"/>
      <c r="Y158" s="36"/>
      <c r="Z158" s="36"/>
      <c r="AG158" s="24"/>
    </row>
    <row r="159" spans="2:65" s="5" customFormat="1" ht="13.5" customHeight="1">
      <c r="B159" s="351" t="s">
        <v>377</v>
      </c>
      <c r="C159" s="352">
        <f>1/13.2973</f>
        <v>7.520323674730961E-2</v>
      </c>
      <c r="D159" s="352">
        <f>1/15.8485</f>
        <v>6.3097454017730384E-2</v>
      </c>
      <c r="E159" s="352">
        <f>1/18.6572</f>
        <v>5.3598610724010037E-2</v>
      </c>
      <c r="F159" s="352">
        <f>1/18.93</f>
        <v>5.2826201796090863E-2</v>
      </c>
      <c r="G159" s="352">
        <f>1/18.93</f>
        <v>5.2826201796090863E-2</v>
      </c>
      <c r="H159" s="352">
        <f>1/19.24</f>
        <v>5.1975051975051978E-2</v>
      </c>
      <c r="I159" s="352">
        <f>AVERAGE(AG159:AJ159)</f>
        <v>5.1922729333427994E-2</v>
      </c>
      <c r="J159" s="352">
        <f>AVERAGE(AK159:AN159)</f>
        <v>4.6715546829315745E-2</v>
      </c>
      <c r="K159" s="352">
        <f>AVERAGE(AO159:AQ159,AR159)</f>
        <v>4.7230125238223009E-2</v>
      </c>
      <c r="L159" s="352">
        <f>AVERAGE(AS159:AV159)</f>
        <v>4.9387223391227787E-2</v>
      </c>
      <c r="M159" s="352">
        <f>AVERAGE(AW159:AZ159)</f>
        <v>5.6044591250189679E-2</v>
      </c>
      <c r="N159" s="352">
        <f>AVERAGE(BA159:BD159)</f>
        <v>5.507508193351638E-2</v>
      </c>
      <c r="O159" s="352">
        <f>AVERAGE(BE159:BH159)</f>
        <v>5.1966090929271763E-2</v>
      </c>
      <c r="P159" s="352">
        <f>AVERAGE(BF159:BI159)</f>
        <v>5.4091620104810542E-2</v>
      </c>
      <c r="Q159" s="353"/>
      <c r="R159" s="352"/>
      <c r="S159" s="354"/>
      <c r="T159" s="355"/>
      <c r="U159" s="352">
        <f>1/18.03</f>
        <v>5.5463117027176927E-2</v>
      </c>
      <c r="V159" s="352">
        <f>1/18.05</f>
        <v>5.5401662049861494E-2</v>
      </c>
      <c r="W159" s="352">
        <f>1/18.72</f>
        <v>5.3418803418803423E-2</v>
      </c>
      <c r="X159" s="352">
        <f>1/19.8285</f>
        <v>5.0432458330181312E-2</v>
      </c>
      <c r="Y159" s="352">
        <f>1/20.39</f>
        <v>4.9043648847474253E-2</v>
      </c>
      <c r="Z159" s="352">
        <f>1/18.6</f>
        <v>5.3763440860215048E-2</v>
      </c>
      <c r="AA159" s="352">
        <f>1/17.82</f>
        <v>5.6116722783389451E-2</v>
      </c>
      <c r="AB159" s="352">
        <f>1/18.93</f>
        <v>5.2826201796090863E-2</v>
      </c>
      <c r="AC159" s="352">
        <f>1/18.76</f>
        <v>5.3304904051172705E-2</v>
      </c>
      <c r="AD159" s="352">
        <f>1/19.37</f>
        <v>5.1626226122870413E-2</v>
      </c>
      <c r="AE159" s="352">
        <f>1/18.98</f>
        <v>5.2687038988408853E-2</v>
      </c>
      <c r="AF159" s="352">
        <f>1/19.83</f>
        <v>5.0428643469490678E-2</v>
      </c>
      <c r="AG159" s="356">
        <f>1/19.22</f>
        <v>5.2029136316337155E-2</v>
      </c>
      <c r="AH159" s="356">
        <f>1/19.12</f>
        <v>5.2301255230125521E-2</v>
      </c>
      <c r="AI159" s="356">
        <f>1/19.42</f>
        <v>5.1493305870236865E-2</v>
      </c>
      <c r="AJ159" s="356">
        <f>1/19.28</f>
        <v>5.1867219917012444E-2</v>
      </c>
      <c r="AK159" s="356">
        <f>1/19.86</f>
        <v>5.0352467270896276E-2</v>
      </c>
      <c r="AL159" s="356">
        <f>1/23.36</f>
        <v>4.2808219178082189E-2</v>
      </c>
      <c r="AM159" s="356">
        <f>1/22.11</f>
        <v>4.5228403437358664E-2</v>
      </c>
      <c r="AN159" s="356">
        <f>1/20.63</f>
        <v>4.8473097430925836E-2</v>
      </c>
      <c r="AO159" s="356">
        <v>4.8493155999249971E-2</v>
      </c>
      <c r="AP159" s="356">
        <f>1/23.36</f>
        <v>4.2808219178082189E-2</v>
      </c>
      <c r="AQ159" s="356">
        <f>1/20.01</f>
        <v>4.9975012493753121E-2</v>
      </c>
      <c r="AR159" s="356">
        <f>AVERAGE(AO160:AR160)</f>
        <v>4.7644113281806719E-2</v>
      </c>
      <c r="AS159" s="356">
        <f>AVERAGE(AP160:AS160)</f>
        <v>4.7990273035913439E-2</v>
      </c>
      <c r="AT159" s="356">
        <f>1/20.018</f>
        <v>4.9955040463582776E-2</v>
      </c>
      <c r="AU159" s="356">
        <v>4.9390000000000003E-2</v>
      </c>
      <c r="AV159" s="356">
        <f>AVERAGE(AS160:AV160)</f>
        <v>5.0213580065414938E-2</v>
      </c>
      <c r="AW159" s="356">
        <f>AVERAGE(AT160:AW160)</f>
        <v>5.1503507906121029E-2</v>
      </c>
      <c r="AX159" s="356">
        <v>5.6594697076883901E-2</v>
      </c>
      <c r="AY159" s="356">
        <v>5.8549999999999998E-2</v>
      </c>
      <c r="AZ159" s="356">
        <f>AVERAGE(AW160:AZ160)</f>
        <v>5.7530160017753795E-2</v>
      </c>
      <c r="BA159" s="356">
        <f>AVERAGE(AZ160:BA160)</f>
        <v>5.9609999999999996E-2</v>
      </c>
      <c r="BB159" s="356">
        <v>5.8029999999999998E-2</v>
      </c>
      <c r="BC159" s="356">
        <v>5.2830000000000002E-2</v>
      </c>
      <c r="BD159" s="356">
        <f>1/20.0681</f>
        <v>4.9830327734065503E-2</v>
      </c>
      <c r="BE159" s="356">
        <f>AVERAGE(BD160:BE160)</f>
        <v>4.84257158844748E-2</v>
      </c>
      <c r="BF159" s="356">
        <f>1/19.5430703</f>
        <v>5.1169032534258446E-2</v>
      </c>
      <c r="BG159" s="356">
        <f>1/18.6455944086022</f>
        <v>5.3631972147728746E-2</v>
      </c>
      <c r="BH159" s="356">
        <f>1/18.3024</f>
        <v>5.4637643150625061E-2</v>
      </c>
      <c r="BI159" s="356">
        <f>1/17.5661</f>
        <v>5.6927832586629937E-2</v>
      </c>
      <c r="BJ159" s="324"/>
      <c r="BK159" s="324"/>
      <c r="BL159" s="201"/>
      <c r="BM159" s="201"/>
    </row>
    <row r="160" spans="2:65" s="5" customFormat="1" ht="13.5" customHeight="1">
      <c r="B160" s="351" t="s">
        <v>378</v>
      </c>
      <c r="C160" s="352">
        <f>1/13.4541</f>
        <v>7.4326785143562182E-2</v>
      </c>
      <c r="D160" s="352">
        <f>1/17.2065</f>
        <v>5.8117571847848201E-2</v>
      </c>
      <c r="E160" s="352">
        <f>1/20.664</f>
        <v>4.8393341076267901E-2</v>
      </c>
      <c r="F160" s="352">
        <f>1/19.74</f>
        <v>5.0658561296859174E-2</v>
      </c>
      <c r="G160" s="352">
        <f>1/19.74</f>
        <v>5.0658561296859174E-2</v>
      </c>
      <c r="H160" s="352">
        <f>1/19.68</f>
        <v>5.08130081300813E-2</v>
      </c>
      <c r="I160" s="352">
        <f>AJ160</f>
        <v>5.305039787798408E-2</v>
      </c>
      <c r="J160" s="352">
        <f>AN160</f>
        <v>5.0125313283208024E-2</v>
      </c>
      <c r="K160" s="352">
        <f>AR160</f>
        <v>4.886892864647728E-2</v>
      </c>
      <c r="L160" s="352">
        <f>AV160</f>
        <v>5.126E-2</v>
      </c>
      <c r="M160" s="352">
        <f>AZ160</f>
        <v>5.8900000000000001E-2</v>
      </c>
      <c r="N160" s="352">
        <f>BD160</f>
        <v>4.8031431768949598E-2</v>
      </c>
      <c r="O160" s="352">
        <f>BH160</f>
        <v>5.5525325100778469E-2</v>
      </c>
      <c r="P160" s="352">
        <f>BI160</f>
        <v>5.5744467361614362E-2</v>
      </c>
      <c r="Q160" s="353"/>
      <c r="R160" s="354"/>
      <c r="S160" s="354"/>
      <c r="T160" s="355"/>
      <c r="U160" s="352">
        <f>1/17.4</f>
        <v>5.7471264367816098E-2</v>
      </c>
      <c r="V160" s="352">
        <f>1/18.91</f>
        <v>5.2882072977260705E-2</v>
      </c>
      <c r="W160" s="352">
        <f>1/19.5</f>
        <v>5.128205128205128E-2</v>
      </c>
      <c r="X160" s="352">
        <f>1/20.664</f>
        <v>4.8393341076267901E-2</v>
      </c>
      <c r="Y160" s="352">
        <f>1/18.81</f>
        <v>5.3163211057947905E-2</v>
      </c>
      <c r="Z160" s="352">
        <f>1/17.9</f>
        <v>5.5865921787709501E-2</v>
      </c>
      <c r="AA160" s="352">
        <f>1/18.2</f>
        <v>5.4945054945054944E-2</v>
      </c>
      <c r="AB160" s="352">
        <f>1/19.74</f>
        <v>5.0658561296859174E-2</v>
      </c>
      <c r="AC160" s="352">
        <f>1/18.34</f>
        <v>5.4525627044711013E-2</v>
      </c>
      <c r="AD160" s="352">
        <f>1/19.86</f>
        <v>5.0352467270896276E-2</v>
      </c>
      <c r="AE160" s="352">
        <f>1/18.81</f>
        <v>5.3163211057947905E-2</v>
      </c>
      <c r="AF160" s="352">
        <f>1/19.68</f>
        <v>5.08130081300813E-2</v>
      </c>
      <c r="AG160" s="356">
        <f>1/19.38</f>
        <v>5.1599587203302377E-2</v>
      </c>
      <c r="AH160" s="356">
        <f>1/19.17</f>
        <v>5.2164840897235255E-2</v>
      </c>
      <c r="AI160" s="356">
        <f>1/19.64</f>
        <v>5.091649694501018E-2</v>
      </c>
      <c r="AJ160" s="356">
        <f>1/18.85</f>
        <v>5.305039787798408E-2</v>
      </c>
      <c r="AK160" s="356">
        <f>1/23.51</f>
        <v>4.2535091450446615E-2</v>
      </c>
      <c r="AL160" s="356">
        <f>1/22.97</f>
        <v>4.3535045711797997E-2</v>
      </c>
      <c r="AM160" s="356">
        <f>1/22.46</f>
        <v>4.4523597506678537E-2</v>
      </c>
      <c r="AN160" s="356">
        <f>1/19.95</f>
        <v>5.0125313283208024E-2</v>
      </c>
      <c r="AO160" s="356">
        <f>1/20.435</f>
        <v>4.8935649620748721E-2</v>
      </c>
      <c r="AP160" s="356">
        <f>1/22.97</f>
        <v>4.3535045711797997E-2</v>
      </c>
      <c r="AQ160" s="356">
        <f>1/20.31</f>
        <v>4.9236829148202856E-2</v>
      </c>
      <c r="AR160" s="356">
        <f>1/20.4629</f>
        <v>4.886892864647728E-2</v>
      </c>
      <c r="AS160" s="356">
        <f>1/19.8727</f>
        <v>5.0320288637175629E-2</v>
      </c>
      <c r="AT160" s="356">
        <f>1/20.111</f>
        <v>4.9724031624484112E-2</v>
      </c>
      <c r="AU160" s="356">
        <v>4.9549999999999997E-2</v>
      </c>
      <c r="AV160" s="356">
        <v>5.126E-2</v>
      </c>
      <c r="AW160" s="356">
        <f>0.05548</f>
        <v>5.5480000000000002E-2</v>
      </c>
      <c r="AX160" s="356">
        <v>5.8400640071015177E-2</v>
      </c>
      <c r="AY160" s="356">
        <v>5.7340000000000002E-2</v>
      </c>
      <c r="AZ160" s="356">
        <v>5.8900000000000001E-2</v>
      </c>
      <c r="BA160" s="356">
        <v>6.0319999999999999E-2</v>
      </c>
      <c r="BB160" s="356">
        <v>5.4510000000000003E-2</v>
      </c>
      <c r="BC160" s="356">
        <v>5.0810000000000001E-2</v>
      </c>
      <c r="BD160" s="356">
        <f>1/20.8197</f>
        <v>4.8031431768949598E-2</v>
      </c>
      <c r="BE160" s="356">
        <v>4.8820000000000002E-2</v>
      </c>
      <c r="BF160" s="356">
        <f>1/18.8928</f>
        <v>5.2930216802168022E-2</v>
      </c>
      <c r="BG160" s="356">
        <f>1/18.3825</f>
        <v>5.439956480348157E-2</v>
      </c>
      <c r="BH160" s="356">
        <f>1/18.0098</f>
        <v>5.5525325100778469E-2</v>
      </c>
      <c r="BI160" s="356">
        <f>1/17.939</f>
        <v>5.5744467361614362E-2</v>
      </c>
      <c r="BJ160" s="324"/>
      <c r="BK160" s="324"/>
      <c r="BL160" s="201"/>
      <c r="BM160" s="201"/>
    </row>
    <row r="161" spans="2:65" s="5" customFormat="1" ht="13.5" customHeight="1">
      <c r="B161" s="436" t="s">
        <v>379</v>
      </c>
      <c r="C161" s="440">
        <f>1/C160</f>
        <v>13.4541</v>
      </c>
      <c r="D161" s="440">
        <f t="shared" ref="D161:BI161" si="526">1/D160</f>
        <v>17.206499999999998</v>
      </c>
      <c r="E161" s="440">
        <f t="shared" si="526"/>
        <v>20.664000000000001</v>
      </c>
      <c r="F161" s="440">
        <f t="shared" si="526"/>
        <v>19.739999999999998</v>
      </c>
      <c r="G161" s="440">
        <f t="shared" si="526"/>
        <v>19.739999999999998</v>
      </c>
      <c r="H161" s="440">
        <f t="shared" si="526"/>
        <v>19.68</v>
      </c>
      <c r="I161" s="440">
        <f t="shared" si="526"/>
        <v>18.850000000000001</v>
      </c>
      <c r="J161" s="440">
        <f t="shared" si="526"/>
        <v>19.95</v>
      </c>
      <c r="K161" s="440">
        <f t="shared" si="526"/>
        <v>20.462900000000001</v>
      </c>
      <c r="L161" s="440">
        <f t="shared" si="526"/>
        <v>19.508388607101054</v>
      </c>
      <c r="M161" s="440">
        <f t="shared" si="526"/>
        <v>16.977928692699489</v>
      </c>
      <c r="N161" s="440">
        <f t="shared" si="526"/>
        <v>20.819700000000001</v>
      </c>
      <c r="O161" s="440">
        <f t="shared" si="526"/>
        <v>18.009799999999998</v>
      </c>
      <c r="P161" s="440">
        <f t="shared" si="526"/>
        <v>17.939</v>
      </c>
      <c r="Q161" s="353"/>
      <c r="R161" s="440" t="e">
        <f t="shared" si="526"/>
        <v>#DIV/0!</v>
      </c>
      <c r="S161" s="440" t="e">
        <f t="shared" si="526"/>
        <v>#DIV/0!</v>
      </c>
      <c r="T161" s="440" t="e">
        <f t="shared" si="526"/>
        <v>#DIV/0!</v>
      </c>
      <c r="U161" s="440">
        <f t="shared" si="526"/>
        <v>17.399999999999999</v>
      </c>
      <c r="V161" s="440">
        <f t="shared" si="526"/>
        <v>18.91</v>
      </c>
      <c r="W161" s="440">
        <f t="shared" si="526"/>
        <v>19.5</v>
      </c>
      <c r="X161" s="440">
        <f t="shared" si="526"/>
        <v>20.664000000000001</v>
      </c>
      <c r="Y161" s="440">
        <f t="shared" si="526"/>
        <v>18.809999999999999</v>
      </c>
      <c r="Z161" s="440">
        <f t="shared" si="526"/>
        <v>17.899999999999999</v>
      </c>
      <c r="AA161" s="440">
        <f t="shared" si="526"/>
        <v>18.2</v>
      </c>
      <c r="AB161" s="440">
        <f t="shared" si="526"/>
        <v>19.739999999999998</v>
      </c>
      <c r="AC161" s="440">
        <f t="shared" si="526"/>
        <v>18.34</v>
      </c>
      <c r="AD161" s="440">
        <f t="shared" si="526"/>
        <v>19.86</v>
      </c>
      <c r="AE161" s="440">
        <f t="shared" si="526"/>
        <v>18.809999999999999</v>
      </c>
      <c r="AF161" s="440">
        <f t="shared" si="526"/>
        <v>19.68</v>
      </c>
      <c r="AG161" s="440">
        <f t="shared" si="526"/>
        <v>19.38</v>
      </c>
      <c r="AH161" s="440">
        <f t="shared" si="526"/>
        <v>19.170000000000002</v>
      </c>
      <c r="AI161" s="440">
        <f t="shared" si="526"/>
        <v>19.64</v>
      </c>
      <c r="AJ161" s="440">
        <f t="shared" si="526"/>
        <v>18.850000000000001</v>
      </c>
      <c r="AK161" s="440">
        <f t="shared" si="526"/>
        <v>23.51</v>
      </c>
      <c r="AL161" s="440">
        <f t="shared" si="526"/>
        <v>22.97</v>
      </c>
      <c r="AM161" s="440">
        <f t="shared" si="526"/>
        <v>22.46</v>
      </c>
      <c r="AN161" s="440">
        <f t="shared" si="526"/>
        <v>19.95</v>
      </c>
      <c r="AO161" s="440">
        <f t="shared" si="526"/>
        <v>20.434999999999999</v>
      </c>
      <c r="AP161" s="440">
        <f t="shared" si="526"/>
        <v>22.97</v>
      </c>
      <c r="AQ161" s="440">
        <f t="shared" si="526"/>
        <v>20.309999999999999</v>
      </c>
      <c r="AR161" s="440">
        <f t="shared" si="526"/>
        <v>20.462900000000001</v>
      </c>
      <c r="AS161" s="440">
        <f t="shared" si="526"/>
        <v>19.872699999999998</v>
      </c>
      <c r="AT161" s="440">
        <f t="shared" si="526"/>
        <v>20.111000000000001</v>
      </c>
      <c r="AU161" s="440">
        <f t="shared" si="526"/>
        <v>20.181634712411707</v>
      </c>
      <c r="AV161" s="440">
        <f t="shared" si="526"/>
        <v>19.508388607101054</v>
      </c>
      <c r="AW161" s="440">
        <f t="shared" si="526"/>
        <v>18.024513338139869</v>
      </c>
      <c r="AX161" s="440">
        <f t="shared" si="526"/>
        <v>17.123100000000001</v>
      </c>
      <c r="AY161" s="440">
        <f t="shared" si="526"/>
        <v>17.439832577607255</v>
      </c>
      <c r="AZ161" s="440">
        <f t="shared" si="526"/>
        <v>16.977928692699489</v>
      </c>
      <c r="BA161" s="440">
        <f t="shared" si="526"/>
        <v>16.578249336870027</v>
      </c>
      <c r="BB161" s="440">
        <f t="shared" si="526"/>
        <v>18.345257750871397</v>
      </c>
      <c r="BC161" s="440">
        <f t="shared" si="526"/>
        <v>19.681165124975397</v>
      </c>
      <c r="BD161" s="440">
        <f t="shared" si="526"/>
        <v>20.819700000000001</v>
      </c>
      <c r="BE161" s="440">
        <f t="shared" si="526"/>
        <v>20.483408439164275</v>
      </c>
      <c r="BF161" s="440">
        <f t="shared" si="526"/>
        <v>18.892800000000001</v>
      </c>
      <c r="BG161" s="440">
        <f t="shared" si="526"/>
        <v>18.3825</v>
      </c>
      <c r="BH161" s="440">
        <f t="shared" si="526"/>
        <v>18.009799999999998</v>
      </c>
      <c r="BI161" s="440">
        <f t="shared" si="526"/>
        <v>17.939</v>
      </c>
      <c r="BJ161" s="324"/>
      <c r="BK161" s="324"/>
      <c r="BL161" s="201"/>
      <c r="BM161" s="201"/>
    </row>
    <row r="162" spans="2:65" s="5" customFormat="1" ht="13.5" customHeight="1">
      <c r="C162" s="151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353"/>
      <c r="R162" s="54"/>
      <c r="S162" s="54"/>
      <c r="T162" s="118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324"/>
      <c r="AH162" s="324"/>
      <c r="AI162" s="324"/>
      <c r="AJ162" s="324"/>
      <c r="AK162" s="324"/>
      <c r="AL162" s="324"/>
      <c r="AM162" s="324"/>
      <c r="AN162" s="324"/>
      <c r="AO162" s="324"/>
      <c r="AP162" s="324"/>
      <c r="AQ162" s="324"/>
      <c r="AR162" s="324"/>
      <c r="AS162" s="324"/>
      <c r="AT162" s="324"/>
      <c r="AU162" s="324"/>
      <c r="AV162" s="324"/>
      <c r="AW162" s="324"/>
      <c r="AX162" s="324"/>
      <c r="AY162" s="324"/>
      <c r="AZ162" s="324"/>
      <c r="BA162" s="324"/>
      <c r="BB162" s="324"/>
      <c r="BC162" s="324"/>
      <c r="BD162" s="324"/>
      <c r="BE162" s="324"/>
      <c r="BF162" s="324"/>
      <c r="BG162" s="324"/>
      <c r="BH162" s="324"/>
      <c r="BI162" s="324"/>
      <c r="BJ162" s="324"/>
      <c r="BK162" s="324"/>
      <c r="BL162" s="151"/>
      <c r="BM162" s="151"/>
    </row>
    <row r="163" spans="2:65" ht="13.5" customHeight="1">
      <c r="B163" s="17" t="s">
        <v>380</v>
      </c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353"/>
      <c r="R163" s="47"/>
      <c r="S163" s="47"/>
      <c r="T163" s="81"/>
      <c r="U163" s="47"/>
      <c r="V163" s="18"/>
      <c r="W163" s="18"/>
      <c r="X163" s="18"/>
      <c r="Y163" s="47"/>
      <c r="Z163" s="47"/>
      <c r="AA163" s="18"/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8"/>
      <c r="BC163" s="18"/>
      <c r="BD163" s="18"/>
      <c r="BE163" s="18"/>
      <c r="BF163" s="18"/>
      <c r="BG163" s="18"/>
      <c r="BH163" s="18"/>
      <c r="BI163" s="18"/>
      <c r="BJ163" s="1"/>
      <c r="BK163" s="1"/>
      <c r="BL163" s="18"/>
      <c r="BM163" s="18"/>
    </row>
    <row r="164" spans="2:65" s="2" customFormat="1" ht="13.5" customHeight="1">
      <c r="B164" s="101" t="s">
        <v>49</v>
      </c>
      <c r="C164" s="149">
        <f>+C3</f>
        <v>41975</v>
      </c>
      <c r="D164" s="149">
        <f>+D3</f>
        <v>42341</v>
      </c>
      <c r="E164" s="149">
        <f>+E3</f>
        <v>42708</v>
      </c>
      <c r="F164" s="149">
        <f>+F3</f>
        <v>43073</v>
      </c>
      <c r="G164" s="149">
        <f>+G3</f>
        <v>43073</v>
      </c>
      <c r="H164" s="149">
        <f>+H3</f>
        <v>43438</v>
      </c>
      <c r="I164" s="149">
        <f>+I3</f>
        <v>43803</v>
      </c>
      <c r="J164" s="149">
        <f>+J3</f>
        <v>44169</v>
      </c>
      <c r="K164" s="149">
        <f>+K3</f>
        <v>44534</v>
      </c>
      <c r="L164" s="149">
        <f>+L3</f>
        <v>44899</v>
      </c>
      <c r="M164" s="149">
        <f>+M3</f>
        <v>45264</v>
      </c>
      <c r="N164" s="149">
        <f>+N3</f>
        <v>45630</v>
      </c>
      <c r="O164" s="149">
        <f>+O3</f>
        <v>45995</v>
      </c>
      <c r="P164" s="149">
        <f>+P3</f>
        <v>46112</v>
      </c>
      <c r="Q164" s="326"/>
      <c r="R164" s="149">
        <f>+R3</f>
        <v>43439</v>
      </c>
      <c r="S164" s="149">
        <f>+S3</f>
        <v>43805</v>
      </c>
      <c r="T164" s="195">
        <f>+T3</f>
        <v>44172</v>
      </c>
      <c r="U164" s="149">
        <f>+U3</f>
        <v>42437</v>
      </c>
      <c r="V164" s="149">
        <f>+V3</f>
        <v>42527</v>
      </c>
      <c r="W164" s="149">
        <f>+W3</f>
        <v>42622</v>
      </c>
      <c r="X164" s="149">
        <f>+X3</f>
        <v>42714</v>
      </c>
      <c r="Y164" s="149">
        <f>+Y3</f>
        <v>42801</v>
      </c>
      <c r="Z164" s="149">
        <f>+Z3</f>
        <v>42892</v>
      </c>
      <c r="AA164" s="149">
        <f>+AA3</f>
        <v>42987</v>
      </c>
      <c r="AB164" s="149">
        <f>+AB3</f>
        <v>43100</v>
      </c>
      <c r="AC164" s="149">
        <f>+AC3</f>
        <v>43190</v>
      </c>
      <c r="AD164" s="149">
        <f>+AD3</f>
        <v>43281</v>
      </c>
      <c r="AE164" s="149">
        <f>+AE3</f>
        <v>43373</v>
      </c>
      <c r="AF164" s="149">
        <f>+AF3</f>
        <v>43465</v>
      </c>
      <c r="AG164" s="149">
        <f>+AG3</f>
        <v>43555</v>
      </c>
      <c r="AH164" s="149">
        <f>+AH3</f>
        <v>43646</v>
      </c>
      <c r="AI164" s="149">
        <f>+AI3</f>
        <v>43738</v>
      </c>
      <c r="AJ164" s="149">
        <f>+AJ3</f>
        <v>43830</v>
      </c>
      <c r="AK164" s="149">
        <f>+AK3</f>
        <v>43921</v>
      </c>
      <c r="AL164" s="149">
        <f>+AL3</f>
        <v>44012</v>
      </c>
      <c r="AM164" s="149">
        <f>+AM3</f>
        <v>44104</v>
      </c>
      <c r="AN164" s="149">
        <f>+AN3</f>
        <v>44196</v>
      </c>
      <c r="AO164" s="149">
        <f>+AO3</f>
        <v>44286</v>
      </c>
      <c r="AP164" s="149">
        <f>+AP3</f>
        <v>44377</v>
      </c>
      <c r="AQ164" s="149">
        <f>+AQ3</f>
        <v>44469</v>
      </c>
      <c r="AR164" s="149">
        <f>+AR3</f>
        <v>44561</v>
      </c>
      <c r="AS164" s="149">
        <f>+AS3</f>
        <v>44651</v>
      </c>
      <c r="AT164" s="149">
        <f>+AT3</f>
        <v>44742</v>
      </c>
      <c r="AU164" s="149">
        <f>+AU3</f>
        <v>44834</v>
      </c>
      <c r="AV164" s="149">
        <f>+AV3</f>
        <v>44926</v>
      </c>
      <c r="AW164" s="149">
        <f>+AW3</f>
        <v>45016</v>
      </c>
      <c r="AX164" s="149">
        <f>+AX3</f>
        <v>45107</v>
      </c>
      <c r="AY164" s="149">
        <f>+AY3</f>
        <v>45199</v>
      </c>
      <c r="AZ164" s="149">
        <f>+AZ3</f>
        <v>45291</v>
      </c>
      <c r="BA164" s="149">
        <f>+BA3</f>
        <v>45382</v>
      </c>
      <c r="BB164" s="149">
        <f>+BB3</f>
        <v>45473</v>
      </c>
      <c r="BC164" s="149">
        <f>+BC3</f>
        <v>45565</v>
      </c>
      <c r="BD164" s="149">
        <f>+BD3</f>
        <v>45657</v>
      </c>
      <c r="BE164" s="149">
        <f>+BE3</f>
        <v>45747</v>
      </c>
      <c r="BF164" s="149">
        <f>+BF3</f>
        <v>45838</v>
      </c>
      <c r="BG164" s="149">
        <f>+BG3</f>
        <v>45930</v>
      </c>
      <c r="BH164" s="149">
        <f>+BH3</f>
        <v>46022</v>
      </c>
      <c r="BI164" s="149">
        <f>+BI3</f>
        <v>46112</v>
      </c>
      <c r="BJ164" s="326"/>
      <c r="BK164" s="326"/>
      <c r="BL164" s="149"/>
      <c r="BM164" s="149"/>
    </row>
    <row r="165" spans="2:65" s="5" customFormat="1" ht="13.5" customHeight="1">
      <c r="B165" s="11"/>
      <c r="C165" s="14" t="s">
        <v>257</v>
      </c>
      <c r="D165" s="14" t="s">
        <v>257</v>
      </c>
      <c r="E165" s="14" t="s">
        <v>257</v>
      </c>
      <c r="F165" s="14" t="s">
        <v>257</v>
      </c>
      <c r="G165" s="14" t="s">
        <v>257</v>
      </c>
      <c r="H165" s="14" t="s">
        <v>257</v>
      </c>
      <c r="I165" s="14" t="s">
        <v>257</v>
      </c>
      <c r="J165" s="14" t="s">
        <v>257</v>
      </c>
      <c r="K165" s="14" t="s">
        <v>257</v>
      </c>
      <c r="L165" s="14" t="s">
        <v>257</v>
      </c>
      <c r="M165" s="14" t="s">
        <v>257</v>
      </c>
      <c r="N165" s="14" t="s">
        <v>257</v>
      </c>
      <c r="O165" s="14" t="s">
        <v>257</v>
      </c>
      <c r="P165" s="14" t="s">
        <v>257</v>
      </c>
      <c r="Q165" s="332"/>
      <c r="R165" s="14" t="s">
        <v>257</v>
      </c>
      <c r="S165" s="14" t="s">
        <v>257</v>
      </c>
      <c r="T165" s="213" t="s">
        <v>257</v>
      </c>
      <c r="U165" s="14" t="s">
        <v>257</v>
      </c>
      <c r="V165" s="14" t="s">
        <v>257</v>
      </c>
      <c r="W165" s="14" t="s">
        <v>257</v>
      </c>
      <c r="X165" s="14" t="s">
        <v>257</v>
      </c>
      <c r="Y165" s="14" t="str">
        <f>Y4</f>
        <v>Act</v>
      </c>
      <c r="Z165" s="14" t="str">
        <f>Z4</f>
        <v>Act</v>
      </c>
      <c r="AA165" s="14" t="str">
        <f>AA4</f>
        <v>Act</v>
      </c>
      <c r="AB165" s="14" t="str">
        <f>AB4</f>
        <v>Act</v>
      </c>
      <c r="AC165" s="14" t="str">
        <f>AC4</f>
        <v>Act</v>
      </c>
      <c r="AD165" s="14" t="str">
        <f>AD4</f>
        <v>Act</v>
      </c>
      <c r="AE165" s="14" t="str">
        <f>AE4</f>
        <v>Act</v>
      </c>
      <c r="AF165" s="14" t="str">
        <f>AF4</f>
        <v>Act</v>
      </c>
      <c r="AG165" s="14" t="str">
        <f>AG4</f>
        <v>Act</v>
      </c>
      <c r="AH165" s="14" t="str">
        <f>AH4</f>
        <v>Act</v>
      </c>
      <c r="AI165" s="14" t="str">
        <f>AI4</f>
        <v>Act</v>
      </c>
      <c r="AJ165" s="14" t="str">
        <f>AJ4</f>
        <v>Act</v>
      </c>
      <c r="AK165" s="14" t="str">
        <f>AK4</f>
        <v>Act</v>
      </c>
      <c r="AL165" s="14" t="str">
        <f>AL4</f>
        <v>Act</v>
      </c>
      <c r="AM165" s="14" t="str">
        <f>AM4</f>
        <v>Act</v>
      </c>
      <c r="AN165" s="14" t="str">
        <f>AN4</f>
        <v>Act</v>
      </c>
      <c r="AO165" s="14" t="str">
        <f>AO4</f>
        <v>Act</v>
      </c>
      <c r="AP165" s="14" t="str">
        <f>AP4</f>
        <v>Act</v>
      </c>
      <c r="AQ165" s="14" t="str">
        <f>AQ4</f>
        <v>Act</v>
      </c>
      <c r="AR165" s="14" t="str">
        <f>AR4</f>
        <v>Act</v>
      </c>
      <c r="AS165" s="14" t="str">
        <f>AS4</f>
        <v>Act</v>
      </c>
      <c r="AT165" s="14" t="str">
        <f>AT4</f>
        <v>Act</v>
      </c>
      <c r="AU165" s="14" t="str">
        <f>AU4</f>
        <v>Act</v>
      </c>
      <c r="AV165" s="14" t="str">
        <f>AV4</f>
        <v>Act</v>
      </c>
      <c r="AW165" s="14" t="str">
        <f>AW4</f>
        <v>Act</v>
      </c>
      <c r="AX165" s="14" t="str">
        <f>AX4</f>
        <v>Act</v>
      </c>
      <c r="AY165" s="14" t="str">
        <f>AY4</f>
        <v>Act</v>
      </c>
      <c r="AZ165" s="14" t="str">
        <f>AZ4</f>
        <v>Act</v>
      </c>
      <c r="BA165" s="14" t="str">
        <f>BA4</f>
        <v>Act</v>
      </c>
      <c r="BB165" s="14" t="str">
        <f>BB4</f>
        <v>Act</v>
      </c>
      <c r="BC165" s="14" t="str">
        <f>BC4</f>
        <v>Act</v>
      </c>
      <c r="BD165" s="14" t="str">
        <f>BD4</f>
        <v>Act</v>
      </c>
      <c r="BE165" s="14" t="str">
        <f>BE4</f>
        <v>Act</v>
      </c>
      <c r="BF165" s="14" t="str">
        <f>BF4</f>
        <v>Act</v>
      </c>
      <c r="BG165" s="14" t="str">
        <f>BG4</f>
        <v>Act</v>
      </c>
      <c r="BH165" s="14" t="str">
        <f>BH4</f>
        <v>Act</v>
      </c>
      <c r="BI165" s="14" t="str">
        <f>BI4</f>
        <v>Act</v>
      </c>
      <c r="BJ165" s="332"/>
      <c r="BK165" s="332"/>
      <c r="BL165" s="14"/>
      <c r="BM165" s="14"/>
    </row>
    <row r="166" spans="2:65" s="3" customFormat="1" ht="13.5" customHeight="1">
      <c r="C166" s="24" t="s">
        <v>259</v>
      </c>
      <c r="D166" s="24" t="s">
        <v>259</v>
      </c>
      <c r="E166" s="24" t="s">
        <v>259</v>
      </c>
      <c r="F166" s="24" t="s">
        <v>259</v>
      </c>
      <c r="G166" s="24" t="s">
        <v>259</v>
      </c>
      <c r="H166" s="24" t="s">
        <v>259</v>
      </c>
      <c r="I166" s="24" t="s">
        <v>259</v>
      </c>
      <c r="J166" s="24" t="s">
        <v>259</v>
      </c>
      <c r="K166" s="24" t="s">
        <v>259</v>
      </c>
      <c r="L166" s="24" t="s">
        <v>259</v>
      </c>
      <c r="M166" s="24" t="s">
        <v>259</v>
      </c>
      <c r="N166" s="24" t="s">
        <v>259</v>
      </c>
      <c r="O166" s="24" t="s">
        <v>259</v>
      </c>
      <c r="P166" s="24" t="s">
        <v>259</v>
      </c>
      <c r="Q166" s="24"/>
      <c r="R166" s="24" t="s">
        <v>259</v>
      </c>
      <c r="S166" s="24" t="s">
        <v>259</v>
      </c>
      <c r="T166" s="113" t="s">
        <v>259</v>
      </c>
      <c r="U166" s="24" t="str">
        <f>U5</f>
        <v>Q1</v>
      </c>
      <c r="V166" s="24" t="str">
        <f>V5</f>
        <v>Q2</v>
      </c>
      <c r="W166" s="24" t="str">
        <f>W5</f>
        <v>Q3</v>
      </c>
      <c r="X166" s="24" t="str">
        <f>X5</f>
        <v>Q4</v>
      </c>
      <c r="Y166" s="24" t="str">
        <f>Y5</f>
        <v>Q1</v>
      </c>
      <c r="Z166" s="24" t="str">
        <f>Z5</f>
        <v>Q2</v>
      </c>
      <c r="AA166" s="24" t="str">
        <f>AA5</f>
        <v>Q3</v>
      </c>
      <c r="AB166" s="24" t="str">
        <f>AB5</f>
        <v>Q4</v>
      </c>
      <c r="AC166" s="24" t="str">
        <f>AC5</f>
        <v>Q1</v>
      </c>
      <c r="AD166" s="24" t="str">
        <f>AD5</f>
        <v>Q2</v>
      </c>
      <c r="AE166" s="24" t="str">
        <f>AE5</f>
        <v>Q3</v>
      </c>
      <c r="AF166" s="24" t="str">
        <f>AF5</f>
        <v>Q4</v>
      </c>
      <c r="AG166" s="24" t="str">
        <f>AG5</f>
        <v>Q1</v>
      </c>
      <c r="AH166" s="24" t="str">
        <f>AH5</f>
        <v>Q2</v>
      </c>
      <c r="AI166" s="24" t="str">
        <f>AI5</f>
        <v>Q3</v>
      </c>
      <c r="AJ166" s="24" t="str">
        <f>AJ5</f>
        <v>Q4</v>
      </c>
      <c r="AK166" s="24" t="str">
        <f>AK5</f>
        <v>Q1</v>
      </c>
      <c r="AL166" s="24" t="str">
        <f>AL5</f>
        <v>Q2</v>
      </c>
      <c r="AM166" s="24" t="str">
        <f>AM5</f>
        <v>Q3</v>
      </c>
      <c r="AN166" s="24" t="str">
        <f>AN5</f>
        <v>Q4</v>
      </c>
      <c r="AO166" s="24" t="str">
        <f>AO5</f>
        <v>Q1</v>
      </c>
      <c r="AP166" s="24" t="str">
        <f>AP5</f>
        <v>Q2</v>
      </c>
      <c r="AQ166" s="24" t="str">
        <f>AQ5</f>
        <v>Q3</v>
      </c>
      <c r="AR166" s="24" t="str">
        <f>AR5</f>
        <v>Q4</v>
      </c>
      <c r="AS166" s="24" t="str">
        <f>AS5</f>
        <v>Q1</v>
      </c>
      <c r="AT166" s="24" t="str">
        <f>AT5</f>
        <v>Q2</v>
      </c>
      <c r="AU166" s="24" t="str">
        <f>AU5</f>
        <v>Q3</v>
      </c>
      <c r="AV166" s="24" t="str">
        <f>AV5</f>
        <v>Q4</v>
      </c>
      <c r="AW166" s="24" t="str">
        <f>AW5</f>
        <v>Q1</v>
      </c>
      <c r="AX166" s="24" t="str">
        <f>AX5</f>
        <v>Q2</v>
      </c>
      <c r="AY166" s="24" t="str">
        <f>AY5</f>
        <v>Q3</v>
      </c>
      <c r="AZ166" s="24" t="str">
        <f>AZ5</f>
        <v>Q4</v>
      </c>
      <c r="BA166" s="24" t="str">
        <f>BA5</f>
        <v>Q1</v>
      </c>
      <c r="BB166" s="24" t="str">
        <f>BB5</f>
        <v>Q2</v>
      </c>
      <c r="BC166" s="24" t="str">
        <f>BC5</f>
        <v>Q3</v>
      </c>
      <c r="BD166" s="24" t="str">
        <f>BD5</f>
        <v>Q4</v>
      </c>
      <c r="BE166" s="24" t="str">
        <f>BE5</f>
        <v>Q1</v>
      </c>
      <c r="BF166" s="24" t="str">
        <f>BF5</f>
        <v>Q2</v>
      </c>
      <c r="BG166" s="24" t="str">
        <f>BG5</f>
        <v>Q3</v>
      </c>
      <c r="BH166" s="24" t="str">
        <f>BH5</f>
        <v>Q4</v>
      </c>
      <c r="BI166" s="24" t="str">
        <f>BI5</f>
        <v>Q1</v>
      </c>
      <c r="BJ166" s="24"/>
      <c r="BK166" s="24"/>
      <c r="BL166" s="24"/>
      <c r="BM166" s="24"/>
    </row>
    <row r="167" spans="2:65" s="5" customFormat="1" ht="13.5" customHeight="1">
      <c r="B167" s="5" t="s">
        <v>266</v>
      </c>
      <c r="C167" s="54">
        <f>C7</f>
        <v>147298</v>
      </c>
      <c r="D167" s="54">
        <f>D7</f>
        <v>152360</v>
      </c>
      <c r="E167" s="54">
        <f>E7</f>
        <v>177718</v>
      </c>
      <c r="F167" s="54">
        <f>F7</f>
        <v>203780.02900000001</v>
      </c>
      <c r="G167" s="54">
        <f>G7</f>
        <v>183256.14972006774</v>
      </c>
      <c r="H167" s="54">
        <f>H7</f>
        <v>182342.00332209052</v>
      </c>
      <c r="I167" s="54">
        <f>I7</f>
        <v>194471</v>
      </c>
      <c r="J167" s="54">
        <f>J7</f>
        <v>183614.617556874</v>
      </c>
      <c r="K167" s="54">
        <f>K7</f>
        <v>194803.62610274626</v>
      </c>
      <c r="L167" s="54">
        <f>L7</f>
        <v>226740.31515876396</v>
      </c>
      <c r="M167" s="54">
        <f>M7</f>
        <v>245088</v>
      </c>
      <c r="N167" s="54">
        <f>N7</f>
        <v>279793.21943687578</v>
      </c>
      <c r="O167" s="54">
        <f>O7</f>
        <v>291745.65437160898</v>
      </c>
      <c r="P167" s="54">
        <f>P7</f>
        <v>292514.2412681937</v>
      </c>
      <c r="Q167" s="54"/>
      <c r="R167" s="54"/>
      <c r="S167" s="54"/>
      <c r="T167" s="118"/>
      <c r="U167" s="54">
        <f>U7</f>
        <v>37096.690999999999</v>
      </c>
      <c r="V167" s="54">
        <f>V7</f>
        <v>39938.563999999998</v>
      </c>
      <c r="W167" s="54">
        <f>W7</f>
        <v>42351</v>
      </c>
      <c r="X167" s="54">
        <f>X7</f>
        <v>58331.745000000003</v>
      </c>
      <c r="Y167" s="54">
        <f>Y7</f>
        <v>51357.35</v>
      </c>
      <c r="Z167" s="54">
        <f>Z7</f>
        <v>50107.504999999997</v>
      </c>
      <c r="AA167" s="54">
        <f>AA7</f>
        <v>49363</v>
      </c>
      <c r="AB167" s="54">
        <f>AB7</f>
        <v>52952.174000000006</v>
      </c>
      <c r="AC167" s="54">
        <f>AC7</f>
        <v>49713</v>
      </c>
      <c r="AD167" s="54">
        <f>AD7</f>
        <v>52085.985000000001</v>
      </c>
      <c r="AE167" s="54">
        <f>AE7</f>
        <v>44148.103000000003</v>
      </c>
      <c r="AF167" s="54">
        <f>AF7</f>
        <v>36394.915322090514</v>
      </c>
      <c r="AG167" s="54">
        <f>AG7</f>
        <v>46247.735999999997</v>
      </c>
      <c r="AH167" s="54">
        <f>AH7</f>
        <v>47978.325808098336</v>
      </c>
      <c r="AI167" s="54">
        <f>AI7</f>
        <v>48698.552143166955</v>
      </c>
      <c r="AJ167" s="54">
        <f>AJ7</f>
        <v>51546.386048734719</v>
      </c>
      <c r="AK167" s="54">
        <f>AK7</f>
        <v>45348.1893203707</v>
      </c>
      <c r="AL167" s="54">
        <f>AL7</f>
        <v>43074.655001929001</v>
      </c>
      <c r="AM167" s="54">
        <f>AM7</f>
        <v>46734.010845961799</v>
      </c>
      <c r="AN167" s="54">
        <f>AN7</f>
        <v>48457.762388612493</v>
      </c>
      <c r="AO167" s="54">
        <f>AO7</f>
        <v>44690.40693672021</v>
      </c>
      <c r="AP167" s="54">
        <f>AP7</f>
        <v>47786.358993595255</v>
      </c>
      <c r="AQ167" s="54">
        <f>AQ7</f>
        <v>48315.596638839466</v>
      </c>
      <c r="AR167" s="54">
        <f>AR7</f>
        <v>54011.263533591329</v>
      </c>
      <c r="AS167" s="54">
        <f>AS7</f>
        <v>51195</v>
      </c>
      <c r="AT167" s="54">
        <f>AT7</f>
        <v>57310.599223786347</v>
      </c>
      <c r="AU167" s="54">
        <f>AU7</f>
        <v>57093.487327726507</v>
      </c>
      <c r="AV167" s="54">
        <f>AV7</f>
        <v>61141.228607251105</v>
      </c>
      <c r="AW167" s="54">
        <f>AW7</f>
        <v>57357.398000000001</v>
      </c>
      <c r="AX167" s="54">
        <f>AX7</f>
        <v>61428.388020007587</v>
      </c>
      <c r="AY167" s="54">
        <f>AY7</f>
        <v>62853.010851432038</v>
      </c>
      <c r="AZ167" s="54">
        <f>AZ7</f>
        <v>63449.203128560373</v>
      </c>
      <c r="BA167" s="54">
        <f>BA7</f>
        <v>63802.606121487508</v>
      </c>
      <c r="BB167" s="54">
        <f>BB7</f>
        <v>69455.803128575353</v>
      </c>
      <c r="BC167" s="54">
        <f>BC7</f>
        <v>69601.220946843619</v>
      </c>
      <c r="BD167" s="54">
        <f>BD7</f>
        <v>76933.589239969297</v>
      </c>
      <c r="BE167" s="54">
        <f>BE7</f>
        <v>70156.790304248905</v>
      </c>
      <c r="BF167" s="54">
        <f>BF7</f>
        <v>72916.61262423858</v>
      </c>
      <c r="BG167" s="54">
        <f>BG7</f>
        <v>71883.716856269093</v>
      </c>
      <c r="BH167" s="54">
        <f>BH7</f>
        <v>76788.534586852373</v>
      </c>
      <c r="BI167" s="54">
        <f>BI7</f>
        <v>70925.377200833653</v>
      </c>
      <c r="BJ167" s="54"/>
      <c r="BK167" s="54"/>
      <c r="BL167" s="54"/>
      <c r="BM167" s="54"/>
    </row>
    <row r="168" spans="2:65" s="28" customFormat="1" ht="13.5" customHeight="1">
      <c r="B168" s="22" t="s">
        <v>267</v>
      </c>
      <c r="C168" s="67"/>
      <c r="D168" s="67">
        <f>D8</f>
        <v>3.4365707613138063E-2</v>
      </c>
      <c r="E168" s="67">
        <f>E8</f>
        <v>0.16643475977946975</v>
      </c>
      <c r="F168" s="67">
        <f>F8</f>
        <v>0.14664822359018226</v>
      </c>
      <c r="G168" s="67">
        <f>G8</f>
        <v>0</v>
      </c>
      <c r="H168" s="67">
        <f>H8</f>
        <v>-4.9883531841830031E-3</v>
      </c>
      <c r="I168" s="67">
        <f>I8</f>
        <v>6.6517842608566191E-2</v>
      </c>
      <c r="J168" s="67">
        <f>J8</f>
        <v>-5.5825199865923492E-2</v>
      </c>
      <c r="K168" s="67">
        <f>K8</f>
        <v>6.0937460724805881E-2</v>
      </c>
      <c r="L168" s="67">
        <f>L8</f>
        <v>0.16394299066678131</v>
      </c>
      <c r="M168" s="67">
        <f>M8</f>
        <v>8.0919376108253838E-2</v>
      </c>
      <c r="N168" s="67">
        <f>N8</f>
        <v>0.14160309536523941</v>
      </c>
      <c r="O168" s="67">
        <f>O8</f>
        <v>4.2718815555248923E-2</v>
      </c>
      <c r="P168" s="67"/>
      <c r="Q168" s="333"/>
      <c r="R168" s="67"/>
      <c r="S168" s="67"/>
      <c r="T168" s="97"/>
      <c r="U168" s="67">
        <f>U8</f>
        <v>7.920786059230811E-2</v>
      </c>
      <c r="V168" s="67">
        <f>V8</f>
        <v>0.13050735960144921</v>
      </c>
      <c r="W168" s="67">
        <f>W8</f>
        <v>0.12453200924032815</v>
      </c>
      <c r="X168" s="67">
        <f>X8</f>
        <v>0.36139624711181662</v>
      </c>
      <c r="Y168" s="67">
        <f>Y8</f>
        <v>0.38441862644838043</v>
      </c>
      <c r="Z168" s="67">
        <f>Z8</f>
        <v>0.25461458754501032</v>
      </c>
      <c r="AA168" s="67">
        <f>AA8</f>
        <v>0.16556869967651289</v>
      </c>
      <c r="AB168" s="67">
        <f>AB8</f>
        <v>-9.2223728263229554E-2</v>
      </c>
      <c r="AC168" s="67">
        <f>AC8</f>
        <v>-3.2017812445540916E-2</v>
      </c>
      <c r="AD168" s="67">
        <f>AD8</f>
        <v>3.9484703938062804E-2</v>
      </c>
      <c r="AE168" s="67">
        <f>AE8</f>
        <v>-0.10564384255413972</v>
      </c>
      <c r="AF168" s="67">
        <f>AF8</f>
        <v>-0.31268326542947023</v>
      </c>
      <c r="AG168" s="67">
        <f>AG8</f>
        <v>4.8170993728344325E-2</v>
      </c>
      <c r="AH168" s="67">
        <f>AH8</f>
        <v>7.648975949157677E-2</v>
      </c>
      <c r="AI168" s="67">
        <f>AI8</f>
        <v>0.10307235948885385</v>
      </c>
      <c r="AJ168" s="67">
        <f>AJ8</f>
        <v>0.41630734932491409</v>
      </c>
      <c r="AK168" s="67">
        <f>AK8</f>
        <v>-1.9450610071578334E-2</v>
      </c>
      <c r="AL168" s="67">
        <f>AL8</f>
        <v>-0.10220595911959973</v>
      </c>
      <c r="AM168" s="67">
        <f>AM8</f>
        <v>-4.03408563652915E-2</v>
      </c>
      <c r="AN168" s="67">
        <f>AN8</f>
        <v>-5.991930563671477E-2</v>
      </c>
      <c r="AO168" s="67">
        <f>AO8</f>
        <v>-1.4505152102181285E-2</v>
      </c>
      <c r="AP168" s="67">
        <f>AP8</f>
        <v>0.10938460195340505</v>
      </c>
      <c r="AQ168" s="67">
        <f>AQ8</f>
        <v>3.3842286682619127E-2</v>
      </c>
      <c r="AR168" s="67">
        <f>AR8</f>
        <v>0.11460498527443153</v>
      </c>
      <c r="AS168" s="67">
        <f>AS8</f>
        <v>0.14554785935357506</v>
      </c>
      <c r="AT168" s="67">
        <f>AT8</f>
        <v>0.19930876573935286</v>
      </c>
      <c r="AU168" s="67">
        <f>AU8</f>
        <v>0.18167820123390044</v>
      </c>
      <c r="AV168" s="67">
        <f>AV8</f>
        <v>0.13200885532376816</v>
      </c>
      <c r="AW168" s="67">
        <f>AW8</f>
        <v>0.12037109092684828</v>
      </c>
      <c r="AX168" s="67">
        <f>AX8</f>
        <v>7.1850388095614059E-2</v>
      </c>
      <c r="AY168" s="67">
        <f>AY8</f>
        <v>0.10087881811536348</v>
      </c>
      <c r="AZ168" s="67">
        <f>AZ8</f>
        <v>3.7748252265829452E-2</v>
      </c>
      <c r="BA168" s="67">
        <f>BA8</f>
        <v>0.112369255688473</v>
      </c>
      <c r="BB168" s="67">
        <f>BB8</f>
        <v>0.13067924077631976</v>
      </c>
      <c r="BC168" s="67">
        <f>BC8</f>
        <v>0.10736494567241284</v>
      </c>
      <c r="BD168" s="67">
        <f>BD8</f>
        <v>0.21252254475264176</v>
      </c>
      <c r="BE168" s="67">
        <f>BE8</f>
        <v>9.9591295231143073E-2</v>
      </c>
      <c r="BF168" s="67">
        <f>BF8</f>
        <v>4.9827506698851831E-2</v>
      </c>
      <c r="BG168" s="67">
        <f>BG8</f>
        <v>3.2793906175420107E-2</v>
      </c>
      <c r="BH168" s="67">
        <f>BH8</f>
        <v>-1.8854528243115176E-3</v>
      </c>
      <c r="BI168" s="67">
        <f>BI8</f>
        <v>1.0955274510872304E-2</v>
      </c>
      <c r="BJ168" s="333"/>
      <c r="BK168" s="333"/>
      <c r="BL168" s="67"/>
      <c r="BM168" s="67"/>
    </row>
    <row r="169" spans="2:65" s="28" customFormat="1" ht="13.5" customHeight="1">
      <c r="B169" s="28" t="s">
        <v>381</v>
      </c>
      <c r="C169" s="96"/>
      <c r="D169" s="96"/>
      <c r="E169" s="96"/>
      <c r="F169" s="96"/>
      <c r="G169" s="96"/>
      <c r="H169" s="96"/>
      <c r="I169" s="96"/>
      <c r="J169" s="96"/>
      <c r="K169" s="96"/>
      <c r="L169" s="96"/>
      <c r="M169" s="96"/>
      <c r="N169" s="96"/>
      <c r="O169" s="96"/>
      <c r="P169" s="96"/>
      <c r="Q169" s="333"/>
      <c r="R169" s="96"/>
      <c r="S169" s="96"/>
      <c r="T169" s="98"/>
      <c r="U169" s="96"/>
      <c r="V169" s="96"/>
      <c r="W169" s="96"/>
      <c r="X169" s="96"/>
      <c r="Y169" s="96"/>
      <c r="Z169" s="96"/>
      <c r="AA169" s="96"/>
      <c r="AB169" s="96"/>
      <c r="AC169" s="96"/>
      <c r="AD169" s="96"/>
      <c r="AE169" s="96"/>
      <c r="AF169" s="96"/>
      <c r="AG169" s="96"/>
      <c r="AH169" s="96"/>
      <c r="AI169" s="96"/>
      <c r="AJ169" s="96"/>
      <c r="AK169" s="96"/>
      <c r="AL169" s="96"/>
      <c r="AM169" s="96"/>
      <c r="AN169" s="96"/>
      <c r="AO169" s="96"/>
      <c r="AP169" s="96"/>
      <c r="AQ169" s="96"/>
      <c r="AR169" s="96"/>
      <c r="AS169" s="96"/>
      <c r="AT169" s="96"/>
      <c r="AU169" s="96"/>
      <c r="AV169" s="96"/>
      <c r="AW169" s="96"/>
      <c r="AX169" s="96"/>
      <c r="AY169" s="96"/>
      <c r="AZ169" s="96"/>
      <c r="BA169" s="96"/>
      <c r="BB169" s="96"/>
      <c r="BC169" s="96"/>
      <c r="BD169" s="96"/>
      <c r="BE169" s="96"/>
      <c r="BF169" s="96"/>
      <c r="BG169" s="96"/>
      <c r="BH169" s="96"/>
      <c r="BI169" s="96"/>
      <c r="BJ169" s="333"/>
      <c r="BK169" s="333"/>
      <c r="BL169" s="96"/>
      <c r="BM169" s="96"/>
    </row>
    <row r="170" spans="2:65" ht="13.5" customHeight="1"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112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  <c r="BK170" s="53"/>
      <c r="BL170" s="53"/>
      <c r="BM170" s="53"/>
    </row>
    <row r="171" spans="2:65" s="5" customFormat="1" ht="13.5" customHeight="1" thickBot="1">
      <c r="B171" s="26" t="s">
        <v>300</v>
      </c>
      <c r="C171" s="61">
        <f>+C53</f>
        <v>27692</v>
      </c>
      <c r="D171" s="61">
        <f>+D53</f>
        <v>29788</v>
      </c>
      <c r="E171" s="61">
        <f>+E53</f>
        <v>32586</v>
      </c>
      <c r="F171" s="61">
        <f>+F53</f>
        <v>39545.22600000001</v>
      </c>
      <c r="G171" s="61">
        <f>+G53</f>
        <v>36291.546999200269</v>
      </c>
      <c r="H171" s="61">
        <f>+H53</f>
        <v>35455.739258992398</v>
      </c>
      <c r="I171" s="61">
        <f>+I53</f>
        <v>37147.694571135318</v>
      </c>
      <c r="J171" s="61">
        <f>+J53</f>
        <v>37345.368715724821</v>
      </c>
      <c r="K171" s="61">
        <f>+K53</f>
        <v>38849.214195252353</v>
      </c>
      <c r="L171" s="61">
        <f>+L53</f>
        <v>43000.806826074178</v>
      </c>
      <c r="M171" s="61">
        <f>+M53</f>
        <v>46417.584951090248</v>
      </c>
      <c r="N171" s="61">
        <f>+N53</f>
        <v>56205.223484455506</v>
      </c>
      <c r="O171" s="61">
        <f>+O53</f>
        <v>59109.622848391198</v>
      </c>
      <c r="P171" s="61">
        <f>+P53</f>
        <v>59229.242372013563</v>
      </c>
      <c r="Q171" s="8"/>
      <c r="R171" s="61"/>
      <c r="S171" s="61"/>
      <c r="T171" s="99"/>
      <c r="U171" s="61">
        <f>+U53</f>
        <v>6755.3830000000016</v>
      </c>
      <c r="V171" s="61">
        <f>+V53</f>
        <v>7972.8469999999979</v>
      </c>
      <c r="W171" s="61">
        <f>+W53</f>
        <v>7819.9050000000016</v>
      </c>
      <c r="X171" s="61">
        <f>+X53</f>
        <v>10037.865000000009</v>
      </c>
      <c r="Y171" s="61">
        <f>+Y53</f>
        <v>8923.9849999999969</v>
      </c>
      <c r="Z171" s="61">
        <f>+Z53</f>
        <v>9195.2809999999972</v>
      </c>
      <c r="AA171" s="61">
        <f>+AA53</f>
        <v>8932.737000000001</v>
      </c>
      <c r="AB171" s="61">
        <f>+AB53</f>
        <v>12493.223000000002</v>
      </c>
      <c r="AC171" s="61">
        <f>+AC53</f>
        <v>8706</v>
      </c>
      <c r="AD171" s="61">
        <f>+AD53</f>
        <v>9511.5010000000002</v>
      </c>
      <c r="AE171" s="61">
        <f>+AE53</f>
        <v>8491.4790712590475</v>
      </c>
      <c r="AF171" s="61">
        <f>+AF53</f>
        <v>8746.7591877333434</v>
      </c>
      <c r="AG171" s="61">
        <f>+AG53</f>
        <v>8540.5817517443138</v>
      </c>
      <c r="AH171" s="61">
        <f>+AH53</f>
        <v>9180.0142846011258</v>
      </c>
      <c r="AI171" s="61">
        <f>+AI53</f>
        <v>10069.217677320521</v>
      </c>
      <c r="AJ171" s="61">
        <f>+AJ53</f>
        <v>9357.8808574693612</v>
      </c>
      <c r="AK171" s="61">
        <f>+AK53</f>
        <v>9086.4272268687637</v>
      </c>
      <c r="AL171" s="61">
        <f>+AL53</f>
        <v>8221.2206353997317</v>
      </c>
      <c r="AM171" s="61">
        <f>+AM53</f>
        <v>10075</v>
      </c>
      <c r="AN171" s="61">
        <f>+AN53</f>
        <v>9963.034840736691</v>
      </c>
      <c r="AO171" s="61">
        <f>+AO53</f>
        <v>8807</v>
      </c>
      <c r="AP171" s="61">
        <f>+AP53</f>
        <v>10007</v>
      </c>
      <c r="AQ171" s="61">
        <f>+AQ53</f>
        <v>9320</v>
      </c>
      <c r="AR171" s="61">
        <f>+AR53</f>
        <v>10715.267907762282</v>
      </c>
      <c r="AS171" s="61">
        <f>+AS53</f>
        <v>9827</v>
      </c>
      <c r="AT171" s="61">
        <f>+AT53</f>
        <v>10607</v>
      </c>
      <c r="AU171" s="61">
        <f>+AU53</f>
        <v>10626</v>
      </c>
      <c r="AV171" s="61">
        <f>+AV53</f>
        <v>11940.806826074178</v>
      </c>
      <c r="AW171" s="61">
        <f>+AW53</f>
        <v>10522</v>
      </c>
      <c r="AX171" s="61">
        <f>+AX53</f>
        <v>11439</v>
      </c>
      <c r="AY171" s="61">
        <f>+AY53</f>
        <v>11830</v>
      </c>
      <c r="AZ171" s="61">
        <f>+AZ53</f>
        <v>12626.584951090248</v>
      </c>
      <c r="BA171" s="61">
        <f>+BA53</f>
        <v>11944</v>
      </c>
      <c r="BB171" s="61">
        <f>+BB53</f>
        <v>13922.096083028468</v>
      </c>
      <c r="BC171" s="61">
        <f>+BC53</f>
        <v>14000.9155032326</v>
      </c>
      <c r="BD171" s="61">
        <f>+BD53</f>
        <v>16338.211898194439</v>
      </c>
      <c r="BE171" s="61">
        <f>+BE53</f>
        <v>13254.19272372279</v>
      </c>
      <c r="BF171" s="61">
        <f>+BF53</f>
        <v>13387.691222129417</v>
      </c>
      <c r="BG171" s="61">
        <f>+BG53</f>
        <v>14448.714178591999</v>
      </c>
      <c r="BH171" s="61">
        <f>+BH53</f>
        <v>18019.024723946994</v>
      </c>
      <c r="BI171" s="61">
        <f>+BI53</f>
        <v>13373.812247345157</v>
      </c>
      <c r="BJ171" s="8"/>
      <c r="BK171" s="8"/>
      <c r="BL171" s="61"/>
      <c r="BM171" s="61"/>
    </row>
    <row r="172" spans="2:65" s="28" customFormat="1" ht="13.5" customHeight="1" thickTop="1">
      <c r="B172" s="22" t="s">
        <v>297</v>
      </c>
      <c r="C172" s="67">
        <f>+C54</f>
        <v>0</v>
      </c>
      <c r="D172" s="67">
        <f>+D54</f>
        <v>7.5689729885887624E-2</v>
      </c>
      <c r="E172" s="67">
        <f>+E54</f>
        <v>9.393044178863974E-2</v>
      </c>
      <c r="F172" s="67">
        <f>+F54</f>
        <v>0.2135649051740014</v>
      </c>
      <c r="G172" s="67">
        <f>+G54</f>
        <v>0</v>
      </c>
      <c r="H172" s="67">
        <f>+H54</f>
        <v>-2.3030369585134713E-2</v>
      </c>
      <c r="I172" s="67">
        <f>+I54</f>
        <v>4.7720209689713355E-2</v>
      </c>
      <c r="J172" s="67">
        <f>+J54</f>
        <v>5.3213031621914819E-3</v>
      </c>
      <c r="K172" s="67">
        <f>+K54</f>
        <v>4.026859370367708E-2</v>
      </c>
      <c r="L172" s="67">
        <f>+L54</f>
        <v>0.10686426268383009</v>
      </c>
      <c r="M172" s="67">
        <f>+M54</f>
        <v>7.9458465484983698E-2</v>
      </c>
      <c r="N172" s="67">
        <f>+N54</f>
        <v>0.21086057242483425</v>
      </c>
      <c r="O172" s="67">
        <f>+O54</f>
        <v>5.1674901083507807E-2</v>
      </c>
      <c r="P172" s="67"/>
      <c r="Q172" s="333"/>
      <c r="R172" s="67"/>
      <c r="S172" s="67"/>
      <c r="T172" s="97"/>
      <c r="U172" s="67">
        <f>+U54</f>
        <v>0</v>
      </c>
      <c r="V172" s="67">
        <f>+V54</f>
        <v>0</v>
      </c>
      <c r="W172" s="67">
        <f>+W54</f>
        <v>0</v>
      </c>
      <c r="X172" s="67">
        <f>+X54</f>
        <v>0</v>
      </c>
      <c r="Y172" s="67">
        <f>+Y54</f>
        <v>0.32101836416972884</v>
      </c>
      <c r="Z172" s="67">
        <f>+Z54</f>
        <v>0.15332465303799259</v>
      </c>
      <c r="AA172" s="67">
        <f>+AA54</f>
        <v>0.14230761115384394</v>
      </c>
      <c r="AB172" s="67">
        <f>+AB54</f>
        <v>0.24460958580335457</v>
      </c>
      <c r="AC172" s="67">
        <f>+AC54</f>
        <v>-2.4426867593345003E-2</v>
      </c>
      <c r="AD172" s="67">
        <f>+AD54</f>
        <v>3.4389378638891355E-2</v>
      </c>
      <c r="AE172" s="67">
        <f>+AE54</f>
        <v>-4.9397841752304328E-2</v>
      </c>
      <c r="AF172" s="67">
        <f>+AF54</f>
        <v>-0.29987968775284468</v>
      </c>
      <c r="AG172" s="67">
        <f>+AG54</f>
        <v>4.6063899090414306E-2</v>
      </c>
      <c r="AH172" s="67">
        <f>+AH54</f>
        <v>5.200646001378284E-2</v>
      </c>
      <c r="AI172" s="67">
        <f>+AI54</f>
        <v>0.1858025666460883</v>
      </c>
      <c r="AJ172" s="67">
        <f>+AJ54</f>
        <v>6.986835428064242E-2</v>
      </c>
      <c r="AK172" s="67">
        <f>+AK54</f>
        <v>6.3911978245857481E-2</v>
      </c>
      <c r="AL172" s="67">
        <f>+AL54</f>
        <v>-0.10444359011616222</v>
      </c>
      <c r="AM172" s="67">
        <f>+AM54</f>
        <v>5.7425739166427903E-4</v>
      </c>
      <c r="AN172" s="67">
        <f>+AN54</f>
        <v>6.4667844406706809E-2</v>
      </c>
      <c r="AO172" s="67">
        <f>+AO54</f>
        <v>-3.0752155923561619E-2</v>
      </c>
      <c r="AP172" s="67">
        <f>+AP54</f>
        <v>0.2172158422449928</v>
      </c>
      <c r="AQ172" s="67">
        <f>+AQ54</f>
        <v>-7.4937965260545858E-2</v>
      </c>
      <c r="AR172" s="67">
        <f>+AR54</f>
        <v>7.5502402536009594E-2</v>
      </c>
      <c r="AS172" s="67">
        <f>+AS54</f>
        <v>0.11581696377881223</v>
      </c>
      <c r="AT172" s="67">
        <f>+AT54</f>
        <v>5.9958029379434397E-2</v>
      </c>
      <c r="AU172" s="67">
        <f>+AU54</f>
        <v>0.14012875536480696</v>
      </c>
      <c r="AV172" s="67">
        <f>+AV54</f>
        <v>0.1143731476302241</v>
      </c>
      <c r="AW172" s="67">
        <f>+AW54</f>
        <v>7.0723516841355361E-2</v>
      </c>
      <c r="AX172" s="67">
        <f>+AX54</f>
        <v>7.8438766852078734E-2</v>
      </c>
      <c r="AY172" s="67">
        <f>+AY54</f>
        <v>0.1133069828722002</v>
      </c>
      <c r="AZ172" s="67">
        <f>+AZ54</f>
        <v>5.7431473015591372E-2</v>
      </c>
      <c r="BA172" s="67">
        <f>+BA54</f>
        <v>0.13514540961794341</v>
      </c>
      <c r="BB172" s="67">
        <f>+BB54</f>
        <v>0.21707282830915875</v>
      </c>
      <c r="BC172" s="67">
        <f>+BC54</f>
        <v>0.18350934093259519</v>
      </c>
      <c r="BD172" s="67">
        <f>+BD54</f>
        <v>0.29395335013238943</v>
      </c>
      <c r="BE172" s="67">
        <f>+BE54</f>
        <v>0.10969463527484846</v>
      </c>
      <c r="BF172" s="67">
        <f>+BF54</f>
        <v>-3.8385373704647008E-2</v>
      </c>
      <c r="BG172" s="67">
        <f>+BG54</f>
        <v>3.1983528166855235E-2</v>
      </c>
      <c r="BH172" s="67">
        <f>+BH54</f>
        <v>0.10287617985529396</v>
      </c>
      <c r="BI172" s="67">
        <f>+BI54</f>
        <v>9.025032766293517E-3</v>
      </c>
      <c r="BJ172" s="333"/>
      <c r="BK172" s="333"/>
      <c r="BL172" s="67"/>
      <c r="BM172" s="67"/>
    </row>
    <row r="173" spans="2:65" s="28" customFormat="1" ht="13.5" customHeight="1">
      <c r="B173" s="22" t="s">
        <v>298</v>
      </c>
      <c r="C173" s="67">
        <f>C171/C167</f>
        <v>0.18799983706499748</v>
      </c>
      <c r="D173" s="67">
        <f>D171/D167</f>
        <v>0.19551063271199789</v>
      </c>
      <c r="E173" s="67">
        <f>E171/E167</f>
        <v>0.18335790409525202</v>
      </c>
      <c r="F173" s="67">
        <f>F171/F167</f>
        <v>0.19405839813674777</v>
      </c>
      <c r="G173" s="67">
        <f>G171/G167</f>
        <v>0.19803726671458113</v>
      </c>
      <c r="H173" s="67">
        <f>H171/H167</f>
        <v>0.19444636240155302</v>
      </c>
      <c r="I173" s="67">
        <f>I171/I167</f>
        <v>0.19101919860100128</v>
      </c>
      <c r="J173" s="67">
        <f>J171/J167</f>
        <v>0.2033899545288502</v>
      </c>
      <c r="K173" s="67">
        <f>K171/K167</f>
        <v>0.19942757212723503</v>
      </c>
      <c r="L173" s="67">
        <f>L171/L167</f>
        <v>0.18964782154406437</v>
      </c>
      <c r="M173" s="67">
        <f>M171/M167</f>
        <v>0.18939150407645519</v>
      </c>
      <c r="N173" s="67">
        <f>N171/N167</f>
        <v>0.20088129225424628</v>
      </c>
      <c r="O173" s="67">
        <f>O171/O167</f>
        <v>0.20260669512184312</v>
      </c>
      <c r="P173" s="67">
        <f>P171/P167</f>
        <v>0.20248327778923017</v>
      </c>
      <c r="Q173" s="333"/>
      <c r="R173" s="67"/>
      <c r="S173" s="67"/>
      <c r="T173" s="97"/>
      <c r="U173" s="67">
        <f>U171/U167</f>
        <v>0.18210203707926406</v>
      </c>
      <c r="V173" s="67">
        <f>V171/V167</f>
        <v>0.19962778331238945</v>
      </c>
      <c r="W173" s="67">
        <f>W171/W167</f>
        <v>0.18464510873415035</v>
      </c>
      <c r="X173" s="67">
        <f>X171/X167</f>
        <v>0.17208237127142362</v>
      </c>
      <c r="Y173" s="67">
        <f>Y171/Y167</f>
        <v>0.17376256757796105</v>
      </c>
      <c r="Z173" s="67">
        <f>Z171/Z167</f>
        <v>0.18351105288519151</v>
      </c>
      <c r="AA173" s="67">
        <f>AA171/AA167</f>
        <v>0.18096017259891015</v>
      </c>
      <c r="AB173" s="67">
        <f>AB171/AB167</f>
        <v>0.23593409026039233</v>
      </c>
      <c r="AC173" s="67">
        <f>AC171/AC167</f>
        <v>0.17512521875565748</v>
      </c>
      <c r="AD173" s="67">
        <f>AD171/AD167</f>
        <v>0.18261152208218775</v>
      </c>
      <c r="AE173" s="67">
        <f>AE171/AE167</f>
        <v>0.19234074613033875</v>
      </c>
      <c r="AF173" s="67">
        <f>AF171/AF167</f>
        <v>0.24032915340853531</v>
      </c>
      <c r="AG173" s="67">
        <f>AG171/AG167</f>
        <v>0.18467026692386226</v>
      </c>
      <c r="AH173" s="67">
        <f>AH171/AH167</f>
        <v>0.19133669485089905</v>
      </c>
      <c r="AI173" s="67">
        <f>AI171/AI167</f>
        <v>0.20676626376321056</v>
      </c>
      <c r="AJ173" s="67">
        <f>AJ171/AJ167</f>
        <v>0.18154290872345383</v>
      </c>
      <c r="AK173" s="67">
        <f>AK171/AK167</f>
        <v>0.20037023226387302</v>
      </c>
      <c r="AL173" s="67">
        <f>AL171/AL167</f>
        <v>0.19085981385182454</v>
      </c>
      <c r="AM173" s="67">
        <f>AM171/AM167</f>
        <v>0.21558175336604055</v>
      </c>
      <c r="AN173" s="67">
        <f>AN171/AN167</f>
        <v>0.20560245355196158</v>
      </c>
      <c r="AO173" s="67">
        <f>AO171/AO167</f>
        <v>0.1970669010123437</v>
      </c>
      <c r="AP173" s="67">
        <f>AP171/AP167</f>
        <v>0.20941122552026251</v>
      </c>
      <c r="AQ173" s="67">
        <f>AQ171/AQ167</f>
        <v>0.19289837336931343</v>
      </c>
      <c r="AR173" s="67">
        <f>AR171/AR167</f>
        <v>0.19838950631284741</v>
      </c>
      <c r="AS173" s="67">
        <f>AS171/AS167</f>
        <v>0.19195233909561479</v>
      </c>
      <c r="AT173" s="67">
        <f>AT171/AT167</f>
        <v>0.18507920251508453</v>
      </c>
      <c r="AU173" s="67">
        <f>AU171/AU167</f>
        <v>0.18611579879513962</v>
      </c>
      <c r="AV173" s="67">
        <f>AV171/AV167</f>
        <v>0.19529877135406543</v>
      </c>
      <c r="AW173" s="67">
        <f>AW171/AW167</f>
        <v>0.18344625744703411</v>
      </c>
      <c r="AX173" s="67">
        <f>AX171/AX167</f>
        <v>0.18621683506124645</v>
      </c>
      <c r="AY173" s="67">
        <f>AY171/AY167</f>
        <v>0.18821691816742087</v>
      </c>
      <c r="AZ173" s="67">
        <f>AZ171/AZ167</f>
        <v>0.19900305013297553</v>
      </c>
      <c r="BA173" s="67">
        <f>BA171/BA167</f>
        <v>0.18720238444895571</v>
      </c>
      <c r="BB173" s="67">
        <f>BB171/BB167</f>
        <v>0.20044539773380965</v>
      </c>
      <c r="BC173" s="67">
        <f>BC171/BC167</f>
        <v>0.20115905026903891</v>
      </c>
      <c r="BD173" s="67">
        <f>BD171/BD167</f>
        <v>0.21236773247680807</v>
      </c>
      <c r="BE173" s="67">
        <f>BE171/BE167</f>
        <v>0.18892245021819473</v>
      </c>
      <c r="BF173" s="67">
        <f>BF171/BF167</f>
        <v>0.18360275855270802</v>
      </c>
      <c r="BG173" s="67">
        <f>BG171/BG167</f>
        <v>0.20100121154672743</v>
      </c>
      <c r="BH173" s="67">
        <f>BH171/BH167</f>
        <v>0.23465774963534969</v>
      </c>
      <c r="BI173" s="67">
        <f>BI171/BI167</f>
        <v>0.18856173594220887</v>
      </c>
      <c r="BJ173" s="333"/>
      <c r="BK173" s="333"/>
      <c r="BL173" s="67"/>
      <c r="BM173" s="67"/>
    </row>
    <row r="174" spans="2:65" ht="13.5" customHeight="1"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112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  <c r="BK174" s="53"/>
      <c r="BL174" s="53"/>
      <c r="BM174" s="53"/>
    </row>
    <row r="175" spans="2:65" s="5" customFormat="1" ht="13.5" customHeight="1">
      <c r="B175" s="5" t="s">
        <v>307</v>
      </c>
      <c r="C175" s="141">
        <f>C63</f>
        <v>27692</v>
      </c>
      <c r="D175" s="141">
        <f>D63</f>
        <v>29788</v>
      </c>
      <c r="E175" s="141">
        <f>E63</f>
        <v>32586</v>
      </c>
      <c r="F175" s="141">
        <f>F63</f>
        <v>39545.22600000001</v>
      </c>
      <c r="G175" s="141">
        <f>G63</f>
        <v>36291.546999200269</v>
      </c>
      <c r="H175" s="141">
        <f>H63</f>
        <v>35455.739258992398</v>
      </c>
      <c r="I175" s="141">
        <f>I63</f>
        <v>37147.694571135318</v>
      </c>
      <c r="J175" s="141">
        <f>J63</f>
        <v>37345.368715724821</v>
      </c>
      <c r="K175" s="141">
        <f>K63</f>
        <v>38849.214195252353</v>
      </c>
      <c r="L175" s="141">
        <f>L63</f>
        <v>43000.806826074178</v>
      </c>
      <c r="M175" s="141">
        <f>M63</f>
        <v>46417.584951090248</v>
      </c>
      <c r="N175" s="141">
        <f>N63</f>
        <v>56205.223484455506</v>
      </c>
      <c r="O175" s="141">
        <f>O63</f>
        <v>59109.622848391198</v>
      </c>
      <c r="P175" s="141">
        <f>P63</f>
        <v>59229.242372013563</v>
      </c>
      <c r="Q175" s="136"/>
      <c r="R175" s="141"/>
      <c r="S175" s="141"/>
      <c r="T175" s="214"/>
      <c r="U175" s="141">
        <f>U63</f>
        <v>6755.3830000000016</v>
      </c>
      <c r="V175" s="141">
        <f>V63</f>
        <v>7972.8469999999979</v>
      </c>
      <c r="W175" s="141">
        <f>W63</f>
        <v>7819.9050000000016</v>
      </c>
      <c r="X175" s="141">
        <f>X63</f>
        <v>10037.865000000009</v>
      </c>
      <c r="Y175" s="141">
        <f>Y63</f>
        <v>8923.9849999999969</v>
      </c>
      <c r="Z175" s="141">
        <f>Z63</f>
        <v>9195.2809999999972</v>
      </c>
      <c r="AA175" s="141">
        <f>AA63</f>
        <v>8932.737000000001</v>
      </c>
      <c r="AB175" s="141">
        <f>AB63</f>
        <v>12493.223000000002</v>
      </c>
      <c r="AC175" s="141">
        <f>AC63</f>
        <v>8706</v>
      </c>
      <c r="AD175" s="141">
        <f>AD63</f>
        <v>9511.5010000000002</v>
      </c>
      <c r="AE175" s="141">
        <f>AE63</f>
        <v>8491.4790712590475</v>
      </c>
      <c r="AF175" s="141">
        <f>AF63</f>
        <v>8746.7591877333434</v>
      </c>
      <c r="AG175" s="141">
        <f>AG63</f>
        <v>8540.5817517443138</v>
      </c>
      <c r="AH175" s="141">
        <f>AH63</f>
        <v>9180.0142846011258</v>
      </c>
      <c r="AI175" s="141">
        <f>AI63</f>
        <v>10069.217677320521</v>
      </c>
      <c r="AJ175" s="141">
        <f>AJ63</f>
        <v>9357.8808574693612</v>
      </c>
      <c r="AK175" s="141">
        <f>AK63</f>
        <v>9086.4272268687637</v>
      </c>
      <c r="AL175" s="141">
        <f>AL63</f>
        <v>8221.2206353997317</v>
      </c>
      <c r="AM175" s="141">
        <f>AM63</f>
        <v>10075</v>
      </c>
      <c r="AN175" s="141">
        <f>AN63</f>
        <v>9963.034840736691</v>
      </c>
      <c r="AO175" s="141">
        <f>AO63</f>
        <v>8807</v>
      </c>
      <c r="AP175" s="141">
        <f>AP63</f>
        <v>18814</v>
      </c>
      <c r="AQ175" s="141">
        <f>AQ63</f>
        <v>9320</v>
      </c>
      <c r="AR175" s="141">
        <f>AR63</f>
        <v>10715.267907762282</v>
      </c>
      <c r="AS175" s="141">
        <f>AS63</f>
        <v>9827</v>
      </c>
      <c r="AT175" s="141">
        <f>AT63</f>
        <v>10607</v>
      </c>
      <c r="AU175" s="141">
        <f>AU63</f>
        <v>10626</v>
      </c>
      <c r="AV175" s="141">
        <f>AV63</f>
        <v>11940.806826074178</v>
      </c>
      <c r="AW175" s="141">
        <f>AW63</f>
        <v>10522</v>
      </c>
      <c r="AX175" s="141">
        <f>AX63</f>
        <v>11439</v>
      </c>
      <c r="AY175" s="141">
        <f>AY63</f>
        <v>11830</v>
      </c>
      <c r="AZ175" s="141">
        <f>AZ63</f>
        <v>12626.584951090248</v>
      </c>
      <c r="BA175" s="141">
        <f>BA63</f>
        <v>11944</v>
      </c>
      <c r="BB175" s="141">
        <f>BB63</f>
        <v>13922.096083028468</v>
      </c>
      <c r="BC175" s="141">
        <f>BC63</f>
        <v>14000.9155032326</v>
      </c>
      <c r="BD175" s="141">
        <f>BD63</f>
        <v>16338.211898194439</v>
      </c>
      <c r="BE175" s="141">
        <f>BE63</f>
        <v>13254.19272372279</v>
      </c>
      <c r="BF175" s="141">
        <f>BF63</f>
        <v>13387.691222129417</v>
      </c>
      <c r="BG175" s="141">
        <f>BG63</f>
        <v>14448.714178591999</v>
      </c>
      <c r="BH175" s="141">
        <f>BH63</f>
        <v>18019.024723946994</v>
      </c>
      <c r="BI175" s="141">
        <f>BI63</f>
        <v>13373.812247345157</v>
      </c>
      <c r="BJ175" s="136"/>
      <c r="BK175" s="136"/>
      <c r="BL175" s="141"/>
      <c r="BM175" s="141"/>
    </row>
    <row r="176" spans="2:65" ht="13.5" customHeight="1">
      <c r="B176" s="1" t="s">
        <v>308</v>
      </c>
      <c r="C176" s="147">
        <f>C64</f>
        <v>3613</v>
      </c>
      <c r="D176" s="147">
        <f>D64</f>
        <v>535</v>
      </c>
      <c r="E176" s="147">
        <f>E64</f>
        <v>3449.1790000000001</v>
      </c>
      <c r="F176" s="147">
        <f>F64</f>
        <v>-842.25399999999991</v>
      </c>
      <c r="G176" s="147">
        <f>G64</f>
        <v>-2392.9839999999999</v>
      </c>
      <c r="H176" s="147">
        <f>H64</f>
        <v>-1817.5509999999999</v>
      </c>
      <c r="I176" s="147">
        <f>I64</f>
        <v>1919.7330000000004</v>
      </c>
      <c r="J176" s="147">
        <f>J64</f>
        <v>1491</v>
      </c>
      <c r="K176" s="147">
        <f>K64</f>
        <v>-1277</v>
      </c>
      <c r="L176" s="147">
        <f>L64</f>
        <v>-1600</v>
      </c>
      <c r="M176" s="147">
        <f>M64</f>
        <v>1882.5420000000001</v>
      </c>
      <c r="N176" s="147">
        <f>N64</f>
        <v>-3631.5709999999999</v>
      </c>
      <c r="O176" s="147">
        <f>O64</f>
        <v>-14742.186</v>
      </c>
      <c r="P176" s="147">
        <f>P64</f>
        <v>-8346.1660000000011</v>
      </c>
      <c r="Q176" s="134"/>
      <c r="R176" s="147"/>
      <c r="S176" s="147"/>
      <c r="T176" s="216"/>
      <c r="U176" s="147">
        <f>U64</f>
        <v>-854.33199999999999</v>
      </c>
      <c r="V176" s="147">
        <f>V64</f>
        <v>-340.68699999999978</v>
      </c>
      <c r="W176" s="147">
        <f>W64</f>
        <v>2410.7559999999989</v>
      </c>
      <c r="X176" s="147">
        <f>X64</f>
        <v>2233.4420000000009</v>
      </c>
      <c r="Y176" s="147">
        <f>Y64</f>
        <v>-519.93199999999956</v>
      </c>
      <c r="Z176" s="147">
        <f>Z64</f>
        <v>2369.4079999999994</v>
      </c>
      <c r="AA176" s="147">
        <f>AA64</f>
        <v>1557.5840000000005</v>
      </c>
      <c r="AB176" s="147">
        <f>AB64</f>
        <v>-4249.3140000000003</v>
      </c>
      <c r="AC176" s="147">
        <f>AC64</f>
        <v>-1582.78</v>
      </c>
      <c r="AD176" s="147">
        <f>AD64</f>
        <v>183.26900000000001</v>
      </c>
      <c r="AE176" s="147">
        <f>AE64</f>
        <v>1281.3649999999998</v>
      </c>
      <c r="AF176" s="147">
        <f>AF64</f>
        <v>-1699.4049999999995</v>
      </c>
      <c r="AG176" s="147">
        <f>AG64</f>
        <v>929.69399999999973</v>
      </c>
      <c r="AH176" s="147">
        <f>AH64</f>
        <v>830.07599999999979</v>
      </c>
      <c r="AI176" s="147">
        <f>AI64</f>
        <v>2930.2429999999995</v>
      </c>
      <c r="AJ176" s="147">
        <f>AJ64</f>
        <v>-2770.2799999999988</v>
      </c>
      <c r="AK176" s="147">
        <f>AK64</f>
        <v>1331.5060000000001</v>
      </c>
      <c r="AL176" s="147">
        <f>AL64</f>
        <v>2775.7919999999995</v>
      </c>
      <c r="AM176" s="271"/>
      <c r="AN176" s="271"/>
      <c r="AO176" s="271"/>
      <c r="AP176" s="147">
        <f>AP64</f>
        <v>4075.2939999999999</v>
      </c>
      <c r="AQ176" s="271"/>
      <c r="AR176" s="271"/>
      <c r="AS176" s="147">
        <f>AS64</f>
        <v>676.70700000000022</v>
      </c>
      <c r="AT176" s="147">
        <f>AT64</f>
        <v>769.23299999999983</v>
      </c>
      <c r="AU176" s="147">
        <f>AU64</f>
        <v>-2937.9780000000001</v>
      </c>
      <c r="AV176" s="147">
        <f>AV64</f>
        <v>-107.96199999999999</v>
      </c>
      <c r="AW176" s="147">
        <f>AW64</f>
        <v>-458.30100000000016</v>
      </c>
      <c r="AX176" s="147">
        <f>AX64</f>
        <v>343.43299999999999</v>
      </c>
      <c r="AY176" s="147">
        <f>AY64</f>
        <v>3297.6050000000005</v>
      </c>
      <c r="AZ176" s="147">
        <f>AZ64</f>
        <v>-1300.1949999999999</v>
      </c>
      <c r="BA176" s="147">
        <f>BA64</f>
        <v>-614.19799999999998</v>
      </c>
      <c r="BB176" s="147">
        <f>BB64</f>
        <v>1364.6330000000003</v>
      </c>
      <c r="BC176" s="147">
        <f>BC64</f>
        <v>818.71899999999994</v>
      </c>
      <c r="BD176" s="147">
        <f>BD64</f>
        <v>-5200.7250000000004</v>
      </c>
      <c r="BE176" s="147">
        <f>BE64</f>
        <v>-4868.8829999999998</v>
      </c>
      <c r="BF176" s="147">
        <f>BF64</f>
        <v>-2443.1140000000005</v>
      </c>
      <c r="BG176" s="147">
        <f>BG64</f>
        <v>484.05700000000161</v>
      </c>
      <c r="BH176" s="147">
        <f>BH64</f>
        <v>-7914.246000000001</v>
      </c>
      <c r="BI176" s="147">
        <f>BI64</f>
        <v>1527.1369999999997</v>
      </c>
      <c r="BJ176" s="134"/>
      <c r="BK176" s="134"/>
      <c r="BL176" s="147"/>
      <c r="BM176" s="147"/>
    </row>
    <row r="177" spans="2:65" ht="13.5" customHeight="1">
      <c r="B177" s="1" t="s">
        <v>309</v>
      </c>
      <c r="C177" s="147">
        <f>C65</f>
        <v>-4471</v>
      </c>
      <c r="D177" s="147">
        <f>D65</f>
        <v>-5919</v>
      </c>
      <c r="E177" s="147">
        <f>E65</f>
        <v>-2771</v>
      </c>
      <c r="F177" s="147">
        <f>F65</f>
        <v>-5385.4210000000003</v>
      </c>
      <c r="G177" s="147">
        <f>G65</f>
        <v>-5254.4579999999996</v>
      </c>
      <c r="H177" s="147">
        <f>H65</f>
        <v>-6182.3720000000003</v>
      </c>
      <c r="I177" s="147">
        <f>I65</f>
        <v>-4805.3789999999999</v>
      </c>
      <c r="J177" s="147">
        <f>J65</f>
        <v>-1828</v>
      </c>
      <c r="K177" s="147">
        <f>K65</f>
        <v>-3663</v>
      </c>
      <c r="L177" s="147">
        <f>L65</f>
        <v>-5257</v>
      </c>
      <c r="M177" s="147">
        <f>M65</f>
        <v>-5299.5510000000004</v>
      </c>
      <c r="N177" s="147">
        <f>N65</f>
        <v>-9671.777</v>
      </c>
      <c r="O177" s="147">
        <f>O65</f>
        <v>-12604.937</v>
      </c>
      <c r="P177" s="147">
        <f>P65</f>
        <v>-11400.560000000001</v>
      </c>
      <c r="Q177" s="134"/>
      <c r="R177" s="147"/>
      <c r="S177" s="147"/>
      <c r="T177" s="216"/>
      <c r="U177" s="147">
        <f>U65</f>
        <v>547.43799999999999</v>
      </c>
      <c r="V177" s="147">
        <f>V65</f>
        <v>649.04699999999991</v>
      </c>
      <c r="W177" s="147">
        <f>W65</f>
        <v>225.81000000000017</v>
      </c>
      <c r="X177" s="147">
        <f>X65</f>
        <v>-4193.2950000000001</v>
      </c>
      <c r="Y177" s="147">
        <f>Y65</f>
        <v>2596.4639999999999</v>
      </c>
      <c r="Z177" s="147">
        <f>Z65</f>
        <v>1589.1400000000003</v>
      </c>
      <c r="AA177" s="147">
        <f>AA65</f>
        <v>1455.1639999999998</v>
      </c>
      <c r="AB177" s="147">
        <f>AB65</f>
        <v>-11026.189</v>
      </c>
      <c r="AC177" s="147">
        <f>AC65</f>
        <v>-2169.9450000000002</v>
      </c>
      <c r="AD177" s="147">
        <f>AD65</f>
        <v>-1243.337</v>
      </c>
      <c r="AE177" s="147">
        <f>AE65</f>
        <v>-2649.4989999999993</v>
      </c>
      <c r="AF177" s="147">
        <f>AF65</f>
        <v>-119.5910000000008</v>
      </c>
      <c r="AG177" s="147">
        <f>AG65</f>
        <v>-2025.6559999999999</v>
      </c>
      <c r="AH177" s="147">
        <f>AH65</f>
        <v>-1278.7910000000002</v>
      </c>
      <c r="AI177" s="147">
        <f>AI65</f>
        <v>-843.98300000000017</v>
      </c>
      <c r="AJ177" s="147">
        <f>AJ65</f>
        <v>-656.94899999999961</v>
      </c>
      <c r="AK177" s="147">
        <f>AK65</f>
        <v>-2355.788</v>
      </c>
      <c r="AL177" s="147">
        <f>AL65</f>
        <v>-233.63499999999976</v>
      </c>
      <c r="AM177" s="271"/>
      <c r="AN177" s="271"/>
      <c r="AO177" s="271"/>
      <c r="AP177" s="147">
        <f>AP65</f>
        <v>-3719.7510000000002</v>
      </c>
      <c r="AQ177" s="271"/>
      <c r="AR177" s="271"/>
      <c r="AS177" s="147">
        <f>AS65</f>
        <v>-1553.2360000000001</v>
      </c>
      <c r="AT177" s="147">
        <f>AT65</f>
        <v>-1233.521</v>
      </c>
      <c r="AU177" s="147">
        <f>AU65</f>
        <v>-1602.1670000000001</v>
      </c>
      <c r="AV177" s="147">
        <f>AV65</f>
        <v>-868.07600000000002</v>
      </c>
      <c r="AW177" s="147">
        <f>AW65</f>
        <v>-1266.1980000000001</v>
      </c>
      <c r="AX177" s="147">
        <f>AX65</f>
        <v>-1525.6649999999997</v>
      </c>
      <c r="AY177" s="147">
        <f>AY65</f>
        <v>-795.2940000000001</v>
      </c>
      <c r="AZ177" s="147">
        <f>AZ65</f>
        <v>-1712.3940000000002</v>
      </c>
      <c r="BA177" s="147">
        <f>BA65</f>
        <v>-1711.307</v>
      </c>
      <c r="BB177" s="147">
        <f>BB65</f>
        <v>-3824.0120000000006</v>
      </c>
      <c r="BC177" s="147">
        <f>BC65</f>
        <v>-1851.5489999999998</v>
      </c>
      <c r="BD177" s="147">
        <f>BD65</f>
        <v>-2284.9089999999997</v>
      </c>
      <c r="BE177" s="147">
        <f>BE65</f>
        <v>-4269.4489999999996</v>
      </c>
      <c r="BF177" s="147">
        <f>BF65</f>
        <v>-2994.0550000000003</v>
      </c>
      <c r="BG177" s="147">
        <f>BG65</f>
        <v>-2372.6940000000004</v>
      </c>
      <c r="BH177" s="147">
        <f>BH65</f>
        <v>-2968.7389999999996</v>
      </c>
      <c r="BI177" s="147">
        <f>BI65</f>
        <v>-3065.0720000000001</v>
      </c>
      <c r="BJ177" s="134"/>
      <c r="BK177" s="134"/>
      <c r="BL177" s="147"/>
      <c r="BM177" s="147"/>
    </row>
    <row r="178" spans="2:65" ht="13.5" customHeight="1">
      <c r="B178" s="1" t="s">
        <v>310</v>
      </c>
      <c r="C178" s="147">
        <f>C66</f>
        <v>-3182</v>
      </c>
      <c r="D178" s="147">
        <f>D66</f>
        <v>-3568</v>
      </c>
      <c r="E178" s="147">
        <f>E66</f>
        <v>-4122</v>
      </c>
      <c r="F178" s="147">
        <f>F66</f>
        <v>-4589.1989999999996</v>
      </c>
      <c r="G178" s="147">
        <f>G66</f>
        <v>-4557.6040000000003</v>
      </c>
      <c r="H178" s="147">
        <f>H66</f>
        <v>-4984.0569999999998</v>
      </c>
      <c r="I178" s="147">
        <f>I66</f>
        <v>-4810.6379999999999</v>
      </c>
      <c r="J178" s="147">
        <f>J66</f>
        <v>-6207</v>
      </c>
      <c r="K178" s="147">
        <f>K66</f>
        <v>-4747</v>
      </c>
      <c r="L178" s="147">
        <f>L66</f>
        <v>-4863</v>
      </c>
      <c r="M178" s="147">
        <f>M66</f>
        <v>-4815.4049999999997</v>
      </c>
      <c r="N178" s="147">
        <f>N66</f>
        <v>-5008.7759999999998</v>
      </c>
      <c r="O178" s="147">
        <f>O66</f>
        <v>-5379.6679999999997</v>
      </c>
      <c r="P178" s="147">
        <f>P66</f>
        <v>-5298.5219999999999</v>
      </c>
      <c r="Q178" s="134"/>
      <c r="R178" s="147"/>
      <c r="S178" s="147"/>
      <c r="T178" s="216"/>
      <c r="U178" s="147">
        <f>U66</f>
        <v>-480.92200000000003</v>
      </c>
      <c r="V178" s="147">
        <f>V66</f>
        <v>-1440.8899999999999</v>
      </c>
      <c r="W178" s="147">
        <f>W66</f>
        <v>-565.70100000000002</v>
      </c>
      <c r="X178" s="147">
        <f>X66</f>
        <v>-1634.4870000000001</v>
      </c>
      <c r="Y178" s="147">
        <f>Y66</f>
        <v>-1157.394</v>
      </c>
      <c r="Z178" s="147">
        <f>Z66</f>
        <v>-1010.7859999999998</v>
      </c>
      <c r="AA178" s="147">
        <f>AA66</f>
        <v>-614.63800000000037</v>
      </c>
      <c r="AB178" s="147">
        <f>AB66</f>
        <v>-1806.3809999999996</v>
      </c>
      <c r="AC178" s="147">
        <f>AC66</f>
        <v>-550.27700000000004</v>
      </c>
      <c r="AD178" s="147">
        <f>AD66</f>
        <v>-1811.5700000000002</v>
      </c>
      <c r="AE178" s="147">
        <f>AE66</f>
        <v>-649.73299999999972</v>
      </c>
      <c r="AF178" s="147">
        <f>AF66</f>
        <v>-1972.4770000000003</v>
      </c>
      <c r="AG178" s="147">
        <f>AG66</f>
        <v>-616.65300000000002</v>
      </c>
      <c r="AH178" s="147">
        <f>AH66</f>
        <v>-1703.6310000000001</v>
      </c>
      <c r="AI178" s="147">
        <f>AI66</f>
        <v>-666.71499999999969</v>
      </c>
      <c r="AJ178" s="147">
        <f>AJ66</f>
        <v>-1823.6390000000004</v>
      </c>
      <c r="AK178" s="147">
        <f>AK66</f>
        <v>-2116.42</v>
      </c>
      <c r="AL178" s="147">
        <f>AL66</f>
        <v>-1544.962</v>
      </c>
      <c r="AM178" s="271"/>
      <c r="AN178" s="271"/>
      <c r="AO178" s="271"/>
      <c r="AP178" s="147">
        <f>AP66</f>
        <v>-2367.2840000000001</v>
      </c>
      <c r="AQ178" s="271"/>
      <c r="AR178" s="271"/>
      <c r="AS178" s="147">
        <f>AS66</f>
        <v>-1644.6320000000001</v>
      </c>
      <c r="AT178" s="147">
        <f>AT66</f>
        <v>-1694.877</v>
      </c>
      <c r="AU178" s="147">
        <f>AU66</f>
        <v>-1349.4210000000003</v>
      </c>
      <c r="AV178" s="147">
        <f>AV66</f>
        <v>-174.06999999999971</v>
      </c>
      <c r="AW178" s="147">
        <f>AW66</f>
        <v>-1912.825</v>
      </c>
      <c r="AX178" s="147">
        <f>AX66</f>
        <v>-1765.1890000000001</v>
      </c>
      <c r="AY178" s="147">
        <f>AY66</f>
        <v>-1703.5529999999997</v>
      </c>
      <c r="AZ178" s="147">
        <f>AZ66</f>
        <v>566.16200000000026</v>
      </c>
      <c r="BA178" s="147">
        <f>BA66</f>
        <v>-1155.4100000000001</v>
      </c>
      <c r="BB178" s="147">
        <f>BB66</f>
        <v>-1260.5029999999999</v>
      </c>
      <c r="BC178" s="147">
        <f>BC66</f>
        <v>-1267.6879999999999</v>
      </c>
      <c r="BD178" s="147">
        <f>BD66</f>
        <v>-1325.1750000000002</v>
      </c>
      <c r="BE178" s="147">
        <f>BE66</f>
        <v>-1312.1020000000001</v>
      </c>
      <c r="BF178" s="147">
        <f>BF66</f>
        <v>-1343.9129999999998</v>
      </c>
      <c r="BG178" s="147">
        <f>BG66</f>
        <v>-1155.4170000000001</v>
      </c>
      <c r="BH178" s="147">
        <f>BH66</f>
        <v>-1568.2359999999999</v>
      </c>
      <c r="BI178" s="147">
        <f>BI66</f>
        <v>-1230.9559999999999</v>
      </c>
      <c r="BJ178" s="134"/>
      <c r="BK178" s="134"/>
      <c r="BL178" s="147"/>
      <c r="BM178" s="147"/>
    </row>
    <row r="179" spans="2:65" ht="13.5" customHeight="1">
      <c r="B179" s="1" t="s">
        <v>311</v>
      </c>
      <c r="C179" s="147">
        <f>C67</f>
        <v>379</v>
      </c>
      <c r="D179" s="147">
        <f>D67</f>
        <v>414</v>
      </c>
      <c r="E179" s="147">
        <f>E67</f>
        <v>715</v>
      </c>
      <c r="F179" s="147">
        <f>F67</f>
        <v>886.68499999999995</v>
      </c>
      <c r="G179" s="147">
        <f>G67</f>
        <v>887.79700000000003</v>
      </c>
      <c r="H179" s="147">
        <f>H67</f>
        <v>1002.67</v>
      </c>
      <c r="I179" s="147">
        <f>I67</f>
        <v>1228.076</v>
      </c>
      <c r="J179" s="147">
        <f>J67</f>
        <v>1047</v>
      </c>
      <c r="K179" s="147">
        <f>K67</f>
        <v>932</v>
      </c>
      <c r="L179" s="147">
        <f>L67</f>
        <v>2411</v>
      </c>
      <c r="M179" s="147">
        <f>M67</f>
        <v>3187.79</v>
      </c>
      <c r="N179" s="147">
        <f>N67</f>
        <v>3039.4259999999999</v>
      </c>
      <c r="O179" s="147">
        <f>O67</f>
        <v>2369.4479999999999</v>
      </c>
      <c r="P179" s="147">
        <f>P67</f>
        <v>2293.6839999999997</v>
      </c>
      <c r="Q179" s="134"/>
      <c r="R179" s="147"/>
      <c r="S179" s="147"/>
      <c r="T179" s="216"/>
      <c r="U179" s="147">
        <f>U67</f>
        <v>117.65900000000001</v>
      </c>
      <c r="V179" s="147">
        <f>V67</f>
        <v>140.26800000000003</v>
      </c>
      <c r="W179" s="147">
        <f>W67</f>
        <v>172.09999999999997</v>
      </c>
      <c r="X179" s="147">
        <f>X67</f>
        <v>284.97300000000007</v>
      </c>
      <c r="Y179" s="147">
        <f>Y67</f>
        <v>184.857</v>
      </c>
      <c r="Z179" s="147">
        <f>Z67</f>
        <v>177.26200000000003</v>
      </c>
      <c r="AA179" s="147">
        <f>AA67</f>
        <v>278.721</v>
      </c>
      <c r="AB179" s="147">
        <f>AB67</f>
        <v>245.84499999999989</v>
      </c>
      <c r="AC179" s="147">
        <f>AC67</f>
        <v>198.30099999999999</v>
      </c>
      <c r="AD179" s="147">
        <f>AD67</f>
        <v>307.96800000000002</v>
      </c>
      <c r="AE179" s="147">
        <f>AE67</f>
        <v>194.98000000000002</v>
      </c>
      <c r="AF179" s="147">
        <f>AF67</f>
        <v>301.42099999999994</v>
      </c>
      <c r="AG179" s="147">
        <f>AG67</f>
        <v>248.81200000000001</v>
      </c>
      <c r="AH179" s="147">
        <f>AH67</f>
        <v>301.68999999999994</v>
      </c>
      <c r="AI179" s="147">
        <f>AI67</f>
        <v>355.71900000000005</v>
      </c>
      <c r="AJ179" s="147">
        <f>AJ67</f>
        <v>321.85500000000002</v>
      </c>
      <c r="AK179" s="147">
        <f>AK67</f>
        <v>287.77499999999998</v>
      </c>
      <c r="AL179" s="147">
        <f>AL67</f>
        <v>267.76300000000003</v>
      </c>
      <c r="AM179" s="271"/>
      <c r="AN179" s="271"/>
      <c r="AO179" s="271"/>
      <c r="AP179" s="147">
        <f>AP67</f>
        <v>356.363</v>
      </c>
      <c r="AQ179" s="271"/>
      <c r="AR179" s="271"/>
      <c r="AS179" s="147">
        <f>AS67</f>
        <v>404.83100000000002</v>
      </c>
      <c r="AT179" s="147">
        <f>AT67</f>
        <v>542.99699999999996</v>
      </c>
      <c r="AU179" s="147">
        <f>AU67</f>
        <v>657.67700000000025</v>
      </c>
      <c r="AV179" s="147">
        <f>AV67</f>
        <v>805.49499999999989</v>
      </c>
      <c r="AW179" s="147">
        <f>AW67</f>
        <v>1041.7729999999999</v>
      </c>
      <c r="AX179" s="147">
        <f>AX67</f>
        <v>824.03100000000018</v>
      </c>
      <c r="AY179" s="147">
        <f>AY67</f>
        <v>712.04399999999987</v>
      </c>
      <c r="AZ179" s="147">
        <f>AZ67</f>
        <v>609.94200000000001</v>
      </c>
      <c r="BA179" s="147">
        <f>BA67</f>
        <v>622.64099999999996</v>
      </c>
      <c r="BB179" s="147">
        <f>BB67</f>
        <v>684.74200000000008</v>
      </c>
      <c r="BC179" s="147">
        <f>BC67</f>
        <v>857.92199999999968</v>
      </c>
      <c r="BD179" s="147">
        <f>BD67</f>
        <v>874.12100000000009</v>
      </c>
      <c r="BE179" s="147">
        <f>BE67</f>
        <v>590.27300000000002</v>
      </c>
      <c r="BF179" s="147">
        <f>BF67</f>
        <v>623.86</v>
      </c>
      <c r="BG179" s="147">
        <f>BG67</f>
        <v>615.75499999999977</v>
      </c>
      <c r="BH179" s="147">
        <f>BH67</f>
        <v>539.55999999999995</v>
      </c>
      <c r="BI179" s="147">
        <f>BI67</f>
        <v>514.50900000000001</v>
      </c>
      <c r="BJ179" s="134"/>
      <c r="BK179" s="134"/>
      <c r="BL179" s="147"/>
      <c r="BM179" s="147"/>
    </row>
    <row r="180" spans="2:65" s="5" customFormat="1" ht="13.5" customHeight="1" thickBot="1">
      <c r="B180" s="26" t="s">
        <v>312</v>
      </c>
      <c r="C180" s="143">
        <f>C68</f>
        <v>24031</v>
      </c>
      <c r="D180" s="143">
        <f>D68</f>
        <v>21250</v>
      </c>
      <c r="E180" s="143">
        <f>E68</f>
        <v>29857.179000000004</v>
      </c>
      <c r="F180" s="143">
        <f>F68</f>
        <v>29615.037000000008</v>
      </c>
      <c r="G180" s="143">
        <f>G68</f>
        <v>24974.297999200273</v>
      </c>
      <c r="H180" s="143">
        <f>H68</f>
        <v>23474.429258992397</v>
      </c>
      <c r="I180" s="143">
        <f>I68</f>
        <v>30679.48657113532</v>
      </c>
      <c r="J180" s="143">
        <f>J68</f>
        <v>31848.368715724821</v>
      </c>
      <c r="K180" s="143">
        <f>K68</f>
        <v>30094.214195252353</v>
      </c>
      <c r="L180" s="143">
        <f>L68</f>
        <v>33691.806826074178</v>
      </c>
      <c r="M180" s="143">
        <f>M68</f>
        <v>41372.960951090252</v>
      </c>
      <c r="N180" s="143">
        <f>N68</f>
        <v>40932.525484455509</v>
      </c>
      <c r="O180" s="143">
        <f>O68</f>
        <v>28752.279848391201</v>
      </c>
      <c r="P180" s="143">
        <f>P68</f>
        <v>36477.678372013565</v>
      </c>
      <c r="Q180" s="335"/>
      <c r="R180" s="143"/>
      <c r="S180" s="143"/>
      <c r="T180" s="215"/>
      <c r="U180" s="143">
        <f>U68</f>
        <v>6085.2260000000006</v>
      </c>
      <c r="V180" s="143">
        <f>V68</f>
        <v>6980.5849999999991</v>
      </c>
      <c r="W180" s="143">
        <f>W68</f>
        <v>10062.870000000001</v>
      </c>
      <c r="X180" s="143">
        <f>X68</f>
        <v>6728.4980000000096</v>
      </c>
      <c r="Y180" s="143">
        <f>Y68</f>
        <v>10027.979999999998</v>
      </c>
      <c r="Z180" s="143">
        <f>Z68</f>
        <v>12320.304999999998</v>
      </c>
      <c r="AA180" s="143">
        <f>AA68</f>
        <v>11609.567999999999</v>
      </c>
      <c r="AB180" s="143">
        <f>AB68</f>
        <v>-4342.815999999998</v>
      </c>
      <c r="AC180" s="143">
        <f>AC68</f>
        <v>4601.299</v>
      </c>
      <c r="AD180" s="143">
        <f>AD68</f>
        <v>6947.831000000001</v>
      </c>
      <c r="AE180" s="143">
        <f>AE68</f>
        <v>6668.5920712590469</v>
      </c>
      <c r="AF180" s="143">
        <f>AF68</f>
        <v>5256.7071877333419</v>
      </c>
      <c r="AG180" s="143">
        <f>AG68</f>
        <v>7076.778751744313</v>
      </c>
      <c r="AH180" s="143">
        <f>AH68</f>
        <v>7329.358284601125</v>
      </c>
      <c r="AI180" s="143">
        <f>AI68</f>
        <v>11844.48167732052</v>
      </c>
      <c r="AJ180" s="143">
        <f>AJ68</f>
        <v>4428.8678574693622</v>
      </c>
      <c r="AK180" s="143">
        <f>AK68</f>
        <v>6233.5002268687622</v>
      </c>
      <c r="AL180" s="143">
        <f>AL68</f>
        <v>9486.1786353997322</v>
      </c>
      <c r="AM180" s="280"/>
      <c r="AN180" s="280"/>
      <c r="AO180" s="280"/>
      <c r="AP180" s="143">
        <f>AP68</f>
        <v>17158.622000000003</v>
      </c>
      <c r="AQ180" s="280"/>
      <c r="AR180" s="280"/>
      <c r="AS180" s="143">
        <f>AS68</f>
        <v>7710.67</v>
      </c>
      <c r="AT180" s="143">
        <f>AT68</f>
        <v>8990.8319999999985</v>
      </c>
      <c r="AU180" s="143">
        <f>AU68</f>
        <v>5394.1109999999999</v>
      </c>
      <c r="AV180" s="143">
        <f>AV68</f>
        <v>11596.193826074177</v>
      </c>
      <c r="AW180" s="143">
        <f>AW68</f>
        <v>7926.4490000000005</v>
      </c>
      <c r="AX180" s="143">
        <f>AX68</f>
        <v>9315.6100000000024</v>
      </c>
      <c r="AY180" s="143">
        <f>AY68</f>
        <v>13340.802</v>
      </c>
      <c r="AZ180" s="143">
        <f>AZ68</f>
        <v>10790.099951090247</v>
      </c>
      <c r="BA180" s="143">
        <f>BA68</f>
        <v>9085.7259999999987</v>
      </c>
      <c r="BB180" s="143">
        <f>BB68</f>
        <v>10886.956083028466</v>
      </c>
      <c r="BC180" s="143">
        <f>BC68</f>
        <v>12558.3195032326</v>
      </c>
      <c r="BD180" s="143">
        <f>BD68</f>
        <v>8401.5238981944385</v>
      </c>
      <c r="BE180" s="143">
        <f>BE68</f>
        <v>3394.031723722791</v>
      </c>
      <c r="BF180" s="143">
        <f>BF68</f>
        <v>7230.4692221294172</v>
      </c>
      <c r="BG180" s="143">
        <f>BG68</f>
        <v>12020.415178592</v>
      </c>
      <c r="BH180" s="143">
        <f>BH68</f>
        <v>6107.3637239469936</v>
      </c>
      <c r="BI180" s="143">
        <f>BI68</f>
        <v>11119.430247345157</v>
      </c>
      <c r="BJ180" s="335"/>
      <c r="BK180" s="335"/>
      <c r="BL180" s="143"/>
      <c r="BM180" s="143"/>
    </row>
    <row r="181" spans="2:65" s="5" customFormat="1" ht="13.5" customHeight="1" thickTop="1">
      <c r="B181" s="1" t="s">
        <v>313</v>
      </c>
      <c r="C181" s="144">
        <f>C69</f>
        <v>-10715</v>
      </c>
      <c r="D181" s="144">
        <f>D69</f>
        <v>-10312</v>
      </c>
      <c r="E181" s="144">
        <f>E69</f>
        <v>-9984</v>
      </c>
      <c r="F181" s="144">
        <f>F69</f>
        <v>-10746.791000000001</v>
      </c>
      <c r="G181" s="144">
        <f>G69</f>
        <v>-9390.43</v>
      </c>
      <c r="H181" s="144">
        <f>H69</f>
        <v>-9518.628999999999</v>
      </c>
      <c r="I181" s="144">
        <f>I69</f>
        <v>-9994.0509999999995</v>
      </c>
      <c r="J181" s="144">
        <f>J69</f>
        <v>-9381</v>
      </c>
      <c r="K181" s="144">
        <f>K69</f>
        <v>-9085</v>
      </c>
      <c r="L181" s="144">
        <f>L69</f>
        <v>-16433</v>
      </c>
      <c r="M181" s="144">
        <f>M69</f>
        <v>-19434.716</v>
      </c>
      <c r="N181" s="144">
        <f>N69</f>
        <v>-23467.976999999999</v>
      </c>
      <c r="O181" s="144">
        <f>O69</f>
        <v>-21200.263999999999</v>
      </c>
      <c r="P181" s="144">
        <f>P69</f>
        <v>-19552.737999999998</v>
      </c>
      <c r="Q181" s="134"/>
      <c r="R181" s="144"/>
      <c r="S181" s="144"/>
      <c r="T181" s="216"/>
      <c r="U181" s="144">
        <f>U69</f>
        <v>-1151.25</v>
      </c>
      <c r="V181" s="144">
        <f>V69</f>
        <v>-2236.1780000000003</v>
      </c>
      <c r="W181" s="144">
        <f>W69</f>
        <v>-2500.8479999999995</v>
      </c>
      <c r="X181" s="144">
        <f>X69</f>
        <v>-4095.7240000000002</v>
      </c>
      <c r="Y181" s="144">
        <f>Y69</f>
        <v>-1386.5710000000001</v>
      </c>
      <c r="Z181" s="144">
        <f>Z69</f>
        <v>-2544.3729999999996</v>
      </c>
      <c r="AA181" s="144">
        <f>AA69</f>
        <v>-2329.322000000001</v>
      </c>
      <c r="AB181" s="144">
        <f>AB69</f>
        <v>-4486.5250000000015</v>
      </c>
      <c r="AC181" s="144">
        <f>AC69</f>
        <v>-1517.0029999999999</v>
      </c>
      <c r="AD181" s="144">
        <f>AD69</f>
        <v>-2377.1499999999996</v>
      </c>
      <c r="AE181" s="144">
        <f>AE69</f>
        <v>-1970.8680000000002</v>
      </c>
      <c r="AF181" s="144">
        <f>AF69</f>
        <v>-3653.6079999999993</v>
      </c>
      <c r="AG181" s="144">
        <f>AG69</f>
        <v>-1322.662</v>
      </c>
      <c r="AH181" s="144">
        <f>AH69</f>
        <v>-1991.2470000000001</v>
      </c>
      <c r="AI181" s="144">
        <f>AI69</f>
        <v>-2409.7860000000001</v>
      </c>
      <c r="AJ181" s="144">
        <f>AJ69</f>
        <v>-4270.3559999999989</v>
      </c>
      <c r="AK181" s="144">
        <f>AK69</f>
        <v>-1761.9660000000001</v>
      </c>
      <c r="AL181" s="144">
        <f>AL69</f>
        <v>-1492.9879999999996</v>
      </c>
      <c r="AM181" s="281"/>
      <c r="AN181" s="281"/>
      <c r="AO181" s="281"/>
      <c r="AP181" s="144">
        <f>AP69</f>
        <v>-3507.9150000000004</v>
      </c>
      <c r="AQ181" s="281"/>
      <c r="AR181" s="281"/>
      <c r="AS181" s="144">
        <f>AS69</f>
        <v>-3448.0549999999998</v>
      </c>
      <c r="AT181" s="144">
        <f>AT69</f>
        <v>-3045.8060000000009</v>
      </c>
      <c r="AU181" s="144">
        <f>AU69</f>
        <v>-3908.3290000000002</v>
      </c>
      <c r="AV181" s="144">
        <f>AV69</f>
        <v>-6030.8099999999995</v>
      </c>
      <c r="AW181" s="144">
        <f>AW69</f>
        <v>-3431.6450000000004</v>
      </c>
      <c r="AX181" s="144">
        <f>AX69</f>
        <v>-2660.7349999999997</v>
      </c>
      <c r="AY181" s="144">
        <f>AY69</f>
        <v>-5056.757999999998</v>
      </c>
      <c r="AZ181" s="144">
        <f>AZ69</f>
        <v>-8285.5780000000013</v>
      </c>
      <c r="BA181" s="144">
        <f>BA69</f>
        <v>-3527.7400000000002</v>
      </c>
      <c r="BB181" s="144">
        <f>BB69</f>
        <v>-5322.7049999999999</v>
      </c>
      <c r="BC181" s="144">
        <f>BC69</f>
        <v>-5840.7659999999996</v>
      </c>
      <c r="BD181" s="144">
        <f>BD69</f>
        <v>-8776.7659999999996</v>
      </c>
      <c r="BE181" s="144">
        <f>BE69</f>
        <v>-5333.3370000000004</v>
      </c>
      <c r="BF181" s="144">
        <f>BF69</f>
        <v>-3989.5060000000003</v>
      </c>
      <c r="BG181" s="144">
        <f>BG69</f>
        <v>-5115.5250000000005</v>
      </c>
      <c r="BH181" s="144">
        <f>BH69</f>
        <v>-6761.895999999997</v>
      </c>
      <c r="BI181" s="144">
        <f>BI69</f>
        <v>-3685.8110000000001</v>
      </c>
      <c r="BJ181" s="134"/>
      <c r="BK181" s="134"/>
      <c r="BL181" s="144"/>
      <c r="BM181" s="144"/>
    </row>
    <row r="182" spans="2:65" ht="13.5" customHeight="1">
      <c r="B182" s="1" t="s">
        <v>314</v>
      </c>
      <c r="C182" s="144">
        <f>C70</f>
        <v>-634</v>
      </c>
      <c r="D182" s="144">
        <f>D70</f>
        <v>-956</v>
      </c>
      <c r="E182" s="144">
        <f>E70</f>
        <v>-2385</v>
      </c>
      <c r="F182" s="144">
        <f>F70</f>
        <v>-3753.4079999999999</v>
      </c>
      <c r="G182" s="144">
        <f>G70</f>
        <v>-3410.5390000000002</v>
      </c>
      <c r="H182" s="144">
        <f>H70</f>
        <v>-1373.3420000000001</v>
      </c>
      <c r="I182" s="144">
        <f>I70</f>
        <v>-1420.595</v>
      </c>
      <c r="J182" s="144">
        <f>J70</f>
        <v>-289</v>
      </c>
      <c r="K182" s="144">
        <f>K70</f>
        <v>-645</v>
      </c>
      <c r="L182" s="144">
        <f>L70</f>
        <v>-979</v>
      </c>
      <c r="M182" s="144">
        <f>M70</f>
        <v>-1018.55</v>
      </c>
      <c r="N182" s="144">
        <f>N70</f>
        <v>-1847.9870000000001</v>
      </c>
      <c r="O182" s="144">
        <f>O70</f>
        <v>-2125.4470000000001</v>
      </c>
      <c r="P182" s="144">
        <f>P70</f>
        <v>-2238.5690000000004</v>
      </c>
      <c r="Q182" s="134"/>
      <c r="R182" s="144"/>
      <c r="S182" s="144"/>
      <c r="T182" s="216"/>
      <c r="U182" s="144">
        <f>U70</f>
        <v>-336.70499999999998</v>
      </c>
      <c r="V182" s="144">
        <f>V70</f>
        <v>-241.50299999999999</v>
      </c>
      <c r="W182" s="144">
        <f>W70</f>
        <v>-331.01899999999995</v>
      </c>
      <c r="X182" s="144">
        <f>X70</f>
        <v>-1475.7730000000004</v>
      </c>
      <c r="Y182" s="144">
        <f>Y70</f>
        <v>-2477.6309999999999</v>
      </c>
      <c r="Z182" s="144">
        <f>Z70</f>
        <v>22.766000000000076</v>
      </c>
      <c r="AA182" s="144">
        <f>AA70</f>
        <v>-893.54000000000042</v>
      </c>
      <c r="AB182" s="144">
        <f>AB70</f>
        <v>-405.0029999999997</v>
      </c>
      <c r="AC182" s="144">
        <f>AC70</f>
        <v>-302.65499999999997</v>
      </c>
      <c r="AD182" s="144">
        <f>AD70</f>
        <v>7.3219999999999459</v>
      </c>
      <c r="AE182" s="144">
        <f>AE70</f>
        <v>-711.54600000000005</v>
      </c>
      <c r="AF182" s="144">
        <f>AF70</f>
        <v>-366.46299999999997</v>
      </c>
      <c r="AG182" s="144">
        <f>AG70</f>
        <v>-210.35599999999999</v>
      </c>
      <c r="AH182" s="144">
        <f>AH70</f>
        <v>-419.279</v>
      </c>
      <c r="AI182" s="144">
        <f>AI70</f>
        <v>-285.79700000000003</v>
      </c>
      <c r="AJ182" s="144">
        <f>AJ70</f>
        <v>-505.16300000000001</v>
      </c>
      <c r="AK182" s="144">
        <f>AK70</f>
        <v>-308.66800000000001</v>
      </c>
      <c r="AL182" s="144">
        <f>AL70</f>
        <v>36.975999999999999</v>
      </c>
      <c r="AM182" s="281"/>
      <c r="AN182" s="281"/>
      <c r="AO182" s="281"/>
      <c r="AP182" s="144">
        <f>AP70</f>
        <v>-96.706999999999994</v>
      </c>
      <c r="AQ182" s="281"/>
      <c r="AR182" s="281"/>
      <c r="AS182" s="144">
        <f>AS70</f>
        <v>74.837999999999994</v>
      </c>
      <c r="AT182" s="144">
        <f>AT70</f>
        <v>-327.91700000000003</v>
      </c>
      <c r="AU182" s="144">
        <f>AU70</f>
        <v>-107.62699999999998</v>
      </c>
      <c r="AV182" s="144">
        <f>AV70</f>
        <v>-618.29399999999998</v>
      </c>
      <c r="AW182" s="144">
        <f>AW70</f>
        <v>-235.15899999999999</v>
      </c>
      <c r="AX182" s="144">
        <f>AX70</f>
        <v>-175.71899999999999</v>
      </c>
      <c r="AY182" s="144">
        <f>AY70</f>
        <v>-231.92199999999997</v>
      </c>
      <c r="AZ182" s="144">
        <f>AZ70</f>
        <v>-375.75</v>
      </c>
      <c r="BA182" s="144">
        <f>BA70</f>
        <v>-247.285</v>
      </c>
      <c r="BB182" s="144">
        <f>BB70</f>
        <v>-324.04000000000008</v>
      </c>
      <c r="BC182" s="144">
        <f>BC70</f>
        <v>-454.577</v>
      </c>
      <c r="BD182" s="144">
        <f>BD70</f>
        <v>-822.08500000000004</v>
      </c>
      <c r="BE182" s="144">
        <f>BE70</f>
        <v>-384.553</v>
      </c>
      <c r="BF182" s="144">
        <f>BF70</f>
        <v>-277.24</v>
      </c>
      <c r="BG182" s="144">
        <f>BG70</f>
        <v>-562.04900000000009</v>
      </c>
      <c r="BH182" s="144">
        <f>BH70</f>
        <v>-901.60500000000002</v>
      </c>
      <c r="BI182" s="144">
        <f>BI70</f>
        <v>-497.67500000000001</v>
      </c>
      <c r="BJ182" s="134"/>
      <c r="BK182" s="134"/>
      <c r="BL182" s="144"/>
      <c r="BM182" s="144"/>
    </row>
    <row r="183" spans="2:65" ht="13.5" customHeight="1">
      <c r="B183" s="1" t="s">
        <v>315</v>
      </c>
      <c r="C183" s="144">
        <f>C71</f>
        <v>0</v>
      </c>
      <c r="D183" s="144">
        <f>D71</f>
        <v>0</v>
      </c>
      <c r="E183" s="144">
        <f>E71</f>
        <v>-13198</v>
      </c>
      <c r="F183" s="144">
        <f>F71</f>
        <v>-3842.9500000000003</v>
      </c>
      <c r="G183" s="144">
        <f>G71</f>
        <v>-194.86799999999999</v>
      </c>
      <c r="H183" s="144">
        <f>H71</f>
        <v>-1957.0219999999999</v>
      </c>
      <c r="I183" s="144">
        <f>I71</f>
        <v>-571.39300000000003</v>
      </c>
      <c r="J183" s="144">
        <f>J71</f>
        <v>-1576</v>
      </c>
      <c r="K183" s="144">
        <f>K71</f>
        <v>1</v>
      </c>
      <c r="L183" s="144">
        <f>L71</f>
        <v>-2914</v>
      </c>
      <c r="M183" s="144">
        <f>M71</f>
        <v>-1202.0219999999999</v>
      </c>
      <c r="N183" s="144">
        <f>N71</f>
        <v>-732.57399999999996</v>
      </c>
      <c r="O183" s="144">
        <f>O71</f>
        <v>-490.53100000000001</v>
      </c>
      <c r="P183" s="144">
        <f>P71</f>
        <v>-340.245</v>
      </c>
      <c r="Q183" s="134"/>
      <c r="R183" s="144"/>
      <c r="S183" s="144"/>
      <c r="T183" s="216"/>
      <c r="U183" s="144">
        <f>U71</f>
        <v>0</v>
      </c>
      <c r="V183" s="144">
        <f>V71</f>
        <v>0</v>
      </c>
      <c r="W183" s="144">
        <f>W71</f>
        <v>0</v>
      </c>
      <c r="X183" s="144">
        <f>X71</f>
        <v>-13198</v>
      </c>
      <c r="Y183" s="144">
        <f>Y71</f>
        <v>-4037.817</v>
      </c>
      <c r="Z183" s="144">
        <f>Z71</f>
        <v>-4087.0169999999998</v>
      </c>
      <c r="AA183" s="144">
        <f>AA71</f>
        <v>0</v>
      </c>
      <c r="AB183" s="144">
        <f>AB71</f>
        <v>4281.884</v>
      </c>
      <c r="AC183" s="144">
        <f>AC71</f>
        <v>0</v>
      </c>
      <c r="AD183" s="144">
        <f>AD71</f>
        <v>-5989.1779999999999</v>
      </c>
      <c r="AE183" s="144">
        <f>AE71</f>
        <v>296.77899999999954</v>
      </c>
      <c r="AF183" s="144">
        <f>AF71</f>
        <v>3735.3770000000004</v>
      </c>
      <c r="AG183" s="144">
        <f>AG71</f>
        <v>-152.251</v>
      </c>
      <c r="AH183" s="144">
        <f>AH71</f>
        <v>-49.890999999999991</v>
      </c>
      <c r="AI183" s="144">
        <f>AI71</f>
        <v>-117.45500000000001</v>
      </c>
      <c r="AJ183" s="144">
        <f>AJ71</f>
        <v>-251.79600000000002</v>
      </c>
      <c r="AK183" s="144">
        <f>AK71</f>
        <v>-249.13900000000001</v>
      </c>
      <c r="AL183" s="144">
        <f>AL71</f>
        <v>9.3010000000000161</v>
      </c>
      <c r="AM183" s="281"/>
      <c r="AN183" s="281"/>
      <c r="AO183" s="281"/>
      <c r="AP183" s="144">
        <f>AP71</f>
        <v>16.911000000000001</v>
      </c>
      <c r="AQ183" s="281"/>
      <c r="AR183" s="281"/>
      <c r="AS183" s="144">
        <f>AS71</f>
        <v>-1624.8610000000001</v>
      </c>
      <c r="AT183" s="144">
        <f>AT71</f>
        <v>-248.36699999999996</v>
      </c>
      <c r="AU183" s="144">
        <f>AU71</f>
        <v>-247.47899999999981</v>
      </c>
      <c r="AV183" s="144">
        <f>AV71</f>
        <v>-793.29300000000012</v>
      </c>
      <c r="AW183" s="144">
        <f>AW71</f>
        <v>-229.571</v>
      </c>
      <c r="AX183" s="144">
        <f>AX71</f>
        <v>-374.92700000000002</v>
      </c>
      <c r="AY183" s="144">
        <f>AY71</f>
        <v>-330.14799999999991</v>
      </c>
      <c r="AZ183" s="144">
        <f>AZ71</f>
        <v>-267.37599999999998</v>
      </c>
      <c r="BA183" s="144">
        <f>BA71</f>
        <v>-113.16800000000001</v>
      </c>
      <c r="BB183" s="144">
        <f>BB71</f>
        <v>-162.89299999999997</v>
      </c>
      <c r="BC183" s="144">
        <f>BC71</f>
        <v>-280.541</v>
      </c>
      <c r="BD183" s="144">
        <f>BD71</f>
        <v>-175.97199999999998</v>
      </c>
      <c r="BE183" s="144">
        <f>BE71</f>
        <v>0</v>
      </c>
      <c r="BF183" s="144">
        <f>BF71</f>
        <v>-371.46800000000002</v>
      </c>
      <c r="BG183" s="144">
        <f>BG71</f>
        <v>-155.68599999999998</v>
      </c>
      <c r="BH183" s="144">
        <f>BH71</f>
        <v>36.62299999999999</v>
      </c>
      <c r="BI183" s="144">
        <f>BI71</f>
        <v>150.286</v>
      </c>
      <c r="BJ183" s="134"/>
      <c r="BK183" s="134"/>
      <c r="BL183" s="144"/>
      <c r="BM183" s="144"/>
    </row>
    <row r="184" spans="2:65" ht="13.5" customHeight="1">
      <c r="B184" s="1" t="s">
        <v>382</v>
      </c>
      <c r="C184" s="144">
        <f>C73</f>
        <v>-167</v>
      </c>
      <c r="D184" s="144">
        <f>D73</f>
        <v>-91</v>
      </c>
      <c r="E184" s="144">
        <f>E73</f>
        <v>-2063</v>
      </c>
      <c r="F184" s="144">
        <f>F73</f>
        <v>-1926.1010000000001</v>
      </c>
      <c r="G184" s="144">
        <f>G73</f>
        <v>1360.4410000000003</v>
      </c>
      <c r="H184" s="144">
        <f>H73</f>
        <v>-1329.1590000000001</v>
      </c>
      <c r="I184" s="144">
        <f>I73</f>
        <v>13.952</v>
      </c>
      <c r="J184" s="144">
        <f>J73</f>
        <v>-309</v>
      </c>
      <c r="K184" s="144">
        <f>K73</f>
        <v>-750</v>
      </c>
      <c r="L184" s="144">
        <f>L73</f>
        <v>-1682</v>
      </c>
      <c r="M184" s="144">
        <f>M73</f>
        <v>-1602.8040000000001</v>
      </c>
      <c r="N184" s="144">
        <f>N73</f>
        <v>-383.35300000000001</v>
      </c>
      <c r="O184" s="144">
        <f>O73</f>
        <v>339.90800000000002</v>
      </c>
      <c r="P184" s="144">
        <f>P73</f>
        <v>84.893000000000043</v>
      </c>
      <c r="Q184" s="134"/>
      <c r="R184" s="144"/>
      <c r="S184" s="144"/>
      <c r="T184" s="216"/>
      <c r="U184" s="144">
        <f>U73</f>
        <v>-1197.1379999999999</v>
      </c>
      <c r="V184" s="144">
        <f>V73</f>
        <v>-201.36900000000014</v>
      </c>
      <c r="W184" s="144">
        <f>W73</f>
        <v>-713.82799999999952</v>
      </c>
      <c r="X184" s="144">
        <f>X73</f>
        <v>49.334999999999582</v>
      </c>
      <c r="Y184" s="144">
        <f>Y73</f>
        <v>-509.26800000000003</v>
      </c>
      <c r="Z184" s="144">
        <f>Z73</f>
        <v>-592.07199999999989</v>
      </c>
      <c r="AA184" s="144">
        <f>AA73</f>
        <v>140.80099999999993</v>
      </c>
      <c r="AB184" s="144">
        <f>AB73</f>
        <v>-965.56200000000013</v>
      </c>
      <c r="AC184" s="144">
        <f>AC73</f>
        <v>174.976</v>
      </c>
      <c r="AD184" s="144">
        <f>AD73</f>
        <v>-815.48300000000006</v>
      </c>
      <c r="AE184" s="144">
        <f>AE73</f>
        <v>-262.25299999999993</v>
      </c>
      <c r="AF184" s="144">
        <f>AF73</f>
        <v>-426.39900000000011</v>
      </c>
      <c r="AG184" s="144">
        <f>AG73</f>
        <v>140.892</v>
      </c>
      <c r="AH184" s="144">
        <f>AH73</f>
        <v>-156.005</v>
      </c>
      <c r="AI184" s="144">
        <f>AI73</f>
        <v>65.150000000000006</v>
      </c>
      <c r="AJ184" s="144">
        <f>AJ73</f>
        <v>-36.085000000000008</v>
      </c>
      <c r="AK184" s="144">
        <f>AK73</f>
        <v>-123.788</v>
      </c>
      <c r="AL184" s="144">
        <f>AL73</f>
        <v>-243.02100000000002</v>
      </c>
      <c r="AM184" s="281"/>
      <c r="AN184" s="281"/>
      <c r="AO184" s="281"/>
      <c r="AP184" s="144">
        <f>AP73</f>
        <v>-226.625</v>
      </c>
      <c r="AQ184" s="281"/>
      <c r="AR184" s="281"/>
      <c r="AS184" s="144">
        <f>AS73</f>
        <v>-419.25099999999998</v>
      </c>
      <c r="AT184" s="144">
        <f>AT73</f>
        <v>135.53899999999999</v>
      </c>
      <c r="AU184" s="144">
        <f>AU73</f>
        <v>-511.23699999999997</v>
      </c>
      <c r="AV184" s="144">
        <f>AV73</f>
        <v>-887.05100000000004</v>
      </c>
      <c r="AW184" s="144">
        <f>AW73</f>
        <v>-363.83199999999999</v>
      </c>
      <c r="AX184" s="144">
        <f>AX73</f>
        <v>-444.30700000000002</v>
      </c>
      <c r="AY184" s="144">
        <f>AY73</f>
        <v>-593.36700000000008</v>
      </c>
      <c r="AZ184" s="144">
        <f>AZ73</f>
        <v>-201.298</v>
      </c>
      <c r="BA184" s="144">
        <f>BA73</f>
        <v>228.36600000000001</v>
      </c>
      <c r="BB184" s="144">
        <f>BB73</f>
        <v>-1048.7740000000001</v>
      </c>
      <c r="BC184" s="144">
        <f>BC73</f>
        <v>948.95500000000015</v>
      </c>
      <c r="BD184" s="144">
        <f>BD73</f>
        <v>-511.90000000000003</v>
      </c>
      <c r="BE184" s="144">
        <f>BE73</f>
        <v>327.33999999999997</v>
      </c>
      <c r="BF184" s="144">
        <f>BF73</f>
        <v>-346.995</v>
      </c>
      <c r="BG184" s="144">
        <f>BG73</f>
        <v>221.62299999999999</v>
      </c>
      <c r="BH184" s="144">
        <f>BH73</f>
        <v>137.94000000000005</v>
      </c>
      <c r="BI184" s="144">
        <f>BI73</f>
        <v>72.325000000000003</v>
      </c>
      <c r="BJ184" s="134"/>
      <c r="BK184" s="134"/>
      <c r="BL184" s="144"/>
      <c r="BM184" s="144"/>
    </row>
    <row r="185" spans="2:65" ht="13.5" customHeight="1" thickBot="1">
      <c r="B185" s="65" t="s">
        <v>316</v>
      </c>
      <c r="C185" s="146">
        <f>C72</f>
        <v>12682</v>
      </c>
      <c r="D185" s="146">
        <f>D72</f>
        <v>9982</v>
      </c>
      <c r="E185" s="146">
        <f>E72</f>
        <v>4290.1790000000037</v>
      </c>
      <c r="F185" s="146">
        <f>F72</f>
        <v>11271.888000000006</v>
      </c>
      <c r="G185" s="146">
        <f>G72</f>
        <v>11978.460999200272</v>
      </c>
      <c r="H185" s="146">
        <f>H72</f>
        <v>10625.436258992399</v>
      </c>
      <c r="I185" s="146">
        <f>I72</f>
        <v>18693.447571135319</v>
      </c>
      <c r="J185" s="146">
        <f>J72</f>
        <v>20602.368715724821</v>
      </c>
      <c r="K185" s="146">
        <f>K72</f>
        <v>20365.214195252353</v>
      </c>
      <c r="L185" s="146">
        <f>L72</f>
        <v>13365.806826074178</v>
      </c>
      <c r="M185" s="146">
        <f>M72</f>
        <v>19717.672951090251</v>
      </c>
      <c r="N185" s="146">
        <f>N72</f>
        <v>14883.987484455509</v>
      </c>
      <c r="O185" s="146">
        <f>O72</f>
        <v>4936.0378483912018</v>
      </c>
      <c r="P185" s="146">
        <f>P72</f>
        <v>14346.126372013567</v>
      </c>
      <c r="Q185" s="136"/>
      <c r="R185" s="146"/>
      <c r="S185" s="146"/>
      <c r="T185" s="217"/>
      <c r="U185" s="146">
        <f>U72</f>
        <v>4597.2710000000006</v>
      </c>
      <c r="V185" s="146">
        <f>V72</f>
        <v>4502.9039999999995</v>
      </c>
      <c r="W185" s="146">
        <f>W72</f>
        <v>7231.0030000000006</v>
      </c>
      <c r="X185" s="146">
        <f>X72</f>
        <v>-12040.998999999991</v>
      </c>
      <c r="Y185" s="146">
        <f>Y72</f>
        <v>2125.9609999999984</v>
      </c>
      <c r="Z185" s="146">
        <f>Z72</f>
        <v>5711.6809999999987</v>
      </c>
      <c r="AA185" s="146">
        <f>AA72</f>
        <v>8386.7059999999983</v>
      </c>
      <c r="AB185" s="146">
        <f>AB72</f>
        <v>-4952.4600000000009</v>
      </c>
      <c r="AC185" s="146">
        <f>AC72</f>
        <v>2781.6410000000005</v>
      </c>
      <c r="AD185" s="146">
        <f>AD72</f>
        <v>-1411.1749999999984</v>
      </c>
      <c r="AE185" s="146">
        <f>AE72</f>
        <v>4282.9570712590457</v>
      </c>
      <c r="AF185" s="146">
        <f>AF72</f>
        <v>4972.0131877333433</v>
      </c>
      <c r="AG185" s="146">
        <f>AG72</f>
        <v>5391.5097517443128</v>
      </c>
      <c r="AH185" s="146">
        <f>AH72</f>
        <v>4868.9412846011255</v>
      </c>
      <c r="AI185" s="146">
        <f>AI72</f>
        <v>9031.4436773205198</v>
      </c>
      <c r="AJ185" s="146">
        <f>AJ72</f>
        <v>-598.44714253063671</v>
      </c>
      <c r="AK185" s="146">
        <f>AK72</f>
        <v>3913.727226868762</v>
      </c>
      <c r="AL185" s="146">
        <f>AL72</f>
        <v>8039.4676353997329</v>
      </c>
      <c r="AM185" s="282"/>
      <c r="AN185" s="282"/>
      <c r="AO185" s="282"/>
      <c r="AP185" s="146">
        <f>AP72</f>
        <v>13570.911000000002</v>
      </c>
      <c r="AQ185" s="282"/>
      <c r="AR185" s="282"/>
      <c r="AS185" s="146">
        <f>AS72</f>
        <v>2712.5919999999996</v>
      </c>
      <c r="AT185" s="146">
        <f>AT72</f>
        <v>5368.7419999999975</v>
      </c>
      <c r="AU185" s="146">
        <f>AU72</f>
        <v>1130.6759999999999</v>
      </c>
      <c r="AV185" s="146">
        <f>AV72</f>
        <v>4153.7968260741782</v>
      </c>
      <c r="AW185" s="146">
        <f>AW72</f>
        <v>4030.0740000000005</v>
      </c>
      <c r="AX185" s="146">
        <f>AX72</f>
        <v>6104.229000000003</v>
      </c>
      <c r="AY185" s="146">
        <f>AY72</f>
        <v>7721.974000000002</v>
      </c>
      <c r="AZ185" s="146">
        <f>AZ72</f>
        <v>1861.3959510902462</v>
      </c>
      <c r="BA185" s="146">
        <f>BA72</f>
        <v>5197.5329999999994</v>
      </c>
      <c r="BB185" s="146">
        <f>BB72</f>
        <v>5077.3180830284664</v>
      </c>
      <c r="BC185" s="146">
        <f>BC72</f>
        <v>5982.4355032326002</v>
      </c>
      <c r="BD185" s="146">
        <f>BD72</f>
        <v>-1373.2991018055611</v>
      </c>
      <c r="BE185" s="146">
        <f>BE72</f>
        <v>-2323.8582762772094</v>
      </c>
      <c r="BF185" s="146">
        <f>BF72</f>
        <v>2592.2552221294172</v>
      </c>
      <c r="BG185" s="146">
        <f>BG72</f>
        <v>6187.1551785920001</v>
      </c>
      <c r="BH185" s="146">
        <f>BH72</f>
        <v>-1519.5142760530034</v>
      </c>
      <c r="BI185" s="146">
        <f>BI72</f>
        <v>7086.2302473451573</v>
      </c>
      <c r="BJ185" s="136"/>
      <c r="BK185" s="136"/>
      <c r="BL185" s="146"/>
      <c r="BM185" s="146"/>
    </row>
    <row r="186" spans="2:65" ht="13.5" customHeight="1" thickTop="1">
      <c r="B186" s="1" t="s">
        <v>318</v>
      </c>
      <c r="C186" s="147">
        <f>C74</f>
        <v>0</v>
      </c>
      <c r="D186" s="147">
        <f>D74</f>
        <v>0</v>
      </c>
      <c r="E186" s="147">
        <f>E74</f>
        <v>0</v>
      </c>
      <c r="F186" s="147">
        <f>F74</f>
        <v>4082.2779999999998</v>
      </c>
      <c r="G186" s="147">
        <f>G74</f>
        <v>4082.2779999999998</v>
      </c>
      <c r="H186" s="147">
        <f>H74</f>
        <v>0</v>
      </c>
      <c r="I186" s="147">
        <f>I74</f>
        <v>0</v>
      </c>
      <c r="J186" s="147">
        <f>J74</f>
        <v>0</v>
      </c>
      <c r="K186" s="147">
        <f>K74</f>
        <v>0</v>
      </c>
      <c r="L186" s="147">
        <f>L74</f>
        <v>0</v>
      </c>
      <c r="M186" s="147">
        <f>M74</f>
        <v>0</v>
      </c>
      <c r="N186" s="147">
        <f>N74</f>
        <v>0</v>
      </c>
      <c r="O186" s="147">
        <f>O74</f>
        <v>0</v>
      </c>
      <c r="P186" s="147">
        <f>P74</f>
        <v>0</v>
      </c>
      <c r="Q186" s="134"/>
      <c r="R186" s="147"/>
      <c r="S186" s="147"/>
      <c r="T186" s="216"/>
      <c r="U186" s="147">
        <f>U74</f>
        <v>0</v>
      </c>
      <c r="V186" s="147">
        <f>V74</f>
        <v>0</v>
      </c>
      <c r="W186" s="147">
        <f>W74</f>
        <v>0</v>
      </c>
      <c r="X186" s="147">
        <f>X74</f>
        <v>0</v>
      </c>
      <c r="Y186" s="147">
        <f>Y74</f>
        <v>0</v>
      </c>
      <c r="Z186" s="147">
        <f>Z74</f>
        <v>0</v>
      </c>
      <c r="AA186" s="147">
        <f>AA74</f>
        <v>0</v>
      </c>
      <c r="AB186" s="147">
        <f>AB74</f>
        <v>4082.2779999999998</v>
      </c>
      <c r="AC186" s="147">
        <f>AC74</f>
        <v>0</v>
      </c>
      <c r="AD186" s="147">
        <f>AD74</f>
        <v>0</v>
      </c>
      <c r="AE186" s="147">
        <f>AE74</f>
        <v>0</v>
      </c>
      <c r="AF186" s="147">
        <f>AF74</f>
        <v>0</v>
      </c>
      <c r="AG186" s="147">
        <f>AG74</f>
        <v>0</v>
      </c>
      <c r="AH186" s="147">
        <f>AH74</f>
        <v>0</v>
      </c>
      <c r="AI186" s="147">
        <f>AI74</f>
        <v>0</v>
      </c>
      <c r="AJ186" s="147">
        <f>AJ74</f>
        <v>0</v>
      </c>
      <c r="AK186" s="147">
        <f>AK74</f>
        <v>0</v>
      </c>
      <c r="AL186" s="147">
        <f>AL74</f>
        <v>0</v>
      </c>
      <c r="AM186" s="271"/>
      <c r="AN186" s="271"/>
      <c r="AO186" s="271"/>
      <c r="AP186" s="147">
        <f>AP74</f>
        <v>0</v>
      </c>
      <c r="AQ186" s="271"/>
      <c r="AR186" s="271"/>
      <c r="AS186" s="147">
        <f>AS74</f>
        <v>0</v>
      </c>
      <c r="AT186" s="147">
        <f>AT74</f>
        <v>0</v>
      </c>
      <c r="AU186" s="147">
        <f>AU74</f>
        <v>0</v>
      </c>
      <c r="AV186" s="147">
        <f>AV74</f>
        <v>0</v>
      </c>
      <c r="AW186" s="147">
        <f>AW74</f>
        <v>0</v>
      </c>
      <c r="AX186" s="147">
        <f>AX74</f>
        <v>0</v>
      </c>
      <c r="AY186" s="147">
        <f>AY74</f>
        <v>0</v>
      </c>
      <c r="AZ186" s="147">
        <f>AZ74</f>
        <v>0</v>
      </c>
      <c r="BA186" s="147">
        <f>BA74</f>
        <v>0</v>
      </c>
      <c r="BB186" s="147">
        <f>BB74</f>
        <v>0</v>
      </c>
      <c r="BC186" s="147">
        <f>BC74</f>
        <v>0</v>
      </c>
      <c r="BD186" s="147">
        <f>BD74</f>
        <v>0</v>
      </c>
      <c r="BE186" s="147">
        <f>BE74</f>
        <v>0</v>
      </c>
      <c r="BF186" s="147">
        <f>BF74</f>
        <v>0</v>
      </c>
      <c r="BG186" s="147">
        <f>BG74</f>
        <v>0</v>
      </c>
      <c r="BH186" s="147">
        <f>BH74</f>
        <v>0</v>
      </c>
      <c r="BI186" s="147">
        <f>BI74</f>
        <v>0</v>
      </c>
      <c r="BJ186" s="134"/>
      <c r="BK186" s="134"/>
      <c r="BL186" s="147"/>
      <c r="BM186" s="147"/>
    </row>
    <row r="187" spans="2:65" s="5" customFormat="1" ht="13.5" customHeight="1">
      <c r="B187" s="1" t="s">
        <v>319</v>
      </c>
      <c r="C187" s="147">
        <f>C75</f>
        <v>-6030</v>
      </c>
      <c r="D187" s="147">
        <f>D75</f>
        <v>-6416</v>
      </c>
      <c r="E187" s="147">
        <f>E75</f>
        <v>-7013</v>
      </c>
      <c r="F187" s="147">
        <f>F75</f>
        <v>-6992.2449999999999</v>
      </c>
      <c r="G187" s="147">
        <f>G75</f>
        <v>-6992.2449999999999</v>
      </c>
      <c r="H187" s="147">
        <f>H75</f>
        <v>-7029.8530000000001</v>
      </c>
      <c r="I187" s="147">
        <f>I75</f>
        <v>-7440.6080000000002</v>
      </c>
      <c r="J187" s="147">
        <f>J75</f>
        <v>-10278</v>
      </c>
      <c r="K187" s="147">
        <f>K75</f>
        <v>-10649</v>
      </c>
      <c r="L187" s="147">
        <f>L75</f>
        <v>-11463</v>
      </c>
      <c r="M187" s="147">
        <f>M75</f>
        <v>-12275.3</v>
      </c>
      <c r="N187" s="147">
        <f>N75</f>
        <v>-12870.49</v>
      </c>
      <c r="O187" s="147">
        <f>O75</f>
        <v>-15734.607</v>
      </c>
      <c r="P187" s="147">
        <f>P75</f>
        <v>-15734.607</v>
      </c>
      <c r="Q187" s="134"/>
      <c r="R187" s="147"/>
      <c r="S187" s="147"/>
      <c r="T187" s="216"/>
      <c r="U187" s="147">
        <f>U75</f>
        <v>0</v>
      </c>
      <c r="V187" s="147">
        <f>V75</f>
        <v>-3471.9859999999999</v>
      </c>
      <c r="W187" s="147">
        <f>W75</f>
        <v>0</v>
      </c>
      <c r="X187" s="147">
        <f>X75</f>
        <v>-3541.0140000000001</v>
      </c>
      <c r="Y187" s="147">
        <f>Y75</f>
        <v>0</v>
      </c>
      <c r="Z187" s="147">
        <f>Z75</f>
        <v>-3463.1260000000002</v>
      </c>
      <c r="AA187" s="147">
        <f>AA75</f>
        <v>0</v>
      </c>
      <c r="AB187" s="147">
        <f>AB75</f>
        <v>-3529.1189999999997</v>
      </c>
      <c r="AC187" s="147">
        <f>AC75</f>
        <v>-4.3999999999999997E-2</v>
      </c>
      <c r="AD187" s="147">
        <f>AD75</f>
        <v>-3529.3530000000001</v>
      </c>
      <c r="AE187" s="147">
        <f>AE75</f>
        <v>1.3096468354234503E-13</v>
      </c>
      <c r="AF187" s="147">
        <f>AF75</f>
        <v>-3500.4560000000001</v>
      </c>
      <c r="AG187" s="147">
        <f>AG75</f>
        <v>0</v>
      </c>
      <c r="AH187" s="147">
        <f>AH75</f>
        <v>-3721.7350000000001</v>
      </c>
      <c r="AI187" s="147">
        <f>AI75</f>
        <v>0</v>
      </c>
      <c r="AJ187" s="147">
        <f>AJ75</f>
        <v>-3718.873</v>
      </c>
      <c r="AK187" s="147">
        <f>AK75</f>
        <v>0</v>
      </c>
      <c r="AL187" s="147">
        <f>AL75</f>
        <v>-5105.0209999999997</v>
      </c>
      <c r="AM187" s="271"/>
      <c r="AN187" s="271"/>
      <c r="AO187" s="271"/>
      <c r="AP187" s="147">
        <f>AP75</f>
        <v>-5294.9530000000004</v>
      </c>
      <c r="AQ187" s="271"/>
      <c r="AR187" s="271"/>
      <c r="AS187" s="147">
        <f>AS75</f>
        <v>-0.89</v>
      </c>
      <c r="AT187" s="147">
        <f>AT75</f>
        <v>-5734.53</v>
      </c>
      <c r="AU187" s="147">
        <f>AU75</f>
        <v>-28.151000000000167</v>
      </c>
      <c r="AV187" s="147">
        <f>AV75</f>
        <v>-5699.4290000000001</v>
      </c>
      <c r="AW187" s="147">
        <f>AW75</f>
        <v>0</v>
      </c>
      <c r="AX187" s="147">
        <f>AX75</f>
        <v>-6099.5309999999999</v>
      </c>
      <c r="AY187" s="147">
        <f>AY75</f>
        <v>0.15800000000035652</v>
      </c>
      <c r="AZ187" s="147">
        <f>AZ75</f>
        <v>-6175.9269999999997</v>
      </c>
      <c r="BA187" s="147">
        <f>BA75</f>
        <v>0</v>
      </c>
      <c r="BB187" s="147">
        <f>BB75</f>
        <v>-3194.404</v>
      </c>
      <c r="BC187" s="147">
        <f>BC75</f>
        <v>-3289.9140000000002</v>
      </c>
      <c r="BD187" s="147">
        <f>BD75</f>
        <v>-6386.1719999999996</v>
      </c>
      <c r="BE187" s="147">
        <f>BE75</f>
        <v>0</v>
      </c>
      <c r="BF187" s="147">
        <f>BF75</f>
        <v>-4053.2170000000001</v>
      </c>
      <c r="BG187" s="147">
        <f>BG75</f>
        <v>-3865.5309999999995</v>
      </c>
      <c r="BH187" s="147">
        <f>BH75</f>
        <v>-7815.8590000000004</v>
      </c>
      <c r="BI187" s="147">
        <f>BI75</f>
        <v>0</v>
      </c>
      <c r="BJ187" s="134"/>
      <c r="BK187" s="134"/>
      <c r="BL187" s="147"/>
      <c r="BM187" s="147"/>
    </row>
    <row r="188" spans="2:65" ht="13.5" customHeight="1">
      <c r="B188" s="1" t="s">
        <v>320</v>
      </c>
      <c r="C188" s="147">
        <f>C76</f>
        <v>-310</v>
      </c>
      <c r="D188" s="147">
        <f>D76</f>
        <v>-7169</v>
      </c>
      <c r="E188" s="147">
        <f>E76</f>
        <v>3092</v>
      </c>
      <c r="F188" s="147">
        <f>F76</f>
        <v>-620.81200000000001</v>
      </c>
      <c r="G188" s="147">
        <f>G76</f>
        <v>620.81200000000001</v>
      </c>
      <c r="H188" s="147">
        <f>H76</f>
        <v>530.92200000000003</v>
      </c>
      <c r="I188" s="147">
        <f>I76</f>
        <v>-10216.393</v>
      </c>
      <c r="J188" s="147">
        <f>J76</f>
        <v>16537</v>
      </c>
      <c r="K188" s="147">
        <f>K76</f>
        <v>-3627</v>
      </c>
      <c r="L188" s="147">
        <f>L76</f>
        <v>-2974</v>
      </c>
      <c r="M188" s="147">
        <f>M76</f>
        <v>-8939.5400000000009</v>
      </c>
      <c r="N188" s="147">
        <f>N76</f>
        <v>494.07100000000014</v>
      </c>
      <c r="O188" s="147">
        <f>O76</f>
        <v>10951.063</v>
      </c>
      <c r="P188" s="147">
        <f>P76</f>
        <v>17428.262000000002</v>
      </c>
      <c r="Q188" s="134"/>
      <c r="R188" s="147"/>
      <c r="S188" s="147"/>
      <c r="T188" s="216"/>
      <c r="U188" s="147">
        <f>U76</f>
        <v>391.23899999999998</v>
      </c>
      <c r="V188" s="147">
        <f>V76</f>
        <v>-1624.0360000000001</v>
      </c>
      <c r="W188" s="147">
        <f>W76</f>
        <v>196.80200000000019</v>
      </c>
      <c r="X188" s="147">
        <f>X76</f>
        <v>4127.9950000000008</v>
      </c>
      <c r="Y188" s="147">
        <f>Y76</f>
        <v>-649.899</v>
      </c>
      <c r="Z188" s="147">
        <f>Z76</f>
        <v>10287.180999999999</v>
      </c>
      <c r="AA188" s="147">
        <f>AA76</f>
        <v>-10168.501999999999</v>
      </c>
      <c r="AB188" s="147">
        <f>AB76</f>
        <v>-89.591999999999985</v>
      </c>
      <c r="AC188" s="147">
        <f>AC76</f>
        <v>-295.39499999999998</v>
      </c>
      <c r="AD188" s="147">
        <f>AD76</f>
        <v>10042.032000000001</v>
      </c>
      <c r="AE188" s="147">
        <f>AE76</f>
        <v>-1099.8930000000005</v>
      </c>
      <c r="AF188" s="147">
        <f>AF76</f>
        <v>-8115.8220000000001</v>
      </c>
      <c r="AG188" s="147">
        <f>AG76</f>
        <v>-4962.6170000000002</v>
      </c>
      <c r="AH188" s="147">
        <f>AH76</f>
        <v>-142.20499999999993</v>
      </c>
      <c r="AI188" s="147">
        <f>AI76</f>
        <v>-153.52300000000014</v>
      </c>
      <c r="AJ188" s="147">
        <f>AJ76</f>
        <v>-4958.0479999999989</v>
      </c>
      <c r="AK188" s="147">
        <f>AK76</f>
        <v>12377.498</v>
      </c>
      <c r="AL188" s="147">
        <f>AL76</f>
        <v>763.34500000000116</v>
      </c>
      <c r="AM188" s="271"/>
      <c r="AN188" s="271"/>
      <c r="AO188" s="271"/>
      <c r="AP188" s="147">
        <f>AP76</f>
        <v>-2885.1220000000003</v>
      </c>
      <c r="AQ188" s="271"/>
      <c r="AR188" s="271"/>
      <c r="AS188" s="147">
        <f>AS76</f>
        <v>-372.41700000000003</v>
      </c>
      <c r="AT188" s="147">
        <f>AT76</f>
        <v>-2047.7089999999998</v>
      </c>
      <c r="AU188" s="147">
        <f>AU76</f>
        <v>-6792.5240000000013</v>
      </c>
      <c r="AV188" s="147">
        <f>AV76</f>
        <v>6238.6500000000015</v>
      </c>
      <c r="AW188" s="147">
        <f>AW76</f>
        <v>-660.649</v>
      </c>
      <c r="AX188" s="147">
        <f>AX76</f>
        <v>-7645.0620000000008</v>
      </c>
      <c r="AY188" s="147">
        <f>AY76</f>
        <v>-516.45500000000027</v>
      </c>
      <c r="AZ188" s="147">
        <f>AZ76</f>
        <v>-117.3739999999998</v>
      </c>
      <c r="BA188" s="147">
        <f>BA76</f>
        <v>-407.85899999999998</v>
      </c>
      <c r="BB188" s="147">
        <f>BB76</f>
        <v>310.98399999999998</v>
      </c>
      <c r="BC188" s="147">
        <f>BC76</f>
        <v>39.001999999999953</v>
      </c>
      <c r="BD188" s="147">
        <f>BD76</f>
        <v>551.94400000000019</v>
      </c>
      <c r="BE188" s="147">
        <f>BE76</f>
        <v>128.40700000000001</v>
      </c>
      <c r="BF188" s="147">
        <f>BF76</f>
        <v>10448.194</v>
      </c>
      <c r="BG188" s="147">
        <f>BG76</f>
        <v>-2611.1220000000003</v>
      </c>
      <c r="BH188" s="147">
        <f>BH76</f>
        <v>2985.5840000000017</v>
      </c>
      <c r="BI188" s="147">
        <f>BI76</f>
        <v>6605.6060000000007</v>
      </c>
      <c r="BJ188" s="134"/>
      <c r="BK188" s="134"/>
      <c r="BL188" s="147"/>
      <c r="BM188" s="147"/>
    </row>
    <row r="189" spans="2:65" ht="13.5" customHeight="1" thickBot="1">
      <c r="B189" s="57" t="s">
        <v>321</v>
      </c>
      <c r="C189" s="145">
        <f>C77</f>
        <v>-1828</v>
      </c>
      <c r="D189" s="145">
        <f>D77</f>
        <v>8586</v>
      </c>
      <c r="E189" s="145">
        <f>E77</f>
        <v>-1691</v>
      </c>
      <c r="F189" s="145">
        <f>F77</f>
        <v>-2654.6610000000001</v>
      </c>
      <c r="G189" s="145">
        <f>G77</f>
        <v>-2686.2559999999999</v>
      </c>
      <c r="H189" s="145">
        <f>H77</f>
        <v>-1721.0989999999999</v>
      </c>
      <c r="I189" s="145">
        <f>I77</f>
        <v>-326.80399999999997</v>
      </c>
      <c r="J189" s="145">
        <f>J77</f>
        <v>365</v>
      </c>
      <c r="K189" s="145">
        <f>K77</f>
        <v>-1240</v>
      </c>
      <c r="L189" s="145">
        <f>L77</f>
        <v>-1547</v>
      </c>
      <c r="M189" s="145">
        <f>M77</f>
        <v>-321.32499999999999</v>
      </c>
      <c r="N189" s="145">
        <f>N77</f>
        <v>-2273.777</v>
      </c>
      <c r="O189" s="145">
        <f>O77</f>
        <v>-1984.972</v>
      </c>
      <c r="P189" s="145">
        <f>P77</f>
        <v>-2269.8719999999998</v>
      </c>
      <c r="Q189" s="134"/>
      <c r="R189" s="145"/>
      <c r="S189" s="145"/>
      <c r="T189" s="218"/>
      <c r="U189" s="145">
        <f>U77</f>
        <v>-133.578</v>
      </c>
      <c r="V189" s="145">
        <f>V77</f>
        <v>-738.99900000000002</v>
      </c>
      <c r="W189" s="145">
        <f>W77</f>
        <v>-607.0619999999999</v>
      </c>
      <c r="X189" s="145">
        <f>X77</f>
        <v>-211.36100000000008</v>
      </c>
      <c r="Y189" s="145">
        <f>Y77</f>
        <v>-1653.5650000000001</v>
      </c>
      <c r="Z189" s="145">
        <f>Z77</f>
        <v>-1952.4229999999998</v>
      </c>
      <c r="AA189" s="145">
        <f>AA77</f>
        <v>2139.5</v>
      </c>
      <c r="AB189" s="145">
        <f>AB77</f>
        <v>-1188.1730000000002</v>
      </c>
      <c r="AC189" s="145">
        <f>AC77</f>
        <v>-425.99700000000001</v>
      </c>
      <c r="AD189" s="145">
        <f>AD77</f>
        <v>-1129.345</v>
      </c>
      <c r="AE189" s="145">
        <f>AE77</f>
        <v>-266.90400000000005</v>
      </c>
      <c r="AF189" s="145">
        <f>AF77</f>
        <v>101.14700000000011</v>
      </c>
      <c r="AG189" s="145">
        <f>AG77</f>
        <v>-5.1319999999999997</v>
      </c>
      <c r="AH189" s="145">
        <f>AH77</f>
        <v>-952.79200000000003</v>
      </c>
      <c r="AI189" s="145">
        <f>AI77</f>
        <v>439.55599999999998</v>
      </c>
      <c r="AJ189" s="145">
        <f>AJ77</f>
        <v>191.56400000000014</v>
      </c>
      <c r="AK189" s="145">
        <f>AK77</f>
        <v>-447.95800000000003</v>
      </c>
      <c r="AL189" s="145">
        <f>AL77</f>
        <v>-363.21199999999993</v>
      </c>
      <c r="AM189" s="283"/>
      <c r="AN189" s="283"/>
      <c r="AO189" s="283"/>
      <c r="AP189" s="145">
        <f>AP77</f>
        <v>-481.73700000000002</v>
      </c>
      <c r="AQ189" s="283"/>
      <c r="AR189" s="283"/>
      <c r="AS189" s="147">
        <f>AS77</f>
        <v>-104.875</v>
      </c>
      <c r="AT189" s="145">
        <f>AT77</f>
        <v>-646.40599999999995</v>
      </c>
      <c r="AU189" s="145">
        <f>AU77</f>
        <v>-274.57500000000005</v>
      </c>
      <c r="AV189" s="145">
        <f>AV77</f>
        <v>-521.14400000000001</v>
      </c>
      <c r="AW189" s="145">
        <f>AW77</f>
        <v>-462.13799999999998</v>
      </c>
      <c r="AX189" s="145">
        <f>AX77</f>
        <v>-2975.7089999999998</v>
      </c>
      <c r="AY189" s="145">
        <f>AY77</f>
        <v>2017.5689999999997</v>
      </c>
      <c r="AZ189" s="145">
        <f>AZ77</f>
        <v>1098.953</v>
      </c>
      <c r="BA189" s="145">
        <f>BA77</f>
        <v>-643.62</v>
      </c>
      <c r="BB189" s="145">
        <f>BB77</f>
        <v>579.11599999999999</v>
      </c>
      <c r="BC189" s="145">
        <f>BC77</f>
        <v>-1877.9390000000003</v>
      </c>
      <c r="BD189" s="145">
        <f>BD77</f>
        <v>-331.33399999999983</v>
      </c>
      <c r="BE189" s="145">
        <f>BE77</f>
        <v>-728.14</v>
      </c>
      <c r="BF189" s="145">
        <f>BF77</f>
        <v>-45.258000000000038</v>
      </c>
      <c r="BG189" s="145">
        <f>BG77</f>
        <v>-933.51999999999987</v>
      </c>
      <c r="BH189" s="145">
        <f>BH77</f>
        <v>-278.05400000000009</v>
      </c>
      <c r="BI189" s="145">
        <f>BI77</f>
        <v>-1013.04</v>
      </c>
      <c r="BJ189" s="134"/>
      <c r="BK189" s="134"/>
      <c r="BL189" s="145"/>
      <c r="BM189" s="145"/>
    </row>
    <row r="190" spans="2:65" ht="13.5" customHeight="1" thickTop="1" thickBot="1">
      <c r="B190" s="105" t="s">
        <v>322</v>
      </c>
      <c r="C190" s="146">
        <f>C78</f>
        <v>4347</v>
      </c>
      <c r="D190" s="146">
        <f>D78</f>
        <v>4892</v>
      </c>
      <c r="E190" s="146">
        <f>E78</f>
        <v>-3384.8209999999963</v>
      </c>
      <c r="F190" s="146">
        <f>F78</f>
        <v>3160.3470000000061</v>
      </c>
      <c r="G190" s="146">
        <f>G78</f>
        <v>8363.4909992002722</v>
      </c>
      <c r="H190" s="146">
        <f>H78</f>
        <v>1076.2472589923989</v>
      </c>
      <c r="I190" s="146">
        <f>I78</f>
        <v>723.59457113531982</v>
      </c>
      <c r="J190" s="146">
        <f>J78</f>
        <v>26917.368715724821</v>
      </c>
      <c r="K190" s="146">
        <f>K78</f>
        <v>4099.2141952523525</v>
      </c>
      <c r="L190" s="146">
        <f>L78</f>
        <v>-4300.1931739258216</v>
      </c>
      <c r="M190" s="146">
        <f>M78</f>
        <v>-3421.2960489097486</v>
      </c>
      <c r="N190" s="146">
        <f>N78</f>
        <v>-149.56151554449025</v>
      </c>
      <c r="O190" s="146">
        <f>O78</f>
        <v>-1492.5701516087977</v>
      </c>
      <c r="P190" s="146">
        <f>P78</f>
        <v>13854.80237201357</v>
      </c>
      <c r="Q190" s="136"/>
      <c r="R190" s="146"/>
      <c r="S190" s="146"/>
      <c r="T190" s="217"/>
      <c r="U190" s="146">
        <f>U78</f>
        <v>3657.7940000000008</v>
      </c>
      <c r="V190" s="146">
        <f>V78</f>
        <v>-1533.4860000000001</v>
      </c>
      <c r="W190" s="146">
        <f>W78</f>
        <v>6106.9150000000018</v>
      </c>
      <c r="X190" s="146">
        <f>X78</f>
        <v>-11616.043999999993</v>
      </c>
      <c r="Y190" s="146">
        <f>Y78</f>
        <v>-686.77100000000166</v>
      </c>
      <c r="Z190" s="146">
        <f>Z78</f>
        <v>9991.2409999999982</v>
      </c>
      <c r="AA190" s="146">
        <f>AA78</f>
        <v>498.5049999999992</v>
      </c>
      <c r="AB190" s="146">
        <f>AB78</f>
        <v>-6642.6280000000006</v>
      </c>
      <c r="AC190" s="146">
        <f>AC78</f>
        <v>2235.1810000000009</v>
      </c>
      <c r="AD190" s="146">
        <f>AD78</f>
        <v>3156.6760000000022</v>
      </c>
      <c r="AE190" s="146">
        <f>AE78</f>
        <v>2653.9070712590456</v>
      </c>
      <c r="AF190" s="146">
        <f>AF78</f>
        <v>-6969.5168122666573</v>
      </c>
      <c r="AG190" s="146">
        <f>AG78</f>
        <v>564.65275174431247</v>
      </c>
      <c r="AH190" s="146">
        <f>AH78</f>
        <v>-103.79571539887468</v>
      </c>
      <c r="AI190" s="146">
        <f>AI78</f>
        <v>9382.6266773205207</v>
      </c>
      <c r="AJ190" s="146">
        <f>AJ78</f>
        <v>-9119.8891425306356</v>
      </c>
      <c r="AK190" s="146">
        <f>AK78</f>
        <v>15719.479226868762</v>
      </c>
      <c r="AL190" s="146">
        <f>AL78</f>
        <v>3091.5586353997346</v>
      </c>
      <c r="AM190" s="282"/>
      <c r="AN190" s="282"/>
      <c r="AO190" s="282"/>
      <c r="AP190" s="146">
        <f>AP78</f>
        <v>4682.4740000000011</v>
      </c>
      <c r="AQ190" s="282"/>
      <c r="AR190" s="282"/>
      <c r="AS190" s="146">
        <f>AS78</f>
        <v>1815.1589999999997</v>
      </c>
      <c r="AT190" s="146">
        <f>AT78</f>
        <v>-2924.3640000000023</v>
      </c>
      <c r="AU190" s="146">
        <f>AU78</f>
        <v>-6475.8110000000015</v>
      </c>
      <c r="AV190" s="146">
        <f>AV78</f>
        <v>3284.8228260741798</v>
      </c>
      <c r="AW190" s="146">
        <f>AW78</f>
        <v>2543.4550000000008</v>
      </c>
      <c r="AX190" s="146">
        <f>AX78</f>
        <v>-11060.379999999997</v>
      </c>
      <c r="AY190" s="146">
        <f>AY78</f>
        <v>8629.8790000000026</v>
      </c>
      <c r="AZ190" s="146">
        <f>AZ78</f>
        <v>-3534.2500489097533</v>
      </c>
      <c r="BA190" s="146">
        <f>BA78</f>
        <v>4374.4199999999992</v>
      </c>
      <c r="BB190" s="146">
        <f>BB78</f>
        <v>1724.240083028466</v>
      </c>
      <c r="BC190" s="146">
        <f>BC78</f>
        <v>1802.5395032325996</v>
      </c>
      <c r="BD190" s="146">
        <f>BD78</f>
        <v>-8050.7611018055595</v>
      </c>
      <c r="BE190" s="146">
        <f>BE78</f>
        <v>-2596.2512762772094</v>
      </c>
      <c r="BF190" s="146">
        <f>BF78</f>
        <v>8594.9792221294174</v>
      </c>
      <c r="BG190" s="146">
        <f>BG78</f>
        <v>-1001.394821408</v>
      </c>
      <c r="BH190" s="146">
        <f>BH78</f>
        <v>-6489.9032760530017</v>
      </c>
      <c r="BI190" s="146">
        <f>BI78</f>
        <v>12751.121247345156</v>
      </c>
      <c r="BJ190" s="136"/>
      <c r="BK190" s="136"/>
      <c r="BL190" s="146"/>
      <c r="BM190" s="146"/>
    </row>
    <row r="191" spans="2:65" s="5" customFormat="1" ht="13.5" customHeight="1" thickTop="1">
      <c r="B191" s="1" t="s">
        <v>323</v>
      </c>
      <c r="C191" s="144">
        <f>C79</f>
        <v>-4267</v>
      </c>
      <c r="D191" s="144">
        <f>D79</f>
        <v>-659</v>
      </c>
      <c r="E191" s="144">
        <f>E79</f>
        <v>-1310</v>
      </c>
      <c r="F191" s="144">
        <f>F79</f>
        <v>-3351.6759999999999</v>
      </c>
      <c r="G191" s="144">
        <f>G79</f>
        <v>-3277.3969999999999</v>
      </c>
      <c r="H191" s="144">
        <f>H79</f>
        <v>-1055.9010000000001</v>
      </c>
      <c r="I191" s="144">
        <f>I79</f>
        <v>-989.30200000000002</v>
      </c>
      <c r="J191" s="144">
        <f>J79</f>
        <v>-2050</v>
      </c>
      <c r="K191" s="144">
        <f>K79</f>
        <v>840</v>
      </c>
      <c r="L191" s="144">
        <f>L79</f>
        <v>-2018</v>
      </c>
      <c r="M191" s="144">
        <f>M79</f>
        <v>-5084.6019999999999</v>
      </c>
      <c r="N191" s="144">
        <f>N79</f>
        <v>2311.64</v>
      </c>
      <c r="O191" s="144">
        <f>O79</f>
        <v>-2230.3580000000002</v>
      </c>
      <c r="P191" s="144">
        <f>P79</f>
        <v>-2239.4240000000004</v>
      </c>
      <c r="Q191" s="134"/>
      <c r="R191" s="144"/>
      <c r="S191" s="144"/>
      <c r="T191" s="216"/>
      <c r="U191" s="144">
        <f>U79</f>
        <v>-315.43299999999999</v>
      </c>
      <c r="V191" s="144">
        <f>V79</f>
        <v>736.93299999999999</v>
      </c>
      <c r="W191" s="144">
        <f>W79</f>
        <v>-562.14499999999998</v>
      </c>
      <c r="X191" s="144">
        <f>X79</f>
        <v>-1169.355</v>
      </c>
      <c r="Y191" s="144">
        <f>Y79</f>
        <v>-966.99800000000005</v>
      </c>
      <c r="Z191" s="144">
        <f>Z79</f>
        <v>-1829.8449999999998</v>
      </c>
      <c r="AA191" s="144">
        <f>AA79</f>
        <v>-210.68499999999995</v>
      </c>
      <c r="AB191" s="144">
        <f>AB79</f>
        <v>-344.14800000000014</v>
      </c>
      <c r="AC191" s="144">
        <f>AC79</f>
        <v>1145.7619999999999</v>
      </c>
      <c r="AD191" s="144">
        <f>AD79</f>
        <v>-1679.84</v>
      </c>
      <c r="AE191" s="144">
        <f>AE79</f>
        <v>-1023.925</v>
      </c>
      <c r="AF191" s="144">
        <f>AF79</f>
        <v>502.10199999999986</v>
      </c>
      <c r="AG191" s="144">
        <f>AG79</f>
        <v>-553.79600000000005</v>
      </c>
      <c r="AH191" s="144">
        <f>AH79</f>
        <v>-77.855999999999995</v>
      </c>
      <c r="AI191" s="144">
        <f>AI79</f>
        <v>251.59400000000005</v>
      </c>
      <c r="AJ191" s="144">
        <f>AJ79</f>
        <v>-609.24400000000014</v>
      </c>
      <c r="AK191" s="144">
        <f>AK79</f>
        <v>3733.8330000000001</v>
      </c>
      <c r="AL191" s="144">
        <f>AL79</f>
        <v>-875.20100000000002</v>
      </c>
      <c r="AM191" s="281"/>
      <c r="AN191" s="281"/>
      <c r="AO191" s="281"/>
      <c r="AP191" s="144">
        <f>AP79</f>
        <v>-301.88099999999997</v>
      </c>
      <c r="AQ191" s="281"/>
      <c r="AR191" s="281"/>
      <c r="AS191" s="144">
        <f>AS79</f>
        <v>232.82300000000001</v>
      </c>
      <c r="AT191" s="144">
        <f>AT79</f>
        <v>-1416.5800000000002</v>
      </c>
      <c r="AU191" s="144">
        <f>AU79</f>
        <v>-1.9819999999998856</v>
      </c>
      <c r="AV191" s="144">
        <f>AV79</f>
        <v>-832.26099999999997</v>
      </c>
      <c r="AW191" s="144">
        <f>AW79</f>
        <v>-2447.4319999999998</v>
      </c>
      <c r="AX191" s="144">
        <f>AX79</f>
        <v>-1807.8450000000003</v>
      </c>
      <c r="AY191" s="144">
        <f>AY79</f>
        <v>1260.4650000000001</v>
      </c>
      <c r="AZ191" s="144">
        <f>AZ79</f>
        <v>-2089.79</v>
      </c>
      <c r="BA191" s="144">
        <f>BA79</f>
        <v>-460.12799999999999</v>
      </c>
      <c r="BB191" s="144">
        <f>BB79</f>
        <v>1450.9680000000001</v>
      </c>
      <c r="BC191" s="144">
        <f>BC79</f>
        <v>1741.067</v>
      </c>
      <c r="BD191" s="144">
        <f>BD79</f>
        <v>-420.26700000000028</v>
      </c>
      <c r="BE191" s="144">
        <f>BE79</f>
        <v>451.06400000000002</v>
      </c>
      <c r="BF191" s="144">
        <f>BF79</f>
        <v>-1781.902</v>
      </c>
      <c r="BG191" s="144">
        <f>BG79</f>
        <v>-827.44400000000019</v>
      </c>
      <c r="BH191" s="144">
        <f>BH79</f>
        <v>-72.076000000000022</v>
      </c>
      <c r="BI191" s="144">
        <f>BI79</f>
        <v>441.99799999999999</v>
      </c>
      <c r="BJ191" s="134"/>
      <c r="BK191" s="134"/>
      <c r="BL191" s="144"/>
      <c r="BM191" s="144"/>
    </row>
    <row r="192" spans="2:65" ht="13.5" customHeight="1">
      <c r="B192" s="1" t="s">
        <v>324</v>
      </c>
      <c r="C192" s="147">
        <f>C80</f>
        <v>0</v>
      </c>
      <c r="D192" s="147">
        <f>D80</f>
        <v>0</v>
      </c>
      <c r="E192" s="147">
        <f>E80</f>
        <v>0</v>
      </c>
      <c r="F192" s="147">
        <f>F80</f>
        <v>0</v>
      </c>
      <c r="G192" s="147">
        <f>G80</f>
        <v>0</v>
      </c>
      <c r="H192" s="147">
        <f>H80</f>
        <v>0</v>
      </c>
      <c r="I192" s="147">
        <f>I80</f>
        <v>0</v>
      </c>
      <c r="J192" s="147">
        <f>J80</f>
        <v>0</v>
      </c>
      <c r="K192" s="147">
        <f>K80</f>
        <v>0</v>
      </c>
      <c r="L192" s="147">
        <f>L80</f>
        <v>0</v>
      </c>
      <c r="M192" s="147">
        <f>M80</f>
        <v>0</v>
      </c>
      <c r="N192" s="147">
        <f>N80</f>
        <v>0</v>
      </c>
      <c r="O192" s="147">
        <f>O80</f>
        <v>0</v>
      </c>
      <c r="P192" s="147">
        <f>P80</f>
        <v>0</v>
      </c>
      <c r="Q192" s="134"/>
      <c r="R192" s="147"/>
      <c r="S192" s="147"/>
      <c r="T192" s="216"/>
      <c r="U192" s="147">
        <f>U80</f>
        <v>0</v>
      </c>
      <c r="V192" s="147">
        <f>V80</f>
        <v>0</v>
      </c>
      <c r="W192" s="147">
        <f>W80</f>
        <v>0</v>
      </c>
      <c r="X192" s="147">
        <f>X80</f>
        <v>0</v>
      </c>
      <c r="Y192" s="147">
        <f>Y80</f>
        <v>0</v>
      </c>
      <c r="Z192" s="147">
        <f>Z80</f>
        <v>0</v>
      </c>
      <c r="AA192" s="147">
        <f>AA80</f>
        <v>0</v>
      </c>
      <c r="AB192" s="147">
        <f>AB80</f>
        <v>0</v>
      </c>
      <c r="AC192" s="147">
        <f>AC80</f>
        <v>0</v>
      </c>
      <c r="AD192" s="147">
        <f>AD80</f>
        <v>0</v>
      </c>
      <c r="AE192" s="147">
        <f>AE80</f>
        <v>0</v>
      </c>
      <c r="AF192" s="147">
        <f>AF80</f>
        <v>0</v>
      </c>
      <c r="AG192" s="147">
        <f>AG80</f>
        <v>0</v>
      </c>
      <c r="AH192" s="147">
        <f>AH80</f>
        <v>0</v>
      </c>
      <c r="AI192" s="147">
        <f>AI80</f>
        <v>0</v>
      </c>
      <c r="AJ192" s="147">
        <f>AJ80</f>
        <v>0</v>
      </c>
      <c r="AK192" s="147">
        <f>AK80</f>
        <v>0</v>
      </c>
      <c r="AL192" s="147">
        <f>AL80</f>
        <v>0</v>
      </c>
      <c r="AM192" s="271"/>
      <c r="AN192" s="271"/>
      <c r="AO192" s="271"/>
      <c r="AP192" s="147">
        <f>AP80</f>
        <v>0</v>
      </c>
      <c r="AQ192" s="271"/>
      <c r="AR192" s="271"/>
      <c r="AS192" s="144">
        <f>AS80</f>
        <v>0</v>
      </c>
      <c r="AT192" s="147">
        <f>AT80</f>
        <v>0</v>
      </c>
      <c r="AU192" s="147">
        <f>AU80</f>
        <v>0</v>
      </c>
      <c r="AV192" s="147">
        <f>AV80</f>
        <v>0</v>
      </c>
      <c r="AW192" s="147">
        <f>AW80</f>
        <v>0</v>
      </c>
      <c r="AX192" s="147">
        <f>AX80</f>
        <v>0</v>
      </c>
      <c r="AY192" s="147">
        <f>AY80</f>
        <v>0</v>
      </c>
      <c r="AZ192" s="147">
        <f>AZ80</f>
        <v>0</v>
      </c>
      <c r="BA192" s="147">
        <f>BA80</f>
        <v>0</v>
      </c>
      <c r="BB192" s="147">
        <f>BB80</f>
        <v>0</v>
      </c>
      <c r="BC192" s="147">
        <f>BC80</f>
        <v>0</v>
      </c>
      <c r="BD192" s="147">
        <f>BD80</f>
        <v>0</v>
      </c>
      <c r="BE192" s="147">
        <f>BE80</f>
        <v>0</v>
      </c>
      <c r="BF192" s="147">
        <f>BF80</f>
        <v>0</v>
      </c>
      <c r="BG192" s="147">
        <f>BG80</f>
        <v>0</v>
      </c>
      <c r="BH192" s="147">
        <f>BH80</f>
        <v>0</v>
      </c>
      <c r="BI192" s="147">
        <f>BI80</f>
        <v>0</v>
      </c>
      <c r="BJ192" s="134"/>
      <c r="BK192" s="134"/>
      <c r="BL192" s="147"/>
      <c r="BM192" s="147"/>
    </row>
    <row r="193" spans="2:65" ht="13.5" customHeight="1">
      <c r="B193" s="1" t="s">
        <v>325</v>
      </c>
      <c r="C193" s="144">
        <f>C81</f>
        <v>-2428</v>
      </c>
      <c r="D193" s="144">
        <f>D81</f>
        <v>-1202</v>
      </c>
      <c r="E193" s="144">
        <f>E81</f>
        <v>-818.17900000000373</v>
      </c>
      <c r="F193" s="144">
        <f>F81</f>
        <v>8482.4199999999946</v>
      </c>
      <c r="G193" s="144">
        <f>G81</f>
        <v>3204.9970007997272</v>
      </c>
      <c r="H193" s="144">
        <f>H81</f>
        <v>4939.5717410076013</v>
      </c>
      <c r="I193" s="144">
        <f>I81</f>
        <v>-2970.1645711353199</v>
      </c>
      <c r="J193" s="144">
        <f>J81</f>
        <v>-1861.3687157248205</v>
      </c>
      <c r="K193" s="144">
        <f>K81</f>
        <v>-1188.2141952523525</v>
      </c>
      <c r="L193" s="144">
        <f>L81</f>
        <v>-652.80682607417839</v>
      </c>
      <c r="M193" s="144">
        <f>M81</f>
        <v>-711.25895109025168</v>
      </c>
      <c r="N193" s="144">
        <f>N81</f>
        <v>-443.02848445550978</v>
      </c>
      <c r="O193" s="144">
        <f>O81</f>
        <v>-989.24384839120216</v>
      </c>
      <c r="P193" s="144">
        <f>P81</f>
        <v>-777.87337201356672</v>
      </c>
      <c r="Q193" s="134"/>
      <c r="R193" s="144"/>
      <c r="S193" s="144"/>
      <c r="T193" s="216"/>
      <c r="U193" s="144">
        <f>U81</f>
        <v>-1108.353000000001</v>
      </c>
      <c r="V193" s="144">
        <f>V81</f>
        <v>-1780.9669999999996</v>
      </c>
      <c r="W193" s="144">
        <f>W81</f>
        <v>-1085.6710000000021</v>
      </c>
      <c r="X193" s="144">
        <f>X81</f>
        <v>3156.811999999999</v>
      </c>
      <c r="Y193" s="144">
        <f>Y81</f>
        <v>4208.0750000000016</v>
      </c>
      <c r="Z193" s="144">
        <f>Z81</f>
        <v>2964.010000000002</v>
      </c>
      <c r="AA193" s="144">
        <f>AA81</f>
        <v>-4237.2569999999996</v>
      </c>
      <c r="AB193" s="144">
        <f>AB81</f>
        <v>5547.5919999999905</v>
      </c>
      <c r="AC193" s="144">
        <f>AC81</f>
        <v>-2598.5860000000011</v>
      </c>
      <c r="AD193" s="144">
        <f>AD81</f>
        <v>2443.3619999999978</v>
      </c>
      <c r="AE193" s="144">
        <f>AE81</f>
        <v>-6624.4940712590451</v>
      </c>
      <c r="AF193" s="144">
        <f>AF81</f>
        <v>11719.28981226665</v>
      </c>
      <c r="AG193" s="144">
        <f>AG81</f>
        <v>-122.22575174431245</v>
      </c>
      <c r="AH193" s="144">
        <f>AH81</f>
        <v>51.823715398874697</v>
      </c>
      <c r="AI193" s="144">
        <f>AI81</f>
        <v>-2889.7226773205207</v>
      </c>
      <c r="AJ193" s="144">
        <f>AJ81</f>
        <v>-10.039857469361436</v>
      </c>
      <c r="AK193" s="144">
        <f>AK81</f>
        <v>-511.05022686876282</v>
      </c>
      <c r="AL193" s="144">
        <f>AL81</f>
        <v>-176.26563539973176</v>
      </c>
      <c r="AM193" s="281"/>
      <c r="AN193" s="281"/>
      <c r="AO193" s="281"/>
      <c r="AP193" s="144">
        <f>AP81</f>
        <v>-1092.208000000001</v>
      </c>
      <c r="AQ193" s="281"/>
      <c r="AR193" s="281"/>
      <c r="AS193" s="144">
        <f>AS81</f>
        <v>147.69100000000026</v>
      </c>
      <c r="AT193" s="144">
        <f>AT81</f>
        <v>469.63100000000247</v>
      </c>
      <c r="AU193" s="144">
        <f>AU81</f>
        <v>111.53200000000174</v>
      </c>
      <c r="AV193" s="144">
        <f>AV81</f>
        <v>-1381.6608260741828</v>
      </c>
      <c r="AW193" s="144">
        <f>AW81</f>
        <v>774.1299999999992</v>
      </c>
      <c r="AX193" s="144">
        <f>AX81</f>
        <v>2669.9209999999975</v>
      </c>
      <c r="AY193" s="144">
        <f>AY81</f>
        <v>-2295.5690000000022</v>
      </c>
      <c r="AZ193" s="144">
        <f>AZ81</f>
        <v>-1859.7409510902462</v>
      </c>
      <c r="BA193" s="144">
        <f>BA81</f>
        <v>71.639000000001033</v>
      </c>
      <c r="BB193" s="144">
        <f>BB81</f>
        <v>49.921916971533392</v>
      </c>
      <c r="BC193" s="144">
        <f>BC81</f>
        <v>-321.36350323259967</v>
      </c>
      <c r="BD193" s="144">
        <f>BD81</f>
        <v>-243.22589819444454</v>
      </c>
      <c r="BE193" s="144">
        <f>BE81</f>
        <v>-125.06672372279036</v>
      </c>
      <c r="BF193" s="144">
        <f>BF81</f>
        <v>-183.25822212941762</v>
      </c>
      <c r="BG193" s="144">
        <f>BG81</f>
        <v>-416.75917859199944</v>
      </c>
      <c r="BH193" s="144">
        <f>BH81</f>
        <v>-264.15972394699475</v>
      </c>
      <c r="BI193" s="144">
        <f>BI81</f>
        <v>86.303752654845084</v>
      </c>
      <c r="BJ193" s="134"/>
      <c r="BK193" s="134"/>
      <c r="BL193" s="144"/>
      <c r="BM193" s="144"/>
    </row>
    <row r="194" spans="2:65" s="5" customFormat="1" ht="13.5" customHeight="1" thickBot="1">
      <c r="B194" s="65" t="s">
        <v>326</v>
      </c>
      <c r="C194" s="146">
        <f>C82</f>
        <v>-2348</v>
      </c>
      <c r="D194" s="146">
        <f>D82</f>
        <v>3031</v>
      </c>
      <c r="E194" s="146">
        <f>E82</f>
        <v>-5513</v>
      </c>
      <c r="F194" s="146">
        <f>F82</f>
        <v>8291.0910000000003</v>
      </c>
      <c r="G194" s="146">
        <f>G82</f>
        <v>8291.0910000000003</v>
      </c>
      <c r="H194" s="146">
        <f>H82</f>
        <v>4959.9179999999997</v>
      </c>
      <c r="I194" s="146">
        <f>I82</f>
        <v>-3235.8720000000003</v>
      </c>
      <c r="J194" s="146">
        <f>J82</f>
        <v>23006</v>
      </c>
      <c r="K194" s="146">
        <f>K82</f>
        <v>3751</v>
      </c>
      <c r="L194" s="146">
        <f>L82</f>
        <v>-6971</v>
      </c>
      <c r="M194" s="146">
        <f>M82</f>
        <v>-9217.1569999999992</v>
      </c>
      <c r="N194" s="146">
        <f>N82</f>
        <v>1719.0499999999997</v>
      </c>
      <c r="O194" s="146">
        <f>O82</f>
        <v>-4712.1719999999996</v>
      </c>
      <c r="P194" s="146">
        <f>P82</f>
        <v>10837.505000000003</v>
      </c>
      <c r="Q194" s="136"/>
      <c r="R194" s="146"/>
      <c r="S194" s="146"/>
      <c r="T194" s="217"/>
      <c r="U194" s="146">
        <f>U82</f>
        <v>2234.0079999999998</v>
      </c>
      <c r="V194" s="146">
        <f>V82</f>
        <v>-2577.5199999999995</v>
      </c>
      <c r="W194" s="146">
        <f>W82</f>
        <v>4459.0990000000002</v>
      </c>
      <c r="X194" s="146">
        <f>X82</f>
        <v>-9628.5869999999923</v>
      </c>
      <c r="Y194" s="146">
        <f>Y82</f>
        <v>2554.306</v>
      </c>
      <c r="Z194" s="146">
        <f>Z82</f>
        <v>11125.406000000001</v>
      </c>
      <c r="AA194" s="146">
        <f>AA82</f>
        <v>-3949.4370000000004</v>
      </c>
      <c r="AB194" s="146">
        <f>AB82</f>
        <v>-1439.1840000000102</v>
      </c>
      <c r="AC194" s="146">
        <f>AC82</f>
        <v>782.35699999999997</v>
      </c>
      <c r="AD194" s="146">
        <f>AD82</f>
        <v>3920.1980000000003</v>
      </c>
      <c r="AE194" s="146">
        <f>AE82</f>
        <v>-4994.5119999999997</v>
      </c>
      <c r="AF194" s="146">
        <f>AF82</f>
        <v>5251.8749999999927</v>
      </c>
      <c r="AG194" s="146">
        <f>AG82</f>
        <v>-111.36900000000003</v>
      </c>
      <c r="AH194" s="146">
        <f>AH82</f>
        <v>-129.82799999999997</v>
      </c>
      <c r="AI194" s="146">
        <f>AI82</f>
        <v>6744.4980000000014</v>
      </c>
      <c r="AJ194" s="146">
        <f>AJ82</f>
        <v>-9739.172999999997</v>
      </c>
      <c r="AK194" s="146">
        <f>AK82</f>
        <v>18942.261999999999</v>
      </c>
      <c r="AL194" s="146">
        <f>AL82</f>
        <v>2040.0920000000028</v>
      </c>
      <c r="AM194" s="282"/>
      <c r="AN194" s="282"/>
      <c r="AO194" s="282"/>
      <c r="AP194" s="146">
        <f>AP82</f>
        <v>3288.3849999999998</v>
      </c>
      <c r="AQ194" s="282"/>
      <c r="AR194" s="282"/>
      <c r="AS194" s="146">
        <f>AS82</f>
        <v>2195.6729999999998</v>
      </c>
      <c r="AT194" s="146">
        <f>AT82</f>
        <v>-3871.3129999999996</v>
      </c>
      <c r="AU194" s="146">
        <f>AU82</f>
        <v>-6366.2609999999995</v>
      </c>
      <c r="AV194" s="146">
        <f>AV82</f>
        <v>1070.9009999999971</v>
      </c>
      <c r="AW194" s="146">
        <f>AW82</f>
        <v>870.15300000000025</v>
      </c>
      <c r="AX194" s="146">
        <f>AX82</f>
        <v>-10198.304</v>
      </c>
      <c r="AY194" s="146">
        <f>AY82</f>
        <v>7594.7750000000005</v>
      </c>
      <c r="AZ194" s="146">
        <f>AZ82</f>
        <v>-7483.7809999999999</v>
      </c>
      <c r="BA194" s="146">
        <f>BA82</f>
        <v>3985.931</v>
      </c>
      <c r="BB194" s="146">
        <f>BB82</f>
        <v>3225.1299999999992</v>
      </c>
      <c r="BC194" s="146">
        <f>BC82</f>
        <v>3222.2429999999999</v>
      </c>
      <c r="BD194" s="146">
        <f>BD82</f>
        <v>-8714.2540000000045</v>
      </c>
      <c r="BE194" s="146">
        <f>BE82</f>
        <v>-2270.2539999999999</v>
      </c>
      <c r="BF194" s="146">
        <f>BF82</f>
        <v>6629.8189999999995</v>
      </c>
      <c r="BG194" s="146">
        <f>BG82</f>
        <v>-2245.5979999999995</v>
      </c>
      <c r="BH194" s="146">
        <f>BH82</f>
        <v>-6826.1389999999965</v>
      </c>
      <c r="BI194" s="146">
        <f>BI82</f>
        <v>13279.423000000001</v>
      </c>
      <c r="BJ194" s="136"/>
      <c r="BK194" s="136"/>
      <c r="BL194" s="146"/>
      <c r="BM194" s="146"/>
    </row>
    <row r="195" spans="2:65" ht="13.5" customHeight="1" thickTop="1" thickBot="1">
      <c r="B195" s="105" t="s">
        <v>327</v>
      </c>
      <c r="C195" s="148">
        <f>C83</f>
        <v>12958</v>
      </c>
      <c r="D195" s="148">
        <f>D83</f>
        <v>15989</v>
      </c>
      <c r="E195" s="148">
        <f>E83</f>
        <v>10476</v>
      </c>
      <c r="F195" s="148">
        <f>F83</f>
        <v>18767.091</v>
      </c>
      <c r="G195" s="148">
        <f>G83</f>
        <v>18767.091</v>
      </c>
      <c r="H195" s="148">
        <f>H83</f>
        <v>23727.008999999998</v>
      </c>
      <c r="I195" s="148">
        <f>I83</f>
        <v>20490.901000000002</v>
      </c>
      <c r="J195" s="148">
        <f>J83</f>
        <v>43496.900999999998</v>
      </c>
      <c r="K195" s="148">
        <f>K83</f>
        <v>47247.900999999998</v>
      </c>
      <c r="L195" s="148">
        <f>L83</f>
        <v>40276.900999999998</v>
      </c>
      <c r="M195" s="148">
        <f>M83</f>
        <v>31059.917999999998</v>
      </c>
      <c r="N195" s="148">
        <f>N83</f>
        <v>32778.968000000001</v>
      </c>
      <c r="O195" s="148">
        <f>O83</f>
        <v>28066.796000000002</v>
      </c>
      <c r="P195" s="148">
        <f>P83</f>
        <v>41346.218999999983</v>
      </c>
      <c r="Q195" s="136"/>
      <c r="R195" s="148"/>
      <c r="S195" s="148"/>
      <c r="T195" s="219"/>
      <c r="U195" s="148">
        <f>U83</f>
        <v>18223.008000000002</v>
      </c>
      <c r="V195" s="148">
        <f>V83</f>
        <v>15645.488000000001</v>
      </c>
      <c r="W195" s="148">
        <f>W83</f>
        <v>20104.587</v>
      </c>
      <c r="X195" s="148">
        <f>X83</f>
        <v>10476.000000000007</v>
      </c>
      <c r="Y195" s="148">
        <f>Y83</f>
        <v>13030.306000000008</v>
      </c>
      <c r="Z195" s="148">
        <f>Z83</f>
        <v>24155.712000000007</v>
      </c>
      <c r="AA195" s="148">
        <f>AA83</f>
        <v>20206.275000000005</v>
      </c>
      <c r="AB195" s="148">
        <f>AB83</f>
        <v>18767.090999999993</v>
      </c>
      <c r="AC195" s="148">
        <f>AC83</f>
        <v>19549.447999999993</v>
      </c>
      <c r="AD195" s="148">
        <f>AD83</f>
        <v>23469.645999999993</v>
      </c>
      <c r="AE195" s="148">
        <f>AE83</f>
        <v>18475.133999999995</v>
      </c>
      <c r="AF195" s="148">
        <f>AF83</f>
        <v>23727.008999999987</v>
      </c>
      <c r="AG195" s="148">
        <f>AG83</f>
        <v>23615.403999999999</v>
      </c>
      <c r="AH195" s="148">
        <f>AH83</f>
        <v>23485.575999999997</v>
      </c>
      <c r="AI195" s="148">
        <f>AI83</f>
        <v>30230.074000000001</v>
      </c>
      <c r="AJ195" s="148">
        <f>AJ83</f>
        <v>20490.901000000005</v>
      </c>
      <c r="AK195" s="148">
        <f>AK83</f>
        <v>39433.163</v>
      </c>
      <c r="AL195" s="148">
        <f>AL83</f>
        <v>41473.255000000005</v>
      </c>
      <c r="AM195" s="148">
        <f>AM83</f>
        <v>58057</v>
      </c>
      <c r="AN195" s="148">
        <f>AN83</f>
        <v>43497.228000000003</v>
      </c>
      <c r="AO195" s="148">
        <f>AO83</f>
        <v>48424.992211382458</v>
      </c>
      <c r="AP195" s="148">
        <f>AP83</f>
        <v>46785.613000000005</v>
      </c>
      <c r="AQ195" s="148">
        <f>AQ83</f>
        <v>50088.027773117428</v>
      </c>
      <c r="AR195" s="148">
        <f>AR83</f>
        <v>47247.727693024499</v>
      </c>
      <c r="AS195" s="148">
        <f>AS83</f>
        <v>49443.400693024501</v>
      </c>
      <c r="AT195" s="148">
        <f>AT83</f>
        <v>45572.086758024932</v>
      </c>
      <c r="AU195" s="148">
        <f>AU83</f>
        <v>39205.825758024934</v>
      </c>
      <c r="AV195" s="148">
        <f>AV83</f>
        <v>40276.726758024932</v>
      </c>
      <c r="AW195" s="148">
        <f>AW83</f>
        <v>41147.227999999988</v>
      </c>
      <c r="AX195" s="148">
        <f>AX83</f>
        <v>30948.923999999988</v>
      </c>
      <c r="AY195" s="148">
        <f>AY83</f>
        <v>38543.698999999986</v>
      </c>
      <c r="AZ195" s="148">
        <f>AZ83</f>
        <v>31059.917999999987</v>
      </c>
      <c r="BA195" s="148">
        <f>BA83</f>
        <v>35045.848999999987</v>
      </c>
      <c r="BB195" s="148">
        <f>BB83</f>
        <v>38270.978999999985</v>
      </c>
      <c r="BC195" s="148">
        <f>BC83</f>
        <v>41493.221999999987</v>
      </c>
      <c r="BD195" s="148">
        <f>BD83</f>
        <v>32778.967999999979</v>
      </c>
      <c r="BE195" s="148">
        <f>BE83</f>
        <v>30508.713999999978</v>
      </c>
      <c r="BF195" s="148">
        <f>BF83</f>
        <v>37138.532999999981</v>
      </c>
      <c r="BG195" s="148">
        <f>BG83</f>
        <v>34892.934999999983</v>
      </c>
      <c r="BH195" s="148">
        <f>BH83</f>
        <v>28066.795999999988</v>
      </c>
      <c r="BI195" s="148">
        <f>BI83</f>
        <v>41346.21899999999</v>
      </c>
      <c r="BJ195" s="136"/>
      <c r="BK195" s="136"/>
      <c r="BL195" s="148"/>
      <c r="BM195" s="148"/>
    </row>
    <row r="196" spans="2:65" ht="13.5" customHeight="1" thickTop="1"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220"/>
      <c r="U196" s="49"/>
      <c r="V196" s="49"/>
      <c r="W196" s="49"/>
      <c r="X196" s="49"/>
      <c r="Y196" s="49"/>
      <c r="Z196" s="49"/>
      <c r="AA196" s="49"/>
      <c r="AB196" s="49"/>
      <c r="AC196" s="49"/>
      <c r="AD196" s="49"/>
      <c r="AE196" s="49"/>
      <c r="AF196" s="49"/>
      <c r="AG196" s="49"/>
      <c r="AH196" s="49"/>
      <c r="AI196" s="49"/>
      <c r="AJ196" s="49"/>
      <c r="AK196" s="49"/>
      <c r="AL196" s="49"/>
      <c r="AM196" s="49"/>
      <c r="AN196" s="49"/>
      <c r="AO196" s="49"/>
      <c r="AP196" s="49"/>
      <c r="AQ196" s="49"/>
      <c r="AR196" s="49"/>
      <c r="AS196" s="49"/>
      <c r="AT196" s="49"/>
      <c r="AU196" s="49"/>
      <c r="AV196" s="49"/>
      <c r="AW196" s="49"/>
      <c r="AX196" s="49"/>
      <c r="AY196" s="49"/>
      <c r="AZ196" s="49"/>
      <c r="BA196" s="49"/>
      <c r="BB196" s="49"/>
      <c r="BC196" s="49"/>
      <c r="BD196" s="49"/>
      <c r="BE196" s="49"/>
      <c r="BF196" s="49"/>
      <c r="BG196" s="49"/>
      <c r="BH196" s="49"/>
      <c r="BI196" s="49"/>
      <c r="BJ196" s="49"/>
      <c r="BK196" s="49"/>
      <c r="BL196" s="49"/>
      <c r="BM196" s="49"/>
    </row>
    <row r="197" spans="2:65" ht="13.5" customHeight="1">
      <c r="B197" s="5" t="s">
        <v>368</v>
      </c>
      <c r="C197" s="253">
        <f>C144</f>
        <v>53069</v>
      </c>
      <c r="D197" s="253">
        <f>D144</f>
        <v>50741</v>
      </c>
      <c r="E197" s="253">
        <f>E144</f>
        <v>78433</v>
      </c>
      <c r="F197" s="254">
        <f>F144</f>
        <v>64593</v>
      </c>
      <c r="G197" s="254">
        <f>G144</f>
        <v>64593</v>
      </c>
      <c r="H197" s="254">
        <f>H144</f>
        <v>58078</v>
      </c>
      <c r="I197" s="254">
        <f>I144</f>
        <v>50869.099000000002</v>
      </c>
      <c r="J197" s="254">
        <f>J144</f>
        <v>45287</v>
      </c>
      <c r="K197" s="254">
        <f>K144</f>
        <v>40040.001174873454</v>
      </c>
      <c r="L197" s="254">
        <f>L144</f>
        <v>40527.433196417893</v>
      </c>
      <c r="M197" s="254">
        <f>M144</f>
        <v>36675</v>
      </c>
      <c r="N197" s="254">
        <f>N144</f>
        <v>44102</v>
      </c>
      <c r="O197" s="254">
        <f>O144</f>
        <v>54614.639876593959</v>
      </c>
      <c r="P197" s="254">
        <f>P144</f>
        <v>49571.451671084447</v>
      </c>
      <c r="Q197" s="136"/>
      <c r="R197" s="254"/>
      <c r="S197" s="254"/>
      <c r="T197" s="254"/>
      <c r="U197" s="254">
        <f>U144</f>
        <v>49669</v>
      </c>
      <c r="V197" s="254">
        <f>V144</f>
        <v>55729</v>
      </c>
      <c r="W197" s="254">
        <f>W144</f>
        <v>53381</v>
      </c>
      <c r="X197" s="254">
        <f>X144</f>
        <v>78433</v>
      </c>
      <c r="Y197" s="254">
        <f>Y144</f>
        <v>68418</v>
      </c>
      <c r="Z197" s="254">
        <f>Z144</f>
        <v>63440</v>
      </c>
      <c r="AA197" s="254">
        <f>AA144</f>
        <v>58459</v>
      </c>
      <c r="AB197" s="254">
        <f>AB144</f>
        <v>64593</v>
      </c>
      <c r="AC197" s="254">
        <f>AC144</f>
        <v>59147</v>
      </c>
      <c r="AD197" s="254">
        <f>AD144</f>
        <v>69791.59</v>
      </c>
      <c r="AE197" s="254">
        <f>AE144</f>
        <v>71486.122000000003</v>
      </c>
      <c r="AF197" s="254">
        <f>AF144</f>
        <v>58078</v>
      </c>
      <c r="AG197" s="254">
        <f>AG144</f>
        <v>54218.596000000005</v>
      </c>
      <c r="AH197" s="254">
        <f>AH144</f>
        <v>53666.423999999999</v>
      </c>
      <c r="AI197" s="254">
        <f>AI144</f>
        <v>47686.307533930383</v>
      </c>
      <c r="AJ197" s="254">
        <f>AJ144</f>
        <v>50869.099000000002</v>
      </c>
      <c r="AK197" s="254">
        <f>AK144</f>
        <v>53504.837</v>
      </c>
      <c r="AL197" s="254">
        <f>AL144</f>
        <v>51122.745000000003</v>
      </c>
      <c r="AM197" s="254">
        <f>AM144</f>
        <v>46347</v>
      </c>
      <c r="AN197" s="254">
        <f>AN144</f>
        <v>45287</v>
      </c>
      <c r="AO197" s="254">
        <f>AO144</f>
        <v>41753.620284907636</v>
      </c>
      <c r="AP197" s="254">
        <f>AP144</f>
        <v>39019.721765960654</v>
      </c>
      <c r="AQ197" s="254">
        <f>AQ144</f>
        <v>36701.903046652587</v>
      </c>
      <c r="AR197" s="254">
        <f>AR144</f>
        <v>40040.001174873454</v>
      </c>
      <c r="AS197" s="254">
        <f>AS144</f>
        <v>36638</v>
      </c>
      <c r="AT197" s="254">
        <f>AT144</f>
        <v>37288.182405736836</v>
      </c>
      <c r="AU197" s="254">
        <f>AU144</f>
        <v>36851</v>
      </c>
      <c r="AV197" s="254">
        <f>AV144</f>
        <v>40527.433196417893</v>
      </c>
      <c r="AW197" s="254">
        <f>AW144</f>
        <v>42019.096999999994</v>
      </c>
      <c r="AX197" s="254">
        <f>AX144</f>
        <v>47022.202964980563</v>
      </c>
      <c r="AY197" s="254">
        <f>AY144</f>
        <v>29841.37322363018</v>
      </c>
      <c r="AZ197" s="254">
        <f>AZ144</f>
        <v>36675</v>
      </c>
      <c r="BA197" s="254">
        <f>BA144</f>
        <v>32005.150999999998</v>
      </c>
      <c r="BB197" s="254">
        <f>BB144</f>
        <v>33175.327443648086</v>
      </c>
      <c r="BC197" s="254">
        <f>BC144</f>
        <v>33410.384162054361</v>
      </c>
      <c r="BD197" s="254">
        <f>BD144</f>
        <v>44102</v>
      </c>
      <c r="BE197" s="254">
        <f>BE144</f>
        <v>47088.286782770447</v>
      </c>
      <c r="BF197" s="254">
        <f>BF144</f>
        <v>47362.31204620783</v>
      </c>
      <c r="BG197" s="254">
        <f>BG144</f>
        <v>45623.931004600629</v>
      </c>
      <c r="BH197" s="254">
        <f>BH144</f>
        <v>54614.639876593959</v>
      </c>
      <c r="BI197" s="254">
        <f>BI144</f>
        <v>49571.451671084447</v>
      </c>
      <c r="BJ197" s="136"/>
      <c r="BK197" s="136"/>
      <c r="BL197" s="64"/>
      <c r="BM197" s="64"/>
    </row>
    <row r="198" spans="2:65" ht="13.5" customHeight="1">
      <c r="B198" s="1" t="s">
        <v>369</v>
      </c>
      <c r="C198" s="64">
        <f>C145</f>
        <v>66027</v>
      </c>
      <c r="D198" s="64">
        <f>D145</f>
        <v>66730</v>
      </c>
      <c r="E198" s="64">
        <f>E145</f>
        <v>88909</v>
      </c>
      <c r="F198" s="147">
        <f>F145</f>
        <v>83360</v>
      </c>
      <c r="G198" s="147">
        <f>G145</f>
        <v>83360</v>
      </c>
      <c r="H198" s="147">
        <f>H145</f>
        <v>81805</v>
      </c>
      <c r="I198" s="147">
        <f>I145</f>
        <v>71360</v>
      </c>
      <c r="J198" s="147">
        <f>J145</f>
        <v>88784</v>
      </c>
      <c r="K198" s="147">
        <f>K145</f>
        <v>87287.728867897953</v>
      </c>
      <c r="L198" s="147">
        <f>L145</f>
        <v>80804.508412944298</v>
      </c>
      <c r="M198" s="147">
        <f>M145</f>
        <v>67735</v>
      </c>
      <c r="N198" s="147">
        <f>N145</f>
        <v>76881</v>
      </c>
      <c r="O198" s="147">
        <f>O145</f>
        <v>82681.435439538458</v>
      </c>
      <c r="P198" s="147">
        <f>P145</f>
        <v>90917.67017102582</v>
      </c>
      <c r="Q198" s="134"/>
      <c r="R198" s="147"/>
      <c r="S198" s="147"/>
      <c r="T198" s="147"/>
      <c r="U198" s="147">
        <f>U145</f>
        <v>67892</v>
      </c>
      <c r="V198" s="147">
        <f>V145</f>
        <v>71375</v>
      </c>
      <c r="W198" s="147">
        <f>W145</f>
        <v>73486</v>
      </c>
      <c r="X198" s="147">
        <f>X145</f>
        <v>88909</v>
      </c>
      <c r="Y198" s="147">
        <f>Y145</f>
        <v>81448</v>
      </c>
      <c r="Z198" s="147">
        <f>Z145</f>
        <v>87595</v>
      </c>
      <c r="AA198" s="147">
        <f>AA145</f>
        <v>78665</v>
      </c>
      <c r="AB198" s="147">
        <f>AB145</f>
        <v>83360</v>
      </c>
      <c r="AC198" s="147">
        <f>AC145</f>
        <v>78696</v>
      </c>
      <c r="AD198" s="147">
        <f>AD145</f>
        <v>93261</v>
      </c>
      <c r="AE198" s="147">
        <f>AE145</f>
        <v>89961</v>
      </c>
      <c r="AF198" s="147">
        <f>AF145</f>
        <v>81805</v>
      </c>
      <c r="AG198" s="147">
        <f>AG145</f>
        <v>77834</v>
      </c>
      <c r="AH198" s="147">
        <f>AH145</f>
        <v>77152</v>
      </c>
      <c r="AI198" s="147">
        <f>AI145</f>
        <v>77916.381533930384</v>
      </c>
      <c r="AJ198" s="147">
        <f>AJ145</f>
        <v>71360</v>
      </c>
      <c r="AK198" s="147">
        <f>AK145</f>
        <v>92938</v>
      </c>
      <c r="AL198" s="147">
        <f>AL145</f>
        <v>92596</v>
      </c>
      <c r="AM198" s="147">
        <f>AM145</f>
        <v>104404</v>
      </c>
      <c r="AN198" s="147">
        <f>AN145</f>
        <v>88784</v>
      </c>
      <c r="AO198" s="147">
        <f>AO145</f>
        <v>90178.612496290094</v>
      </c>
      <c r="AP198" s="147">
        <f>AP145</f>
        <v>85805.334765960652</v>
      </c>
      <c r="AQ198" s="147">
        <f>AQ145</f>
        <v>86789.930819770016</v>
      </c>
      <c r="AR198" s="147">
        <f>AR145</f>
        <v>87287.728867897953</v>
      </c>
      <c r="AS198" s="147">
        <f>AS145</f>
        <v>86081</v>
      </c>
      <c r="AT198" s="147">
        <f>AT145</f>
        <v>82860.269163761768</v>
      </c>
      <c r="AU198" s="147">
        <f>AU145</f>
        <v>76056</v>
      </c>
      <c r="AV198" s="147">
        <f>AV145</f>
        <v>80804.508412944298</v>
      </c>
      <c r="AW198" s="147">
        <f>AW145</f>
        <v>83166.324999999997</v>
      </c>
      <c r="AX198" s="147">
        <f>AX145</f>
        <v>77971.126696596868</v>
      </c>
      <c r="AY198" s="147">
        <f>AY145</f>
        <v>68385.071863518577</v>
      </c>
      <c r="AZ198" s="147">
        <f>AZ145</f>
        <v>67735</v>
      </c>
      <c r="BA198" s="147">
        <f>BA145</f>
        <v>67051</v>
      </c>
      <c r="BB198" s="147">
        <f>BB145</f>
        <v>71446.30646366805</v>
      </c>
      <c r="BC198" s="147">
        <f>BC145</f>
        <v>74903.606112776062</v>
      </c>
      <c r="BD198" s="147">
        <f>BD145</f>
        <v>76881</v>
      </c>
      <c r="BE198" s="147">
        <f>BE145</f>
        <v>77597</v>
      </c>
      <c r="BF198" s="147">
        <f>BF145</f>
        <v>84500.844223599997</v>
      </c>
      <c r="BG198" s="147">
        <f>BG145</f>
        <v>80516.86675317373</v>
      </c>
      <c r="BH198" s="147">
        <f>BH145</f>
        <v>82681.435439538458</v>
      </c>
      <c r="BI198" s="147">
        <f>BI145</f>
        <v>90917.67017102582</v>
      </c>
      <c r="BJ198" s="134"/>
      <c r="BK198" s="134"/>
      <c r="BL198" s="64"/>
      <c r="BM198" s="64"/>
    </row>
    <row r="199" spans="2:65" ht="13.5" customHeight="1">
      <c r="C199" s="64"/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134"/>
      <c r="R199" s="64"/>
      <c r="S199" s="64"/>
      <c r="T199" s="10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/>
      <c r="BB199" s="64"/>
      <c r="BC199" s="64"/>
      <c r="BD199" s="64"/>
      <c r="BE199" s="64"/>
      <c r="BF199" s="64"/>
      <c r="BG199" s="64"/>
      <c r="BH199" s="64"/>
      <c r="BI199" s="64"/>
      <c r="BJ199" s="64"/>
      <c r="BK199" s="64"/>
      <c r="BL199" s="64"/>
      <c r="BM199" s="64"/>
    </row>
    <row r="200" spans="2:65" ht="13.5" hidden="1" customHeight="1" outlineLevel="1">
      <c r="B200" s="5" t="s">
        <v>361</v>
      </c>
      <c r="C200" s="254">
        <f>C134</f>
        <v>60589</v>
      </c>
      <c r="D200" s="254">
        <f>D134</f>
        <v>59093</v>
      </c>
      <c r="E200" s="254">
        <f>E134</f>
        <v>88289</v>
      </c>
      <c r="F200" s="254">
        <f>F134</f>
        <v>74449</v>
      </c>
      <c r="G200" s="254">
        <f>G134</f>
        <v>75953</v>
      </c>
      <c r="H200" s="254">
        <f>H134</f>
        <v>66582</v>
      </c>
      <c r="I200" s="270"/>
      <c r="J200" s="270"/>
      <c r="K200" s="270"/>
      <c r="L200" s="357"/>
      <c r="M200" s="357"/>
      <c r="N200" s="357"/>
      <c r="O200" s="357"/>
      <c r="P200" s="357"/>
      <c r="Q200" s="134"/>
      <c r="R200" s="357">
        <f>R134</f>
        <v>0</v>
      </c>
      <c r="S200" s="357">
        <f>S134</f>
        <v>0</v>
      </c>
      <c r="T200" s="357">
        <f>T134</f>
        <v>0</v>
      </c>
      <c r="U200" s="357">
        <f>U134</f>
        <v>59525</v>
      </c>
      <c r="V200" s="357">
        <f>V134</f>
        <v>65585</v>
      </c>
      <c r="W200" s="357">
        <f>W134</f>
        <v>63237</v>
      </c>
      <c r="X200" s="357">
        <f>X134</f>
        <v>88289</v>
      </c>
      <c r="Y200" s="357">
        <f>Y134</f>
        <v>78274</v>
      </c>
      <c r="Z200" s="357">
        <f>Z134</f>
        <v>73296</v>
      </c>
      <c r="AA200" s="357">
        <f>AA134</f>
        <v>68315</v>
      </c>
      <c r="AB200" s="357">
        <f>AB134</f>
        <v>74449</v>
      </c>
      <c r="AC200" s="357">
        <f>AC134</f>
        <v>68665</v>
      </c>
      <c r="AD200" s="357">
        <f>AD134</f>
        <v>78971.59</v>
      </c>
      <c r="AE200" s="357">
        <f>AE134</f>
        <v>80328.122000000003</v>
      </c>
      <c r="AF200" s="357">
        <f>AF134</f>
        <v>66582</v>
      </c>
      <c r="AG200" s="357"/>
      <c r="AH200" s="357"/>
      <c r="AI200" s="357"/>
      <c r="AJ200" s="357"/>
      <c r="AK200" s="357"/>
      <c r="AL200" s="357"/>
      <c r="AM200" s="357"/>
      <c r="AN200" s="357"/>
      <c r="AO200" s="357"/>
      <c r="AP200" s="357"/>
      <c r="AQ200" s="357"/>
      <c r="AR200" s="357"/>
      <c r="AS200" s="357"/>
      <c r="AT200" s="357"/>
      <c r="AU200" s="357"/>
      <c r="AV200" s="357"/>
      <c r="AW200" s="357"/>
      <c r="AX200" s="357"/>
      <c r="AY200" s="357"/>
      <c r="AZ200" s="357"/>
      <c r="BA200" s="357"/>
      <c r="BB200" s="357"/>
      <c r="BC200" s="357"/>
      <c r="BD200" s="357"/>
      <c r="BE200" s="357"/>
      <c r="BF200" s="357"/>
      <c r="BG200" s="357"/>
      <c r="BH200" s="357"/>
      <c r="BI200" s="357"/>
      <c r="BJ200" s="136"/>
      <c r="BK200" s="136"/>
      <c r="BL200" s="64"/>
      <c r="BM200" s="64"/>
    </row>
    <row r="201" spans="2:65" ht="13.5" hidden="1" customHeight="1" outlineLevel="1">
      <c r="B201" s="1" t="s">
        <v>362</v>
      </c>
      <c r="C201" s="147">
        <f>C135</f>
        <v>73547</v>
      </c>
      <c r="D201" s="147">
        <f>D135</f>
        <v>75082</v>
      </c>
      <c r="E201" s="147">
        <f>E135</f>
        <v>98765</v>
      </c>
      <c r="F201" s="147">
        <f>F135</f>
        <v>93216</v>
      </c>
      <c r="G201" s="147">
        <f>G135</f>
        <v>94720</v>
      </c>
      <c r="H201" s="147">
        <f>H135</f>
        <v>90309</v>
      </c>
      <c r="I201" s="271"/>
      <c r="J201" s="271"/>
      <c r="K201" s="271"/>
      <c r="L201" s="358"/>
      <c r="M201" s="358"/>
      <c r="N201" s="358"/>
      <c r="O201" s="358"/>
      <c r="P201" s="358"/>
      <c r="Q201" s="134"/>
      <c r="R201" s="358">
        <f>R135</f>
        <v>0</v>
      </c>
      <c r="S201" s="358">
        <f>S135</f>
        <v>0</v>
      </c>
      <c r="T201" s="358">
        <f>T135</f>
        <v>0</v>
      </c>
      <c r="U201" s="358">
        <f>U135</f>
        <v>77748</v>
      </c>
      <c r="V201" s="358">
        <f>V135</f>
        <v>81231</v>
      </c>
      <c r="W201" s="358">
        <f>W135</f>
        <v>83342</v>
      </c>
      <c r="X201" s="358">
        <f>X135</f>
        <v>98765</v>
      </c>
      <c r="Y201" s="358">
        <f>Y135</f>
        <v>91304</v>
      </c>
      <c r="Z201" s="358">
        <f>Z135</f>
        <v>97451</v>
      </c>
      <c r="AA201" s="358">
        <f>AA135</f>
        <v>88521</v>
      </c>
      <c r="AB201" s="358">
        <f>AB135</f>
        <v>93216</v>
      </c>
      <c r="AC201" s="358">
        <f>AC135</f>
        <v>88214</v>
      </c>
      <c r="AD201" s="358">
        <f>AD135</f>
        <v>102441</v>
      </c>
      <c r="AE201" s="358">
        <f>AE135</f>
        <v>98803</v>
      </c>
      <c r="AF201" s="358">
        <f>AF135</f>
        <v>90309</v>
      </c>
      <c r="AG201" s="358"/>
      <c r="AH201" s="358"/>
      <c r="AI201" s="358"/>
      <c r="AJ201" s="358"/>
      <c r="AK201" s="358"/>
      <c r="AL201" s="358"/>
      <c r="AM201" s="358"/>
      <c r="AN201" s="358"/>
      <c r="AO201" s="358"/>
      <c r="AP201" s="358"/>
      <c r="AQ201" s="358"/>
      <c r="AR201" s="358"/>
      <c r="AS201" s="358"/>
      <c r="AT201" s="358"/>
      <c r="AU201" s="358"/>
      <c r="AV201" s="358"/>
      <c r="AW201" s="358"/>
      <c r="AX201" s="358"/>
      <c r="AY201" s="358"/>
      <c r="AZ201" s="358"/>
      <c r="BA201" s="358"/>
      <c r="BB201" s="358"/>
      <c r="BC201" s="358"/>
      <c r="BD201" s="358"/>
      <c r="BE201" s="358"/>
      <c r="BF201" s="358"/>
      <c r="BG201" s="358"/>
      <c r="BH201" s="358"/>
      <c r="BI201" s="358"/>
      <c r="BJ201" s="134"/>
      <c r="BK201" s="134"/>
      <c r="BL201" s="64"/>
      <c r="BM201" s="64"/>
    </row>
    <row r="202" spans="2:65" ht="13.5" hidden="1" customHeight="1" outlineLevel="1"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34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34"/>
      <c r="BK202" s="134"/>
      <c r="BL202" s="64"/>
      <c r="BM202" s="64"/>
    </row>
    <row r="203" spans="2:65" ht="13.5" customHeight="1" collapsed="1">
      <c r="B203" s="1" t="s">
        <v>332</v>
      </c>
      <c r="C203" s="147">
        <f>C92</f>
        <v>27692</v>
      </c>
      <c r="D203" s="147">
        <f>D92</f>
        <v>29788</v>
      </c>
      <c r="E203" s="147">
        <f>E92</f>
        <v>32586</v>
      </c>
      <c r="F203" s="147">
        <f>F92</f>
        <v>39545.22600000001</v>
      </c>
      <c r="G203" s="147">
        <f>G92</f>
        <v>36291.546999200269</v>
      </c>
      <c r="H203" s="147">
        <f>H92</f>
        <v>35455.739258992398</v>
      </c>
      <c r="I203" s="147">
        <f>I92</f>
        <v>37147.694571135318</v>
      </c>
      <c r="J203" s="147">
        <f>J92</f>
        <v>37345.368715724821</v>
      </c>
      <c r="K203" s="147">
        <f>K92</f>
        <v>38849.214195252353</v>
      </c>
      <c r="L203" s="147">
        <f>L92</f>
        <v>43000.806826074178</v>
      </c>
      <c r="M203" s="147">
        <f>M92</f>
        <v>46417.584951090248</v>
      </c>
      <c r="N203" s="147">
        <f>N92</f>
        <v>56205.223484455506</v>
      </c>
      <c r="O203" s="147">
        <f>O92</f>
        <v>59109.622848391198</v>
      </c>
      <c r="P203" s="147">
        <f>P92</f>
        <v>59229.242372013563</v>
      </c>
      <c r="Q203" s="134"/>
      <c r="R203" s="147">
        <f>R92</f>
        <v>0</v>
      </c>
      <c r="S203" s="147">
        <f>S92</f>
        <v>0</v>
      </c>
      <c r="T203" s="147">
        <f>T92</f>
        <v>0</v>
      </c>
      <c r="U203" s="147">
        <f>U92</f>
        <v>0</v>
      </c>
      <c r="V203" s="147">
        <f>V92</f>
        <v>0</v>
      </c>
      <c r="W203" s="147">
        <f>W92</f>
        <v>0</v>
      </c>
      <c r="X203" s="147">
        <f>X92</f>
        <v>32586</v>
      </c>
      <c r="Y203" s="147">
        <f>Y92</f>
        <v>34754.601999999999</v>
      </c>
      <c r="Z203" s="147">
        <f>Z92</f>
        <v>35977.035999999993</v>
      </c>
      <c r="AA203" s="147">
        <f>AA92</f>
        <v>37089.868000000002</v>
      </c>
      <c r="AB203" s="147">
        <f>AB92</f>
        <v>39545.22600000001</v>
      </c>
      <c r="AC203" s="147">
        <f>AC92</f>
        <v>39327.241000000009</v>
      </c>
      <c r="AD203" s="147">
        <f>AD92</f>
        <v>39643.461000000003</v>
      </c>
      <c r="AE203" s="147">
        <f>AE92</f>
        <v>39202.203071259049</v>
      </c>
      <c r="AF203" s="147">
        <f>AF92</f>
        <v>35455.739258992391</v>
      </c>
      <c r="AG203" s="147">
        <f>AG92</f>
        <v>35831.827656964902</v>
      </c>
      <c r="AH203" s="147">
        <f>AH92</f>
        <v>36285.646206531426</v>
      </c>
      <c r="AI203" s="147">
        <f>AI92</f>
        <v>37863.384812592893</v>
      </c>
      <c r="AJ203" s="147">
        <f>AJ92</f>
        <v>37147.694571135318</v>
      </c>
      <c r="AK203" s="147">
        <f>AK92</f>
        <v>37693.540046259775</v>
      </c>
      <c r="AL203" s="147">
        <f>AL92</f>
        <v>36734.746397058378</v>
      </c>
      <c r="AM203" s="147">
        <f>AM92</f>
        <v>36740.528719737857</v>
      </c>
      <c r="AN203" s="147">
        <f>AN92</f>
        <v>37345.682703005186</v>
      </c>
      <c r="AO203" s="147">
        <f>AO92</f>
        <v>37066.255476136423</v>
      </c>
      <c r="AP203" s="147">
        <f>AP92</f>
        <v>38852.034840736691</v>
      </c>
      <c r="AQ203" s="147">
        <f>AQ92</f>
        <v>38097.034840736691</v>
      </c>
      <c r="AR203" s="147">
        <f>AR92</f>
        <v>38849.267907762282</v>
      </c>
      <c r="AS203" s="147">
        <f>AS92</f>
        <v>39869.267907762282</v>
      </c>
      <c r="AT203" s="147">
        <f>AT92</f>
        <v>40469.267907762282</v>
      </c>
      <c r="AU203" s="147">
        <f>AU92</f>
        <v>41775.267907762282</v>
      </c>
      <c r="AV203" s="147">
        <f>AV92</f>
        <v>43000.806826074178</v>
      </c>
      <c r="AW203" s="147">
        <f>AW92</f>
        <v>43695.806826074178</v>
      </c>
      <c r="AX203" s="147">
        <f>AX92</f>
        <v>44527.806826074178</v>
      </c>
      <c r="AY203" s="147">
        <f>AY92</f>
        <v>45731.806826074178</v>
      </c>
      <c r="AZ203" s="147">
        <f>AZ92</f>
        <v>46417.584951090248</v>
      </c>
      <c r="BA203" s="147">
        <f>BA92</f>
        <v>47839.584951090248</v>
      </c>
      <c r="BB203" s="147">
        <f>BB92</f>
        <v>50322.681034118716</v>
      </c>
      <c r="BC203" s="147">
        <f>BC92</f>
        <v>52493.596537351317</v>
      </c>
      <c r="BD203" s="147">
        <f>BD92</f>
        <v>56205.223484455506</v>
      </c>
      <c r="BE203" s="147">
        <f>BE92</f>
        <v>57515.4162081783</v>
      </c>
      <c r="BF203" s="147">
        <f>BF92</f>
        <v>56981.011347279244</v>
      </c>
      <c r="BG203" s="147">
        <f>BG92</f>
        <v>57428.810022638645</v>
      </c>
      <c r="BH203" s="147">
        <f>BH92</f>
        <v>59109.622848391198</v>
      </c>
      <c r="BI203" s="147">
        <f>BI92</f>
        <v>59229.242372013563</v>
      </c>
      <c r="BJ203" s="134"/>
      <c r="BK203" s="134"/>
      <c r="BL203" s="64"/>
      <c r="BM203" s="64"/>
    </row>
    <row r="204" spans="2:65" ht="13.5" customHeight="1">
      <c r="B204" s="1" t="s">
        <v>333</v>
      </c>
      <c r="C204" s="147">
        <f>C93</f>
        <v>28632</v>
      </c>
      <c r="D204" s="147">
        <f>D93</f>
        <v>30832</v>
      </c>
      <c r="E204" s="147">
        <f>E93</f>
        <v>33818</v>
      </c>
      <c r="F204" s="147">
        <f>F93</f>
        <v>40777.22600000001</v>
      </c>
      <c r="G204" s="147">
        <f>G93</f>
        <v>37711.546999200269</v>
      </c>
      <c r="H204" s="147">
        <f>H93</f>
        <v>36518.739258992398</v>
      </c>
      <c r="I204" s="271"/>
      <c r="J204" s="358"/>
      <c r="K204" s="358"/>
      <c r="L204" s="358"/>
      <c r="M204" s="358"/>
      <c r="N204" s="358"/>
      <c r="O204" s="358"/>
      <c r="P204" s="358"/>
      <c r="Q204" s="134"/>
      <c r="R204" s="358">
        <f>R93</f>
        <v>0</v>
      </c>
      <c r="S204" s="358">
        <f>S93</f>
        <v>0</v>
      </c>
      <c r="T204" s="358">
        <f>T93</f>
        <v>0</v>
      </c>
      <c r="U204" s="358">
        <f>U93</f>
        <v>0</v>
      </c>
      <c r="V204" s="358">
        <f>V93</f>
        <v>0</v>
      </c>
      <c r="W204" s="358">
        <f>W93</f>
        <v>0</v>
      </c>
      <c r="X204" s="358">
        <f>X93</f>
        <v>33818</v>
      </c>
      <c r="Y204" s="358">
        <f>Y93</f>
        <v>35986.601999999999</v>
      </c>
      <c r="Z204" s="358">
        <f>Z93</f>
        <v>37209.035999999993</v>
      </c>
      <c r="AA204" s="358">
        <f>AA93</f>
        <v>38321.868000000002</v>
      </c>
      <c r="AB204" s="358">
        <f>AB93</f>
        <v>40777.22600000001</v>
      </c>
      <c r="AC204" s="358">
        <f>AC93</f>
        <v>40516.991000000009</v>
      </c>
      <c r="AD204" s="358">
        <f>AD93</f>
        <v>40790.961000000003</v>
      </c>
      <c r="AE204" s="358">
        <f>AE93</f>
        <v>40307.453071259049</v>
      </c>
      <c r="AF204" s="358">
        <f>AF93</f>
        <v>36518.739258992391</v>
      </c>
      <c r="AG204" s="358"/>
      <c r="AH204" s="358"/>
      <c r="AI204" s="358"/>
      <c r="AJ204" s="358"/>
      <c r="AK204" s="358"/>
      <c r="AL204" s="358"/>
      <c r="AM204" s="358"/>
      <c r="AN204" s="358"/>
      <c r="AO204" s="358"/>
      <c r="AP204" s="358"/>
      <c r="AQ204" s="358"/>
      <c r="AR204" s="358"/>
      <c r="AS204" s="358"/>
      <c r="AT204" s="358"/>
      <c r="AU204" s="358"/>
      <c r="AV204" s="358"/>
      <c r="AW204" s="358"/>
      <c r="AX204" s="358"/>
      <c r="AY204" s="358"/>
      <c r="AZ204" s="358"/>
      <c r="BA204" s="358"/>
      <c r="BB204" s="358"/>
      <c r="BC204" s="358"/>
      <c r="BD204" s="358"/>
      <c r="BE204" s="358"/>
      <c r="BF204" s="358"/>
      <c r="BG204" s="358"/>
      <c r="BH204" s="358"/>
      <c r="BI204" s="358"/>
      <c r="BJ204" s="134"/>
      <c r="BK204" s="134"/>
      <c r="BL204" s="64"/>
      <c r="BM204" s="64"/>
    </row>
    <row r="205" spans="2:65" ht="13.5" customHeight="1"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134"/>
      <c r="R205" s="49"/>
      <c r="S205" s="49"/>
      <c r="T205" s="220"/>
      <c r="U205" s="49"/>
      <c r="V205" s="49"/>
      <c r="W205" s="49"/>
      <c r="X205" s="49"/>
      <c r="Y205" s="49"/>
      <c r="Z205" s="49"/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  <c r="AX205" s="49"/>
      <c r="AY205" s="49"/>
      <c r="AZ205" s="49"/>
      <c r="BA205" s="49"/>
      <c r="BB205" s="49"/>
      <c r="BC205" s="49"/>
      <c r="BD205" s="49"/>
      <c r="BE205" s="49"/>
      <c r="BF205" s="49"/>
      <c r="BG205" s="49"/>
      <c r="BH205" s="49"/>
      <c r="BI205" s="49"/>
      <c r="BJ205" s="49"/>
      <c r="BK205" s="49"/>
      <c r="BL205" s="49"/>
      <c r="BM205" s="49"/>
    </row>
    <row r="206" spans="2:65" ht="13.5" customHeight="1">
      <c r="B206" s="5" t="s">
        <v>370</v>
      </c>
      <c r="C206" s="50">
        <f>C147</f>
        <v>1.9164018489094323</v>
      </c>
      <c r="D206" s="50">
        <f>D147</f>
        <v>1.7034040553242917</v>
      </c>
      <c r="E206" s="50">
        <f>E147</f>
        <v>2.4069539065856502</v>
      </c>
      <c r="F206" s="50">
        <f>F147</f>
        <v>1.63339564679691</v>
      </c>
      <c r="G206" s="50">
        <f>G147</f>
        <v>1.7798359491653357</v>
      </c>
      <c r="H206" s="50">
        <f>H147</f>
        <v>1.6380422807083361</v>
      </c>
      <c r="I206" s="50">
        <f>I147</f>
        <v>1.3693743201906952</v>
      </c>
      <c r="J206" s="50">
        <f>J147</f>
        <v>1.2126537120232324</v>
      </c>
      <c r="K206" s="50">
        <f>K147</f>
        <v>1.0306515074831712</v>
      </c>
      <c r="L206" s="50">
        <f>L147</f>
        <v>0.94248076228754574</v>
      </c>
      <c r="M206" s="50">
        <f>M147</f>
        <v>0.79011004210245073</v>
      </c>
      <c r="N206" s="50">
        <f>N147</f>
        <v>0.78466016618895118</v>
      </c>
      <c r="O206" s="50">
        <f>O147</f>
        <v>0.92395514037830506</v>
      </c>
      <c r="P206" s="50">
        <f>P147</f>
        <v>0.83694218743725612</v>
      </c>
      <c r="Q206" s="134"/>
      <c r="R206" s="50"/>
      <c r="S206" s="50"/>
      <c r="T206" s="102"/>
      <c r="U206" s="50"/>
      <c r="V206" s="50"/>
      <c r="W206" s="50"/>
      <c r="X206" s="50">
        <f>X147</f>
        <v>2.4069539065856502</v>
      </c>
      <c r="Y206" s="50">
        <f>Y147</f>
        <v>1.9686026040522635</v>
      </c>
      <c r="Z206" s="50">
        <f>Z147</f>
        <v>1.7633470417073829</v>
      </c>
      <c r="AA206" s="50">
        <f>AA147</f>
        <v>1.5761447304153251</v>
      </c>
      <c r="AB206" s="50">
        <f>AB147</f>
        <v>1.63339564679691</v>
      </c>
      <c r="AC206" s="50">
        <f>AC147</f>
        <v>1.5039702378308202</v>
      </c>
      <c r="AD206" s="50">
        <f>AD147</f>
        <v>1.7604817601571163</v>
      </c>
      <c r="AE206" s="50">
        <f>AE147</f>
        <v>1.8235230777733966</v>
      </c>
      <c r="AF206" s="50">
        <f>AF147</f>
        <v>1.6380422807083366</v>
      </c>
      <c r="AG206" s="50">
        <f>AG147</f>
        <v>1.5131406781440335</v>
      </c>
      <c r="AH206" s="50">
        <f>AH147</f>
        <v>1.4789987119022294</v>
      </c>
      <c r="AI206" s="50">
        <f>AI147</f>
        <v>1.25943065497067</v>
      </c>
      <c r="AJ206" s="50">
        <f>AJ147</f>
        <v>1.3693743201906952</v>
      </c>
      <c r="AK206" s="50">
        <f>AK147</f>
        <v>1.4194696739636461</v>
      </c>
      <c r="AL206" s="50">
        <f>AL147</f>
        <v>1.3916727353286908</v>
      </c>
      <c r="AM206" s="50">
        <f>AM147</f>
        <v>1.2614679650786116</v>
      </c>
      <c r="AN206" s="50">
        <f>AN147</f>
        <v>1.2126435165250247</v>
      </c>
      <c r="AO206" s="50">
        <f>AO147</f>
        <v>1.126459086534624</v>
      </c>
      <c r="AP206" s="50">
        <f>AP147</f>
        <v>1.0043160397109534</v>
      </c>
      <c r="AQ206" s="50">
        <f>AQ147</f>
        <v>0.96337951759457385</v>
      </c>
      <c r="AR206" s="50">
        <f>AR147</f>
        <v>1.0306500825173404</v>
      </c>
      <c r="AS206" s="50">
        <f>AS147</f>
        <v>0.9189534175737103</v>
      </c>
      <c r="AT206" s="50">
        <f>AT147</f>
        <v>0.92139503216920582</v>
      </c>
      <c r="AU206" s="50">
        <f>AU147</f>
        <v>0.8821248036365722</v>
      </c>
      <c r="AV206" s="50">
        <f>AV147</f>
        <v>0.94248076228754574</v>
      </c>
      <c r="AW206" s="50">
        <f>AW147</f>
        <v>0.96162767213000266</v>
      </c>
      <c r="AX206" s="50">
        <f>AX147</f>
        <v>1.056018841185004</v>
      </c>
      <c r="AY206" s="50">
        <f>AY147</f>
        <v>0.65252994129713671</v>
      </c>
      <c r="AZ206" s="50">
        <f>AZ147</f>
        <v>0.79011004210245073</v>
      </c>
      <c r="BA206" s="50">
        <f>BA147</f>
        <v>0.66900979665105997</v>
      </c>
      <c r="BB206" s="50">
        <f>BB147</f>
        <v>0.65925198661723239</v>
      </c>
      <c r="BC206" s="50">
        <f>BC147</f>
        <v>0.63646589995565495</v>
      </c>
      <c r="BD206" s="50">
        <f>BD147</f>
        <v>0.78466016618895118</v>
      </c>
      <c r="BE206" s="50">
        <f>BE147</f>
        <v>0.81870722472620849</v>
      </c>
      <c r="BF206" s="50">
        <f>BF147</f>
        <v>0.83119465461136133</v>
      </c>
      <c r="BG206" s="50">
        <f>BG147</f>
        <v>0.79444325916931779</v>
      </c>
      <c r="BH206" s="50">
        <f>BH147</f>
        <v>0.92395514037830506</v>
      </c>
      <c r="BI206" s="50">
        <f>BI147</f>
        <v>0.83694218743725612</v>
      </c>
      <c r="BJ206" s="50"/>
      <c r="BK206" s="50"/>
      <c r="BL206" s="51"/>
      <c r="BM206" s="51"/>
    </row>
    <row r="207" spans="2:65" ht="12.75">
      <c r="B207" s="1" t="s">
        <v>371</v>
      </c>
      <c r="C207" s="51">
        <f>C148</f>
        <v>2.3843348259425103</v>
      </c>
      <c r="D207" s="51">
        <f>D148</f>
        <v>2.240163824358802</v>
      </c>
      <c r="E207" s="51">
        <f>E148</f>
        <v>2.7284416620634628</v>
      </c>
      <c r="F207" s="51">
        <f>F148</f>
        <v>2.1079662055794035</v>
      </c>
      <c r="G207" s="51">
        <f>G148</f>
        <v>2.296953612967696</v>
      </c>
      <c r="H207" s="51">
        <f>H148</f>
        <v>2.3072428247072114</v>
      </c>
      <c r="I207" s="51">
        <f>I148</f>
        <v>1.9209805836900709</v>
      </c>
      <c r="J207" s="51">
        <f>J148</f>
        <v>2.3773764472866534</v>
      </c>
      <c r="K207" s="51">
        <f>K148</f>
        <v>2.2468338337346636</v>
      </c>
      <c r="L207" s="51">
        <f>L148</f>
        <v>1.8791393552166393</v>
      </c>
      <c r="M207" s="51">
        <f>M148</f>
        <v>1.4592529980043489</v>
      </c>
      <c r="N207" s="51">
        <f>N148</f>
        <v>1.3678621884897002</v>
      </c>
      <c r="O207" s="51">
        <f>O148</f>
        <v>1.3987813059069252</v>
      </c>
      <c r="P207" s="51">
        <f>P148</f>
        <v>1.5350132220159103</v>
      </c>
      <c r="Q207" s="134"/>
      <c r="R207" s="51"/>
      <c r="S207" s="51"/>
      <c r="T207" s="103"/>
      <c r="U207" s="51"/>
      <c r="V207" s="51"/>
      <c r="W207" s="51"/>
      <c r="X207" s="51">
        <f>X148</f>
        <v>2.7284416620634628</v>
      </c>
      <c r="Y207" s="51">
        <f>Y148</f>
        <v>2.3435169822977691</v>
      </c>
      <c r="Z207" s="51">
        <f>Z148</f>
        <v>2.4347475428492782</v>
      </c>
      <c r="AA207" s="51">
        <f>AA148</f>
        <v>2.120929629622839</v>
      </c>
      <c r="AB207" s="51">
        <f>AB148</f>
        <v>2.1079662055794035</v>
      </c>
      <c r="AC207" s="51">
        <f>AC148</f>
        <v>2.0010557058909875</v>
      </c>
      <c r="AD207" s="51">
        <f>AD148</f>
        <v>2.3524938955254182</v>
      </c>
      <c r="AE207" s="51">
        <f>AE148</f>
        <v>2.294794500106923</v>
      </c>
      <c r="AF207" s="51">
        <f>AF148</f>
        <v>2.3072428247072123</v>
      </c>
      <c r="AG207" s="51">
        <f>AG148</f>
        <v>2.1722029014300315</v>
      </c>
      <c r="AH207" s="51">
        <f>AH148</f>
        <v>2.1262402097199695</v>
      </c>
      <c r="AI207" s="51">
        <f>AI148</f>
        <v>2.0578292701400631</v>
      </c>
      <c r="AJ207" s="51">
        <f>AJ148</f>
        <v>1.9209805836900709</v>
      </c>
      <c r="AK207" s="51">
        <f>AK148</f>
        <v>2.4656214270652455</v>
      </c>
      <c r="AL207" s="51">
        <f>AL148</f>
        <v>2.5206652850995277</v>
      </c>
      <c r="AM207" s="51">
        <f>AM148</f>
        <v>2.8416575274789602</v>
      </c>
      <c r="AN207" s="51">
        <f>AN148</f>
        <v>2.3773564592743566</v>
      </c>
      <c r="AO207" s="51">
        <f>AO148</f>
        <v>2.4329032252623377</v>
      </c>
      <c r="AP207" s="51">
        <f>AP148</f>
        <v>2.2085158503974425</v>
      </c>
      <c r="AQ207" s="51">
        <f>AQ148</f>
        <v>2.2781282370817637</v>
      </c>
      <c r="AR207" s="51">
        <f>AR148</f>
        <v>2.2468307272904213</v>
      </c>
      <c r="AS207" s="51">
        <f>AS148</f>
        <v>2.1590815311469664</v>
      </c>
      <c r="AT207" s="51">
        <f>AT148</f>
        <v>2.0474862394994946</v>
      </c>
      <c r="AU207" s="51">
        <f>AU148</f>
        <v>1.8205987372224128</v>
      </c>
      <c r="AV207" s="51">
        <f>AV148</f>
        <v>1.8791393552166393</v>
      </c>
      <c r="AW207" s="51">
        <f>AW148</f>
        <v>1.9033021939847317</v>
      </c>
      <c r="AX207" s="51">
        <f>AX148</f>
        <v>1.751065957529695</v>
      </c>
      <c r="AY207" s="51">
        <f>AY148</f>
        <v>1.4953503176377572</v>
      </c>
      <c r="AZ207" s="51">
        <f>AZ148</f>
        <v>1.4592529980043489</v>
      </c>
      <c r="BA207" s="51">
        <f>BA148</f>
        <v>1.4015798855393693</v>
      </c>
      <c r="BB207" s="51">
        <f>BB148</f>
        <v>1.4197635140947189</v>
      </c>
      <c r="BC207" s="51">
        <f>BC148</f>
        <v>1.4269093956913224</v>
      </c>
      <c r="BD207" s="51">
        <f>BD148</f>
        <v>1.3678621884897002</v>
      </c>
      <c r="BE207" s="51">
        <f>BE148</f>
        <v>1.3491513252574923</v>
      </c>
      <c r="BF207" s="51">
        <f>BF148</f>
        <v>1.4829649777291076</v>
      </c>
      <c r="BG207" s="51">
        <f>BG148</f>
        <v>1.4020291683117532</v>
      </c>
      <c r="BH207" s="51">
        <f>BH148</f>
        <v>1.3987813059069252</v>
      </c>
      <c r="BI207" s="51">
        <f>BI148</f>
        <v>1.5350132220159103</v>
      </c>
      <c r="BJ207" s="51"/>
      <c r="BK207" s="51"/>
      <c r="BL207" s="51"/>
      <c r="BM207" s="51"/>
    </row>
    <row r="208" spans="2:65" ht="12.75"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134"/>
      <c r="R208" s="51"/>
      <c r="S208" s="51"/>
      <c r="T208" s="103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  <c r="BE208" s="51"/>
      <c r="BF208" s="51"/>
      <c r="BG208" s="51"/>
      <c r="BH208" s="51"/>
      <c r="BI208" s="51"/>
      <c r="BJ208" s="51"/>
      <c r="BK208" s="51"/>
      <c r="BL208" s="51"/>
      <c r="BM208" s="51"/>
    </row>
    <row r="209" spans="2:65" ht="12.75" hidden="1" outlineLevel="1">
      <c r="B209" s="5" t="s">
        <v>372</v>
      </c>
      <c r="C209" s="50">
        <f>C150</f>
        <v>2.1161288069293098</v>
      </c>
      <c r="D209" s="50">
        <f>D150</f>
        <v>1.9166126102750389</v>
      </c>
      <c r="E209" s="50">
        <f>E150</f>
        <v>2.6107102726358744</v>
      </c>
      <c r="F209" s="50">
        <f>F150</f>
        <v>1.825749500468717</v>
      </c>
      <c r="G209" s="50">
        <f>G150</f>
        <v>2.0140515583094669</v>
      </c>
      <c r="H209" s="50">
        <f>H150</f>
        <v>1.8232283301950192</v>
      </c>
      <c r="I209" s="272"/>
      <c r="J209" s="272"/>
      <c r="K209" s="272"/>
      <c r="L209" s="359"/>
      <c r="M209" s="359"/>
      <c r="N209" s="359"/>
      <c r="O209" s="359"/>
      <c r="P209" s="359"/>
      <c r="Q209" s="134"/>
      <c r="R209" s="359"/>
      <c r="S209" s="359"/>
      <c r="T209" s="360"/>
      <c r="U209" s="359"/>
      <c r="V209" s="359"/>
      <c r="W209" s="359"/>
      <c r="X209" s="359">
        <f>X150</f>
        <v>2.6107102726358744</v>
      </c>
      <c r="Y209" s="359">
        <f>Y150</f>
        <v>2.1750872727577892</v>
      </c>
      <c r="Z209" s="359">
        <f>Z150</f>
        <v>1.9698440991591402</v>
      </c>
      <c r="AA209" s="359">
        <f>AA150</f>
        <v>1.782663621721154</v>
      </c>
      <c r="AB209" s="359">
        <f>AB150</f>
        <v>1.825749500468717</v>
      </c>
      <c r="AC209" s="359">
        <f>AC150</f>
        <v>1.6947211109531797</v>
      </c>
      <c r="AD209" s="359">
        <f>AD150</f>
        <v>1.9360070972586303</v>
      </c>
      <c r="AE209" s="359">
        <f>AE150</f>
        <v>1.9928850840063972</v>
      </c>
      <c r="AF209" s="359">
        <f>AF150</f>
        <v>1.8232283301950194</v>
      </c>
      <c r="AG209" s="359"/>
      <c r="AH209" s="359"/>
      <c r="AI209" s="359"/>
      <c r="AJ209" s="359"/>
      <c r="AK209" s="359"/>
      <c r="AL209" s="359"/>
      <c r="AM209" s="359"/>
      <c r="AN209" s="359"/>
      <c r="AO209" s="359"/>
      <c r="AP209" s="359"/>
      <c r="AQ209" s="359"/>
      <c r="AR209" s="359"/>
      <c r="AS209" s="359"/>
      <c r="AT209" s="359"/>
      <c r="AU209" s="359"/>
      <c r="AV209" s="359"/>
      <c r="AW209" s="359"/>
      <c r="AX209" s="359"/>
      <c r="AY209" s="359"/>
      <c r="AZ209" s="359"/>
      <c r="BA209" s="359"/>
      <c r="BB209" s="359"/>
      <c r="BC209" s="359"/>
      <c r="BD209" s="359"/>
      <c r="BE209" s="359"/>
      <c r="BF209" s="359"/>
      <c r="BG209" s="359"/>
      <c r="BH209" s="359"/>
      <c r="BI209" s="359"/>
      <c r="BJ209" s="50"/>
      <c r="BK209" s="50"/>
      <c r="BL209" s="51"/>
      <c r="BM209" s="51"/>
    </row>
    <row r="210" spans="2:65" ht="12.75" hidden="1" outlineLevel="1">
      <c r="B210" s="1" t="s">
        <v>373</v>
      </c>
      <c r="C210" s="51">
        <f>C151</f>
        <v>2.5686993573623917</v>
      </c>
      <c r="D210" s="51">
        <f>D151</f>
        <v>2.4351971977166582</v>
      </c>
      <c r="E210" s="51">
        <f>E151</f>
        <v>2.9204861316458692</v>
      </c>
      <c r="F210" s="51">
        <f>F151</f>
        <v>2.2859818860655206</v>
      </c>
      <c r="G210" s="51">
        <f>G151</f>
        <v>2.5116975445745751</v>
      </c>
      <c r="H210" s="51">
        <f>H151</f>
        <v>2.4729495550085905</v>
      </c>
      <c r="I210" s="273"/>
      <c r="J210" s="273"/>
      <c r="K210" s="273"/>
      <c r="L210" s="361"/>
      <c r="M210" s="361"/>
      <c r="N210" s="361"/>
      <c r="O210" s="361"/>
      <c r="P210" s="361"/>
      <c r="Q210" s="134"/>
      <c r="R210" s="361"/>
      <c r="S210" s="361"/>
      <c r="T210" s="362"/>
      <c r="U210" s="361"/>
      <c r="V210" s="361"/>
      <c r="W210" s="361"/>
      <c r="X210" s="361">
        <f>X151</f>
        <v>2.9204861316458692</v>
      </c>
      <c r="Y210" s="361">
        <f>Y151</f>
        <v>2.5371664710105168</v>
      </c>
      <c r="Z210" s="361">
        <f>Z151</f>
        <v>2.6190143705953579</v>
      </c>
      <c r="AA210" s="361">
        <f>AA151</f>
        <v>2.3099343695876202</v>
      </c>
      <c r="AB210" s="361">
        <f>AB151</f>
        <v>2.2859818860655206</v>
      </c>
      <c r="AC210" s="361">
        <f>AC151</f>
        <v>2.177210049976317</v>
      </c>
      <c r="AD210" s="361">
        <f>AD151</f>
        <v>2.5113652017171155</v>
      </c>
      <c r="AE210" s="361">
        <f>AE151</f>
        <v>2.4512340143478526</v>
      </c>
      <c r="AF210" s="361">
        <f>AF151</f>
        <v>2.4729495550085909</v>
      </c>
      <c r="AG210" s="361"/>
      <c r="AH210" s="361"/>
      <c r="AI210" s="361"/>
      <c r="AJ210" s="361"/>
      <c r="AK210" s="361"/>
      <c r="AL210" s="361"/>
      <c r="AM210" s="361"/>
      <c r="AN210" s="361"/>
      <c r="AO210" s="361"/>
      <c r="AP210" s="361"/>
      <c r="AQ210" s="361"/>
      <c r="AR210" s="361"/>
      <c r="AS210" s="361"/>
      <c r="AT210" s="361"/>
      <c r="AU210" s="361"/>
      <c r="AV210" s="361"/>
      <c r="AW210" s="361"/>
      <c r="AX210" s="361"/>
      <c r="AY210" s="361"/>
      <c r="AZ210" s="361"/>
      <c r="BA210" s="361"/>
      <c r="BB210" s="361"/>
      <c r="BC210" s="361"/>
      <c r="BD210" s="361"/>
      <c r="BE210" s="361"/>
      <c r="BF210" s="361"/>
      <c r="BG210" s="361"/>
      <c r="BH210" s="361"/>
      <c r="BI210" s="361"/>
      <c r="BJ210" s="51"/>
      <c r="BK210" s="51"/>
      <c r="BL210" s="51"/>
      <c r="BM210" s="51"/>
    </row>
    <row r="211" spans="2:65" ht="12.75" collapsed="1"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134"/>
      <c r="R211" s="51"/>
      <c r="S211" s="51"/>
      <c r="T211" s="103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  <c r="BE211" s="51"/>
      <c r="BF211" s="51"/>
      <c r="BG211" s="51"/>
      <c r="BH211" s="51"/>
      <c r="BI211" s="51"/>
      <c r="BJ211" s="51"/>
      <c r="BK211" s="51"/>
      <c r="BL211" s="51"/>
      <c r="BM211" s="51"/>
    </row>
    <row r="212" spans="2:65" s="5" customFormat="1" ht="12.75">
      <c r="B212" s="5" t="s">
        <v>374</v>
      </c>
      <c r="C212" s="50">
        <f>C153</f>
        <v>5.3353236957888122</v>
      </c>
      <c r="D212" s="50">
        <f>D153</f>
        <v>5.4585201793721971</v>
      </c>
      <c r="E212" s="50">
        <f>E153</f>
        <v>5.4832605531295489</v>
      </c>
      <c r="F212" s="50">
        <f>F153</f>
        <v>6.2752639403957007</v>
      </c>
      <c r="G212" s="50">
        <f>G153</f>
        <v>5.9024691480875182</v>
      </c>
      <c r="H212" s="50">
        <f>H153</f>
        <v>5.2040155758636786</v>
      </c>
      <c r="I212" s="50">
        <f>I153</f>
        <v>5.6444994554018235</v>
      </c>
      <c r="J212" s="50">
        <f>J153</f>
        <v>4.5052954270541035</v>
      </c>
      <c r="K212" s="50">
        <f>K153</f>
        <v>6.2701104266383725</v>
      </c>
      <c r="L212" s="50">
        <f>L153</f>
        <v>5.4632545395998724</v>
      </c>
      <c r="M212" s="50">
        <f>M153</f>
        <v>5.6034474672618915</v>
      </c>
      <c r="N212" s="50">
        <f>N153</f>
        <v>6.5359773494473519</v>
      </c>
      <c r="O212" s="50">
        <f>O153</f>
        <v>7.0467840856333899</v>
      </c>
      <c r="P212" s="50">
        <f>P153</f>
        <v>7.4882211250634736</v>
      </c>
      <c r="Q212" s="134"/>
      <c r="R212" s="50"/>
      <c r="S212" s="50"/>
      <c r="T212" s="102"/>
      <c r="U212" s="50"/>
      <c r="V212" s="50"/>
      <c r="W212" s="50"/>
      <c r="X212" s="50">
        <f>X153</f>
        <v>5.4832605531295489</v>
      </c>
      <c r="Y212" s="50">
        <f>Y153</f>
        <v>5.1131445593513938</v>
      </c>
      <c r="Z212" s="50">
        <f>Z153</f>
        <v>5.8258644876072694</v>
      </c>
      <c r="AA212" s="50">
        <f>AA153</f>
        <v>6.0520788127602687</v>
      </c>
      <c r="AB212" s="50">
        <f>AB153</f>
        <v>6.2752639403957007</v>
      </c>
      <c r="AC212" s="50">
        <f>AC153</f>
        <v>7.1445083250420289</v>
      </c>
      <c r="AD212" s="50">
        <f>AD153</f>
        <v>6.0493982060128806</v>
      </c>
      <c r="AE212" s="50">
        <f>AE153</f>
        <v>5.9881466602280611</v>
      </c>
      <c r="AF212" s="50">
        <f>AF153</f>
        <v>5.2040155758636759</v>
      </c>
      <c r="AG212" s="50">
        <f>AG153</f>
        <v>4.4620301099262241</v>
      </c>
      <c r="AH212" s="50">
        <f>AH153</f>
        <v>3.2108451955530861</v>
      </c>
      <c r="AI212" s="50">
        <f>AI153</f>
        <v>3.358946028278345</v>
      </c>
      <c r="AJ212" s="50">
        <f>AJ153</f>
        <v>5.6444994554018235</v>
      </c>
      <c r="AK212" s="50">
        <f>AK153</f>
        <v>4.3198788423658669</v>
      </c>
      <c r="AL212" s="50">
        <f>AL153</f>
        <v>4.3564370117733233</v>
      </c>
      <c r="AM212" s="272"/>
      <c r="AN212" s="272"/>
      <c r="AO212" s="272"/>
      <c r="AP212" s="50">
        <f>AP153</f>
        <v>14.930240664295745</v>
      </c>
      <c r="AQ212" s="272"/>
      <c r="AR212" s="272"/>
      <c r="AS212" s="272"/>
      <c r="AT212" s="272"/>
      <c r="AU212" s="272"/>
      <c r="AV212" s="50">
        <f>AV153</f>
        <v>5.4632545395998724</v>
      </c>
      <c r="AW212" s="50">
        <f>AW153</f>
        <v>5.3163497896247867</v>
      </c>
      <c r="AX212" s="50">
        <f>AX153</f>
        <v>5.4784697555946167</v>
      </c>
      <c r="AY212" s="50">
        <f>AY153</f>
        <v>5.1392592471527898</v>
      </c>
      <c r="AZ212" s="50">
        <f>AZ153</f>
        <v>5.6034474672618915</v>
      </c>
      <c r="BA212" s="50">
        <f>BA153</f>
        <v>6.9760580856754819</v>
      </c>
      <c r="BB212" s="50">
        <f>BB153</f>
        <v>7.9165475383245338</v>
      </c>
      <c r="BC212" s="50">
        <f>BC153</f>
        <v>9.468287122009869</v>
      </c>
      <c r="BD212" s="50">
        <f>BD153</f>
        <v>6.5359773494473519</v>
      </c>
      <c r="BE212" s="50">
        <f>BE153</f>
        <v>6.24180465510159</v>
      </c>
      <c r="BF212" s="50">
        <f>BF153</f>
        <v>6.2947998309884978</v>
      </c>
      <c r="BG212" s="50">
        <f>BG153</f>
        <v>6.6607540780594352</v>
      </c>
      <c r="BH212" s="50">
        <f>BH153</f>
        <v>7.0467840856333899</v>
      </c>
      <c r="BI212" s="50">
        <f>BI153</f>
        <v>7.4882211250634736</v>
      </c>
      <c r="BJ212" s="50"/>
      <c r="BK212" s="50"/>
      <c r="BL212" s="50"/>
      <c r="BM212" s="50"/>
    </row>
    <row r="213" spans="2:65" ht="12.75">
      <c r="B213" s="1" t="s">
        <v>375</v>
      </c>
      <c r="C213" s="51">
        <f>C154</f>
        <v>8.7027027027027035</v>
      </c>
      <c r="D213" s="51">
        <f>D154</f>
        <v>8.3486547085201792</v>
      </c>
      <c r="E213" s="51">
        <f>E154</f>
        <v>7.905385735080058</v>
      </c>
      <c r="F213" s="51">
        <f>F154</f>
        <v>8.6170214017740374</v>
      </c>
      <c r="G213" s="51">
        <f>G154</f>
        <v>7.9628565797292321</v>
      </c>
      <c r="H213" s="51">
        <f>H154</f>
        <v>7.1138310133677045</v>
      </c>
      <c r="I213" s="51">
        <f>I154</f>
        <v>7.7219891771393563</v>
      </c>
      <c r="J213" s="51">
        <f>J154</f>
        <v>6.016653571085036</v>
      </c>
      <c r="K213" s="51">
        <f>K154</f>
        <v>8.1839507468406048</v>
      </c>
      <c r="L213" s="51">
        <f>L154</f>
        <v>8.8424443401345219</v>
      </c>
      <c r="M213" s="51">
        <f>M154</f>
        <v>9.6393937687671656</v>
      </c>
      <c r="N213" s="51">
        <f>N154</f>
        <v>11.221348985152362</v>
      </c>
      <c r="O213" s="51">
        <f>O154</f>
        <v>10.987596790060502</v>
      </c>
      <c r="P213" s="51">
        <f>P154</f>
        <v>11.178446059488582</v>
      </c>
      <c r="Q213" s="134"/>
      <c r="R213" s="51"/>
      <c r="S213" s="51"/>
      <c r="T213" s="103"/>
      <c r="U213" s="51"/>
      <c r="V213" s="51"/>
      <c r="W213" s="51"/>
      <c r="X213" s="51">
        <f>X154</f>
        <v>7.905385735080058</v>
      </c>
      <c r="Y213" s="51">
        <f>Y154</f>
        <v>7.2428477231918826</v>
      </c>
      <c r="Z213" s="51">
        <f>Z154</f>
        <v>8.2358070565483477</v>
      </c>
      <c r="AA213" s="51">
        <f>AA154</f>
        <v>8.3964924314712235</v>
      </c>
      <c r="AB213" s="51">
        <f>AB154</f>
        <v>8.6170214017740374</v>
      </c>
      <c r="AC213" s="51">
        <f>AC154</f>
        <v>9.8760500160468858</v>
      </c>
      <c r="AD213" s="51">
        <f>AD154</f>
        <v>8.2886413710942364</v>
      </c>
      <c r="AE213" s="51">
        <f>AE154</f>
        <v>8.136679203351596</v>
      </c>
      <c r="AF213" s="51">
        <f>AF154</f>
        <v>7.1138310133677018</v>
      </c>
      <c r="AG213" s="51">
        <f>AG154</f>
        <v>6.3977295123234201</v>
      </c>
      <c r="AH213" s="51">
        <f>AH154</f>
        <v>4.9676823968830899</v>
      </c>
      <c r="AI213" s="51">
        <f>AI154</f>
        <v>5.1716588398835697</v>
      </c>
      <c r="AJ213" s="51">
        <f>AJ154</f>
        <v>7.7219891771393563</v>
      </c>
      <c r="AK213" s="51">
        <f>AK154</f>
        <v>5.9732362734657727</v>
      </c>
      <c r="AL213" s="51">
        <f>AL154</f>
        <v>5.9714438976344848</v>
      </c>
      <c r="AM213" s="273"/>
      <c r="AN213" s="273"/>
      <c r="AO213" s="273"/>
      <c r="AP213" s="51">
        <f>AP154</f>
        <v>16.412071741597835</v>
      </c>
      <c r="AQ213" s="273"/>
      <c r="AR213" s="273"/>
      <c r="AS213" s="273"/>
      <c r="AT213" s="273"/>
      <c r="AU213" s="273"/>
      <c r="AV213" s="51">
        <f>AV154</f>
        <v>8.8424443401345219</v>
      </c>
      <c r="AW213" s="51">
        <f>AW154</f>
        <v>8.5157207741112408</v>
      </c>
      <c r="AX213" s="51">
        <f>AX154</f>
        <v>8.560562150007387</v>
      </c>
      <c r="AY213" s="51">
        <f>AY154</f>
        <v>8.2316045533705999</v>
      </c>
      <c r="AZ213" s="51">
        <f>AZ154</f>
        <v>9.6393937687671656</v>
      </c>
      <c r="BA213" s="51">
        <f>BA154</f>
        <v>11.78898542162259</v>
      </c>
      <c r="BB213" s="51">
        <f>BB154</f>
        <v>14.162222268097164</v>
      </c>
      <c r="BC213" s="51">
        <f>BC154</f>
        <v>16.838692445097188</v>
      </c>
      <c r="BD213" s="51">
        <f>BD154</f>
        <v>11.221348985152362</v>
      </c>
      <c r="BE213" s="51">
        <f>BE154</f>
        <v>11.134599267322594</v>
      </c>
      <c r="BF213" s="51">
        <f>BF154</f>
        <v>10.855846020288382</v>
      </c>
      <c r="BG213" s="51">
        <f>BG154</f>
        <v>11.180300541318159</v>
      </c>
      <c r="BH213" s="51">
        <f>BH154</f>
        <v>10.987596790060502</v>
      </c>
      <c r="BI213" s="51">
        <f>BI154</f>
        <v>11.178446059488582</v>
      </c>
      <c r="BJ213" s="51"/>
      <c r="BK213" s="51"/>
      <c r="BL213" s="51"/>
      <c r="BM213" s="51"/>
    </row>
    <row r="214" spans="2:65" ht="12.75"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134"/>
      <c r="R214" s="51"/>
      <c r="S214" s="51"/>
      <c r="T214" s="103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273"/>
      <c r="AN214" s="273"/>
      <c r="AO214" s="273"/>
      <c r="AP214" s="51"/>
      <c r="AQ214" s="273"/>
      <c r="AR214" s="273"/>
      <c r="AS214" s="273"/>
      <c r="AT214" s="273"/>
      <c r="AU214" s="273"/>
      <c r="AV214" s="51"/>
      <c r="AW214" s="51"/>
      <c r="AX214" s="51"/>
      <c r="AY214" s="51"/>
      <c r="AZ214" s="51"/>
      <c r="BA214" s="51"/>
      <c r="BB214" s="51"/>
      <c r="BC214" s="51"/>
      <c r="BD214" s="51"/>
      <c r="BE214" s="51"/>
      <c r="BF214" s="51"/>
      <c r="BG214" s="51"/>
      <c r="BH214" s="51"/>
      <c r="BI214" s="51"/>
      <c r="BJ214" s="51"/>
      <c r="BK214" s="51"/>
      <c r="BL214" s="51"/>
      <c r="BM214" s="51"/>
    </row>
    <row r="215" spans="2:65" ht="12.75">
      <c r="B215" s="5" t="str">
        <f>B156</f>
        <v xml:space="preserve">Gearing (Net debt / Equity) </v>
      </c>
      <c r="C215" s="139">
        <f>C156</f>
        <v>0.48192847672496775</v>
      </c>
      <c r="D215" s="139">
        <f t="shared" ref="D215:BI215" si="527">D156</f>
        <v>0.46664827332505632</v>
      </c>
      <c r="E215" s="139">
        <f t="shared" si="527"/>
        <v>0.60691154736019437</v>
      </c>
      <c r="F215" s="139">
        <f t="shared" si="527"/>
        <v>0.45905052945774999</v>
      </c>
      <c r="G215" s="139">
        <f t="shared" si="527"/>
        <v>0.45905052945774999</v>
      </c>
      <c r="H215" s="139">
        <f t="shared" si="527"/>
        <v>0.44081914547119844</v>
      </c>
      <c r="I215" s="139">
        <f t="shared" si="527"/>
        <v>0.39224735699866964</v>
      </c>
      <c r="J215" s="139">
        <f t="shared" si="527"/>
        <v>0.3698196101488686</v>
      </c>
      <c r="K215" s="139">
        <f t="shared" si="527"/>
        <v>0.31386198519168357</v>
      </c>
      <c r="L215" s="139">
        <f t="shared" si="527"/>
        <v>0.30731575130257521</v>
      </c>
      <c r="M215" s="139">
        <f t="shared" si="527"/>
        <v>0.27429789461875026</v>
      </c>
      <c r="N215" s="139">
        <f t="shared" si="527"/>
        <v>0.292954790025375</v>
      </c>
      <c r="O215" s="139">
        <f t="shared" si="527"/>
        <v>0.35457457136774451</v>
      </c>
      <c r="P215" s="139">
        <f t="shared" si="527"/>
        <v>0.33751946879287581</v>
      </c>
      <c r="Q215" s="134"/>
      <c r="R215" s="139">
        <f t="shared" si="527"/>
        <v>0</v>
      </c>
      <c r="S215" s="139">
        <f t="shared" si="527"/>
        <v>0</v>
      </c>
      <c r="T215" s="139">
        <f t="shared" si="527"/>
        <v>0</v>
      </c>
      <c r="U215" s="139">
        <f t="shared" si="527"/>
        <v>0.4689382352385808</v>
      </c>
      <c r="V215" s="139">
        <f t="shared" si="527"/>
        <v>0.48812724995401552</v>
      </c>
      <c r="W215" s="139">
        <f t="shared" si="527"/>
        <v>0.44859868061683261</v>
      </c>
      <c r="X215" s="139">
        <f t="shared" si="527"/>
        <v>0.60691154736019437</v>
      </c>
      <c r="Y215" s="139">
        <f t="shared" si="527"/>
        <v>0.52104974563621409</v>
      </c>
      <c r="Z215" s="139">
        <f t="shared" si="527"/>
        <v>0.49667266891098411</v>
      </c>
      <c r="AA215" s="139">
        <f t="shared" si="527"/>
        <v>0.43164198059571451</v>
      </c>
      <c r="AB215" s="139">
        <f t="shared" si="527"/>
        <v>0.45905052945774999</v>
      </c>
      <c r="AC215" s="139">
        <f t="shared" si="527"/>
        <v>0.45869588820126256</v>
      </c>
      <c r="AD215" s="139">
        <f t="shared" si="527"/>
        <v>0.5254253117105554</v>
      </c>
      <c r="AE215" s="139">
        <f t="shared" si="527"/>
        <v>0.54520161847254578</v>
      </c>
      <c r="AF215" s="139">
        <f t="shared" si="527"/>
        <v>0.44081914547119844</v>
      </c>
      <c r="AG215" s="139">
        <f t="shared" si="527"/>
        <v>0.4320797235306702</v>
      </c>
      <c r="AH215" s="139">
        <f t="shared" si="527"/>
        <v>0.41540743653938322</v>
      </c>
      <c r="AI215" s="139">
        <f t="shared" si="527"/>
        <v>0.36766550773233975</v>
      </c>
      <c r="AJ215" s="139">
        <f t="shared" si="527"/>
        <v>0.39224735699866964</v>
      </c>
      <c r="AK215" s="139">
        <f t="shared" si="527"/>
        <v>0.41860012384905837</v>
      </c>
      <c r="AL215" s="139">
        <f t="shared" si="527"/>
        <v>0.40611259259487575</v>
      </c>
      <c r="AM215" s="139">
        <f t="shared" si="527"/>
        <v>0.37261522876920478</v>
      </c>
      <c r="AN215" s="139">
        <f t="shared" si="527"/>
        <v>0.3698196101488686</v>
      </c>
      <c r="AO215" s="139">
        <f t="shared" si="527"/>
        <v>0.3672626060804845</v>
      </c>
      <c r="AP215" s="139">
        <f t="shared" si="527"/>
        <v>0.32629183316458066</v>
      </c>
      <c r="AQ215" s="139">
        <f t="shared" si="527"/>
        <v>0.29901014592225289</v>
      </c>
      <c r="AR215" s="139">
        <f t="shared" si="527"/>
        <v>0.31386198519168357</v>
      </c>
      <c r="AS215" s="139">
        <f t="shared" si="527"/>
        <v>0.29690437601296599</v>
      </c>
      <c r="AT215" s="139">
        <f t="shared" si="527"/>
        <v>0.30111309544556364</v>
      </c>
      <c r="AU215" s="139">
        <f t="shared" si="527"/>
        <v>0.29071244310158489</v>
      </c>
      <c r="AV215" s="139">
        <f t="shared" si="527"/>
        <v>0.30731575130257521</v>
      </c>
      <c r="AW215" s="139">
        <f t="shared" si="527"/>
        <v>0.34755537266644054</v>
      </c>
      <c r="AX215" s="139">
        <f t="shared" si="527"/>
        <v>0.38017590448834226</v>
      </c>
      <c r="AY215" s="139">
        <f t="shared" si="527"/>
        <v>0.22810142995610397</v>
      </c>
      <c r="AZ215" s="139">
        <f t="shared" si="527"/>
        <v>0.27429789461875026</v>
      </c>
      <c r="BA215" s="139">
        <f t="shared" si="527"/>
        <v>0.25423997667676879</v>
      </c>
      <c r="BB215" s="139">
        <f t="shared" si="527"/>
        <v>0.24594033071532889</v>
      </c>
      <c r="BC215" s="139">
        <f t="shared" si="527"/>
        <v>0.22597768555192629</v>
      </c>
      <c r="BD215" s="139">
        <f t="shared" si="527"/>
        <v>0.292954790025375</v>
      </c>
      <c r="BE215" s="139">
        <f t="shared" si="527"/>
        <v>0.29481183824640467</v>
      </c>
      <c r="BF215" s="139">
        <f t="shared" si="527"/>
        <v>0.32721359539256167</v>
      </c>
      <c r="BG215" s="139">
        <f t="shared" si="527"/>
        <v>0.30535433503410414</v>
      </c>
      <c r="BH215" s="139">
        <f t="shared" si="527"/>
        <v>0.35457457136774451</v>
      </c>
      <c r="BI215" s="139">
        <f t="shared" si="527"/>
        <v>0.33751946879287581</v>
      </c>
      <c r="BJ215" s="51"/>
      <c r="BK215" s="51"/>
      <c r="BL215" s="51"/>
      <c r="BM215" s="51"/>
    </row>
    <row r="216" spans="2:65" s="5" customFormat="1" ht="13.5" customHeight="1"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34"/>
      <c r="R216" s="19"/>
      <c r="S216" s="19"/>
      <c r="T216" s="1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  <c r="BE216" s="19"/>
      <c r="BF216" s="19"/>
      <c r="BG216" s="19"/>
      <c r="BH216" s="19"/>
      <c r="BI216" s="19"/>
      <c r="BL216" s="19"/>
      <c r="BM216" s="19"/>
    </row>
    <row r="217" spans="2:65" s="5" customFormat="1" ht="13.5" customHeight="1">
      <c r="Q217" s="134"/>
      <c r="T217" s="120"/>
    </row>
    <row r="218" spans="2:65" s="5" customFormat="1" ht="13.5" customHeight="1">
      <c r="Q218" s="134"/>
      <c r="T218" s="120"/>
    </row>
    <row r="219" spans="2:65" ht="13.5" customHeight="1">
      <c r="B219" s="17" t="s">
        <v>380</v>
      </c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134"/>
      <c r="R219" s="47"/>
      <c r="S219" s="47"/>
      <c r="T219" s="81"/>
      <c r="U219" s="47"/>
      <c r="V219" s="18"/>
      <c r="W219" s="18"/>
      <c r="X219" s="18"/>
      <c r="Y219" s="47"/>
      <c r="Z219" s="47"/>
      <c r="AA219" s="18"/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  <c r="BA219" s="18"/>
      <c r="BB219" s="18"/>
      <c r="BC219" s="18"/>
      <c r="BD219" s="18"/>
      <c r="BE219" s="18"/>
      <c r="BF219" s="18"/>
      <c r="BG219" s="18"/>
      <c r="BH219" s="18"/>
      <c r="BI219" s="18"/>
      <c r="BJ219" s="1"/>
      <c r="BK219" s="1"/>
      <c r="BL219" s="18"/>
      <c r="BM219" s="18"/>
    </row>
    <row r="220" spans="2:65" s="2" customFormat="1" ht="13.5" customHeight="1">
      <c r="B220" s="101" t="s">
        <v>50</v>
      </c>
      <c r="C220" s="149">
        <f>C3</f>
        <v>41975</v>
      </c>
      <c r="D220" s="149">
        <f>D3</f>
        <v>42341</v>
      </c>
      <c r="E220" s="149">
        <f>E3</f>
        <v>42708</v>
      </c>
      <c r="F220" s="149">
        <f>F3</f>
        <v>43073</v>
      </c>
      <c r="G220" s="149">
        <f>G3</f>
        <v>43073</v>
      </c>
      <c r="H220" s="149">
        <f>H3</f>
        <v>43438</v>
      </c>
      <c r="I220" s="149">
        <f>I3</f>
        <v>43803</v>
      </c>
      <c r="J220" s="149">
        <f>J3</f>
        <v>44169</v>
      </c>
      <c r="K220" s="149">
        <f>K3</f>
        <v>44534</v>
      </c>
      <c r="L220" s="149">
        <f>L3</f>
        <v>44899</v>
      </c>
      <c r="M220" s="149">
        <f>M3</f>
        <v>45264</v>
      </c>
      <c r="N220" s="149">
        <f>N3</f>
        <v>45630</v>
      </c>
      <c r="O220" s="149">
        <f>O3</f>
        <v>45995</v>
      </c>
      <c r="P220" s="149" t="s">
        <v>255</v>
      </c>
      <c r="Q220" s="326"/>
      <c r="R220" s="149">
        <f>R3</f>
        <v>43439</v>
      </c>
      <c r="S220" s="149">
        <f>S3</f>
        <v>43805</v>
      </c>
      <c r="T220" s="195">
        <f>T3</f>
        <v>44172</v>
      </c>
      <c r="U220" s="149">
        <f>U3</f>
        <v>42437</v>
      </c>
      <c r="V220" s="149">
        <f>V3</f>
        <v>42527</v>
      </c>
      <c r="W220" s="149">
        <f>W3</f>
        <v>42622</v>
      </c>
      <c r="X220" s="149">
        <f>X3</f>
        <v>42714</v>
      </c>
      <c r="Y220" s="149">
        <f>Y3</f>
        <v>42801</v>
      </c>
      <c r="Z220" s="149">
        <f>Z3</f>
        <v>42892</v>
      </c>
      <c r="AA220" s="149">
        <f>AA3</f>
        <v>42987</v>
      </c>
      <c r="AB220" s="149">
        <f>AB3</f>
        <v>43100</v>
      </c>
      <c r="AC220" s="149">
        <f>AC3</f>
        <v>43190</v>
      </c>
      <c r="AD220" s="149">
        <f>AD3</f>
        <v>43281</v>
      </c>
      <c r="AE220" s="149">
        <f>AE3</f>
        <v>43373</v>
      </c>
      <c r="AF220" s="149">
        <f>AF3</f>
        <v>43465</v>
      </c>
      <c r="AG220" s="149">
        <f>AG3</f>
        <v>43555</v>
      </c>
      <c r="AH220" s="149">
        <f>AH3</f>
        <v>43646</v>
      </c>
      <c r="AI220" s="149">
        <f>AI3</f>
        <v>43738</v>
      </c>
      <c r="AJ220" s="149">
        <f>AJ3</f>
        <v>43830</v>
      </c>
      <c r="AK220" s="149">
        <f>AK3</f>
        <v>43921</v>
      </c>
      <c r="AL220" s="149">
        <f>AL3</f>
        <v>44012</v>
      </c>
      <c r="AM220" s="149">
        <f>AM3</f>
        <v>44104</v>
      </c>
      <c r="AN220" s="149">
        <f>AN3</f>
        <v>44196</v>
      </c>
      <c r="AO220" s="149">
        <f>AO3</f>
        <v>44286</v>
      </c>
      <c r="AP220" s="149">
        <f>AP3</f>
        <v>44377</v>
      </c>
      <c r="AQ220" s="149">
        <f>AQ3</f>
        <v>44469</v>
      </c>
      <c r="AR220" s="149">
        <f>AR3</f>
        <v>44561</v>
      </c>
      <c r="AS220" s="149">
        <f>AS3</f>
        <v>44651</v>
      </c>
      <c r="AT220" s="149">
        <f>AT3</f>
        <v>44742</v>
      </c>
      <c r="AU220" s="149">
        <f>AU3</f>
        <v>44834</v>
      </c>
      <c r="AV220" s="149">
        <f>AV3</f>
        <v>44926</v>
      </c>
      <c r="AW220" s="149">
        <f>AW3</f>
        <v>45016</v>
      </c>
      <c r="AX220" s="149">
        <f>AX3</f>
        <v>45107</v>
      </c>
      <c r="AY220" s="149">
        <f>AY3</f>
        <v>45199</v>
      </c>
      <c r="AZ220" s="149">
        <f>AZ3</f>
        <v>45291</v>
      </c>
      <c r="BA220" s="149">
        <f>BA3</f>
        <v>45382</v>
      </c>
      <c r="BB220" s="149">
        <f>BB3</f>
        <v>45473</v>
      </c>
      <c r="BC220" s="149">
        <f>BC3</f>
        <v>45565</v>
      </c>
      <c r="BD220" s="149">
        <f>BD3</f>
        <v>45657</v>
      </c>
      <c r="BE220" s="149">
        <f>BE3</f>
        <v>45747</v>
      </c>
      <c r="BF220" s="149">
        <f>BF3</f>
        <v>45838</v>
      </c>
      <c r="BG220" s="149">
        <f>BG3</f>
        <v>45930</v>
      </c>
      <c r="BH220" s="149">
        <f>BH3</f>
        <v>46022</v>
      </c>
      <c r="BI220" s="149">
        <f>BI3</f>
        <v>46112</v>
      </c>
      <c r="BJ220" s="326"/>
      <c r="BK220" s="326"/>
      <c r="BL220" s="149"/>
      <c r="BM220" s="149"/>
    </row>
    <row r="221" spans="2:65" s="5" customFormat="1" ht="13.5" customHeight="1">
      <c r="B221" s="11"/>
      <c r="C221" s="14" t="s">
        <v>257</v>
      </c>
      <c r="D221" s="14" t="s">
        <v>257</v>
      </c>
      <c r="E221" s="14" t="s">
        <v>257</v>
      </c>
      <c r="F221" s="14" t="s">
        <v>257</v>
      </c>
      <c r="G221" s="14" t="s">
        <v>257</v>
      </c>
      <c r="H221" s="14" t="s">
        <v>257</v>
      </c>
      <c r="I221" s="14" t="s">
        <v>257</v>
      </c>
      <c r="J221" s="14" t="s">
        <v>257</v>
      </c>
      <c r="K221" s="14" t="s">
        <v>257</v>
      </c>
      <c r="L221" s="14" t="s">
        <v>257</v>
      </c>
      <c r="M221" s="14" t="s">
        <v>257</v>
      </c>
      <c r="N221" s="14" t="s">
        <v>257</v>
      </c>
      <c r="O221" s="14" t="s">
        <v>257</v>
      </c>
      <c r="P221" s="14" t="s">
        <v>257</v>
      </c>
      <c r="Q221" s="332"/>
      <c r="R221" s="14" t="s">
        <v>258</v>
      </c>
      <c r="S221" s="14" t="s">
        <v>258</v>
      </c>
      <c r="T221" s="213" t="s">
        <v>258</v>
      </c>
      <c r="U221" s="14" t="s">
        <v>257</v>
      </c>
      <c r="V221" s="14" t="s">
        <v>257</v>
      </c>
      <c r="W221" s="14" t="s">
        <v>257</v>
      </c>
      <c r="X221" s="14" t="s">
        <v>257</v>
      </c>
      <c r="Y221" s="14" t="s">
        <v>257</v>
      </c>
      <c r="Z221" s="14" t="s">
        <v>257</v>
      </c>
      <c r="AA221" s="14" t="s">
        <v>257</v>
      </c>
      <c r="AB221" s="14" t="s">
        <v>257</v>
      </c>
      <c r="AC221" s="14" t="s">
        <v>257</v>
      </c>
      <c r="AD221" s="14" t="s">
        <v>257</v>
      </c>
      <c r="AE221" s="14" t="str">
        <f>AE4</f>
        <v>Act</v>
      </c>
      <c r="AF221" s="14" t="str">
        <f>AF4</f>
        <v>Act</v>
      </c>
      <c r="AG221" s="14" t="str">
        <f>AG4</f>
        <v>Act</v>
      </c>
      <c r="AH221" s="14" t="str">
        <f>AH4</f>
        <v>Act</v>
      </c>
      <c r="AI221" s="14" t="str">
        <f>AI4</f>
        <v>Act</v>
      </c>
      <c r="AJ221" s="14" t="str">
        <f>AJ4</f>
        <v>Act</v>
      </c>
      <c r="AK221" s="14" t="str">
        <f>AK4</f>
        <v>Act</v>
      </c>
      <c r="AL221" s="14" t="str">
        <f>AL4</f>
        <v>Act</v>
      </c>
      <c r="AM221" s="14" t="str">
        <f>AM4</f>
        <v>Act</v>
      </c>
      <c r="AN221" s="14" t="str">
        <f>AN4</f>
        <v>Act</v>
      </c>
      <c r="AO221" s="14" t="str">
        <f>AO4</f>
        <v>Act</v>
      </c>
      <c r="AP221" s="14" t="str">
        <f>AP4</f>
        <v>Act</v>
      </c>
      <c r="AQ221" s="14" t="str">
        <f>AQ4</f>
        <v>Act</v>
      </c>
      <c r="AR221" s="14" t="str">
        <f>AR4</f>
        <v>Act</v>
      </c>
      <c r="AS221" s="14" t="str">
        <f>AS4</f>
        <v>Act</v>
      </c>
      <c r="AT221" s="14" t="str">
        <f>AT4</f>
        <v>Act</v>
      </c>
      <c r="AU221" s="14" t="str">
        <f>AU4</f>
        <v>Act</v>
      </c>
      <c r="AV221" s="14" t="str">
        <f>AV4</f>
        <v>Act</v>
      </c>
      <c r="AW221" s="14" t="str">
        <f>AW4</f>
        <v>Act</v>
      </c>
      <c r="AX221" s="14" t="str">
        <f>AX4</f>
        <v>Act</v>
      </c>
      <c r="AY221" s="14" t="str">
        <f>AY4</f>
        <v>Act</v>
      </c>
      <c r="AZ221" s="14" t="str">
        <f>AZ4</f>
        <v>Act</v>
      </c>
      <c r="BA221" s="14" t="str">
        <f>BA4</f>
        <v>Act</v>
      </c>
      <c r="BB221" s="14" t="str">
        <f>BB4</f>
        <v>Act</v>
      </c>
      <c r="BC221" s="14" t="str">
        <f>BC4</f>
        <v>Act</v>
      </c>
      <c r="BD221" s="14" t="str">
        <f>BD4</f>
        <v>Act</v>
      </c>
      <c r="BE221" s="14" t="str">
        <f>BE4</f>
        <v>Act</v>
      </c>
      <c r="BF221" s="14" t="str">
        <f>BF4</f>
        <v>Act</v>
      </c>
      <c r="BG221" s="14" t="str">
        <f>BG4</f>
        <v>Act</v>
      </c>
      <c r="BH221" s="14" t="str">
        <f>BH4</f>
        <v>Act</v>
      </c>
      <c r="BI221" s="14" t="str">
        <f>BI4</f>
        <v>Act</v>
      </c>
      <c r="BJ221" s="332"/>
      <c r="BK221" s="332"/>
      <c r="BL221" s="14"/>
      <c r="BM221" s="14"/>
    </row>
    <row r="222" spans="2:65" s="3" customFormat="1" ht="13.5" customHeight="1">
      <c r="C222" s="24" t="s">
        <v>259</v>
      </c>
      <c r="D222" s="24" t="s">
        <v>259</v>
      </c>
      <c r="E222" s="24" t="s">
        <v>259</v>
      </c>
      <c r="F222" s="24" t="s">
        <v>259</v>
      </c>
      <c r="G222" s="24" t="s">
        <v>259</v>
      </c>
      <c r="H222" s="24" t="s">
        <v>259</v>
      </c>
      <c r="I222" s="24" t="s">
        <v>259</v>
      </c>
      <c r="J222" s="24" t="s">
        <v>259</v>
      </c>
      <c r="K222" s="24" t="s">
        <v>259</v>
      </c>
      <c r="L222" s="24" t="s">
        <v>259</v>
      </c>
      <c r="M222" s="24" t="s">
        <v>259</v>
      </c>
      <c r="N222" s="24" t="s">
        <v>259</v>
      </c>
      <c r="O222" s="24" t="s">
        <v>259</v>
      </c>
      <c r="P222" s="24" t="s">
        <v>259</v>
      </c>
      <c r="Q222" s="24"/>
      <c r="R222" s="24" t="s">
        <v>259</v>
      </c>
      <c r="S222" s="24" t="s">
        <v>259</v>
      </c>
      <c r="T222" s="113" t="s">
        <v>259</v>
      </c>
      <c r="U222" s="24" t="str">
        <f>U5</f>
        <v>Q1</v>
      </c>
      <c r="V222" s="24" t="str">
        <f>V5</f>
        <v>Q2</v>
      </c>
      <c r="W222" s="24" t="str">
        <f>W5</f>
        <v>Q3</v>
      </c>
      <c r="X222" s="24" t="str">
        <f>X5</f>
        <v>Q4</v>
      </c>
      <c r="Y222" s="24" t="str">
        <f>Y5</f>
        <v>Q1</v>
      </c>
      <c r="Z222" s="24" t="str">
        <f>Z5</f>
        <v>Q2</v>
      </c>
      <c r="AA222" s="24" t="str">
        <f>AA5</f>
        <v>Q3</v>
      </c>
      <c r="AB222" s="24" t="str">
        <f>AB5</f>
        <v>Q4</v>
      </c>
      <c r="AC222" s="24" t="str">
        <f>AC5</f>
        <v>Q1</v>
      </c>
      <c r="AD222" s="24" t="str">
        <f>AD5</f>
        <v>Q2</v>
      </c>
      <c r="AE222" s="24" t="str">
        <f>AE5</f>
        <v>Q3</v>
      </c>
      <c r="AF222" s="24" t="str">
        <f>AF5</f>
        <v>Q4</v>
      </c>
      <c r="AG222" s="24" t="str">
        <f>AG5</f>
        <v>Q1</v>
      </c>
      <c r="AH222" s="24" t="str">
        <f>AH5</f>
        <v>Q2</v>
      </c>
      <c r="AI222" s="24" t="str">
        <f>AI5</f>
        <v>Q3</v>
      </c>
      <c r="AJ222" s="24" t="str">
        <f>AJ5</f>
        <v>Q4</v>
      </c>
      <c r="AK222" s="24" t="str">
        <f>AK5</f>
        <v>Q1</v>
      </c>
      <c r="AL222" s="24" t="str">
        <f>AL5</f>
        <v>Q2</v>
      </c>
      <c r="AM222" s="24" t="str">
        <f>AM5</f>
        <v>Q3</v>
      </c>
      <c r="AN222" s="24" t="str">
        <f>AN5</f>
        <v>Q4</v>
      </c>
      <c r="AO222" s="24" t="str">
        <f>AO5</f>
        <v>Q1</v>
      </c>
      <c r="AP222" s="24" t="str">
        <f>AP5</f>
        <v>Q2</v>
      </c>
      <c r="AQ222" s="24" t="str">
        <f>AQ5</f>
        <v>Q3</v>
      </c>
      <c r="AR222" s="24" t="str">
        <f>AR5</f>
        <v>Q4</v>
      </c>
      <c r="AS222" s="24" t="str">
        <f>AS5</f>
        <v>Q1</v>
      </c>
      <c r="AT222" s="24" t="str">
        <f>AT5</f>
        <v>Q2</v>
      </c>
      <c r="AU222" s="24" t="str">
        <f>AU5</f>
        <v>Q3</v>
      </c>
      <c r="AV222" s="24" t="str">
        <f>AV5</f>
        <v>Q4</v>
      </c>
      <c r="AW222" s="24" t="str">
        <f>AW5</f>
        <v>Q1</v>
      </c>
      <c r="AX222" s="24" t="str">
        <f>AX5</f>
        <v>Q2</v>
      </c>
      <c r="AY222" s="24" t="str">
        <f>AY5</f>
        <v>Q3</v>
      </c>
      <c r="AZ222" s="24" t="str">
        <f>AZ5</f>
        <v>Q4</v>
      </c>
      <c r="BA222" s="24" t="str">
        <f>BA5</f>
        <v>Q1</v>
      </c>
      <c r="BB222" s="24" t="str">
        <f>BB5</f>
        <v>Q2</v>
      </c>
      <c r="BC222" s="24" t="str">
        <f>BC5</f>
        <v>Q3</v>
      </c>
      <c r="BD222" s="24" t="str">
        <f>BD5</f>
        <v>Q4</v>
      </c>
      <c r="BE222" s="24" t="str">
        <f>BE5</f>
        <v>Q1</v>
      </c>
      <c r="BF222" s="24" t="str">
        <f>BF5</f>
        <v>Q2</v>
      </c>
      <c r="BG222" s="24" t="str">
        <f>BG5</f>
        <v>Q3</v>
      </c>
      <c r="BH222" s="24" t="str">
        <f>BH5</f>
        <v>Q4</v>
      </c>
      <c r="BI222" s="24" t="str">
        <f>BI5</f>
        <v>Q1</v>
      </c>
      <c r="BJ222" s="24"/>
      <c r="BK222" s="24"/>
      <c r="BL222" s="24"/>
      <c r="BM222" s="24"/>
    </row>
    <row r="223" spans="2:65" s="5" customFormat="1" ht="13.5" customHeight="1">
      <c r="B223" s="5" t="str">
        <f>+B7</f>
        <v>Revenues</v>
      </c>
      <c r="C223" s="54">
        <f>C7*C$159</f>
        <v>11077.286366405211</v>
      </c>
      <c r="D223" s="54">
        <f>D7*D$159</f>
        <v>9613.5280941414021</v>
      </c>
      <c r="E223" s="54">
        <f>E7*E$159</f>
        <v>9525.4379006496165</v>
      </c>
      <c r="F223" s="54">
        <f>F7*F$159</f>
        <v>10764.924933967248</v>
      </c>
      <c r="G223" s="54">
        <f>G7*G$159</f>
        <v>9680.726345486939</v>
      </c>
      <c r="H223" s="54">
        <f>H7*H$159</f>
        <v>9477.2350999007558</v>
      </c>
      <c r="I223" s="54">
        <f>I7*I$159</f>
        <v>10097.465096201075</v>
      </c>
      <c r="J223" s="54">
        <f>J7*J$159</f>
        <v>8577.6572650250491</v>
      </c>
      <c r="K223" s="54">
        <f>K7*K$159</f>
        <v>9200.5996576926755</v>
      </c>
      <c r="L223" s="54">
        <f>L7*L$159</f>
        <v>11198.074596543267</v>
      </c>
      <c r="M223" s="54">
        <f>M7*M$159</f>
        <v>13735.856780326489</v>
      </c>
      <c r="N223" s="54">
        <f>N7*N$159</f>
        <v>15409.634484928261</v>
      </c>
      <c r="O223" s="54">
        <f>O7*O$159</f>
        <v>15160.881203294924</v>
      </c>
      <c r="P223" s="54">
        <f>P7*P$159</f>
        <v>15822.569213926028</v>
      </c>
      <c r="Q223" s="54"/>
      <c r="R223" s="54"/>
      <c r="S223" s="54"/>
      <c r="T223" s="118"/>
      <c r="U223" s="54">
        <f>U7*U$159</f>
        <v>2057.4981142540209</v>
      </c>
      <c r="V223" s="54">
        <f>V7*V$159</f>
        <v>2212.6628254847642</v>
      </c>
      <c r="W223" s="54">
        <f>W7*W$159</f>
        <v>2262.3397435897436</v>
      </c>
      <c r="X223" s="54">
        <f>X7*X$159</f>
        <v>2941.8132990392623</v>
      </c>
      <c r="Y223" s="54">
        <f>Y7*Y$159</f>
        <v>2518.7518391368317</v>
      </c>
      <c r="Z223" s="54">
        <f>Z7*Z$159</f>
        <v>2693.9518817204298</v>
      </c>
      <c r="AA223" s="54">
        <f>AA7*AA$159</f>
        <v>2770.0897867564536</v>
      </c>
      <c r="AB223" s="54">
        <f>AB7*AB$159</f>
        <v>2797.2622292657161</v>
      </c>
      <c r="AC223" s="54">
        <f>AC7*AC$159</f>
        <v>2649.9466950959486</v>
      </c>
      <c r="AD223" s="54">
        <f>AD7*AD$159</f>
        <v>2689.0028394424367</v>
      </c>
      <c r="AE223" s="54">
        <f>AE7*AE$159</f>
        <v>2326.0328240252902</v>
      </c>
      <c r="AF223" s="54">
        <f>AF7*AF$159</f>
        <v>1835.3462088800061</v>
      </c>
      <c r="AG223" s="54">
        <f>AG7*AG$159</f>
        <v>2406.2297606659731</v>
      </c>
      <c r="AH223" s="54">
        <f>AH7*AH$159</f>
        <v>2509.3266636034696</v>
      </c>
      <c r="AI223" s="54">
        <f>AI7*AI$159</f>
        <v>2507.649440945775</v>
      </c>
      <c r="AJ223" s="54">
        <f>AJ7*AJ$159</f>
        <v>2673.5677411169459</v>
      </c>
      <c r="AK223" s="54">
        <f>AK7*AK$159</f>
        <v>2283.3932185483736</v>
      </c>
      <c r="AL223" s="54">
        <f>AL7*AL$159</f>
        <v>1843.9492723428509</v>
      </c>
      <c r="AM223" s="54">
        <f>AM7*AM$159</f>
        <v>2113.7046967870556</v>
      </c>
      <c r="AN223" s="54">
        <f>AN7*AN$159</f>
        <v>2348.8978375478669</v>
      </c>
      <c r="AO223" s="54">
        <f>AO7*AO$159</f>
        <v>2167.1788752523362</v>
      </c>
      <c r="AP223" s="54">
        <f>AP7*AP$159</f>
        <v>2045.6489295203446</v>
      </c>
      <c r="AQ223" s="54">
        <f>AQ7*AQ$159</f>
        <v>2414.5725456691384</v>
      </c>
      <c r="AR223" s="54">
        <f>AR7*AR$159</f>
        <v>2573.3187582879414</v>
      </c>
      <c r="AS223" s="54">
        <f>AS7*AS$159</f>
        <v>2456.8620280735886</v>
      </c>
      <c r="AT223" s="54">
        <f>AT7*AT$159</f>
        <v>2862.9533032164227</v>
      </c>
      <c r="AU223" s="54">
        <f>AU7*AU$159</f>
        <v>2819.8473391164125</v>
      </c>
      <c r="AV223" s="54">
        <f>AV7*AV$159</f>
        <v>3070.1199779680414</v>
      </c>
      <c r="AW223" s="54">
        <f>AW7*AW$159</f>
        <v>2954.1072013675307</v>
      </c>
      <c r="AX223" s="54">
        <f>AX7*AX$159</f>
        <v>3476.5210119136136</v>
      </c>
      <c r="AY223" s="54">
        <f>AY7*AY$159</f>
        <v>3680.0437853513458</v>
      </c>
      <c r="AZ223" s="54">
        <f>AZ7*AZ$159</f>
        <v>3650.2428089850432</v>
      </c>
      <c r="BA223" s="54">
        <f>BA7*BA$159</f>
        <v>3803.2733509018703</v>
      </c>
      <c r="BB223" s="54">
        <f>BB7*BB$159</f>
        <v>4030.5202555512278</v>
      </c>
      <c r="BC223" s="54">
        <f>BC7*BC$159</f>
        <v>3677.0325026217483</v>
      </c>
      <c r="BD223" s="54">
        <f>BD7*BD$159</f>
        <v>3833.6259655856456</v>
      </c>
      <c r="BE223" s="54">
        <f>BE7*BE$159</f>
        <v>3397.3927946402337</v>
      </c>
      <c r="BF223" s="54">
        <f>BF7*BF$159</f>
        <v>3731.072523657584</v>
      </c>
      <c r="BG223" s="54">
        <f>BG7*BG$159</f>
        <v>3855.2655003106433</v>
      </c>
      <c r="BH223" s="54">
        <f>BH7*BH$159</f>
        <v>4195.54455081587</v>
      </c>
      <c r="BI223" s="54">
        <f>BI7*BI$159</f>
        <v>4037.6279994326378</v>
      </c>
      <c r="BJ223" s="54"/>
      <c r="BK223" s="54"/>
      <c r="BL223" s="54"/>
      <c r="BM223" s="54"/>
    </row>
    <row r="224" spans="2:65" s="28" customFormat="1" ht="13.5" customHeight="1">
      <c r="B224" s="22" t="str">
        <f>+B8</f>
        <v xml:space="preserve">% y-o-ygrowth </v>
      </c>
      <c r="C224" s="67"/>
      <c r="D224" s="67">
        <f t="shared" ref="D224:O224" si="528">+D223/C223-1</f>
        <v>-0.13214051021584505</v>
      </c>
      <c r="E224" s="67">
        <f t="shared" si="528"/>
        <v>-9.1631493276094211E-3</v>
      </c>
      <c r="F224" s="67">
        <f t="shared" si="528"/>
        <v>0.13012388997183022</v>
      </c>
      <c r="G224" s="67">
        <f t="shared" si="528"/>
        <v>-0.10071585218948143</v>
      </c>
      <c r="H224" s="67">
        <f t="shared" si="528"/>
        <v>-2.1020245622483613E-2</v>
      </c>
      <c r="I224" s="67">
        <f t="shared" si="528"/>
        <v>6.5444192294735082E-2</v>
      </c>
      <c r="J224" s="67">
        <f t="shared" si="528"/>
        <v>-0.15051379892838812</v>
      </c>
      <c r="K224" s="67">
        <f t="shared" si="528"/>
        <v>7.2623838120420281E-2</v>
      </c>
      <c r="L224" s="67">
        <f t="shared" si="528"/>
        <v>0.21710269038610885</v>
      </c>
      <c r="M224" s="67">
        <f t="shared" si="528"/>
        <v>0.22662665460065878</v>
      </c>
      <c r="N224" s="67">
        <f t="shared" si="528"/>
        <v>0.12185462700798411</v>
      </c>
      <c r="O224" s="67">
        <f t="shared" si="528"/>
        <v>-1.6142711358704598E-2</v>
      </c>
      <c r="P224" s="67"/>
      <c r="Q224" s="333"/>
      <c r="R224" s="67"/>
      <c r="S224" s="67"/>
      <c r="T224" s="97"/>
      <c r="U224" s="67"/>
      <c r="V224" s="67"/>
      <c r="W224" s="67"/>
      <c r="X224" s="67"/>
      <c r="Y224" s="67"/>
      <c r="Z224" s="67"/>
      <c r="AA224" s="67"/>
      <c r="AB224" s="67"/>
      <c r="AC224" s="67"/>
      <c r="AD224" s="67"/>
      <c r="AE224" s="67"/>
      <c r="AF224" s="67"/>
      <c r="AG224" s="67"/>
      <c r="AH224" s="67"/>
      <c r="AI224" s="67"/>
      <c r="AJ224" s="67"/>
      <c r="AK224" s="67"/>
      <c r="AL224" s="67"/>
      <c r="AM224" s="67"/>
      <c r="AN224" s="67"/>
      <c r="AO224" s="67">
        <f t="shared" ref="AO224:AR224" si="529">AO223/AK223-1</f>
        <v>-5.0895457844058356E-2</v>
      </c>
      <c r="AP224" s="67">
        <f t="shared" si="529"/>
        <v>0.10938460195340505</v>
      </c>
      <c r="AQ224" s="67">
        <f t="shared" si="529"/>
        <v>0.14234147718904078</v>
      </c>
      <c r="AR224" s="67">
        <f t="shared" si="529"/>
        <v>9.5543074352845814E-2</v>
      </c>
      <c r="AS224" s="67">
        <f>AS223/AO223-1</f>
        <v>0.13366831696692461</v>
      </c>
      <c r="AT224" s="67">
        <f t="shared" ref="AT224:BI224" si="530">AT223/AP223-1</f>
        <v>0.39953305863079658</v>
      </c>
      <c r="AU224" s="67">
        <f t="shared" si="530"/>
        <v>0.16784535804243661</v>
      </c>
      <c r="AV224" s="67">
        <f t="shared" si="530"/>
        <v>0.19305856224769746</v>
      </c>
      <c r="AW224" s="67">
        <f t="shared" si="530"/>
        <v>0.20239035306505548</v>
      </c>
      <c r="AX224" s="67">
        <f>AX223/AT223-1</f>
        <v>0.21431285938470257</v>
      </c>
      <c r="AY224" s="67">
        <f t="shared" si="530"/>
        <v>0.30505071473283096</v>
      </c>
      <c r="AZ224" s="67">
        <f t="shared" si="530"/>
        <v>0.18895770692354374</v>
      </c>
      <c r="BA224" s="67">
        <f t="shared" si="530"/>
        <v>0.28745271977308051</v>
      </c>
      <c r="BB224" s="67">
        <f>BB223/AX223-1</f>
        <v>0.15935449310938332</v>
      </c>
      <c r="BC224" s="67">
        <f t="shared" si="530"/>
        <v>-8.1827361445641067E-4</v>
      </c>
      <c r="BD224" s="67">
        <f t="shared" si="530"/>
        <v>5.0238618688380532E-2</v>
      </c>
      <c r="BE224" s="67">
        <f t="shared" si="530"/>
        <v>-0.10671874430624084</v>
      </c>
      <c r="BF224" s="67">
        <f t="shared" si="530"/>
        <v>-7.4295056942392246E-2</v>
      </c>
      <c r="BG224" s="67">
        <f t="shared" si="530"/>
        <v>4.8471966881395101E-2</v>
      </c>
      <c r="BH224" s="67">
        <f t="shared" si="530"/>
        <v>9.4406337102043159E-2</v>
      </c>
      <c r="BI224" s="67">
        <f t="shared" si="530"/>
        <v>0.18844897940633976</v>
      </c>
      <c r="BJ224" s="333"/>
      <c r="BK224" s="333"/>
      <c r="BL224" s="67"/>
      <c r="BM224" s="67"/>
    </row>
    <row r="225" spans="2:65" s="28" customFormat="1" ht="13.5" customHeight="1">
      <c r="B225" s="28" t="s">
        <v>381</v>
      </c>
      <c r="C225" s="96"/>
      <c r="D225" s="96"/>
      <c r="E225" s="96"/>
      <c r="F225" s="96"/>
      <c r="G225" s="96"/>
      <c r="H225" s="96"/>
      <c r="I225" s="96"/>
      <c r="J225" s="96"/>
      <c r="K225" s="96"/>
      <c r="L225" s="96"/>
      <c r="M225" s="96"/>
      <c r="N225" s="96"/>
      <c r="O225" s="96"/>
      <c r="P225" s="96"/>
      <c r="Q225" s="333"/>
      <c r="R225" s="96"/>
      <c r="S225" s="96"/>
      <c r="T225" s="98"/>
      <c r="U225" s="96"/>
      <c r="V225" s="96"/>
      <c r="W225" s="96"/>
      <c r="X225" s="96"/>
      <c r="Y225" s="96"/>
      <c r="Z225" s="96"/>
      <c r="AA225" s="96"/>
      <c r="AB225" s="96"/>
      <c r="AC225" s="96"/>
      <c r="AD225" s="96"/>
      <c r="AE225" s="96"/>
      <c r="AF225" s="96"/>
      <c r="AG225" s="96"/>
      <c r="AH225" s="96"/>
      <c r="AI225" s="96"/>
      <c r="AJ225" s="96"/>
      <c r="AK225" s="96"/>
      <c r="AL225" s="96"/>
      <c r="AM225" s="96"/>
      <c r="AN225" s="96"/>
      <c r="AO225" s="96"/>
      <c r="AP225" s="96"/>
      <c r="AQ225" s="96"/>
      <c r="AR225" s="96"/>
      <c r="AS225" s="96"/>
      <c r="AT225" s="96"/>
      <c r="AU225" s="96"/>
      <c r="AV225" s="96"/>
      <c r="AW225" s="96"/>
      <c r="AX225" s="96"/>
      <c r="AY225" s="96"/>
      <c r="AZ225" s="96"/>
      <c r="BA225" s="96"/>
      <c r="BB225" s="96"/>
      <c r="BC225" s="96"/>
      <c r="BD225" s="96"/>
      <c r="BE225" s="96"/>
      <c r="BF225" s="96"/>
      <c r="BG225" s="96"/>
      <c r="BH225" s="96"/>
      <c r="BI225" s="96"/>
      <c r="BJ225" s="333"/>
      <c r="BK225" s="333"/>
      <c r="BL225" s="96"/>
      <c r="BM225" s="96"/>
    </row>
    <row r="226" spans="2:65" s="5" customFormat="1" ht="13.5" hidden="1" customHeight="1" outlineLevel="1" thickBot="1">
      <c r="B226" s="26"/>
      <c r="C226" s="61"/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8"/>
      <c r="R226" s="61"/>
      <c r="S226" s="61"/>
      <c r="T226" s="99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1"/>
      <c r="AS226" s="61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8"/>
      <c r="BK226" s="8"/>
      <c r="BL226" s="61"/>
      <c r="BM226" s="61"/>
    </row>
    <row r="227" spans="2:65" s="28" customFormat="1" ht="13.5" hidden="1" customHeight="1" outlineLevel="1" thickTop="1">
      <c r="B227" s="22"/>
      <c r="C227" s="52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334"/>
      <c r="R227" s="52"/>
      <c r="S227" s="52"/>
      <c r="T227" s="100"/>
      <c r="U227" s="52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52"/>
      <c r="AS227" s="52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334"/>
      <c r="BK227" s="334"/>
      <c r="BL227" s="52"/>
      <c r="BM227" s="52"/>
    </row>
    <row r="228" spans="2:65" s="28" customFormat="1" ht="13.5" hidden="1" customHeight="1" outlineLevel="1">
      <c r="B228" s="22"/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334"/>
      <c r="R228" s="52"/>
      <c r="S228" s="52"/>
      <c r="T228" s="100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334"/>
      <c r="BK228" s="334"/>
      <c r="BL228" s="52"/>
      <c r="BM228" s="52"/>
    </row>
    <row r="229" spans="2:65" ht="13.5" customHeight="1" collapsed="1"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112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  <c r="BK229" s="53"/>
      <c r="BL229" s="53"/>
      <c r="BM229" s="53"/>
    </row>
    <row r="230" spans="2:65" s="5" customFormat="1" ht="13.5" customHeight="1" thickBot="1">
      <c r="B230" s="26" t="str">
        <f>B53</f>
        <v xml:space="preserve">Adj. EBITDA </v>
      </c>
      <c r="C230" s="61">
        <f>C53*C$159</f>
        <v>2082.5280320064976</v>
      </c>
      <c r="D230" s="61">
        <f>D53*D$159</f>
        <v>1879.5469602801527</v>
      </c>
      <c r="E230" s="61">
        <f>E53*E$159</f>
        <v>1746.5643290525911</v>
      </c>
      <c r="F230" s="61">
        <f>F53*F$159</f>
        <v>2089.0240887480195</v>
      </c>
      <c r="G230" s="61">
        <f>G53*G$159</f>
        <v>1917.1445852720692</v>
      </c>
      <c r="H230" s="61">
        <f>H53*H$159</f>
        <v>1842.8138908000208</v>
      </c>
      <c r="I230" s="61">
        <f>I53*I$159</f>
        <v>1928.8096905779116</v>
      </c>
      <c r="J230" s="61">
        <f>J53*J$159</f>
        <v>1744.6093210975062</v>
      </c>
      <c r="K230" s="61">
        <f>K53*K$159</f>
        <v>1834.8532518483198</v>
      </c>
      <c r="L230" s="61">
        <f>L53*L$159</f>
        <v>2123.6904527223583</v>
      </c>
      <c r="M230" s="61">
        <f>M53*M$159</f>
        <v>2601.4545754048086</v>
      </c>
      <c r="N230" s="61">
        <f>N53*N$159</f>
        <v>3095.5072884979859</v>
      </c>
      <c r="O230" s="61">
        <f>O53*O$159</f>
        <v>3071.6960357344569</v>
      </c>
      <c r="P230" s="61">
        <f>P53*P$159</f>
        <v>3203.8056774827055</v>
      </c>
      <c r="Q230" s="8"/>
      <c r="R230" s="61"/>
      <c r="S230" s="61"/>
      <c r="T230" s="99"/>
      <c r="U230" s="61">
        <f>U53*U$159</f>
        <v>374.67459789240166</v>
      </c>
      <c r="V230" s="61">
        <f>V53*V$159</f>
        <v>441.70897506925195</v>
      </c>
      <c r="W230" s="61">
        <f>W53*W$159</f>
        <v>417.72996794871807</v>
      </c>
      <c r="X230" s="61">
        <f>X53*X$159</f>
        <v>506.23420833648589</v>
      </c>
      <c r="Y230" s="61">
        <f>Y53*Y$159</f>
        <v>437.66478666012739</v>
      </c>
      <c r="Z230" s="61">
        <f>Z53*Z$159</f>
        <v>494.36994623655892</v>
      </c>
      <c r="AA230" s="61">
        <f>AA53*AA$159</f>
        <v>501.275925925926</v>
      </c>
      <c r="AB230" s="61">
        <f>AB53*AB$159</f>
        <v>659.96951928156375</v>
      </c>
      <c r="AC230" s="61">
        <f>AC53*AC$159</f>
        <v>464.07249466950958</v>
      </c>
      <c r="AD230" s="61">
        <f>AD53*AD$159</f>
        <v>491.04290139390804</v>
      </c>
      <c r="AE230" s="61">
        <f>AE53*AE$159</f>
        <v>447.39088889668324</v>
      </c>
      <c r="AF230" s="61">
        <f>AF53*AF$159</f>
        <v>441.08720059169667</v>
      </c>
      <c r="AG230" s="61">
        <f>AG53*AG$159</f>
        <v>444.35909218232649</v>
      </c>
      <c r="AH230" s="61">
        <f>AH53*AH$159</f>
        <v>480.1262701151216</v>
      </c>
      <c r="AI230" s="61">
        <f>AI53*AI$159</f>
        <v>518.49730573226157</v>
      </c>
      <c r="AJ230" s="61">
        <f>AJ53*AJ$159</f>
        <v>485.36726439156433</v>
      </c>
      <c r="AK230" s="61">
        <f>AK53*AK$159</f>
        <v>457.52402955029021</v>
      </c>
      <c r="AL230" s="61">
        <f>AL53*AL$159</f>
        <v>351.93581487156382</v>
      </c>
      <c r="AM230" s="61">
        <f>AM53*AM$159</f>
        <v>455.67616463138853</v>
      </c>
      <c r="AN230" s="61">
        <f>AN53*AN$159</f>
        <v>482.93915854273831</v>
      </c>
      <c r="AO230" s="61">
        <f>AO53*AO$159</f>
        <v>427.07922488539447</v>
      </c>
      <c r="AP230" s="61">
        <f>AP53*AP$159</f>
        <v>428.38184931506845</v>
      </c>
      <c r="AQ230" s="61">
        <f>AQ53*AQ$159</f>
        <v>465.76711644177908</v>
      </c>
      <c r="AR230" s="61">
        <f>AR53*AR$159</f>
        <v>510.51943804233423</v>
      </c>
      <c r="AS230" s="61">
        <f>AS53*AS$159</f>
        <v>471.60041312392138</v>
      </c>
      <c r="AT230" s="61">
        <f>AT53*AT$159</f>
        <v>529.87311419722255</v>
      </c>
      <c r="AU230" s="61">
        <f>AU53*AU$159</f>
        <v>524.81814000000008</v>
      </c>
      <c r="AV230" s="61">
        <f>AV53*AV$159</f>
        <v>599.59065960672899</v>
      </c>
      <c r="AW230" s="61">
        <f>AW53*AW$159</f>
        <v>541.91991018820545</v>
      </c>
      <c r="AX230" s="61">
        <f>AX53*AX$159</f>
        <v>647.386739862475</v>
      </c>
      <c r="AY230" s="61">
        <f>AY53*AY$159</f>
        <v>692.64649999999995</v>
      </c>
      <c r="AZ230" s="61">
        <f>AZ53*AZ$159</f>
        <v>726.40945271398391</v>
      </c>
      <c r="BA230" s="61">
        <f>BA53*BA$159</f>
        <v>711.98183999999992</v>
      </c>
      <c r="BB230" s="61">
        <f>BB53*BB$159</f>
        <v>807.89923569814198</v>
      </c>
      <c r="BC230" s="61">
        <f>BC53*BC$159</f>
        <v>739.66836603577826</v>
      </c>
      <c r="BD230" s="61">
        <f>BD53*BD$159</f>
        <v>814.13845347563733</v>
      </c>
      <c r="BE230" s="61">
        <f>BE53*BE$159</f>
        <v>641.84377111707306</v>
      </c>
      <c r="BF230" s="61">
        <f>BF53*BF$159</f>
        <v>685.03520770374632</v>
      </c>
      <c r="BG230" s="61">
        <f>BG53*BG$159</f>
        <v>774.91303639673959</v>
      </c>
      <c r="BH230" s="61">
        <f>BH53*BH$159</f>
        <v>984.51704278930606</v>
      </c>
      <c r="BI230" s="61">
        <f>BI53*BI$159</f>
        <v>761.34214466188621</v>
      </c>
      <c r="BJ230" s="8"/>
      <c r="BK230" s="8"/>
      <c r="BL230" s="61"/>
      <c r="BM230" s="61"/>
    </row>
    <row r="231" spans="2:65" s="28" customFormat="1" ht="13.5" customHeight="1" thickTop="1">
      <c r="B231" s="22" t="str">
        <f>B54</f>
        <v xml:space="preserve">% growth </v>
      </c>
      <c r="C231" s="67"/>
      <c r="D231" s="67">
        <f>D54</f>
        <v>7.5689729885887624E-2</v>
      </c>
      <c r="E231" s="67">
        <f>E54</f>
        <v>9.393044178863974E-2</v>
      </c>
      <c r="F231" s="67">
        <f>F54</f>
        <v>0.2135649051740014</v>
      </c>
      <c r="G231" s="67">
        <f>G54</f>
        <v>0</v>
      </c>
      <c r="H231" s="67">
        <f>H54</f>
        <v>-2.3030369585134713E-2</v>
      </c>
      <c r="I231" s="67">
        <f>I54</f>
        <v>4.7720209689713355E-2</v>
      </c>
      <c r="J231" s="67">
        <f>J54</f>
        <v>5.3213031621914819E-3</v>
      </c>
      <c r="K231" s="67">
        <f>K54</f>
        <v>4.026859370367708E-2</v>
      </c>
      <c r="L231" s="67">
        <f>L54</f>
        <v>0.10686426268383009</v>
      </c>
      <c r="M231" s="67">
        <f>M54</f>
        <v>7.9458465484983698E-2</v>
      </c>
      <c r="N231" s="67">
        <f>N54</f>
        <v>0.21086057242483425</v>
      </c>
      <c r="O231" s="67">
        <f>O54</f>
        <v>5.1674901083507807E-2</v>
      </c>
      <c r="P231" s="67"/>
      <c r="Q231" s="333"/>
      <c r="R231" s="67"/>
      <c r="S231" s="67"/>
      <c r="T231" s="97"/>
      <c r="U231" s="67"/>
      <c r="V231" s="67"/>
      <c r="W231" s="67"/>
      <c r="X231" s="67">
        <f>X54</f>
        <v>0</v>
      </c>
      <c r="Y231" s="67">
        <f>Y54</f>
        <v>0.32101836416972884</v>
      </c>
      <c r="Z231" s="67">
        <f>Z54</f>
        <v>0.15332465303799259</v>
      </c>
      <c r="AA231" s="67">
        <f>AA54</f>
        <v>0.14230761115384394</v>
      </c>
      <c r="AB231" s="67">
        <f>AB54</f>
        <v>0.24460958580335457</v>
      </c>
      <c r="AC231" s="67">
        <f>AC54</f>
        <v>-2.4426867593345003E-2</v>
      </c>
      <c r="AD231" s="67">
        <f>AD54</f>
        <v>3.4389378638891355E-2</v>
      </c>
      <c r="AE231" s="67">
        <f>AE54</f>
        <v>-4.9397841752304328E-2</v>
      </c>
      <c r="AF231" s="67">
        <f>AF54</f>
        <v>-0.29987968775284468</v>
      </c>
      <c r="AG231" s="67">
        <f>AG54</f>
        <v>4.6063899090414306E-2</v>
      </c>
      <c r="AH231" s="67">
        <f>AH54</f>
        <v>5.200646001378284E-2</v>
      </c>
      <c r="AI231" s="67">
        <f>AI54</f>
        <v>0.1858025666460883</v>
      </c>
      <c r="AJ231" s="67">
        <f>AJ54</f>
        <v>6.986835428064242E-2</v>
      </c>
      <c r="AK231" s="67">
        <f>AK54</f>
        <v>6.3911978245857481E-2</v>
      </c>
      <c r="AL231" s="67">
        <f>AL54</f>
        <v>-0.10444359011616222</v>
      </c>
      <c r="AM231" s="67">
        <f>AM54</f>
        <v>5.7425739166427903E-4</v>
      </c>
      <c r="AN231" s="67">
        <f>AN54</f>
        <v>6.4667844406706809E-2</v>
      </c>
      <c r="AO231" s="67">
        <f>AO54</f>
        <v>-3.0752155923561619E-2</v>
      </c>
      <c r="AP231" s="67">
        <f>AP54</f>
        <v>0.2172158422449928</v>
      </c>
      <c r="AQ231" s="67">
        <f>AQ54</f>
        <v>-7.4937965260545858E-2</v>
      </c>
      <c r="AR231" s="67">
        <f>AR54</f>
        <v>7.5502402536009594E-2</v>
      </c>
      <c r="AS231" s="67">
        <f>AS54</f>
        <v>0.11581696377881223</v>
      </c>
      <c r="AT231" s="67">
        <f>AT54</f>
        <v>5.9958029379434397E-2</v>
      </c>
      <c r="AU231" s="67">
        <f>AU54</f>
        <v>0.14012875536480696</v>
      </c>
      <c r="AV231" s="67">
        <f>AV54</f>
        <v>0.1143731476302241</v>
      </c>
      <c r="AW231" s="67">
        <f>AW54</f>
        <v>7.0723516841355361E-2</v>
      </c>
      <c r="AX231" s="67">
        <f>AX54</f>
        <v>7.8438766852078734E-2</v>
      </c>
      <c r="AY231" s="67">
        <f>AY54</f>
        <v>0.1133069828722002</v>
      </c>
      <c r="AZ231" s="67">
        <f>AZ54</f>
        <v>5.7431473015591372E-2</v>
      </c>
      <c r="BA231" s="67">
        <f>BA54</f>
        <v>0.13514540961794341</v>
      </c>
      <c r="BB231" s="67">
        <f>BB54</f>
        <v>0.21707282830915875</v>
      </c>
      <c r="BC231" s="67">
        <f>BC54</f>
        <v>0.18350934093259519</v>
      </c>
      <c r="BD231" s="67">
        <f>BD54</f>
        <v>0.29395335013238943</v>
      </c>
      <c r="BE231" s="67">
        <f>BE54</f>
        <v>0.10969463527484846</v>
      </c>
      <c r="BF231" s="67">
        <f>BF54</f>
        <v>-3.8385373704647008E-2</v>
      </c>
      <c r="BG231" s="67">
        <f>BG54</f>
        <v>3.1983528166855235E-2</v>
      </c>
      <c r="BH231" s="67">
        <f>BH54</f>
        <v>0.10287617985529396</v>
      </c>
      <c r="BI231" s="67">
        <f>BI54</f>
        <v>9.025032766293517E-3</v>
      </c>
      <c r="BJ231" s="333"/>
      <c r="BK231" s="333"/>
      <c r="BL231" s="67"/>
      <c r="BM231" s="67"/>
    </row>
    <row r="232" spans="2:65" s="28" customFormat="1" ht="13.5" customHeight="1">
      <c r="B232" s="22" t="str">
        <f>B55</f>
        <v>% margin</v>
      </c>
      <c r="C232" s="67">
        <f t="shared" ref="C232:H232" si="531">C230/C223</f>
        <v>0.18799983706499748</v>
      </c>
      <c r="D232" s="67">
        <f t="shared" si="531"/>
        <v>0.19551063271199789</v>
      </c>
      <c r="E232" s="67">
        <f t="shared" si="531"/>
        <v>0.18335790409525202</v>
      </c>
      <c r="F232" s="67">
        <f t="shared" si="531"/>
        <v>0.19405839813674777</v>
      </c>
      <c r="G232" s="67">
        <f t="shared" si="531"/>
        <v>0.19803726671458113</v>
      </c>
      <c r="H232" s="67">
        <f t="shared" si="531"/>
        <v>0.194446362401553</v>
      </c>
      <c r="I232" s="67">
        <f t="shared" ref="I232:N232" si="532">I230/I223</f>
        <v>0.19101919860100128</v>
      </c>
      <c r="J232" s="67">
        <f t="shared" si="532"/>
        <v>0.20338995452885017</v>
      </c>
      <c r="K232" s="67">
        <f t="shared" si="532"/>
        <v>0.19942757212723503</v>
      </c>
      <c r="L232" s="67">
        <f t="shared" si="532"/>
        <v>0.18964782154406437</v>
      </c>
      <c r="M232" s="67">
        <f t="shared" si="532"/>
        <v>0.18939150407645516</v>
      </c>
      <c r="N232" s="67">
        <f t="shared" si="532"/>
        <v>0.20088129225424628</v>
      </c>
      <c r="O232" s="67">
        <f t="shared" ref="O232" si="533">O230/O223</f>
        <v>0.20260669512184312</v>
      </c>
      <c r="P232" s="67">
        <f t="shared" ref="P232" si="534">P230/P223</f>
        <v>0.2024832777892302</v>
      </c>
      <c r="Q232" s="333"/>
      <c r="R232" s="67"/>
      <c r="S232" s="67"/>
      <c r="T232" s="97"/>
      <c r="U232" s="67">
        <f t="shared" ref="U232:AA232" si="535">U230/U223</f>
        <v>0.18210203707926409</v>
      </c>
      <c r="V232" s="67">
        <f t="shared" si="535"/>
        <v>0.19962778331238948</v>
      </c>
      <c r="W232" s="67">
        <f t="shared" si="535"/>
        <v>0.18464510873415035</v>
      </c>
      <c r="X232" s="67">
        <f t="shared" si="535"/>
        <v>0.17208237127142362</v>
      </c>
      <c r="Y232" s="67">
        <f t="shared" si="535"/>
        <v>0.17376256757796105</v>
      </c>
      <c r="Z232" s="67">
        <f t="shared" si="535"/>
        <v>0.18351105288519148</v>
      </c>
      <c r="AA232" s="67">
        <f t="shared" si="535"/>
        <v>0.18096017259891015</v>
      </c>
      <c r="AB232" s="67">
        <f t="shared" ref="AB232:AG232" si="536">AB230/AB223</f>
        <v>0.23593409026039233</v>
      </c>
      <c r="AC232" s="67">
        <f t="shared" si="536"/>
        <v>0.17512521875565748</v>
      </c>
      <c r="AD232" s="67">
        <f t="shared" si="536"/>
        <v>0.18261152208218773</v>
      </c>
      <c r="AE232" s="67">
        <f t="shared" si="536"/>
        <v>0.19234074613033875</v>
      </c>
      <c r="AF232" s="67">
        <f t="shared" si="536"/>
        <v>0.24032915340853531</v>
      </c>
      <c r="AG232" s="67">
        <f t="shared" si="536"/>
        <v>0.18467026692386226</v>
      </c>
      <c r="AH232" s="67">
        <f t="shared" ref="AH232:AM232" si="537">AH230/AH223</f>
        <v>0.19133669485089902</v>
      </c>
      <c r="AI232" s="67">
        <f t="shared" si="537"/>
        <v>0.20676626376321053</v>
      </c>
      <c r="AJ232" s="67">
        <f t="shared" si="537"/>
        <v>0.18154290872345383</v>
      </c>
      <c r="AK232" s="67">
        <f t="shared" si="537"/>
        <v>0.20037023226387302</v>
      </c>
      <c r="AL232" s="67">
        <f t="shared" si="537"/>
        <v>0.19085981385182452</v>
      </c>
      <c r="AM232" s="67">
        <f t="shared" si="537"/>
        <v>0.21558175336604055</v>
      </c>
      <c r="AN232" s="67">
        <f t="shared" ref="AN232:AS232" si="538">AN230/AN223</f>
        <v>0.20560245355196158</v>
      </c>
      <c r="AO232" s="67">
        <f t="shared" si="538"/>
        <v>0.1970669010123437</v>
      </c>
      <c r="AP232" s="67">
        <f t="shared" si="538"/>
        <v>0.20941122552026251</v>
      </c>
      <c r="AQ232" s="67">
        <f t="shared" si="538"/>
        <v>0.19289837336931343</v>
      </c>
      <c r="AR232" s="67">
        <f t="shared" si="538"/>
        <v>0.19838950631284741</v>
      </c>
      <c r="AS232" s="67">
        <f t="shared" si="538"/>
        <v>0.19195233909561482</v>
      </c>
      <c r="AT232" s="67">
        <f>AT230/AT223</f>
        <v>0.18507920251508456</v>
      </c>
      <c r="AU232" s="67">
        <f>AU230/AU223</f>
        <v>0.18611579879513962</v>
      </c>
      <c r="AV232" s="67">
        <f t="shared" ref="AV232:AW232" si="539">AV230/AV223</f>
        <v>0.19529877135406545</v>
      </c>
      <c r="AW232" s="67">
        <f t="shared" si="539"/>
        <v>0.18344625744703411</v>
      </c>
      <c r="AX232" s="67">
        <f>AX230/AX223</f>
        <v>0.18621683506124645</v>
      </c>
      <c r="AY232" s="67">
        <f>AY230/AY223</f>
        <v>0.18821691816742087</v>
      </c>
      <c r="AZ232" s="67">
        <f t="shared" ref="AZ232:BA232" si="540">AZ230/AZ223</f>
        <v>0.19900305013297551</v>
      </c>
      <c r="BA232" s="67">
        <f t="shared" si="540"/>
        <v>0.18720238444895571</v>
      </c>
      <c r="BB232" s="67">
        <f>BB230/BB223</f>
        <v>0.20044539773380965</v>
      </c>
      <c r="BC232" s="67">
        <f>BC230/BC223</f>
        <v>0.20115905026903891</v>
      </c>
      <c r="BD232" s="67">
        <f t="shared" ref="BD232:BE232" si="541">BD230/BD223</f>
        <v>0.21236773247680804</v>
      </c>
      <c r="BE232" s="67">
        <f t="shared" si="541"/>
        <v>0.18892245021819473</v>
      </c>
      <c r="BF232" s="67">
        <f t="shared" ref="BF232" si="542">BF230/BF223</f>
        <v>0.183602758552708</v>
      </c>
      <c r="BG232" s="67">
        <f>BG230/BG223</f>
        <v>0.20100121154672743</v>
      </c>
      <c r="BH232" s="67">
        <f t="shared" ref="BH232:BI232" si="543">BH230/BH223</f>
        <v>0.23465774963534969</v>
      </c>
      <c r="BI232" s="67">
        <f t="shared" si="543"/>
        <v>0.1885617359422089</v>
      </c>
      <c r="BJ232" s="333"/>
      <c r="BK232" s="333"/>
      <c r="BL232" s="67"/>
      <c r="BM232" s="67"/>
    </row>
    <row r="233" spans="2:65" ht="13.5" customHeight="1"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112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  <c r="BK233" s="53"/>
      <c r="BL233" s="53"/>
      <c r="BM233" s="53"/>
    </row>
    <row r="234" spans="2:65" s="5" customFormat="1" ht="13.5" customHeight="1">
      <c r="B234" s="5" t="str">
        <f>B63</f>
        <v xml:space="preserve">Adjusted EBITDA </v>
      </c>
      <c r="C234" s="141">
        <f>C63*C$159</f>
        <v>2082.5280320064976</v>
      </c>
      <c r="D234" s="141">
        <f>D63*D$159</f>
        <v>1879.5469602801527</v>
      </c>
      <c r="E234" s="141">
        <f>E63*E$159</f>
        <v>1746.5643290525911</v>
      </c>
      <c r="F234" s="141">
        <f>F63*F$159</f>
        <v>2089.0240887480195</v>
      </c>
      <c r="G234" s="141">
        <f>G63*G$159</f>
        <v>1917.1445852720692</v>
      </c>
      <c r="H234" s="141">
        <f>H63*H$159</f>
        <v>1842.8138908000208</v>
      </c>
      <c r="I234" s="141">
        <f>I63*I$159</f>
        <v>1928.8096905779116</v>
      </c>
      <c r="J234" s="141">
        <f>J63*J$159</f>
        <v>1744.6093210975062</v>
      </c>
      <c r="K234" s="141">
        <f>K63*K$159</f>
        <v>1834.8532518483198</v>
      </c>
      <c r="L234" s="141">
        <f>L63*L$159</f>
        <v>2123.6904527223583</v>
      </c>
      <c r="M234" s="141">
        <f>M63*M$159</f>
        <v>2601.4545754048086</v>
      </c>
      <c r="N234" s="141">
        <f>N63*N$159</f>
        <v>3095.5072884979859</v>
      </c>
      <c r="O234" s="141">
        <f>O63*O$159</f>
        <v>3071.6960357344569</v>
      </c>
      <c r="P234" s="141">
        <f>P63*P$159</f>
        <v>3203.8056774827055</v>
      </c>
      <c r="Q234" s="136"/>
      <c r="R234" s="141"/>
      <c r="S234" s="141"/>
      <c r="T234" s="214"/>
      <c r="U234" s="141">
        <f>U63*U$159</f>
        <v>374.67459789240166</v>
      </c>
      <c r="V234" s="141">
        <f>V63*V$159</f>
        <v>441.70897506925195</v>
      </c>
      <c r="W234" s="141">
        <f>W63*W$159</f>
        <v>417.72996794871807</v>
      </c>
      <c r="X234" s="141">
        <f>X63*X$159</f>
        <v>506.23420833648589</v>
      </c>
      <c r="Y234" s="141">
        <f>Y63*Y$159</f>
        <v>437.66478666012739</v>
      </c>
      <c r="Z234" s="141">
        <f>Z63*Z$159</f>
        <v>494.36994623655892</v>
      </c>
      <c r="AA234" s="141">
        <f>AA63*AA$159</f>
        <v>501.275925925926</v>
      </c>
      <c r="AB234" s="141">
        <f>AB63*AB$159</f>
        <v>659.96951928156375</v>
      </c>
      <c r="AC234" s="141">
        <f>AC63*AC$159</f>
        <v>464.07249466950958</v>
      </c>
      <c r="AD234" s="141">
        <f>AD63*AD$159</f>
        <v>491.04290139390804</v>
      </c>
      <c r="AE234" s="141">
        <f>AE63*AE$159</f>
        <v>447.39088889668324</v>
      </c>
      <c r="AF234" s="141">
        <f>AF63*AF$159</f>
        <v>441.08720059169667</v>
      </c>
      <c r="AG234" s="141">
        <f>AG63*AG$159</f>
        <v>444.35909218232649</v>
      </c>
      <c r="AH234" s="141">
        <f>AH63*AH$159</f>
        <v>480.1262701151216</v>
      </c>
      <c r="AI234" s="141">
        <f>AI63*AI$159</f>
        <v>518.49730573226157</v>
      </c>
      <c r="AJ234" s="141">
        <f>AJ63*AJ$159</f>
        <v>485.36726439156433</v>
      </c>
      <c r="AK234" s="141">
        <f>AK63*AK$159</f>
        <v>457.52402955029021</v>
      </c>
      <c r="AL234" s="141">
        <f>AL63*AL$159</f>
        <v>351.93581487156382</v>
      </c>
      <c r="AM234" s="141">
        <f>AM63*AM$159</f>
        <v>455.67616463138853</v>
      </c>
      <c r="AN234" s="141">
        <f>AN63*AN$159</f>
        <v>482.93915854273831</v>
      </c>
      <c r="AO234" s="141">
        <f>AO63*AO$159</f>
        <v>427.07922488539447</v>
      </c>
      <c r="AP234" s="141">
        <f>AP63*AP$159</f>
        <v>805.39383561643831</v>
      </c>
      <c r="AQ234" s="141">
        <f>AQ63*AQ$159</f>
        <v>465.76711644177908</v>
      </c>
      <c r="AR234" s="141">
        <f>AR63*AR$159</f>
        <v>510.51943804233423</v>
      </c>
      <c r="AS234" s="141">
        <f>AS63*AS$159</f>
        <v>471.60041312392138</v>
      </c>
      <c r="AT234" s="141">
        <f>AT63*AT$159</f>
        <v>529.87311419722255</v>
      </c>
      <c r="AU234" s="141">
        <f>AU63*AU$159</f>
        <v>524.81814000000008</v>
      </c>
      <c r="AV234" s="141">
        <f>AV63*AV$159</f>
        <v>599.59065960672899</v>
      </c>
      <c r="AW234" s="141">
        <f>AW63*AW$159</f>
        <v>541.91991018820545</v>
      </c>
      <c r="AX234" s="141">
        <f>AX63*AX$159</f>
        <v>647.386739862475</v>
      </c>
      <c r="AY234" s="141">
        <f>AY63*AY$159</f>
        <v>692.64649999999995</v>
      </c>
      <c r="AZ234" s="141">
        <f>AZ63*AZ$159</f>
        <v>726.40945271398391</v>
      </c>
      <c r="BA234" s="141">
        <f>BA63*BA$159</f>
        <v>711.98183999999992</v>
      </c>
      <c r="BB234" s="141">
        <f>BB63*BB$159</f>
        <v>807.89923569814198</v>
      </c>
      <c r="BC234" s="141">
        <f>BC63*BC$159</f>
        <v>739.66836603577826</v>
      </c>
      <c r="BD234" s="141">
        <f>BD63*BD$159</f>
        <v>814.13845347563733</v>
      </c>
      <c r="BE234" s="141">
        <f>BE63*BE$159</f>
        <v>641.84377111707306</v>
      </c>
      <c r="BF234" s="141">
        <f>BF63*BF$159</f>
        <v>685.03520770374632</v>
      </c>
      <c r="BG234" s="141">
        <f>BG63*BG$159</f>
        <v>774.91303639673959</v>
      </c>
      <c r="BH234" s="141">
        <f>BH63*BH$159</f>
        <v>984.51704278930606</v>
      </c>
      <c r="BI234" s="141">
        <f>BI63*BI$159</f>
        <v>761.34214466188621</v>
      </c>
      <c r="BJ234" s="136"/>
      <c r="BK234" s="136"/>
      <c r="BL234" s="141"/>
      <c r="BM234" s="141"/>
    </row>
    <row r="235" spans="2:65" ht="13.5" customHeight="1">
      <c r="B235" s="1" t="str">
        <f>B64</f>
        <v>Working Capital</v>
      </c>
      <c r="C235" s="147">
        <f>C64*C$159</f>
        <v>271.70929436802965</v>
      </c>
      <c r="D235" s="147">
        <f>D64*D$159</f>
        <v>33.757137899485755</v>
      </c>
      <c r="E235" s="147">
        <f>E64*E$159</f>
        <v>184.87120253843023</v>
      </c>
      <c r="F235" s="147">
        <f>F64*F$159</f>
        <v>-44.493079767564709</v>
      </c>
      <c r="G235" s="147">
        <f>G64*G$159</f>
        <v>-126.41225567881669</v>
      </c>
      <c r="H235" s="147">
        <f>H64*H$159</f>
        <v>-94.467307692307699</v>
      </c>
      <c r="I235" s="147">
        <f>I64*I$159</f>
        <v>99.677776951449744</v>
      </c>
      <c r="J235" s="147">
        <f>J64*J$159</f>
        <v>69.652880322509773</v>
      </c>
      <c r="K235" s="147">
        <f>K64*K$159</f>
        <v>-60.312869929210784</v>
      </c>
      <c r="L235" s="147">
        <f>L64*L$159</f>
        <v>-79.019557425964464</v>
      </c>
      <c r="M235" s="147">
        <f>M64*M$159</f>
        <v>105.50629690131458</v>
      </c>
      <c r="N235" s="147">
        <f>N64*N$159</f>
        <v>-200.00907037238201</v>
      </c>
      <c r="O235" s="147">
        <f>O64*O$159</f>
        <v>-766.09377817223719</v>
      </c>
      <c r="P235" s="147">
        <f>P64*P$159</f>
        <v>-451.45764060368623</v>
      </c>
      <c r="Q235" s="134"/>
      <c r="R235" s="147"/>
      <c r="S235" s="147"/>
      <c r="T235" s="216"/>
      <c r="U235" s="147">
        <f>U64*U$159</f>
        <v>-47.383915696062118</v>
      </c>
      <c r="V235" s="147">
        <f>V64*V$159</f>
        <v>-18.874626038781152</v>
      </c>
      <c r="W235" s="147">
        <f>W64*W$159</f>
        <v>128.77970085470082</v>
      </c>
      <c r="X235" s="147">
        <f>X64*X$159</f>
        <v>112.63797059787686</v>
      </c>
      <c r="Y235" s="147">
        <f>Y64*Y$159</f>
        <v>-25.499362432564961</v>
      </c>
      <c r="Z235" s="147">
        <f>Z64*Z$159</f>
        <v>127.38752688172039</v>
      </c>
      <c r="AA235" s="147">
        <f>AA64*AA$159</f>
        <v>87.406509539842901</v>
      </c>
      <c r="AB235" s="147">
        <f>AB64*AB$159</f>
        <v>-224.47511885895406</v>
      </c>
      <c r="AC235" s="147">
        <f>AC64*AC$159</f>
        <v>-84.369936034115128</v>
      </c>
      <c r="AD235" s="147">
        <f>AD64*AD$159</f>
        <v>9.4614868353123374</v>
      </c>
      <c r="AE235" s="147">
        <f>AE64*AE$159</f>
        <v>67.511327713382499</v>
      </c>
      <c r="AF235" s="147">
        <f>AF64*AF$159</f>
        <v>-85.698688855269779</v>
      </c>
      <c r="AG235" s="147">
        <f>AG64*AG$159</f>
        <v>48.37117585848074</v>
      </c>
      <c r="AH235" s="147">
        <f>AH64*AH$159</f>
        <v>43.414016736401663</v>
      </c>
      <c r="AI235" s="147">
        <f>AI64*AI$159</f>
        <v>150.88789907312045</v>
      </c>
      <c r="AJ235" s="147">
        <f>AJ64*AJ$159</f>
        <v>-143.68672199170118</v>
      </c>
      <c r="AK235" s="147">
        <f>AK64*AK$159</f>
        <v>67.044612286002021</v>
      </c>
      <c r="AL235" s="147">
        <f>AL64*AL$159</f>
        <v>118.82671232876709</v>
      </c>
      <c r="AM235" s="271"/>
      <c r="AN235" s="271"/>
      <c r="AO235" s="271"/>
      <c r="AP235" s="147">
        <f>AP64*AP$159</f>
        <v>174.45607876712327</v>
      </c>
      <c r="AQ235" s="271"/>
      <c r="AR235" s="271"/>
      <c r="AS235" s="147">
        <f>AS64*AS$159</f>
        <v>32.475353695313885</v>
      </c>
      <c r="AT235" s="147">
        <f>AT64*AT$159</f>
        <v>38.427065640923161</v>
      </c>
      <c r="AU235" s="147">
        <f>AU64*AU$159</f>
        <v>-145.10673342000001</v>
      </c>
      <c r="AV235" s="147">
        <f>AV64*AV$159</f>
        <v>-5.4211585310223267</v>
      </c>
      <c r="AW235" s="147">
        <f>AW64*AW$159</f>
        <v>-23.604109176883181</v>
      </c>
      <c r="AX235" s="147">
        <f>AX64*AX$159</f>
        <v>19.43648660120547</v>
      </c>
      <c r="AY235" s="147">
        <f>AY64*AY$159</f>
        <v>193.07477275000002</v>
      </c>
      <c r="AZ235" s="147">
        <f>AZ64*AZ$159</f>
        <v>-74.800426404283385</v>
      </c>
      <c r="BA235" s="147">
        <f>BA64*BA$159</f>
        <v>-36.612342779999999</v>
      </c>
      <c r="BB235" s="147">
        <f>BB64*BB$159</f>
        <v>79.189652990000013</v>
      </c>
      <c r="BC235" s="147">
        <f>BC64*BC$159</f>
        <v>43.25292477</v>
      </c>
      <c r="BD235" s="147">
        <f>BD64*BD$159</f>
        <v>-259.15383120474786</v>
      </c>
      <c r="BE235" s="147">
        <f>BE64*BE$159</f>
        <v>-235.7791448327493</v>
      </c>
      <c r="BF235" s="147">
        <f>BF64*BF$159</f>
        <v>-125.01177975090232</v>
      </c>
      <c r="BG235" s="147">
        <f>BG64*BG$159</f>
        <v>25.960931541913219</v>
      </c>
      <c r="BH235" s="147">
        <f>BH64*BH$159</f>
        <v>-432.41574875426181</v>
      </c>
      <c r="BI235" s="147">
        <f>BI64*BI$159</f>
        <v>86.936599472848272</v>
      </c>
      <c r="BJ235" s="134"/>
      <c r="BK235" s="134"/>
      <c r="BL235" s="147"/>
      <c r="BM235" s="147"/>
    </row>
    <row r="236" spans="2:65" ht="13.5" customHeight="1">
      <c r="B236" s="1" t="str">
        <f>B65</f>
        <v>Taxes</v>
      </c>
      <c r="C236" s="147">
        <f>C65*C$159</f>
        <v>-336.23367149722128</v>
      </c>
      <c r="D236" s="147">
        <f>D65*D$159</f>
        <v>-373.47383033094616</v>
      </c>
      <c r="E236" s="147">
        <f>E65*E$159</f>
        <v>-148.52175031623182</v>
      </c>
      <c r="F236" s="147">
        <f>F65*F$159</f>
        <v>-284.49133650290548</v>
      </c>
      <c r="G236" s="147">
        <f>G65*G$159</f>
        <v>-277.57305863708399</v>
      </c>
      <c r="H236" s="147">
        <f>H65*H$159</f>
        <v>-321.32910602910607</v>
      </c>
      <c r="I236" s="147">
        <f>I65*I$159</f>
        <v>-249.50839316153889</v>
      </c>
      <c r="J236" s="147">
        <f>J65*J$159</f>
        <v>-85.396019603989188</v>
      </c>
      <c r="K236" s="147">
        <f>K65*K$159</f>
        <v>-173.00394874761088</v>
      </c>
      <c r="L236" s="147">
        <f>L65*L$159</f>
        <v>-259.62863336768447</v>
      </c>
      <c r="M236" s="147">
        <f>M65*M$159</f>
        <v>-297.01116960453396</v>
      </c>
      <c r="N236" s="147">
        <f>N65*N$159</f>
        <v>-532.6739107176993</v>
      </c>
      <c r="O236" s="147">
        <f>O65*O$159</f>
        <v>-655.02930229974197</v>
      </c>
      <c r="P236" s="147">
        <f>P65*P$159</f>
        <v>-616.67476050209893</v>
      </c>
      <c r="Q236" s="134"/>
      <c r="R236" s="147"/>
      <c r="S236" s="147"/>
      <c r="T236" s="216"/>
      <c r="U236" s="147">
        <f>U65*U$159</f>
        <v>30.362617859123681</v>
      </c>
      <c r="V236" s="147">
        <f>V65*V$159</f>
        <v>35.958282548476447</v>
      </c>
      <c r="W236" s="147">
        <f>W65*W$159</f>
        <v>12.062500000000011</v>
      </c>
      <c r="X236" s="147">
        <f>X65*X$159</f>
        <v>-211.47817535365766</v>
      </c>
      <c r="Y236" s="147">
        <f>Y65*Y$159</f>
        <v>127.34006866110839</v>
      </c>
      <c r="Z236" s="147">
        <f>Z65*Z$159</f>
        <v>85.437634408602165</v>
      </c>
      <c r="AA236" s="147">
        <f>AA65*AA$159</f>
        <v>81.659034792368118</v>
      </c>
      <c r="AB236" s="147">
        <f>AB65*AB$159</f>
        <v>-582.47168515583735</v>
      </c>
      <c r="AC236" s="147">
        <f>AC65*AC$159</f>
        <v>-115.66871002132197</v>
      </c>
      <c r="AD236" s="147">
        <f>AD65*AD$159</f>
        <v>-64.188797108931325</v>
      </c>
      <c r="AE236" s="147">
        <f>AE65*AE$159</f>
        <v>-139.59425711275023</v>
      </c>
      <c r="AF236" s="147">
        <f>AF65*AF$159</f>
        <v>-6.0308119011599004</v>
      </c>
      <c r="AG236" s="147">
        <f>AG65*AG$159</f>
        <v>-105.39313215400625</v>
      </c>
      <c r="AH236" s="147">
        <f>AH65*AH$159</f>
        <v>-66.882374476987451</v>
      </c>
      <c r="AI236" s="147">
        <f>AI65*AI$159</f>
        <v>-43.459474768280131</v>
      </c>
      <c r="AJ236" s="147">
        <f>AJ65*AJ$159</f>
        <v>-34.074118257261389</v>
      </c>
      <c r="AK236" s="147">
        <f>AK65*AK$159</f>
        <v>-118.6197381671702</v>
      </c>
      <c r="AL236" s="147">
        <f>AL65*AL$159</f>
        <v>-10.001498287671222</v>
      </c>
      <c r="AM236" s="271"/>
      <c r="AN236" s="271"/>
      <c r="AO236" s="271"/>
      <c r="AP236" s="147">
        <f>AP65*AP$159</f>
        <v>-159.23591609589042</v>
      </c>
      <c r="AQ236" s="271"/>
      <c r="AR236" s="271"/>
      <c r="AS236" s="147">
        <f>AS65*AS$159</f>
        <v>-74.540219729210051</v>
      </c>
      <c r="AT236" s="147">
        <f>AT65*AT$159</f>
        <v>-61.620591467679084</v>
      </c>
      <c r="AU236" s="147">
        <f>AU65*AU$159</f>
        <v>-79.131028130000018</v>
      </c>
      <c r="AV236" s="147">
        <f>AV65*AV$159</f>
        <v>-43.589203728865137</v>
      </c>
      <c r="AW236" s="147">
        <f>AW65*AW$159</f>
        <v>-65.213638703714636</v>
      </c>
      <c r="AX236" s="147">
        <f>AX65*AX$159</f>
        <v>-86.344548515804064</v>
      </c>
      <c r="AY236" s="147">
        <f>AY65*AY$159</f>
        <v>-46.564463700000005</v>
      </c>
      <c r="AZ236" s="147">
        <f>AZ65*AZ$159</f>
        <v>-98.51430083344151</v>
      </c>
      <c r="BA236" s="147">
        <f>BA65*BA$159</f>
        <v>-102.01101027</v>
      </c>
      <c r="BB236" s="147">
        <f>BB65*BB$159</f>
        <v>-221.90741636000004</v>
      </c>
      <c r="BC236" s="147">
        <f>BC65*BC$159</f>
        <v>-97.817333669999996</v>
      </c>
      <c r="BD236" s="147">
        <f>BD65*BD$159</f>
        <v>-113.85776431251585</v>
      </c>
      <c r="BE236" s="147">
        <f>BE65*BE$159</f>
        <v>-206.75112425725504</v>
      </c>
      <c r="BF236" s="147">
        <f>BF65*BF$159</f>
        <v>-153.20289770435917</v>
      </c>
      <c r="BG236" s="147">
        <f>BG65*BG$159</f>
        <v>-127.25225852308313</v>
      </c>
      <c r="BH236" s="147">
        <f>BH65*BH$159</f>
        <v>-162.20490208934348</v>
      </c>
      <c r="BI236" s="147">
        <f>BI65*BI$159</f>
        <v>-174.48790568196699</v>
      </c>
      <c r="BJ236" s="134"/>
      <c r="BK236" s="134"/>
      <c r="BL236" s="147"/>
      <c r="BM236" s="147"/>
    </row>
    <row r="237" spans="2:65" ht="13.5" customHeight="1">
      <c r="B237" s="1" t="str">
        <f>B66</f>
        <v>Cash interest paid</v>
      </c>
      <c r="C237" s="147">
        <f>C66*C$159</f>
        <v>-239.29669932993917</v>
      </c>
      <c r="D237" s="147">
        <f>D66*D$159</f>
        <v>-225.13171593526201</v>
      </c>
      <c r="E237" s="147">
        <f>E66*E$159</f>
        <v>-220.93347340436938</v>
      </c>
      <c r="F237" s="147">
        <f>F66*F$159</f>
        <v>-242.42995245641836</v>
      </c>
      <c r="G237" s="147">
        <f>G66*G$159</f>
        <v>-240.76090861067092</v>
      </c>
      <c r="H237" s="147">
        <f>H66*H$159</f>
        <v>-259.04662162162163</v>
      </c>
      <c r="I237" s="147">
        <f>I66*I$159</f>
        <v>-249.78145479510337</v>
      </c>
      <c r="J237" s="147">
        <f>J66*J$159</f>
        <v>-289.96339916956282</v>
      </c>
      <c r="K237" s="147">
        <f>K66*K$159</f>
        <v>-224.20140450584464</v>
      </c>
      <c r="L237" s="147">
        <f>L66*L$159</f>
        <v>-240.17006735154072</v>
      </c>
      <c r="M237" s="147">
        <f>M66*M$159</f>
        <v>-269.87740492911962</v>
      </c>
      <c r="N237" s="147">
        <f>N66*N$159</f>
        <v>-275.85874858663044</v>
      </c>
      <c r="O237" s="147">
        <f>O66*O$159</f>
        <v>-279.56031645729354</v>
      </c>
      <c r="P237" s="147">
        <f>P66*P$159</f>
        <v>-286.60563914098094</v>
      </c>
      <c r="Q237" s="134"/>
      <c r="R237" s="147"/>
      <c r="S237" s="147"/>
      <c r="T237" s="216"/>
      <c r="U237" s="147">
        <f>U66*U$159</f>
        <v>-26.673433166943983</v>
      </c>
      <c r="V237" s="147">
        <f>V66*V$159</f>
        <v>-79.827700831024927</v>
      </c>
      <c r="W237" s="147">
        <f>W66*W$159</f>
        <v>-30.219070512820515</v>
      </c>
      <c r="X237" s="147">
        <f>X66*X$159</f>
        <v>-82.431197518723067</v>
      </c>
      <c r="Y237" s="147">
        <f>Y66*Y$159</f>
        <v>-56.762824914173613</v>
      </c>
      <c r="Z237" s="147">
        <f>Z66*Z$159</f>
        <v>-54.34333333333332</v>
      </c>
      <c r="AA237" s="147">
        <f>AA66*AA$159</f>
        <v>-34.49147025813695</v>
      </c>
      <c r="AB237" s="147">
        <f>AB66*AB$159</f>
        <v>-95.424247226624388</v>
      </c>
      <c r="AC237" s="147">
        <f>AC66*AC$159</f>
        <v>-29.332462686567165</v>
      </c>
      <c r="AD237" s="147">
        <f>AD66*AD$159</f>
        <v>-93.524522457408366</v>
      </c>
      <c r="AE237" s="147">
        <f>AE66*AE$159</f>
        <v>-34.232507903055833</v>
      </c>
      <c r="AF237" s="147">
        <f>AF66*AF$159</f>
        <v>-99.469339384770578</v>
      </c>
      <c r="AG237" s="147">
        <f>AG66*AG$159</f>
        <v>-32.083922996878258</v>
      </c>
      <c r="AH237" s="147">
        <f>AH66*AH$159</f>
        <v>-89.10203974895397</v>
      </c>
      <c r="AI237" s="147">
        <f>AI66*AI$159</f>
        <v>-34.331359423274954</v>
      </c>
      <c r="AJ237" s="147">
        <f>AJ66*AJ$159</f>
        <v>-94.587085062240675</v>
      </c>
      <c r="AK237" s="147">
        <f>AK66*AK$159</f>
        <v>-106.56696878147029</v>
      </c>
      <c r="AL237" s="147">
        <f>AL66*AL$159</f>
        <v>-66.137071917808214</v>
      </c>
      <c r="AM237" s="271"/>
      <c r="AN237" s="271"/>
      <c r="AO237" s="271"/>
      <c r="AP237" s="147">
        <f>AP66*AP$159</f>
        <v>-101.33921232876712</v>
      </c>
      <c r="AQ237" s="271"/>
      <c r="AR237" s="271"/>
      <c r="AS237" s="147">
        <f>AS66*AS$159</f>
        <v>-78.926338723600395</v>
      </c>
      <c r="AT237" s="147">
        <f>AT66*AT$159</f>
        <v>-84.667649115795783</v>
      </c>
      <c r="AU237" s="147">
        <f>AU66*AU$159</f>
        <v>-66.647903190000022</v>
      </c>
      <c r="AV237" s="147">
        <f>AV66*AV$159</f>
        <v>-8.7406778819867643</v>
      </c>
      <c r="AW237" s="147">
        <f>AW66*AW$159</f>
        <v>-98.517197510525961</v>
      </c>
      <c r="AX237" s="147">
        <f>AX66*AX$159</f>
        <v>-99.900336738447621</v>
      </c>
      <c r="AY237" s="147">
        <f>AY66*AY$159</f>
        <v>-99.743028149999972</v>
      </c>
      <c r="AZ237" s="147">
        <f>AZ66*AZ$159</f>
        <v>32.571390455971539</v>
      </c>
      <c r="BA237" s="147">
        <f>BA66*BA$159</f>
        <v>-68.8739901</v>
      </c>
      <c r="BB237" s="147">
        <f>BB66*BB$159</f>
        <v>-73.146989089999991</v>
      </c>
      <c r="BC237" s="147">
        <f>BC66*BC$159</f>
        <v>-66.971957039999992</v>
      </c>
      <c r="BD237" s="147">
        <f>BD66*BD$159</f>
        <v>-66.033904554990258</v>
      </c>
      <c r="BE237" s="147">
        <f>BE66*BE$159</f>
        <v>-63.539478663451156</v>
      </c>
      <c r="BF237" s="147">
        <f>BF66*BF$159</f>
        <v>-68.766728020212867</v>
      </c>
      <c r="BG237" s="147">
        <f>BG66*BG$159</f>
        <v>-61.967292363012312</v>
      </c>
      <c r="BH237" s="147">
        <f>BH66*BH$159</f>
        <v>-85.684718943963631</v>
      </c>
      <c r="BI237" s="147">
        <f>BI66*BI$159</f>
        <v>-70.075657089507629</v>
      </c>
      <c r="BJ237" s="134"/>
      <c r="BK237" s="134"/>
      <c r="BL237" s="147"/>
      <c r="BM237" s="147"/>
    </row>
    <row r="238" spans="2:65" ht="13.5" customHeight="1">
      <c r="B238" s="1" t="str">
        <f>B67</f>
        <v>Deposits interest received</v>
      </c>
      <c r="C238" s="147">
        <f>C67*C$159</f>
        <v>28.502026727230341</v>
      </c>
      <c r="D238" s="147">
        <f>D67*D$159</f>
        <v>26.122345963340379</v>
      </c>
      <c r="E238" s="147">
        <f>E67*E$159</f>
        <v>38.32300666766718</v>
      </c>
      <c r="F238" s="147">
        <f>F67*F$159</f>
        <v>46.840200739566825</v>
      </c>
      <c r="G238" s="147">
        <f>G67*G$159</f>
        <v>46.898943475964082</v>
      </c>
      <c r="H238" s="147">
        <f>H67*H$159</f>
        <v>52.113825363825363</v>
      </c>
      <c r="I238" s="147">
        <f>I67*I$159</f>
        <v>63.765057748878917</v>
      </c>
      <c r="J238" s="147">
        <f>J67*J$159</f>
        <v>48.911177530293585</v>
      </c>
      <c r="K238" s="147">
        <f>K67*K$159</f>
        <v>44.018476722023841</v>
      </c>
      <c r="L238" s="147">
        <f>L67*L$159</f>
        <v>119.0725955962502</v>
      </c>
      <c r="M238" s="147">
        <f>M67*M$159</f>
        <v>178.65838754144215</v>
      </c>
      <c r="N238" s="147">
        <f>N67*N$159</f>
        <v>167.39663598085994</v>
      </c>
      <c r="O238" s="147">
        <f>O67*O$159</f>
        <v>123.13095022018112</v>
      </c>
      <c r="P238" s="147">
        <f>P67*P$159</f>
        <v>124.06908356848226</v>
      </c>
      <c r="Q238" s="134"/>
      <c r="R238" s="147"/>
      <c r="S238" s="147"/>
      <c r="T238" s="216"/>
      <c r="U238" s="147">
        <f>U67*U$159</f>
        <v>6.5257348863006106</v>
      </c>
      <c r="V238" s="147">
        <f>V67*V$159</f>
        <v>7.7710803324099738</v>
      </c>
      <c r="W238" s="147">
        <f>W67*W$159</f>
        <v>9.1933760683760681</v>
      </c>
      <c r="X238" s="147">
        <f>X67*X$159</f>
        <v>14.371888947726763</v>
      </c>
      <c r="Y238" s="147">
        <f>Y67*Y$159</f>
        <v>9.0660617949975482</v>
      </c>
      <c r="Z238" s="147">
        <f>Z67*Z$159</f>
        <v>9.5302150537634418</v>
      </c>
      <c r="AA238" s="147">
        <f>AA67*AA$159</f>
        <v>15.640909090909091</v>
      </c>
      <c r="AB238" s="147">
        <f>AB67*AB$159</f>
        <v>12.987057580559952</v>
      </c>
      <c r="AC238" s="147">
        <f>AC67*AC$159</f>
        <v>10.570415778251597</v>
      </c>
      <c r="AD238" s="147">
        <f>AD67*AD$159</f>
        <v>15.899225606608157</v>
      </c>
      <c r="AE238" s="147">
        <f>AE67*AE$159</f>
        <v>10.272918861959958</v>
      </c>
      <c r="AF238" s="147">
        <f>AF67*AF$159</f>
        <v>15.200252143217346</v>
      </c>
      <c r="AG238" s="147">
        <f>AG67*AG$159</f>
        <v>12.945473465140481</v>
      </c>
      <c r="AH238" s="147">
        <f>AH67*AH$159</f>
        <v>15.778765690376565</v>
      </c>
      <c r="AI238" s="147">
        <f>AI67*AI$159</f>
        <v>18.31714727085479</v>
      </c>
      <c r="AJ238" s="147">
        <f>AJ67*AJ$159</f>
        <v>16.69372406639004</v>
      </c>
      <c r="AK238" s="147">
        <f>AK67*AK$159</f>
        <v>14.490181268882175</v>
      </c>
      <c r="AL238" s="147">
        <f>AL67*AL$159</f>
        <v>11.462457191780823</v>
      </c>
      <c r="AM238" s="271"/>
      <c r="AN238" s="271"/>
      <c r="AO238" s="271"/>
      <c r="AP238" s="147">
        <f>AP67*AP$159</f>
        <v>15.255265410958904</v>
      </c>
      <c r="AQ238" s="271"/>
      <c r="AR238" s="271"/>
      <c r="AS238" s="147">
        <f>AS67*AS$159</f>
        <v>19.427950223401876</v>
      </c>
      <c r="AT238" s="147">
        <f>AT67*AT$159</f>
        <v>27.125437106604053</v>
      </c>
      <c r="AU238" s="147">
        <f>AU67*AU$159</f>
        <v>32.482667030000016</v>
      </c>
      <c r="AV238" s="147">
        <f>AV67*AV$159</f>
        <v>40.446787674791402</v>
      </c>
      <c r="AW238" s="147">
        <f>AW67*AW$159</f>
        <v>53.654963941883416</v>
      </c>
      <c r="AX238" s="147">
        <f>AX67*AX$159</f>
        <v>46.635784826961725</v>
      </c>
      <c r="AY238" s="147">
        <f>AY67*AY$159</f>
        <v>41.690176199999989</v>
      </c>
      <c r="AZ238" s="147">
        <f>AZ67*AZ$159</f>
        <v>35.090060861548785</v>
      </c>
      <c r="BA238" s="147">
        <f>BA67*BA$159</f>
        <v>37.115630009999997</v>
      </c>
      <c r="BB238" s="147">
        <f>BB67*BB$159</f>
        <v>39.735578260000004</v>
      </c>
      <c r="BC238" s="147">
        <f>BC67*BC$159</f>
        <v>45.324019259999986</v>
      </c>
      <c r="BD238" s="147">
        <f>BD67*BD$159</f>
        <v>43.557735909229073</v>
      </c>
      <c r="BE238" s="147">
        <f>BE67*BE$159</f>
        <v>28.584392592276593</v>
      </c>
      <c r="BF238" s="147">
        <f>BF67*BF$159</f>
        <v>31.922312636822475</v>
      </c>
      <c r="BG238" s="147">
        <f>BG67*BG$159</f>
        <v>33.024155009824703</v>
      </c>
      <c r="BH238" s="147">
        <f>BH67*BH$159</f>
        <v>29.480286738351253</v>
      </c>
      <c r="BI238" s="147">
        <f>BI67*BI$159</f>
        <v>29.289882216314382</v>
      </c>
      <c r="BJ238" s="134"/>
      <c r="BK238" s="134"/>
      <c r="BL238" s="147"/>
      <c r="BM238" s="147"/>
    </row>
    <row r="239" spans="2:65" s="5" customFormat="1" ht="13.5" customHeight="1" thickBot="1">
      <c r="B239" s="26" t="str">
        <f>B68</f>
        <v xml:space="preserve">Net cash from operations </v>
      </c>
      <c r="C239" s="143">
        <f>C68*C$159</f>
        <v>1807.2089822745972</v>
      </c>
      <c r="D239" s="143">
        <f>D68*D$159</f>
        <v>1340.8208978767707</v>
      </c>
      <c r="E239" s="143">
        <f>E68*E$159</f>
        <v>1600.3033145380875</v>
      </c>
      <c r="F239" s="143">
        <f>F68*F$159</f>
        <v>1564.4499207606978</v>
      </c>
      <c r="G239" s="143">
        <f>G68*G$159</f>
        <v>1319.2973058214618</v>
      </c>
      <c r="H239" s="143">
        <f>H68*H$159</f>
        <v>1220.0846808208107</v>
      </c>
      <c r="I239" s="143">
        <f>I68*I$159</f>
        <v>1592.962677321598</v>
      </c>
      <c r="J239" s="143">
        <f>J68*J$159</f>
        <v>1487.8139601767573</v>
      </c>
      <c r="K239" s="143">
        <f>K68*K$159</f>
        <v>1421.3535053876772</v>
      </c>
      <c r="L239" s="143">
        <f>L68*L$159</f>
        <v>1663.9447901734186</v>
      </c>
      <c r="M239" s="143">
        <f>M68*M$159</f>
        <v>2318.7306853139121</v>
      </c>
      <c r="N239" s="143">
        <f>N68*N$159</f>
        <v>2254.3621948021346</v>
      </c>
      <c r="O239" s="143">
        <f>O68*O$159</f>
        <v>1494.1435890253654</v>
      </c>
      <c r="P239" s="143">
        <f>P68*P$159</f>
        <v>1973.1367208044217</v>
      </c>
      <c r="Q239" s="335"/>
      <c r="R239" s="143"/>
      <c r="S239" s="143"/>
      <c r="T239" s="215"/>
      <c r="U239" s="143">
        <f>U68*U$159</f>
        <v>337.50560177481975</v>
      </c>
      <c r="V239" s="143">
        <f>V68*V$159</f>
        <v>386.73601108033233</v>
      </c>
      <c r="W239" s="143">
        <f>W68*W$159</f>
        <v>537.54647435897448</v>
      </c>
      <c r="X239" s="143">
        <f>X68*X$159</f>
        <v>339.33469500970881</v>
      </c>
      <c r="Y239" s="143">
        <f>Y68*Y$159</f>
        <v>491.80872976949473</v>
      </c>
      <c r="Z239" s="143">
        <f>Z68*Z$159</f>
        <v>662.38198924731171</v>
      </c>
      <c r="AA239" s="143">
        <f>AA68*AA$159</f>
        <v>651.4909090909091</v>
      </c>
      <c r="AB239" s="143">
        <f>AB68*AB$159</f>
        <v>-229.41447437929205</v>
      </c>
      <c r="AC239" s="143">
        <f>AC68*AC$159</f>
        <v>245.27180170575693</v>
      </c>
      <c r="AD239" s="143">
        <f>AD68*AD$159</f>
        <v>358.6902942694889</v>
      </c>
      <c r="AE239" s="143">
        <f>AE68*AE$159</f>
        <v>351.34837045621953</v>
      </c>
      <c r="AF239" s="143">
        <f>AF68*AF$159</f>
        <v>265.08861259371372</v>
      </c>
      <c r="AG239" s="143">
        <f>AG68*AG$159</f>
        <v>368.19868635506316</v>
      </c>
      <c r="AH239" s="143">
        <f>AH68*AH$159</f>
        <v>383.33463831595839</v>
      </c>
      <c r="AI239" s="143">
        <f>AI68*AI$159</f>
        <v>609.91151788468176</v>
      </c>
      <c r="AJ239" s="143">
        <f>AJ68*AJ$159</f>
        <v>229.71306314675113</v>
      </c>
      <c r="AK239" s="143">
        <f>AK68*AK$159</f>
        <v>313.87211615653388</v>
      </c>
      <c r="AL239" s="143">
        <f>AL68*AL$159</f>
        <v>406.08641418663234</v>
      </c>
      <c r="AM239" s="280"/>
      <c r="AN239" s="280"/>
      <c r="AO239" s="280"/>
      <c r="AP239" s="143">
        <f>AP68*AP$159</f>
        <v>734.53005136986314</v>
      </c>
      <c r="AQ239" s="280"/>
      <c r="AR239" s="280"/>
      <c r="AS239" s="143">
        <f>AS68*AS$159</f>
        <v>370.03715858982667</v>
      </c>
      <c r="AT239" s="143">
        <f>AT68*AT$159</f>
        <v>449.13737636127479</v>
      </c>
      <c r="AU239" s="143">
        <f>AU68*AU$159</f>
        <v>266.41514229000001</v>
      </c>
      <c r="AV239" s="143">
        <f>AV68*AV$159</f>
        <v>582.28640713964603</v>
      </c>
      <c r="AW239" s="143">
        <f>AW68*AW$159</f>
        <v>408.23992873896515</v>
      </c>
      <c r="AX239" s="143">
        <f>AX68*AX$159</f>
        <v>527.21412603639055</v>
      </c>
      <c r="AY239" s="143">
        <f>AY68*AY$159</f>
        <v>781.1039571</v>
      </c>
      <c r="AZ239" s="143">
        <f>AZ68*AZ$159</f>
        <v>620.75617679377933</v>
      </c>
      <c r="BA239" s="143">
        <f>BA68*BA$159</f>
        <v>541.60012685999993</v>
      </c>
      <c r="BB239" s="143">
        <f>BB68*BB$159</f>
        <v>631.7700614981419</v>
      </c>
      <c r="BC239" s="143">
        <f>BC68*BC$159</f>
        <v>663.45601935577827</v>
      </c>
      <c r="BD239" s="143">
        <f>BD68*BD$159</f>
        <v>418.65068931261243</v>
      </c>
      <c r="BE239" s="143">
        <f>BE68*BE$159</f>
        <v>164.35841595589415</v>
      </c>
      <c r="BF239" s="143">
        <f>BF68*BF$159</f>
        <v>369.97611486509453</v>
      </c>
      <c r="BG239" s="143">
        <f>BG68*BG$159</f>
        <v>644.67857206238205</v>
      </c>
      <c r="BH239" s="143">
        <f>BH68*BH$159</f>
        <v>333.69195974008841</v>
      </c>
      <c r="BI239" s="143">
        <f>BI68*BI$159</f>
        <v>633.0050635795742</v>
      </c>
      <c r="BJ239" s="335"/>
      <c r="BK239" s="335"/>
      <c r="BL239" s="143"/>
      <c r="BM239" s="143"/>
    </row>
    <row r="240" spans="2:65" s="5" customFormat="1" ht="13.5" customHeight="1" thickTop="1">
      <c r="B240" s="1" t="str">
        <f>B69</f>
        <v>Net Capex</v>
      </c>
      <c r="C240" s="144">
        <f>C69*C$159</f>
        <v>-805.80268174742241</v>
      </c>
      <c r="D240" s="144">
        <f>D69*D$159</f>
        <v>-650.66094583083577</v>
      </c>
      <c r="E240" s="144">
        <f>E69*E$159</f>
        <v>-535.12852946851626</v>
      </c>
      <c r="F240" s="144">
        <f>F69*F$159</f>
        <v>-567.71215002641316</v>
      </c>
      <c r="G240" s="144">
        <f>G69*G$159</f>
        <v>-496.06075013206555</v>
      </c>
      <c r="H240" s="144">
        <f>H69*H$159</f>
        <v>-494.731237006237</v>
      </c>
      <c r="I240" s="144">
        <f>I69*I$159</f>
        <v>-518.91840501747538</v>
      </c>
      <c r="J240" s="144">
        <f>J69*J$159</f>
        <v>-438.23854480581099</v>
      </c>
      <c r="K240" s="144">
        <f>K69*K$159</f>
        <v>-429.08568778925604</v>
      </c>
      <c r="L240" s="144">
        <f>L69*L$159</f>
        <v>-811.58024198804628</v>
      </c>
      <c r="M240" s="144">
        <f>M69*M$159</f>
        <v>-1089.2107142835214</v>
      </c>
      <c r="N240" s="144">
        <f>N69*N$159</f>
        <v>-1292.5007560888778</v>
      </c>
      <c r="O240" s="144">
        <f>O69*O$159</f>
        <v>-1101.6948467485668</v>
      </c>
      <c r="P240" s="144">
        <f>P69*P$159</f>
        <v>-1057.6392759048929</v>
      </c>
      <c r="Q240" s="134"/>
      <c r="R240" s="144"/>
      <c r="S240" s="144"/>
      <c r="T240" s="216"/>
      <c r="U240" s="144">
        <f>U69*U$159</f>
        <v>-63.851913477537437</v>
      </c>
      <c r="V240" s="144">
        <f>V69*V$159</f>
        <v>-123.88797783933519</v>
      </c>
      <c r="W240" s="144">
        <f>W69*W$159</f>
        <v>-133.59230769230768</v>
      </c>
      <c r="X240" s="144">
        <f>X69*X$159</f>
        <v>-206.55742996192353</v>
      </c>
      <c r="Y240" s="144">
        <f>Y69*Y$159</f>
        <v>-68.002501226091226</v>
      </c>
      <c r="Z240" s="144">
        <f>Z69*Z$159</f>
        <v>-136.79424731182792</v>
      </c>
      <c r="AA240" s="144">
        <f>AA69*AA$159</f>
        <v>-130.71391694725034</v>
      </c>
      <c r="AB240" s="144">
        <f>AB69*AB$159</f>
        <v>-237.00607501320664</v>
      </c>
      <c r="AC240" s="144">
        <f>AC69*AC$159</f>
        <v>-80.863699360341144</v>
      </c>
      <c r="AD240" s="144">
        <f>AD69*AD$159</f>
        <v>-122.72328342798139</v>
      </c>
      <c r="AE240" s="144">
        <f>AE69*AE$159</f>
        <v>-103.83919915700739</v>
      </c>
      <c r="AF240" s="144">
        <f>AF69*AF$159</f>
        <v>-184.24649520927886</v>
      </c>
      <c r="AG240" s="144">
        <f>AG69*AG$159</f>
        <v>-68.816961498439142</v>
      </c>
      <c r="AH240" s="144">
        <f>AH69*AH$159</f>
        <v>-104.14471757322175</v>
      </c>
      <c r="AI240" s="144">
        <f>AI69*AI$159</f>
        <v>-124.08784757981462</v>
      </c>
      <c r="AJ240" s="144">
        <f>AJ69*AJ$159</f>
        <v>-221.49149377593352</v>
      </c>
      <c r="AK240" s="144">
        <f>AK69*AK$159</f>
        <v>-88.719335347432036</v>
      </c>
      <c r="AL240" s="144">
        <f>AL69*AL$159</f>
        <v>-63.912157534246553</v>
      </c>
      <c r="AM240" s="281"/>
      <c r="AN240" s="281"/>
      <c r="AO240" s="281"/>
      <c r="AP240" s="144">
        <f>AP69*AP$159</f>
        <v>-150.1675941780822</v>
      </c>
      <c r="AQ240" s="281"/>
      <c r="AR240" s="281"/>
      <c r="AS240" s="144">
        <f>AS69*AS$159</f>
        <v>-165.4731008928465</v>
      </c>
      <c r="AT240" s="144">
        <f>AT69*AT$159</f>
        <v>-152.15336197422326</v>
      </c>
      <c r="AU240" s="147">
        <f>AU69*AU$159</f>
        <v>-193.03236931000004</v>
      </c>
      <c r="AV240" s="147">
        <f>AV69*AV$159</f>
        <v>-302.82856079430502</v>
      </c>
      <c r="AW240" s="147">
        <f>AW69*AW$159</f>
        <v>-176.74175538850074</v>
      </c>
      <c r="AX240" s="144">
        <f>AX69*AX$159</f>
        <v>-150.58349132686266</v>
      </c>
      <c r="AY240" s="147">
        <f>AY69*AY$159</f>
        <v>-296.0731808999999</v>
      </c>
      <c r="AZ240" s="147">
        <f>AZ69*AZ$159</f>
        <v>-476.67062817958055</v>
      </c>
      <c r="BA240" s="147">
        <f>BA69*BA$159</f>
        <v>-210.2885814</v>
      </c>
      <c r="BB240" s="144">
        <f>BB69*BB$159</f>
        <v>-308.87657114999996</v>
      </c>
      <c r="BC240" s="147">
        <f>BC69*BC$159</f>
        <v>-308.56766777999997</v>
      </c>
      <c r="BD240" s="147">
        <f>BD69*BD$159</f>
        <v>-437.34912622520312</v>
      </c>
      <c r="BE240" s="147">
        <f>BE69*BE$159</f>
        <v>-258.2706622781572</v>
      </c>
      <c r="BF240" s="147">
        <f>BF69*BF$159</f>
        <v>-204.13916230961928</v>
      </c>
      <c r="BG240" s="147">
        <f>BG69*BG$159</f>
        <v>-274.35569432101011</v>
      </c>
      <c r="BH240" s="147">
        <f>BH69*BH$159</f>
        <v>-369.45406066963881</v>
      </c>
      <c r="BI240" s="147">
        <f>BI69*BI$159</f>
        <v>-209.82523155395907</v>
      </c>
      <c r="BJ240" s="134"/>
      <c r="BK240" s="134"/>
      <c r="BL240" s="144"/>
      <c r="BM240" s="144"/>
    </row>
    <row r="241" spans="2:65" ht="13.5" customHeight="1">
      <c r="B241" s="1" t="str">
        <f>B70</f>
        <v>Net Payment for acquistion  of intangible assets</v>
      </c>
      <c r="C241" s="144">
        <f>C70*C$159</f>
        <v>-47.678852097794291</v>
      </c>
      <c r="D241" s="144">
        <f>D70*D$159</f>
        <v>-60.321166040950246</v>
      </c>
      <c r="E241" s="144">
        <f>E70*E$159</f>
        <v>-127.83268657676393</v>
      </c>
      <c r="F241" s="144">
        <f>F70*F$159</f>
        <v>-198.27828843106181</v>
      </c>
      <c r="G241" s="144">
        <f>G70*G$159</f>
        <v>-180.16582144743793</v>
      </c>
      <c r="H241" s="144">
        <f>H70*H$159</f>
        <v>-71.379521829521835</v>
      </c>
      <c r="I241" s="144">
        <f>I70*I$159</f>
        <v>-73.761169677421137</v>
      </c>
      <c r="J241" s="144">
        <f>J70*J$159</f>
        <v>-13.500793033672251</v>
      </c>
      <c r="K241" s="144">
        <f>K70*K$159</f>
        <v>-30.463430778653841</v>
      </c>
      <c r="L241" s="144">
        <f>L70*L$159</f>
        <v>-48.350091700012001</v>
      </c>
      <c r="M241" s="144">
        <f>M70*M$159</f>
        <v>-57.084218417880692</v>
      </c>
      <c r="N241" s="144">
        <f>N70*N$159</f>
        <v>-101.77803543707314</v>
      </c>
      <c r="O241" s="144">
        <f>O70*O$159</f>
        <v>-110.45117206734788</v>
      </c>
      <c r="P241" s="144">
        <f>P70*P$159</f>
        <v>-121.08782392640565</v>
      </c>
      <c r="Q241" s="134"/>
      <c r="R241" s="144"/>
      <c r="S241" s="144"/>
      <c r="T241" s="216"/>
      <c r="U241" s="144">
        <f>U70*U$159</f>
        <v>-18.674708818635605</v>
      </c>
      <c r="V241" s="144">
        <f>V70*V$159</f>
        <v>-13.379667590027699</v>
      </c>
      <c r="W241" s="144">
        <f>W70*W$159</f>
        <v>-17.682638888888889</v>
      </c>
      <c r="X241" s="144">
        <f>X70*X$159</f>
        <v>-74.426860327306684</v>
      </c>
      <c r="Y241" s="144">
        <f>Y70*Y$159</f>
        <v>-121.51206473761647</v>
      </c>
      <c r="Z241" s="144">
        <f>Z70*Z$159</f>
        <v>1.2239784946236598</v>
      </c>
      <c r="AA241" s="144">
        <f>AA70*AA$159</f>
        <v>-50.142536475869832</v>
      </c>
      <c r="AB241" s="144">
        <f>AB70*AB$159</f>
        <v>-21.394770206022173</v>
      </c>
      <c r="AC241" s="144">
        <f>AC70*AC$159</f>
        <v>-16.132995735607672</v>
      </c>
      <c r="AD241" s="144">
        <f>AD70*AD$159</f>
        <v>0.37800722767165434</v>
      </c>
      <c r="AE241" s="144">
        <f>AE70*AE$159</f>
        <v>-37.489251844046372</v>
      </c>
      <c r="AF241" s="144">
        <f>AF70*AF$159</f>
        <v>-18.480231971759959</v>
      </c>
      <c r="AG241" s="144">
        <f>AG70*AG$159</f>
        <v>-10.944640998959418</v>
      </c>
      <c r="AH241" s="144">
        <f>AH70*AH$159</f>
        <v>-21.928817991631799</v>
      </c>
      <c r="AI241" s="144">
        <f>AI70*AI$159</f>
        <v>-14.716632337796087</v>
      </c>
      <c r="AJ241" s="144">
        <f>AJ70*AJ$159</f>
        <v>-26.201400414937758</v>
      </c>
      <c r="AK241" s="144">
        <f>AK70*AK$159</f>
        <v>-15.542195367573012</v>
      </c>
      <c r="AL241" s="144">
        <f>AL70*AL$159</f>
        <v>1.582876712328767</v>
      </c>
      <c r="AM241" s="281"/>
      <c r="AN241" s="281"/>
      <c r="AO241" s="281"/>
      <c r="AP241" s="144">
        <f>AP70*AP$159</f>
        <v>-4.1398544520547942</v>
      </c>
      <c r="AQ241" s="281"/>
      <c r="AR241" s="281"/>
      <c r="AS241" s="144">
        <f>AS70*AS$159</f>
        <v>3.5914960534616895</v>
      </c>
      <c r="AT241" s="144">
        <f>AT70*AT$159</f>
        <v>-16.381107003696673</v>
      </c>
      <c r="AU241" s="147">
        <f>AU70*AU$159</f>
        <v>-5.3156975299999996</v>
      </c>
      <c r="AV241" s="147">
        <f>AV70*AV$159</f>
        <v>-31.046755272965662</v>
      </c>
      <c r="AW241" s="147">
        <f>AW70*AW$159</f>
        <v>-12.111513415695514</v>
      </c>
      <c r="AX241" s="144">
        <f>AX70*AX$159</f>
        <v>-9.9447635756529618</v>
      </c>
      <c r="AY241" s="147">
        <f>AY70*AY$159</f>
        <v>-13.579033099999998</v>
      </c>
      <c r="AZ241" s="147">
        <f>AZ70*AZ$159</f>
        <v>-21.616957626670988</v>
      </c>
      <c r="BA241" s="147">
        <f>BA70*BA$159</f>
        <v>-14.740658849999999</v>
      </c>
      <c r="BB241" s="144">
        <f>BB70*BB$159</f>
        <v>-18.804041200000004</v>
      </c>
      <c r="BC241" s="147">
        <f>BC70*BC$159</f>
        <v>-24.015302909999999</v>
      </c>
      <c r="BD241" s="147">
        <f>BD70*BD$159</f>
        <v>-40.964764975259243</v>
      </c>
      <c r="BE241" s="147">
        <f>BE70*BE$159</f>
        <v>-18.622254320522437</v>
      </c>
      <c r="BF241" s="147">
        <f>BF70*BF$159</f>
        <v>-14.186102579797812</v>
      </c>
      <c r="BG241" s="147">
        <f>BG70*BG$159</f>
        <v>-30.1437963136588</v>
      </c>
      <c r="BH241" s="147">
        <f>BH70*BH$159</f>
        <v>-49.261572252819306</v>
      </c>
      <c r="BI241" s="147">
        <f>BI70*BI$159</f>
        <v>-28.331559082551056</v>
      </c>
      <c r="BJ241" s="134"/>
      <c r="BK241" s="134"/>
      <c r="BL241" s="144"/>
      <c r="BM241" s="144"/>
    </row>
    <row r="242" spans="2:65" ht="13.5" customHeight="1">
      <c r="B242" s="1" t="str">
        <f>B71</f>
        <v>Disposals/ Acquistion, of subsidiaries</v>
      </c>
      <c r="C242" s="144">
        <f>C71*C$159</f>
        <v>0</v>
      </c>
      <c r="D242" s="144">
        <f>D71*D$159</f>
        <v>0</v>
      </c>
      <c r="E242" s="144">
        <f>E71*E$159</f>
        <v>-707.39446433548449</v>
      </c>
      <c r="F242" s="144">
        <f>F71*F$159</f>
        <v>-203.00845219228739</v>
      </c>
      <c r="G242" s="144">
        <f>G71*G$159</f>
        <v>-10.294136291600633</v>
      </c>
      <c r="H242" s="144">
        <f>H71*H$159</f>
        <v>-101.71632016632017</v>
      </c>
      <c r="I242" s="144">
        <f>I71*I$159</f>
        <v>-29.668284082015422</v>
      </c>
      <c r="J242" s="144">
        <f>J71*J$159</f>
        <v>-73.623701803001609</v>
      </c>
      <c r="K242" s="144">
        <f>K71*K$159</f>
        <v>4.7230125238223009E-2</v>
      </c>
      <c r="L242" s="144">
        <f>L71*L$159</f>
        <v>-143.91436896203777</v>
      </c>
      <c r="M242" s="144">
        <f>M71*M$159</f>
        <v>-67.366831663735496</v>
      </c>
      <c r="N242" s="144">
        <f>N71*N$159</f>
        <v>-40.346573072363825</v>
      </c>
      <c r="O242" s="144">
        <f>O71*O$159</f>
        <v>-25.490978549626607</v>
      </c>
      <c r="P242" s="144">
        <f>P71*P$159</f>
        <v>-18.404403282561262</v>
      </c>
      <c r="Q242" s="134"/>
      <c r="R242" s="144"/>
      <c r="S242" s="144"/>
      <c r="T242" s="216"/>
      <c r="U242" s="144">
        <f>U71*U$159</f>
        <v>0</v>
      </c>
      <c r="V242" s="144">
        <f>V71*V$159</f>
        <v>0</v>
      </c>
      <c r="W242" s="144">
        <f>W71*W$159</f>
        <v>0</v>
      </c>
      <c r="X242" s="144">
        <f>X71*X$159</f>
        <v>-665.60758504173293</v>
      </c>
      <c r="Y242" s="144">
        <f>Y71*Y$159</f>
        <v>-198.02927905836194</v>
      </c>
      <c r="Z242" s="144">
        <f>Z71*Z$159</f>
        <v>-219.73209677419351</v>
      </c>
      <c r="AA242" s="144">
        <f>AA71*AA$159</f>
        <v>0</v>
      </c>
      <c r="AB242" s="144">
        <f>AB71*AB$159</f>
        <v>226.19566825145273</v>
      </c>
      <c r="AC242" s="144">
        <f>AC71*AC$159</f>
        <v>0</v>
      </c>
      <c r="AD242" s="144">
        <f>AD71*AD$159</f>
        <v>-309.19865771812078</v>
      </c>
      <c r="AE242" s="144">
        <f>AE71*AE$159</f>
        <v>15.636406743940967</v>
      </c>
      <c r="AF242" s="144">
        <f>AF71*AF$159</f>
        <v>188.3699949571357</v>
      </c>
      <c r="AG242" s="144">
        <f>AG71*AG$159</f>
        <v>-7.9214880332986484</v>
      </c>
      <c r="AH242" s="144">
        <f>AH71*AH$159</f>
        <v>-2.6093619246861919</v>
      </c>
      <c r="AI242" s="144">
        <f>AI71*AI$159</f>
        <v>-6.0481462409886717</v>
      </c>
      <c r="AJ242" s="144">
        <f>AJ71*AJ$159</f>
        <v>-13.059958506224067</v>
      </c>
      <c r="AK242" s="144">
        <f>AK71*AK$159</f>
        <v>-12.544763343403828</v>
      </c>
      <c r="AL242" s="144">
        <f>AL71*AL$159</f>
        <v>0.39815924657534313</v>
      </c>
      <c r="AM242" s="281"/>
      <c r="AN242" s="281"/>
      <c r="AO242" s="281"/>
      <c r="AP242" s="144">
        <f>AP71*AP$159</f>
        <v>0.72392979452054795</v>
      </c>
      <c r="AQ242" s="281"/>
      <c r="AR242" s="281"/>
      <c r="AS242" s="144">
        <f>AS71*AS$159</f>
        <v>-77.977523035407344</v>
      </c>
      <c r="AT242" s="144">
        <f>AT71*AT$159</f>
        <v>-12.407183534818662</v>
      </c>
      <c r="AU242" s="147">
        <f>AU71*AU$159</f>
        <v>-12.222987809999992</v>
      </c>
      <c r="AV242" s="147">
        <f>AV71*AV$159</f>
        <v>-39.83408157083322</v>
      </c>
      <c r="AW242" s="147">
        <f>AW71*AW$159</f>
        <v>-11.823711813516111</v>
      </c>
      <c r="AX242" s="144">
        <f>AX71*AX$159</f>
        <v>-21.218879990944853</v>
      </c>
      <c r="AY242" s="147">
        <f>AY71*AY$159</f>
        <v>-19.330165399999995</v>
      </c>
      <c r="AZ242" s="147">
        <f>AZ71*AZ$159</f>
        <v>-15.382184064906937</v>
      </c>
      <c r="BA242" s="147">
        <f>BA71*BA$159</f>
        <v>-6.7459444800000004</v>
      </c>
      <c r="BB242" s="144">
        <f>BB71*BB$159</f>
        <v>-9.4526807899999987</v>
      </c>
      <c r="BC242" s="147">
        <f>BC71*BC$159</f>
        <v>-14.82098103</v>
      </c>
      <c r="BD242" s="147">
        <f>BD71*BD$159</f>
        <v>-8.7687424320189731</v>
      </c>
      <c r="BE242" s="147">
        <f>BE71*BE$159</f>
        <v>0</v>
      </c>
      <c r="BF242" s="147">
        <f>BF71*BF$159</f>
        <v>-19.007658177435918</v>
      </c>
      <c r="BG242" s="147">
        <f>BG71*BG$159</f>
        <v>-8.3497472157912966</v>
      </c>
      <c r="BH242" s="147">
        <f>BH71*BH$159</f>
        <v>2.0009944051053412</v>
      </c>
      <c r="BI242" s="147">
        <f>BI71*BI$159</f>
        <v>8.5554562481142664</v>
      </c>
      <c r="BJ242" s="134"/>
      <c r="BK242" s="134"/>
      <c r="BL242" s="144"/>
      <c r="BM242" s="144"/>
    </row>
    <row r="243" spans="2:65" ht="13.5" customHeight="1">
      <c r="B243" s="1" t="str">
        <f>B73</f>
        <v>Other investing activities</v>
      </c>
      <c r="C243" s="144">
        <f>C73*C$159</f>
        <v>-12.558940536800705</v>
      </c>
      <c r="D243" s="144">
        <f>D73*D$159</f>
        <v>-5.7418683156134653</v>
      </c>
      <c r="E243" s="144">
        <f>E73*E$159</f>
        <v>-110.57393392363271</v>
      </c>
      <c r="F243" s="144">
        <f>F73*F$159</f>
        <v>-101.74860010565241</v>
      </c>
      <c r="G243" s="144">
        <f>G73*G$159</f>
        <v>71.866930797675664</v>
      </c>
      <c r="H243" s="144">
        <f>H73*H$159</f>
        <v>-69.083108108108121</v>
      </c>
      <c r="I243" s="144">
        <f>I73*I$159</f>
        <v>0.72442591965998737</v>
      </c>
      <c r="J243" s="144">
        <f>J73*J$159</f>
        <v>-14.435103970258565</v>
      </c>
      <c r="K243" s="144">
        <f>K73*K$159</f>
        <v>-35.422593928667254</v>
      </c>
      <c r="L243" s="144">
        <f>L73*L$159</f>
        <v>-83.069309744045142</v>
      </c>
      <c r="M243" s="144">
        <f>M73*M$159</f>
        <v>-89.828495034169023</v>
      </c>
      <c r="N243" s="144">
        <f>N73*N$159</f>
        <v>-21.113197884459307</v>
      </c>
      <c r="O243" s="144">
        <f>O73*O$159</f>
        <v>17.663690035586907</v>
      </c>
      <c r="P243" s="144">
        <f>P73*P$159</f>
        <v>4.5919999055576834</v>
      </c>
      <c r="Q243" s="134"/>
      <c r="R243" s="144"/>
      <c r="S243" s="144"/>
      <c r="T243" s="216"/>
      <c r="U243" s="144">
        <f>U73*U$159</f>
        <v>-66.397004991680532</v>
      </c>
      <c r="V243" s="144">
        <f>V73*V$159</f>
        <v>-11.156177285318567</v>
      </c>
      <c r="W243" s="144">
        <f>W73*W$159</f>
        <v>-38.131837606837585</v>
      </c>
      <c r="X243" s="144">
        <f>X73*X$159</f>
        <v>2.488085331719474</v>
      </c>
      <c r="Y243" s="144">
        <f>Y73*Y$159</f>
        <v>-24.976360961255519</v>
      </c>
      <c r="Z243" s="144">
        <f>Z73*Z$159</f>
        <v>-31.831827956989237</v>
      </c>
      <c r="AA243" s="144">
        <f>AA73*AA$159</f>
        <v>7.9012906846240138</v>
      </c>
      <c r="AB243" s="144">
        <f>AB73*AB$159</f>
        <v>-51.006973058637094</v>
      </c>
      <c r="AC243" s="144">
        <f>AC73*AC$159</f>
        <v>9.3270788912579956</v>
      </c>
      <c r="AD243" s="144">
        <f>AD73*AD$159</f>
        <v>-42.100309757356733</v>
      </c>
      <c r="AE243" s="144">
        <f>AE73*AE$159</f>
        <v>-13.817334035827184</v>
      </c>
      <c r="AF243" s="144">
        <f>AF73*AF$159</f>
        <v>-21.502723146747361</v>
      </c>
      <c r="AG243" s="144">
        <f>AG73*AG$159</f>
        <v>7.3304890738813739</v>
      </c>
      <c r="AH243" s="144">
        <f>AH73*AH$159</f>
        <v>-8.1592573221757316</v>
      </c>
      <c r="AI243" s="144">
        <f>AI73*AI$159</f>
        <v>3.354788877445932</v>
      </c>
      <c r="AJ243" s="144">
        <f>AJ73*AJ$159</f>
        <v>-1.8716286307053944</v>
      </c>
      <c r="AK243" s="144">
        <f>AK73*AK$159</f>
        <v>-6.2330312185297077</v>
      </c>
      <c r="AL243" s="144">
        <f>AL73*AL$159</f>
        <v>-10.403296232876713</v>
      </c>
      <c r="AM243" s="281"/>
      <c r="AN243" s="281"/>
      <c r="AO243" s="281"/>
      <c r="AP243" s="144">
        <f>AP73*AP$159</f>
        <v>-9.7014126712328768</v>
      </c>
      <c r="AQ243" s="281"/>
      <c r="AR243" s="281"/>
      <c r="AS243" s="144">
        <f>AS73*AS$159</f>
        <v>-20.119969960579745</v>
      </c>
      <c r="AT243" s="144">
        <f>AT73*AT$159</f>
        <v>6.7708562293935453</v>
      </c>
      <c r="AU243" s="147">
        <f>AU73*AU$159</f>
        <v>-25.249995429999998</v>
      </c>
      <c r="AV243" s="147">
        <f>AV73*AV$159</f>
        <v>-44.54200641060639</v>
      </c>
      <c r="AW243" s="147">
        <f>AW73*AW$159</f>
        <v>-18.738624288499825</v>
      </c>
      <c r="AX243" s="144">
        <f>AX73*AX$159</f>
        <v>-25.145420074139057</v>
      </c>
      <c r="AY243" s="147">
        <f>AY73*AY$159</f>
        <v>-34.741637850000004</v>
      </c>
      <c r="AZ243" s="147">
        <f>AZ73*AZ$159</f>
        <v>-11.580706151253803</v>
      </c>
      <c r="BA243" s="147">
        <f>BA73*BA$159</f>
        <v>13.61289726</v>
      </c>
      <c r="BB243" s="144">
        <f>BB73*BB$159</f>
        <v>-60.860355220000002</v>
      </c>
      <c r="BC243" s="147">
        <f>BC73*BC$159</f>
        <v>50.133292650000008</v>
      </c>
      <c r="BD243" s="147">
        <f>BD73*BD$159</f>
        <v>-25.508144767068131</v>
      </c>
      <c r="BE243" s="147">
        <f>BE73*BE$159</f>
        <v>15.851673837623979</v>
      </c>
      <c r="BF243" s="147">
        <f>BF73*BF$159</f>
        <v>-17.755398444225008</v>
      </c>
      <c r="BG243" s="147">
        <f>BG73*BG$159</f>
        <v>11.886078563296087</v>
      </c>
      <c r="BH243" s="147">
        <f>BH73*BH$159</f>
        <v>7.5367164961972239</v>
      </c>
      <c r="BI243" s="147">
        <f>BI73*BI$159</f>
        <v>4.1173054918280103</v>
      </c>
      <c r="BJ243" s="134"/>
      <c r="BK243" s="134"/>
      <c r="BL243" s="144"/>
      <c r="BM243" s="144"/>
    </row>
    <row r="244" spans="2:65" ht="13.5" customHeight="1" thickBot="1">
      <c r="B244" s="65" t="str">
        <f>B72</f>
        <v xml:space="preserve">Free cash flow </v>
      </c>
      <c r="C244" s="146">
        <f>C72*C$159</f>
        <v>953.7274484293805</v>
      </c>
      <c r="D244" s="146">
        <f>D72*D$159</f>
        <v>629.83878600498474</v>
      </c>
      <c r="E244" s="146">
        <f>E72*E$159</f>
        <v>229.94763415732285</v>
      </c>
      <c r="F244" s="146">
        <f>F72*F$159</f>
        <v>595.45103011093533</v>
      </c>
      <c r="G244" s="146">
        <f>G72*G$159</f>
        <v>632.77659795035777</v>
      </c>
      <c r="H244" s="146">
        <f>H72*H$159</f>
        <v>552.25760181873181</v>
      </c>
      <c r="I244" s="146">
        <f>I72*I$159</f>
        <v>970.61481854468616</v>
      </c>
      <c r="J244" s="146">
        <f>J72*J$159</f>
        <v>962.45092053427254</v>
      </c>
      <c r="K244" s="146">
        <f>K72*K$159</f>
        <v>961.85161694500562</v>
      </c>
      <c r="L244" s="146">
        <f>L72*L$159</f>
        <v>660.10008752332271</v>
      </c>
      <c r="M244" s="146">
        <f>M72*M$159</f>
        <v>1105.0689209487743</v>
      </c>
      <c r="N244" s="146">
        <f>N72*N$159</f>
        <v>819.73683020381952</v>
      </c>
      <c r="O244" s="146">
        <f>O72*O$159</f>
        <v>256.50659165982415</v>
      </c>
      <c r="P244" s="146">
        <f>P72*P$159</f>
        <v>776.00521769056172</v>
      </c>
      <c r="Q244" s="136"/>
      <c r="R244" s="146"/>
      <c r="S244" s="146"/>
      <c r="T244" s="217"/>
      <c r="U244" s="146">
        <f>U72*U$159</f>
        <v>254.97897947864672</v>
      </c>
      <c r="V244" s="146">
        <f>V72*V$159</f>
        <v>249.4683656509695</v>
      </c>
      <c r="W244" s="146">
        <f>W72*W$159</f>
        <v>386.27152777777786</v>
      </c>
      <c r="X244" s="146">
        <f>X72*X$159</f>
        <v>-607.2571803212544</v>
      </c>
      <c r="Y244" s="146">
        <f>Y72*Y$159</f>
        <v>104.26488474742513</v>
      </c>
      <c r="Z244" s="146">
        <f>Z72*Z$159</f>
        <v>307.07962365591385</v>
      </c>
      <c r="AA244" s="146">
        <f>AA72*AA$159</f>
        <v>470.63445566778893</v>
      </c>
      <c r="AB244" s="146">
        <f>AB72*AB$159</f>
        <v>-261.61965134706821</v>
      </c>
      <c r="AC244" s="146">
        <f>AC72*AC$159</f>
        <v>148.27510660980812</v>
      </c>
      <c r="AD244" s="146">
        <f>AD72*AD$159</f>
        <v>-72.853639648941567</v>
      </c>
      <c r="AE244" s="146">
        <f>AE72*AE$159</f>
        <v>225.65632619910673</v>
      </c>
      <c r="AF244" s="146">
        <f>AF72*AF$159</f>
        <v>250.7318803698106</v>
      </c>
      <c r="AG244" s="146">
        <f>AG72*AG$159</f>
        <v>280.51559582436596</v>
      </c>
      <c r="AH244" s="146">
        <f>AH72*AH$159</f>
        <v>254.65174082641869</v>
      </c>
      <c r="AI244" s="146">
        <f>AI72*AI$159</f>
        <v>465.05889172608232</v>
      </c>
      <c r="AJ244" s="146">
        <f>AJ72*AJ$159</f>
        <v>-31.039789550344224</v>
      </c>
      <c r="AK244" s="146">
        <f>AK72*AK$159</f>
        <v>197.06582209812498</v>
      </c>
      <c r="AL244" s="146">
        <f>AL72*AL$159</f>
        <v>344.15529261128989</v>
      </c>
      <c r="AM244" s="282"/>
      <c r="AN244" s="282"/>
      <c r="AO244" s="282"/>
      <c r="AP244" s="146">
        <f>AP72*AP$159</f>
        <v>580.94653253424667</v>
      </c>
      <c r="AQ244" s="282"/>
      <c r="AR244" s="282"/>
      <c r="AS244" s="146">
        <f>AS72*AS$159</f>
        <v>130.17803071503448</v>
      </c>
      <c r="AT244" s="146">
        <f>AT72*AT$159</f>
        <v>268.1957238485362</v>
      </c>
      <c r="AU244" s="146">
        <f>AU72*AU$159</f>
        <v>55.844087639999998</v>
      </c>
      <c r="AV244" s="146">
        <f>AV72*AV$159</f>
        <v>208.57700950154219</v>
      </c>
      <c r="AW244" s="146">
        <f>AW72*AW$159</f>
        <v>207.56294812125282</v>
      </c>
      <c r="AX244" s="146">
        <f>AX72*AX$159</f>
        <v>345.46699114293011</v>
      </c>
      <c r="AY244" s="146">
        <f>AY72*AY$159</f>
        <v>452.1215777000001</v>
      </c>
      <c r="AZ244" s="146">
        <f>AZ72*AZ$159</f>
        <v>107.08640692262088</v>
      </c>
      <c r="BA244" s="146">
        <f>BA72*BA$159</f>
        <v>309.82494212999995</v>
      </c>
      <c r="BB244" s="146">
        <f>BB72*BB$159</f>
        <v>294.63676835814192</v>
      </c>
      <c r="BC244" s="146">
        <f>BC72*BC$159</f>
        <v>316.05206763577826</v>
      </c>
      <c r="BD244" s="146">
        <f>BD72*BD$159</f>
        <v>-68.431944319868904</v>
      </c>
      <c r="BE244" s="146">
        <f>BE72*BE$159</f>
        <v>-112.53450064278549</v>
      </c>
      <c r="BF244" s="146">
        <f>BF72*BF$159</f>
        <v>132.6431917982415</v>
      </c>
      <c r="BG244" s="146">
        <f>BG72*BG$159</f>
        <v>331.82933421192183</v>
      </c>
      <c r="BH244" s="146">
        <f>BH72*BH$159</f>
        <v>-83.022678777264375</v>
      </c>
      <c r="BI244" s="146">
        <f>BI72*BI$159</f>
        <v>403.40372919117834</v>
      </c>
      <c r="BJ244" s="136"/>
      <c r="BK244" s="136"/>
      <c r="BL244" s="146"/>
      <c r="BM244" s="146"/>
    </row>
    <row r="245" spans="2:65" ht="13.5" customHeight="1" thickTop="1">
      <c r="B245" s="1" t="str">
        <f>B74</f>
        <v>Equity Issuance/Buyback</v>
      </c>
      <c r="C245" s="147">
        <f>C74*C$159</f>
        <v>0</v>
      </c>
      <c r="D245" s="147">
        <f>D74*D$159</f>
        <v>0</v>
      </c>
      <c r="E245" s="147">
        <f>E74*E$159</f>
        <v>0</v>
      </c>
      <c r="F245" s="147">
        <f>F74*F$159</f>
        <v>215.65124141574219</v>
      </c>
      <c r="G245" s="147">
        <f>G74*G$159</f>
        <v>215.65124141574219</v>
      </c>
      <c r="H245" s="147">
        <f>H74*H$159</f>
        <v>0</v>
      </c>
      <c r="I245" s="147">
        <f>I74*I$159</f>
        <v>0</v>
      </c>
      <c r="J245" s="147">
        <f>J74*J$159</f>
        <v>0</v>
      </c>
      <c r="K245" s="147">
        <f>K74*K$159</f>
        <v>0</v>
      </c>
      <c r="L245" s="147">
        <f>L74*L$159</f>
        <v>0</v>
      </c>
      <c r="M245" s="147">
        <f>M74*M$159</f>
        <v>0</v>
      </c>
      <c r="N245" s="147">
        <f>N74*N$159</f>
        <v>0</v>
      </c>
      <c r="O245" s="147">
        <f>O74*O$159</f>
        <v>0</v>
      </c>
      <c r="P245" s="147">
        <f>P74*P$159</f>
        <v>0</v>
      </c>
      <c r="Q245" s="134"/>
      <c r="R245" s="147"/>
      <c r="S245" s="147"/>
      <c r="T245" s="216"/>
      <c r="U245" s="147">
        <f>U74*U$159</f>
        <v>0</v>
      </c>
      <c r="V245" s="147">
        <f>V74*V$159</f>
        <v>0</v>
      </c>
      <c r="W245" s="147">
        <f>W74*W$159</f>
        <v>0</v>
      </c>
      <c r="X245" s="147">
        <f>X74*X$159</f>
        <v>0</v>
      </c>
      <c r="Y245" s="147">
        <f>Y74*Y$159</f>
        <v>0</v>
      </c>
      <c r="Z245" s="147">
        <f>Z74*Z$159</f>
        <v>0</v>
      </c>
      <c r="AA245" s="147">
        <f>AA74*AA$159</f>
        <v>0</v>
      </c>
      <c r="AB245" s="147">
        <f>AB74*AB$159</f>
        <v>215.65124141574219</v>
      </c>
      <c r="AC245" s="147">
        <f>AC74*AC$159</f>
        <v>0</v>
      </c>
      <c r="AD245" s="147">
        <f>AD74*AD$159</f>
        <v>0</v>
      </c>
      <c r="AE245" s="147">
        <f>AE74*AE$159</f>
        <v>0</v>
      </c>
      <c r="AF245" s="147">
        <f>AF74*AF$159</f>
        <v>0</v>
      </c>
      <c r="AG245" s="147">
        <f>AG74*AG$159</f>
        <v>0</v>
      </c>
      <c r="AH245" s="147">
        <f>AH74*AH$159</f>
        <v>0</v>
      </c>
      <c r="AI245" s="147">
        <f>AI74*AI$159</f>
        <v>0</v>
      </c>
      <c r="AJ245" s="147">
        <f>AJ74*AJ$159</f>
        <v>0</v>
      </c>
      <c r="AK245" s="147">
        <f>AK74*AK$159</f>
        <v>0</v>
      </c>
      <c r="AL245" s="147">
        <f>AL74*AL$159</f>
        <v>0</v>
      </c>
      <c r="AM245" s="271"/>
      <c r="AN245" s="271"/>
      <c r="AO245" s="271"/>
      <c r="AP245" s="147">
        <f>AP74*AP$159</f>
        <v>0</v>
      </c>
      <c r="AQ245" s="271"/>
      <c r="AR245" s="271"/>
      <c r="AS245" s="147">
        <f>AS74*AS$159</f>
        <v>0</v>
      </c>
      <c r="AT245" s="147">
        <f>AT74*AT$159</f>
        <v>0</v>
      </c>
      <c r="AU245" s="147">
        <f>AU74*AU$159</f>
        <v>0</v>
      </c>
      <c r="AV245" s="147">
        <f>AV74*AV$159</f>
        <v>0</v>
      </c>
      <c r="AW245" s="147">
        <f>AW74*AW$159</f>
        <v>0</v>
      </c>
      <c r="AX245" s="147">
        <f>AX74*AX$159</f>
        <v>0</v>
      </c>
      <c r="AY245" s="147">
        <f>AY74*AY$159</f>
        <v>0</v>
      </c>
      <c r="AZ245" s="147">
        <f>AZ74*AZ$159</f>
        <v>0</v>
      </c>
      <c r="BA245" s="147">
        <f>BA74*BA$159</f>
        <v>0</v>
      </c>
      <c r="BB245" s="147">
        <f>BB74*BB$159</f>
        <v>0</v>
      </c>
      <c r="BC245" s="147">
        <f>BC74*BC$159</f>
        <v>0</v>
      </c>
      <c r="BD245" s="147">
        <f>BD74*BD$159</f>
        <v>0</v>
      </c>
      <c r="BE245" s="147">
        <f>BE74*BE$159</f>
        <v>0</v>
      </c>
      <c r="BF245" s="147">
        <f>BF74*BF$159</f>
        <v>0</v>
      </c>
      <c r="BG245" s="147">
        <f>BG74*BG$159</f>
        <v>0</v>
      </c>
      <c r="BH245" s="147">
        <f>BH74*BH$159</f>
        <v>0</v>
      </c>
      <c r="BI245" s="147">
        <f>BI74*BI$159</f>
        <v>0</v>
      </c>
      <c r="BJ245" s="134"/>
      <c r="BK245" s="134"/>
      <c r="BL245" s="147"/>
      <c r="BM245" s="147"/>
    </row>
    <row r="246" spans="2:65" s="5" customFormat="1" ht="13.5" customHeight="1">
      <c r="B246" s="1" t="str">
        <f>B75</f>
        <v xml:space="preserve">Dividends received  / Dividends Paid </v>
      </c>
      <c r="C246" s="147">
        <f>C75*C$159</f>
        <v>-453.47551758627696</v>
      </c>
      <c r="D246" s="147">
        <f>D75*D$159</f>
        <v>-404.83326497775812</v>
      </c>
      <c r="E246" s="147">
        <f>E75*E$159</f>
        <v>-375.88705700748238</v>
      </c>
      <c r="F246" s="147">
        <f>F75*F$159</f>
        <v>-369.37374537770734</v>
      </c>
      <c r="G246" s="147">
        <f>G75*G$159</f>
        <v>-369.37374537770734</v>
      </c>
      <c r="H246" s="147">
        <f>H75*H$159</f>
        <v>-365.37697505197508</v>
      </c>
      <c r="I246" s="147">
        <f>I75*I$159</f>
        <v>-386.33667526013903</v>
      </c>
      <c r="J246" s="147">
        <f>J75*J$159</f>
        <v>-480.14239031170723</v>
      </c>
      <c r="K246" s="147">
        <f>K75*K$159</f>
        <v>-502.95360366183684</v>
      </c>
      <c r="L246" s="147">
        <f>L75*L$159</f>
        <v>-566.12574173364408</v>
      </c>
      <c r="M246" s="147">
        <f>M75*M$159</f>
        <v>-687.96417097345329</v>
      </c>
      <c r="N246" s="147">
        <f>N75*N$159</f>
        <v>-708.84329127450326</v>
      </c>
      <c r="O246" s="147">
        <f>O75*O$159</f>
        <v>-817.66601809835595</v>
      </c>
      <c r="P246" s="147">
        <f>P75*P$159</f>
        <v>-851.11038434249269</v>
      </c>
      <c r="Q246" s="134"/>
      <c r="R246" s="147"/>
      <c r="S246" s="147"/>
      <c r="T246" s="216"/>
      <c r="U246" s="147">
        <f>U75*U$159</f>
        <v>0</v>
      </c>
      <c r="V246" s="147">
        <f>V75*V$159</f>
        <v>-192.3537950138504</v>
      </c>
      <c r="W246" s="147">
        <f>W75*W$159</f>
        <v>0</v>
      </c>
      <c r="X246" s="147">
        <f>X75*X$159</f>
        <v>-178.58204100158866</v>
      </c>
      <c r="Y246" s="147">
        <f>Y75*Y$159</f>
        <v>0</v>
      </c>
      <c r="Z246" s="147">
        <f>Z75*Z$159</f>
        <v>-186.18956989247312</v>
      </c>
      <c r="AA246" s="147">
        <f>AA75*AA$159</f>
        <v>0</v>
      </c>
      <c r="AB246" s="147">
        <f>AB75*AB$159</f>
        <v>-186.42995245641836</v>
      </c>
      <c r="AC246" s="147">
        <f>AC75*AC$159</f>
        <v>-2.345415778251599E-3</v>
      </c>
      <c r="AD246" s="147">
        <f>AD75*AD$159</f>
        <v>-182.20717604543105</v>
      </c>
      <c r="AE246" s="147">
        <f>AE75*AE$159</f>
        <v>6.9001413879001594E-15</v>
      </c>
      <c r="AF246" s="147">
        <f>AF75*AF$159</f>
        <v>-176.52324760463947</v>
      </c>
      <c r="AG246" s="147">
        <f>AG75*AG$159</f>
        <v>0</v>
      </c>
      <c r="AH246" s="147">
        <f>AH75*AH$159</f>
        <v>-194.6514121338912</v>
      </c>
      <c r="AI246" s="147">
        <f>AI75*AI$159</f>
        <v>0</v>
      </c>
      <c r="AJ246" s="147">
        <f>AJ75*AJ$159</f>
        <v>-192.88760373443984</v>
      </c>
      <c r="AK246" s="147">
        <f>AK75*AK$159</f>
        <v>0</v>
      </c>
      <c r="AL246" s="147">
        <f>AL75*AL$159</f>
        <v>-218.5368578767123</v>
      </c>
      <c r="AM246" s="271"/>
      <c r="AN246" s="271"/>
      <c r="AO246" s="271"/>
      <c r="AP246" s="147">
        <f>AP75*AP$159</f>
        <v>-226.66750856164384</v>
      </c>
      <c r="AQ246" s="271"/>
      <c r="AR246" s="271"/>
      <c r="AS246" s="147">
        <f>AS75*AS$159</f>
        <v>-4.2711343001962963E-2</v>
      </c>
      <c r="AT246" s="147">
        <f>AT75*AT$159</f>
        <v>-286.46867818962932</v>
      </c>
      <c r="AU246" s="147">
        <f>AU75*AU$159</f>
        <v>-1.3903778900000083</v>
      </c>
      <c r="AV246" s="147">
        <f>AV75*AV$159</f>
        <v>-286.18873441864781</v>
      </c>
      <c r="AW246" s="147">
        <f>AW75*AW$159</f>
        <v>0</v>
      </c>
      <c r="AX246" s="147">
        <f>AX75*AX$159</f>
        <v>-345.20110925606275</v>
      </c>
      <c r="AY246" s="147">
        <f>AY75*AY$159</f>
        <v>9.2509000000208733E-3</v>
      </c>
      <c r="AZ246" s="147">
        <f>AZ75*AZ$159</f>
        <v>-355.3020685679661</v>
      </c>
      <c r="BA246" s="147">
        <f>BA75*BA$159</f>
        <v>0</v>
      </c>
      <c r="BB246" s="147">
        <f>BB75*BB$159</f>
        <v>-185.37126412000001</v>
      </c>
      <c r="BC246" s="147">
        <f>BC75*BC$159</f>
        <v>-173.80615662000002</v>
      </c>
      <c r="BD246" s="147">
        <f>BD75*BD$159</f>
        <v>-318.22504372611252</v>
      </c>
      <c r="BE246" s="147">
        <f>BE75*BE$159</f>
        <v>0</v>
      </c>
      <c r="BF246" s="147">
        <f>BF75*BF$159</f>
        <v>-207.39919254140943</v>
      </c>
      <c r="BG246" s="147">
        <f>BG75*BG$159</f>
        <v>-207.31605092818202</v>
      </c>
      <c r="BH246" s="147">
        <f>BH75*BH$159</f>
        <v>-427.04011495760125</v>
      </c>
      <c r="BI246" s="147">
        <f>BI75*BI$159</f>
        <v>0</v>
      </c>
      <c r="BJ246" s="134"/>
      <c r="BK246" s="134"/>
      <c r="BL246" s="147"/>
      <c r="BM246" s="147"/>
    </row>
    <row r="247" spans="2:65" ht="13.5" customHeight="1">
      <c r="B247" s="1" t="str">
        <f>B76</f>
        <v>Change in debt /Finance Costs</v>
      </c>
      <c r="C247" s="147">
        <f>C76*C$159</f>
        <v>-23.31300339166598</v>
      </c>
      <c r="D247" s="147">
        <f>D76*D$159</f>
        <v>-452.34564785310914</v>
      </c>
      <c r="E247" s="147">
        <f>E76*E$159</f>
        <v>165.72690435863905</v>
      </c>
      <c r="F247" s="147">
        <f>F76*F$159</f>
        <v>-32.795139989434759</v>
      </c>
      <c r="G247" s="147">
        <f>G76*G$159</f>
        <v>32.795139989434759</v>
      </c>
      <c r="H247" s="147">
        <f>H76*H$159</f>
        <v>27.594698544698549</v>
      </c>
      <c r="I247" s="147">
        <f>I76*I$159</f>
        <v>-530.46300850292846</v>
      </c>
      <c r="J247" s="147">
        <f>J76*J$159</f>
        <v>772.53499791639445</v>
      </c>
      <c r="K247" s="147">
        <f>K76*K$159</f>
        <v>-171.30366423903484</v>
      </c>
      <c r="L247" s="147">
        <f>L76*L$159</f>
        <v>-146.87760236551145</v>
      </c>
      <c r="M247" s="147">
        <f>M76*M$159</f>
        <v>-501.01286526472069</v>
      </c>
      <c r="N247" s="147">
        <f>N76*N$159</f>
        <v>27.211000805974379</v>
      </c>
      <c r="O247" s="147">
        <f>O76*O$159</f>
        <v>569.08393563018365</v>
      </c>
      <c r="P247" s="147">
        <f>P76*P$159</f>
        <v>942.72292719110567</v>
      </c>
      <c r="Q247" s="134"/>
      <c r="R247" s="147"/>
      <c r="S247" s="147"/>
      <c r="T247" s="216"/>
      <c r="U247" s="147">
        <f>U76*U$159</f>
        <v>21.699334442595671</v>
      </c>
      <c r="V247" s="147">
        <f>V76*V$159</f>
        <v>-89.974293628808866</v>
      </c>
      <c r="W247" s="147">
        <f>W76*W$159</f>
        <v>10.512927350427361</v>
      </c>
      <c r="X247" s="147">
        <f>X76*X$159</f>
        <v>208.18493582469685</v>
      </c>
      <c r="Y247" s="147">
        <f>Y76*Y$159</f>
        <v>-31.873418342324669</v>
      </c>
      <c r="Z247" s="147">
        <f>Z76*Z$159</f>
        <v>553.07424731182778</v>
      </c>
      <c r="AA247" s="147">
        <f>AA76*AA$159</f>
        <v>-570.62300785634113</v>
      </c>
      <c r="AB247" s="147">
        <f>AB76*AB$159</f>
        <v>-4.7328050713153722</v>
      </c>
      <c r="AC247" s="147">
        <f>AC76*AC$159</f>
        <v>-15.746002132196161</v>
      </c>
      <c r="AD247" s="147">
        <f>AD76*AD$159</f>
        <v>518.43221476510064</v>
      </c>
      <c r="AE247" s="147">
        <f>AE76*AE$159</f>
        <v>-57.950105374078007</v>
      </c>
      <c r="AF247" s="147">
        <f>AF76*AF$159</f>
        <v>-409.26989409984878</v>
      </c>
      <c r="AG247" s="147">
        <f>AG76*AG$159</f>
        <v>-258.20067637877213</v>
      </c>
      <c r="AH247" s="147">
        <f>AH76*AH$159</f>
        <v>-7.4374999999999956</v>
      </c>
      <c r="AI247" s="147">
        <f>AI76*AI$159</f>
        <v>-7.9054067971163811</v>
      </c>
      <c r="AJ247" s="147">
        <f>AJ76*AJ$159</f>
        <v>-257.16016597510367</v>
      </c>
      <c r="AK247" s="147">
        <f>AK76*AK$159</f>
        <v>623.2375629405841</v>
      </c>
      <c r="AL247" s="147">
        <f>AL76*AL$159</f>
        <v>32.677440068493198</v>
      </c>
      <c r="AM247" s="271"/>
      <c r="AN247" s="271"/>
      <c r="AO247" s="271"/>
      <c r="AP247" s="147">
        <f>AP76*AP$159</f>
        <v>-123.50693493150686</v>
      </c>
      <c r="AQ247" s="271"/>
      <c r="AR247" s="271"/>
      <c r="AS247" s="147">
        <f>AS76*AS$159</f>
        <v>-17.872393513215776</v>
      </c>
      <c r="AT247" s="147">
        <f>AT76*AT$159</f>
        <v>-102.29338595264261</v>
      </c>
      <c r="AU247" s="147">
        <f>AU76*AU$159</f>
        <v>-335.4827603600001</v>
      </c>
      <c r="AV247" s="147">
        <f>AV76*AV$159</f>
        <v>313.264951275101</v>
      </c>
      <c r="AW247" s="147">
        <f>AW76*AW$159</f>
        <v>-34.025740994670954</v>
      </c>
      <c r="AX247" s="147">
        <f>AX76*AX$159</f>
        <v>-432.66996802399626</v>
      </c>
      <c r="AY247" s="147">
        <f>AY76*AY$159</f>
        <v>-30.238440250000014</v>
      </c>
      <c r="AZ247" s="147">
        <f>AZ76*AZ$159</f>
        <v>-6.7525450019238225</v>
      </c>
      <c r="BA247" s="147">
        <f>BA76*BA$159</f>
        <v>-24.312474989999998</v>
      </c>
      <c r="BB247" s="147">
        <f>BB76*BB$159</f>
        <v>18.04640152</v>
      </c>
      <c r="BC247" s="147">
        <f>BC76*BC$159</f>
        <v>2.0604756599999976</v>
      </c>
      <c r="BD247" s="147">
        <f>BD76*BD$159</f>
        <v>27.503550410851059</v>
      </c>
      <c r="BE247" s="147">
        <f>BE76*BE$159</f>
        <v>6.2182008995777558</v>
      </c>
      <c r="BF247" s="147">
        <f>BF76*BF$159</f>
        <v>534.62397871024382</v>
      </c>
      <c r="BG247" s="147">
        <f>BG76*BG$159</f>
        <v>-140.03962237832178</v>
      </c>
      <c r="BH247" s="147">
        <f>BH76*BH$159</f>
        <v>163.12527318821586</v>
      </c>
      <c r="BI247" s="147">
        <f>BI76*BI$159</f>
        <v>376.04283250123825</v>
      </c>
      <c r="BJ247" s="134"/>
      <c r="BK247" s="134"/>
      <c r="BL247" s="147"/>
      <c r="BM247" s="147"/>
    </row>
    <row r="248" spans="2:65" ht="13.5" customHeight="1" thickBot="1">
      <c r="B248" s="57" t="str">
        <f>B77</f>
        <v>Other financing activities</v>
      </c>
      <c r="C248" s="145">
        <f>C77*C$159</f>
        <v>-137.47151677408198</v>
      </c>
      <c r="D248" s="145">
        <f>D77*D$159</f>
        <v>541.75474019623312</v>
      </c>
      <c r="E248" s="145">
        <f>E77*E$159</f>
        <v>-90.635250734300968</v>
      </c>
      <c r="F248" s="145">
        <f>F77*F$159</f>
        <v>-140.23565768621236</v>
      </c>
      <c r="G248" s="145">
        <f>G77*G$159</f>
        <v>-141.90470153195986</v>
      </c>
      <c r="H248" s="145">
        <f>H77*H$159</f>
        <v>-89.454209979209978</v>
      </c>
      <c r="I248" s="145">
        <f>I77*I$159</f>
        <v>-16.9685556370816</v>
      </c>
      <c r="J248" s="145">
        <f>J77*J$159</f>
        <v>17.051174592700246</v>
      </c>
      <c r="K248" s="145">
        <f>K77*K$159</f>
        <v>-58.565355295396529</v>
      </c>
      <c r="L248" s="145">
        <f>L77*L$159</f>
        <v>-76.402034586229391</v>
      </c>
      <c r="M248" s="145">
        <f>M77*M$159</f>
        <v>-18.008528283467196</v>
      </c>
      <c r="N248" s="145">
        <f>N77*N$159</f>
        <v>-125.22845457354508</v>
      </c>
      <c r="O248" s="145">
        <f>O77*O$159</f>
        <v>-103.15123544405843</v>
      </c>
      <c r="P248" s="145">
        <f>P77*P$159</f>
        <v>-122.7810539105465</v>
      </c>
      <c r="Q248" s="134"/>
      <c r="R248" s="145"/>
      <c r="S248" s="145"/>
      <c r="T248" s="218"/>
      <c r="U248" s="145">
        <f>U77*U$159</f>
        <v>-7.4086522462562394</v>
      </c>
      <c r="V248" s="145">
        <f>V77*V$159</f>
        <v>-40.941772853185597</v>
      </c>
      <c r="W248" s="145">
        <f>W77*W$159</f>
        <v>-32.428525641025637</v>
      </c>
      <c r="X248" s="145">
        <f>X77*X$159</f>
        <v>-10.659454825125456</v>
      </c>
      <c r="Y248" s="145">
        <f>Y77*Y$159</f>
        <v>-81.096861206473761</v>
      </c>
      <c r="Z248" s="145">
        <f>Z77*Z$159</f>
        <v>-104.96897849462363</v>
      </c>
      <c r="AA248" s="145">
        <f>AA77*AA$159</f>
        <v>120.06172839506173</v>
      </c>
      <c r="AB248" s="145">
        <f>AB77*AB$159</f>
        <v>-62.76666666666668</v>
      </c>
      <c r="AC248" s="145">
        <f>AC77*AC$159</f>
        <v>-22.707729211087418</v>
      </c>
      <c r="AD248" s="145">
        <f>AD77*AD$159</f>
        <v>-58.30382034073309</v>
      </c>
      <c r="AE248" s="145">
        <f>AE77*AE$159</f>
        <v>-14.06238145416228</v>
      </c>
      <c r="AF248" s="145">
        <f>AF77*AF$159</f>
        <v>5.1007060010085787</v>
      </c>
      <c r="AG248" s="145">
        <f>AG77*AG$159</f>
        <v>-0.26701352757544228</v>
      </c>
      <c r="AH248" s="145">
        <f>AH77*AH$159</f>
        <v>-49.832217573221754</v>
      </c>
      <c r="AI248" s="145">
        <f>AI77*AI$159</f>
        <v>22.634191555097836</v>
      </c>
      <c r="AJ248" s="145">
        <f>AJ77*AJ$159</f>
        <v>9.9358921161825791</v>
      </c>
      <c r="AK248" s="145">
        <f>AK77*AK$159</f>
        <v>-22.555790533736154</v>
      </c>
      <c r="AL248" s="145">
        <f>AL77*AL$159</f>
        <v>-15.548458904109586</v>
      </c>
      <c r="AM248" s="283"/>
      <c r="AN248" s="283"/>
      <c r="AO248" s="283"/>
      <c r="AP248" s="145">
        <f>AP77*AP$159</f>
        <v>-20.622303082191781</v>
      </c>
      <c r="AQ248" s="283"/>
      <c r="AR248" s="283"/>
      <c r="AS248" s="145">
        <f>AS77*AS$159</f>
        <v>-5.0329798846414215</v>
      </c>
      <c r="AT248" s="145">
        <f>AT77*AT$159</f>
        <v>-32.291237885902682</v>
      </c>
      <c r="AU248" s="147">
        <f>AU77*AU$159</f>
        <v>-13.561259250000003</v>
      </c>
      <c r="AV248" s="147">
        <f>AV77*AV$159</f>
        <v>-26.168505969610603</v>
      </c>
      <c r="AW248" s="147">
        <f>AW77*AW$159</f>
        <v>-23.80172813671896</v>
      </c>
      <c r="AX248" s="145">
        <f>AX77*AX$159</f>
        <v>-168.4093494439571</v>
      </c>
      <c r="AY248" s="147">
        <f>AY77*AY$159</f>
        <v>118.12866494999999</v>
      </c>
      <c r="AZ248" s="147">
        <f>AZ77*AZ$159</f>
        <v>63.222941941990584</v>
      </c>
      <c r="BA248" s="145">
        <f>BA77*BA$159</f>
        <v>-38.366188199999996</v>
      </c>
      <c r="BB248" s="145">
        <f>BB77*BB$159</f>
        <v>33.60610148</v>
      </c>
      <c r="BC248" s="145">
        <f>BC77*BC$159</f>
        <v>-99.211517370000024</v>
      </c>
      <c r="BD248" s="145">
        <f>BD77*BD$159</f>
        <v>-16.510481809438851</v>
      </c>
      <c r="BE248" s="145">
        <f>BE77*BE$159</f>
        <v>-35.260700764121481</v>
      </c>
      <c r="BF248" s="145">
        <f>BF77*BF$159</f>
        <v>-2.3158080744354708</v>
      </c>
      <c r="BG248" s="145">
        <f>BG77*BG$159</f>
        <v>-50.066518639347734</v>
      </c>
      <c r="BH248" s="145">
        <f>BH77*BH$159</f>
        <v>-15.192215228603905</v>
      </c>
      <c r="BI248" s="145">
        <f>BI77*BI$159</f>
        <v>-57.670171523559588</v>
      </c>
      <c r="BJ248" s="134"/>
      <c r="BK248" s="134"/>
      <c r="BL248" s="145"/>
      <c r="BM248" s="145"/>
    </row>
    <row r="249" spans="2:65" ht="13.5" customHeight="1" thickTop="1" thickBot="1">
      <c r="B249" s="105" t="str">
        <f>B78</f>
        <v>Cash flow after financing activities</v>
      </c>
      <c r="C249" s="146">
        <f>C78*C$159</f>
        <v>326.90847014055487</v>
      </c>
      <c r="D249" s="146">
        <f>D78*D$159</f>
        <v>308.67274505473705</v>
      </c>
      <c r="E249" s="146">
        <f>E78*E$159</f>
        <v>-181.42170314945417</v>
      </c>
      <c r="F249" s="146">
        <f>F78*F$159</f>
        <v>166.94912836767068</v>
      </c>
      <c r="G249" s="146">
        <f>G78*G$159</f>
        <v>441.81146324354319</v>
      </c>
      <c r="H249" s="146">
        <f>H78*H$159</f>
        <v>55.938007224137159</v>
      </c>
      <c r="I249" s="146">
        <f>I78*I$159</f>
        <v>37.571005064197124</v>
      </c>
      <c r="J249" s="146">
        <f>J78*J$159</f>
        <v>1257.4595987614014</v>
      </c>
      <c r="K249" s="146">
        <f>K78*K$159</f>
        <v>193.60639982007015</v>
      </c>
      <c r="L249" s="146">
        <f>L78*L$159</f>
        <v>-212.37460090610739</v>
      </c>
      <c r="M249" s="146">
        <f>M78*M$159</f>
        <v>-191.74513860703581</v>
      </c>
      <c r="N249" s="146">
        <f>N78*N$159</f>
        <v>-8.2371127227136842</v>
      </c>
      <c r="O249" s="146">
        <f>O78*O$159</f>
        <v>-77.563036216819725</v>
      </c>
      <c r="P249" s="146">
        <f>P78*P$159</f>
        <v>749.42870653418595</v>
      </c>
      <c r="Q249" s="136"/>
      <c r="R249" s="146"/>
      <c r="S249" s="146"/>
      <c r="T249" s="217"/>
      <c r="U249" s="146">
        <f>U78*U$159</f>
        <v>202.87265668330565</v>
      </c>
      <c r="V249" s="146">
        <f>V78*V$159</f>
        <v>-84.957673130193911</v>
      </c>
      <c r="W249" s="146">
        <f>W78*W$159</f>
        <v>326.22409188034203</v>
      </c>
      <c r="X249" s="146">
        <f>X78*X$159</f>
        <v>-585.82565499155226</v>
      </c>
      <c r="Y249" s="146">
        <f>Y78*Y$159</f>
        <v>-33.681755762628825</v>
      </c>
      <c r="Z249" s="146">
        <f>Z78*Z$159</f>
        <v>537.16349462365577</v>
      </c>
      <c r="AA249" s="146">
        <f>AA78*AA$159</f>
        <v>27.974466891133513</v>
      </c>
      <c r="AB249" s="146">
        <f>AB78*AB$159</f>
        <v>-350.90480718436351</v>
      </c>
      <c r="AC249" s="146">
        <f>AC78*AC$159</f>
        <v>119.14610874200432</v>
      </c>
      <c r="AD249" s="146">
        <f>AD78*AD$159</f>
        <v>162.96726897263821</v>
      </c>
      <c r="AE249" s="146">
        <f>AE78*AE$159</f>
        <v>139.82650533503929</v>
      </c>
      <c r="AF249" s="146">
        <f>AF78*AF$159</f>
        <v>-351.46327848041648</v>
      </c>
      <c r="AG249" s="146">
        <f>AG78*AG$159</f>
        <v>29.378394991899714</v>
      </c>
      <c r="AH249" s="146">
        <f>AH78*AH$159</f>
        <v>-5.4286462028700146</v>
      </c>
      <c r="AI249" s="146">
        <f>AI78*AI$159</f>
        <v>483.14246536150978</v>
      </c>
      <c r="AJ249" s="146">
        <f>AJ78*AJ$159</f>
        <v>-473.02329577441054</v>
      </c>
      <c r="AK249" s="146">
        <f>AK78*AK$159</f>
        <v>791.51456328644326</v>
      </c>
      <c r="AL249" s="146">
        <f>AL78*AL$159</f>
        <v>132.34411966608451</v>
      </c>
      <c r="AM249" s="282"/>
      <c r="AN249" s="282"/>
      <c r="AO249" s="282"/>
      <c r="AP249" s="146">
        <f>AP78*AP$159</f>
        <v>200.44837328767127</v>
      </c>
      <c r="AQ249" s="282"/>
      <c r="AR249" s="282"/>
      <c r="AS249" s="146">
        <f>AS78*AS$159</f>
        <v>87.109976013595585</v>
      </c>
      <c r="AT249" s="146">
        <f>AT78*AT$159</f>
        <v>-146.08672195024491</v>
      </c>
      <c r="AU249" s="146">
        <f>AU78*AU$159</f>
        <v>-319.84030529000012</v>
      </c>
      <c r="AV249" s="146">
        <f>AV78*AV$159</f>
        <v>164.9427139777784</v>
      </c>
      <c r="AW249" s="146">
        <f>AW78*AW$159</f>
        <v>130.99685470136311</v>
      </c>
      <c r="AX249" s="146">
        <f>AX78*AX$159</f>
        <v>-625.95885565522497</v>
      </c>
      <c r="AY249" s="146">
        <f>AY78*AY$159</f>
        <v>505.27941545000016</v>
      </c>
      <c r="AZ249" s="146">
        <f>AZ78*AZ$159</f>
        <v>-203.32597085653228</v>
      </c>
      <c r="BA249" s="146">
        <f>BA78*BA$159</f>
        <v>260.75917619999996</v>
      </c>
      <c r="BB249" s="146">
        <f>BB78*BB$159</f>
        <v>100.05765201814188</v>
      </c>
      <c r="BC249" s="146">
        <f>BC78*BC$159</f>
        <v>95.228161955778234</v>
      </c>
      <c r="BD249" s="146">
        <f>BD78*BD$159</f>
        <v>-401.17206421163735</v>
      </c>
      <c r="BE249" s="146">
        <f>BE78*BE$159</f>
        <v>-125.72532666970523</v>
      </c>
      <c r="BF249" s="146">
        <f>BF78*BF$159</f>
        <v>439.79677144841548</v>
      </c>
      <c r="BG249" s="146">
        <f>BG78*BG$159</f>
        <v>-53.706779170633659</v>
      </c>
      <c r="BH249" s="146">
        <f>BH78*BH$159</f>
        <v>-354.59301927905642</v>
      </c>
      <c r="BI249" s="146">
        <f>BI78*BI$159</f>
        <v>725.8936956606849</v>
      </c>
      <c r="BJ249" s="136"/>
      <c r="BK249" s="136"/>
      <c r="BL249" s="146"/>
      <c r="BM249" s="146"/>
    </row>
    <row r="250" spans="2:65" s="5" customFormat="1" ht="13.5" customHeight="1" thickTop="1">
      <c r="B250" s="1" t="str">
        <f>B79</f>
        <v xml:space="preserve">FX </v>
      </c>
      <c r="C250" s="144">
        <f>C79*C$159</f>
        <v>-320.89221120077008</v>
      </c>
      <c r="D250" s="144">
        <f>D79*D$159</f>
        <v>-41.581222197684326</v>
      </c>
      <c r="E250" s="144">
        <f>E79*E$159</f>
        <v>-70.214180048453144</v>
      </c>
      <c r="F250" s="144">
        <f>F79*F$159</f>
        <v>-177.05631273111464</v>
      </c>
      <c r="G250" s="144">
        <f>G79*G$159</f>
        <v>-173.13243528790281</v>
      </c>
      <c r="H250" s="144">
        <f>H79*H$159</f>
        <v>-54.880509355509361</v>
      </c>
      <c r="I250" s="144">
        <f>I79*I$159</f>
        <v>-51.367259975018982</v>
      </c>
      <c r="J250" s="144">
        <f>J79*J$159</f>
        <v>-95.766871000097282</v>
      </c>
      <c r="K250" s="144">
        <f>K79*K$159</f>
        <v>39.673305200107329</v>
      </c>
      <c r="L250" s="144">
        <f>L79*L$159</f>
        <v>-99.663416803497668</v>
      </c>
      <c r="M250" s="144">
        <f>M79*M$159</f>
        <v>-284.96444075989695</v>
      </c>
      <c r="N250" s="144">
        <f>N79*N$159</f>
        <v>127.31376240079379</v>
      </c>
      <c r="O250" s="144">
        <f>O79*O$159</f>
        <v>-115.90298663282871</v>
      </c>
      <c r="P250" s="144">
        <f>P79*P$159</f>
        <v>-121.13407226159526</v>
      </c>
      <c r="Q250" s="134"/>
      <c r="R250" s="144"/>
      <c r="S250" s="144"/>
      <c r="T250" s="216"/>
      <c r="U250" s="144">
        <f>U79*U$159</f>
        <v>-17.494897393233501</v>
      </c>
      <c r="V250" s="144">
        <f>V79*V$159</f>
        <v>40.82731301939058</v>
      </c>
      <c r="W250" s="144">
        <f>W79*W$159</f>
        <v>-30.029113247863251</v>
      </c>
      <c r="X250" s="144">
        <f>X79*X$159</f>
        <v>-58.973447310689167</v>
      </c>
      <c r="Y250" s="144">
        <f>Y79*Y$159</f>
        <v>-47.425110348209913</v>
      </c>
      <c r="Z250" s="144">
        <f>Z79*Z$159</f>
        <v>-98.378763440860197</v>
      </c>
      <c r="AA250" s="144">
        <f>AA79*AA$159</f>
        <v>-11.822951739618404</v>
      </c>
      <c r="AB250" s="144">
        <f>AB79*AB$159</f>
        <v>-18.180031695721084</v>
      </c>
      <c r="AC250" s="144">
        <f>AC79*AC$159</f>
        <v>61.074733475479739</v>
      </c>
      <c r="AD250" s="144">
        <f>AD79*AD$159</f>
        <v>-86.723799690242629</v>
      </c>
      <c r="AE250" s="144">
        <f>AE79*AE$159</f>
        <v>-53.947576396206536</v>
      </c>
      <c r="AF250" s="144">
        <f>AF79*AF$159</f>
        <v>25.320322743318201</v>
      </c>
      <c r="AG250" s="144">
        <f>AG79*AG$159</f>
        <v>-28.813527575442254</v>
      </c>
      <c r="AH250" s="144">
        <f>AH79*AH$159</f>
        <v>-4.0719665271966523</v>
      </c>
      <c r="AI250" s="144">
        <f>AI79*AI$159</f>
        <v>12.955406797116376</v>
      </c>
      <c r="AJ250" s="144">
        <f>AJ79*AJ$159</f>
        <v>-31.599792531120336</v>
      </c>
      <c r="AK250" s="144">
        <f>AK79*AK$159</f>
        <v>188.00770392749246</v>
      </c>
      <c r="AL250" s="144">
        <f>AL79*AL$159</f>
        <v>-37.465796232876713</v>
      </c>
      <c r="AM250" s="281"/>
      <c r="AN250" s="281"/>
      <c r="AO250" s="281"/>
      <c r="AP250" s="144">
        <f>AP79*AP$159</f>
        <v>-12.922988013698628</v>
      </c>
      <c r="AQ250" s="281"/>
      <c r="AR250" s="281"/>
      <c r="AS250" s="144">
        <f>AS79*AS$159</f>
        <v>11.173239339040475</v>
      </c>
      <c r="AT250" s="144">
        <f>AT79*AT$159</f>
        <v>-70.765311219902102</v>
      </c>
      <c r="AU250" s="147">
        <f>AU79*AU$159</f>
        <v>-9.7890979999994354E-2</v>
      </c>
      <c r="AV250" s="147">
        <f>AV79*AV$159</f>
        <v>-41.790804358822299</v>
      </c>
      <c r="AW250" s="147">
        <f>AW79*AW$159</f>
        <v>-126.05133336169359</v>
      </c>
      <c r="AX250" s="144">
        <f>AX79*AX$159</f>
        <v>-102.31444013695919</v>
      </c>
      <c r="AY250" s="147">
        <f>AY79*AY$159</f>
        <v>73.80022575000001</v>
      </c>
      <c r="AZ250" s="147">
        <f>AZ79*AZ$159</f>
        <v>-120.22595310350169</v>
      </c>
      <c r="BA250" s="147">
        <f>BA79*BA$159</f>
        <v>-27.428230079999999</v>
      </c>
      <c r="BB250" s="144">
        <f>BB79*BB$159</f>
        <v>84.199673040000008</v>
      </c>
      <c r="BC250" s="147">
        <f>BC79*BC$159</f>
        <v>91.980569610000003</v>
      </c>
      <c r="BD250" s="147">
        <f>BD79*BD$159</f>
        <v>-20.942042345812521</v>
      </c>
      <c r="BE250" s="147">
        <f>BE79*BE$159</f>
        <v>21.843097109714741</v>
      </c>
      <c r="BF250" s="147">
        <f>BF79*BF$159</f>
        <v>-91.178201410860197</v>
      </c>
      <c r="BG250" s="147">
        <f>BG79*BG$159</f>
        <v>-44.377453561805275</v>
      </c>
      <c r="BH250" s="147">
        <f>BH79*BH$159</f>
        <v>-3.9380627677244529</v>
      </c>
      <c r="BI250" s="147">
        <f>BI79*BI$159</f>
        <v>25.161988147625259</v>
      </c>
      <c r="BJ250" s="134"/>
      <c r="BK250" s="134"/>
      <c r="BL250" s="144"/>
      <c r="BM250" s="144"/>
    </row>
    <row r="251" spans="2:65" ht="13.5" customHeight="1">
      <c r="B251" s="1" t="str">
        <f>B80</f>
        <v>Hyperinflation effect</v>
      </c>
      <c r="C251" s="147">
        <f>C80*C$159</f>
        <v>0</v>
      </c>
      <c r="D251" s="147">
        <f>D80*D$159</f>
        <v>0</v>
      </c>
      <c r="E251" s="147">
        <f>E80*E$159</f>
        <v>0</v>
      </c>
      <c r="F251" s="147">
        <f>F80*F$159</f>
        <v>0</v>
      </c>
      <c r="G251" s="147">
        <f>G80*G$159</f>
        <v>0</v>
      </c>
      <c r="H251" s="147">
        <f>H80*H$159</f>
        <v>0</v>
      </c>
      <c r="I251" s="147">
        <f>I80*I$159</f>
        <v>0</v>
      </c>
      <c r="J251" s="147">
        <f>J80*J$159</f>
        <v>0</v>
      </c>
      <c r="K251" s="147">
        <f>K80*K$159</f>
        <v>0</v>
      </c>
      <c r="L251" s="147">
        <f>L80*L$159</f>
        <v>0</v>
      </c>
      <c r="M251" s="147">
        <f>M80*M$159</f>
        <v>0</v>
      </c>
      <c r="N251" s="147">
        <f>N80*N$159</f>
        <v>0</v>
      </c>
      <c r="O251" s="147">
        <f>O80*O$159</f>
        <v>0</v>
      </c>
      <c r="P251" s="147">
        <f>P80*P$159</f>
        <v>0</v>
      </c>
      <c r="Q251" s="134"/>
      <c r="R251" s="147"/>
      <c r="S251" s="147"/>
      <c r="T251" s="216"/>
      <c r="U251" s="147">
        <f>U80*U$159</f>
        <v>0</v>
      </c>
      <c r="V251" s="147">
        <f>V80*V$159</f>
        <v>0</v>
      </c>
      <c r="W251" s="147">
        <f>W80*W$159</f>
        <v>0</v>
      </c>
      <c r="X251" s="147">
        <f>X80*X$159</f>
        <v>0</v>
      </c>
      <c r="Y251" s="147">
        <f>Y80*Y$159</f>
        <v>0</v>
      </c>
      <c r="Z251" s="147">
        <f>Z80*Z$159</f>
        <v>0</v>
      </c>
      <c r="AA251" s="147">
        <f>AA80*AA$159</f>
        <v>0</v>
      </c>
      <c r="AB251" s="147">
        <f>AB80*AB$159</f>
        <v>0</v>
      </c>
      <c r="AC251" s="147">
        <f>AC80*AC$159</f>
        <v>0</v>
      </c>
      <c r="AD251" s="147">
        <f>AD80*AD$159</f>
        <v>0</v>
      </c>
      <c r="AE251" s="147">
        <f>AE80*AE$159</f>
        <v>0</v>
      </c>
      <c r="AF251" s="147">
        <f>AF80*AF$159</f>
        <v>0</v>
      </c>
      <c r="AG251" s="147">
        <f>AG80*AG$159</f>
        <v>0</v>
      </c>
      <c r="AH251" s="147">
        <f>AH80*AH$159</f>
        <v>0</v>
      </c>
      <c r="AI251" s="147">
        <f>AI80*AI$159</f>
        <v>0</v>
      </c>
      <c r="AJ251" s="147">
        <f>AJ80*AJ$159</f>
        <v>0</v>
      </c>
      <c r="AK251" s="147">
        <f>AK80*AK$159</f>
        <v>0</v>
      </c>
      <c r="AL251" s="147">
        <f>AL80*AL$159</f>
        <v>0</v>
      </c>
      <c r="AM251" s="271"/>
      <c r="AN251" s="271"/>
      <c r="AO251" s="271"/>
      <c r="AP251" s="147">
        <f>AP80*AP$159</f>
        <v>0</v>
      </c>
      <c r="AQ251" s="271"/>
      <c r="AR251" s="271"/>
      <c r="AS251" s="147">
        <f>AS80*AS$159</f>
        <v>0</v>
      </c>
      <c r="AT251" s="147">
        <f>AT80*AT$159</f>
        <v>0</v>
      </c>
      <c r="AU251" s="147">
        <f>AU80*AU$159</f>
        <v>0</v>
      </c>
      <c r="AV251" s="147">
        <f>AV80*AV$159</f>
        <v>0</v>
      </c>
      <c r="AW251" s="147">
        <f>AW80*AW$159</f>
        <v>0</v>
      </c>
      <c r="AX251" s="147">
        <f>AX80*AX$159</f>
        <v>0</v>
      </c>
      <c r="AY251" s="147">
        <f>AY80*AY$159</f>
        <v>0</v>
      </c>
      <c r="AZ251" s="147">
        <f>AZ80*AZ$159</f>
        <v>0</v>
      </c>
      <c r="BA251" s="147">
        <f>BA80*BA$159</f>
        <v>0</v>
      </c>
      <c r="BB251" s="147">
        <f>BB80*BB$159</f>
        <v>0</v>
      </c>
      <c r="BC251" s="147">
        <f>BC80*BC$159</f>
        <v>0</v>
      </c>
      <c r="BD251" s="147">
        <f>BD80*BD$159</f>
        <v>0</v>
      </c>
      <c r="BE251" s="147">
        <f>BE80*BE$159</f>
        <v>0</v>
      </c>
      <c r="BF251" s="147">
        <f>BF80*BF$159</f>
        <v>0</v>
      </c>
      <c r="BG251" s="147">
        <f>BG80*BG$159</f>
        <v>0</v>
      </c>
      <c r="BH251" s="147">
        <f>BH80*BH$159</f>
        <v>0</v>
      </c>
      <c r="BI251" s="147">
        <f>BI80*BI$159</f>
        <v>0</v>
      </c>
      <c r="BJ251" s="134"/>
      <c r="BK251" s="134"/>
      <c r="BL251" s="147"/>
      <c r="BM251" s="147"/>
    </row>
    <row r="252" spans="2:65" ht="13.5" customHeight="1">
      <c r="B252" s="1" t="str">
        <f>B81</f>
        <v>Balancing figure</v>
      </c>
      <c r="C252" s="144">
        <f>C81*C$159</f>
        <v>-182.59345882246774</v>
      </c>
      <c r="D252" s="144">
        <f>D81*D$159</f>
        <v>-75.843139729311915</v>
      </c>
      <c r="E252" s="144">
        <f>E81*E$159</f>
        <v>-43.853257723560006</v>
      </c>
      <c r="F252" s="144">
        <f>F81*F$159</f>
        <v>448.09403063919677</v>
      </c>
      <c r="G252" s="144">
        <f>G81*G$159</f>
        <v>169.30781832011237</v>
      </c>
      <c r="H252" s="144">
        <f>H81*H$159</f>
        <v>256.73449797336809</v>
      </c>
      <c r="I252" s="144">
        <f>I81*I$159</f>
        <v>-154.21905110279644</v>
      </c>
      <c r="J252" s="144">
        <f>J81*J$159</f>
        <v>-86.954857406066154</v>
      </c>
      <c r="K252" s="144">
        <f>K81*K$159</f>
        <v>-56.119505251602973</v>
      </c>
      <c r="L252" s="144">
        <f>L81*L$159</f>
        <v>-32.240316550643833</v>
      </c>
      <c r="M252" s="144">
        <f>M81*M$159</f>
        <v>-39.862217186891812</v>
      </c>
      <c r="N252" s="144">
        <f>N81*N$159</f>
        <v>-24.399830080268789</v>
      </c>
      <c r="O252" s="144">
        <f>O81*O$159</f>
        <v>-51.40713577671994</v>
      </c>
      <c r="P252" s="144">
        <f>P81*P$159</f>
        <v>-42.076430928605816</v>
      </c>
      <c r="Q252" s="134"/>
      <c r="R252" s="144"/>
      <c r="S252" s="144"/>
      <c r="T252" s="216"/>
      <c r="U252" s="144">
        <f>U81*U$159</f>
        <v>-61.47271214642268</v>
      </c>
      <c r="V252" s="144">
        <f>V81*V$159</f>
        <v>-98.668531855955649</v>
      </c>
      <c r="W252" s="144">
        <f>W81*W$159</f>
        <v>-57.995245726495845</v>
      </c>
      <c r="X252" s="144">
        <f>X81*X$159</f>
        <v>159.20578964621629</v>
      </c>
      <c r="Y252" s="144">
        <f>Y81*Y$159</f>
        <v>206.3793526238353</v>
      </c>
      <c r="Z252" s="144">
        <f>Z81*Z$159</f>
        <v>159.35537634408612</v>
      </c>
      <c r="AA252" s="144">
        <f>AA81*AA$159</f>
        <v>-237.78097643097641</v>
      </c>
      <c r="AB252" s="144">
        <f>AB81*AB$159</f>
        <v>293.05821447437881</v>
      </c>
      <c r="AC252" s="144">
        <f>AC81*AC$159</f>
        <v>-138.51737739872073</v>
      </c>
      <c r="AD252" s="144">
        <f>AD81*AD$159</f>
        <v>126.14155911202879</v>
      </c>
      <c r="AE252" s="144">
        <f>AE81*AE$159</f>
        <v>-349.0249774109086</v>
      </c>
      <c r="AF252" s="144">
        <f>AF81*AF$159</f>
        <v>590.98788765842926</v>
      </c>
      <c r="AG252" s="144">
        <f>AG81*AG$159</f>
        <v>-6.3593002988716156</v>
      </c>
      <c r="AH252" s="144">
        <f>AH81*AH$159</f>
        <v>2.7104453660499317</v>
      </c>
      <c r="AI252" s="144">
        <f>AI81*AI$159</f>
        <v>-148.80137370342536</v>
      </c>
      <c r="AJ252" s="144">
        <f>AJ81*AJ$159</f>
        <v>-0.52073949529882968</v>
      </c>
      <c r="AK252" s="144">
        <f>AK81*AK$159</f>
        <v>-25.732639822193498</v>
      </c>
      <c r="AL252" s="144">
        <f>AL81*AL$159</f>
        <v>-7.5456179537556398</v>
      </c>
      <c r="AM252" s="281"/>
      <c r="AN252" s="281"/>
      <c r="AO252" s="281"/>
      <c r="AP252" s="144">
        <f>AP81*AP$159</f>
        <v>-46.755479452054836</v>
      </c>
      <c r="AQ252" s="281"/>
      <c r="AR252" s="281"/>
      <c r="AS252" s="144">
        <f>AS81*AS$159</f>
        <v>7.087731414947104</v>
      </c>
      <c r="AT252" s="144">
        <f>AT81*AT$159</f>
        <v>23.460435607952967</v>
      </c>
      <c r="AU252" s="144">
        <f>AU81*AU$160</f>
        <v>5.5264106000000863</v>
      </c>
      <c r="AV252" s="144">
        <f>AV81*AV$160</f>
        <v>-70.823933944562611</v>
      </c>
      <c r="AW252" s="144">
        <f>AW81*AW$160</f>
        <v>42.948732399999955</v>
      </c>
      <c r="AX252" s="144">
        <f>AX81*AX$159</f>
        <v>151.1033702142108</v>
      </c>
      <c r="AY252" s="144">
        <f>AY81*AY$160</f>
        <v>-131.62792646000014</v>
      </c>
      <c r="AZ252" s="144">
        <f>AZ81*AZ$160</f>
        <v>-109.5387420192155</v>
      </c>
      <c r="BA252" s="144">
        <f>BA81*BA$160</f>
        <v>4.3212644800000621</v>
      </c>
      <c r="BB252" s="144">
        <f>BB81*BB$159</f>
        <v>2.8969688418580826</v>
      </c>
      <c r="BC252" s="144">
        <f>BC81*BC$160</f>
        <v>-16.328479599248389</v>
      </c>
      <c r="BD252" s="144">
        <f>BD81*BD$160</f>
        <v>-11.682488133567944</v>
      </c>
      <c r="BE252" s="144">
        <f>BE81*BE$160</f>
        <v>-6.1057574521466256</v>
      </c>
      <c r="BF252" s="144">
        <f>BF81*BF$160</f>
        <v>-9.6998974280899404</v>
      </c>
      <c r="BG252" s="144">
        <f>BG81*BG$160</f>
        <v>-22.671517943261222</v>
      </c>
      <c r="BH252" s="144">
        <f>BH81*BH$160</f>
        <v>-14.667554550688779</v>
      </c>
      <c r="BI252" s="144">
        <f>BI81*BI$160</f>
        <v>4.8109567230528505</v>
      </c>
      <c r="BJ252" s="134"/>
      <c r="BK252" s="134"/>
      <c r="BL252" s="144"/>
      <c r="BM252" s="144"/>
    </row>
    <row r="253" spans="2:65" s="5" customFormat="1" ht="13.5" customHeight="1" thickBot="1">
      <c r="B253" s="65" t="str">
        <f>B82</f>
        <v xml:space="preserve">Net change in cash </v>
      </c>
      <c r="C253" s="146">
        <f>C82*C$159</f>
        <v>-176.57719988268298</v>
      </c>
      <c r="D253" s="146">
        <f>D82*D$159</f>
        <v>191.24838312774079</v>
      </c>
      <c r="E253" s="146">
        <f>E82*E$159</f>
        <v>-295.48914092146731</v>
      </c>
      <c r="F253" s="146">
        <f>F82*F$159</f>
        <v>437.98684627575278</v>
      </c>
      <c r="G253" s="146">
        <f>G82*G$159</f>
        <v>437.98684627575278</v>
      </c>
      <c r="H253" s="146">
        <f>H82*H$159</f>
        <v>257.79199584199586</v>
      </c>
      <c r="I253" s="146">
        <f>I82*I$159</f>
        <v>-168.01530601361833</v>
      </c>
      <c r="J253" s="146">
        <f>J82*J$159</f>
        <v>1074.7378703552381</v>
      </c>
      <c r="K253" s="146">
        <f>K82*K$159</f>
        <v>177.1601997685745</v>
      </c>
      <c r="L253" s="146">
        <f>L82*L$159</f>
        <v>-344.27833426024893</v>
      </c>
      <c r="M253" s="146">
        <f>M82*M$159</f>
        <v>-516.57179655382447</v>
      </c>
      <c r="N253" s="146">
        <f>N82*N$159</f>
        <v>94.676819597811317</v>
      </c>
      <c r="O253" s="146">
        <f>O82*O$159</f>
        <v>-244.87315862636837</v>
      </c>
      <c r="P253" s="146">
        <f>P82*P$159</f>
        <v>586.2182033439849</v>
      </c>
      <c r="Q253" s="136"/>
      <c r="R253" s="146"/>
      <c r="S253" s="146"/>
      <c r="T253" s="217"/>
      <c r="U253" s="146">
        <f>U82*U$159</f>
        <v>123.90504714364945</v>
      </c>
      <c r="V253" s="146">
        <f>V82*V$159</f>
        <v>-142.79889196675896</v>
      </c>
      <c r="W253" s="146">
        <f>W82*W$159</f>
        <v>238.19973290598293</v>
      </c>
      <c r="X253" s="146">
        <f>X82*X$159</f>
        <v>-485.59331265602509</v>
      </c>
      <c r="Y253" s="146">
        <f>Y82*Y$159</f>
        <v>125.27248651299657</v>
      </c>
      <c r="Z253" s="146">
        <f>Z82*Z$159</f>
        <v>598.14010752688171</v>
      </c>
      <c r="AA253" s="146">
        <f>AA82*AA$159</f>
        <v>-221.62946127946131</v>
      </c>
      <c r="AB253" s="146">
        <f>AB82*AB$159</f>
        <v>-76.026624405705775</v>
      </c>
      <c r="AC253" s="146">
        <f>AC82*AC$159</f>
        <v>41.703464818763322</v>
      </c>
      <c r="AD253" s="146">
        <f>AD82*AD$159</f>
        <v>202.38502839442435</v>
      </c>
      <c r="AE253" s="146">
        <f>AE82*AE$159</f>
        <v>-263.14604847207585</v>
      </c>
      <c r="AF253" s="146">
        <f>AF82*AF$159</f>
        <v>264.84493192133101</v>
      </c>
      <c r="AG253" s="146">
        <f>AG82*AG$159</f>
        <v>-5.7944328824141538</v>
      </c>
      <c r="AH253" s="146">
        <f>AH82*AH$159</f>
        <v>-6.7901673640167344</v>
      </c>
      <c r="AI253" s="146">
        <f>AI82*AI$159</f>
        <v>347.29649845520089</v>
      </c>
      <c r="AJ253" s="146">
        <f>AJ82*AJ$159</f>
        <v>-505.14382780082968</v>
      </c>
      <c r="AK253" s="146">
        <f>AK82*AK$159</f>
        <v>953.78962739174221</v>
      </c>
      <c r="AL253" s="146">
        <f>AL82*AL$159</f>
        <v>87.332705479452173</v>
      </c>
      <c r="AM253" s="282"/>
      <c r="AN253" s="282"/>
      <c r="AO253" s="282"/>
      <c r="AP253" s="146">
        <f>AP82*AP$159</f>
        <v>140.7699058219178</v>
      </c>
      <c r="AQ253" s="282"/>
      <c r="AR253" s="282"/>
      <c r="AS253" s="146">
        <f>AS82*AS$159</f>
        <v>105.37094676758316</v>
      </c>
      <c r="AT253" s="146">
        <f>AT82*AT$159</f>
        <v>-193.39159756219399</v>
      </c>
      <c r="AU253" s="146">
        <f>AU82*AU$160</f>
        <v>-315.44823254999994</v>
      </c>
      <c r="AV253" s="146">
        <f>AV82*AV$160</f>
        <v>54.894385259999851</v>
      </c>
      <c r="AW253" s="146">
        <f>AW82*AW$160</f>
        <v>48.276088440000017</v>
      </c>
      <c r="AX253" s="146">
        <f>AX82*AX$159</f>
        <v>-577.16992557797346</v>
      </c>
      <c r="AY253" s="146">
        <f>AY82*AY$160</f>
        <v>435.48439850000005</v>
      </c>
      <c r="AZ253" s="146">
        <f>AZ82*AZ$160</f>
        <v>-440.79470090000001</v>
      </c>
      <c r="BA253" s="146">
        <f>BA82*BA$160</f>
        <v>240.43135792000001</v>
      </c>
      <c r="BB253" s="146">
        <f>BB82*BB$159</f>
        <v>187.15429389999994</v>
      </c>
      <c r="BC253" s="146">
        <f>BC82*BC$160</f>
        <v>163.72216682999999</v>
      </c>
      <c r="BD253" s="146">
        <f>BD82*BD$160</f>
        <v>-418.55809641829632</v>
      </c>
      <c r="BE253" s="146">
        <f>BE82*BE$160</f>
        <v>-110.83380028000001</v>
      </c>
      <c r="BF253" s="146">
        <f>BF82*BF$160</f>
        <v>350.91775702913276</v>
      </c>
      <c r="BG253" s="146">
        <f>BG82*BG$160</f>
        <v>-122.15955392356858</v>
      </c>
      <c r="BH253" s="146">
        <f>BH82*BH$160</f>
        <v>-379.02358715810266</v>
      </c>
      <c r="BI253" s="146">
        <f>BI82*BI$160</f>
        <v>740.25436200457114</v>
      </c>
      <c r="BJ253" s="136"/>
      <c r="BK253" s="136"/>
      <c r="BL253" s="146"/>
      <c r="BM253" s="146"/>
    </row>
    <row r="254" spans="2:65" ht="13.5" customHeight="1" thickTop="1" thickBot="1">
      <c r="B254" s="105" t="str">
        <f>B83</f>
        <v>Cash and cash equivalents</v>
      </c>
      <c r="C254" s="148">
        <f>C83*C$160</f>
        <v>963.1264818902788</v>
      </c>
      <c r="D254" s="148">
        <f>D83*D$160</f>
        <v>929.24185627524491</v>
      </c>
      <c r="E254" s="148">
        <f>E83*E$160</f>
        <v>506.96864111498252</v>
      </c>
      <c r="F254" s="148">
        <f>F83*F$160</f>
        <v>950.7138297872342</v>
      </c>
      <c r="G254" s="148">
        <f>G83*G$160</f>
        <v>950.7138297872342</v>
      </c>
      <c r="H254" s="148">
        <f>H83*H$160</f>
        <v>1205.640701219512</v>
      </c>
      <c r="I254" s="148">
        <f>I83*I$160</f>
        <v>1087.0504509283819</v>
      </c>
      <c r="J254" s="148">
        <f>J83*J$159</f>
        <v>2031.9815155956107</v>
      </c>
      <c r="K254" s="148">
        <f t="shared" ref="K254:BI254" si="544">K83*K$159</f>
        <v>2231.5242814731619</v>
      </c>
      <c r="L254" s="148">
        <f t="shared" si="544"/>
        <v>1989.1643071933659</v>
      </c>
      <c r="M254" s="148">
        <f t="shared" si="544"/>
        <v>1740.7404085744088</v>
      </c>
      <c r="N254" s="148">
        <f t="shared" si="544"/>
        <v>1805.3043482961116</v>
      </c>
      <c r="O254" s="148">
        <f t="shared" si="544"/>
        <v>1458.5216730293212</v>
      </c>
      <c r="P254" s="148">
        <f t="shared" si="544"/>
        <v>2236.4839709182988</v>
      </c>
      <c r="Q254" s="136"/>
      <c r="R254" s="148">
        <f t="shared" si="544"/>
        <v>0</v>
      </c>
      <c r="S254" s="148">
        <f t="shared" si="544"/>
        <v>0</v>
      </c>
      <c r="T254" s="148">
        <f t="shared" si="544"/>
        <v>0</v>
      </c>
      <c r="U254" s="148">
        <f t="shared" si="544"/>
        <v>1010.7048252911815</v>
      </c>
      <c r="V254" s="148">
        <f t="shared" si="544"/>
        <v>866.78603878116348</v>
      </c>
      <c r="W254" s="148">
        <f t="shared" si="544"/>
        <v>1073.9629807692309</v>
      </c>
      <c r="X254" s="148">
        <f t="shared" si="544"/>
        <v>528.3304334669798</v>
      </c>
      <c r="Y254" s="148">
        <f t="shared" si="544"/>
        <v>639.05375183913725</v>
      </c>
      <c r="Z254" s="148">
        <f t="shared" si="544"/>
        <v>1298.6941935483874</v>
      </c>
      <c r="AA254" s="148">
        <f t="shared" si="544"/>
        <v>1133.909932659933</v>
      </c>
      <c r="AB254" s="148">
        <f t="shared" si="544"/>
        <v>991.39413629160026</v>
      </c>
      <c r="AC254" s="148">
        <f t="shared" si="544"/>
        <v>1042.0814498933898</v>
      </c>
      <c r="AD254" s="148">
        <f t="shared" si="544"/>
        <v>1211.6492514197207</v>
      </c>
      <c r="AE254" s="148">
        <f t="shared" si="544"/>
        <v>973.40010537407773</v>
      </c>
      <c r="AF254" s="148">
        <f t="shared" si="544"/>
        <v>1196.5208774583959</v>
      </c>
      <c r="AG254" s="148">
        <f t="shared" si="544"/>
        <v>1228.6890738813736</v>
      </c>
      <c r="AH254" s="148">
        <f t="shared" si="544"/>
        <v>1228.3251046025102</v>
      </c>
      <c r="AI254" s="148">
        <f t="shared" si="544"/>
        <v>1556.6464469618948</v>
      </c>
      <c r="AJ254" s="148">
        <f t="shared" si="544"/>
        <v>1062.8060684647305</v>
      </c>
      <c r="AK254" s="148">
        <f t="shared" si="544"/>
        <v>1985.5570493454179</v>
      </c>
      <c r="AL254" s="148">
        <f t="shared" si="544"/>
        <v>1775.3961900684933</v>
      </c>
      <c r="AM254" s="148">
        <f t="shared" si="544"/>
        <v>2625.8254183627319</v>
      </c>
      <c r="AN254" s="148">
        <f t="shared" si="544"/>
        <v>2108.4453708191954</v>
      </c>
      <c r="AO254" s="148">
        <f t="shared" si="544"/>
        <v>2348.2807015690341</v>
      </c>
      <c r="AP254" s="148">
        <f t="shared" si="544"/>
        <v>2002.8087756849316</v>
      </c>
      <c r="AQ254" s="148">
        <f t="shared" si="544"/>
        <v>2503.1498137489966</v>
      </c>
      <c r="AR254" s="148">
        <f t="shared" si="544"/>
        <v>2251.0760905144157</v>
      </c>
      <c r="AS254" s="148">
        <f t="shared" si="544"/>
        <v>2372.8022990823174</v>
      </c>
      <c r="AT254" s="148">
        <f t="shared" si="544"/>
        <v>2276.5554380070403</v>
      </c>
      <c r="AU254" s="148">
        <f t="shared" si="544"/>
        <v>1936.3757341888515</v>
      </c>
      <c r="AV254" s="148">
        <f t="shared" si="544"/>
        <v>2022.4386438369252</v>
      </c>
      <c r="AW254" s="148">
        <f t="shared" si="544"/>
        <v>2119.2265826129642</v>
      </c>
      <c r="AX254" s="148">
        <f t="shared" si="544"/>
        <v>1751.5449786355014</v>
      </c>
      <c r="AY254" s="148">
        <f t="shared" si="544"/>
        <v>2256.733576449999</v>
      </c>
      <c r="AZ254" s="148">
        <f t="shared" si="544"/>
        <v>1786.8820526783106</v>
      </c>
      <c r="BA254" s="148">
        <f t="shared" si="544"/>
        <v>2089.0830588899989</v>
      </c>
      <c r="BB254" s="148">
        <f t="shared" si="544"/>
        <v>2220.8649113699989</v>
      </c>
      <c r="BC254" s="148">
        <f t="shared" si="544"/>
        <v>2192.0869182599995</v>
      </c>
      <c r="BD254" s="148">
        <f t="shared" si="544"/>
        <v>1633.3867182244446</v>
      </c>
      <c r="BE254" s="148">
        <f t="shared" si="544"/>
        <v>1477.4063161646977</v>
      </c>
      <c r="BF254" s="148">
        <f t="shared" si="544"/>
        <v>1900.34280335163</v>
      </c>
      <c r="BG254" s="148">
        <f t="shared" si="544"/>
        <v>1871.3769180725087</v>
      </c>
      <c r="BH254" s="148">
        <f t="shared" si="544"/>
        <v>1533.5035842293901</v>
      </c>
      <c r="BI254" s="148">
        <f t="shared" si="544"/>
        <v>2353.7506333221372</v>
      </c>
      <c r="BJ254" s="136"/>
      <c r="BK254" s="136"/>
      <c r="BL254" s="148"/>
      <c r="BM254" s="148"/>
    </row>
    <row r="255" spans="2:65" ht="13.5" customHeight="1" thickTop="1"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220"/>
      <c r="U255" s="49"/>
      <c r="V255" s="49"/>
      <c r="W255" s="49"/>
      <c r="X255" s="49"/>
      <c r="Y255" s="49"/>
      <c r="Z255" s="49"/>
      <c r="AA255" s="49"/>
      <c r="AB255" s="49"/>
      <c r="AC255" s="49"/>
      <c r="AD255" s="49"/>
      <c r="AE255" s="49"/>
      <c r="AF255" s="49"/>
      <c r="AG255" s="49"/>
      <c r="AH255" s="49"/>
      <c r="AI255" s="49"/>
      <c r="AJ255" s="49"/>
      <c r="AK255" s="49"/>
      <c r="AL255" s="49"/>
      <c r="AM255" s="49"/>
      <c r="AN255" s="49"/>
      <c r="AO255" s="49"/>
      <c r="AP255" s="49"/>
      <c r="AQ255" s="49"/>
      <c r="AR255" s="49"/>
      <c r="AS255" s="49"/>
      <c r="AT255" s="49"/>
      <c r="AU255" s="49"/>
      <c r="AV255" s="49"/>
      <c r="AW255" s="49"/>
      <c r="AX255" s="49"/>
      <c r="AY255" s="49"/>
      <c r="AZ255" s="49"/>
      <c r="BA255" s="49"/>
      <c r="BB255" s="49"/>
      <c r="BC255" s="49"/>
      <c r="BD255" s="49"/>
      <c r="BE255" s="49"/>
      <c r="BF255" s="49"/>
      <c r="BG255" s="49"/>
      <c r="BH255" s="49"/>
      <c r="BI255" s="49"/>
      <c r="BJ255" s="49"/>
      <c r="BK255" s="49"/>
      <c r="BL255" s="49"/>
      <c r="BM255" s="49"/>
    </row>
    <row r="256" spans="2:65" s="5" customFormat="1" ht="13.5" customHeight="1">
      <c r="B256" s="5" t="s">
        <v>368</v>
      </c>
      <c r="C256" s="253">
        <f>C144*C$160</f>
        <v>3944.4481607837015</v>
      </c>
      <c r="D256" s="253">
        <f>D144*D$160</f>
        <v>2948.9437131316654</v>
      </c>
      <c r="E256" s="253">
        <f>E144*E$160</f>
        <v>3795.6349206349205</v>
      </c>
      <c r="F256" s="253">
        <f>F144*F$160</f>
        <v>3272.1884498480244</v>
      </c>
      <c r="G256" s="253">
        <f>G144*G$160</f>
        <v>3272.1884498480244</v>
      </c>
      <c r="H256" s="253">
        <f>H144*H$160</f>
        <v>2951.1178861788617</v>
      </c>
      <c r="I256" s="253">
        <f>I144*I$160</f>
        <v>2698.6259416445623</v>
      </c>
      <c r="J256" s="253">
        <f>J144*J$160</f>
        <v>2270.0250626566417</v>
      </c>
      <c r="K256" s="253">
        <f>K144*K$160</f>
        <v>1956.7119604197574</v>
      </c>
      <c r="L256" s="253">
        <f>L144*L$160</f>
        <v>2077.436225648381</v>
      </c>
      <c r="M256" s="253">
        <f>M144*M$160</f>
        <v>2160.1575000000003</v>
      </c>
      <c r="N256" s="253">
        <f>N144*N$160</f>
        <v>2118.2822038742152</v>
      </c>
      <c r="O256" s="253">
        <f>O144*O$160</f>
        <v>3032.4956344098191</v>
      </c>
      <c r="P256" s="253">
        <f>P144*P$160</f>
        <v>2763.3341697466108</v>
      </c>
      <c r="Q256" s="49"/>
      <c r="R256" s="253"/>
      <c r="S256" s="253"/>
      <c r="T256" s="255"/>
      <c r="U256" s="253">
        <f>U144*U$160</f>
        <v>2854.5402298850577</v>
      </c>
      <c r="V256" s="253">
        <f>V144*V$160</f>
        <v>2947.0650449497616</v>
      </c>
      <c r="W256" s="253">
        <f>W144*W$160</f>
        <v>2737.4871794871792</v>
      </c>
      <c r="X256" s="253">
        <f>X144*X$160</f>
        <v>3795.6349206349205</v>
      </c>
      <c r="Y256" s="253">
        <f>Y144*Y$160</f>
        <v>3637.3205741626798</v>
      </c>
      <c r="Z256" s="253">
        <f>Z144*Z$160</f>
        <v>3544.1340782122907</v>
      </c>
      <c r="AA256" s="253">
        <f>AA144*AA$160</f>
        <v>3212.032967032967</v>
      </c>
      <c r="AB256" s="253">
        <f>AB144*AB$160</f>
        <v>3272.1884498480244</v>
      </c>
      <c r="AC256" s="253">
        <f>AC144*AC$160</f>
        <v>3225.0272628135222</v>
      </c>
      <c r="AD256" s="253">
        <f>AD144*AD$160</f>
        <v>3514.1787512588116</v>
      </c>
      <c r="AE256" s="253">
        <f>AE144*AE$160</f>
        <v>3800.4317916002133</v>
      </c>
      <c r="AF256" s="253">
        <f>AF144*AF$160</f>
        <v>2951.1178861788617</v>
      </c>
      <c r="AG256" s="253">
        <f>AG144*AG$160</f>
        <v>2797.6571723426218</v>
      </c>
      <c r="AH256" s="253">
        <f>AH144*AH$160</f>
        <v>2799.5004694835675</v>
      </c>
      <c r="AI256" s="253">
        <f>AI144*AI$160</f>
        <v>2428.0197318701821</v>
      </c>
      <c r="AJ256" s="253">
        <f>AJ144*AJ$160</f>
        <v>2698.6259416445623</v>
      </c>
      <c r="AK256" s="253">
        <f>AK144*AK$160</f>
        <v>2275.8331348362399</v>
      </c>
      <c r="AL256" s="253">
        <f>AL144*AL$160</f>
        <v>2225.6310404875926</v>
      </c>
      <c r="AM256" s="253">
        <f>AM144*AM$160</f>
        <v>2063.5351736420303</v>
      </c>
      <c r="AN256" s="253">
        <f>AN144*AN$160</f>
        <v>2270.0250626566417</v>
      </c>
      <c r="AO256" s="253">
        <f>AO144*AO$160</f>
        <v>2043.2405326600265</v>
      </c>
      <c r="AP256" s="253">
        <f>AP144*AP$160</f>
        <v>1698.7253707427362</v>
      </c>
      <c r="AQ256" s="253">
        <f>AQ144*AQ$160</f>
        <v>1807.0853297219394</v>
      </c>
      <c r="AR256" s="253">
        <f>AR144*AR$160</f>
        <v>1956.7119604197574</v>
      </c>
      <c r="AS256" s="253">
        <f>AS144*AS$160</f>
        <v>1843.6347350888407</v>
      </c>
      <c r="AT256" s="253">
        <f>AT144*AT$160</f>
        <v>1854.1187611623905</v>
      </c>
      <c r="AU256" s="253">
        <f>AU144*AU$160</f>
        <v>1825.96705</v>
      </c>
      <c r="AV256" s="253">
        <f>AV144*AV$160</f>
        <v>2077.436225648381</v>
      </c>
      <c r="AW256" s="253">
        <f>AW144*AW$160</f>
        <v>2331.2195015599996</v>
      </c>
      <c r="AX256" s="253">
        <f>AX144*AX$160</f>
        <v>2746.1267507040525</v>
      </c>
      <c r="AY256" s="253">
        <f>AY144*AY$160</f>
        <v>1711.1043406429546</v>
      </c>
      <c r="AZ256" s="253">
        <f>AZ144*AZ$160</f>
        <v>2160.1575000000003</v>
      </c>
      <c r="BA256" s="253">
        <f>BA144*BA$160</f>
        <v>1930.5507083199998</v>
      </c>
      <c r="BB256" s="253">
        <f>BB144*BB$160</f>
        <v>1808.3870989532572</v>
      </c>
      <c r="BC256" s="253">
        <f>BC144*BC$160</f>
        <v>1697.5816192739821</v>
      </c>
      <c r="BD256" s="253">
        <f>BD144*BD$160</f>
        <v>2118.2822038742152</v>
      </c>
      <c r="BE256" s="253">
        <f>BE144*BE$160</f>
        <v>2298.8501607348535</v>
      </c>
      <c r="BF256" s="253">
        <f>BF144*BF$160</f>
        <v>2506.8974448577146</v>
      </c>
      <c r="BG256" s="253">
        <f>BG144*BG$160</f>
        <v>2481.9219912743438</v>
      </c>
      <c r="BH256" s="253">
        <f>BH144*BH$160</f>
        <v>3032.4956344098191</v>
      </c>
      <c r="BI256" s="253">
        <f>BI144*BI$160</f>
        <v>2763.3341697466108</v>
      </c>
      <c r="BJ256" s="253"/>
      <c r="BK256" s="253"/>
      <c r="BL256" s="253"/>
      <c r="BM256" s="253"/>
    </row>
    <row r="257" spans="2:65" ht="13.5" customHeight="1">
      <c r="B257" s="1" t="s">
        <v>369</v>
      </c>
      <c r="C257" s="64">
        <f>C145*C$160</f>
        <v>4907.5746426739806</v>
      </c>
      <c r="D257" s="64">
        <f>D145*D$160</f>
        <v>3878.1855694069104</v>
      </c>
      <c r="E257" s="64">
        <f>E145*E$160</f>
        <v>4302.6035617499028</v>
      </c>
      <c r="F257" s="64">
        <f>F145*F$160</f>
        <v>4222.8976697061807</v>
      </c>
      <c r="G257" s="64">
        <f>G145*G$160</f>
        <v>4222.8976697061807</v>
      </c>
      <c r="H257" s="64">
        <f>H145*H$160</f>
        <v>4156.7581300813008</v>
      </c>
      <c r="I257" s="64">
        <f>I145*I$160</f>
        <v>3785.6763925729438</v>
      </c>
      <c r="J257" s="64">
        <f>J145*J$160</f>
        <v>4450.3258145363416</v>
      </c>
      <c r="K257" s="64">
        <f>K145*K$160</f>
        <v>4265.6577937583597</v>
      </c>
      <c r="L257" s="64">
        <f>L145*L$160</f>
        <v>4142.0391012475247</v>
      </c>
      <c r="M257" s="64">
        <f>M145*M$160</f>
        <v>3989.5915</v>
      </c>
      <c r="N257" s="64">
        <f>N145*N$160</f>
        <v>3692.7045058286139</v>
      </c>
      <c r="O257" s="64">
        <f>O145*O$160</f>
        <v>4590.9135825793992</v>
      </c>
      <c r="P257" s="64">
        <f>P145*P$160</f>
        <v>5068.1570974427686</v>
      </c>
      <c r="Q257" s="49"/>
      <c r="R257" s="64"/>
      <c r="S257" s="64"/>
      <c r="T257" s="104"/>
      <c r="U257" s="64">
        <f>U145*U$160</f>
        <v>3901.8390804597707</v>
      </c>
      <c r="V257" s="64">
        <f>V145*V$160</f>
        <v>3774.4579587519829</v>
      </c>
      <c r="W257" s="64">
        <f>W145*W$160</f>
        <v>3768.5128205128203</v>
      </c>
      <c r="X257" s="64">
        <f>X145*X$160</f>
        <v>4302.6035617499028</v>
      </c>
      <c r="Y257" s="64">
        <f>Y145*Y$160</f>
        <v>4330.0372142477408</v>
      </c>
      <c r="Z257" s="64">
        <f>Z145*Z$160</f>
        <v>4893.5754189944137</v>
      </c>
      <c r="AA257" s="64">
        <f>AA145*AA$160</f>
        <v>4322.2527472527472</v>
      </c>
      <c r="AB257" s="64">
        <f>AB145*AB$160</f>
        <v>4222.8976697061807</v>
      </c>
      <c r="AC257" s="64">
        <f>AC145*AC$160</f>
        <v>4290.9487459105776</v>
      </c>
      <c r="AD257" s="64">
        <f>AD145*AD$160</f>
        <v>4695.9214501510578</v>
      </c>
      <c r="AE257" s="64">
        <f>AE145*AE$160</f>
        <v>4782.6156299840513</v>
      </c>
      <c r="AF257" s="64">
        <f>AF145*AF$160</f>
        <v>4156.7581300813008</v>
      </c>
      <c r="AG257" s="64">
        <f>AG145*AG$160</f>
        <v>4016.202270381837</v>
      </c>
      <c r="AH257" s="64">
        <f>AH145*AH$160</f>
        <v>4024.6218049034942</v>
      </c>
      <c r="AI257" s="64">
        <f>AI145*AI$160</f>
        <v>3967.229202338614</v>
      </c>
      <c r="AJ257" s="64">
        <f>AJ145*AJ$160</f>
        <v>3785.6763925729438</v>
      </c>
      <c r="AK257" s="64">
        <f>AK145*AK$160</f>
        <v>3953.1263292216076</v>
      </c>
      <c r="AL257" s="64">
        <f>AL145*AL$160</f>
        <v>4031.1710927296472</v>
      </c>
      <c r="AM257" s="64">
        <f>AM145*AM$160</f>
        <v>4648.4416740872657</v>
      </c>
      <c r="AN257" s="64">
        <f>AN145*AN$160</f>
        <v>4450.3258145363416</v>
      </c>
      <c r="AO257" s="64">
        <f>AO145*AO$160</f>
        <v>4412.9489844037244</v>
      </c>
      <c r="AP257" s="64">
        <f>AP145*AP$160</f>
        <v>3735.5391713522267</v>
      </c>
      <c r="AQ257" s="64">
        <f>AQ145*AQ$160</f>
        <v>4273.2609955573616</v>
      </c>
      <c r="AR257" s="64">
        <f>AR145*AR$160</f>
        <v>4265.6577937583597</v>
      </c>
      <c r="AS257" s="64">
        <f>AS145*AS$160</f>
        <v>4331.6207661767157</v>
      </c>
      <c r="AT257" s="64">
        <f>AT145*AT$160</f>
        <v>4120.1466443121562</v>
      </c>
      <c r="AU257" s="64">
        <f>AU145*AU$160</f>
        <v>3768.5747999999999</v>
      </c>
      <c r="AV257" s="64">
        <f>AV145*AV$160</f>
        <v>4142.0391012475247</v>
      </c>
      <c r="AW257" s="64">
        <f>AW145*AW$160</f>
        <v>4614.0677109999997</v>
      </c>
      <c r="AX257" s="64">
        <f>AX145*AX$160</f>
        <v>4553.5637061394764</v>
      </c>
      <c r="AY257" s="64">
        <f>AY145*AY$160</f>
        <v>3921.2000206541552</v>
      </c>
      <c r="AZ257" s="64">
        <f>AZ145*AZ$160</f>
        <v>3989.5915</v>
      </c>
      <c r="BA257" s="64">
        <f>BA145*BA$160</f>
        <v>4044.5163199999997</v>
      </c>
      <c r="BB257" s="64">
        <f>BB145*BB$160</f>
        <v>3894.5381653345457</v>
      </c>
      <c r="BC257" s="64">
        <f>BC145*BC$160</f>
        <v>3805.852226590152</v>
      </c>
      <c r="BD257" s="64">
        <f>BD145*BD$160</f>
        <v>3692.7045058286139</v>
      </c>
      <c r="BE257" s="64">
        <f>BE145*BE$160</f>
        <v>3788.2855400000003</v>
      </c>
      <c r="BF257" s="64">
        <f>BF145*BF$160</f>
        <v>4472.6480047213754</v>
      </c>
      <c r="BG257" s="64">
        <f>BG145*BG$160</f>
        <v>4380.0825107125647</v>
      </c>
      <c r="BH257" s="64">
        <f>BH145*BH$160</f>
        <v>4590.9135825793992</v>
      </c>
      <c r="BI257" s="64">
        <f>BI145*BI$160</f>
        <v>5068.1570974427686</v>
      </c>
      <c r="BJ257" s="64"/>
      <c r="BK257" s="64"/>
      <c r="BL257" s="64"/>
      <c r="BM257" s="64"/>
    </row>
    <row r="258" spans="2:65" ht="13.5" customHeight="1"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220"/>
      <c r="U258" s="49"/>
      <c r="V258" s="49"/>
      <c r="W258" s="49"/>
      <c r="X258" s="49"/>
      <c r="Y258" s="49"/>
      <c r="Z258" s="49"/>
      <c r="AA258" s="49"/>
      <c r="AB258" s="49"/>
      <c r="AC258" s="49"/>
      <c r="AD258" s="49"/>
      <c r="AE258" s="49"/>
      <c r="AF258" s="49"/>
      <c r="AG258" s="49"/>
      <c r="AH258" s="49"/>
      <c r="AI258" s="49"/>
      <c r="AJ258" s="49"/>
      <c r="AK258" s="49"/>
      <c r="AL258" s="49"/>
      <c r="AM258" s="49"/>
      <c r="AN258" s="49"/>
      <c r="AO258" s="49"/>
      <c r="AP258" s="49"/>
      <c r="AQ258" s="49"/>
      <c r="AR258" s="49"/>
      <c r="AS258" s="49"/>
      <c r="AT258" s="49"/>
      <c r="AU258" s="49"/>
      <c r="AV258" s="49"/>
      <c r="AW258" s="49"/>
      <c r="AX258" s="49"/>
      <c r="AY258" s="49"/>
      <c r="AZ258" s="49"/>
      <c r="BA258" s="49"/>
      <c r="BB258" s="49"/>
      <c r="BC258" s="49"/>
      <c r="BD258" s="49"/>
      <c r="BE258" s="49"/>
      <c r="BF258" s="49"/>
      <c r="BG258" s="49"/>
      <c r="BH258" s="49"/>
      <c r="BI258" s="49"/>
      <c r="BJ258" s="49"/>
      <c r="BK258" s="49"/>
      <c r="BL258" s="49"/>
      <c r="BM258" s="49"/>
    </row>
    <row r="259" spans="2:65" s="5" customFormat="1" ht="13.5" customHeight="1">
      <c r="B259" s="5" t="s">
        <v>361</v>
      </c>
      <c r="C259" s="256">
        <f>C200*C$160</f>
        <v>4503.385585063289</v>
      </c>
      <c r="D259" s="256">
        <f t="shared" ref="D259:AF259" si="545">D200*D$160</f>
        <v>3434.3416732048936</v>
      </c>
      <c r="E259" s="256">
        <f t="shared" si="545"/>
        <v>4272.5996902826164</v>
      </c>
      <c r="F259" s="256">
        <f t="shared" si="545"/>
        <v>3771.4792299898686</v>
      </c>
      <c r="G259" s="256">
        <f t="shared" si="545"/>
        <v>3847.6697061803447</v>
      </c>
      <c r="H259" s="256">
        <f t="shared" si="545"/>
        <v>3383.231707317073</v>
      </c>
      <c r="I259" s="274"/>
      <c r="J259" s="363"/>
      <c r="K259" s="363"/>
      <c r="L259" s="363"/>
      <c r="M259" s="363"/>
      <c r="N259" s="363"/>
      <c r="O259" s="363"/>
      <c r="P259" s="363"/>
      <c r="Q259" s="49"/>
      <c r="R259" s="363"/>
      <c r="S259" s="363"/>
      <c r="T259" s="364"/>
      <c r="U259" s="363">
        <f t="shared" si="545"/>
        <v>3420.977011494253</v>
      </c>
      <c r="V259" s="363">
        <f t="shared" si="545"/>
        <v>3468.2707562136434</v>
      </c>
      <c r="W259" s="363">
        <f t="shared" si="545"/>
        <v>3242.9230769230767</v>
      </c>
      <c r="X259" s="363">
        <f t="shared" si="545"/>
        <v>4272.5996902826164</v>
      </c>
      <c r="Y259" s="363">
        <f t="shared" si="545"/>
        <v>4161.2971823498146</v>
      </c>
      <c r="Z259" s="363">
        <f t="shared" si="545"/>
        <v>4094.7486033519554</v>
      </c>
      <c r="AA259" s="363">
        <f t="shared" si="545"/>
        <v>3753.5714285714284</v>
      </c>
      <c r="AB259" s="363">
        <f t="shared" si="545"/>
        <v>3771.4792299898686</v>
      </c>
      <c r="AC259" s="363">
        <f t="shared" si="545"/>
        <v>3744.0021810250819</v>
      </c>
      <c r="AD259" s="363">
        <f t="shared" si="545"/>
        <v>3976.4144008056396</v>
      </c>
      <c r="AE259" s="363">
        <f t="shared" si="545"/>
        <v>4270.5009037745886</v>
      </c>
      <c r="AF259" s="363">
        <f t="shared" si="545"/>
        <v>3383.231707317073</v>
      </c>
      <c r="AG259" s="363"/>
      <c r="AH259" s="363"/>
      <c r="AI259" s="363"/>
      <c r="AJ259" s="363"/>
      <c r="AK259" s="363"/>
      <c r="AL259" s="363"/>
      <c r="AM259" s="363"/>
      <c r="AN259" s="363"/>
      <c r="AO259" s="363"/>
      <c r="AP259" s="363"/>
      <c r="AQ259" s="363"/>
      <c r="AR259" s="363"/>
      <c r="AS259" s="363"/>
      <c r="AT259" s="363"/>
      <c r="AU259" s="363"/>
      <c r="AV259" s="363"/>
      <c r="AW259" s="363"/>
      <c r="AX259" s="363"/>
      <c r="AY259" s="363"/>
      <c r="AZ259" s="363"/>
      <c r="BA259" s="363"/>
      <c r="BB259" s="363"/>
      <c r="BC259" s="363"/>
      <c r="BD259" s="363"/>
      <c r="BE259" s="363"/>
      <c r="BF259" s="363"/>
      <c r="BG259" s="363"/>
      <c r="BH259" s="363"/>
      <c r="BI259" s="363"/>
      <c r="BJ259" s="256"/>
      <c r="BK259" s="256"/>
      <c r="BL259" s="257"/>
      <c r="BM259" s="257"/>
    </row>
    <row r="260" spans="2:65" ht="13.5" customHeight="1">
      <c r="B260" s="1" t="s">
        <v>362</v>
      </c>
      <c r="C260" s="251">
        <f>C201*C$160</f>
        <v>5466.5120669535681</v>
      </c>
      <c r="D260" s="251">
        <f t="shared" ref="D260:AF260" si="546">D201*D$160</f>
        <v>4363.5835294801391</v>
      </c>
      <c r="E260" s="251">
        <f t="shared" si="546"/>
        <v>4779.5683313975996</v>
      </c>
      <c r="F260" s="251">
        <f t="shared" si="546"/>
        <v>4722.1884498480249</v>
      </c>
      <c r="G260" s="251">
        <f t="shared" si="546"/>
        <v>4798.378926038501</v>
      </c>
      <c r="H260" s="251">
        <f t="shared" si="546"/>
        <v>4588.8719512195121</v>
      </c>
      <c r="I260" s="275"/>
      <c r="J260" s="365"/>
      <c r="K260" s="365"/>
      <c r="L260" s="365"/>
      <c r="M260" s="365"/>
      <c r="N260" s="365"/>
      <c r="O260" s="365"/>
      <c r="P260" s="365"/>
      <c r="Q260" s="49"/>
      <c r="R260" s="365"/>
      <c r="S260" s="365"/>
      <c r="T260" s="366"/>
      <c r="U260" s="365">
        <f t="shared" si="546"/>
        <v>4468.2758620689656</v>
      </c>
      <c r="V260" s="365">
        <f t="shared" si="546"/>
        <v>4295.6636700158642</v>
      </c>
      <c r="W260" s="365">
        <f t="shared" si="546"/>
        <v>4273.9487179487178</v>
      </c>
      <c r="X260" s="365">
        <f t="shared" si="546"/>
        <v>4779.5683313975996</v>
      </c>
      <c r="Y260" s="365">
        <f t="shared" si="546"/>
        <v>4854.0138224348757</v>
      </c>
      <c r="Z260" s="365">
        <f t="shared" si="546"/>
        <v>5444.1899441340784</v>
      </c>
      <c r="AA260" s="365">
        <f t="shared" si="546"/>
        <v>4863.7912087912091</v>
      </c>
      <c r="AB260" s="365">
        <f t="shared" si="546"/>
        <v>4722.1884498480249</v>
      </c>
      <c r="AC260" s="365">
        <f t="shared" si="546"/>
        <v>4809.9236641221369</v>
      </c>
      <c r="AD260" s="365">
        <f t="shared" si="546"/>
        <v>5158.1570996978853</v>
      </c>
      <c r="AE260" s="365">
        <f t="shared" si="546"/>
        <v>5252.6847421584271</v>
      </c>
      <c r="AF260" s="365">
        <f t="shared" si="546"/>
        <v>4588.8719512195121</v>
      </c>
      <c r="AG260" s="365"/>
      <c r="AH260" s="365"/>
      <c r="AI260" s="365"/>
      <c r="AJ260" s="365"/>
      <c r="AK260" s="365"/>
      <c r="AL260" s="365"/>
      <c r="AM260" s="365"/>
      <c r="AN260" s="365"/>
      <c r="AO260" s="365"/>
      <c r="AP260" s="365"/>
      <c r="AQ260" s="365"/>
      <c r="AR260" s="365"/>
      <c r="AS260" s="365"/>
      <c r="AT260" s="365"/>
      <c r="AU260" s="365"/>
      <c r="AV260" s="365"/>
      <c r="AW260" s="365"/>
      <c r="AX260" s="365"/>
      <c r="AY260" s="365"/>
      <c r="AZ260" s="365"/>
      <c r="BA260" s="365"/>
      <c r="BB260" s="365"/>
      <c r="BC260" s="365"/>
      <c r="BD260" s="365"/>
      <c r="BE260" s="365"/>
      <c r="BF260" s="365"/>
      <c r="BG260" s="365"/>
      <c r="BH260" s="365"/>
      <c r="BI260" s="365"/>
      <c r="BJ260" s="251"/>
      <c r="BK260" s="251"/>
      <c r="BL260" s="49"/>
      <c r="BM260" s="49"/>
    </row>
    <row r="261" spans="2:65" ht="13.5" customHeight="1"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220"/>
      <c r="U261" s="49"/>
      <c r="V261" s="49"/>
      <c r="W261" s="49"/>
      <c r="X261" s="49"/>
      <c r="Y261" s="49"/>
      <c r="Z261" s="49"/>
      <c r="AA261" s="49"/>
      <c r="AB261" s="49"/>
      <c r="AC261" s="49"/>
      <c r="AD261" s="49"/>
      <c r="AE261" s="49"/>
      <c r="AF261" s="49"/>
      <c r="AG261" s="49"/>
      <c r="AH261" s="49"/>
      <c r="AI261" s="49"/>
      <c r="AJ261" s="49"/>
      <c r="AK261" s="49"/>
      <c r="AL261" s="49"/>
      <c r="AM261" s="49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/>
      <c r="AY261" s="49"/>
      <c r="AZ261" s="49"/>
      <c r="BA261" s="49"/>
      <c r="BB261" s="49"/>
      <c r="BC261" s="49"/>
      <c r="BD261" s="49"/>
      <c r="BE261" s="49"/>
      <c r="BF261" s="49"/>
      <c r="BG261" s="49"/>
      <c r="BH261" s="49"/>
      <c r="BI261" s="49"/>
      <c r="BJ261" s="49"/>
      <c r="BK261" s="49"/>
      <c r="BL261" s="49"/>
      <c r="BM261" s="49"/>
    </row>
    <row r="262" spans="2:65" s="5" customFormat="1" ht="13.5" customHeight="1">
      <c r="B262" s="5" t="s">
        <v>332</v>
      </c>
      <c r="C262" s="256">
        <f>C234</f>
        <v>2082.5280320064976</v>
      </c>
      <c r="D262" s="256">
        <f t="shared" ref="D262:P262" si="547">D234</f>
        <v>1879.5469602801527</v>
      </c>
      <c r="E262" s="256">
        <f t="shared" si="547"/>
        <v>1746.5643290525911</v>
      </c>
      <c r="F262" s="256">
        <f t="shared" si="547"/>
        <v>2089.0240887480195</v>
      </c>
      <c r="G262" s="256">
        <f t="shared" si="547"/>
        <v>1917.1445852720692</v>
      </c>
      <c r="H262" s="256">
        <f t="shared" si="547"/>
        <v>1842.8138908000208</v>
      </c>
      <c r="I262" s="256">
        <f t="shared" si="547"/>
        <v>1928.8096905779116</v>
      </c>
      <c r="J262" s="256">
        <f t="shared" si="547"/>
        <v>1744.6093210975062</v>
      </c>
      <c r="K262" s="256">
        <f t="shared" si="547"/>
        <v>1834.8532518483198</v>
      </c>
      <c r="L262" s="256">
        <f t="shared" si="547"/>
        <v>2123.6904527223583</v>
      </c>
      <c r="M262" s="256">
        <f t="shared" si="547"/>
        <v>2601.4545754048086</v>
      </c>
      <c r="N262" s="256">
        <f t="shared" si="547"/>
        <v>3095.5072884979859</v>
      </c>
      <c r="O262" s="256">
        <f t="shared" si="547"/>
        <v>3071.6960357344569</v>
      </c>
      <c r="P262" s="256">
        <f t="shared" si="547"/>
        <v>3203.8056774827055</v>
      </c>
      <c r="Q262" s="257"/>
      <c r="R262" s="256"/>
      <c r="S262" s="256"/>
      <c r="T262" s="441"/>
      <c r="U262" s="256"/>
      <c r="V262" s="256"/>
      <c r="W262" s="256"/>
      <c r="X262" s="256">
        <f t="shared" ref="X262:BI262" si="548">SUM(U230:X230)</f>
        <v>1740.3477492468576</v>
      </c>
      <c r="Y262" s="256">
        <f t="shared" si="548"/>
        <v>1803.3379380145834</v>
      </c>
      <c r="Z262" s="256">
        <f t="shared" si="548"/>
        <v>1855.9989091818902</v>
      </c>
      <c r="AA262" s="256">
        <f t="shared" si="548"/>
        <v>1939.5448671590982</v>
      </c>
      <c r="AB262" s="256">
        <f t="shared" si="548"/>
        <v>2093.2801781041762</v>
      </c>
      <c r="AC262" s="256">
        <f t="shared" si="548"/>
        <v>2119.6878861135583</v>
      </c>
      <c r="AD262" s="256">
        <f t="shared" si="548"/>
        <v>2116.3608412709073</v>
      </c>
      <c r="AE262" s="256">
        <f t="shared" si="548"/>
        <v>2062.4758042416647</v>
      </c>
      <c r="AF262" s="256">
        <f t="shared" si="548"/>
        <v>1843.5934855517976</v>
      </c>
      <c r="AG262" s="256">
        <f t="shared" si="548"/>
        <v>1823.8800830646146</v>
      </c>
      <c r="AH262" s="256">
        <f t="shared" si="548"/>
        <v>1812.9634517858281</v>
      </c>
      <c r="AI262" s="256">
        <f t="shared" si="548"/>
        <v>1884.0698686214064</v>
      </c>
      <c r="AJ262" s="256">
        <f t="shared" si="548"/>
        <v>1928.3499324212739</v>
      </c>
      <c r="AK262" s="256">
        <f t="shared" si="548"/>
        <v>1941.5148697892375</v>
      </c>
      <c r="AL262" s="256">
        <f t="shared" si="548"/>
        <v>1813.3244145456797</v>
      </c>
      <c r="AM262" s="256">
        <f t="shared" si="548"/>
        <v>1750.5032734448068</v>
      </c>
      <c r="AN262" s="256">
        <f t="shared" si="548"/>
        <v>1748.0751675959809</v>
      </c>
      <c r="AO262" s="256">
        <f t="shared" si="548"/>
        <v>1717.6303629310853</v>
      </c>
      <c r="AP262" s="256">
        <f t="shared" si="548"/>
        <v>1794.0763973745898</v>
      </c>
      <c r="AQ262" s="256">
        <f t="shared" si="548"/>
        <v>1804.1673491849804</v>
      </c>
      <c r="AR262" s="256">
        <f t="shared" si="548"/>
        <v>1831.7476286845763</v>
      </c>
      <c r="AS262" s="256">
        <f t="shared" si="548"/>
        <v>1876.2688169231033</v>
      </c>
      <c r="AT262" s="256">
        <f t="shared" si="548"/>
        <v>1977.7600818052574</v>
      </c>
      <c r="AU262" s="256">
        <f t="shared" si="548"/>
        <v>2036.8111053634782</v>
      </c>
      <c r="AV262" s="256">
        <f t="shared" si="548"/>
        <v>2125.8823269278728</v>
      </c>
      <c r="AW262" s="256">
        <f t="shared" si="548"/>
        <v>2196.2018239921572</v>
      </c>
      <c r="AX262" s="256">
        <f t="shared" si="548"/>
        <v>2313.7154496574094</v>
      </c>
      <c r="AY262" s="256">
        <f t="shared" si="548"/>
        <v>2481.5438096574094</v>
      </c>
      <c r="AZ262" s="256">
        <f t="shared" si="548"/>
        <v>2608.3626027646642</v>
      </c>
      <c r="BA262" s="256">
        <f t="shared" si="548"/>
        <v>2778.4245325764591</v>
      </c>
      <c r="BB262" s="256">
        <f t="shared" si="548"/>
        <v>2938.937028412126</v>
      </c>
      <c r="BC262" s="256">
        <f t="shared" si="548"/>
        <v>2985.9588944479037</v>
      </c>
      <c r="BD262" s="256">
        <f t="shared" si="548"/>
        <v>3073.6878952095576</v>
      </c>
      <c r="BE262" s="256">
        <f t="shared" si="548"/>
        <v>3003.5498263266304</v>
      </c>
      <c r="BF262" s="256">
        <f t="shared" si="548"/>
        <v>2880.6857983322352</v>
      </c>
      <c r="BG262" s="256">
        <f t="shared" si="548"/>
        <v>2915.9304686931964</v>
      </c>
      <c r="BH262" s="256">
        <f>SUM(BE230:BH230)</f>
        <v>3086.3090580068647</v>
      </c>
      <c r="BI262" s="256">
        <f t="shared" si="548"/>
        <v>3205.8074315516783</v>
      </c>
      <c r="BJ262" s="256"/>
      <c r="BK262" s="256"/>
      <c r="BL262" s="257"/>
      <c r="BM262" s="257"/>
    </row>
    <row r="263" spans="2:65" ht="13.5" customHeight="1">
      <c r="B263" s="1" t="s">
        <v>333</v>
      </c>
      <c r="C263" s="251">
        <f t="shared" ref="C263:H263" si="549">C204*C$159</f>
        <v>2153.2190745489688</v>
      </c>
      <c r="D263" s="251">
        <f t="shared" si="549"/>
        <v>1945.4207022746632</v>
      </c>
      <c r="E263" s="251">
        <f t="shared" si="549"/>
        <v>1812.5978174645713</v>
      </c>
      <c r="F263" s="251">
        <f t="shared" si="549"/>
        <v>2154.1059693608036</v>
      </c>
      <c r="G263" s="251">
        <f t="shared" si="549"/>
        <v>1992.1577918225182</v>
      </c>
      <c r="H263" s="251">
        <f t="shared" si="549"/>
        <v>1898.063371049501</v>
      </c>
      <c r="I263" s="275"/>
      <c r="J263" s="365"/>
      <c r="K263" s="365"/>
      <c r="L263" s="365"/>
      <c r="M263" s="365"/>
      <c r="N263" s="365"/>
      <c r="O263" s="365"/>
      <c r="P263" s="365"/>
      <c r="Q263" s="49"/>
      <c r="R263" s="365"/>
      <c r="S263" s="365"/>
      <c r="T263" s="366"/>
      <c r="U263" s="365"/>
      <c r="V263" s="365"/>
      <c r="W263" s="365"/>
      <c r="X263" s="365">
        <f>X204*AVERAGE(U$159:X$159)</f>
        <v>1815.3167671636129</v>
      </c>
      <c r="Y263" s="365">
        <f t="shared" ref="Y263:AF263" si="550">Y204*AVERAGE(V$159:Y$159)</f>
        <v>1873.9714644468054</v>
      </c>
      <c r="Z263" s="365">
        <f t="shared" si="550"/>
        <v>1922.3895097630088</v>
      </c>
      <c r="AA263" s="365">
        <f t="shared" si="550"/>
        <v>2005.7308438461448</v>
      </c>
      <c r="AB263" s="365">
        <f t="shared" si="550"/>
        <v>2158.6445470227864</v>
      </c>
      <c r="AC263" s="365">
        <f t="shared" si="550"/>
        <v>2188.0316654650196</v>
      </c>
      <c r="AD263" s="365">
        <f t="shared" si="550"/>
        <v>2181.0320565907095</v>
      </c>
      <c r="AE263" s="365">
        <f t="shared" si="550"/>
        <v>2120.6191516305239</v>
      </c>
      <c r="AF263" s="365">
        <f t="shared" si="550"/>
        <v>1899.4018260425894</v>
      </c>
      <c r="AG263" s="365"/>
      <c r="AH263" s="365"/>
      <c r="AI263" s="365"/>
      <c r="AJ263" s="365"/>
      <c r="AK263" s="365"/>
      <c r="AL263" s="365"/>
      <c r="AM263" s="365"/>
      <c r="AN263" s="365"/>
      <c r="AO263" s="365"/>
      <c r="AP263" s="365"/>
      <c r="AQ263" s="365"/>
      <c r="AR263" s="365"/>
      <c r="AS263" s="365"/>
      <c r="AT263" s="365"/>
      <c r="AU263" s="365"/>
      <c r="AV263" s="365"/>
      <c r="AW263" s="365"/>
      <c r="AX263" s="365"/>
      <c r="AY263" s="365"/>
      <c r="AZ263" s="365"/>
      <c r="BA263" s="365"/>
      <c r="BB263" s="365"/>
      <c r="BC263" s="365"/>
      <c r="BD263" s="365"/>
      <c r="BE263" s="365"/>
      <c r="BF263" s="365"/>
      <c r="BG263" s="365"/>
      <c r="BH263" s="365"/>
      <c r="BI263" s="365"/>
      <c r="BJ263" s="251"/>
      <c r="BK263" s="251"/>
      <c r="BL263" s="49"/>
      <c r="BM263" s="49"/>
    </row>
    <row r="264" spans="2:65" ht="13.5" customHeight="1"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220"/>
      <c r="U264" s="49"/>
      <c r="V264" s="49"/>
      <c r="W264" s="49"/>
      <c r="X264" s="49"/>
      <c r="Y264" s="49"/>
      <c r="Z264" s="49"/>
      <c r="AA264" s="49"/>
      <c r="AB264" s="49"/>
      <c r="AC264" s="49"/>
      <c r="AD264" s="49"/>
      <c r="AE264" s="49"/>
      <c r="AF264" s="49"/>
      <c r="AG264" s="49"/>
      <c r="AH264" s="49"/>
      <c r="AI264" s="49"/>
      <c r="AJ264" s="49"/>
      <c r="AK264" s="49"/>
      <c r="AL264" s="49"/>
      <c r="AM264" s="49"/>
      <c r="AN264" s="49"/>
      <c r="AO264" s="49"/>
      <c r="AP264" s="49"/>
      <c r="AQ264" s="49"/>
      <c r="AR264" s="49"/>
      <c r="AS264" s="49"/>
      <c r="AT264" s="49"/>
      <c r="AU264" s="49"/>
      <c r="AV264" s="49"/>
      <c r="AW264" s="49"/>
      <c r="AX264" s="49"/>
      <c r="AY264" s="49"/>
      <c r="AZ264" s="49"/>
      <c r="BA264" s="49"/>
      <c r="BB264" s="49"/>
      <c r="BC264" s="49"/>
      <c r="BD264" s="49"/>
      <c r="BE264" s="49"/>
      <c r="BF264" s="49"/>
      <c r="BG264" s="49"/>
      <c r="BH264" s="49"/>
      <c r="BI264" s="49"/>
      <c r="BJ264" s="49"/>
      <c r="BK264" s="49"/>
      <c r="BL264" s="49"/>
      <c r="BM264" s="49"/>
    </row>
    <row r="265" spans="2:65" s="5" customFormat="1" ht="13.5" customHeight="1">
      <c r="B265" s="5" t="str">
        <f>+B147</f>
        <v>Total Net Leverage</v>
      </c>
      <c r="C265" s="50">
        <f>C256/C262</f>
        <v>1.8940672587169258</v>
      </c>
      <c r="D265" s="50">
        <f t="shared" ref="D265:H265" si="551">D256/D262</f>
        <v>1.5689651684425674</v>
      </c>
      <c r="E265" s="50">
        <f t="shared" si="551"/>
        <v>2.1732007561919175</v>
      </c>
      <c r="F265" s="50">
        <f t="shared" si="551"/>
        <v>1.5663718132657301</v>
      </c>
      <c r="G265" s="50">
        <f t="shared" si="551"/>
        <v>1.7068031670567276</v>
      </c>
      <c r="H265" s="50">
        <f t="shared" si="551"/>
        <v>1.6014193841884341</v>
      </c>
      <c r="I265" s="50">
        <f t="shared" ref="I265:N265" si="552">I256/I262</f>
        <v>1.3991146741055607</v>
      </c>
      <c r="J265" s="50">
        <f t="shared" si="552"/>
        <v>1.3011652724798035</v>
      </c>
      <c r="K265" s="50">
        <f t="shared" si="552"/>
        <v>1.0664133267598837</v>
      </c>
      <c r="L265" s="50">
        <f t="shared" si="552"/>
        <v>0.97821988274483029</v>
      </c>
      <c r="M265" s="50">
        <f t="shared" si="552"/>
        <v>0.83036525812251072</v>
      </c>
      <c r="N265" s="50">
        <f t="shared" si="552"/>
        <v>0.68430858222984714</v>
      </c>
      <c r="O265" s="50">
        <f t="shared" ref="O265" si="553">O256/O262</f>
        <v>0.98723818995479973</v>
      </c>
      <c r="P265" s="50">
        <f t="shared" ref="P265" si="554">P256/P262</f>
        <v>0.86251615981835017</v>
      </c>
      <c r="Q265" s="49"/>
      <c r="R265" s="50"/>
      <c r="S265" s="50"/>
      <c r="T265" s="102"/>
      <c r="U265" s="50"/>
      <c r="V265" s="50"/>
      <c r="W265" s="50"/>
      <c r="X265" s="50">
        <f t="shared" ref="X265:AG265" si="555">X256/X262</f>
        <v>2.1809635012758206</v>
      </c>
      <c r="Y265" s="50">
        <f t="shared" si="555"/>
        <v>2.0169933197142473</v>
      </c>
      <c r="Z265" s="50">
        <f t="shared" si="555"/>
        <v>1.9095561213311905</v>
      </c>
      <c r="AA265" s="50">
        <f t="shared" si="555"/>
        <v>1.656075619296044</v>
      </c>
      <c r="AB265" s="50">
        <f t="shared" si="555"/>
        <v>1.5631870420764944</v>
      </c>
      <c r="AC265" s="50">
        <f t="shared" si="555"/>
        <v>1.5214632701074686</v>
      </c>
      <c r="AD265" s="50">
        <f t="shared" si="555"/>
        <v>1.6604818435161053</v>
      </c>
      <c r="AE265" s="50">
        <f t="shared" si="555"/>
        <v>1.8426552126256646</v>
      </c>
      <c r="AF265" s="50">
        <f t="shared" si="555"/>
        <v>1.6007421968599418</v>
      </c>
      <c r="AG265" s="50">
        <f t="shared" si="555"/>
        <v>1.5339041192016292</v>
      </c>
      <c r="AH265" s="50">
        <f t="shared" ref="AH265:AM265" si="556">AH256/AH262</f>
        <v>1.5441571459843653</v>
      </c>
      <c r="AI265" s="50">
        <f t="shared" si="556"/>
        <v>1.2887100273233443</v>
      </c>
      <c r="AJ265" s="50">
        <f t="shared" si="556"/>
        <v>1.3994482517268609</v>
      </c>
      <c r="AK265" s="50">
        <f t="shared" si="556"/>
        <v>1.172194542647667</v>
      </c>
      <c r="AL265" s="50">
        <f t="shared" si="556"/>
        <v>1.2273760958792443</v>
      </c>
      <c r="AM265" s="50">
        <f t="shared" si="556"/>
        <v>1.178823944488381</v>
      </c>
      <c r="AN265" s="50">
        <f t="shared" ref="AN265:AS265" si="557">AN256/AN262</f>
        <v>1.2985854983447114</v>
      </c>
      <c r="AO265" s="50">
        <f t="shared" si="557"/>
        <v>1.1895694072229237</v>
      </c>
      <c r="AP265" s="50">
        <f t="shared" si="557"/>
        <v>0.94685230418760979</v>
      </c>
      <c r="AQ265" s="50">
        <f t="shared" si="557"/>
        <v>1.0016173558058665</v>
      </c>
      <c r="AR265" s="50">
        <f t="shared" si="557"/>
        <v>1.0682213694606615</v>
      </c>
      <c r="AS265" s="50">
        <f t="shared" si="557"/>
        <v>0.9826069262890702</v>
      </c>
      <c r="AT265" s="50">
        <f>AT256/AT262</f>
        <v>0.93748416616336505</v>
      </c>
      <c r="AU265" s="50">
        <f>AU256/AU262</f>
        <v>0.89648325521779193</v>
      </c>
      <c r="AV265" s="50">
        <f t="shared" ref="AV265:AW265" si="558">AV256/AV262</f>
        <v>0.9772112968503287</v>
      </c>
      <c r="AW265" s="50">
        <f t="shared" si="558"/>
        <v>1.0614778095951187</v>
      </c>
      <c r="AX265" s="50">
        <f>AX256/AX262</f>
        <v>1.1868904411346997</v>
      </c>
      <c r="AY265" s="50">
        <f>AY256/AY262</f>
        <v>0.68953219120446718</v>
      </c>
      <c r="AZ265" s="50">
        <f t="shared" ref="AZ265:BA265" si="559">AZ256/AZ262</f>
        <v>0.82816610608908403</v>
      </c>
      <c r="BA265" s="50">
        <f t="shared" si="559"/>
        <v>0.69483647501837387</v>
      </c>
      <c r="BB265" s="50">
        <f>BB256/BB262</f>
        <v>0.61532012474942621</v>
      </c>
      <c r="BC265" s="50">
        <f>BC256/BC262</f>
        <v>0.5685214295583465</v>
      </c>
      <c r="BD265" s="50">
        <f t="shared" ref="BD265:BE265" si="560">BD256/BD262</f>
        <v>0.68916632920851417</v>
      </c>
      <c r="BE265" s="50">
        <f t="shared" si="560"/>
        <v>0.76537773423468347</v>
      </c>
      <c r="BF265" s="50">
        <f t="shared" ref="BF265" si="561">BF256/BF262</f>
        <v>0.87024327551067027</v>
      </c>
      <c r="BG265" s="50">
        <f>BG256/BG262</f>
        <v>0.85115952452276478</v>
      </c>
      <c r="BH265" s="50">
        <f t="shared" ref="BH265:BI265" si="562">BH256/BH262</f>
        <v>0.98256382540256737</v>
      </c>
      <c r="BI265" s="50">
        <f t="shared" si="562"/>
        <v>0.86197759183841527</v>
      </c>
      <c r="BJ265" s="50"/>
      <c r="BK265" s="50"/>
      <c r="BL265" s="50"/>
      <c r="BM265" s="50"/>
    </row>
    <row r="266" spans="2:65" ht="12.75">
      <c r="B266" s="1" t="str">
        <f>+B148</f>
        <v xml:space="preserve">Total Gross Leverage </v>
      </c>
      <c r="C266" s="51">
        <f>C257/C262</f>
        <v>2.356546738987026</v>
      </c>
      <c r="D266" s="51">
        <f t="shared" ref="D266:H266" si="563">D257/D262</f>
        <v>2.0633618905849813</v>
      </c>
      <c r="E266" s="51">
        <f t="shared" si="563"/>
        <v>2.4634669849714688</v>
      </c>
      <c r="F266" s="51">
        <f t="shared" si="563"/>
        <v>2.021469112037392</v>
      </c>
      <c r="G266" s="51">
        <f t="shared" si="563"/>
        <v>2.2027017169948575</v>
      </c>
      <c r="H266" s="51">
        <f t="shared" si="563"/>
        <v>2.2556581274068472</v>
      </c>
      <c r="I266" s="51">
        <f t="shared" ref="I266:N266" si="564">I257/I262</f>
        <v>1.9627008362025993</v>
      </c>
      <c r="J266" s="51">
        <f t="shared" si="564"/>
        <v>2.5509010875493385</v>
      </c>
      <c r="K266" s="51">
        <f t="shared" si="564"/>
        <v>2.3247950698299142</v>
      </c>
      <c r="L266" s="51">
        <f t="shared" si="564"/>
        <v>1.9503968179250633</v>
      </c>
      <c r="M266" s="51">
        <f t="shared" si="564"/>
        <v>1.5336002933586437</v>
      </c>
      <c r="N266" s="51">
        <f t="shared" si="564"/>
        <v>1.1929238608320003</v>
      </c>
      <c r="O266" s="51">
        <f t="shared" ref="O266" si="565">O257/O262</f>
        <v>1.4945858995067167</v>
      </c>
      <c r="P266" s="51">
        <f t="shared" ref="P266" si="566">P257/P262</f>
        <v>1.5819177589525097</v>
      </c>
      <c r="Q266" s="49"/>
      <c r="R266" s="51"/>
      <c r="S266" s="51"/>
      <c r="T266" s="103"/>
      <c r="U266" s="51"/>
      <c r="V266" s="51"/>
      <c r="W266" s="51"/>
      <c r="X266" s="51">
        <f t="shared" ref="X266:AG266" si="567">X257/X262</f>
        <v>2.4722665706390412</v>
      </c>
      <c r="Y266" s="51">
        <f t="shared" si="567"/>
        <v>2.40112356257251</v>
      </c>
      <c r="Z266" s="51">
        <f t="shared" si="567"/>
        <v>2.6366262365700761</v>
      </c>
      <c r="AA266" s="51">
        <f t="shared" si="567"/>
        <v>2.228488147110339</v>
      </c>
      <c r="AB266" s="51">
        <f t="shared" si="567"/>
        <v>2.0173590300419018</v>
      </c>
      <c r="AC266" s="51">
        <f t="shared" si="567"/>
        <v>2.0243304563947007</v>
      </c>
      <c r="AD266" s="51">
        <f t="shared" si="567"/>
        <v>2.2188661586325158</v>
      </c>
      <c r="AE266" s="51">
        <f t="shared" si="567"/>
        <v>2.3188711451296435</v>
      </c>
      <c r="AF266" s="51">
        <f t="shared" si="567"/>
        <v>2.2547042841373246</v>
      </c>
      <c r="AG266" s="51">
        <f t="shared" si="567"/>
        <v>2.2020100486176291</v>
      </c>
      <c r="AH266" s="51">
        <f t="shared" ref="AH266:AM266" si="568">AH257/AH262</f>
        <v>2.2199133694278892</v>
      </c>
      <c r="AI266" s="51">
        <f t="shared" si="568"/>
        <v>2.1056698949500618</v>
      </c>
      <c r="AJ266" s="51">
        <f t="shared" si="568"/>
        <v>1.9631687843189198</v>
      </c>
      <c r="AK266" s="51">
        <f t="shared" si="568"/>
        <v>2.0361040704523381</v>
      </c>
      <c r="AL266" s="51">
        <f t="shared" si="568"/>
        <v>2.223083227906375</v>
      </c>
      <c r="AM266" s="51">
        <f t="shared" si="568"/>
        <v>2.6554887069360458</v>
      </c>
      <c r="AN266" s="51">
        <f t="shared" ref="AN266:AS266" si="569">AN257/AN262</f>
        <v>2.5458435066362721</v>
      </c>
      <c r="AO266" s="51">
        <f t="shared" si="569"/>
        <v>2.5692076011471743</v>
      </c>
      <c r="AP266" s="51">
        <f t="shared" si="569"/>
        <v>2.0821516724810207</v>
      </c>
      <c r="AQ266" s="51">
        <f t="shared" si="569"/>
        <v>2.3685502331520278</v>
      </c>
      <c r="AR266" s="51">
        <f t="shared" si="569"/>
        <v>2.328736626683467</v>
      </c>
      <c r="AS266" s="51">
        <f t="shared" si="569"/>
        <v>2.3086354828836035</v>
      </c>
      <c r="AT266" s="51">
        <f>AT257/AT262</f>
        <v>2.0832388529913972</v>
      </c>
      <c r="AU266" s="51">
        <f>AU257/AU262</f>
        <v>1.8502328419539329</v>
      </c>
      <c r="AV266" s="51">
        <f t="shared" ref="AV266:AW266" si="570">AV257/AV262</f>
        <v>1.9483858766694835</v>
      </c>
      <c r="AW266" s="51">
        <f t="shared" si="570"/>
        <v>2.1009306433471373</v>
      </c>
      <c r="AX266" s="51">
        <f>AX257/AX262</f>
        <v>1.9680742101686359</v>
      </c>
      <c r="AY266" s="51">
        <f>AY257/AY262</f>
        <v>1.5801453939253638</v>
      </c>
      <c r="AZ266" s="51">
        <f t="shared" ref="AZ266:BA266" si="571">AZ257/AZ262</f>
        <v>1.5295386829159945</v>
      </c>
      <c r="BA266" s="51">
        <f t="shared" si="571"/>
        <v>1.4556869450938377</v>
      </c>
      <c r="BB266" s="51">
        <f>BB257/BB262</f>
        <v>1.325151960618469</v>
      </c>
      <c r="BC266" s="51">
        <f>BC257/BC262</f>
        <v>1.2745829266661235</v>
      </c>
      <c r="BD266" s="51">
        <f t="shared" ref="BD266:BE266" si="572">BD257/BD262</f>
        <v>1.2013921490154591</v>
      </c>
      <c r="BE266" s="51">
        <f t="shared" si="572"/>
        <v>1.2612694175388823</v>
      </c>
      <c r="BF266" s="51">
        <f t="shared" ref="BF266" si="573">BF257/BF262</f>
        <v>1.5526330595689408</v>
      </c>
      <c r="BG266" s="51">
        <f>BG257/BG262</f>
        <v>1.5021217267486981</v>
      </c>
      <c r="BH266" s="51">
        <f t="shared" ref="BH266:BI266" si="574">BH257/BH262</f>
        <v>1.4875093505846775</v>
      </c>
      <c r="BI266" s="51">
        <f t="shared" si="574"/>
        <v>1.5809299858630854</v>
      </c>
      <c r="BJ266" s="51"/>
      <c r="BK266" s="51"/>
      <c r="BL266" s="51"/>
      <c r="BM266" s="51"/>
    </row>
    <row r="267" spans="2:65" ht="12.75"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49"/>
      <c r="R267" s="51"/>
      <c r="S267" s="51"/>
      <c r="T267" s="103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  <c r="BA267" s="51"/>
      <c r="BB267" s="51"/>
      <c r="BC267" s="51"/>
      <c r="BD267" s="51"/>
      <c r="BE267" s="51"/>
      <c r="BF267" s="51"/>
      <c r="BG267" s="51"/>
      <c r="BH267" s="51"/>
      <c r="BI267" s="51"/>
      <c r="BJ267" s="51"/>
      <c r="BK267" s="51"/>
      <c r="BL267" s="51"/>
      <c r="BM267" s="51"/>
    </row>
    <row r="268" spans="2:65" s="5" customFormat="1" ht="12.75" hidden="1" outlineLevel="1">
      <c r="B268" s="5" t="str">
        <f>B150</f>
        <v>Lease adjusted net leverage</v>
      </c>
      <c r="C268" s="50">
        <f t="shared" ref="C268:H268" si="575">C259/C263</f>
        <v>2.0914665109060513</v>
      </c>
      <c r="D268" s="50">
        <f t="shared" si="575"/>
        <v>1.7653465233454773</v>
      </c>
      <c r="E268" s="50">
        <f t="shared" si="575"/>
        <v>2.3571691685357155</v>
      </c>
      <c r="F268" s="50">
        <f t="shared" si="575"/>
        <v>1.7508327276531315</v>
      </c>
      <c r="G268" s="50">
        <f t="shared" si="575"/>
        <v>1.9314081053089265</v>
      </c>
      <c r="H268" s="50">
        <f t="shared" si="575"/>
        <v>1.7824650951703336</v>
      </c>
      <c r="I268" s="272"/>
      <c r="J268" s="272"/>
      <c r="K268" s="272"/>
      <c r="L268" s="359"/>
      <c r="M268" s="359"/>
      <c r="N268" s="359"/>
      <c r="O268" s="359"/>
      <c r="P268" s="359"/>
      <c r="Q268" s="49"/>
      <c r="R268" s="359"/>
      <c r="S268" s="359"/>
      <c r="T268" s="360"/>
      <c r="U268" s="359"/>
      <c r="V268" s="359"/>
      <c r="W268" s="359"/>
      <c r="X268" s="359">
        <f t="shared" ref="X268:AF268" si="576">X259/X263</f>
        <v>2.3536386417883679</v>
      </c>
      <c r="Y268" s="359">
        <f t="shared" si="576"/>
        <v>2.2205765996432745</v>
      </c>
      <c r="Z268" s="359">
        <f t="shared" si="576"/>
        <v>2.1300306636903952</v>
      </c>
      <c r="AA268" s="359">
        <f t="shared" si="576"/>
        <v>1.8714232969433044</v>
      </c>
      <c r="AB268" s="359">
        <f t="shared" si="576"/>
        <v>1.7471515795370349</v>
      </c>
      <c r="AC268" s="359">
        <f t="shared" si="576"/>
        <v>1.7111279695439754</v>
      </c>
      <c r="AD268" s="359">
        <f t="shared" si="576"/>
        <v>1.8231801723361143</v>
      </c>
      <c r="AE268" s="359">
        <f t="shared" si="576"/>
        <v>2.0137990833908299</v>
      </c>
      <c r="AF268" s="359">
        <f t="shared" si="576"/>
        <v>1.7812090421993794</v>
      </c>
      <c r="AG268" s="359"/>
      <c r="AH268" s="359"/>
      <c r="AI268" s="359"/>
      <c r="AJ268" s="359"/>
      <c r="AK268" s="359"/>
      <c r="AL268" s="359"/>
      <c r="AM268" s="359"/>
      <c r="AN268" s="359"/>
      <c r="AO268" s="359"/>
      <c r="AP268" s="359"/>
      <c r="AQ268" s="359"/>
      <c r="AR268" s="359"/>
      <c r="AS268" s="359"/>
      <c r="AT268" s="359"/>
      <c r="AU268" s="359"/>
      <c r="AV268" s="359"/>
      <c r="AW268" s="359"/>
      <c r="AX268" s="359"/>
      <c r="AY268" s="359"/>
      <c r="AZ268" s="359"/>
      <c r="BA268" s="359"/>
      <c r="BB268" s="359"/>
      <c r="BC268" s="359"/>
      <c r="BD268" s="359"/>
      <c r="BE268" s="359"/>
      <c r="BF268" s="359"/>
      <c r="BG268" s="359"/>
      <c r="BH268" s="359"/>
      <c r="BI268" s="359"/>
      <c r="BJ268" s="50"/>
      <c r="BK268" s="50"/>
      <c r="BL268" s="50"/>
      <c r="BM268" s="50"/>
    </row>
    <row r="269" spans="2:65" ht="12.75" hidden="1" outlineLevel="1">
      <c r="B269" s="1" t="str">
        <f>B151</f>
        <v>Lease adjusted gross leverage</v>
      </c>
      <c r="C269" s="51">
        <f t="shared" ref="C269:H269" si="577">C260/C263</f>
        <v>2.5387626050538445</v>
      </c>
      <c r="D269" s="51">
        <f t="shared" si="577"/>
        <v>2.2430025157941742</v>
      </c>
      <c r="E269" s="51">
        <f t="shared" si="577"/>
        <v>2.636860910537326</v>
      </c>
      <c r="F269" s="51">
        <f t="shared" si="577"/>
        <v>2.1921801977315249</v>
      </c>
      <c r="G269" s="51">
        <f t="shared" si="577"/>
        <v>2.4086339675175639</v>
      </c>
      <c r="H269" s="51">
        <f t="shared" si="577"/>
        <v>2.4176600324372601</v>
      </c>
      <c r="I269" s="273"/>
      <c r="J269" s="273"/>
      <c r="K269" s="273"/>
      <c r="L269" s="361"/>
      <c r="M269" s="361"/>
      <c r="N269" s="361"/>
      <c r="O269" s="361"/>
      <c r="P269" s="361"/>
      <c r="Q269" s="49"/>
      <c r="R269" s="361"/>
      <c r="S269" s="361"/>
      <c r="T269" s="362"/>
      <c r="U269" s="361"/>
      <c r="V269" s="361"/>
      <c r="W269" s="361"/>
      <c r="X269" s="361">
        <f t="shared" ref="X269:AF269" si="578">X260/X263</f>
        <v>2.6329114663913757</v>
      </c>
      <c r="Y269" s="361">
        <f t="shared" si="578"/>
        <v>2.5902282476151663</v>
      </c>
      <c r="Z269" s="361">
        <f t="shared" si="578"/>
        <v>2.8319910801038626</v>
      </c>
      <c r="AA269" s="361">
        <f t="shared" si="578"/>
        <v>2.4249471077906501</v>
      </c>
      <c r="AB269" s="361">
        <f t="shared" si="578"/>
        <v>2.1875711109366716</v>
      </c>
      <c r="AC269" s="361">
        <f t="shared" si="578"/>
        <v>2.1982879590089888</v>
      </c>
      <c r="AD269" s="361">
        <f t="shared" si="578"/>
        <v>2.3650074670433239</v>
      </c>
      <c r="AE269" s="361">
        <f t="shared" si="578"/>
        <v>2.4769580799643762</v>
      </c>
      <c r="AF269" s="361">
        <f t="shared" si="578"/>
        <v>2.4159563754766116</v>
      </c>
      <c r="AG269" s="361"/>
      <c r="AH269" s="361"/>
      <c r="AI269" s="361"/>
      <c r="AJ269" s="361"/>
      <c r="AK269" s="361"/>
      <c r="AL269" s="361"/>
      <c r="AM269" s="361"/>
      <c r="AN269" s="361"/>
      <c r="AO269" s="361"/>
      <c r="AP269" s="361"/>
      <c r="AQ269" s="361"/>
      <c r="AR269" s="361"/>
      <c r="AS269" s="361"/>
      <c r="AT269" s="361"/>
      <c r="AU269" s="361"/>
      <c r="AV269" s="361"/>
      <c r="AW269" s="361"/>
      <c r="AX269" s="361"/>
      <c r="AY269" s="361"/>
      <c r="AZ269" s="361"/>
      <c r="BA269" s="361"/>
      <c r="BB269" s="361"/>
      <c r="BC269" s="361"/>
      <c r="BD269" s="361"/>
      <c r="BE269" s="361"/>
      <c r="BF269" s="361"/>
      <c r="BG269" s="361"/>
      <c r="BH269" s="361"/>
      <c r="BI269" s="361"/>
      <c r="BJ269" s="51"/>
      <c r="BK269" s="51"/>
      <c r="BL269" s="51"/>
      <c r="BM269" s="51"/>
    </row>
    <row r="270" spans="2:65" ht="12.75" hidden="1" outlineLevel="1"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103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  <c r="BA270" s="51"/>
      <c r="BB270" s="51"/>
      <c r="BC270" s="51"/>
      <c r="BD270" s="51"/>
      <c r="BE270" s="51"/>
      <c r="BF270" s="51"/>
      <c r="BG270" s="51"/>
      <c r="BH270" s="51"/>
      <c r="BI270" s="51"/>
      <c r="BJ270" s="51"/>
      <c r="BK270" s="51"/>
      <c r="BL270" s="51"/>
      <c r="BM270" s="51"/>
    </row>
    <row r="271" spans="2:65" s="5" customFormat="1" ht="12.75" collapsed="1">
      <c r="B271" s="5" t="str">
        <f>B153</f>
        <v>Adjusted EBITDA - Capex / Interest</v>
      </c>
      <c r="C271" s="50">
        <f t="shared" ref="C271:O271" si="579">(C262+C240)/-C237</f>
        <v>5.3353236957888122</v>
      </c>
      <c r="D271" s="50">
        <f t="shared" si="579"/>
        <v>5.4585201793721971</v>
      </c>
      <c r="E271" s="50">
        <f t="shared" si="579"/>
        <v>5.4832605531295489</v>
      </c>
      <c r="F271" s="50">
        <f t="shared" si="579"/>
        <v>6.2752639403957007</v>
      </c>
      <c r="G271" s="50">
        <f t="shared" si="579"/>
        <v>5.9024691480875182</v>
      </c>
      <c r="H271" s="50">
        <f t="shared" si="579"/>
        <v>5.2040155758636786</v>
      </c>
      <c r="I271" s="50">
        <f t="shared" si="579"/>
        <v>5.6444994554018235</v>
      </c>
      <c r="J271" s="50">
        <f t="shared" si="579"/>
        <v>4.5052954270541044</v>
      </c>
      <c r="K271" s="50">
        <f t="shared" si="579"/>
        <v>6.2701104266383716</v>
      </c>
      <c r="L271" s="50">
        <f t="shared" si="579"/>
        <v>5.4632545395998724</v>
      </c>
      <c r="M271" s="50">
        <f t="shared" si="579"/>
        <v>5.6034474672618915</v>
      </c>
      <c r="N271" s="50">
        <f t="shared" si="579"/>
        <v>6.535977349447351</v>
      </c>
      <c r="O271" s="50">
        <f t="shared" si="579"/>
        <v>7.046784085633389</v>
      </c>
      <c r="P271" s="50">
        <f>(P262+P240)/-P237</f>
        <v>7.4882211250634745</v>
      </c>
      <c r="Q271" s="50"/>
      <c r="R271" s="50"/>
      <c r="S271" s="50"/>
      <c r="T271" s="102"/>
      <c r="U271" s="50"/>
      <c r="V271" s="50"/>
      <c r="W271" s="50"/>
      <c r="X271" s="50">
        <f t="shared" ref="X271:BI271" si="580">(SUM(X262)+SUM(U240:X240))/-SUM(U237:X237)</f>
        <v>5.532513636907856</v>
      </c>
      <c r="Y271" s="50">
        <f t="shared" si="580"/>
        <v>5.100680759481504</v>
      </c>
      <c r="Z271" s="50">
        <f t="shared" si="580"/>
        <v>5.8592838864645778</v>
      </c>
      <c r="AA271" s="50">
        <f t="shared" si="580"/>
        <v>6.1285092594506985</v>
      </c>
      <c r="AB271" s="50">
        <f t="shared" si="580"/>
        <v>6.3096490017158997</v>
      </c>
      <c r="AC271" s="50">
        <f t="shared" si="580"/>
        <v>7.1833844065506129</v>
      </c>
      <c r="AD271" s="50">
        <f t="shared" si="580"/>
        <v>6.1124237326822639</v>
      </c>
      <c r="AE271" s="50">
        <f t="shared" si="580"/>
        <v>6.0117265129334534</v>
      </c>
      <c r="AF271" s="50">
        <f t="shared" si="580"/>
        <v>5.2694377955456062</v>
      </c>
      <c r="AG271" s="50">
        <f t="shared" si="580"/>
        <v>5.1839598403785061</v>
      </c>
      <c r="AH271" s="50">
        <f t="shared" si="580"/>
        <v>5.3039652157918296</v>
      </c>
      <c r="AI271" s="50">
        <f t="shared" si="580"/>
        <v>5.5013616720663281</v>
      </c>
      <c r="AJ271" s="50">
        <f t="shared" si="580"/>
        <v>5.6368815232023657</v>
      </c>
      <c r="AK271" s="50">
        <f t="shared" si="580"/>
        <v>4.322630041537475</v>
      </c>
      <c r="AL271" s="50">
        <f t="shared" si="580"/>
        <v>4.3601311072764561</v>
      </c>
      <c r="AM271" s="50">
        <f t="shared" si="580"/>
        <v>5.1493676898769181</v>
      </c>
      <c r="AN271" s="50">
        <f t="shared" si="580"/>
        <v>9.2380216945379647</v>
      </c>
      <c r="AO271" s="50">
        <f t="shared" si="580"/>
        <v>25.004406113593834</v>
      </c>
      <c r="AP271" s="50">
        <f t="shared" si="580"/>
        <v>16.221843109094817</v>
      </c>
      <c r="AQ271" s="50">
        <f t="shared" si="580"/>
        <v>16.321419093341206</v>
      </c>
      <c r="AR271" s="50">
        <f t="shared" si="580"/>
        <v>16.593577114563232</v>
      </c>
      <c r="AS271" s="50">
        <f t="shared" si="580"/>
        <v>8.6573841354680603</v>
      </c>
      <c r="AT271" s="50">
        <f t="shared" si="580"/>
        <v>10.147888934451416</v>
      </c>
      <c r="AU271" s="50">
        <f t="shared" si="580"/>
        <v>6.6284734996011503</v>
      </c>
      <c r="AV271" s="50">
        <f t="shared" si="580"/>
        <v>5.491592712952829</v>
      </c>
      <c r="AW271" s="50">
        <f t="shared" si="580"/>
        <v>5.3038929356858269</v>
      </c>
      <c r="AX271" s="50">
        <f t="shared" si="580"/>
        <v>5.4437398926993144</v>
      </c>
      <c r="AY271" s="50">
        <f t="shared" si="580"/>
        <v>5.0678088489440043</v>
      </c>
      <c r="AZ271" s="50">
        <f t="shared" si="580"/>
        <v>5.6790475904394722</v>
      </c>
      <c r="BA271" s="50">
        <f t="shared" si="580"/>
        <v>6.9711243166594663</v>
      </c>
      <c r="BB271" s="50">
        <f t="shared" si="580"/>
        <v>7.873260975054488</v>
      </c>
      <c r="BC271" s="50">
        <f t="shared" si="580"/>
        <v>9.5314630566278034</v>
      </c>
      <c r="BD271" s="50">
        <f t="shared" si="580"/>
        <v>6.5761070573772891</v>
      </c>
      <c r="BE271" s="50">
        <f t="shared" si="580"/>
        <v>6.268201260960482</v>
      </c>
      <c r="BF271" s="50">
        <f t="shared" si="580"/>
        <v>6.3033664114472021</v>
      </c>
      <c r="BG271" s="50">
        <f t="shared" si="580"/>
        <v>6.6913802660204285</v>
      </c>
      <c r="BH271" s="50">
        <f>(SUM(BH262)+SUM(BE240:BH240))/-SUM(BE237:BH237)</f>
        <v>7.0728035513307947</v>
      </c>
      <c r="BI271" s="50">
        <f t="shared" si="580"/>
        <v>7.4976450135283246</v>
      </c>
      <c r="BJ271" s="50"/>
      <c r="BK271" s="50"/>
      <c r="BL271" s="50"/>
      <c r="BM271" s="50"/>
    </row>
    <row r="272" spans="2:65" ht="12.75">
      <c r="B272" s="1" t="str">
        <f>B154</f>
        <v>Adjusted EBITDA/Interest</v>
      </c>
      <c r="C272" s="51">
        <f t="shared" ref="C272:O272" si="581">C262/-C237</f>
        <v>8.7027027027027017</v>
      </c>
      <c r="D272" s="51">
        <f t="shared" si="581"/>
        <v>8.3486547085201792</v>
      </c>
      <c r="E272" s="51">
        <f t="shared" si="581"/>
        <v>7.905385735080058</v>
      </c>
      <c r="F272" s="51">
        <f t="shared" si="581"/>
        <v>8.6170214017740374</v>
      </c>
      <c r="G272" s="51">
        <f t="shared" si="581"/>
        <v>7.9628565797292321</v>
      </c>
      <c r="H272" s="51">
        <f t="shared" si="581"/>
        <v>7.1138310133677045</v>
      </c>
      <c r="I272" s="51">
        <f t="shared" si="581"/>
        <v>7.7219891771393563</v>
      </c>
      <c r="J272" s="51">
        <f t="shared" si="581"/>
        <v>6.0166535710850368</v>
      </c>
      <c r="K272" s="51">
        <f t="shared" si="581"/>
        <v>8.1839507468406048</v>
      </c>
      <c r="L272" s="51">
        <f t="shared" si="581"/>
        <v>8.8424443401345219</v>
      </c>
      <c r="M272" s="51">
        <f t="shared" si="581"/>
        <v>9.6393937687671638</v>
      </c>
      <c r="N272" s="51">
        <f t="shared" si="581"/>
        <v>11.22134898515236</v>
      </c>
      <c r="O272" s="51">
        <f t="shared" si="581"/>
        <v>10.987596790060502</v>
      </c>
      <c r="P272" s="51">
        <f>P262/-P237</f>
        <v>11.178446059488584</v>
      </c>
      <c r="Q272" s="51"/>
      <c r="R272" s="51"/>
      <c r="S272" s="51"/>
      <c r="T272" s="103"/>
      <c r="U272" s="51"/>
      <c r="V272" s="51"/>
      <c r="W272" s="51"/>
      <c r="X272" s="51">
        <f t="shared" ref="X272:BI272" si="582">SUM(X262)/-SUM(U237:X237)</f>
        <v>7.9413032868139712</v>
      </c>
      <c r="Y272" s="51">
        <f t="shared" si="582"/>
        <v>7.2353241645905149</v>
      </c>
      <c r="Z272" s="51">
        <f t="shared" si="582"/>
        <v>8.2947289606209651</v>
      </c>
      <c r="AA272" s="51">
        <f t="shared" si="582"/>
        <v>8.5057003580408743</v>
      </c>
      <c r="AB272" s="51">
        <f t="shared" si="582"/>
        <v>8.6850215224008629</v>
      </c>
      <c r="AC272" s="51">
        <f t="shared" si="582"/>
        <v>9.9240267149813253</v>
      </c>
      <c r="AD272" s="51">
        <f t="shared" si="582"/>
        <v>8.3725846155917374</v>
      </c>
      <c r="AE272" s="51">
        <f t="shared" si="582"/>
        <v>8.1677765416111843</v>
      </c>
      <c r="AF272" s="51">
        <f t="shared" si="582"/>
        <v>7.1858507776841352</v>
      </c>
      <c r="AG272" s="51">
        <f t="shared" si="582"/>
        <v>7.03358152033897</v>
      </c>
      <c r="AH272" s="51">
        <f t="shared" si="582"/>
        <v>7.1127899429416468</v>
      </c>
      <c r="AI272" s="51">
        <f t="shared" si="582"/>
        <v>7.3888957843518774</v>
      </c>
      <c r="AJ272" s="51">
        <f t="shared" si="582"/>
        <v>7.7101797356075386</v>
      </c>
      <c r="AK272" s="51">
        <f t="shared" si="582"/>
        <v>5.981484656136395</v>
      </c>
      <c r="AL272" s="51">
        <f t="shared" si="582"/>
        <v>6.0119006493654332</v>
      </c>
      <c r="AM272" s="51">
        <f t="shared" si="582"/>
        <v>6.5490512206777485</v>
      </c>
      <c r="AN272" s="51">
        <f t="shared" si="582"/>
        <v>10.121796574753123</v>
      </c>
      <c r="AO272" s="51">
        <f t="shared" si="582"/>
        <v>25.970765156728874</v>
      </c>
      <c r="AP272" s="51">
        <f t="shared" si="582"/>
        <v>17.70367418639691</v>
      </c>
      <c r="AQ272" s="51">
        <f t="shared" si="582"/>
        <v>17.803250170643295</v>
      </c>
      <c r="AR272" s="51">
        <f t="shared" si="582"/>
        <v>18.075408191865321</v>
      </c>
      <c r="AS272" s="51">
        <f t="shared" si="582"/>
        <v>10.408360365969441</v>
      </c>
      <c r="AT272" s="51">
        <f t="shared" si="582"/>
        <v>12.089442331749185</v>
      </c>
      <c r="AU272" s="51">
        <f t="shared" si="582"/>
        <v>8.8463967015603941</v>
      </c>
      <c r="AV272" s="51">
        <f t="shared" si="582"/>
        <v>8.895553916805417</v>
      </c>
      <c r="AW272" s="51">
        <f t="shared" si="582"/>
        <v>8.4935325471826282</v>
      </c>
      <c r="AX272" s="51">
        <f t="shared" si="582"/>
        <v>8.450196398810272</v>
      </c>
      <c r="AY272" s="51">
        <f t="shared" si="582"/>
        <v>8.0858057379814383</v>
      </c>
      <c r="AZ272" s="51">
        <f t="shared" si="582"/>
        <v>9.8210427167732703</v>
      </c>
      <c r="BA272" s="51">
        <f t="shared" si="582"/>
        <v>11.775681512849232</v>
      </c>
      <c r="BB272" s="51">
        <f t="shared" si="582"/>
        <v>14.048951976356818</v>
      </c>
      <c r="BC272" s="51">
        <f t="shared" si="582"/>
        <v>16.925137354099046</v>
      </c>
      <c r="BD272" s="51">
        <f t="shared" si="582"/>
        <v>11.175956086455201</v>
      </c>
      <c r="BE272" s="51">
        <f t="shared" si="582"/>
        <v>11.136949402984524</v>
      </c>
      <c r="BF272" s="51">
        <f t="shared" si="582"/>
        <v>10.857726212841113</v>
      </c>
      <c r="BG272" s="51">
        <f t="shared" si="582"/>
        <v>11.201872971524379</v>
      </c>
      <c r="BH272" s="51">
        <f>SUM(BH262)/-SUM(BE237:BH237)</f>
        <v>11.024177393892581</v>
      </c>
      <c r="BI272" s="51">
        <f t="shared" si="582"/>
        <v>11.189773592949928</v>
      </c>
      <c r="BJ272" s="51"/>
      <c r="BK272" s="51"/>
      <c r="BL272" s="51"/>
      <c r="BM272" s="51"/>
    </row>
    <row r="273" spans="2:65" s="5" customFormat="1" ht="13.5" customHeight="1"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R273" s="19"/>
      <c r="S273" s="19"/>
      <c r="T273" s="1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19"/>
      <c r="BA273" s="19"/>
      <c r="BB273" s="19"/>
      <c r="BC273" s="19"/>
      <c r="BD273" s="19"/>
      <c r="BE273" s="19"/>
      <c r="BF273" s="19"/>
      <c r="BG273" s="19"/>
      <c r="BH273" s="19"/>
      <c r="BI273" s="19"/>
      <c r="BL273" s="19"/>
      <c r="BM273" s="19"/>
    </row>
    <row r="274" spans="2:65" s="5" customFormat="1" ht="13.5" customHeight="1">
      <c r="T274" s="120"/>
    </row>
    <row r="275" spans="2:65" ht="13.5" customHeight="1"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90"/>
      <c r="U275" s="6"/>
      <c r="Y275" s="6"/>
      <c r="Z275" s="6"/>
    </row>
    <row r="276" spans="2:65" ht="13.5" customHeight="1"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90"/>
      <c r="U276" s="6"/>
      <c r="Y276" s="6"/>
      <c r="Z276" s="6"/>
    </row>
    <row r="277" spans="2:65" ht="13.5" customHeight="1">
      <c r="B277" s="17" t="s">
        <v>383</v>
      </c>
      <c r="C277" s="142">
        <f>C3</f>
        <v>41975</v>
      </c>
      <c r="D277" s="142">
        <f>D3</f>
        <v>42341</v>
      </c>
      <c r="E277" s="142">
        <f>E3</f>
        <v>42708</v>
      </c>
      <c r="F277" s="142">
        <f>F3</f>
        <v>43073</v>
      </c>
      <c r="G277" s="142">
        <f>G3</f>
        <v>43073</v>
      </c>
      <c r="H277" s="142">
        <f>H3</f>
        <v>43438</v>
      </c>
      <c r="I277" s="142">
        <f>I3</f>
        <v>43803</v>
      </c>
      <c r="J277" s="142">
        <f>J3</f>
        <v>44169</v>
      </c>
      <c r="K277" s="142">
        <f>K3</f>
        <v>44534</v>
      </c>
      <c r="L277" s="142">
        <f>L3</f>
        <v>44899</v>
      </c>
      <c r="M277" s="142">
        <f>M3</f>
        <v>45264</v>
      </c>
      <c r="N277" s="142">
        <f>N3</f>
        <v>45630</v>
      </c>
      <c r="O277" s="142">
        <f>O3</f>
        <v>45995</v>
      </c>
      <c r="P277" s="311" t="s">
        <v>255</v>
      </c>
      <c r="Q277" s="328"/>
      <c r="R277" s="142">
        <f>R3</f>
        <v>43439</v>
      </c>
      <c r="S277" s="142">
        <f>S3</f>
        <v>43805</v>
      </c>
      <c r="T277" s="196">
        <f>T3</f>
        <v>44172</v>
      </c>
      <c r="U277" s="142">
        <f>U3</f>
        <v>42437</v>
      </c>
      <c r="V277" s="142">
        <f>V3</f>
        <v>42527</v>
      </c>
      <c r="W277" s="142">
        <f>W3</f>
        <v>42622</v>
      </c>
      <c r="X277" s="142">
        <f>X3</f>
        <v>42714</v>
      </c>
      <c r="Y277" s="142">
        <f>Y3</f>
        <v>42801</v>
      </c>
      <c r="Z277" s="142">
        <f>Z3</f>
        <v>42892</v>
      </c>
      <c r="AA277" s="142">
        <f>AA3</f>
        <v>42987</v>
      </c>
      <c r="AB277" s="142">
        <f>AB3</f>
        <v>43100</v>
      </c>
      <c r="AC277" s="142">
        <f>AC3</f>
        <v>43190</v>
      </c>
      <c r="AD277" s="142">
        <f>AD3</f>
        <v>43281</v>
      </c>
      <c r="AE277" s="142">
        <f>AE3</f>
        <v>43373</v>
      </c>
      <c r="AF277" s="142">
        <f>AF3</f>
        <v>43465</v>
      </c>
      <c r="AG277" s="142">
        <f>AG3</f>
        <v>43555</v>
      </c>
      <c r="AH277" s="142">
        <f>AH3</f>
        <v>43646</v>
      </c>
      <c r="AI277" s="142">
        <f>AI3</f>
        <v>43738</v>
      </c>
      <c r="AJ277" s="142">
        <f>AJ3</f>
        <v>43830</v>
      </c>
      <c r="AK277" s="142">
        <f>AK3</f>
        <v>43921</v>
      </c>
      <c r="AL277" s="142">
        <f>AL3</f>
        <v>44012</v>
      </c>
      <c r="AM277" s="142">
        <f>AM3</f>
        <v>44104</v>
      </c>
      <c r="AN277" s="142">
        <f>AN3</f>
        <v>44196</v>
      </c>
      <c r="AO277" s="142">
        <f>AO3</f>
        <v>44286</v>
      </c>
      <c r="AP277" s="142">
        <f>AP3</f>
        <v>44377</v>
      </c>
      <c r="AQ277" s="142">
        <f>AQ3</f>
        <v>44469</v>
      </c>
      <c r="AR277" s="142">
        <f>AR3</f>
        <v>44561</v>
      </c>
      <c r="AS277" s="142">
        <f>AS3</f>
        <v>44651</v>
      </c>
      <c r="AT277" s="142">
        <f>AT3</f>
        <v>44742</v>
      </c>
      <c r="AU277" s="142">
        <f>AU3</f>
        <v>44834</v>
      </c>
      <c r="AV277" s="142">
        <f>AV3</f>
        <v>44926</v>
      </c>
      <c r="AW277" s="142">
        <f>AW3</f>
        <v>45016</v>
      </c>
      <c r="AX277" s="142">
        <f>AX3</f>
        <v>45107</v>
      </c>
      <c r="AY277" s="142">
        <f>AY3</f>
        <v>45199</v>
      </c>
      <c r="AZ277" s="142">
        <f>AZ3</f>
        <v>45291</v>
      </c>
      <c r="BA277" s="142">
        <f>BA3</f>
        <v>45382</v>
      </c>
      <c r="BB277" s="142">
        <f>BB3</f>
        <v>45473</v>
      </c>
      <c r="BC277" s="142">
        <f>BC3</f>
        <v>45565</v>
      </c>
      <c r="BD277" s="142">
        <f>BD3</f>
        <v>45657</v>
      </c>
      <c r="BE277" s="142">
        <f>BE3</f>
        <v>45747</v>
      </c>
      <c r="BF277" s="142">
        <f>BF3</f>
        <v>45838</v>
      </c>
      <c r="BG277" s="142">
        <f>BG3</f>
        <v>45930</v>
      </c>
      <c r="BH277" s="142">
        <f>BH3</f>
        <v>46022</v>
      </c>
      <c r="BI277" s="142">
        <f>BI3</f>
        <v>46112</v>
      </c>
      <c r="BJ277" s="326"/>
      <c r="BK277" s="326"/>
      <c r="BL277" s="142"/>
      <c r="BM277" s="142"/>
    </row>
    <row r="278" spans="2:65" ht="13.5" customHeight="1">
      <c r="B278" s="1" t="str">
        <f>B89</f>
        <v>Revenues</v>
      </c>
      <c r="C278" s="25">
        <f>C89</f>
        <v>147298</v>
      </c>
      <c r="D278" s="25">
        <f>D89</f>
        <v>152360</v>
      </c>
      <c r="E278" s="25">
        <f>E89</f>
        <v>177718</v>
      </c>
      <c r="F278" s="25">
        <f>F89</f>
        <v>203780.02900000001</v>
      </c>
      <c r="G278" s="25">
        <f>G89</f>
        <v>183256.14972006774</v>
      </c>
      <c r="H278" s="25">
        <f>H89</f>
        <v>182342.00332209052</v>
      </c>
      <c r="I278" s="25">
        <f>I89</f>
        <v>194471</v>
      </c>
      <c r="J278" s="25">
        <f>J89</f>
        <v>183614.617556874</v>
      </c>
      <c r="K278" s="25">
        <f>K89</f>
        <v>194803.62610274626</v>
      </c>
      <c r="L278" s="25">
        <f>L89</f>
        <v>226740.31515876396</v>
      </c>
      <c r="M278" s="25">
        <f>M89</f>
        <v>245088</v>
      </c>
      <c r="N278" s="25">
        <f>N89</f>
        <v>279793.21943687578</v>
      </c>
      <c r="O278" s="25">
        <f>O89</f>
        <v>291745.65437160898</v>
      </c>
      <c r="P278" s="25">
        <f>P89</f>
        <v>292514.2412681937</v>
      </c>
      <c r="Q278" s="328"/>
      <c r="R278" s="25"/>
      <c r="S278" s="25"/>
      <c r="T278" s="86"/>
      <c r="U278" s="25"/>
      <c r="V278" s="25"/>
      <c r="W278" s="25"/>
      <c r="X278" s="25">
        <f>X89</f>
        <v>177718</v>
      </c>
      <c r="Y278" s="25">
        <f>Y89</f>
        <v>191978.65900000001</v>
      </c>
      <c r="Z278" s="25">
        <f>Z89</f>
        <v>202147.59999999998</v>
      </c>
      <c r="AA278" s="25">
        <f>AA89</f>
        <v>209159.59999999998</v>
      </c>
      <c r="AB278" s="25">
        <f>AB89</f>
        <v>203780.02900000001</v>
      </c>
      <c r="AC278" s="25">
        <f>AC89</f>
        <v>202135.679</v>
      </c>
      <c r="AD278" s="25">
        <f>AD89</f>
        <v>204114.15899999999</v>
      </c>
      <c r="AE278" s="25">
        <f>AE89</f>
        <v>198899.26199999999</v>
      </c>
      <c r="AF278" s="25">
        <f>AF89</f>
        <v>182342.00332209049</v>
      </c>
      <c r="AG278" s="25">
        <f>AG89</f>
        <v>184467.41932209051</v>
      </c>
      <c r="AH278" s="25">
        <f>AH89</f>
        <v>187876.50944070271</v>
      </c>
      <c r="AI278" s="25">
        <f>AI89</f>
        <v>192426.95858386965</v>
      </c>
      <c r="AJ278" s="25">
        <f>AJ89</f>
        <v>194471</v>
      </c>
      <c r="AK278" s="25">
        <f>AK89</f>
        <v>193571.4533203707</v>
      </c>
      <c r="AL278" s="25">
        <f>AL89</f>
        <v>188667.78251420139</v>
      </c>
      <c r="AM278" s="25">
        <f>AM89</f>
        <v>186703.24121699622</v>
      </c>
      <c r="AN278" s="25">
        <f>AN89</f>
        <v>183614.617556874</v>
      </c>
      <c r="AO278" s="25">
        <f>AO89</f>
        <v>182956.83517322352</v>
      </c>
      <c r="AP278" s="25">
        <f>AP89</f>
        <v>187668.53916488978</v>
      </c>
      <c r="AQ278" s="25">
        <f>AQ89</f>
        <v>189250.12495776743</v>
      </c>
      <c r="AR278" s="25">
        <f>AR89</f>
        <v>194803.62610274626</v>
      </c>
      <c r="AS278" s="25">
        <f>AS89</f>
        <v>201308.21916602604</v>
      </c>
      <c r="AT278" s="25">
        <f>AT89</f>
        <v>210832.45939621716</v>
      </c>
      <c r="AU278" s="25">
        <f>AU89</f>
        <v>219610.35008510418</v>
      </c>
      <c r="AV278" s="25">
        <f>AV89</f>
        <v>226740.31515876396</v>
      </c>
      <c r="AW278" s="25">
        <f>AW89</f>
        <v>232902.71315876395</v>
      </c>
      <c r="AX278" s="25">
        <f>AX89</f>
        <v>237020.5019549852</v>
      </c>
      <c r="AY278" s="25">
        <f>AY89</f>
        <v>242780.02547869075</v>
      </c>
      <c r="AZ278" s="25">
        <f>AZ89</f>
        <v>245088</v>
      </c>
      <c r="BA278" s="25">
        <f>BA89</f>
        <v>251533.20812148752</v>
      </c>
      <c r="BB278" s="25">
        <f>BB89</f>
        <v>259560.62323005527</v>
      </c>
      <c r="BC278" s="25">
        <f>BC89</f>
        <v>266308.83332546684</v>
      </c>
      <c r="BD278" s="25">
        <f>BD89</f>
        <v>279793.21943687578</v>
      </c>
      <c r="BE278" s="25">
        <f>BE89</f>
        <v>286147.40361963719</v>
      </c>
      <c r="BF278" s="25">
        <f>BF89</f>
        <v>289608.2131153004</v>
      </c>
      <c r="BG278" s="25">
        <f>BG89</f>
        <v>291890.70902472589</v>
      </c>
      <c r="BH278" s="25">
        <f>BH89</f>
        <v>291745.65437160892</v>
      </c>
      <c r="BI278" s="25">
        <f>BI89</f>
        <v>292514.2412681937</v>
      </c>
      <c r="BJ278" s="25"/>
      <c r="BK278" s="25"/>
      <c r="BL278" s="25"/>
      <c r="BM278" s="25"/>
    </row>
    <row r="279" spans="2:65" ht="13.5" customHeight="1">
      <c r="B279" s="1" t="str">
        <f>B92</f>
        <v>Adjusted EBITDA</v>
      </c>
      <c r="C279" s="25">
        <f>C92</f>
        <v>27692</v>
      </c>
      <c r="D279" s="25">
        <f>D92</f>
        <v>29788</v>
      </c>
      <c r="E279" s="25">
        <f>E92</f>
        <v>32586</v>
      </c>
      <c r="F279" s="25">
        <f>F92</f>
        <v>39545.22600000001</v>
      </c>
      <c r="G279" s="25">
        <f>G92</f>
        <v>36291.546999200269</v>
      </c>
      <c r="H279" s="25">
        <f>H92</f>
        <v>35455.739258992398</v>
      </c>
      <c r="I279" s="25">
        <f>I92</f>
        <v>37147.694571135318</v>
      </c>
      <c r="J279" s="25">
        <f>J92</f>
        <v>37345.368715724821</v>
      </c>
      <c r="K279" s="25">
        <f>K92</f>
        <v>38849.214195252353</v>
      </c>
      <c r="L279" s="25">
        <f>L92</f>
        <v>43000.806826074178</v>
      </c>
      <c r="M279" s="25">
        <f>M92</f>
        <v>46417.584951090248</v>
      </c>
      <c r="N279" s="25">
        <f>N92</f>
        <v>56205.223484455506</v>
      </c>
      <c r="O279" s="25">
        <f>O92</f>
        <v>59109.622848391198</v>
      </c>
      <c r="P279" s="25">
        <f>P92</f>
        <v>59229.242372013563</v>
      </c>
      <c r="Q279" s="328"/>
      <c r="R279" s="25"/>
      <c r="S279" s="25"/>
      <c r="T279" s="86"/>
      <c r="U279" s="25"/>
      <c r="V279" s="25"/>
      <c r="W279" s="25"/>
      <c r="X279" s="25">
        <f>X92</f>
        <v>32586</v>
      </c>
      <c r="Y279" s="25">
        <f>Y92</f>
        <v>34754.601999999999</v>
      </c>
      <c r="Z279" s="25">
        <f>Z92</f>
        <v>35977.035999999993</v>
      </c>
      <c r="AA279" s="25">
        <f>AA92</f>
        <v>37089.868000000002</v>
      </c>
      <c r="AB279" s="25">
        <f>AB92</f>
        <v>39545.22600000001</v>
      </c>
      <c r="AC279" s="25">
        <f>AC92</f>
        <v>39327.241000000009</v>
      </c>
      <c r="AD279" s="25">
        <f>AD92</f>
        <v>39643.461000000003</v>
      </c>
      <c r="AE279" s="25">
        <f>AE92</f>
        <v>39202.203071259049</v>
      </c>
      <c r="AF279" s="25">
        <f>AF92</f>
        <v>35455.739258992391</v>
      </c>
      <c r="AG279" s="25">
        <f>AG92</f>
        <v>35831.827656964902</v>
      </c>
      <c r="AH279" s="25">
        <f>AH92</f>
        <v>36285.646206531426</v>
      </c>
      <c r="AI279" s="25">
        <f>AI92</f>
        <v>37863.384812592893</v>
      </c>
      <c r="AJ279" s="25">
        <f>AJ92</f>
        <v>37147.694571135318</v>
      </c>
      <c r="AK279" s="25">
        <f>AK92</f>
        <v>37693.540046259775</v>
      </c>
      <c r="AL279" s="25">
        <f>AL92</f>
        <v>36734.746397058378</v>
      </c>
      <c r="AM279" s="25">
        <f>AM92</f>
        <v>36740.528719737857</v>
      </c>
      <c r="AN279" s="25">
        <f>AN92</f>
        <v>37345.682703005186</v>
      </c>
      <c r="AO279" s="25">
        <f>AO92</f>
        <v>37066.255476136423</v>
      </c>
      <c r="AP279" s="25">
        <f>AP92</f>
        <v>38852.034840736691</v>
      </c>
      <c r="AQ279" s="25">
        <f>AQ92</f>
        <v>38097.034840736691</v>
      </c>
      <c r="AR279" s="25">
        <f>AR92</f>
        <v>38849.267907762282</v>
      </c>
      <c r="AS279" s="25">
        <f>AS92</f>
        <v>39869.267907762282</v>
      </c>
      <c r="AT279" s="25">
        <f>AT92</f>
        <v>40469.267907762282</v>
      </c>
      <c r="AU279" s="25">
        <f>AU92</f>
        <v>41775.267907762282</v>
      </c>
      <c r="AV279" s="25">
        <f>AV92</f>
        <v>43000.806826074178</v>
      </c>
      <c r="AW279" s="25">
        <f>AW92</f>
        <v>43695.806826074178</v>
      </c>
      <c r="AX279" s="25">
        <f>AX92</f>
        <v>44527.806826074178</v>
      </c>
      <c r="AY279" s="25">
        <f>AY92</f>
        <v>45731.806826074178</v>
      </c>
      <c r="AZ279" s="25">
        <f>AZ92</f>
        <v>46417.584951090248</v>
      </c>
      <c r="BA279" s="25">
        <f>BA92</f>
        <v>47839.584951090248</v>
      </c>
      <c r="BB279" s="25">
        <f>BB92</f>
        <v>50322.681034118716</v>
      </c>
      <c r="BC279" s="25">
        <f>BC92</f>
        <v>52493.596537351317</v>
      </c>
      <c r="BD279" s="25">
        <f>BD92</f>
        <v>56205.223484455506</v>
      </c>
      <c r="BE279" s="25">
        <f>BE92</f>
        <v>57515.4162081783</v>
      </c>
      <c r="BF279" s="25">
        <f>BF92</f>
        <v>56981.011347279244</v>
      </c>
      <c r="BG279" s="25">
        <f>BG92</f>
        <v>57428.810022638645</v>
      </c>
      <c r="BH279" s="25">
        <f>BH92</f>
        <v>59109.622848391198</v>
      </c>
      <c r="BI279" s="25">
        <f>BI92</f>
        <v>59229.242372013563</v>
      </c>
      <c r="BJ279" s="25"/>
      <c r="BK279" s="25"/>
      <c r="BL279" s="25"/>
      <c r="BM279" s="25"/>
    </row>
    <row r="280" spans="2:65" ht="13.5" customHeight="1">
      <c r="B280" s="1" t="str">
        <f>B93</f>
        <v>Adjusted EBITDAR</v>
      </c>
      <c r="C280" s="25">
        <f>C93</f>
        <v>28632</v>
      </c>
      <c r="D280" s="25">
        <f>D93</f>
        <v>30832</v>
      </c>
      <c r="E280" s="25">
        <f>E93</f>
        <v>33818</v>
      </c>
      <c r="F280" s="25">
        <f>F93</f>
        <v>40777.22600000001</v>
      </c>
      <c r="G280" s="25">
        <f>G93</f>
        <v>37711.546999200269</v>
      </c>
      <c r="H280" s="25">
        <f>H93</f>
        <v>36518.739258992398</v>
      </c>
      <c r="I280" s="276"/>
      <c r="J280" s="276"/>
      <c r="K280" s="276"/>
      <c r="L280" s="367"/>
      <c r="M280" s="367"/>
      <c r="N280" s="367"/>
      <c r="O280" s="367"/>
      <c r="P280" s="367"/>
      <c r="Q280" s="328"/>
      <c r="R280" s="367"/>
      <c r="S280" s="367"/>
      <c r="T280" s="368"/>
      <c r="U280" s="367"/>
      <c r="V280" s="367"/>
      <c r="W280" s="367"/>
      <c r="X280" s="367">
        <f>X93</f>
        <v>33818</v>
      </c>
      <c r="Y280" s="367">
        <f>Y93</f>
        <v>35986.601999999999</v>
      </c>
      <c r="Z280" s="367">
        <f>Z93</f>
        <v>37209.035999999993</v>
      </c>
      <c r="AA280" s="367">
        <f>AA93</f>
        <v>38321.868000000002</v>
      </c>
      <c r="AB280" s="367">
        <f>AB93</f>
        <v>40777.22600000001</v>
      </c>
      <c r="AC280" s="367">
        <f>AC93</f>
        <v>40516.991000000009</v>
      </c>
      <c r="AD280" s="367">
        <f>AD93</f>
        <v>40790.961000000003</v>
      </c>
      <c r="AE280" s="367">
        <f>AE93</f>
        <v>40307.453071259049</v>
      </c>
      <c r="AF280" s="367">
        <f>AF93</f>
        <v>36518.739258992391</v>
      </c>
      <c r="AG280" s="367"/>
      <c r="AH280" s="367"/>
      <c r="AI280" s="367"/>
      <c r="AJ280" s="367"/>
      <c r="AK280" s="367"/>
      <c r="AL280" s="367"/>
      <c r="AM280" s="367"/>
      <c r="AN280" s="367"/>
      <c r="AO280" s="367"/>
      <c r="AP280" s="367"/>
      <c r="AQ280" s="367"/>
      <c r="AR280" s="367"/>
      <c r="AS280" s="367"/>
      <c r="AT280" s="367"/>
      <c r="AU280" s="367"/>
      <c r="AV280" s="367"/>
      <c r="AW280" s="367"/>
      <c r="AX280" s="367"/>
      <c r="AY280" s="367"/>
      <c r="AZ280" s="367"/>
      <c r="BA280" s="367"/>
      <c r="BB280" s="367"/>
      <c r="BC280" s="367"/>
      <c r="BD280" s="367"/>
      <c r="BE280" s="367"/>
      <c r="BF280" s="367"/>
      <c r="BG280" s="367"/>
      <c r="BH280" s="367"/>
      <c r="BI280" s="367"/>
      <c r="BJ280" s="25"/>
      <c r="BK280" s="25"/>
      <c r="BL280" s="25"/>
      <c r="BM280" s="25"/>
    </row>
    <row r="281" spans="2:65" ht="13.5" customHeight="1">
      <c r="B281" s="1" t="s">
        <v>384</v>
      </c>
      <c r="C281" s="55">
        <f t="shared" ref="C281:H281" si="583">C279/C278</f>
        <v>0.18799983706499748</v>
      </c>
      <c r="D281" s="55">
        <f t="shared" si="583"/>
        <v>0.19551063271199789</v>
      </c>
      <c r="E281" s="55">
        <f t="shared" si="583"/>
        <v>0.18335790409525202</v>
      </c>
      <c r="F281" s="55">
        <f t="shared" si="583"/>
        <v>0.19405839813674777</v>
      </c>
      <c r="G281" s="55">
        <f t="shared" si="583"/>
        <v>0.19803726671458113</v>
      </c>
      <c r="H281" s="55">
        <f t="shared" si="583"/>
        <v>0.19444636240155302</v>
      </c>
      <c r="I281" s="55">
        <f t="shared" ref="I281:N281" si="584">I279/I278</f>
        <v>0.19101919860100128</v>
      </c>
      <c r="J281" s="55">
        <f t="shared" si="584"/>
        <v>0.2033899545288502</v>
      </c>
      <c r="K281" s="55">
        <f t="shared" si="584"/>
        <v>0.19942757212723503</v>
      </c>
      <c r="L281" s="55">
        <f t="shared" si="584"/>
        <v>0.18964782154406437</v>
      </c>
      <c r="M281" s="55">
        <f t="shared" si="584"/>
        <v>0.18939150407645519</v>
      </c>
      <c r="N281" s="55">
        <f t="shared" si="584"/>
        <v>0.20088129225424628</v>
      </c>
      <c r="O281" s="55">
        <f t="shared" ref="O281" si="585">O279/O278</f>
        <v>0.20260669512184312</v>
      </c>
      <c r="P281" s="55">
        <f t="shared" ref="P281" si="586">P279/P278</f>
        <v>0.20248327778923017</v>
      </c>
      <c r="Q281" s="328"/>
      <c r="R281" s="55"/>
      <c r="S281" s="55"/>
      <c r="T281" s="106"/>
      <c r="U281" s="25"/>
      <c r="V281" s="55"/>
      <c r="W281" s="55"/>
      <c r="X281" s="55">
        <f t="shared" ref="X281:AC281" si="587">X279/X278</f>
        <v>0.18335790409525202</v>
      </c>
      <c r="Y281" s="55">
        <f t="shared" si="587"/>
        <v>0.18103367416479346</v>
      </c>
      <c r="Z281" s="55">
        <f t="shared" si="587"/>
        <v>0.17797409417673027</v>
      </c>
      <c r="AA281" s="55">
        <f t="shared" si="587"/>
        <v>0.17732806909173668</v>
      </c>
      <c r="AB281" s="55">
        <f t="shared" si="587"/>
        <v>0.19405839813674777</v>
      </c>
      <c r="AC281" s="55">
        <f t="shared" si="587"/>
        <v>0.19455863108659807</v>
      </c>
      <c r="AD281" s="55">
        <f t="shared" ref="AD281:AI281" si="588">AD279/AD278</f>
        <v>0.19422200397180681</v>
      </c>
      <c r="AE281" s="55">
        <f t="shared" si="588"/>
        <v>0.19709576937122597</v>
      </c>
      <c r="AF281" s="55">
        <f t="shared" si="588"/>
        <v>0.19444636240155302</v>
      </c>
      <c r="AG281" s="55">
        <f t="shared" si="588"/>
        <v>0.19424474949909995</v>
      </c>
      <c r="AH281" s="55">
        <f t="shared" si="588"/>
        <v>0.19313562038464338</v>
      </c>
      <c r="AI281" s="55">
        <f t="shared" si="588"/>
        <v>0.19676756880242466</v>
      </c>
      <c r="AJ281" s="55">
        <f t="shared" ref="AJ281:AO281" si="589">AJ279/AJ278</f>
        <v>0.19101919860100128</v>
      </c>
      <c r="AK281" s="55">
        <f t="shared" si="589"/>
        <v>0.19472675025007449</v>
      </c>
      <c r="AL281" s="55">
        <f t="shared" si="589"/>
        <v>0.1947059848137733</v>
      </c>
      <c r="AM281" s="55">
        <f t="shared" si="589"/>
        <v>0.19678570377380916</v>
      </c>
      <c r="AN281" s="55">
        <f t="shared" si="589"/>
        <v>0.20339166456307592</v>
      </c>
      <c r="AO281" s="55">
        <f t="shared" si="589"/>
        <v>0.20259563104620876</v>
      </c>
      <c r="AP281" s="55">
        <f t="shared" ref="AP281:AU281" si="590">AP279/AP278</f>
        <v>0.2070247629870472</v>
      </c>
      <c r="AQ281" s="55">
        <f t="shared" si="590"/>
        <v>0.20130520309689795</v>
      </c>
      <c r="AR281" s="55">
        <f t="shared" si="590"/>
        <v>0.19942784785367298</v>
      </c>
      <c r="AS281" s="55">
        <f t="shared" si="590"/>
        <v>0.19805086982007764</v>
      </c>
      <c r="AT281" s="55">
        <f t="shared" si="590"/>
        <v>0.19194989245801303</v>
      </c>
      <c r="AU281" s="55">
        <f t="shared" si="590"/>
        <v>0.19022449484540863</v>
      </c>
      <c r="AV281" s="55">
        <f t="shared" ref="AV281:AY281" si="591">AV279/AV278</f>
        <v>0.18964782154406437</v>
      </c>
      <c r="AW281" s="55">
        <f t="shared" si="591"/>
        <v>0.18761398797569112</v>
      </c>
      <c r="AX281" s="55">
        <f t="shared" si="591"/>
        <v>0.18786479000255799</v>
      </c>
      <c r="AY281" s="55">
        <f t="shared" si="591"/>
        <v>0.18836725441437993</v>
      </c>
      <c r="AZ281" s="55">
        <f t="shared" ref="AZ281:BC281" si="592">AZ279/AZ278</f>
        <v>0.18939150407645519</v>
      </c>
      <c r="BA281" s="55">
        <f t="shared" si="592"/>
        <v>0.190191924590666</v>
      </c>
      <c r="BB281" s="55">
        <f t="shared" si="592"/>
        <v>0.19387640701384981</v>
      </c>
      <c r="BC281" s="55">
        <f t="shared" si="592"/>
        <v>0.19711549137086551</v>
      </c>
      <c r="BD281" s="55">
        <f t="shared" ref="BD281:BE281" si="593">BD279/BD278</f>
        <v>0.20088129225424628</v>
      </c>
      <c r="BE281" s="55">
        <f t="shared" si="593"/>
        <v>0.2009992594048868</v>
      </c>
      <c r="BF281" s="55">
        <f t="shared" ref="BF281:BI281" si="594">BF279/BF278</f>
        <v>0.19675205593908227</v>
      </c>
      <c r="BG281" s="55">
        <f t="shared" si="594"/>
        <v>0.19674764645480333</v>
      </c>
      <c r="BH281" s="55">
        <f t="shared" si="594"/>
        <v>0.20260669512184315</v>
      </c>
      <c r="BI281" s="55">
        <f t="shared" si="594"/>
        <v>0.20248327778923017</v>
      </c>
      <c r="BJ281" s="336"/>
      <c r="BK281" s="336"/>
      <c r="BL281" s="55"/>
      <c r="BM281" s="55"/>
    </row>
    <row r="282" spans="2:65" ht="13.5" customHeight="1">
      <c r="B282" s="1" t="str">
        <f>B94</f>
        <v xml:space="preserve">LTM RENT </v>
      </c>
      <c r="C282" s="25">
        <f>C94</f>
        <v>940</v>
      </c>
      <c r="D282" s="25">
        <f>D94</f>
        <v>1044</v>
      </c>
      <c r="E282" s="25">
        <f>E94</f>
        <v>1232</v>
      </c>
      <c r="F282" s="25">
        <f>F94</f>
        <v>1232</v>
      </c>
      <c r="G282" s="25">
        <f>G94</f>
        <v>1420</v>
      </c>
      <c r="H282" s="25">
        <f>H94</f>
        <v>1063</v>
      </c>
      <c r="I282" s="276"/>
      <c r="J282" s="276"/>
      <c r="K282" s="276"/>
      <c r="L282" s="367"/>
      <c r="M282" s="367"/>
      <c r="N282" s="367"/>
      <c r="O282" s="367"/>
      <c r="P282" s="367"/>
      <c r="Q282" s="328"/>
      <c r="R282" s="367"/>
      <c r="S282" s="367"/>
      <c r="T282" s="368"/>
      <c r="U282" s="367"/>
      <c r="V282" s="367"/>
      <c r="W282" s="367"/>
      <c r="X282" s="367">
        <f>X94</f>
        <v>1232</v>
      </c>
      <c r="Y282" s="367">
        <f>Y94</f>
        <v>1232</v>
      </c>
      <c r="Z282" s="367">
        <f>Z94</f>
        <v>1232</v>
      </c>
      <c r="AA282" s="367">
        <f>AA94</f>
        <v>1232</v>
      </c>
      <c r="AB282" s="367">
        <f>AB94</f>
        <v>1232</v>
      </c>
      <c r="AC282" s="367">
        <f>AC94</f>
        <v>1189.75</v>
      </c>
      <c r="AD282" s="367">
        <f>AD94</f>
        <v>1147.5</v>
      </c>
      <c r="AE282" s="367">
        <f>AE94</f>
        <v>1105.25</v>
      </c>
      <c r="AF282" s="367">
        <f>AF94</f>
        <v>1063</v>
      </c>
      <c r="AG282" s="367"/>
      <c r="AH282" s="367"/>
      <c r="AI282" s="367"/>
      <c r="AJ282" s="367"/>
      <c r="AK282" s="367"/>
      <c r="AL282" s="367"/>
      <c r="AM282" s="367"/>
      <c r="AN282" s="367"/>
      <c r="AO282" s="367"/>
      <c r="AP282" s="367"/>
      <c r="AQ282" s="367"/>
      <c r="AR282" s="367"/>
      <c r="AS282" s="367"/>
      <c r="AT282" s="367"/>
      <c r="AU282" s="367"/>
      <c r="AV282" s="367"/>
      <c r="AW282" s="367"/>
      <c r="AX282" s="367"/>
      <c r="AY282" s="367"/>
      <c r="AZ282" s="367"/>
      <c r="BA282" s="367"/>
      <c r="BB282" s="367"/>
      <c r="BC282" s="367"/>
      <c r="BD282" s="367"/>
      <c r="BE282" s="367"/>
      <c r="BF282" s="367"/>
      <c r="BG282" s="367"/>
      <c r="BH282" s="367"/>
      <c r="BI282" s="367"/>
      <c r="BJ282" s="25"/>
      <c r="BK282" s="25"/>
      <c r="BL282" s="25"/>
      <c r="BM282" s="25"/>
    </row>
    <row r="283" spans="2:65" ht="13.5" customHeight="1">
      <c r="B283" s="1" t="str">
        <f>B95</f>
        <v>Cash interest paid</v>
      </c>
      <c r="C283" s="25">
        <f>C95</f>
        <v>3182</v>
      </c>
      <c r="D283" s="25">
        <f>D95</f>
        <v>3568</v>
      </c>
      <c r="E283" s="25">
        <f>E95</f>
        <v>4122</v>
      </c>
      <c r="F283" s="25">
        <f>F95</f>
        <v>4589.1989999999996</v>
      </c>
      <c r="G283" s="25">
        <f>G95</f>
        <v>4557.6040000000003</v>
      </c>
      <c r="H283" s="25">
        <f>H95</f>
        <v>4984.0569999999998</v>
      </c>
      <c r="I283" s="25">
        <f>I95</f>
        <v>4810.6379999999999</v>
      </c>
      <c r="J283" s="25">
        <f>J95</f>
        <v>6207</v>
      </c>
      <c r="K283" s="25">
        <f>K95</f>
        <v>4747</v>
      </c>
      <c r="L283" s="25">
        <f>L95</f>
        <v>4863</v>
      </c>
      <c r="M283" s="25">
        <f>M95</f>
        <v>4815.4049999999997</v>
      </c>
      <c r="N283" s="25">
        <f>N95</f>
        <v>5008.7759999999998</v>
      </c>
      <c r="O283" s="25">
        <f>O95</f>
        <v>5379.6679999999997</v>
      </c>
      <c r="P283" s="25">
        <f>P95</f>
        <v>5298.5219999999999</v>
      </c>
      <c r="Q283" s="328"/>
      <c r="R283" s="25"/>
      <c r="S283" s="25"/>
      <c r="T283" s="86"/>
      <c r="U283" s="25"/>
      <c r="V283" s="25"/>
      <c r="W283" s="25"/>
      <c r="X283" s="25">
        <f>X95</f>
        <v>4122</v>
      </c>
      <c r="Y283" s="25">
        <f>Y95</f>
        <v>4798.4719999999998</v>
      </c>
      <c r="Z283" s="25">
        <f>Z95</f>
        <v>4368.3680000000004</v>
      </c>
      <c r="AA283" s="25">
        <f>AA95</f>
        <v>4417.3050000000012</v>
      </c>
      <c r="AB283" s="25">
        <f>AB95</f>
        <v>4589.1989999999996</v>
      </c>
      <c r="AC283" s="25">
        <f>AC95</f>
        <v>3982.0819999999994</v>
      </c>
      <c r="AD283" s="25">
        <f>AD95</f>
        <v>4782.866</v>
      </c>
      <c r="AE283" s="25">
        <f>AE95</f>
        <v>4817.9609999999993</v>
      </c>
      <c r="AF283" s="25">
        <f>AF95</f>
        <v>4984.0570000000007</v>
      </c>
      <c r="AG283" s="25">
        <f>AG95</f>
        <v>5600.71</v>
      </c>
      <c r="AH283" s="25">
        <f>AH95</f>
        <v>7304.3410000000003</v>
      </c>
      <c r="AI283" s="25">
        <f>AI95</f>
        <v>7321.3229999999994</v>
      </c>
      <c r="AJ283" s="25">
        <f>AJ95</f>
        <v>4810.6379999999999</v>
      </c>
      <c r="AK283" s="25">
        <f>AK95</f>
        <v>6310.4049999999997</v>
      </c>
      <c r="AL283" s="25">
        <f>AL95</f>
        <v>6151.7360000000008</v>
      </c>
      <c r="AM283" s="276"/>
      <c r="AN283" s="276"/>
      <c r="AO283" s="276"/>
      <c r="AP283" s="25">
        <f>AP95</f>
        <v>2367.2840000000001</v>
      </c>
      <c r="AQ283" s="276"/>
      <c r="AR283" s="276"/>
      <c r="AS283" s="276"/>
      <c r="AT283" s="25">
        <f>AT95</f>
        <v>0</v>
      </c>
      <c r="AU283" s="25">
        <f>AU95</f>
        <v>0</v>
      </c>
      <c r="AV283" s="25">
        <f>AV95</f>
        <v>4863</v>
      </c>
      <c r="AW283" s="25">
        <f>AW95</f>
        <v>5131.1930000000002</v>
      </c>
      <c r="AX283" s="25">
        <f>AX95</f>
        <v>5201.5050000000001</v>
      </c>
      <c r="AY283" s="25">
        <f>AY95</f>
        <v>5555.6369999999997</v>
      </c>
      <c r="AZ283" s="25">
        <f>AZ95</f>
        <v>4815.4049999999997</v>
      </c>
      <c r="BA283" s="25">
        <f>BA95</f>
        <v>4057.99</v>
      </c>
      <c r="BB283" s="25">
        <f>BB95</f>
        <v>3553.3039999999992</v>
      </c>
      <c r="BC283" s="25">
        <f>BC95</f>
        <v>3117.4389999999994</v>
      </c>
      <c r="BD283" s="25">
        <f>BD95</f>
        <v>5008.7759999999998</v>
      </c>
      <c r="BE283" s="25">
        <f>BE95</f>
        <v>5165.4679999999998</v>
      </c>
      <c r="BF283" s="25">
        <f>BF95</f>
        <v>5248.8779999999997</v>
      </c>
      <c r="BG283" s="25">
        <f>BG95</f>
        <v>5136.607</v>
      </c>
      <c r="BH283" s="25">
        <f>BH95</f>
        <v>5379.6679999999997</v>
      </c>
      <c r="BI283" s="25">
        <f>BI95</f>
        <v>5298.5219999999999</v>
      </c>
      <c r="BJ283" s="25"/>
      <c r="BK283" s="25"/>
      <c r="BL283" s="25"/>
      <c r="BM283" s="25"/>
    </row>
    <row r="284" spans="2:65" ht="13.5" customHeight="1">
      <c r="B284" s="1" t="str">
        <f>B97</f>
        <v>Capex</v>
      </c>
      <c r="C284" s="25">
        <f>C97</f>
        <v>10715</v>
      </c>
      <c r="D284" s="25">
        <f>D97</f>
        <v>10312</v>
      </c>
      <c r="E284" s="25">
        <f>E97</f>
        <v>9984</v>
      </c>
      <c r="F284" s="25">
        <f>F97</f>
        <v>10746.791000000001</v>
      </c>
      <c r="G284" s="25">
        <f>G97</f>
        <v>9390.43</v>
      </c>
      <c r="H284" s="25">
        <f>H97</f>
        <v>9518.628999999999</v>
      </c>
      <c r="I284" s="25">
        <f>I97</f>
        <v>9994.0509999999995</v>
      </c>
      <c r="J284" s="25">
        <f>J97</f>
        <v>9381</v>
      </c>
      <c r="K284" s="25">
        <f>K97</f>
        <v>9085</v>
      </c>
      <c r="L284" s="25">
        <f>L97</f>
        <v>16433</v>
      </c>
      <c r="M284" s="25">
        <f>M97</f>
        <v>19434.716</v>
      </c>
      <c r="N284" s="25">
        <f>N97</f>
        <v>23467.976999999999</v>
      </c>
      <c r="O284" s="25">
        <f>O97</f>
        <v>21200.263999999999</v>
      </c>
      <c r="P284" s="25">
        <f>P97</f>
        <v>19552.737999999998</v>
      </c>
      <c r="Q284" s="328"/>
      <c r="R284" s="25"/>
      <c r="S284" s="25"/>
      <c r="T284" s="86"/>
      <c r="U284" s="25"/>
      <c r="V284" s="25"/>
      <c r="W284" s="25"/>
      <c r="X284" s="25">
        <f>X97</f>
        <v>9984</v>
      </c>
      <c r="Y284" s="25">
        <f>Y97</f>
        <v>10219.321</v>
      </c>
      <c r="Z284" s="25">
        <f>Z97</f>
        <v>10527.516</v>
      </c>
      <c r="AA284" s="25">
        <f>AA97</f>
        <v>10355.99</v>
      </c>
      <c r="AB284" s="25">
        <f>AB97</f>
        <v>10746.791000000001</v>
      </c>
      <c r="AC284" s="25">
        <f>AC97</f>
        <v>10877.223000000002</v>
      </c>
      <c r="AD284" s="25">
        <f>AD97</f>
        <v>10710.000000000002</v>
      </c>
      <c r="AE284" s="25">
        <f>AE97</f>
        <v>10351.546</v>
      </c>
      <c r="AF284" s="25">
        <f>AF97</f>
        <v>9518.628999999999</v>
      </c>
      <c r="AG284" s="25">
        <f>AG97</f>
        <v>10841.290999999999</v>
      </c>
      <c r="AH284" s="25">
        <f>AH97</f>
        <v>12832.537999999999</v>
      </c>
      <c r="AI284" s="25">
        <f>AI97</f>
        <v>13271.455999999998</v>
      </c>
      <c r="AJ284" s="25">
        <f>AJ97</f>
        <v>9994.0509999999995</v>
      </c>
      <c r="AK284" s="25">
        <f>AK97</f>
        <v>10433.355</v>
      </c>
      <c r="AL284" s="25">
        <f>AL97</f>
        <v>9935.0959999999977</v>
      </c>
      <c r="AM284" s="276"/>
      <c r="AN284" s="276"/>
      <c r="AO284" s="276"/>
      <c r="AP284" s="25">
        <f>AP97</f>
        <v>3507.9150000000004</v>
      </c>
      <c r="AQ284" s="276"/>
      <c r="AR284" s="276"/>
      <c r="AS284" s="276"/>
      <c r="AT284" s="25">
        <f>AT97</f>
        <v>0</v>
      </c>
      <c r="AU284" s="25">
        <f>AU97</f>
        <v>0</v>
      </c>
      <c r="AV284" s="25">
        <f>AV97</f>
        <v>16433</v>
      </c>
      <c r="AW284" s="25">
        <f>AW97</f>
        <v>16416.59</v>
      </c>
      <c r="AX284" s="25">
        <f>AX97</f>
        <v>16031.519</v>
      </c>
      <c r="AY284" s="25">
        <f>AY97</f>
        <v>17179.947999999997</v>
      </c>
      <c r="AZ284" s="25">
        <f>AZ97</f>
        <v>19434.716</v>
      </c>
      <c r="BA284" s="25">
        <f>BA97</f>
        <v>19530.811000000002</v>
      </c>
      <c r="BB284" s="25">
        <f>BB97</f>
        <v>22192.781000000003</v>
      </c>
      <c r="BC284" s="25">
        <f>BC97</f>
        <v>22976.789000000001</v>
      </c>
      <c r="BD284" s="25">
        <f>BD97</f>
        <v>23467.976999999999</v>
      </c>
      <c r="BE284" s="25">
        <f>BE97</f>
        <v>25273.574000000001</v>
      </c>
      <c r="BF284" s="25">
        <f>BF97</f>
        <v>23940.375</v>
      </c>
      <c r="BG284" s="25">
        <f>BG97</f>
        <v>23215.134000000002</v>
      </c>
      <c r="BH284" s="25">
        <f>BH97</f>
        <v>21200.263999999999</v>
      </c>
      <c r="BI284" s="25">
        <f>BI97</f>
        <v>19552.737999999998</v>
      </c>
      <c r="BJ284" s="25"/>
      <c r="BK284" s="25"/>
      <c r="BL284" s="25"/>
      <c r="BM284" s="25"/>
    </row>
    <row r="285" spans="2:65" ht="13.5" customHeight="1">
      <c r="B285" s="1" t="str">
        <f>B98</f>
        <v xml:space="preserve">Free cash flow </v>
      </c>
      <c r="C285" s="25">
        <f>C98</f>
        <v>12682</v>
      </c>
      <c r="D285" s="25">
        <f>D98</f>
        <v>9982</v>
      </c>
      <c r="E285" s="25">
        <f>E98</f>
        <v>4290.1790000000037</v>
      </c>
      <c r="F285" s="25">
        <f>F98</f>
        <v>11271.888000000006</v>
      </c>
      <c r="G285" s="25">
        <f>G98</f>
        <v>11978.460999200272</v>
      </c>
      <c r="H285" s="25">
        <f>H98</f>
        <v>10625.436258992399</v>
      </c>
      <c r="I285" s="25">
        <f>I98</f>
        <v>18693.447571135319</v>
      </c>
      <c r="J285" s="25">
        <f>J98</f>
        <v>20602.368715724821</v>
      </c>
      <c r="K285" s="25">
        <f>K98</f>
        <v>20365.214195252353</v>
      </c>
      <c r="L285" s="25">
        <f>L98</f>
        <v>13365.806826074178</v>
      </c>
      <c r="M285" s="25">
        <f>M98</f>
        <v>19717.672951090251</v>
      </c>
      <c r="N285" s="25">
        <f>N98</f>
        <v>14883.987484455509</v>
      </c>
      <c r="O285" s="25">
        <f>O98</f>
        <v>4936.0378483912018</v>
      </c>
      <c r="P285" s="25">
        <f>P98</f>
        <v>14346.126372013567</v>
      </c>
      <c r="Q285" s="328"/>
      <c r="R285" s="25"/>
      <c r="S285" s="25"/>
      <c r="T285" s="86"/>
      <c r="U285" s="25"/>
      <c r="V285" s="25"/>
      <c r="W285" s="25"/>
      <c r="X285" s="25">
        <f>X98</f>
        <v>4290.1790000000037</v>
      </c>
      <c r="Y285" s="25">
        <f>Y98</f>
        <v>1818.8690000000015</v>
      </c>
      <c r="Z285" s="25">
        <f>Z98</f>
        <v>3027.6459999999997</v>
      </c>
      <c r="AA285" s="25">
        <f>AA98</f>
        <v>4183.3489999999983</v>
      </c>
      <c r="AB285" s="25">
        <f>AB98</f>
        <v>11271.888000000006</v>
      </c>
      <c r="AC285" s="25">
        <f>AC98</f>
        <v>11927.568000000007</v>
      </c>
      <c r="AD285" s="25">
        <f>AD98</f>
        <v>4804.7119999999995</v>
      </c>
      <c r="AE285" s="25">
        <f>AE98</f>
        <v>700.96307125904696</v>
      </c>
      <c r="AF285" s="25">
        <f>AF98</f>
        <v>10625.436258992391</v>
      </c>
      <c r="AG285" s="25">
        <f>AG98</f>
        <v>16016.946010736712</v>
      </c>
      <c r="AH285" s="25">
        <f>AH98</f>
        <v>20885.887295337838</v>
      </c>
      <c r="AI285" s="25">
        <f>AI98</f>
        <v>25634.373901399311</v>
      </c>
      <c r="AJ285" s="25">
        <f>AJ98</f>
        <v>18693.447571135323</v>
      </c>
      <c r="AK285" s="25">
        <f>AK98</f>
        <v>17215.665046259772</v>
      </c>
      <c r="AL285" s="25">
        <f>AL98</f>
        <v>20386.191397058377</v>
      </c>
      <c r="AM285" s="276"/>
      <c r="AN285" s="276"/>
      <c r="AO285" s="276"/>
      <c r="AP285" s="25">
        <f>AP98</f>
        <v>13570.911000000002</v>
      </c>
      <c r="AQ285" s="276"/>
      <c r="AR285" s="276"/>
      <c r="AS285" s="276"/>
      <c r="AT285" s="25">
        <f>AT98</f>
        <v>0</v>
      </c>
      <c r="AU285" s="25">
        <f>AU98</f>
        <v>0</v>
      </c>
      <c r="AV285" s="25">
        <f>AV98</f>
        <v>13365.806826074175</v>
      </c>
      <c r="AW285" s="25">
        <f>AW98</f>
        <v>14683.288826074177</v>
      </c>
      <c r="AX285" s="25">
        <f>AX98</f>
        <v>15418.775826074181</v>
      </c>
      <c r="AY285" s="25">
        <f>AY98</f>
        <v>22010.073826074185</v>
      </c>
      <c r="AZ285" s="25">
        <f>AZ98</f>
        <v>19717.672951090251</v>
      </c>
      <c r="BA285" s="25">
        <f>BA98</f>
        <v>20885.13195109025</v>
      </c>
      <c r="BB285" s="25">
        <f>BB98</f>
        <v>19858.221034118713</v>
      </c>
      <c r="BC285" s="25">
        <f>BC98</f>
        <v>18118.682537351313</v>
      </c>
      <c r="BD285" s="25">
        <f>BD98</f>
        <v>14883.987484455503</v>
      </c>
      <c r="BE285" s="25">
        <f>BE98</f>
        <v>7362.5962081782964</v>
      </c>
      <c r="BF285" s="25">
        <f>BF98</f>
        <v>4877.5333472792472</v>
      </c>
      <c r="BG285" s="25">
        <f>BG98</f>
        <v>5082.2530226386471</v>
      </c>
      <c r="BH285" s="25">
        <f>BH98</f>
        <v>4936.0378483912045</v>
      </c>
      <c r="BI285" s="25">
        <f>BI98</f>
        <v>14346.126372013572</v>
      </c>
      <c r="BJ285" s="25"/>
      <c r="BK285" s="25"/>
      <c r="BL285" s="25"/>
      <c r="BM285" s="25"/>
    </row>
    <row r="286" spans="2:65" ht="13.5" customHeight="1">
      <c r="B286" s="1" t="s">
        <v>27</v>
      </c>
      <c r="C286" s="25">
        <f>C127</f>
        <v>12958</v>
      </c>
      <c r="D286" s="25">
        <f>D127</f>
        <v>15989</v>
      </c>
      <c r="E286" s="25">
        <f>E127</f>
        <v>10476</v>
      </c>
      <c r="F286" s="25">
        <f>F127</f>
        <v>18767</v>
      </c>
      <c r="G286" s="25">
        <f>G127</f>
        <v>18767</v>
      </c>
      <c r="H286" s="25">
        <f>H127</f>
        <v>23727</v>
      </c>
      <c r="I286" s="25">
        <f>I127</f>
        <v>20490.901000000002</v>
      </c>
      <c r="J286" s="25">
        <f>J127</f>
        <v>43497</v>
      </c>
      <c r="K286" s="25">
        <f>K127</f>
        <v>47247.727693024499</v>
      </c>
      <c r="L286" s="25">
        <f>L127</f>
        <v>40277.075216526406</v>
      </c>
      <c r="M286" s="25">
        <f>M127</f>
        <v>31060</v>
      </c>
      <c r="N286" s="25">
        <f>N127</f>
        <v>32779</v>
      </c>
      <c r="O286" s="25">
        <f>O127</f>
        <v>28066.795562944499</v>
      </c>
      <c r="P286" s="25">
        <f>P127</f>
        <v>41346.218499941373</v>
      </c>
      <c r="Q286" s="328"/>
      <c r="R286" s="25"/>
      <c r="S286" s="25"/>
      <c r="T286" s="86"/>
      <c r="U286" s="25"/>
      <c r="V286" s="25"/>
      <c r="W286" s="25"/>
      <c r="X286" s="25">
        <f>X127</f>
        <v>10476</v>
      </c>
      <c r="Y286" s="25">
        <f>Y127</f>
        <v>13030</v>
      </c>
      <c r="Z286" s="25">
        <f>Z127</f>
        <v>24155</v>
      </c>
      <c r="AA286" s="25">
        <f>AA127</f>
        <v>20206</v>
      </c>
      <c r="AB286" s="25">
        <f>AB127</f>
        <v>18767</v>
      </c>
      <c r="AC286" s="25">
        <f>AC127</f>
        <v>19549</v>
      </c>
      <c r="AD286" s="25">
        <f>AD127</f>
        <v>23469.41</v>
      </c>
      <c r="AE286" s="25">
        <f>AE127</f>
        <v>18474.878000000001</v>
      </c>
      <c r="AF286" s="25">
        <f>AF127</f>
        <v>23727</v>
      </c>
      <c r="AG286" s="25">
        <f>AG127</f>
        <v>23615.403999999999</v>
      </c>
      <c r="AH286" s="25">
        <f>AH127</f>
        <v>23485.576000000001</v>
      </c>
      <c r="AI286" s="25">
        <f>AI127</f>
        <v>30230.074000000001</v>
      </c>
      <c r="AJ286" s="25">
        <f>AJ127</f>
        <v>20490.901000000002</v>
      </c>
      <c r="AK286" s="25">
        <f>AK127</f>
        <v>39433.163</v>
      </c>
      <c r="AL286" s="25">
        <f>AL127</f>
        <v>41473.254999999997</v>
      </c>
      <c r="AM286" s="25">
        <f>AM127</f>
        <v>58057</v>
      </c>
      <c r="AN286" s="25">
        <f>AN127</f>
        <v>43497</v>
      </c>
      <c r="AO286" s="25">
        <f>AO127</f>
        <v>48424.992211382458</v>
      </c>
      <c r="AP286" s="25">
        <f>AP127</f>
        <v>46785.612999999998</v>
      </c>
      <c r="AQ286" s="25">
        <f>AQ127</f>
        <v>50088.027773117428</v>
      </c>
      <c r="AR286" s="25">
        <f>AR127</f>
        <v>47247.727693024499</v>
      </c>
      <c r="AS286" s="25">
        <f>AS127</f>
        <v>49443</v>
      </c>
      <c r="AT286" s="25">
        <f>AT127</f>
        <v>45572.086758024932</v>
      </c>
      <c r="AU286" s="25">
        <f>AU127</f>
        <v>39205</v>
      </c>
      <c r="AV286" s="25">
        <f>AV127</f>
        <v>40277.075216526406</v>
      </c>
      <c r="AW286" s="25">
        <f>AW127</f>
        <v>41147.228000000003</v>
      </c>
      <c r="AX286" s="25">
        <f>AX127</f>
        <v>30948.923731616302</v>
      </c>
      <c r="AY286" s="25">
        <f>AY127</f>
        <v>38543.698639888396</v>
      </c>
      <c r="AZ286" s="25">
        <f>AZ127</f>
        <v>31060</v>
      </c>
      <c r="BA286" s="25">
        <f>BA127</f>
        <v>35045.849000000002</v>
      </c>
      <c r="BB286" s="25">
        <f>BB127</f>
        <v>38270.979020019964</v>
      </c>
      <c r="BC286" s="25">
        <f>BC127</f>
        <v>41493.221950721701</v>
      </c>
      <c r="BD286" s="25">
        <f>BD127</f>
        <v>32779</v>
      </c>
      <c r="BE286" s="25">
        <f>BE127</f>
        <v>30508.71321722955</v>
      </c>
      <c r="BF286" s="25">
        <f>BF127</f>
        <v>37138.532177392168</v>
      </c>
      <c r="BG286" s="25">
        <f>BG127</f>
        <v>34892.935748573102</v>
      </c>
      <c r="BH286" s="25">
        <f>BH127</f>
        <v>28066.795562944499</v>
      </c>
      <c r="BI286" s="25">
        <f>BI127</f>
        <v>41346.218499941373</v>
      </c>
      <c r="BJ286" s="25"/>
      <c r="BK286" s="25"/>
      <c r="BL286" s="25"/>
      <c r="BM286" s="25"/>
    </row>
    <row r="287" spans="2:65" ht="13.5" customHeight="1">
      <c r="B287" s="1" t="s">
        <v>357</v>
      </c>
      <c r="C287" s="25">
        <f>C130</f>
        <v>66027</v>
      </c>
      <c r="D287" s="25">
        <f>D130</f>
        <v>66730</v>
      </c>
      <c r="E287" s="25">
        <f>E130</f>
        <v>88909</v>
      </c>
      <c r="F287" s="25">
        <f>F130</f>
        <v>83360</v>
      </c>
      <c r="G287" s="25">
        <f>G130</f>
        <v>83360</v>
      </c>
      <c r="H287" s="25">
        <f>H130</f>
        <v>81805</v>
      </c>
      <c r="I287" s="25">
        <f>I130</f>
        <v>71360</v>
      </c>
      <c r="J287" s="25">
        <f>J130</f>
        <v>88784</v>
      </c>
      <c r="K287" s="25">
        <f>K130</f>
        <v>87287.728867897953</v>
      </c>
      <c r="L287" s="25">
        <f>L130</f>
        <v>80804.508412944298</v>
      </c>
      <c r="M287" s="25">
        <f>M130</f>
        <v>67735</v>
      </c>
      <c r="N287" s="25">
        <f>N130</f>
        <v>76881</v>
      </c>
      <c r="O287" s="25">
        <f>O130</f>
        <v>82681.435439538458</v>
      </c>
      <c r="P287" s="25">
        <f>P130</f>
        <v>90917.67017102582</v>
      </c>
      <c r="Q287" s="328"/>
      <c r="R287" s="25"/>
      <c r="S287" s="25"/>
      <c r="T287" s="86"/>
      <c r="U287" s="25"/>
      <c r="V287" s="25"/>
      <c r="W287" s="25"/>
      <c r="X287" s="25">
        <f>X130</f>
        <v>88909</v>
      </c>
      <c r="Y287" s="25">
        <f>Y130</f>
        <v>81448</v>
      </c>
      <c r="Z287" s="25">
        <f>Z130</f>
        <v>87595</v>
      </c>
      <c r="AA287" s="25">
        <f>AA130</f>
        <v>78665</v>
      </c>
      <c r="AB287" s="25">
        <f>AB130</f>
        <v>83360</v>
      </c>
      <c r="AC287" s="25">
        <f>AC130</f>
        <v>78696</v>
      </c>
      <c r="AD287" s="25">
        <f>AD130</f>
        <v>93261</v>
      </c>
      <c r="AE287" s="25">
        <f>AE130</f>
        <v>89961</v>
      </c>
      <c r="AF287" s="25">
        <f>AF130</f>
        <v>81805</v>
      </c>
      <c r="AG287" s="25">
        <f>AG130</f>
        <v>77834</v>
      </c>
      <c r="AH287" s="25">
        <f>AH130</f>
        <v>77152</v>
      </c>
      <c r="AI287" s="25">
        <f>AI130</f>
        <v>77916.381533930384</v>
      </c>
      <c r="AJ287" s="25">
        <f>AJ130</f>
        <v>71360</v>
      </c>
      <c r="AK287" s="25">
        <f>AK130</f>
        <v>92938</v>
      </c>
      <c r="AL287" s="25">
        <f>AL130</f>
        <v>92596</v>
      </c>
      <c r="AM287" s="25">
        <f>AM130</f>
        <v>104404</v>
      </c>
      <c r="AN287" s="25">
        <f>AN130</f>
        <v>88784</v>
      </c>
      <c r="AO287" s="25">
        <f>AO130</f>
        <v>90178.612496290094</v>
      </c>
      <c r="AP287" s="25">
        <f>AP130</f>
        <v>85805.334765960652</v>
      </c>
      <c r="AQ287" s="25">
        <f>AQ130</f>
        <v>86789.930819770016</v>
      </c>
      <c r="AR287" s="25">
        <f>AR130</f>
        <v>87287.728867897953</v>
      </c>
      <c r="AS287" s="25">
        <f>AS130</f>
        <v>86081</v>
      </c>
      <c r="AT287" s="25">
        <f>AT130</f>
        <v>82860.269163761768</v>
      </c>
      <c r="AU287" s="25">
        <f>AU130</f>
        <v>76056</v>
      </c>
      <c r="AV287" s="25">
        <f>AV130</f>
        <v>80804.508412944298</v>
      </c>
      <c r="AW287" s="25">
        <f>AW130</f>
        <v>83166.324999999997</v>
      </c>
      <c r="AX287" s="25">
        <f>AX130</f>
        <v>77971.126696596868</v>
      </c>
      <c r="AY287" s="25">
        <f>AY130</f>
        <v>68385.071863518577</v>
      </c>
      <c r="AZ287" s="25">
        <f>AZ130</f>
        <v>67735</v>
      </c>
      <c r="BA287" s="25">
        <f>BA130</f>
        <v>67051</v>
      </c>
      <c r="BB287" s="25">
        <f>BB130</f>
        <v>71446.30646366805</v>
      </c>
      <c r="BC287" s="25">
        <f>BC130</f>
        <v>74903.606112776062</v>
      </c>
      <c r="BD287" s="25">
        <f>BD130</f>
        <v>76881</v>
      </c>
      <c r="BE287" s="25">
        <f>BE130</f>
        <v>77597</v>
      </c>
      <c r="BF287" s="25">
        <f>BF130</f>
        <v>84500.844223599997</v>
      </c>
      <c r="BG287" s="25">
        <f>BG130</f>
        <v>80516.86675317373</v>
      </c>
      <c r="BH287" s="25">
        <f>BH130</f>
        <v>82681.435439538458</v>
      </c>
      <c r="BI287" s="25">
        <f>BI130</f>
        <v>90917.67017102582</v>
      </c>
      <c r="BJ287" s="25"/>
      <c r="BK287" s="25"/>
      <c r="BL287" s="25"/>
      <c r="BM287" s="25"/>
    </row>
    <row r="288" spans="2:65" ht="13.5" customHeight="1">
      <c r="B288" s="1" t="s">
        <v>385</v>
      </c>
      <c r="C288" s="25">
        <f>C135</f>
        <v>73547</v>
      </c>
      <c r="D288" s="25">
        <f>D135</f>
        <v>75082</v>
      </c>
      <c r="E288" s="25">
        <f>E135</f>
        <v>98765</v>
      </c>
      <c r="F288" s="25">
        <f>F135</f>
        <v>93216</v>
      </c>
      <c r="G288" s="25">
        <f>G135</f>
        <v>94720</v>
      </c>
      <c r="H288" s="25">
        <f>H135</f>
        <v>90309</v>
      </c>
      <c r="I288" s="276"/>
      <c r="J288" s="276"/>
      <c r="K288" s="276"/>
      <c r="L288" s="367"/>
      <c r="M288" s="367"/>
      <c r="N288" s="367"/>
      <c r="O288" s="367"/>
      <c r="P288" s="367"/>
      <c r="Q288" s="328"/>
      <c r="R288" s="367"/>
      <c r="S288" s="367"/>
      <c r="T288" s="368"/>
      <c r="U288" s="367"/>
      <c r="V288" s="367"/>
      <c r="W288" s="367"/>
      <c r="X288" s="367">
        <f>X135</f>
        <v>98765</v>
      </c>
      <c r="Y288" s="367">
        <f>Y135</f>
        <v>91304</v>
      </c>
      <c r="Z288" s="367">
        <f>Z135</f>
        <v>97451</v>
      </c>
      <c r="AA288" s="367">
        <f>AA135</f>
        <v>88521</v>
      </c>
      <c r="AB288" s="367">
        <f>AB135</f>
        <v>93216</v>
      </c>
      <c r="AC288" s="367">
        <f>AC135</f>
        <v>88214</v>
      </c>
      <c r="AD288" s="367">
        <f>AD135</f>
        <v>102441</v>
      </c>
      <c r="AE288" s="367">
        <f>AE135</f>
        <v>98803</v>
      </c>
      <c r="AF288" s="367">
        <f>AF135</f>
        <v>90309</v>
      </c>
      <c r="AG288" s="367"/>
      <c r="AH288" s="367"/>
      <c r="AI288" s="367"/>
      <c r="AJ288" s="367"/>
      <c r="AK288" s="367"/>
      <c r="AL288" s="367"/>
      <c r="AM288" s="367"/>
      <c r="AN288" s="367"/>
      <c r="AO288" s="367"/>
      <c r="AP288" s="367"/>
      <c r="AQ288" s="367"/>
      <c r="AR288" s="367"/>
      <c r="AS288" s="367"/>
      <c r="AT288" s="367"/>
      <c r="AU288" s="367"/>
      <c r="AV288" s="367"/>
      <c r="AW288" s="367"/>
      <c r="AX288" s="367"/>
      <c r="AY288" s="367"/>
      <c r="AZ288" s="367"/>
      <c r="BA288" s="367"/>
      <c r="BB288" s="367"/>
      <c r="BC288" s="367"/>
      <c r="BD288" s="367"/>
      <c r="BE288" s="367"/>
      <c r="BF288" s="367"/>
      <c r="BG288" s="367"/>
      <c r="BH288" s="367"/>
      <c r="BI288" s="367"/>
      <c r="BJ288" s="25"/>
      <c r="BK288" s="25"/>
      <c r="BL288" s="25"/>
      <c r="BM288" s="25"/>
    </row>
    <row r="289" spans="2:65" ht="13.5" customHeight="1">
      <c r="B289" s="1" t="s">
        <v>368</v>
      </c>
      <c r="C289" s="25">
        <f>C129</f>
        <v>53069</v>
      </c>
      <c r="D289" s="25">
        <f>D129</f>
        <v>50741</v>
      </c>
      <c r="E289" s="25">
        <f>E129</f>
        <v>78433</v>
      </c>
      <c r="F289" s="25">
        <f>F129</f>
        <v>64593</v>
      </c>
      <c r="G289" s="25">
        <f>G129</f>
        <v>64593</v>
      </c>
      <c r="H289" s="25">
        <f>H129</f>
        <v>58078</v>
      </c>
      <c r="I289" s="25">
        <f>I129</f>
        <v>50869.099000000002</v>
      </c>
      <c r="J289" s="25">
        <f>J129</f>
        <v>45287</v>
      </c>
      <c r="K289" s="25">
        <f>K129</f>
        <v>40040.001174873454</v>
      </c>
      <c r="L289" s="25">
        <f>L129</f>
        <v>40527.433196417893</v>
      </c>
      <c r="M289" s="25">
        <f>M129</f>
        <v>36675</v>
      </c>
      <c r="N289" s="25">
        <f>N129</f>
        <v>44102</v>
      </c>
      <c r="O289" s="25">
        <f>O129</f>
        <v>54614.639876593959</v>
      </c>
      <c r="P289" s="25">
        <f>P129</f>
        <v>49571.451671084447</v>
      </c>
      <c r="Q289" s="328"/>
      <c r="R289" s="25"/>
      <c r="S289" s="25"/>
      <c r="T289" s="86"/>
      <c r="U289" s="25"/>
      <c r="V289" s="25"/>
      <c r="W289" s="25"/>
      <c r="X289" s="25">
        <f>X129</f>
        <v>78433</v>
      </c>
      <c r="Y289" s="25">
        <f>Y129</f>
        <v>68418</v>
      </c>
      <c r="Z289" s="25">
        <f>Z129</f>
        <v>63440</v>
      </c>
      <c r="AA289" s="25">
        <f>AA129</f>
        <v>58459</v>
      </c>
      <c r="AB289" s="25">
        <f>AB129</f>
        <v>64593</v>
      </c>
      <c r="AC289" s="25">
        <f>AC129</f>
        <v>59147</v>
      </c>
      <c r="AD289" s="25">
        <f>AD129</f>
        <v>69791.59</v>
      </c>
      <c r="AE289" s="25">
        <f>AE129</f>
        <v>71486.122000000003</v>
      </c>
      <c r="AF289" s="25">
        <f>AF129</f>
        <v>58078</v>
      </c>
      <c r="AG289" s="25">
        <f>AG129</f>
        <v>54218.596000000005</v>
      </c>
      <c r="AH289" s="25">
        <f>AH129</f>
        <v>53666.423999999999</v>
      </c>
      <c r="AI289" s="25">
        <f>AI129</f>
        <v>47686.307533930383</v>
      </c>
      <c r="AJ289" s="25">
        <f>AJ129</f>
        <v>50869.099000000002</v>
      </c>
      <c r="AK289" s="25">
        <f>AK129</f>
        <v>53504.837</v>
      </c>
      <c r="AL289" s="25">
        <f>AL129</f>
        <v>51122.745000000003</v>
      </c>
      <c r="AM289" s="25">
        <f>AM129</f>
        <v>46347</v>
      </c>
      <c r="AN289" s="25">
        <f>AN129</f>
        <v>45287</v>
      </c>
      <c r="AO289" s="25">
        <f>AO129</f>
        <v>41753.620284907636</v>
      </c>
      <c r="AP289" s="25">
        <f>AP129</f>
        <v>39019.721765960654</v>
      </c>
      <c r="AQ289" s="25">
        <f>AQ129</f>
        <v>36701.903046652587</v>
      </c>
      <c r="AR289" s="25">
        <f>AR129</f>
        <v>40040.001174873454</v>
      </c>
      <c r="AS289" s="25">
        <f>AS129</f>
        <v>36638</v>
      </c>
      <c r="AT289" s="25">
        <f>AT129</f>
        <v>37288.182405736836</v>
      </c>
      <c r="AU289" s="25">
        <f>AU129</f>
        <v>36851</v>
      </c>
      <c r="AV289" s="25">
        <f>AV129</f>
        <v>40527.433196417893</v>
      </c>
      <c r="AW289" s="25">
        <f>AW129</f>
        <v>42019.096999999994</v>
      </c>
      <c r="AX289" s="25">
        <f>AX129</f>
        <v>47022.202964980563</v>
      </c>
      <c r="AY289" s="25">
        <f>AY129</f>
        <v>29841.37322363018</v>
      </c>
      <c r="AZ289" s="25">
        <f>AZ129</f>
        <v>36675</v>
      </c>
      <c r="BA289" s="25">
        <f>BA129</f>
        <v>32005.150999999998</v>
      </c>
      <c r="BB289" s="25">
        <f>BB129</f>
        <v>33175.327443648086</v>
      </c>
      <c r="BC289" s="25">
        <f>BC129</f>
        <v>33410.384162054361</v>
      </c>
      <c r="BD289" s="25">
        <f>BD129</f>
        <v>44102</v>
      </c>
      <c r="BE289" s="25">
        <f>BE129</f>
        <v>47088.286782770447</v>
      </c>
      <c r="BF289" s="25">
        <f>BF129</f>
        <v>47362.31204620783</v>
      </c>
      <c r="BG289" s="25">
        <f>BG129</f>
        <v>45623.931004600629</v>
      </c>
      <c r="BH289" s="25">
        <f>BH129</f>
        <v>54614.639876593959</v>
      </c>
      <c r="BI289" s="25">
        <f>BI129</f>
        <v>49571.451671084447</v>
      </c>
      <c r="BJ289" s="25"/>
      <c r="BK289" s="25"/>
      <c r="BL289" s="25"/>
      <c r="BM289" s="25"/>
    </row>
    <row r="290" spans="2:65" ht="13.5" customHeight="1">
      <c r="B290" s="1" t="s">
        <v>386</v>
      </c>
      <c r="C290" s="25">
        <f>C134</f>
        <v>60589</v>
      </c>
      <c r="D290" s="25">
        <f>D134</f>
        <v>59093</v>
      </c>
      <c r="E290" s="25">
        <f>E134</f>
        <v>88289</v>
      </c>
      <c r="F290" s="25">
        <f>F134</f>
        <v>74449</v>
      </c>
      <c r="G290" s="25">
        <f>G134</f>
        <v>75953</v>
      </c>
      <c r="H290" s="25">
        <f>H134</f>
        <v>66582</v>
      </c>
      <c r="I290" s="276"/>
      <c r="J290" s="276"/>
      <c r="K290" s="276"/>
      <c r="L290" s="367"/>
      <c r="M290" s="367"/>
      <c r="N290" s="367"/>
      <c r="O290" s="367"/>
      <c r="P290" s="367"/>
      <c r="Q290" s="328"/>
      <c r="R290" s="367"/>
      <c r="S290" s="367"/>
      <c r="T290" s="368"/>
      <c r="U290" s="367"/>
      <c r="V290" s="367"/>
      <c r="W290" s="367"/>
      <c r="X290" s="367">
        <f>X134</f>
        <v>88289</v>
      </c>
      <c r="Y290" s="367">
        <f>Y134</f>
        <v>78274</v>
      </c>
      <c r="Z290" s="367">
        <f>Z134</f>
        <v>73296</v>
      </c>
      <c r="AA290" s="367">
        <f>AA134</f>
        <v>68315</v>
      </c>
      <c r="AB290" s="367">
        <f>AB134</f>
        <v>74449</v>
      </c>
      <c r="AC290" s="367">
        <f>AC134</f>
        <v>68665</v>
      </c>
      <c r="AD290" s="367">
        <f>AD134</f>
        <v>78971.59</v>
      </c>
      <c r="AE290" s="367">
        <f>AE134</f>
        <v>80328.122000000003</v>
      </c>
      <c r="AF290" s="367">
        <f>AF134</f>
        <v>66582</v>
      </c>
      <c r="AG290" s="367"/>
      <c r="AH290" s="367"/>
      <c r="AI290" s="367"/>
      <c r="AJ290" s="367"/>
      <c r="AK290" s="367"/>
      <c r="AL290" s="367"/>
      <c r="AM290" s="367"/>
      <c r="AN290" s="367"/>
      <c r="AO290" s="367"/>
      <c r="AP290" s="367"/>
      <c r="AQ290" s="367"/>
      <c r="AR290" s="367"/>
      <c r="AS290" s="367"/>
      <c r="AT290" s="367"/>
      <c r="AU290" s="367"/>
      <c r="AV290" s="367"/>
      <c r="AW290" s="367"/>
      <c r="AX290" s="367"/>
      <c r="AY290" s="367"/>
      <c r="AZ290" s="367"/>
      <c r="BA290" s="367"/>
      <c r="BB290" s="367"/>
      <c r="BC290" s="367"/>
      <c r="BD290" s="367"/>
      <c r="BE290" s="367"/>
      <c r="BF290" s="367"/>
      <c r="BG290" s="367"/>
      <c r="BH290" s="367"/>
      <c r="BI290" s="367"/>
      <c r="BJ290" s="25"/>
      <c r="BK290" s="25"/>
      <c r="BL290" s="25"/>
      <c r="BM290" s="25"/>
    </row>
    <row r="291" spans="2:65" ht="13.5" customHeight="1">
      <c r="B291" s="1" t="s">
        <v>387</v>
      </c>
      <c r="C291" s="51">
        <f>C148</f>
        <v>2.3843348259425103</v>
      </c>
      <c r="D291" s="51">
        <f>D148</f>
        <v>2.240163824358802</v>
      </c>
      <c r="E291" s="51">
        <f>E148</f>
        <v>2.7284416620634628</v>
      </c>
      <c r="F291" s="51">
        <f>F148</f>
        <v>2.1079662055794035</v>
      </c>
      <c r="G291" s="51">
        <f>G148</f>
        <v>2.296953612967696</v>
      </c>
      <c r="H291" s="51">
        <f>H148</f>
        <v>2.3072428247072114</v>
      </c>
      <c r="I291" s="51">
        <f>I148</f>
        <v>1.9209805836900709</v>
      </c>
      <c r="J291" s="51">
        <f>J148</f>
        <v>2.3773764472866534</v>
      </c>
      <c r="K291" s="51">
        <f>K148</f>
        <v>2.2468338337346636</v>
      </c>
      <c r="L291" s="51">
        <f>L148</f>
        <v>1.8791393552166393</v>
      </c>
      <c r="M291" s="51">
        <f>M148</f>
        <v>1.4592529980043489</v>
      </c>
      <c r="N291" s="51">
        <f>N148</f>
        <v>1.3678621884897002</v>
      </c>
      <c r="O291" s="51">
        <f>O148</f>
        <v>1.3987813059069252</v>
      </c>
      <c r="P291" s="51">
        <f>P148</f>
        <v>1.5350132220159103</v>
      </c>
      <c r="Q291" s="328"/>
      <c r="R291" s="51"/>
      <c r="S291" s="51"/>
      <c r="T291" s="103"/>
      <c r="U291" s="51"/>
      <c r="V291" s="51"/>
      <c r="W291" s="51"/>
      <c r="X291" s="51">
        <f>X148</f>
        <v>2.7284416620634628</v>
      </c>
      <c r="Y291" s="51">
        <f>Y148</f>
        <v>2.3435169822977691</v>
      </c>
      <c r="Z291" s="51">
        <f>Z148</f>
        <v>2.4347475428492782</v>
      </c>
      <c r="AA291" s="51">
        <f>AA148</f>
        <v>2.120929629622839</v>
      </c>
      <c r="AB291" s="51">
        <f>AB148</f>
        <v>2.1079662055794035</v>
      </c>
      <c r="AC291" s="51">
        <f>AC148</f>
        <v>2.0010557058909875</v>
      </c>
      <c r="AD291" s="51">
        <f>AD148</f>
        <v>2.3524938955254182</v>
      </c>
      <c r="AE291" s="51">
        <f>AE148</f>
        <v>2.294794500106923</v>
      </c>
      <c r="AF291" s="51">
        <f>AF148</f>
        <v>2.3072428247072123</v>
      </c>
      <c r="AG291" s="51">
        <f>AG148</f>
        <v>2.1722029014300315</v>
      </c>
      <c r="AH291" s="51">
        <f>AH148</f>
        <v>2.1262402097199695</v>
      </c>
      <c r="AI291" s="51">
        <f>AI148</f>
        <v>2.0578292701400631</v>
      </c>
      <c r="AJ291" s="51">
        <f>AJ148</f>
        <v>1.9209805836900709</v>
      </c>
      <c r="AK291" s="51">
        <f>AK148</f>
        <v>2.4656214270652455</v>
      </c>
      <c r="AL291" s="51">
        <f>AL148</f>
        <v>2.5206652850995277</v>
      </c>
      <c r="AM291" s="51">
        <f>AM148</f>
        <v>2.8416575274789602</v>
      </c>
      <c r="AN291" s="51">
        <f>AN148</f>
        <v>2.3773564592743566</v>
      </c>
      <c r="AO291" s="51">
        <f>AO148</f>
        <v>2.4329032252623377</v>
      </c>
      <c r="AP291" s="51">
        <f>AP148</f>
        <v>2.2085158503974425</v>
      </c>
      <c r="AQ291" s="51">
        <f>AQ148</f>
        <v>2.2781282370817637</v>
      </c>
      <c r="AR291" s="51">
        <f>AR148</f>
        <v>2.2468307272904213</v>
      </c>
      <c r="AS291" s="51">
        <f>AS148</f>
        <v>2.1590815311469664</v>
      </c>
      <c r="AT291" s="51">
        <f>AT148</f>
        <v>2.0474862394994946</v>
      </c>
      <c r="AU291" s="51">
        <f>AU148</f>
        <v>1.8205987372224128</v>
      </c>
      <c r="AV291" s="51">
        <f>AV148</f>
        <v>1.8791393552166393</v>
      </c>
      <c r="AW291" s="51">
        <f>AW148</f>
        <v>1.9033021939847317</v>
      </c>
      <c r="AX291" s="51">
        <f>AX148</f>
        <v>1.751065957529695</v>
      </c>
      <c r="AY291" s="51">
        <f>AY148</f>
        <v>1.4953503176377572</v>
      </c>
      <c r="AZ291" s="51">
        <f>AZ148</f>
        <v>1.4592529980043489</v>
      </c>
      <c r="BA291" s="51">
        <f>BA148</f>
        <v>1.4015798855393693</v>
      </c>
      <c r="BB291" s="51">
        <f>BB148</f>
        <v>1.4197635140947189</v>
      </c>
      <c r="BC291" s="51">
        <f>BC148</f>
        <v>1.4269093956913224</v>
      </c>
      <c r="BD291" s="51">
        <f>BD148</f>
        <v>1.3678621884897002</v>
      </c>
      <c r="BE291" s="51">
        <f>BE148</f>
        <v>1.3491513252574923</v>
      </c>
      <c r="BF291" s="51">
        <f>BF148</f>
        <v>1.4829649777291076</v>
      </c>
      <c r="BG291" s="51">
        <f>BG148</f>
        <v>1.4020291683117532</v>
      </c>
      <c r="BH291" s="51">
        <f>BH148</f>
        <v>1.3987813059069252</v>
      </c>
      <c r="BI291" s="51">
        <f>BI148</f>
        <v>1.5350132220159103</v>
      </c>
      <c r="BJ291" s="51"/>
      <c r="BK291" s="51"/>
      <c r="BL291" s="51"/>
      <c r="BM291" s="51"/>
    </row>
    <row r="292" spans="2:65" ht="13.5" customHeight="1">
      <c r="B292" s="5" t="s">
        <v>388</v>
      </c>
      <c r="C292" s="50">
        <f>C147</f>
        <v>1.9164018489094323</v>
      </c>
      <c r="D292" s="50">
        <f>D147</f>
        <v>1.7034040553242917</v>
      </c>
      <c r="E292" s="50">
        <f>E147</f>
        <v>2.4069539065856502</v>
      </c>
      <c r="F292" s="50">
        <f>F147</f>
        <v>1.63339564679691</v>
      </c>
      <c r="G292" s="50">
        <f>G147</f>
        <v>1.7798359491653357</v>
      </c>
      <c r="H292" s="50">
        <f>H147</f>
        <v>1.6380422807083361</v>
      </c>
      <c r="I292" s="50">
        <f>I147</f>
        <v>1.3693743201906952</v>
      </c>
      <c r="J292" s="50">
        <f>J147</f>
        <v>1.2126537120232324</v>
      </c>
      <c r="K292" s="50">
        <f>K147</f>
        <v>1.0306515074831712</v>
      </c>
      <c r="L292" s="50">
        <f>L147</f>
        <v>0.94248076228754574</v>
      </c>
      <c r="M292" s="50">
        <f>M147</f>
        <v>0.79011004210245073</v>
      </c>
      <c r="N292" s="50">
        <f>N147</f>
        <v>0.78466016618895118</v>
      </c>
      <c r="O292" s="50">
        <f>O147</f>
        <v>0.92395514037830506</v>
      </c>
      <c r="P292" s="50">
        <f>P147</f>
        <v>0.83694218743725612</v>
      </c>
      <c r="Q292" s="328"/>
      <c r="R292" s="50"/>
      <c r="S292" s="50"/>
      <c r="T292" s="102"/>
      <c r="U292" s="50"/>
      <c r="V292" s="50"/>
      <c r="W292" s="50"/>
      <c r="X292" s="50">
        <f>X147</f>
        <v>2.4069539065856502</v>
      </c>
      <c r="Y292" s="50">
        <f>Y147</f>
        <v>1.9686026040522635</v>
      </c>
      <c r="Z292" s="50">
        <f>Z147</f>
        <v>1.7633470417073829</v>
      </c>
      <c r="AA292" s="50">
        <f>AA147</f>
        <v>1.5761447304153251</v>
      </c>
      <c r="AB292" s="50">
        <f>AB147</f>
        <v>1.63339564679691</v>
      </c>
      <c r="AC292" s="50">
        <f>AC147</f>
        <v>1.5039702378308202</v>
      </c>
      <c r="AD292" s="50">
        <f>AD147</f>
        <v>1.7604817601571163</v>
      </c>
      <c r="AE292" s="50">
        <f>AE147</f>
        <v>1.8235230777733966</v>
      </c>
      <c r="AF292" s="50">
        <f>AF147</f>
        <v>1.6380422807083366</v>
      </c>
      <c r="AG292" s="50">
        <f>AG147</f>
        <v>1.5131406781440335</v>
      </c>
      <c r="AH292" s="50">
        <f>AH147</f>
        <v>1.4789987119022294</v>
      </c>
      <c r="AI292" s="50">
        <f>AI147</f>
        <v>1.25943065497067</v>
      </c>
      <c r="AJ292" s="50">
        <f>AJ147</f>
        <v>1.3693743201906952</v>
      </c>
      <c r="AK292" s="50">
        <f>AK147</f>
        <v>1.4194696739636461</v>
      </c>
      <c r="AL292" s="50">
        <f>AL147</f>
        <v>1.3916727353286908</v>
      </c>
      <c r="AM292" s="50">
        <f>AM147</f>
        <v>1.2614679650786116</v>
      </c>
      <c r="AN292" s="50">
        <f>AN147</f>
        <v>1.2126435165250247</v>
      </c>
      <c r="AO292" s="50">
        <f>AO147</f>
        <v>1.126459086534624</v>
      </c>
      <c r="AP292" s="50">
        <f>AP147</f>
        <v>1.0043160397109534</v>
      </c>
      <c r="AQ292" s="50">
        <f>AQ147</f>
        <v>0.96337951759457385</v>
      </c>
      <c r="AR292" s="50">
        <f>AR147</f>
        <v>1.0306500825173404</v>
      </c>
      <c r="AS292" s="50">
        <f>AS147</f>
        <v>0.9189534175737103</v>
      </c>
      <c r="AT292" s="50">
        <f>AT147</f>
        <v>0.92139503216920582</v>
      </c>
      <c r="AU292" s="50">
        <f>AU147</f>
        <v>0.8821248036365722</v>
      </c>
      <c r="AV292" s="50">
        <f>AV147</f>
        <v>0.94248076228754574</v>
      </c>
      <c r="AW292" s="50">
        <f>AW147</f>
        <v>0.96162767213000266</v>
      </c>
      <c r="AX292" s="50">
        <f>AX147</f>
        <v>1.056018841185004</v>
      </c>
      <c r="AY292" s="50">
        <f>AY147</f>
        <v>0.65252994129713671</v>
      </c>
      <c r="AZ292" s="50">
        <f>AZ147</f>
        <v>0.79011004210245073</v>
      </c>
      <c r="BA292" s="50">
        <f>BA147</f>
        <v>0.66900979665105997</v>
      </c>
      <c r="BB292" s="50">
        <f>BB147</f>
        <v>0.65925198661723239</v>
      </c>
      <c r="BC292" s="50">
        <f>BC147</f>
        <v>0.63646589995565495</v>
      </c>
      <c r="BD292" s="50">
        <f>BD147</f>
        <v>0.78466016618895118</v>
      </c>
      <c r="BE292" s="50">
        <f>BE147</f>
        <v>0.81870722472620849</v>
      </c>
      <c r="BF292" s="50">
        <f>BF147</f>
        <v>0.83119465461136133</v>
      </c>
      <c r="BG292" s="50">
        <f>BG147</f>
        <v>0.79444325916931779</v>
      </c>
      <c r="BH292" s="50">
        <f>BH147</f>
        <v>0.92395514037830506</v>
      </c>
      <c r="BI292" s="50">
        <f>BI147</f>
        <v>0.83694218743725612</v>
      </c>
      <c r="BJ292" s="50"/>
      <c r="BK292" s="50"/>
      <c r="BL292" s="50"/>
      <c r="BM292" s="50"/>
    </row>
    <row r="293" spans="2:65" ht="13.5" hidden="1" customHeight="1" outlineLevel="1">
      <c r="B293" s="1" t="s">
        <v>389</v>
      </c>
      <c r="C293" s="51">
        <f>C151</f>
        <v>2.5686993573623917</v>
      </c>
      <c r="D293" s="51">
        <f>D151</f>
        <v>2.4351971977166582</v>
      </c>
      <c r="E293" s="51">
        <f>E151</f>
        <v>2.9204861316458692</v>
      </c>
      <c r="F293" s="51">
        <f>F151</f>
        <v>2.2859818860655206</v>
      </c>
      <c r="G293" s="51">
        <f>G151</f>
        <v>2.5116975445745751</v>
      </c>
      <c r="H293" s="51">
        <f>H151</f>
        <v>2.4729495550085905</v>
      </c>
      <c r="I293" s="273"/>
      <c r="J293" s="273"/>
      <c r="K293" s="273"/>
      <c r="L293" s="361"/>
      <c r="M293" s="361"/>
      <c r="N293" s="361"/>
      <c r="O293" s="361"/>
      <c r="P293" s="361"/>
      <c r="Q293" s="328"/>
      <c r="R293" s="361"/>
      <c r="S293" s="361"/>
      <c r="T293" s="362"/>
      <c r="U293" s="361"/>
      <c r="V293" s="361"/>
      <c r="W293" s="361"/>
      <c r="X293" s="361">
        <f>X151</f>
        <v>2.9204861316458692</v>
      </c>
      <c r="Y293" s="361">
        <f>Y151</f>
        <v>2.5371664710105168</v>
      </c>
      <c r="Z293" s="361">
        <f>Z151</f>
        <v>2.6190143705953579</v>
      </c>
      <c r="AA293" s="361">
        <f>AA151</f>
        <v>2.3099343695876202</v>
      </c>
      <c r="AB293" s="361">
        <f>AB151</f>
        <v>2.2859818860655206</v>
      </c>
      <c r="AC293" s="361">
        <f>AC151</f>
        <v>2.177210049976317</v>
      </c>
      <c r="AD293" s="361">
        <f>AD151</f>
        <v>2.5113652017171155</v>
      </c>
      <c r="AE293" s="361">
        <f>AE151</f>
        <v>2.4512340143478526</v>
      </c>
      <c r="AF293" s="361">
        <f>AF151</f>
        <v>2.4729495550085909</v>
      </c>
      <c r="AG293" s="361"/>
      <c r="AH293" s="361"/>
      <c r="AI293" s="361"/>
      <c r="AJ293" s="361"/>
      <c r="AK293" s="361"/>
      <c r="AL293" s="361"/>
      <c r="AM293" s="361"/>
      <c r="AN293" s="361"/>
      <c r="AO293" s="361"/>
      <c r="AP293" s="361"/>
      <c r="AQ293" s="361"/>
      <c r="AR293" s="361"/>
      <c r="AS293" s="361"/>
      <c r="AT293" s="361"/>
      <c r="AU293" s="361"/>
      <c r="AV293" s="361"/>
      <c r="AW293" s="361"/>
      <c r="AX293" s="361"/>
      <c r="AY293" s="361"/>
      <c r="AZ293" s="361"/>
      <c r="BA293" s="361"/>
      <c r="BB293" s="361"/>
      <c r="BC293" s="361"/>
      <c r="BD293" s="361"/>
      <c r="BE293" s="361"/>
      <c r="BF293" s="361"/>
      <c r="BG293" s="361"/>
      <c r="BH293" s="361"/>
      <c r="BI293" s="361"/>
      <c r="BJ293" s="51"/>
      <c r="BK293" s="51"/>
      <c r="BL293" s="51"/>
      <c r="BM293" s="51"/>
    </row>
    <row r="294" spans="2:65" ht="13.5" hidden="1" customHeight="1" outlineLevel="1">
      <c r="B294" s="5" t="s">
        <v>390</v>
      </c>
      <c r="C294" s="50">
        <f>C150</f>
        <v>2.1161288069293098</v>
      </c>
      <c r="D294" s="50">
        <f>D150</f>
        <v>1.9166126102750389</v>
      </c>
      <c r="E294" s="50">
        <f>E150</f>
        <v>2.6107102726358744</v>
      </c>
      <c r="F294" s="50">
        <f>F150</f>
        <v>1.825749500468717</v>
      </c>
      <c r="G294" s="50">
        <f>G150</f>
        <v>2.0140515583094669</v>
      </c>
      <c r="H294" s="50">
        <f>H150</f>
        <v>1.8232283301950192</v>
      </c>
      <c r="I294" s="272"/>
      <c r="J294" s="272"/>
      <c r="K294" s="272"/>
      <c r="L294" s="359"/>
      <c r="M294" s="359"/>
      <c r="N294" s="359"/>
      <c r="O294" s="359"/>
      <c r="P294" s="359"/>
      <c r="Q294" s="328"/>
      <c r="R294" s="359"/>
      <c r="S294" s="359"/>
      <c r="T294" s="360"/>
      <c r="U294" s="359"/>
      <c r="V294" s="359"/>
      <c r="W294" s="359"/>
      <c r="X294" s="359">
        <f>X150</f>
        <v>2.6107102726358744</v>
      </c>
      <c r="Y294" s="359">
        <f>Y150</f>
        <v>2.1750872727577892</v>
      </c>
      <c r="Z294" s="359">
        <f>Z150</f>
        <v>1.9698440991591402</v>
      </c>
      <c r="AA294" s="359">
        <f>AA150</f>
        <v>1.782663621721154</v>
      </c>
      <c r="AB294" s="359">
        <f>AB150</f>
        <v>1.825749500468717</v>
      </c>
      <c r="AC294" s="359">
        <f>AC150</f>
        <v>1.6947211109531797</v>
      </c>
      <c r="AD294" s="359">
        <f>AD150</f>
        <v>1.9360070972586303</v>
      </c>
      <c r="AE294" s="359">
        <f>AE150</f>
        <v>1.9928850840063972</v>
      </c>
      <c r="AF294" s="359">
        <f>AF150</f>
        <v>1.8232283301950194</v>
      </c>
      <c r="AG294" s="359"/>
      <c r="AH294" s="359"/>
      <c r="AI294" s="359"/>
      <c r="AJ294" s="359"/>
      <c r="AK294" s="359"/>
      <c r="AL294" s="359"/>
      <c r="AM294" s="359"/>
      <c r="AN294" s="359"/>
      <c r="AO294" s="359"/>
      <c r="AP294" s="359"/>
      <c r="AQ294" s="359"/>
      <c r="AR294" s="359"/>
      <c r="AS294" s="359"/>
      <c r="AT294" s="359"/>
      <c r="AU294" s="359"/>
      <c r="AV294" s="359"/>
      <c r="AW294" s="359"/>
      <c r="AX294" s="359"/>
      <c r="AY294" s="359"/>
      <c r="AZ294" s="359"/>
      <c r="BA294" s="359"/>
      <c r="BB294" s="359"/>
      <c r="BC294" s="359"/>
      <c r="BD294" s="359"/>
      <c r="BE294" s="359"/>
      <c r="BF294" s="359"/>
      <c r="BG294" s="359"/>
      <c r="BH294" s="359"/>
      <c r="BI294" s="359"/>
      <c r="BJ294" s="50"/>
      <c r="BK294" s="50"/>
      <c r="BL294" s="50"/>
      <c r="BM294" s="50"/>
    </row>
    <row r="295" spans="2:65" ht="13.5" customHeight="1" collapsed="1">
      <c r="Q295" s="328"/>
      <c r="BF295" s="1"/>
      <c r="BJ295" s="1"/>
      <c r="BK295" s="1"/>
    </row>
    <row r="296" spans="2:65" ht="13.5" customHeight="1">
      <c r="B296" s="17" t="s">
        <v>391</v>
      </c>
      <c r="C296" s="142">
        <f>C3</f>
        <v>41975</v>
      </c>
      <c r="D296" s="142">
        <f>D3</f>
        <v>42341</v>
      </c>
      <c r="E296" s="142">
        <f>E3</f>
        <v>42708</v>
      </c>
      <c r="F296" s="142">
        <f>F3</f>
        <v>43073</v>
      </c>
      <c r="G296" s="142">
        <f>G3</f>
        <v>43073</v>
      </c>
      <c r="H296" s="142">
        <f>H3</f>
        <v>43438</v>
      </c>
      <c r="I296" s="142">
        <f>I3</f>
        <v>43803</v>
      </c>
      <c r="J296" s="142">
        <f>J3</f>
        <v>44169</v>
      </c>
      <c r="K296" s="142">
        <f>K3</f>
        <v>44534</v>
      </c>
      <c r="L296" s="142">
        <f>L3</f>
        <v>44899</v>
      </c>
      <c r="M296" s="142">
        <f>M3</f>
        <v>45264</v>
      </c>
      <c r="N296" s="142">
        <f>N3</f>
        <v>45630</v>
      </c>
      <c r="O296" s="142">
        <f>O3</f>
        <v>45995</v>
      </c>
      <c r="P296" s="142">
        <f>P3</f>
        <v>46112</v>
      </c>
      <c r="Q296" s="326"/>
      <c r="R296" s="142">
        <f>R3</f>
        <v>43439</v>
      </c>
      <c r="S296" s="142">
        <f>S3</f>
        <v>43805</v>
      </c>
      <c r="T296" s="142">
        <f>T3</f>
        <v>44172</v>
      </c>
      <c r="U296" s="142">
        <f>U3</f>
        <v>42437</v>
      </c>
      <c r="V296" s="142">
        <f>V3</f>
        <v>42527</v>
      </c>
      <c r="W296" s="142">
        <f>W3</f>
        <v>42622</v>
      </c>
      <c r="X296" s="142">
        <f>X3</f>
        <v>42714</v>
      </c>
      <c r="Y296" s="142">
        <f>Y3</f>
        <v>42801</v>
      </c>
      <c r="Z296" s="142">
        <f>Z3</f>
        <v>42892</v>
      </c>
      <c r="AA296" s="142">
        <f>AA3</f>
        <v>42987</v>
      </c>
      <c r="AB296" s="142">
        <f>AB3</f>
        <v>43100</v>
      </c>
      <c r="AC296" s="142">
        <f>AC3</f>
        <v>43190</v>
      </c>
      <c r="AD296" s="142">
        <f>AD3</f>
        <v>43281</v>
      </c>
      <c r="AE296" s="142">
        <f>AE3</f>
        <v>43373</v>
      </c>
      <c r="AF296" s="142">
        <f>AF3</f>
        <v>43465</v>
      </c>
      <c r="AG296" s="142">
        <f>AG3</f>
        <v>43555</v>
      </c>
      <c r="AH296" s="142">
        <f>AH3</f>
        <v>43646</v>
      </c>
      <c r="AI296" s="142">
        <f>AI3</f>
        <v>43738</v>
      </c>
      <c r="AJ296" s="142">
        <f>AJ3</f>
        <v>43830</v>
      </c>
      <c r="AK296" s="142">
        <f>AK3</f>
        <v>43921</v>
      </c>
      <c r="AL296" s="142">
        <f>AL3</f>
        <v>44012</v>
      </c>
      <c r="AM296" s="142">
        <f>AM3</f>
        <v>44104</v>
      </c>
      <c r="AN296" s="142">
        <f>AN3</f>
        <v>44196</v>
      </c>
      <c r="AO296" s="142">
        <f>AO3</f>
        <v>44286</v>
      </c>
      <c r="AP296" s="142">
        <f>AP3</f>
        <v>44377</v>
      </c>
      <c r="AQ296" s="142">
        <f>AQ3</f>
        <v>44469</v>
      </c>
      <c r="AR296" s="142">
        <f>AR3</f>
        <v>44561</v>
      </c>
      <c r="AS296" s="142">
        <f>AS3</f>
        <v>44651</v>
      </c>
      <c r="AT296" s="142">
        <f>AT3</f>
        <v>44742</v>
      </c>
      <c r="AU296" s="142">
        <f>AU3</f>
        <v>44834</v>
      </c>
      <c r="AV296" s="142">
        <f>AV3</f>
        <v>44926</v>
      </c>
      <c r="AW296" s="142">
        <f>AW3</f>
        <v>45016</v>
      </c>
      <c r="AX296" s="142">
        <f>AX3</f>
        <v>45107</v>
      </c>
      <c r="AY296" s="142">
        <f>AY3</f>
        <v>45199</v>
      </c>
      <c r="AZ296" s="142">
        <f>AZ3</f>
        <v>45291</v>
      </c>
      <c r="BA296" s="142">
        <f>BA3</f>
        <v>45382</v>
      </c>
      <c r="BB296" s="142">
        <f>BB3</f>
        <v>45473</v>
      </c>
      <c r="BC296" s="142">
        <f>BC3</f>
        <v>45565</v>
      </c>
      <c r="BD296" s="142">
        <f>BD3</f>
        <v>45657</v>
      </c>
      <c r="BE296" s="142">
        <f>BE3</f>
        <v>45747</v>
      </c>
      <c r="BF296" s="142">
        <f>BF3</f>
        <v>45838</v>
      </c>
      <c r="BG296" s="142">
        <f>BG3</f>
        <v>45930</v>
      </c>
      <c r="BH296" s="142">
        <f>BH3</f>
        <v>46022</v>
      </c>
      <c r="BI296" s="142">
        <f>BI3</f>
        <v>46112</v>
      </c>
      <c r="BJ296" s="326"/>
      <c r="BK296" s="326"/>
      <c r="BL296" s="142"/>
      <c r="BM296" s="142"/>
    </row>
    <row r="297" spans="2:65" ht="13.5" customHeight="1">
      <c r="B297" s="1" t="s">
        <v>266</v>
      </c>
      <c r="C297" s="25">
        <f>C278*C$159</f>
        <v>11077.286366405211</v>
      </c>
      <c r="D297" s="25">
        <f t="shared" ref="D297:H297" si="595">D278*D$159</f>
        <v>9613.5280941414021</v>
      </c>
      <c r="E297" s="25">
        <f t="shared" si="595"/>
        <v>9525.4379006496165</v>
      </c>
      <c r="F297" s="25">
        <f t="shared" si="595"/>
        <v>10764.924933967248</v>
      </c>
      <c r="G297" s="25">
        <f t="shared" si="595"/>
        <v>9680.726345486939</v>
      </c>
      <c r="H297" s="25">
        <f t="shared" si="595"/>
        <v>9477.2350999007558</v>
      </c>
      <c r="I297" s="25">
        <f t="shared" ref="I297:K298" si="596">I278*I$159</f>
        <v>10097.465096201075</v>
      </c>
      <c r="J297" s="25">
        <f t="shared" si="596"/>
        <v>8577.6572650250491</v>
      </c>
      <c r="K297" s="25">
        <f t="shared" si="596"/>
        <v>9200.5996576926755</v>
      </c>
      <c r="L297" s="25">
        <f t="shared" ref="L297:M297" si="597">L278*L$159</f>
        <v>11198.074596543267</v>
      </c>
      <c r="M297" s="25">
        <f t="shared" si="597"/>
        <v>13735.856780326489</v>
      </c>
      <c r="N297" s="25">
        <f t="shared" ref="N297:O297" si="598">N278*N$159</f>
        <v>15409.634484928261</v>
      </c>
      <c r="O297" s="25">
        <f t="shared" si="598"/>
        <v>15160.881203294924</v>
      </c>
      <c r="P297" s="25">
        <f>P278*P$159</f>
        <v>15822.569213926028</v>
      </c>
      <c r="Q297" s="326"/>
      <c r="R297" s="25"/>
      <c r="S297" s="25"/>
      <c r="T297" s="86"/>
      <c r="U297" s="25"/>
      <c r="V297" s="25"/>
      <c r="W297" s="25"/>
      <c r="X297" s="25">
        <f t="shared" ref="X297:BI299" si="599">X278*AVERAGE(U$159:X$159)</f>
        <v>9539.7263358797954</v>
      </c>
      <c r="Y297" s="25">
        <f t="shared" si="599"/>
        <v>9997.124172734173</v>
      </c>
      <c r="Z297" s="25">
        <f t="shared" si="599"/>
        <v>10443.872441730789</v>
      </c>
      <c r="AA297" s="25">
        <f t="shared" si="599"/>
        <v>10947.218465616605</v>
      </c>
      <c r="AB297" s="25">
        <f t="shared" si="599"/>
        <v>10787.60601304746</v>
      </c>
      <c r="AC297" s="25">
        <f t="shared" si="599"/>
        <v>10915.896157547151</v>
      </c>
      <c r="AD297" s="25">
        <f t="shared" si="599"/>
        <v>10913.680704483846</v>
      </c>
      <c r="AE297" s="25">
        <f t="shared" si="599"/>
        <v>10464.307518927098</v>
      </c>
      <c r="AF297" s="25">
        <f t="shared" si="599"/>
        <v>9483.9181500210052</v>
      </c>
      <c r="AG297" s="25">
        <f t="shared" si="599"/>
        <v>9535.6302606753652</v>
      </c>
      <c r="AH297" s="25">
        <f t="shared" si="599"/>
        <v>9743.5610702793183</v>
      </c>
      <c r="AI297" s="25">
        <f t="shared" si="599"/>
        <v>9922.1276643832716</v>
      </c>
      <c r="AJ297" s="25">
        <f t="shared" si="599"/>
        <v>10097.465096201075</v>
      </c>
      <c r="AK297" s="25">
        <f t="shared" si="599"/>
        <v>9969.6193614660806</v>
      </c>
      <c r="AL297" s="25">
        <f t="shared" si="599"/>
        <v>9269.3053324029588</v>
      </c>
      <c r="AM297" s="25">
        <f t="shared" si="599"/>
        <v>8880.3674255675833</v>
      </c>
      <c r="AN297" s="25">
        <f t="shared" si="599"/>
        <v>8577.6572650250491</v>
      </c>
      <c r="AO297" s="25">
        <f t="shared" si="599"/>
        <v>8461.8851748125471</v>
      </c>
      <c r="AP297" s="25">
        <f t="shared" si="599"/>
        <v>8679.8048721960149</v>
      </c>
      <c r="AQ297" s="25">
        <f t="shared" si="599"/>
        <v>8977.5284415569076</v>
      </c>
      <c r="AR297" s="25">
        <f>AR278*AVERAGE(AO$159:AR$159)</f>
        <v>9200.5996576926755</v>
      </c>
      <c r="AS297" s="25">
        <f t="shared" si="599"/>
        <v>9482.5037842455004</v>
      </c>
      <c r="AT297" s="25">
        <f t="shared" si="599"/>
        <v>10307.832925700559</v>
      </c>
      <c r="AU297" s="25">
        <f t="shared" si="599"/>
        <v>10704.875043708718</v>
      </c>
      <c r="AV297" s="25">
        <f>AV278*AVERAGE(AS$159:AV$159)</f>
        <v>11198.074596543267</v>
      </c>
      <c r="AW297" s="25">
        <f t="shared" si="599"/>
        <v>11706.978806503754</v>
      </c>
      <c r="AX297" s="25">
        <f t="shared" si="599"/>
        <v>12307.395337280732</v>
      </c>
      <c r="AY297" s="25">
        <f t="shared" si="599"/>
        <v>13162.427424852433</v>
      </c>
      <c r="AZ297" s="25">
        <f>AZ278*AVERAGE(AW$159:AZ$159)</f>
        <v>13735.856780326489</v>
      </c>
      <c r="BA297" s="25">
        <f t="shared" si="599"/>
        <v>14606.838825763873</v>
      </c>
      <c r="BB297" s="25">
        <f t="shared" si="599"/>
        <v>15166.137598909105</v>
      </c>
      <c r="BC297" s="25">
        <f t="shared" si="599"/>
        <v>15179.614153086941</v>
      </c>
      <c r="BD297" s="25">
        <f>BD278*AVERAGE(BA$159:BD$159)</f>
        <v>15409.634484928261</v>
      </c>
      <c r="BE297" s="25">
        <f t="shared" si="599"/>
        <v>14959.503234164027</v>
      </c>
      <c r="BF297" s="25">
        <f t="shared" si="599"/>
        <v>14643.682799527764</v>
      </c>
      <c r="BG297" s="25">
        <f t="shared" si="599"/>
        <v>14817.616450227246</v>
      </c>
      <c r="BH297" s="25">
        <f>BH278*AVERAGE(BE$159:BH$159)</f>
        <v>15160.881203294921</v>
      </c>
      <c r="BI297" s="25">
        <f t="shared" si="599"/>
        <v>15822.569213926028</v>
      </c>
      <c r="BJ297" s="25"/>
      <c r="BK297" s="25"/>
      <c r="BL297" s="25"/>
      <c r="BM297" s="25"/>
    </row>
    <row r="298" spans="2:65" ht="13.5" customHeight="1">
      <c r="B298" s="1" t="s">
        <v>332</v>
      </c>
      <c r="C298" s="25">
        <f>C279*C$159</f>
        <v>2082.5280320064976</v>
      </c>
      <c r="D298" s="25">
        <f t="shared" ref="D298:H298" si="600">D279*D$159</f>
        <v>1879.5469602801527</v>
      </c>
      <c r="E298" s="25">
        <f t="shared" si="600"/>
        <v>1746.5643290525911</v>
      </c>
      <c r="F298" s="25">
        <f t="shared" si="600"/>
        <v>2089.0240887480195</v>
      </c>
      <c r="G298" s="25">
        <f t="shared" si="600"/>
        <v>1917.1445852720692</v>
      </c>
      <c r="H298" s="25">
        <f t="shared" si="600"/>
        <v>1842.8138908000208</v>
      </c>
      <c r="I298" s="25">
        <f t="shared" si="596"/>
        <v>1928.8096905779116</v>
      </c>
      <c r="J298" s="25">
        <f t="shared" si="596"/>
        <v>1744.6093210975062</v>
      </c>
      <c r="K298" s="25">
        <f t="shared" si="596"/>
        <v>1834.8532518483198</v>
      </c>
      <c r="L298" s="25">
        <f t="shared" ref="L298:M298" si="601">L279*L$159</f>
        <v>2123.6904527223583</v>
      </c>
      <c r="M298" s="25">
        <f t="shared" si="601"/>
        <v>2601.4545754048086</v>
      </c>
      <c r="N298" s="25">
        <f t="shared" ref="N298:O298" si="602">N279*N$159</f>
        <v>3095.5072884979859</v>
      </c>
      <c r="O298" s="25">
        <f t="shared" si="602"/>
        <v>3071.6960357344569</v>
      </c>
      <c r="P298" s="25">
        <f t="shared" ref="P298" si="603">P279*P$159</f>
        <v>3203.8056774827055</v>
      </c>
      <c r="Q298" s="326"/>
      <c r="R298" s="25"/>
      <c r="S298" s="25"/>
      <c r="T298" s="86"/>
      <c r="U298" s="25"/>
      <c r="V298" s="25"/>
      <c r="W298" s="25"/>
      <c r="X298" s="25">
        <f t="shared" si="599"/>
        <v>1749.1842265891978</v>
      </c>
      <c r="Y298" s="25">
        <f t="shared" si="599"/>
        <v>1809.8161200717386</v>
      </c>
      <c r="Z298" s="25">
        <f t="shared" si="599"/>
        <v>1858.7387375143533</v>
      </c>
      <c r="AA298" s="25">
        <f t="shared" si="599"/>
        <v>1941.2491124331968</v>
      </c>
      <c r="AB298" s="25">
        <f t="shared" si="599"/>
        <v>2093.4255426223381</v>
      </c>
      <c r="AC298" s="25">
        <f t="shared" si="599"/>
        <v>2123.7818134958293</v>
      </c>
      <c r="AD298" s="25">
        <f t="shared" si="599"/>
        <v>2119.6769371332925</v>
      </c>
      <c r="AE298" s="25">
        <f t="shared" si="599"/>
        <v>2062.4707413800415</v>
      </c>
      <c r="AF298" s="25">
        <f t="shared" si="599"/>
        <v>1844.1133855856506</v>
      </c>
      <c r="AG298" s="25">
        <f t="shared" si="599"/>
        <v>1852.2461113009235</v>
      </c>
      <c r="AH298" s="25">
        <f t="shared" si="599"/>
        <v>1881.8287120640557</v>
      </c>
      <c r="AI298" s="25">
        <f t="shared" si="599"/>
        <v>1952.3529378679766</v>
      </c>
      <c r="AJ298" s="25">
        <f t="shared" si="599"/>
        <v>1928.8096905779116</v>
      </c>
      <c r="AK298" s="25">
        <f t="shared" si="599"/>
        <v>1941.3515794885127</v>
      </c>
      <c r="AL298" s="25">
        <f t="shared" si="599"/>
        <v>1804.7892232850782</v>
      </c>
      <c r="AM298" s="25">
        <f t="shared" si="599"/>
        <v>1747.529353610327</v>
      </c>
      <c r="AN298" s="25">
        <f t="shared" si="599"/>
        <v>1744.6239891850057</v>
      </c>
      <c r="AO298" s="25">
        <f t="shared" si="599"/>
        <v>1714.3409668317065</v>
      </c>
      <c r="AP298" s="25">
        <f t="shared" si="599"/>
        <v>1796.9345464401974</v>
      </c>
      <c r="AQ298" s="25">
        <f t="shared" si="599"/>
        <v>1807.2231862357912</v>
      </c>
      <c r="AR298" s="25">
        <f>AR279*AVERAGE(AO$159:AR$159)</f>
        <v>1834.8557886968906</v>
      </c>
      <c r="AS298" s="25">
        <f t="shared" si="599"/>
        <v>1878.018122541999</v>
      </c>
      <c r="AT298" s="25">
        <f t="shared" si="599"/>
        <v>1978.587421563388</v>
      </c>
      <c r="AU298" s="25">
        <f t="shared" si="599"/>
        <v>2036.3294475727123</v>
      </c>
      <c r="AV298" s="25">
        <f>AV279*AVERAGE(AS$159:AV$159)</f>
        <v>2123.6904527223583</v>
      </c>
      <c r="AW298" s="25">
        <f t="shared" si="599"/>
        <v>2196.392981035066</v>
      </c>
      <c r="AX298" s="25">
        <f t="shared" si="599"/>
        <v>2312.1262405167058</v>
      </c>
      <c r="AY298" s="25">
        <f t="shared" si="599"/>
        <v>2479.3703154479895</v>
      </c>
      <c r="AZ298" s="25">
        <f>AZ279*AVERAGE(AW$159:AZ$159)</f>
        <v>2601.4545754048086</v>
      </c>
      <c r="BA298" s="25">
        <f t="shared" si="599"/>
        <v>2778.1027884576947</v>
      </c>
      <c r="BB298" s="25">
        <f t="shared" si="599"/>
        <v>2940.3562659541526</v>
      </c>
      <c r="BC298" s="25">
        <f t="shared" si="599"/>
        <v>2992.1371026058769</v>
      </c>
      <c r="BD298" s="25">
        <f>BD279*AVERAGE(BA$159:BD$159)</f>
        <v>3095.5072884979859</v>
      </c>
      <c r="BE298" s="25">
        <f t="shared" si="599"/>
        <v>3006.8490711319782</v>
      </c>
      <c r="BF298" s="25">
        <f t="shared" si="599"/>
        <v>2881.1746973268632</v>
      </c>
      <c r="BG298" s="25">
        <f t="shared" si="599"/>
        <v>2915.3311626521886</v>
      </c>
      <c r="BH298" s="25">
        <f>BH279*AVERAGE(BE$159:BH$159)</f>
        <v>3071.6960357344569</v>
      </c>
      <c r="BI298" s="25">
        <f t="shared" si="599"/>
        <v>3203.8056774827055</v>
      </c>
      <c r="BJ298" s="25"/>
      <c r="BK298" s="25"/>
      <c r="BL298" s="25"/>
      <c r="BM298" s="25"/>
    </row>
    <row r="299" spans="2:65" ht="13.5" customHeight="1">
      <c r="B299" s="1" t="s">
        <v>333</v>
      </c>
      <c r="C299" s="25">
        <f>C280*C$159</f>
        <v>2153.2190745489688</v>
      </c>
      <c r="D299" s="25">
        <f>D280*D$159</f>
        <v>1945.4207022746632</v>
      </c>
      <c r="E299" s="25">
        <f>E280*E$159</f>
        <v>1812.5978174645713</v>
      </c>
      <c r="F299" s="25">
        <f>F280*F$159</f>
        <v>2154.1059693608036</v>
      </c>
      <c r="G299" s="25">
        <f>G280*G$159</f>
        <v>1992.1577918225182</v>
      </c>
      <c r="H299" s="25">
        <f>H280*H$159</f>
        <v>1898.063371049501</v>
      </c>
      <c r="I299" s="276"/>
      <c r="J299" s="276"/>
      <c r="K299" s="276"/>
      <c r="L299" s="367"/>
      <c r="M299" s="367"/>
      <c r="N299" s="367"/>
      <c r="O299" s="367"/>
      <c r="P299" s="367"/>
      <c r="Q299" s="326"/>
      <c r="R299" s="367"/>
      <c r="S299" s="367"/>
      <c r="T299" s="368"/>
      <c r="U299" s="367"/>
      <c r="V299" s="367"/>
      <c r="W299" s="367"/>
      <c r="X299" s="367">
        <f t="shared" si="599"/>
        <v>1815.3167671636129</v>
      </c>
      <c r="Y299" s="367">
        <f t="shared" si="599"/>
        <v>1873.9714644468054</v>
      </c>
      <c r="Z299" s="367">
        <f t="shared" si="599"/>
        <v>1922.3895097630088</v>
      </c>
      <c r="AA299" s="367">
        <f t="shared" si="599"/>
        <v>2005.7308438461448</v>
      </c>
      <c r="AB299" s="367">
        <f t="shared" si="599"/>
        <v>2158.6445470227864</v>
      </c>
      <c r="AC299" s="367">
        <f t="shared" si="599"/>
        <v>2188.0316654650196</v>
      </c>
      <c r="AD299" s="367">
        <f t="shared" si="599"/>
        <v>2181.0320565907095</v>
      </c>
      <c r="AE299" s="367">
        <f t="shared" si="599"/>
        <v>2120.6191516305239</v>
      </c>
      <c r="AF299" s="367">
        <f t="shared" si="599"/>
        <v>1899.4018260425894</v>
      </c>
      <c r="AG299" s="367"/>
      <c r="AH299" s="367"/>
      <c r="AI299" s="367"/>
      <c r="AJ299" s="367"/>
      <c r="AK299" s="367"/>
      <c r="AL299" s="367"/>
      <c r="AM299" s="367"/>
      <c r="AN299" s="367"/>
      <c r="AO299" s="367"/>
      <c r="AP299" s="367"/>
      <c r="AQ299" s="367"/>
      <c r="AR299" s="367"/>
      <c r="AS299" s="367"/>
      <c r="AT299" s="367"/>
      <c r="AU299" s="367"/>
      <c r="AV299" s="367"/>
      <c r="AW299" s="367"/>
      <c r="AX299" s="367"/>
      <c r="AY299" s="367"/>
      <c r="AZ299" s="367"/>
      <c r="BA299" s="367"/>
      <c r="BB299" s="367"/>
      <c r="BC299" s="367"/>
      <c r="BD299" s="367"/>
      <c r="BE299" s="367"/>
      <c r="BF299" s="367"/>
      <c r="BG299" s="367"/>
      <c r="BH299" s="367"/>
      <c r="BI299" s="367"/>
      <c r="BJ299" s="25"/>
      <c r="BK299" s="25"/>
      <c r="BL299" s="25"/>
      <c r="BM299" s="25"/>
    </row>
    <row r="300" spans="2:65" ht="13.5" customHeight="1">
      <c r="B300" s="1" t="s">
        <v>384</v>
      </c>
      <c r="C300" s="55">
        <f>C298/C297</f>
        <v>0.18799983706499748</v>
      </c>
      <c r="D300" s="55">
        <f t="shared" ref="D300:H300" si="604">D298/D297</f>
        <v>0.19551063271199789</v>
      </c>
      <c r="E300" s="55">
        <f t="shared" si="604"/>
        <v>0.18335790409525202</v>
      </c>
      <c r="F300" s="55">
        <f t="shared" si="604"/>
        <v>0.19405839813674777</v>
      </c>
      <c r="G300" s="55">
        <f t="shared" si="604"/>
        <v>0.19803726671458113</v>
      </c>
      <c r="H300" s="55">
        <f t="shared" si="604"/>
        <v>0.194446362401553</v>
      </c>
      <c r="I300" s="55">
        <f t="shared" ref="I300:N300" si="605">I298/I297</f>
        <v>0.19101919860100128</v>
      </c>
      <c r="J300" s="55">
        <f t="shared" si="605"/>
        <v>0.20338995452885017</v>
      </c>
      <c r="K300" s="55">
        <f t="shared" si="605"/>
        <v>0.19942757212723503</v>
      </c>
      <c r="L300" s="55">
        <f t="shared" si="605"/>
        <v>0.18964782154406437</v>
      </c>
      <c r="M300" s="55">
        <f t="shared" si="605"/>
        <v>0.18939150407645516</v>
      </c>
      <c r="N300" s="55">
        <f t="shared" si="605"/>
        <v>0.20088129225424628</v>
      </c>
      <c r="O300" s="55">
        <f t="shared" ref="O300" si="606">O298/O297</f>
        <v>0.20260669512184312</v>
      </c>
      <c r="P300" s="55">
        <f t="shared" ref="P300" si="607">P298/P297</f>
        <v>0.2024832777892302</v>
      </c>
      <c r="Q300" s="326"/>
      <c r="R300" s="55"/>
      <c r="S300" s="55"/>
      <c r="T300" s="106"/>
      <c r="U300" s="55"/>
      <c r="V300" s="55"/>
      <c r="W300" s="55"/>
      <c r="X300" s="55">
        <f>X298/X297</f>
        <v>0.18335790409525204</v>
      </c>
      <c r="Y300" s="55">
        <f>Y298/Y297</f>
        <v>0.18103367416479346</v>
      </c>
      <c r="Z300" s="55">
        <f t="shared" ref="Z300:AF300" si="608">Z298/Z297</f>
        <v>0.17797409417673024</v>
      </c>
      <c r="AA300" s="55">
        <f t="shared" si="608"/>
        <v>0.17732806909173668</v>
      </c>
      <c r="AB300" s="55">
        <f t="shared" si="608"/>
        <v>0.19405839813674775</v>
      </c>
      <c r="AC300" s="55">
        <f t="shared" si="608"/>
        <v>0.19455863108659804</v>
      </c>
      <c r="AD300" s="55">
        <f t="shared" si="608"/>
        <v>0.19422200397180678</v>
      </c>
      <c r="AE300" s="55">
        <f t="shared" si="608"/>
        <v>0.197095769371226</v>
      </c>
      <c r="AF300" s="55">
        <f t="shared" si="608"/>
        <v>0.19444636240155302</v>
      </c>
      <c r="AG300" s="55">
        <f t="shared" ref="AG300:AL300" si="609">AG298/AG297</f>
        <v>0.19424474949909995</v>
      </c>
      <c r="AH300" s="55">
        <f t="shared" si="609"/>
        <v>0.19313562038464335</v>
      </c>
      <c r="AI300" s="55">
        <f t="shared" si="609"/>
        <v>0.19676756880242466</v>
      </c>
      <c r="AJ300" s="55">
        <f t="shared" si="609"/>
        <v>0.19101919860100128</v>
      </c>
      <c r="AK300" s="55">
        <f t="shared" si="609"/>
        <v>0.19472675025007449</v>
      </c>
      <c r="AL300" s="55">
        <f t="shared" si="609"/>
        <v>0.19470598481377327</v>
      </c>
      <c r="AM300" s="55">
        <f t="shared" ref="AM300:AS300" si="610">AM298/AM297</f>
        <v>0.19678570377380919</v>
      </c>
      <c r="AN300" s="55">
        <f t="shared" si="610"/>
        <v>0.20339166456307589</v>
      </c>
      <c r="AO300" s="55">
        <f t="shared" si="610"/>
        <v>0.20259563104620876</v>
      </c>
      <c r="AP300" s="55">
        <f t="shared" si="610"/>
        <v>0.2070247629870472</v>
      </c>
      <c r="AQ300" s="55">
        <f t="shared" si="610"/>
        <v>0.20130520309689798</v>
      </c>
      <c r="AR300" s="55">
        <f t="shared" si="610"/>
        <v>0.19942784785367298</v>
      </c>
      <c r="AS300" s="55">
        <f t="shared" si="610"/>
        <v>0.19805086982007761</v>
      </c>
      <c r="AT300" s="55">
        <f>AT298/AT297</f>
        <v>0.19194989245801303</v>
      </c>
      <c r="AU300" s="55">
        <f>AU298/AU297</f>
        <v>0.1902244948454086</v>
      </c>
      <c r="AV300" s="55">
        <f t="shared" ref="AV300:AW300" si="611">AV298/AV297</f>
        <v>0.18964782154406437</v>
      </c>
      <c r="AW300" s="55">
        <f t="shared" si="611"/>
        <v>0.18761398797569112</v>
      </c>
      <c r="AX300" s="55">
        <f>AX298/AX297</f>
        <v>0.18786479000255796</v>
      </c>
      <c r="AY300" s="55">
        <f>AY298/AY297</f>
        <v>0.1883672544143799</v>
      </c>
      <c r="AZ300" s="55">
        <f t="shared" ref="AZ300:BA300" si="612">AZ298/AZ297</f>
        <v>0.18939150407645516</v>
      </c>
      <c r="BA300" s="55">
        <f t="shared" si="612"/>
        <v>0.190191924590666</v>
      </c>
      <c r="BB300" s="55">
        <f>BB298/BB297</f>
        <v>0.19387640701384981</v>
      </c>
      <c r="BC300" s="55">
        <f>BC298/BC297</f>
        <v>0.19711549137086551</v>
      </c>
      <c r="BD300" s="55">
        <f t="shared" ref="BD300:BE300" si="613">BD298/BD297</f>
        <v>0.20088129225424628</v>
      </c>
      <c r="BE300" s="55">
        <f t="shared" si="613"/>
        <v>0.2009992594048868</v>
      </c>
      <c r="BF300" s="55">
        <f t="shared" ref="BF300" si="614">BF298/BF297</f>
        <v>0.19675205593908227</v>
      </c>
      <c r="BG300" s="55">
        <f>BG298/BG297</f>
        <v>0.19674764645480336</v>
      </c>
      <c r="BH300" s="55">
        <f t="shared" ref="BH300:BI300" si="615">BH298/BH297</f>
        <v>0.20260669512184318</v>
      </c>
      <c r="BI300" s="55">
        <f t="shared" si="615"/>
        <v>0.2024832777892302</v>
      </c>
      <c r="BJ300" s="336"/>
      <c r="BK300" s="336"/>
      <c r="BL300" s="55"/>
      <c r="BM300" s="55"/>
    </row>
    <row r="301" spans="2:65" ht="13.5" customHeight="1">
      <c r="B301" s="1" t="s">
        <v>334</v>
      </c>
      <c r="C301" s="25">
        <f t="shared" ref="C301:H301" si="616">C282*C$159</f>
        <v>70.691042542471038</v>
      </c>
      <c r="D301" s="25">
        <f t="shared" si="616"/>
        <v>65.873741994510524</v>
      </c>
      <c r="E301" s="25">
        <f t="shared" si="616"/>
        <v>66.033488411980372</v>
      </c>
      <c r="F301" s="25">
        <f t="shared" si="616"/>
        <v>65.081880612783948</v>
      </c>
      <c r="G301" s="25">
        <f t="shared" si="616"/>
        <v>75.013206550449027</v>
      </c>
      <c r="H301" s="25">
        <f t="shared" si="616"/>
        <v>55.24948024948025</v>
      </c>
      <c r="I301" s="276"/>
      <c r="J301" s="276"/>
      <c r="K301" s="276"/>
      <c r="L301" s="367"/>
      <c r="M301" s="367"/>
      <c r="N301" s="367"/>
      <c r="O301" s="367"/>
      <c r="P301" s="367"/>
      <c r="Q301" s="326"/>
      <c r="R301" s="367"/>
      <c r="S301" s="367"/>
      <c r="T301" s="368"/>
      <c r="U301" s="367"/>
      <c r="V301" s="367"/>
      <c r="W301" s="367"/>
      <c r="X301" s="367">
        <f t="shared" ref="X301:AL304" si="617">X282*AVERAGE(U$159:X$159)</f>
        <v>66.132540574415131</v>
      </c>
      <c r="Y301" s="367">
        <f t="shared" si="617"/>
        <v>64.155344375066704</v>
      </c>
      <c r="Z301" s="367">
        <f t="shared" si="617"/>
        <v>63.650772248655606</v>
      </c>
      <c r="AA301" s="367">
        <f t="shared" si="617"/>
        <v>64.481731412948093</v>
      </c>
      <c r="AB301" s="367">
        <f t="shared" si="617"/>
        <v>65.219004400448242</v>
      </c>
      <c r="AC301" s="367">
        <f t="shared" si="617"/>
        <v>64.249851969190075</v>
      </c>
      <c r="AD301" s="367">
        <f t="shared" si="617"/>
        <v>61.355119457417032</v>
      </c>
      <c r="AE301" s="367">
        <f t="shared" si="617"/>
        <v>58.148410250482364</v>
      </c>
      <c r="AF301" s="367">
        <f t="shared" si="617"/>
        <v>55.288440456938758</v>
      </c>
      <c r="AG301" s="367"/>
      <c r="AH301" s="367"/>
      <c r="AI301" s="367"/>
      <c r="AJ301" s="367"/>
      <c r="AK301" s="367"/>
      <c r="AL301" s="367"/>
      <c r="AM301" s="367"/>
      <c r="AN301" s="367"/>
      <c r="AO301" s="367"/>
      <c r="AP301" s="367"/>
      <c r="AQ301" s="367"/>
      <c r="AR301" s="367"/>
      <c r="AS301" s="367"/>
      <c r="AT301" s="367"/>
      <c r="AU301" s="367"/>
      <c r="AV301" s="367"/>
      <c r="AW301" s="367"/>
      <c r="AX301" s="367"/>
      <c r="AY301" s="367"/>
      <c r="AZ301" s="367"/>
      <c r="BA301" s="367"/>
      <c r="BB301" s="367"/>
      <c r="BC301" s="367"/>
      <c r="BD301" s="367"/>
      <c r="BE301" s="367"/>
      <c r="BF301" s="367"/>
      <c r="BG301" s="367"/>
      <c r="BH301" s="367"/>
      <c r="BI301" s="367"/>
      <c r="BJ301" s="25"/>
      <c r="BK301" s="25"/>
      <c r="BL301" s="25"/>
      <c r="BM301" s="25"/>
    </row>
    <row r="302" spans="2:65" ht="13.5" customHeight="1">
      <c r="B302" s="1" t="s">
        <v>310</v>
      </c>
      <c r="C302" s="25">
        <f t="shared" ref="C302:H304" si="618">C283*C$159</f>
        <v>239.29669932993917</v>
      </c>
      <c r="D302" s="25">
        <f t="shared" si="618"/>
        <v>225.13171593526201</v>
      </c>
      <c r="E302" s="25">
        <f t="shared" si="618"/>
        <v>220.93347340436938</v>
      </c>
      <c r="F302" s="25">
        <f t="shared" si="618"/>
        <v>242.42995245641836</v>
      </c>
      <c r="G302" s="25">
        <f t="shared" si="618"/>
        <v>240.76090861067092</v>
      </c>
      <c r="H302" s="25">
        <f t="shared" si="618"/>
        <v>259.04662162162163</v>
      </c>
      <c r="I302" s="25">
        <f t="shared" ref="I302:J304" si="619">I283*I$159</f>
        <v>249.78145479510337</v>
      </c>
      <c r="J302" s="25">
        <f t="shared" si="619"/>
        <v>289.96339916956282</v>
      </c>
      <c r="K302" s="25">
        <f t="shared" ref="K302:L304" si="620">K283*K$159</f>
        <v>224.20140450584464</v>
      </c>
      <c r="L302" s="25">
        <f t="shared" si="620"/>
        <v>240.17006735154072</v>
      </c>
      <c r="M302" s="25">
        <f t="shared" ref="M302:N302" si="621">M283*M$159</f>
        <v>269.87740492911962</v>
      </c>
      <c r="N302" s="25">
        <f t="shared" si="621"/>
        <v>275.85874858663044</v>
      </c>
      <c r="O302" s="25">
        <f t="shared" ref="O302" si="622">O283*O$159</f>
        <v>279.56031645729354</v>
      </c>
      <c r="P302" s="25">
        <f t="shared" ref="P302" si="623">P283*P$159</f>
        <v>286.60563914098094</v>
      </c>
      <c r="Q302" s="326"/>
      <c r="R302" s="25"/>
      <c r="S302" s="25"/>
      <c r="T302" s="86"/>
      <c r="U302" s="25"/>
      <c r="V302" s="25"/>
      <c r="W302" s="25"/>
      <c r="X302" s="25">
        <f t="shared" si="617"/>
        <v>221.26488007121688</v>
      </c>
      <c r="Y302" s="25">
        <f t="shared" si="617"/>
        <v>249.87631788483367</v>
      </c>
      <c r="Z302" s="25">
        <f t="shared" si="617"/>
        <v>225.68993235902209</v>
      </c>
      <c r="AA302" s="25">
        <f t="shared" si="617"/>
        <v>231.19762547002659</v>
      </c>
      <c r="AB302" s="25">
        <f t="shared" si="617"/>
        <v>242.94073845416611</v>
      </c>
      <c r="AC302" s="25">
        <f t="shared" si="617"/>
        <v>215.0436470091837</v>
      </c>
      <c r="AD302" s="25">
        <f t="shared" si="617"/>
        <v>255.73273619069138</v>
      </c>
      <c r="AE302" s="25">
        <f t="shared" si="617"/>
        <v>253.47819298694796</v>
      </c>
      <c r="AF302" s="25">
        <f t="shared" si="617"/>
        <v>259.22929320648058</v>
      </c>
      <c r="AG302" s="25">
        <f t="shared" si="617"/>
        <v>289.51616471641915</v>
      </c>
      <c r="AH302" s="25">
        <f t="shared" si="617"/>
        <v>378.8142159097743</v>
      </c>
      <c r="AI302" s="25">
        <f t="shared" si="617"/>
        <v>377.51000178347618</v>
      </c>
      <c r="AJ302" s="25">
        <f t="shared" si="617"/>
        <v>249.78145479510337</v>
      </c>
      <c r="AK302" s="25">
        <f t="shared" si="617"/>
        <v>325.00833561738682</v>
      </c>
      <c r="AL302" s="25">
        <f t="shared" si="617"/>
        <v>302.23665401931072</v>
      </c>
      <c r="AM302" s="276"/>
      <c r="AN302" s="276"/>
      <c r="AO302" s="276"/>
      <c r="AP302" s="25">
        <f>AP283*AVERAGE(AM$159:AP$159)</f>
        <v>109.4885871041929</v>
      </c>
      <c r="AQ302" s="276"/>
      <c r="AR302" s="276"/>
      <c r="AS302" s="276"/>
      <c r="AT302" s="25">
        <f t="shared" ref="AT302:AU304" si="624">AT283*AVERAGE(AQ$159:AT$159)</f>
        <v>0</v>
      </c>
      <c r="AU302" s="25">
        <f>AU283*AVERAGE(AR$159:AU$159)</f>
        <v>0</v>
      </c>
      <c r="AV302" s="25">
        <f t="shared" ref="AV302:BI304" si="625">AV283*AVERAGE(AS$159:AV$159)</f>
        <v>240.17006735154072</v>
      </c>
      <c r="AW302" s="25">
        <f t="shared" si="625"/>
        <v>257.92214649784557</v>
      </c>
      <c r="AX302" s="25">
        <f t="shared" si="625"/>
        <v>270.09046835957037</v>
      </c>
      <c r="AY302" s="25">
        <f>AY283*AVERAGE(AV$159:AY$159)</f>
        <v>301.20133922526202</v>
      </c>
      <c r="AZ302" s="25">
        <f t="shared" si="625"/>
        <v>269.87740492911962</v>
      </c>
      <c r="BA302" s="25">
        <f t="shared" si="625"/>
        <v>235.65240681036718</v>
      </c>
      <c r="BB302" s="25">
        <f t="shared" si="625"/>
        <v>207.61969486793109</v>
      </c>
      <c r="BC302" s="25">
        <f>BC283*AVERAGE(AZ$159:BC$159)</f>
        <v>177.69414771139657</v>
      </c>
      <c r="BD302" s="25">
        <f t="shared" si="625"/>
        <v>275.85874858663044</v>
      </c>
      <c r="BE302" s="25">
        <f t="shared" si="625"/>
        <v>270.04555789954355</v>
      </c>
      <c r="BF302" s="25">
        <f t="shared" si="625"/>
        <v>265.40305490168748</v>
      </c>
      <c r="BG302" s="25">
        <f>BG283*AVERAGE(BD$159:BG$159)</f>
        <v>260.75606392495695</v>
      </c>
      <c r="BH302" s="25">
        <f t="shared" si="625"/>
        <v>279.56031645729354</v>
      </c>
      <c r="BI302" s="25">
        <f t="shared" si="625"/>
        <v>286.60563914098094</v>
      </c>
      <c r="BJ302" s="25"/>
      <c r="BK302" s="25"/>
      <c r="BL302" s="25"/>
      <c r="BM302" s="25"/>
    </row>
    <row r="303" spans="2:65" ht="13.5" customHeight="1">
      <c r="B303" s="1" t="s">
        <v>336</v>
      </c>
      <c r="C303" s="25">
        <f t="shared" si="618"/>
        <v>805.80268174742241</v>
      </c>
      <c r="D303" s="25">
        <f t="shared" si="618"/>
        <v>650.66094583083577</v>
      </c>
      <c r="E303" s="25">
        <f t="shared" si="618"/>
        <v>535.12852946851626</v>
      </c>
      <c r="F303" s="25">
        <f t="shared" si="618"/>
        <v>567.71215002641316</v>
      </c>
      <c r="G303" s="25">
        <f t="shared" si="618"/>
        <v>496.06075013206555</v>
      </c>
      <c r="H303" s="25">
        <f t="shared" si="618"/>
        <v>494.731237006237</v>
      </c>
      <c r="I303" s="25">
        <f t="shared" si="619"/>
        <v>518.91840501747538</v>
      </c>
      <c r="J303" s="25">
        <f t="shared" si="619"/>
        <v>438.23854480581099</v>
      </c>
      <c r="K303" s="25">
        <f t="shared" si="620"/>
        <v>429.08568778925604</v>
      </c>
      <c r="L303" s="25">
        <f t="shared" si="620"/>
        <v>811.58024198804628</v>
      </c>
      <c r="M303" s="25">
        <f t="shared" ref="M303:N303" si="626">M284*M$159</f>
        <v>1089.2107142835214</v>
      </c>
      <c r="N303" s="25">
        <f t="shared" si="626"/>
        <v>1292.5007560888778</v>
      </c>
      <c r="O303" s="25">
        <f t="shared" ref="O303" si="627">O284*O$159</f>
        <v>1101.6948467485668</v>
      </c>
      <c r="P303" s="25">
        <f t="shared" ref="P303" si="628">P284*P$159</f>
        <v>1057.6392759048929</v>
      </c>
      <c r="Q303" s="326"/>
      <c r="R303" s="25"/>
      <c r="S303" s="25"/>
      <c r="T303" s="86"/>
      <c r="U303" s="25"/>
      <c r="V303" s="25"/>
      <c r="W303" s="25"/>
      <c r="X303" s="25">
        <f t="shared" si="617"/>
        <v>535.93123790175378</v>
      </c>
      <c r="Y303" s="25">
        <f t="shared" si="617"/>
        <v>532.16238476814215</v>
      </c>
      <c r="Z303" s="25">
        <f t="shared" si="617"/>
        <v>543.89977537343987</v>
      </c>
      <c r="AA303" s="25">
        <f t="shared" si="617"/>
        <v>542.02286176556515</v>
      </c>
      <c r="AB303" s="25">
        <f t="shared" si="617"/>
        <v>568.90828694780646</v>
      </c>
      <c r="AC303" s="25">
        <f t="shared" si="617"/>
        <v>587.40068719131727</v>
      </c>
      <c r="AD303" s="25">
        <f t="shared" si="617"/>
        <v>572.64778160255901</v>
      </c>
      <c r="AE303" s="25">
        <f t="shared" si="617"/>
        <v>544.60614660460499</v>
      </c>
      <c r="AF303" s="25">
        <f t="shared" si="617"/>
        <v>495.08010601899383</v>
      </c>
      <c r="AG303" s="25">
        <f t="shared" si="617"/>
        <v>560.41626702590077</v>
      </c>
      <c r="AH303" s="25">
        <f t="shared" si="617"/>
        <v>665.51490690294747</v>
      </c>
      <c r="AI303" s="25">
        <f t="shared" si="617"/>
        <v>684.31721674201856</v>
      </c>
      <c r="AJ303" s="25">
        <f t="shared" si="617"/>
        <v>518.91840501747538</v>
      </c>
      <c r="AK303" s="25">
        <f t="shared" si="617"/>
        <v>537.35494686241861</v>
      </c>
      <c r="AL303" s="25">
        <f t="shared" si="617"/>
        <v>488.11427740082428</v>
      </c>
      <c r="AM303" s="276"/>
      <c r="AN303" s="276"/>
      <c r="AO303" s="276"/>
      <c r="AP303" s="25">
        <f>AP284*AVERAGE(AM$159:AP$159)</f>
        <v>162.24359098088985</v>
      </c>
      <c r="AQ303" s="276"/>
      <c r="AR303" s="276"/>
      <c r="AS303" s="276"/>
      <c r="AT303" s="25">
        <f t="shared" si="624"/>
        <v>0</v>
      </c>
      <c r="AU303" s="25">
        <f t="shared" si="624"/>
        <v>0</v>
      </c>
      <c r="AV303" s="25">
        <f t="shared" si="625"/>
        <v>811.58024198804628</v>
      </c>
      <c r="AW303" s="25">
        <f t="shared" si="625"/>
        <v>825.18863176167145</v>
      </c>
      <c r="AX303" s="25">
        <f t="shared" si="625"/>
        <v>832.4437783344149</v>
      </c>
      <c r="AY303" s="25">
        <f t="shared" si="625"/>
        <v>931.4185475797575</v>
      </c>
      <c r="AZ303" s="25">
        <f t="shared" si="625"/>
        <v>1089.2107142835214</v>
      </c>
      <c r="BA303" s="25">
        <f t="shared" si="625"/>
        <v>1134.1779105193446</v>
      </c>
      <c r="BB303" s="25">
        <f t="shared" si="625"/>
        <v>1296.7250816397416</v>
      </c>
      <c r="BC303" s="25">
        <f t="shared" si="625"/>
        <v>1309.6778921735413</v>
      </c>
      <c r="BD303" s="25">
        <f t="shared" si="625"/>
        <v>1292.5007560888778</v>
      </c>
      <c r="BE303" s="25">
        <f t="shared" si="625"/>
        <v>1321.2774507451015</v>
      </c>
      <c r="BF303" s="25">
        <f t="shared" si="625"/>
        <v>1210.5155921878898</v>
      </c>
      <c r="BG303" s="25">
        <f t="shared" si="625"/>
        <v>1178.4991464853047</v>
      </c>
      <c r="BH303" s="25">
        <f t="shared" si="625"/>
        <v>1101.6948467485668</v>
      </c>
      <c r="BI303" s="25">
        <f t="shared" si="625"/>
        <v>1057.6392759048929</v>
      </c>
      <c r="BJ303" s="25"/>
      <c r="BK303" s="25"/>
      <c r="BL303" s="25"/>
      <c r="BM303" s="25"/>
    </row>
    <row r="304" spans="2:65" ht="13.5" customHeight="1">
      <c r="B304" s="1" t="s">
        <v>316</v>
      </c>
      <c r="C304" s="25">
        <f t="shared" si="618"/>
        <v>953.7274484293805</v>
      </c>
      <c r="D304" s="25">
        <f t="shared" si="618"/>
        <v>629.83878600498474</v>
      </c>
      <c r="E304" s="25">
        <f t="shared" si="618"/>
        <v>229.94763415732285</v>
      </c>
      <c r="F304" s="25">
        <f t="shared" si="618"/>
        <v>595.45103011093533</v>
      </c>
      <c r="G304" s="25">
        <f t="shared" si="618"/>
        <v>632.77659795035777</v>
      </c>
      <c r="H304" s="25">
        <f t="shared" si="618"/>
        <v>552.25760181873181</v>
      </c>
      <c r="I304" s="25">
        <f t="shared" si="619"/>
        <v>970.61481854468616</v>
      </c>
      <c r="J304" s="25">
        <f t="shared" si="619"/>
        <v>962.45092053427254</v>
      </c>
      <c r="K304" s="25">
        <f t="shared" si="620"/>
        <v>961.85161694500562</v>
      </c>
      <c r="L304" s="25">
        <f t="shared" si="620"/>
        <v>660.10008752332271</v>
      </c>
      <c r="M304" s="25">
        <f t="shared" ref="M304:N304" si="629">M285*M$159</f>
        <v>1105.0689209487743</v>
      </c>
      <c r="N304" s="25">
        <f t="shared" si="629"/>
        <v>819.73683020381952</v>
      </c>
      <c r="O304" s="25">
        <f t="shared" ref="O304" si="630">O285*O$159</f>
        <v>256.50659165982415</v>
      </c>
      <c r="P304" s="25">
        <f t="shared" ref="P304" si="631">P285*P$159</f>
        <v>776.00521769056172</v>
      </c>
      <c r="Q304" s="326"/>
      <c r="R304" s="25"/>
      <c r="S304" s="25"/>
      <c r="T304" s="86"/>
      <c r="U304" s="25"/>
      <c r="V304" s="25"/>
      <c r="W304" s="25"/>
      <c r="X304" s="25">
        <f t="shared" si="617"/>
        <v>230.29256232873701</v>
      </c>
      <c r="Y304" s="25">
        <f t="shared" si="617"/>
        <v>94.716044698160147</v>
      </c>
      <c r="Z304" s="25">
        <f t="shared" si="617"/>
        <v>156.42208278859832</v>
      </c>
      <c r="AA304" s="25">
        <f t="shared" si="617"/>
        <v>218.95258654596176</v>
      </c>
      <c r="AB304" s="25">
        <f t="shared" si="617"/>
        <v>596.70561126084419</v>
      </c>
      <c r="AC304" s="25">
        <f t="shared" si="617"/>
        <v>644.12227640466392</v>
      </c>
      <c r="AD304" s="25">
        <f t="shared" si="617"/>
        <v>256.90080934072773</v>
      </c>
      <c r="AE304" s="25">
        <f t="shared" si="617"/>
        <v>36.878433149069593</v>
      </c>
      <c r="AF304" s="25">
        <f t="shared" si="617"/>
        <v>552.64703662680984</v>
      </c>
      <c r="AG304" s="25">
        <f t="shared" si="617"/>
        <v>827.96016567514528</v>
      </c>
      <c r="AH304" s="25">
        <f t="shared" si="617"/>
        <v>1083.1738303788554</v>
      </c>
      <c r="AI304" s="25">
        <f t="shared" si="617"/>
        <v>1321.787406078867</v>
      </c>
      <c r="AJ304" s="25">
        <f t="shared" si="617"/>
        <v>970.61481854468627</v>
      </c>
      <c r="AK304" s="25">
        <f t="shared" si="617"/>
        <v>886.66807332196765</v>
      </c>
      <c r="AL304" s="25">
        <f t="shared" si="617"/>
        <v>1001.5797615574174</v>
      </c>
      <c r="AM304" s="276"/>
      <c r="AN304" s="276"/>
      <c r="AO304" s="276"/>
      <c r="AP304" s="25">
        <f>AP285*AVERAGE(AM$159:AP$159)</f>
        <v>627.66439138977398</v>
      </c>
      <c r="AQ304" s="276"/>
      <c r="AR304" s="276"/>
      <c r="AS304" s="276"/>
      <c r="AT304" s="25">
        <f t="shared" si="624"/>
        <v>0</v>
      </c>
      <c r="AU304" s="25">
        <f t="shared" si="624"/>
        <v>0</v>
      </c>
      <c r="AV304" s="25">
        <f t="shared" si="625"/>
        <v>660.10008752332249</v>
      </c>
      <c r="AW304" s="25">
        <f t="shared" si="625"/>
        <v>738.06332594951743</v>
      </c>
      <c r="AX304" s="25">
        <f t="shared" si="625"/>
        <v>800.62681558425811</v>
      </c>
      <c r="AY304" s="25">
        <f t="shared" si="625"/>
        <v>1193.285974742488</v>
      </c>
      <c r="AZ304" s="25">
        <f t="shared" si="625"/>
        <v>1105.0689209487743</v>
      </c>
      <c r="BA304" s="25">
        <f t="shared" si="625"/>
        <v>1212.8249726654126</v>
      </c>
      <c r="BB304" s="25">
        <f t="shared" si="625"/>
        <v>1160.3166494405373</v>
      </c>
      <c r="BC304" s="25">
        <f t="shared" si="625"/>
        <v>1032.7656294567453</v>
      </c>
      <c r="BD304" s="25">
        <f t="shared" si="625"/>
        <v>819.73683020381918</v>
      </c>
      <c r="BE304" s="25">
        <f t="shared" si="625"/>
        <v>384.90924745377799</v>
      </c>
      <c r="BF304" s="25">
        <f t="shared" si="625"/>
        <v>246.62646964794487</v>
      </c>
      <c r="BG304" s="25">
        <f t="shared" si="625"/>
        <v>257.9968243733594</v>
      </c>
      <c r="BH304" s="25">
        <f t="shared" si="625"/>
        <v>256.50659165982427</v>
      </c>
      <c r="BI304" s="25">
        <f t="shared" si="625"/>
        <v>776.00521769056206</v>
      </c>
      <c r="BJ304" s="25"/>
      <c r="BK304" s="25"/>
      <c r="BL304" s="25"/>
      <c r="BM304" s="25"/>
    </row>
    <row r="305" spans="2:66" ht="13.5" customHeight="1">
      <c r="B305" s="1" t="s">
        <v>27</v>
      </c>
      <c r="C305" s="25">
        <f>C286*C$160</f>
        <v>963.1264818902788</v>
      </c>
      <c r="D305" s="25">
        <f t="shared" ref="D305:H305" si="632">D286*D$160</f>
        <v>929.24185627524491</v>
      </c>
      <c r="E305" s="25">
        <f t="shared" si="632"/>
        <v>506.96864111498252</v>
      </c>
      <c r="F305" s="25">
        <f t="shared" si="632"/>
        <v>950.70921985815608</v>
      </c>
      <c r="G305" s="25">
        <f t="shared" si="632"/>
        <v>950.70921985815608</v>
      </c>
      <c r="H305" s="25">
        <f t="shared" si="632"/>
        <v>1205.6402439024389</v>
      </c>
      <c r="I305" s="25">
        <f t="shared" ref="I305:K306" si="633">I286*I$160</f>
        <v>1087.0504509283819</v>
      </c>
      <c r="J305" s="25">
        <f t="shared" si="633"/>
        <v>2180.3007518796994</v>
      </c>
      <c r="K305" s="25">
        <f t="shared" si="633"/>
        <v>2308.9458333386028</v>
      </c>
      <c r="L305" s="25">
        <f t="shared" ref="L305" si="634">L286*L$160</f>
        <v>2064.6028755991438</v>
      </c>
      <c r="M305" s="25">
        <f t="shared" ref="M305:N305" si="635">M286*M$160</f>
        <v>1829.434</v>
      </c>
      <c r="N305" s="25">
        <f t="shared" si="635"/>
        <v>1574.4223019543988</v>
      </c>
      <c r="O305" s="25">
        <f t="shared" ref="O305" si="636">O286*O$160</f>
        <v>1558.4179481695799</v>
      </c>
      <c r="P305" s="25">
        <f t="shared" ref="P305" si="637">P286*P$160</f>
        <v>2304.8229276961579</v>
      </c>
      <c r="Q305" s="326"/>
      <c r="R305" s="25"/>
      <c r="S305" s="25"/>
      <c r="T305" s="86"/>
      <c r="U305" s="25"/>
      <c r="V305" s="25"/>
      <c r="W305" s="25"/>
      <c r="X305" s="25">
        <f t="shared" ref="X305:Y309" si="638">X286*X$160</f>
        <v>506.96864111498252</v>
      </c>
      <c r="Y305" s="25">
        <f t="shared" si="638"/>
        <v>692.71664008506116</v>
      </c>
      <c r="Z305" s="25">
        <f t="shared" ref="Z305:AF305" si="639">Z286*Z$160</f>
        <v>1349.441340782123</v>
      </c>
      <c r="AA305" s="25">
        <f t="shared" si="639"/>
        <v>1110.2197802197802</v>
      </c>
      <c r="AB305" s="25">
        <f t="shared" si="639"/>
        <v>950.70921985815608</v>
      </c>
      <c r="AC305" s="25">
        <f t="shared" si="639"/>
        <v>1065.9214830970557</v>
      </c>
      <c r="AD305" s="25">
        <f t="shared" si="639"/>
        <v>1181.7426988922457</v>
      </c>
      <c r="AE305" s="25">
        <f t="shared" si="639"/>
        <v>982.18383838383852</v>
      </c>
      <c r="AF305" s="25">
        <f t="shared" si="639"/>
        <v>1205.6402439024389</v>
      </c>
      <c r="AG305" s="25">
        <f t="shared" ref="AG305:AH306" si="640">AG286*AG$160</f>
        <v>1218.5450980392156</v>
      </c>
      <c r="AH305" s="25">
        <f t="shared" si="640"/>
        <v>1225.1213354199269</v>
      </c>
      <c r="AI305" s="25">
        <f t="shared" ref="AI305:AK306" si="641">AI286*AI$160</f>
        <v>1539.2094704684316</v>
      </c>
      <c r="AJ305" s="25">
        <f t="shared" si="641"/>
        <v>1087.0504509283819</v>
      </c>
      <c r="AK305" s="25">
        <f t="shared" si="641"/>
        <v>1677.2931943853678</v>
      </c>
      <c r="AL305" s="25">
        <f t="shared" ref="AL305:AN306" si="642">AL286*AL$160</f>
        <v>1805.5400522420548</v>
      </c>
      <c r="AM305" s="25">
        <f t="shared" si="642"/>
        <v>2584.9065004452359</v>
      </c>
      <c r="AN305" s="25">
        <f t="shared" si="642"/>
        <v>2180.3007518796994</v>
      </c>
      <c r="AO305" s="25">
        <f t="shared" ref="AO305:AQ306" si="643">AO286*AO$160</f>
        <v>2369.7084517436979</v>
      </c>
      <c r="AP305" s="25">
        <f t="shared" si="643"/>
        <v>2036.8138006094905</v>
      </c>
      <c r="AQ305" s="25">
        <f t="shared" si="643"/>
        <v>2466.1756658354225</v>
      </c>
      <c r="AR305" s="25">
        <f t="shared" ref="AR305:AT306" si="644">AR286*AR$160</f>
        <v>2308.9458333386028</v>
      </c>
      <c r="AS305" s="25">
        <f t="shared" si="644"/>
        <v>2487.9860310878748</v>
      </c>
      <c r="AT305" s="25">
        <f t="shared" si="644"/>
        <v>2266.0278831497653</v>
      </c>
      <c r="AU305" s="25">
        <f t="shared" ref="AU305:AX305" si="645">AU286*AU$160</f>
        <v>1942.6077499999999</v>
      </c>
      <c r="AV305" s="25">
        <f t="shared" si="645"/>
        <v>2064.6028755991438</v>
      </c>
      <c r="AW305" s="25">
        <f t="shared" si="645"/>
        <v>2282.8482094400001</v>
      </c>
      <c r="AX305" s="25">
        <f t="shared" si="645"/>
        <v>1807.4369554354234</v>
      </c>
      <c r="AY305" s="25">
        <f t="shared" ref="AY305:BB305" si="646">AY286*AY$160</f>
        <v>2210.0956800112008</v>
      </c>
      <c r="AZ305" s="25">
        <f t="shared" si="646"/>
        <v>1829.434</v>
      </c>
      <c r="BA305" s="25">
        <f t="shared" si="646"/>
        <v>2113.9656116800002</v>
      </c>
      <c r="BB305" s="25">
        <f t="shared" si="646"/>
        <v>2086.1510663812883</v>
      </c>
      <c r="BC305" s="25">
        <f t="shared" ref="BC305:BE305" si="647">BC286*BC$160</f>
        <v>2108.2706073161698</v>
      </c>
      <c r="BD305" s="25">
        <f t="shared" si="647"/>
        <v>1574.4223019543988</v>
      </c>
      <c r="BE305" s="25">
        <f t="shared" si="647"/>
        <v>1489.4353792651466</v>
      </c>
      <c r="BF305" s="25">
        <f t="shared" ref="BF305:BI305" si="648">BF286*BF$160</f>
        <v>1965.7505598636606</v>
      </c>
      <c r="BG305" s="25">
        <f t="shared" si="648"/>
        <v>1898.1605194382212</v>
      </c>
      <c r="BH305" s="25">
        <f t="shared" si="648"/>
        <v>1558.4179481695799</v>
      </c>
      <c r="BI305" s="25">
        <f t="shared" si="648"/>
        <v>2304.8229276961579</v>
      </c>
      <c r="BJ305" s="25"/>
      <c r="BK305" s="25"/>
      <c r="BL305" s="25"/>
      <c r="BM305" s="25"/>
    </row>
    <row r="306" spans="2:66" ht="13.5" customHeight="1">
      <c r="B306" s="1" t="s">
        <v>357</v>
      </c>
      <c r="C306" s="25">
        <f t="shared" ref="C306:H309" si="649">C287*C$160</f>
        <v>4907.5746426739806</v>
      </c>
      <c r="D306" s="25">
        <f t="shared" si="649"/>
        <v>3878.1855694069104</v>
      </c>
      <c r="E306" s="25">
        <f t="shared" si="649"/>
        <v>4302.6035617499028</v>
      </c>
      <c r="F306" s="25">
        <f t="shared" si="649"/>
        <v>4222.8976697061807</v>
      </c>
      <c r="G306" s="25">
        <f t="shared" si="649"/>
        <v>4222.8976697061807</v>
      </c>
      <c r="H306" s="25">
        <f t="shared" si="649"/>
        <v>4156.7581300813008</v>
      </c>
      <c r="I306" s="25">
        <f t="shared" si="633"/>
        <v>3785.6763925729438</v>
      </c>
      <c r="J306" s="25">
        <f t="shared" si="633"/>
        <v>4450.3258145363416</v>
      </c>
      <c r="K306" s="25">
        <f t="shared" si="633"/>
        <v>4265.6577937583597</v>
      </c>
      <c r="L306" s="25">
        <f t="shared" ref="L306" si="650">L287*L$160</f>
        <v>4142.0391012475247</v>
      </c>
      <c r="M306" s="25">
        <f t="shared" ref="M306:N306" si="651">M287*M$160</f>
        <v>3989.5915</v>
      </c>
      <c r="N306" s="25">
        <f t="shared" si="651"/>
        <v>3692.7045058286139</v>
      </c>
      <c r="O306" s="25">
        <f t="shared" ref="O306" si="652">O287*O$160</f>
        <v>4590.9135825793992</v>
      </c>
      <c r="P306" s="25">
        <f t="shared" ref="P306" si="653">P287*P$160</f>
        <v>5068.1570974427686</v>
      </c>
      <c r="Q306" s="326"/>
      <c r="R306" s="25"/>
      <c r="S306" s="25"/>
      <c r="T306" s="86"/>
      <c r="U306" s="25"/>
      <c r="V306" s="25"/>
      <c r="W306" s="25"/>
      <c r="X306" s="25">
        <f t="shared" si="638"/>
        <v>4302.6035617499028</v>
      </c>
      <c r="Y306" s="25">
        <f t="shared" si="638"/>
        <v>4330.0372142477408</v>
      </c>
      <c r="Z306" s="25">
        <f t="shared" ref="Z306:AF306" si="654">Z287*Z$160</f>
        <v>4893.5754189944137</v>
      </c>
      <c r="AA306" s="25">
        <f t="shared" si="654"/>
        <v>4322.2527472527472</v>
      </c>
      <c r="AB306" s="25">
        <f t="shared" si="654"/>
        <v>4222.8976697061807</v>
      </c>
      <c r="AC306" s="25">
        <f t="shared" si="654"/>
        <v>4290.9487459105776</v>
      </c>
      <c r="AD306" s="25">
        <f t="shared" si="654"/>
        <v>4695.9214501510578</v>
      </c>
      <c r="AE306" s="25">
        <f t="shared" si="654"/>
        <v>4782.6156299840513</v>
      </c>
      <c r="AF306" s="25">
        <f t="shared" si="654"/>
        <v>4156.7581300813008</v>
      </c>
      <c r="AG306" s="25">
        <f t="shared" si="640"/>
        <v>4016.202270381837</v>
      </c>
      <c r="AH306" s="25">
        <f t="shared" si="640"/>
        <v>4024.6218049034942</v>
      </c>
      <c r="AI306" s="25">
        <f t="shared" si="641"/>
        <v>3967.229202338614</v>
      </c>
      <c r="AJ306" s="25">
        <f t="shared" si="641"/>
        <v>3785.6763925729438</v>
      </c>
      <c r="AK306" s="25">
        <f t="shared" si="641"/>
        <v>3953.1263292216076</v>
      </c>
      <c r="AL306" s="25">
        <f t="shared" si="642"/>
        <v>4031.1710927296472</v>
      </c>
      <c r="AM306" s="25">
        <f t="shared" si="642"/>
        <v>4648.4416740872657</v>
      </c>
      <c r="AN306" s="25">
        <f t="shared" si="642"/>
        <v>4450.3258145363416</v>
      </c>
      <c r="AO306" s="25">
        <f t="shared" si="643"/>
        <v>4412.9489844037244</v>
      </c>
      <c r="AP306" s="25">
        <f t="shared" si="643"/>
        <v>3735.5391713522267</v>
      </c>
      <c r="AQ306" s="25">
        <f t="shared" si="643"/>
        <v>4273.2609955573616</v>
      </c>
      <c r="AR306" s="25">
        <f t="shared" si="644"/>
        <v>4265.6577937583597</v>
      </c>
      <c r="AS306" s="25">
        <f t="shared" si="644"/>
        <v>4331.6207661767157</v>
      </c>
      <c r="AT306" s="25">
        <f t="shared" si="644"/>
        <v>4120.1466443121562</v>
      </c>
      <c r="AU306" s="25">
        <f t="shared" ref="AU306:AX306" si="655">AU287*AU$160</f>
        <v>3768.5747999999999</v>
      </c>
      <c r="AV306" s="25">
        <f t="shared" si="655"/>
        <v>4142.0391012475247</v>
      </c>
      <c r="AW306" s="25">
        <f t="shared" si="655"/>
        <v>4614.0677109999997</v>
      </c>
      <c r="AX306" s="25">
        <f t="shared" si="655"/>
        <v>4553.5637061394764</v>
      </c>
      <c r="AY306" s="25">
        <f t="shared" ref="AY306:BB306" si="656">AY287*AY$160</f>
        <v>3921.2000206541552</v>
      </c>
      <c r="AZ306" s="25">
        <f t="shared" si="656"/>
        <v>3989.5915</v>
      </c>
      <c r="BA306" s="25">
        <f t="shared" si="656"/>
        <v>4044.5163199999997</v>
      </c>
      <c r="BB306" s="25">
        <f t="shared" si="656"/>
        <v>3894.5381653345457</v>
      </c>
      <c r="BC306" s="25">
        <f t="shared" ref="BC306:BE306" si="657">BC287*BC$160</f>
        <v>3805.852226590152</v>
      </c>
      <c r="BD306" s="25">
        <f t="shared" si="657"/>
        <v>3692.7045058286139</v>
      </c>
      <c r="BE306" s="25">
        <f t="shared" si="657"/>
        <v>3788.2855400000003</v>
      </c>
      <c r="BF306" s="25">
        <f t="shared" ref="BF306:BI306" si="658">BF287*BF$160</f>
        <v>4472.6480047213754</v>
      </c>
      <c r="BG306" s="25">
        <f t="shared" si="658"/>
        <v>4380.0825107125647</v>
      </c>
      <c r="BH306" s="25">
        <f t="shared" si="658"/>
        <v>4590.9135825793992</v>
      </c>
      <c r="BI306" s="25">
        <f t="shared" si="658"/>
        <v>5068.1570974427686</v>
      </c>
      <c r="BJ306" s="25"/>
      <c r="BK306" s="25"/>
      <c r="BL306" s="25"/>
      <c r="BM306" s="25"/>
    </row>
    <row r="307" spans="2:66" ht="13.5" customHeight="1">
      <c r="B307" s="1" t="s">
        <v>385</v>
      </c>
      <c r="C307" s="25">
        <f t="shared" si="649"/>
        <v>5466.5120669535681</v>
      </c>
      <c r="D307" s="25">
        <f t="shared" si="649"/>
        <v>4363.5835294801391</v>
      </c>
      <c r="E307" s="25">
        <f t="shared" si="649"/>
        <v>4779.5683313975996</v>
      </c>
      <c r="F307" s="25">
        <f t="shared" si="649"/>
        <v>4722.1884498480249</v>
      </c>
      <c r="G307" s="25">
        <f t="shared" si="649"/>
        <v>4798.378926038501</v>
      </c>
      <c r="H307" s="25">
        <f t="shared" si="649"/>
        <v>4588.8719512195121</v>
      </c>
      <c r="I307" s="276"/>
      <c r="J307" s="276"/>
      <c r="K307" s="276"/>
      <c r="L307" s="367"/>
      <c r="M307" s="367"/>
      <c r="N307" s="367"/>
      <c r="O307" s="367"/>
      <c r="P307" s="367"/>
      <c r="Q307" s="326"/>
      <c r="R307" s="367"/>
      <c r="S307" s="367"/>
      <c r="T307" s="368"/>
      <c r="U307" s="367"/>
      <c r="V307" s="367"/>
      <c r="W307" s="367"/>
      <c r="X307" s="367">
        <f t="shared" si="638"/>
        <v>4779.5683313975996</v>
      </c>
      <c r="Y307" s="367">
        <f t="shared" si="638"/>
        <v>4854.0138224348757</v>
      </c>
      <c r="Z307" s="367">
        <f t="shared" ref="Z307:AF307" si="659">Z288*Z$160</f>
        <v>5444.1899441340784</v>
      </c>
      <c r="AA307" s="367">
        <f t="shared" si="659"/>
        <v>4863.7912087912091</v>
      </c>
      <c r="AB307" s="367">
        <f t="shared" si="659"/>
        <v>4722.1884498480249</v>
      </c>
      <c r="AC307" s="367">
        <f t="shared" si="659"/>
        <v>4809.9236641221369</v>
      </c>
      <c r="AD307" s="367">
        <f t="shared" si="659"/>
        <v>5158.1570996978853</v>
      </c>
      <c r="AE307" s="367">
        <f t="shared" si="659"/>
        <v>5252.6847421584271</v>
      </c>
      <c r="AF307" s="367">
        <f t="shared" si="659"/>
        <v>4588.8719512195121</v>
      </c>
      <c r="AG307" s="367"/>
      <c r="AH307" s="367"/>
      <c r="AI307" s="367"/>
      <c r="AJ307" s="367"/>
      <c r="AK307" s="367"/>
      <c r="AL307" s="367"/>
      <c r="AM307" s="367"/>
      <c r="AN307" s="367"/>
      <c r="AO307" s="367"/>
      <c r="AP307" s="367"/>
      <c r="AQ307" s="367"/>
      <c r="AR307" s="367"/>
      <c r="AS307" s="367"/>
      <c r="AT307" s="367"/>
      <c r="AU307" s="367"/>
      <c r="AV307" s="367"/>
      <c r="AW307" s="367"/>
      <c r="AX307" s="367"/>
      <c r="AY307" s="367"/>
      <c r="AZ307" s="367"/>
      <c r="BA307" s="367"/>
      <c r="BB307" s="367"/>
      <c r="BC307" s="367"/>
      <c r="BD307" s="367"/>
      <c r="BE307" s="367"/>
      <c r="BF307" s="367"/>
      <c r="BG307" s="367"/>
      <c r="BH307" s="367"/>
      <c r="BI307" s="367"/>
      <c r="BJ307" s="25"/>
      <c r="BK307" s="25"/>
      <c r="BL307" s="25"/>
      <c r="BM307" s="25"/>
    </row>
    <row r="308" spans="2:66" ht="13.5" customHeight="1">
      <c r="B308" s="1" t="s">
        <v>368</v>
      </c>
      <c r="C308" s="25">
        <f t="shared" ref="C308:P308" si="660">C306-C305</f>
        <v>3944.448160783702</v>
      </c>
      <c r="D308" s="25">
        <f t="shared" si="660"/>
        <v>2948.9437131316654</v>
      </c>
      <c r="E308" s="25">
        <f t="shared" si="660"/>
        <v>3795.6349206349205</v>
      </c>
      <c r="F308" s="25">
        <f t="shared" si="660"/>
        <v>3272.1884498480249</v>
      </c>
      <c r="G308" s="25">
        <f t="shared" si="660"/>
        <v>3272.1884498480249</v>
      </c>
      <c r="H308" s="25">
        <f t="shared" si="660"/>
        <v>2951.1178861788621</v>
      </c>
      <c r="I308" s="25">
        <f t="shared" si="660"/>
        <v>2698.6259416445619</v>
      </c>
      <c r="J308" s="25">
        <f t="shared" si="660"/>
        <v>2270.0250626566421</v>
      </c>
      <c r="K308" s="25">
        <f t="shared" si="660"/>
        <v>1956.7119604197569</v>
      </c>
      <c r="L308" s="25">
        <f t="shared" si="660"/>
        <v>2077.436225648381</v>
      </c>
      <c r="M308" s="25">
        <f t="shared" si="660"/>
        <v>2160.1575000000003</v>
      </c>
      <c r="N308" s="25">
        <f t="shared" si="660"/>
        <v>2118.2822038742152</v>
      </c>
      <c r="O308" s="25">
        <f t="shared" ref="O308" si="661">O306-O305</f>
        <v>3032.4956344098191</v>
      </c>
      <c r="P308" s="25">
        <f t="shared" si="660"/>
        <v>2763.3341697466108</v>
      </c>
      <c r="Q308" s="326"/>
      <c r="R308" s="25"/>
      <c r="S308" s="25"/>
      <c r="T308" s="86"/>
      <c r="U308" s="25"/>
      <c r="V308" s="25"/>
      <c r="W308" s="25"/>
      <c r="X308" s="25">
        <f t="shared" ref="X308:BF308" si="662">X306-X305</f>
        <v>3795.6349206349205</v>
      </c>
      <c r="Y308" s="25">
        <f t="shared" si="662"/>
        <v>3637.3205741626798</v>
      </c>
      <c r="Z308" s="25">
        <f t="shared" si="662"/>
        <v>3544.1340782122907</v>
      </c>
      <c r="AA308" s="25">
        <f t="shared" si="662"/>
        <v>3212.032967032967</v>
      </c>
      <c r="AB308" s="25">
        <f t="shared" si="662"/>
        <v>3272.1884498480249</v>
      </c>
      <c r="AC308" s="25">
        <f t="shared" si="662"/>
        <v>3225.0272628135217</v>
      </c>
      <c r="AD308" s="25">
        <f t="shared" si="662"/>
        <v>3514.1787512588121</v>
      </c>
      <c r="AE308" s="25">
        <f t="shared" si="662"/>
        <v>3800.4317916002128</v>
      </c>
      <c r="AF308" s="25">
        <f t="shared" si="662"/>
        <v>2951.1178861788621</v>
      </c>
      <c r="AG308" s="25">
        <f t="shared" si="662"/>
        <v>2797.6571723426214</v>
      </c>
      <c r="AH308" s="25">
        <f t="shared" si="662"/>
        <v>2799.500469483567</v>
      </c>
      <c r="AI308" s="25">
        <f t="shared" si="662"/>
        <v>2428.0197318701821</v>
      </c>
      <c r="AJ308" s="25">
        <f t="shared" si="662"/>
        <v>2698.6259416445619</v>
      </c>
      <c r="AK308" s="25">
        <f t="shared" si="662"/>
        <v>2275.8331348362399</v>
      </c>
      <c r="AL308" s="25">
        <f t="shared" si="662"/>
        <v>2225.6310404875921</v>
      </c>
      <c r="AM308" s="25">
        <f t="shared" si="662"/>
        <v>2063.5351736420298</v>
      </c>
      <c r="AN308" s="25">
        <f t="shared" si="662"/>
        <v>2270.0250626566421</v>
      </c>
      <c r="AO308" s="25">
        <f t="shared" si="662"/>
        <v>2043.2405326600265</v>
      </c>
      <c r="AP308" s="25">
        <f t="shared" si="662"/>
        <v>1698.7253707427362</v>
      </c>
      <c r="AQ308" s="25">
        <f t="shared" si="662"/>
        <v>1807.0853297219392</v>
      </c>
      <c r="AR308" s="25">
        <f t="shared" si="662"/>
        <v>1956.7119604197569</v>
      </c>
      <c r="AS308" s="25">
        <f t="shared" si="662"/>
        <v>1843.6347350888409</v>
      </c>
      <c r="AT308" s="25">
        <f t="shared" si="662"/>
        <v>1854.1187611623909</v>
      </c>
      <c r="AU308" s="25">
        <f t="shared" si="662"/>
        <v>1825.96705</v>
      </c>
      <c r="AV308" s="25">
        <f t="shared" si="662"/>
        <v>2077.436225648381</v>
      </c>
      <c r="AW308" s="25">
        <f t="shared" si="662"/>
        <v>2331.2195015599996</v>
      </c>
      <c r="AX308" s="25">
        <f t="shared" si="662"/>
        <v>2746.1267507040529</v>
      </c>
      <c r="AY308" s="25">
        <f t="shared" si="662"/>
        <v>1711.1043406429544</v>
      </c>
      <c r="AZ308" s="25">
        <f t="shared" si="662"/>
        <v>2160.1575000000003</v>
      </c>
      <c r="BA308" s="25">
        <f t="shared" si="662"/>
        <v>1930.5507083199996</v>
      </c>
      <c r="BB308" s="25">
        <f t="shared" si="662"/>
        <v>1808.3870989532575</v>
      </c>
      <c r="BC308" s="25">
        <f t="shared" si="662"/>
        <v>1697.5816192739821</v>
      </c>
      <c r="BD308" s="25">
        <f t="shared" si="662"/>
        <v>2118.2822038742152</v>
      </c>
      <c r="BE308" s="25">
        <f t="shared" si="662"/>
        <v>2298.8501607348535</v>
      </c>
      <c r="BF308" s="25">
        <f t="shared" si="662"/>
        <v>2506.8974448577146</v>
      </c>
      <c r="BG308" s="25">
        <f t="shared" ref="BG308:BI308" si="663">BG306-BG305</f>
        <v>2481.9219912743438</v>
      </c>
      <c r="BH308" s="25">
        <f t="shared" si="663"/>
        <v>3032.4956344098191</v>
      </c>
      <c r="BI308" s="25">
        <f t="shared" si="663"/>
        <v>2763.3341697466108</v>
      </c>
      <c r="BJ308" s="25"/>
      <c r="BK308" s="25"/>
      <c r="BL308" s="25"/>
      <c r="BM308" s="25"/>
      <c r="BN308" s="25"/>
    </row>
    <row r="309" spans="2:66" ht="13.5" customHeight="1">
      <c r="B309" s="1" t="s">
        <v>386</v>
      </c>
      <c r="C309" s="25">
        <f t="shared" si="649"/>
        <v>4503.385585063289</v>
      </c>
      <c r="D309" s="25">
        <f t="shared" si="649"/>
        <v>3434.3416732048936</v>
      </c>
      <c r="E309" s="25">
        <f t="shared" si="649"/>
        <v>4272.5996902826164</v>
      </c>
      <c r="F309" s="25">
        <f t="shared" si="649"/>
        <v>3771.4792299898686</v>
      </c>
      <c r="G309" s="25">
        <f t="shared" si="649"/>
        <v>3847.6697061803447</v>
      </c>
      <c r="H309" s="25">
        <f t="shared" si="649"/>
        <v>3383.231707317073</v>
      </c>
      <c r="I309" s="276"/>
      <c r="J309" s="276"/>
      <c r="K309" s="276"/>
      <c r="L309" s="367"/>
      <c r="M309" s="367"/>
      <c r="N309" s="367"/>
      <c r="O309" s="367"/>
      <c r="P309" s="367"/>
      <c r="Q309" s="326"/>
      <c r="R309" s="367"/>
      <c r="S309" s="367"/>
      <c r="T309" s="368"/>
      <c r="U309" s="367"/>
      <c r="V309" s="367"/>
      <c r="W309" s="367"/>
      <c r="X309" s="367">
        <f t="shared" si="638"/>
        <v>4272.5996902826164</v>
      </c>
      <c r="Y309" s="367">
        <f t="shared" si="638"/>
        <v>4161.2971823498146</v>
      </c>
      <c r="Z309" s="367">
        <f t="shared" ref="Z309:AF309" si="664">Z290*Z$160</f>
        <v>4094.7486033519554</v>
      </c>
      <c r="AA309" s="367">
        <f t="shared" si="664"/>
        <v>3753.5714285714284</v>
      </c>
      <c r="AB309" s="367">
        <f t="shared" si="664"/>
        <v>3771.4792299898686</v>
      </c>
      <c r="AC309" s="367">
        <f t="shared" si="664"/>
        <v>3744.0021810250819</v>
      </c>
      <c r="AD309" s="367">
        <f t="shared" si="664"/>
        <v>3976.4144008056396</v>
      </c>
      <c r="AE309" s="367">
        <f t="shared" si="664"/>
        <v>4270.5009037745886</v>
      </c>
      <c r="AF309" s="367">
        <f t="shared" si="664"/>
        <v>3383.231707317073</v>
      </c>
      <c r="AG309" s="367"/>
      <c r="AH309" s="367"/>
      <c r="AI309" s="367"/>
      <c r="AJ309" s="367"/>
      <c r="AK309" s="367"/>
      <c r="AL309" s="367"/>
      <c r="AM309" s="367"/>
      <c r="AN309" s="367"/>
      <c r="AO309" s="367"/>
      <c r="AP309" s="367"/>
      <c r="AQ309" s="367"/>
      <c r="AR309" s="367"/>
      <c r="AS309" s="367"/>
      <c r="AT309" s="367"/>
      <c r="AU309" s="367"/>
      <c r="AV309" s="367"/>
      <c r="AW309" s="367"/>
      <c r="AX309" s="367"/>
      <c r="AY309" s="367"/>
      <c r="AZ309" s="367"/>
      <c r="BA309" s="367"/>
      <c r="BB309" s="367"/>
      <c r="BC309" s="367"/>
      <c r="BD309" s="367"/>
      <c r="BE309" s="367"/>
      <c r="BF309" s="367"/>
      <c r="BG309" s="367"/>
      <c r="BH309" s="367"/>
      <c r="BI309" s="367"/>
      <c r="BJ309" s="25"/>
      <c r="BK309" s="25"/>
      <c r="BL309" s="25"/>
      <c r="BM309" s="25"/>
    </row>
    <row r="310" spans="2:66" ht="13.5" customHeight="1">
      <c r="B310" s="1" t="s">
        <v>387</v>
      </c>
      <c r="C310" s="51">
        <f>C306/C298</f>
        <v>2.356546738987026</v>
      </c>
      <c r="D310" s="51">
        <f t="shared" ref="D310:H310" si="665">D306/D298</f>
        <v>2.0633618905849813</v>
      </c>
      <c r="E310" s="51">
        <f t="shared" si="665"/>
        <v>2.4634669849714688</v>
      </c>
      <c r="F310" s="51">
        <f t="shared" si="665"/>
        <v>2.021469112037392</v>
      </c>
      <c r="G310" s="51">
        <f t="shared" si="665"/>
        <v>2.2027017169948575</v>
      </c>
      <c r="H310" s="51">
        <f t="shared" si="665"/>
        <v>2.2556581274068472</v>
      </c>
      <c r="I310" s="51">
        <f t="shared" ref="I310:N310" si="666">I306/I298</f>
        <v>1.9627008362025993</v>
      </c>
      <c r="J310" s="51">
        <f t="shared" si="666"/>
        <v>2.5509010875493385</v>
      </c>
      <c r="K310" s="51">
        <f t="shared" si="666"/>
        <v>2.3247950698299142</v>
      </c>
      <c r="L310" s="51">
        <f t="shared" si="666"/>
        <v>1.9503968179250633</v>
      </c>
      <c r="M310" s="51">
        <f t="shared" si="666"/>
        <v>1.5336002933586437</v>
      </c>
      <c r="N310" s="51">
        <f t="shared" si="666"/>
        <v>1.1929238608320003</v>
      </c>
      <c r="O310" s="51">
        <f t="shared" ref="O310" si="667">O306/O298</f>
        <v>1.4945858995067167</v>
      </c>
      <c r="P310" s="51">
        <f t="shared" ref="P310" si="668">P306/P298</f>
        <v>1.5819177589525097</v>
      </c>
      <c r="Q310" s="326"/>
      <c r="R310" s="51"/>
      <c r="S310" s="51"/>
      <c r="T310" s="103"/>
      <c r="U310" s="51"/>
      <c r="V310" s="51"/>
      <c r="W310" s="51"/>
      <c r="X310" s="51">
        <f>X306/X298</f>
        <v>2.4597772472141006</v>
      </c>
      <c r="Y310" s="51">
        <f>Y306/Y298</f>
        <v>2.3925288134112233</v>
      </c>
      <c r="Z310" s="51">
        <f t="shared" ref="Z310:AF310" si="669">Z306/Z298</f>
        <v>2.6327397822130045</v>
      </c>
      <c r="AA310" s="51">
        <f t="shared" si="669"/>
        <v>2.2265317313320789</v>
      </c>
      <c r="AB310" s="51">
        <f t="shared" si="669"/>
        <v>2.0172189474751274</v>
      </c>
      <c r="AC310" s="51">
        <f t="shared" si="669"/>
        <v>2.0204282373279701</v>
      </c>
      <c r="AD310" s="51">
        <f t="shared" si="669"/>
        <v>2.2153948877237619</v>
      </c>
      <c r="AE310" s="51">
        <f t="shared" si="669"/>
        <v>2.318876837391596</v>
      </c>
      <c r="AF310" s="51">
        <f t="shared" si="669"/>
        <v>2.2540686286278455</v>
      </c>
      <c r="AG310" s="51">
        <f t="shared" ref="AG310:AL310" si="670">AG306/AG298</f>
        <v>2.1682875973544684</v>
      </c>
      <c r="AH310" s="51">
        <f t="shared" si="670"/>
        <v>2.1386759480830473</v>
      </c>
      <c r="AI310" s="51">
        <f t="shared" si="670"/>
        <v>2.0320246024117639</v>
      </c>
      <c r="AJ310" s="51">
        <f t="shared" si="670"/>
        <v>1.9627008362025993</v>
      </c>
      <c r="AK310" s="51">
        <f t="shared" si="670"/>
        <v>2.0362753305422072</v>
      </c>
      <c r="AL310" s="51">
        <f t="shared" si="670"/>
        <v>2.2335966110170515</v>
      </c>
      <c r="AM310" s="51">
        <f t="shared" ref="AM310:AS310" si="671">AM306/AM298</f>
        <v>2.6600077786869605</v>
      </c>
      <c r="AN310" s="51">
        <f t="shared" si="671"/>
        <v>2.5508796406125849</v>
      </c>
      <c r="AO310" s="51">
        <f t="shared" si="671"/>
        <v>2.5741372747799094</v>
      </c>
      <c r="AP310" s="51">
        <f t="shared" si="671"/>
        <v>2.0788398657883707</v>
      </c>
      <c r="AQ310" s="51">
        <f t="shared" si="671"/>
        <v>2.3645452471523472</v>
      </c>
      <c r="AR310" s="51">
        <f t="shared" si="671"/>
        <v>2.3247918555974461</v>
      </c>
      <c r="AS310" s="51">
        <f t="shared" si="671"/>
        <v>2.3064850728456405</v>
      </c>
      <c r="AT310" s="51">
        <f>AT306/AT298</f>
        <v>2.0823677535848315</v>
      </c>
      <c r="AU310" s="51">
        <f>AU306/AU298</f>
        <v>1.8506704818771391</v>
      </c>
      <c r="AV310" s="51">
        <f t="shared" ref="AV310:AW310" si="672">AV306/AV298</f>
        <v>1.9503968179250633</v>
      </c>
      <c r="AW310" s="51">
        <f t="shared" si="672"/>
        <v>2.1007477946071322</v>
      </c>
      <c r="AX310" s="51">
        <f>AX306/AX298</f>
        <v>1.9694269397339923</v>
      </c>
      <c r="AY310" s="51">
        <f>AY306/AY298</f>
        <v>1.5815305992100845</v>
      </c>
      <c r="AZ310" s="51">
        <f t="shared" ref="AZ310:BA310" si="673">AZ306/AZ298</f>
        <v>1.5336002933586437</v>
      </c>
      <c r="BA310" s="51">
        <f t="shared" si="673"/>
        <v>1.455855534505033</v>
      </c>
      <c r="BB310" s="51">
        <f>BB306/BB298</f>
        <v>1.3245123424085343</v>
      </c>
      <c r="BC310" s="51">
        <f>BC306/BC298</f>
        <v>1.2719511493225373</v>
      </c>
      <c r="BD310" s="51">
        <f t="shared" ref="BD310:BE310" si="674">BD306/BD298</f>
        <v>1.1929238608320003</v>
      </c>
      <c r="BE310" s="51">
        <f t="shared" si="674"/>
        <v>1.2598854982015566</v>
      </c>
      <c r="BF310" s="51">
        <f t="shared" ref="BF310" si="675">BF306/BF298</f>
        <v>1.5523695973281564</v>
      </c>
      <c r="BG310" s="51">
        <f>BG306/BG298</f>
        <v>1.5024305186405773</v>
      </c>
      <c r="BH310" s="51">
        <f t="shared" ref="BH310" si="676">BH306/BH298</f>
        <v>1.4945858995067167</v>
      </c>
      <c r="BI310" s="51">
        <f>BI306/BI298</f>
        <v>1.5819177589525097</v>
      </c>
      <c r="BJ310" s="51"/>
      <c r="BK310" s="51"/>
      <c r="BL310" s="51"/>
      <c r="BM310" s="51"/>
    </row>
    <row r="311" spans="2:66" ht="13.5" customHeight="1">
      <c r="B311" s="5" t="s">
        <v>388</v>
      </c>
      <c r="C311" s="50">
        <f>C308/C298</f>
        <v>1.894067258716926</v>
      </c>
      <c r="D311" s="50">
        <f t="shared" ref="D311:H311" si="677">D308/D298</f>
        <v>1.5689651684425674</v>
      </c>
      <c r="E311" s="50">
        <f t="shared" si="677"/>
        <v>2.1732007561919175</v>
      </c>
      <c r="F311" s="50">
        <f t="shared" si="677"/>
        <v>1.5663718132657301</v>
      </c>
      <c r="G311" s="50">
        <f t="shared" si="677"/>
        <v>1.7068031670567279</v>
      </c>
      <c r="H311" s="50">
        <f t="shared" si="677"/>
        <v>1.6014193841884345</v>
      </c>
      <c r="I311" s="50">
        <f t="shared" ref="I311:N311" si="678">I308/I298</f>
        <v>1.3991146741055605</v>
      </c>
      <c r="J311" s="50">
        <f t="shared" si="678"/>
        <v>1.3011652724798037</v>
      </c>
      <c r="K311" s="50">
        <f t="shared" si="678"/>
        <v>1.0664133267598834</v>
      </c>
      <c r="L311" s="50">
        <f t="shared" si="678"/>
        <v>0.97821988274483029</v>
      </c>
      <c r="M311" s="50">
        <f t="shared" si="678"/>
        <v>0.83036525812251072</v>
      </c>
      <c r="N311" s="50">
        <f t="shared" si="678"/>
        <v>0.68430858222984714</v>
      </c>
      <c r="O311" s="50">
        <f t="shared" ref="O311" si="679">O308/O298</f>
        <v>0.98723818995479973</v>
      </c>
      <c r="P311" s="50">
        <f t="shared" ref="P311" si="680">P308/P298</f>
        <v>0.86251615981835017</v>
      </c>
      <c r="Q311" s="326"/>
      <c r="R311" s="50"/>
      <c r="S311" s="50"/>
      <c r="T311" s="102"/>
      <c r="U311" s="50"/>
      <c r="V311" s="50"/>
      <c r="W311" s="50"/>
      <c r="X311" s="50">
        <f>X308/X298</f>
        <v>2.1699457741144719</v>
      </c>
      <c r="Y311" s="50">
        <f>Y308/Y298</f>
        <v>2.0097735531378191</v>
      </c>
      <c r="Z311" s="50">
        <f t="shared" ref="Z311:AF311" si="681">Z308/Z298</f>
        <v>1.9067413868781666</v>
      </c>
      <c r="AA311" s="50">
        <f t="shared" si="681"/>
        <v>1.6546217311630584</v>
      </c>
      <c r="AB311" s="50">
        <f t="shared" si="681"/>
        <v>1.563078496572228</v>
      </c>
      <c r="AC311" s="50">
        <f t="shared" si="681"/>
        <v>1.5185304075586741</v>
      </c>
      <c r="AD311" s="50">
        <f t="shared" si="681"/>
        <v>1.6578841283292354</v>
      </c>
      <c r="AE311" s="50">
        <f t="shared" si="681"/>
        <v>1.8426597358938852</v>
      </c>
      <c r="AF311" s="50">
        <f t="shared" si="681"/>
        <v>1.6002909090330424</v>
      </c>
      <c r="AG311" s="50">
        <f t="shared" ref="AG311:AL311" si="682">AG308/AG298</f>
        <v>1.5104133059173703</v>
      </c>
      <c r="AH311" s="50">
        <f t="shared" si="682"/>
        <v>1.4876489297545985</v>
      </c>
      <c r="AI311" s="50">
        <f t="shared" si="682"/>
        <v>1.2436377074944487</v>
      </c>
      <c r="AJ311" s="50">
        <f t="shared" si="682"/>
        <v>1.3991146741055605</v>
      </c>
      <c r="AK311" s="50">
        <f t="shared" si="682"/>
        <v>1.1722931378745178</v>
      </c>
      <c r="AL311" s="50">
        <f t="shared" si="682"/>
        <v>1.2331805907154618</v>
      </c>
      <c r="AM311" s="50">
        <f t="shared" ref="AM311:AS311" si="683">AM308/AM298</f>
        <v>1.1808300497950706</v>
      </c>
      <c r="AN311" s="50">
        <f t="shared" si="683"/>
        <v>1.3011543328124677</v>
      </c>
      <c r="AO311" s="50">
        <f t="shared" si="683"/>
        <v>1.1918518965548395</v>
      </c>
      <c r="AP311" s="50">
        <f t="shared" si="683"/>
        <v>0.94534626990614778</v>
      </c>
      <c r="AQ311" s="50">
        <f t="shared" si="683"/>
        <v>0.99992371915383671</v>
      </c>
      <c r="AR311" s="50">
        <f t="shared" si="683"/>
        <v>1.0664118523502102</v>
      </c>
      <c r="AS311" s="50">
        <f t="shared" si="683"/>
        <v>0.98169166365305449</v>
      </c>
      <c r="AT311" s="50">
        <f>AT308/AT298</f>
        <v>0.93709216027328845</v>
      </c>
      <c r="AU311" s="50">
        <f>AU308/AU298</f>
        <v>0.89669530250939378</v>
      </c>
      <c r="AV311" s="50">
        <f t="shared" ref="AV311:AW311" si="684">AV308/AV298</f>
        <v>0.97821988274483029</v>
      </c>
      <c r="AW311" s="50">
        <f t="shared" si="684"/>
        <v>1.0613854267834144</v>
      </c>
      <c r="AX311" s="50">
        <f>AX308/AX298</f>
        <v>1.1877062344529934</v>
      </c>
      <c r="AY311" s="50">
        <f>AY308/AY298</f>
        <v>0.69013665686877457</v>
      </c>
      <c r="AZ311" s="50">
        <f t="shared" ref="AZ311:BA311" si="685">AZ308/AZ298</f>
        <v>0.83036525812251072</v>
      </c>
      <c r="BA311" s="50">
        <f t="shared" si="685"/>
        <v>0.69491694704060014</v>
      </c>
      <c r="BB311" s="50">
        <f>BB308/BB298</f>
        <v>0.61502312488192024</v>
      </c>
      <c r="BC311" s="50">
        <f>BC308/BC298</f>
        <v>0.56734753825135364</v>
      </c>
      <c r="BD311" s="50">
        <f t="shared" ref="BD311:BE311" si="686">BD308/BD298</f>
        <v>0.68430858222984714</v>
      </c>
      <c r="BE311" s="50">
        <f t="shared" si="686"/>
        <v>0.76453792869271398</v>
      </c>
      <c r="BF311" s="50">
        <f t="shared" ref="BF311" si="687">BF308/BF298</f>
        <v>0.87009560620659321</v>
      </c>
      <c r="BG311" s="50">
        <f>BG308/BG298</f>
        <v>0.85133449779902337</v>
      </c>
      <c r="BH311" s="50">
        <f t="shared" ref="BH311:BI311" si="688">BH308/BH298</f>
        <v>0.98723818995479973</v>
      </c>
      <c r="BI311" s="50">
        <f t="shared" si="688"/>
        <v>0.86251615981835017</v>
      </c>
      <c r="BJ311" s="50"/>
      <c r="BK311" s="50"/>
      <c r="BL311" s="50"/>
      <c r="BM311" s="50"/>
    </row>
    <row r="312" spans="2:66" ht="13.5" customHeight="1">
      <c r="B312" s="1" t="s">
        <v>389</v>
      </c>
      <c r="C312" s="51">
        <f t="shared" ref="C312:H312" si="689">C307/C299</f>
        <v>2.5387626050538445</v>
      </c>
      <c r="D312" s="51">
        <f t="shared" si="689"/>
        <v>2.2430025157941742</v>
      </c>
      <c r="E312" s="51">
        <f t="shared" si="689"/>
        <v>2.636860910537326</v>
      </c>
      <c r="F312" s="51">
        <f t="shared" si="689"/>
        <v>2.1921801977315249</v>
      </c>
      <c r="G312" s="51">
        <f t="shared" si="689"/>
        <v>2.4086339675175639</v>
      </c>
      <c r="H312" s="51">
        <f t="shared" si="689"/>
        <v>2.4176600324372601</v>
      </c>
      <c r="I312" s="273"/>
      <c r="J312" s="273"/>
      <c r="K312" s="273"/>
      <c r="L312" s="361"/>
      <c r="M312" s="361"/>
      <c r="N312" s="361"/>
      <c r="O312" s="361"/>
      <c r="P312" s="361"/>
      <c r="Q312" s="326"/>
      <c r="R312" s="361"/>
      <c r="S312" s="361"/>
      <c r="T312" s="362"/>
      <c r="U312" s="361"/>
      <c r="V312" s="361"/>
      <c r="W312" s="361"/>
      <c r="X312" s="361">
        <f>X307/X299</f>
        <v>2.6329114663913757</v>
      </c>
      <c r="Y312" s="361">
        <f>Y307/Y299</f>
        <v>2.5902282476151663</v>
      </c>
      <c r="Z312" s="361">
        <f t="shared" ref="Z312:AF312" si="690">Z307/Z299</f>
        <v>2.8319910801038626</v>
      </c>
      <c r="AA312" s="361">
        <f t="shared" si="690"/>
        <v>2.4249471077906501</v>
      </c>
      <c r="AB312" s="361">
        <f t="shared" si="690"/>
        <v>2.1875711109366716</v>
      </c>
      <c r="AC312" s="361">
        <f t="shared" si="690"/>
        <v>2.1982879590089888</v>
      </c>
      <c r="AD312" s="361">
        <f t="shared" si="690"/>
        <v>2.3650074670433239</v>
      </c>
      <c r="AE312" s="361">
        <f t="shared" si="690"/>
        <v>2.4769580799643762</v>
      </c>
      <c r="AF312" s="361">
        <f t="shared" si="690"/>
        <v>2.4159563754766116</v>
      </c>
      <c r="AG312" s="361"/>
      <c r="AH312" s="361"/>
      <c r="AI312" s="361"/>
      <c r="AJ312" s="361"/>
      <c r="AK312" s="361"/>
      <c r="AL312" s="361"/>
      <c r="AM312" s="361"/>
      <c r="AN312" s="361"/>
      <c r="AO312" s="361"/>
      <c r="AP312" s="361"/>
      <c r="AQ312" s="361"/>
      <c r="AR312" s="361"/>
      <c r="AS312" s="361"/>
      <c r="AT312" s="361"/>
      <c r="AU312" s="361"/>
      <c r="AV312" s="361"/>
      <c r="AW312" s="361"/>
      <c r="AX312" s="361"/>
      <c r="AY312" s="361"/>
      <c r="AZ312" s="361"/>
      <c r="BA312" s="361"/>
      <c r="BB312" s="361"/>
      <c r="BC312" s="361"/>
      <c r="BD312" s="361"/>
      <c r="BE312" s="361"/>
      <c r="BF312" s="361"/>
      <c r="BG312" s="361"/>
      <c r="BH312" s="361"/>
      <c r="BI312" s="361"/>
      <c r="BJ312" s="51"/>
      <c r="BK312" s="51"/>
      <c r="BL312" s="51"/>
      <c r="BM312" s="51"/>
    </row>
    <row r="313" spans="2:66" ht="13.5" customHeight="1">
      <c r="B313" s="5" t="s">
        <v>390</v>
      </c>
      <c r="C313" s="50">
        <f t="shared" ref="C313:H313" si="691">C309/C299</f>
        <v>2.0914665109060513</v>
      </c>
      <c r="D313" s="50">
        <f t="shared" si="691"/>
        <v>1.7653465233454773</v>
      </c>
      <c r="E313" s="50">
        <f t="shared" si="691"/>
        <v>2.3571691685357155</v>
      </c>
      <c r="F313" s="50">
        <f t="shared" si="691"/>
        <v>1.7508327276531315</v>
      </c>
      <c r="G313" s="50">
        <f t="shared" si="691"/>
        <v>1.9314081053089265</v>
      </c>
      <c r="H313" s="50">
        <f t="shared" si="691"/>
        <v>1.7824650951703336</v>
      </c>
      <c r="I313" s="272"/>
      <c r="J313" s="272"/>
      <c r="K313" s="272"/>
      <c r="L313" s="359"/>
      <c r="M313" s="359"/>
      <c r="N313" s="359"/>
      <c r="O313" s="359"/>
      <c r="P313" s="359"/>
      <c r="Q313" s="326"/>
      <c r="R313" s="359"/>
      <c r="S313" s="359"/>
      <c r="T313" s="360"/>
      <c r="U313" s="359"/>
      <c r="V313" s="359"/>
      <c r="W313" s="359"/>
      <c r="X313" s="359">
        <f>X309/X299</f>
        <v>2.3536386417883679</v>
      </c>
      <c r="Y313" s="359">
        <f>Y309/Y299</f>
        <v>2.2205765996432745</v>
      </c>
      <c r="Z313" s="359">
        <f t="shared" ref="Z313:AF313" si="692">Z309/Z299</f>
        <v>2.1300306636903952</v>
      </c>
      <c r="AA313" s="359">
        <f t="shared" si="692"/>
        <v>1.8714232969433044</v>
      </c>
      <c r="AB313" s="359">
        <f t="shared" si="692"/>
        <v>1.7471515795370349</v>
      </c>
      <c r="AC313" s="359">
        <f t="shared" si="692"/>
        <v>1.7111279695439754</v>
      </c>
      <c r="AD313" s="359">
        <f t="shared" si="692"/>
        <v>1.8231801723361143</v>
      </c>
      <c r="AE313" s="359">
        <f t="shared" si="692"/>
        <v>2.0137990833908299</v>
      </c>
      <c r="AF313" s="359">
        <f t="shared" si="692"/>
        <v>1.7812090421993794</v>
      </c>
      <c r="AG313" s="359"/>
      <c r="AH313" s="359"/>
      <c r="AI313" s="359"/>
      <c r="AJ313" s="359"/>
      <c r="AK313" s="359"/>
      <c r="AL313" s="359"/>
      <c r="AM313" s="359"/>
      <c r="AN313" s="359"/>
      <c r="AO313" s="359"/>
      <c r="AP313" s="359"/>
      <c r="AQ313" s="359"/>
      <c r="AR313" s="359"/>
      <c r="AS313" s="359"/>
      <c r="AT313" s="359"/>
      <c r="AU313" s="359"/>
      <c r="AV313" s="359"/>
      <c r="AW313" s="359"/>
      <c r="AX313" s="359"/>
      <c r="AY313" s="359"/>
      <c r="AZ313" s="359"/>
      <c r="BA313" s="359"/>
      <c r="BB313" s="359"/>
      <c r="BC313" s="359"/>
      <c r="BD313" s="359"/>
      <c r="BE313" s="359"/>
      <c r="BF313" s="359"/>
      <c r="BG313" s="359"/>
      <c r="BH313" s="359"/>
      <c r="BI313" s="359"/>
      <c r="BJ313" s="50"/>
      <c r="BK313" s="50"/>
      <c r="BL313" s="50"/>
      <c r="BM313" s="50"/>
    </row>
    <row r="314" spans="2:66" ht="13.5" customHeight="1">
      <c r="B314" s="5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326"/>
      <c r="R314" s="50"/>
      <c r="S314" s="50"/>
      <c r="T314" s="102"/>
      <c r="U314" s="50"/>
      <c r="V314" s="50"/>
      <c r="W314" s="50"/>
      <c r="X314" s="50"/>
      <c r="Y314" s="50"/>
      <c r="Z314" s="50"/>
      <c r="AA314" s="50"/>
      <c r="AB314" s="50"/>
      <c r="AC314" s="50"/>
      <c r="AD314" s="50"/>
      <c r="AE314" s="50"/>
      <c r="AF314" s="50"/>
      <c r="AG314" s="50"/>
      <c r="AH314" s="50"/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0"/>
      <c r="AT314" s="50"/>
      <c r="AU314" s="50"/>
      <c r="AV314" s="50"/>
      <c r="AW314" s="50"/>
      <c r="AX314" s="50"/>
      <c r="AY314" s="50"/>
      <c r="AZ314" s="50"/>
      <c r="BA314" s="50"/>
      <c r="BB314" s="50"/>
      <c r="BC314" s="50"/>
      <c r="BD314" s="50"/>
      <c r="BE314" s="50"/>
      <c r="BF314" s="50"/>
      <c r="BG314" s="50"/>
      <c r="BH314" s="50"/>
      <c r="BI314" s="50"/>
      <c r="BJ314" s="50"/>
      <c r="BK314" s="50"/>
      <c r="BL314" s="50"/>
      <c r="BM314" s="50"/>
    </row>
    <row r="315" spans="2:66" ht="13.5" customHeight="1">
      <c r="Q315" s="326"/>
      <c r="BF315" s="1"/>
      <c r="BJ315" s="1"/>
      <c r="BK315" s="1"/>
    </row>
    <row r="316" spans="2:66" ht="13.5" customHeight="1">
      <c r="B316" s="442" t="s">
        <v>392</v>
      </c>
      <c r="C316" s="443"/>
      <c r="D316" s="443"/>
      <c r="E316" s="443"/>
      <c r="F316" s="443"/>
      <c r="G316" s="443"/>
      <c r="H316" s="443"/>
      <c r="I316" s="443"/>
      <c r="J316" s="443"/>
      <c r="K316" s="443"/>
      <c r="L316" s="443"/>
      <c r="M316" s="443"/>
      <c r="N316" s="443"/>
      <c r="O316" s="443"/>
      <c r="P316" s="443"/>
      <c r="Q316" s="326"/>
      <c r="R316" s="443"/>
      <c r="S316" s="443"/>
      <c r="T316" s="444"/>
      <c r="U316" s="443"/>
      <c r="V316" s="443"/>
      <c r="W316" s="443"/>
      <c r="X316" s="351"/>
      <c r="Y316" s="351"/>
      <c r="Z316" s="351"/>
      <c r="AA316" s="351"/>
      <c r="AB316" s="351"/>
      <c r="AC316" s="351"/>
      <c r="AD316" s="351"/>
      <c r="AE316" s="351"/>
      <c r="AF316" s="351"/>
      <c r="AG316" s="351"/>
      <c r="AH316" s="351"/>
      <c r="AI316" s="351"/>
      <c r="AJ316" s="351"/>
      <c r="AK316" s="351"/>
      <c r="AL316" s="351"/>
      <c r="AM316" s="351"/>
      <c r="AN316" s="351"/>
      <c r="AO316" s="351"/>
      <c r="AP316" s="351"/>
      <c r="AQ316" s="351"/>
      <c r="AR316" s="351"/>
      <c r="AS316" s="351"/>
      <c r="AT316" s="351"/>
      <c r="AU316" s="351"/>
      <c r="AV316" s="351"/>
      <c r="AW316" s="351"/>
      <c r="AX316" s="351"/>
      <c r="AY316" s="351"/>
      <c r="AZ316" s="351"/>
      <c r="BA316" s="351"/>
      <c r="BB316" s="351"/>
      <c r="BC316" s="351"/>
      <c r="BD316" s="351"/>
      <c r="BE316" s="351"/>
      <c r="BF316" s="351"/>
      <c r="BG316" s="351"/>
      <c r="BH316" s="351"/>
      <c r="BI316" s="351"/>
      <c r="BJ316" s="1"/>
      <c r="BK316" s="1"/>
      <c r="BL316" s="200"/>
      <c r="BM316" s="200"/>
    </row>
    <row r="317" spans="2:66" ht="13.5" customHeight="1">
      <c r="B317" s="351"/>
      <c r="C317" s="351"/>
      <c r="D317" s="351"/>
      <c r="E317" s="351"/>
      <c r="F317" s="351"/>
      <c r="G317" s="351"/>
      <c r="H317" s="351"/>
      <c r="I317" s="351"/>
      <c r="J317" s="351"/>
      <c r="K317" s="351"/>
      <c r="L317" s="351"/>
      <c r="M317" s="351"/>
      <c r="N317" s="351"/>
      <c r="O317" s="351"/>
      <c r="P317" s="351"/>
      <c r="Q317" s="326"/>
      <c r="R317" s="351"/>
      <c r="S317" s="351"/>
      <c r="T317" s="445"/>
      <c r="U317" s="351"/>
      <c r="V317" s="351"/>
      <c r="W317" s="351"/>
      <c r="X317" s="351"/>
      <c r="Y317" s="351"/>
      <c r="Z317" s="351"/>
      <c r="AA317" s="351"/>
      <c r="AB317" s="351"/>
      <c r="AC317" s="351"/>
      <c r="AD317" s="351"/>
      <c r="AE317" s="351"/>
      <c r="AF317" s="351"/>
      <c r="AG317" s="351"/>
      <c r="AH317" s="351"/>
      <c r="AI317" s="351"/>
      <c r="AJ317" s="351"/>
      <c r="AK317" s="351"/>
      <c r="AL317" s="351"/>
      <c r="AM317" s="351"/>
      <c r="AN317" s="351"/>
      <c r="AO317" s="351"/>
      <c r="AP317" s="351"/>
      <c r="AQ317" s="351"/>
      <c r="AR317" s="351"/>
      <c r="AS317" s="351"/>
      <c r="AT317" s="351"/>
      <c r="AU317" s="351"/>
      <c r="AV317" s="351"/>
      <c r="AW317" s="351"/>
      <c r="AX317" s="351"/>
      <c r="AY317" s="351"/>
      <c r="AZ317" s="351"/>
      <c r="BA317" s="351"/>
      <c r="BB317" s="351"/>
      <c r="BC317" s="351"/>
      <c r="BD317" s="351"/>
      <c r="BE317" s="351"/>
      <c r="BF317" s="446"/>
      <c r="BG317" s="351"/>
      <c r="BH317" s="351"/>
      <c r="BI317" s="351"/>
    </row>
    <row r="318" spans="2:66" ht="13.5" customHeight="1">
      <c r="Q318" s="326"/>
    </row>
    <row r="319" spans="2:66" ht="13.5" customHeight="1">
      <c r="B319" s="5" t="s">
        <v>393</v>
      </c>
      <c r="C319" s="126"/>
      <c r="D319" s="126"/>
      <c r="E319" s="126"/>
      <c r="F319" s="126"/>
      <c r="G319" s="126"/>
      <c r="H319" s="126"/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  <c r="T319" s="126"/>
      <c r="U319" s="126"/>
      <c r="V319" s="126"/>
      <c r="W319" s="126"/>
      <c r="X319" s="126"/>
      <c r="Y319" s="126"/>
      <c r="Z319" s="126"/>
      <c r="AA319" s="126"/>
      <c r="AB319" s="126"/>
      <c r="AC319" s="126"/>
      <c r="AD319" s="126"/>
      <c r="AE319" s="126"/>
      <c r="AF319" s="126"/>
      <c r="AG319" s="126"/>
      <c r="AH319" s="126"/>
      <c r="AI319" s="126"/>
      <c r="AJ319" s="126"/>
      <c r="AK319" s="126"/>
      <c r="AL319" s="126"/>
      <c r="AM319" s="126"/>
      <c r="AN319" s="126"/>
      <c r="AO319" s="126"/>
      <c r="AP319" s="126"/>
      <c r="AQ319" s="126"/>
      <c r="AR319" s="126"/>
      <c r="AS319" s="126"/>
      <c r="AT319" s="126"/>
      <c r="AU319" s="126"/>
      <c r="AV319" s="126"/>
      <c r="AW319" s="126"/>
      <c r="AX319" s="126"/>
      <c r="AY319" s="126"/>
      <c r="AZ319" s="126"/>
      <c r="BA319" s="126"/>
      <c r="BB319" s="126"/>
      <c r="BC319" s="126"/>
      <c r="BD319" s="126"/>
      <c r="BE319" s="126"/>
      <c r="BF319" s="126"/>
      <c r="BG319" s="126"/>
      <c r="BH319" s="126"/>
      <c r="BI319" s="126"/>
      <c r="BJ319" s="126"/>
      <c r="BK319" s="126"/>
      <c r="BL319" s="126"/>
      <c r="BM319" s="126"/>
    </row>
    <row r="320" spans="2:66" ht="13.5" customHeight="1">
      <c r="B320" s="1" t="s">
        <v>394</v>
      </c>
      <c r="C320" s="132">
        <v>71965</v>
      </c>
      <c r="D320" s="132">
        <v>78709</v>
      </c>
      <c r="E320" s="132">
        <v>87557</v>
      </c>
      <c r="F320" s="132">
        <v>92643</v>
      </c>
      <c r="G320" s="132">
        <v>92643</v>
      </c>
      <c r="H320" s="132">
        <v>100162</v>
      </c>
      <c r="I320" s="132">
        <v>109249</v>
      </c>
      <c r="J320" s="132">
        <v>106783</v>
      </c>
      <c r="K320" s="132">
        <v>115794</v>
      </c>
      <c r="L320" s="132">
        <v>131001.89140583429</v>
      </c>
      <c r="M320" s="132">
        <v>149362</v>
      </c>
      <c r="N320" s="132">
        <v>166996</v>
      </c>
      <c r="O320" s="132">
        <v>169641</v>
      </c>
      <c r="P320" s="6">
        <f>SUM(BF320:BI320)</f>
        <v>169088.7933290471</v>
      </c>
      <c r="Q320" s="326"/>
      <c r="U320" s="132">
        <v>19240</v>
      </c>
      <c r="V320" s="132">
        <v>23198</v>
      </c>
      <c r="W320" s="132">
        <v>22527</v>
      </c>
      <c r="X320" s="174">
        <f>E320-W320-V320-U320</f>
        <v>22592</v>
      </c>
      <c r="Y320" s="132">
        <v>21472</v>
      </c>
      <c r="Z320" s="132">
        <v>24547</v>
      </c>
      <c r="AA320" s="132">
        <v>23239</v>
      </c>
      <c r="AB320" s="132">
        <f>F320-AA320-Z320-Y320</f>
        <v>23385</v>
      </c>
      <c r="AC320" s="132">
        <v>22277</v>
      </c>
      <c r="AD320" s="132">
        <v>26392</v>
      </c>
      <c r="AE320" s="132">
        <v>26069</v>
      </c>
      <c r="AF320" s="229">
        <f>H320-AE320-AD320-AC320</f>
        <v>25424</v>
      </c>
      <c r="AG320" s="132">
        <v>24822.7190614635</v>
      </c>
      <c r="AH320" s="132">
        <v>29007.964305584348</v>
      </c>
      <c r="AI320" s="132">
        <v>28165.535440645101</v>
      </c>
      <c r="AJ320" s="174">
        <f>I320-AI320-AH320-AG320</f>
        <v>27252.781192307059</v>
      </c>
      <c r="AK320" s="132">
        <v>25523.975031399299</v>
      </c>
      <c r="AL320" s="132">
        <v>27379.695657702181</v>
      </c>
      <c r="AM320" s="132">
        <v>26806.885525685044</v>
      </c>
      <c r="AN320" s="174">
        <f>J320-AM320-AL320-AK320</f>
        <v>27072.443785213487</v>
      </c>
      <c r="AO320" s="130">
        <v>25980.107301336437</v>
      </c>
      <c r="AP320" s="132">
        <v>30262.255526788973</v>
      </c>
      <c r="AQ320" s="132">
        <v>28760.019102274735</v>
      </c>
      <c r="AR320" s="174">
        <f>K320-AQ320-AP320-AO320</f>
        <v>30791.618069599863</v>
      </c>
      <c r="AS320" s="132">
        <v>28935</v>
      </c>
      <c r="AT320" s="132">
        <v>34475.15242874845</v>
      </c>
      <c r="AU320" s="132">
        <v>33799.346205325099</v>
      </c>
      <c r="AV320" s="174">
        <f>L320-AU320-AT320-AS320</f>
        <v>33792.392771760744</v>
      </c>
      <c r="AW320" s="132">
        <v>33617</v>
      </c>
      <c r="AX320" s="132">
        <v>39087.654623516297</v>
      </c>
      <c r="AY320" s="132">
        <v>39035.239521239942</v>
      </c>
      <c r="AZ320" s="174">
        <f>M320-AY320-AX320-AW320</f>
        <v>37622.105855243761</v>
      </c>
      <c r="BA320" s="132">
        <v>37844</v>
      </c>
      <c r="BB320" s="132">
        <v>45066.531142354317</v>
      </c>
      <c r="BC320" s="132">
        <v>42545.6121153411</v>
      </c>
      <c r="BD320" s="174">
        <f>N320-BC320-BB320-BA320</f>
        <v>41539.85674230459</v>
      </c>
      <c r="BE320" s="132">
        <v>39669.077458615771</v>
      </c>
      <c r="BF320" s="132">
        <v>45306.023495425623</v>
      </c>
      <c r="BG320" s="132">
        <v>42467.2345626842</v>
      </c>
      <c r="BH320" s="174">
        <f>O320-BG320-BF320-BE320</f>
        <v>42198.664483274413</v>
      </c>
      <c r="BI320" s="132">
        <v>39116.870787662861</v>
      </c>
      <c r="BJ320" s="127"/>
      <c r="BK320" s="127"/>
      <c r="BL320" s="132">
        <v>22277.448093844399</v>
      </c>
      <c r="BM320" s="132">
        <v>26391.773347043516</v>
      </c>
    </row>
    <row r="321" spans="2:65" ht="13.5" customHeight="1">
      <c r="B321" s="1" t="s">
        <v>395</v>
      </c>
      <c r="C321" s="132">
        <v>66367</v>
      </c>
      <c r="D321" s="132">
        <v>64752</v>
      </c>
      <c r="E321" s="132">
        <v>71293</v>
      </c>
      <c r="F321" s="132">
        <f>90613-F322</f>
        <v>86608</v>
      </c>
      <c r="G321" s="132">
        <f>90613-G322</f>
        <v>86608</v>
      </c>
      <c r="H321" s="132">
        <v>82180</v>
      </c>
      <c r="I321" s="132">
        <v>85222</v>
      </c>
      <c r="J321" s="132">
        <v>76832</v>
      </c>
      <c r="K321" s="132">
        <v>79010</v>
      </c>
      <c r="L321" s="132">
        <v>95738.423752929652</v>
      </c>
      <c r="M321" s="132">
        <v>95726</v>
      </c>
      <c r="N321" s="132">
        <v>112797</v>
      </c>
      <c r="O321" s="132">
        <v>122105</v>
      </c>
      <c r="P321" s="6">
        <f>SUM(BF321:BI321)</f>
        <v>123425.79356753766</v>
      </c>
      <c r="Q321" s="326"/>
      <c r="U321" s="132">
        <f>17857-U322</f>
        <v>15376</v>
      </c>
      <c r="V321" s="132">
        <f>16740-1403</f>
        <v>15337</v>
      </c>
      <c r="W321" s="132">
        <f>19824-2525</f>
        <v>17299</v>
      </c>
      <c r="X321" s="174">
        <f>E321-W321-V321-U321</f>
        <v>23281</v>
      </c>
      <c r="Y321" s="132">
        <f>26284-Y322</f>
        <v>23415</v>
      </c>
      <c r="Z321" s="132">
        <f>19643-921</f>
        <v>18722</v>
      </c>
      <c r="AA321" s="132">
        <f>21226-1770</f>
        <v>19456</v>
      </c>
      <c r="AB321" s="132">
        <f>F321-AA321-Z321-Y321</f>
        <v>25015</v>
      </c>
      <c r="AC321" s="132">
        <v>21845</v>
      </c>
      <c r="AD321" s="132">
        <v>18177</v>
      </c>
      <c r="AE321" s="132">
        <v>18079</v>
      </c>
      <c r="AF321" s="229">
        <f>H321-AE321-AD321-AC321</f>
        <v>24079</v>
      </c>
      <c r="AG321" s="132">
        <v>21425.016559075</v>
      </c>
      <c r="AH321" s="132">
        <v>18970.361502513984</v>
      </c>
      <c r="AI321" s="132">
        <v>20533.016702521851</v>
      </c>
      <c r="AJ321" s="174">
        <f>I321-AI321-AH321-AG321</f>
        <v>24293.605235889157</v>
      </c>
      <c r="AK321" s="132">
        <v>19824.214288971401</v>
      </c>
      <c r="AL321" s="132">
        <v>15694.959344226825</v>
      </c>
      <c r="AM321" s="132">
        <v>19927.125320276777</v>
      </c>
      <c r="AN321" s="174">
        <f>J321-AM321-AL321-AK321</f>
        <v>21385.701046524999</v>
      </c>
      <c r="AO321" s="130">
        <v>18710.29963538377</v>
      </c>
      <c r="AP321" s="132">
        <v>17524.103213439597</v>
      </c>
      <c r="AQ321" s="132">
        <v>19555.577536564728</v>
      </c>
      <c r="AR321" s="174">
        <f>K321-AQ321-AP321-AO321</f>
        <v>23220.019614611909</v>
      </c>
      <c r="AS321" s="132">
        <v>22261</v>
      </c>
      <c r="AT321" s="132">
        <v>22835.446795037904</v>
      </c>
      <c r="AU321" s="132">
        <v>23294.141122401401</v>
      </c>
      <c r="AV321" s="174">
        <f>L321-AU321-AT321-AS321</f>
        <v>27347.835835490347</v>
      </c>
      <c r="AW321" s="132">
        <v>23740</v>
      </c>
      <c r="AX321" s="132">
        <v>22340.733396491301</v>
      </c>
      <c r="AY321" s="132">
        <v>23817.771330192103</v>
      </c>
      <c r="AZ321" s="174">
        <f>M321-AY321-AX321-AW321</f>
        <v>25827.495273316599</v>
      </c>
      <c r="BA321" s="132">
        <v>25959</v>
      </c>
      <c r="BB321" s="132">
        <v>24389.271986221036</v>
      </c>
      <c r="BC321" s="132">
        <v>27055.608831502599</v>
      </c>
      <c r="BD321" s="174">
        <f t="shared" ref="BD321:BD323" si="693">N321-BC321-BB321-BA321</f>
        <v>35393.119182276365</v>
      </c>
      <c r="BE321" s="132">
        <v>30487.712845633123</v>
      </c>
      <c r="BF321" s="132">
        <v>27610.589128812971</v>
      </c>
      <c r="BG321" s="132">
        <v>29416.482293584999</v>
      </c>
      <c r="BH321" s="174">
        <f>O321-BG321-BF321-BE321</f>
        <v>34590.215731968914</v>
      </c>
      <c r="BI321" s="132">
        <v>31808.506413170773</v>
      </c>
      <c r="BJ321" s="127"/>
      <c r="BK321" s="127"/>
      <c r="BL321" s="132">
        <v>21844.8722804893</v>
      </c>
      <c r="BM321" s="132">
        <v>18177.462342442632</v>
      </c>
    </row>
    <row r="322" spans="2:65" ht="13.5" customHeight="1">
      <c r="B322" s="1" t="s">
        <v>396</v>
      </c>
      <c r="C322" s="132">
        <v>8966</v>
      </c>
      <c r="D322" s="132">
        <v>8899</v>
      </c>
      <c r="E322" s="132">
        <v>18868</v>
      </c>
      <c r="F322" s="132">
        <v>4005</v>
      </c>
      <c r="G322" s="132">
        <v>4005</v>
      </c>
      <c r="H322" s="132"/>
      <c r="I322" s="132"/>
      <c r="J322" s="132"/>
      <c r="K322" s="132"/>
      <c r="L322" s="132"/>
      <c r="M322" s="132"/>
      <c r="N322" s="132"/>
      <c r="O322" s="132"/>
      <c r="P322" s="6"/>
      <c r="Q322" s="326"/>
      <c r="R322"/>
      <c r="U322" s="132">
        <v>2481</v>
      </c>
      <c r="V322" s="132">
        <v>1403</v>
      </c>
      <c r="W322" s="132">
        <v>2525</v>
      </c>
      <c r="X322" s="174">
        <f>E322-W322-V322-U322</f>
        <v>12459</v>
      </c>
      <c r="Y322" s="132">
        <v>2869</v>
      </c>
      <c r="Z322" s="132">
        <v>921</v>
      </c>
      <c r="AA322" s="132">
        <v>1770</v>
      </c>
      <c r="AB322" s="132">
        <f>F322-AA322-Z322-Y322</f>
        <v>-1555</v>
      </c>
      <c r="AC322" s="132">
        <v>0</v>
      </c>
      <c r="AD322" s="132">
        <v>0</v>
      </c>
      <c r="AE322" s="132">
        <v>0</v>
      </c>
      <c r="AF322" s="229">
        <f>H322-AE322-AD322-AC322</f>
        <v>0</v>
      </c>
      <c r="AG322" s="132">
        <v>0</v>
      </c>
      <c r="AH322" s="132">
        <v>0</v>
      </c>
      <c r="AI322" s="132">
        <v>0</v>
      </c>
      <c r="AJ322" s="174">
        <f>I322-AI322-AH322-AG322</f>
        <v>0</v>
      </c>
      <c r="AK322" s="132"/>
      <c r="AL322" s="132"/>
      <c r="AM322" s="132">
        <v>0</v>
      </c>
      <c r="AN322" s="174">
        <f>J322-AM322-AL322-AK322</f>
        <v>0</v>
      </c>
      <c r="AO322" s="132">
        <v>0</v>
      </c>
      <c r="AP322" s="132"/>
      <c r="AQ322" s="132">
        <v>0</v>
      </c>
      <c r="AR322" s="174">
        <f>K322-AQ322-AP322-AO322</f>
        <v>0</v>
      </c>
      <c r="AS322" s="132">
        <v>0</v>
      </c>
      <c r="AT322" s="132"/>
      <c r="AU322" s="132"/>
      <c r="AV322" s="174">
        <f>Q322-AU322-AT322-AS322</f>
        <v>0</v>
      </c>
      <c r="AW322" s="132">
        <v>0</v>
      </c>
      <c r="AX322" s="132"/>
      <c r="AY322" s="132"/>
      <c r="AZ322" s="174">
        <f>M322-AY322-AX322-AW322</f>
        <v>0</v>
      </c>
      <c r="BA322" s="132">
        <v>0</v>
      </c>
      <c r="BB322" s="132"/>
      <c r="BC322" s="132"/>
      <c r="BD322" s="174">
        <f t="shared" si="693"/>
        <v>0</v>
      </c>
      <c r="BE322" s="132">
        <v>0</v>
      </c>
      <c r="BF322" s="132">
        <v>0</v>
      </c>
      <c r="BG322" s="132"/>
      <c r="BH322" s="174">
        <f>O322-BG322-BF322-BE322</f>
        <v>0</v>
      </c>
      <c r="BI322" s="132">
        <v>0</v>
      </c>
      <c r="BJ322" s="127"/>
      <c r="BK322" s="127"/>
      <c r="BL322" s="132">
        <v>0</v>
      </c>
      <c r="BM322" s="132">
        <v>0</v>
      </c>
    </row>
    <row r="323" spans="2:65" ht="13.5" customHeight="1">
      <c r="B323" s="1" t="s">
        <v>397</v>
      </c>
      <c r="C323" s="132"/>
      <c r="D323" s="132"/>
      <c r="E323" s="132"/>
      <c r="F323" s="132">
        <v>20524</v>
      </c>
      <c r="G323" s="132"/>
      <c r="H323" s="132"/>
      <c r="I323" s="132"/>
      <c r="J323" s="132"/>
      <c r="K323" s="132"/>
      <c r="L323" s="132"/>
      <c r="M323" s="132"/>
      <c r="N323" s="132"/>
      <c r="O323" s="132"/>
      <c r="P323" s="6"/>
      <c r="Q323" s="326"/>
      <c r="R323"/>
      <c r="U323" s="132">
        <v>0</v>
      </c>
      <c r="V323" s="132">
        <v>0</v>
      </c>
      <c r="W323" s="132">
        <v>0</v>
      </c>
      <c r="X323" s="174">
        <f>E323-W323-V323-U323</f>
        <v>0</v>
      </c>
      <c r="Y323" s="132">
        <v>3601</v>
      </c>
      <c r="Z323" s="132">
        <v>5917</v>
      </c>
      <c r="AA323" s="132">
        <v>4899</v>
      </c>
      <c r="AB323" s="132">
        <f>F323-AA323-Z323-Y323</f>
        <v>6107</v>
      </c>
      <c r="AC323" s="132">
        <v>5591</v>
      </c>
      <c r="AD323" s="132">
        <v>7517</v>
      </c>
      <c r="AE323" s="132">
        <v>0</v>
      </c>
      <c r="AF323" s="229">
        <f>H323-AE323-AD323-AC323</f>
        <v>-13108</v>
      </c>
      <c r="AG323" s="132">
        <v>0</v>
      </c>
      <c r="AH323" s="132">
        <v>0</v>
      </c>
      <c r="AI323" s="132">
        <v>0</v>
      </c>
      <c r="AJ323" s="174">
        <f>I323-AI323-AH323-AG323</f>
        <v>0</v>
      </c>
      <c r="AK323" s="132"/>
      <c r="AL323" s="132"/>
      <c r="AM323" s="132">
        <v>0</v>
      </c>
      <c r="AN323" s="174">
        <f>J323-AM323-AL323-AK323</f>
        <v>0</v>
      </c>
      <c r="AO323" s="132">
        <v>0</v>
      </c>
      <c r="AP323" s="132"/>
      <c r="AQ323" s="132">
        <v>0</v>
      </c>
      <c r="AR323" s="174">
        <f>K323-AQ323-AP323-AO323</f>
        <v>0</v>
      </c>
      <c r="AS323" s="132">
        <v>0</v>
      </c>
      <c r="AT323" s="132"/>
      <c r="AU323" s="132"/>
      <c r="AV323" s="174">
        <f>Q323-AU323-AT323-AS323</f>
        <v>0</v>
      </c>
      <c r="AW323" s="132">
        <v>0</v>
      </c>
      <c r="AX323" s="132"/>
      <c r="AY323" s="132"/>
      <c r="AZ323" s="174">
        <f>U323-AY323-AX323-AW323</f>
        <v>0</v>
      </c>
      <c r="BA323" s="132">
        <v>0</v>
      </c>
      <c r="BB323" s="132"/>
      <c r="BC323" s="132"/>
      <c r="BD323" s="174">
        <f t="shared" si="693"/>
        <v>0</v>
      </c>
      <c r="BE323" s="132">
        <v>0</v>
      </c>
      <c r="BF323" s="132">
        <v>0</v>
      </c>
      <c r="BG323" s="132"/>
      <c r="BH323" s="174">
        <f>O323-BG323-BF323-BE323</f>
        <v>0</v>
      </c>
      <c r="BI323" s="132">
        <v>0</v>
      </c>
      <c r="BJ323" s="127"/>
      <c r="BK323" s="127"/>
      <c r="BL323" s="132">
        <v>0</v>
      </c>
      <c r="BM323" s="132">
        <v>0</v>
      </c>
    </row>
    <row r="324" spans="2:65" s="5" customFormat="1" ht="13.5" customHeight="1" thickBot="1">
      <c r="B324" s="5" t="s">
        <v>398</v>
      </c>
      <c r="C324" s="286">
        <f t="shared" ref="C324:H324" si="694">SUM(C320:C323)</f>
        <v>147298</v>
      </c>
      <c r="D324" s="286">
        <f t="shared" si="694"/>
        <v>152360</v>
      </c>
      <c r="E324" s="286">
        <f t="shared" si="694"/>
        <v>177718</v>
      </c>
      <c r="F324" s="286">
        <f t="shared" si="694"/>
        <v>203780</v>
      </c>
      <c r="G324" s="286">
        <f t="shared" si="694"/>
        <v>183256</v>
      </c>
      <c r="H324" s="286">
        <f t="shared" si="694"/>
        <v>182342</v>
      </c>
      <c r="I324" s="286">
        <f t="shared" ref="I324:N324" si="695">SUM(I320:I323)</f>
        <v>194471</v>
      </c>
      <c r="J324" s="286">
        <f t="shared" si="695"/>
        <v>183615</v>
      </c>
      <c r="K324" s="286">
        <f t="shared" si="695"/>
        <v>194804</v>
      </c>
      <c r="L324" s="286">
        <f t="shared" si="695"/>
        <v>226740.31515876396</v>
      </c>
      <c r="M324" s="286">
        <f t="shared" si="695"/>
        <v>245088</v>
      </c>
      <c r="N324" s="286">
        <f t="shared" si="695"/>
        <v>279793</v>
      </c>
      <c r="O324" s="286">
        <f t="shared" ref="O324" si="696">SUM(O320:O323)</f>
        <v>291746</v>
      </c>
      <c r="P324" s="286">
        <f t="shared" ref="P324" si="697">SUM(P320:P323)</f>
        <v>292514.58689658478</v>
      </c>
      <c r="Q324" s="136"/>
      <c r="R324" s="287"/>
      <c r="S324" s="136"/>
      <c r="T324" s="214"/>
      <c r="U324" s="286">
        <f t="shared" ref="U324:AB324" si="698">SUM(U320:U323)</f>
        <v>37097</v>
      </c>
      <c r="V324" s="286">
        <f t="shared" si="698"/>
        <v>39938</v>
      </c>
      <c r="W324" s="286">
        <f t="shared" si="698"/>
        <v>42351</v>
      </c>
      <c r="X324" s="286">
        <f t="shared" si="698"/>
        <v>58332</v>
      </c>
      <c r="Y324" s="286">
        <f t="shared" si="698"/>
        <v>51357</v>
      </c>
      <c r="Z324" s="286">
        <f t="shared" si="698"/>
        <v>50107</v>
      </c>
      <c r="AA324" s="286">
        <f t="shared" si="698"/>
        <v>49364</v>
      </c>
      <c r="AB324" s="286">
        <f t="shared" si="698"/>
        <v>52952</v>
      </c>
      <c r="AC324" s="286">
        <f t="shared" ref="AC324:AH324" si="699">SUM(AC320:AC323)</f>
        <v>49713</v>
      </c>
      <c r="AD324" s="286">
        <f t="shared" si="699"/>
        <v>52086</v>
      </c>
      <c r="AE324" s="286">
        <f t="shared" si="699"/>
        <v>44148</v>
      </c>
      <c r="AF324" s="286">
        <f t="shared" si="699"/>
        <v>36395</v>
      </c>
      <c r="AG324" s="286">
        <f t="shared" si="699"/>
        <v>46247.7356205385</v>
      </c>
      <c r="AH324" s="286">
        <f t="shared" si="699"/>
        <v>47978.325808098336</v>
      </c>
      <c r="AI324" s="286">
        <f t="shared" ref="AI324:AN324" si="700">SUM(AI320:AI323)</f>
        <v>48698.552143166948</v>
      </c>
      <c r="AJ324" s="286">
        <f t="shared" si="700"/>
        <v>51546.386428196216</v>
      </c>
      <c r="AK324" s="286">
        <f t="shared" si="700"/>
        <v>45348.1893203707</v>
      </c>
      <c r="AL324" s="286">
        <f t="shared" si="700"/>
        <v>43074.655001929008</v>
      </c>
      <c r="AM324" s="286">
        <f t="shared" si="700"/>
        <v>46734.01084596182</v>
      </c>
      <c r="AN324" s="286">
        <f t="shared" si="700"/>
        <v>48458.144831738486</v>
      </c>
      <c r="AO324" s="286">
        <f t="shared" ref="AO324:AT324" si="701">SUM(AO320:AO323)</f>
        <v>44690.406936720203</v>
      </c>
      <c r="AP324" s="286">
        <f t="shared" si="701"/>
        <v>47786.35874022857</v>
      </c>
      <c r="AQ324" s="286">
        <f t="shared" si="701"/>
        <v>48315.596638839459</v>
      </c>
      <c r="AR324" s="286">
        <f t="shared" si="701"/>
        <v>54011.637684211775</v>
      </c>
      <c r="AS324" s="286">
        <f t="shared" si="701"/>
        <v>51196</v>
      </c>
      <c r="AT324" s="286">
        <f t="shared" si="701"/>
        <v>57310.599223786354</v>
      </c>
      <c r="AU324" s="286">
        <f t="shared" ref="AU324:AW324" si="702">SUM(AU320:AU323)</f>
        <v>57093.4873277265</v>
      </c>
      <c r="AV324" s="286">
        <f t="shared" si="702"/>
        <v>61140.228607251091</v>
      </c>
      <c r="AW324" s="286">
        <f t="shared" si="702"/>
        <v>57357</v>
      </c>
      <c r="AX324" s="286">
        <f>SUM(AX320:AX323)</f>
        <v>61428.388020007595</v>
      </c>
      <c r="AY324" s="286">
        <f t="shared" ref="AY324:BA324" si="703">SUM(AY320:AY323)</f>
        <v>62853.010851432045</v>
      </c>
      <c r="AZ324" s="286">
        <f t="shared" si="703"/>
        <v>63449.60112856036</v>
      </c>
      <c r="BA324" s="286">
        <f t="shared" si="703"/>
        <v>63803</v>
      </c>
      <c r="BB324" s="286">
        <f>SUM(BB320:BB323)</f>
        <v>69455.803128575353</v>
      </c>
      <c r="BC324" s="286">
        <f t="shared" ref="BC324:BF324" si="704">SUM(BC320:BC323)</f>
        <v>69601.220946843707</v>
      </c>
      <c r="BD324" s="286">
        <f t="shared" si="704"/>
        <v>76932.975924580955</v>
      </c>
      <c r="BE324" s="286">
        <f t="shared" si="704"/>
        <v>70156.790304248891</v>
      </c>
      <c r="BF324" s="286">
        <f t="shared" si="704"/>
        <v>72916.612624238594</v>
      </c>
      <c r="BG324" s="286">
        <f t="shared" ref="BG324:BI324" si="705">SUM(BG320:BG323)</f>
        <v>71883.716856269195</v>
      </c>
      <c r="BH324" s="286">
        <f t="shared" si="705"/>
        <v>76788.88021524332</v>
      </c>
      <c r="BI324" s="286">
        <f t="shared" si="705"/>
        <v>70925.377200833638</v>
      </c>
      <c r="BJ324" s="136"/>
      <c r="BK324" s="136"/>
      <c r="BL324" s="286">
        <f>SUM(BL320:BL323)</f>
        <v>44122.3203743337</v>
      </c>
      <c r="BM324" s="286">
        <f>SUM(BM320:BM323)</f>
        <v>44569.235689486144</v>
      </c>
    </row>
    <row r="325" spans="2:65" ht="13.5" customHeight="1">
      <c r="C325" s="174">
        <f>C324-C7</f>
        <v>0</v>
      </c>
      <c r="D325" s="174">
        <f>D324-D7</f>
        <v>0</v>
      </c>
      <c r="E325" s="174">
        <f>E324-E7</f>
        <v>0</v>
      </c>
      <c r="F325" s="174">
        <f>F324-F7</f>
        <v>-2.9000000009546056E-2</v>
      </c>
      <c r="G325" s="174">
        <f>G324-G7</f>
        <v>-0.14972006774041802</v>
      </c>
      <c r="H325" s="174">
        <f>H324-H7</f>
        <v>-3.3220905170310289E-3</v>
      </c>
      <c r="I325" s="174">
        <f>I324-I7</f>
        <v>0</v>
      </c>
      <c r="J325" s="174">
        <f>J324-J7</f>
        <v>0.3824431259999983</v>
      </c>
      <c r="K325" s="174">
        <f>K324-K7</f>
        <v>0.37389725373941474</v>
      </c>
      <c r="L325" s="174">
        <f>L324-L7</f>
        <v>0</v>
      </c>
      <c r="M325" s="402">
        <f>M324-M7</f>
        <v>0</v>
      </c>
      <c r="N325" s="402">
        <f>N324-N7</f>
        <v>-0.21943687577731907</v>
      </c>
      <c r="O325" s="402">
        <f>O324-O7</f>
        <v>0.34562839101999998</v>
      </c>
      <c r="P325" s="402">
        <f>P324-P7</f>
        <v>0.34562839107820764</v>
      </c>
      <c r="Q325" s="406"/>
      <c r="R325" s="413"/>
      <c r="S325" s="414"/>
      <c r="T325" s="415"/>
      <c r="U325" s="402">
        <f>U324-U7</f>
        <v>0.30900000000110595</v>
      </c>
      <c r="V325" s="402">
        <f>V324-V7</f>
        <v>-0.5639999999984866</v>
      </c>
      <c r="W325" s="402">
        <f>W324-W7</f>
        <v>0</v>
      </c>
      <c r="X325" s="402">
        <f>X324-X7</f>
        <v>0.25499999999738066</v>
      </c>
      <c r="Y325" s="402">
        <f>Y324-Y7</f>
        <v>-0.34999999999854481</v>
      </c>
      <c r="Z325" s="402">
        <f>Z324-Z7</f>
        <v>-0.50499999999738066</v>
      </c>
      <c r="AA325" s="402">
        <f>AA324-AA7</f>
        <v>1</v>
      </c>
      <c r="AB325" s="402">
        <f>AB324-AB7</f>
        <v>-0.17400000000634464</v>
      </c>
      <c r="AC325" s="402">
        <f>AC324-AC7</f>
        <v>0</v>
      </c>
      <c r="AD325" s="402">
        <f>AD324-AD7</f>
        <v>1.4999999999417923E-2</v>
      </c>
      <c r="AE325" s="402">
        <f>AE324-AE7</f>
        <v>-0.10300000000279397</v>
      </c>
      <c r="AF325" s="402">
        <f>AF324-AF7</f>
        <v>8.4677909486345015E-2</v>
      </c>
      <c r="AG325" s="402">
        <f>AG324-AG7</f>
        <v>-3.7946149677736685E-4</v>
      </c>
      <c r="AH325" s="402">
        <f>AH324-AH7</f>
        <v>0</v>
      </c>
      <c r="AI325" s="402">
        <f>AI324-AI7</f>
        <v>0</v>
      </c>
      <c r="AJ325" s="402">
        <f>AJ324-AJ7</f>
        <v>3.7946149677736685E-4</v>
      </c>
      <c r="AK325" s="402">
        <f>AK324-AK7</f>
        <v>0</v>
      </c>
      <c r="AL325" s="402">
        <f>AL324-AL7</f>
        <v>0</v>
      </c>
      <c r="AM325" s="402">
        <f>AM324-AM7</f>
        <v>0</v>
      </c>
      <c r="AN325" s="402">
        <f>AN324-AN7</f>
        <v>0.38244312599272234</v>
      </c>
      <c r="AO325" s="402">
        <f>AO324-AO7</f>
        <v>0</v>
      </c>
      <c r="AP325" s="402">
        <f>AP324-AP7</f>
        <v>-2.5336668477393687E-4</v>
      </c>
      <c r="AQ325" s="402">
        <f>AQ324-AQ7</f>
        <v>0</v>
      </c>
      <c r="AR325" s="402">
        <f>AR324-AR7</f>
        <v>0.37415062044601655</v>
      </c>
      <c r="AS325" s="402">
        <f>AS324-AS7</f>
        <v>1</v>
      </c>
      <c r="AT325" s="402">
        <f>AT324-AT7</f>
        <v>0</v>
      </c>
      <c r="AU325" s="402">
        <f>AU324-AU7</f>
        <v>0</v>
      </c>
      <c r="AV325" s="402">
        <f>AV324-AV7</f>
        <v>-1.0000000000145519</v>
      </c>
      <c r="AW325" s="402">
        <f>AW324-AW7</f>
        <v>-0.39800000000104774</v>
      </c>
      <c r="AX325" s="402">
        <f>AX324-AX7</f>
        <v>0</v>
      </c>
      <c r="AY325" s="402">
        <f>AY324-AY7</f>
        <v>0</v>
      </c>
      <c r="AZ325" s="402">
        <f>AZ324-AZ7</f>
        <v>0.39799999998649582</v>
      </c>
      <c r="BA325" s="402">
        <f>BA324-BA7</f>
        <v>0.39387851249193773</v>
      </c>
      <c r="BB325" s="402">
        <f>BB324-BB7</f>
        <v>0</v>
      </c>
      <c r="BC325" s="402">
        <f>BC324-BC7</f>
        <v>0</v>
      </c>
      <c r="BD325" s="402">
        <f>BD324-BD7</f>
        <v>-0.61331538834201638</v>
      </c>
      <c r="BE325" s="402">
        <f>BE324-BE7</f>
        <v>0</v>
      </c>
      <c r="BF325" s="402">
        <f>BF324-BF7</f>
        <v>0</v>
      </c>
      <c r="BG325" s="402">
        <f>BG324-BG7</f>
        <v>0</v>
      </c>
      <c r="BH325" s="402">
        <f>BH324-BH7</f>
        <v>0.3456283909472404</v>
      </c>
      <c r="BI325" s="402">
        <f>BI324-BI7</f>
        <v>0</v>
      </c>
      <c r="BJ325" s="134"/>
      <c r="BK325" s="134"/>
      <c r="BL325" s="174">
        <f>BL324-BL7</f>
        <v>3.7433370016515255E-4</v>
      </c>
      <c r="BM325" s="174">
        <f>BM324-BM7</f>
        <v>0</v>
      </c>
    </row>
    <row r="326" spans="2:65" ht="13.5" customHeight="1">
      <c r="B326" s="5" t="s">
        <v>399</v>
      </c>
      <c r="C326" s="132"/>
      <c r="D326" s="132"/>
      <c r="E326" s="132"/>
      <c r="F326" s="132"/>
      <c r="G326" s="132"/>
      <c r="H326" s="132"/>
      <c r="I326" s="132"/>
      <c r="J326" s="132"/>
      <c r="K326" s="132"/>
      <c r="L326" s="132"/>
      <c r="M326" s="132"/>
      <c r="N326" s="132"/>
      <c r="O326" s="132"/>
      <c r="P326" s="126"/>
      <c r="Q326" s="126"/>
      <c r="R326"/>
      <c r="U326" s="132"/>
      <c r="V326" s="132"/>
      <c r="W326" s="132"/>
      <c r="X326" s="132"/>
      <c r="Y326" s="132"/>
      <c r="Z326" s="132"/>
      <c r="AA326" s="132"/>
      <c r="AB326" s="132"/>
      <c r="AC326" s="132"/>
      <c r="AD326" s="132"/>
      <c r="AE326" s="132"/>
      <c r="AF326" s="127"/>
      <c r="AG326" s="132"/>
      <c r="AH326" s="132"/>
      <c r="AI326" s="132"/>
      <c r="AJ326" s="132"/>
      <c r="AK326" s="132"/>
      <c r="AL326" s="132"/>
      <c r="AM326" s="132"/>
      <c r="AN326" s="132"/>
      <c r="AO326" s="132"/>
      <c r="AP326" s="132"/>
      <c r="AQ326" s="132"/>
      <c r="AR326" s="132"/>
      <c r="AS326" s="132"/>
      <c r="AT326" s="132"/>
      <c r="AU326" s="132"/>
      <c r="AV326" s="132"/>
      <c r="AW326" s="132"/>
      <c r="AX326" s="132"/>
      <c r="AY326" s="132"/>
      <c r="AZ326" s="132"/>
      <c r="BA326" s="132"/>
      <c r="BB326" s="132"/>
      <c r="BC326" s="132"/>
      <c r="BD326" s="132"/>
      <c r="BE326" s="132"/>
      <c r="BF326" s="132">
        <v>0</v>
      </c>
      <c r="BG326" s="132"/>
      <c r="BH326" s="132"/>
      <c r="BI326" s="132"/>
      <c r="BJ326" s="127"/>
      <c r="BK326" s="127"/>
      <c r="BL326" s="132"/>
      <c r="BM326" s="132"/>
    </row>
    <row r="327" spans="2:65" ht="13.5" customHeight="1">
      <c r="B327" s="1" t="s">
        <v>394</v>
      </c>
      <c r="C327" s="132">
        <v>11566</v>
      </c>
      <c r="D327" s="132">
        <v>13238</v>
      </c>
      <c r="E327" s="132">
        <v>14725</v>
      </c>
      <c r="F327" s="132">
        <v>13975</v>
      </c>
      <c r="G327" s="132">
        <v>13975</v>
      </c>
      <c r="H327" s="132">
        <v>13617</v>
      </c>
      <c r="I327" s="132">
        <v>15221</v>
      </c>
      <c r="J327" s="132">
        <v>17423</v>
      </c>
      <c r="K327" s="132">
        <v>18841</v>
      </c>
      <c r="L327" s="132">
        <v>18841</v>
      </c>
      <c r="M327" s="132">
        <v>11011</v>
      </c>
      <c r="N327" s="132">
        <v>13511</v>
      </c>
      <c r="O327" s="132">
        <v>25884</v>
      </c>
      <c r="P327" s="6">
        <f t="shared" ref="P327:P328" si="706">SUM(BF327:BI327)</f>
        <v>24945.216535441665</v>
      </c>
      <c r="Q327" s="6"/>
      <c r="R327"/>
      <c r="U327" s="132">
        <v>2815</v>
      </c>
      <c r="V327" s="132">
        <v>4494</v>
      </c>
      <c r="W327" s="132">
        <v>3855</v>
      </c>
      <c r="X327" s="174">
        <f>E327-W327-V327-U327</f>
        <v>3561</v>
      </c>
      <c r="Y327" s="132">
        <v>2991</v>
      </c>
      <c r="Z327" s="132">
        <v>4239</v>
      </c>
      <c r="AA327" s="132">
        <v>3540</v>
      </c>
      <c r="AB327" s="132">
        <f>F327-AA327-Z327-Y327</f>
        <v>3205</v>
      </c>
      <c r="AC327" s="132">
        <v>2662</v>
      </c>
      <c r="AD327" s="132">
        <v>3800</v>
      </c>
      <c r="AE327" s="132">
        <v>3750</v>
      </c>
      <c r="AF327" s="229">
        <f>H327-AE327-AD327-AC327</f>
        <v>3405</v>
      </c>
      <c r="AG327" s="132">
        <v>3076.3423068309871</v>
      </c>
      <c r="AH327" s="132">
        <v>4526.7278442161269</v>
      </c>
      <c r="AI327" s="132">
        <v>4094.9211577651472</v>
      </c>
      <c r="AJ327" s="174">
        <f>I327-AI327-AH327-AG327</f>
        <v>3523.0086911877383</v>
      </c>
      <c r="AK327" s="132">
        <v>3434.78859142799</v>
      </c>
      <c r="AL327" s="132">
        <v>4696.0811230223908</v>
      </c>
      <c r="AM327" s="132">
        <v>4335.7639382954203</v>
      </c>
      <c r="AN327" s="174">
        <f>J327-AM327-AL327-AK327</f>
        <v>4956.3663472541994</v>
      </c>
      <c r="AO327" s="304">
        <v>4361.757600089908</v>
      </c>
      <c r="AP327" s="132">
        <v>5132.1799683564541</v>
      </c>
      <c r="AQ327" s="132">
        <v>4264.7027399150211</v>
      </c>
      <c r="AR327" s="174">
        <f>K327-AQ327-AP327-AO327</f>
        <v>5082.3596916386177</v>
      </c>
      <c r="AS327" s="132">
        <v>4950</v>
      </c>
      <c r="AT327" s="132">
        <v>5726.7482496170642</v>
      </c>
      <c r="AU327" s="132">
        <v>5059.4911221730599</v>
      </c>
      <c r="AV327" s="174">
        <f>L327-AU327-AT327-AS327</f>
        <v>3104.7606282098759</v>
      </c>
      <c r="AW327" s="132">
        <v>5011</v>
      </c>
      <c r="AX327" s="132">
        <v>6508.8282026863899</v>
      </c>
      <c r="AY327" s="132">
        <v>6031.8988596125819</v>
      </c>
      <c r="AZ327" s="174">
        <f>M327-AY327-AX327-AW327</f>
        <v>-6540.7270622989718</v>
      </c>
      <c r="BA327" s="132">
        <v>5681.3819721333139</v>
      </c>
      <c r="BB327" s="132">
        <v>7290.6694974997727</v>
      </c>
      <c r="BC327" s="132">
        <v>6710.86025041631</v>
      </c>
      <c r="BD327" s="174">
        <f t="shared" ref="BD327:BD330" si="707">N327-BC327-BB327-BA327</f>
        <v>-6171.9117200493965</v>
      </c>
      <c r="BE327" s="132">
        <v>5399.6930268871984</v>
      </c>
      <c r="BF327" s="132">
        <v>6829.1879248900914</v>
      </c>
      <c r="BG327" s="132">
        <v>6786.7262395347398</v>
      </c>
      <c r="BH327" s="174">
        <f>O327-BG327-BF327-BE327</f>
        <v>6868.3928086879714</v>
      </c>
      <c r="BI327" s="132">
        <v>4460.9095623288613</v>
      </c>
      <c r="BJ327" s="127"/>
      <c r="BK327" s="127"/>
      <c r="BL327" s="132">
        <v>2662.0470111132763</v>
      </c>
      <c r="BM327" s="132">
        <v>3800.1092416352876</v>
      </c>
    </row>
    <row r="328" spans="2:65" ht="13.5" customHeight="1">
      <c r="B328" s="1" t="s">
        <v>395</v>
      </c>
      <c r="C328" s="132">
        <f>6900-1324</f>
        <v>5576</v>
      </c>
      <c r="D328" s="132">
        <f>9406-1400</f>
        <v>8006</v>
      </c>
      <c r="E328" s="132">
        <f>9195-913</f>
        <v>8282</v>
      </c>
      <c r="F328" s="132">
        <f>11020-F329</f>
        <v>12283</v>
      </c>
      <c r="G328" s="132">
        <v>11020</v>
      </c>
      <c r="H328" s="132">
        <v>11056</v>
      </c>
      <c r="I328" s="132">
        <v>10202</v>
      </c>
      <c r="J328" s="132">
        <v>24873</v>
      </c>
      <c r="K328" s="132">
        <v>8560.9658066092397</v>
      </c>
      <c r="L328" s="132">
        <v>20948.462181097617</v>
      </c>
      <c r="M328" s="132">
        <v>23170</v>
      </c>
      <c r="N328" s="132">
        <v>26630</v>
      </c>
      <c r="O328" s="132">
        <v>17053</v>
      </c>
      <c r="P328" s="6">
        <f t="shared" si="706"/>
        <v>17775.595974971598</v>
      </c>
      <c r="Q328" s="6"/>
      <c r="R328"/>
      <c r="U328" s="132">
        <f>2093-266</f>
        <v>1827</v>
      </c>
      <c r="V328" s="132">
        <f>1510+94</f>
        <v>1604</v>
      </c>
      <c r="W328" s="132">
        <f>1789+12</f>
        <v>1801</v>
      </c>
      <c r="X328" s="174">
        <f>E328-W328-V328-U328</f>
        <v>3050</v>
      </c>
      <c r="Y328" s="132">
        <f>2870+345</f>
        <v>3215</v>
      </c>
      <c r="Z328" s="132">
        <f>1712+350</f>
        <v>2062</v>
      </c>
      <c r="AA328" s="132">
        <f>1801+715</f>
        <v>2516</v>
      </c>
      <c r="AB328" s="132">
        <f>F328-AA328-Z328-Y328</f>
        <v>4490</v>
      </c>
      <c r="AC328" s="132">
        <v>3103</v>
      </c>
      <c r="AD328" s="132">
        <v>2152</v>
      </c>
      <c r="AE328" s="132">
        <v>2028</v>
      </c>
      <c r="AF328" s="229">
        <f>H328-AE328-AD328-AC328</f>
        <v>3773</v>
      </c>
      <c r="AG328" s="132">
        <v>2638.0103903376071</v>
      </c>
      <c r="AH328" s="132">
        <v>1811.0770880068308</v>
      </c>
      <c r="AI328" s="132">
        <v>2917.7559289214746</v>
      </c>
      <c r="AJ328" s="174">
        <f>I328-AI328-AH328-AG328</f>
        <v>2835.1565927340876</v>
      </c>
      <c r="AK328" s="132">
        <v>2294.0000139531498</v>
      </c>
      <c r="AL328" s="132">
        <v>433.95128892968387</v>
      </c>
      <c r="AM328" s="132">
        <v>2783.3718944749103</v>
      </c>
      <c r="AN328" s="174">
        <f>J328-AM328-AL328-AK328</f>
        <v>19361.676802642254</v>
      </c>
      <c r="AO328" s="304">
        <v>1537.3468927195217</v>
      </c>
      <c r="AP328" s="132">
        <v>2115.9002721193369</v>
      </c>
      <c r="AQ328" s="132">
        <v>2211.3724307214279</v>
      </c>
      <c r="AR328" s="174">
        <f>K328-AQ328-AP328-AO328</f>
        <v>2696.3462110489536</v>
      </c>
      <c r="AS328" s="132">
        <v>1894</v>
      </c>
      <c r="AT328" s="132">
        <v>1925.7340184792324</v>
      </c>
      <c r="AU328" s="132">
        <v>2275.3972384020099</v>
      </c>
      <c r="AV328" s="174">
        <f>L328-AU328-AT328-AS328</f>
        <v>14853.330924216374</v>
      </c>
      <c r="AW328" s="132">
        <v>2713</v>
      </c>
      <c r="AX328" s="132">
        <v>2053.2080360759601</v>
      </c>
      <c r="AY328" s="132">
        <v>2427.6701417101676</v>
      </c>
      <c r="AZ328" s="174">
        <f>M328-AY328-AX328-AW328</f>
        <v>15976.12182221387</v>
      </c>
      <c r="BA328" s="132">
        <v>2935.2324372067046</v>
      </c>
      <c r="BB328" s="132">
        <v>2455.312268053869</v>
      </c>
      <c r="BC328" s="132">
        <v>2927.4302534506401</v>
      </c>
      <c r="BD328" s="174">
        <f t="shared" si="707"/>
        <v>18312.025041288787</v>
      </c>
      <c r="BE328" s="132">
        <v>3848.0173268818808</v>
      </c>
      <c r="BF328" s="132">
        <v>2937.3245296072359</v>
      </c>
      <c r="BG328" s="132">
        <v>3504.7516745350199</v>
      </c>
      <c r="BH328" s="174">
        <f>O328-BG328-BF328-BE328</f>
        <v>6762.9064689758625</v>
      </c>
      <c r="BI328" s="132">
        <v>4570.613301853482</v>
      </c>
      <c r="BJ328" s="127"/>
      <c r="BK328" s="127"/>
      <c r="BL328" s="132">
        <v>3103.2589290178789</v>
      </c>
      <c r="BM328" s="132">
        <v>2151.9070584085343</v>
      </c>
    </row>
    <row r="329" spans="2:65" ht="13.5" customHeight="1">
      <c r="B329" s="1" t="s">
        <v>396</v>
      </c>
      <c r="C329" s="132">
        <v>1324</v>
      </c>
      <c r="D329" s="132">
        <v>1400</v>
      </c>
      <c r="E329" s="132">
        <v>913</v>
      </c>
      <c r="F329" s="132">
        <v>-1263</v>
      </c>
      <c r="G329" s="132"/>
      <c r="H329" s="132"/>
      <c r="I329" s="132"/>
      <c r="J329" s="132"/>
      <c r="K329" s="132"/>
      <c r="L329" s="132"/>
      <c r="M329" s="132"/>
      <c r="N329" s="132"/>
      <c r="O329" s="132"/>
      <c r="P329" s="6"/>
      <c r="Q329" s="6"/>
      <c r="R329"/>
      <c r="U329" s="132">
        <v>266</v>
      </c>
      <c r="V329" s="132">
        <v>-94</v>
      </c>
      <c r="W329" s="132">
        <v>-12</v>
      </c>
      <c r="X329" s="174">
        <f>E329-W329-V329-U329</f>
        <v>753</v>
      </c>
      <c r="Y329" s="132">
        <v>-345</v>
      </c>
      <c r="Z329" s="132">
        <v>-350</v>
      </c>
      <c r="AA329" s="132">
        <v>-715</v>
      </c>
      <c r="AB329" s="132">
        <f>F329-AA329-Z329-Y329</f>
        <v>147</v>
      </c>
      <c r="AC329" s="132">
        <v>0</v>
      </c>
      <c r="AD329" s="132">
        <v>0</v>
      </c>
      <c r="AE329" s="132">
        <v>0</v>
      </c>
      <c r="AF329" s="229">
        <f>H329-AE329-AD329-AC329</f>
        <v>0</v>
      </c>
      <c r="AG329" s="132">
        <v>0</v>
      </c>
      <c r="AH329" s="132">
        <v>0</v>
      </c>
      <c r="AI329" s="132">
        <v>0</v>
      </c>
      <c r="AJ329" s="174">
        <f>I329-AI329-AH329-AG329</f>
        <v>0</v>
      </c>
      <c r="AK329" s="132"/>
      <c r="AL329" s="132"/>
      <c r="AM329" s="132">
        <v>0</v>
      </c>
      <c r="AN329" s="174">
        <f>J329-AM329-AL329-AK329</f>
        <v>0</v>
      </c>
      <c r="AO329" s="132"/>
      <c r="AP329" s="132"/>
      <c r="AQ329" s="132">
        <v>0</v>
      </c>
      <c r="AR329" s="174">
        <f>K329-AQ329-AP329-AO329</f>
        <v>0</v>
      </c>
      <c r="AS329" s="132"/>
      <c r="AT329" s="132"/>
      <c r="AU329" s="132"/>
      <c r="AV329" s="174">
        <f>Q329-AU329-AT329-AS329</f>
        <v>0</v>
      </c>
      <c r="AW329" s="132"/>
      <c r="AX329" s="132"/>
      <c r="AY329" s="132"/>
      <c r="AZ329" s="174">
        <f>M329-AY329-AX329-AW329</f>
        <v>0</v>
      </c>
      <c r="BA329" s="132"/>
      <c r="BB329" s="132"/>
      <c r="BC329" s="132"/>
      <c r="BD329" s="174">
        <f t="shared" si="707"/>
        <v>0</v>
      </c>
      <c r="BE329" s="132"/>
      <c r="BG329" s="132"/>
      <c r="BH329" s="174">
        <f t="shared" ref="BH329:BH330" si="708">O329-BG329-BF329-BE329</f>
        <v>0</v>
      </c>
      <c r="BI329" s="132"/>
      <c r="BL329" s="132">
        <v>0</v>
      </c>
      <c r="BM329" s="132">
        <v>0</v>
      </c>
    </row>
    <row r="330" spans="2:65" ht="13.5" customHeight="1">
      <c r="B330" s="1" t="s">
        <v>397</v>
      </c>
      <c r="C330" s="132"/>
      <c r="D330" s="132">
        <v>0</v>
      </c>
      <c r="E330" s="132">
        <v>0</v>
      </c>
      <c r="F330" s="132">
        <v>1179</v>
      </c>
      <c r="G330" s="132"/>
      <c r="H330" s="132"/>
      <c r="I330" s="132"/>
      <c r="J330" s="132"/>
      <c r="K330" s="132"/>
      <c r="L330" s="132"/>
      <c r="M330" s="132"/>
      <c r="N330" s="132"/>
      <c r="O330" s="132"/>
      <c r="P330" s="6"/>
      <c r="Q330" s="6"/>
      <c r="R330"/>
      <c r="U330" s="132">
        <v>0</v>
      </c>
      <c r="V330" s="132">
        <v>0</v>
      </c>
      <c r="W330" s="132">
        <v>0</v>
      </c>
      <c r="X330" s="174">
        <f>E330-W330-V330-U330</f>
        <v>0</v>
      </c>
      <c r="Y330" s="132">
        <v>229</v>
      </c>
      <c r="Z330" s="132">
        <v>540</v>
      </c>
      <c r="AA330" s="132">
        <v>145</v>
      </c>
      <c r="AB330" s="132">
        <f>F330-AA330-Z330-Y330</f>
        <v>265</v>
      </c>
      <c r="AC330" s="132">
        <v>117</v>
      </c>
      <c r="AD330" s="132">
        <v>324</v>
      </c>
      <c r="AE330" s="132">
        <v>0</v>
      </c>
      <c r="AF330" s="229">
        <f>H330-AE330-AD330-AC330</f>
        <v>-441</v>
      </c>
      <c r="AG330" s="132">
        <v>0</v>
      </c>
      <c r="AH330" s="132">
        <v>0</v>
      </c>
      <c r="AI330" s="132">
        <v>0</v>
      </c>
      <c r="AJ330" s="174">
        <f>I330-AI330-AH330-AG330</f>
        <v>0</v>
      </c>
      <c r="AK330" s="132"/>
      <c r="AL330" s="132"/>
      <c r="AM330" s="132">
        <v>0</v>
      </c>
      <c r="AN330" s="174">
        <f>J330-AM330-AL330-AK330</f>
        <v>0</v>
      </c>
      <c r="AO330" s="132"/>
      <c r="AP330" s="132"/>
      <c r="AQ330" s="132">
        <v>0</v>
      </c>
      <c r="AR330" s="174">
        <f>K330-AQ330-AP330-AO330</f>
        <v>0</v>
      </c>
      <c r="AS330" s="132"/>
      <c r="AT330" s="132"/>
      <c r="AU330" s="132"/>
      <c r="AV330" s="174">
        <f>Q330-AU330-AT330-AS330</f>
        <v>0</v>
      </c>
      <c r="AW330" s="132"/>
      <c r="AX330" s="132"/>
      <c r="AY330" s="132"/>
      <c r="AZ330" s="174">
        <f>U330-AY330-AX330-AW330</f>
        <v>0</v>
      </c>
      <c r="BA330" s="132"/>
      <c r="BB330" s="132"/>
      <c r="BC330" s="132"/>
      <c r="BD330" s="174">
        <f t="shared" si="707"/>
        <v>0</v>
      </c>
      <c r="BE330" s="132"/>
      <c r="BG330" s="132"/>
      <c r="BH330" s="174">
        <f t="shared" si="708"/>
        <v>0</v>
      </c>
      <c r="BI330" s="132"/>
      <c r="BL330" s="132">
        <v>0</v>
      </c>
      <c r="BM330" s="132">
        <v>0</v>
      </c>
    </row>
    <row r="331" spans="2:65" s="5" customFormat="1" ht="13.5" customHeight="1" thickBot="1">
      <c r="B331" s="5" t="s">
        <v>398</v>
      </c>
      <c r="C331" s="286">
        <f t="shared" ref="C331:H331" si="709">SUM(C327:C330)</f>
        <v>18466</v>
      </c>
      <c r="D331" s="286">
        <f t="shared" si="709"/>
        <v>22644</v>
      </c>
      <c r="E331" s="286">
        <f t="shared" si="709"/>
        <v>23920</v>
      </c>
      <c r="F331" s="286">
        <f t="shared" si="709"/>
        <v>26174</v>
      </c>
      <c r="G331" s="286">
        <f t="shared" si="709"/>
        <v>24995</v>
      </c>
      <c r="H331" s="286">
        <f t="shared" si="709"/>
        <v>24673</v>
      </c>
      <c r="I331" s="286">
        <f t="shared" ref="I331:N331" si="710">SUM(I327:I330)</f>
        <v>25423</v>
      </c>
      <c r="J331" s="286">
        <f t="shared" si="710"/>
        <v>42296</v>
      </c>
      <c r="K331" s="286">
        <f t="shared" si="710"/>
        <v>27401.965806609238</v>
      </c>
      <c r="L331" s="286">
        <f t="shared" si="710"/>
        <v>39789.462181097617</v>
      </c>
      <c r="M331" s="286">
        <f t="shared" si="710"/>
        <v>34181</v>
      </c>
      <c r="N331" s="286">
        <f t="shared" si="710"/>
        <v>40141</v>
      </c>
      <c r="O331" s="286">
        <f t="shared" ref="O331" si="711">SUM(O327:O330)</f>
        <v>42937</v>
      </c>
      <c r="P331" s="286">
        <f t="shared" ref="P331" si="712">SUM(P327:P330)</f>
        <v>42720.812510413263</v>
      </c>
      <c r="Q331" s="136"/>
      <c r="R331" s="287"/>
      <c r="S331" s="136"/>
      <c r="T331" s="214"/>
      <c r="U331" s="286">
        <f t="shared" ref="U331:AB331" si="713">SUM(U327:U330)</f>
        <v>4908</v>
      </c>
      <c r="V331" s="286">
        <f t="shared" si="713"/>
        <v>6004</v>
      </c>
      <c r="W331" s="286">
        <f t="shared" si="713"/>
        <v>5644</v>
      </c>
      <c r="X331" s="286">
        <f t="shared" si="713"/>
        <v>7364</v>
      </c>
      <c r="Y331" s="286">
        <f t="shared" si="713"/>
        <v>6090</v>
      </c>
      <c r="Z331" s="286">
        <f t="shared" si="713"/>
        <v>6491</v>
      </c>
      <c r="AA331" s="286">
        <f t="shared" si="713"/>
        <v>5486</v>
      </c>
      <c r="AB331" s="286">
        <f t="shared" si="713"/>
        <v>8107</v>
      </c>
      <c r="AC331" s="286">
        <f t="shared" ref="AC331:AH331" si="714">SUM(AC327:AC330)</f>
        <v>5882</v>
      </c>
      <c r="AD331" s="286">
        <f t="shared" si="714"/>
        <v>6276</v>
      </c>
      <c r="AE331" s="286">
        <f t="shared" si="714"/>
        <v>5778</v>
      </c>
      <c r="AF331" s="286">
        <f t="shared" si="714"/>
        <v>6737</v>
      </c>
      <c r="AG331" s="286">
        <f t="shared" si="714"/>
        <v>5714.3526971685942</v>
      </c>
      <c r="AH331" s="286">
        <f t="shared" si="714"/>
        <v>6337.8049322229581</v>
      </c>
      <c r="AI331" s="286">
        <f t="shared" ref="AI331:AN331" si="715">SUM(AI327:AI330)</f>
        <v>7012.6770866866218</v>
      </c>
      <c r="AJ331" s="286">
        <f t="shared" si="715"/>
        <v>6358.1652839218259</v>
      </c>
      <c r="AK331" s="286">
        <f t="shared" si="715"/>
        <v>5728.7886053811399</v>
      </c>
      <c r="AL331" s="286">
        <f t="shared" si="715"/>
        <v>5130.0324119520747</v>
      </c>
      <c r="AM331" s="286">
        <f t="shared" si="715"/>
        <v>7119.135832770331</v>
      </c>
      <c r="AN331" s="286">
        <f t="shared" si="715"/>
        <v>24318.043149896454</v>
      </c>
      <c r="AO331" s="286">
        <f t="shared" ref="AO331:AT331" si="716">SUM(AO327:AO330)</f>
        <v>5899.1044928094298</v>
      </c>
      <c r="AP331" s="286">
        <f t="shared" si="716"/>
        <v>7248.0802404757906</v>
      </c>
      <c r="AQ331" s="286">
        <f t="shared" si="716"/>
        <v>6476.075170636449</v>
      </c>
      <c r="AR331" s="286">
        <f t="shared" si="716"/>
        <v>7778.7059026875713</v>
      </c>
      <c r="AS331" s="286">
        <f t="shared" si="716"/>
        <v>6844</v>
      </c>
      <c r="AT331" s="286">
        <f t="shared" si="716"/>
        <v>7652.482268096297</v>
      </c>
      <c r="AU331" s="286">
        <f t="shared" ref="AU331:AX331" si="717">SUM(AU327:AU330)</f>
        <v>7334.8883605750698</v>
      </c>
      <c r="AV331" s="286">
        <f t="shared" si="717"/>
        <v>17958.091552426249</v>
      </c>
      <c r="AW331" s="286">
        <f t="shared" si="717"/>
        <v>7724</v>
      </c>
      <c r="AX331" s="286">
        <f t="shared" si="717"/>
        <v>8562.03623876235</v>
      </c>
      <c r="AY331" s="286">
        <f t="shared" ref="AY331:BB331" si="718">SUM(AY327:AY330)</f>
        <v>8459.5690013227504</v>
      </c>
      <c r="AZ331" s="286">
        <f t="shared" si="718"/>
        <v>9435.3947599148996</v>
      </c>
      <c r="BA331" s="286">
        <f t="shared" si="718"/>
        <v>8616.614409340018</v>
      </c>
      <c r="BB331" s="286">
        <f t="shared" si="718"/>
        <v>9745.9817655536426</v>
      </c>
      <c r="BC331" s="286">
        <f t="shared" ref="BC331:BF331" si="719">SUM(BC327:BC330)</f>
        <v>9638.2905038669505</v>
      </c>
      <c r="BD331" s="286">
        <f t="shared" si="719"/>
        <v>12140.113321239391</v>
      </c>
      <c r="BE331" s="286">
        <f t="shared" si="719"/>
        <v>9247.7103537690782</v>
      </c>
      <c r="BF331" s="286">
        <f t="shared" si="719"/>
        <v>9766.5124544973278</v>
      </c>
      <c r="BG331" s="286">
        <f t="shared" ref="BG331:BI331" si="720">SUM(BG327:BG330)</f>
        <v>10291.477914069759</v>
      </c>
      <c r="BH331" s="286">
        <f t="shared" si="720"/>
        <v>13631.299277663835</v>
      </c>
      <c r="BI331" s="286">
        <f t="shared" si="720"/>
        <v>9031.5228641823433</v>
      </c>
      <c r="BJ331" s="136"/>
      <c r="BK331" s="136"/>
      <c r="BL331" s="286">
        <f>SUM(BL327:BL330)</f>
        <v>5765.3059401311548</v>
      </c>
      <c r="BM331" s="286">
        <f>SUM(BM327:BM330)</f>
        <v>5952.0163000438224</v>
      </c>
    </row>
    <row r="332" spans="2:65" ht="13.5" customHeight="1">
      <c r="C332" s="126"/>
      <c r="D332" s="126"/>
      <c r="E332" s="126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126"/>
      <c r="Q332" s="126"/>
      <c r="U332" s="125"/>
      <c r="V332" s="125"/>
      <c r="W332" s="126"/>
      <c r="X332" s="126"/>
      <c r="Y332" s="126"/>
      <c r="Z332" s="125"/>
      <c r="AA332" s="125"/>
      <c r="AB332" s="125"/>
      <c r="AC332" s="125"/>
      <c r="AD332" s="125"/>
      <c r="AE332" s="125"/>
      <c r="AF332" s="230"/>
      <c r="AG332" s="125"/>
      <c r="AH332" s="125"/>
      <c r="AI332" s="125"/>
      <c r="AJ332" s="125"/>
      <c r="AK332" s="125"/>
      <c r="AL332" s="125"/>
      <c r="AM332" s="125"/>
      <c r="AN332" s="125"/>
      <c r="AO332" s="125"/>
      <c r="AP332" s="125"/>
      <c r="AQ332" s="125"/>
      <c r="AR332" s="125"/>
      <c r="AS332" s="125"/>
      <c r="AT332" s="125"/>
      <c r="AU332" s="125"/>
      <c r="AV332" s="125"/>
      <c r="AW332" s="125"/>
      <c r="AX332" s="125"/>
      <c r="AY332" s="125"/>
      <c r="AZ332" s="125"/>
      <c r="BA332" s="125"/>
      <c r="BB332" s="125"/>
      <c r="BC332" s="125"/>
      <c r="BD332" s="125"/>
      <c r="BE332" s="125"/>
      <c r="BG332" s="125"/>
      <c r="BH332" s="125"/>
      <c r="BI332" s="125"/>
      <c r="BL332" s="125"/>
      <c r="BM332" s="125"/>
    </row>
    <row r="333" spans="2:65" ht="13.5" customHeight="1">
      <c r="C333" s="126"/>
      <c r="D333" s="126"/>
      <c r="E333" s="126"/>
      <c r="F333" s="126"/>
      <c r="G333" s="126"/>
      <c r="H333" s="126"/>
      <c r="I333" s="126"/>
      <c r="J333" s="126"/>
      <c r="K333" s="126"/>
      <c r="L333" s="126"/>
      <c r="M333" s="126"/>
      <c r="N333" s="126"/>
      <c r="O333" s="126"/>
      <c r="P333" s="126"/>
      <c r="Q333" s="126"/>
      <c r="U333" s="125"/>
      <c r="V333" s="125"/>
      <c r="W333" s="126"/>
      <c r="X333" s="126"/>
      <c r="Y333" s="126"/>
      <c r="Z333" s="125"/>
      <c r="AA333" s="125"/>
      <c r="AB333" s="125"/>
      <c r="AC333" s="125"/>
      <c r="AD333" s="125"/>
      <c r="AE333" s="125"/>
      <c r="AF333" s="223"/>
      <c r="AG333" s="125"/>
      <c r="AH333" s="125"/>
      <c r="AI333" s="125"/>
      <c r="AJ333" s="125"/>
      <c r="AK333" s="125"/>
      <c r="AL333" s="125"/>
      <c r="AM333" s="125"/>
      <c r="AN333" s="125"/>
      <c r="AO333" s="125"/>
      <c r="AP333" s="125"/>
      <c r="AQ333" s="125"/>
      <c r="AR333" s="125"/>
      <c r="AS333" s="125"/>
      <c r="AT333" s="125"/>
      <c r="AU333" s="125"/>
      <c r="AV333" s="125"/>
      <c r="AW333" s="125"/>
      <c r="AX333" s="125"/>
      <c r="AY333" s="125"/>
      <c r="AZ333" s="125"/>
      <c r="BA333" s="125"/>
      <c r="BB333" s="125"/>
      <c r="BC333" s="125"/>
      <c r="BD333" s="125"/>
      <c r="BE333" s="125"/>
      <c r="BG333" s="125"/>
      <c r="BH333" s="125"/>
      <c r="BI333" s="125"/>
      <c r="BL333" s="125"/>
      <c r="BM333" s="125"/>
    </row>
    <row r="334" spans="2:65" s="5" customFormat="1" ht="13.5" customHeight="1">
      <c r="B334" s="5" t="s">
        <v>400</v>
      </c>
      <c r="C334" s="184"/>
      <c r="D334" s="184"/>
      <c r="E334" s="184"/>
      <c r="F334" s="184"/>
      <c r="G334" s="184"/>
      <c r="H334" s="184"/>
      <c r="I334" s="184"/>
      <c r="J334" s="184"/>
      <c r="K334" s="184"/>
      <c r="L334" s="184"/>
      <c r="M334" s="184"/>
      <c r="N334" s="184"/>
      <c r="O334" s="416"/>
      <c r="P334" s="185"/>
      <c r="Q334" s="126"/>
      <c r="T334" s="120"/>
      <c r="U334" s="135"/>
      <c r="V334" s="135"/>
      <c r="W334" s="135"/>
      <c r="X334" s="136"/>
      <c r="Y334" s="135"/>
      <c r="Z334" s="135"/>
      <c r="AA334" s="135"/>
      <c r="AB334" s="135"/>
      <c r="AC334" s="194"/>
      <c r="AD334" s="194"/>
      <c r="AE334" s="194"/>
      <c r="AF334" s="135"/>
      <c r="AG334" s="194"/>
      <c r="AH334" s="194"/>
      <c r="AI334" s="194"/>
      <c r="AJ334" s="194"/>
      <c r="AK334" s="194"/>
      <c r="AL334" s="194"/>
      <c r="AM334" s="194"/>
      <c r="AN334" s="194"/>
      <c r="AO334" s="194"/>
      <c r="AP334" s="194"/>
      <c r="AQ334" s="194"/>
      <c r="AR334" s="194"/>
      <c r="AS334" s="194"/>
      <c r="AT334" s="194"/>
      <c r="AU334" s="194"/>
      <c r="AV334" s="194"/>
      <c r="AW334" s="194"/>
      <c r="AX334" s="194"/>
      <c r="AY334" s="194"/>
      <c r="AZ334" s="194"/>
      <c r="BA334" s="194"/>
      <c r="BB334" s="194"/>
      <c r="BC334" s="194"/>
      <c r="BD334" s="194"/>
      <c r="BE334" s="194"/>
      <c r="BG334" s="194"/>
      <c r="BH334" s="194"/>
      <c r="BI334" s="194"/>
      <c r="BL334" s="194"/>
      <c r="BM334" s="194"/>
    </row>
    <row r="335" spans="2:65" ht="13.5" customHeight="1">
      <c r="B335" s="1" t="s">
        <v>394</v>
      </c>
      <c r="C335" s="126">
        <v>1.7999999999999999E-2</v>
      </c>
      <c r="D335" s="126">
        <v>9.4E-2</v>
      </c>
      <c r="E335" s="126">
        <v>0.112</v>
      </c>
      <c r="F335" s="126">
        <v>5.8000000000000003E-2</v>
      </c>
      <c r="G335" s="126"/>
      <c r="H335" s="126">
        <v>8.1000000000000003E-2</v>
      </c>
      <c r="I335" s="126">
        <v>9.0999999999999998E-2</v>
      </c>
      <c r="J335" s="126">
        <v>-2.3E-2</v>
      </c>
      <c r="K335" s="126">
        <v>8.4000000000000005E-2</v>
      </c>
      <c r="L335" s="126">
        <v>0.13133469966053402</v>
      </c>
      <c r="M335" s="126">
        <v>0.14000000000000001</v>
      </c>
      <c r="N335" s="126">
        <v>0.11806221265631667</v>
      </c>
      <c r="O335" s="417">
        <f>O320/N320-1</f>
        <v>1.5838702723418585E-2</v>
      </c>
      <c r="P335" s="369"/>
      <c r="Q335" s="126"/>
      <c r="R335" s="126"/>
      <c r="S335" s="126"/>
      <c r="T335" s="186"/>
      <c r="U335" s="126">
        <v>0.129</v>
      </c>
      <c r="V335" s="126">
        <v>0.14199999999999999</v>
      </c>
      <c r="W335" s="126">
        <v>8.2000000000000003E-2</v>
      </c>
      <c r="X335" s="126">
        <v>0.1</v>
      </c>
      <c r="Y335" s="126">
        <v>0.11600000000000001</v>
      </c>
      <c r="Z335" s="126">
        <v>5.8000000000000003E-2</v>
      </c>
      <c r="AA335" s="126">
        <v>3.2000000000000001E-2</v>
      </c>
      <c r="AB335" s="126">
        <v>3.5000000000000003E-2</v>
      </c>
      <c r="AC335" s="126">
        <v>3.6999999999999998E-2</v>
      </c>
      <c r="AD335" s="126">
        <v>7.4999999999999997E-2</v>
      </c>
      <c r="AE335" s="126">
        <v>0.122</v>
      </c>
      <c r="AF335" s="126">
        <v>8.6999999999999994E-2</v>
      </c>
      <c r="AG335" s="126">
        <v>0.114</v>
      </c>
      <c r="AH335" s="126">
        <v>9.9000000000000005E-2</v>
      </c>
      <c r="AI335" s="126">
        <v>0.08</v>
      </c>
      <c r="AJ335" s="126">
        <v>7.1999999999999995E-2</v>
      </c>
      <c r="AK335" s="126">
        <v>2.8000000000000001E-2</v>
      </c>
      <c r="AL335" s="126">
        <v>-5.6000000000000001E-2</v>
      </c>
      <c r="AM335" s="126">
        <v>-4.8000000000000001E-2</v>
      </c>
      <c r="AN335" s="126">
        <v>-7.0000000000000001E-3</v>
      </c>
      <c r="AO335" s="126">
        <v>1.7999999999999999E-2</v>
      </c>
      <c r="AP335" s="126">
        <v>0.105</v>
      </c>
      <c r="AQ335" s="126">
        <v>7.2999999999999995E-2</v>
      </c>
      <c r="AR335" s="126">
        <v>0.13700000000000001</v>
      </c>
      <c r="AS335" s="126">
        <v>0.114</v>
      </c>
      <c r="AT335" s="126">
        <v>0.13900000000000001</v>
      </c>
      <c r="AU335" s="126">
        <v>0.17499999999999999</v>
      </c>
      <c r="AV335" s="126">
        <v>9.7453139523885568E-2</v>
      </c>
      <c r="AW335" s="126">
        <f>12%+16.2%</f>
        <v>0.28200000000000003</v>
      </c>
      <c r="AX335" s="126">
        <v>0.133792075446244</v>
      </c>
      <c r="AY335" s="126">
        <v>0.15491108272058507</v>
      </c>
      <c r="AZ335" s="126">
        <v>0.113</v>
      </c>
      <c r="BA335" s="126">
        <v>0.12573134784458495</v>
      </c>
      <c r="BB335" s="126">
        <v>0.153</v>
      </c>
      <c r="BC335" s="126">
        <v>8.9928296512464395E-2</v>
      </c>
      <c r="BD335" s="126">
        <v>0.10414201797698763</v>
      </c>
      <c r="BE335" s="126">
        <v>4.8219917808335303E-2</v>
      </c>
      <c r="BF335" s="126">
        <v>5.3141954128843594E-3</v>
      </c>
      <c r="BG335" s="126">
        <v>-1.84220061153251E-3</v>
      </c>
      <c r="BH335" s="417">
        <f>BH320/BD320-1</f>
        <v>1.5859653658816919E-2</v>
      </c>
      <c r="BI335" s="126">
        <v>-1.4E-2</v>
      </c>
      <c r="BJ335" s="126"/>
      <c r="BK335" s="126"/>
      <c r="BL335" s="126"/>
      <c r="BM335" s="126"/>
    </row>
    <row r="336" spans="2:65" ht="13.5" customHeight="1">
      <c r="B336" s="1" t="s">
        <v>401</v>
      </c>
      <c r="C336" s="126">
        <v>-0.11700000000000001</v>
      </c>
      <c r="D336" s="126">
        <v>-2.1999999999999999E-2</v>
      </c>
      <c r="E336" s="126">
        <v>0.224</v>
      </c>
      <c r="F336" s="126">
        <v>5.0000000000000001E-3</v>
      </c>
      <c r="G336" s="126"/>
      <c r="H336" s="126">
        <v>-9.2999999999999999E-2</v>
      </c>
      <c r="I336" s="126">
        <v>3.6999999999999998E-2</v>
      </c>
      <c r="J336" s="126">
        <v>-9.8000000000000004E-2</v>
      </c>
      <c r="K336" s="126">
        <v>2.8000000000000001E-2</v>
      </c>
      <c r="L336" s="126">
        <v>0.2117327758816625</v>
      </c>
      <c r="M336" s="126">
        <v>0</v>
      </c>
      <c r="N336" s="126">
        <v>0.17833567895653513</v>
      </c>
      <c r="O336" s="417">
        <f>O321/N321-1</f>
        <v>8.2519925175315034E-2</v>
      </c>
      <c r="P336" s="369"/>
      <c r="Q336" s="126"/>
      <c r="R336" s="126"/>
      <c r="S336" s="126"/>
      <c r="T336" s="186"/>
      <c r="U336" s="126">
        <v>0.03</v>
      </c>
      <c r="V336" s="126">
        <v>3.1E-2</v>
      </c>
      <c r="W336" s="126">
        <v>0.17699999999999999</v>
      </c>
      <c r="X336" s="126">
        <v>0.33300000000000002</v>
      </c>
      <c r="Y336" s="126">
        <v>0.47199999999999998</v>
      </c>
      <c r="Z336" s="126">
        <v>0.17299999999999999</v>
      </c>
      <c r="AA336" s="126">
        <v>7.0999999999999994E-2</v>
      </c>
      <c r="AB336" s="126">
        <v>-4.2999999999999997E-2</v>
      </c>
      <c r="AC336" s="126">
        <v>-0.16900000000000001</v>
      </c>
      <c r="AD336" s="126">
        <v>-7.4999999999999997E-2</v>
      </c>
      <c r="AE336" s="126">
        <v>-0.14799999999999999</v>
      </c>
      <c r="AF336" s="126">
        <v>-0.04</v>
      </c>
      <c r="AG336" s="126">
        <v>-1.9E-2</v>
      </c>
      <c r="AH336" s="126">
        <v>4.3999999999999997E-2</v>
      </c>
      <c r="AI336" s="126">
        <v>0.13600000000000001</v>
      </c>
      <c r="AJ336" s="126">
        <v>-0.01</v>
      </c>
      <c r="AK336" s="126">
        <v>-7.4999999999999997E-2</v>
      </c>
      <c r="AL336" s="126">
        <v>-0.17299999999999999</v>
      </c>
      <c r="AM336" s="126">
        <v>-0.03</v>
      </c>
      <c r="AN336" s="126">
        <v>-0.1</v>
      </c>
      <c r="AO336" s="126">
        <v>-5.6000000000000001E-2</v>
      </c>
      <c r="AP336" s="126">
        <v>0.11700000000000001</v>
      </c>
      <c r="AQ336" s="126">
        <v>-1.9E-2</v>
      </c>
      <c r="AR336" s="126">
        <v>0.02</v>
      </c>
      <c r="AS336" s="126">
        <v>0.19</v>
      </c>
      <c r="AT336" s="126">
        <v>0.30299999999999999</v>
      </c>
      <c r="AU336" s="126">
        <v>0.191</v>
      </c>
      <c r="AV336" s="126">
        <v>0.21956289509230542</v>
      </c>
      <c r="AW336" s="126">
        <v>6.6000000000000003E-2</v>
      </c>
      <c r="AX336" s="126">
        <v>-2.16642749750856E-2</v>
      </c>
      <c r="AY336" s="126">
        <v>2.2479051922938531E-2</v>
      </c>
      <c r="AZ336" s="126">
        <v>3.7999999999999999E-2</v>
      </c>
      <c r="BA336" s="126">
        <v>9.3447596538803079E-2</v>
      </c>
      <c r="BB336" s="126">
        <v>9.1999999999999998E-2</v>
      </c>
      <c r="BC336" s="126">
        <v>0.13594208527840199</v>
      </c>
      <c r="BD336" s="126">
        <v>0.19439357982506644</v>
      </c>
      <c r="BE336" s="126">
        <v>0.17448467184866345</v>
      </c>
      <c r="BF336" s="126">
        <v>0.13207926586994256</v>
      </c>
      <c r="BG336" s="126">
        <v>8.7260038271010698E-2</v>
      </c>
      <c r="BH336" s="417">
        <f>BH321/BD321-1</f>
        <v>-2.2685297844828423E-2</v>
      </c>
      <c r="BI336" s="126">
        <v>4.2999999999999997E-2</v>
      </c>
      <c r="BJ336" s="126"/>
      <c r="BK336" s="126"/>
      <c r="BL336" s="126"/>
      <c r="BM336" s="126"/>
    </row>
    <row r="337" spans="2:65" ht="13.5" customHeight="1">
      <c r="B337" s="1" t="s">
        <v>396</v>
      </c>
      <c r="C337" s="126"/>
      <c r="D337" s="126">
        <v>-8.0000000000000002E-3</v>
      </c>
      <c r="E337" s="126">
        <v>1.1200000000000001</v>
      </c>
      <c r="F337" s="126">
        <v>-0.78800000000000003</v>
      </c>
      <c r="G337" s="126"/>
      <c r="H337" s="126"/>
      <c r="I337" s="126"/>
      <c r="J337" s="126"/>
      <c r="K337" s="126"/>
      <c r="L337" s="369"/>
      <c r="M337" s="369"/>
      <c r="N337" s="369"/>
      <c r="O337" s="369"/>
      <c r="P337" s="369"/>
      <c r="Q337" s="126"/>
      <c r="R337" s="126"/>
      <c r="S337" s="126"/>
      <c r="T337" s="186"/>
      <c r="U337" s="126">
        <v>2.2229999999999999</v>
      </c>
      <c r="V337" s="126">
        <v>0.311</v>
      </c>
      <c r="W337" s="126">
        <v>0.47099999999999997</v>
      </c>
      <c r="X337" s="126">
        <v>0.58499999999999996</v>
      </c>
      <c r="Y337" s="126">
        <v>0.156</v>
      </c>
      <c r="Z337" s="126">
        <v>-0.34399999999999997</v>
      </c>
      <c r="AA337" s="126">
        <v>-0.29899999999999999</v>
      </c>
      <c r="AB337" s="126">
        <v>-0.79</v>
      </c>
      <c r="AC337" s="126"/>
      <c r="AD337" s="126"/>
      <c r="AE337" s="126"/>
      <c r="AF337" s="126"/>
      <c r="AG337" s="126"/>
      <c r="AH337" s="126"/>
      <c r="AI337" s="126"/>
      <c r="AJ337" s="126"/>
      <c r="AK337" s="126"/>
      <c r="AL337" s="126"/>
      <c r="AM337" s="126"/>
      <c r="AN337" s="126"/>
      <c r="AO337" s="126"/>
      <c r="AP337" s="126"/>
      <c r="AQ337" s="126"/>
      <c r="AR337" s="126"/>
      <c r="AS337" s="126"/>
      <c r="AT337" s="126"/>
      <c r="AU337" s="126"/>
      <c r="AV337" s="126"/>
      <c r="AW337" s="126"/>
      <c r="AX337" s="126"/>
      <c r="AY337" s="126"/>
      <c r="AZ337" s="126"/>
      <c r="BA337" s="126"/>
      <c r="BB337" s="126"/>
      <c r="BC337" s="126"/>
      <c r="BD337" s="126"/>
      <c r="BE337" s="126"/>
      <c r="BF337" s="126"/>
      <c r="BG337" s="126"/>
      <c r="BH337" s="126"/>
      <c r="BI337" s="126"/>
      <c r="BJ337" s="126"/>
      <c r="BK337" s="126"/>
      <c r="BL337" s="126"/>
      <c r="BM337" s="126"/>
    </row>
    <row r="338" spans="2:65" ht="13.5" customHeight="1">
      <c r="B338" s="1" t="s">
        <v>397</v>
      </c>
      <c r="C338" s="126"/>
      <c r="D338" s="126"/>
      <c r="E338" s="126"/>
      <c r="F338" s="126"/>
      <c r="G338" s="126"/>
      <c r="H338" s="126"/>
      <c r="I338" s="126"/>
      <c r="J338" s="126"/>
      <c r="K338" s="126"/>
      <c r="L338" s="369"/>
      <c r="M338" s="369"/>
      <c r="N338" s="369"/>
      <c r="O338" s="369"/>
      <c r="P338" s="369"/>
      <c r="Q338" s="126"/>
      <c r="R338" s="126"/>
      <c r="S338" s="126"/>
      <c r="T338" s="186"/>
      <c r="U338" s="126"/>
      <c r="V338" s="126"/>
      <c r="W338" s="126"/>
      <c r="X338" s="126"/>
      <c r="Y338" s="126"/>
      <c r="Z338" s="126"/>
      <c r="AA338" s="126"/>
      <c r="AB338" s="126"/>
      <c r="AC338" s="126">
        <v>0.55200000000000005</v>
      </c>
      <c r="AD338" s="126">
        <v>0.27</v>
      </c>
      <c r="AE338" s="126"/>
      <c r="AF338" s="126"/>
      <c r="AG338" s="126"/>
      <c r="AH338" s="126"/>
      <c r="AI338" s="126"/>
      <c r="AJ338" s="126"/>
      <c r="AK338" s="126"/>
      <c r="AL338" s="126"/>
      <c r="AM338" s="126"/>
      <c r="AN338" s="126"/>
      <c r="AO338" s="126"/>
      <c r="AP338" s="126"/>
      <c r="AQ338" s="126"/>
      <c r="AR338" s="126"/>
      <c r="AS338" s="126"/>
      <c r="AT338" s="126"/>
      <c r="AU338" s="126"/>
      <c r="AV338" s="126"/>
      <c r="AW338" s="126"/>
      <c r="AX338" s="126"/>
      <c r="AY338" s="126"/>
      <c r="AZ338" s="126"/>
      <c r="BA338" s="126"/>
      <c r="BB338" s="126"/>
      <c r="BC338" s="126"/>
      <c r="BD338" s="126"/>
      <c r="BE338" s="126"/>
      <c r="BF338" s="126"/>
      <c r="BG338" s="126"/>
      <c r="BH338" s="126"/>
      <c r="BI338" s="126"/>
      <c r="BJ338" s="126"/>
      <c r="BK338" s="126"/>
      <c r="BL338" s="126"/>
      <c r="BM338" s="126"/>
    </row>
    <row r="339" spans="2:65" ht="13.5" customHeight="1">
      <c r="B339" s="1" t="s">
        <v>398</v>
      </c>
      <c r="C339" s="126">
        <v>-5.6000000000000001E-2</v>
      </c>
      <c r="D339" s="126">
        <v>3.4000000000000002E-2</v>
      </c>
      <c r="E339" s="126">
        <v>0.16600000000000001</v>
      </c>
      <c r="F339" s="126">
        <v>0.14699999999999999</v>
      </c>
      <c r="G339" s="126"/>
      <c r="H339" s="126">
        <v>-5.0000000000000001E-3</v>
      </c>
      <c r="I339" s="126">
        <v>6.7000000000000004E-2</v>
      </c>
      <c r="J339" s="126">
        <v>-5.6000000000000001E-2</v>
      </c>
      <c r="K339" s="126">
        <v>6.0999999999999999E-2</v>
      </c>
      <c r="L339" s="126">
        <v>0.16394299066678131</v>
      </c>
      <c r="M339" s="126">
        <v>8.1000000000000003E-2</v>
      </c>
      <c r="N339" s="126">
        <v>0.14160362585993713</v>
      </c>
      <c r="O339" s="417">
        <f>O324/N324-1</f>
        <v>4.2720868642174725E-2</v>
      </c>
      <c r="P339" s="369"/>
      <c r="Q339" s="126"/>
      <c r="R339" s="126"/>
      <c r="S339" s="126"/>
      <c r="T339" s="186"/>
      <c r="U339" s="126">
        <v>7.9000000000000001E-2</v>
      </c>
      <c r="V339" s="126">
        <v>9.2999999999999999E-2</v>
      </c>
      <c r="W339" s="126">
        <v>0.125</v>
      </c>
      <c r="X339" s="126">
        <v>0.216</v>
      </c>
      <c r="Y339" s="126">
        <v>0.38400000000000001</v>
      </c>
      <c r="Z339" s="126">
        <v>0.255</v>
      </c>
      <c r="AA339" s="126">
        <v>0.16600000000000001</v>
      </c>
      <c r="AB339" s="126">
        <v>0.11600000000000001</v>
      </c>
      <c r="AC339" s="126">
        <v>-3.2000000000000001E-2</v>
      </c>
      <c r="AD339" s="126">
        <v>3.9E-2</v>
      </c>
      <c r="AE339" s="126">
        <v>-7.0000000000000001E-3</v>
      </c>
      <c r="AF339" s="126">
        <v>0.02</v>
      </c>
      <c r="AG339" s="126">
        <v>4.8000000000000001E-2</v>
      </c>
      <c r="AH339" s="126">
        <v>7.5999999999999998E-2</v>
      </c>
      <c r="AI339" s="126">
        <v>0.10299999999999999</v>
      </c>
      <c r="AJ339" s="126">
        <v>3.1E-2</v>
      </c>
      <c r="AK339" s="126">
        <v>-1.9E-2</v>
      </c>
      <c r="AL339" s="126">
        <v>-0.10199999999999999</v>
      </c>
      <c r="AM339" s="126">
        <v>-0.04</v>
      </c>
      <c r="AN339" s="126">
        <v>-5.0999999999999997E-2</v>
      </c>
      <c r="AO339" s="126">
        <v>-1.4999999999999999E-2</v>
      </c>
      <c r="AP339" s="126">
        <v>0.109</v>
      </c>
      <c r="AQ339" s="126">
        <v>3.4000000000000002E-2</v>
      </c>
      <c r="AR339" s="126">
        <v>8.5000000000000006E-2</v>
      </c>
      <c r="AS339" s="126">
        <v>0.14599999999999999</v>
      </c>
      <c r="AT339" s="126">
        <v>0.19900000000000001</v>
      </c>
      <c r="AU339" s="126">
        <v>0.182</v>
      </c>
      <c r="AV339" s="126">
        <v>0.1489832054352056</v>
      </c>
      <c r="AW339" s="126">
        <v>0.12</v>
      </c>
      <c r="AX339" s="126">
        <v>7.1850388095613602E-2</v>
      </c>
      <c r="AY339" s="126">
        <v>0.10087881811536348</v>
      </c>
      <c r="AZ339" s="126">
        <v>0.08</v>
      </c>
      <c r="BA339" s="126">
        <v>0.11236926764436084</v>
      </c>
      <c r="BB339" s="126">
        <v>0.13100000000000001</v>
      </c>
      <c r="BC339" s="126">
        <v>0.107364945672413</v>
      </c>
      <c r="BD339" s="126">
        <v>0.14300848703669122</v>
      </c>
      <c r="BE339" s="126">
        <v>9.9591295231143073E-2</v>
      </c>
      <c r="BF339" s="126">
        <v>4.9827506651460629E-2</v>
      </c>
      <c r="BG339" s="126">
        <v>3.2793906175420801E-2</v>
      </c>
      <c r="BH339" s="417">
        <f>BH324/BD324-1</f>
        <v>-1.8730031901911248E-3</v>
      </c>
      <c r="BI339" s="126">
        <v>1.0999999999999999E-2</v>
      </c>
      <c r="BJ339" s="126"/>
      <c r="BK339" s="126"/>
      <c r="BL339" s="126"/>
      <c r="BM339" s="126"/>
    </row>
    <row r="340" spans="2:65" ht="13.5" customHeight="1">
      <c r="C340" s="126"/>
      <c r="D340" s="126"/>
      <c r="E340" s="126"/>
      <c r="F340" s="126"/>
      <c r="G340" s="126"/>
      <c r="H340" s="126"/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  <c r="T340" s="186"/>
      <c r="U340" s="126"/>
      <c r="V340" s="126"/>
      <c r="W340" s="126"/>
      <c r="X340" s="126"/>
      <c r="Y340" s="126"/>
      <c r="Z340" s="126"/>
      <c r="AA340" s="126"/>
      <c r="AB340" s="126"/>
      <c r="AC340" s="126"/>
      <c r="AD340" s="126"/>
      <c r="AE340" s="126"/>
      <c r="AF340" s="126"/>
      <c r="AG340" s="126"/>
      <c r="AH340" s="126"/>
      <c r="AI340" s="126"/>
      <c r="AJ340" s="126"/>
      <c r="AK340" s="126"/>
      <c r="AL340" s="126"/>
      <c r="AM340" s="126"/>
      <c r="AN340" s="126"/>
      <c r="AO340" s="126"/>
      <c r="AP340" s="126"/>
      <c r="AQ340" s="126"/>
      <c r="AR340" s="126"/>
      <c r="AS340" s="126"/>
      <c r="AT340" s="126"/>
      <c r="AU340" s="126"/>
      <c r="AV340" s="126"/>
      <c r="AW340" s="126"/>
      <c r="AX340" s="126"/>
      <c r="AY340" s="126"/>
      <c r="AZ340" s="126"/>
      <c r="BA340" s="126"/>
      <c r="BB340" s="126"/>
      <c r="BC340" s="126"/>
      <c r="BD340" s="126"/>
      <c r="BE340" s="126"/>
      <c r="BF340" s="126"/>
      <c r="BG340" s="126"/>
      <c r="BH340" s="126"/>
      <c r="BI340" s="126"/>
      <c r="BJ340" s="126"/>
      <c r="BK340" s="126"/>
      <c r="BL340" s="126"/>
      <c r="BM340" s="126"/>
    </row>
    <row r="341" spans="2:65" ht="13.5" customHeight="1">
      <c r="B341" s="5" t="s">
        <v>402</v>
      </c>
      <c r="C341" s="126"/>
      <c r="D341" s="126"/>
      <c r="E341" s="126"/>
      <c r="F341" s="126"/>
      <c r="G341" s="126"/>
      <c r="H341" s="126"/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  <c r="T341" s="186"/>
      <c r="U341" s="126"/>
      <c r="V341" s="126"/>
      <c r="W341" s="126"/>
      <c r="X341" s="126"/>
      <c r="Y341" s="126"/>
      <c r="Z341" s="126"/>
      <c r="AA341" s="126"/>
      <c r="AB341" s="126"/>
      <c r="AC341" s="126"/>
      <c r="AD341" s="126"/>
      <c r="AE341" s="126"/>
      <c r="AF341" s="126"/>
      <c r="AG341" s="126"/>
      <c r="AH341" s="126"/>
      <c r="AI341" s="126"/>
      <c r="AJ341" s="126"/>
      <c r="AK341" s="126"/>
      <c r="AL341" s="126"/>
      <c r="AM341" s="126"/>
      <c r="AN341" s="126"/>
      <c r="AO341" s="126"/>
      <c r="AP341" s="126"/>
      <c r="AQ341" s="126"/>
      <c r="AR341" s="126"/>
      <c r="AS341" s="126"/>
      <c r="AT341" s="126"/>
      <c r="AU341" s="126"/>
      <c r="AV341" s="126"/>
      <c r="AW341" s="126"/>
      <c r="AX341" s="126"/>
      <c r="AY341" s="126"/>
      <c r="AZ341" s="126"/>
      <c r="BA341" s="126"/>
      <c r="BB341" s="126"/>
      <c r="BC341" s="126"/>
      <c r="BD341" s="126"/>
      <c r="BE341" s="126"/>
      <c r="BF341" s="126"/>
      <c r="BG341" s="126"/>
      <c r="BH341" s="126"/>
      <c r="BI341" s="126"/>
      <c r="BJ341" s="126"/>
      <c r="BK341" s="126"/>
      <c r="BL341" s="126"/>
      <c r="BM341" s="126"/>
    </row>
    <row r="342" spans="2:65" ht="13.5" customHeight="1">
      <c r="B342" s="1" t="s">
        <v>394</v>
      </c>
      <c r="C342" s="126">
        <v>-5.0000000000000001E-3</v>
      </c>
      <c r="D342" s="126">
        <v>6.9000000000000006E-2</v>
      </c>
      <c r="E342" s="126">
        <v>8.7999999999999995E-2</v>
      </c>
      <c r="F342" s="126">
        <v>5.8000000000000003E-2</v>
      </c>
      <c r="G342" s="126"/>
      <c r="H342" s="126">
        <v>5.1999999999999998E-2</v>
      </c>
      <c r="I342" s="126">
        <v>0.08</v>
      </c>
      <c r="J342" s="126">
        <v>-0.04</v>
      </c>
      <c r="K342" s="126">
        <v>9.7000000000000003E-2</v>
      </c>
      <c r="L342" s="126">
        <v>0.13538978225548193</v>
      </c>
      <c r="M342" s="126">
        <v>0.16</v>
      </c>
      <c r="N342" s="126">
        <v>0.10767670146590191</v>
      </c>
      <c r="O342" s="126">
        <v>4.0000000000000001E-3</v>
      </c>
      <c r="P342" s="369"/>
      <c r="Q342" s="126"/>
      <c r="R342" s="126"/>
      <c r="S342" s="126"/>
      <c r="T342" s="186"/>
      <c r="U342" s="126">
        <v>9.8000000000000004E-2</v>
      </c>
      <c r="V342" s="126">
        <v>0.11700000000000001</v>
      </c>
      <c r="W342" s="126">
        <v>6.4000000000000001E-2</v>
      </c>
      <c r="X342" s="126">
        <v>7.3999999999999996E-2</v>
      </c>
      <c r="Y342" s="126">
        <v>9.4E-2</v>
      </c>
      <c r="Z342" s="126">
        <v>5.6000000000000001E-2</v>
      </c>
      <c r="AA342" s="126">
        <v>4.1000000000000002E-2</v>
      </c>
      <c r="AB342" s="126">
        <v>4.4999999999999998E-2</v>
      </c>
      <c r="AC342" s="126">
        <v>5.1999999999999998E-2</v>
      </c>
      <c r="AD342" s="126">
        <v>4.2999999999999997E-2</v>
      </c>
      <c r="AE342" s="126">
        <v>7.2999999999999995E-2</v>
      </c>
      <c r="AF342" s="126">
        <v>4.1000000000000002E-2</v>
      </c>
      <c r="AG342" s="126">
        <v>7.1999999999999995E-2</v>
      </c>
      <c r="AH342" s="126">
        <v>9.1999999999999998E-2</v>
      </c>
      <c r="AI342" s="126">
        <v>7.9000000000000001E-2</v>
      </c>
      <c r="AJ342" s="126">
        <v>7.6999999999999999E-2</v>
      </c>
      <c r="AK342" s="126">
        <v>0.02</v>
      </c>
      <c r="AL342" s="126">
        <v>-8.7999999999999995E-2</v>
      </c>
      <c r="AM342" s="126">
        <v>-6.7000000000000004E-2</v>
      </c>
      <c r="AN342" s="126">
        <v>-1.4999999999999999E-2</v>
      </c>
      <c r="AO342" s="126">
        <v>1.7999999999999999E-2</v>
      </c>
      <c r="AP342" s="126">
        <v>0.13700000000000001</v>
      </c>
      <c r="AQ342" s="126">
        <v>9.2999999999999999E-2</v>
      </c>
      <c r="AR342" s="126">
        <v>2.4E-2</v>
      </c>
      <c r="AS342" s="126">
        <v>0.114</v>
      </c>
      <c r="AT342" s="126">
        <v>0.14199999999999999</v>
      </c>
      <c r="AU342" s="126">
        <v>0.17599999999999999</v>
      </c>
      <c r="AV342" s="126">
        <v>0.10886215945107436</v>
      </c>
      <c r="AW342" s="126">
        <v>0.17899999999999999</v>
      </c>
      <c r="AX342" s="126">
        <v>0.150879665954197</v>
      </c>
      <c r="AY342" s="126">
        <v>0.18202741690919333</v>
      </c>
      <c r="AZ342" s="126">
        <v>0.13100000000000001</v>
      </c>
      <c r="BA342" s="126">
        <v>0.14133867452442073</v>
      </c>
      <c r="BB342" s="126">
        <v>0.156</v>
      </c>
      <c r="BC342" s="126">
        <v>6.7075775431909998E-2</v>
      </c>
      <c r="BD342" s="126">
        <v>7.2006600175781976E-2</v>
      </c>
      <c r="BE342" s="126">
        <v>8.3442661011186026E-3</v>
      </c>
      <c r="BF342" s="126">
        <v>-1.9253575485690066E-2</v>
      </c>
      <c r="BG342" s="126">
        <v>-1.61327250393417E-3</v>
      </c>
      <c r="BH342" s="126">
        <v>3.3000000000000002E-2</v>
      </c>
      <c r="BI342" s="126">
        <v>1.4E-2</v>
      </c>
      <c r="BJ342" s="126"/>
      <c r="BK342" s="126"/>
      <c r="BL342" s="126"/>
      <c r="BM342" s="126"/>
    </row>
    <row r="343" spans="2:65" ht="13.5" customHeight="1">
      <c r="B343" s="1" t="s">
        <v>401</v>
      </c>
      <c r="C343" s="126">
        <v>-0.253</v>
      </c>
      <c r="D343" s="126">
        <v>0.108</v>
      </c>
      <c r="E343" s="126">
        <v>1E-3</v>
      </c>
      <c r="F343" s="126">
        <v>1.4999999999999999E-2</v>
      </c>
      <c r="G343" s="126"/>
      <c r="H343" s="126">
        <v>6.9000000000000006E-2</v>
      </c>
      <c r="I343" s="126">
        <v>0.14799999999999999</v>
      </c>
      <c r="J343" s="126">
        <v>3.5999999999999997E-2</v>
      </c>
      <c r="K343" s="126">
        <v>0.13100000000000001</v>
      </c>
      <c r="L343" s="126">
        <v>0.24373598379376293</v>
      </c>
      <c r="M343" s="126">
        <v>0.21299999999999999</v>
      </c>
      <c r="N343" s="126">
        <v>0.20057978907127305</v>
      </c>
      <c r="O343" s="126">
        <v>0.16400000000000001</v>
      </c>
      <c r="P343" s="369"/>
      <c r="Q343" s="126"/>
      <c r="R343" s="126"/>
      <c r="S343" s="126"/>
      <c r="T343" s="186"/>
      <c r="U343" s="126">
        <v>8.3000000000000004E-2</v>
      </c>
      <c r="V343" s="126">
        <v>5.2999999999999999E-2</v>
      </c>
      <c r="W343" s="126">
        <v>4.4999999999999998E-2</v>
      </c>
      <c r="X343" s="126">
        <v>1E-3</v>
      </c>
      <c r="Y343" s="126">
        <v>-1.4999999999999999E-2</v>
      </c>
      <c r="Z343" s="126">
        <v>-0.01</v>
      </c>
      <c r="AA343" s="126">
        <v>3.1E-2</v>
      </c>
      <c r="AB343" s="126">
        <v>5.0999999999999997E-2</v>
      </c>
      <c r="AC343" s="126">
        <v>6.7000000000000004E-2</v>
      </c>
      <c r="AD343" s="126">
        <v>5.8999999999999997E-2</v>
      </c>
      <c r="AE343" s="126">
        <v>5.0999999999999997E-2</v>
      </c>
      <c r="AF343" s="126">
        <v>0.124</v>
      </c>
      <c r="AG343" s="126">
        <v>0.13700000000000001</v>
      </c>
      <c r="AH343" s="126">
        <v>0.159</v>
      </c>
      <c r="AI343" s="126">
        <v>0.17399999999999999</v>
      </c>
      <c r="AJ343" s="126">
        <v>0.128</v>
      </c>
      <c r="AK343" s="126">
        <v>5.8000000000000003E-2</v>
      </c>
      <c r="AL343" s="126">
        <v>-8.3000000000000004E-2</v>
      </c>
      <c r="AM343" s="126">
        <v>0.107</v>
      </c>
      <c r="AN343" s="126">
        <v>6.5000000000000002E-2</v>
      </c>
      <c r="AO343" s="126">
        <v>0.11</v>
      </c>
      <c r="AP343" s="126">
        <v>0.29899999999999999</v>
      </c>
      <c r="AQ343" s="126">
        <v>8.1000000000000003E-2</v>
      </c>
      <c r="AR343" s="126">
        <v>6.4000000000000001E-2</v>
      </c>
      <c r="AS343" s="126">
        <v>0.161</v>
      </c>
      <c r="AT343" s="126">
        <v>0.2</v>
      </c>
      <c r="AU343" s="126">
        <v>0.219</v>
      </c>
      <c r="AV343" s="126">
        <v>0.30882078674355329</v>
      </c>
      <c r="AW343" s="126">
        <v>0.27500000000000002</v>
      </c>
      <c r="AX343" s="126">
        <v>0.20274111465278799</v>
      </c>
      <c r="AY343" s="126">
        <v>0.20980504828117286</v>
      </c>
      <c r="AZ343" s="126">
        <v>0.19500000000000001</v>
      </c>
      <c r="BA343" s="126">
        <v>0.23395805174859774</v>
      </c>
      <c r="BB343" s="126">
        <v>0.223</v>
      </c>
      <c r="BC343" s="126">
        <v>0.19494702238935999</v>
      </c>
      <c r="BD343" s="126">
        <v>0.20954240598743756</v>
      </c>
      <c r="BE343" s="126">
        <v>0.1321307576941646</v>
      </c>
      <c r="BF343" s="126">
        <v>0.10283642110733737</v>
      </c>
      <c r="BG343" s="126">
        <v>0.124900904028376</v>
      </c>
      <c r="BH343" s="126">
        <v>9.5000000000000001E-2</v>
      </c>
      <c r="BI343" s="126">
        <v>0.123</v>
      </c>
      <c r="BJ343" s="126"/>
      <c r="BK343" s="126"/>
      <c r="BL343" s="126"/>
      <c r="BM343" s="126"/>
    </row>
    <row r="344" spans="2:65" ht="13.5" customHeight="1">
      <c r="B344" s="1" t="s">
        <v>396</v>
      </c>
      <c r="C344" s="126"/>
      <c r="D344" s="126">
        <v>2.375</v>
      </c>
      <c r="E344" s="126">
        <v>8.6590000000000007</v>
      </c>
      <c r="F344" s="126"/>
      <c r="G344" s="126"/>
      <c r="H344" s="126"/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  <c r="T344" s="186"/>
      <c r="U344" s="126">
        <v>4.1479999999999997</v>
      </c>
      <c r="V344" s="126">
        <v>2.4390000000000001</v>
      </c>
      <c r="W344" s="126">
        <v>3.6869999999999998</v>
      </c>
      <c r="X344" s="126">
        <v>4.141</v>
      </c>
      <c r="Y344" s="126"/>
      <c r="Z344" s="126"/>
      <c r="AA344" s="126"/>
      <c r="AB344" s="126"/>
      <c r="AC344" s="126"/>
      <c r="AD344" s="126"/>
      <c r="AE344" s="126"/>
      <c r="AF344" s="126"/>
      <c r="AG344" s="126"/>
      <c r="AH344" s="126"/>
      <c r="AI344" s="126"/>
      <c r="AJ344" s="126"/>
      <c r="AK344" s="126"/>
      <c r="AL344" s="126"/>
      <c r="AM344" s="126"/>
      <c r="AN344" s="126"/>
      <c r="AO344" s="126"/>
      <c r="AP344" s="126"/>
      <c r="AQ344" s="126"/>
      <c r="AR344" s="126"/>
      <c r="AS344" s="126"/>
      <c r="AT344" s="126"/>
      <c r="AU344" s="126"/>
      <c r="AV344" s="126"/>
      <c r="AW344" s="126"/>
      <c r="AX344" s="126"/>
      <c r="AY344" s="126"/>
      <c r="AZ344" s="126"/>
      <c r="BA344" s="126"/>
      <c r="BB344" s="126"/>
      <c r="BC344" s="126"/>
      <c r="BD344" s="126"/>
      <c r="BE344" s="126"/>
      <c r="BF344" s="126"/>
      <c r="BG344" s="126"/>
      <c r="BH344" s="126"/>
      <c r="BI344" s="126"/>
      <c r="BJ344" s="126"/>
      <c r="BK344" s="126"/>
      <c r="BL344" s="126"/>
      <c r="BM344" s="126"/>
    </row>
    <row r="345" spans="2:65" ht="13.5" customHeight="1">
      <c r="B345" s="1" t="s">
        <v>397</v>
      </c>
      <c r="C345" s="126"/>
      <c r="D345" s="126"/>
      <c r="E345" s="126"/>
      <c r="F345" s="126"/>
      <c r="G345" s="126"/>
      <c r="H345" s="126"/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  <c r="T345" s="186"/>
      <c r="U345" s="126"/>
      <c r="V345" s="126"/>
      <c r="W345" s="126"/>
      <c r="X345" s="126"/>
      <c r="Y345" s="126">
        <v>-6.4000000000000001E-2</v>
      </c>
      <c r="Z345" s="126">
        <v>-3.9E-2</v>
      </c>
      <c r="AA345" s="126">
        <v>6.0999999999999999E-2</v>
      </c>
      <c r="AB345" s="126"/>
      <c r="AC345" s="126">
        <v>0.185</v>
      </c>
      <c r="AD345" s="126">
        <v>0.27700000000000002</v>
      </c>
      <c r="AE345" s="126"/>
      <c r="AF345" s="126"/>
      <c r="AG345" s="126"/>
      <c r="AH345" s="126"/>
      <c r="AI345" s="126"/>
      <c r="AJ345" s="126"/>
      <c r="AK345" s="126"/>
      <c r="AL345" s="126"/>
      <c r="AM345" s="126"/>
      <c r="AN345" s="126"/>
      <c r="AO345" s="126"/>
      <c r="AP345" s="126"/>
      <c r="AQ345" s="126"/>
      <c r="AR345" s="126"/>
      <c r="AS345" s="126"/>
      <c r="AT345" s="126"/>
      <c r="AU345" s="126"/>
      <c r="AV345" s="126"/>
      <c r="AW345" s="126"/>
      <c r="AX345" s="126"/>
      <c r="AY345" s="126"/>
      <c r="AZ345" s="126"/>
      <c r="BA345" s="126"/>
      <c r="BB345" s="126"/>
      <c r="BC345" s="126"/>
      <c r="BD345" s="126"/>
      <c r="BE345" s="126"/>
      <c r="BF345" s="126"/>
      <c r="BG345" s="126"/>
      <c r="BH345" s="126"/>
      <c r="BI345" s="126"/>
      <c r="BJ345" s="126"/>
      <c r="BK345" s="126"/>
      <c r="BL345" s="126"/>
      <c r="BM345" s="126"/>
    </row>
    <row r="346" spans="2:65" ht="13.5" customHeight="1">
      <c r="B346" s="1" t="s">
        <v>398</v>
      </c>
      <c r="C346" s="126">
        <v>-0.14099999999999999</v>
      </c>
      <c r="D346" s="126">
        <v>8.5999999999999993E-2</v>
      </c>
      <c r="E346" s="126">
        <v>6.6000000000000003E-2</v>
      </c>
      <c r="F346" s="126">
        <v>3.5999999999999997E-2</v>
      </c>
      <c r="G346" s="126"/>
      <c r="H346" s="126">
        <v>5.8999999999999997E-2</v>
      </c>
      <c r="I346" s="126">
        <v>0.108</v>
      </c>
      <c r="J346" s="126">
        <v>-0.01</v>
      </c>
      <c r="K346" s="126">
        <v>0.111</v>
      </c>
      <c r="L346" s="126">
        <v>0.1782204856248979</v>
      </c>
      <c r="M346" s="126">
        <v>0.18</v>
      </c>
      <c r="N346" s="126">
        <v>0.14334449765118795</v>
      </c>
      <c r="O346" s="126">
        <v>6.5000000000000002E-2</v>
      </c>
      <c r="P346" s="369"/>
      <c r="Q346" s="126"/>
      <c r="R346" s="126"/>
      <c r="S346" s="126"/>
      <c r="T346" s="186"/>
      <c r="U346" s="126">
        <v>9.0999999999999998E-2</v>
      </c>
      <c r="V346" s="126">
        <v>9.0999999999999998E-2</v>
      </c>
      <c r="W346" s="126">
        <v>5.6000000000000001E-2</v>
      </c>
      <c r="X346" s="126">
        <v>3.6999999999999998E-2</v>
      </c>
      <c r="Y346" s="126">
        <v>2.7E-2</v>
      </c>
      <c r="Z346" s="126">
        <v>0.18</v>
      </c>
      <c r="AA346" s="126">
        <v>3.9E-2</v>
      </c>
      <c r="AB346" s="126">
        <v>5.7000000000000002E-2</v>
      </c>
      <c r="AC346" s="126">
        <v>7.1999999999999995E-2</v>
      </c>
      <c r="AD346" s="126">
        <v>7.8E-2</v>
      </c>
      <c r="AE346" s="126">
        <v>6.5000000000000002E-2</v>
      </c>
      <c r="AF346" s="126">
        <v>7.8E-2</v>
      </c>
      <c r="AG346" s="126">
        <v>0.1</v>
      </c>
      <c r="AH346" s="126">
        <v>0.11600000000000001</v>
      </c>
      <c r="AI346" s="126">
        <v>0.11600000000000001</v>
      </c>
      <c r="AJ346" s="126">
        <v>0.1</v>
      </c>
      <c r="AK346" s="126">
        <v>3.5999999999999997E-2</v>
      </c>
      <c r="AL346" s="126">
        <v>-8.5999999999999993E-2</v>
      </c>
      <c r="AM346" s="126">
        <v>0</v>
      </c>
      <c r="AN346" s="126">
        <v>1.9E-2</v>
      </c>
      <c r="AO346" s="126">
        <v>5.3999999999999999E-2</v>
      </c>
      <c r="AP346" s="126">
        <v>0.192</v>
      </c>
      <c r="AQ346" s="126">
        <v>8.7999999999999995E-2</v>
      </c>
      <c r="AR346" s="126">
        <v>0.105</v>
      </c>
      <c r="AS346" s="126">
        <v>0.13400000000000001</v>
      </c>
      <c r="AT346" s="126">
        <v>0.16400000000000001</v>
      </c>
      <c r="AU346" s="126">
        <v>0.193</v>
      </c>
      <c r="AV346" s="126">
        <v>0.18921414721656826</v>
      </c>
      <c r="AW346" s="126">
        <v>0.217</v>
      </c>
      <c r="AX346" s="126">
        <v>0.16921527217872601</v>
      </c>
      <c r="AY346" s="126">
        <v>0.19240216615972217</v>
      </c>
      <c r="AZ346" s="126">
        <v>0.157</v>
      </c>
      <c r="BA346" s="126">
        <v>0.17729077551600336</v>
      </c>
      <c r="BB346" s="126">
        <v>0.17899999999999999</v>
      </c>
      <c r="BC346" s="126">
        <v>0.113389735457276</v>
      </c>
      <c r="BD346" s="126">
        <v>0.12981912907668458</v>
      </c>
      <c r="BE346" s="126">
        <v>5.8645951819873421E-2</v>
      </c>
      <c r="BF346" s="126">
        <v>2.3657855063270228E-2</v>
      </c>
      <c r="BG346" s="126">
        <v>4.6553386940784799E-2</v>
      </c>
      <c r="BH346" s="126">
        <v>0.06</v>
      </c>
      <c r="BI346" s="126">
        <v>0.06</v>
      </c>
      <c r="BJ346" s="126"/>
      <c r="BK346" s="126"/>
      <c r="BL346" s="126"/>
      <c r="BM346" s="126"/>
    </row>
    <row r="347" spans="2:65" ht="13.5" customHeight="1">
      <c r="B347" s="5"/>
      <c r="C347" s="126"/>
      <c r="D347" s="126"/>
      <c r="E347" s="126"/>
      <c r="F347" s="126"/>
      <c r="G347" s="126"/>
      <c r="H347" s="126"/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  <c r="T347" s="186"/>
      <c r="U347" s="126"/>
      <c r="V347" s="126"/>
      <c r="W347" s="126"/>
      <c r="X347" s="126"/>
      <c r="Y347" s="126"/>
      <c r="Z347" s="126"/>
      <c r="AA347" s="126"/>
      <c r="AB347" s="126"/>
      <c r="AC347" s="126"/>
      <c r="AD347" s="126"/>
      <c r="AE347" s="126"/>
      <c r="AF347" s="126"/>
      <c r="AG347" s="126"/>
      <c r="AH347" s="126"/>
      <c r="AI347" s="126"/>
      <c r="AJ347" s="126"/>
      <c r="AK347" s="126"/>
      <c r="AL347" s="126"/>
      <c r="AM347" s="126"/>
      <c r="AN347" s="126"/>
      <c r="AO347" s="126"/>
      <c r="AP347" s="126"/>
      <c r="AQ347" s="126"/>
      <c r="AR347" s="126"/>
      <c r="AS347" s="126"/>
      <c r="AT347" s="126"/>
      <c r="AU347" s="126"/>
      <c r="AV347" s="126"/>
      <c r="AW347" s="126"/>
      <c r="AX347" s="126"/>
      <c r="AY347" s="126"/>
      <c r="AZ347" s="126"/>
      <c r="BA347" s="126"/>
      <c r="BB347" s="126"/>
      <c r="BC347" s="126"/>
      <c r="BD347" s="126"/>
      <c r="BE347" s="126"/>
      <c r="BF347" s="126"/>
      <c r="BG347" s="126"/>
      <c r="BH347" s="126"/>
      <c r="BI347" s="126"/>
      <c r="BJ347" s="126"/>
      <c r="BK347" s="126"/>
      <c r="BL347" s="126"/>
      <c r="BM347" s="126"/>
    </row>
    <row r="348" spans="2:65" ht="13.5" customHeight="1">
      <c r="B348" s="5" t="s">
        <v>403</v>
      </c>
      <c r="C348" s="126"/>
      <c r="D348" s="126"/>
      <c r="E348" s="126"/>
      <c r="F348" s="126"/>
      <c r="G348" s="126"/>
      <c r="H348" s="126"/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  <c r="T348" s="186"/>
      <c r="U348" s="126"/>
      <c r="V348" s="126"/>
      <c r="W348" s="126"/>
      <c r="X348" s="126"/>
      <c r="Y348" s="126"/>
      <c r="Z348" s="126"/>
      <c r="AA348" s="126"/>
      <c r="AB348" s="126"/>
      <c r="AC348" s="126"/>
      <c r="AD348" s="126"/>
      <c r="AE348" s="126"/>
      <c r="AF348" s="126"/>
      <c r="AG348" s="126"/>
      <c r="AH348" s="126"/>
      <c r="AI348" s="126"/>
      <c r="AJ348" s="126"/>
      <c r="AK348" s="126"/>
      <c r="AL348" s="126"/>
      <c r="AM348" s="126"/>
      <c r="AN348" s="126"/>
      <c r="AO348" s="126"/>
      <c r="AP348" s="126"/>
      <c r="AQ348" s="126"/>
      <c r="AR348" s="126"/>
      <c r="AS348" s="126"/>
      <c r="AT348" s="126"/>
      <c r="AU348" s="126"/>
      <c r="AV348" s="126"/>
      <c r="AW348" s="126"/>
      <c r="AX348" s="126"/>
      <c r="AY348" s="126"/>
      <c r="AZ348" s="126"/>
      <c r="BA348" s="126"/>
      <c r="BB348" s="126"/>
      <c r="BC348" s="126"/>
      <c r="BD348" s="126"/>
      <c r="BE348" s="126"/>
      <c r="BF348" s="126"/>
      <c r="BG348" s="126"/>
      <c r="BH348" s="126"/>
      <c r="BI348" s="126"/>
      <c r="BJ348" s="126"/>
      <c r="BK348" s="126"/>
      <c r="BL348" s="126"/>
      <c r="BM348" s="126"/>
    </row>
    <row r="349" spans="2:65" ht="13.5" customHeight="1">
      <c r="B349" s="1" t="s">
        <v>394</v>
      </c>
      <c r="C349" s="126">
        <v>-1.7999999999999999E-2</v>
      </c>
      <c r="D349" s="126">
        <v>7.5999999999999998E-2</v>
      </c>
      <c r="E349" s="126">
        <v>3.6999999999999998E-2</v>
      </c>
      <c r="F349" s="126">
        <v>-4.0000000000000001E-3</v>
      </c>
      <c r="G349" s="126"/>
      <c r="H349" s="126">
        <v>2.3E-2</v>
      </c>
      <c r="I349" s="126">
        <v>5.0000000000000001E-3</v>
      </c>
      <c r="J349" s="126">
        <v>-0.04</v>
      </c>
      <c r="K349" s="126">
        <v>3.3000000000000002E-2</v>
      </c>
      <c r="L349" s="126">
        <v>6.3412795489727003E-2</v>
      </c>
      <c r="M349" s="126">
        <v>9.4E-2</v>
      </c>
      <c r="N349" s="126">
        <v>4.1459747314168016E-2</v>
      </c>
      <c r="O349" s="126">
        <v>-4.1029267952370697E-2</v>
      </c>
      <c r="P349" s="369"/>
      <c r="Q349" s="126"/>
      <c r="R349" s="126"/>
      <c r="S349" s="126"/>
      <c r="T349" s="186"/>
      <c r="U349" s="126">
        <v>4.5999999999999999E-2</v>
      </c>
      <c r="V349" s="126">
        <v>7.2999999999999995E-2</v>
      </c>
      <c r="W349" s="126">
        <v>2.5000000000000001E-2</v>
      </c>
      <c r="X349" s="126">
        <v>7.0000000000000001E-3</v>
      </c>
      <c r="Y349" s="126">
        <v>2.8000000000000001E-2</v>
      </c>
      <c r="Z349" s="126">
        <v>4.0000000000000001E-3</v>
      </c>
      <c r="AA349" s="126">
        <v>-0.03</v>
      </c>
      <c r="AB349" s="126">
        <v>-1.4E-2</v>
      </c>
      <c r="AC349" s="126">
        <v>4.0000000000000001E-3</v>
      </c>
      <c r="AD349" s="126">
        <v>1.6E-2</v>
      </c>
      <c r="AE349" s="126">
        <v>5.5E-2</v>
      </c>
      <c r="AF349" s="126">
        <v>1.7999999999999999E-2</v>
      </c>
      <c r="AG349" s="126">
        <v>7.0000000000000001E-3</v>
      </c>
      <c r="AH349" s="126">
        <v>5.0000000000000001E-3</v>
      </c>
      <c r="AI349" s="126">
        <v>3.0000000000000001E-3</v>
      </c>
      <c r="AJ349" s="126">
        <v>6.0000000000000001E-3</v>
      </c>
      <c r="AK349" s="126">
        <v>-3.0000000000000001E-3</v>
      </c>
      <c r="AL349" s="126">
        <v>-0.06</v>
      </c>
      <c r="AM349" s="126">
        <v>-6.9000000000000006E-2</v>
      </c>
      <c r="AN349" s="126">
        <v>-2.4E-2</v>
      </c>
      <c r="AO349" s="126">
        <v>-1.0999999999999999E-2</v>
      </c>
      <c r="AP349" s="126">
        <v>9.0999999999999998E-2</v>
      </c>
      <c r="AQ349" s="126">
        <v>2.1000000000000001E-2</v>
      </c>
      <c r="AR349" s="126">
        <v>7.3999999999999996E-2</v>
      </c>
      <c r="AS349" s="126">
        <v>4.8000000000000001E-2</v>
      </c>
      <c r="AT349" s="126">
        <v>8.2000000000000003E-2</v>
      </c>
      <c r="AU349" s="126">
        <v>9.1999999999999998E-2</v>
      </c>
      <c r="AV349" s="126">
        <v>3.0241925296929262E-2</v>
      </c>
      <c r="AW349" s="126">
        <v>8.7999999999999995E-2</v>
      </c>
      <c r="AX349" s="126">
        <v>8.9040497726674106E-2</v>
      </c>
      <c r="AY349" s="126">
        <v>0.13930806379447702</v>
      </c>
      <c r="AZ349" s="126">
        <v>0.06</v>
      </c>
      <c r="BA349" s="126">
        <v>7.900987617969002E-2</v>
      </c>
      <c r="BB349" s="126">
        <v>8.1000000000000003E-2</v>
      </c>
      <c r="BC349" s="126">
        <v>-6.6058381313614002E-3</v>
      </c>
      <c r="BD349" s="126">
        <v>1.4984635768028998E-2</v>
      </c>
      <c r="BE349" s="126">
        <v>-4.581984369758807E-2</v>
      </c>
      <c r="BF349" s="126">
        <v>-8.437444242041392E-2</v>
      </c>
      <c r="BG349" s="126">
        <v>-2.6987896238773599E-2</v>
      </c>
      <c r="BH349" s="126">
        <v>-1.6195178373024099E-4</v>
      </c>
      <c r="BI349" s="126">
        <v>-1.6E-2</v>
      </c>
      <c r="BJ349" s="126"/>
      <c r="BK349" s="126"/>
      <c r="BL349" s="126"/>
      <c r="BM349" s="126"/>
    </row>
    <row r="350" spans="2:65" ht="13.5" customHeight="1">
      <c r="B350" s="1" t="s">
        <v>401</v>
      </c>
      <c r="C350" s="126">
        <v>0.19800000000000001</v>
      </c>
      <c r="D350" s="126">
        <v>-0.01</v>
      </c>
      <c r="E350" s="126">
        <v>-0.11799999999999999</v>
      </c>
      <c r="F350" s="126">
        <v>-7.0000000000000001E-3</v>
      </c>
      <c r="G350" s="126"/>
      <c r="H350" s="126">
        <v>-3.3000000000000002E-2</v>
      </c>
      <c r="I350" s="126">
        <v>2.9000000000000001E-2</v>
      </c>
      <c r="J350" s="126">
        <v>-1E-3</v>
      </c>
      <c r="K350" s="126">
        <v>8.3000000000000004E-2</v>
      </c>
      <c r="L350" s="126">
        <v>0.11912994008764444</v>
      </c>
      <c r="M350" s="126">
        <v>5.5E-2</v>
      </c>
      <c r="N350" s="126">
        <v>4.6890479987609979E-2</v>
      </c>
      <c r="O350" s="126">
        <v>1.6235804849032101E-2</v>
      </c>
      <c r="P350" s="369"/>
      <c r="Q350" s="126"/>
      <c r="R350" s="126"/>
      <c r="S350" s="126"/>
      <c r="T350" s="186"/>
      <c r="U350" s="126">
        <v>-0.04</v>
      </c>
      <c r="V350" s="126">
        <v>-0.11700000000000001</v>
      </c>
      <c r="W350" s="126">
        <v>-0.14899999999999999</v>
      </c>
      <c r="X350" s="126">
        <v>-0.16200000000000001</v>
      </c>
      <c r="Y350" s="126">
        <v>-0.113</v>
      </c>
      <c r="Z350" s="126">
        <v>-3.6999999999999998E-2</v>
      </c>
      <c r="AA350" s="126">
        <v>4.2000000000000003E-2</v>
      </c>
      <c r="AB350" s="126">
        <v>8.6999999999999994E-2</v>
      </c>
      <c r="AC350" s="126">
        <v>-0.01</v>
      </c>
      <c r="AD350" s="126">
        <v>-6.9000000000000006E-2</v>
      </c>
      <c r="AE350" s="126">
        <v>-3.2000000000000001E-2</v>
      </c>
      <c r="AF350" s="126">
        <v>-2.7E-2</v>
      </c>
      <c r="AG350" s="126">
        <v>1.6E-2</v>
      </c>
      <c r="AH350" s="126">
        <v>5.7000000000000002E-2</v>
      </c>
      <c r="AI350" s="126">
        <v>4.0000000000000001E-3</v>
      </c>
      <c r="AJ350" s="126">
        <v>0.04</v>
      </c>
      <c r="AK350" s="126">
        <v>-3.0000000000000001E-3</v>
      </c>
      <c r="AL350" s="126">
        <v>-9.5000000000000001E-2</v>
      </c>
      <c r="AM350" s="126">
        <v>8.9999999999999993E-3</v>
      </c>
      <c r="AN350" s="126">
        <v>6.4000000000000001E-2</v>
      </c>
      <c r="AO350" s="126">
        <v>3.7999999999999999E-2</v>
      </c>
      <c r="AP350" s="126">
        <v>4.9000000000000002E-2</v>
      </c>
      <c r="AQ350" s="126">
        <v>0.11700000000000001</v>
      </c>
      <c r="AR350" s="126">
        <v>0.03</v>
      </c>
      <c r="AS350" s="126">
        <v>0.17699999999999999</v>
      </c>
      <c r="AT350" s="126">
        <v>0.184</v>
      </c>
      <c r="AU350" s="126">
        <v>7.0999999999999994E-2</v>
      </c>
      <c r="AV350" s="126">
        <v>6.6470268550224532E-2</v>
      </c>
      <c r="AW350" s="126">
        <v>3.7999999999999999E-2</v>
      </c>
      <c r="AX350" s="126">
        <v>3.8447858021400903E-2</v>
      </c>
      <c r="AY350" s="126">
        <v>8.0588245255137414E-2</v>
      </c>
      <c r="AZ350" s="126">
        <v>6.2E-2</v>
      </c>
      <c r="BA350" s="126">
        <v>6.6066440309737962E-2</v>
      </c>
      <c r="BB350" s="126">
        <v>6.5000000000000002E-2</v>
      </c>
      <c r="BC350" s="126">
        <v>3.0562097088000999E-2</v>
      </c>
      <c r="BD350" s="126">
        <v>2.9734288372545103E-2</v>
      </c>
      <c r="BE350" s="126">
        <v>1.0297933045434693E-2</v>
      </c>
      <c r="BF350" s="126">
        <v>-4.5500528270003837E-3</v>
      </c>
      <c r="BG350" s="126">
        <v>2.6434744067328899E-2</v>
      </c>
      <c r="BH350" s="126">
        <v>2.98466060414786E-2</v>
      </c>
      <c r="BI350" s="126">
        <v>4.8000000000000001E-2</v>
      </c>
      <c r="BJ350" s="126"/>
      <c r="BK350" s="126"/>
      <c r="BL350" s="126"/>
      <c r="BM350" s="126"/>
    </row>
    <row r="351" spans="2:65" ht="13.5" customHeight="1">
      <c r="B351" s="1" t="s">
        <v>396</v>
      </c>
      <c r="C351" s="126"/>
      <c r="D351" s="126">
        <v>-2.3E-2</v>
      </c>
      <c r="E351" s="126">
        <v>-0.39300000000000002</v>
      </c>
      <c r="F351" s="126">
        <v>-0.55100000000000005</v>
      </c>
      <c r="G351" s="126"/>
      <c r="H351" s="126"/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  <c r="T351" s="186"/>
      <c r="U351" s="126">
        <v>-0.17699999999999999</v>
      </c>
      <c r="V351" s="126">
        <v>-0.41099999999999998</v>
      </c>
      <c r="W351" s="126">
        <v>-0.41799999999999998</v>
      </c>
      <c r="X351" s="126">
        <v>-0.58199999999999996</v>
      </c>
      <c r="Y351" s="126">
        <v>-0.75</v>
      </c>
      <c r="Z351" s="126">
        <v>-0.60399999999999998</v>
      </c>
      <c r="AA351" s="126">
        <v>-0.46700000000000003</v>
      </c>
      <c r="AB351" s="126">
        <v>-0.17199999999999999</v>
      </c>
      <c r="AC351" s="126"/>
      <c r="AD351" s="126"/>
      <c r="AE351" s="126"/>
      <c r="AF351" s="126"/>
      <c r="AG351" s="126"/>
      <c r="AH351" s="126"/>
      <c r="AI351" s="126"/>
      <c r="AJ351" s="126"/>
      <c r="AK351" s="126"/>
      <c r="AL351" s="126"/>
      <c r="AM351" s="126"/>
      <c r="AN351" s="126"/>
      <c r="AO351" s="126"/>
      <c r="AP351" s="126"/>
      <c r="AQ351" s="126"/>
      <c r="AR351" s="126"/>
      <c r="AS351" s="126"/>
      <c r="AT351" s="126"/>
      <c r="AU351" s="126"/>
      <c r="AV351" s="126"/>
      <c r="AW351" s="126"/>
      <c r="AX351" s="126"/>
      <c r="AY351" s="126"/>
      <c r="AZ351" s="126"/>
      <c r="BA351" s="126"/>
      <c r="BB351" s="126"/>
      <c r="BC351" s="126"/>
      <c r="BD351" s="126"/>
      <c r="BE351" s="126"/>
      <c r="BF351" s="126"/>
      <c r="BG351" s="126"/>
      <c r="BH351" s="126"/>
      <c r="BI351" s="126"/>
      <c r="BJ351" s="126"/>
      <c r="BK351" s="126"/>
      <c r="BL351" s="126"/>
      <c r="BM351" s="126"/>
    </row>
    <row r="352" spans="2:65" ht="13.5" customHeight="1">
      <c r="B352" s="1" t="s">
        <v>397</v>
      </c>
      <c r="C352" s="126"/>
      <c r="D352" s="126"/>
      <c r="E352" s="126"/>
      <c r="F352" s="126"/>
      <c r="G352" s="126"/>
      <c r="H352" s="126"/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  <c r="T352" s="186"/>
      <c r="U352" s="126"/>
      <c r="V352" s="126"/>
      <c r="W352" s="126"/>
      <c r="X352" s="126"/>
      <c r="Y352" s="126"/>
      <c r="Z352" s="126"/>
      <c r="AA352" s="126"/>
      <c r="AB352" s="126"/>
      <c r="AC352" s="126">
        <v>0.29899999999999999</v>
      </c>
      <c r="AD352" s="126">
        <v>-0.04</v>
      </c>
      <c r="AE352" s="126"/>
      <c r="AF352" s="126"/>
      <c r="AG352" s="126"/>
      <c r="AH352" s="126"/>
      <c r="AI352" s="126"/>
      <c r="AJ352" s="126"/>
      <c r="AK352" s="126"/>
      <c r="AL352" s="126"/>
      <c r="AM352" s="126"/>
      <c r="AN352" s="126"/>
      <c r="AO352" s="126"/>
      <c r="AP352" s="126"/>
      <c r="AQ352" s="126"/>
      <c r="AR352" s="126"/>
      <c r="AS352" s="126"/>
      <c r="AT352" s="126"/>
      <c r="AU352" s="126"/>
      <c r="AV352" s="126"/>
      <c r="AW352" s="126"/>
      <c r="AX352" s="126"/>
      <c r="AY352" s="126"/>
      <c r="AZ352" s="126"/>
      <c r="BA352" s="126"/>
      <c r="BB352" s="126"/>
      <c r="BC352" s="126"/>
      <c r="BD352" s="126"/>
      <c r="BE352" s="126"/>
      <c r="BF352" s="126"/>
      <c r="BG352" s="126"/>
      <c r="BH352" s="126"/>
      <c r="BI352" s="126"/>
      <c r="BJ352" s="126"/>
      <c r="BK352" s="126"/>
      <c r="BL352" s="126"/>
      <c r="BM352" s="126"/>
    </row>
    <row r="353" spans="2:65" ht="13.5" customHeight="1">
      <c r="B353" s="1" t="s">
        <v>398</v>
      </c>
      <c r="C353" s="126">
        <v>6.6000000000000003E-2</v>
      </c>
      <c r="D353" s="126">
        <v>5.0000000000000001E-3</v>
      </c>
      <c r="E353" s="126">
        <v>-0.03</v>
      </c>
      <c r="F353" s="126">
        <v>0.161</v>
      </c>
      <c r="G353" s="126"/>
      <c r="H353" s="126">
        <v>1E-3</v>
      </c>
      <c r="I353" s="126">
        <v>1.4E-2</v>
      </c>
      <c r="J353" s="126">
        <v>-2.5000000000000001E-2</v>
      </c>
      <c r="K353" s="126">
        <v>5.2999999999999999E-2</v>
      </c>
      <c r="L353" s="126">
        <v>8.600030681427806E-2</v>
      </c>
      <c r="M353" s="126">
        <v>7.8E-2</v>
      </c>
      <c r="N353" s="126">
        <v>4.3677552597854108E-2</v>
      </c>
      <c r="O353" s="126">
        <v>-1.75713364524719E-2</v>
      </c>
      <c r="P353" s="369"/>
      <c r="Q353" s="126"/>
      <c r="R353" s="126"/>
      <c r="S353" s="126"/>
      <c r="T353" s="186"/>
      <c r="U353" s="126">
        <v>6.0000000000000001E-3</v>
      </c>
      <c r="V353" s="126">
        <v>-4.0000000000000001E-3</v>
      </c>
      <c r="W353" s="126">
        <v>-4.7E-2</v>
      </c>
      <c r="X353" s="126">
        <v>-7.0000000000000007E-2</v>
      </c>
      <c r="Y353" s="126">
        <v>7.9000000000000001E-2</v>
      </c>
      <c r="Z353" s="126">
        <v>1.9E-2</v>
      </c>
      <c r="AA353" s="126">
        <v>0.16600000000000001</v>
      </c>
      <c r="AB353" s="126">
        <v>0.216</v>
      </c>
      <c r="AC353" s="126">
        <v>0.03</v>
      </c>
      <c r="AD353" s="126">
        <v>-1.7999999999999999E-2</v>
      </c>
      <c r="AE353" s="126">
        <v>2.1999999999999999E-2</v>
      </c>
      <c r="AF353" s="126">
        <v>-2E-3</v>
      </c>
      <c r="AG353" s="126">
        <v>0.01</v>
      </c>
      <c r="AH353" s="126">
        <v>2.1999999999999999E-2</v>
      </c>
      <c r="AI353" s="126">
        <v>3.0000000000000001E-3</v>
      </c>
      <c r="AJ353" s="126">
        <v>2.1000000000000001E-2</v>
      </c>
      <c r="AK353" s="126">
        <v>-3.0000000000000001E-3</v>
      </c>
      <c r="AL353" s="126">
        <v>-7.1999999999999995E-2</v>
      </c>
      <c r="AM353" s="126">
        <v>-4.1000000000000002E-2</v>
      </c>
      <c r="AN353" s="126">
        <v>1.4E-2</v>
      </c>
      <c r="AO353" s="126">
        <v>8.9999999999999993E-3</v>
      </c>
      <c r="AP353" s="126">
        <v>9.0999999999999998E-2</v>
      </c>
      <c r="AQ353" s="126">
        <v>5.8000000000000003E-2</v>
      </c>
      <c r="AR353" s="126">
        <v>5.3999999999999999E-2</v>
      </c>
      <c r="AS353" s="126">
        <v>0.10100000000000001</v>
      </c>
      <c r="AT353" s="126">
        <v>0.11899999999999999</v>
      </c>
      <c r="AU353" s="126">
        <v>8.4000000000000005E-2</v>
      </c>
      <c r="AV353" s="126">
        <v>4.6219283728366589E-2</v>
      </c>
      <c r="AW353" s="126">
        <v>6.6000000000000003E-2</v>
      </c>
      <c r="AX353" s="126">
        <v>6.9860889357346204E-2</v>
      </c>
      <c r="AY353" s="126">
        <v>0.11583862290072866</v>
      </c>
      <c r="AZ353" s="126">
        <v>6.0999999999999999E-2</v>
      </c>
      <c r="BA353" s="126">
        <v>7.3469150593990173E-2</v>
      </c>
      <c r="BB353" s="126">
        <v>7.4999999999999997E-2</v>
      </c>
      <c r="BC353" s="126">
        <v>7.7803363584929598E-3</v>
      </c>
      <c r="BD353" s="126">
        <v>2.1622470456317266E-2</v>
      </c>
      <c r="BE353" s="126">
        <v>-2.1963041697195651E-2</v>
      </c>
      <c r="BF353" s="126">
        <v>-5.5220363380833359E-2</v>
      </c>
      <c r="BG353" s="126">
        <v>-5.8427615527316696E-3</v>
      </c>
      <c r="BH353" s="126">
        <v>1.3450128537571E-2</v>
      </c>
      <c r="BI353" s="126">
        <v>1.2E-2</v>
      </c>
      <c r="BJ353" s="126"/>
      <c r="BK353" s="126"/>
      <c r="BL353" s="126"/>
      <c r="BM353" s="126"/>
    </row>
    <row r="354" spans="2:65" ht="13.5" customHeight="1">
      <c r="C354" s="129"/>
      <c r="D354" s="127"/>
      <c r="E354" s="129"/>
      <c r="F354" s="129"/>
      <c r="G354" s="129"/>
      <c r="H354" s="129"/>
      <c r="I354" s="129"/>
      <c r="J354" s="129"/>
      <c r="K354" s="129"/>
      <c r="L354" s="129"/>
      <c r="M354" s="129"/>
      <c r="N354" s="129"/>
      <c r="O354" s="129"/>
      <c r="P354" s="128"/>
      <c r="Q354" s="126"/>
      <c r="U354" s="127"/>
      <c r="V354" s="127"/>
      <c r="W354" s="127"/>
      <c r="X354" s="134"/>
      <c r="Y354" s="127"/>
      <c r="Z354" s="127"/>
      <c r="AA354" s="127"/>
      <c r="AB354" s="127"/>
      <c r="AC354" s="127"/>
      <c r="AD354" s="127"/>
      <c r="AE354" s="127"/>
      <c r="AF354" s="127"/>
      <c r="AG354" s="127"/>
      <c r="AH354" s="127"/>
      <c r="AI354" s="127"/>
      <c r="AJ354" s="127"/>
      <c r="AK354" s="127"/>
      <c r="AL354" s="127"/>
      <c r="AM354" s="127"/>
      <c r="AN354" s="127"/>
      <c r="AO354" s="127"/>
      <c r="AP354" s="127"/>
      <c r="AQ354" s="127"/>
      <c r="AR354" s="127"/>
      <c r="AS354" s="127"/>
      <c r="AT354" s="127"/>
      <c r="AU354" s="127"/>
      <c r="AV354" s="127"/>
      <c r="AW354" s="127"/>
      <c r="AX354" s="127"/>
      <c r="AY354" s="127"/>
      <c r="AZ354" s="127"/>
      <c r="BA354" s="127"/>
      <c r="BB354" s="127"/>
      <c r="BC354" s="127"/>
      <c r="BD354" s="127"/>
      <c r="BE354" s="127"/>
      <c r="BG354" s="127"/>
      <c r="BH354" s="127"/>
      <c r="BI354" s="127"/>
      <c r="BL354" s="127"/>
      <c r="BM354" s="127"/>
    </row>
    <row r="355" spans="2:65" ht="13.5" customHeight="1">
      <c r="C355" s="129"/>
      <c r="D355" s="127"/>
      <c r="E355" s="128"/>
      <c r="F355" s="128"/>
      <c r="G355" s="128"/>
      <c r="H355" s="128"/>
      <c r="I355" s="128"/>
      <c r="J355" s="128"/>
      <c r="K355" s="128"/>
      <c r="L355" s="128"/>
      <c r="M355" s="128"/>
      <c r="N355" s="128"/>
      <c r="O355" s="128"/>
      <c r="P355" s="128"/>
      <c r="Q355" s="128"/>
      <c r="U355" s="127"/>
      <c r="V355" s="127"/>
      <c r="W355" s="127"/>
      <c r="X355" s="127"/>
      <c r="Y355" s="127"/>
      <c r="Z355" s="127"/>
      <c r="AA355" s="127"/>
      <c r="AB355" s="127"/>
      <c r="AC355" s="127"/>
      <c r="AD355" s="127"/>
      <c r="AE355" s="127"/>
      <c r="AF355" s="127"/>
      <c r="AG355" s="127"/>
      <c r="AH355" s="127"/>
      <c r="AI355" s="127"/>
      <c r="AJ355" s="127"/>
      <c r="AK355" s="127"/>
      <c r="AL355" s="127"/>
      <c r="AM355" s="127"/>
      <c r="AN355" s="127"/>
      <c r="AO355" s="127"/>
      <c r="AP355" s="127"/>
      <c r="AQ355" s="127"/>
      <c r="AR355" s="127"/>
      <c r="AS355" s="127"/>
      <c r="AT355" s="127"/>
      <c r="AU355" s="127"/>
      <c r="AV355" s="127"/>
      <c r="AW355" s="127"/>
      <c r="AX355" s="127"/>
      <c r="AY355" s="127"/>
      <c r="AZ355" s="127"/>
      <c r="BA355" s="127"/>
      <c r="BB355" s="127"/>
      <c r="BC355" s="127"/>
      <c r="BD355" s="127"/>
      <c r="BE355" s="127"/>
      <c r="BG355" s="127"/>
      <c r="BH355" s="127"/>
      <c r="BI355" s="127"/>
      <c r="BL355" s="127"/>
      <c r="BM355" s="127"/>
    </row>
    <row r="356" spans="2:65" ht="13.5" customHeight="1">
      <c r="C356" s="130"/>
      <c r="D356" s="130"/>
      <c r="E356" s="130"/>
      <c r="F356" s="130"/>
      <c r="G356" s="130"/>
      <c r="H356" s="130"/>
      <c r="I356" s="130"/>
      <c r="J356" s="130"/>
      <c r="K356" s="130"/>
      <c r="L356" s="130"/>
      <c r="M356" s="130"/>
      <c r="N356" s="130"/>
      <c r="O356" s="130"/>
      <c r="P356" s="150"/>
      <c r="Q356" s="150"/>
      <c r="R356" s="66"/>
      <c r="S356" s="66"/>
      <c r="T356" s="121"/>
      <c r="U356" s="130"/>
      <c r="V356" s="130"/>
      <c r="W356" s="130"/>
      <c r="X356" s="169"/>
      <c r="Y356" s="130"/>
      <c r="Z356" s="130"/>
      <c r="AA356" s="130"/>
      <c r="AB356" s="130"/>
      <c r="AC356" s="130"/>
      <c r="AD356" s="130"/>
      <c r="AE356" s="130"/>
      <c r="AF356" s="224"/>
      <c r="AG356" s="130"/>
      <c r="AH356" s="130"/>
      <c r="AI356" s="130"/>
      <c r="AJ356" s="130"/>
      <c r="AK356" s="130"/>
      <c r="AL356" s="130"/>
      <c r="AM356" s="130"/>
      <c r="AN356" s="130"/>
      <c r="AO356" s="130"/>
      <c r="AP356" s="130"/>
      <c r="AQ356" s="130"/>
      <c r="AR356" s="130"/>
      <c r="AS356" s="130"/>
      <c r="AT356" s="130"/>
      <c r="AU356" s="130"/>
      <c r="AV356" s="130"/>
      <c r="AW356" s="130"/>
      <c r="AX356" s="130"/>
      <c r="AY356" s="130"/>
      <c r="AZ356" s="130"/>
      <c r="BA356" s="130"/>
      <c r="BB356" s="130"/>
      <c r="BC356" s="130"/>
      <c r="BD356" s="130"/>
      <c r="BE356" s="130"/>
      <c r="BG356" s="130"/>
      <c r="BH356" s="130"/>
      <c r="BI356" s="130"/>
      <c r="BL356" s="130"/>
      <c r="BM356" s="130"/>
    </row>
    <row r="357" spans="2:65" ht="13.5" customHeight="1">
      <c r="C357" s="129"/>
      <c r="D357" s="129"/>
      <c r="E357" s="128"/>
      <c r="F357" s="128"/>
      <c r="G357" s="128"/>
      <c r="H357" s="128"/>
      <c r="I357" s="128"/>
      <c r="J357" s="128"/>
      <c r="K357" s="128"/>
      <c r="L357" s="128"/>
      <c r="M357" s="128"/>
      <c r="N357" s="128"/>
      <c r="O357" s="128"/>
      <c r="P357" s="128"/>
      <c r="Q357" s="128"/>
      <c r="U357" s="127"/>
      <c r="V357" s="127"/>
      <c r="W357" s="127"/>
      <c r="X357" s="127"/>
      <c r="Y357" s="127"/>
      <c r="Z357" s="127"/>
      <c r="AA357" s="127"/>
      <c r="AB357" s="127"/>
      <c r="AC357" s="127"/>
      <c r="AD357" s="127"/>
      <c r="AE357" s="127"/>
      <c r="AF357" s="127"/>
      <c r="AG357" s="127"/>
      <c r="AH357" s="127"/>
      <c r="AI357" s="127"/>
      <c r="AJ357" s="127"/>
      <c r="AK357" s="127"/>
      <c r="AL357" s="127"/>
      <c r="AM357" s="127"/>
      <c r="AN357" s="127"/>
      <c r="AO357" s="127"/>
      <c r="AP357" s="127"/>
      <c r="AQ357" s="127"/>
      <c r="AR357" s="127"/>
      <c r="AS357" s="127"/>
      <c r="AT357" s="127"/>
      <c r="AU357" s="127"/>
      <c r="AV357" s="127"/>
      <c r="AW357" s="127"/>
      <c r="AX357" s="127"/>
      <c r="AY357" s="127"/>
      <c r="AZ357" s="127"/>
      <c r="BA357" s="127"/>
      <c r="BB357" s="127"/>
      <c r="BC357" s="127"/>
      <c r="BD357" s="127"/>
      <c r="BE357" s="127"/>
      <c r="BG357" s="127"/>
      <c r="BH357" s="127"/>
      <c r="BI357" s="127"/>
      <c r="BL357" s="127"/>
      <c r="BM357" s="127"/>
    </row>
  </sheetData>
  <pageMargins left="0.51181102362204722" right="0.47244094488188981" top="0.23622047244094491" bottom="0.43307086614173229" header="0.51181102362204722" footer="0.23622047244094491"/>
  <pageSetup paperSize="9" fitToHeight="0" orientation="portrait" r:id="rId1"/>
  <headerFooter alignWithMargins="0">
    <oddFooter>&amp;L&amp;8U.S. Bank Loan Team&amp;C&amp;"Arial,Bold"&amp;8- Confidential -&amp;R&amp;8&amp;D &amp;T</oddFooter>
  </headerFooter>
  <rowBreaks count="1" manualBreakCount="1">
    <brk id="99" min="1" max="10" man="1"/>
  </rowBreak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00EECCAA3DB94895FACE15614ECBE0" ma:contentTypeVersion="3" ma:contentTypeDescription="Create a new document." ma:contentTypeScope="" ma:versionID="df48d4251bee182ecc7fb5dcb95088a2">
  <xsd:schema xmlns:xsd="http://www.w3.org/2001/XMLSchema" xmlns:xs="http://www.w3.org/2001/XMLSchema" xmlns:p="http://schemas.microsoft.com/office/2006/metadata/properties" xmlns:ns2="aa33d72f-12a9-4590-815a-2b1f92f4a722" targetNamespace="http://schemas.microsoft.com/office/2006/metadata/properties" ma:root="true" ma:fieldsID="e53bcbeb5cc26077ba81130311515115" ns2:_="">
    <xsd:import namespace="aa33d72f-12a9-4590-815a-2b1f92f4a7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3d72f-12a9-4590-815a-2b1f92f4a7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61AA1C8-9F03-473B-910B-DDD631111672}"/>
</file>

<file path=customXml/itemProps2.xml><?xml version="1.0" encoding="utf-8"?>
<ds:datastoreItem xmlns:ds="http://schemas.openxmlformats.org/officeDocument/2006/customXml" ds:itemID="{384A1CB0-E94C-46E0-B934-0D737EF836A0}"/>
</file>

<file path=customXml/itemProps3.xml><?xml version="1.0" encoding="utf-8"?>
<ds:datastoreItem xmlns:ds="http://schemas.openxmlformats.org/officeDocument/2006/customXml" ds:itemID="{E60A0D7F-777E-424C-A3D8-693AC9AE05B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MassMutual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MAB</dc:creator>
  <cp:keywords/>
  <dc:description/>
  <cp:lastModifiedBy/>
  <cp:revision/>
  <dcterms:created xsi:type="dcterms:W3CDTF">2008-03-12T15:44:19Z</dcterms:created>
  <dcterms:modified xsi:type="dcterms:W3CDTF">2026-08-26T12:43:13Z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{C3EEC954-6CC9-4C11-A936-79F26F0C46AC}</vt:lpwstr>
  </property>
  <property fmtid="{D5CDD505-2E9C-101B-9397-08002B2CF9AE}" pid="3" name="MSIP_Label_8c63c790-1b4f-473b-b88f-a693ca173b52_Enabled">
    <vt:lpwstr>true</vt:lpwstr>
  </property>
  <property fmtid="{D5CDD505-2E9C-101B-9397-08002B2CF9AE}" pid="4" name="MSIP_Label_8c63c790-1b4f-473b-b88f-a693ca173b52_SetDate">
    <vt:lpwstr>2022-04-29T13:12:22Z</vt:lpwstr>
  </property>
  <property fmtid="{D5CDD505-2E9C-101B-9397-08002B2CF9AE}" pid="5" name="MSIP_Label_8c63c790-1b4f-473b-b88f-a693ca173b52_Method">
    <vt:lpwstr>Privileged</vt:lpwstr>
  </property>
  <property fmtid="{D5CDD505-2E9C-101B-9397-08002B2CF9AE}" pid="6" name="MSIP_Label_8c63c790-1b4f-473b-b88f-a693ca173b52_Name">
    <vt:lpwstr>Internal</vt:lpwstr>
  </property>
  <property fmtid="{D5CDD505-2E9C-101B-9397-08002B2CF9AE}" pid="7" name="MSIP_Label_8c63c790-1b4f-473b-b88f-a693ca173b52_SiteId">
    <vt:lpwstr>4d8b04bf-7a7c-48a0-b6e3-38da5008297e</vt:lpwstr>
  </property>
  <property fmtid="{D5CDD505-2E9C-101B-9397-08002B2CF9AE}" pid="8" name="MSIP_Label_8c63c790-1b4f-473b-b88f-a693ca173b52_ActionId">
    <vt:lpwstr>77c114d0-fe7e-4d25-b867-c53c131febbd</vt:lpwstr>
  </property>
  <property fmtid="{D5CDD505-2E9C-101B-9397-08002B2CF9AE}" pid="9" name="MSIP_Label_8c63c790-1b4f-473b-b88f-a693ca173b52_ContentBits">
    <vt:lpwstr>0</vt:lpwstr>
  </property>
  <property fmtid="{D5CDD505-2E9C-101B-9397-08002B2CF9AE}" pid="10" name="ContentTypeId">
    <vt:lpwstr>0x0101003A00EECCAA3DB94895FACE15614ECBE0</vt:lpwstr>
  </property>
</Properties>
</file>