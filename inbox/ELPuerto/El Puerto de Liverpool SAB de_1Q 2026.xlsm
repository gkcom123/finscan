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codeName="ThisWorkbook"/>
  <mc:AlternateContent xmlns:mc="http://schemas.openxmlformats.org/markup-compatibility/2006">
    <mc:Choice Requires="x15">
      <x15ac:absPath xmlns:x15ac="http://schemas.microsoft.com/office/spreadsheetml/2010/11/ac" url="C:\Project\finscan\inbox\ELPuerto\"/>
    </mc:Choice>
  </mc:AlternateContent>
  <xr:revisionPtr revIDLastSave="0" documentId="13_ncr:1_{E040B5A8-8137-4AE0-866D-7FFFF648CB69}" xr6:coauthVersionLast="47" xr6:coauthVersionMax="47" xr10:uidLastSave="{00000000-0000-0000-0000-000000000000}"/>
  <bookViews>
    <workbookView xWindow="35880" yWindow="-120" windowWidth="51840" windowHeight="21120" activeTab="1" xr2:uid="{00000000-000D-0000-FFFF-FFFF00000000}"/>
  </bookViews>
  <sheets>
    <sheet name="Capitalisation" sheetId="20" r:id="rId1"/>
    <sheet name="Model" sheetId="15" r:id="rId2"/>
    <sheet name="KPIs" sheetId="19"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A">#REF!</definedName>
    <definedName name="\B">#REF!</definedName>
    <definedName name="\C">#REF!</definedName>
    <definedName name="\L">#REF!</definedName>
    <definedName name="\M">#REF!</definedName>
    <definedName name="\P">#REF!</definedName>
    <definedName name="\Y">#REF!</definedName>
    <definedName name="__FDS_HYPERLINK_TOGGLE_STATE__" hidden="1">"ON"</definedName>
    <definedName name="_01_30_04" localSheetId="0">MonthlyOpStats</definedName>
    <definedName name="_01_30_04" localSheetId="1">MonthlyOpStats</definedName>
    <definedName name="_01_30_04">MonthlyOpStats</definedName>
    <definedName name="_1_30_01" localSheetId="0">MonthlyOpStats</definedName>
    <definedName name="_1_30_01" localSheetId="1">MonthlyOpStats</definedName>
    <definedName name="_1_30_01">MonthlyOpStats</definedName>
    <definedName name="_1_30_02" localSheetId="0">MonthlyOpStats</definedName>
    <definedName name="_1_30_02" localSheetId="1">MonthlyOpStats</definedName>
    <definedName name="_1_30_02">MonthlyOpStats</definedName>
    <definedName name="_1_31_01" localSheetId="0">MonthlyOpStats</definedName>
    <definedName name="_1_31_01" localSheetId="1">MonthlyOpStats</definedName>
    <definedName name="_1_31_01">MonthlyOpStats</definedName>
    <definedName name="_1_31_02" localSheetId="0">MonthlyOpStats</definedName>
    <definedName name="_1_31_02" localSheetId="1">MonthlyOpStats</definedName>
    <definedName name="_1_31_02">MonthlyOpStats</definedName>
    <definedName name="_12_31_05" localSheetId="0">MonthlyOpStats</definedName>
    <definedName name="_12_31_05" localSheetId="1">MonthlyOpStats</definedName>
    <definedName name="_12_31_05">MonthlyOpStats</definedName>
    <definedName name="_A">#REF!</definedName>
    <definedName name="_A___0">#REF!</definedName>
    <definedName name="_B">#REF!</definedName>
    <definedName name="_B___0">#REF!</definedName>
    <definedName name="_C">#REF!</definedName>
    <definedName name="_C___0">#REF!</definedName>
    <definedName name="_Common_Size_Income_Statement" localSheetId="1" function="1" xlm="1">[1]Model!#REF!</definedName>
    <definedName name="_Common_Size_Income_Statement" function="1" xlm="1">[1]Model!#REF!</definedName>
    <definedName name="_ent1">[2]Inputs!$J$17</definedName>
    <definedName name="_ent10">[2]Inputs!$J$476</definedName>
    <definedName name="_ent11">[2]Inputs!$J$527</definedName>
    <definedName name="_ent12">[2]Inputs!$J$578</definedName>
    <definedName name="_ent13">[2]Inputs!$J$629</definedName>
    <definedName name="_ent14">[2]Inputs!$J$680</definedName>
    <definedName name="_ent15">[2]Inputs!$J$731</definedName>
    <definedName name="_ent2">[2]Inputs!$J$68</definedName>
    <definedName name="_ent3">[2]Inputs!$J$119</definedName>
    <definedName name="_ent4">[2]Inputs!$J$170</definedName>
    <definedName name="_ent5">[2]Inputs!$J$221</definedName>
    <definedName name="_ent6">[2]Inputs!$J$272</definedName>
    <definedName name="_ent7">[2]Inputs!$J$323</definedName>
    <definedName name="_ent8">[2]Inputs!$J$374</definedName>
    <definedName name="_ent9">[2]Inputs!$J$425</definedName>
    <definedName name="_eps1">[2]Inputs!$P$42</definedName>
    <definedName name="_eps10">[2]Inputs!$P$501</definedName>
    <definedName name="_eps11">[2]Inputs!$P$552</definedName>
    <definedName name="_eps12">[2]Inputs!$P$603</definedName>
    <definedName name="_eps13">[2]Inputs!$P$654</definedName>
    <definedName name="_eps14">[2]Inputs!$P$705</definedName>
    <definedName name="_eps15">[2]Inputs!$P$756</definedName>
    <definedName name="_eps2">[2]Inputs!$P$93</definedName>
    <definedName name="_eps3">[2]Inputs!$P$144</definedName>
    <definedName name="_eps4">[2]Inputs!$P$195</definedName>
    <definedName name="_eps5">[2]Inputs!$P$246</definedName>
    <definedName name="_eps6">[2]Inputs!$P$297</definedName>
    <definedName name="_eps7">[2]Inputs!$P$348</definedName>
    <definedName name="_eps8">[2]Inputs!$P$399</definedName>
    <definedName name="_eps9">[2]Inputs!$P$450</definedName>
    <definedName name="_Fill" localSheetId="1" hidden="1">[3]FxdChg!#REF!</definedName>
    <definedName name="_Fill" hidden="1">[3]FxdChg!#REF!</definedName>
    <definedName name="_xlnm._FilterDatabase" localSheetId="1" hidden="1">Model!$B$7:$BI$312</definedName>
    <definedName name="_fye1">[2]Inputs!$E$12</definedName>
    <definedName name="_fye10">[2]Inputs!$E$471</definedName>
    <definedName name="_fye11">[2]Inputs!$E$522</definedName>
    <definedName name="_fye12">[2]Inputs!$E$573</definedName>
    <definedName name="_fye13">[2]Inputs!$E$624</definedName>
    <definedName name="_fye14">[2]Inputs!$E$675</definedName>
    <definedName name="_fye15">[2]Inputs!$E$726</definedName>
    <definedName name="_fye2">[2]Inputs!$E$63</definedName>
    <definedName name="_fye3">[2]Inputs!$E$114</definedName>
    <definedName name="_fye4">[2]Inputs!$E$165</definedName>
    <definedName name="_fye5">[2]Inputs!$E$216</definedName>
    <definedName name="_fye6">[2]Inputs!$E$267</definedName>
    <definedName name="_fye7">[2]Inputs!$E$318</definedName>
    <definedName name="_fye8">[2]Inputs!$E$369</definedName>
    <definedName name="_fye9">[2]Inputs!$E$420</definedName>
    <definedName name="_GEI_Returns" localSheetId="1">[1]Model!#REF!</definedName>
    <definedName name="_GEI_Returns">[1]Model!#REF!</definedName>
    <definedName name="_L">#REF!</definedName>
    <definedName name="_L___0">#REF!</definedName>
    <definedName name="_mv1">[2]Inputs!$J$16</definedName>
    <definedName name="_mv10">[2]Inputs!$J$475</definedName>
    <definedName name="_mv11">[2]Inputs!$J$526</definedName>
    <definedName name="_mv12">[2]Inputs!$J$577</definedName>
    <definedName name="_mv13">[2]Inputs!$J$628</definedName>
    <definedName name="_mv14">[2]Inputs!$J$679</definedName>
    <definedName name="_mv15">[2]Inputs!$J$730</definedName>
    <definedName name="_mv2">[2]Inputs!$J$67</definedName>
    <definedName name="_mv3">[2]Inputs!$J$118</definedName>
    <definedName name="_mv4">[2]Inputs!$J$169</definedName>
    <definedName name="_mv5">[2]Inputs!$J$220</definedName>
    <definedName name="_mv6">[2]Inputs!$J$271</definedName>
    <definedName name="_mv7">[2]Inputs!$J$322</definedName>
    <definedName name="_mv8">[2]Inputs!$J$373</definedName>
    <definedName name="_mv9">[2]Inputs!$J$424</definedName>
    <definedName name="_Order1" hidden="1">0</definedName>
    <definedName name="_Order2" hidden="1">0</definedName>
    <definedName name="_P">#REF!</definedName>
    <definedName name="_P___0">#REF!</definedName>
    <definedName name="_Returns" localSheetId="1" function="1" xlm="1">[1]Model!#REF!</definedName>
    <definedName name="_Returns" function="1" xlm="1">[1]Model!#REF!</definedName>
    <definedName name="_Table2_Out" hidden="1">#REF!</definedName>
    <definedName name="_xleta.T" hidden="1" xlm="1">#NAME?</definedName>
    <definedName name="_Y">#REF!</definedName>
    <definedName name="_Y___0">#REF!</definedName>
    <definedName name="Aa_Recovery">#REF!</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ccrued_Comp_Sales" localSheetId="1">'[4]Tanning Assumptions'!#REF!</definedName>
    <definedName name="Accrued_Comp_Sales">'[4]Tanning Assumptions'!#REF!</definedName>
    <definedName name="acq">#REF!</definedName>
    <definedName name="acquiror">#REF!</definedName>
    <definedName name="AdSalesCash">#REF!</definedName>
    <definedName name="AdSalesTrade">#REF!</definedName>
    <definedName name="AdSalesWebsite">#REF!</definedName>
    <definedName name="AICORR" localSheetId="1">#REF!</definedName>
    <definedName name="AICORR">#REF!</definedName>
    <definedName name="AllBH">#REF!</definedName>
    <definedName name="allProjects">#REF!</definedName>
    <definedName name="amort" localSheetId="1">[5]Inputs!#REF!</definedName>
    <definedName name="amort">[5]Inputs!#REF!</definedName>
    <definedName name="AP_Sales" localSheetId="1">'[4]Tanning Assumptions'!#REF!</definedName>
    <definedName name="AP_Sales">'[4]Tanning Assumptions'!#REF!</definedName>
    <definedName name="AR_Other_Sales" localSheetId="1">'[4]Tanning Assumptions'!#REF!</definedName>
    <definedName name="AR_Other_Sales">'[4]Tanning Assumptions'!#REF!</definedName>
    <definedName name="AR_Trade_Sales" localSheetId="1">'[4]Tanning Assumptions'!#REF!</definedName>
    <definedName name="AR_Trade_Sales">'[4]Tanning Assumptions'!#REF!</definedName>
    <definedName name="As_Of_Date">[6]Selections!$C$2</definedName>
    <definedName name="asdfa">#REF!</definedName>
    <definedName name="AsOfDate">'[7]AUM YTD 2000'!$W$1</definedName>
    <definedName name="AssetPur" localSheetId="1" function="1" xlm="1">[1]Model!#REF!</definedName>
    <definedName name="AssetPur" function="1" xlm="1">[1]Model!#REF!</definedName>
    <definedName name="ASSUMPTIONS">#REF!</definedName>
    <definedName name="B_S" localSheetId="1">#REF!</definedName>
    <definedName name="B_S">#REF!</definedName>
    <definedName name="Baa_Recovery">#REF!</definedName>
    <definedName name="bal">#REF!</definedName>
    <definedName name="banner2">[8]CONTROL!$D$10</definedName>
    <definedName name="banner2___0">[8]CONTROL!$D$10</definedName>
    <definedName name="Base_Case">#REF!</definedName>
    <definedName name="Billable">#REF!</definedName>
    <definedName name="BillableHeadcount">#REF!</definedName>
    <definedName name="body">#REF!</definedName>
    <definedName name="BREAK_EVEN">#REF!</definedName>
    <definedName name="BREAK_EVEN___0">#REF!</definedName>
    <definedName name="Broadwing__Inc__Cincinnati_Bell">#REF!</definedName>
    <definedName name="brob">#REF!</definedName>
    <definedName name="bs" localSheetId="1">[5]Inputs!#REF!</definedName>
    <definedName name="bs">[5]Inputs!#REF!</definedName>
    <definedName name="case">#REF!</definedName>
    <definedName name="case1">[9]CONTROL!$A$12</definedName>
    <definedName name="case2">[9]CONTROL!$A$13</definedName>
    <definedName name="case3">[9]CONTROL!$A$14</definedName>
    <definedName name="CASH_FLOW" localSheetId="1">#REF!</definedName>
    <definedName name="CASH_FLOW">#REF!</definedName>
    <definedName name="Cash_Sales" localSheetId="1">'[4]Tanning Assumptions'!#REF!</definedName>
    <definedName name="Cash_Sales">'[4]Tanning Assumptions'!#REF!</definedName>
    <definedName name="CASHBUDGET" localSheetId="1">#REF!</definedName>
    <definedName name="CASHBUDGET">#REF!</definedName>
    <definedName name="CASHBUDGET___0" localSheetId="1">#REF!</definedName>
    <definedName name="CASHBUDGET___0">#REF!</definedName>
    <definedName name="CASHFLOWS_MONTH">#REF!</definedName>
    <definedName name="CASHFLOWS_MONTH___0">#REF!</definedName>
    <definedName name="CASHFLOWS_YEARS">#REF!</definedName>
    <definedName name="CASHFLOWS_YEARS___0">#REF!</definedName>
    <definedName name="cashint" localSheetId="1">#REF!</definedName>
    <definedName name="cashint">#REF!</definedName>
    <definedName name="cashint___0" localSheetId="1">#REF!</definedName>
    <definedName name="cashint___0">#REF!</definedName>
    <definedName name="CBHC">#REF!</definedName>
    <definedName name="cfl">#REF!</definedName>
    <definedName name="ChartDataRange">#REF!</definedName>
    <definedName name="CINC" localSheetId="1">#REF!</definedName>
    <definedName name="CINC">#REF!</definedName>
    <definedName name="CIQWBGuid" localSheetId="0" hidden="1">"248e3567-4213-471b-a158-ea660945d2cf"</definedName>
    <definedName name="CIQWBGuid" hidden="1">"7a199878-cbf1-412b-a66a-b734cbd00657"</definedName>
    <definedName name="CIQWBInfo" hidden="1">"{ ""CIQVersion"":""9.45.614.5792"" }"</definedName>
    <definedName name="circ" localSheetId="1">[5]Inputs!#REF!</definedName>
    <definedName name="circ">[5]Inputs!#REF!</definedName>
    <definedName name="CircRev">#REF!</definedName>
    <definedName name="Class_3_Agg_Cash" localSheetId="1">[10]Revolver!#REF!</definedName>
    <definedName name="Class_3_Agg_Cash">[10]Revolver!#REF!</definedName>
    <definedName name="Class_3_Amt_BET" localSheetId="1">[10]Revolver!#REF!</definedName>
    <definedName name="Class_3_Amt_BET">[10]Revolver!#REF!</definedName>
    <definedName name="Class_A_Interest">#REF!</definedName>
    <definedName name="Class_A_Principal">#REF!</definedName>
    <definedName name="Class_B_Interest">#REF!</definedName>
    <definedName name="Class_B_Principal">#REF!</definedName>
    <definedName name="Class_C_Payment">#REF!</definedName>
    <definedName name="ClassABC">'[6]Debt Structure'!$AN$7</definedName>
    <definedName name="ClassABCD">'[6]Debt Structure'!$AN$8</definedName>
    <definedName name="ClassABCDE">'[6]Debt Structure'!$AN$9</definedName>
    <definedName name="Clients" localSheetId="1">#REF!</definedName>
    <definedName name="Clients">#REF!</definedName>
    <definedName name="closing_date">#REF!</definedName>
    <definedName name="closingttmrevenue">#REF!</definedName>
    <definedName name="CMBSIG" localSheetId="1">#REF!</definedName>
    <definedName name="CMBSIG">#REF!</definedName>
    <definedName name="Column_Lookup">'[11]MASTER DRIVER'!$C$5:$D$29</definedName>
    <definedName name="COMBINED_J_W__3_111403_JUP_IND_PROFORMA_List">#REF!</definedName>
    <definedName name="company">[12]CONTROL!$D$7</definedName>
    <definedName name="company___0">[8]CONTROL!$D$7</definedName>
    <definedName name="cons">#REF!</definedName>
    <definedName name="consultants">#REF!</definedName>
    <definedName name="contrib2" localSheetId="0" hidden="1">{"page1",#N/A,FALSE,"Temp";"page2",#N/A,FALSE,"Temp";"page3",#N/A,FALSE,"Temp";"page4",#N/A,FALSE,"Temp";"page5",#N/A,FALSE,"Temp";"page6",#N/A,FALSE,"Temp"}</definedName>
    <definedName name="contrib2" hidden="1">{"page1",#N/A,FALSE,"Temp";"page2",#N/A,FALSE,"Temp";"page3",#N/A,FALSE,"Temp";"page4",#N/A,FALSE,"Temp";"page5",#N/A,FALSE,"Temp";"page6",#N/A,FALSE,"Temp"}</definedName>
    <definedName name="contrib3" localSheetId="0" hidden="1">{"page1",#N/A,FALSE,"Temp";"page2",#N/A,FALSE,"Temp";"page3",#N/A,FALSE,"Temp";"page4",#N/A,FALSE,"Temp";"page5",#N/A,FALSE,"Temp";"page6",#N/A,FALSE,"Temp"}</definedName>
    <definedName name="contrib3" hidden="1">{"page1",#N/A,FALSE,"Temp";"page2",#N/A,FALSE,"Temp";"page3",#N/A,FALSE,"Temp";"page4",#N/A,FALSE,"Temp";"page5",#N/A,FALSE,"Temp";"page6",#N/A,FALSE,"Temp"}</definedName>
    <definedName name="convertamt">#REF!</definedName>
    <definedName name="convertamt___0">#REF!</definedName>
    <definedName name="convertper">#REF!</definedName>
    <definedName name="convertper___0">#REF!</definedName>
    <definedName name="CorpName">'[13]MASTER DRIVERS'!$A$1</definedName>
    <definedName name="COSTREPORT">#REF!</definedName>
    <definedName name="COSTREPORT___0">#REF!</definedName>
    <definedName name="counter" localSheetId="1">'[14]Portfolio Input'!#REF!</definedName>
    <definedName name="counter">'[14]Portfolio Input'!#REF!</definedName>
    <definedName name="counter2" localSheetId="1">'[14]Portfolio Input'!#REF!</definedName>
    <definedName name="counter2">'[14]Portfolio Input'!#REF!</definedName>
    <definedName name="Coupon">[15]Inputs!$J$30</definedName>
    <definedName name="CSEnd">#REF!</definedName>
    <definedName name="CSHO" localSheetId="1">#REF!</definedName>
    <definedName name="CSHO">#REF!</definedName>
    <definedName name="CSHPRI" localSheetId="1">#REF!</definedName>
    <definedName name="CSHPRI">#REF!</definedName>
    <definedName name="current1">[2]Inputs!$E$21</definedName>
    <definedName name="current10">[2]Inputs!$E$480</definedName>
    <definedName name="current11">[2]Inputs!$E$531</definedName>
    <definedName name="current12">[2]Inputs!$E$582</definedName>
    <definedName name="current13">[2]Inputs!$E$633</definedName>
    <definedName name="current14">[2]Inputs!$E$684</definedName>
    <definedName name="current15">[2]Inputs!$E$735</definedName>
    <definedName name="current2">[2]Inputs!$E$72</definedName>
    <definedName name="current3">[2]Inputs!$E$123</definedName>
    <definedName name="current4">[2]Inputs!$E$174</definedName>
    <definedName name="current5">[2]Inputs!$E$225</definedName>
    <definedName name="current6">[2]Inputs!$E$276</definedName>
    <definedName name="current7">[2]Inputs!$E$327</definedName>
    <definedName name="current8">[2]Inputs!$E$378</definedName>
    <definedName name="current9">[2]Inputs!$E$429</definedName>
    <definedName name="CustomPubSales">#REF!</definedName>
    <definedName name="Date" localSheetId="1">[16]Comps!#REF!</definedName>
    <definedName name="Date">[16]Comps!#REF!</definedName>
    <definedName name="Date_OC1">OFFSET([6]OCTrends!$B$2,0,0,COUNTA([6]OCTrends!$B$1:$B$65536)-1)</definedName>
    <definedName name="Date_OC2">OFFSET([6]OCTrends!$G$2,0,0,COUNTA([6]OCTrends!$G$1:$G$65536)-1)</definedName>
    <definedName name="Date_OC3">OFFSET([6]OCTrends!$L$2,0,0,COUNTA([6]OCTrends!$L$1:$L$65536)-1)</definedName>
    <definedName name="debtsched" localSheetId="1">[5]Inputs!#REF!</definedName>
    <definedName name="debtsched">[5]Inputs!#REF!</definedName>
    <definedName name="decconsultants">#REF!</definedName>
    <definedName name="decemberemployees">#REF!</definedName>
    <definedName name="decemployees">#REF!</definedName>
    <definedName name="default">#REF!</definedName>
    <definedName name="Default_Scenario">#REF!</definedName>
    <definedName name="Default_Table" localSheetId="1">#REF!</definedName>
    <definedName name="Default_Table">#REF!</definedName>
    <definedName name="Default_Timing">#REF!</definedName>
    <definedName name="depsched" localSheetId="1">[5]Inputs!#REF!</definedName>
    <definedName name="depsched">[5]Inputs!#REF!</definedName>
    <definedName name="DivActual">OFFSET([6]DivTrends!$C$2,0,0,COUNTA([6]DivTrends!$C$1:$C$65536)-1)</definedName>
    <definedName name="DivCovenant">OFFSET([6]DivTrends!$D$2,0,0,COUNTA([6]DivTrends!$D$1:$D$65536)-1)</definedName>
    <definedName name="DivDate">OFFSET([6]DivTrends!$B$2,0,0,COUNTA([6]DivTrends!$B$1:$B$65536)-1)</definedName>
    <definedName name="Diversity">'[7]Actual vs Covenant'!$P$41:$Q$48</definedName>
    <definedName name="DiversityScore">#REF!</definedName>
    <definedName name="earnout">#REF!</definedName>
    <definedName name="earnout___0">#REF!</definedName>
    <definedName name="EBIT" localSheetId="0">Model!#REF!</definedName>
    <definedName name="EBIT">Model!#REF!</definedName>
    <definedName name="EBITDA">#REF!</definedName>
    <definedName name="ebitda1">[2]Inputs!$P$46</definedName>
    <definedName name="ebitda10">[2]Inputs!$P$505</definedName>
    <definedName name="ebitda11">[2]Inputs!$P$556</definedName>
    <definedName name="ebitda12">[2]Inputs!$P$607</definedName>
    <definedName name="ebitda13">[2]Inputs!$P$658</definedName>
    <definedName name="ebitda14">[2]Inputs!$P$709</definedName>
    <definedName name="ebitda15">[2]Inputs!$P$760</definedName>
    <definedName name="ebitda2">[2]Inputs!$P$97</definedName>
    <definedName name="ebitda3">[2]Inputs!$P$148</definedName>
    <definedName name="ebitda4">[2]Inputs!$P$199</definedName>
    <definedName name="ebitda5">[2]Inputs!$P$250</definedName>
    <definedName name="ebitda6">[2]Inputs!$P$301</definedName>
    <definedName name="ebitda7">[2]Inputs!$P$352</definedName>
    <definedName name="ebitda8">[2]Inputs!$P$403</definedName>
    <definedName name="ebitda9">[2]Inputs!$P$454</definedName>
    <definedName name="effective_date">#REF!</definedName>
    <definedName name="ELC1_Top3">[7]TOP10!$D$3</definedName>
    <definedName name="ELC1_Top4">[7]TOP10!$D$8</definedName>
    <definedName name="ELC1FitchRatingChartData">[7]ELC1!$G$2:$H$11</definedName>
    <definedName name="ELC1FitchRatingChartSerial1">[7]ELC1!$H$2:$H$11</definedName>
    <definedName name="ELC1FitchRatingChartXScale">[7]ELC1!$G$2:$G$11</definedName>
    <definedName name="ELC1MoodyRatingChartData">[7]ELC1!$A$2:$B$14</definedName>
    <definedName name="ELC1MoodyRatingChartSerial1">[7]ELC1!$B$2:$B$14</definedName>
    <definedName name="ELC1MoodyRatingChartXScale">[7]ELC1!$A$2:$A$14</definedName>
    <definedName name="ELC1SPRatingChartData">[7]ELC1!$D$2:$E$14</definedName>
    <definedName name="ELC1SPRatingChartSerial1">[7]ELC1!$E$2:$E$14</definedName>
    <definedName name="ELC1SPRatingChartXScale">[7]ELC1!$D$2:$D$14</definedName>
    <definedName name="ELC2_Top3">[7]TOP10!$G$3</definedName>
    <definedName name="ELC2_Top4">[7]TOP10!$G$8</definedName>
    <definedName name="ELC2FitchRatingChartData">[7]ELC2!$G$2:$H$12</definedName>
    <definedName name="ELC2FitchRatingChartSerial1">[7]ELC2!$H$2:$H$12</definedName>
    <definedName name="ELC2FitchRatingChartXScale">[7]ELC2!$G$2:$G$12</definedName>
    <definedName name="ELC2MoodyRatingChartData">[7]ELC2!$A$2:$B$15</definedName>
    <definedName name="ELC2MoodyRatingChartSerial1">[7]ELC2!$B$2:$B$15</definedName>
    <definedName name="ELC2MoodyRatingChartXScale">[7]ELC2!$A$2:$A$15</definedName>
    <definedName name="ELC2SPRatingChartData">[7]ELC2!$D$2:$E$15</definedName>
    <definedName name="ELC2SPRatingChartSerial1">[7]ELC2!$E$2:$E$15</definedName>
    <definedName name="ELC2SPRatingChartXScale">[7]ELC2!$D$2:$D$15</definedName>
    <definedName name="ELC3_Top3">[7]TOP10!$J$3</definedName>
    <definedName name="ELC3_Top4">[7]TOP10!$J$8</definedName>
    <definedName name="ELC3FitchRatingChartData">[7]ELC3!$G$2:$H$14</definedName>
    <definedName name="ELC3FitchRatingChartSerial1">[7]ELC3!$H$2:$H$14</definedName>
    <definedName name="ELC3FitchRatingChartXScale">[7]ELC3!$G$2:$G$14</definedName>
    <definedName name="ELC3MoodyRatingChartData">[7]ELC3!$A$2:$B$15</definedName>
    <definedName name="ELC3MoodyRatingChartSerial1">[7]ELC3!$B$2:$B$15</definedName>
    <definedName name="ELC3MoodyRatingChartXScale">[7]ELC3!$A$2:$A$15</definedName>
    <definedName name="ELC3SPRatingChartData">[7]ELC3!$D$2:$E$16</definedName>
    <definedName name="ELC3SPRatingChartSerial1">[7]ELC3!$E$2:$E$16</definedName>
    <definedName name="ELC3SPRatingChartXScale">[7]ELC3!$D$2:$D$16</definedName>
    <definedName name="ELC4_Top3">[7]TOP10!$M$3</definedName>
    <definedName name="ELC4_Top4">[7]TOP10!$M$8</definedName>
    <definedName name="ELC4FitchRatingChartData">[7]ELC4!$G$2:$H$8</definedName>
    <definedName name="ELC4FitchRatingChartSerial1">[7]ELC4!$H$2:$H$8</definedName>
    <definedName name="ELC4FitchRatingChartXScale">[7]ELC4!$G$2:$G$8</definedName>
    <definedName name="ELC4MoodyRatingChartData">[7]ELC4!$A$2:$B$13</definedName>
    <definedName name="ELC4MoodyRatingChartSerial1">[7]ELC4!$B$2:$B$13</definedName>
    <definedName name="ELC4MoodyRatingChartXScale">[7]ELC4!$A$2:$A$13</definedName>
    <definedName name="ELC4SPRatingChartData">[7]ELC4!$D$2:$E$14</definedName>
    <definedName name="ELC4SPRatingChartSerial1">[7]ELC4!$E$2:$E$14</definedName>
    <definedName name="ELC4SPRatingChartXScale">[7]ELC4!$D$2:$D$14</definedName>
    <definedName name="ELC5_Top3">[7]TOP10!$P$3</definedName>
    <definedName name="ELC5_Top4">[7]TOP10!$P$8</definedName>
    <definedName name="ELC5FitchRatingChartData">[7]ELC5!$G$2:$H$9</definedName>
    <definedName name="ELC5FitchRatingChartSerial1">[7]ELC5!$H$2:$H$9</definedName>
    <definedName name="ELC5FitchRatingChartXScale">[7]ELC5!$G$2:$G$9</definedName>
    <definedName name="ELC5MoodyRatingChartData">[7]ELC5!$A$2:$B$14</definedName>
    <definedName name="ELC5MoodyRatingChartSerial1">[7]ELC5!$B$2:$B$14</definedName>
    <definedName name="ELC5MoodyRatingChartXScale">[7]ELC5!$A$2:$A$14</definedName>
    <definedName name="ELC5SPRatingChartData">[7]ELC5!$D$2:$E$14</definedName>
    <definedName name="ELC5SPRatingChartSerial1">[7]ELC5!$E$2:$E$14</definedName>
    <definedName name="ELC5SPRatingChartXScale">[7]ELC5!$D$2:$D$14</definedName>
    <definedName name="employees">#REF!</definedName>
    <definedName name="EndDay">[6]Selections!$R$3</definedName>
    <definedName name="EndMonth">[6]Selections!$R$2</definedName>
    <definedName name="EndYear">[6]Selections!$R$1</definedName>
    <definedName name="ePrint" localSheetId="1">[17]Consolidated!#REF!</definedName>
    <definedName name="ePrint">[17]Consolidated!#REF!</definedName>
    <definedName name="EQUITY">'[9]S&amp;U'!$E$12</definedName>
    <definedName name="equityamt">#REF!</definedName>
    <definedName name="equityamt___0">#REF!</definedName>
    <definedName name="equityper">#REF!</definedName>
    <definedName name="equityper___0">#REF!</definedName>
    <definedName name="ev.Calculation" hidden="1">-4105</definedName>
    <definedName name="ev.Initialized" hidden="1">FALSE</definedName>
    <definedName name="exe">#REF!</definedName>
    <definedName name="fianal">[18]Preliminary!$A$1:$D$65</definedName>
    <definedName name="filename">[6]Selections!$U$2</definedName>
    <definedName name="Final_Number">#REF!</definedName>
    <definedName name="FinanceRev">#REF!</definedName>
    <definedName name="FinanceRev2">#REF!</definedName>
    <definedName name="firstHourDate">#REF!</definedName>
    <definedName name="firstProject">#REF!</definedName>
    <definedName name="Flat_Swap">#REF!</definedName>
    <definedName name="FSoPacific" localSheetId="0" hidden="1">{"BS",#N/A,FALSE,"USA"}</definedName>
    <definedName name="FSoPacific" hidden="1">{"BS",#N/A,FALSE,"USA"}</definedName>
    <definedName name="Fund">[6]Selections!$A$1</definedName>
    <definedName name="Fwd_Curve">#REF!</definedName>
    <definedName name="FYEMarker">#REF!</definedName>
    <definedName name="FYEMonth">#REF!</definedName>
    <definedName name="G_A_SUMMARY">#REF!</definedName>
    <definedName name="group_quarterly">#REF!</definedName>
    <definedName name="Header1">[19]_01_05_v_Wicks_xls__01_05_v_Wic!$N$1</definedName>
    <definedName name="high1">[2]Inputs!$E$23</definedName>
    <definedName name="high10">[2]Inputs!$E$482</definedName>
    <definedName name="high11">[2]Inputs!$E$533</definedName>
    <definedName name="high12">[2]Inputs!$E$584</definedName>
    <definedName name="high13">[2]Inputs!$E$635</definedName>
    <definedName name="high14">[2]Inputs!$E$686</definedName>
    <definedName name="high15">[2]Inputs!$E$737</definedName>
    <definedName name="high2">[2]Inputs!$E$74</definedName>
    <definedName name="high3">[2]Inputs!$E$125</definedName>
    <definedName name="high4">[2]Inputs!$E$176</definedName>
    <definedName name="high5">[2]Inputs!$E$227</definedName>
    <definedName name="high6">[2]Inputs!$E$278</definedName>
    <definedName name="high7">[2]Inputs!$E$329</definedName>
    <definedName name="high8">[2]Inputs!$E$380</definedName>
    <definedName name="high9">[2]Inputs!$E$431</definedName>
    <definedName name="hl" localSheetId="1">'[20]LBO Summary'!#REF!</definedName>
    <definedName name="hl">'[20]LBO Summary'!#REF!</definedName>
    <definedName name="hn.ExtDb" hidden="1">FALSE</definedName>
    <definedName name="hn.ModelType" hidden="1">"DEAL"</definedName>
    <definedName name="hn.ModelVersion" hidden="1">1</definedName>
    <definedName name="hn.NoUpload" hidden="1">0</definedName>
    <definedName name="IC1Actual">OFFSET([6]ICTrends!$C$2,0,0,COUNTA([6]ICTrends!$C$1:$C$65536)-1)</definedName>
    <definedName name="IC1ChartTitle">[6]ICTrends!$W$1</definedName>
    <definedName name="IC1Covenant">OFFSET([6]ICTrends!$D$2,0,0,COUNTA([6]ICTrends!$D$1:$D$65536)-1)</definedName>
    <definedName name="IC1Date">OFFSET([6]ICTrends!$B$2,0,0,COUNTA([6]ICTrends!$B$1:$B$65536)-1)</definedName>
    <definedName name="IC2Actual">OFFSET([6]ICTrends!$H$2,0,0,COUNTA([6]ICTrends!$H$1:$H$65536)-1)</definedName>
    <definedName name="IC2Covenant">OFFSET([6]ICTrends!$I$2,0,0,COUNTA([6]ICTrends!$I$1:$I$65536)-1)</definedName>
    <definedName name="IC2Date">OFFSET([6]ICTrends!$G$2,0,0,COUNTA([6]ICTrends!$G$1:$G$65536)-1)</definedName>
    <definedName name="IC3Actual">OFFSET([6]ICTrends!$M$2,0,0,COUNTA([6]ICTrends!$M$1:$M$65536)-1)</definedName>
    <definedName name="IC3Covenant">OFFSET([6]ICTrends!$N$2,0,0,COUNTA([6]ICTrends!$N$1:$N$65536)-1)</definedName>
    <definedName name="IC3Date">OFFSET([6]ICTrends!$L$2,0,0,COUNTA([6]ICTrends!$L$1:$L$65536)-1)</definedName>
    <definedName name="IC4Actual">OFFSET([6]ICTrends!$R$2,0,0,COUNTA([6]ICTrends!$R$1:$R$65536)-1)</definedName>
    <definedName name="IC4Covenant">OFFSET([6]ICTrends!$S$2,0,0,COUNTA([6]ICTrends!$S$1:$S$65536)-1)</definedName>
    <definedName name="IC4Date">OFFSET([6]ICTrends!$Q$2,0,0,COUNTA([6]ICTrends!$Q$1:$Q$65536)-1)</definedName>
    <definedName name="inc">#REF!</definedName>
    <definedName name="incsyntog">#REF!</definedName>
    <definedName name="incsyntog___0">#REF!</definedName>
    <definedName name="inputs">#REF!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"IQ_EBIT_GROWTH_1"</definedName>
    <definedName name="IQ_EBIT_GROWTH_2" hidden="1">"IQ_EBIT_GROWTH_2"</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1" hidden="1">"IQ_EPS_EST_1"</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 hidden="1">"c1635"</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TDDEV_EST" hidden="1">"c422"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1" hidden="1">"LTM"</definedName>
    <definedName name="IQ_FX" hidden="1">"c451"</definedName>
    <definedName name="IQ_FY" hidden="1">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"IQ_NET_INC_GROWTH_1"</definedName>
    <definedName name="IQ_NET_INC_GROWTH_2" hidden="1">"IQ_NET_INC_GROWTH_2"</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EPS_EST" hidden="1">"IQ_PRICE_OVER_EPS_EST"</definedName>
    <definedName name="IQ_PRICE_OVER_EPS_EST_1" hidden="1">"IQ_PRICE_OVER_EPS_EST_1"</definedName>
    <definedName name="IQ_PRICE_OVER_LTM_EPS" hidden="1">"c1413"</definedName>
    <definedName name="IQ_PRICE_TARGET" hidden="1">"c82"</definedName>
    <definedName name="IQ_PRICEDATE" hidden="1">"c1069"</definedName>
    <definedName name="IQ_PRICEDATETIME" hidden="1">"IQ_PRICEDATETIME"</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EST" hidden="1">"c1126"</definedName>
    <definedName name="IQ_REVENUE_EST_1" hidden="1">"IQ_REVENUE_EST_1"</definedName>
    <definedName name="IQ_REVENUE_GROWTH_1" hidden="1">"IQ_REVENUE_GROWTH_1"</definedName>
    <definedName name="IQ_REVENUE_GROWTH_2" hidden="1">"IQ_REVENUE_GROWTH_2"</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39421.5384837963</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sColHidden" hidden="1">FALSE</definedName>
    <definedName name="IsLTMColHidden" hidden="1">FALSE</definedName>
    <definedName name="Item">#REF!</definedName>
    <definedName name="K2_WBEVMODE" hidden="1">-1</definedName>
    <definedName name="lastCol">#REF!</definedName>
    <definedName name="latest1">[2]Inputs!$E$13</definedName>
    <definedName name="latest10">[2]Inputs!$E$472</definedName>
    <definedName name="latest11">[2]Inputs!$E$523</definedName>
    <definedName name="latest12">[2]Inputs!$E$574</definedName>
    <definedName name="latest13">[2]Inputs!$E$625</definedName>
    <definedName name="latest14">[2]Inputs!$E$676</definedName>
    <definedName name="latest15">[2]Inputs!$E$727</definedName>
    <definedName name="latest2">[2]Inputs!$E$64</definedName>
    <definedName name="latest3">[2]Inputs!$E$115</definedName>
    <definedName name="latest4">[2]Inputs!$E$166</definedName>
    <definedName name="latest5">[2]Inputs!$E$217</definedName>
    <definedName name="latest6">[2]Inputs!$E$268</definedName>
    <definedName name="latest7">[2]Inputs!$E$319</definedName>
    <definedName name="latest8">[2]Inputs!$E$370</definedName>
    <definedName name="latest9">[2]Inputs!$E$421</definedName>
    <definedName name="LBO" localSheetId="1">'[9]S&amp;U'!#REF!</definedName>
    <definedName name="LBO">'[9]S&amp;U'!#REF!</definedName>
    <definedName name="left">#REF!</definedName>
    <definedName name="lett" localSheetId="1">#REF!</definedName>
    <definedName name="lett">#REF!</definedName>
    <definedName name="LIBOR">[21]Portfolio!$E$2</definedName>
    <definedName name="Libor_Assumptions">#REF!</definedName>
    <definedName name="Libor_Curve">#REF!</definedName>
    <definedName name="Libor_Down">#REF!</definedName>
    <definedName name="Libor_Down_Up">#REF!</definedName>
    <definedName name="LIBOR_Minus_1SD" localSheetId="1">[10]Revolver!#REF!</definedName>
    <definedName name="LIBOR_Minus_1SD">[10]Revolver!#REF!</definedName>
    <definedName name="Libor_Minus_2SD" localSheetId="1">[10]Revolver!#REF!</definedName>
    <definedName name="Libor_Minus_2SD">[10]Revolver!#REF!</definedName>
    <definedName name="Libor_Plus_0SD" localSheetId="1">[10]Revolver!#REF!</definedName>
    <definedName name="Libor_Plus_0SD">[10]Revolver!#REF!</definedName>
    <definedName name="Libor_Plus_1SD" localSheetId="1">[10]Revolver!#REF!</definedName>
    <definedName name="Libor_Plus_1SD">[10]Revolver!#REF!</definedName>
    <definedName name="Libor_Plus_2SD" localSheetId="1">[10]Revolver!#REF!</definedName>
    <definedName name="Libor_Plus_2SD">[10]Revolver!#REF!</definedName>
    <definedName name="Libor_Scenario">#REF!</definedName>
    <definedName name="Libor_Up">#REF!</definedName>
    <definedName name="longterm" localSheetId="1">[5]Inputs!#REF!</definedName>
    <definedName name="longterm">[5]Inputs!#REF!</definedName>
    <definedName name="LTM_DATE">#REF!</definedName>
    <definedName name="Marketable_securities" localSheetId="1">'[22]Fly-by-night - problem 5'!#REF!</definedName>
    <definedName name="Marketable_securities">'[22]Fly-by-night - problem 5'!#REF!</definedName>
    <definedName name="MaxMarkDate">[7]SaleData!$M$3</definedName>
    <definedName name="mcs03g.ReqArray" localSheetId="0">{"Price","ICTG","TS131","D","0","0","H"}</definedName>
    <definedName name="mcs03g.ReqArray">{"Price","ICTG","TS131","D","0","0","H"}</definedName>
    <definedName name="mcs03g.ReqArray___0">#N/A</definedName>
    <definedName name="mcs03g.ReqArray___12">#N/A</definedName>
    <definedName name="mcs03g.ReqArray___2">#N/A</definedName>
    <definedName name="MKVALM" localSheetId="1">#REF!</definedName>
    <definedName name="MKVALM">#REF!</definedName>
    <definedName name="MONTHLYSALES" localSheetId="1">#REF!</definedName>
    <definedName name="MONTHLYSALES">#REF!</definedName>
    <definedName name="MONTHLYSALES___0" localSheetId="1">#REF!</definedName>
    <definedName name="MONTHLYSALES___0">#REF!</definedName>
    <definedName name="moodys">#REF!</definedName>
    <definedName name="mu">'[23]LBO Summary'!$G$130</definedName>
    <definedName name="Name">[5]Info!$C$8</definedName>
    <definedName name="name1">[2]Inputs!$E$10</definedName>
    <definedName name="name10">[2]Inputs!$E$469</definedName>
    <definedName name="name11">[2]Inputs!$E$520</definedName>
    <definedName name="name12">[2]Inputs!$E$571</definedName>
    <definedName name="name13">[2]Inputs!$E$622</definedName>
    <definedName name="name14">[2]Inputs!$E$673</definedName>
    <definedName name="name15">[2]Inputs!$E$724</definedName>
    <definedName name="name2">[2]Inputs!$E$61</definedName>
    <definedName name="name3">[2]Inputs!$E$112</definedName>
    <definedName name="name4">[2]Inputs!$E$163</definedName>
    <definedName name="name5">[2]Inputs!$E$214</definedName>
    <definedName name="name6">[2]Inputs!$E$265</definedName>
    <definedName name="name7">[2]Inputs!$E$316</definedName>
    <definedName name="name8">[2]Inputs!$E$367</definedName>
    <definedName name="name9">[2]Inputs!$E$418</definedName>
    <definedName name="NDY" localSheetId="1">#REF!</definedName>
    <definedName name="NDY">#REF!</definedName>
    <definedName name="NDYWGT" localSheetId="1">#REF!</definedName>
    <definedName name="NDYWGT">#REF!</definedName>
    <definedName name="OC1Actual">OFFSET([6]OCTrends!$C$2,0,0,COUNTA([6]OCTrends!$C$1:$C$65536)-1)</definedName>
    <definedName name="OC1ChartTitle">[6]OCTrends!$W$1</definedName>
    <definedName name="OC1Covenant">OFFSET([6]OCTrends!$D$2,0,0,COUNTA([6]OCTrends!$D$1:$D$65536)-1)</definedName>
    <definedName name="OC1Date">OFFSET([6]OCTrends!$B$2,0,0,COUNTA([6]OCTrends!$B$1:$B$65536)-1)</definedName>
    <definedName name="OC2Actual">OFFSET([6]OCTrends!$H$2,0,0,COUNTA([6]OCTrends!$H$1:$H$65536)-1)</definedName>
    <definedName name="OC2Covenant">OFFSET([6]OCTrends!$I$2,0,0,COUNTA([6]OCTrends!$I$1:$I$65536)-1)</definedName>
    <definedName name="OC2Date">OFFSET([6]OCTrends!$G$2,0,0,COUNTA([6]OCTrends!$G$1:$G$65536)-1)</definedName>
    <definedName name="OC3Actual">OFFSET([6]OCTrends!$M$2,0,0,COUNTA([6]OCTrends!$M$1:$M$65536)-1)</definedName>
    <definedName name="OC3Covenant">OFFSET([6]OCTrends!$N$2,0,0,COUNTA([6]OCTrends!$N$1:$N$65536)-1)</definedName>
    <definedName name="OC3Date">OFFSET([6]OCTrends!$L$2,0,0,COUNTA([6]OCTrends!$L$1:$L$65536)-1)</definedName>
    <definedName name="OC4Actual">OFFSET([6]OCTrends!$R$2,0,0,COUNTA([6]OCTrends!$R$1:$R$65536)-1)</definedName>
    <definedName name="OC4Covenant">OFFSET([6]OCTrends!$S$2,0,0,COUNTA([6]OCTrends!$S$1:$S$65536)-1)</definedName>
    <definedName name="OC4Date">OFFSET([6]OCTrends!$Q$2,0,0,COUNTA([6]OCTrends!$Q$1:$Q$65536)-1)</definedName>
    <definedName name="Order">#REF!</definedName>
    <definedName name="Other_assets" localSheetId="1">'[22]Fly-by-night - problem 5'!#REF!</definedName>
    <definedName name="Other_assets">'[22]Fly-by-night - problem 5'!#REF!</definedName>
    <definedName name="Other_current_liabilities_Sales" localSheetId="1">'[4]Tanning Assumptions'!#REF!</definedName>
    <definedName name="Other_current_liabilities_Sales">'[4]Tanning Assumptions'!#REF!</definedName>
    <definedName name="Other_long_term_liabilities" localSheetId="1">'[4]Tanning Assumptions'!#REF!</definedName>
    <definedName name="Other_long_term_liabilities">'[4]Tanning Assumptions'!#REF!</definedName>
    <definedName name="OtherRev">#REF!</definedName>
    <definedName name="P_L" localSheetId="1">#REF!</definedName>
    <definedName name="P_L">#REF!</definedName>
    <definedName name="PCV">[6]Calcs!$B$1</definedName>
    <definedName name="Percentage">#REF!</definedName>
    <definedName name="Period">#REF!</definedName>
    <definedName name="Period1">#REF!</definedName>
    <definedName name="Period2">#REF!</definedName>
    <definedName name="Period3">#REF!</definedName>
    <definedName name="Period4">#REF!</definedName>
    <definedName name="Period5">#REF!</definedName>
    <definedName name="Period6">#REF!</definedName>
    <definedName name="Period7">#REF!</definedName>
    <definedName name="Period8">#REF!</definedName>
    <definedName name="PERSONAL_FINANCIAL" localSheetId="1">#REF!</definedName>
    <definedName name="PERSONAL_FINANCIAL">#REF!</definedName>
    <definedName name="PERSONAL_FINANCIAL___0" localSheetId="1">#REF!</definedName>
    <definedName name="PERSONAL_FINANCIAL___0">#REF!</definedName>
    <definedName name="PFLTM" localSheetId="1">'[24]VeCTOR Import'!#REF!</definedName>
    <definedName name="PFLTM">'[24]VeCTOR Import'!#REF!</definedName>
    <definedName name="pik" localSheetId="1">'[9]S&amp;U'!#REF!</definedName>
    <definedName name="pik">'[9]S&amp;U'!#REF!</definedName>
    <definedName name="portion1">[2]Inputs!$E$14</definedName>
    <definedName name="portion10">[2]Inputs!$E$473</definedName>
    <definedName name="portion11">[2]Inputs!$E$524</definedName>
    <definedName name="portion12">[2]Inputs!$E$575</definedName>
    <definedName name="portion13">[2]Inputs!$E$626</definedName>
    <definedName name="portion14">[2]Inputs!$E$677</definedName>
    <definedName name="portion15">[2]Inputs!$E$728</definedName>
    <definedName name="portion2">[2]Inputs!$E$65</definedName>
    <definedName name="portion3">[2]Inputs!$E$116</definedName>
    <definedName name="portion4">[2]Inputs!$E$167</definedName>
    <definedName name="portion5">[2]Inputs!$E$218</definedName>
    <definedName name="portion6">[2]Inputs!$E$269</definedName>
    <definedName name="portion7">[2]Inputs!$E$320</definedName>
    <definedName name="portion8">[2]Inputs!$E$371</definedName>
    <definedName name="portion9">[2]Inputs!$E$422</definedName>
    <definedName name="PP_E_Sales" localSheetId="1">'[4]Tanning Assumptions'!#REF!</definedName>
    <definedName name="PP_E_Sales">'[4]Tanning Assumptions'!#REF!</definedName>
    <definedName name="prefbamt">#REF!</definedName>
    <definedName name="prefbamt___0">#REF!</definedName>
    <definedName name="prefbper">#REF!</definedName>
    <definedName name="prefbper___0">#REF!</definedName>
    <definedName name="Preliminary">#REF!</definedName>
    <definedName name="Prepaids_Sales" localSheetId="1">'[4]Tanning Assumptions'!#REF!</definedName>
    <definedName name="Prepaids_Sales">'[4]Tanning Assumptions'!#REF!</definedName>
    <definedName name="PRICES">#REF!</definedName>
    <definedName name="PRICES___0">#REF!</definedName>
    <definedName name="_xlnm.Print_Area" localSheetId="1">Model!$B$270:$D$313</definedName>
    <definedName name="_xlnm.Print_Area">#REF!</definedName>
    <definedName name="_xlnm.Print_Titles" localSheetId="1">Model!$2:$5</definedName>
    <definedName name="_xlnm.Print_Titles">#REF!</definedName>
    <definedName name="project">[12]CONTROL!$D$8</definedName>
    <definedName name="project___0">[8]CONTROL!$D$8</definedName>
    <definedName name="ProjList">#REF!</definedName>
    <definedName name="PublicCompany" localSheetId="1">#REF!</definedName>
    <definedName name="PublicCompany">#REF!</definedName>
    <definedName name="purchase">[25]TRANSACTION!$Q$2</definedName>
    <definedName name="PURCHASE_PRICE">[26]Sheet5:D!$A$1:$H$23</definedName>
    <definedName name="qryWSO_Positions_ByFunds_CrossTab">#REF!</definedName>
    <definedName name="quarterly">#REF!</definedName>
    <definedName name="rate">#REF!</definedName>
    <definedName name="RateTable" localSheetId="1">[27]MASTER!#REF!</definedName>
    <definedName name="RateTable">[27]MASTER!#REF!</definedName>
    <definedName name="Rating">'[7]Actual vs Covenant'!$P$11:$Q$18</definedName>
    <definedName name="RatingFactors">#REF!</definedName>
    <definedName name="RATIOS">#REF!</definedName>
    <definedName name="RATIOS___0">#REF!</definedName>
    <definedName name="recovery">#REF!</definedName>
    <definedName name="refi">'[28]OBS - REFI'!$AP$5</definedName>
    <definedName name="REPORT">#REF!</definedName>
    <definedName name="REPORT___0">#REF!</definedName>
    <definedName name="ReprintRev">#REF!</definedName>
    <definedName name="ret">#REF!</definedName>
    <definedName name="rhl" localSheetId="1">'[20]LBO Summary'!#REF!</definedName>
    <definedName name="rhl">'[20]LBO Summary'!#REF!</definedName>
    <definedName name="RoyaltyRev">#REF!</definedName>
    <definedName name="rptData">#REF!</definedName>
    <definedName name="rr" localSheetId="1">'[20]LBO Summary'!#REF!</definedName>
    <definedName name="rr">'[20]LBO Summary'!#REF!</definedName>
    <definedName name="s" localSheetId="1">#REF!</definedName>
    <definedName name="s">#REF!</definedName>
    <definedName name="s.outstand" localSheetId="1">[5]Inputs!#REF!</definedName>
    <definedName name="s.outstand">[5]Inputs!#REF!</definedName>
    <definedName name="SALES" localSheetId="1">#REF!</definedName>
    <definedName name="SALES">#REF!</definedName>
    <definedName name="SALES___0" localSheetId="1">#REF!</definedName>
    <definedName name="SALES___0">#REF!</definedName>
    <definedName name="sales1">[2]Inputs!$P$29</definedName>
    <definedName name="sales10">[2]Inputs!$P$488</definedName>
    <definedName name="sales11">[2]Inputs!$P$539</definedName>
    <definedName name="sales12">[2]Inputs!$P$590</definedName>
    <definedName name="sales13">[2]Inputs!$P$641</definedName>
    <definedName name="sales14">[2]Inputs!$P$692</definedName>
    <definedName name="sales15">[2]Inputs!$P$743</definedName>
    <definedName name="sales2">[2]Inputs!$P$80</definedName>
    <definedName name="sales3">[2]Inputs!$P$131</definedName>
    <definedName name="sales4">[2]Inputs!$P$182</definedName>
    <definedName name="sales5">[2]Inputs!$P$233</definedName>
    <definedName name="sales6">[2]Inputs!$P$284</definedName>
    <definedName name="sales7">[2]Inputs!$P$335</definedName>
    <definedName name="sales8">[2]Inputs!$P$386</definedName>
    <definedName name="sales9">[2]Inputs!$P$437</definedName>
    <definedName name="scen">#REF!</definedName>
    <definedName name="Scenario_11">#REF!</definedName>
    <definedName name="Scenario_12">#REF!</definedName>
    <definedName name="Scenario_13">#REF!</definedName>
    <definedName name="Scenario_14">#REF!</definedName>
    <definedName name="Scenario_15">#REF!</definedName>
    <definedName name="Scenario_16">#REF!</definedName>
    <definedName name="Scenario_17">#REF!</definedName>
    <definedName name="Scenario_18">#REF!</definedName>
    <definedName name="Scenario_19">#REF!</definedName>
    <definedName name="Scenario_20">#REF!</definedName>
    <definedName name="Scenario_21">#REF!</definedName>
    <definedName name="Scenario_22">#REF!</definedName>
    <definedName name="Scenario_23">#REF!</definedName>
    <definedName name="Scenario_24">#REF!</definedName>
    <definedName name="Scenario_25">#REF!</definedName>
    <definedName name="Scenario_26">#REF!</definedName>
    <definedName name="Scenario_27">#REF!</definedName>
    <definedName name="Scenario_28">#REF!</definedName>
    <definedName name="Scenario_31">#REF!</definedName>
    <definedName name="Scenario_32">#REF!</definedName>
    <definedName name="Scenario_33">#REF!</definedName>
    <definedName name="Scenario_34">#REF!</definedName>
    <definedName name="Scenario_35">#REF!</definedName>
    <definedName name="Scenario_36">#REF!</definedName>
    <definedName name="Scenario_37">#REF!</definedName>
    <definedName name="Scenario_38">#REF!</definedName>
    <definedName name="Scenario_39" localSheetId="1">#REF!</definedName>
    <definedName name="Scenario_39">#REF!</definedName>
    <definedName name="Scenario_41" localSheetId="1">#REF!</definedName>
    <definedName name="Scenario_41">#REF!</definedName>
    <definedName name="Scenario_42" localSheetId="1">#REF!</definedName>
    <definedName name="Scenario_42">#REF!</definedName>
    <definedName name="Scenario_43" localSheetId="1">#REF!</definedName>
    <definedName name="Scenario_43">#REF!</definedName>
    <definedName name="Scenario_44" localSheetId="1">#REF!</definedName>
    <definedName name="Scenario_44">#REF!</definedName>
    <definedName name="Scenario_51">#REF!</definedName>
    <definedName name="Scenario_52">#REF!</definedName>
    <definedName name="Scenario_53">#REF!</definedName>
    <definedName name="Section">#REF!</definedName>
    <definedName name="SENSITIVITY">#REF!</definedName>
    <definedName name="SENSITIVITY___0">#REF!</definedName>
    <definedName name="sh.equity" localSheetId="1">[5]Inputs!#REF!</definedName>
    <definedName name="sh.equity">[5]Inputs!#REF!</definedName>
    <definedName name="sl" localSheetId="1">'[20]LBO Summary'!#REF!</definedName>
    <definedName name="sl">'[20]LBO Summary'!#REF!</definedName>
    <definedName name="snapshotdate">#REF!</definedName>
    <definedName name="sort_range">#REF!</definedName>
    <definedName name="sponsor">'[9]S&amp;U'!$J$21</definedName>
    <definedName name="Start">#REF!</definedName>
    <definedName name="Start_Date">[6]Selections!$C$1</definedName>
    <definedName name="StartDay">[6]Selections!$P$3</definedName>
    <definedName name="StartMonth">[6]Selections!$P$2</definedName>
    <definedName name="StartRefresh" localSheetId="1">'[14]Portfolio Input'!#REF!</definedName>
    <definedName name="StartRefresh">'[14]Portfolio Input'!#REF!</definedName>
    <definedName name="StartYear">[6]Selections!$P$1</definedName>
    <definedName name="Strip_Amount">#REF!</definedName>
    <definedName name="Strip_PV" localSheetId="1">#REF!</definedName>
    <definedName name="Strip_PV">#REF!</definedName>
    <definedName name="stub">#REF!</definedName>
    <definedName name="stubmonths">'[29]D&amp;A'!$C$5</definedName>
    <definedName name="sub" localSheetId="1">'[20]LBO Summary'!#REF!</definedName>
    <definedName name="sub">'[20]LBO Summary'!#REF!</definedName>
    <definedName name="subdebtamount">[15]Inputs!$J$26</definedName>
    <definedName name="subdebtdate">[15]Inputs!$J$28</definedName>
    <definedName name="Subhead1">[19]_01_05_v_Wicks_xls__01_05_v_Wic!$N$2</definedName>
    <definedName name="subHeading" localSheetId="1">#REF!</definedName>
    <definedName name="subHeading">#REF!</definedName>
    <definedName name="summary">#REF!</definedName>
    <definedName name="support">#REF!</definedName>
    <definedName name="sweep___9" localSheetId="1">[30]COVS_ACTUAL!#REF!</definedName>
    <definedName name="sweep___9">[30]COVS_ACTUAL!#REF!</definedName>
    <definedName name="target">#REF!</definedName>
    <definedName name="tax" localSheetId="1">[31]ISCF!#REF!</definedName>
    <definedName name="tax">[31]ISCF!#REF!</definedName>
    <definedName name="Taxes_Receivable_Sales" localSheetId="1">'[4]Tanning Assumptions'!#REF!</definedName>
    <definedName name="Taxes_Receivable_Sales">'[4]Tanning Assumptions'!#REF!</definedName>
    <definedName name="Test">#REF!</definedName>
    <definedName name="tgt">#REF!</definedName>
    <definedName name="ticker1">[2]Inputs!$E$11</definedName>
    <definedName name="ticker10">[2]Inputs!$E$470</definedName>
    <definedName name="ticker11">[2]Inputs!$E$521</definedName>
    <definedName name="ticker12">[2]Inputs!$E$572</definedName>
    <definedName name="ticker13">[2]Inputs!$E$623</definedName>
    <definedName name="ticker14">[2]Inputs!$E$674</definedName>
    <definedName name="ticker15">[2]Inputs!$E$725</definedName>
    <definedName name="ticker2">[2]Inputs!$E$62</definedName>
    <definedName name="ticker3">[2]Inputs!$E$113</definedName>
    <definedName name="ticker4">[2]Inputs!$E$164</definedName>
    <definedName name="ticker5">[2]Inputs!$E$215</definedName>
    <definedName name="ticker6">[2]Inputs!$E$266</definedName>
    <definedName name="ticker7">[2]Inputs!$E$317</definedName>
    <definedName name="ticker8">[2]Inputs!$E$368</definedName>
    <definedName name="ticker9">[2]Inputs!$E$419</definedName>
    <definedName name="TimeEnd">[6]Selections!$L$3</definedName>
    <definedName name="TimeStart">[6]Selections!$L$2</definedName>
    <definedName name="title">[28]SUM!$A$2</definedName>
    <definedName name="today">#REF!</definedName>
    <definedName name="top">#REF!</definedName>
    <definedName name="TopIC">'[7]Actual vs Covenant'!$P$31:$Q$38</definedName>
    <definedName name="TopOC">'[7]Actual vs Covenant'!$P$21:$Q$28</definedName>
    <definedName name="TOTAL">#REF!</definedName>
    <definedName name="TOTAL___0">#REF!</definedName>
    <definedName name="Total_Europe" localSheetId="1">#REF!</definedName>
    <definedName name="Total_Europe">#REF!</definedName>
    <definedName name="TotalRev">#REF!</definedName>
    <definedName name="TradedCash">[6]Principal!$G$5</definedName>
    <definedName name="trigger">[8]OBS!$U$5</definedName>
    <definedName name="TRYN_Top3">[7]TOP10!$S$3</definedName>
    <definedName name="TRYN_Top4">[7]TOP10!$S$8</definedName>
    <definedName name="TryonFitchRatingChartData">[7]TRYN!$G$2:$H$9</definedName>
    <definedName name="TryonFitchRatingChartSerial1">[7]TRYN!$H$2:$H$9</definedName>
    <definedName name="TryonFitchRatingChartXScale">[7]TRYN!$G$2:$G$9</definedName>
    <definedName name="TryonMoodyRatingChartData">[7]TRYN!$A$2:$B$15</definedName>
    <definedName name="TryonMoodyRatingChartSerial1">[7]TRYN!$B$2:$B$15</definedName>
    <definedName name="TryonMoodyRatingChartXScale">[7]TRYN!$A$2:$A$15</definedName>
    <definedName name="TryonSPRatingChartData">[7]TRYN!$D$2:$E$15</definedName>
    <definedName name="TryonSPRatingChartSerial1">[7]TRYN!$E$2:$E$15</definedName>
    <definedName name="TryonSPRatingChartXScale">[7]TRYN!$D$2:$D$15</definedName>
    <definedName name="units">'[9]S&amp;U'!$K$2</definedName>
    <definedName name="version">[28]SUM!$AE$2</definedName>
    <definedName name="version___0">[8]CONTROL!$D$9</definedName>
    <definedName name="WACActual">OFFSET([6]WACTrends!$C$2,0,0,COUNTA([6]WACTrends!$C$1:$C$65536)-1)</definedName>
    <definedName name="WACCovenant">OFFSET([6]WACTrends!$D$2,0,0,COUNTA([6]WACTrends!$D$1:$D$65536)-1)</definedName>
    <definedName name="WACDate">OFFSET([6]WACTrends!$B$2,0,0,COUNTA([6]WACTrends!$B$1:$B$65536)-1)</definedName>
    <definedName name="WALActual">OFFSET([6]WALTrends!$C$2,0,0,COUNTA([6]WALTrends!$C$1:$C$65536)-1)</definedName>
    <definedName name="WALCovenant">OFFSET([6]WALTrends!$D$2,0,0,COUNTA([6]WALTrends!$D$1:$D$65536)-1)</definedName>
    <definedName name="WALDate">OFFSET([6]WALTrends!$B$2,0,0,COUNTA([6]WALTrends!$B$1:$B$65536)-1)</definedName>
    <definedName name="WARFActual">OFFSET([6]WARFTrends!$C$2,0,0,COUNTA([6]WARFTrends!$C$1:$C$65536)-1)</definedName>
    <definedName name="WARFCovenant">OFFSET([6]WARFTrends!$D$2,0,0,COUNTA([6]WARFTrends!$D$1:$D$65536)-1)</definedName>
    <definedName name="WARFDate">OFFSET([6]WARFTrends!$B$2,0,0,COUNTA([6]WARFTrends!$B$1:$B$65536)-1)</definedName>
    <definedName name="WARFFitchActual">OFFSET([6]WARFFitchTrends!$C$2,0,0,COUNTA([6]WARFFitchTrends!$C$1:$C$65536)-1)</definedName>
    <definedName name="WARFFitchCovenant">OFFSET([6]WARFFitchTrends!$D$2,0,0,COUNTA([6]WARFFitchTrends!$D$1:$D$65536)-1)</definedName>
    <definedName name="WARFFitchDate">OFFSET([6]WARFFitchTrends!$B$2,0,0,COUNTA([6]WARFFitchTrends!$B$1:$B$65536)-1)</definedName>
    <definedName name="warrants">[15]Inputs!$O$13</definedName>
    <definedName name="WASActual">OFFSET([6]WASTrends!$C$2,0,0,COUNTA([6]WASTrends!$C$1:$C$65536)-1)</definedName>
    <definedName name="WASCovenant">OFFSET([6]WASTrends!$D$2,0,0,COUNTA([6]WASTrends!$D$1:$D$65536)-1)</definedName>
    <definedName name="WASDate">OFFSET([6]WASTrends!$B$2,0,0,COUNTA([6]WASTrends!$B$1:$B$65536)-1)</definedName>
    <definedName name="WBMIN" localSheetId="1">'[14]Portfolio Input'!#REF!</definedName>
    <definedName name="WBMIN">'[14]Portfolio Input'!#REF!</definedName>
    <definedName name="WHAT_IF">#REF!</definedName>
    <definedName name="WHAT_IF___0">#REF!</definedName>
    <definedName name="whec">[28]WHEC!$AX$2</definedName>
    <definedName name="wicksequity">[15]Inputs!$E$35</definedName>
    <definedName name="WORKING_CAPITAL" localSheetId="1">#REF!</definedName>
    <definedName name="WORKING_CAPITAL">#REF!</definedName>
    <definedName name="WORKING_CAPITAL___0" localSheetId="1">#REF!</definedName>
    <definedName name="WORKING_CAPITAL___0">#REF!</definedName>
    <definedName name="wrn.Alloutput." localSheetId="0"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CGIC._.PLICO._.Statutory._.Results." localSheetId="0"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IS." localSheetId="0"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rossroads." localSheetId="0" hidden="1">{#N/A,#N/A,FALSE,"RENT ROLL";#N/A,#N/A,FALSE,"CAM";#N/A,#N/A,FALSE,"TAXES";#N/A,#N/A,FALSE,"INSURANCE";#N/A,#N/A,FALSE,"HVAC";#N/A,#N/A,FALSE,"MARKETING"}</definedName>
    <definedName name="wrn.crossroads." hidden="1">{#N/A,#N/A,FALSE,"RENT ROLL";#N/A,#N/A,FALSE,"CAM";#N/A,#N/A,FALSE,"TAXES";#N/A,#N/A,FALSE,"INSURANCE";#N/A,#N/A,FALSE,"HVAC";#N/A,#N/A,FALSE,"MARKETING"}</definedName>
    <definedName name="wrn.crossroads2" localSheetId="0" hidden="1">{#N/A,#N/A,FALSE,"RENT ROLL";#N/A,#N/A,FALSE,"CAM";#N/A,#N/A,FALSE,"TAXES";#N/A,#N/A,FALSE,"INSURANCE";#N/A,#N/A,FALSE,"HVAC";#N/A,#N/A,FALSE,"MARKETING"}</definedName>
    <definedName name="wrn.crossroads2" hidden="1">{#N/A,#N/A,FALSE,"RENT ROLL";#N/A,#N/A,FALSE,"CAM";#N/A,#N/A,FALSE,"TAXES";#N/A,#N/A,FALSE,"INSURANCE";#N/A,#N/A,FALSE,"HVAC";#N/A,#N/A,FALSE,"MARKETING"}</definedName>
    <definedName name="wrn.dcf." localSheetId="0"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print._.graphs." localSheetId="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0" hidden="1">{"inputs raw data",#N/A,TRUE,"INPUT"}</definedName>
    <definedName name="wrn.print._.raw._.data._.entry." hidden="1">{"inputs raw data",#N/A,TRUE,"INPUT"}</definedName>
    <definedName name="wrn.print._.summary._.sheets." localSheetId="0" hidden="1">{"summary1",#N/A,TRUE,"Comps";"summary2",#N/A,TRUE,"Comps";"summary3",#N/A,TRUE,"Comps"}</definedName>
    <definedName name="wrn.print._.summary._.sheets." hidden="1">{"summary1",#N/A,TRUE,"Comps";"summary2",#N/A,TRUE,"Comps";"summary3",#N/A,TRUE,"Comps"}</definedName>
    <definedName name="wrn.quick." localSheetId="0"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Sales._.Activity." localSheetId="0" hidden="1">{#N/A,#N/A,FALSE,"Integration Systems"}</definedName>
    <definedName name="wrn.Sales._.Activity." hidden="1">{#N/A,#N/A,FALSE,"Integration Systems"}</definedName>
    <definedName name="wrn.Summary." localSheetId="0" hidden="1">{#N/A,#N/A,FALSE,"Deal Summary";#N/A,#N/A,FALSE,"CGIC &amp;PLICO Results";#N/A,#N/A,FALSE,"Consolidated Results";#N/A,#N/A,FALSE,"Consolidated Source_Uses&amp;Debt ";#N/A,#N/A,FALSE,"Bal_Sht";#N/A,#N/A,FALSE,"Income Statement";#N/A,#N/A,FALSE,"Accretion_Dilution";#N/A,#N/A,FALSE,"Matrix";#N/A,#N/A,FALSE,"Purchase_sensitivity"}</definedName>
    <definedName name="wrn.Summary." hidden="1">{#N/A,#N/A,FALSE,"Deal Summary";#N/A,#N/A,FALSE,"CGIC &amp;PLICO Results";#N/A,#N/A,FALSE,"Consolidated Results";#N/A,#N/A,FALSE,"Consolidated Source_Uses&amp;Debt ";#N/A,#N/A,FALSE,"Bal_Sht";#N/A,#N/A,FALSE,"Income Statement";#N/A,#N/A,FALSE,"Accretion_Dilution";#N/A,#N/A,FALSE,"Matrix";#N/A,#N/A,FALSE,"Purchase_sensitivity"}</definedName>
    <definedName name="wrn.UHCO._.Statutory._.Results." localSheetId="0" hidden="1">{#N/A,#N/A,FALSE,"UHCO Statutory Info ----&gt;";#N/A,#N/A,FALSE,"UHCO Source_Use";#N/A,#N/A,FALSE,"UHCO_Debt Paydown";#N/A,#N/A,FALSE,"Union Bankers";#N/A,#N/A,FALSE,"Penn Life";#N/A,#N/A,FALSE,"Constitution"}</definedName>
    <definedName name="wrn.UHCO._.Statutory._.Results." hidden="1">{#N/A,#N/A,FALSE,"UHCO Statutory Info ----&gt;";#N/A,#N/A,FALSE,"UHCO Source_Use";#N/A,#N/A,FALSE,"UHCO_Debt Paydown";#N/A,#N/A,FALSE,"Union Bankers";#N/A,#N/A,FALSE,"Penn Life";#N/A,#N/A,FALSE,"Constitution"}</definedName>
    <definedName name="wrn.Weekly._.Inventory._.Report." localSheetId="0" hidden="1">{#N/A,#N/A,FALSE,"Combo"}</definedName>
    <definedName name="wrn.Weekly._.Inventory._.Report." hidden="1">{#N/A,#N/A,FALSE,"Combo"}</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zip" localSheetId="1">#REF!</definedName>
    <definedName name="zip">#REF!</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44" i="15" l="1"/>
  <c r="O156" i="15"/>
  <c r="O155" i="15"/>
  <c r="O149" i="15"/>
  <c r="O144" i="15"/>
  <c r="O140" i="15"/>
  <c r="O139" i="15"/>
  <c r="O138" i="15"/>
  <c r="O137" i="15"/>
  <c r="O136" i="15"/>
  <c r="O135" i="15"/>
  <c r="O134" i="15"/>
  <c r="O133" i="15"/>
  <c r="O132" i="15"/>
  <c r="O131" i="15"/>
  <c r="O130" i="15"/>
  <c r="O129" i="15"/>
  <c r="O128" i="15"/>
  <c r="O127" i="15"/>
  <c r="O126" i="15"/>
  <c r="O125" i="15"/>
  <c r="O124" i="15"/>
  <c r="O123" i="15"/>
  <c r="O122" i="15"/>
  <c r="O121" i="15"/>
  <c r="O120" i="15"/>
  <c r="O119" i="15"/>
  <c r="O116" i="15"/>
  <c r="O107" i="15"/>
  <c r="O106" i="15"/>
  <c r="O105" i="15"/>
  <c r="O104" i="15"/>
  <c r="O103" i="15"/>
  <c r="O3" i="15"/>
  <c r="C7" i="20"/>
  <c r="C40" i="20"/>
  <c r="I3" i="20"/>
  <c r="C16" i="20"/>
  <c r="C23" i="20"/>
  <c r="C21" i="20"/>
  <c r="C19" i="20"/>
  <c r="C31" i="20" s="1"/>
  <c r="C17" i="20"/>
  <c r="C15" i="20"/>
  <c r="C14" i="20"/>
  <c r="C13" i="20"/>
  <c r="C12" i="20"/>
  <c r="C10" i="20"/>
  <c r="C9" i="20"/>
  <c r="C39" i="20"/>
  <c r="C37" i="20"/>
  <c r="C35" i="20"/>
  <c r="D30" i="20"/>
  <c r="D35" i="20" s="1"/>
  <c r="C30" i="20"/>
  <c r="I9" i="20"/>
  <c r="I12" i="20" s="1"/>
  <c r="I6" i="20"/>
  <c r="O63" i="19"/>
  <c r="O62" i="19"/>
  <c r="O61" i="19"/>
  <c r="O60" i="19"/>
  <c r="O58" i="19"/>
  <c r="O40" i="19"/>
  <c r="O39" i="19"/>
  <c r="O38" i="19"/>
  <c r="O34" i="19"/>
  <c r="O33" i="19"/>
  <c r="O30" i="19"/>
  <c r="O29" i="19"/>
  <c r="O27" i="19"/>
  <c r="O26" i="19"/>
  <c r="O24" i="19"/>
  <c r="O20" i="19"/>
  <c r="O17" i="19"/>
  <c r="O13" i="19"/>
  <c r="O3" i="19"/>
  <c r="BF82" i="19"/>
  <c r="BF81" i="19"/>
  <c r="BF80" i="19"/>
  <c r="BF79" i="19"/>
  <c r="BF78" i="19"/>
  <c r="BF77" i="19"/>
  <c r="BF64" i="19"/>
  <c r="BF83" i="19" s="1"/>
  <c r="BF53" i="19"/>
  <c r="BF52" i="19"/>
  <c r="BF51" i="19"/>
  <c r="BF45" i="19"/>
  <c r="BF41" i="19"/>
  <c r="BF54" i="19" s="1"/>
  <c r="BF23" i="19"/>
  <c r="BF16" i="19"/>
  <c r="L149" i="15"/>
  <c r="N116" i="15"/>
  <c r="BC77" i="15"/>
  <c r="BB77" i="15"/>
  <c r="AZ77" i="15"/>
  <c r="C84" i="20"/>
  <c r="C83" i="20"/>
  <c r="C65" i="20"/>
  <c r="C63" i="20"/>
  <c r="I54" i="20" s="1"/>
  <c r="C61" i="20"/>
  <c r="C60" i="20"/>
  <c r="C59" i="20"/>
  <c r="C58" i="20"/>
  <c r="C57" i="20"/>
  <c r="C56" i="20"/>
  <c r="C54" i="20"/>
  <c r="C53" i="20"/>
  <c r="C51" i="20"/>
  <c r="C81" i="20"/>
  <c r="D74" i="20"/>
  <c r="D79" i="20" s="1"/>
  <c r="C74" i="20"/>
  <c r="C79" i="20" s="1"/>
  <c r="I53" i="20"/>
  <c r="I50" i="20"/>
  <c r="BE82" i="19"/>
  <c r="BD82" i="19"/>
  <c r="BC82" i="19"/>
  <c r="BB82" i="19"/>
  <c r="BA82" i="19"/>
  <c r="AX82" i="19"/>
  <c r="AW82" i="19"/>
  <c r="AS82" i="19"/>
  <c r="AO82" i="19"/>
  <c r="AN82" i="19"/>
  <c r="AM82" i="19"/>
  <c r="AL82" i="19"/>
  <c r="AK82" i="19"/>
  <c r="AJ82" i="19"/>
  <c r="AI82" i="19"/>
  <c r="AH82" i="19"/>
  <c r="AG82" i="19"/>
  <c r="AF82" i="19"/>
  <c r="AE82" i="19"/>
  <c r="AD82" i="19"/>
  <c r="BE81" i="19"/>
  <c r="BC81" i="19"/>
  <c r="BB81" i="19"/>
  <c r="BA81" i="19"/>
  <c r="AX81" i="19"/>
  <c r="AW81" i="19"/>
  <c r="AS81" i="19"/>
  <c r="AO81" i="19"/>
  <c r="AK81" i="19"/>
  <c r="AG81" i="19"/>
  <c r="BE80" i="19"/>
  <c r="BD80" i="19"/>
  <c r="BC80" i="19"/>
  <c r="BB80" i="19"/>
  <c r="BA80" i="19"/>
  <c r="AX80" i="19"/>
  <c r="AW80" i="19"/>
  <c r="AS80" i="19"/>
  <c r="AO80" i="19"/>
  <c r="AM80" i="19"/>
  <c r="AL80" i="19"/>
  <c r="AK80" i="19"/>
  <c r="AJ80" i="19"/>
  <c r="AI80" i="19"/>
  <c r="AH80" i="19"/>
  <c r="AG80" i="19"/>
  <c r="AF80" i="19"/>
  <c r="AE80" i="19"/>
  <c r="AD80" i="19"/>
  <c r="BE79" i="19"/>
  <c r="BC79" i="19"/>
  <c r="BB79" i="19"/>
  <c r="BA79" i="19"/>
  <c r="AX79" i="19"/>
  <c r="AW79" i="19"/>
  <c r="AS79" i="19"/>
  <c r="AO79" i="19"/>
  <c r="AK79" i="19"/>
  <c r="AG79" i="19"/>
  <c r="BE78" i="19"/>
  <c r="BD78" i="19"/>
  <c r="BC78" i="19"/>
  <c r="BB78" i="19"/>
  <c r="BA78" i="19"/>
  <c r="AZ78" i="19"/>
  <c r="AY78" i="19"/>
  <c r="AX78" i="19"/>
  <c r="AW78" i="19"/>
  <c r="AU78" i="19"/>
  <c r="AT78" i="19"/>
  <c r="AS78" i="19"/>
  <c r="AQ78" i="19"/>
  <c r="AP78" i="19"/>
  <c r="AO78" i="19"/>
  <c r="AK78" i="19"/>
  <c r="AG78" i="19"/>
  <c r="BE77" i="19"/>
  <c r="BC77" i="19"/>
  <c r="BB77" i="19"/>
  <c r="BA77" i="19"/>
  <c r="AX77" i="19"/>
  <c r="AW77" i="19"/>
  <c r="AS77" i="19"/>
  <c r="AO77" i="19"/>
  <c r="AK77" i="19"/>
  <c r="AG77" i="19"/>
  <c r="AC78" i="19"/>
  <c r="AC79" i="19"/>
  <c r="AC80" i="19"/>
  <c r="AC81" i="19"/>
  <c r="AC82" i="19"/>
  <c r="AC77" i="19"/>
  <c r="N82" i="19"/>
  <c r="K82" i="19"/>
  <c r="J82" i="19"/>
  <c r="I82" i="19"/>
  <c r="H82" i="19"/>
  <c r="N81" i="19"/>
  <c r="M81" i="19"/>
  <c r="L81" i="19"/>
  <c r="K81" i="19"/>
  <c r="J81" i="19"/>
  <c r="I81" i="19"/>
  <c r="H81" i="19"/>
  <c r="N80" i="19"/>
  <c r="K80" i="19"/>
  <c r="J80" i="19"/>
  <c r="I80" i="19"/>
  <c r="H80" i="19"/>
  <c r="N79" i="19"/>
  <c r="K79" i="19"/>
  <c r="J79" i="19"/>
  <c r="I79" i="19"/>
  <c r="H79" i="19"/>
  <c r="N78" i="19"/>
  <c r="M78" i="19"/>
  <c r="L78" i="19"/>
  <c r="K78" i="19"/>
  <c r="J78" i="19"/>
  <c r="I78" i="19"/>
  <c r="H78" i="19"/>
  <c r="N77" i="19"/>
  <c r="K77" i="19"/>
  <c r="J77" i="19"/>
  <c r="I77" i="19"/>
  <c r="H77" i="19"/>
  <c r="G78" i="19"/>
  <c r="G79" i="19"/>
  <c r="G80" i="19"/>
  <c r="G81" i="19"/>
  <c r="G82" i="19"/>
  <c r="G77" i="19"/>
  <c r="F123" i="19"/>
  <c r="G123" i="19"/>
  <c r="BE53" i="19"/>
  <c r="BC53" i="19"/>
  <c r="BB53" i="19"/>
  <c r="BA53" i="19"/>
  <c r="AY53" i="19"/>
  <c r="AX53" i="19"/>
  <c r="AW53" i="19"/>
  <c r="AU53" i="19"/>
  <c r="AT53" i="19"/>
  <c r="AS53" i="19"/>
  <c r="AQ53" i="19"/>
  <c r="AP53" i="19"/>
  <c r="AO53" i="19"/>
  <c r="AM53" i="19"/>
  <c r="AL53" i="19"/>
  <c r="AK53" i="19"/>
  <c r="AI53" i="19"/>
  <c r="AH53" i="19"/>
  <c r="AG53" i="19"/>
  <c r="AE53" i="19"/>
  <c r="AD53" i="19"/>
  <c r="AC53" i="19"/>
  <c r="AA53" i="19"/>
  <c r="Z53" i="19"/>
  <c r="Y53" i="19"/>
  <c r="W53" i="19"/>
  <c r="V53" i="19"/>
  <c r="BE52" i="19"/>
  <c r="BC52" i="19"/>
  <c r="BB52" i="19"/>
  <c r="BA52" i="19"/>
  <c r="AY52" i="19"/>
  <c r="AX52" i="19"/>
  <c r="AW52" i="19"/>
  <c r="AU52" i="19"/>
  <c r="AT52" i="19"/>
  <c r="AS52" i="19"/>
  <c r="AQ52" i="19"/>
  <c r="AP52" i="19"/>
  <c r="AO52" i="19"/>
  <c r="AM52" i="19"/>
  <c r="AL52" i="19"/>
  <c r="AK52" i="19"/>
  <c r="AI52" i="19"/>
  <c r="AH52" i="19"/>
  <c r="AG52" i="19"/>
  <c r="AE52" i="19"/>
  <c r="AD52" i="19"/>
  <c r="AC52" i="19"/>
  <c r="AA52" i="19"/>
  <c r="Z52" i="19"/>
  <c r="Y52" i="19"/>
  <c r="W52" i="19"/>
  <c r="V52" i="19"/>
  <c r="BE51" i="19"/>
  <c r="BC51" i="19"/>
  <c r="BB51" i="19"/>
  <c r="BA51" i="19"/>
  <c r="AY51" i="19"/>
  <c r="AX51" i="19"/>
  <c r="AW51" i="19"/>
  <c r="AU51" i="19"/>
  <c r="AT51" i="19"/>
  <c r="AS51" i="19"/>
  <c r="AO51" i="19"/>
  <c r="AK51" i="19"/>
  <c r="AI51" i="19"/>
  <c r="AH51" i="19"/>
  <c r="AG51" i="19"/>
  <c r="AE51" i="19"/>
  <c r="AD51" i="19"/>
  <c r="AC51" i="19"/>
  <c r="AA51" i="19"/>
  <c r="Z51" i="19"/>
  <c r="Y51" i="19"/>
  <c r="W51" i="19"/>
  <c r="V51" i="19"/>
  <c r="U53" i="19"/>
  <c r="U52" i="19"/>
  <c r="U51" i="19"/>
  <c r="N53" i="19"/>
  <c r="M53" i="19"/>
  <c r="L53" i="19"/>
  <c r="K53" i="19"/>
  <c r="J53" i="19"/>
  <c r="I53" i="19"/>
  <c r="H53" i="19"/>
  <c r="G53" i="19"/>
  <c r="F53" i="19"/>
  <c r="E53" i="19"/>
  <c r="N52" i="19"/>
  <c r="K52" i="19"/>
  <c r="J52" i="19"/>
  <c r="I52" i="19"/>
  <c r="H52" i="19"/>
  <c r="G52" i="19"/>
  <c r="F52" i="19"/>
  <c r="E52" i="19"/>
  <c r="N51" i="19"/>
  <c r="M51" i="19"/>
  <c r="L51" i="19"/>
  <c r="K51" i="19"/>
  <c r="J51" i="19"/>
  <c r="I51" i="19"/>
  <c r="H51" i="19"/>
  <c r="G51" i="19"/>
  <c r="F51" i="19"/>
  <c r="E51" i="19"/>
  <c r="D52" i="19"/>
  <c r="D53" i="19"/>
  <c r="D51" i="19"/>
  <c r="BD34" i="19"/>
  <c r="BD33" i="19"/>
  <c r="BE64" i="19"/>
  <c r="BE83" i="19" s="1"/>
  <c r="BE41" i="19"/>
  <c r="BE23" i="19"/>
  <c r="BE16" i="19"/>
  <c r="BE272" i="15"/>
  <c r="BE243" i="15"/>
  <c r="BE244" i="15"/>
  <c r="I47" i="20" s="1"/>
  <c r="BE116" i="15"/>
  <c r="BE103" i="15"/>
  <c r="BE76" i="15"/>
  <c r="BE72" i="15"/>
  <c r="BE67" i="15"/>
  <c r="BE35" i="15" s="1"/>
  <c r="BE62" i="15"/>
  <c r="BE16" i="15"/>
  <c r="BE27" i="15" s="1"/>
  <c r="BE295" i="15"/>
  <c r="BE294" i="15"/>
  <c r="BE289" i="15"/>
  <c r="BE270" i="15"/>
  <c r="BE269" i="15"/>
  <c r="BE268" i="15"/>
  <c r="BE225" i="15"/>
  <c r="BE224" i="15"/>
  <c r="BE221" i="15"/>
  <c r="BE220" i="15"/>
  <c r="BE219" i="15"/>
  <c r="BE217" i="15"/>
  <c r="BE216" i="15"/>
  <c r="BE215" i="15"/>
  <c r="BE212" i="15"/>
  <c r="BE211" i="15"/>
  <c r="BE210" i="15"/>
  <c r="BE204" i="15"/>
  <c r="BE199" i="15"/>
  <c r="BE197" i="15"/>
  <c r="BE194" i="15"/>
  <c r="BE183" i="15"/>
  <c r="BE141" i="15"/>
  <c r="BE113" i="15"/>
  <c r="BE112" i="15"/>
  <c r="BE111" i="15"/>
  <c r="BE108" i="15"/>
  <c r="BE61" i="15"/>
  <c r="BE51" i="15"/>
  <c r="BE50" i="15"/>
  <c r="BE48" i="15"/>
  <c r="BE47" i="15"/>
  <c r="BE38" i="15"/>
  <c r="BE60" i="15" s="1"/>
  <c r="BE88" i="15" s="1"/>
  <c r="BE101" i="15" s="1"/>
  <c r="BE160" i="15" s="1"/>
  <c r="BE267" i="15" s="1"/>
  <c r="BE174" i="15" s="1"/>
  <c r="BE247" i="15" s="1"/>
  <c r="BE36" i="15"/>
  <c r="BE31" i="15"/>
  <c r="BE26" i="15"/>
  <c r="BE14" i="15"/>
  <c r="BE8" i="15"/>
  <c r="BE198" i="15" s="1"/>
  <c r="C140" i="20"/>
  <c r="C128" i="20"/>
  <c r="C125" i="20"/>
  <c r="D118" i="20"/>
  <c r="D123" i="20" s="1"/>
  <c r="C118" i="20"/>
  <c r="C123" i="20" s="1"/>
  <c r="I98" i="20"/>
  <c r="I95" i="20"/>
  <c r="BD63" i="19"/>
  <c r="BD62" i="19"/>
  <c r="BD61" i="19"/>
  <c r="BD60" i="19"/>
  <c r="BD79" i="19" s="1"/>
  <c r="BD58" i="19"/>
  <c r="BD40" i="19"/>
  <c r="BD39" i="19"/>
  <c r="BD38" i="19"/>
  <c r="BD30" i="19"/>
  <c r="BD29" i="19"/>
  <c r="BD27" i="19"/>
  <c r="BD26" i="19"/>
  <c r="BD24" i="19"/>
  <c r="BD20" i="19"/>
  <c r="BD23" i="19" s="1"/>
  <c r="BD17" i="19"/>
  <c r="BD13" i="19"/>
  <c r="N10" i="19"/>
  <c r="N9" i="19"/>
  <c r="BD16" i="19"/>
  <c r="N64" i="19"/>
  <c r="N83" i="19" s="1"/>
  <c r="N41" i="19"/>
  <c r="N37" i="19"/>
  <c r="N23" i="19"/>
  <c r="N16" i="19"/>
  <c r="G245" i="15"/>
  <c r="BC245" i="15"/>
  <c r="BA245" i="15"/>
  <c r="AY245" i="15"/>
  <c r="AX245" i="15"/>
  <c r="AW245" i="15"/>
  <c r="BD243" i="15"/>
  <c r="N243" i="15" s="1"/>
  <c r="BD244" i="15"/>
  <c r="BD245" i="15" s="1"/>
  <c r="BD156" i="15"/>
  <c r="BD155" i="15"/>
  <c r="BD144" i="15"/>
  <c r="BD140" i="15"/>
  <c r="BD139" i="15"/>
  <c r="BD138" i="15"/>
  <c r="BD137" i="15"/>
  <c r="BD136" i="15"/>
  <c r="BD134" i="15"/>
  <c r="BD133" i="15"/>
  <c r="C104" i="20" s="1"/>
  <c r="BD132" i="15"/>
  <c r="C103" i="20" s="1"/>
  <c r="BD131" i="15"/>
  <c r="C102" i="20" s="1"/>
  <c r="BD130" i="15"/>
  <c r="C101" i="20" s="1"/>
  <c r="BD129" i="15"/>
  <c r="C99" i="20" s="1"/>
  <c r="BD128" i="15"/>
  <c r="BD127" i="15"/>
  <c r="BD126" i="15"/>
  <c r="BD125" i="15"/>
  <c r="BD124" i="15"/>
  <c r="BD123" i="15"/>
  <c r="BD122" i="15"/>
  <c r="BD121" i="15"/>
  <c r="BD120" i="15"/>
  <c r="BD119" i="15"/>
  <c r="N141" i="15"/>
  <c r="BD104" i="15"/>
  <c r="BD105" i="15"/>
  <c r="BD106" i="15"/>
  <c r="BD107" i="15"/>
  <c r="N103" i="15"/>
  <c r="BD103" i="15" s="1"/>
  <c r="N74" i="15"/>
  <c r="N220" i="15" s="1"/>
  <c r="N72" i="15"/>
  <c r="M74" i="15"/>
  <c r="M220" i="15" s="1"/>
  <c r="M72" i="15"/>
  <c r="N76" i="15"/>
  <c r="N222" i="15" s="1"/>
  <c r="N69" i="15"/>
  <c r="N67" i="15"/>
  <c r="N62" i="15"/>
  <c r="BD49" i="15"/>
  <c r="O49" i="15" s="1"/>
  <c r="BD46" i="15"/>
  <c r="O46" i="15" s="1"/>
  <c r="BD22" i="15"/>
  <c r="O22" i="15" s="1"/>
  <c r="BD20" i="15"/>
  <c r="O20" i="15" s="1"/>
  <c r="BD19" i="15"/>
  <c r="O19" i="15" s="1"/>
  <c r="BD13" i="15"/>
  <c r="O13" i="15" s="1"/>
  <c r="N18" i="15"/>
  <c r="BD18" i="15" s="1"/>
  <c r="O18" i="15" s="1"/>
  <c r="N16" i="15"/>
  <c r="N27" i="15" s="1"/>
  <c r="BD7" i="15"/>
  <c r="O7" i="15" s="1"/>
  <c r="BD272" i="15"/>
  <c r="BD269" i="15"/>
  <c r="BD268" i="15"/>
  <c r="BD199" i="15"/>
  <c r="BD194" i="15"/>
  <c r="BD38" i="15"/>
  <c r="BD60" i="15" s="1"/>
  <c r="BD88" i="15" s="1"/>
  <c r="BD101" i="15" s="1"/>
  <c r="BD160" i="15" s="1"/>
  <c r="BD267" i="15" s="1"/>
  <c r="BD174" i="15" s="1"/>
  <c r="N272" i="15"/>
  <c r="N269" i="15"/>
  <c r="N268" i="15"/>
  <c r="N225" i="15"/>
  <c r="N224" i="15"/>
  <c r="N221" i="15"/>
  <c r="N219" i="15"/>
  <c r="N217" i="15"/>
  <c r="N215" i="15"/>
  <c r="N212" i="15"/>
  <c r="N211" i="15"/>
  <c r="N210" i="15"/>
  <c r="N204" i="15"/>
  <c r="N199" i="15"/>
  <c r="N197" i="15"/>
  <c r="N194" i="15"/>
  <c r="N183" i="15"/>
  <c r="N160" i="15"/>
  <c r="N267" i="15" s="1"/>
  <c r="N174" i="15" s="1"/>
  <c r="N247" i="15" s="1"/>
  <c r="N149" i="15"/>
  <c r="N113" i="15"/>
  <c r="N112" i="15"/>
  <c r="N111" i="15"/>
  <c r="N108" i="15"/>
  <c r="N101" i="15"/>
  <c r="N96" i="15"/>
  <c r="N180" i="15" s="1"/>
  <c r="N95" i="15"/>
  <c r="N179" i="15" s="1"/>
  <c r="N92" i="15"/>
  <c r="N176" i="15" s="1"/>
  <c r="N89" i="15"/>
  <c r="N175" i="15" s="1"/>
  <c r="N88" i="15"/>
  <c r="N61" i="15"/>
  <c r="N60" i="15"/>
  <c r="N56" i="15"/>
  <c r="N93" i="15" s="1"/>
  <c r="N51" i="15"/>
  <c r="N50" i="15"/>
  <c r="N94" i="15" s="1"/>
  <c r="N177" i="15" s="1"/>
  <c r="N48" i="15"/>
  <c r="N206" i="15" s="1"/>
  <c r="N47" i="15"/>
  <c r="N205" i="15" s="1"/>
  <c r="N38" i="15"/>
  <c r="N36" i="15"/>
  <c r="N31" i="15"/>
  <c r="N26" i="15"/>
  <c r="N14" i="15"/>
  <c r="N15" i="15" s="1"/>
  <c r="N8" i="15"/>
  <c r="N198" i="15" s="1"/>
  <c r="I140" i="20"/>
  <c r="I142" i="20" s="1"/>
  <c r="I139" i="20"/>
  <c r="C172" i="20"/>
  <c r="C169" i="20"/>
  <c r="D162" i="20"/>
  <c r="D167" i="20" s="1"/>
  <c r="C162" i="20"/>
  <c r="C167" i="20" s="1"/>
  <c r="I136" i="20"/>
  <c r="D170" i="20" s="1"/>
  <c r="C153" i="20"/>
  <c r="C151" i="20"/>
  <c r="I143" i="20" s="1"/>
  <c r="C149" i="20"/>
  <c r="C148" i="20"/>
  <c r="C147" i="20"/>
  <c r="C146" i="20"/>
  <c r="C145" i="20"/>
  <c r="C143" i="20"/>
  <c r="C142" i="20"/>
  <c r="BC64" i="19"/>
  <c r="BC41" i="19"/>
  <c r="BC23" i="19"/>
  <c r="BC16" i="19"/>
  <c r="BC116" i="15"/>
  <c r="BC103" i="15"/>
  <c r="BC16" i="15"/>
  <c r="BC27" i="15" s="1"/>
  <c r="BC274" i="15"/>
  <c r="BC272" i="15"/>
  <c r="BC270" i="15"/>
  <c r="BC269" i="15"/>
  <c r="BC268" i="15"/>
  <c r="BC204" i="15"/>
  <c r="BC199" i="15"/>
  <c r="BC197" i="15"/>
  <c r="BC194" i="15"/>
  <c r="BC183" i="15"/>
  <c r="BC256" i="15" s="1"/>
  <c r="BC298" i="15" s="1"/>
  <c r="BC141" i="15"/>
  <c r="BC113" i="15"/>
  <c r="BC112" i="15"/>
  <c r="BC111" i="15"/>
  <c r="BC108" i="15"/>
  <c r="BC61" i="15"/>
  <c r="BC208" i="15" s="1"/>
  <c r="BC51" i="15"/>
  <c r="BC50" i="15"/>
  <c r="BC48" i="15"/>
  <c r="BC276" i="15" s="1"/>
  <c r="BC47" i="15"/>
  <c r="BC205" i="15" s="1"/>
  <c r="BC38" i="15"/>
  <c r="BC60" i="15" s="1"/>
  <c r="BC88" i="15" s="1"/>
  <c r="BC101" i="15" s="1"/>
  <c r="BC160" i="15" s="1"/>
  <c r="BC267" i="15" s="1"/>
  <c r="BC174" i="15" s="1"/>
  <c r="BC247" i="15" s="1"/>
  <c r="BC31" i="15"/>
  <c r="BC26" i="15"/>
  <c r="BC14" i="15"/>
  <c r="BC8" i="15"/>
  <c r="BC198" i="15" s="1"/>
  <c r="I189" i="20"/>
  <c r="I191" i="20" s="1"/>
  <c r="C218" i="20"/>
  <c r="C215" i="20"/>
  <c r="C199" i="20"/>
  <c r="C197" i="20"/>
  <c r="C210" i="20" s="1"/>
  <c r="C195" i="20"/>
  <c r="C194" i="20"/>
  <c r="C193" i="20"/>
  <c r="C192" i="20"/>
  <c r="C191" i="20"/>
  <c r="C189" i="20"/>
  <c r="C188" i="20"/>
  <c r="C186" i="20"/>
  <c r="BB64" i="19"/>
  <c r="BB41" i="19"/>
  <c r="BB23" i="19"/>
  <c r="BB16" i="19"/>
  <c r="BB244" i="15"/>
  <c r="BB245" i="15" s="1"/>
  <c r="BB103" i="15"/>
  <c r="BB116" i="15"/>
  <c r="BB147" i="15" s="1"/>
  <c r="BB149" i="15"/>
  <c r="BB150" i="15" s="1"/>
  <c r="BB141" i="15"/>
  <c r="BB74" i="15"/>
  <c r="BB73" i="15"/>
  <c r="BB68" i="15"/>
  <c r="BB65" i="15"/>
  <c r="BB64" i="15"/>
  <c r="BB63" i="15"/>
  <c r="BB40" i="15"/>
  <c r="BB16" i="15"/>
  <c r="BB272" i="15"/>
  <c r="BB270" i="15"/>
  <c r="BB269" i="15"/>
  <c r="BB268" i="15"/>
  <c r="BB274" i="15"/>
  <c r="BB204" i="15"/>
  <c r="BB199" i="15"/>
  <c r="BB197" i="15"/>
  <c r="BB194" i="15"/>
  <c r="BB183" i="15"/>
  <c r="BB113" i="15"/>
  <c r="BB112" i="15"/>
  <c r="BB111" i="15"/>
  <c r="BB108" i="15"/>
  <c r="BB80" i="15"/>
  <c r="BB79" i="15"/>
  <c r="BB75" i="15"/>
  <c r="BB70" i="15"/>
  <c r="BB69" i="15"/>
  <c r="BB61" i="15"/>
  <c r="BB278" i="15" s="1"/>
  <c r="BB51" i="15"/>
  <c r="BB50" i="15"/>
  <c r="BB48" i="15"/>
  <c r="BB47" i="15"/>
  <c r="BB275" i="15" s="1"/>
  <c r="BB38" i="15"/>
  <c r="BB60" i="15" s="1"/>
  <c r="BB88" i="15" s="1"/>
  <c r="BB101" i="15" s="1"/>
  <c r="BB160" i="15" s="1"/>
  <c r="BB267" i="15" s="1"/>
  <c r="BB174" i="15" s="1"/>
  <c r="BB247" i="15" s="1"/>
  <c r="BB31" i="15"/>
  <c r="BB26" i="15"/>
  <c r="BB14" i="15"/>
  <c r="BB8" i="15"/>
  <c r="BB198" i="15" s="1"/>
  <c r="C241" i="20"/>
  <c r="C240" i="20"/>
  <c r="C239" i="20"/>
  <c r="C245" i="20"/>
  <c r="C243" i="20"/>
  <c r="I238" i="20" s="1"/>
  <c r="C238" i="20"/>
  <c r="C237" i="20"/>
  <c r="C235" i="20"/>
  <c r="C234" i="20"/>
  <c r="C232" i="20"/>
  <c r="I228" i="20"/>
  <c r="D264" i="20" s="1"/>
  <c r="C266" i="20"/>
  <c r="I237" i="20"/>
  <c r="BA64" i="19"/>
  <c r="BA41" i="19"/>
  <c r="BA23" i="19"/>
  <c r="BA16" i="19"/>
  <c r="BA290" i="15"/>
  <c r="BA116" i="15"/>
  <c r="BA147" i="15" s="1"/>
  <c r="BA141" i="15"/>
  <c r="AZ134" i="15"/>
  <c r="AZ133" i="15"/>
  <c r="BA103" i="15"/>
  <c r="BA62" i="15"/>
  <c r="BA76" i="15"/>
  <c r="BB76" i="15" s="1"/>
  <c r="BA72" i="15"/>
  <c r="BB72" i="15" s="1"/>
  <c r="BA67" i="15"/>
  <c r="BA35" i="15" s="1"/>
  <c r="BA16" i="15"/>
  <c r="BA27" i="15" s="1"/>
  <c r="BA272" i="15"/>
  <c r="BA269" i="15"/>
  <c r="BA268" i="15"/>
  <c r="BA225" i="15"/>
  <c r="BA224" i="15"/>
  <c r="BA221" i="15"/>
  <c r="BA220" i="15"/>
  <c r="BA219" i="15"/>
  <c r="BA217" i="15"/>
  <c r="BA216" i="15"/>
  <c r="BA215" i="15"/>
  <c r="BA212" i="15"/>
  <c r="BA211" i="15"/>
  <c r="BA210" i="15"/>
  <c r="BA204" i="15"/>
  <c r="BA199" i="15"/>
  <c r="BA197" i="15"/>
  <c r="BA194" i="15"/>
  <c r="BA183" i="15"/>
  <c r="BA256" i="15" s="1"/>
  <c r="BA298" i="15" s="1"/>
  <c r="BA113" i="15"/>
  <c r="BA112" i="15"/>
  <c r="BA111" i="15"/>
  <c r="BA108" i="15"/>
  <c r="BA61" i="15"/>
  <c r="BA51" i="15"/>
  <c r="BA50" i="15"/>
  <c r="BA48" i="15"/>
  <c r="BA276" i="15" s="1"/>
  <c r="BA47" i="15"/>
  <c r="BA275" i="15" s="1"/>
  <c r="BA38" i="15"/>
  <c r="BA60" i="15" s="1"/>
  <c r="BA88" i="15" s="1"/>
  <c r="BA101" i="15" s="1"/>
  <c r="BA160" i="15" s="1"/>
  <c r="BA267" i="15" s="1"/>
  <c r="BA174" i="15" s="1"/>
  <c r="BA247" i="15" s="1"/>
  <c r="BA36" i="15"/>
  <c r="BA31" i="15"/>
  <c r="BA26" i="15"/>
  <c r="BA14" i="15"/>
  <c r="BA8" i="15"/>
  <c r="BA198" i="15" s="1"/>
  <c r="C308" i="20"/>
  <c r="I279" i="20"/>
  <c r="AZ63" i="19"/>
  <c r="AZ62" i="19"/>
  <c r="AZ61" i="19"/>
  <c r="AZ60" i="19"/>
  <c r="AZ58" i="19"/>
  <c r="AZ40" i="19"/>
  <c r="AZ39" i="19"/>
  <c r="AZ38" i="19"/>
  <c r="AZ34" i="19"/>
  <c r="AZ33" i="19"/>
  <c r="AZ30" i="19"/>
  <c r="AZ29" i="19"/>
  <c r="AZ27" i="19"/>
  <c r="AZ26" i="19"/>
  <c r="AZ24" i="19"/>
  <c r="AZ21" i="19"/>
  <c r="AZ20" i="19"/>
  <c r="AZ17" i="19"/>
  <c r="AZ13" i="19"/>
  <c r="AZ16" i="19" s="1"/>
  <c r="AZ10" i="19"/>
  <c r="AZ9" i="19"/>
  <c r="M64" i="19"/>
  <c r="M41" i="19"/>
  <c r="M37" i="19"/>
  <c r="M23" i="19"/>
  <c r="M16" i="19"/>
  <c r="S298" i="15"/>
  <c r="R298" i="15"/>
  <c r="Q298" i="15"/>
  <c r="AZ243" i="15"/>
  <c r="I183" i="20" s="1"/>
  <c r="AZ244" i="15"/>
  <c r="M244" i="15" s="1"/>
  <c r="M245" i="15" s="1"/>
  <c r="AZ156" i="15"/>
  <c r="C287" i="20" s="1"/>
  <c r="AZ155" i="15"/>
  <c r="AZ144" i="15"/>
  <c r="AZ183" i="15" s="1"/>
  <c r="AZ140" i="15"/>
  <c r="AZ139" i="15"/>
  <c r="AZ138" i="15"/>
  <c r="AZ137" i="15"/>
  <c r="AZ136" i="15"/>
  <c r="AZ132" i="15"/>
  <c r="AZ131" i="15"/>
  <c r="C282" i="20" s="1"/>
  <c r="AZ130" i="15"/>
  <c r="AZ129" i="15"/>
  <c r="C279" i="20" s="1"/>
  <c r="AZ128" i="15"/>
  <c r="AZ127" i="15"/>
  <c r="AZ126" i="15"/>
  <c r="AZ125" i="15"/>
  <c r="AZ124" i="15"/>
  <c r="AZ123" i="15"/>
  <c r="AZ122" i="15"/>
  <c r="AZ121" i="15"/>
  <c r="AZ120" i="15"/>
  <c r="AZ119" i="15"/>
  <c r="AZ107" i="15"/>
  <c r="AZ106" i="15"/>
  <c r="AZ105" i="15"/>
  <c r="AZ104" i="15"/>
  <c r="AZ49" i="15"/>
  <c r="AZ95" i="15" s="1"/>
  <c r="AZ46" i="15"/>
  <c r="AZ92" i="15" s="1"/>
  <c r="AZ176" i="15" s="1"/>
  <c r="AZ22" i="15"/>
  <c r="AZ20" i="15"/>
  <c r="AZ19" i="15"/>
  <c r="AZ18" i="15"/>
  <c r="AZ13" i="15"/>
  <c r="AZ7" i="15"/>
  <c r="BA89" i="15" s="1"/>
  <c r="BA175" i="15" s="1"/>
  <c r="AZ272" i="15"/>
  <c r="AZ269" i="15"/>
  <c r="AZ268" i="15"/>
  <c r="AZ199" i="15"/>
  <c r="AZ194" i="15"/>
  <c r="AZ38" i="15"/>
  <c r="AZ60" i="15" s="1"/>
  <c r="AZ88" i="15" s="1"/>
  <c r="AZ101" i="15" s="1"/>
  <c r="AZ160" i="15" s="1"/>
  <c r="AZ267" i="15" s="1"/>
  <c r="AZ174" i="15" s="1"/>
  <c r="AZ247" i="15" s="1"/>
  <c r="M116" i="15"/>
  <c r="M147" i="15" s="1"/>
  <c r="M111" i="15"/>
  <c r="M103" i="15"/>
  <c r="AZ103" i="15" s="1"/>
  <c r="M76" i="15"/>
  <c r="M67" i="15"/>
  <c r="M214" i="15" s="1"/>
  <c r="M62" i="15"/>
  <c r="M209" i="15" s="1"/>
  <c r="M16" i="15"/>
  <c r="M27" i="15" s="1"/>
  <c r="M272" i="15"/>
  <c r="M269" i="15"/>
  <c r="M268" i="15"/>
  <c r="M225" i="15"/>
  <c r="M224" i="15"/>
  <c r="M221" i="15"/>
  <c r="M217" i="15"/>
  <c r="M212" i="15"/>
  <c r="M210" i="15"/>
  <c r="M204" i="15"/>
  <c r="M199" i="15"/>
  <c r="M197" i="15"/>
  <c r="M194" i="15"/>
  <c r="M160" i="15"/>
  <c r="M267" i="15" s="1"/>
  <c r="M174" i="15" s="1"/>
  <c r="M247" i="15" s="1"/>
  <c r="M149" i="15"/>
  <c r="M183" i="15"/>
  <c r="M141" i="15"/>
  <c r="M113" i="15"/>
  <c r="M112" i="15"/>
  <c r="M108" i="15"/>
  <c r="M101" i="15"/>
  <c r="M95" i="15"/>
  <c r="M179" i="15" s="1"/>
  <c r="M89" i="15"/>
  <c r="M175" i="15" s="1"/>
  <c r="M88" i="15"/>
  <c r="M219" i="15"/>
  <c r="M211" i="15"/>
  <c r="M60" i="15"/>
  <c r="M51" i="15"/>
  <c r="M56" i="15"/>
  <c r="M38" i="15"/>
  <c r="M36" i="15"/>
  <c r="M26" i="15"/>
  <c r="M31" i="15"/>
  <c r="M29" i="15"/>
  <c r="M14" i="15"/>
  <c r="M8" i="15"/>
  <c r="M198" i="15" s="1"/>
  <c r="O77" i="15" l="1"/>
  <c r="BD77" i="15"/>
  <c r="D14" i="20"/>
  <c r="I4" i="20"/>
  <c r="D23" i="20" s="1"/>
  <c r="N142" i="15"/>
  <c r="I48" i="20"/>
  <c r="O243" i="15"/>
  <c r="D9" i="20"/>
  <c r="BF37" i="19"/>
  <c r="I10" i="20"/>
  <c r="I11" i="20" s="1"/>
  <c r="I13" i="20" s="1"/>
  <c r="D7" i="20"/>
  <c r="D16" i="20"/>
  <c r="D38" i="20"/>
  <c r="D40" i="20"/>
  <c r="D10" i="20"/>
  <c r="D37" i="20"/>
  <c r="D31" i="20"/>
  <c r="D32" i="20" s="1"/>
  <c r="C32" i="20"/>
  <c r="D17" i="20"/>
  <c r="C18" i="20"/>
  <c r="C24" i="20" s="1"/>
  <c r="D39" i="20"/>
  <c r="C129" i="20"/>
  <c r="D12" i="20"/>
  <c r="D15" i="20"/>
  <c r="D21" i="20"/>
  <c r="D36" i="20"/>
  <c r="C41" i="20"/>
  <c r="D19" i="20"/>
  <c r="D13" i="20"/>
  <c r="BF47" i="19"/>
  <c r="BF46" i="19"/>
  <c r="BF48" i="19" s="1"/>
  <c r="BF69" i="19"/>
  <c r="BD77" i="19"/>
  <c r="BD81" i="19"/>
  <c r="BF70" i="19"/>
  <c r="BF71" i="19"/>
  <c r="BF65" i="19"/>
  <c r="BF68" i="19"/>
  <c r="BF72" i="19"/>
  <c r="BF42" i="19"/>
  <c r="BF73" i="19"/>
  <c r="BD116" i="15"/>
  <c r="C62" i="20"/>
  <c r="C68" i="20" s="1"/>
  <c r="BE281" i="15"/>
  <c r="BE282" i="15"/>
  <c r="BE285" i="15"/>
  <c r="BE142" i="15"/>
  <c r="C96" i="20"/>
  <c r="BE256" i="15"/>
  <c r="BE298" i="15" s="1"/>
  <c r="BE286" i="15"/>
  <c r="BE287" i="15"/>
  <c r="BE37" i="19"/>
  <c r="BE274" i="15"/>
  <c r="BE290" i="15"/>
  <c r="BE280" i="15"/>
  <c r="BE291" i="15"/>
  <c r="C85" i="20"/>
  <c r="C75" i="20"/>
  <c r="I55" i="20"/>
  <c r="BC73" i="19"/>
  <c r="BC72" i="19"/>
  <c r="BB73" i="19"/>
  <c r="BB72" i="19"/>
  <c r="BA69" i="19"/>
  <c r="BA68" i="19"/>
  <c r="N73" i="19"/>
  <c r="N69" i="19"/>
  <c r="N72" i="19"/>
  <c r="BA73" i="19"/>
  <c r="BA72" i="19"/>
  <c r="BE73" i="19"/>
  <c r="BE72" i="19"/>
  <c r="M73" i="19"/>
  <c r="M72" i="19"/>
  <c r="M69" i="19"/>
  <c r="BE71" i="19"/>
  <c r="BE70" i="19"/>
  <c r="BE69" i="19"/>
  <c r="BE68" i="19"/>
  <c r="N71" i="19"/>
  <c r="N70" i="19"/>
  <c r="N68" i="19"/>
  <c r="BC71" i="19"/>
  <c r="BC70" i="19"/>
  <c r="BC69" i="19"/>
  <c r="BC68" i="19"/>
  <c r="BB71" i="19"/>
  <c r="BB70" i="19"/>
  <c r="BB69" i="19"/>
  <c r="BB68" i="19"/>
  <c r="BA71" i="19"/>
  <c r="BA70" i="19"/>
  <c r="M71" i="19"/>
  <c r="M70" i="19"/>
  <c r="M68" i="19"/>
  <c r="G124" i="19"/>
  <c r="BE54" i="19"/>
  <c r="BD52" i="19"/>
  <c r="BD53" i="19"/>
  <c r="BD51" i="19"/>
  <c r="N45" i="19"/>
  <c r="N54" i="19"/>
  <c r="BC45" i="19"/>
  <c r="BB45" i="19"/>
  <c r="BE47" i="19"/>
  <c r="BE46" i="19"/>
  <c r="BE45" i="19"/>
  <c r="N42" i="19"/>
  <c r="N47" i="19"/>
  <c r="N46" i="19"/>
  <c r="BC42" i="19"/>
  <c r="BC47" i="19"/>
  <c r="BC46" i="19"/>
  <c r="BB47" i="19"/>
  <c r="BB46" i="19"/>
  <c r="BA42" i="19"/>
  <c r="BA47" i="19"/>
  <c r="BA46" i="19"/>
  <c r="BA45" i="19"/>
  <c r="M47" i="19"/>
  <c r="M46" i="19"/>
  <c r="M45" i="19"/>
  <c r="BE65" i="19"/>
  <c r="BE42" i="19"/>
  <c r="BE245" i="15"/>
  <c r="D65" i="20"/>
  <c r="BE208" i="15"/>
  <c r="BC74" i="15"/>
  <c r="BC73" i="15"/>
  <c r="BB215" i="15"/>
  <c r="BC65" i="15"/>
  <c r="BD65" i="15" s="1"/>
  <c r="BB211" i="15"/>
  <c r="BC63" i="15"/>
  <c r="BB36" i="15"/>
  <c r="BC80" i="15"/>
  <c r="BC79" i="15"/>
  <c r="BC75" i="15"/>
  <c r="BC70" i="15"/>
  <c r="BD70" i="15" s="1"/>
  <c r="BC69" i="15"/>
  <c r="BC76" i="15"/>
  <c r="BE147" i="15"/>
  <c r="BE30" i="15" s="1"/>
  <c r="BE292" i="15"/>
  <c r="BE222" i="15"/>
  <c r="BE284" i="15"/>
  <c r="BE214" i="15"/>
  <c r="BE279" i="15"/>
  <c r="BE209" i="15"/>
  <c r="BE275" i="15"/>
  <c r="BE205" i="15"/>
  <c r="C109" i="20"/>
  <c r="O183" i="15"/>
  <c r="C107" i="20"/>
  <c r="C105" i="20"/>
  <c r="BB27" i="15"/>
  <c r="BE276" i="15"/>
  <c r="BE206" i="15"/>
  <c r="BE278" i="15"/>
  <c r="BE66" i="15"/>
  <c r="BE17" i="15"/>
  <c r="BE15" i="15"/>
  <c r="C98" i="20"/>
  <c r="BD95" i="15"/>
  <c r="BE95" i="15"/>
  <c r="BE92" i="15"/>
  <c r="C67" i="20" s="1"/>
  <c r="D67" i="20" s="1"/>
  <c r="BE29" i="15"/>
  <c r="BE89" i="15"/>
  <c r="BD247" i="15"/>
  <c r="BD37" i="19"/>
  <c r="N65" i="19"/>
  <c r="BD41" i="19"/>
  <c r="BD64" i="19"/>
  <c r="BD31" i="15"/>
  <c r="BD89" i="15"/>
  <c r="BD175" i="15" s="1"/>
  <c r="BD248" i="15" s="1"/>
  <c r="BD147" i="15"/>
  <c r="N147" i="15"/>
  <c r="N29" i="15"/>
  <c r="BD74" i="15"/>
  <c r="N244" i="15"/>
  <c r="N245" i="15" s="1"/>
  <c r="AZ245" i="15"/>
  <c r="I93" i="20"/>
  <c r="BD73" i="15"/>
  <c r="BB142" i="15"/>
  <c r="BD112" i="15"/>
  <c r="N214" i="15"/>
  <c r="N216" i="15"/>
  <c r="BD16" i="15"/>
  <c r="O16" i="15" s="1"/>
  <c r="BD79" i="15"/>
  <c r="BD26" i="15"/>
  <c r="BD274" i="15"/>
  <c r="BD108" i="15"/>
  <c r="N57" i="15"/>
  <c r="BD141" i="15"/>
  <c r="I137" i="20"/>
  <c r="BD270" i="15"/>
  <c r="BD271" i="15" s="1"/>
  <c r="BC142" i="15"/>
  <c r="N150" i="15"/>
  <c r="BD48" i="15"/>
  <c r="BD111" i="15"/>
  <c r="BD8" i="15"/>
  <c r="BD198" i="15" s="1"/>
  <c r="BD92" i="15"/>
  <c r="BD197" i="15"/>
  <c r="BC147" i="15"/>
  <c r="BC230" i="15" s="1"/>
  <c r="BD47" i="15"/>
  <c r="BD50" i="15"/>
  <c r="O50" i="15" s="1"/>
  <c r="BD113" i="15"/>
  <c r="N35" i="15"/>
  <c r="N58" i="15"/>
  <c r="BD14" i="15"/>
  <c r="BD51" i="15"/>
  <c r="BD204" i="15"/>
  <c r="BB256" i="15"/>
  <c r="BB298" i="15" s="1"/>
  <c r="N17" i="15"/>
  <c r="N28" i="15" s="1"/>
  <c r="N66" i="15"/>
  <c r="N213" i="15" s="1"/>
  <c r="BD61" i="15"/>
  <c r="N178" i="15"/>
  <c r="D168" i="20"/>
  <c r="D148" i="20"/>
  <c r="N109" i="15"/>
  <c r="N208" i="15"/>
  <c r="N275" i="15"/>
  <c r="D149" i="20"/>
  <c r="N209" i="15"/>
  <c r="N276" i="15"/>
  <c r="N98" i="15"/>
  <c r="N181" i="15" s="1"/>
  <c r="D145" i="20"/>
  <c r="BC17" i="15"/>
  <c r="D146" i="20"/>
  <c r="D147" i="20"/>
  <c r="D153" i="20"/>
  <c r="BB285" i="15"/>
  <c r="BC40" i="15"/>
  <c r="BC68" i="15"/>
  <c r="BC64" i="15"/>
  <c r="BC72" i="15"/>
  <c r="BC37" i="19"/>
  <c r="D169" i="20"/>
  <c r="BB62" i="15"/>
  <c r="C174" i="20"/>
  <c r="D143" i="20"/>
  <c r="D142" i="20"/>
  <c r="C150" i="20"/>
  <c r="C156" i="20" s="1"/>
  <c r="I144" i="20"/>
  <c r="D140" i="20"/>
  <c r="C164" i="20"/>
  <c r="D171" i="20"/>
  <c r="D151" i="20"/>
  <c r="D172" i="20"/>
  <c r="I192" i="20"/>
  <c r="I193" i="20" s="1"/>
  <c r="D245" i="20"/>
  <c r="D239" i="20"/>
  <c r="D263" i="20"/>
  <c r="BC65" i="19"/>
  <c r="AZ23" i="19"/>
  <c r="BC290" i="15"/>
  <c r="BC217" i="15"/>
  <c r="BC287" i="15"/>
  <c r="BC291" i="15"/>
  <c r="BC221" i="15"/>
  <c r="BC294" i="15"/>
  <c r="D234" i="20"/>
  <c r="D241" i="20"/>
  <c r="BB89" i="15"/>
  <c r="BB175" i="15" s="1"/>
  <c r="BB248" i="15" s="1"/>
  <c r="D243" i="20"/>
  <c r="I182" i="20"/>
  <c r="D218" i="20" s="1"/>
  <c r="BC15" i="15"/>
  <c r="BC29" i="15"/>
  <c r="BC206" i="15"/>
  <c r="BC278" i="15"/>
  <c r="BC92" i="15"/>
  <c r="D235" i="20"/>
  <c r="BB92" i="15"/>
  <c r="BB163" i="15" s="1"/>
  <c r="BB67" i="15"/>
  <c r="BB37" i="19"/>
  <c r="BC95" i="15"/>
  <c r="C196" i="20"/>
  <c r="C202" i="20" s="1"/>
  <c r="BC275" i="15"/>
  <c r="D237" i="20"/>
  <c r="D260" i="20"/>
  <c r="D240" i="20"/>
  <c r="D238" i="20"/>
  <c r="D261" i="20"/>
  <c r="BC289" i="15"/>
  <c r="D232" i="20"/>
  <c r="D262" i="20"/>
  <c r="BC89" i="15"/>
  <c r="BC175" i="15" s="1"/>
  <c r="BC248" i="15" s="1"/>
  <c r="C220" i="20"/>
  <c r="C211" i="20"/>
  <c r="BB65" i="19"/>
  <c r="BB42" i="19"/>
  <c r="BB291" i="15"/>
  <c r="BB290" i="15"/>
  <c r="BB286" i="15"/>
  <c r="BB287" i="15"/>
  <c r="BB294" i="15"/>
  <c r="BB280" i="15"/>
  <c r="BB295" i="15"/>
  <c r="BB281" i="15"/>
  <c r="BB146" i="15"/>
  <c r="BB158" i="15" s="1"/>
  <c r="BB157" i="15"/>
  <c r="BB153" i="15"/>
  <c r="BB205" i="15"/>
  <c r="BB222" i="15"/>
  <c r="BB292" i="15"/>
  <c r="BB230" i="15"/>
  <c r="BB184" i="15"/>
  <c r="BB257" i="15" s="1"/>
  <c r="BB30" i="15"/>
  <c r="BB289" i="15"/>
  <c r="BB219" i="15"/>
  <c r="BB276" i="15"/>
  <c r="BB206" i="15"/>
  <c r="M150" i="15"/>
  <c r="M153" i="15" s="1"/>
  <c r="M300" i="15"/>
  <c r="BB29" i="15"/>
  <c r="BB17" i="15"/>
  <c r="BB15" i="15"/>
  <c r="BB282" i="15"/>
  <c r="BB212" i="15"/>
  <c r="BB95" i="15"/>
  <c r="BB208" i="15"/>
  <c r="BB216" i="15"/>
  <c r="BB224" i="15"/>
  <c r="BB217" i="15"/>
  <c r="BB225" i="15"/>
  <c r="BB210" i="15"/>
  <c r="BB220" i="15"/>
  <c r="BB221" i="15"/>
  <c r="BA142" i="15"/>
  <c r="M17" i="15"/>
  <c r="M21" i="15" s="1"/>
  <c r="BA37" i="19"/>
  <c r="I239" i="20"/>
  <c r="C256" i="20"/>
  <c r="C257" i="20" s="1"/>
  <c r="C242" i="20"/>
  <c r="C248" i="20" s="1"/>
  <c r="BA65" i="19"/>
  <c r="BA287" i="15"/>
  <c r="BA17" i="15"/>
  <c r="BA292" i="15"/>
  <c r="BA284" i="15"/>
  <c r="BA295" i="15"/>
  <c r="AZ113" i="15"/>
  <c r="I270" i="20"/>
  <c r="BA278" i="15"/>
  <c r="C278" i="20"/>
  <c r="BA95" i="15"/>
  <c r="BA179" i="15" s="1"/>
  <c r="BA209" i="15"/>
  <c r="BA279" i="15"/>
  <c r="BA66" i="15"/>
  <c r="BA213" i="15" s="1"/>
  <c r="BA15" i="15"/>
  <c r="BA109" i="15"/>
  <c r="C281" i="20"/>
  <c r="C285" i="20"/>
  <c r="C298" i="20" s="1"/>
  <c r="C283" i="20"/>
  <c r="BA30" i="15"/>
  <c r="BA146" i="15"/>
  <c r="BA230" i="15"/>
  <c r="BA157" i="15"/>
  <c r="BA184" i="15"/>
  <c r="BA257" i="15" s="1"/>
  <c r="AZ29" i="15"/>
  <c r="AZ108" i="15"/>
  <c r="C276" i="20"/>
  <c r="AZ116" i="15"/>
  <c r="BA29" i="15"/>
  <c r="BA274" i="15"/>
  <c r="BA291" i="15"/>
  <c r="BA205" i="15"/>
  <c r="BA214" i="15"/>
  <c r="BA222" i="15"/>
  <c r="BA206" i="15"/>
  <c r="BA285" i="15"/>
  <c r="C289" i="20"/>
  <c r="BA208" i="15"/>
  <c r="BA286" i="15"/>
  <c r="BA294" i="15"/>
  <c r="BA280" i="15"/>
  <c r="AZ37" i="19"/>
  <c r="BA92" i="15"/>
  <c r="BA270" i="15"/>
  <c r="BA281" i="15"/>
  <c r="BA289" i="15"/>
  <c r="BA282" i="15"/>
  <c r="AZ64" i="19"/>
  <c r="AZ41" i="19"/>
  <c r="M65" i="19"/>
  <c r="M42" i="19"/>
  <c r="AZ141" i="15"/>
  <c r="AZ112" i="15"/>
  <c r="AZ256" i="15"/>
  <c r="AZ298" i="15" s="1"/>
  <c r="M256" i="15"/>
  <c r="M298" i="15" s="1"/>
  <c r="AZ111" i="15"/>
  <c r="AZ204" i="15"/>
  <c r="AZ274" i="15"/>
  <c r="AZ270" i="15"/>
  <c r="AZ31" i="15"/>
  <c r="AZ26" i="15"/>
  <c r="AZ179" i="15"/>
  <c r="AZ149" i="15"/>
  <c r="AZ300" i="15" s="1"/>
  <c r="AZ50" i="15"/>
  <c r="AZ14" i="15"/>
  <c r="AZ51" i="15"/>
  <c r="AZ61" i="15"/>
  <c r="AZ197" i="15"/>
  <c r="AZ89" i="15"/>
  <c r="AZ175" i="15" s="1"/>
  <c r="AZ48" i="15"/>
  <c r="M109" i="15"/>
  <c r="M142" i="15"/>
  <c r="M222" i="15"/>
  <c r="M58" i="15"/>
  <c r="M93" i="15"/>
  <c r="M230" i="15"/>
  <c r="M30" i="15"/>
  <c r="M157" i="15"/>
  <c r="M184" i="15"/>
  <c r="M257" i="15" s="1"/>
  <c r="M302" i="15" s="1"/>
  <c r="M146" i="15"/>
  <c r="M35" i="15"/>
  <c r="M92" i="15"/>
  <c r="M176" i="15" s="1"/>
  <c r="M61" i="15"/>
  <c r="M215" i="15"/>
  <c r="M48" i="15"/>
  <c r="M216" i="15"/>
  <c r="M98" i="15"/>
  <c r="M181" i="15" s="1"/>
  <c r="M15" i="15"/>
  <c r="M96" i="15"/>
  <c r="M180" i="15" s="1"/>
  <c r="M50" i="15"/>
  <c r="M94" i="15" s="1"/>
  <c r="M177" i="15" s="1"/>
  <c r="C347" i="20"/>
  <c r="C329" i="20"/>
  <c r="C327" i="20"/>
  <c r="I322" i="20" s="1"/>
  <c r="C325" i="20"/>
  <c r="C324" i="20"/>
  <c r="C323" i="20"/>
  <c r="C321" i="20"/>
  <c r="C320" i="20"/>
  <c r="C318" i="20"/>
  <c r="I321" i="20"/>
  <c r="I312" i="20"/>
  <c r="O23" i="19"/>
  <c r="O16" i="19"/>
  <c r="AY64" i="19"/>
  <c r="AY41" i="19"/>
  <c r="BC54" i="19" s="1"/>
  <c r="AY23" i="19"/>
  <c r="AY16" i="19"/>
  <c r="AX16" i="19"/>
  <c r="O194" i="15"/>
  <c r="AY274" i="15"/>
  <c r="AY268" i="15"/>
  <c r="AY269" i="15"/>
  <c r="AY270" i="15"/>
  <c r="AY272" i="15"/>
  <c r="AY204" i="15"/>
  <c r="AY194" i="15"/>
  <c r="AY197" i="15"/>
  <c r="AY199" i="15"/>
  <c r="AY183" i="15"/>
  <c r="AY256" i="15" s="1"/>
  <c r="AY298" i="15" s="1"/>
  <c r="AY141" i="15"/>
  <c r="AY116" i="15"/>
  <c r="AY111" i="15"/>
  <c r="AY112" i="15"/>
  <c r="AY113" i="15"/>
  <c r="AY108" i="15"/>
  <c r="AY103" i="15"/>
  <c r="AY61" i="15"/>
  <c r="AY208" i="15" s="1"/>
  <c r="AX61" i="15"/>
  <c r="AY50" i="15"/>
  <c r="AY51" i="15"/>
  <c r="AY47" i="15"/>
  <c r="AY205" i="15" s="1"/>
  <c r="AY48" i="15"/>
  <c r="AY206" i="15" s="1"/>
  <c r="AX48" i="15"/>
  <c r="AX47" i="15"/>
  <c r="AY38" i="15"/>
  <c r="AY60" i="15" s="1"/>
  <c r="AY88" i="15" s="1"/>
  <c r="AY101" i="15" s="1"/>
  <c r="AY160" i="15" s="1"/>
  <c r="AY267" i="15" s="1"/>
  <c r="AY174" i="15" s="1"/>
  <c r="AY31" i="15"/>
  <c r="AY26" i="15"/>
  <c r="AX26" i="15"/>
  <c r="AY16" i="15"/>
  <c r="AY14" i="15"/>
  <c r="AY15" i="15" s="1"/>
  <c r="AY8" i="15"/>
  <c r="AY198" i="15" s="1"/>
  <c r="C390" i="20"/>
  <c r="C393" i="20" s="1"/>
  <c r="AX74" i="15"/>
  <c r="C372" i="20"/>
  <c r="C370" i="20"/>
  <c r="C368" i="20"/>
  <c r="C367" i="20"/>
  <c r="C366" i="20"/>
  <c r="C364" i="20"/>
  <c r="C363" i="20"/>
  <c r="C361" i="20"/>
  <c r="I355" i="20"/>
  <c r="D391" i="20" s="1"/>
  <c r="I364" i="20"/>
  <c r="AX64" i="19"/>
  <c r="AX41" i="19"/>
  <c r="BB54" i="19" s="1"/>
  <c r="AX23" i="19"/>
  <c r="O60" i="15"/>
  <c r="O88" i="15" s="1"/>
  <c r="O101" i="15" s="1"/>
  <c r="O160" i="15" s="1"/>
  <c r="O267" i="15" s="1"/>
  <c r="O174" i="15" s="1"/>
  <c r="O247" i="15" s="1"/>
  <c r="BC271" i="15" l="1"/>
  <c r="BE271" i="15"/>
  <c r="D18" i="20"/>
  <c r="F18" i="20" s="1"/>
  <c r="C20" i="20"/>
  <c r="C26" i="20" s="1"/>
  <c r="E18" i="20"/>
  <c r="C42" i="20"/>
  <c r="D41" i="20"/>
  <c r="BE74" i="19"/>
  <c r="BE48" i="19"/>
  <c r="BF74" i="19"/>
  <c r="BB83" i="19"/>
  <c r="M74" i="19"/>
  <c r="BD83" i="19"/>
  <c r="BC74" i="19"/>
  <c r="BC83" i="19"/>
  <c r="BD142" i="15"/>
  <c r="I56" i="20"/>
  <c r="BC210" i="15"/>
  <c r="BC292" i="15"/>
  <c r="O70" i="15"/>
  <c r="BC212" i="15"/>
  <c r="O65" i="15"/>
  <c r="BC286" i="15"/>
  <c r="BD75" i="15"/>
  <c r="O75" i="15"/>
  <c r="BC219" i="15"/>
  <c r="O73" i="15"/>
  <c r="BC216" i="15"/>
  <c r="O79" i="15"/>
  <c r="O74" i="15"/>
  <c r="BD69" i="15"/>
  <c r="BD216" i="15" s="1"/>
  <c r="BC225" i="15"/>
  <c r="BC224" i="15"/>
  <c r="BC220" i="15"/>
  <c r="BE157" i="15"/>
  <c r="D54" i="20"/>
  <c r="D61" i="20"/>
  <c r="D82" i="20"/>
  <c r="D57" i="20"/>
  <c r="BC39" i="15"/>
  <c r="D84" i="20"/>
  <c r="D81" i="20"/>
  <c r="D58" i="20"/>
  <c r="BC295" i="15"/>
  <c r="BC222" i="15"/>
  <c r="BD63" i="15"/>
  <c r="BD210" i="15" s="1"/>
  <c r="D80" i="20"/>
  <c r="D60" i="20"/>
  <c r="BE146" i="15"/>
  <c r="BE162" i="15" s="1"/>
  <c r="D83" i="20"/>
  <c r="D53" i="20"/>
  <c r="D63" i="20"/>
  <c r="BD80" i="15"/>
  <c r="BD295" i="15" s="1"/>
  <c r="BD76" i="15"/>
  <c r="BE230" i="15"/>
  <c r="D51" i="20"/>
  <c r="D56" i="20"/>
  <c r="BC282" i="15"/>
  <c r="BC280" i="15"/>
  <c r="BD289" i="15"/>
  <c r="BE184" i="15"/>
  <c r="BE257" i="15" s="1"/>
  <c r="I57" i="20"/>
  <c r="D59" i="20"/>
  <c r="D75" i="20"/>
  <c r="D76" i="20" s="1"/>
  <c r="C76" i="20"/>
  <c r="E62" i="20"/>
  <c r="C64" i="20"/>
  <c r="C70" i="20" s="1"/>
  <c r="C86" i="20"/>
  <c r="N74" i="19"/>
  <c r="N48" i="19"/>
  <c r="BB74" i="19"/>
  <c r="BA74" i="19"/>
  <c r="BB48" i="19"/>
  <c r="BC48" i="19"/>
  <c r="BD71" i="19"/>
  <c r="BD70" i="19"/>
  <c r="BD69" i="19"/>
  <c r="BD68" i="19"/>
  <c r="BD73" i="19"/>
  <c r="BD72" i="19"/>
  <c r="AZ69" i="19"/>
  <c r="AZ68" i="19"/>
  <c r="AZ72" i="19"/>
  <c r="AZ73" i="19"/>
  <c r="AZ71" i="19"/>
  <c r="AZ70" i="19"/>
  <c r="AY71" i="19"/>
  <c r="AY70" i="19"/>
  <c r="AY69" i="19"/>
  <c r="AY68" i="19"/>
  <c r="AY72" i="19"/>
  <c r="AY73" i="19"/>
  <c r="AX71" i="19"/>
  <c r="AX70" i="19"/>
  <c r="AX69" i="19"/>
  <c r="AX68" i="19"/>
  <c r="AX73" i="19"/>
  <c r="AX72" i="19"/>
  <c r="BD54" i="19"/>
  <c r="BA48" i="19"/>
  <c r="M48" i="19"/>
  <c r="BD42" i="19"/>
  <c r="BD47" i="19"/>
  <c r="BD46" i="19"/>
  <c r="BD45" i="19"/>
  <c r="BD48" i="19" s="1"/>
  <c r="AZ42" i="19"/>
  <c r="AZ47" i="19"/>
  <c r="AZ46" i="19"/>
  <c r="AZ45" i="19"/>
  <c r="AY42" i="19"/>
  <c r="AY47" i="19"/>
  <c r="AY46" i="19"/>
  <c r="AY45" i="19"/>
  <c r="AY48" i="19" s="1"/>
  <c r="AX42" i="19"/>
  <c r="AX47" i="19"/>
  <c r="AX46" i="19"/>
  <c r="AX45" i="19"/>
  <c r="C106" i="20"/>
  <c r="C119" i="20"/>
  <c r="C120" i="20" s="1"/>
  <c r="I99" i="20"/>
  <c r="I100" i="20" s="1"/>
  <c r="BD212" i="15"/>
  <c r="BD224" i="15"/>
  <c r="BD294" i="15"/>
  <c r="BD287" i="15"/>
  <c r="BD68" i="15"/>
  <c r="O68" i="15" s="1"/>
  <c r="BD72" i="15"/>
  <c r="O72" i="15" s="1"/>
  <c r="N153" i="15"/>
  <c r="BD179" i="15"/>
  <c r="BD252" i="15" s="1"/>
  <c r="BD149" i="15"/>
  <c r="BD184" i="15"/>
  <c r="BD257" i="15" s="1"/>
  <c r="BD302" i="15" s="1"/>
  <c r="BD230" i="15"/>
  <c r="BD157" i="15"/>
  <c r="BD30" i="15"/>
  <c r="N146" i="15"/>
  <c r="N152" i="15" s="1"/>
  <c r="N187" i="15" s="1"/>
  <c r="N260" i="15" s="1"/>
  <c r="N230" i="15"/>
  <c r="N157" i="15"/>
  <c r="N163" i="15"/>
  <c r="N30" i="15"/>
  <c r="BE302" i="15"/>
  <c r="BE158" i="15"/>
  <c r="BE171" i="15"/>
  <c r="BE186" i="15"/>
  <c r="BE259" i="15" s="1"/>
  <c r="BE71" i="15"/>
  <c r="BE78" i="15" s="1"/>
  <c r="BE213" i="15"/>
  <c r="BE283" i="15"/>
  <c r="BE21" i="15"/>
  <c r="BE28" i="15"/>
  <c r="BE39" i="15"/>
  <c r="BE41" i="15" s="1"/>
  <c r="BE149" i="15"/>
  <c r="BE179" i="15"/>
  <c r="BE252" i="15" s="1"/>
  <c r="BE109" i="15"/>
  <c r="BE175" i="15"/>
  <c r="BE248" i="15" s="1"/>
  <c r="BD109" i="15"/>
  <c r="BE176" i="15"/>
  <c r="BE163" i="15"/>
  <c r="O245" i="15"/>
  <c r="I92" i="20"/>
  <c r="BD176" i="15"/>
  <c r="C111" i="20"/>
  <c r="BD94" i="15"/>
  <c r="BD177" i="15" s="1"/>
  <c r="BD250" i="15" s="1"/>
  <c r="BE94" i="15"/>
  <c r="BE177" i="15" s="1"/>
  <c r="BE250" i="15" s="1"/>
  <c r="BD64" i="15"/>
  <c r="O64" i="15" s="1"/>
  <c r="BD65" i="19"/>
  <c r="N184" i="15"/>
  <c r="N257" i="15" s="1"/>
  <c r="N302" i="15" s="1"/>
  <c r="BD290" i="15"/>
  <c r="N256" i="15"/>
  <c r="N298" i="15" s="1"/>
  <c r="BD220" i="15"/>
  <c r="N300" i="15"/>
  <c r="BD282" i="15"/>
  <c r="BD217" i="15"/>
  <c r="N71" i="15"/>
  <c r="BC21" i="15"/>
  <c r="BC33" i="15" s="1"/>
  <c r="BC62" i="15"/>
  <c r="BB66" i="15"/>
  <c r="BB213" i="15" s="1"/>
  <c r="BD40" i="15"/>
  <c r="O40" i="15" s="1"/>
  <c r="BB209" i="15"/>
  <c r="BC36" i="15"/>
  <c r="BC146" i="15"/>
  <c r="BD219" i="15"/>
  <c r="BB279" i="15"/>
  <c r="BB109" i="15"/>
  <c r="BC28" i="15"/>
  <c r="BD163" i="15"/>
  <c r="BD234" i="15" s="1"/>
  <c r="BD208" i="15"/>
  <c r="BD278" i="15"/>
  <c r="BD205" i="15"/>
  <c r="BD275" i="15"/>
  <c r="BC30" i="15"/>
  <c r="BC211" i="15"/>
  <c r="BD15" i="15"/>
  <c r="BD206" i="15"/>
  <c r="BD276" i="15"/>
  <c r="BA39" i="15"/>
  <c r="BA41" i="15" s="1"/>
  <c r="BC67" i="15"/>
  <c r="BC157" i="15"/>
  <c r="N39" i="15"/>
  <c r="N41" i="15" s="1"/>
  <c r="N21" i="15"/>
  <c r="BC163" i="15"/>
  <c r="BC184" i="15"/>
  <c r="BC257" i="15" s="1"/>
  <c r="BC302" i="15" s="1"/>
  <c r="N90" i="15"/>
  <c r="BB152" i="15"/>
  <c r="C175" i="20"/>
  <c r="C152" i="20"/>
  <c r="C158" i="20" s="1"/>
  <c r="D150" i="20"/>
  <c r="D152" i="20" s="1"/>
  <c r="BC94" i="15"/>
  <c r="BC177" i="15" s="1"/>
  <c r="BC250" i="15" s="1"/>
  <c r="BC281" i="15"/>
  <c r="BC176" i="15"/>
  <c r="BC178" i="15" s="1"/>
  <c r="C155" i="20"/>
  <c r="E150" i="20" s="1"/>
  <c r="D174" i="20"/>
  <c r="C165" i="20"/>
  <c r="D164" i="20"/>
  <c r="D165" i="20" s="1"/>
  <c r="D217" i="20"/>
  <c r="C198" i="20"/>
  <c r="C204" i="20" s="1"/>
  <c r="C221" i="20"/>
  <c r="D210" i="20"/>
  <c r="D211" i="20" s="1"/>
  <c r="D194" i="20"/>
  <c r="D216" i="20"/>
  <c r="D195" i="20"/>
  <c r="D193" i="20"/>
  <c r="D186" i="20"/>
  <c r="BC179" i="15"/>
  <c r="BC252" i="15" s="1"/>
  <c r="BC149" i="15"/>
  <c r="AY27" i="15"/>
  <c r="BC41" i="15"/>
  <c r="BB94" i="15"/>
  <c r="BB177" i="15" s="1"/>
  <c r="BB250" i="15" s="1"/>
  <c r="BC109" i="15"/>
  <c r="D214" i="20"/>
  <c r="D199" i="20"/>
  <c r="D191" i="20"/>
  <c r="D215" i="20"/>
  <c r="D189" i="20"/>
  <c r="D188" i="20"/>
  <c r="D192" i="20"/>
  <c r="D197" i="20"/>
  <c r="BC285" i="15"/>
  <c r="BC215" i="15"/>
  <c r="BB176" i="15"/>
  <c r="C201" i="20"/>
  <c r="I195" i="20" s="1"/>
  <c r="AY65" i="19"/>
  <c r="BB186" i="15"/>
  <c r="BB259" i="15" s="1"/>
  <c r="BB231" i="15"/>
  <c r="BB162" i="15"/>
  <c r="BB171" i="15"/>
  <c r="M152" i="15"/>
  <c r="M165" i="15" s="1"/>
  <c r="BA28" i="15"/>
  <c r="BA21" i="15"/>
  <c r="BA32" i="15" s="1"/>
  <c r="BB21" i="15"/>
  <c r="BB39" i="15"/>
  <c r="BB41" i="15" s="1"/>
  <c r="BB28" i="15"/>
  <c r="BB179" i="15"/>
  <c r="BB252" i="15" s="1"/>
  <c r="BB188" i="15"/>
  <c r="BB234" i="15"/>
  <c r="BB35" i="15"/>
  <c r="BB214" i="15"/>
  <c r="BB284" i="15"/>
  <c r="BB302" i="15"/>
  <c r="M28" i="15"/>
  <c r="M90" i="15"/>
  <c r="M39" i="15"/>
  <c r="M41" i="15" s="1"/>
  <c r="D256" i="20"/>
  <c r="D257" i="20" s="1"/>
  <c r="BA176" i="15"/>
  <c r="BA178" i="15" s="1"/>
  <c r="C247" i="20"/>
  <c r="I241" i="20" s="1"/>
  <c r="D278" i="20"/>
  <c r="I323" i="20"/>
  <c r="C244" i="20"/>
  <c r="C250" i="20" s="1"/>
  <c r="D306" i="20"/>
  <c r="D266" i="20"/>
  <c r="C267" i="20"/>
  <c r="D303" i="20"/>
  <c r="D276" i="20"/>
  <c r="BA149" i="15"/>
  <c r="BA300" i="15" s="1"/>
  <c r="D279" i="20"/>
  <c r="D283" i="20"/>
  <c r="D287" i="20"/>
  <c r="D281" i="20"/>
  <c r="AZ142" i="15"/>
  <c r="C284" i="20"/>
  <c r="E284" i="20" s="1"/>
  <c r="D304" i="20"/>
  <c r="D305" i="20"/>
  <c r="D302" i="20"/>
  <c r="D282" i="20"/>
  <c r="BA283" i="15"/>
  <c r="BA71" i="15"/>
  <c r="BA78" i="15" s="1"/>
  <c r="BA302" i="15"/>
  <c r="D285" i="20"/>
  <c r="I280" i="20"/>
  <c r="I281" i="20" s="1"/>
  <c r="I283" i="20" s="1"/>
  <c r="AZ147" i="15"/>
  <c r="O147" i="15"/>
  <c r="O146" i="15" s="1"/>
  <c r="AZ150" i="15"/>
  <c r="AY142" i="15"/>
  <c r="I282" i="20"/>
  <c r="BA186" i="15"/>
  <c r="BA259" i="15" s="1"/>
  <c r="BA162" i="15"/>
  <c r="BA231" i="15"/>
  <c r="BA171" i="15"/>
  <c r="BA158" i="15"/>
  <c r="AY74" i="15"/>
  <c r="M303" i="15"/>
  <c r="BA163" i="15"/>
  <c r="D346" i="20"/>
  <c r="D298" i="20"/>
  <c r="D299" i="20" s="1"/>
  <c r="C299" i="20"/>
  <c r="AZ65" i="19"/>
  <c r="D320" i="20"/>
  <c r="D321" i="20"/>
  <c r="D327" i="20"/>
  <c r="D329" i="20"/>
  <c r="C340" i="20"/>
  <c r="AZ109" i="15"/>
  <c r="AZ276" i="15"/>
  <c r="AZ206" i="15"/>
  <c r="AZ278" i="15"/>
  <c r="AZ208" i="15"/>
  <c r="AZ178" i="15"/>
  <c r="AZ15" i="15"/>
  <c r="D347" i="20"/>
  <c r="AY17" i="15"/>
  <c r="D348" i="20"/>
  <c r="O141" i="15"/>
  <c r="O142" i="15" s="1"/>
  <c r="C326" i="20"/>
  <c r="C332" i="20" s="1"/>
  <c r="M178" i="15"/>
  <c r="M276" i="15"/>
  <c r="M206" i="15"/>
  <c r="M231" i="15"/>
  <c r="M186" i="15"/>
  <c r="M259" i="15" s="1"/>
  <c r="M171" i="15"/>
  <c r="M158" i="15"/>
  <c r="M162" i="15"/>
  <c r="M163" i="15"/>
  <c r="M166" i="15"/>
  <c r="M185" i="15"/>
  <c r="M258" i="15" s="1"/>
  <c r="M66" i="15"/>
  <c r="M208" i="15"/>
  <c r="M33" i="15"/>
  <c r="M32" i="15"/>
  <c r="M23" i="15"/>
  <c r="M97" i="15" s="1"/>
  <c r="AY247" i="15"/>
  <c r="AY37" i="19"/>
  <c r="AY147" i="15"/>
  <c r="AY278" i="15"/>
  <c r="D318" i="20"/>
  <c r="D323" i="20"/>
  <c r="D390" i="20"/>
  <c r="AY276" i="15"/>
  <c r="D367" i="20"/>
  <c r="AY275" i="15"/>
  <c r="D324" i="20"/>
  <c r="D325" i="20"/>
  <c r="D344" i="20"/>
  <c r="D368" i="20"/>
  <c r="D345" i="20"/>
  <c r="C350" i="20"/>
  <c r="D361" i="20"/>
  <c r="D363" i="20"/>
  <c r="O37" i="19"/>
  <c r="D364" i="20"/>
  <c r="D366" i="20"/>
  <c r="D387" i="20"/>
  <c r="D370" i="20"/>
  <c r="D388" i="20"/>
  <c r="D372" i="20"/>
  <c r="D389" i="20"/>
  <c r="I365" i="20"/>
  <c r="I366" i="20" s="1"/>
  <c r="C369" i="20"/>
  <c r="C383" i="20"/>
  <c r="AX65" i="19"/>
  <c r="O256" i="15"/>
  <c r="O298" i="15" s="1"/>
  <c r="O108" i="15"/>
  <c r="AX116" i="15"/>
  <c r="AX103" i="15"/>
  <c r="AX73" i="15"/>
  <c r="AX72" i="15"/>
  <c r="AX68" i="15"/>
  <c r="AX215" i="15" s="1"/>
  <c r="AX65" i="15"/>
  <c r="AX64" i="15"/>
  <c r="AX63" i="15"/>
  <c r="AX40" i="15"/>
  <c r="AX16" i="15"/>
  <c r="AX272" i="15"/>
  <c r="AX269" i="15"/>
  <c r="AX268" i="15"/>
  <c r="AX243" i="15"/>
  <c r="AX204" i="15"/>
  <c r="AX199" i="15"/>
  <c r="AX197" i="15"/>
  <c r="AX194" i="15"/>
  <c r="AX183" i="15"/>
  <c r="AX256" i="15" s="1"/>
  <c r="AX298" i="15" s="1"/>
  <c r="AX113" i="15"/>
  <c r="AX112" i="15"/>
  <c r="AX111" i="15"/>
  <c r="AX108" i="15"/>
  <c r="AX80" i="15"/>
  <c r="AX79" i="15"/>
  <c r="AX75" i="15"/>
  <c r="AX70" i="15"/>
  <c r="AX69" i="15"/>
  <c r="AX208" i="15"/>
  <c r="AX51" i="15"/>
  <c r="AX50" i="15"/>
  <c r="AX206" i="15"/>
  <c r="AX275" i="15"/>
  <c r="AX38" i="15"/>
  <c r="AX60" i="15" s="1"/>
  <c r="AX88" i="15" s="1"/>
  <c r="AX101" i="15" s="1"/>
  <c r="AX160" i="15" s="1"/>
  <c r="AX267" i="15" s="1"/>
  <c r="AX174" i="15" s="1"/>
  <c r="AX31" i="15"/>
  <c r="AX14" i="15"/>
  <c r="AX8" i="15"/>
  <c r="AX198" i="15" s="1"/>
  <c r="C433" i="20"/>
  <c r="C436" i="20" s="1"/>
  <c r="I398" i="20"/>
  <c r="C413" i="20"/>
  <c r="C411" i="20"/>
  <c r="C410" i="20"/>
  <c r="C409" i="20"/>
  <c r="C407" i="20"/>
  <c r="C406" i="20"/>
  <c r="I407" i="20"/>
  <c r="AW41" i="19"/>
  <c r="AV38" i="19"/>
  <c r="AR40" i="19"/>
  <c r="AW64" i="19"/>
  <c r="AW23" i="19"/>
  <c r="AW16" i="19"/>
  <c r="AW243" i="15"/>
  <c r="AW156" i="15"/>
  <c r="C415" i="20" s="1"/>
  <c r="AW119" i="15"/>
  <c r="AW116" i="15"/>
  <c r="AW147" i="15" s="1"/>
  <c r="AW104" i="15"/>
  <c r="AW103" i="15"/>
  <c r="AW76" i="15"/>
  <c r="AW67" i="15"/>
  <c r="AW62" i="15"/>
  <c r="AW16" i="15"/>
  <c r="AW272" i="15"/>
  <c r="AW269" i="15"/>
  <c r="AW268" i="15"/>
  <c r="AW225" i="15"/>
  <c r="AW224" i="15"/>
  <c r="AW221" i="15"/>
  <c r="AW220" i="15"/>
  <c r="AW219" i="15"/>
  <c r="AW217" i="15"/>
  <c r="AW216" i="15"/>
  <c r="AW215" i="15"/>
  <c r="AW212" i="15"/>
  <c r="AW211" i="15"/>
  <c r="AW210" i="15"/>
  <c r="AW204" i="15"/>
  <c r="AW199" i="15"/>
  <c r="AW197" i="15"/>
  <c r="AW194" i="15"/>
  <c r="AW183" i="15"/>
  <c r="AW256" i="15" s="1"/>
  <c r="AW298" i="15" s="1"/>
  <c r="AW113" i="15"/>
  <c r="AW112" i="15"/>
  <c r="AW111" i="15"/>
  <c r="AW108" i="15"/>
  <c r="AW61" i="15"/>
  <c r="AW51" i="15"/>
  <c r="AW50" i="15"/>
  <c r="AW48" i="15"/>
  <c r="AW276" i="15" s="1"/>
  <c r="AW47" i="15"/>
  <c r="AW275" i="15" s="1"/>
  <c r="AW38" i="15"/>
  <c r="AW60" i="15" s="1"/>
  <c r="AW88" i="15" s="1"/>
  <c r="AW101" i="15" s="1"/>
  <c r="AW160" i="15" s="1"/>
  <c r="AW267" i="15" s="1"/>
  <c r="AW174" i="15" s="1"/>
  <c r="AW247" i="15" s="1"/>
  <c r="AW36" i="15"/>
  <c r="AW31" i="15"/>
  <c r="AW26" i="15"/>
  <c r="AW14" i="15"/>
  <c r="AW15" i="15" s="1"/>
  <c r="AW8" i="15"/>
  <c r="AW198" i="15" s="1"/>
  <c r="BE231" i="15" l="1"/>
  <c r="D42" i="20"/>
  <c r="N218" i="15"/>
  <c r="N78" i="15"/>
  <c r="D20" i="20"/>
  <c r="F20" i="20" s="1"/>
  <c r="C22" i="20"/>
  <c r="D22" i="20" s="1"/>
  <c r="C27" i="20"/>
  <c r="E20" i="20"/>
  <c r="BA83" i="19"/>
  <c r="AZ48" i="19"/>
  <c r="O76" i="15"/>
  <c r="BD222" i="15"/>
  <c r="BD292" i="15"/>
  <c r="O80" i="15"/>
  <c r="BD286" i="15"/>
  <c r="D85" i="20"/>
  <c r="O69" i="15"/>
  <c r="BD291" i="15"/>
  <c r="BD221" i="15"/>
  <c r="O63" i="15"/>
  <c r="BD225" i="15"/>
  <c r="BE96" i="15"/>
  <c r="BE180" i="15" s="1"/>
  <c r="BE253" i="15" s="1"/>
  <c r="BD280" i="15"/>
  <c r="D62" i="20"/>
  <c r="C71" i="20"/>
  <c r="E64" i="20"/>
  <c r="C66" i="20"/>
  <c r="D66" i="20" s="1"/>
  <c r="C130" i="20"/>
  <c r="C112" i="20"/>
  <c r="E106" i="20"/>
  <c r="C108" i="20"/>
  <c r="AX48" i="19"/>
  <c r="BD74" i="19"/>
  <c r="AZ74" i="19"/>
  <c r="AY74" i="19"/>
  <c r="AX74" i="19"/>
  <c r="AW71" i="19"/>
  <c r="AW70" i="19"/>
  <c r="AW69" i="19"/>
  <c r="AW68" i="19"/>
  <c r="AW73" i="19"/>
  <c r="AW72" i="19"/>
  <c r="BA54" i="19"/>
  <c r="AZ51" i="19"/>
  <c r="AW47" i="19"/>
  <c r="AW46" i="19"/>
  <c r="AW45" i="19"/>
  <c r="AW48" i="19" s="1"/>
  <c r="BD285" i="15"/>
  <c r="BD215" i="15"/>
  <c r="BD300" i="15"/>
  <c r="BD150" i="15"/>
  <c r="BD153" i="15" s="1"/>
  <c r="N185" i="15"/>
  <c r="N258" i="15" s="1"/>
  <c r="N166" i="15"/>
  <c r="N190" i="15" s="1"/>
  <c r="N231" i="15"/>
  <c r="N171" i="15"/>
  <c r="N158" i="15"/>
  <c r="N186" i="15"/>
  <c r="N259" i="15" s="1"/>
  <c r="N162" i="15"/>
  <c r="N189" i="15" s="1"/>
  <c r="BD62" i="15"/>
  <c r="O62" i="15" s="1"/>
  <c r="BD96" i="15"/>
  <c r="BD180" i="15" s="1"/>
  <c r="BD253" i="15" s="1"/>
  <c r="N234" i="15"/>
  <c r="N188" i="15"/>
  <c r="BD178" i="15"/>
  <c r="BD249" i="15"/>
  <c r="BD251" i="15" s="1"/>
  <c r="BC186" i="15"/>
  <c r="BC259" i="15" s="1"/>
  <c r="BC158" i="15"/>
  <c r="BA43" i="15"/>
  <c r="BA45" i="15"/>
  <c r="BC188" i="15"/>
  <c r="BC234" i="15"/>
  <c r="BE303" i="15"/>
  <c r="BE306" i="15"/>
  <c r="BE189" i="15"/>
  <c r="BE233" i="15"/>
  <c r="BE81" i="15"/>
  <c r="BE218" i="15"/>
  <c r="BE288" i="15"/>
  <c r="BE23" i="15"/>
  <c r="BE32" i="15"/>
  <c r="BE33" i="15"/>
  <c r="BE42" i="15"/>
  <c r="BE43" i="15"/>
  <c r="BE45" i="15"/>
  <c r="BE150" i="15"/>
  <c r="BE300" i="15"/>
  <c r="BE309" i="15" s="1"/>
  <c r="BE249" i="15"/>
  <c r="BE178" i="15"/>
  <c r="BE234" i="15"/>
  <c r="BE188" i="15"/>
  <c r="D107" i="20"/>
  <c r="D127" i="20"/>
  <c r="D119" i="20"/>
  <c r="D120" i="20" s="1"/>
  <c r="D128" i="20"/>
  <c r="D124" i="20"/>
  <c r="D103" i="20"/>
  <c r="D98" i="20"/>
  <c r="D104" i="20"/>
  <c r="D102" i="20"/>
  <c r="D96" i="20"/>
  <c r="D125" i="20"/>
  <c r="D99" i="20"/>
  <c r="D101" i="20"/>
  <c r="D105" i="20"/>
  <c r="D109" i="20"/>
  <c r="D126" i="20"/>
  <c r="I101" i="20"/>
  <c r="I102" i="20"/>
  <c r="D111" i="20"/>
  <c r="BD67" i="15"/>
  <c r="BE98" i="15"/>
  <c r="BE181" i="15" s="1"/>
  <c r="BE254" i="15" s="1"/>
  <c r="E108" i="20"/>
  <c r="BC214" i="15"/>
  <c r="BB283" i="15"/>
  <c r="BB71" i="15"/>
  <c r="BB78" i="15" s="1"/>
  <c r="BC284" i="15"/>
  <c r="BC32" i="15"/>
  <c r="BC23" i="15"/>
  <c r="N99" i="15"/>
  <c r="N182" i="15" s="1"/>
  <c r="N255" i="15" s="1"/>
  <c r="BC66" i="15"/>
  <c r="BC231" i="15"/>
  <c r="BC279" i="15"/>
  <c r="BC162" i="15"/>
  <c r="BC209" i="15"/>
  <c r="N165" i="15"/>
  <c r="N236" i="15" s="1"/>
  <c r="BC171" i="15"/>
  <c r="BA33" i="15"/>
  <c r="BD36" i="15"/>
  <c r="BA23" i="15"/>
  <c r="BD188" i="15"/>
  <c r="BD281" i="15"/>
  <c r="BD211" i="15"/>
  <c r="D175" i="20"/>
  <c r="BD214" i="15"/>
  <c r="N32" i="15"/>
  <c r="N23" i="15"/>
  <c r="N97" i="15" s="1"/>
  <c r="N33" i="15"/>
  <c r="BA288" i="15"/>
  <c r="N91" i="15"/>
  <c r="N43" i="15"/>
  <c r="N45" i="15"/>
  <c r="BC35" i="15"/>
  <c r="BD309" i="15"/>
  <c r="BD306" i="15"/>
  <c r="M45" i="15"/>
  <c r="N42" i="15"/>
  <c r="N303" i="15"/>
  <c r="N291" i="15"/>
  <c r="N274" i="15"/>
  <c r="N306" i="15" s="1"/>
  <c r="N290" i="15"/>
  <c r="N282" i="15"/>
  <c r="N286" i="15"/>
  <c r="N289" i="15"/>
  <c r="N281" i="15"/>
  <c r="N278" i="15"/>
  <c r="N309" i="15" s="1"/>
  <c r="N280" i="15"/>
  <c r="N270" i="15"/>
  <c r="N295" i="15"/>
  <c r="N287" i="15"/>
  <c r="N285" i="15"/>
  <c r="N284" i="15"/>
  <c r="N294" i="15"/>
  <c r="N248" i="15"/>
  <c r="N279" i="15"/>
  <c r="N249" i="15"/>
  <c r="N252" i="15"/>
  <c r="N283" i="15"/>
  <c r="N253" i="15"/>
  <c r="N292" i="15"/>
  <c r="N250" i="15"/>
  <c r="N264" i="15" s="1"/>
  <c r="C200" i="20"/>
  <c r="D200" i="20" s="1"/>
  <c r="N288" i="15"/>
  <c r="N254" i="15"/>
  <c r="C154" i="20"/>
  <c r="D154" i="20" s="1"/>
  <c r="C159" i="20"/>
  <c r="E152" i="20"/>
  <c r="I146" i="20"/>
  <c r="BC249" i="15"/>
  <c r="BC262" i="15" s="1"/>
  <c r="I145" i="20"/>
  <c r="D155" i="20"/>
  <c r="F150" i="20" s="1"/>
  <c r="D220" i="20"/>
  <c r="D196" i="20"/>
  <c r="D198" i="20" s="1"/>
  <c r="M187" i="15"/>
  <c r="M260" i="15" s="1"/>
  <c r="BC43" i="15"/>
  <c r="BC45" i="15"/>
  <c r="M91" i="15"/>
  <c r="M169" i="15" s="1"/>
  <c r="M240" i="15" s="1"/>
  <c r="D201" i="20"/>
  <c r="I194" i="20"/>
  <c r="E198" i="20"/>
  <c r="C205" i="20"/>
  <c r="E196" i="20"/>
  <c r="BC300" i="15"/>
  <c r="BC309" i="15" s="1"/>
  <c r="BC150" i="15"/>
  <c r="BB178" i="15"/>
  <c r="BB249" i="15"/>
  <c r="M43" i="15"/>
  <c r="BC303" i="15"/>
  <c r="BC306" i="15"/>
  <c r="AZ74" i="15"/>
  <c r="AZ220" i="15" s="1"/>
  <c r="E242" i="20"/>
  <c r="AW42" i="19"/>
  <c r="AY21" i="15"/>
  <c r="AY33" i="15" s="1"/>
  <c r="BB43" i="15"/>
  <c r="BB45" i="15"/>
  <c r="BB189" i="15"/>
  <c r="BB233" i="15"/>
  <c r="BB33" i="15"/>
  <c r="BB23" i="15"/>
  <c r="BB32" i="15"/>
  <c r="BB306" i="15"/>
  <c r="BB303" i="15"/>
  <c r="BB300" i="15"/>
  <c r="BB309" i="15" s="1"/>
  <c r="AZ153" i="15"/>
  <c r="AZ185" i="15" s="1"/>
  <c r="AZ258" i="15" s="1"/>
  <c r="AY220" i="15"/>
  <c r="I229" i="20"/>
  <c r="D247" i="20" s="1"/>
  <c r="I240" i="20"/>
  <c r="AX27" i="15"/>
  <c r="BA150" i="15"/>
  <c r="O300" i="15"/>
  <c r="BA94" i="15"/>
  <c r="BA177" i="15" s="1"/>
  <c r="BA250" i="15" s="1"/>
  <c r="C309" i="20"/>
  <c r="D242" i="20"/>
  <c r="D267" i="20" s="1"/>
  <c r="C251" i="20"/>
  <c r="E244" i="20"/>
  <c r="C246" i="20"/>
  <c r="D246" i="20" s="1"/>
  <c r="C290" i="20"/>
  <c r="C286" i="20"/>
  <c r="C292" i="20" s="1"/>
  <c r="C293" i="20" s="1"/>
  <c r="AY290" i="15"/>
  <c r="BA81" i="15"/>
  <c r="BA218" i="15"/>
  <c r="AY63" i="15"/>
  <c r="AZ252" i="15"/>
  <c r="M243" i="15"/>
  <c r="I271" i="20"/>
  <c r="AX282" i="15"/>
  <c r="BA248" i="15"/>
  <c r="AY68" i="15"/>
  <c r="BA249" i="15"/>
  <c r="BA262" i="15" s="1"/>
  <c r="AY75" i="15"/>
  <c r="BA234" i="15"/>
  <c r="BA188" i="15"/>
  <c r="AZ230" i="15"/>
  <c r="AZ30" i="15"/>
  <c r="AZ163" i="15"/>
  <c r="AZ146" i="15"/>
  <c r="AZ157" i="15"/>
  <c r="AZ184" i="15"/>
  <c r="AZ257" i="15" s="1"/>
  <c r="AZ302" i="15" s="1"/>
  <c r="BA303" i="15"/>
  <c r="AY70" i="15"/>
  <c r="AY72" i="15"/>
  <c r="O157" i="15"/>
  <c r="BA252" i="15"/>
  <c r="BA233" i="15"/>
  <c r="BA189" i="15"/>
  <c r="AW27" i="15"/>
  <c r="AX76" i="15"/>
  <c r="AX292" i="15" s="1"/>
  <c r="AY79" i="15"/>
  <c r="AZ94" i="15"/>
  <c r="AZ177" i="15" s="1"/>
  <c r="AZ250" i="15" s="1"/>
  <c r="AY80" i="15"/>
  <c r="D308" i="20"/>
  <c r="D284" i="20"/>
  <c r="AY64" i="15"/>
  <c r="AW290" i="15"/>
  <c r="AZ249" i="15"/>
  <c r="AY28" i="15"/>
  <c r="AY39" i="15"/>
  <c r="AZ248" i="15"/>
  <c r="AZ16" i="15"/>
  <c r="D340" i="20"/>
  <c r="D341" i="20" s="1"/>
  <c r="C341" i="20"/>
  <c r="D350" i="20"/>
  <c r="C328" i="20"/>
  <c r="C334" i="20" s="1"/>
  <c r="C375" i="20"/>
  <c r="D326" i="20"/>
  <c r="D328" i="20" s="1"/>
  <c r="M189" i="15"/>
  <c r="M233" i="15"/>
  <c r="M188" i="15"/>
  <c r="M234" i="15"/>
  <c r="M236" i="15"/>
  <c r="M191" i="15"/>
  <c r="M237" i="15"/>
  <c r="M190" i="15"/>
  <c r="M213" i="15"/>
  <c r="M71" i="15"/>
  <c r="M78" i="15" s="1"/>
  <c r="AX219" i="15"/>
  <c r="AY73" i="15"/>
  <c r="AY157" i="15"/>
  <c r="AY146" i="15"/>
  <c r="AY230" i="15"/>
  <c r="AY184" i="15"/>
  <c r="AY257" i="15" s="1"/>
  <c r="AY302" i="15" s="1"/>
  <c r="O158" i="15"/>
  <c r="AX62" i="15"/>
  <c r="AX212" i="15"/>
  <c r="AY65" i="15"/>
  <c r="AX36" i="15"/>
  <c r="AY40" i="15"/>
  <c r="AX67" i="15"/>
  <c r="AX216" i="15"/>
  <c r="AY69" i="15"/>
  <c r="AX247" i="15"/>
  <c r="AX37" i="19"/>
  <c r="AW278" i="15"/>
  <c r="C351" i="20"/>
  <c r="C394" i="20"/>
  <c r="C371" i="20"/>
  <c r="D430" i="20"/>
  <c r="C384" i="20"/>
  <c r="D383" i="20"/>
  <c r="D384" i="20" s="1"/>
  <c r="D369" i="20"/>
  <c r="AX147" i="15"/>
  <c r="AX146" i="15" s="1"/>
  <c r="AX17" i="15"/>
  <c r="AW37" i="19"/>
  <c r="AX287" i="15"/>
  <c r="AX291" i="15"/>
  <c r="AX290" i="15"/>
  <c r="AX295" i="15"/>
  <c r="AX280" i="15"/>
  <c r="AX281" i="15"/>
  <c r="AX294" i="15"/>
  <c r="AX285" i="15"/>
  <c r="AX276" i="15"/>
  <c r="C404" i="20"/>
  <c r="D404" i="20" s="1"/>
  <c r="AX221" i="15"/>
  <c r="AX274" i="15"/>
  <c r="BA309" i="15" s="1"/>
  <c r="AW141" i="15"/>
  <c r="AW142" i="15" s="1"/>
  <c r="D411" i="20"/>
  <c r="AX15" i="15"/>
  <c r="AX205" i="15"/>
  <c r="AX224" i="15"/>
  <c r="AX278" i="15"/>
  <c r="AX286" i="15"/>
  <c r="AX217" i="15"/>
  <c r="AX225" i="15"/>
  <c r="AW35" i="15"/>
  <c r="AX210" i="15"/>
  <c r="AX211" i="15"/>
  <c r="AX270" i="15"/>
  <c r="AX289" i="15"/>
  <c r="AX220" i="15"/>
  <c r="D413" i="20"/>
  <c r="D431" i="20"/>
  <c r="D406" i="20"/>
  <c r="D407" i="20"/>
  <c r="D432" i="20"/>
  <c r="D433" i="20"/>
  <c r="D434" i="20"/>
  <c r="D409" i="20"/>
  <c r="D410" i="20"/>
  <c r="D415" i="20"/>
  <c r="I408" i="20"/>
  <c r="I409" i="20" s="1"/>
  <c r="C426" i="20"/>
  <c r="AW65" i="19"/>
  <c r="AW279" i="15"/>
  <c r="AW292" i="15"/>
  <c r="AW17" i="15"/>
  <c r="AW28" i="15" s="1"/>
  <c r="AW206" i="15"/>
  <c r="AW146" i="15"/>
  <c r="AW184" i="15"/>
  <c r="AW257" i="15" s="1"/>
  <c r="AW302" i="15" s="1"/>
  <c r="AW230" i="15"/>
  <c r="AW157" i="15"/>
  <c r="AW205" i="15"/>
  <c r="AW214" i="15"/>
  <c r="AW222" i="15"/>
  <c r="AW284" i="15"/>
  <c r="AW285" i="15"/>
  <c r="AW274" i="15"/>
  <c r="AW66" i="15"/>
  <c r="AW208" i="15"/>
  <c r="AW286" i="15"/>
  <c r="AW294" i="15"/>
  <c r="AW209" i="15"/>
  <c r="AW287" i="15"/>
  <c r="AW295" i="15"/>
  <c r="AW291" i="15"/>
  <c r="AW280" i="15"/>
  <c r="AW270" i="15"/>
  <c r="AW281" i="15"/>
  <c r="AW289" i="15"/>
  <c r="AW282" i="15"/>
  <c r="C476" i="20"/>
  <c r="L116" i="15"/>
  <c r="L120" i="15"/>
  <c r="L46" i="15"/>
  <c r="M47" i="15" s="1"/>
  <c r="L39" i="19"/>
  <c r="L61" i="19"/>
  <c r="L63" i="19"/>
  <c r="L60" i="19"/>
  <c r="L58" i="19"/>
  <c r="L34" i="19"/>
  <c r="L33" i="19"/>
  <c r="K34" i="19"/>
  <c r="L30" i="19"/>
  <c r="L27" i="19"/>
  <c r="L24" i="19"/>
  <c r="L20" i="19"/>
  <c r="BA271" i="15" l="1"/>
  <c r="BB271" i="15"/>
  <c r="L82" i="19"/>
  <c r="M82" i="19"/>
  <c r="M80" i="19"/>
  <c r="L80" i="19"/>
  <c r="M77" i="19"/>
  <c r="L77" i="19"/>
  <c r="M79" i="19"/>
  <c r="L79" i="19"/>
  <c r="N237" i="15"/>
  <c r="N233" i="15"/>
  <c r="O67" i="15"/>
  <c r="BD35" i="15"/>
  <c r="D64" i="20"/>
  <c r="F64" i="20" s="1"/>
  <c r="F62" i="20"/>
  <c r="N262" i="15"/>
  <c r="D86" i="20"/>
  <c r="BD261" i="15"/>
  <c r="BE86" i="15"/>
  <c r="C110" i="20"/>
  <c r="D110" i="20" s="1"/>
  <c r="C114" i="20"/>
  <c r="C115" i="20" s="1"/>
  <c r="AW74" i="19"/>
  <c r="M52" i="19"/>
  <c r="L52" i="19"/>
  <c r="BD284" i="15"/>
  <c r="BB288" i="15"/>
  <c r="BB218" i="15"/>
  <c r="BB223" i="15"/>
  <c r="BD98" i="15"/>
  <c r="BD181" i="15" s="1"/>
  <c r="BD254" i="15" s="1"/>
  <c r="BC233" i="15"/>
  <c r="BC189" i="15"/>
  <c r="BE305" i="15"/>
  <c r="BE308" i="15"/>
  <c r="BE82" i="15"/>
  <c r="BE223" i="15"/>
  <c r="BE293" i="15"/>
  <c r="BE153" i="15"/>
  <c r="BE152" i="15"/>
  <c r="BE262" i="15"/>
  <c r="BE261" i="15"/>
  <c r="BE251" i="15"/>
  <c r="D129" i="20"/>
  <c r="D106" i="20"/>
  <c r="N81" i="15"/>
  <c r="N86" i="15" s="1"/>
  <c r="N223" i="15"/>
  <c r="BD312" i="15"/>
  <c r="BE312" i="15"/>
  <c r="N263" i="15"/>
  <c r="N293" i="15"/>
  <c r="N191" i="15"/>
  <c r="BC71" i="15"/>
  <c r="BC78" i="15" s="1"/>
  <c r="BC213" i="15"/>
  <c r="BC283" i="15"/>
  <c r="F196" i="20"/>
  <c r="M168" i="15"/>
  <c r="M239" i="15" s="1"/>
  <c r="BD166" i="15"/>
  <c r="BD185" i="15"/>
  <c r="BD258" i="15" s="1"/>
  <c r="BD263" i="15" s="1"/>
  <c r="AY32" i="15"/>
  <c r="N169" i="15"/>
  <c r="N240" i="15" s="1"/>
  <c r="N168" i="15"/>
  <c r="N239" i="15" s="1"/>
  <c r="AY23" i="15"/>
  <c r="BD311" i="15"/>
  <c r="N308" i="15"/>
  <c r="N305" i="15"/>
  <c r="N312" i="15"/>
  <c r="N311" i="15"/>
  <c r="N251" i="15"/>
  <c r="N261" i="15"/>
  <c r="D221" i="20"/>
  <c r="AZ290" i="15"/>
  <c r="BC251" i="15"/>
  <c r="BC261" i="15"/>
  <c r="F152" i="20"/>
  <c r="AZ65" i="15"/>
  <c r="AZ282" i="15" s="1"/>
  <c r="AZ73" i="15"/>
  <c r="AZ80" i="15"/>
  <c r="AZ225" i="15" s="1"/>
  <c r="BB251" i="15"/>
  <c r="BB261" i="15"/>
  <c r="AZ72" i="15"/>
  <c r="BB81" i="15"/>
  <c r="AZ79" i="15"/>
  <c r="AZ70" i="15"/>
  <c r="BC152" i="15"/>
  <c r="BC153" i="15"/>
  <c r="AZ68" i="15"/>
  <c r="AZ215" i="15" s="1"/>
  <c r="AZ69" i="15"/>
  <c r="AZ216" i="15" s="1"/>
  <c r="AZ75" i="15"/>
  <c r="AZ221" i="15" s="1"/>
  <c r="AZ63" i="15"/>
  <c r="AZ210" i="15" s="1"/>
  <c r="BB262" i="15"/>
  <c r="BC308" i="15"/>
  <c r="BC305" i="15"/>
  <c r="F198" i="20"/>
  <c r="BA308" i="15"/>
  <c r="BA305" i="15"/>
  <c r="AZ309" i="15"/>
  <c r="AZ306" i="15"/>
  <c r="AZ64" i="15"/>
  <c r="BA86" i="15"/>
  <c r="BB293" i="15"/>
  <c r="BA306" i="15"/>
  <c r="BB308" i="15"/>
  <c r="BB305" i="15"/>
  <c r="AY215" i="15"/>
  <c r="BA293" i="15"/>
  <c r="AY287" i="15"/>
  <c r="AY217" i="15"/>
  <c r="E286" i="20"/>
  <c r="AY221" i="15"/>
  <c r="AY291" i="15"/>
  <c r="BA152" i="15"/>
  <c r="BA153" i="15"/>
  <c r="AY76" i="15"/>
  <c r="AX284" i="15"/>
  <c r="AY62" i="15"/>
  <c r="AY209" i="15" s="1"/>
  <c r="AY294" i="15"/>
  <c r="D289" i="20"/>
  <c r="C288" i="20"/>
  <c r="D288" i="20" s="1"/>
  <c r="D244" i="20"/>
  <c r="F242" i="20"/>
  <c r="AY224" i="15"/>
  <c r="AY67" i="15"/>
  <c r="AX222" i="15"/>
  <c r="AY295" i="15"/>
  <c r="AY225" i="15"/>
  <c r="AY210" i="15"/>
  <c r="AY280" i="15"/>
  <c r="BA223" i="15"/>
  <c r="AY285" i="15"/>
  <c r="AZ166" i="15"/>
  <c r="AZ263" i="15"/>
  <c r="BA296" i="15"/>
  <c r="BA226" i="15"/>
  <c r="AY303" i="15"/>
  <c r="BA82" i="15"/>
  <c r="BA251" i="15"/>
  <c r="BA261" i="15"/>
  <c r="AW303" i="15"/>
  <c r="AX35" i="15"/>
  <c r="AZ303" i="15"/>
  <c r="AZ162" i="15"/>
  <c r="AZ158" i="15"/>
  <c r="AZ171" i="15"/>
  <c r="AZ231" i="15"/>
  <c r="AZ186" i="15"/>
  <c r="AZ259" i="15" s="1"/>
  <c r="AZ262" i="15" s="1"/>
  <c r="AZ188" i="15"/>
  <c r="AZ234" i="15"/>
  <c r="AZ152" i="15"/>
  <c r="D309" i="20"/>
  <c r="D286" i="20"/>
  <c r="AY211" i="15"/>
  <c r="AY281" i="15"/>
  <c r="C412" i="20"/>
  <c r="C418" i="20" s="1"/>
  <c r="D351" i="20"/>
  <c r="AY36" i="15"/>
  <c r="AZ40" i="15"/>
  <c r="AZ261" i="15"/>
  <c r="AZ251" i="15"/>
  <c r="AZ27" i="15"/>
  <c r="AZ17" i="15"/>
  <c r="BC90" i="15" s="1"/>
  <c r="AX214" i="15"/>
  <c r="M205" i="15"/>
  <c r="M275" i="15"/>
  <c r="C330" i="20"/>
  <c r="D330" i="20" s="1"/>
  <c r="M81" i="15"/>
  <c r="M218" i="15"/>
  <c r="M99" i="15"/>
  <c r="M182" i="15" s="1"/>
  <c r="AY171" i="15"/>
  <c r="AY231" i="15"/>
  <c r="AY158" i="15"/>
  <c r="AY186" i="15"/>
  <c r="AY259" i="15" s="1"/>
  <c r="AX230" i="15"/>
  <c r="AY216" i="15"/>
  <c r="AY286" i="15"/>
  <c r="AY41" i="15"/>
  <c r="BC42" i="15" s="1"/>
  <c r="AX184" i="15"/>
  <c r="AX257" i="15" s="1"/>
  <c r="AX302" i="15" s="1"/>
  <c r="AX279" i="15"/>
  <c r="AY282" i="15"/>
  <c r="AY212" i="15"/>
  <c r="AX157" i="15"/>
  <c r="AX209" i="15"/>
  <c r="AX66" i="15"/>
  <c r="AX21" i="15"/>
  <c r="AX23" i="15" s="1"/>
  <c r="AX39" i="15"/>
  <c r="AX41" i="15" s="1"/>
  <c r="BB42" i="15" s="1"/>
  <c r="AY219" i="15"/>
  <c r="AY289" i="15"/>
  <c r="C373" i="20"/>
  <c r="D373" i="20" s="1"/>
  <c r="C377" i="20"/>
  <c r="D371" i="20"/>
  <c r="D393" i="20"/>
  <c r="D394" i="20" s="1"/>
  <c r="AX28" i="15"/>
  <c r="AW21" i="15"/>
  <c r="AW33" i="15" s="1"/>
  <c r="AW39" i="15"/>
  <c r="AW41" i="15" s="1"/>
  <c r="AX186" i="15"/>
  <c r="AX259" i="15" s="1"/>
  <c r="AX231" i="15"/>
  <c r="AX171" i="15"/>
  <c r="AX158" i="15"/>
  <c r="C427" i="20"/>
  <c r="D426" i="20"/>
  <c r="D427" i="20" s="1"/>
  <c r="AW186" i="15"/>
  <c r="AW259" i="15" s="1"/>
  <c r="AW231" i="15"/>
  <c r="AW171" i="15"/>
  <c r="AW158" i="15"/>
  <c r="AW283" i="15"/>
  <c r="AW71" i="15"/>
  <c r="AW78" i="15" s="1"/>
  <c r="AW213" i="15"/>
  <c r="AV243" i="15"/>
  <c r="AV244" i="15"/>
  <c r="L156" i="15"/>
  <c r="AV156" i="15" s="1"/>
  <c r="C458" i="20" s="1"/>
  <c r="L129" i="15"/>
  <c r="AV129" i="15" s="1"/>
  <c r="L128" i="15"/>
  <c r="L119" i="15"/>
  <c r="AV119" i="15" s="1"/>
  <c r="L147" i="15"/>
  <c r="L230" i="15" s="1"/>
  <c r="K116" i="15"/>
  <c r="L104" i="15"/>
  <c r="AV104" i="15" s="1"/>
  <c r="L103" i="15"/>
  <c r="AV103" i="15" s="1"/>
  <c r="L144" i="15"/>
  <c r="AV144" i="15" s="1"/>
  <c r="L74" i="15"/>
  <c r="L220" i="15" s="1"/>
  <c r="L76" i="15"/>
  <c r="L222" i="15" s="1"/>
  <c r="L73" i="15"/>
  <c r="L219" i="15" s="1"/>
  <c r="L72" i="15"/>
  <c r="L68" i="15"/>
  <c r="L215" i="15" s="1"/>
  <c r="L67" i="15"/>
  <c r="L98" i="15" s="1"/>
  <c r="L181" i="15" s="1"/>
  <c r="L69" i="15"/>
  <c r="L216" i="15" s="1"/>
  <c r="L64" i="15"/>
  <c r="L96" i="15" s="1"/>
  <c r="L180" i="15" s="1"/>
  <c r="L62" i="15"/>
  <c r="L209" i="15" s="1"/>
  <c r="L40" i="15"/>
  <c r="L36" i="15" s="1"/>
  <c r="L22" i="15"/>
  <c r="AV22" i="15" s="1"/>
  <c r="L20" i="15"/>
  <c r="L31" i="15" s="1"/>
  <c r="L18" i="15"/>
  <c r="L16" i="15"/>
  <c r="L27" i="15" s="1"/>
  <c r="C479" i="20"/>
  <c r="I450" i="20"/>
  <c r="C500" i="20"/>
  <c r="C498" i="20"/>
  <c r="C511" i="20" s="1"/>
  <c r="C496" i="20"/>
  <c r="C495" i="20"/>
  <c r="C494" i="20"/>
  <c r="C492" i="20"/>
  <c r="I483" i="20"/>
  <c r="C491" i="20"/>
  <c r="C489" i="20"/>
  <c r="L64" i="19"/>
  <c r="L41" i="19"/>
  <c r="L37" i="19"/>
  <c r="L23" i="19"/>
  <c r="L16" i="19"/>
  <c r="AV40" i="19"/>
  <c r="AV39" i="19"/>
  <c r="AV34" i="19"/>
  <c r="AV33" i="19"/>
  <c r="AV30" i="19"/>
  <c r="AV29" i="19"/>
  <c r="AV27" i="19"/>
  <c r="AV26" i="19"/>
  <c r="AV24" i="19"/>
  <c r="AV21" i="19"/>
  <c r="AV20" i="19"/>
  <c r="AV17" i="19"/>
  <c r="AV13" i="19"/>
  <c r="AV10" i="19"/>
  <c r="AV9" i="19"/>
  <c r="L272" i="15"/>
  <c r="L269" i="15"/>
  <c r="L268" i="15"/>
  <c r="L225" i="15"/>
  <c r="L224" i="15"/>
  <c r="L221" i="15"/>
  <c r="L217" i="15"/>
  <c r="L212" i="15"/>
  <c r="L210" i="15"/>
  <c r="L204" i="15"/>
  <c r="L199" i="15"/>
  <c r="L197" i="15"/>
  <c r="L194" i="15"/>
  <c r="L160" i="15"/>
  <c r="L267" i="15" s="1"/>
  <c r="L174" i="15" s="1"/>
  <c r="L247" i="15" s="1"/>
  <c r="L113" i="15"/>
  <c r="L112" i="15"/>
  <c r="L111" i="15"/>
  <c r="L108" i="15"/>
  <c r="L101" i="15"/>
  <c r="L95" i="15"/>
  <c r="L179" i="15" s="1"/>
  <c r="L92" i="15"/>
  <c r="L176" i="15" s="1"/>
  <c r="L89" i="15"/>
  <c r="L175" i="15" s="1"/>
  <c r="L88" i="15"/>
  <c r="L61" i="15"/>
  <c r="L60" i="15"/>
  <c r="L56" i="15"/>
  <c r="L51" i="15"/>
  <c r="L50" i="15"/>
  <c r="L94" i="15" s="1"/>
  <c r="L177" i="15" s="1"/>
  <c r="L48" i="15"/>
  <c r="L276" i="15" s="1"/>
  <c r="L47" i="15"/>
  <c r="L275" i="15" s="1"/>
  <c r="L38" i="15"/>
  <c r="L26" i="15"/>
  <c r="L14" i="15"/>
  <c r="L15" i="15" s="1"/>
  <c r="L8" i="15"/>
  <c r="L198" i="15" s="1"/>
  <c r="AV272" i="15"/>
  <c r="AV269" i="15"/>
  <c r="AV268" i="15"/>
  <c r="AV199" i="15"/>
  <c r="AV194" i="15"/>
  <c r="AV155" i="15"/>
  <c r="AV140" i="15"/>
  <c r="AV139" i="15"/>
  <c r="AV136" i="15"/>
  <c r="AV132" i="15"/>
  <c r="AV131" i="15"/>
  <c r="AV130" i="15"/>
  <c r="AV127" i="15"/>
  <c r="AV126" i="15"/>
  <c r="AV125" i="15"/>
  <c r="AV124" i="15"/>
  <c r="AV123" i="15"/>
  <c r="AV122" i="15"/>
  <c r="AV121" i="15"/>
  <c r="AV107" i="15"/>
  <c r="AV106" i="15"/>
  <c r="AV105" i="15"/>
  <c r="AV46" i="15"/>
  <c r="AZ47" i="15" s="1"/>
  <c r="AV38" i="15"/>
  <c r="AV60" i="15" s="1"/>
  <c r="AV88" i="15" s="1"/>
  <c r="AV101" i="15" s="1"/>
  <c r="AV160" i="15" s="1"/>
  <c r="AV267" i="15" s="1"/>
  <c r="AV174" i="15" s="1"/>
  <c r="AV247" i="15" s="1"/>
  <c r="AV19" i="15"/>
  <c r="AV13" i="15"/>
  <c r="AV7" i="15"/>
  <c r="AZ8" i="15" s="1"/>
  <c r="AZ198" i="15" s="1"/>
  <c r="C518" i="20"/>
  <c r="C521" i="20" s="1"/>
  <c r="I492" i="20"/>
  <c r="AU63" i="19"/>
  <c r="AU62" i="19"/>
  <c r="AU61" i="19"/>
  <c r="AU60" i="19"/>
  <c r="AU58" i="19"/>
  <c r="AU16" i="19"/>
  <c r="AU41" i="19"/>
  <c r="AU23" i="19"/>
  <c r="AU116" i="15"/>
  <c r="AU147" i="15" s="1"/>
  <c r="AU146" i="15" s="1"/>
  <c r="AU186" i="15" s="1"/>
  <c r="AU259" i="15" s="1"/>
  <c r="AU103" i="15"/>
  <c r="AT49" i="15"/>
  <c r="AU16" i="15"/>
  <c r="AU274" i="15"/>
  <c r="AU272" i="15"/>
  <c r="AU270" i="15"/>
  <c r="AU269" i="15"/>
  <c r="AU268" i="15"/>
  <c r="AU204" i="15"/>
  <c r="AU199" i="15"/>
  <c r="AU197" i="15"/>
  <c r="AU194" i="15"/>
  <c r="AU183" i="15"/>
  <c r="AU256" i="15" s="1"/>
  <c r="AU298" i="15" s="1"/>
  <c r="AU141" i="15"/>
  <c r="AU113" i="15"/>
  <c r="AU112" i="15"/>
  <c r="AU111" i="15"/>
  <c r="AU108" i="15"/>
  <c r="AU61" i="15"/>
  <c r="AU278" i="15" s="1"/>
  <c r="AU48" i="15"/>
  <c r="AU206" i="15" s="1"/>
  <c r="AU47" i="15"/>
  <c r="AU275" i="15" s="1"/>
  <c r="AU38" i="15"/>
  <c r="AU60" i="15" s="1"/>
  <c r="AU88" i="15" s="1"/>
  <c r="AU101" i="15" s="1"/>
  <c r="AU160" i="15" s="1"/>
  <c r="AU267" i="15" s="1"/>
  <c r="AU174" i="15" s="1"/>
  <c r="AU247" i="15" s="1"/>
  <c r="AU31" i="15"/>
  <c r="AU26" i="15"/>
  <c r="AU14" i="15"/>
  <c r="AU15" i="15" s="1"/>
  <c r="AU8" i="15"/>
  <c r="AU198" i="15" s="1"/>
  <c r="AT116" i="15"/>
  <c r="C543" i="20"/>
  <c r="C541" i="20"/>
  <c r="C554" i="20" s="1"/>
  <c r="C555" i="20" s="1"/>
  <c r="C539" i="20"/>
  <c r="C538" i="20"/>
  <c r="C537" i="20"/>
  <c r="C535" i="20"/>
  <c r="C534" i="20"/>
  <c r="C532" i="20"/>
  <c r="I526" i="20"/>
  <c r="C562" i="20"/>
  <c r="C564" i="20" s="1"/>
  <c r="I535" i="20"/>
  <c r="AR59" i="19"/>
  <c r="AY271" i="15" l="1"/>
  <c r="AY79" i="19"/>
  <c r="AY77" i="19"/>
  <c r="AY80" i="19"/>
  <c r="AY81" i="19"/>
  <c r="AY82" i="19"/>
  <c r="AV78" i="19"/>
  <c r="M83" i="19"/>
  <c r="BE311" i="15"/>
  <c r="N82" i="15"/>
  <c r="N297" i="15" s="1"/>
  <c r="N296" i="15"/>
  <c r="N226" i="15"/>
  <c r="L69" i="19"/>
  <c r="L72" i="19"/>
  <c r="L71" i="19"/>
  <c r="L73" i="19"/>
  <c r="L70" i="19"/>
  <c r="L68" i="19"/>
  <c r="M54" i="19"/>
  <c r="AV53" i="19"/>
  <c r="AZ53" i="19"/>
  <c r="AZ52" i="19"/>
  <c r="AY54" i="19"/>
  <c r="L47" i="19"/>
  <c r="L45" i="19"/>
  <c r="L46" i="19"/>
  <c r="AU47" i="19"/>
  <c r="AU46" i="19"/>
  <c r="AU45" i="19"/>
  <c r="AU48" i="19" s="1"/>
  <c r="AZ211" i="15"/>
  <c r="AZ96" i="15"/>
  <c r="AZ180" i="15" s="1"/>
  <c r="AZ253" i="15" s="1"/>
  <c r="BE226" i="15"/>
  <c r="BE296" i="15"/>
  <c r="BE227" i="15"/>
  <c r="BE297" i="15"/>
  <c r="BE185" i="15"/>
  <c r="BE258" i="15" s="1"/>
  <c r="BE263" i="15" s="1"/>
  <c r="BE166" i="15"/>
  <c r="BE165" i="15"/>
  <c r="BE187" i="15"/>
  <c r="BE260" i="15" s="1"/>
  <c r="BE264" i="15" s="1"/>
  <c r="F106" i="20"/>
  <c r="D108" i="20"/>
  <c r="F108" i="20" s="1"/>
  <c r="D130" i="20"/>
  <c r="BC288" i="15"/>
  <c r="BC218" i="15"/>
  <c r="BD237" i="15"/>
  <c r="BD190" i="15"/>
  <c r="N227" i="15"/>
  <c r="BB86" i="15"/>
  <c r="AZ287" i="15"/>
  <c r="AZ219" i="15"/>
  <c r="AZ280" i="15"/>
  <c r="AZ294" i="15"/>
  <c r="AZ289" i="15"/>
  <c r="AZ217" i="15"/>
  <c r="AZ291" i="15"/>
  <c r="AZ36" i="15"/>
  <c r="AZ224" i="15"/>
  <c r="AZ286" i="15"/>
  <c r="BC96" i="15"/>
  <c r="BC180" i="15" s="1"/>
  <c r="BC253" i="15" s="1"/>
  <c r="AZ285" i="15"/>
  <c r="AZ295" i="15"/>
  <c r="AZ281" i="15"/>
  <c r="AZ312" i="15" s="1"/>
  <c r="AZ212" i="15"/>
  <c r="BA96" i="15"/>
  <c r="BA180" i="15" s="1"/>
  <c r="BA253" i="15" s="1"/>
  <c r="BC187" i="15"/>
  <c r="BC260" i="15" s="1"/>
  <c r="BC264" i="15" s="1"/>
  <c r="BC165" i="15"/>
  <c r="AZ62" i="15"/>
  <c r="AZ209" i="15" s="1"/>
  <c r="AZ76" i="15"/>
  <c r="BB96" i="15"/>
  <c r="BB180" i="15" s="1"/>
  <c r="BB253" i="15" s="1"/>
  <c r="BC166" i="15"/>
  <c r="BC185" i="15"/>
  <c r="BC258" i="15" s="1"/>
  <c r="BC263" i="15" s="1"/>
  <c r="BB296" i="15"/>
  <c r="BB226" i="15"/>
  <c r="L150" i="15"/>
  <c r="L153" i="15" s="1"/>
  <c r="AZ90" i="15"/>
  <c r="BB90" i="15"/>
  <c r="BB166" i="15"/>
  <c r="BB185" i="15"/>
  <c r="BB258" i="15" s="1"/>
  <c r="BB263" i="15" s="1"/>
  <c r="AZ308" i="15"/>
  <c r="AZ305" i="15"/>
  <c r="AZ67" i="15"/>
  <c r="BB82" i="15"/>
  <c r="BB187" i="15"/>
  <c r="BB260" i="15" s="1"/>
  <c r="BB264" i="15" s="1"/>
  <c r="BB165" i="15"/>
  <c r="AY222" i="15"/>
  <c r="AY279" i="15"/>
  <c r="AY292" i="15"/>
  <c r="AY35" i="15"/>
  <c r="BA166" i="15"/>
  <c r="BA185" i="15"/>
  <c r="BA258" i="15" s="1"/>
  <c r="BA263" i="15" s="1"/>
  <c r="AY284" i="15"/>
  <c r="BA187" i="15"/>
  <c r="BA260" i="15" s="1"/>
  <c r="BA264" i="15" s="1"/>
  <c r="BA165" i="15"/>
  <c r="AY214" i="15"/>
  <c r="AY66" i="15"/>
  <c r="AY213" i="15" s="1"/>
  <c r="F244" i="20"/>
  <c r="BA90" i="15"/>
  <c r="BA297" i="15"/>
  <c r="BA227" i="15"/>
  <c r="AX303" i="15"/>
  <c r="AZ187" i="15"/>
  <c r="AZ260" i="15" s="1"/>
  <c r="AZ264" i="15" s="1"/>
  <c r="AZ165" i="15"/>
  <c r="AZ190" i="15"/>
  <c r="AZ237" i="15"/>
  <c r="AW45" i="15"/>
  <c r="BA42" i="15"/>
  <c r="AZ233" i="15"/>
  <c r="AZ189" i="15"/>
  <c r="O41" i="19"/>
  <c r="L42" i="19"/>
  <c r="C414" i="20"/>
  <c r="C416" i="20" s="1"/>
  <c r="D416" i="20" s="1"/>
  <c r="L183" i="15"/>
  <c r="C437" i="20"/>
  <c r="AZ28" i="15"/>
  <c r="AZ21" i="15"/>
  <c r="AZ39" i="15"/>
  <c r="AZ41" i="15" s="1"/>
  <c r="M86" i="15"/>
  <c r="AZ205" i="15"/>
  <c r="AZ275" i="15"/>
  <c r="L58" i="15"/>
  <c r="M57" i="15"/>
  <c r="L29" i="15"/>
  <c r="M223" i="15"/>
  <c r="I313" i="20"/>
  <c r="F284" i="20" s="1"/>
  <c r="O26" i="15"/>
  <c r="AY89" i="15"/>
  <c r="AX89" i="15"/>
  <c r="AX109" i="15" s="1"/>
  <c r="AW32" i="15"/>
  <c r="AY45" i="15"/>
  <c r="AY43" i="15"/>
  <c r="AY92" i="15"/>
  <c r="O92" i="15"/>
  <c r="AX283" i="15"/>
  <c r="AX71" i="15"/>
  <c r="AX78" i="15" s="1"/>
  <c r="AX213" i="15"/>
  <c r="O30" i="15"/>
  <c r="AY30" i="15"/>
  <c r="AW23" i="15"/>
  <c r="AX43" i="15"/>
  <c r="AX45" i="15"/>
  <c r="AX33" i="15"/>
  <c r="AX32" i="15"/>
  <c r="AW43" i="15"/>
  <c r="AV18" i="15"/>
  <c r="AW29" i="15" s="1"/>
  <c r="I356" i="20"/>
  <c r="O112" i="15"/>
  <c r="O111" i="15"/>
  <c r="O113" i="15"/>
  <c r="AU27" i="15"/>
  <c r="O230" i="15"/>
  <c r="O184" i="15"/>
  <c r="O257" i="15" s="1"/>
  <c r="L141" i="15"/>
  <c r="AU49" i="15"/>
  <c r="AX30" i="15"/>
  <c r="AW30" i="15"/>
  <c r="AV20" i="15"/>
  <c r="AV204" i="15"/>
  <c r="AW92" i="15"/>
  <c r="AX92" i="15"/>
  <c r="AW89" i="15"/>
  <c r="AW81" i="15"/>
  <c r="AW288" i="15"/>
  <c r="AW218" i="15"/>
  <c r="L211" i="15"/>
  <c r="I441" i="20"/>
  <c r="AV128" i="15"/>
  <c r="L244" i="15"/>
  <c r="D500" i="20"/>
  <c r="D498" i="20"/>
  <c r="C452" i="20"/>
  <c r="D495" i="20"/>
  <c r="C454" i="20"/>
  <c r="D492" i="20"/>
  <c r="AV183" i="15"/>
  <c r="AV256" i="15" s="1"/>
  <c r="AV298" i="15" s="1"/>
  <c r="C456" i="20"/>
  <c r="D496" i="20"/>
  <c r="C450" i="20"/>
  <c r="AV37" i="19"/>
  <c r="C453" i="20"/>
  <c r="D491" i="20"/>
  <c r="D494" i="20"/>
  <c r="AV16" i="19"/>
  <c r="AV63" i="19"/>
  <c r="AV58" i="19"/>
  <c r="AV61" i="19"/>
  <c r="AV60" i="19"/>
  <c r="L65" i="19"/>
  <c r="AV62" i="19"/>
  <c r="AV120" i="15"/>
  <c r="L17" i="15"/>
  <c r="L39" i="15" s="1"/>
  <c r="L41" i="15" s="1"/>
  <c r="D489" i="20"/>
  <c r="AV41" i="19"/>
  <c r="AV23" i="19"/>
  <c r="L66" i="15"/>
  <c r="L71" i="15" s="1"/>
  <c r="L78" i="15" s="1"/>
  <c r="AV116" i="15"/>
  <c r="AV270" i="15"/>
  <c r="L109" i="15"/>
  <c r="L93" i="15"/>
  <c r="L178" i="15"/>
  <c r="L205" i="15"/>
  <c r="L214" i="15"/>
  <c r="L30" i="15"/>
  <c r="L146" i="15"/>
  <c r="L206" i="15"/>
  <c r="AV26" i="15"/>
  <c r="AV92" i="15"/>
  <c r="L163" i="15"/>
  <c r="L184" i="15"/>
  <c r="L208" i="15"/>
  <c r="L35" i="15"/>
  <c r="AV112" i="15"/>
  <c r="L157" i="15"/>
  <c r="AV111" i="15"/>
  <c r="AV274" i="15"/>
  <c r="AV113" i="15"/>
  <c r="AV14" i="15"/>
  <c r="AV61" i="15"/>
  <c r="AV197" i="15"/>
  <c r="AV89" i="15"/>
  <c r="AV175" i="15" s="1"/>
  <c r="AV108" i="15"/>
  <c r="AV48" i="15"/>
  <c r="D516" i="20"/>
  <c r="D517" i="20"/>
  <c r="AU37" i="19"/>
  <c r="D519" i="20"/>
  <c r="D518" i="20"/>
  <c r="D515" i="20"/>
  <c r="D562" i="20"/>
  <c r="D537" i="20"/>
  <c r="D539" i="20"/>
  <c r="D541" i="20"/>
  <c r="D538" i="20"/>
  <c r="D532" i="20"/>
  <c r="D535" i="20"/>
  <c r="D558" i="20"/>
  <c r="D560" i="20"/>
  <c r="C497" i="20"/>
  <c r="C503" i="20" s="1"/>
  <c r="I493" i="20"/>
  <c r="I494" i="20" s="1"/>
  <c r="D534" i="20"/>
  <c r="C512" i="20"/>
  <c r="D511" i="20"/>
  <c r="D512" i="20" s="1"/>
  <c r="D559" i="20"/>
  <c r="D543" i="20"/>
  <c r="D561" i="20"/>
  <c r="AU64" i="19"/>
  <c r="AU42" i="19"/>
  <c r="AU142" i="15"/>
  <c r="AU205" i="15"/>
  <c r="AU208" i="15"/>
  <c r="AU276" i="15"/>
  <c r="AU171" i="15"/>
  <c r="AU157" i="15"/>
  <c r="AU230" i="15"/>
  <c r="AU184" i="15"/>
  <c r="AU257" i="15" s="1"/>
  <c r="AU302" i="15" s="1"/>
  <c r="AU158" i="15"/>
  <c r="AU231" i="15"/>
  <c r="AU17" i="15"/>
  <c r="I536" i="20"/>
  <c r="I537" i="20" s="1"/>
  <c r="D554" i="20"/>
  <c r="D555" i="20" s="1"/>
  <c r="C540" i="20"/>
  <c r="C546" i="20" s="1"/>
  <c r="AT64" i="19"/>
  <c r="AT41" i="19"/>
  <c r="AT23" i="19"/>
  <c r="AT16" i="19"/>
  <c r="AT103" i="15"/>
  <c r="K103" i="15"/>
  <c r="AT73" i="15"/>
  <c r="AT74" i="15"/>
  <c r="AT68" i="15"/>
  <c r="AT65" i="15"/>
  <c r="AT64" i="15"/>
  <c r="AT63" i="15"/>
  <c r="AT40" i="15"/>
  <c r="AU40" i="15" s="1"/>
  <c r="AT16" i="15"/>
  <c r="AT272" i="15"/>
  <c r="AT269" i="15"/>
  <c r="AT268" i="15"/>
  <c r="AT243" i="15"/>
  <c r="M293" i="15" s="1"/>
  <c r="AT204" i="15"/>
  <c r="AT199" i="15"/>
  <c r="AT197" i="15"/>
  <c r="AT194" i="15"/>
  <c r="AT183" i="15"/>
  <c r="AT256" i="15" s="1"/>
  <c r="AT298" i="15" s="1"/>
  <c r="AT141" i="15"/>
  <c r="AT142" i="15" s="1"/>
  <c r="AT147" i="15"/>
  <c r="AT113" i="15"/>
  <c r="AT112" i="15"/>
  <c r="AT111" i="15"/>
  <c r="AT108" i="15"/>
  <c r="AT80" i="15"/>
  <c r="AU80" i="15" s="1"/>
  <c r="AT79" i="15"/>
  <c r="AT75" i="15"/>
  <c r="AT70" i="15"/>
  <c r="AT69" i="15"/>
  <c r="AT61" i="15"/>
  <c r="AT51" i="15"/>
  <c r="AT50" i="15"/>
  <c r="AT48" i="15"/>
  <c r="AT276" i="15" s="1"/>
  <c r="AT47" i="15"/>
  <c r="AT275" i="15" s="1"/>
  <c r="AT38" i="15"/>
  <c r="AT60" i="15" s="1"/>
  <c r="AT88" i="15" s="1"/>
  <c r="AT101" i="15" s="1"/>
  <c r="AT160" i="15" s="1"/>
  <c r="AT267" i="15" s="1"/>
  <c r="AT174" i="15" s="1"/>
  <c r="AT247" i="15" s="1"/>
  <c r="AT31" i="15"/>
  <c r="AT26" i="15"/>
  <c r="AT14" i="15"/>
  <c r="AT8" i="15"/>
  <c r="AT198" i="15" s="1"/>
  <c r="AS62" i="15"/>
  <c r="C573" i="20"/>
  <c r="AS113" i="15"/>
  <c r="AQ113" i="15"/>
  <c r="AP113" i="15"/>
  <c r="AO113" i="15"/>
  <c r="AM113" i="15"/>
  <c r="AL113" i="15"/>
  <c r="AK113" i="15"/>
  <c r="AI113" i="15"/>
  <c r="AH113" i="15"/>
  <c r="AG113" i="15"/>
  <c r="AE113" i="15"/>
  <c r="AD113" i="15"/>
  <c r="AC113" i="15"/>
  <c r="AA113" i="15"/>
  <c r="Z113" i="15"/>
  <c r="Y113" i="15"/>
  <c r="W113" i="15"/>
  <c r="V113" i="15"/>
  <c r="U113" i="15"/>
  <c r="AS112" i="15"/>
  <c r="AQ112" i="15"/>
  <c r="AP112" i="15"/>
  <c r="AO112" i="15"/>
  <c r="AM112" i="15"/>
  <c r="AL112" i="15"/>
  <c r="AK112" i="15"/>
  <c r="AI112" i="15"/>
  <c r="AH112" i="15"/>
  <c r="AG112" i="15"/>
  <c r="AE112" i="15"/>
  <c r="AD112" i="15"/>
  <c r="AC112" i="15"/>
  <c r="AA112" i="15"/>
  <c r="Z112" i="15"/>
  <c r="Y112" i="15"/>
  <c r="W112" i="15"/>
  <c r="V112" i="15"/>
  <c r="U112" i="15"/>
  <c r="AS111" i="15"/>
  <c r="AQ111" i="15"/>
  <c r="AP111" i="15"/>
  <c r="AO111" i="15"/>
  <c r="AM111" i="15"/>
  <c r="AL111" i="15"/>
  <c r="AK111" i="15"/>
  <c r="AI111" i="15"/>
  <c r="AH111" i="15"/>
  <c r="AG111" i="15"/>
  <c r="AE111" i="15"/>
  <c r="AD111" i="15"/>
  <c r="AC111" i="15"/>
  <c r="AA111" i="15"/>
  <c r="Z111" i="15"/>
  <c r="Y111" i="15"/>
  <c r="W111" i="15"/>
  <c r="V111" i="15"/>
  <c r="U111" i="15"/>
  <c r="K113" i="15"/>
  <c r="J113" i="15"/>
  <c r="I113" i="15"/>
  <c r="H113" i="15"/>
  <c r="G113" i="15"/>
  <c r="F113" i="15"/>
  <c r="E113" i="15"/>
  <c r="D113" i="15"/>
  <c r="K112" i="15"/>
  <c r="J112" i="15"/>
  <c r="I112" i="15"/>
  <c r="H112" i="15"/>
  <c r="G112" i="15"/>
  <c r="F112" i="15"/>
  <c r="E112" i="15"/>
  <c r="D112" i="15"/>
  <c r="K111" i="15"/>
  <c r="J111" i="15"/>
  <c r="I111" i="15"/>
  <c r="H111" i="15"/>
  <c r="G111" i="15"/>
  <c r="F111" i="15"/>
  <c r="E111" i="15"/>
  <c r="D111" i="15"/>
  <c r="C113" i="15"/>
  <c r="C111" i="15"/>
  <c r="C584" i="20"/>
  <c r="C582" i="20"/>
  <c r="I577" i="20" s="1"/>
  <c r="C580" i="20"/>
  <c r="C579" i="20"/>
  <c r="C578" i="20"/>
  <c r="C576" i="20"/>
  <c r="C575" i="20"/>
  <c r="I567" i="20"/>
  <c r="C603" i="20"/>
  <c r="C605" i="20" s="1"/>
  <c r="I576" i="20"/>
  <c r="AS64" i="19"/>
  <c r="AS41" i="19"/>
  <c r="AS23" i="19"/>
  <c r="AS16" i="19"/>
  <c r="AS116" i="15"/>
  <c r="AS147" i="15" s="1"/>
  <c r="AS103" i="15"/>
  <c r="AS76" i="15"/>
  <c r="AS72" i="15"/>
  <c r="AS67" i="15"/>
  <c r="AS16" i="15"/>
  <c r="AS14" i="15"/>
  <c r="AS15" i="15" s="1"/>
  <c r="AS272" i="15"/>
  <c r="AS269" i="15"/>
  <c r="AS268" i="15"/>
  <c r="AS225" i="15"/>
  <c r="AS224" i="15"/>
  <c r="AS221" i="15"/>
  <c r="AS220" i="15"/>
  <c r="AS219" i="15"/>
  <c r="AS217" i="15"/>
  <c r="AS216" i="15"/>
  <c r="AS215" i="15"/>
  <c r="AS212" i="15"/>
  <c r="AS211" i="15"/>
  <c r="AS210" i="15"/>
  <c r="AS204" i="15"/>
  <c r="AS199" i="15"/>
  <c r="AS197" i="15"/>
  <c r="AS194" i="15"/>
  <c r="AS183" i="15"/>
  <c r="AS256" i="15" s="1"/>
  <c r="AS298" i="15" s="1"/>
  <c r="AS141" i="15"/>
  <c r="AS108" i="15"/>
  <c r="AS61" i="15"/>
  <c r="AS51" i="15"/>
  <c r="AS50" i="15"/>
  <c r="AS48" i="15"/>
  <c r="AS276" i="15" s="1"/>
  <c r="AS47" i="15"/>
  <c r="AS275" i="15" s="1"/>
  <c r="AS38" i="15"/>
  <c r="AS60" i="15" s="1"/>
  <c r="AS88" i="15" s="1"/>
  <c r="AS101" i="15" s="1"/>
  <c r="AS160" i="15" s="1"/>
  <c r="AS267" i="15" s="1"/>
  <c r="AS174" i="15" s="1"/>
  <c r="AS247" i="15" s="1"/>
  <c r="AS36" i="15"/>
  <c r="AS31" i="15"/>
  <c r="AS26" i="15"/>
  <c r="AS8" i="15"/>
  <c r="AS198" i="15" s="1"/>
  <c r="C652" i="20"/>
  <c r="AZ271" i="15" l="1"/>
  <c r="AV141" i="15"/>
  <c r="L142" i="15"/>
  <c r="AZ82" i="19"/>
  <c r="AX83" i="19"/>
  <c r="AY83" i="19"/>
  <c r="AZ81" i="19"/>
  <c r="AZ79" i="19"/>
  <c r="AZ80" i="19"/>
  <c r="AW83" i="19"/>
  <c r="AZ77" i="19"/>
  <c r="L74" i="19"/>
  <c r="AU65" i="19"/>
  <c r="AU69" i="19"/>
  <c r="AU73" i="19"/>
  <c r="AU72" i="19"/>
  <c r="AU71" i="19"/>
  <c r="AU70" i="19"/>
  <c r="AU68" i="19"/>
  <c r="AT71" i="19"/>
  <c r="AT70" i="19"/>
  <c r="AT69" i="19"/>
  <c r="AT73" i="19"/>
  <c r="AT68" i="19"/>
  <c r="AT72" i="19"/>
  <c r="AS71" i="19"/>
  <c r="AS70" i="19"/>
  <c r="AS69" i="19"/>
  <c r="AS72" i="19"/>
  <c r="AS68" i="19"/>
  <c r="AS73" i="19"/>
  <c r="AZ54" i="19"/>
  <c r="AX54" i="19"/>
  <c r="AW54" i="19"/>
  <c r="L48" i="19"/>
  <c r="O46" i="19"/>
  <c r="O45" i="19"/>
  <c r="O47" i="19"/>
  <c r="AV45" i="19"/>
  <c r="AV47" i="19"/>
  <c r="AV46" i="19"/>
  <c r="AT47" i="19"/>
  <c r="AT46" i="19"/>
  <c r="AT45" i="19"/>
  <c r="AS47" i="19"/>
  <c r="AS46" i="19"/>
  <c r="AS45" i="19"/>
  <c r="BE190" i="15"/>
  <c r="BE237" i="15"/>
  <c r="BE191" i="15"/>
  <c r="BE236" i="15"/>
  <c r="L300" i="15"/>
  <c r="L245" i="15"/>
  <c r="BC293" i="15"/>
  <c r="BC223" i="15"/>
  <c r="BC81" i="15"/>
  <c r="AZ279" i="15"/>
  <c r="AZ66" i="15"/>
  <c r="AZ213" i="15" s="1"/>
  <c r="AZ222" i="15"/>
  <c r="BC236" i="15"/>
  <c r="BC191" i="15"/>
  <c r="BC237" i="15"/>
  <c r="BC190" i="15"/>
  <c r="AZ292" i="15"/>
  <c r="BC312" i="15"/>
  <c r="BA312" i="15"/>
  <c r="AZ214" i="15"/>
  <c r="BC98" i="15"/>
  <c r="BC181" i="15" s="1"/>
  <c r="BC254" i="15" s="1"/>
  <c r="BB312" i="15"/>
  <c r="AZ91" i="15"/>
  <c r="AZ169" i="15" s="1"/>
  <c r="AZ240" i="15" s="1"/>
  <c r="BC91" i="15"/>
  <c r="AV42" i="19"/>
  <c r="AX305" i="15"/>
  <c r="AZ98" i="15"/>
  <c r="AZ181" i="15" s="1"/>
  <c r="AZ254" i="15" s="1"/>
  <c r="AZ284" i="15"/>
  <c r="BB311" i="15" s="1"/>
  <c r="BB91" i="15"/>
  <c r="AY306" i="15"/>
  <c r="BA98" i="15"/>
  <c r="BA181" i="15" s="1"/>
  <c r="BA254" i="15" s="1"/>
  <c r="AZ35" i="15"/>
  <c r="BB236" i="15"/>
  <c r="BB191" i="15"/>
  <c r="BB297" i="15"/>
  <c r="BB227" i="15"/>
  <c r="BB237" i="15"/>
  <c r="BB190" i="15"/>
  <c r="AX306" i="15"/>
  <c r="BB98" i="15"/>
  <c r="BB181" i="15" s="1"/>
  <c r="BB254" i="15" s="1"/>
  <c r="AY305" i="15"/>
  <c r="C420" i="20"/>
  <c r="O302" i="15"/>
  <c r="AY71" i="15"/>
  <c r="AY283" i="15"/>
  <c r="BA190" i="15"/>
  <c r="BA237" i="15"/>
  <c r="BA236" i="15"/>
  <c r="BA191" i="15"/>
  <c r="AU303" i="15"/>
  <c r="L256" i="15"/>
  <c r="L298" i="15" s="1"/>
  <c r="AZ236" i="15"/>
  <c r="AZ191" i="15"/>
  <c r="BA91" i="15"/>
  <c r="F286" i="20"/>
  <c r="O64" i="19"/>
  <c r="O274" i="15"/>
  <c r="AZ43" i="15"/>
  <c r="AZ45" i="15"/>
  <c r="AZ23" i="15"/>
  <c r="AZ32" i="15"/>
  <c r="AZ33" i="15"/>
  <c r="AV29" i="15"/>
  <c r="M290" i="15"/>
  <c r="M285" i="15"/>
  <c r="M286" i="15"/>
  <c r="M292" i="15"/>
  <c r="M295" i="15"/>
  <c r="M248" i="15"/>
  <c r="M280" i="15"/>
  <c r="M281" i="15"/>
  <c r="M252" i="15"/>
  <c r="M289" i="15"/>
  <c r="M282" i="15"/>
  <c r="M287" i="15"/>
  <c r="M274" i="15"/>
  <c r="M291" i="15"/>
  <c r="M270" i="15"/>
  <c r="N271" i="15" s="1"/>
  <c r="M294" i="15"/>
  <c r="M279" i="15"/>
  <c r="M284" i="15"/>
  <c r="M250" i="15"/>
  <c r="M254" i="15"/>
  <c r="M253" i="15"/>
  <c r="M249" i="15"/>
  <c r="M278" i="15"/>
  <c r="M283" i="15"/>
  <c r="M288" i="15"/>
  <c r="L43" i="15"/>
  <c r="M42" i="15"/>
  <c r="M255" i="15"/>
  <c r="M226" i="15"/>
  <c r="M296" i="15"/>
  <c r="M82" i="15"/>
  <c r="AY29" i="15"/>
  <c r="AX29" i="15"/>
  <c r="O29" i="15"/>
  <c r="AX288" i="15"/>
  <c r="AX218" i="15"/>
  <c r="AX81" i="15"/>
  <c r="AV31" i="15"/>
  <c r="O48" i="15"/>
  <c r="O206" i="15" s="1"/>
  <c r="O204" i="15"/>
  <c r="O61" i="15"/>
  <c r="O278" i="15" s="1"/>
  <c r="O56" i="15"/>
  <c r="AY175" i="15"/>
  <c r="AY248" i="15" s="1"/>
  <c r="AY109" i="15"/>
  <c r="C331" i="20"/>
  <c r="AY176" i="15"/>
  <c r="AY163" i="15"/>
  <c r="AY162" i="15"/>
  <c r="O42" i="19"/>
  <c r="O197" i="15"/>
  <c r="O14" i="15"/>
  <c r="O89" i="15"/>
  <c r="O175" i="15" s="1"/>
  <c r="O248" i="15" s="1"/>
  <c r="O176" i="15"/>
  <c r="O249" i="15" s="1"/>
  <c r="O162" i="15"/>
  <c r="O163" i="15"/>
  <c r="O188" i="15" s="1"/>
  <c r="O270" i="15"/>
  <c r="C374" i="20"/>
  <c r="AT42" i="19"/>
  <c r="AS42" i="19"/>
  <c r="AU51" i="15"/>
  <c r="O171" i="15"/>
  <c r="O186" i="15"/>
  <c r="O259" i="15" s="1"/>
  <c r="O231" i="15"/>
  <c r="O31" i="15"/>
  <c r="AV49" i="15"/>
  <c r="AV51" i="15" s="1"/>
  <c r="AV147" i="15"/>
  <c r="AV230" i="15" s="1"/>
  <c r="AT27" i="15"/>
  <c r="AU50" i="15"/>
  <c r="AW176" i="15"/>
  <c r="C417" i="20"/>
  <c r="AW163" i="15"/>
  <c r="AW162" i="15"/>
  <c r="AW175" i="15"/>
  <c r="AW248" i="15" s="1"/>
  <c r="AW109" i="15"/>
  <c r="AW86" i="15"/>
  <c r="I399" i="20"/>
  <c r="AX175" i="15"/>
  <c r="AX248" i="15" s="1"/>
  <c r="AX176" i="15"/>
  <c r="AX163" i="15"/>
  <c r="AX162" i="15"/>
  <c r="D454" i="20"/>
  <c r="D450" i="20"/>
  <c r="D452" i="20"/>
  <c r="D456" i="20"/>
  <c r="AW223" i="15"/>
  <c r="AW293" i="15"/>
  <c r="AW82" i="15"/>
  <c r="D473" i="20"/>
  <c r="D477" i="20"/>
  <c r="D476" i="20"/>
  <c r="D475" i="20"/>
  <c r="D474" i="20"/>
  <c r="L257" i="15"/>
  <c r="L302" i="15" s="1"/>
  <c r="D453" i="20"/>
  <c r="C449" i="20"/>
  <c r="D449" i="20" s="1"/>
  <c r="D458" i="20"/>
  <c r="C469" i="20"/>
  <c r="I451" i="20"/>
  <c r="I452" i="20" s="1"/>
  <c r="AV176" i="15"/>
  <c r="AV178" i="15" s="1"/>
  <c r="C460" i="20"/>
  <c r="D460" i="20" s="1"/>
  <c r="C447" i="20"/>
  <c r="D447" i="20" s="1"/>
  <c r="AV64" i="19"/>
  <c r="AV142" i="15"/>
  <c r="L213" i="15"/>
  <c r="L91" i="15"/>
  <c r="L168" i="15" s="1"/>
  <c r="L239" i="15" s="1"/>
  <c r="L90" i="15"/>
  <c r="L45" i="15"/>
  <c r="L28" i="15"/>
  <c r="L21" i="15"/>
  <c r="L23" i="15" s="1"/>
  <c r="L97" i="15" s="1"/>
  <c r="AU70" i="15"/>
  <c r="AU68" i="15"/>
  <c r="AU75" i="15"/>
  <c r="AU74" i="15"/>
  <c r="AT76" i="15"/>
  <c r="AU73" i="15"/>
  <c r="AT62" i="15"/>
  <c r="AU69" i="15"/>
  <c r="AS27" i="15"/>
  <c r="AU63" i="15"/>
  <c r="AU65" i="15"/>
  <c r="AT72" i="15"/>
  <c r="L166" i="15"/>
  <c r="L185" i="15"/>
  <c r="L258" i="15" s="1"/>
  <c r="L171" i="15"/>
  <c r="L186" i="15"/>
  <c r="L259" i="15" s="1"/>
  <c r="L152" i="15"/>
  <c r="L162" i="15"/>
  <c r="L231" i="15"/>
  <c r="L158" i="15"/>
  <c r="L188" i="15"/>
  <c r="L234" i="15"/>
  <c r="L99" i="15"/>
  <c r="L182" i="15" s="1"/>
  <c r="L81" i="15"/>
  <c r="L86" i="15" s="1"/>
  <c r="L218" i="15"/>
  <c r="AV109" i="15"/>
  <c r="AV15" i="15"/>
  <c r="AV278" i="15"/>
  <c r="AV208" i="15"/>
  <c r="AS35" i="15"/>
  <c r="AV276" i="15"/>
  <c r="AV206" i="15"/>
  <c r="AV16" i="15"/>
  <c r="AU64" i="15"/>
  <c r="AT17" i="15"/>
  <c r="C522" i="20"/>
  <c r="D497" i="20"/>
  <c r="D499" i="20" s="1"/>
  <c r="C499" i="20"/>
  <c r="C505" i="20" s="1"/>
  <c r="D521" i="20"/>
  <c r="AT280" i="15"/>
  <c r="AT219" i="15"/>
  <c r="AT294" i="15"/>
  <c r="AU79" i="15"/>
  <c r="AT281" i="15"/>
  <c r="AT67" i="15"/>
  <c r="AU21" i="15"/>
  <c r="AU39" i="15"/>
  <c r="AU28" i="15"/>
  <c r="AT282" i="15"/>
  <c r="AT37" i="19"/>
  <c r="AT36" i="15"/>
  <c r="C565" i="20"/>
  <c r="C542" i="20"/>
  <c r="C548" i="20" s="1"/>
  <c r="D599" i="20"/>
  <c r="AT65" i="19"/>
  <c r="AT286" i="15"/>
  <c r="AT287" i="15"/>
  <c r="AT278" i="15"/>
  <c r="AT291" i="15"/>
  <c r="AT285" i="15"/>
  <c r="AT289" i="15"/>
  <c r="AT295" i="15"/>
  <c r="AT290" i="15"/>
  <c r="AT184" i="15"/>
  <c r="AT257" i="15" s="1"/>
  <c r="AT302" i="15" s="1"/>
  <c r="AT146" i="15"/>
  <c r="AT230" i="15"/>
  <c r="AT157" i="15"/>
  <c r="AT221" i="15"/>
  <c r="AT274" i="15"/>
  <c r="AT205" i="15"/>
  <c r="AT206" i="15"/>
  <c r="AT215" i="15"/>
  <c r="AT208" i="15"/>
  <c r="AT216" i="15"/>
  <c r="AT224" i="15"/>
  <c r="AT217" i="15"/>
  <c r="AT225" i="15"/>
  <c r="AT15" i="15"/>
  <c r="AT210" i="15"/>
  <c r="AT211" i="15"/>
  <c r="AT270" i="15"/>
  <c r="AT212" i="15"/>
  <c r="AT220" i="15"/>
  <c r="AS17" i="15"/>
  <c r="D575" i="20"/>
  <c r="D580" i="20"/>
  <c r="D578" i="20"/>
  <c r="AS66" i="15"/>
  <c r="AS71" i="15" s="1"/>
  <c r="AS78" i="15" s="1"/>
  <c r="D579" i="20"/>
  <c r="D582" i="20"/>
  <c r="D600" i="20"/>
  <c r="D584" i="20"/>
  <c r="D603" i="20"/>
  <c r="D573" i="20"/>
  <c r="D576" i="20"/>
  <c r="D601" i="20"/>
  <c r="D602" i="20"/>
  <c r="AS37" i="19"/>
  <c r="AS142" i="15"/>
  <c r="C595" i="20"/>
  <c r="C596" i="20" s="1"/>
  <c r="C581" i="20"/>
  <c r="I578" i="20"/>
  <c r="AS65" i="19"/>
  <c r="AS184" i="15"/>
  <c r="AS257" i="15" s="1"/>
  <c r="AS302" i="15" s="1"/>
  <c r="AS157" i="15"/>
  <c r="AS230" i="15"/>
  <c r="AS205" i="15"/>
  <c r="AS214" i="15"/>
  <c r="AS222" i="15"/>
  <c r="AS146" i="15"/>
  <c r="AS206" i="15"/>
  <c r="AS209" i="15"/>
  <c r="AS208" i="15"/>
  <c r="AP63" i="19"/>
  <c r="AP62" i="19"/>
  <c r="AP61" i="19"/>
  <c r="AP60" i="19"/>
  <c r="AP58" i="19"/>
  <c r="AO64" i="19"/>
  <c r="J67" i="15"/>
  <c r="J69" i="15"/>
  <c r="K69" i="15"/>
  <c r="AQ155" i="15"/>
  <c r="K64" i="19"/>
  <c r="AR243" i="15"/>
  <c r="AR244" i="15"/>
  <c r="K244" i="15" s="1"/>
  <c r="K245" i="15" s="1"/>
  <c r="AX271" i="15" l="1"/>
  <c r="AY288" i="15"/>
  <c r="AY78" i="15"/>
  <c r="AT82" i="19"/>
  <c r="AP82" i="19"/>
  <c r="AT77" i="19"/>
  <c r="AT79" i="19"/>
  <c r="L83" i="19"/>
  <c r="AT80" i="19"/>
  <c r="AP80" i="19"/>
  <c r="AS83" i="19"/>
  <c r="AT81" i="19"/>
  <c r="AZ83" i="19"/>
  <c r="AT48" i="19"/>
  <c r="AS48" i="19"/>
  <c r="AU74" i="19"/>
  <c r="AS74" i="19"/>
  <c r="AT74" i="19"/>
  <c r="O65" i="19"/>
  <c r="O70" i="19"/>
  <c r="O71" i="19"/>
  <c r="O68" i="19"/>
  <c r="O69" i="19"/>
  <c r="O72" i="19"/>
  <c r="O73" i="19"/>
  <c r="AV65" i="19"/>
  <c r="AV72" i="19"/>
  <c r="AV70" i="19"/>
  <c r="AV71" i="19"/>
  <c r="AV73" i="19"/>
  <c r="AV68" i="19"/>
  <c r="AV69" i="19"/>
  <c r="AQ63" i="19"/>
  <c r="AQ62" i="19"/>
  <c r="AQ60" i="19"/>
  <c r="AQ58" i="19"/>
  <c r="AO72" i="19"/>
  <c r="AO73" i="19"/>
  <c r="AO68" i="19"/>
  <c r="AO69" i="19"/>
  <c r="AO70" i="19"/>
  <c r="AO71" i="19"/>
  <c r="K72" i="19"/>
  <c r="K69" i="19"/>
  <c r="K73" i="19"/>
  <c r="K70" i="19"/>
  <c r="K71" i="19"/>
  <c r="K68" i="19"/>
  <c r="O48" i="19"/>
  <c r="AV48" i="19"/>
  <c r="BC82" i="15"/>
  <c r="BC297" i="15" s="1"/>
  <c r="AZ283" i="15"/>
  <c r="BD81" i="15"/>
  <c r="O81" i="15" s="1"/>
  <c r="BC226" i="15"/>
  <c r="BC86" i="15"/>
  <c r="BC296" i="15"/>
  <c r="O58" i="15"/>
  <c r="O93" i="15"/>
  <c r="AZ71" i="15"/>
  <c r="AZ168" i="15"/>
  <c r="AZ239" i="15" s="1"/>
  <c r="AZ311" i="15"/>
  <c r="BC168" i="15"/>
  <c r="BC239" i="15" s="1"/>
  <c r="BC169" i="15"/>
  <c r="BC240" i="15" s="1"/>
  <c r="BB97" i="15"/>
  <c r="BC97" i="15"/>
  <c r="BA311" i="15"/>
  <c r="BC311" i="15"/>
  <c r="C421" i="20"/>
  <c r="M311" i="15"/>
  <c r="M312" i="15"/>
  <c r="M309" i="15"/>
  <c r="M308" i="15"/>
  <c r="BB169" i="15"/>
  <c r="BB240" i="15" s="1"/>
  <c r="BB168" i="15"/>
  <c r="BB239" i="15" s="1"/>
  <c r="AW306" i="15"/>
  <c r="AW305" i="15"/>
  <c r="O309" i="15"/>
  <c r="O306" i="15"/>
  <c r="M306" i="15"/>
  <c r="M305" i="15"/>
  <c r="AY81" i="15"/>
  <c r="O303" i="15"/>
  <c r="AY218" i="15"/>
  <c r="AS303" i="15"/>
  <c r="BA168" i="15"/>
  <c r="BA239" i="15" s="1"/>
  <c r="BA169" i="15"/>
  <c r="BA240" i="15" s="1"/>
  <c r="AV95" i="15"/>
  <c r="AV149" i="15" s="1"/>
  <c r="AV300" i="15" s="1"/>
  <c r="L303" i="15"/>
  <c r="AT303" i="15"/>
  <c r="AZ97" i="15"/>
  <c r="BA97" i="15"/>
  <c r="AV146" i="15"/>
  <c r="AV186" i="15" s="1"/>
  <c r="AV259" i="15" s="1"/>
  <c r="O208" i="15"/>
  <c r="M261" i="15"/>
  <c r="M262" i="15"/>
  <c r="M251" i="15"/>
  <c r="O109" i="15"/>
  <c r="M264" i="15"/>
  <c r="M263" i="15"/>
  <c r="O276" i="15"/>
  <c r="M227" i="15"/>
  <c r="M297" i="15"/>
  <c r="AX86" i="15"/>
  <c r="AX296" i="15"/>
  <c r="AX226" i="15"/>
  <c r="AX95" i="15"/>
  <c r="AX149" i="15" s="1"/>
  <c r="AY95" i="15"/>
  <c r="O51" i="15"/>
  <c r="AY189" i="15"/>
  <c r="AY233" i="15"/>
  <c r="AX82" i="15"/>
  <c r="AX227" i="15" s="1"/>
  <c r="AX223" i="15"/>
  <c r="AX293" i="15"/>
  <c r="AY188" i="15"/>
  <c r="AY234" i="15"/>
  <c r="AY249" i="15"/>
  <c r="AY178" i="15"/>
  <c r="D331" i="20"/>
  <c r="I324" i="20"/>
  <c r="E326" i="20"/>
  <c r="I325" i="20"/>
  <c r="E328" i="20"/>
  <c r="C335" i="20"/>
  <c r="O15" i="15"/>
  <c r="O17" i="15"/>
  <c r="O234" i="15"/>
  <c r="AV50" i="15"/>
  <c r="AV94" i="15" s="1"/>
  <c r="AV177" i="15" s="1"/>
  <c r="D374" i="20"/>
  <c r="F371" i="20" s="1"/>
  <c r="I367" i="20"/>
  <c r="I368" i="20"/>
  <c r="E369" i="20"/>
  <c r="E371" i="20"/>
  <c r="C378" i="20"/>
  <c r="AV163" i="15"/>
  <c r="AV188" i="15" s="1"/>
  <c r="AV30" i="15"/>
  <c r="O262" i="15"/>
  <c r="AV157" i="15"/>
  <c r="AV184" i="15"/>
  <c r="AV257" i="15" s="1"/>
  <c r="AV302" i="15" s="1"/>
  <c r="O189" i="15"/>
  <c r="O233" i="15"/>
  <c r="AV80" i="15"/>
  <c r="O178" i="15"/>
  <c r="AV40" i="15"/>
  <c r="O251" i="15"/>
  <c r="AV65" i="15"/>
  <c r="AV73" i="15"/>
  <c r="O261" i="15"/>
  <c r="AV68" i="15"/>
  <c r="AV79" i="15"/>
  <c r="AV224" i="15" s="1"/>
  <c r="AV63" i="15"/>
  <c r="AV280" i="15" s="1"/>
  <c r="AV70" i="15"/>
  <c r="AV74" i="15"/>
  <c r="AV220" i="15" s="1"/>
  <c r="AV27" i="15"/>
  <c r="AV69" i="15"/>
  <c r="AV75" i="15"/>
  <c r="AW95" i="15"/>
  <c r="AW149" i="15" s="1"/>
  <c r="AW300" i="15" s="1"/>
  <c r="AU62" i="15"/>
  <c r="AU209" i="15" s="1"/>
  <c r="AX233" i="15"/>
  <c r="AX189" i="15"/>
  <c r="AW189" i="15"/>
  <c r="AW233" i="15"/>
  <c r="AV64" i="15"/>
  <c r="AU76" i="15"/>
  <c r="AW178" i="15"/>
  <c r="AW249" i="15"/>
  <c r="AW234" i="15"/>
  <c r="AW188" i="15"/>
  <c r="AU287" i="15"/>
  <c r="AU67" i="15"/>
  <c r="D417" i="20"/>
  <c r="I410" i="20"/>
  <c r="E412" i="20"/>
  <c r="I411" i="20"/>
  <c r="E414" i="20"/>
  <c r="AU217" i="15"/>
  <c r="AU72" i="15"/>
  <c r="AX234" i="15"/>
  <c r="AX188" i="15"/>
  <c r="AT39" i="15"/>
  <c r="AT41" i="15" s="1"/>
  <c r="AT43" i="15" s="1"/>
  <c r="AX178" i="15"/>
  <c r="AX249" i="15"/>
  <c r="D412" i="20"/>
  <c r="D436" i="20"/>
  <c r="D479" i="20"/>
  <c r="AW297" i="15"/>
  <c r="AW227" i="15"/>
  <c r="AW296" i="15"/>
  <c r="AW226" i="15"/>
  <c r="AU216" i="15"/>
  <c r="AT292" i="15"/>
  <c r="AT222" i="15"/>
  <c r="AU280" i="15"/>
  <c r="I453" i="20"/>
  <c r="I454" i="20"/>
  <c r="AU291" i="15"/>
  <c r="D469" i="20"/>
  <c r="D470" i="20" s="1"/>
  <c r="C470" i="20"/>
  <c r="AU221" i="15"/>
  <c r="D455" i="20"/>
  <c r="C455" i="20"/>
  <c r="C480" i="20" s="1"/>
  <c r="L169" i="15"/>
  <c r="L240" i="15" s="1"/>
  <c r="L32" i="15"/>
  <c r="L33" i="15"/>
  <c r="AQ61" i="19"/>
  <c r="AU225" i="15"/>
  <c r="AT21" i="15"/>
  <c r="AT32" i="15" s="1"/>
  <c r="AU295" i="15"/>
  <c r="AU285" i="15"/>
  <c r="AU212" i="15"/>
  <c r="AU210" i="15"/>
  <c r="AU220" i="15"/>
  <c r="AU215" i="15"/>
  <c r="AU282" i="15"/>
  <c r="AU36" i="15"/>
  <c r="AT28" i="15"/>
  <c r="AU211" i="15"/>
  <c r="AU290" i="15"/>
  <c r="AU281" i="15"/>
  <c r="AU286" i="15"/>
  <c r="AT209" i="15"/>
  <c r="AT279" i="15"/>
  <c r="AT66" i="15"/>
  <c r="AT283" i="15" s="1"/>
  <c r="L189" i="15"/>
  <c r="L233" i="15"/>
  <c r="L223" i="15"/>
  <c r="L237" i="15"/>
  <c r="L190" i="15"/>
  <c r="L187" i="15"/>
  <c r="L260" i="15" s="1"/>
  <c r="L165" i="15"/>
  <c r="L191" i="15" s="1"/>
  <c r="AT284" i="15"/>
  <c r="AS28" i="15"/>
  <c r="AV17" i="15"/>
  <c r="C501" i="20"/>
  <c r="AT214" i="15"/>
  <c r="D522" i="20"/>
  <c r="AU41" i="15"/>
  <c r="AY42" i="15" s="1"/>
  <c r="AU32" i="15"/>
  <c r="AU33" i="15"/>
  <c r="AU23" i="15"/>
  <c r="AT35" i="15"/>
  <c r="AU224" i="15"/>
  <c r="AU294" i="15"/>
  <c r="AU219" i="15"/>
  <c r="AU289" i="15"/>
  <c r="C544" i="20"/>
  <c r="D544" i="20" s="1"/>
  <c r="D540" i="20"/>
  <c r="D564" i="20"/>
  <c r="AT186" i="15"/>
  <c r="AT259" i="15" s="1"/>
  <c r="AT231" i="15"/>
  <c r="AT171" i="15"/>
  <c r="AT158" i="15"/>
  <c r="AS213" i="15"/>
  <c r="AS243" i="15"/>
  <c r="C583" i="20"/>
  <c r="C589" i="20" s="1"/>
  <c r="C587" i="20"/>
  <c r="D595" i="20"/>
  <c r="D596" i="20" s="1"/>
  <c r="C606" i="20"/>
  <c r="AS39" i="15"/>
  <c r="AS41" i="15" s="1"/>
  <c r="AW42" i="15" s="1"/>
  <c r="AS21" i="15"/>
  <c r="AS186" i="15"/>
  <c r="AS259" i="15" s="1"/>
  <c r="AS231" i="15"/>
  <c r="AS171" i="15"/>
  <c r="AS158" i="15"/>
  <c r="AS218" i="15"/>
  <c r="AS81" i="15"/>
  <c r="AP64" i="19"/>
  <c r="AR39" i="19"/>
  <c r="AR38" i="19"/>
  <c r="AR34" i="19"/>
  <c r="AR33" i="19"/>
  <c r="AR30" i="19"/>
  <c r="AR29" i="19"/>
  <c r="AR27" i="19"/>
  <c r="AR26" i="19"/>
  <c r="AR24" i="19"/>
  <c r="AR21" i="19"/>
  <c r="AR20" i="19"/>
  <c r="AR17" i="19"/>
  <c r="AR13" i="19"/>
  <c r="AR10" i="19"/>
  <c r="AR9" i="19"/>
  <c r="K41" i="19"/>
  <c r="K37" i="19"/>
  <c r="K23" i="19"/>
  <c r="K16" i="19"/>
  <c r="K147" i="15"/>
  <c r="AR103" i="15"/>
  <c r="K76" i="15"/>
  <c r="K222" i="15" s="1"/>
  <c r="K72" i="15"/>
  <c r="K67" i="15"/>
  <c r="K98" i="15" s="1"/>
  <c r="K181" i="15" s="1"/>
  <c r="K62" i="15"/>
  <c r="K16" i="15"/>
  <c r="K27" i="15" s="1"/>
  <c r="I609" i="20"/>
  <c r="C629" i="20"/>
  <c r="C628" i="20"/>
  <c r="C654" i="20"/>
  <c r="I618" i="20"/>
  <c r="AR156" i="15"/>
  <c r="C633" i="20" s="1"/>
  <c r="AR155" i="15"/>
  <c r="AR144" i="15"/>
  <c r="AR140" i="15"/>
  <c r="AR139" i="15"/>
  <c r="AR136" i="15"/>
  <c r="C627" i="20" s="1"/>
  <c r="AR132" i="15"/>
  <c r="C626" i="20" s="1"/>
  <c r="AR131" i="15"/>
  <c r="C625" i="20" s="1"/>
  <c r="AR130" i="15"/>
  <c r="AR129" i="15"/>
  <c r="AR128" i="15"/>
  <c r="C617" i="20" s="1"/>
  <c r="AR127" i="15"/>
  <c r="C623" i="20" s="1"/>
  <c r="AR126" i="15"/>
  <c r="AR125" i="15"/>
  <c r="AR124" i="15"/>
  <c r="C620" i="20" s="1"/>
  <c r="AR123" i="15"/>
  <c r="AR122" i="15"/>
  <c r="AR121" i="15"/>
  <c r="AR120" i="15"/>
  <c r="AR119" i="15"/>
  <c r="AR107" i="15"/>
  <c r="AR106" i="15"/>
  <c r="AR105" i="15"/>
  <c r="AR104" i="15"/>
  <c r="AR46" i="15"/>
  <c r="AR22" i="15"/>
  <c r="AR20" i="15"/>
  <c r="AR19" i="15"/>
  <c r="AR18" i="15"/>
  <c r="AR13" i="15"/>
  <c r="AR7" i="15"/>
  <c r="AR272" i="15"/>
  <c r="AR269" i="15"/>
  <c r="AR268" i="15"/>
  <c r="AR199" i="15"/>
  <c r="AR194" i="15"/>
  <c r="AR38" i="15"/>
  <c r="AR60" i="15" s="1"/>
  <c r="AR88" i="15" s="1"/>
  <c r="AR101" i="15" s="1"/>
  <c r="AR160" i="15" s="1"/>
  <c r="AR267" i="15" s="1"/>
  <c r="AR174" i="15" s="1"/>
  <c r="AR247" i="15" s="1"/>
  <c r="K272" i="15"/>
  <c r="K269" i="15"/>
  <c r="K268" i="15"/>
  <c r="K225" i="15"/>
  <c r="K224" i="15"/>
  <c r="K221" i="15"/>
  <c r="K220" i="15"/>
  <c r="K219" i="15"/>
  <c r="K217" i="15"/>
  <c r="K215" i="15"/>
  <c r="K212" i="15"/>
  <c r="K211" i="15"/>
  <c r="K210" i="15"/>
  <c r="K204" i="15"/>
  <c r="K199" i="15"/>
  <c r="K197" i="15"/>
  <c r="K194" i="15"/>
  <c r="K183" i="15"/>
  <c r="K160" i="15"/>
  <c r="K267" i="15" s="1"/>
  <c r="K174" i="15" s="1"/>
  <c r="K247" i="15" s="1"/>
  <c r="K149" i="15"/>
  <c r="K141" i="15"/>
  <c r="K108" i="15"/>
  <c r="K101" i="15"/>
  <c r="K96" i="15"/>
  <c r="K180" i="15" s="1"/>
  <c r="K95" i="15"/>
  <c r="K179" i="15" s="1"/>
  <c r="K92" i="15"/>
  <c r="K176" i="15" s="1"/>
  <c r="K89" i="15"/>
  <c r="K175" i="15" s="1"/>
  <c r="K88" i="15"/>
  <c r="K61" i="15"/>
  <c r="K60" i="15"/>
  <c r="K56" i="15"/>
  <c r="K51" i="15"/>
  <c r="K50" i="15"/>
  <c r="K94" i="15" s="1"/>
  <c r="K177" i="15" s="1"/>
  <c r="K48" i="15"/>
  <c r="K276" i="15" s="1"/>
  <c r="K47" i="15"/>
  <c r="K205" i="15" s="1"/>
  <c r="K38" i="15"/>
  <c r="K36" i="15"/>
  <c r="K31" i="15"/>
  <c r="K29" i="15"/>
  <c r="K26" i="15"/>
  <c r="K14" i="15"/>
  <c r="K15" i="15" s="1"/>
  <c r="K8" i="15"/>
  <c r="K198" i="15" s="1"/>
  <c r="AP74" i="15"/>
  <c r="AQ73" i="15"/>
  <c r="AQ41" i="19"/>
  <c r="AQ23" i="19"/>
  <c r="AQ16" i="19"/>
  <c r="C700" i="20"/>
  <c r="C681" i="20"/>
  <c r="C679" i="20"/>
  <c r="I667" i="20" s="1"/>
  <c r="C677" i="20"/>
  <c r="C676" i="20"/>
  <c r="C675" i="20"/>
  <c r="C674" i="20"/>
  <c r="C673" i="20"/>
  <c r="C672" i="20"/>
  <c r="C671" i="20"/>
  <c r="C670" i="20"/>
  <c r="C669" i="20"/>
  <c r="C668" i="20"/>
  <c r="C666" i="20"/>
  <c r="C665" i="20"/>
  <c r="C663" i="20"/>
  <c r="I657" i="20"/>
  <c r="D699" i="20" s="1"/>
  <c r="I666" i="20"/>
  <c r="AQ274" i="15"/>
  <c r="AQ272" i="15"/>
  <c r="AQ270" i="15"/>
  <c r="AQ269" i="15"/>
  <c r="AQ268" i="15"/>
  <c r="AQ204" i="15"/>
  <c r="AQ199" i="15"/>
  <c r="AQ197" i="15"/>
  <c r="AQ194" i="15"/>
  <c r="AQ183" i="15"/>
  <c r="AQ256" i="15" s="1"/>
  <c r="AQ298" i="15" s="1"/>
  <c r="AQ141" i="15"/>
  <c r="AM116" i="15"/>
  <c r="AQ116" i="15"/>
  <c r="AQ108" i="15"/>
  <c r="AQ103" i="15"/>
  <c r="BC99" i="15" l="1"/>
  <c r="BC182" i="15" s="1"/>
  <c r="BC255" i="15" s="1"/>
  <c r="AZ78" i="15"/>
  <c r="AU271" i="15"/>
  <c r="AQ80" i="19"/>
  <c r="AU80" i="19"/>
  <c r="AR58" i="19"/>
  <c r="AU77" i="19"/>
  <c r="AR60" i="19"/>
  <c r="AU79" i="19"/>
  <c r="AT83" i="19"/>
  <c r="AR62" i="19"/>
  <c r="AU81" i="19"/>
  <c r="AR63" i="19"/>
  <c r="AQ82" i="19"/>
  <c r="AU82" i="19"/>
  <c r="BC227" i="15"/>
  <c r="K74" i="19"/>
  <c r="AP68" i="19"/>
  <c r="AP70" i="19"/>
  <c r="AP72" i="19"/>
  <c r="AP73" i="19"/>
  <c r="AO74" i="19"/>
  <c r="O74" i="19"/>
  <c r="AV74" i="19"/>
  <c r="AR61" i="19"/>
  <c r="AP69" i="19"/>
  <c r="AP71" i="19"/>
  <c r="AV52" i="19"/>
  <c r="AV51" i="19"/>
  <c r="L54" i="19"/>
  <c r="AU54" i="19"/>
  <c r="K47" i="19"/>
  <c r="K46" i="19"/>
  <c r="K45" i="19"/>
  <c r="AQ47" i="19"/>
  <c r="AQ46" i="19"/>
  <c r="AQ45" i="19"/>
  <c r="BD86" i="15"/>
  <c r="AZ99" i="15"/>
  <c r="AZ182" i="15" s="1"/>
  <c r="AZ255" i="15" s="1"/>
  <c r="AZ288" i="15"/>
  <c r="AZ223" i="15"/>
  <c r="BB99" i="15"/>
  <c r="BB182" i="15" s="1"/>
  <c r="BB255" i="15" s="1"/>
  <c r="AZ218" i="15"/>
  <c r="BA99" i="15"/>
  <c r="BA182" i="15" s="1"/>
  <c r="BA255" i="15" s="1"/>
  <c r="AY223" i="15"/>
  <c r="AZ81" i="15"/>
  <c r="AZ296" i="15" s="1"/>
  <c r="AY293" i="15"/>
  <c r="AX150" i="15"/>
  <c r="AX152" i="15" s="1"/>
  <c r="AX300" i="15"/>
  <c r="K150" i="15"/>
  <c r="K153" i="15" s="1"/>
  <c r="K300" i="15"/>
  <c r="AW309" i="15"/>
  <c r="AW308" i="15"/>
  <c r="O308" i="15"/>
  <c r="O305" i="15"/>
  <c r="AX94" i="15"/>
  <c r="AX177" i="15" s="1"/>
  <c r="AX250" i="15" s="1"/>
  <c r="AV231" i="15"/>
  <c r="AX297" i="15"/>
  <c r="AV179" i="15"/>
  <c r="AV252" i="15" s="1"/>
  <c r="AV303" i="15"/>
  <c r="AU66" i="15"/>
  <c r="AU71" i="15" s="1"/>
  <c r="AU78" i="15" s="1"/>
  <c r="AV158" i="15"/>
  <c r="AV171" i="15"/>
  <c r="AX179" i="15"/>
  <c r="AX252" i="15" s="1"/>
  <c r="AU279" i="15"/>
  <c r="AV162" i="15"/>
  <c r="AV233" i="15" s="1"/>
  <c r="AV234" i="15"/>
  <c r="AV291" i="15"/>
  <c r="AY251" i="15"/>
  <c r="AY261" i="15"/>
  <c r="AY262" i="15"/>
  <c r="AV219" i="15"/>
  <c r="AV96" i="15"/>
  <c r="AV180" i="15" s="1"/>
  <c r="AV253" i="15" s="1"/>
  <c r="AY96" i="15"/>
  <c r="AY180" i="15" s="1"/>
  <c r="AY253" i="15" s="1"/>
  <c r="AX90" i="15"/>
  <c r="AY90" i="15"/>
  <c r="AV290" i="15"/>
  <c r="AV212" i="15"/>
  <c r="O282" i="15"/>
  <c r="F326" i="20"/>
  <c r="F328" i="20"/>
  <c r="AY86" i="15"/>
  <c r="AY226" i="15"/>
  <c r="AY296" i="15"/>
  <c r="AV287" i="15"/>
  <c r="O217" i="15"/>
  <c r="O21" i="15"/>
  <c r="O39" i="15"/>
  <c r="AY179" i="15"/>
  <c r="AY252" i="15" s="1"/>
  <c r="AY149" i="15"/>
  <c r="AY300" i="15" s="1"/>
  <c r="AT45" i="15"/>
  <c r="AX42" i="15"/>
  <c r="AV36" i="15"/>
  <c r="O36" i="15"/>
  <c r="AV210" i="15"/>
  <c r="O280" i="15"/>
  <c r="AW94" i="15"/>
  <c r="AW177" i="15" s="1"/>
  <c r="AW250" i="15" s="1"/>
  <c r="AY94" i="15"/>
  <c r="AY177" i="15" s="1"/>
  <c r="AY250" i="15" s="1"/>
  <c r="O94" i="15"/>
  <c r="O177" i="15" s="1"/>
  <c r="O250" i="15" s="1"/>
  <c r="AV295" i="15"/>
  <c r="O225" i="15"/>
  <c r="F369" i="20"/>
  <c r="AV285" i="15"/>
  <c r="AY82" i="15"/>
  <c r="AV294" i="15"/>
  <c r="AV282" i="15"/>
  <c r="AV225" i="15"/>
  <c r="O221" i="15"/>
  <c r="O291" i="15"/>
  <c r="O27" i="15"/>
  <c r="AV211" i="15"/>
  <c r="AV72" i="15"/>
  <c r="AV62" i="15"/>
  <c r="O95" i="15"/>
  <c r="O179" i="15" s="1"/>
  <c r="O252" i="15" s="1"/>
  <c r="AV286" i="15"/>
  <c r="AW179" i="15"/>
  <c r="AW252" i="15" s="1"/>
  <c r="AV289" i="15"/>
  <c r="O224" i="15"/>
  <c r="O294" i="15"/>
  <c r="AV281" i="15"/>
  <c r="AY312" i="15" s="1"/>
  <c r="AV216" i="15"/>
  <c r="AV221" i="15"/>
  <c r="AV215" i="15"/>
  <c r="AV217" i="15"/>
  <c r="AW96" i="15"/>
  <c r="AW180" i="15" s="1"/>
  <c r="AW253" i="15" s="1"/>
  <c r="AX251" i="15"/>
  <c r="AX261" i="15"/>
  <c r="AX262" i="15"/>
  <c r="AV67" i="15"/>
  <c r="AX98" i="15" s="1"/>
  <c r="AX181" i="15" s="1"/>
  <c r="AX254" i="15" s="1"/>
  <c r="AV76" i="15"/>
  <c r="AU222" i="15"/>
  <c r="AU292" i="15"/>
  <c r="AW90" i="15"/>
  <c r="AX96" i="15"/>
  <c r="AX180" i="15" s="1"/>
  <c r="AX253" i="15" s="1"/>
  <c r="AW261" i="15"/>
  <c r="AW251" i="15"/>
  <c r="AW262" i="15"/>
  <c r="D437" i="20"/>
  <c r="D414" i="20"/>
  <c r="F414" i="20" s="1"/>
  <c r="F412" i="20"/>
  <c r="I484" i="20"/>
  <c r="I527" i="20"/>
  <c r="I442" i="20"/>
  <c r="L243" i="15"/>
  <c r="L250" i="15" s="1"/>
  <c r="F455" i="20"/>
  <c r="D457" i="20"/>
  <c r="F457" i="20" s="1"/>
  <c r="C461" i="20"/>
  <c r="C457" i="20"/>
  <c r="E455" i="20"/>
  <c r="D480" i="20"/>
  <c r="K42" i="19"/>
  <c r="D501" i="20"/>
  <c r="AQ64" i="19"/>
  <c r="AQ42" i="19"/>
  <c r="AT33" i="15"/>
  <c r="AT23" i="15"/>
  <c r="AT71" i="15"/>
  <c r="AT213" i="15"/>
  <c r="AV150" i="15"/>
  <c r="K58" i="15"/>
  <c r="L57" i="15"/>
  <c r="L226" i="15"/>
  <c r="L82" i="15"/>
  <c r="L236" i="15"/>
  <c r="AV47" i="15"/>
  <c r="AV8" i="15"/>
  <c r="AV198" i="15" s="1"/>
  <c r="AS285" i="15"/>
  <c r="AV249" i="15"/>
  <c r="AV248" i="15"/>
  <c r="AV250" i="15"/>
  <c r="AV39" i="15"/>
  <c r="AV41" i="15" s="1"/>
  <c r="AZ42" i="15" s="1"/>
  <c r="AV28" i="15"/>
  <c r="AV21" i="15"/>
  <c r="AV90" i="15"/>
  <c r="AU35" i="15"/>
  <c r="AU214" i="15"/>
  <c r="AU284" i="15"/>
  <c r="AU29" i="15"/>
  <c r="AT29" i="15"/>
  <c r="AS86" i="15"/>
  <c r="AU89" i="15"/>
  <c r="AT89" i="15"/>
  <c r="AU30" i="15"/>
  <c r="AT30" i="15"/>
  <c r="AU92" i="15"/>
  <c r="C502" i="20" s="1"/>
  <c r="AT92" i="15"/>
  <c r="AU43" i="15"/>
  <c r="AU45" i="15"/>
  <c r="D565" i="20"/>
  <c r="D542" i="20"/>
  <c r="AR112" i="15"/>
  <c r="AS278" i="15"/>
  <c r="C585" i="20"/>
  <c r="D585" i="20" s="1"/>
  <c r="AS286" i="15"/>
  <c r="AR111" i="15"/>
  <c r="AR113" i="15"/>
  <c r="AS280" i="15"/>
  <c r="AS282" i="15"/>
  <c r="AS287" i="15"/>
  <c r="AS274" i="15"/>
  <c r="AV309" i="15" s="1"/>
  <c r="AS291" i="15"/>
  <c r="AS295" i="15"/>
  <c r="AS290" i="15"/>
  <c r="AS284" i="15"/>
  <c r="AQ74" i="15"/>
  <c r="AQ290" i="15" s="1"/>
  <c r="AS289" i="15"/>
  <c r="AR26" i="15"/>
  <c r="AS288" i="15"/>
  <c r="AS270" i="15"/>
  <c r="AS283" i="15"/>
  <c r="AS279" i="15"/>
  <c r="AQ289" i="15"/>
  <c r="AS29" i="15"/>
  <c r="AS281" i="15"/>
  <c r="AS294" i="15"/>
  <c r="AS292" i="15"/>
  <c r="D649" i="20"/>
  <c r="K65" i="19"/>
  <c r="AS23" i="15"/>
  <c r="AS32" i="15"/>
  <c r="AS33" i="15"/>
  <c r="AS43" i="15"/>
  <c r="AS45" i="15"/>
  <c r="AR61" i="15"/>
  <c r="AR278" i="15" s="1"/>
  <c r="AS92" i="15"/>
  <c r="C586" i="20" s="1"/>
  <c r="AS82" i="15"/>
  <c r="AS293" i="15"/>
  <c r="AS223" i="15"/>
  <c r="AS89" i="15"/>
  <c r="AR141" i="15"/>
  <c r="K142" i="15"/>
  <c r="AR89" i="15"/>
  <c r="AR175" i="15" s="1"/>
  <c r="AS30" i="15"/>
  <c r="K256" i="15"/>
  <c r="K298" i="15" s="1"/>
  <c r="AR16" i="19"/>
  <c r="AR23" i="19"/>
  <c r="AR270" i="15"/>
  <c r="C624" i="20"/>
  <c r="D624" i="20" s="1"/>
  <c r="D665" i="20"/>
  <c r="D674" i="20"/>
  <c r="AR73" i="15"/>
  <c r="AR37" i="19"/>
  <c r="D675" i="20"/>
  <c r="C631" i="20"/>
  <c r="C644" i="20" s="1"/>
  <c r="C645" i="20" s="1"/>
  <c r="C621" i="20"/>
  <c r="D621" i="20" s="1"/>
  <c r="D626" i="20"/>
  <c r="D623" i="20"/>
  <c r="D625" i="20"/>
  <c r="D619" i="20"/>
  <c r="D616" i="20"/>
  <c r="D620" i="20"/>
  <c r="D648" i="20"/>
  <c r="D629" i="20"/>
  <c r="D651" i="20"/>
  <c r="D633" i="20"/>
  <c r="D652" i="20"/>
  <c r="D628" i="20"/>
  <c r="D650" i="20"/>
  <c r="D617" i="20"/>
  <c r="D627" i="20"/>
  <c r="AR41" i="19"/>
  <c r="C618" i="20"/>
  <c r="D618" i="20" s="1"/>
  <c r="C622" i="20"/>
  <c r="D622" i="20" s="1"/>
  <c r="C615" i="20"/>
  <c r="D615" i="20" s="1"/>
  <c r="AR116" i="15"/>
  <c r="K35" i="15"/>
  <c r="K214" i="15"/>
  <c r="AR31" i="15"/>
  <c r="K206" i="15"/>
  <c r="D670" i="20"/>
  <c r="D671" i="20"/>
  <c r="D672" i="20"/>
  <c r="AR183" i="15"/>
  <c r="AR256" i="15" s="1"/>
  <c r="AR298" i="15" s="1"/>
  <c r="AR108" i="15"/>
  <c r="AR204" i="15"/>
  <c r="AR274" i="15"/>
  <c r="AR29" i="15"/>
  <c r="AR48" i="15"/>
  <c r="AR92" i="15"/>
  <c r="AR197" i="15"/>
  <c r="AR14" i="15"/>
  <c r="K230" i="15"/>
  <c r="K30" i="15"/>
  <c r="K146" i="15"/>
  <c r="K231" i="15" s="1"/>
  <c r="K109" i="15"/>
  <c r="D676" i="20"/>
  <c r="D697" i="20"/>
  <c r="D673" i="20"/>
  <c r="D700" i="20"/>
  <c r="D664" i="20"/>
  <c r="D668" i="20"/>
  <c r="K178" i="15"/>
  <c r="K208" i="15"/>
  <c r="K216" i="15"/>
  <c r="K275" i="15"/>
  <c r="K66" i="15"/>
  <c r="K93" i="15"/>
  <c r="K163" i="15"/>
  <c r="K184" i="15"/>
  <c r="K257" i="15" s="1"/>
  <c r="K302" i="15" s="1"/>
  <c r="K209" i="15"/>
  <c r="K17" i="15"/>
  <c r="K157" i="15"/>
  <c r="D663" i="20"/>
  <c r="AQ219" i="15"/>
  <c r="D666" i="20"/>
  <c r="AQ147" i="15"/>
  <c r="D667" i="20"/>
  <c r="D696" i="20"/>
  <c r="D669" i="20"/>
  <c r="D677" i="20"/>
  <c r="D698" i="20"/>
  <c r="AQ142" i="15"/>
  <c r="D681" i="20"/>
  <c r="C692" i="20"/>
  <c r="D692" i="20" s="1"/>
  <c r="D693" i="20" s="1"/>
  <c r="D679" i="20"/>
  <c r="C678" i="20"/>
  <c r="I668" i="20"/>
  <c r="C702" i="20"/>
  <c r="AQ61" i="15"/>
  <c r="AQ49" i="15"/>
  <c r="AQ47" i="15"/>
  <c r="AQ48" i="15"/>
  <c r="AQ40" i="15"/>
  <c r="AM40" i="15"/>
  <c r="AM36" i="15" s="1"/>
  <c r="AQ38" i="15"/>
  <c r="AQ60" i="15" s="1"/>
  <c r="AQ88" i="15" s="1"/>
  <c r="AQ101" i="15" s="1"/>
  <c r="AQ160" i="15" s="1"/>
  <c r="AQ267" i="15" s="1"/>
  <c r="AQ174" i="15" s="1"/>
  <c r="AQ31" i="15"/>
  <c r="AQ26" i="15"/>
  <c r="AQ16" i="15"/>
  <c r="AQ14" i="15"/>
  <c r="AQ15" i="15" s="1"/>
  <c r="AQ8" i="15"/>
  <c r="AQ198" i="15" s="1"/>
  <c r="AP14" i="15"/>
  <c r="AP15" i="15" s="1"/>
  <c r="AO14" i="15"/>
  <c r="Q103" i="15"/>
  <c r="R103" i="15"/>
  <c r="S103" i="15"/>
  <c r="T103" i="15"/>
  <c r="U103" i="15"/>
  <c r="V103" i="15"/>
  <c r="W103" i="15"/>
  <c r="AP68" i="15"/>
  <c r="AP219" i="15"/>
  <c r="AP80" i="15"/>
  <c r="AP79" i="15"/>
  <c r="AP75" i="15"/>
  <c r="AP220" i="15"/>
  <c r="AP70" i="15"/>
  <c r="AP69" i="15"/>
  <c r="AP65" i="15"/>
  <c r="AP64" i="15"/>
  <c r="AP63" i="15"/>
  <c r="C778" i="20"/>
  <c r="C776" i="20"/>
  <c r="I764" i="20" s="1"/>
  <c r="C748" i="20"/>
  <c r="C750" i="20" s="1"/>
  <c r="C718" i="20"/>
  <c r="C729" i="20"/>
  <c r="C727" i="20"/>
  <c r="C740" i="20" s="1"/>
  <c r="C741" i="20" s="1"/>
  <c r="C723" i="20"/>
  <c r="C724" i="20"/>
  <c r="C725" i="20"/>
  <c r="C722" i="20"/>
  <c r="C721" i="20"/>
  <c r="C720" i="20"/>
  <c r="C719" i="20"/>
  <c r="C714" i="20"/>
  <c r="C713" i="20"/>
  <c r="C711" i="20"/>
  <c r="I705" i="20"/>
  <c r="C717" i="20"/>
  <c r="I714" i="20"/>
  <c r="C716" i="20"/>
  <c r="I754" i="20"/>
  <c r="D764" i="20" s="1"/>
  <c r="C760" i="20"/>
  <c r="C762" i="20"/>
  <c r="C763" i="20"/>
  <c r="C765" i="20"/>
  <c r="I763" i="20"/>
  <c r="AP116" i="15"/>
  <c r="AP147" i="15" s="1"/>
  <c r="AO103" i="15"/>
  <c r="AP103" i="15"/>
  <c r="BG14" i="15"/>
  <c r="BG15" i="15" s="1"/>
  <c r="AP272" i="15"/>
  <c r="AP269" i="15"/>
  <c r="AP268" i="15"/>
  <c r="AP243" i="15"/>
  <c r="AP204" i="15"/>
  <c r="AP199" i="15"/>
  <c r="AP197" i="15"/>
  <c r="AP194" i="15"/>
  <c r="AP183" i="15"/>
  <c r="AP256" i="15" s="1"/>
  <c r="AP298" i="15" s="1"/>
  <c r="AP141" i="15"/>
  <c r="AP108" i="15"/>
  <c r="AP61" i="15"/>
  <c r="AP51" i="15"/>
  <c r="AP50" i="15"/>
  <c r="AP48" i="15"/>
  <c r="AP276" i="15" s="1"/>
  <c r="AP47" i="15"/>
  <c r="AP38" i="15"/>
  <c r="AP60" i="15" s="1"/>
  <c r="AP88" i="15" s="1"/>
  <c r="AP101" i="15" s="1"/>
  <c r="AP160" i="15" s="1"/>
  <c r="AP267" i="15" s="1"/>
  <c r="AP174" i="15" s="1"/>
  <c r="AP247" i="15" s="1"/>
  <c r="AP36" i="15"/>
  <c r="AP31" i="15"/>
  <c r="AP26" i="15"/>
  <c r="AP27" i="15"/>
  <c r="AP8" i="15"/>
  <c r="AP198" i="15" s="1"/>
  <c r="AP41" i="19"/>
  <c r="AP23" i="19"/>
  <c r="AP16" i="19"/>
  <c r="C1477" i="20"/>
  <c r="C1478" i="20" s="1"/>
  <c r="C1466" i="20"/>
  <c r="C1464" i="20"/>
  <c r="C1461" i="20"/>
  <c r="C1460" i="20"/>
  <c r="C1459" i="20"/>
  <c r="C1458" i="20"/>
  <c r="C1457" i="20"/>
  <c r="C1456" i="20"/>
  <c r="C1455" i="20"/>
  <c r="C1454" i="20"/>
  <c r="C1463" i="20" s="1"/>
  <c r="C1432" i="20"/>
  <c r="C1433" i="20" s="1"/>
  <c r="C1421" i="20"/>
  <c r="C1419" i="20"/>
  <c r="C1417" i="20"/>
  <c r="C1416" i="20"/>
  <c r="C1415" i="20"/>
  <c r="C1414" i="20"/>
  <c r="C1413" i="20"/>
  <c r="C1411" i="20"/>
  <c r="C1410" i="20"/>
  <c r="I1404" i="20"/>
  <c r="I1403" i="20"/>
  <c r="I1362" i="20"/>
  <c r="I1361" i="20"/>
  <c r="D1399" i="20" s="1"/>
  <c r="C1337" i="20"/>
  <c r="C1335" i="20"/>
  <c r="C1333" i="20"/>
  <c r="C1332" i="20"/>
  <c r="C1331" i="20"/>
  <c r="C1330" i="20"/>
  <c r="C1329" i="20"/>
  <c r="C1327" i="20"/>
  <c r="C1326" i="20"/>
  <c r="C1324" i="20"/>
  <c r="I1319" i="20"/>
  <c r="I1318" i="20"/>
  <c r="D1356" i="20" s="1"/>
  <c r="C1293" i="20"/>
  <c r="C1291" i="20"/>
  <c r="I1283" i="20" s="1"/>
  <c r="C1289" i="20"/>
  <c r="C1288" i="20"/>
  <c r="C1287" i="20"/>
  <c r="C1286" i="20"/>
  <c r="C1285" i="20"/>
  <c r="C1283" i="20"/>
  <c r="C1282" i="20"/>
  <c r="C1280" i="20"/>
  <c r="I1275" i="20"/>
  <c r="I1274" i="20"/>
  <c r="D1266" i="20" s="1"/>
  <c r="C1249" i="20"/>
  <c r="C1247" i="20"/>
  <c r="C1245" i="20"/>
  <c r="C1244" i="20"/>
  <c r="C1243" i="20"/>
  <c r="C1242" i="20"/>
  <c r="C1241" i="20"/>
  <c r="C1239" i="20"/>
  <c r="C1238" i="20"/>
  <c r="C1236" i="20"/>
  <c r="I1231" i="20"/>
  <c r="I1230" i="20"/>
  <c r="D1271" i="20" s="1"/>
  <c r="I1186" i="20"/>
  <c r="I1185" i="20"/>
  <c r="D1225" i="20" s="1"/>
  <c r="C1161" i="20"/>
  <c r="C1159" i="20"/>
  <c r="I1151" i="20" s="1"/>
  <c r="C1156" i="20"/>
  <c r="C1155" i="20"/>
  <c r="C1154" i="20"/>
  <c r="C1153" i="20"/>
  <c r="C1152" i="20"/>
  <c r="C1150" i="20"/>
  <c r="C1149" i="20"/>
  <c r="C1147" i="20"/>
  <c r="C1118" i="20"/>
  <c r="C1116" i="20"/>
  <c r="C1129" i="20" s="1"/>
  <c r="C1130" i="20" s="1"/>
  <c r="C1114" i="20"/>
  <c r="C1113" i="20"/>
  <c r="C1112" i="20"/>
  <c r="C1111" i="20"/>
  <c r="C1110" i="20"/>
  <c r="C1109" i="20"/>
  <c r="C1108" i="20"/>
  <c r="C1107" i="20"/>
  <c r="C1106" i="20"/>
  <c r="C1104" i="20"/>
  <c r="C1103" i="20"/>
  <c r="C1101" i="20"/>
  <c r="I1095" i="20"/>
  <c r="C1072" i="20"/>
  <c r="C1070" i="20"/>
  <c r="C1068" i="20"/>
  <c r="C1067" i="20"/>
  <c r="C1066" i="20"/>
  <c r="C1065" i="20"/>
  <c r="C1064" i="20"/>
  <c r="C1063" i="20"/>
  <c r="C1062" i="20"/>
  <c r="C1061" i="20"/>
  <c r="C1060" i="20"/>
  <c r="C1059" i="20"/>
  <c r="C1057" i="20"/>
  <c r="C1056" i="20"/>
  <c r="C1054" i="20"/>
  <c r="I1048" i="20"/>
  <c r="I1001" i="20"/>
  <c r="C978" i="20"/>
  <c r="C976" i="20"/>
  <c r="I964" i="20" s="1"/>
  <c r="C974" i="20"/>
  <c r="C973" i="20"/>
  <c r="C972" i="20"/>
  <c r="C971" i="20"/>
  <c r="C970" i="20"/>
  <c r="C969" i="20"/>
  <c r="C968" i="20"/>
  <c r="C967" i="20"/>
  <c r="C966" i="20"/>
  <c r="C965" i="20"/>
  <c r="C963" i="20"/>
  <c r="C962" i="20"/>
  <c r="C960" i="20"/>
  <c r="I955" i="20"/>
  <c r="I954" i="20"/>
  <c r="C928" i="20"/>
  <c r="C926" i="20"/>
  <c r="I914" i="20" s="1"/>
  <c r="C924" i="20"/>
  <c r="C923" i="20"/>
  <c r="C922" i="20"/>
  <c r="C921" i="20"/>
  <c r="C920" i="20"/>
  <c r="C919" i="20"/>
  <c r="C918" i="20"/>
  <c r="C917" i="20"/>
  <c r="C916" i="20"/>
  <c r="C915" i="20"/>
  <c r="C913" i="20"/>
  <c r="C912" i="20"/>
  <c r="C910" i="20"/>
  <c r="C878" i="20"/>
  <c r="C876" i="20"/>
  <c r="I864" i="20" s="1"/>
  <c r="C874" i="20"/>
  <c r="C873" i="20"/>
  <c r="C872" i="20"/>
  <c r="C871" i="20"/>
  <c r="C870" i="20"/>
  <c r="C869" i="20"/>
  <c r="C868" i="20"/>
  <c r="C867" i="20"/>
  <c r="C866" i="20"/>
  <c r="C865" i="20"/>
  <c r="C863" i="20"/>
  <c r="C862" i="20"/>
  <c r="C860" i="20"/>
  <c r="C822" i="20"/>
  <c r="C821" i="20"/>
  <c r="C774" i="20"/>
  <c r="C773" i="20"/>
  <c r="C772" i="20"/>
  <c r="C771" i="20"/>
  <c r="C770" i="20"/>
  <c r="C769" i="20"/>
  <c r="C768" i="20"/>
  <c r="C767" i="20"/>
  <c r="C766" i="20"/>
  <c r="C1533" i="20"/>
  <c r="C1532" i="20"/>
  <c r="C1531" i="20"/>
  <c r="C1530" i="20"/>
  <c r="C1529" i="20"/>
  <c r="C1535" i="20" s="1"/>
  <c r="C1487" i="20"/>
  <c r="C1486" i="20"/>
  <c r="C1485" i="20"/>
  <c r="C1484" i="20"/>
  <c r="C1483" i="20"/>
  <c r="C1489" i="20" s="1"/>
  <c r="I1410" i="20"/>
  <c r="C1400" i="20"/>
  <c r="C1402" i="20" s="1"/>
  <c r="I1368" i="20"/>
  <c r="C1358" i="20"/>
  <c r="C1360" i="20" s="1"/>
  <c r="I1326" i="20"/>
  <c r="C1314" i="20"/>
  <c r="I1282" i="20"/>
  <c r="C1270" i="20"/>
  <c r="C1272" i="20" s="1"/>
  <c r="I1238" i="20"/>
  <c r="C1226" i="20"/>
  <c r="I1194" i="20"/>
  <c r="C1182" i="20"/>
  <c r="C1184" i="20" s="1"/>
  <c r="I1150" i="20"/>
  <c r="C1139" i="20"/>
  <c r="C1135" i="20"/>
  <c r="I1104" i="20"/>
  <c r="C1093" i="20"/>
  <c r="C1090" i="20"/>
  <c r="C1089" i="20"/>
  <c r="I1057" i="20"/>
  <c r="D1048" i="20"/>
  <c r="C1048" i="20"/>
  <c r="I1010" i="20"/>
  <c r="C999" i="20"/>
  <c r="C996" i="20"/>
  <c r="I963" i="20"/>
  <c r="C949" i="20"/>
  <c r="C946" i="20"/>
  <c r="I913" i="20"/>
  <c r="C899" i="20"/>
  <c r="C895" i="20"/>
  <c r="I863" i="20"/>
  <c r="C847" i="20"/>
  <c r="C843" i="20"/>
  <c r="I811" i="20"/>
  <c r="C797" i="20"/>
  <c r="AK62" i="15"/>
  <c r="AL62" i="15" s="1"/>
  <c r="AO76" i="15"/>
  <c r="AO222" i="15" s="1"/>
  <c r="AO72" i="15"/>
  <c r="AO41" i="19"/>
  <c r="AO23" i="19"/>
  <c r="AO16" i="19"/>
  <c r="C1511" i="20"/>
  <c r="C1523" i="20"/>
  <c r="C1506" i="20"/>
  <c r="C1505" i="20"/>
  <c r="C1504" i="20"/>
  <c r="C1503" i="20"/>
  <c r="C1502" i="20"/>
  <c r="C1501" i="20"/>
  <c r="C1500" i="20"/>
  <c r="C1499" i="20"/>
  <c r="C1508" i="20" s="1"/>
  <c r="AO116" i="15"/>
  <c r="AO67" i="15"/>
  <c r="AO35" i="15" s="1"/>
  <c r="AO62" i="15"/>
  <c r="AP62" i="15" s="1"/>
  <c r="AO16" i="15"/>
  <c r="AO27" i="15" s="1"/>
  <c r="AO272" i="15"/>
  <c r="AO269" i="15"/>
  <c r="AO268" i="15"/>
  <c r="AO225" i="15"/>
  <c r="AO224" i="15"/>
  <c r="AO221" i="15"/>
  <c r="AO220" i="15"/>
  <c r="AO219" i="15"/>
  <c r="AO217" i="15"/>
  <c r="AO216" i="15"/>
  <c r="AO215" i="15"/>
  <c r="AO212" i="15"/>
  <c r="AO211" i="15"/>
  <c r="AO210" i="15"/>
  <c r="AO204" i="15"/>
  <c r="AO199" i="15"/>
  <c r="AO197" i="15"/>
  <c r="AO194" i="15"/>
  <c r="AO183" i="15"/>
  <c r="AO256" i="15" s="1"/>
  <c r="AO298" i="15" s="1"/>
  <c r="AO141" i="15"/>
  <c r="AO108" i="15"/>
  <c r="AO61" i="15"/>
  <c r="AO208" i="15" s="1"/>
  <c r="AO51" i="15"/>
  <c r="AO50" i="15"/>
  <c r="AO48" i="15"/>
  <c r="AO206" i="15" s="1"/>
  <c r="AO47" i="15"/>
  <c r="AO205" i="15" s="1"/>
  <c r="AO38" i="15"/>
  <c r="AO60" i="15" s="1"/>
  <c r="AO88" i="15" s="1"/>
  <c r="AO101" i="15" s="1"/>
  <c r="AO160" i="15" s="1"/>
  <c r="AO267" i="15" s="1"/>
  <c r="AO174" i="15" s="1"/>
  <c r="AO36" i="15"/>
  <c r="AO31" i="15"/>
  <c r="AO26" i="15"/>
  <c r="AO8" i="15"/>
  <c r="AO198" i="15" s="1"/>
  <c r="AN121" i="19"/>
  <c r="AN119" i="19"/>
  <c r="AN61" i="19"/>
  <c r="AN80" i="19" s="1"/>
  <c r="AN59" i="19"/>
  <c r="AN40" i="19"/>
  <c r="AN39" i="19"/>
  <c r="AN34" i="19"/>
  <c r="AN33" i="19"/>
  <c r="AN30" i="19"/>
  <c r="AN29" i="19"/>
  <c r="AN27" i="19"/>
  <c r="AN26" i="19"/>
  <c r="AN24" i="19"/>
  <c r="AN21" i="19"/>
  <c r="AN20" i="19"/>
  <c r="AN17" i="19"/>
  <c r="AN13" i="19"/>
  <c r="AN16" i="19" s="1"/>
  <c r="AN10" i="19"/>
  <c r="AN9" i="19"/>
  <c r="AN243" i="15"/>
  <c r="AN244" i="15"/>
  <c r="J244" i="15" s="1"/>
  <c r="J245" i="15" s="1"/>
  <c r="J123" i="19"/>
  <c r="J64" i="19"/>
  <c r="J41" i="19"/>
  <c r="J37" i="19"/>
  <c r="J23" i="19"/>
  <c r="J16" i="19"/>
  <c r="J72" i="15"/>
  <c r="J216" i="15"/>
  <c r="AN156" i="15"/>
  <c r="C826" i="20" s="1"/>
  <c r="AN155" i="15"/>
  <c r="AN144" i="15"/>
  <c r="AN183" i="15" s="1"/>
  <c r="AN140" i="15"/>
  <c r="AN139" i="15"/>
  <c r="AN132" i="15"/>
  <c r="C819" i="20" s="1"/>
  <c r="AN136" i="15"/>
  <c r="C820" i="20" s="1"/>
  <c r="AN131" i="15"/>
  <c r="C818" i="20" s="1"/>
  <c r="AN130" i="15"/>
  <c r="C817" i="20" s="1"/>
  <c r="AN129" i="15"/>
  <c r="C811" i="20" s="1"/>
  <c r="AN128" i="15"/>
  <c r="C810" i="20" s="1"/>
  <c r="AN127" i="15"/>
  <c r="C816" i="20" s="1"/>
  <c r="AN126" i="15"/>
  <c r="C815" i="20" s="1"/>
  <c r="AN125" i="15"/>
  <c r="C814" i="20" s="1"/>
  <c r="AN124" i="15"/>
  <c r="C813" i="20" s="1"/>
  <c r="AN123" i="15"/>
  <c r="AN122" i="15"/>
  <c r="AN121" i="15"/>
  <c r="AN120" i="15"/>
  <c r="AN119" i="15"/>
  <c r="AN107" i="15"/>
  <c r="AN106" i="15"/>
  <c r="AN105" i="15"/>
  <c r="AN104" i="15"/>
  <c r="AN46" i="15"/>
  <c r="AQ92" i="15" s="1"/>
  <c r="AN22" i="15"/>
  <c r="AN20" i="15"/>
  <c r="AN19" i="15"/>
  <c r="AN18" i="15"/>
  <c r="AO29" i="15" s="1"/>
  <c r="AN13" i="15"/>
  <c r="AN7" i="15"/>
  <c r="J116" i="15"/>
  <c r="J103" i="15"/>
  <c r="AN103" i="15" s="1"/>
  <c r="J76" i="15"/>
  <c r="J222" i="15" s="1"/>
  <c r="J62" i="15"/>
  <c r="J209" i="15" s="1"/>
  <c r="AN272" i="15"/>
  <c r="AN269" i="15"/>
  <c r="AN268" i="15"/>
  <c r="AN199" i="15"/>
  <c r="AN194" i="15"/>
  <c r="AN38" i="15"/>
  <c r="AN60" i="15" s="1"/>
  <c r="AN88" i="15" s="1"/>
  <c r="AN101" i="15" s="1"/>
  <c r="AN160" i="15" s="1"/>
  <c r="AN267" i="15" s="1"/>
  <c r="AN174" i="15" s="1"/>
  <c r="AN37" i="19" s="1"/>
  <c r="J272" i="15"/>
  <c r="J269" i="15"/>
  <c r="J268" i="15"/>
  <c r="J225" i="15"/>
  <c r="J224" i="15"/>
  <c r="J221" i="15"/>
  <c r="J219" i="15"/>
  <c r="J217" i="15"/>
  <c r="J215" i="15"/>
  <c r="J214" i="15"/>
  <c r="J212" i="15"/>
  <c r="J211" i="15"/>
  <c r="J210" i="15"/>
  <c r="J204" i="15"/>
  <c r="J199" i="15"/>
  <c r="J197" i="15"/>
  <c r="J194" i="15"/>
  <c r="J183" i="15"/>
  <c r="J160" i="15"/>
  <c r="J267" i="15" s="1"/>
  <c r="J174" i="15" s="1"/>
  <c r="J247" i="15" s="1"/>
  <c r="J149" i="15"/>
  <c r="J141" i="15"/>
  <c r="AN141" i="15" s="1"/>
  <c r="J108" i="15"/>
  <c r="J101" i="15"/>
  <c r="J98" i="15"/>
  <c r="J181" i="15" s="1"/>
  <c r="J96" i="15"/>
  <c r="J180" i="15" s="1"/>
  <c r="J95" i="15"/>
  <c r="J179" i="15" s="1"/>
  <c r="J92" i="15"/>
  <c r="J176" i="15" s="1"/>
  <c r="J89" i="15"/>
  <c r="J175" i="15" s="1"/>
  <c r="J88" i="15"/>
  <c r="J61" i="15"/>
  <c r="J208" i="15" s="1"/>
  <c r="J60" i="15"/>
  <c r="J56" i="15"/>
  <c r="K57" i="15" s="1"/>
  <c r="J51" i="15"/>
  <c r="J50" i="15"/>
  <c r="J94" i="15" s="1"/>
  <c r="J177" i="15" s="1"/>
  <c r="J48" i="15"/>
  <c r="J47" i="15"/>
  <c r="J205" i="15" s="1"/>
  <c r="J38" i="15"/>
  <c r="J36" i="15"/>
  <c r="J35" i="15"/>
  <c r="J31" i="15"/>
  <c r="J29" i="15"/>
  <c r="J27" i="15"/>
  <c r="J26" i="15"/>
  <c r="J14" i="15"/>
  <c r="J15" i="15" s="1"/>
  <c r="J8" i="15"/>
  <c r="J198" i="15" s="1"/>
  <c r="AM243" i="15"/>
  <c r="AM270" i="15" s="1"/>
  <c r="AL64" i="15"/>
  <c r="AM64" i="15" s="1"/>
  <c r="AN64" i="15" s="1"/>
  <c r="AM147" i="15"/>
  <c r="AM103" i="15"/>
  <c r="AM38" i="19"/>
  <c r="AM16" i="15"/>
  <c r="AM23" i="19"/>
  <c r="AM16" i="19"/>
  <c r="AM272" i="15"/>
  <c r="AM269" i="15"/>
  <c r="AM268" i="15"/>
  <c r="AM204" i="15"/>
  <c r="AM199" i="15"/>
  <c r="AM197" i="15"/>
  <c r="AM194" i="15"/>
  <c r="AM183" i="15"/>
  <c r="AM141" i="15"/>
  <c r="AM108" i="15"/>
  <c r="AM61" i="15"/>
  <c r="AM48" i="15"/>
  <c r="AM206" i="15" s="1"/>
  <c r="AM47" i="15"/>
  <c r="AM38" i="15"/>
  <c r="AM60" i="15" s="1"/>
  <c r="AM88" i="15" s="1"/>
  <c r="AM101" i="15" s="1"/>
  <c r="AM160" i="15" s="1"/>
  <c r="AM267" i="15" s="1"/>
  <c r="AM174" i="15" s="1"/>
  <c r="AM31" i="15"/>
  <c r="AM26" i="15"/>
  <c r="AM14" i="15"/>
  <c r="AM8" i="15"/>
  <c r="AM198" i="15" s="1"/>
  <c r="AL243" i="15"/>
  <c r="AL122" i="19"/>
  <c r="AM122" i="19" s="1"/>
  <c r="AL120" i="19"/>
  <c r="AM120" i="19" s="1"/>
  <c r="AN120" i="19" s="1"/>
  <c r="AL118" i="19"/>
  <c r="AM118" i="19" s="1"/>
  <c r="AL58" i="19"/>
  <c r="AL60" i="19"/>
  <c r="AL62" i="19"/>
  <c r="AL103" i="15"/>
  <c r="AL49" i="15"/>
  <c r="AL47" i="15"/>
  <c r="AL205" i="15" s="1"/>
  <c r="AL8" i="15"/>
  <c r="AL198" i="15" s="1"/>
  <c r="AL38" i="19"/>
  <c r="AL72" i="15"/>
  <c r="AM72" i="15" s="1"/>
  <c r="AL69" i="15"/>
  <c r="AL116" i="15"/>
  <c r="AL147" i="15" s="1"/>
  <c r="AL146" i="15" s="1"/>
  <c r="AL158" i="15" s="1"/>
  <c r="AL74" i="15"/>
  <c r="AM74" i="15" s="1"/>
  <c r="AL63" i="15"/>
  <c r="AL76" i="15"/>
  <c r="AL73" i="15"/>
  <c r="AL68" i="15"/>
  <c r="AL65" i="15"/>
  <c r="AM65" i="15" s="1"/>
  <c r="AL16" i="15"/>
  <c r="AL27" i="15" s="1"/>
  <c r="AL23" i="19"/>
  <c r="AL16" i="19"/>
  <c r="AL272" i="15"/>
  <c r="AL269" i="15"/>
  <c r="AL268" i="15"/>
  <c r="AL204" i="15"/>
  <c r="AL199" i="15"/>
  <c r="AL197" i="15"/>
  <c r="AL194" i="15"/>
  <c r="AL183" i="15"/>
  <c r="AL141" i="15"/>
  <c r="AL108" i="15"/>
  <c r="AL80" i="15"/>
  <c r="AL79" i="15"/>
  <c r="AM79" i="15" s="1"/>
  <c r="AN79" i="15" s="1"/>
  <c r="AL75" i="15"/>
  <c r="AM75" i="15" s="1"/>
  <c r="AL70" i="15"/>
  <c r="AL61" i="15"/>
  <c r="AL48" i="15"/>
  <c r="AL276" i="15" s="1"/>
  <c r="AL38" i="15"/>
  <c r="AL60" i="15" s="1"/>
  <c r="AL88" i="15" s="1"/>
  <c r="AL101" i="15" s="1"/>
  <c r="AL160" i="15" s="1"/>
  <c r="AL267" i="15" s="1"/>
  <c r="AL174" i="15" s="1"/>
  <c r="AL36" i="15"/>
  <c r="AL31" i="15"/>
  <c r="AL26" i="15"/>
  <c r="AL14" i="15"/>
  <c r="AL15" i="15" s="1"/>
  <c r="AK123" i="19"/>
  <c r="AK64" i="19"/>
  <c r="AK41" i="19"/>
  <c r="AK23" i="19"/>
  <c r="AK16" i="19"/>
  <c r="AK116" i="15"/>
  <c r="AK103" i="15"/>
  <c r="AG67" i="15"/>
  <c r="AH67" i="15" s="1"/>
  <c r="AK67" i="15"/>
  <c r="AK35" i="15" s="1"/>
  <c r="AK16" i="15"/>
  <c r="AK272" i="15"/>
  <c r="AK269" i="15"/>
  <c r="AK268" i="15"/>
  <c r="AK225" i="15"/>
  <c r="AK224" i="15"/>
  <c r="AK222" i="15"/>
  <c r="AK221" i="15"/>
  <c r="AK220" i="15"/>
  <c r="AK219" i="15"/>
  <c r="AK217" i="15"/>
  <c r="AK216" i="15"/>
  <c r="AK215" i="15"/>
  <c r="AK212" i="15"/>
  <c r="AK211" i="15"/>
  <c r="AK210" i="15"/>
  <c r="AK204" i="15"/>
  <c r="AK199" i="15"/>
  <c r="AK197" i="15"/>
  <c r="AK194" i="15"/>
  <c r="AK183" i="15"/>
  <c r="AK256" i="15" s="1"/>
  <c r="AK298" i="15" s="1"/>
  <c r="AK141" i="15"/>
  <c r="AK108" i="15"/>
  <c r="AK61" i="15"/>
  <c r="AK51" i="15"/>
  <c r="AK50" i="15"/>
  <c r="AK48" i="15"/>
  <c r="AK206" i="15" s="1"/>
  <c r="AK47" i="15"/>
  <c r="AK205" i="15" s="1"/>
  <c r="AK38" i="15"/>
  <c r="AK60" i="15" s="1"/>
  <c r="AK88" i="15" s="1"/>
  <c r="AK101" i="15" s="1"/>
  <c r="AK160" i="15" s="1"/>
  <c r="AK267" i="15" s="1"/>
  <c r="AK174" i="15" s="1"/>
  <c r="AK37" i="19" s="1"/>
  <c r="AK36" i="15"/>
  <c r="AK31" i="15"/>
  <c r="AK26" i="15"/>
  <c r="AK14" i="15"/>
  <c r="AK15" i="15" s="1"/>
  <c r="AK8" i="15"/>
  <c r="AK198" i="15" s="1"/>
  <c r="AJ140" i="15"/>
  <c r="AJ139" i="15"/>
  <c r="AJ131" i="15"/>
  <c r="AJ130" i="15"/>
  <c r="AJ129" i="15"/>
  <c r="AJ128" i="15"/>
  <c r="AJ127" i="15"/>
  <c r="AJ126" i="15"/>
  <c r="AJ125" i="15"/>
  <c r="AJ124" i="15"/>
  <c r="AJ123" i="15"/>
  <c r="AJ122" i="15"/>
  <c r="AJ121" i="15"/>
  <c r="AJ120" i="15"/>
  <c r="AJ119" i="15"/>
  <c r="AJ107" i="15"/>
  <c r="AJ106" i="15"/>
  <c r="I149" i="15"/>
  <c r="I141" i="15"/>
  <c r="I116" i="15"/>
  <c r="AJ116" i="15" s="1"/>
  <c r="AJ147" i="15" s="1"/>
  <c r="I76" i="15"/>
  <c r="I222" i="15" s="1"/>
  <c r="I74" i="15"/>
  <c r="I69" i="15"/>
  <c r="I62" i="15"/>
  <c r="I56" i="15"/>
  <c r="I93" i="15" s="1"/>
  <c r="AJ39" i="19"/>
  <c r="AJ40" i="19"/>
  <c r="AJ38" i="19"/>
  <c r="AJ34" i="19"/>
  <c r="AJ33" i="19"/>
  <c r="AJ30" i="19"/>
  <c r="AJ29" i="19"/>
  <c r="AJ27" i="19"/>
  <c r="AJ26" i="19"/>
  <c r="AJ24" i="19"/>
  <c r="AJ21" i="19"/>
  <c r="AJ20" i="19"/>
  <c r="AJ17" i="19"/>
  <c r="AJ13" i="19"/>
  <c r="AJ16" i="19" s="1"/>
  <c r="AJ10" i="19"/>
  <c r="AJ9" i="19"/>
  <c r="I41" i="19"/>
  <c r="I16" i="19"/>
  <c r="I123" i="19"/>
  <c r="I64" i="19"/>
  <c r="I37" i="19"/>
  <c r="I23" i="19"/>
  <c r="AJ156" i="15"/>
  <c r="C1025" i="20" s="1"/>
  <c r="AJ155" i="15"/>
  <c r="AJ105" i="15"/>
  <c r="AJ104" i="15"/>
  <c r="I244" i="15"/>
  <c r="I245" i="15" s="1"/>
  <c r="I103" i="15"/>
  <c r="AJ103" i="15" s="1"/>
  <c r="AJ144" i="15"/>
  <c r="AJ46" i="15"/>
  <c r="AJ61" i="15" s="1"/>
  <c r="AJ19" i="15"/>
  <c r="AJ20" i="15"/>
  <c r="AJ18" i="15"/>
  <c r="AK29" i="15" s="1"/>
  <c r="AJ22" i="15"/>
  <c r="AJ13" i="15"/>
  <c r="AJ7" i="15"/>
  <c r="I14" i="15"/>
  <c r="AJ272" i="15"/>
  <c r="AJ269" i="15"/>
  <c r="AJ268" i="15"/>
  <c r="AJ199" i="15"/>
  <c r="AJ194" i="15"/>
  <c r="AJ38" i="15"/>
  <c r="AJ60" i="15" s="1"/>
  <c r="AJ88" i="15" s="1"/>
  <c r="AJ101" i="15" s="1"/>
  <c r="AJ160" i="15" s="1"/>
  <c r="AJ267" i="15" s="1"/>
  <c r="AJ174" i="15" s="1"/>
  <c r="I272" i="15"/>
  <c r="I269" i="15"/>
  <c r="I268" i="15"/>
  <c r="I225" i="15"/>
  <c r="I224" i="15"/>
  <c r="I221" i="15"/>
  <c r="I219" i="15"/>
  <c r="I217" i="15"/>
  <c r="I215" i="15"/>
  <c r="I214" i="15"/>
  <c r="I212" i="15"/>
  <c r="I211" i="15"/>
  <c r="I210" i="15"/>
  <c r="I204" i="15"/>
  <c r="I199" i="15"/>
  <c r="I197" i="15"/>
  <c r="I194" i="15"/>
  <c r="I183" i="15"/>
  <c r="I160" i="15"/>
  <c r="I267" i="15" s="1"/>
  <c r="I174" i="15" s="1"/>
  <c r="I247" i="15" s="1"/>
  <c r="I108" i="15"/>
  <c r="I101" i="15"/>
  <c r="I98" i="15"/>
  <c r="I181" i="15" s="1"/>
  <c r="I96" i="15"/>
  <c r="I180" i="15" s="1"/>
  <c r="I95" i="15"/>
  <c r="I179" i="15" s="1"/>
  <c r="I92" i="15"/>
  <c r="I176" i="15" s="1"/>
  <c r="I89" i="15"/>
  <c r="I175" i="15" s="1"/>
  <c r="I88" i="15"/>
  <c r="I61" i="15"/>
  <c r="I208" i="15" s="1"/>
  <c r="I60" i="15"/>
  <c r="I51" i="15"/>
  <c r="I50" i="15"/>
  <c r="I94" i="15" s="1"/>
  <c r="I177" i="15" s="1"/>
  <c r="I48" i="15"/>
  <c r="I47" i="15"/>
  <c r="I38" i="15"/>
  <c r="I36" i="15"/>
  <c r="I35" i="15"/>
  <c r="I31" i="15"/>
  <c r="I29" i="15"/>
  <c r="I26" i="15"/>
  <c r="I27" i="15"/>
  <c r="I8" i="15"/>
  <c r="I198" i="15" s="1"/>
  <c r="AG123" i="19"/>
  <c r="AC123" i="19"/>
  <c r="Y123" i="19"/>
  <c r="H123" i="19"/>
  <c r="AH122" i="19"/>
  <c r="AI122" i="19" s="1"/>
  <c r="AJ122" i="19" s="1"/>
  <c r="AD122" i="19"/>
  <c r="AE122" i="19" s="1"/>
  <c r="AF122" i="19" s="1"/>
  <c r="Z122" i="19"/>
  <c r="AA122" i="19" s="1"/>
  <c r="AH120" i="19"/>
  <c r="AI120" i="19" s="1"/>
  <c r="AJ120" i="19" s="1"/>
  <c r="AD120" i="19"/>
  <c r="AE120" i="19" s="1"/>
  <c r="AF120" i="19" s="1"/>
  <c r="Z120" i="19"/>
  <c r="AH119" i="19"/>
  <c r="AI119" i="19" s="1"/>
  <c r="AJ119" i="19" s="1"/>
  <c r="AD119" i="19"/>
  <c r="AE119" i="19" s="1"/>
  <c r="AF119" i="19" s="1"/>
  <c r="AB119" i="19"/>
  <c r="AH118" i="19"/>
  <c r="AI118" i="19" s="1"/>
  <c r="AJ118" i="19" s="1"/>
  <c r="AD118" i="19"/>
  <c r="AE118" i="19" s="1"/>
  <c r="Z118" i="19"/>
  <c r="AG64" i="19"/>
  <c r="AG83" i="19" s="1"/>
  <c r="AC64" i="19"/>
  <c r="Y64" i="19"/>
  <c r="H64" i="19"/>
  <c r="H83" i="19" s="1"/>
  <c r="G64" i="19"/>
  <c r="F64" i="19"/>
  <c r="AH62" i="19"/>
  <c r="AD62" i="19"/>
  <c r="Z62" i="19"/>
  <c r="AH60" i="19"/>
  <c r="AD60" i="19"/>
  <c r="AD79" i="19" s="1"/>
  <c r="Z60" i="19"/>
  <c r="AH59" i="19"/>
  <c r="AD59" i="19"/>
  <c r="AD78" i="19" s="1"/>
  <c r="AB59" i="19"/>
  <c r="AH58" i="19"/>
  <c r="AD58" i="19"/>
  <c r="AD77" i="19" s="1"/>
  <c r="Z58" i="19"/>
  <c r="AI41" i="19"/>
  <c r="AH41" i="19"/>
  <c r="AG41" i="19"/>
  <c r="AE41" i="19"/>
  <c r="AD41" i="19"/>
  <c r="AC41" i="19"/>
  <c r="AA41" i="19"/>
  <c r="Z41" i="19"/>
  <c r="Y41" i="19"/>
  <c r="W41" i="19"/>
  <c r="V41" i="19"/>
  <c r="U41" i="19"/>
  <c r="S41" i="19"/>
  <c r="R41" i="19"/>
  <c r="Q41" i="19"/>
  <c r="H41" i="19"/>
  <c r="G41" i="19"/>
  <c r="F41" i="19"/>
  <c r="E41" i="19"/>
  <c r="D41" i="19"/>
  <c r="C41" i="19"/>
  <c r="AF40" i="19"/>
  <c r="AB40" i="19"/>
  <c r="X40" i="19"/>
  <c r="T40" i="19"/>
  <c r="AF39" i="19"/>
  <c r="AB39" i="19"/>
  <c r="X39" i="19"/>
  <c r="T39" i="19"/>
  <c r="AF38" i="19"/>
  <c r="AB38" i="19"/>
  <c r="X38" i="19"/>
  <c r="T38" i="19"/>
  <c r="AB37" i="19"/>
  <c r="H37" i="19"/>
  <c r="G37" i="19"/>
  <c r="AF34" i="19"/>
  <c r="AB34" i="19"/>
  <c r="AF33" i="19"/>
  <c r="AB33" i="19"/>
  <c r="X33" i="19"/>
  <c r="T33" i="19"/>
  <c r="AF30" i="19"/>
  <c r="AB30" i="19"/>
  <c r="X30" i="19"/>
  <c r="T30" i="19"/>
  <c r="AF29" i="19"/>
  <c r="AB29" i="19"/>
  <c r="X29" i="19"/>
  <c r="T29" i="19"/>
  <c r="AF27" i="19"/>
  <c r="AB27" i="19"/>
  <c r="X27" i="19"/>
  <c r="T27" i="19"/>
  <c r="AF26" i="19"/>
  <c r="AB26" i="19"/>
  <c r="X26" i="19"/>
  <c r="T26" i="19"/>
  <c r="AF24" i="19"/>
  <c r="AB24" i="19"/>
  <c r="AI23" i="19"/>
  <c r="AH23" i="19"/>
  <c r="AG23" i="19"/>
  <c r="AE23" i="19"/>
  <c r="AD23" i="19"/>
  <c r="AC23" i="19"/>
  <c r="AA23" i="19"/>
  <c r="Z23" i="19"/>
  <c r="Y23" i="19"/>
  <c r="W23" i="19"/>
  <c r="V23" i="19"/>
  <c r="U23" i="19"/>
  <c r="S23" i="19"/>
  <c r="R23" i="19"/>
  <c r="Q23" i="19"/>
  <c r="H23" i="19"/>
  <c r="G23" i="19"/>
  <c r="F23" i="19"/>
  <c r="E23" i="19"/>
  <c r="D23" i="19"/>
  <c r="AB22" i="19"/>
  <c r="X22" i="19"/>
  <c r="T22" i="19"/>
  <c r="AF21" i="19"/>
  <c r="AB21" i="19"/>
  <c r="X21" i="19"/>
  <c r="T21" i="19"/>
  <c r="AF20" i="19"/>
  <c r="AB20" i="19"/>
  <c r="X20" i="19"/>
  <c r="T20" i="19"/>
  <c r="AF17" i="19"/>
  <c r="AB17" i="19"/>
  <c r="AI16" i="19"/>
  <c r="AH16" i="19"/>
  <c r="AG16" i="19"/>
  <c r="AE16" i="19"/>
  <c r="AD16" i="19"/>
  <c r="AC16" i="19"/>
  <c r="AA16" i="19"/>
  <c r="Z16" i="19"/>
  <c r="Y16" i="19"/>
  <c r="W16" i="19"/>
  <c r="V16" i="19"/>
  <c r="U16" i="19"/>
  <c r="S16" i="19"/>
  <c r="R16" i="19"/>
  <c r="Q16" i="19"/>
  <c r="H16" i="19"/>
  <c r="G16" i="19"/>
  <c r="F16" i="19"/>
  <c r="E16" i="19"/>
  <c r="D16" i="19"/>
  <c r="C16" i="19"/>
  <c r="AB15" i="19"/>
  <c r="X15" i="19"/>
  <c r="T15" i="19"/>
  <c r="AB14" i="19"/>
  <c r="X14" i="19"/>
  <c r="T14" i="19"/>
  <c r="AF13" i="19"/>
  <c r="AF16" i="19" s="1"/>
  <c r="AB13" i="19"/>
  <c r="X13" i="19"/>
  <c r="T13" i="19"/>
  <c r="AF10" i="19"/>
  <c r="AB10" i="19"/>
  <c r="X10" i="19"/>
  <c r="T10" i="19"/>
  <c r="AF9" i="19"/>
  <c r="AB9" i="19"/>
  <c r="X9" i="19"/>
  <c r="T9" i="19"/>
  <c r="AI116" i="15"/>
  <c r="AI147" i="15" s="1"/>
  <c r="AI146" i="15" s="1"/>
  <c r="AI103" i="15"/>
  <c r="AI40" i="15"/>
  <c r="AI16" i="15"/>
  <c r="AI27" i="15" s="1"/>
  <c r="AI274" i="15"/>
  <c r="AI272" i="15"/>
  <c r="AI270" i="15"/>
  <c r="AI269" i="15"/>
  <c r="AI268" i="15"/>
  <c r="AI204" i="15"/>
  <c r="AI199" i="15"/>
  <c r="AI197" i="15"/>
  <c r="AI194" i="15"/>
  <c r="AI183" i="15"/>
  <c r="AI256" i="15" s="1"/>
  <c r="AI298" i="15" s="1"/>
  <c r="AI141" i="15"/>
  <c r="AI108" i="15"/>
  <c r="AI61" i="15"/>
  <c r="AI48" i="15"/>
  <c r="AI206" i="15" s="1"/>
  <c r="AI47" i="15"/>
  <c r="AI205" i="15" s="1"/>
  <c r="AI38" i="15"/>
  <c r="AI60" i="15" s="1"/>
  <c r="AI88" i="15" s="1"/>
  <c r="AI101" i="15" s="1"/>
  <c r="AI160" i="15" s="1"/>
  <c r="AI267" i="15" s="1"/>
  <c r="AI174" i="15" s="1"/>
  <c r="AI247" i="15" s="1"/>
  <c r="AI31" i="15"/>
  <c r="AI26" i="15"/>
  <c r="AI14" i="15"/>
  <c r="AI8" i="15"/>
  <c r="AI198" i="15" s="1"/>
  <c r="BI49" i="15"/>
  <c r="AH49" i="15"/>
  <c r="AH116" i="15"/>
  <c r="AH147" i="15" s="1"/>
  <c r="AH230" i="15" s="1"/>
  <c r="BI63" i="15"/>
  <c r="AH63" i="15"/>
  <c r="AH210" i="15" s="1"/>
  <c r="BI16" i="15"/>
  <c r="BI27" i="15" s="1"/>
  <c r="AH16" i="15"/>
  <c r="BI75" i="15"/>
  <c r="BI80" i="15"/>
  <c r="BI79" i="15"/>
  <c r="AH80" i="15"/>
  <c r="AH79" i="15"/>
  <c r="BI76" i="15"/>
  <c r="AH76" i="15"/>
  <c r="AH222" i="15" s="1"/>
  <c r="AH75" i="15"/>
  <c r="AI75" i="15" s="1"/>
  <c r="AJ75" i="15" s="1"/>
  <c r="AH74" i="15"/>
  <c r="AH290" i="15" s="1"/>
  <c r="BI74" i="15"/>
  <c r="AH73" i="15"/>
  <c r="AH289" i="15" s="1"/>
  <c r="BI73" i="15"/>
  <c r="BI70" i="15"/>
  <c r="AH70" i="15"/>
  <c r="AH217" i="15" s="1"/>
  <c r="AH69" i="15"/>
  <c r="AH216" i="15" s="1"/>
  <c r="BI69" i="15"/>
  <c r="AH68" i="15"/>
  <c r="AH215" i="15" s="1"/>
  <c r="BI68" i="15"/>
  <c r="BI67" i="15"/>
  <c r="BI35" i="15" s="1"/>
  <c r="AH65" i="15"/>
  <c r="AI65" i="15" s="1"/>
  <c r="AI282" i="15" s="1"/>
  <c r="BI65" i="15"/>
  <c r="AH64" i="15"/>
  <c r="BI64" i="15"/>
  <c r="AH103" i="15"/>
  <c r="BI47" i="15"/>
  <c r="AH47" i="15"/>
  <c r="AH8" i="15"/>
  <c r="AH198" i="15" s="1"/>
  <c r="BI8" i="15"/>
  <c r="BI61" i="15"/>
  <c r="BI48" i="15"/>
  <c r="BI38" i="15"/>
  <c r="BI60" i="15" s="1"/>
  <c r="BI36" i="15"/>
  <c r="BI31" i="15"/>
  <c r="BI26" i="15"/>
  <c r="BI14" i="15"/>
  <c r="AH274" i="15"/>
  <c r="AH272" i="15"/>
  <c r="AH270" i="15"/>
  <c r="AH269" i="15"/>
  <c r="AH268" i="15"/>
  <c r="AH204" i="15"/>
  <c r="AH199" i="15"/>
  <c r="AH197" i="15"/>
  <c r="AH194" i="15"/>
  <c r="AH183" i="15"/>
  <c r="AH256" i="15" s="1"/>
  <c r="AH298" i="15" s="1"/>
  <c r="AH141" i="15"/>
  <c r="AH108" i="15"/>
  <c r="AH61" i="15"/>
  <c r="AH278" i="15" s="1"/>
  <c r="AH48" i="15"/>
  <c r="AH206" i="15" s="1"/>
  <c r="AH36" i="15"/>
  <c r="AH38" i="15"/>
  <c r="AH60" i="15" s="1"/>
  <c r="AH88" i="15" s="1"/>
  <c r="AH101" i="15" s="1"/>
  <c r="AH160" i="15" s="1"/>
  <c r="AH267" i="15" s="1"/>
  <c r="AH174" i="15" s="1"/>
  <c r="AH31" i="15"/>
  <c r="AH26" i="15"/>
  <c r="AH14" i="15"/>
  <c r="AH15" i="15" s="1"/>
  <c r="AG244" i="15"/>
  <c r="AG116" i="15"/>
  <c r="AG103" i="15"/>
  <c r="H103" i="15"/>
  <c r="AF103" i="15" s="1"/>
  <c r="AG62" i="15"/>
  <c r="AH62" i="15" s="1"/>
  <c r="AI62" i="15" s="1"/>
  <c r="AG16" i="15"/>
  <c r="AG27" i="15" s="1"/>
  <c r="AG272" i="15"/>
  <c r="AG269" i="15"/>
  <c r="AG268" i="15"/>
  <c r="AG225" i="15"/>
  <c r="AG224" i="15"/>
  <c r="AG222" i="15"/>
  <c r="AG221" i="15"/>
  <c r="AG220" i="15"/>
  <c r="AG219" i="15"/>
  <c r="AG217" i="15"/>
  <c r="AG216" i="15"/>
  <c r="AG215" i="15"/>
  <c r="AG212" i="15"/>
  <c r="AG211" i="15"/>
  <c r="AG210" i="15"/>
  <c r="AG204" i="15"/>
  <c r="AG199" i="15"/>
  <c r="AG197" i="15"/>
  <c r="AG194" i="15"/>
  <c r="AG183" i="15"/>
  <c r="AG141" i="15"/>
  <c r="AG108" i="15"/>
  <c r="AG61" i="15"/>
  <c r="AG51" i="15"/>
  <c r="AG50" i="15"/>
  <c r="AG48" i="15"/>
  <c r="AG47" i="15"/>
  <c r="AG38" i="15"/>
  <c r="AG60" i="15" s="1"/>
  <c r="AG88" i="15" s="1"/>
  <c r="AG101" i="15" s="1"/>
  <c r="AG160" i="15" s="1"/>
  <c r="AG267" i="15" s="1"/>
  <c r="AG174" i="15" s="1"/>
  <c r="AG247" i="15" s="1"/>
  <c r="AG36" i="15"/>
  <c r="AG31" i="15"/>
  <c r="AG26" i="15"/>
  <c r="AG14" i="15"/>
  <c r="AG8" i="15"/>
  <c r="AG198" i="15" s="1"/>
  <c r="AF46" i="15"/>
  <c r="AF61" i="15" s="1"/>
  <c r="AF7" i="15"/>
  <c r="AH89" i="15" s="1"/>
  <c r="H243" i="15"/>
  <c r="H285" i="15" s="1"/>
  <c r="H244" i="15"/>
  <c r="H245" i="15" s="1"/>
  <c r="AF156" i="15"/>
  <c r="C1205" i="20" s="1"/>
  <c r="AF155" i="15"/>
  <c r="AF144" i="15"/>
  <c r="AF140" i="15"/>
  <c r="AF139" i="15"/>
  <c r="AF131" i="15"/>
  <c r="AF130" i="15"/>
  <c r="C1200" i="20" s="1"/>
  <c r="AF129" i="15"/>
  <c r="C1194" i="20" s="1"/>
  <c r="AF128" i="15"/>
  <c r="C1193" i="20" s="1"/>
  <c r="AF127" i="15"/>
  <c r="C1199" i="20" s="1"/>
  <c r="AF126" i="15"/>
  <c r="C1198" i="20" s="1"/>
  <c r="AF125" i="15"/>
  <c r="C1197" i="20" s="1"/>
  <c r="AF124" i="15"/>
  <c r="C1196" i="20" s="1"/>
  <c r="AF123" i="15"/>
  <c r="AF121" i="15"/>
  <c r="AF122" i="15"/>
  <c r="AF119" i="15"/>
  <c r="AF120" i="15"/>
  <c r="AF107" i="15"/>
  <c r="AF106" i="15"/>
  <c r="AF105" i="15"/>
  <c r="AF104" i="15"/>
  <c r="H116" i="15"/>
  <c r="AF116" i="15" s="1"/>
  <c r="AF147" i="15" s="1"/>
  <c r="H76" i="15"/>
  <c r="H222" i="15" s="1"/>
  <c r="H74" i="15"/>
  <c r="H69" i="15"/>
  <c r="H216" i="15" s="1"/>
  <c r="H62" i="15"/>
  <c r="AF22" i="15"/>
  <c r="AF20" i="15"/>
  <c r="AF19" i="15"/>
  <c r="AF18" i="15"/>
  <c r="AF13" i="15"/>
  <c r="AF56" i="15"/>
  <c r="AF93" i="15" s="1"/>
  <c r="H16" i="15"/>
  <c r="H27" i="15" s="1"/>
  <c r="AF272" i="15"/>
  <c r="AF269" i="15"/>
  <c r="AF268" i="15"/>
  <c r="AF199" i="15"/>
  <c r="AF194" i="15"/>
  <c r="AF38" i="15"/>
  <c r="AF60" i="15" s="1"/>
  <c r="AF88" i="15" s="1"/>
  <c r="AF101" i="15" s="1"/>
  <c r="AF160" i="15" s="1"/>
  <c r="AF267" i="15" s="1"/>
  <c r="AF174" i="15" s="1"/>
  <c r="AF37" i="19" s="1"/>
  <c r="H272" i="15"/>
  <c r="H269" i="15"/>
  <c r="H268" i="15"/>
  <c r="H225" i="15"/>
  <c r="H224" i="15"/>
  <c r="H221" i="15"/>
  <c r="H219" i="15"/>
  <c r="H217" i="15"/>
  <c r="H215" i="15"/>
  <c r="H214" i="15"/>
  <c r="H212" i="15"/>
  <c r="H211" i="15"/>
  <c r="H210" i="15"/>
  <c r="H204" i="15"/>
  <c r="H199" i="15"/>
  <c r="H197" i="15"/>
  <c r="H194" i="15"/>
  <c r="H183" i="15"/>
  <c r="H160" i="15"/>
  <c r="H267" i="15" s="1"/>
  <c r="H174" i="15" s="1"/>
  <c r="H247" i="15" s="1"/>
  <c r="H149" i="15"/>
  <c r="H141" i="15"/>
  <c r="H108" i="15"/>
  <c r="H101" i="15"/>
  <c r="H98" i="15"/>
  <c r="H181" i="15" s="1"/>
  <c r="H96" i="15"/>
  <c r="H180" i="15" s="1"/>
  <c r="H95" i="15"/>
  <c r="H179" i="15" s="1"/>
  <c r="H92" i="15"/>
  <c r="H176" i="15" s="1"/>
  <c r="H89" i="15"/>
  <c r="H175" i="15" s="1"/>
  <c r="H88" i="15"/>
  <c r="H61" i="15"/>
  <c r="H60" i="15"/>
  <c r="H93" i="15"/>
  <c r="H51" i="15"/>
  <c r="H50" i="15"/>
  <c r="H94" i="15" s="1"/>
  <c r="H177" i="15" s="1"/>
  <c r="H48" i="15"/>
  <c r="H47" i="15"/>
  <c r="H205" i="15" s="1"/>
  <c r="H38" i="15"/>
  <c r="H36" i="15"/>
  <c r="H35" i="15"/>
  <c r="H31" i="15"/>
  <c r="H29" i="15"/>
  <c r="H26" i="15"/>
  <c r="H14" i="15"/>
  <c r="H15" i="15" s="1"/>
  <c r="H8" i="15"/>
  <c r="H198" i="15" s="1"/>
  <c r="BH56" i="15"/>
  <c r="BH57" i="15" s="1"/>
  <c r="BG56" i="15"/>
  <c r="AE116" i="15"/>
  <c r="AE147" i="15" s="1"/>
  <c r="AE157" i="15" s="1"/>
  <c r="AE103" i="15"/>
  <c r="AD103" i="15"/>
  <c r="AC103" i="15"/>
  <c r="E268" i="15"/>
  <c r="F268" i="15"/>
  <c r="E269" i="15"/>
  <c r="F269" i="15"/>
  <c r="G269" i="15"/>
  <c r="G268" i="15"/>
  <c r="U268" i="15"/>
  <c r="V268" i="15"/>
  <c r="W268" i="15"/>
  <c r="X268" i="15"/>
  <c r="Y268" i="15"/>
  <c r="Z268" i="15"/>
  <c r="AA268" i="15"/>
  <c r="AB268" i="15"/>
  <c r="AC268" i="15"/>
  <c r="AD268" i="15"/>
  <c r="U269" i="15"/>
  <c r="V269" i="15"/>
  <c r="W269" i="15"/>
  <c r="X269" i="15"/>
  <c r="Y269" i="15"/>
  <c r="Z269" i="15"/>
  <c r="AA269" i="15"/>
  <c r="AB269" i="15"/>
  <c r="AC269" i="15"/>
  <c r="AD269" i="15"/>
  <c r="AE269" i="15"/>
  <c r="AE268" i="15"/>
  <c r="Q58" i="15"/>
  <c r="S58" i="15"/>
  <c r="AC58" i="15"/>
  <c r="AD58" i="15"/>
  <c r="AE58" i="15"/>
  <c r="V56" i="15"/>
  <c r="V58" i="15" s="1"/>
  <c r="W56" i="15"/>
  <c r="Y56" i="15"/>
  <c r="Y58" i="15" s="1"/>
  <c r="Z56" i="15"/>
  <c r="AA56" i="15"/>
  <c r="U56" i="15"/>
  <c r="D56" i="15"/>
  <c r="D93" i="15" s="1"/>
  <c r="E56" i="15"/>
  <c r="F56" i="15"/>
  <c r="G56" i="15"/>
  <c r="C56" i="15"/>
  <c r="C93" i="15" s="1"/>
  <c r="R56" i="15"/>
  <c r="AE16" i="15"/>
  <c r="AE27" i="15" s="1"/>
  <c r="AE274" i="15"/>
  <c r="AE272" i="15"/>
  <c r="AE270" i="15"/>
  <c r="AE204" i="15"/>
  <c r="AE199" i="15"/>
  <c r="AE197" i="15"/>
  <c r="AE194" i="15"/>
  <c r="AE183" i="15"/>
  <c r="AE256" i="15" s="1"/>
  <c r="AE298" i="15" s="1"/>
  <c r="AE141" i="15"/>
  <c r="AE108" i="15"/>
  <c r="AE61" i="15"/>
  <c r="AE278" i="15" s="1"/>
  <c r="AE48" i="15"/>
  <c r="AE47" i="15"/>
  <c r="AE38" i="15"/>
  <c r="AE60" i="15" s="1"/>
  <c r="AE88" i="15" s="1"/>
  <c r="AE101" i="15" s="1"/>
  <c r="AE160" i="15" s="1"/>
  <c r="AE267" i="15" s="1"/>
  <c r="AE174" i="15" s="1"/>
  <c r="AE37" i="19" s="1"/>
  <c r="AE31" i="15"/>
  <c r="AE26" i="15"/>
  <c r="AE14" i="15"/>
  <c r="AE15" i="15" s="1"/>
  <c r="AE8" i="15"/>
  <c r="AE198" i="15" s="1"/>
  <c r="AD49" i="15"/>
  <c r="AE49" i="15" s="1"/>
  <c r="AE50" i="15" s="1"/>
  <c r="AD116" i="15"/>
  <c r="AD147" i="15" s="1"/>
  <c r="AC116" i="15"/>
  <c r="AC147" i="15" s="1"/>
  <c r="AC146" i="15" s="1"/>
  <c r="AC171" i="15" s="1"/>
  <c r="AD80" i="15"/>
  <c r="AD79" i="15"/>
  <c r="AD224" i="15" s="1"/>
  <c r="AD76" i="15"/>
  <c r="AE76" i="15" s="1"/>
  <c r="AD64" i="15"/>
  <c r="AD75" i="15"/>
  <c r="AD221" i="15" s="1"/>
  <c r="AD74" i="15"/>
  <c r="AE74" i="15" s="1"/>
  <c r="AE220" i="15" s="1"/>
  <c r="AD73" i="15"/>
  <c r="AD219" i="15" s="1"/>
  <c r="AD70" i="15"/>
  <c r="AD287" i="15" s="1"/>
  <c r="AD69" i="15"/>
  <c r="AE69" i="15" s="1"/>
  <c r="AD68" i="15"/>
  <c r="AD285" i="15" s="1"/>
  <c r="AD67" i="15"/>
  <c r="AD65" i="15"/>
  <c r="AE65" i="15" s="1"/>
  <c r="AE282" i="15" s="1"/>
  <c r="AD63" i="15"/>
  <c r="AD40" i="15"/>
  <c r="AD16" i="15"/>
  <c r="AD27" i="15" s="1"/>
  <c r="AD274" i="15"/>
  <c r="AD272" i="15"/>
  <c r="AD270" i="15"/>
  <c r="AD204" i="15"/>
  <c r="AD199" i="15"/>
  <c r="AD197" i="15"/>
  <c r="AD194" i="15"/>
  <c r="AD183" i="15"/>
  <c r="AD256" i="15" s="1"/>
  <c r="AD298" i="15" s="1"/>
  <c r="AD141" i="15"/>
  <c r="AD108" i="15"/>
  <c r="AD61" i="15"/>
  <c r="AD278" i="15" s="1"/>
  <c r="AD48" i="15"/>
  <c r="AD47" i="15"/>
  <c r="AD38" i="15"/>
  <c r="AD60" i="15" s="1"/>
  <c r="AD88" i="15" s="1"/>
  <c r="AD101" i="15" s="1"/>
  <c r="AD160" i="15" s="1"/>
  <c r="AD267" i="15" s="1"/>
  <c r="AD174" i="15" s="1"/>
  <c r="AD31" i="15"/>
  <c r="AD26" i="15"/>
  <c r="AD14" i="15"/>
  <c r="AD15" i="15" s="1"/>
  <c r="AD8" i="15"/>
  <c r="AD198" i="15" s="1"/>
  <c r="C141" i="15"/>
  <c r="C142" i="15" s="1"/>
  <c r="D141" i="15"/>
  <c r="D142" i="15" s="1"/>
  <c r="E141" i="15"/>
  <c r="E142" i="15" s="1"/>
  <c r="F141" i="15"/>
  <c r="F142" i="15" s="1"/>
  <c r="G141" i="15"/>
  <c r="G142" i="15" s="1"/>
  <c r="Q141" i="15"/>
  <c r="Q142" i="15" s="1"/>
  <c r="R141" i="15"/>
  <c r="R142" i="15" s="1"/>
  <c r="S141" i="15"/>
  <c r="S142" i="15" s="1"/>
  <c r="U141" i="15"/>
  <c r="U142" i="15" s="1"/>
  <c r="V141" i="15"/>
  <c r="V142" i="15" s="1"/>
  <c r="W141" i="15"/>
  <c r="W142" i="15" s="1"/>
  <c r="Z141" i="15"/>
  <c r="Z142" i="15" s="1"/>
  <c r="AA141" i="15"/>
  <c r="AA142" i="15" s="1"/>
  <c r="AC141" i="15"/>
  <c r="Q149" i="15"/>
  <c r="D149" i="15"/>
  <c r="E149" i="15"/>
  <c r="F149" i="15"/>
  <c r="G149" i="15"/>
  <c r="C149" i="15"/>
  <c r="AC108" i="15"/>
  <c r="AC62" i="15"/>
  <c r="AD62" i="15" s="1"/>
  <c r="AC47" i="15"/>
  <c r="AC205" i="15" s="1"/>
  <c r="AC36" i="15"/>
  <c r="AC35" i="15"/>
  <c r="AC31" i="15"/>
  <c r="AC26" i="15"/>
  <c r="AC16" i="15"/>
  <c r="AC183" i="15"/>
  <c r="AC256" i="15" s="1"/>
  <c r="AC298" i="15" s="1"/>
  <c r="AC295" i="15"/>
  <c r="AC294" i="15"/>
  <c r="AC292" i="15"/>
  <c r="AC291" i="15"/>
  <c r="AC290" i="15"/>
  <c r="AC289" i="15"/>
  <c r="AC287" i="15"/>
  <c r="AC286" i="15"/>
  <c r="AC285" i="15"/>
  <c r="AC284" i="15"/>
  <c r="AC282" i="15"/>
  <c r="AC281" i="15"/>
  <c r="AC280" i="15"/>
  <c r="AC274" i="15"/>
  <c r="AC272" i="15"/>
  <c r="AC270" i="15"/>
  <c r="AC225" i="15"/>
  <c r="AC224" i="15"/>
  <c r="AC222" i="15"/>
  <c r="AC221" i="15"/>
  <c r="AC220" i="15"/>
  <c r="AC219" i="15"/>
  <c r="AC217" i="15"/>
  <c r="AC216" i="15"/>
  <c r="AC215" i="15"/>
  <c r="AC214" i="15"/>
  <c r="AC212" i="15"/>
  <c r="AC211" i="15"/>
  <c r="AC210" i="15"/>
  <c r="AC204" i="15"/>
  <c r="AC199" i="15"/>
  <c r="AC197" i="15"/>
  <c r="AC194" i="15"/>
  <c r="AC61" i="15"/>
  <c r="AC51" i="15"/>
  <c r="AC50" i="15"/>
  <c r="AC48" i="15"/>
  <c r="AC276" i="15" s="1"/>
  <c r="AC38" i="15"/>
  <c r="AC60" i="15" s="1"/>
  <c r="AC88" i="15" s="1"/>
  <c r="AC101" i="15" s="1"/>
  <c r="AC160" i="15" s="1"/>
  <c r="AC267" i="15" s="1"/>
  <c r="AC174" i="15" s="1"/>
  <c r="AC247" i="15" s="1"/>
  <c r="AC14" i="15"/>
  <c r="AC8" i="15"/>
  <c r="AC198" i="15" s="1"/>
  <c r="G280" i="15"/>
  <c r="AB272" i="15"/>
  <c r="AB199" i="15"/>
  <c r="AB194" i="15"/>
  <c r="AB160" i="15"/>
  <c r="AB267" i="15" s="1"/>
  <c r="AB174" i="15" s="1"/>
  <c r="AB247" i="15" s="1"/>
  <c r="AB101" i="15"/>
  <c r="AB80" i="15"/>
  <c r="AB46" i="15"/>
  <c r="AB22" i="15"/>
  <c r="AB20" i="15"/>
  <c r="AB19" i="15"/>
  <c r="AB18" i="15"/>
  <c r="AC29" i="15" s="1"/>
  <c r="AB13" i="15"/>
  <c r="AB7" i="15"/>
  <c r="AD89" i="15" s="1"/>
  <c r="AD175" i="15" s="1"/>
  <c r="AD248" i="15" s="1"/>
  <c r="AB156" i="15"/>
  <c r="C1379" i="20" s="1"/>
  <c r="AB155" i="15"/>
  <c r="AB144" i="15"/>
  <c r="AB183" i="15" s="1"/>
  <c r="AB256" i="15" s="1"/>
  <c r="AB298" i="15" s="1"/>
  <c r="AB122" i="15"/>
  <c r="AB123" i="15"/>
  <c r="AB124" i="15"/>
  <c r="C1371" i="20" s="1"/>
  <c r="AB125" i="15"/>
  <c r="C1372" i="20" s="1"/>
  <c r="AB126" i="15"/>
  <c r="C1373" i="20" s="1"/>
  <c r="AB127" i="15"/>
  <c r="C1374" i="20" s="1"/>
  <c r="AB128" i="15"/>
  <c r="C1368" i="20" s="1"/>
  <c r="AB129" i="15"/>
  <c r="C1369" i="20" s="1"/>
  <c r="AB130" i="15"/>
  <c r="C1375" i="20" s="1"/>
  <c r="AB139" i="15"/>
  <c r="AB140" i="15"/>
  <c r="AB121" i="15"/>
  <c r="AB116" i="15"/>
  <c r="AB147" i="15" s="1"/>
  <c r="AB104" i="15"/>
  <c r="AB105" i="15"/>
  <c r="AB106" i="15"/>
  <c r="AB107" i="15"/>
  <c r="G183" i="15"/>
  <c r="G256" i="15" s="1"/>
  <c r="G298" i="15" s="1"/>
  <c r="G295" i="15"/>
  <c r="G294" i="15"/>
  <c r="G292" i="15"/>
  <c r="G291" i="15"/>
  <c r="G289" i="15"/>
  <c r="G287" i="15"/>
  <c r="G285" i="15"/>
  <c r="G284" i="15"/>
  <c r="G282" i="15"/>
  <c r="G281" i="15"/>
  <c r="G274" i="15"/>
  <c r="G272" i="15"/>
  <c r="G270" i="15"/>
  <c r="AB60" i="15"/>
  <c r="AB88" i="15" s="1"/>
  <c r="AB38" i="15"/>
  <c r="G225" i="15"/>
  <c r="G224" i="15"/>
  <c r="G222" i="15"/>
  <c r="G221" i="15"/>
  <c r="G219" i="15"/>
  <c r="G217" i="15"/>
  <c r="G215" i="15"/>
  <c r="G214" i="15"/>
  <c r="G212" i="15"/>
  <c r="G211" i="15"/>
  <c r="G210" i="15"/>
  <c r="G204" i="15"/>
  <c r="G199" i="15"/>
  <c r="G197" i="15"/>
  <c r="G194" i="15"/>
  <c r="G160" i="15"/>
  <c r="G267" i="15" s="1"/>
  <c r="G174" i="15" s="1"/>
  <c r="G247" i="15" s="1"/>
  <c r="G147" i="15"/>
  <c r="G157" i="15" s="1"/>
  <c r="G108" i="15"/>
  <c r="G103" i="15"/>
  <c r="AB103" i="15" s="1"/>
  <c r="G101" i="15"/>
  <c r="G98" i="15"/>
  <c r="G181" i="15" s="1"/>
  <c r="G254" i="15" s="1"/>
  <c r="G96" i="15"/>
  <c r="G180" i="15" s="1"/>
  <c r="G253" i="15" s="1"/>
  <c r="G95" i="15"/>
  <c r="G179" i="15" s="1"/>
  <c r="G252" i="15" s="1"/>
  <c r="G92" i="15"/>
  <c r="G176" i="15" s="1"/>
  <c r="G249" i="15" s="1"/>
  <c r="G89" i="15"/>
  <c r="G175" i="15" s="1"/>
  <c r="G88" i="15"/>
  <c r="G74" i="15"/>
  <c r="G290" i="15" s="1"/>
  <c r="G69" i="15"/>
  <c r="G286" i="15" s="1"/>
  <c r="G62" i="15"/>
  <c r="G209" i="15" s="1"/>
  <c r="G61" i="15"/>
  <c r="G208" i="15" s="1"/>
  <c r="G60" i="15"/>
  <c r="G51" i="15"/>
  <c r="G50" i="15"/>
  <c r="G94" i="15" s="1"/>
  <c r="G177" i="15" s="1"/>
  <c r="G250" i="15" s="1"/>
  <c r="G48" i="15"/>
  <c r="G47" i="15"/>
  <c r="G205" i="15" s="1"/>
  <c r="G38" i="15"/>
  <c r="G36" i="15"/>
  <c r="G35" i="15"/>
  <c r="G31" i="15"/>
  <c r="G29" i="15"/>
  <c r="G26" i="15"/>
  <c r="G16" i="15"/>
  <c r="G14" i="15"/>
  <c r="G15" i="15" s="1"/>
  <c r="G8" i="15"/>
  <c r="G198" i="15" s="1"/>
  <c r="B303" i="15"/>
  <c r="B302" i="15"/>
  <c r="B298" i="15"/>
  <c r="AA8" i="15"/>
  <c r="AA198" i="15" s="1"/>
  <c r="AA47" i="15"/>
  <c r="B240" i="15"/>
  <c r="B239" i="15"/>
  <c r="B237" i="15"/>
  <c r="B236" i="15"/>
  <c r="B234" i="15"/>
  <c r="B233" i="15"/>
  <c r="B228" i="15"/>
  <c r="B227" i="15"/>
  <c r="B226" i="15"/>
  <c r="AA225" i="15"/>
  <c r="Z225" i="15"/>
  <c r="Y225" i="15"/>
  <c r="W225" i="15"/>
  <c r="V225" i="15"/>
  <c r="U225" i="15"/>
  <c r="T225" i="15"/>
  <c r="S225" i="15"/>
  <c r="R225" i="15"/>
  <c r="Q225" i="15"/>
  <c r="F225" i="15"/>
  <c r="E225" i="15"/>
  <c r="D225" i="15"/>
  <c r="C225" i="15"/>
  <c r="B225" i="15"/>
  <c r="Y224" i="15"/>
  <c r="U224" i="15"/>
  <c r="Q224" i="15"/>
  <c r="F224" i="15"/>
  <c r="E224" i="15"/>
  <c r="D224" i="15"/>
  <c r="C224" i="15"/>
  <c r="B224" i="15"/>
  <c r="B223" i="15"/>
  <c r="Y222" i="15"/>
  <c r="Q222" i="15"/>
  <c r="D222" i="15"/>
  <c r="B222" i="15"/>
  <c r="AA221" i="15"/>
  <c r="Y221" i="15"/>
  <c r="U221" i="15"/>
  <c r="Q221" i="15"/>
  <c r="F221" i="15"/>
  <c r="E221" i="15"/>
  <c r="D221" i="15"/>
  <c r="C221" i="15"/>
  <c r="B221" i="15"/>
  <c r="Y220" i="15"/>
  <c r="U220" i="15"/>
  <c r="Q220" i="15"/>
  <c r="C220" i="15"/>
  <c r="B220" i="15"/>
  <c r="Y219" i="15"/>
  <c r="U219" i="15"/>
  <c r="Q219" i="15"/>
  <c r="F219" i="15"/>
  <c r="E219" i="15"/>
  <c r="D219" i="15"/>
  <c r="C219" i="15"/>
  <c r="B219" i="15"/>
  <c r="B218" i="15"/>
  <c r="Y217" i="15"/>
  <c r="U217" i="15"/>
  <c r="Q217" i="15"/>
  <c r="F217" i="15"/>
  <c r="E217" i="15"/>
  <c r="D217" i="15"/>
  <c r="C217" i="15"/>
  <c r="B217" i="15"/>
  <c r="Y216" i="15"/>
  <c r="U216" i="15"/>
  <c r="Q216" i="15"/>
  <c r="E216" i="15"/>
  <c r="D216" i="15"/>
  <c r="B216" i="15"/>
  <c r="Y215" i="15"/>
  <c r="U215" i="15"/>
  <c r="Q215" i="15"/>
  <c r="F215" i="15"/>
  <c r="E215" i="15"/>
  <c r="D215" i="15"/>
  <c r="C215" i="15"/>
  <c r="B215" i="15"/>
  <c r="Y214" i="15"/>
  <c r="U214" i="15"/>
  <c r="Q214" i="15"/>
  <c r="F214" i="15"/>
  <c r="E214" i="15"/>
  <c r="D214" i="15"/>
  <c r="B214" i="15"/>
  <c r="B213" i="15"/>
  <c r="Y212" i="15"/>
  <c r="U212" i="15"/>
  <c r="Q212" i="15"/>
  <c r="F212" i="15"/>
  <c r="E212" i="15"/>
  <c r="D212" i="15"/>
  <c r="C212" i="15"/>
  <c r="B212" i="15"/>
  <c r="Y211" i="15"/>
  <c r="U211" i="15"/>
  <c r="Q211" i="15"/>
  <c r="F211" i="15"/>
  <c r="E211" i="15"/>
  <c r="D211" i="15"/>
  <c r="C211" i="15"/>
  <c r="B211" i="15"/>
  <c r="Y210" i="15"/>
  <c r="Q210" i="15"/>
  <c r="F210" i="15"/>
  <c r="E210" i="15"/>
  <c r="D210" i="15"/>
  <c r="C210" i="15"/>
  <c r="B210" i="15"/>
  <c r="B209" i="15"/>
  <c r="B208" i="15"/>
  <c r="B206" i="15"/>
  <c r="B205" i="15"/>
  <c r="AA204" i="15"/>
  <c r="Z204" i="15"/>
  <c r="Y204" i="15"/>
  <c r="W204" i="15"/>
  <c r="V204" i="15"/>
  <c r="U204" i="15"/>
  <c r="S204" i="15"/>
  <c r="Q204" i="15"/>
  <c r="F204" i="15"/>
  <c r="E204" i="15"/>
  <c r="D204" i="15"/>
  <c r="C204" i="15"/>
  <c r="B204" i="15"/>
  <c r="AA199" i="15"/>
  <c r="Z199" i="15"/>
  <c r="Y199" i="15"/>
  <c r="X199" i="15"/>
  <c r="W199" i="15"/>
  <c r="V199" i="15"/>
  <c r="U199" i="15"/>
  <c r="T199" i="15"/>
  <c r="S199" i="15"/>
  <c r="R199" i="15"/>
  <c r="Q199" i="15"/>
  <c r="F199" i="15"/>
  <c r="E199" i="15"/>
  <c r="D199" i="15"/>
  <c r="C199" i="15"/>
  <c r="AA197" i="15"/>
  <c r="Z197" i="15"/>
  <c r="Y197" i="15"/>
  <c r="W197" i="15"/>
  <c r="V197" i="15"/>
  <c r="U197" i="15"/>
  <c r="S197" i="15"/>
  <c r="R197" i="15"/>
  <c r="Q197" i="15"/>
  <c r="F197" i="15"/>
  <c r="E197" i="15"/>
  <c r="D197" i="15"/>
  <c r="C197" i="15"/>
  <c r="B198" i="15"/>
  <c r="B197" i="15"/>
  <c r="AA194" i="15"/>
  <c r="Z194" i="15"/>
  <c r="Y194" i="15"/>
  <c r="X194" i="15"/>
  <c r="W194" i="15"/>
  <c r="V194" i="15"/>
  <c r="U194" i="15"/>
  <c r="T194" i="15"/>
  <c r="S194" i="15"/>
  <c r="R194" i="15"/>
  <c r="Q194" i="15"/>
  <c r="F194" i="15"/>
  <c r="E194" i="15"/>
  <c r="D194" i="15"/>
  <c r="C194" i="15"/>
  <c r="BH61" i="15"/>
  <c r="BH60" i="15"/>
  <c r="BH48" i="15"/>
  <c r="BH47" i="15"/>
  <c r="BH38" i="15"/>
  <c r="BH31" i="15"/>
  <c r="BH26" i="15"/>
  <c r="BH16" i="15"/>
  <c r="BH14" i="15"/>
  <c r="BH8" i="15"/>
  <c r="AA61" i="15"/>
  <c r="AA278" i="15" s="1"/>
  <c r="AA48" i="15"/>
  <c r="AA206" i="15" s="1"/>
  <c r="AA38" i="15"/>
  <c r="AA60" i="15" s="1"/>
  <c r="AA88" i="15" s="1"/>
  <c r="AA101" i="15" s="1"/>
  <c r="AA160" i="15" s="1"/>
  <c r="AA267" i="15" s="1"/>
  <c r="AA174" i="15" s="1"/>
  <c r="AA31" i="15"/>
  <c r="AA26" i="15"/>
  <c r="AA16" i="15"/>
  <c r="AA14" i="15"/>
  <c r="AA15" i="15" s="1"/>
  <c r="Z76" i="15"/>
  <c r="Z69" i="15"/>
  <c r="Z286" i="15" s="1"/>
  <c r="AA103" i="15"/>
  <c r="AA183" i="15"/>
  <c r="AA256" i="15" s="1"/>
  <c r="AA298" i="15" s="1"/>
  <c r="AA295" i="15"/>
  <c r="AA274" i="15"/>
  <c r="AA272" i="15"/>
  <c r="AA270" i="15"/>
  <c r="AA271" i="15" s="1"/>
  <c r="AA147" i="15"/>
  <c r="AA157" i="15" s="1"/>
  <c r="AA108" i="15"/>
  <c r="Z183" i="15"/>
  <c r="Z256" i="15" s="1"/>
  <c r="Z298" i="15" s="1"/>
  <c r="Z147" i="15"/>
  <c r="Z103" i="15"/>
  <c r="Z79" i="15"/>
  <c r="Z75" i="15"/>
  <c r="AB75" i="15" s="1"/>
  <c r="AA291" i="15"/>
  <c r="Z74" i="15"/>
  <c r="Z73" i="15"/>
  <c r="Z219" i="15" s="1"/>
  <c r="Z70" i="15"/>
  <c r="Z68" i="15"/>
  <c r="Z67" i="15"/>
  <c r="Z64" i="15"/>
  <c r="Z281" i="15" s="1"/>
  <c r="Z63" i="15"/>
  <c r="AA63" i="15" s="1"/>
  <c r="BG79" i="15"/>
  <c r="BH79" i="15" s="1"/>
  <c r="BG75" i="15"/>
  <c r="BH75" i="15" s="1"/>
  <c r="BG74" i="15"/>
  <c r="BH74" i="15" s="1"/>
  <c r="BG73" i="15"/>
  <c r="BG70" i="15"/>
  <c r="BG69" i="15"/>
  <c r="BG68" i="15"/>
  <c r="BG67" i="15"/>
  <c r="BG35" i="15" s="1"/>
  <c r="BG65" i="15"/>
  <c r="Z65" i="15"/>
  <c r="Z212" i="15" s="1"/>
  <c r="BG64" i="15"/>
  <c r="Z49" i="15"/>
  <c r="BG49" i="15"/>
  <c r="BG50" i="15" s="1"/>
  <c r="BG48" i="15"/>
  <c r="BG40" i="15"/>
  <c r="BH40" i="15" s="1"/>
  <c r="BG16" i="15"/>
  <c r="BG61" i="15"/>
  <c r="BG38" i="15"/>
  <c r="BG60" i="15" s="1"/>
  <c r="BG31" i="15"/>
  <c r="BG26" i="15"/>
  <c r="BG8" i="15"/>
  <c r="Z40" i="15"/>
  <c r="Z36" i="15" s="1"/>
  <c r="Z16" i="15"/>
  <c r="Z27" i="15" s="1"/>
  <c r="Q38" i="15"/>
  <c r="Q60" i="15" s="1"/>
  <c r="Q88" i="15" s="1"/>
  <c r="Q101" i="15" s="1"/>
  <c r="Q160" i="15" s="1"/>
  <c r="Q267" i="15" s="1"/>
  <c r="Q174" i="15" s="1"/>
  <c r="Q37" i="19" s="1"/>
  <c r="R38" i="15"/>
  <c r="R60" i="15" s="1"/>
  <c r="R88" i="15" s="1"/>
  <c r="R101" i="15" s="1"/>
  <c r="R160" i="15" s="1"/>
  <c r="R267" i="15" s="1"/>
  <c r="R174" i="15" s="1"/>
  <c r="R247" i="15" s="1"/>
  <c r="S38" i="15"/>
  <c r="S60" i="15" s="1"/>
  <c r="S88" i="15" s="1"/>
  <c r="S101" i="15" s="1"/>
  <c r="S160" i="15" s="1"/>
  <c r="S267" i="15" s="1"/>
  <c r="S174" i="15" s="1"/>
  <c r="T38" i="15"/>
  <c r="T60" i="15" s="1"/>
  <c r="T88" i="15" s="1"/>
  <c r="T101" i="15" s="1"/>
  <c r="T160" i="15" s="1"/>
  <c r="T267" i="15" s="1"/>
  <c r="T174" i="15" s="1"/>
  <c r="U38" i="15"/>
  <c r="U60" i="15" s="1"/>
  <c r="U88" i="15" s="1"/>
  <c r="U101" i="15" s="1"/>
  <c r="U160" i="15" s="1"/>
  <c r="U267" i="15" s="1"/>
  <c r="U174" i="15" s="1"/>
  <c r="V38" i="15"/>
  <c r="V60" i="15" s="1"/>
  <c r="V88" i="15" s="1"/>
  <c r="V101" i="15" s="1"/>
  <c r="V160" i="15" s="1"/>
  <c r="V267" i="15" s="1"/>
  <c r="V174" i="15" s="1"/>
  <c r="W38" i="15"/>
  <c r="W60" i="15" s="1"/>
  <c r="W88" i="15" s="1"/>
  <c r="W101" i="15" s="1"/>
  <c r="W160" i="15" s="1"/>
  <c r="W267" i="15" s="1"/>
  <c r="W174" i="15" s="1"/>
  <c r="W37" i="19" s="1"/>
  <c r="X38" i="15"/>
  <c r="X60" i="15" s="1"/>
  <c r="X88" i="15" s="1"/>
  <c r="X101" i="15" s="1"/>
  <c r="X160" i="15" s="1"/>
  <c r="X267" i="15" s="1"/>
  <c r="X174" i="15" s="1"/>
  <c r="Y38" i="15"/>
  <c r="Y60" i="15" s="1"/>
  <c r="Y88" i="15" s="1"/>
  <c r="Y101" i="15" s="1"/>
  <c r="Y160" i="15" s="1"/>
  <c r="Y267" i="15" s="1"/>
  <c r="Y174" i="15" s="1"/>
  <c r="Z38" i="15"/>
  <c r="Z60" i="15" s="1"/>
  <c r="Z88" i="15" s="1"/>
  <c r="Z101" i="15" s="1"/>
  <c r="Z160" i="15" s="1"/>
  <c r="Z267" i="15" s="1"/>
  <c r="Z174" i="15" s="1"/>
  <c r="Z247" i="15" s="1"/>
  <c r="D38" i="15"/>
  <c r="D60" i="15" s="1"/>
  <c r="D88" i="15" s="1"/>
  <c r="D101" i="15" s="1"/>
  <c r="D160" i="15" s="1"/>
  <c r="D267" i="15" s="1"/>
  <c r="D174" i="15" s="1"/>
  <c r="E38" i="15"/>
  <c r="E60" i="15" s="1"/>
  <c r="E88" i="15" s="1"/>
  <c r="E101" i="15" s="1"/>
  <c r="E160" i="15" s="1"/>
  <c r="E267" i="15" s="1"/>
  <c r="E174" i="15" s="1"/>
  <c r="E247" i="15" s="1"/>
  <c r="F38" i="15"/>
  <c r="F60" i="15" s="1"/>
  <c r="F88" i="15" s="1"/>
  <c r="F101" i="15" s="1"/>
  <c r="F160" i="15" s="1"/>
  <c r="F267" i="15" s="1"/>
  <c r="F174" i="15" s="1"/>
  <c r="C38" i="15"/>
  <c r="C60" i="15" s="1"/>
  <c r="C88" i="15" s="1"/>
  <c r="C101" i="15" s="1"/>
  <c r="C160" i="15" s="1"/>
  <c r="C267" i="15" s="1"/>
  <c r="C174" i="15" s="1"/>
  <c r="C37" i="19" s="1"/>
  <c r="Z295" i="15"/>
  <c r="Z274" i="15"/>
  <c r="Z272" i="15"/>
  <c r="Z270" i="15"/>
  <c r="Z271" i="15" s="1"/>
  <c r="Z108" i="15"/>
  <c r="Z61" i="15"/>
  <c r="Z278" i="15" s="1"/>
  <c r="Z48" i="15"/>
  <c r="Z47" i="15"/>
  <c r="Z205" i="15" s="1"/>
  <c r="Z31" i="15"/>
  <c r="Z26" i="15"/>
  <c r="Z14" i="15"/>
  <c r="Z8" i="15"/>
  <c r="Z198" i="15" s="1"/>
  <c r="T155" i="15"/>
  <c r="F16" i="15"/>
  <c r="F27" i="15" s="1"/>
  <c r="Y139" i="15"/>
  <c r="Y141" i="15" s="1"/>
  <c r="Y142" i="15" s="1"/>
  <c r="Y108" i="15"/>
  <c r="Y103" i="15"/>
  <c r="Y98" i="15"/>
  <c r="Y181" i="15" s="1"/>
  <c r="Y254" i="15" s="1"/>
  <c r="Y96" i="15"/>
  <c r="Y180" i="15" s="1"/>
  <c r="Y253" i="15" s="1"/>
  <c r="Y95" i="15"/>
  <c r="Y179" i="15" s="1"/>
  <c r="Y252" i="15" s="1"/>
  <c r="Y92" i="15"/>
  <c r="Y176" i="15" s="1"/>
  <c r="Y89" i="15"/>
  <c r="Y175" i="15" s="1"/>
  <c r="Y248" i="15" s="1"/>
  <c r="Y62" i="15"/>
  <c r="Y209" i="15" s="1"/>
  <c r="Y16" i="15"/>
  <c r="Y27" i="15" s="1"/>
  <c r="Y183" i="15"/>
  <c r="Y256" i="15" s="1"/>
  <c r="Y298" i="15" s="1"/>
  <c r="Y295" i="15"/>
  <c r="Y294" i="15"/>
  <c r="Y291" i="15"/>
  <c r="Y290" i="15"/>
  <c r="Y289" i="15"/>
  <c r="Y287" i="15"/>
  <c r="Y286" i="15"/>
  <c r="Y285" i="15"/>
  <c r="Y284" i="15"/>
  <c r="Y282" i="15"/>
  <c r="Y281" i="15"/>
  <c r="Y274" i="15"/>
  <c r="Y272" i="15"/>
  <c r="Y270" i="15"/>
  <c r="Y147" i="15"/>
  <c r="Y292" i="15"/>
  <c r="Y280" i="15"/>
  <c r="Y61" i="15"/>
  <c r="Y51" i="15"/>
  <c r="Y50" i="15"/>
  <c r="Y48" i="15"/>
  <c r="Y206" i="15" s="1"/>
  <c r="Y47" i="15"/>
  <c r="Y205" i="15" s="1"/>
  <c r="Y36" i="15"/>
  <c r="Y35" i="15"/>
  <c r="Y31" i="15"/>
  <c r="Y26" i="15"/>
  <c r="Y14" i="15"/>
  <c r="Y8" i="15"/>
  <c r="Y198" i="15" s="1"/>
  <c r="R46" i="15"/>
  <c r="R48" i="15" s="1"/>
  <c r="R276" i="15" s="1"/>
  <c r="F18" i="15"/>
  <c r="X272" i="15"/>
  <c r="F244" i="15"/>
  <c r="F245" i="15" s="1"/>
  <c r="X156" i="15"/>
  <c r="X155" i="15"/>
  <c r="X144" i="15"/>
  <c r="X183" i="15" s="1"/>
  <c r="X140" i="15"/>
  <c r="X139" i="15"/>
  <c r="X130" i="15"/>
  <c r="X129" i="15"/>
  <c r="X128" i="15"/>
  <c r="X127" i="15"/>
  <c r="X126" i="15"/>
  <c r="X125" i="15"/>
  <c r="X124" i="15"/>
  <c r="X123" i="15"/>
  <c r="X122" i="15"/>
  <c r="X121" i="15"/>
  <c r="X116" i="15"/>
  <c r="X147" i="15" s="1"/>
  <c r="X107" i="15"/>
  <c r="X106" i="15"/>
  <c r="X105" i="15"/>
  <c r="X104" i="15"/>
  <c r="X80" i="15"/>
  <c r="F69" i="15"/>
  <c r="F216" i="15" s="1"/>
  <c r="F62" i="15"/>
  <c r="X46" i="15"/>
  <c r="X22" i="15"/>
  <c r="X20" i="15"/>
  <c r="X19" i="15"/>
  <c r="X13" i="15"/>
  <c r="X7" i="15"/>
  <c r="F103" i="15"/>
  <c r="X103" i="15" s="1"/>
  <c r="F74" i="15"/>
  <c r="F76" i="15"/>
  <c r="F222" i="15" s="1"/>
  <c r="F183" i="15"/>
  <c r="F295" i="15"/>
  <c r="F294" i="15"/>
  <c r="F291" i="15"/>
  <c r="F289" i="15"/>
  <c r="F287" i="15"/>
  <c r="F285" i="15"/>
  <c r="F284" i="15"/>
  <c r="F282" i="15"/>
  <c r="F281" i="15"/>
  <c r="F280" i="15"/>
  <c r="F274" i="15"/>
  <c r="F272" i="15"/>
  <c r="F270" i="15"/>
  <c r="F147" i="15"/>
  <c r="F157" i="15" s="1"/>
  <c r="F108" i="15"/>
  <c r="F98" i="15"/>
  <c r="F181" i="15" s="1"/>
  <c r="F254" i="15" s="1"/>
  <c r="F96" i="15"/>
  <c r="X96" i="15" s="1"/>
  <c r="X180" i="15" s="1"/>
  <c r="X253" i="15" s="1"/>
  <c r="F95" i="15"/>
  <c r="F92" i="15"/>
  <c r="X92" i="15" s="1"/>
  <c r="F89" i="15"/>
  <c r="F175" i="15" s="1"/>
  <c r="F61" i="15"/>
  <c r="F278" i="15" s="1"/>
  <c r="F51" i="15"/>
  <c r="F50" i="15"/>
  <c r="F94" i="15" s="1"/>
  <c r="F177" i="15" s="1"/>
  <c r="F250" i="15" s="1"/>
  <c r="F48" i="15"/>
  <c r="F276" i="15" s="1"/>
  <c r="F47" i="15"/>
  <c r="F36" i="15"/>
  <c r="F35" i="15"/>
  <c r="F31" i="15"/>
  <c r="F26" i="15"/>
  <c r="F14" i="15"/>
  <c r="F15" i="15" s="1"/>
  <c r="F8" i="15"/>
  <c r="F198" i="15" s="1"/>
  <c r="C244" i="15"/>
  <c r="C245" i="15" s="1"/>
  <c r="W244" i="15"/>
  <c r="V244" i="15"/>
  <c r="U244" i="15"/>
  <c r="S244" i="15"/>
  <c r="R244" i="15"/>
  <c r="Q244" i="15"/>
  <c r="E244" i="15"/>
  <c r="E245" i="15" s="1"/>
  <c r="D244" i="15"/>
  <c r="D245" i="15" s="1"/>
  <c r="T243" i="15"/>
  <c r="T295" i="15" s="1"/>
  <c r="Q62" i="15"/>
  <c r="U62" i="15"/>
  <c r="BG62" i="15" s="1"/>
  <c r="C62" i="15"/>
  <c r="C279" i="15" s="1"/>
  <c r="D62" i="15"/>
  <c r="D279" i="15" s="1"/>
  <c r="E62" i="15"/>
  <c r="E209" i="15" s="1"/>
  <c r="W295" i="15"/>
  <c r="V295" i="15"/>
  <c r="U295" i="15"/>
  <c r="S295" i="15"/>
  <c r="R295" i="15"/>
  <c r="Q295" i="15"/>
  <c r="U294" i="15"/>
  <c r="Q294" i="15"/>
  <c r="Q292" i="15"/>
  <c r="U291" i="15"/>
  <c r="Q291" i="15"/>
  <c r="U290" i="15"/>
  <c r="Q290" i="15"/>
  <c r="U289" i="15"/>
  <c r="Q289" i="15"/>
  <c r="U287" i="15"/>
  <c r="Q287" i="15"/>
  <c r="U286" i="15"/>
  <c r="Q286" i="15"/>
  <c r="U285" i="15"/>
  <c r="Q285" i="15"/>
  <c r="U284" i="15"/>
  <c r="Q284" i="15"/>
  <c r="U282" i="15"/>
  <c r="Q282" i="15"/>
  <c r="U281" i="15"/>
  <c r="Q281" i="15"/>
  <c r="Q280" i="15"/>
  <c r="E295" i="15"/>
  <c r="D295" i="15"/>
  <c r="C295" i="15"/>
  <c r="E294" i="15"/>
  <c r="D294" i="15"/>
  <c r="C294" i="15"/>
  <c r="D292" i="15"/>
  <c r="E291" i="15"/>
  <c r="D291" i="15"/>
  <c r="C291" i="15"/>
  <c r="C290" i="15"/>
  <c r="E289" i="15"/>
  <c r="D289" i="15"/>
  <c r="C289" i="15"/>
  <c r="E287" i="15"/>
  <c r="D287" i="15"/>
  <c r="C287" i="15"/>
  <c r="E286" i="15"/>
  <c r="D286" i="15"/>
  <c r="E285" i="15"/>
  <c r="D285" i="15"/>
  <c r="C285" i="15"/>
  <c r="E284" i="15"/>
  <c r="D284" i="15"/>
  <c r="E282" i="15"/>
  <c r="D282" i="15"/>
  <c r="C282" i="15"/>
  <c r="E281" i="15"/>
  <c r="D281" i="15"/>
  <c r="C281" i="15"/>
  <c r="E280" i="15"/>
  <c r="D280" i="15"/>
  <c r="C280" i="15"/>
  <c r="B297" i="15"/>
  <c r="B296" i="15"/>
  <c r="B295" i="15"/>
  <c r="B294" i="15"/>
  <c r="B293" i="15"/>
  <c r="B292" i="15"/>
  <c r="B291" i="15"/>
  <c r="B290" i="15"/>
  <c r="B289" i="15"/>
  <c r="B288" i="15"/>
  <c r="B287" i="15"/>
  <c r="B286" i="15"/>
  <c r="B285" i="15"/>
  <c r="B284" i="15"/>
  <c r="B283" i="15"/>
  <c r="B282" i="15"/>
  <c r="B281" i="15"/>
  <c r="B280" i="15"/>
  <c r="T140" i="15"/>
  <c r="R40" i="15"/>
  <c r="V40" i="15"/>
  <c r="V36" i="15" s="1"/>
  <c r="C103" i="15"/>
  <c r="D103" i="15"/>
  <c r="E103" i="15"/>
  <c r="T156" i="15"/>
  <c r="T116" i="15"/>
  <c r="T147" i="15" s="1"/>
  <c r="T146" i="15" s="1"/>
  <c r="T104" i="15"/>
  <c r="T105" i="15"/>
  <c r="T106" i="15"/>
  <c r="T107" i="15"/>
  <c r="C47" i="15"/>
  <c r="C57" i="15" s="1"/>
  <c r="C8" i="15"/>
  <c r="T139" i="15"/>
  <c r="T130" i="15"/>
  <c r="T129" i="15"/>
  <c r="T128" i="15"/>
  <c r="T244" i="15" s="1"/>
  <c r="T127" i="15"/>
  <c r="T126" i="15"/>
  <c r="T125" i="15"/>
  <c r="T124" i="15"/>
  <c r="T123" i="15"/>
  <c r="T122" i="15"/>
  <c r="T121" i="15"/>
  <c r="W183" i="15"/>
  <c r="V183" i="15"/>
  <c r="U183" i="15"/>
  <c r="T183" i="15"/>
  <c r="E183" i="15"/>
  <c r="D183" i="15"/>
  <c r="W272" i="15"/>
  <c r="V272" i="15"/>
  <c r="U272" i="15"/>
  <c r="T272" i="15"/>
  <c r="S272" i="15"/>
  <c r="R272" i="15"/>
  <c r="Q272" i="15"/>
  <c r="E272" i="15"/>
  <c r="D272" i="15"/>
  <c r="C272" i="15"/>
  <c r="W274" i="15"/>
  <c r="V274" i="15"/>
  <c r="U274" i="15"/>
  <c r="S274" i="15"/>
  <c r="Q274" i="15"/>
  <c r="W270" i="15"/>
  <c r="V270" i="15"/>
  <c r="U270" i="15"/>
  <c r="U271" i="15" s="1"/>
  <c r="S270" i="15"/>
  <c r="R270" i="15"/>
  <c r="Q270" i="15"/>
  <c r="E270" i="15"/>
  <c r="D270" i="15"/>
  <c r="C270" i="15"/>
  <c r="E274" i="15"/>
  <c r="D274" i="15"/>
  <c r="C274" i="15"/>
  <c r="U35" i="15"/>
  <c r="Q35" i="15"/>
  <c r="E35" i="15"/>
  <c r="D35" i="15"/>
  <c r="E29" i="15"/>
  <c r="D29" i="15"/>
  <c r="C29" i="15"/>
  <c r="U51" i="15"/>
  <c r="Q51" i="15"/>
  <c r="U98" i="15"/>
  <c r="U181" i="15" s="1"/>
  <c r="U96" i="15"/>
  <c r="U180" i="15" s="1"/>
  <c r="U95" i="15"/>
  <c r="U179" i="15" s="1"/>
  <c r="U92" i="15"/>
  <c r="U176" i="15" s="1"/>
  <c r="W89" i="15"/>
  <c r="W175" i="15" s="1"/>
  <c r="V89" i="15"/>
  <c r="V175" i="15" s="1"/>
  <c r="U89" i="15"/>
  <c r="U175" i="15" s="1"/>
  <c r="W147" i="15"/>
  <c r="W230" i="15" s="1"/>
  <c r="V147" i="15"/>
  <c r="V230" i="15" s="1"/>
  <c r="U147" i="15"/>
  <c r="U157" i="15" s="1"/>
  <c r="S147" i="15"/>
  <c r="S157" i="15" s="1"/>
  <c r="R147" i="15"/>
  <c r="R230" i="15" s="1"/>
  <c r="Q147" i="15"/>
  <c r="Q157" i="15" s="1"/>
  <c r="D147" i="15"/>
  <c r="C147" i="15"/>
  <c r="C146" i="15" s="1"/>
  <c r="E147" i="15"/>
  <c r="E30" i="15" s="1"/>
  <c r="C76" i="15"/>
  <c r="C222" i="15" s="1"/>
  <c r="C69" i="15"/>
  <c r="C216" i="15" s="1"/>
  <c r="C67" i="15"/>
  <c r="C214" i="15" s="1"/>
  <c r="D74" i="15"/>
  <c r="E74" i="15"/>
  <c r="E290" i="15" s="1"/>
  <c r="E76" i="15"/>
  <c r="E222" i="15" s="1"/>
  <c r="R79" i="15"/>
  <c r="S79" i="15" s="1"/>
  <c r="S224" i="15" s="1"/>
  <c r="V79" i="15"/>
  <c r="V224" i="15" s="1"/>
  <c r="R76" i="15"/>
  <c r="S76" i="15" s="1"/>
  <c r="R75" i="15"/>
  <c r="V75" i="15"/>
  <c r="V291" i="15" s="1"/>
  <c r="R73" i="15"/>
  <c r="S73" i="15" s="1"/>
  <c r="T73" i="15" s="1"/>
  <c r="T219" i="15" s="1"/>
  <c r="V73" i="15"/>
  <c r="W73" i="15" s="1"/>
  <c r="V70" i="15"/>
  <c r="R70" i="15"/>
  <c r="R217" i="15" s="1"/>
  <c r="R69" i="15"/>
  <c r="R68" i="15"/>
  <c r="R215" i="15" s="1"/>
  <c r="V68" i="15"/>
  <c r="W68" i="15" s="1"/>
  <c r="W215" i="15" s="1"/>
  <c r="V69" i="15"/>
  <c r="V286" i="15" s="1"/>
  <c r="R67" i="15"/>
  <c r="S67" i="15" s="1"/>
  <c r="V67" i="15"/>
  <c r="V35" i="15" s="1"/>
  <c r="R74" i="15"/>
  <c r="V74" i="15"/>
  <c r="R64" i="15"/>
  <c r="R211" i="15" s="1"/>
  <c r="V64" i="15"/>
  <c r="V211" i="15" s="1"/>
  <c r="R63" i="15"/>
  <c r="R280" i="15" s="1"/>
  <c r="R65" i="15"/>
  <c r="V65" i="15"/>
  <c r="V282" i="15" s="1"/>
  <c r="U76" i="15"/>
  <c r="V76" i="15" s="1"/>
  <c r="U63" i="15"/>
  <c r="U280" i="15" s="1"/>
  <c r="Q108" i="15"/>
  <c r="R108" i="15"/>
  <c r="W47" i="15"/>
  <c r="W48" i="15"/>
  <c r="R49" i="15"/>
  <c r="R51" i="15" s="1"/>
  <c r="V49" i="15"/>
  <c r="V51" i="15" s="1"/>
  <c r="C106" i="15"/>
  <c r="V108" i="15"/>
  <c r="U108" i="15"/>
  <c r="S108" i="15"/>
  <c r="D108" i="15"/>
  <c r="W108" i="15"/>
  <c r="W26" i="15"/>
  <c r="V26" i="15"/>
  <c r="U26" i="15"/>
  <c r="S26" i="15"/>
  <c r="R26" i="15"/>
  <c r="Q26" i="15"/>
  <c r="E26" i="15"/>
  <c r="D26" i="15"/>
  <c r="C26" i="15"/>
  <c r="Q8" i="15"/>
  <c r="R8" i="15"/>
  <c r="S8" i="15"/>
  <c r="T22" i="15"/>
  <c r="T20" i="15"/>
  <c r="T19" i="15"/>
  <c r="T18" i="15"/>
  <c r="T13" i="15"/>
  <c r="T7" i="15"/>
  <c r="T197" i="15" s="1"/>
  <c r="D16" i="15"/>
  <c r="D27" i="15" s="1"/>
  <c r="E16" i="15"/>
  <c r="E27" i="15" s="1"/>
  <c r="E14" i="15"/>
  <c r="D14" i="15"/>
  <c r="D15" i="15" s="1"/>
  <c r="C14" i="15"/>
  <c r="D8" i="15"/>
  <c r="D198" i="15" s="1"/>
  <c r="E8" i="15"/>
  <c r="E198" i="15" s="1"/>
  <c r="Q16" i="15"/>
  <c r="Q14" i="15"/>
  <c r="Q15" i="15" s="1"/>
  <c r="U16" i="15"/>
  <c r="U14" i="15"/>
  <c r="U15" i="15" s="1"/>
  <c r="U8" i="15"/>
  <c r="U198" i="15" s="1"/>
  <c r="R14" i="15"/>
  <c r="R15" i="15" s="1"/>
  <c r="V16" i="15"/>
  <c r="V14" i="15"/>
  <c r="V15" i="15" s="1"/>
  <c r="V8" i="15"/>
  <c r="V198" i="15" s="1"/>
  <c r="S16" i="15"/>
  <c r="S27" i="15" s="1"/>
  <c r="W8" i="15"/>
  <c r="W198" i="15" s="1"/>
  <c r="S14" i="15"/>
  <c r="W16" i="15"/>
  <c r="W14" i="15"/>
  <c r="C50" i="15"/>
  <c r="C94" i="15" s="1"/>
  <c r="C177" i="15" s="1"/>
  <c r="C250" i="15" s="1"/>
  <c r="D50" i="15"/>
  <c r="D94" i="15" s="1"/>
  <c r="D177" i="15" s="1"/>
  <c r="D250" i="15" s="1"/>
  <c r="E50" i="15"/>
  <c r="E94" i="15" s="1"/>
  <c r="C51" i="15"/>
  <c r="D51" i="15"/>
  <c r="E51" i="15"/>
  <c r="B182" i="15"/>
  <c r="B180" i="15"/>
  <c r="B181" i="15"/>
  <c r="B176" i="15"/>
  <c r="B177" i="15"/>
  <c r="B179" i="15"/>
  <c r="B308" i="15"/>
  <c r="B309" i="15"/>
  <c r="B311" i="15"/>
  <c r="B312" i="15"/>
  <c r="T275" i="15"/>
  <c r="D95" i="15"/>
  <c r="D179" i="15" s="1"/>
  <c r="D252" i="15" s="1"/>
  <c r="E95" i="15"/>
  <c r="E179" i="15" s="1"/>
  <c r="E252" i="15" s="1"/>
  <c r="C95" i="15"/>
  <c r="C179" i="15" s="1"/>
  <c r="C252" i="15" s="1"/>
  <c r="D36" i="15"/>
  <c r="E36" i="15"/>
  <c r="Q36" i="15"/>
  <c r="U36" i="15"/>
  <c r="C36" i="15"/>
  <c r="Q50" i="15"/>
  <c r="U50" i="15"/>
  <c r="Q61" i="15"/>
  <c r="Q278" i="15" s="1"/>
  <c r="S61" i="15"/>
  <c r="S278" i="15" s="1"/>
  <c r="U61" i="15"/>
  <c r="V61" i="15"/>
  <c r="V278" i="15" s="1"/>
  <c r="W61" i="15"/>
  <c r="D31" i="15"/>
  <c r="E31" i="15"/>
  <c r="Q31" i="15"/>
  <c r="R31" i="15"/>
  <c r="S31" i="15"/>
  <c r="U31" i="15"/>
  <c r="V31" i="15"/>
  <c r="W31" i="15"/>
  <c r="C31" i="15"/>
  <c r="B28" i="15"/>
  <c r="B31" i="15"/>
  <c r="B32" i="15"/>
  <c r="V48" i="15"/>
  <c r="Q48" i="15"/>
  <c r="U48" i="15"/>
  <c r="U276" i="15" s="1"/>
  <c r="E96" i="15"/>
  <c r="E98" i="15"/>
  <c r="T98" i="15" s="1"/>
  <c r="T181" i="15" s="1"/>
  <c r="E47" i="15"/>
  <c r="E275" i="15" s="1"/>
  <c r="B27" i="15"/>
  <c r="C183" i="15"/>
  <c r="D92" i="15"/>
  <c r="D176" i="15" s="1"/>
  <c r="C96" i="15"/>
  <c r="C180" i="15" s="1"/>
  <c r="C253" i="15" s="1"/>
  <c r="D96" i="15"/>
  <c r="D180" i="15" s="1"/>
  <c r="D253" i="15" s="1"/>
  <c r="C92" i="15"/>
  <c r="E92" i="15"/>
  <c r="T92" i="15" s="1"/>
  <c r="T176" i="15" s="1"/>
  <c r="C89" i="15"/>
  <c r="C175" i="15" s="1"/>
  <c r="C248" i="15" s="1"/>
  <c r="D89" i="15"/>
  <c r="D175" i="15" s="1"/>
  <c r="D248" i="15" s="1"/>
  <c r="E89" i="15"/>
  <c r="T89" i="15" s="1"/>
  <c r="T175" i="15" s="1"/>
  <c r="C61" i="15"/>
  <c r="C208" i="15" s="1"/>
  <c r="D61" i="15"/>
  <c r="E61" i="15"/>
  <c r="E208" i="15" s="1"/>
  <c r="C48" i="15"/>
  <c r="C276" i="15" s="1"/>
  <c r="D48" i="15"/>
  <c r="D206" i="15" s="1"/>
  <c r="E48" i="15"/>
  <c r="D47" i="15"/>
  <c r="C27" i="15"/>
  <c r="B26" i="15"/>
  <c r="B279" i="15"/>
  <c r="B278" i="15"/>
  <c r="B275" i="15"/>
  <c r="B276" i="15"/>
  <c r="B274" i="15"/>
  <c r="B89" i="15"/>
  <c r="B175" i="15" s="1"/>
  <c r="B270" i="15"/>
  <c r="B271" i="15"/>
  <c r="B305" i="15"/>
  <c r="B306" i="15"/>
  <c r="U47" i="15"/>
  <c r="U275" i="15" s="1"/>
  <c r="S48" i="15"/>
  <c r="S206" i="15" s="1"/>
  <c r="D98" i="15"/>
  <c r="D181" i="15" s="1"/>
  <c r="D254" i="15" s="1"/>
  <c r="E108" i="15"/>
  <c r="H58" i="15"/>
  <c r="AK290" i="15"/>
  <c r="AK289" i="15"/>
  <c r="AK270" i="15"/>
  <c r="AK287" i="15"/>
  <c r="AK286" i="15"/>
  <c r="AK285" i="15"/>
  <c r="AK282" i="15"/>
  <c r="AK294" i="15"/>
  <c r="AK281" i="15"/>
  <c r="AK295" i="15"/>
  <c r="AK280" i="15"/>
  <c r="AK292" i="15"/>
  <c r="AK291" i="15"/>
  <c r="AK274" i="15"/>
  <c r="J220" i="15"/>
  <c r="AH271" i="15" l="1"/>
  <c r="AM271" i="15"/>
  <c r="AV271" i="15"/>
  <c r="AT218" i="15"/>
  <c r="AT78" i="15"/>
  <c r="AT81" i="15" s="1"/>
  <c r="AT86" i="15" s="1"/>
  <c r="AC271" i="15"/>
  <c r="AE271" i="15"/>
  <c r="V271" i="15"/>
  <c r="Y271" i="15"/>
  <c r="AQ271" i="15"/>
  <c r="W271" i="15"/>
  <c r="AW271" i="15"/>
  <c r="AD271" i="15"/>
  <c r="AI271" i="15"/>
  <c r="AH79" i="19"/>
  <c r="AC83" i="19"/>
  <c r="AK83" i="19"/>
  <c r="AO83" i="19"/>
  <c r="AL81" i="19"/>
  <c r="AP81" i="19"/>
  <c r="AR78" i="19"/>
  <c r="AL79" i="19"/>
  <c r="AP79" i="19"/>
  <c r="AR82" i="19"/>
  <c r="AV82" i="19"/>
  <c r="AV79" i="19"/>
  <c r="AH77" i="19"/>
  <c r="AD81" i="19"/>
  <c r="I83" i="19"/>
  <c r="AL77" i="19"/>
  <c r="AP77" i="19"/>
  <c r="AH81" i="19"/>
  <c r="AR64" i="19"/>
  <c r="AV81" i="19"/>
  <c r="AV77" i="19"/>
  <c r="AH78" i="19"/>
  <c r="AL78" i="19"/>
  <c r="G83" i="19"/>
  <c r="J83" i="19"/>
  <c r="K83" i="19"/>
  <c r="AU83" i="19"/>
  <c r="AR80" i="19"/>
  <c r="AV80" i="19"/>
  <c r="AQ48" i="19"/>
  <c r="G54" i="19"/>
  <c r="AR71" i="19"/>
  <c r="AP74" i="19"/>
  <c r="AQ65" i="19"/>
  <c r="AQ71" i="19"/>
  <c r="AQ69" i="19"/>
  <c r="AQ70" i="19"/>
  <c r="AQ72" i="19"/>
  <c r="AQ73" i="19"/>
  <c r="AQ68" i="19"/>
  <c r="AR69" i="19"/>
  <c r="AR68" i="19"/>
  <c r="AR72" i="19"/>
  <c r="J73" i="19"/>
  <c r="J69" i="19"/>
  <c r="J68" i="19"/>
  <c r="J71" i="19"/>
  <c r="J70" i="19"/>
  <c r="J72" i="19"/>
  <c r="AM58" i="19"/>
  <c r="AM60" i="19"/>
  <c r="AK72" i="19"/>
  <c r="AK71" i="19"/>
  <c r="AK69" i="19"/>
  <c r="AK68" i="19"/>
  <c r="AK73" i="19"/>
  <c r="AK70" i="19"/>
  <c r="I72" i="19"/>
  <c r="I71" i="19"/>
  <c r="I70" i="19"/>
  <c r="I73" i="19"/>
  <c r="I68" i="19"/>
  <c r="I69" i="19"/>
  <c r="AG71" i="19"/>
  <c r="AG72" i="19"/>
  <c r="AG73" i="19"/>
  <c r="AG69" i="19"/>
  <c r="AG68" i="19"/>
  <c r="AG70" i="19"/>
  <c r="AC73" i="19"/>
  <c r="AC70" i="19"/>
  <c r="AC68" i="19"/>
  <c r="AC72" i="19"/>
  <c r="AC69" i="19"/>
  <c r="AC71" i="19"/>
  <c r="Y73" i="19"/>
  <c r="Y71" i="19"/>
  <c r="Y72" i="19"/>
  <c r="Y68" i="19"/>
  <c r="Y70" i="19"/>
  <c r="Y69" i="19"/>
  <c r="H71" i="19"/>
  <c r="H73" i="19"/>
  <c r="H68" i="19"/>
  <c r="H72" i="19"/>
  <c r="H69" i="19"/>
  <c r="H70" i="19"/>
  <c r="G69" i="19"/>
  <c r="G71" i="19"/>
  <c r="G68" i="19"/>
  <c r="G73" i="19"/>
  <c r="G72" i="19"/>
  <c r="G70" i="19"/>
  <c r="F70" i="19"/>
  <c r="F71" i="19"/>
  <c r="F72" i="19"/>
  <c r="F73" i="19"/>
  <c r="F68" i="19"/>
  <c r="F69" i="19"/>
  <c r="AI62" i="19"/>
  <c r="AE62" i="19"/>
  <c r="AA62" i="19"/>
  <c r="AB62" i="19" s="1"/>
  <c r="AI60" i="19"/>
  <c r="AE60" i="19"/>
  <c r="AE79" i="19" s="1"/>
  <c r="AA60" i="19"/>
  <c r="AI59" i="19"/>
  <c r="AE59" i="19"/>
  <c r="AI58" i="19"/>
  <c r="AE58" i="19"/>
  <c r="H54" i="19"/>
  <c r="E54" i="19"/>
  <c r="AB53" i="19"/>
  <c r="AF51" i="19"/>
  <c r="AH54" i="19"/>
  <c r="U54" i="19"/>
  <c r="AA54" i="19"/>
  <c r="V54" i="19"/>
  <c r="AB52" i="19"/>
  <c r="AK54" i="19"/>
  <c r="AE54" i="19"/>
  <c r="AJ53" i="19"/>
  <c r="AI54" i="19"/>
  <c r="AG54" i="19"/>
  <c r="Z54" i="19"/>
  <c r="F54" i="19"/>
  <c r="AF53" i="19"/>
  <c r="AF52" i="19"/>
  <c r="X51" i="19"/>
  <c r="AJ52" i="19"/>
  <c r="AC54" i="19"/>
  <c r="W54" i="19"/>
  <c r="X53" i="19"/>
  <c r="X52" i="19"/>
  <c r="AB51" i="19"/>
  <c r="AJ51" i="19"/>
  <c r="I54" i="19"/>
  <c r="AD54" i="19"/>
  <c r="Y54" i="19"/>
  <c r="D54" i="19"/>
  <c r="K48" i="19"/>
  <c r="AV54" i="19"/>
  <c r="AT54" i="19"/>
  <c r="AO54" i="19"/>
  <c r="AS54" i="19"/>
  <c r="AN53" i="19"/>
  <c r="AR53" i="19"/>
  <c r="AR52" i="19"/>
  <c r="AN52" i="19"/>
  <c r="K54" i="19"/>
  <c r="J54" i="19"/>
  <c r="AM51" i="19"/>
  <c r="AQ51" i="19"/>
  <c r="AP51" i="19"/>
  <c r="AL51" i="19"/>
  <c r="AR45" i="19"/>
  <c r="AR46" i="19"/>
  <c r="AR47" i="19"/>
  <c r="AP47" i="19"/>
  <c r="AP45" i="19"/>
  <c r="AP46" i="19"/>
  <c r="AO47" i="19"/>
  <c r="AO46" i="19"/>
  <c r="AO45" i="19"/>
  <c r="J45" i="19"/>
  <c r="J47" i="19"/>
  <c r="J46" i="19"/>
  <c r="AM41" i="19"/>
  <c r="AK42" i="19"/>
  <c r="AK47" i="19"/>
  <c r="AK45" i="19"/>
  <c r="AK46" i="19"/>
  <c r="I46" i="19"/>
  <c r="I47" i="19"/>
  <c r="I45" i="19"/>
  <c r="AI47" i="19"/>
  <c r="AI45" i="19"/>
  <c r="AI46" i="19"/>
  <c r="AH42" i="19"/>
  <c r="AH47" i="19"/>
  <c r="AH45" i="19"/>
  <c r="AH46" i="19"/>
  <c r="AG47" i="19"/>
  <c r="AG45" i="19"/>
  <c r="AG46" i="19"/>
  <c r="AE42" i="19"/>
  <c r="AE45" i="19"/>
  <c r="AE47" i="19"/>
  <c r="AE46" i="19"/>
  <c r="AD42" i="19"/>
  <c r="AD45" i="19"/>
  <c r="AD46" i="19"/>
  <c r="AD47" i="19"/>
  <c r="AC47" i="19"/>
  <c r="AC45" i="19"/>
  <c r="AC46" i="19"/>
  <c r="AA42" i="19"/>
  <c r="AA46" i="19"/>
  <c r="AA47" i="19"/>
  <c r="AA45" i="19"/>
  <c r="AA48" i="19" s="1"/>
  <c r="Z42" i="19"/>
  <c r="Z47" i="19"/>
  <c r="Z46" i="19"/>
  <c r="Z45" i="19"/>
  <c r="Y47" i="19"/>
  <c r="Y45" i="19"/>
  <c r="Y46" i="19"/>
  <c r="W42" i="19"/>
  <c r="W47" i="19"/>
  <c r="W46" i="19"/>
  <c r="W45" i="19"/>
  <c r="V42" i="19"/>
  <c r="V47" i="19"/>
  <c r="V45" i="19"/>
  <c r="V46" i="19"/>
  <c r="U42" i="19"/>
  <c r="U47" i="19"/>
  <c r="U45" i="19"/>
  <c r="U46" i="19"/>
  <c r="S42" i="19"/>
  <c r="S45" i="19"/>
  <c r="S46" i="19"/>
  <c r="S47" i="19"/>
  <c r="R42" i="19"/>
  <c r="R46" i="19"/>
  <c r="R45" i="19"/>
  <c r="R47" i="19"/>
  <c r="Q42" i="19"/>
  <c r="Q45" i="19"/>
  <c r="Q46" i="19"/>
  <c r="Q47" i="19"/>
  <c r="H42" i="19"/>
  <c r="H45" i="19"/>
  <c r="H46" i="19"/>
  <c r="H47" i="19"/>
  <c r="G42" i="19"/>
  <c r="G47" i="19"/>
  <c r="G46" i="19"/>
  <c r="G45" i="19"/>
  <c r="F42" i="19"/>
  <c r="F47" i="19"/>
  <c r="F46" i="19"/>
  <c r="F45" i="19"/>
  <c r="E47" i="19"/>
  <c r="E45" i="19"/>
  <c r="E46" i="19"/>
  <c r="D42" i="19"/>
  <c r="D45" i="19"/>
  <c r="D46" i="19"/>
  <c r="D47" i="19"/>
  <c r="C45" i="19"/>
  <c r="C47" i="19"/>
  <c r="C46" i="19"/>
  <c r="AC17" i="15"/>
  <c r="U254" i="15"/>
  <c r="AM69" i="15"/>
  <c r="AM286" i="15" s="1"/>
  <c r="AL216" i="15"/>
  <c r="AZ293" i="15"/>
  <c r="BD27" i="15"/>
  <c r="BD17" i="15"/>
  <c r="Q209" i="15"/>
  <c r="AZ86" i="15"/>
  <c r="AZ226" i="15"/>
  <c r="AV306" i="15"/>
  <c r="AZ82" i="15"/>
  <c r="O296" i="15"/>
  <c r="AX312" i="15"/>
  <c r="E150" i="15"/>
  <c r="E153" i="15" s="1"/>
  <c r="E300" i="15"/>
  <c r="AW312" i="15"/>
  <c r="D150" i="15"/>
  <c r="D153" i="15" s="1"/>
  <c r="D166" i="15" s="1"/>
  <c r="D237" i="15" s="1"/>
  <c r="D300" i="15"/>
  <c r="AY309" i="15"/>
  <c r="AY308" i="15"/>
  <c r="AU306" i="15"/>
  <c r="AU305" i="15"/>
  <c r="Q150" i="15"/>
  <c r="Q153" i="15" s="1"/>
  <c r="Q300" i="15"/>
  <c r="I150" i="15"/>
  <c r="I300" i="15"/>
  <c r="AV308" i="15"/>
  <c r="AV305" i="15"/>
  <c r="AT305" i="15"/>
  <c r="H150" i="15"/>
  <c r="H300" i="15"/>
  <c r="AV312" i="15"/>
  <c r="AT306" i="15"/>
  <c r="AX309" i="15"/>
  <c r="AX308" i="15"/>
  <c r="F312" i="15"/>
  <c r="F311" i="15"/>
  <c r="G150" i="15"/>
  <c r="G153" i="15" s="1"/>
  <c r="G300" i="15"/>
  <c r="F150" i="15"/>
  <c r="F153" i="15" s="1"/>
  <c r="F166" i="15" s="1"/>
  <c r="F237" i="15" s="1"/>
  <c r="F300" i="15"/>
  <c r="J150" i="15"/>
  <c r="J300" i="15"/>
  <c r="C150" i="15"/>
  <c r="C152" i="15" s="1"/>
  <c r="C300" i="15"/>
  <c r="AT288" i="15"/>
  <c r="K303" i="15"/>
  <c r="AU283" i="15"/>
  <c r="AU213" i="15"/>
  <c r="AV189" i="15"/>
  <c r="AD289" i="15"/>
  <c r="AI89" i="15"/>
  <c r="AI175" i="15" s="1"/>
  <c r="O66" i="15"/>
  <c r="O71" i="15" s="1"/>
  <c r="O78" i="15" s="1"/>
  <c r="O210" i="15"/>
  <c r="O212" i="15"/>
  <c r="O287" i="15"/>
  <c r="AY98" i="15"/>
  <c r="AY181" i="15" s="1"/>
  <c r="AY254" i="15" s="1"/>
  <c r="O295" i="15"/>
  <c r="AY150" i="15"/>
  <c r="O150" i="15"/>
  <c r="AY227" i="15"/>
  <c r="AY297" i="15"/>
  <c r="O41" i="15"/>
  <c r="O23" i="15"/>
  <c r="O33" i="15"/>
  <c r="AV91" i="15"/>
  <c r="AV169" i="15" s="1"/>
  <c r="AV240" i="15" s="1"/>
  <c r="AY91" i="15"/>
  <c r="AN38" i="19"/>
  <c r="AK124" i="19"/>
  <c r="O222" i="15"/>
  <c r="O292" i="15"/>
  <c r="AV279" i="15"/>
  <c r="AV66" i="15"/>
  <c r="AV71" i="15" s="1"/>
  <c r="AW91" i="15"/>
  <c r="AW169" i="15" s="1"/>
  <c r="AW240" i="15" s="1"/>
  <c r="O215" i="15"/>
  <c r="O285" i="15"/>
  <c r="O284" i="15"/>
  <c r="O281" i="15"/>
  <c r="O312" i="15" s="1"/>
  <c r="O211" i="15"/>
  <c r="O96" i="15"/>
  <c r="O180" i="15" s="1"/>
  <c r="O253" i="15" s="1"/>
  <c r="O290" i="15"/>
  <c r="O220" i="15"/>
  <c r="AX153" i="15"/>
  <c r="AX185" i="15" s="1"/>
  <c r="AX258" i="15" s="1"/>
  <c r="AX263" i="15" s="1"/>
  <c r="AV209" i="15"/>
  <c r="O216" i="15"/>
  <c r="O286" i="15"/>
  <c r="O28" i="15"/>
  <c r="O90" i="15"/>
  <c r="O289" i="15"/>
  <c r="O219" i="15"/>
  <c r="AW150" i="15"/>
  <c r="AV222" i="15"/>
  <c r="AV292" i="15"/>
  <c r="AX91" i="15"/>
  <c r="AX187" i="15"/>
  <c r="AX260" i="15" s="1"/>
  <c r="AX264" i="15" s="1"/>
  <c r="AX165" i="15"/>
  <c r="AV98" i="15"/>
  <c r="AV181" i="15" s="1"/>
  <c r="AV254" i="15" s="1"/>
  <c r="AV284" i="15"/>
  <c r="AY311" i="15" s="1"/>
  <c r="AV214" i="15"/>
  <c r="AV35" i="15"/>
  <c r="AW98" i="15"/>
  <c r="AW181" i="15" s="1"/>
  <c r="AW254" i="15" s="1"/>
  <c r="D502" i="20"/>
  <c r="I905" i="20"/>
  <c r="J243" i="15"/>
  <c r="J254" i="15" s="1"/>
  <c r="L296" i="15"/>
  <c r="I568" i="20"/>
  <c r="D586" i="20" s="1"/>
  <c r="C463" i="20"/>
  <c r="C464" i="20" s="1"/>
  <c r="E457" i="20"/>
  <c r="C459" i="20"/>
  <c r="D459" i="20" s="1"/>
  <c r="AC124" i="19"/>
  <c r="AL123" i="19"/>
  <c r="AF41" i="19"/>
  <c r="AR65" i="19"/>
  <c r="AJ23" i="19"/>
  <c r="AG124" i="19"/>
  <c r="AL64" i="19"/>
  <c r="AB41" i="19"/>
  <c r="AG65" i="19"/>
  <c r="AB16" i="19"/>
  <c r="G65" i="19"/>
  <c r="AP42" i="19"/>
  <c r="AH221" i="15"/>
  <c r="AI276" i="15"/>
  <c r="AV152" i="15"/>
  <c r="AV153" i="15"/>
  <c r="L289" i="15"/>
  <c r="L282" i="15"/>
  <c r="L287" i="15"/>
  <c r="L295" i="15"/>
  <c r="L290" i="15"/>
  <c r="L283" i="15"/>
  <c r="L281" i="15"/>
  <c r="L248" i="15"/>
  <c r="L286" i="15"/>
  <c r="L249" i="15"/>
  <c r="L253" i="15"/>
  <c r="L285" i="15"/>
  <c r="L270" i="15"/>
  <c r="M271" i="15" s="1"/>
  <c r="L274" i="15"/>
  <c r="L280" i="15"/>
  <c r="L279" i="15"/>
  <c r="L254" i="15"/>
  <c r="L291" i="15"/>
  <c r="L284" i="15"/>
  <c r="L294" i="15"/>
  <c r="L252" i="15"/>
  <c r="L278" i="15"/>
  <c r="L292" i="15"/>
  <c r="L288" i="15"/>
  <c r="L293" i="15"/>
  <c r="L255" i="15"/>
  <c r="L297" i="15"/>
  <c r="L227" i="15"/>
  <c r="D58" i="15"/>
  <c r="AV43" i="15"/>
  <c r="AV45" i="15"/>
  <c r="AV205" i="15"/>
  <c r="AV275" i="15"/>
  <c r="AV251" i="15"/>
  <c r="AV261" i="15"/>
  <c r="AV262" i="15"/>
  <c r="AV23" i="15"/>
  <c r="AY97" i="15" s="1"/>
  <c r="AV32" i="15"/>
  <c r="AV33" i="15"/>
  <c r="AB112" i="15"/>
  <c r="AR289" i="15"/>
  <c r="I495" i="20"/>
  <c r="I496" i="20"/>
  <c r="E497" i="20"/>
  <c r="E499" i="20"/>
  <c r="C506" i="20"/>
  <c r="AU218" i="15"/>
  <c r="AU288" i="15"/>
  <c r="AT175" i="15"/>
  <c r="AT248" i="15" s="1"/>
  <c r="AT109" i="15"/>
  <c r="AT176" i="15"/>
  <c r="C545" i="20"/>
  <c r="AT163" i="15"/>
  <c r="AT162" i="15"/>
  <c r="AH291" i="15"/>
  <c r="AU175" i="15"/>
  <c r="AU248" i="15" s="1"/>
  <c r="AU109" i="15"/>
  <c r="AQ220" i="15"/>
  <c r="AU176" i="15"/>
  <c r="AU162" i="15"/>
  <c r="AU163" i="15"/>
  <c r="X94" i="15"/>
  <c r="X177" i="15" s="1"/>
  <c r="X250" i="15" s="1"/>
  <c r="AL220" i="15"/>
  <c r="X112" i="15"/>
  <c r="T112" i="15"/>
  <c r="AR109" i="15"/>
  <c r="AL270" i="15"/>
  <c r="AL271" i="15" s="1"/>
  <c r="AN112" i="15"/>
  <c r="AF112" i="15"/>
  <c r="C108" i="15"/>
  <c r="C109" i="15" s="1"/>
  <c r="C112" i="15"/>
  <c r="AJ111" i="15"/>
  <c r="AJ112" i="15"/>
  <c r="X111" i="15"/>
  <c r="AJ113" i="15"/>
  <c r="X113" i="15"/>
  <c r="T113" i="15"/>
  <c r="AB113" i="15"/>
  <c r="AN111" i="15"/>
  <c r="AP274" i="15"/>
  <c r="T111" i="15"/>
  <c r="AB111" i="15"/>
  <c r="AF111" i="15"/>
  <c r="AN113" i="15"/>
  <c r="AF113" i="15"/>
  <c r="AR74" i="15"/>
  <c r="AR208" i="15"/>
  <c r="I579" i="20"/>
  <c r="E583" i="20"/>
  <c r="C590" i="20"/>
  <c r="I580" i="20"/>
  <c r="E581" i="20"/>
  <c r="AQ27" i="15"/>
  <c r="AQ62" i="15"/>
  <c r="D605" i="20"/>
  <c r="D581" i="20"/>
  <c r="D583" i="20" s="1"/>
  <c r="C703" i="20"/>
  <c r="X23" i="19"/>
  <c r="AK65" i="19"/>
  <c r="I124" i="19"/>
  <c r="AO65" i="19"/>
  <c r="H65" i="19"/>
  <c r="AP65" i="19"/>
  <c r="AH64" i="19"/>
  <c r="T16" i="19"/>
  <c r="AF23" i="19"/>
  <c r="AH123" i="19"/>
  <c r="AI63" i="15"/>
  <c r="AJ63" i="15" s="1"/>
  <c r="AS297" i="15"/>
  <c r="AS227" i="15"/>
  <c r="AS296" i="15"/>
  <c r="AS226" i="15"/>
  <c r="U253" i="15"/>
  <c r="AS163" i="15"/>
  <c r="AS176" i="15"/>
  <c r="AS162" i="15"/>
  <c r="AS175" i="15"/>
  <c r="AS248" i="15" s="1"/>
  <c r="AS109" i="15"/>
  <c r="D654" i="20"/>
  <c r="AR47" i="15"/>
  <c r="AR205" i="15" s="1"/>
  <c r="F65" i="19"/>
  <c r="AB122" i="19"/>
  <c r="AB23" i="19"/>
  <c r="C42" i="19"/>
  <c r="AN23" i="19"/>
  <c r="AO42" i="19"/>
  <c r="AJ123" i="19"/>
  <c r="T23" i="19"/>
  <c r="Z123" i="19"/>
  <c r="AL41" i="19"/>
  <c r="AP225" i="15"/>
  <c r="AQ51" i="15"/>
  <c r="AR49" i="15"/>
  <c r="D644" i="20"/>
  <c r="D645" i="20" s="1"/>
  <c r="I619" i="20"/>
  <c r="I620" i="20" s="1"/>
  <c r="AQ89" i="15"/>
  <c r="AQ175" i="15" s="1"/>
  <c r="AR8" i="15"/>
  <c r="AR198" i="15" s="1"/>
  <c r="AP72" i="15"/>
  <c r="AP216" i="15"/>
  <c r="AR219" i="15"/>
  <c r="D631" i="20"/>
  <c r="AP217" i="15"/>
  <c r="AP224" i="15"/>
  <c r="AR16" i="15"/>
  <c r="AP221" i="15"/>
  <c r="AQ36" i="15"/>
  <c r="AR40" i="15"/>
  <c r="AR42" i="19"/>
  <c r="AE123" i="19"/>
  <c r="AI123" i="19"/>
  <c r="AD123" i="19"/>
  <c r="AF118" i="19"/>
  <c r="AF123" i="19" s="1"/>
  <c r="AG42" i="19"/>
  <c r="T41" i="19"/>
  <c r="AJ41" i="19"/>
  <c r="AA118" i="19"/>
  <c r="AB118" i="19" s="1"/>
  <c r="AI42" i="19"/>
  <c r="X16" i="19"/>
  <c r="X41" i="19"/>
  <c r="AN122" i="19"/>
  <c r="AD64" i="19"/>
  <c r="J124" i="19"/>
  <c r="C630" i="20"/>
  <c r="C636" i="20" s="1"/>
  <c r="AR147" i="15"/>
  <c r="AR163" i="15" s="1"/>
  <c r="AR142" i="15"/>
  <c r="AR176" i="15"/>
  <c r="AR178" i="15" s="1"/>
  <c r="C635" i="20"/>
  <c r="D630" i="20"/>
  <c r="AR15" i="15"/>
  <c r="AR276" i="15"/>
  <c r="AR206" i="15"/>
  <c r="E256" i="15"/>
  <c r="E298" i="15" s="1"/>
  <c r="AJ14" i="15"/>
  <c r="AJ15" i="15" s="1"/>
  <c r="C680" i="20"/>
  <c r="C686" i="20" s="1"/>
  <c r="W109" i="15"/>
  <c r="K171" i="15"/>
  <c r="AL212" i="15"/>
  <c r="K158" i="15"/>
  <c r="AP17" i="15"/>
  <c r="AQ17" i="15"/>
  <c r="AD29" i="15"/>
  <c r="AL275" i="15"/>
  <c r="AO17" i="15"/>
  <c r="AO39" i="15" s="1"/>
  <c r="AO41" i="15" s="1"/>
  <c r="K186" i="15"/>
  <c r="K259" i="15" s="1"/>
  <c r="AN40" i="15"/>
  <c r="AN36" i="15" s="1"/>
  <c r="BG51" i="15"/>
  <c r="C58" i="15"/>
  <c r="U205" i="15"/>
  <c r="AJ26" i="15"/>
  <c r="AQ70" i="15"/>
  <c r="K162" i="15"/>
  <c r="K189" i="15" s="1"/>
  <c r="Q247" i="15"/>
  <c r="K152" i="15"/>
  <c r="K90" i="15"/>
  <c r="K21" i="15"/>
  <c r="K39" i="15"/>
  <c r="K41" i="15" s="1"/>
  <c r="L42" i="15" s="1"/>
  <c r="K28" i="15"/>
  <c r="K188" i="15"/>
  <c r="K234" i="15"/>
  <c r="K166" i="15"/>
  <c r="K185" i="15"/>
  <c r="K258" i="15" s="1"/>
  <c r="K213" i="15"/>
  <c r="K71" i="15"/>
  <c r="K78" i="15" s="1"/>
  <c r="C683" i="20"/>
  <c r="AQ176" i="15"/>
  <c r="AQ247" i="15"/>
  <c r="AQ37" i="19"/>
  <c r="AJ274" i="15"/>
  <c r="AP210" i="15"/>
  <c r="AQ63" i="15"/>
  <c r="AQ276" i="15"/>
  <c r="AQ206" i="15"/>
  <c r="AQ69" i="15"/>
  <c r="AQ184" i="15"/>
  <c r="AQ257" i="15" s="1"/>
  <c r="AQ302" i="15" s="1"/>
  <c r="AQ163" i="15"/>
  <c r="AQ157" i="15"/>
  <c r="AQ230" i="15"/>
  <c r="Y93" i="15"/>
  <c r="AP211" i="15"/>
  <c r="AQ64" i="15"/>
  <c r="AQ275" i="15"/>
  <c r="AQ205" i="15"/>
  <c r="C693" i="20"/>
  <c r="AO66" i="15"/>
  <c r="AO213" i="15" s="1"/>
  <c r="E205" i="15"/>
  <c r="D716" i="20"/>
  <c r="AP212" i="15"/>
  <c r="AQ65" i="15"/>
  <c r="AP215" i="15"/>
  <c r="AQ68" i="15"/>
  <c r="AQ75" i="15"/>
  <c r="AQ146" i="15"/>
  <c r="AQ278" i="15"/>
  <c r="AQ208" i="15"/>
  <c r="AE29" i="15"/>
  <c r="R37" i="19"/>
  <c r="S68" i="15"/>
  <c r="T68" i="15" s="1"/>
  <c r="T285" i="15" s="1"/>
  <c r="F180" i="15"/>
  <c r="F253" i="15" s="1"/>
  <c r="AQ50" i="15"/>
  <c r="AQ79" i="15"/>
  <c r="Z37" i="19"/>
  <c r="AD222" i="15"/>
  <c r="G146" i="15"/>
  <c r="G171" i="15" s="1"/>
  <c r="T248" i="15"/>
  <c r="AQ29" i="15"/>
  <c r="AQ80" i="15"/>
  <c r="AH280" i="15"/>
  <c r="AN224" i="15"/>
  <c r="AM68" i="15"/>
  <c r="AM215" i="15" s="1"/>
  <c r="AQ30" i="15"/>
  <c r="C684" i="20"/>
  <c r="D717" i="20"/>
  <c r="D713" i="20"/>
  <c r="D721" i="20"/>
  <c r="D723" i="20"/>
  <c r="D714" i="20"/>
  <c r="D722" i="20"/>
  <c r="D727" i="20"/>
  <c r="D1373" i="20"/>
  <c r="D748" i="20"/>
  <c r="D719" i="20"/>
  <c r="D725" i="20"/>
  <c r="D729" i="20"/>
  <c r="D711" i="20"/>
  <c r="D718" i="20"/>
  <c r="D715" i="20"/>
  <c r="D745" i="20"/>
  <c r="D746" i="20"/>
  <c r="D712" i="20"/>
  <c r="D720" i="20"/>
  <c r="D724" i="20"/>
  <c r="BH49" i="15"/>
  <c r="BH50" i="15" s="1"/>
  <c r="AI68" i="15"/>
  <c r="AJ68" i="15" s="1"/>
  <c r="AJ215" i="15" s="1"/>
  <c r="AD292" i="15"/>
  <c r="AC206" i="15"/>
  <c r="AO15" i="15"/>
  <c r="D768" i="20"/>
  <c r="D747" i="20"/>
  <c r="U248" i="15"/>
  <c r="D744" i="20"/>
  <c r="AL285" i="15"/>
  <c r="AL215" i="15"/>
  <c r="AK275" i="15"/>
  <c r="AN247" i="15"/>
  <c r="E278" i="15"/>
  <c r="AM224" i="15"/>
  <c r="AL224" i="15"/>
  <c r="AN65" i="15"/>
  <c r="AL221" i="15"/>
  <c r="H275" i="15"/>
  <c r="G279" i="15"/>
  <c r="AK247" i="15"/>
  <c r="F206" i="15"/>
  <c r="X98" i="15"/>
  <c r="X181" i="15" s="1"/>
  <c r="X254" i="15" s="1"/>
  <c r="C98" i="15"/>
  <c r="C181" i="15" s="1"/>
  <c r="C254" i="15" s="1"/>
  <c r="E176" i="15"/>
  <c r="E249" i="15" s="1"/>
  <c r="AC89" i="15"/>
  <c r="AC175" i="15" s="1"/>
  <c r="AC248" i="15" s="1"/>
  <c r="F57" i="15"/>
  <c r="AP37" i="19"/>
  <c r="AL294" i="15"/>
  <c r="G271" i="15"/>
  <c r="S70" i="15"/>
  <c r="S217" i="15" s="1"/>
  <c r="C256" i="15"/>
  <c r="C298" i="15" s="1"/>
  <c r="AD290" i="15"/>
  <c r="R287" i="15"/>
  <c r="AC279" i="15"/>
  <c r="AF58" i="15"/>
  <c r="AL287" i="15"/>
  <c r="AD51" i="15"/>
  <c r="S208" i="15"/>
  <c r="AD220" i="15"/>
  <c r="AA146" i="15"/>
  <c r="AA186" i="15" s="1"/>
  <c r="AA259" i="15" s="1"/>
  <c r="AG89" i="15"/>
  <c r="AG109" i="15" s="1"/>
  <c r="AH286" i="15"/>
  <c r="AL274" i="15"/>
  <c r="AI69" i="15"/>
  <c r="AI216" i="15" s="1"/>
  <c r="W40" i="15"/>
  <c r="X40" i="15" s="1"/>
  <c r="X36" i="15" s="1"/>
  <c r="AL244" i="15"/>
  <c r="I904" i="20" s="1"/>
  <c r="AJ8" i="15"/>
  <c r="AJ198" i="15" s="1"/>
  <c r="D30" i="15"/>
  <c r="AE73" i="15"/>
  <c r="AE219" i="15" s="1"/>
  <c r="AH17" i="15"/>
  <c r="AH39" i="15" s="1"/>
  <c r="AH41" i="15" s="1"/>
  <c r="AH43" i="15" s="1"/>
  <c r="AL217" i="15"/>
  <c r="AL282" i="15"/>
  <c r="G278" i="15"/>
  <c r="AG256" i="15"/>
  <c r="AG298" i="15" s="1"/>
  <c r="AO142" i="15"/>
  <c r="C206" i="15"/>
  <c r="AL286" i="15"/>
  <c r="F176" i="15"/>
  <c r="F249" i="15" s="1"/>
  <c r="AB8" i="15"/>
  <c r="AB198" i="15" s="1"/>
  <c r="S219" i="15"/>
  <c r="AB89" i="15"/>
  <c r="AB175" i="15" s="1"/>
  <c r="AB248" i="15" s="1"/>
  <c r="AB14" i="15"/>
  <c r="AB15" i="15" s="1"/>
  <c r="C278" i="15"/>
  <c r="W69" i="15"/>
  <c r="W286" i="15" s="1"/>
  <c r="AE89" i="15"/>
  <c r="AE175" i="15" s="1"/>
  <c r="AE248" i="15" s="1"/>
  <c r="E66" i="15"/>
  <c r="E213" i="15" s="1"/>
  <c r="AL295" i="15"/>
  <c r="AL289" i="15"/>
  <c r="J256" i="15"/>
  <c r="J298" i="15" s="1"/>
  <c r="BG36" i="15"/>
  <c r="S276" i="15"/>
  <c r="G275" i="15"/>
  <c r="AL29" i="15"/>
  <c r="AB197" i="15"/>
  <c r="AM70" i="15"/>
  <c r="AM287" i="15" s="1"/>
  <c r="S230" i="15"/>
  <c r="E279" i="15"/>
  <c r="E146" i="15"/>
  <c r="E171" i="15" s="1"/>
  <c r="V109" i="15"/>
  <c r="X30" i="15"/>
  <c r="AB108" i="15"/>
  <c r="AG37" i="19"/>
  <c r="I66" i="15"/>
  <c r="I213" i="15" s="1"/>
  <c r="AC37" i="19"/>
  <c r="AO275" i="15"/>
  <c r="AA40" i="15"/>
  <c r="AB40" i="15" s="1"/>
  <c r="Y94" i="15"/>
  <c r="Y177" i="15" s="1"/>
  <c r="Y250" i="15" s="1"/>
  <c r="AB48" i="15"/>
  <c r="AB206" i="15" s="1"/>
  <c r="AL290" i="15"/>
  <c r="AL279" i="15"/>
  <c r="AL209" i="15"/>
  <c r="AM62" i="15"/>
  <c r="AN108" i="15"/>
  <c r="AN274" i="15"/>
  <c r="AO209" i="15"/>
  <c r="AO276" i="15"/>
  <c r="AI74" i="15"/>
  <c r="AJ74" i="15" s="1"/>
  <c r="AJ290" i="15" s="1"/>
  <c r="AD17" i="15"/>
  <c r="AD39" i="15" s="1"/>
  <c r="AD41" i="15" s="1"/>
  <c r="AA208" i="15"/>
  <c r="G66" i="15"/>
  <c r="G71" i="15" s="1"/>
  <c r="H282" i="15"/>
  <c r="AO92" i="15"/>
  <c r="AO176" i="15" s="1"/>
  <c r="U94" i="15"/>
  <c r="U177" i="15" s="1"/>
  <c r="U250" i="15" s="1"/>
  <c r="H294" i="15"/>
  <c r="V17" i="15"/>
  <c r="V21" i="15" s="1"/>
  <c r="V23" i="15" s="1"/>
  <c r="AA17" i="15"/>
  <c r="AA39" i="15" s="1"/>
  <c r="E292" i="15"/>
  <c r="AC275" i="15"/>
  <c r="V289" i="15"/>
  <c r="S289" i="15"/>
  <c r="V98" i="15"/>
  <c r="V181" i="15" s="1"/>
  <c r="V254" i="15" s="1"/>
  <c r="F286" i="15"/>
  <c r="AI275" i="15"/>
  <c r="AD217" i="15"/>
  <c r="AN61" i="15"/>
  <c r="AN208" i="15" s="1"/>
  <c r="C247" i="15"/>
  <c r="AK276" i="15"/>
  <c r="Z275" i="15"/>
  <c r="AH220" i="15"/>
  <c r="D209" i="15"/>
  <c r="T95" i="15"/>
  <c r="T179" i="15" s="1"/>
  <c r="T252" i="15" s="1"/>
  <c r="C284" i="15"/>
  <c r="V212" i="15"/>
  <c r="F30" i="15"/>
  <c r="R214" i="15"/>
  <c r="AH285" i="15"/>
  <c r="D230" i="15"/>
  <c r="AM92" i="15"/>
  <c r="AM176" i="15" s="1"/>
  <c r="AM249" i="15" s="1"/>
  <c r="AE70" i="15"/>
  <c r="AE287" i="15" s="1"/>
  <c r="AL92" i="15"/>
  <c r="C930" i="20" s="1"/>
  <c r="V219" i="15"/>
  <c r="Z216" i="15"/>
  <c r="BH65" i="15"/>
  <c r="AJ204" i="15"/>
  <c r="AI37" i="19"/>
  <c r="R284" i="15"/>
  <c r="AF247" i="15"/>
  <c r="T8" i="15"/>
  <c r="D184" i="15"/>
  <c r="D257" i="15" s="1"/>
  <c r="D302" i="15" s="1"/>
  <c r="C35" i="15"/>
  <c r="W65" i="15"/>
  <c r="W282" i="15" s="1"/>
  <c r="AK92" i="15"/>
  <c r="AH208" i="15"/>
  <c r="R149" i="15"/>
  <c r="U149" i="15"/>
  <c r="R35" i="15"/>
  <c r="G163" i="15"/>
  <c r="G188" i="15" s="1"/>
  <c r="AD216" i="15"/>
  <c r="C1509" i="20"/>
  <c r="C1510" i="20" s="1"/>
  <c r="C1517" i="20" s="1"/>
  <c r="E181" i="15"/>
  <c r="E254" i="15" s="1"/>
  <c r="D157" i="15"/>
  <c r="V216" i="15"/>
  <c r="X89" i="15"/>
  <c r="X175" i="15" s="1"/>
  <c r="X248" i="15" s="1"/>
  <c r="V27" i="15"/>
  <c r="AJ62" i="15"/>
  <c r="AJ279" i="15" s="1"/>
  <c r="AA280" i="15"/>
  <c r="AA210" i="15"/>
  <c r="AB291" i="15"/>
  <c r="AB221" i="15"/>
  <c r="J17" i="15"/>
  <c r="J28" i="15" s="1"/>
  <c r="D17" i="15"/>
  <c r="D39" i="15" s="1"/>
  <c r="D41" i="15" s="1"/>
  <c r="V208" i="15"/>
  <c r="Z210" i="15"/>
  <c r="G216" i="15"/>
  <c r="T158" i="15"/>
  <c r="AM276" i="15"/>
  <c r="AC57" i="15"/>
  <c r="AB141" i="15"/>
  <c r="AB142" i="15" s="1"/>
  <c r="Z280" i="15"/>
  <c r="AC186" i="15"/>
  <c r="AC259" i="15" s="1"/>
  <c r="AE247" i="15"/>
  <c r="R210" i="15"/>
  <c r="AL157" i="15"/>
  <c r="U206" i="15"/>
  <c r="AJ29" i="15"/>
  <c r="AN26" i="15"/>
  <c r="G220" i="15"/>
  <c r="AH209" i="15"/>
  <c r="U230" i="15"/>
  <c r="F17" i="15"/>
  <c r="AF30" i="15"/>
  <c r="X197" i="15"/>
  <c r="AN294" i="15"/>
  <c r="AO89" i="15"/>
  <c r="AO175" i="15" s="1"/>
  <c r="AC231" i="15"/>
  <c r="R292" i="15"/>
  <c r="AH279" i="15"/>
  <c r="U146" i="15"/>
  <c r="U186" i="15" s="1"/>
  <c r="U259" i="15" s="1"/>
  <c r="Z208" i="15"/>
  <c r="J275" i="15"/>
  <c r="J109" i="15"/>
  <c r="Y109" i="15"/>
  <c r="AE17" i="15"/>
  <c r="D57" i="15"/>
  <c r="AN14" i="15"/>
  <c r="AN15" i="15" s="1"/>
  <c r="AC158" i="15"/>
  <c r="E37" i="19"/>
  <c r="U184" i="15"/>
  <c r="U257" i="15" s="1"/>
  <c r="U302" i="15" s="1"/>
  <c r="AM29" i="15"/>
  <c r="C286" i="15"/>
  <c r="C292" i="15"/>
  <c r="I147" i="15"/>
  <c r="I230" i="15" s="1"/>
  <c r="AD286" i="15"/>
  <c r="AG209" i="15"/>
  <c r="X141" i="15"/>
  <c r="X142" i="15" s="1"/>
  <c r="U163" i="15"/>
  <c r="U188" i="15" s="1"/>
  <c r="R285" i="15"/>
  <c r="Y57" i="15"/>
  <c r="V146" i="15"/>
  <c r="V171" i="15" s="1"/>
  <c r="R222" i="15"/>
  <c r="AL142" i="15"/>
  <c r="H274" i="15"/>
  <c r="H280" i="15"/>
  <c r="H295" i="15"/>
  <c r="H287" i="15"/>
  <c r="H281" i="15"/>
  <c r="H270" i="15"/>
  <c r="H271" i="15" s="1"/>
  <c r="H292" i="15"/>
  <c r="H284" i="15"/>
  <c r="E93" i="15"/>
  <c r="E58" i="15"/>
  <c r="U93" i="15"/>
  <c r="V93" i="15"/>
  <c r="H208" i="15"/>
  <c r="H278" i="15"/>
  <c r="AF197" i="15"/>
  <c r="AF89" i="15"/>
  <c r="AF175" i="15" s="1"/>
  <c r="AF248" i="15" s="1"/>
  <c r="AF8" i="15"/>
  <c r="AF198" i="15" s="1"/>
  <c r="AF26" i="15"/>
  <c r="AF14" i="15"/>
  <c r="AF15" i="15" s="1"/>
  <c r="Z15" i="15"/>
  <c r="Z17" i="15"/>
  <c r="Z230" i="15"/>
  <c r="Z30" i="15"/>
  <c r="Z184" i="15"/>
  <c r="Z257" i="15" s="1"/>
  <c r="Z302" i="15" s="1"/>
  <c r="Z157" i="15"/>
  <c r="X37" i="19"/>
  <c r="X247" i="15"/>
  <c r="Z217" i="15"/>
  <c r="AF184" i="15"/>
  <c r="AF257" i="15" s="1"/>
  <c r="AF302" i="15" s="1"/>
  <c r="AF146" i="15"/>
  <c r="AF231" i="15" s="1"/>
  <c r="AF230" i="15"/>
  <c r="F209" i="15"/>
  <c r="F279" i="15"/>
  <c r="R206" i="15"/>
  <c r="T231" i="15"/>
  <c r="E57" i="15"/>
  <c r="AE230" i="15"/>
  <c r="AE184" i="15"/>
  <c r="AE257" i="15" s="1"/>
  <c r="AE302" i="15" s="1"/>
  <c r="S15" i="15"/>
  <c r="S17" i="15"/>
  <c r="S21" i="15" s="1"/>
  <c r="U256" i="15"/>
  <c r="U298" i="15" s="1"/>
  <c r="X18" i="15"/>
  <c r="F29" i="15"/>
  <c r="Y275" i="15"/>
  <c r="Y230" i="15"/>
  <c r="Y30" i="15"/>
  <c r="Y163" i="15"/>
  <c r="Y234" i="15" s="1"/>
  <c r="AE63" i="15"/>
  <c r="AE210" i="15" s="1"/>
  <c r="AD280" i="15"/>
  <c r="AD210" i="15"/>
  <c r="H142" i="15"/>
  <c r="AF31" i="15"/>
  <c r="AI36" i="15"/>
  <c r="AJ40" i="15"/>
  <c r="AJ36" i="15" s="1"/>
  <c r="I17" i="15"/>
  <c r="I15" i="15"/>
  <c r="C1023" i="20"/>
  <c r="I1011" i="20" s="1"/>
  <c r="I1012" i="20" s="1"/>
  <c r="AJ183" i="15"/>
  <c r="AJ256" i="15" s="1"/>
  <c r="AJ298" i="15" s="1"/>
  <c r="I209" i="15"/>
  <c r="AM80" i="15"/>
  <c r="AL225" i="15"/>
  <c r="AM146" i="15"/>
  <c r="AM230" i="15"/>
  <c r="AM184" i="15"/>
  <c r="J93" i="15"/>
  <c r="J58" i="15"/>
  <c r="AN31" i="15"/>
  <c r="C824" i="20"/>
  <c r="C837" i="20" s="1"/>
  <c r="C838" i="20" s="1"/>
  <c r="AI29" i="15"/>
  <c r="AH29" i="15"/>
  <c r="AF29" i="15"/>
  <c r="X225" i="15"/>
  <c r="X295" i="15"/>
  <c r="V92" i="15"/>
  <c r="V163" i="15" s="1"/>
  <c r="R274" i="15"/>
  <c r="R61" i="15"/>
  <c r="R278" i="15" s="1"/>
  <c r="U247" i="15"/>
  <c r="U37" i="19"/>
  <c r="AD275" i="15"/>
  <c r="AD205" i="15"/>
  <c r="AD211" i="15"/>
  <c r="AD281" i="15"/>
  <c r="AE64" i="15"/>
  <c r="AE211" i="15" s="1"/>
  <c r="U58" i="15"/>
  <c r="U57" i="15"/>
  <c r="AH27" i="15"/>
  <c r="AJ16" i="15"/>
  <c r="AJ27" i="15" s="1"/>
  <c r="AI49" i="15"/>
  <c r="AH50" i="15"/>
  <c r="AH51" i="15"/>
  <c r="I276" i="15"/>
  <c r="I206" i="15"/>
  <c r="AM89" i="15"/>
  <c r="AM175" i="15" s="1"/>
  <c r="AM248" i="15" s="1"/>
  <c r="AJ31" i="15"/>
  <c r="AJ270" i="15"/>
  <c r="AJ271" i="15" s="1"/>
  <c r="AK89" i="15"/>
  <c r="AK109" i="15" s="1"/>
  <c r="AL89" i="15"/>
  <c r="AL175" i="15" s="1"/>
  <c r="AL248" i="15" s="1"/>
  <c r="AJ89" i="15"/>
  <c r="AJ175" i="15" s="1"/>
  <c r="AJ197" i="15"/>
  <c r="AN8" i="15"/>
  <c r="AN198" i="15" s="1"/>
  <c r="AO247" i="15"/>
  <c r="AO37" i="19"/>
  <c r="AP275" i="15"/>
  <c r="AP205" i="15"/>
  <c r="Z51" i="15"/>
  <c r="Z50" i="15"/>
  <c r="AF270" i="15"/>
  <c r="H147" i="15"/>
  <c r="H184" i="15" s="1"/>
  <c r="H257" i="15" s="1"/>
  <c r="H302" i="15" s="1"/>
  <c r="S198" i="15"/>
  <c r="R220" i="15"/>
  <c r="R290" i="15"/>
  <c r="S74" i="15"/>
  <c r="BH70" i="15"/>
  <c r="V217" i="15"/>
  <c r="C230" i="15"/>
  <c r="C184" i="15"/>
  <c r="C257" i="15" s="1"/>
  <c r="C302" i="15" s="1"/>
  <c r="U252" i="15"/>
  <c r="T289" i="15"/>
  <c r="F205" i="15"/>
  <c r="F275" i="15"/>
  <c r="C1377" i="20"/>
  <c r="I1369" i="20" s="1"/>
  <c r="I1370" i="20" s="1"/>
  <c r="AB29" i="15"/>
  <c r="AE292" i="15"/>
  <c r="AE222" i="15"/>
  <c r="AF76" i="15"/>
  <c r="AF222" i="15" s="1"/>
  <c r="AI76" i="15"/>
  <c r="AI292" i="15" s="1"/>
  <c r="AH292" i="15"/>
  <c r="BI51" i="15"/>
  <c r="BI50" i="15"/>
  <c r="AI208" i="15"/>
  <c r="AI278" i="15"/>
  <c r="AI30" i="15"/>
  <c r="AJ247" i="15"/>
  <c r="AJ37" i="19"/>
  <c r="I220" i="15"/>
  <c r="AM37" i="19"/>
  <c r="AM247" i="15"/>
  <c r="AM244" i="15"/>
  <c r="AM256" i="15" s="1"/>
  <c r="AM298" i="15" s="1"/>
  <c r="AM294" i="15"/>
  <c r="Y247" i="15"/>
  <c r="Y37" i="19"/>
  <c r="Z285" i="15"/>
  <c r="AA68" i="15"/>
  <c r="AA215" i="15" s="1"/>
  <c r="Z215" i="15"/>
  <c r="AH247" i="15"/>
  <c r="AH37" i="19"/>
  <c r="G109" i="15"/>
  <c r="AA70" i="15"/>
  <c r="AB70" i="15" s="1"/>
  <c r="W146" i="15"/>
  <c r="W158" i="15" s="1"/>
  <c r="W184" i="15"/>
  <c r="W257" i="15" s="1"/>
  <c r="W302" i="15" s="1"/>
  <c r="Z287" i="15"/>
  <c r="T162" i="15"/>
  <c r="T189" i="15" s="1"/>
  <c r="T178" i="15"/>
  <c r="T249" i="15"/>
  <c r="H289" i="15"/>
  <c r="AG29" i="15"/>
  <c r="E206" i="15"/>
  <c r="E276" i="15"/>
  <c r="S37" i="19"/>
  <c r="S247" i="15"/>
  <c r="AB56" i="15"/>
  <c r="AD93" i="15" s="1"/>
  <c r="AD92" i="15"/>
  <c r="AB204" i="15"/>
  <c r="AC92" i="15"/>
  <c r="AB274" i="15"/>
  <c r="H250" i="15"/>
  <c r="AH281" i="15"/>
  <c r="AH211" i="15"/>
  <c r="AI64" i="15"/>
  <c r="AH287" i="15"/>
  <c r="AI70" i="15"/>
  <c r="V220" i="15"/>
  <c r="V290" i="15"/>
  <c r="W74" i="15"/>
  <c r="X74" i="15" s="1"/>
  <c r="X290" i="15" s="1"/>
  <c r="Z146" i="15"/>
  <c r="Z158" i="15" s="1"/>
  <c r="H291" i="15"/>
  <c r="Z35" i="15"/>
  <c r="Z214" i="15"/>
  <c r="AA205" i="15"/>
  <c r="AA275" i="15"/>
  <c r="G27" i="15"/>
  <c r="G17" i="15"/>
  <c r="G126" i="19" s="1"/>
  <c r="AB30" i="15"/>
  <c r="AB184" i="15"/>
  <c r="AB257" i="15" s="1"/>
  <c r="AB302" i="15" s="1"/>
  <c r="AB230" i="15"/>
  <c r="AG208" i="15"/>
  <c r="AG66" i="15"/>
  <c r="AI209" i="15"/>
  <c r="AI279" i="15"/>
  <c r="AF108" i="15"/>
  <c r="AI142" i="15"/>
  <c r="AD294" i="15"/>
  <c r="D163" i="15"/>
  <c r="D234" i="15" s="1"/>
  <c r="AE79" i="15"/>
  <c r="AE294" i="15" s="1"/>
  <c r="AE68" i="15"/>
  <c r="AE285" i="15" s="1"/>
  <c r="Y276" i="15"/>
  <c r="AL206" i="15"/>
  <c r="AB270" i="15"/>
  <c r="BG58" i="15"/>
  <c r="H249" i="15"/>
  <c r="AH276" i="15"/>
  <c r="Z289" i="15"/>
  <c r="W247" i="15"/>
  <c r="AD215" i="15"/>
  <c r="V214" i="15"/>
  <c r="H17" i="15"/>
  <c r="H21" i="15" s="1"/>
  <c r="AB31" i="15"/>
  <c r="W248" i="15"/>
  <c r="H252" i="15"/>
  <c r="H256" i="15"/>
  <c r="H298" i="15" s="1"/>
  <c r="H286" i="15"/>
  <c r="V248" i="15"/>
  <c r="V256" i="15"/>
  <c r="V298" i="15" s="1"/>
  <c r="D146" i="15"/>
  <c r="AA69" i="15"/>
  <c r="AA216" i="15" s="1"/>
  <c r="BH67" i="15"/>
  <c r="BH35" i="15" s="1"/>
  <c r="AD66" i="15"/>
  <c r="AD71" i="15" s="1"/>
  <c r="AD78" i="15" s="1"/>
  <c r="AM212" i="15"/>
  <c r="W67" i="15"/>
  <c r="X67" i="15" s="1"/>
  <c r="X214" i="15" s="1"/>
  <c r="V284" i="15"/>
  <c r="AD208" i="15"/>
  <c r="AA73" i="15"/>
  <c r="AB73" i="15" s="1"/>
  <c r="G230" i="15"/>
  <c r="F109" i="15"/>
  <c r="F292" i="15"/>
  <c r="X157" i="15"/>
  <c r="AB16" i="15"/>
  <c r="AB27" i="15" s="1"/>
  <c r="H253" i="15"/>
  <c r="I109" i="15"/>
  <c r="AD109" i="15"/>
  <c r="AM282" i="15"/>
  <c r="D276" i="15"/>
  <c r="D109" i="15"/>
  <c r="C808" i="20"/>
  <c r="C823" i="20" s="1"/>
  <c r="AF208" i="15"/>
  <c r="AF278" i="15"/>
  <c r="AI221" i="15"/>
  <c r="AI291" i="15"/>
  <c r="AC27" i="15"/>
  <c r="AF16" i="15"/>
  <c r="AF27" i="15" s="1"/>
  <c r="AD206" i="15"/>
  <c r="AD276" i="15"/>
  <c r="AH35" i="15"/>
  <c r="AH284" i="15"/>
  <c r="AI171" i="15"/>
  <c r="AI186" i="15"/>
  <c r="AI259" i="15" s="1"/>
  <c r="AI231" i="15"/>
  <c r="AN74" i="15"/>
  <c r="AM290" i="15"/>
  <c r="AM220" i="15"/>
  <c r="AD284" i="15"/>
  <c r="AE67" i="15"/>
  <c r="AD35" i="15"/>
  <c r="AK208" i="15"/>
  <c r="AK66" i="15"/>
  <c r="AK213" i="15" s="1"/>
  <c r="AK278" i="15"/>
  <c r="AL210" i="15"/>
  <c r="AM63" i="15"/>
  <c r="AL280" i="15"/>
  <c r="AA58" i="15"/>
  <c r="AA57" i="15"/>
  <c r="AE57" i="15"/>
  <c r="H206" i="15"/>
  <c r="H276" i="15"/>
  <c r="AF204" i="15"/>
  <c r="AJ47" i="15"/>
  <c r="AG92" i="15"/>
  <c r="AF48" i="15"/>
  <c r="AF274" i="15"/>
  <c r="AI92" i="15"/>
  <c r="AF47" i="15"/>
  <c r="AH92" i="15"/>
  <c r="AG205" i="15"/>
  <c r="AG275" i="15"/>
  <c r="BI15" i="15"/>
  <c r="BI17" i="15"/>
  <c r="AI79" i="15"/>
  <c r="AH294" i="15"/>
  <c r="AH224" i="15"/>
  <c r="AI17" i="15"/>
  <c r="AI15" i="15"/>
  <c r="AM205" i="15"/>
  <c r="AM275" i="15"/>
  <c r="AE62" i="15"/>
  <c r="AD279" i="15"/>
  <c r="AF92" i="15"/>
  <c r="AK27" i="15"/>
  <c r="AK17" i="15"/>
  <c r="AB295" i="15"/>
  <c r="AB225" i="15"/>
  <c r="AL37" i="19"/>
  <c r="AL247" i="15"/>
  <c r="AC15" i="15"/>
  <c r="G178" i="15"/>
  <c r="T94" i="15"/>
  <c r="T177" i="15" s="1"/>
  <c r="T250" i="15" s="1"/>
  <c r="E177" i="15"/>
  <c r="E250" i="15" s="1"/>
  <c r="AD214" i="15"/>
  <c r="AB63" i="15"/>
  <c r="AL66" i="15"/>
  <c r="F37" i="19"/>
  <c r="F247" i="15"/>
  <c r="T56" i="15"/>
  <c r="T58" i="15" s="1"/>
  <c r="R58" i="15"/>
  <c r="AG206" i="15"/>
  <c r="AG276" i="15"/>
  <c r="AG142" i="15"/>
  <c r="AG147" i="15"/>
  <c r="AG30" i="15" s="1"/>
  <c r="AH66" i="15"/>
  <c r="AH71" i="15" s="1"/>
  <c r="AH78" i="15" s="1"/>
  <c r="AH282" i="15"/>
  <c r="AH295" i="15"/>
  <c r="AI80" i="15"/>
  <c r="AI295" i="15" s="1"/>
  <c r="AH225" i="15"/>
  <c r="C1022" i="20"/>
  <c r="C1028" i="20" s="1"/>
  <c r="AJ146" i="15"/>
  <c r="AJ158" i="15" s="1"/>
  <c r="AG35" i="15"/>
  <c r="AG214" i="15"/>
  <c r="AL184" i="15"/>
  <c r="AL51" i="15"/>
  <c r="AM49" i="15"/>
  <c r="AM51" i="15" s="1"/>
  <c r="AL50" i="15"/>
  <c r="AP76" i="15"/>
  <c r="C171" i="15"/>
  <c r="C158" i="15"/>
  <c r="C231" i="15"/>
  <c r="AE212" i="15"/>
  <c r="AF65" i="15"/>
  <c r="R212" i="15"/>
  <c r="S65" i="15"/>
  <c r="S212" i="15" s="1"/>
  <c r="Y17" i="15"/>
  <c r="Y15" i="15"/>
  <c r="Y249" i="15"/>
  <c r="Y178" i="15"/>
  <c r="AA184" i="15"/>
  <c r="AA257" i="15" s="1"/>
  <c r="AA302" i="15" s="1"/>
  <c r="AA230" i="15"/>
  <c r="AL278" i="15"/>
  <c r="AL208" i="15"/>
  <c r="R282" i="15"/>
  <c r="BG17" i="15"/>
  <c r="AA27" i="15"/>
  <c r="C176" i="15"/>
  <c r="C163" i="15"/>
  <c r="E180" i="15"/>
  <c r="E253" i="15" s="1"/>
  <c r="T96" i="15"/>
  <c r="T180" i="15" s="1"/>
  <c r="T253" i="15" s="1"/>
  <c r="W208" i="15"/>
  <c r="W278" i="15"/>
  <c r="C15" i="15"/>
  <c r="C17" i="15"/>
  <c r="C39" i="15" s="1"/>
  <c r="C41" i="15" s="1"/>
  <c r="V29" i="15"/>
  <c r="W29" i="15"/>
  <c r="T29" i="15"/>
  <c r="U29" i="15"/>
  <c r="W206" i="15"/>
  <c r="W276" i="15"/>
  <c r="AE205" i="15"/>
  <c r="AE275" i="15"/>
  <c r="C1203" i="20"/>
  <c r="I1195" i="20" s="1"/>
  <c r="I1196" i="20" s="1"/>
  <c r="AF183" i="15"/>
  <c r="AF256" i="15" s="1"/>
  <c r="AF298" i="15" s="1"/>
  <c r="AG15" i="15"/>
  <c r="AG17" i="15"/>
  <c r="AG39" i="15" s="1"/>
  <c r="AG41" i="15" s="1"/>
  <c r="I1141" i="20"/>
  <c r="D1159" i="20" s="1"/>
  <c r="AG243" i="15"/>
  <c r="AG286" i="15" s="1"/>
  <c r="AI73" i="15"/>
  <c r="AH219" i="15"/>
  <c r="AJ141" i="15"/>
  <c r="AJ142" i="15" s="1"/>
  <c r="I142" i="15"/>
  <c r="I802" i="20"/>
  <c r="D845" i="20" s="1"/>
  <c r="AO243" i="15"/>
  <c r="K243" i="15" s="1"/>
  <c r="AK209" i="15"/>
  <c r="AK279" i="15"/>
  <c r="AL231" i="15"/>
  <c r="AL186" i="15"/>
  <c r="T26" i="15"/>
  <c r="T14" i="15"/>
  <c r="T15" i="15" s="1"/>
  <c r="S49" i="15"/>
  <c r="R50" i="15"/>
  <c r="D220" i="15"/>
  <c r="D290" i="15"/>
  <c r="Z206" i="15"/>
  <c r="Z276" i="15"/>
  <c r="AA74" i="15"/>
  <c r="AB74" i="15" s="1"/>
  <c r="Z220" i="15"/>
  <c r="Z290" i="15"/>
  <c r="BG57" i="15"/>
  <c r="BG27" i="15"/>
  <c r="U30" i="15"/>
  <c r="V30" i="15"/>
  <c r="T30" i="15"/>
  <c r="S63" i="15"/>
  <c r="T63" i="15" s="1"/>
  <c r="X68" i="15"/>
  <c r="W285" i="15"/>
  <c r="R221" i="15"/>
  <c r="S75" i="15"/>
  <c r="R291" i="15"/>
  <c r="T230" i="15"/>
  <c r="T184" i="15"/>
  <c r="T257" i="15" s="1"/>
  <c r="T302" i="15" s="1"/>
  <c r="T163" i="15"/>
  <c r="T188" i="15" s="1"/>
  <c r="S40" i="15"/>
  <c r="S36" i="15" s="1"/>
  <c r="R36" i="15"/>
  <c r="C209" i="15"/>
  <c r="C66" i="15"/>
  <c r="Y208" i="15"/>
  <c r="Y278" i="15"/>
  <c r="Y66" i="15"/>
  <c r="Z221" i="15"/>
  <c r="Z291" i="15"/>
  <c r="BH27" i="15"/>
  <c r="BH58" i="15"/>
  <c r="AD184" i="15"/>
  <c r="AD257" i="15" s="1"/>
  <c r="AD302" i="15" s="1"/>
  <c r="AD30" i="15"/>
  <c r="AD146" i="15"/>
  <c r="AD171" i="15" s="1"/>
  <c r="AE276" i="15"/>
  <c r="AE206" i="15"/>
  <c r="W93" i="15"/>
  <c r="W57" i="15"/>
  <c r="W58" i="15"/>
  <c r="H220" i="15"/>
  <c r="H290" i="15"/>
  <c r="AF141" i="15"/>
  <c r="AF142" i="15" s="1"/>
  <c r="AH205" i="15"/>
  <c r="AH275" i="15"/>
  <c r="AL30" i="15"/>
  <c r="AP29" i="15"/>
  <c r="AN29" i="15"/>
  <c r="AA30" i="15"/>
  <c r="AJ208" i="15"/>
  <c r="AJ278" i="15"/>
  <c r="Q230" i="15"/>
  <c r="AH212" i="15"/>
  <c r="E15" i="15"/>
  <c r="E17" i="15"/>
  <c r="V281" i="15"/>
  <c r="W64" i="15"/>
  <c r="BH64" i="15"/>
  <c r="T157" i="15"/>
  <c r="V62" i="15"/>
  <c r="BH62" i="15" s="1"/>
  <c r="U279" i="15"/>
  <c r="U209" i="15"/>
  <c r="F248" i="15"/>
  <c r="F163" i="15"/>
  <c r="F146" i="15"/>
  <c r="F186" i="15" s="1"/>
  <c r="F259" i="15" s="1"/>
  <c r="F184" i="15"/>
  <c r="F257" i="15" s="1"/>
  <c r="F302" i="15" s="1"/>
  <c r="F230" i="15"/>
  <c r="X184" i="15"/>
  <c r="X146" i="15"/>
  <c r="X230" i="15"/>
  <c r="X244" i="15"/>
  <c r="X256" i="15" s="1"/>
  <c r="X298" i="15" s="1"/>
  <c r="F256" i="15"/>
  <c r="F298" i="15" s="1"/>
  <c r="Z211" i="15"/>
  <c r="AA64" i="15"/>
  <c r="AA211" i="15" s="1"/>
  <c r="Z294" i="15"/>
  <c r="Z224" i="15"/>
  <c r="AA79" i="15"/>
  <c r="V247" i="15"/>
  <c r="V37" i="19"/>
  <c r="AL171" i="15"/>
  <c r="Y149" i="15"/>
  <c r="BH68" i="15"/>
  <c r="AE286" i="15"/>
  <c r="AE216" i="15"/>
  <c r="V57" i="15"/>
  <c r="D249" i="15"/>
  <c r="D178" i="15"/>
  <c r="V206" i="15"/>
  <c r="V276" i="15"/>
  <c r="V184" i="15"/>
  <c r="V257" i="15" s="1"/>
  <c r="V302" i="15" s="1"/>
  <c r="V157" i="15"/>
  <c r="E163" i="15"/>
  <c r="E184" i="15"/>
  <c r="E257" i="15" s="1"/>
  <c r="E302" i="15" s="1"/>
  <c r="E157" i="15"/>
  <c r="AC278" i="15"/>
  <c r="AC66" i="15"/>
  <c r="AD36" i="15"/>
  <c r="AE40" i="15"/>
  <c r="I58" i="15"/>
  <c r="J57" i="15"/>
  <c r="AE208" i="15"/>
  <c r="E230" i="15"/>
  <c r="AC208" i="15"/>
  <c r="V287" i="15"/>
  <c r="W70" i="15"/>
  <c r="F271" i="15"/>
  <c r="T256" i="15"/>
  <c r="T298" i="15" s="1"/>
  <c r="T141" i="15"/>
  <c r="T142" i="15" s="1"/>
  <c r="AC209" i="15"/>
  <c r="BI62" i="15"/>
  <c r="BI66" i="15" s="1"/>
  <c r="BI71" i="15" s="1"/>
  <c r="BI78" i="15" s="1"/>
  <c r="AE75" i="15"/>
  <c r="AD291" i="15"/>
  <c r="V63" i="15"/>
  <c r="U210" i="15"/>
  <c r="BG63" i="15"/>
  <c r="BG66" i="15" s="1"/>
  <c r="BG71" i="15" s="1"/>
  <c r="R294" i="15"/>
  <c r="R224" i="15"/>
  <c r="F220" i="15"/>
  <c r="F290" i="15"/>
  <c r="AD247" i="15"/>
  <c r="AD37" i="19"/>
  <c r="AF74" i="15"/>
  <c r="AE290" i="15"/>
  <c r="F93" i="15"/>
  <c r="X93" i="15" s="1"/>
  <c r="F58" i="15"/>
  <c r="AD50" i="15"/>
  <c r="AN256" i="15"/>
  <c r="AN298" i="15" s="1"/>
  <c r="AH175" i="15"/>
  <c r="AH109" i="15"/>
  <c r="I57" i="15"/>
  <c r="AL281" i="15"/>
  <c r="AL211" i="15"/>
  <c r="T254" i="15"/>
  <c r="W256" i="15"/>
  <c r="W298" i="15" s="1"/>
  <c r="F179" i="15"/>
  <c r="F252" i="15" s="1"/>
  <c r="X95" i="15"/>
  <c r="AB146" i="15"/>
  <c r="AB231" i="15" s="1"/>
  <c r="AD282" i="15"/>
  <c r="AD212" i="15"/>
  <c r="I205" i="15"/>
  <c r="I275" i="15"/>
  <c r="AM76" i="15"/>
  <c r="AL222" i="15"/>
  <c r="AO214" i="15"/>
  <c r="AP67" i="15"/>
  <c r="V294" i="15"/>
  <c r="W79" i="15"/>
  <c r="BH17" i="15"/>
  <c r="G30" i="15"/>
  <c r="G184" i="15"/>
  <c r="G257" i="15" s="1"/>
  <c r="AJ48" i="15"/>
  <c r="AJ92" i="15"/>
  <c r="AJ163" i="15" s="1"/>
  <c r="AM274" i="15"/>
  <c r="J66" i="15"/>
  <c r="J71" i="15" s="1"/>
  <c r="J78" i="15" s="1"/>
  <c r="AB26" i="15"/>
  <c r="T31" i="15"/>
  <c r="AE142" i="15"/>
  <c r="AH142" i="15"/>
  <c r="AJ108" i="15"/>
  <c r="AL17" i="15"/>
  <c r="AL39" i="15" s="1"/>
  <c r="AL41" i="15" s="1"/>
  <c r="AL291" i="15"/>
  <c r="C1469" i="20"/>
  <c r="U109" i="15"/>
  <c r="D271" i="15"/>
  <c r="D256" i="15"/>
  <c r="D298" i="15" s="1"/>
  <c r="X108" i="15"/>
  <c r="AD142" i="15"/>
  <c r="AN72" i="15"/>
  <c r="AP290" i="15"/>
  <c r="AF157" i="15"/>
  <c r="I715" i="20"/>
  <c r="I716" i="20" s="1"/>
  <c r="C726" i="20"/>
  <c r="C732" i="20" s="1"/>
  <c r="D740" i="20"/>
  <c r="D741" i="20" s="1"/>
  <c r="D968" i="20"/>
  <c r="D770" i="20"/>
  <c r="C989" i="20"/>
  <c r="C990" i="20" s="1"/>
  <c r="D1397" i="20"/>
  <c r="D1396" i="20"/>
  <c r="D965" i="20"/>
  <c r="D1477" i="20"/>
  <c r="D1478" i="20" s="1"/>
  <c r="D1315" i="20"/>
  <c r="C889" i="20"/>
  <c r="D1368" i="20"/>
  <c r="D1398" i="20"/>
  <c r="D1312" i="20"/>
  <c r="I1105" i="20"/>
  <c r="I1106" i="20" s="1"/>
  <c r="D1374" i="20"/>
  <c r="D1287" i="20"/>
  <c r="D1372" i="20"/>
  <c r="D765" i="20"/>
  <c r="D1415" i="20"/>
  <c r="D1401" i="20"/>
  <c r="D1313" i="20"/>
  <c r="C1172" i="20"/>
  <c r="C1173" i="20" s="1"/>
  <c r="D1282" i="20"/>
  <c r="D1375" i="20"/>
  <c r="D1371" i="20"/>
  <c r="D776" i="20"/>
  <c r="D1369" i="20"/>
  <c r="D1400" i="20"/>
  <c r="D1285" i="20"/>
  <c r="D964" i="20"/>
  <c r="D998" i="20"/>
  <c r="D995" i="20"/>
  <c r="D997" i="20"/>
  <c r="D793" i="20"/>
  <c r="D971" i="20"/>
  <c r="D763" i="20"/>
  <c r="D996" i="20"/>
  <c r="D762" i="20"/>
  <c r="I865" i="20"/>
  <c r="D999" i="20"/>
  <c r="D767" i="20"/>
  <c r="D1288" i="20"/>
  <c r="D760" i="20"/>
  <c r="D761" i="20"/>
  <c r="D1289" i="20"/>
  <c r="D1314" i="20"/>
  <c r="D976" i="20"/>
  <c r="C1490" i="20"/>
  <c r="D1107" i="20"/>
  <c r="D1359" i="20"/>
  <c r="C901" i="20"/>
  <c r="D973" i="20"/>
  <c r="D1283" i="20"/>
  <c r="D974" i="20"/>
  <c r="C939" i="20"/>
  <c r="C940" i="20" s="1"/>
  <c r="D774" i="20"/>
  <c r="D1357" i="20"/>
  <c r="D1270" i="20"/>
  <c r="D1241" i="20"/>
  <c r="D1268" i="20"/>
  <c r="D1242" i="20"/>
  <c r="D1245" i="20"/>
  <c r="D1267" i="20"/>
  <c r="D1331" i="20"/>
  <c r="D970" i="20"/>
  <c r="D1061" i="20"/>
  <c r="D966" i="20"/>
  <c r="C775" i="20"/>
  <c r="C781" i="20" s="1"/>
  <c r="D1111" i="20"/>
  <c r="C1290" i="20"/>
  <c r="C1292" i="20" s="1"/>
  <c r="C1298" i="20" s="1"/>
  <c r="I1284" i="20"/>
  <c r="I915" i="20"/>
  <c r="I765" i="20"/>
  <c r="D1112" i="20"/>
  <c r="C1512" i="20"/>
  <c r="D1224" i="20"/>
  <c r="D1411" i="20"/>
  <c r="C951" i="20"/>
  <c r="C849" i="20"/>
  <c r="C1095" i="20"/>
  <c r="D1200" i="20"/>
  <c r="I965" i="20"/>
  <c r="D1414" i="20"/>
  <c r="D1194" i="20"/>
  <c r="C875" i="20"/>
  <c r="C925" i="20"/>
  <c r="C975" i="20"/>
  <c r="C981" i="20" s="1"/>
  <c r="D1063" i="20"/>
  <c r="C1115" i="20"/>
  <c r="C1121" i="20" s="1"/>
  <c r="C1158" i="20"/>
  <c r="C1160" i="20" s="1"/>
  <c r="C1246" i="20"/>
  <c r="C1248" i="20" s="1"/>
  <c r="C1254" i="20" s="1"/>
  <c r="C1334" i="20"/>
  <c r="D1416" i="20"/>
  <c r="D1193" i="20"/>
  <c r="D1196" i="20"/>
  <c r="D1201" i="20"/>
  <c r="D1197" i="20"/>
  <c r="D1198" i="20"/>
  <c r="D1135" i="20"/>
  <c r="C1304" i="20"/>
  <c r="C1305" i="20" s="1"/>
  <c r="C1442" i="20"/>
  <c r="D1199" i="20"/>
  <c r="D1223" i="20"/>
  <c r="D1410" i="20"/>
  <c r="C1439" i="20"/>
  <c r="D1113" i="20"/>
  <c r="D960" i="20"/>
  <c r="D1062" i="20"/>
  <c r="D1138" i="20"/>
  <c r="D1417" i="20"/>
  <c r="D1070" i="20"/>
  <c r="D1067" i="20"/>
  <c r="D1054" i="20"/>
  <c r="D1116" i="20"/>
  <c r="D1129" i="20"/>
  <c r="D1130" i="20" s="1"/>
  <c r="C1418" i="20"/>
  <c r="C1420" i="20" s="1"/>
  <c r="D1089" i="20"/>
  <c r="D1139" i="20"/>
  <c r="D1114" i="20"/>
  <c r="D1057" i="20"/>
  <c r="D1066" i="20"/>
  <c r="D1104" i="20"/>
  <c r="D1244" i="20"/>
  <c r="D1326" i="20"/>
  <c r="D1091" i="20"/>
  <c r="D1059" i="20"/>
  <c r="D1106" i="20"/>
  <c r="C1069" i="20"/>
  <c r="D1136" i="20"/>
  <c r="D1101" i="20"/>
  <c r="D1092" i="20"/>
  <c r="D1137" i="20"/>
  <c r="D1291" i="20"/>
  <c r="C1438" i="20"/>
  <c r="D967" i="20"/>
  <c r="D1286" i="20"/>
  <c r="D1109" i="20"/>
  <c r="D1065" i="20"/>
  <c r="D1093" i="20"/>
  <c r="C1440" i="20"/>
  <c r="D772" i="20"/>
  <c r="D1108" i="20"/>
  <c r="D1064" i="20"/>
  <c r="D1103" i="20"/>
  <c r="D1056" i="20"/>
  <c r="D1090" i="20"/>
  <c r="C1467" i="20"/>
  <c r="C789" i="20"/>
  <c r="D1238" i="20"/>
  <c r="D1243" i="20"/>
  <c r="D1358" i="20"/>
  <c r="C1141" i="20"/>
  <c r="C1376" i="20"/>
  <c r="C1465" i="20"/>
  <c r="C1471" i="20" s="1"/>
  <c r="D1236" i="20"/>
  <c r="D963" i="20"/>
  <c r="C1316" i="20"/>
  <c r="D969" i="20"/>
  <c r="D1324" i="20"/>
  <c r="D1413" i="20"/>
  <c r="D1355" i="20"/>
  <c r="C1441" i="20"/>
  <c r="I1152" i="20"/>
  <c r="D1239" i="20"/>
  <c r="D1310" i="20"/>
  <c r="D962" i="20"/>
  <c r="D1269" i="20"/>
  <c r="D972" i="20"/>
  <c r="AP279" i="15"/>
  <c r="AP291" i="15"/>
  <c r="W76" i="15"/>
  <c r="V222" i="15"/>
  <c r="V292" i="15"/>
  <c r="E42" i="19"/>
  <c r="E271" i="15"/>
  <c r="U208" i="15"/>
  <c r="U66" i="15"/>
  <c r="W49" i="15"/>
  <c r="V95" i="15"/>
  <c r="V50" i="15"/>
  <c r="S64" i="15"/>
  <c r="R281" i="15"/>
  <c r="V96" i="15"/>
  <c r="V180" i="15" s="1"/>
  <c r="V253" i="15" s="1"/>
  <c r="R216" i="15"/>
  <c r="S69" i="15"/>
  <c r="T69" i="15" s="1"/>
  <c r="R286" i="15"/>
  <c r="D37" i="19"/>
  <c r="D247" i="15"/>
  <c r="Z58" i="15"/>
  <c r="Z57" i="15"/>
  <c r="AD57" i="15"/>
  <c r="H209" i="15"/>
  <c r="H279" i="15"/>
  <c r="H66" i="15"/>
  <c r="I178" i="15"/>
  <c r="I42" i="19"/>
  <c r="I65" i="19"/>
  <c r="AJ230" i="15"/>
  <c r="AJ184" i="15"/>
  <c r="AJ257" i="15" s="1"/>
  <c r="AJ302" i="15" s="1"/>
  <c r="AJ30" i="15"/>
  <c r="AN118" i="19"/>
  <c r="AM123" i="19"/>
  <c r="Q198" i="15"/>
  <c r="C198" i="15"/>
  <c r="H109" i="15"/>
  <c r="X73" i="15"/>
  <c r="W219" i="15"/>
  <c r="W289" i="15"/>
  <c r="U278" i="15"/>
  <c r="H248" i="15"/>
  <c r="H178" i="15"/>
  <c r="AC42" i="19"/>
  <c r="G248" i="15"/>
  <c r="G251" i="15" s="1"/>
  <c r="AM211" i="15"/>
  <c r="AM281" i="15"/>
  <c r="AN96" i="15"/>
  <c r="AN180" i="15" s="1"/>
  <c r="AN253" i="15" s="1"/>
  <c r="AP96" i="15"/>
  <c r="AP180" i="15" s="1"/>
  <c r="D275" i="15"/>
  <c r="D205" i="15"/>
  <c r="AN211" i="15"/>
  <c r="AN281" i="15"/>
  <c r="AO96" i="15"/>
  <c r="AO180" i="15" s="1"/>
  <c r="G93" i="15"/>
  <c r="G58" i="15"/>
  <c r="H57" i="15"/>
  <c r="G57" i="15"/>
  <c r="AC65" i="19"/>
  <c r="AA120" i="19"/>
  <c r="AB120" i="19" s="1"/>
  <c r="AN75" i="15"/>
  <c r="I1239" i="20"/>
  <c r="I1240" i="20" s="1"/>
  <c r="D1247" i="20"/>
  <c r="C1260" i="20"/>
  <c r="AM291" i="15"/>
  <c r="Z284" i="15"/>
  <c r="AA67" i="15"/>
  <c r="C1083" i="20"/>
  <c r="I1058" i="20"/>
  <c r="I1059" i="20" s="1"/>
  <c r="T171" i="15"/>
  <c r="T186" i="15"/>
  <c r="T259" i="15" s="1"/>
  <c r="AF69" i="15"/>
  <c r="AM221" i="15"/>
  <c r="AA276" i="15"/>
  <c r="AA65" i="15"/>
  <c r="Z282" i="15"/>
  <c r="AN116" i="15"/>
  <c r="J147" i="15"/>
  <c r="J142" i="15"/>
  <c r="AN92" i="15"/>
  <c r="AN176" i="15" s="1"/>
  <c r="AN47" i="15"/>
  <c r="AP92" i="15"/>
  <c r="AN48" i="15"/>
  <c r="AN204" i="15"/>
  <c r="J42" i="19"/>
  <c r="J65" i="19"/>
  <c r="D208" i="15"/>
  <c r="D278" i="15"/>
  <c r="D66" i="15"/>
  <c r="G276" i="15"/>
  <c r="G206" i="15"/>
  <c r="AE80" i="15"/>
  <c r="AD225" i="15"/>
  <c r="AD295" i="15"/>
  <c r="I216" i="15"/>
  <c r="AK147" i="15"/>
  <c r="AK142" i="15"/>
  <c r="AM62" i="19"/>
  <c r="AM208" i="15"/>
  <c r="AM278" i="15"/>
  <c r="J276" i="15"/>
  <c r="J206" i="15"/>
  <c r="J178" i="15"/>
  <c r="AN89" i="15"/>
  <c r="AN175" i="15" s="1"/>
  <c r="AN248" i="15" s="1"/>
  <c r="AP89" i="15"/>
  <c r="AP175" i="15" s="1"/>
  <c r="AN197" i="15"/>
  <c r="AN270" i="15"/>
  <c r="Z64" i="19"/>
  <c r="Z70" i="19" s="1"/>
  <c r="AA58" i="19"/>
  <c r="AM15" i="15"/>
  <c r="AM17" i="15"/>
  <c r="BH69" i="15"/>
  <c r="AE30" i="15"/>
  <c r="AE146" i="15"/>
  <c r="AO147" i="15"/>
  <c r="C1228" i="20"/>
  <c r="D1226" i="20"/>
  <c r="AP66" i="15"/>
  <c r="AM30" i="15"/>
  <c r="AM157" i="15"/>
  <c r="X31" i="15"/>
  <c r="X270" i="15"/>
  <c r="Z89" i="15"/>
  <c r="Z175" i="15" s="1"/>
  <c r="Z248" i="15" s="1"/>
  <c r="AA76" i="15"/>
  <c r="Z222" i="15"/>
  <c r="AC157" i="15"/>
  <c r="AC230" i="15"/>
  <c r="AC184" i="15"/>
  <c r="AC257" i="15" s="1"/>
  <c r="AC302" i="15" s="1"/>
  <c r="AC30" i="15"/>
  <c r="C799" i="20"/>
  <c r="D797" i="20"/>
  <c r="C1001" i="20"/>
  <c r="AL230" i="15"/>
  <c r="X14" i="15"/>
  <c r="X15" i="15" s="1"/>
  <c r="Z292" i="15"/>
  <c r="C157" i="15"/>
  <c r="C30" i="15"/>
  <c r="X26" i="15"/>
  <c r="V47" i="15"/>
  <c r="V275" i="15" s="1"/>
  <c r="R204" i="15"/>
  <c r="Y146" i="15"/>
  <c r="Y162" i="15" s="1"/>
  <c r="Y184" i="15"/>
  <c r="Y257" i="15" s="1"/>
  <c r="Y302" i="15" s="1"/>
  <c r="H124" i="19"/>
  <c r="AK284" i="15"/>
  <c r="AK214" i="15"/>
  <c r="AL67" i="15"/>
  <c r="AA89" i="15"/>
  <c r="R289" i="15"/>
  <c r="R219" i="15"/>
  <c r="AB61" i="15"/>
  <c r="AE92" i="15"/>
  <c r="AB92" i="15"/>
  <c r="Y65" i="19"/>
  <c r="Y42" i="19"/>
  <c r="AL292" i="15"/>
  <c r="X176" i="15"/>
  <c r="X163" i="15"/>
  <c r="W75" i="15"/>
  <c r="W221" i="15" s="1"/>
  <c r="V221" i="15"/>
  <c r="AA49" i="15"/>
  <c r="AB49" i="15" s="1"/>
  <c r="AC142" i="15"/>
  <c r="D769" i="20"/>
  <c r="D1354" i="20"/>
  <c r="D1333" i="20"/>
  <c r="D1332" i="20"/>
  <c r="D1419" i="20"/>
  <c r="I1411" i="20"/>
  <c r="I1412" i="20" s="1"/>
  <c r="H254" i="15"/>
  <c r="C1191" i="20"/>
  <c r="I855" i="20"/>
  <c r="D1327" i="20"/>
  <c r="AB157" i="15"/>
  <c r="D1311" i="20"/>
  <c r="D773" i="20"/>
  <c r="D1280" i="20"/>
  <c r="D1329" i="20"/>
  <c r="AP142" i="15"/>
  <c r="I803" i="20"/>
  <c r="D766" i="20"/>
  <c r="D1060" i="20"/>
  <c r="D1068" i="20"/>
  <c r="D1330" i="20"/>
  <c r="D1432" i="20"/>
  <c r="D1433" i="20" s="1"/>
  <c r="AM142" i="15"/>
  <c r="D1110" i="20"/>
  <c r="I256" i="15"/>
  <c r="I298" i="15" s="1"/>
  <c r="D1025" i="20"/>
  <c r="D771" i="20"/>
  <c r="AP230" i="15"/>
  <c r="AP157" i="15"/>
  <c r="AP184" i="15"/>
  <c r="AP257" i="15" s="1"/>
  <c r="AP302" i="15" s="1"/>
  <c r="AP146" i="15"/>
  <c r="AP30" i="15"/>
  <c r="AP206" i="15"/>
  <c r="AP285" i="15"/>
  <c r="AP208" i="15"/>
  <c r="AP278" i="15"/>
  <c r="AP286" i="15"/>
  <c r="AP294" i="15"/>
  <c r="AP209" i="15"/>
  <c r="AP287" i="15"/>
  <c r="AP295" i="15"/>
  <c r="AP280" i="15"/>
  <c r="AP270" i="15"/>
  <c r="AP281" i="15"/>
  <c r="AP289" i="15"/>
  <c r="AP282" i="15"/>
  <c r="BH36" i="15"/>
  <c r="F66" i="15"/>
  <c r="F208" i="15"/>
  <c r="Q27" i="15"/>
  <c r="R16" i="15"/>
  <c r="Q17" i="15"/>
  <c r="W275" i="15"/>
  <c r="W205" i="15"/>
  <c r="C162" i="15"/>
  <c r="C186" i="15"/>
  <c r="C259" i="15" s="1"/>
  <c r="AJ291" i="15"/>
  <c r="AJ221" i="15"/>
  <c r="AE51" i="15"/>
  <c r="AF49" i="15"/>
  <c r="U249" i="15"/>
  <c r="U178" i="15"/>
  <c r="AJ157" i="15"/>
  <c r="AH214" i="15"/>
  <c r="AI67" i="15"/>
  <c r="S214" i="15"/>
  <c r="T67" i="15"/>
  <c r="S284" i="15"/>
  <c r="S35" i="15"/>
  <c r="AL219" i="15"/>
  <c r="AM73" i="15"/>
  <c r="S294" i="15"/>
  <c r="T79" i="15"/>
  <c r="S292" i="15"/>
  <c r="S222" i="15"/>
  <c r="T76" i="15"/>
  <c r="R157" i="15"/>
  <c r="W27" i="15"/>
  <c r="X16" i="15"/>
  <c r="Q206" i="15"/>
  <c r="Q276" i="15"/>
  <c r="AD209" i="15"/>
  <c r="AI212" i="15"/>
  <c r="AJ65" i="15"/>
  <c r="AI158" i="15"/>
  <c r="R198" i="15"/>
  <c r="AI230" i="15"/>
  <c r="AI157" i="15"/>
  <c r="AI184" i="15"/>
  <c r="AI257" i="15" s="1"/>
  <c r="AI302" i="15" s="1"/>
  <c r="E175" i="15"/>
  <c r="T270" i="15"/>
  <c r="X8" i="15"/>
  <c r="X198" i="15" s="1"/>
  <c r="T108" i="15"/>
  <c r="T109" i="15" s="1"/>
  <c r="AB47" i="15"/>
  <c r="X48" i="15"/>
  <c r="X274" i="15"/>
  <c r="X204" i="15"/>
  <c r="AA92" i="15"/>
  <c r="Z92" i="15"/>
  <c r="X56" i="15"/>
  <c r="R62" i="15"/>
  <c r="Q208" i="15"/>
  <c r="Q66" i="15"/>
  <c r="U17" i="15"/>
  <c r="U27" i="15"/>
  <c r="U222" i="15"/>
  <c r="U292" i="15"/>
  <c r="BG76" i="15"/>
  <c r="AD157" i="15"/>
  <c r="AD230" i="15"/>
  <c r="Q279" i="15"/>
  <c r="V285" i="15"/>
  <c r="V215" i="15"/>
  <c r="E220" i="15"/>
  <c r="W157" i="15"/>
  <c r="W30" i="15"/>
  <c r="AA37" i="19"/>
  <c r="AA247" i="15"/>
  <c r="AH30" i="15"/>
  <c r="AH184" i="15"/>
  <c r="AH257" i="15" s="1"/>
  <c r="AH302" i="15" s="1"/>
  <c r="AH157" i="15"/>
  <c r="AH146" i="15"/>
  <c r="X61" i="15"/>
  <c r="E109" i="15"/>
  <c r="W17" i="15"/>
  <c r="W15" i="15"/>
  <c r="T37" i="19"/>
  <c r="T247" i="15"/>
  <c r="Y157" i="15"/>
  <c r="T46" i="15"/>
  <c r="Z62" i="15"/>
  <c r="AM27" i="15"/>
  <c r="AN16" i="15"/>
  <c r="Y279" i="15"/>
  <c r="I1327" i="20"/>
  <c r="I1328" i="20" s="1"/>
  <c r="C1348" i="20"/>
  <c r="D1335" i="20"/>
  <c r="W92" i="15"/>
  <c r="BG47" i="15"/>
  <c r="C1524" i="20"/>
  <c r="D1523" i="20"/>
  <c r="D1524" i="20" s="1"/>
  <c r="G218" i="15" l="1"/>
  <c r="G78" i="15"/>
  <c r="AY99" i="15"/>
  <c r="AY182" i="15" s="1"/>
  <c r="AY255" i="15" s="1"/>
  <c r="AV78" i="15"/>
  <c r="AN271" i="15"/>
  <c r="AB271" i="15"/>
  <c r="AP271" i="15"/>
  <c r="AT271" i="15"/>
  <c r="X271" i="15"/>
  <c r="AR271" i="15"/>
  <c r="AF271" i="15"/>
  <c r="O311" i="15"/>
  <c r="G48" i="19"/>
  <c r="AI79" i="19"/>
  <c r="AE77" i="19"/>
  <c r="Z72" i="19"/>
  <c r="AD83" i="19"/>
  <c r="AI64" i="19"/>
  <c r="AI83" i="19" s="1"/>
  <c r="AI77" i="19"/>
  <c r="AQ74" i="19"/>
  <c r="AV83" i="19"/>
  <c r="AM81" i="19"/>
  <c r="AQ81" i="19"/>
  <c r="AH83" i="19"/>
  <c r="AF59" i="19"/>
  <c r="AF78" i="19" s="1"/>
  <c r="AE78" i="19"/>
  <c r="AF62" i="19"/>
  <c r="AF81" i="19" s="1"/>
  <c r="AE81" i="19"/>
  <c r="X54" i="19"/>
  <c r="AL83" i="19"/>
  <c r="AP83" i="19"/>
  <c r="AJ59" i="19"/>
  <c r="AM78" i="19"/>
  <c r="AI78" i="19"/>
  <c r="AI81" i="19"/>
  <c r="AN60" i="19"/>
  <c r="AM79" i="19"/>
  <c r="AQ79" i="19"/>
  <c r="AR70" i="19"/>
  <c r="AM77" i="19"/>
  <c r="AQ77" i="19"/>
  <c r="AR73" i="19"/>
  <c r="AM216" i="15"/>
  <c r="AN69" i="15"/>
  <c r="BE90" i="15"/>
  <c r="F39" i="15"/>
  <c r="F41" i="15" s="1"/>
  <c r="F45" i="15" s="1"/>
  <c r="F126" i="19"/>
  <c r="C48" i="19"/>
  <c r="AG74" i="19"/>
  <c r="F74" i="19"/>
  <c r="E48" i="19"/>
  <c r="W48" i="19"/>
  <c r="Y74" i="19"/>
  <c r="I74" i="19"/>
  <c r="H74" i="19"/>
  <c r="AK74" i="19"/>
  <c r="AE64" i="19"/>
  <c r="AF58" i="19"/>
  <c r="AF77" i="19" s="1"/>
  <c r="J74" i="19"/>
  <c r="AJ54" i="19"/>
  <c r="G74" i="19"/>
  <c r="AE69" i="19"/>
  <c r="AE72" i="19"/>
  <c r="AE68" i="19"/>
  <c r="AL68" i="19"/>
  <c r="AL70" i="19"/>
  <c r="AH72" i="19"/>
  <c r="AH68" i="19"/>
  <c r="AH70" i="19"/>
  <c r="AH69" i="19"/>
  <c r="AN58" i="19"/>
  <c r="AJ62" i="19"/>
  <c r="AJ81" i="19" s="1"/>
  <c r="AJ60" i="19"/>
  <c r="AF60" i="19"/>
  <c r="AB60" i="19"/>
  <c r="AI68" i="19"/>
  <c r="AJ58" i="19"/>
  <c r="AR74" i="19"/>
  <c r="AC74" i="19"/>
  <c r="AL71" i="19"/>
  <c r="AL69" i="19"/>
  <c r="AL73" i="19"/>
  <c r="AL72" i="19"/>
  <c r="AE65" i="19"/>
  <c r="AE71" i="19"/>
  <c r="AE73" i="19"/>
  <c r="AH65" i="19"/>
  <c r="AH71" i="19"/>
  <c r="AH73" i="19"/>
  <c r="AD65" i="19"/>
  <c r="AD68" i="19"/>
  <c r="AD72" i="19"/>
  <c r="AD70" i="19"/>
  <c r="AD69" i="19"/>
  <c r="AD71" i="19"/>
  <c r="AD73" i="19"/>
  <c r="AM64" i="19"/>
  <c r="AI71" i="19"/>
  <c r="Z65" i="19"/>
  <c r="Z69" i="19"/>
  <c r="Z73" i="19"/>
  <c r="Z71" i="19"/>
  <c r="Z68" i="19"/>
  <c r="AA64" i="19"/>
  <c r="F48" i="19"/>
  <c r="AF54" i="19"/>
  <c r="AB54" i="19"/>
  <c r="AO48" i="19"/>
  <c r="I48" i="19"/>
  <c r="Z48" i="19"/>
  <c r="AM42" i="19"/>
  <c r="AM45" i="19"/>
  <c r="AM54" i="19"/>
  <c r="AQ54" i="19"/>
  <c r="AN51" i="19"/>
  <c r="AR51" i="19"/>
  <c r="AP54" i="19"/>
  <c r="AL54" i="19"/>
  <c r="AM65" i="19"/>
  <c r="AM46" i="19"/>
  <c r="AM47" i="19"/>
  <c r="AR48" i="19"/>
  <c r="AP48" i="19"/>
  <c r="J48" i="19"/>
  <c r="AK48" i="19"/>
  <c r="AI48" i="19"/>
  <c r="AH48" i="19"/>
  <c r="AG48" i="19"/>
  <c r="AE48" i="19"/>
  <c r="AD48" i="19"/>
  <c r="AC48" i="19"/>
  <c r="Y48" i="19"/>
  <c r="V48" i="19"/>
  <c r="U48" i="19"/>
  <c r="S48" i="19"/>
  <c r="R48" i="19"/>
  <c r="Q48" i="19"/>
  <c r="H48" i="19"/>
  <c r="D48" i="19"/>
  <c r="AN41" i="19"/>
  <c r="AF42" i="19"/>
  <c r="AF47" i="19"/>
  <c r="AF46" i="19"/>
  <c r="AF45" i="19"/>
  <c r="AF48" i="19" s="1"/>
  <c r="AB47" i="19"/>
  <c r="AB46" i="19"/>
  <c r="AB45" i="19"/>
  <c r="AL42" i="19"/>
  <c r="AL47" i="19"/>
  <c r="AL46" i="19"/>
  <c r="AL45" i="19"/>
  <c r="AL48" i="19" s="1"/>
  <c r="T42" i="19"/>
  <c r="T47" i="19"/>
  <c r="T46" i="19"/>
  <c r="T45" i="19"/>
  <c r="AJ46" i="19"/>
  <c r="AJ47" i="19"/>
  <c r="AJ45" i="19"/>
  <c r="X42" i="19"/>
  <c r="X47" i="19"/>
  <c r="X46" i="19"/>
  <c r="X45" i="19"/>
  <c r="AC39" i="15"/>
  <c r="AC41" i="15" s="1"/>
  <c r="AC43" i="15" s="1"/>
  <c r="AC21" i="15"/>
  <c r="AC126" i="19"/>
  <c r="AC28" i="15"/>
  <c r="C153" i="15"/>
  <c r="C166" i="15" s="1"/>
  <c r="C237" i="15" s="1"/>
  <c r="AN123" i="19"/>
  <c r="AN124" i="19" s="1"/>
  <c r="BD279" i="15"/>
  <c r="BD209" i="15"/>
  <c r="BD66" i="15"/>
  <c r="BD28" i="15"/>
  <c r="BD21" i="15"/>
  <c r="BD39" i="15"/>
  <c r="BD41" i="15" s="1"/>
  <c r="BD90" i="15"/>
  <c r="AZ297" i="15"/>
  <c r="AZ227" i="15"/>
  <c r="AT293" i="15"/>
  <c r="F309" i="15"/>
  <c r="F306" i="15"/>
  <c r="AE306" i="15"/>
  <c r="H312" i="15"/>
  <c r="H311" i="15"/>
  <c r="D309" i="15"/>
  <c r="D306" i="15"/>
  <c r="G312" i="15"/>
  <c r="G311" i="15"/>
  <c r="E311" i="15"/>
  <c r="E312" i="15"/>
  <c r="Y150" i="15"/>
  <c r="Y153" i="15" s="1"/>
  <c r="Y185" i="15" s="1"/>
  <c r="Y258" i="15" s="1"/>
  <c r="Y263" i="15" s="1"/>
  <c r="Y300" i="15"/>
  <c r="Y309" i="15" s="1"/>
  <c r="AD306" i="15"/>
  <c r="C306" i="15"/>
  <c r="C309" i="15"/>
  <c r="AF306" i="15"/>
  <c r="H309" i="15"/>
  <c r="H306" i="15"/>
  <c r="U150" i="15"/>
  <c r="U153" i="15" s="1"/>
  <c r="U185" i="15" s="1"/>
  <c r="U258" i="15" s="1"/>
  <c r="U263" i="15" s="1"/>
  <c r="U300" i="15"/>
  <c r="L311" i="15"/>
  <c r="L312" i="15"/>
  <c r="L309" i="15"/>
  <c r="L308" i="15"/>
  <c r="L306" i="15"/>
  <c r="L305" i="15"/>
  <c r="AX311" i="15"/>
  <c r="AC306" i="15"/>
  <c r="R150" i="15"/>
  <c r="R153" i="15" s="1"/>
  <c r="R300" i="15"/>
  <c r="AW311" i="15"/>
  <c r="AA306" i="15"/>
  <c r="Y306" i="15"/>
  <c r="E309" i="15"/>
  <c r="E306" i="15"/>
  <c r="AB306" i="15"/>
  <c r="AN312" i="15"/>
  <c r="D311" i="15"/>
  <c r="D312" i="15"/>
  <c r="Z306" i="15"/>
  <c r="C311" i="15"/>
  <c r="C312" i="15"/>
  <c r="AS306" i="15"/>
  <c r="AS305" i="15"/>
  <c r="AV311" i="15"/>
  <c r="T198" i="15"/>
  <c r="AI109" i="15"/>
  <c r="F303" i="15"/>
  <c r="AJ303" i="15"/>
  <c r="C303" i="15"/>
  <c r="D303" i="15"/>
  <c r="AQ303" i="15"/>
  <c r="AH303" i="15"/>
  <c r="AC303" i="15"/>
  <c r="H303" i="15"/>
  <c r="AF303" i="15"/>
  <c r="V303" i="15"/>
  <c r="AE303" i="15"/>
  <c r="AD303" i="15"/>
  <c r="Y303" i="15"/>
  <c r="G261" i="15"/>
  <c r="G302" i="15"/>
  <c r="AA303" i="15"/>
  <c r="U303" i="15"/>
  <c r="E303" i="15"/>
  <c r="AB303" i="15"/>
  <c r="AI303" i="15"/>
  <c r="T303" i="15"/>
  <c r="AP303" i="15"/>
  <c r="W303" i="15"/>
  <c r="Z303" i="15"/>
  <c r="AD124" i="19"/>
  <c r="O35" i="15"/>
  <c r="O98" i="15"/>
  <c r="O181" i="15" s="1"/>
  <c r="O254" i="15" s="1"/>
  <c r="O214" i="15"/>
  <c r="AX166" i="15"/>
  <c r="AX190" i="15" s="1"/>
  <c r="AT223" i="15"/>
  <c r="AY169" i="15"/>
  <c r="AY240" i="15" s="1"/>
  <c r="AY168" i="15"/>
  <c r="AY239" i="15" s="1"/>
  <c r="O152" i="15"/>
  <c r="O187" i="15" s="1"/>
  <c r="O260" i="15" s="1"/>
  <c r="O264" i="15" s="1"/>
  <c r="O153" i="15"/>
  <c r="O166" i="15" s="1"/>
  <c r="AY152" i="15"/>
  <c r="AY153" i="15"/>
  <c r="AU81" i="15"/>
  <c r="AU86" i="15" s="1"/>
  <c r="O99" i="15"/>
  <c r="O43" i="15"/>
  <c r="O45" i="15"/>
  <c r="AV218" i="15"/>
  <c r="AV288" i="15"/>
  <c r="AV99" i="15"/>
  <c r="AV182" i="15" s="1"/>
  <c r="AV255" i="15" s="1"/>
  <c r="AW99" i="15"/>
  <c r="AW182" i="15" s="1"/>
  <c r="AW255" i="15" s="1"/>
  <c r="AX99" i="15"/>
  <c r="O91" i="15"/>
  <c r="AV213" i="15"/>
  <c r="AV283" i="15"/>
  <c r="O209" i="15"/>
  <c r="O279" i="15"/>
  <c r="AV293" i="15"/>
  <c r="O32" i="15"/>
  <c r="O97" i="15"/>
  <c r="AW152" i="15"/>
  <c r="AW153" i="15"/>
  <c r="AV168" i="15"/>
  <c r="AV239" i="15" s="1"/>
  <c r="AX236" i="15"/>
  <c r="AX191" i="15"/>
  <c r="AW168" i="15"/>
  <c r="AW239" i="15" s="1"/>
  <c r="AV97" i="15"/>
  <c r="AX97" i="15"/>
  <c r="AX168" i="15"/>
  <c r="AX239" i="15" s="1"/>
  <c r="AX169" i="15"/>
  <c r="AX240" i="15" s="1"/>
  <c r="AW97" i="15"/>
  <c r="D930" i="20"/>
  <c r="AL124" i="19"/>
  <c r="AB42" i="19"/>
  <c r="AJ42" i="19"/>
  <c r="AI124" i="19"/>
  <c r="AI126" i="19"/>
  <c r="Z126" i="19"/>
  <c r="AE126" i="19"/>
  <c r="L251" i="15"/>
  <c r="L261" i="15"/>
  <c r="L262" i="15"/>
  <c r="AV166" i="15"/>
  <c r="AV185" i="15"/>
  <c r="AV258" i="15" s="1"/>
  <c r="AV263" i="15" s="1"/>
  <c r="F261" i="15"/>
  <c r="AV187" i="15"/>
  <c r="AV260" i="15" s="1"/>
  <c r="AV264" i="15" s="1"/>
  <c r="AV165" i="15"/>
  <c r="L263" i="15"/>
  <c r="L264" i="15"/>
  <c r="Z39" i="15"/>
  <c r="Z41" i="15" s="1"/>
  <c r="AD42" i="15" s="1"/>
  <c r="S285" i="15"/>
  <c r="AA158" i="15"/>
  <c r="AA36" i="15"/>
  <c r="S215" i="15"/>
  <c r="D90" i="15"/>
  <c r="AR290" i="15"/>
  <c r="D21" i="15"/>
  <c r="D23" i="15" s="1"/>
  <c r="D97" i="15" s="1"/>
  <c r="AJ285" i="15"/>
  <c r="AR27" i="15"/>
  <c r="AT95" i="15"/>
  <c r="AT179" i="15" s="1"/>
  <c r="AT252" i="15" s="1"/>
  <c r="D28" i="15"/>
  <c r="F499" i="20"/>
  <c r="F497" i="20"/>
  <c r="AI215" i="15"/>
  <c r="AR36" i="15"/>
  <c r="AR69" i="15"/>
  <c r="G186" i="15"/>
  <c r="G259" i="15" s="1"/>
  <c r="G262" i="15" s="1"/>
  <c r="AR79" i="15"/>
  <c r="AR294" i="15" s="1"/>
  <c r="AR63" i="15"/>
  <c r="AQ39" i="15"/>
  <c r="AQ41" i="15" s="1"/>
  <c r="AQ43" i="15" s="1"/>
  <c r="AR80" i="15"/>
  <c r="AU178" i="15"/>
  <c r="AU249" i="15"/>
  <c r="AT233" i="15"/>
  <c r="AT189" i="15"/>
  <c r="AR65" i="15"/>
  <c r="G162" i="15"/>
  <c r="G233" i="15" s="1"/>
  <c r="AQ109" i="15"/>
  <c r="AR75" i="15"/>
  <c r="AT234" i="15"/>
  <c r="AT188" i="15"/>
  <c r="AU293" i="15"/>
  <c r="AU223" i="15"/>
  <c r="AR64" i="15"/>
  <c r="AR70" i="15"/>
  <c r="AU234" i="15"/>
  <c r="AU188" i="15"/>
  <c r="AU233" i="15"/>
  <c r="AU189" i="15"/>
  <c r="AR68" i="15"/>
  <c r="AR285" i="15" s="1"/>
  <c r="AS95" i="15"/>
  <c r="AS179" i="15" s="1"/>
  <c r="AS252" i="15" s="1"/>
  <c r="AU95" i="15"/>
  <c r="D545" i="20"/>
  <c r="I538" i="20"/>
  <c r="I539" i="20"/>
  <c r="E540" i="20"/>
  <c r="E542" i="20"/>
  <c r="C549" i="20"/>
  <c r="AR62" i="15"/>
  <c r="AT178" i="15"/>
  <c r="AT249" i="15"/>
  <c r="AT296" i="15"/>
  <c r="AT226" i="15"/>
  <c r="AT82" i="15"/>
  <c r="J253" i="15"/>
  <c r="AR275" i="15"/>
  <c r="J252" i="15"/>
  <c r="AH45" i="15"/>
  <c r="BH51" i="15"/>
  <c r="AR220" i="15"/>
  <c r="AO71" i="15"/>
  <c r="D185" i="15"/>
  <c r="D258" i="15" s="1"/>
  <c r="D263" i="15" s="1"/>
  <c r="AR17" i="15"/>
  <c r="AU90" i="15" s="1"/>
  <c r="V33" i="15"/>
  <c r="AM163" i="15"/>
  <c r="AM234" i="15" s="1"/>
  <c r="C880" i="20"/>
  <c r="I866" i="20" s="1"/>
  <c r="AI210" i="15"/>
  <c r="T149" i="15"/>
  <c r="E71" i="15"/>
  <c r="AI280" i="15"/>
  <c r="V28" i="15"/>
  <c r="AQ209" i="15"/>
  <c r="AQ279" i="15"/>
  <c r="AQ72" i="15"/>
  <c r="G152" i="15"/>
  <c r="G187" i="15" s="1"/>
  <c r="G260" i="15" s="1"/>
  <c r="G264" i="15" s="1"/>
  <c r="D606" i="20"/>
  <c r="AH124" i="19"/>
  <c r="AJ124" i="19"/>
  <c r="AB58" i="19"/>
  <c r="AA123" i="19"/>
  <c r="AA126" i="19" s="1"/>
  <c r="AO45" i="15"/>
  <c r="AS42" i="15"/>
  <c r="AO28" i="15"/>
  <c r="D655" i="20"/>
  <c r="AF73" i="15"/>
  <c r="AF289" i="15" s="1"/>
  <c r="AO21" i="15"/>
  <c r="AO23" i="15" s="1"/>
  <c r="C655" i="20"/>
  <c r="AP28" i="15"/>
  <c r="X65" i="15"/>
  <c r="X282" i="15" s="1"/>
  <c r="W212" i="15"/>
  <c r="G158" i="15"/>
  <c r="AS233" i="15"/>
  <c r="AS189" i="15"/>
  <c r="G231" i="15"/>
  <c r="AS249" i="15"/>
  <c r="AS178" i="15"/>
  <c r="AC109" i="15"/>
  <c r="AS234" i="15"/>
  <c r="AS188" i="15"/>
  <c r="AN62" i="19"/>
  <c r="AL65" i="19"/>
  <c r="I622" i="20"/>
  <c r="AI285" i="15"/>
  <c r="AE109" i="15"/>
  <c r="AP39" i="15"/>
  <c r="AP41" i="15" s="1"/>
  <c r="AT42" i="15" s="1"/>
  <c r="AQ217" i="15"/>
  <c r="AR249" i="15"/>
  <c r="I610" i="20"/>
  <c r="F581" i="20" s="1"/>
  <c r="AR248" i="15"/>
  <c r="AP21" i="15"/>
  <c r="AQ287" i="15"/>
  <c r="AR51" i="15"/>
  <c r="AR50" i="15"/>
  <c r="AL256" i="15"/>
  <c r="AL298" i="15" s="1"/>
  <c r="AR95" i="15"/>
  <c r="AB123" i="19"/>
  <c r="AF124" i="19" s="1"/>
  <c r="C632" i="20"/>
  <c r="C638" i="20" s="1"/>
  <c r="C639" i="20" s="1"/>
  <c r="AR157" i="15"/>
  <c r="AR146" i="15"/>
  <c r="AR230" i="15"/>
  <c r="AR30" i="15"/>
  <c r="AR184" i="15"/>
  <c r="AR257" i="15" s="1"/>
  <c r="AR302" i="15" s="1"/>
  <c r="E630" i="20"/>
  <c r="I621" i="20"/>
  <c r="D632" i="20"/>
  <c r="E680" i="20"/>
  <c r="C682" i="20"/>
  <c r="D682" i="20" s="1"/>
  <c r="AR188" i="15"/>
  <c r="AR234" i="15"/>
  <c r="AM285" i="15"/>
  <c r="AN68" i="15"/>
  <c r="AQ28" i="15"/>
  <c r="D188" i="15"/>
  <c r="AQ21" i="15"/>
  <c r="AQ33" i="15" s="1"/>
  <c r="E678" i="20"/>
  <c r="I670" i="20"/>
  <c r="Z21" i="15"/>
  <c r="Z32" i="15" s="1"/>
  <c r="AJ69" i="15"/>
  <c r="AJ216" i="15" s="1"/>
  <c r="AA98" i="15"/>
  <c r="AA181" i="15" s="1"/>
  <c r="AA254" i="15" s="1"/>
  <c r="C687" i="20"/>
  <c r="AM217" i="15"/>
  <c r="T251" i="15"/>
  <c r="AE217" i="15"/>
  <c r="AA21" i="15"/>
  <c r="AA32" i="15" s="1"/>
  <c r="K165" i="15"/>
  <c r="K187" i="15"/>
  <c r="K260" i="15" s="1"/>
  <c r="AQ248" i="15"/>
  <c r="AD126" i="19"/>
  <c r="AM162" i="15"/>
  <c r="AM189" i="15" s="1"/>
  <c r="AD28" i="15"/>
  <c r="K233" i="15"/>
  <c r="K81" i="15"/>
  <c r="K86" i="15" s="1"/>
  <c r="K218" i="15"/>
  <c r="K99" i="15"/>
  <c r="K182" i="15" s="1"/>
  <c r="K237" i="15"/>
  <c r="K190" i="15"/>
  <c r="K45" i="15"/>
  <c r="K43" i="15"/>
  <c r="K91" i="15"/>
  <c r="K33" i="15"/>
  <c r="K23" i="15"/>
  <c r="K97" i="15" s="1"/>
  <c r="K32" i="15"/>
  <c r="AE224" i="15"/>
  <c r="AI286" i="15"/>
  <c r="AQ224" i="15"/>
  <c r="AQ294" i="15"/>
  <c r="AQ210" i="15"/>
  <c r="AQ280" i="15"/>
  <c r="AK175" i="15"/>
  <c r="AK248" i="15" s="1"/>
  <c r="AE28" i="15"/>
  <c r="AP292" i="15"/>
  <c r="AQ76" i="15"/>
  <c r="AQ162" i="15"/>
  <c r="AQ158" i="15"/>
  <c r="AQ186" i="15"/>
  <c r="AQ259" i="15" s="1"/>
  <c r="AQ171" i="15"/>
  <c r="AQ231" i="15"/>
  <c r="AQ188" i="15"/>
  <c r="AQ234" i="15"/>
  <c r="G283" i="15"/>
  <c r="AQ225" i="15"/>
  <c r="AQ295" i="15"/>
  <c r="AQ291" i="15"/>
  <c r="AQ221" i="15"/>
  <c r="AQ66" i="15"/>
  <c r="AQ281" i="15"/>
  <c r="AQ211" i="15"/>
  <c r="AQ96" i="15"/>
  <c r="AQ180" i="15" s="1"/>
  <c r="AQ253" i="15" s="1"/>
  <c r="AP214" i="15"/>
  <c r="AQ67" i="15"/>
  <c r="AB171" i="15"/>
  <c r="AO43" i="15"/>
  <c r="AN212" i="15"/>
  <c r="I658" i="20"/>
  <c r="AQ215" i="15"/>
  <c r="AQ285" i="15"/>
  <c r="AQ178" i="15"/>
  <c r="AQ249" i="15"/>
  <c r="AQ282" i="15"/>
  <c r="AQ212" i="15"/>
  <c r="G293" i="15"/>
  <c r="AN282" i="15"/>
  <c r="AA286" i="15"/>
  <c r="AQ216" i="15"/>
  <c r="AQ286" i="15"/>
  <c r="I669" i="20"/>
  <c r="D702" i="20"/>
  <c r="D678" i="20"/>
  <c r="C1390" i="20"/>
  <c r="D1390" i="20" s="1"/>
  <c r="D1391" i="20" s="1"/>
  <c r="D1023" i="20"/>
  <c r="H153" i="15"/>
  <c r="H185" i="15" s="1"/>
  <c r="H258" i="15" s="1"/>
  <c r="H263" i="15" s="1"/>
  <c r="AJ109" i="15"/>
  <c r="AL259" i="15"/>
  <c r="I30" i="15"/>
  <c r="H251" i="15"/>
  <c r="Y188" i="15"/>
  <c r="D1149" i="20"/>
  <c r="E261" i="15"/>
  <c r="AH126" i="19"/>
  <c r="T70" i="15"/>
  <c r="T287" i="15" s="1"/>
  <c r="AF70" i="15"/>
  <c r="AF287" i="15" s="1"/>
  <c r="V176" i="15"/>
  <c r="V249" i="15" s="1"/>
  <c r="S287" i="15"/>
  <c r="W216" i="15"/>
  <c r="H157" i="15"/>
  <c r="F251" i="15"/>
  <c r="AD21" i="15"/>
  <c r="AD32" i="15" s="1"/>
  <c r="AE289" i="15"/>
  <c r="I157" i="15"/>
  <c r="C21" i="15"/>
  <c r="C32" i="15" s="1"/>
  <c r="V162" i="15"/>
  <c r="V233" i="15" s="1"/>
  <c r="I146" i="15"/>
  <c r="I171" i="15" s="1"/>
  <c r="V158" i="15"/>
  <c r="V186" i="15"/>
  <c r="V259" i="15" s="1"/>
  <c r="I153" i="15"/>
  <c r="I185" i="15" s="1"/>
  <c r="I258" i="15" s="1"/>
  <c r="V231" i="15"/>
  <c r="U158" i="15"/>
  <c r="AO178" i="15"/>
  <c r="U231" i="15"/>
  <c r="D948" i="20"/>
  <c r="D916" i="20"/>
  <c r="D913" i="20"/>
  <c r="D946" i="20"/>
  <c r="D914" i="20"/>
  <c r="D926" i="20"/>
  <c r="AM279" i="15"/>
  <c r="G99" i="15"/>
  <c r="G182" i="15" s="1"/>
  <c r="G255" i="15" s="1"/>
  <c r="AM109" i="15"/>
  <c r="C1378" i="20"/>
  <c r="C1384" i="20" s="1"/>
  <c r="C1036" i="20"/>
  <c r="D1036" i="20" s="1"/>
  <c r="D1037" i="20" s="1"/>
  <c r="F178" i="15"/>
  <c r="S28" i="15"/>
  <c r="AA41" i="15"/>
  <c r="AA45" i="15" s="1"/>
  <c r="AN70" i="15"/>
  <c r="AP222" i="15"/>
  <c r="G90" i="15"/>
  <c r="W290" i="15"/>
  <c r="AG175" i="15"/>
  <c r="AG248" i="15" s="1"/>
  <c r="AH28" i="15"/>
  <c r="X69" i="15"/>
  <c r="Z98" i="15"/>
  <c r="Z181" i="15" s="1"/>
  <c r="Z254" i="15" s="1"/>
  <c r="G39" i="15"/>
  <c r="G41" i="15" s="1"/>
  <c r="G45" i="15" s="1"/>
  <c r="W220" i="15"/>
  <c r="AL257" i="15"/>
  <c r="AL302" i="15" s="1"/>
  <c r="AH21" i="15"/>
  <c r="AH33" i="15" s="1"/>
  <c r="F190" i="15"/>
  <c r="AB109" i="15"/>
  <c r="AC45" i="15"/>
  <c r="G28" i="15"/>
  <c r="I71" i="15"/>
  <c r="I78" i="15" s="1"/>
  <c r="G21" i="15"/>
  <c r="G23" i="15" s="1"/>
  <c r="G97" i="15" s="1"/>
  <c r="AM209" i="15"/>
  <c r="G213" i="15"/>
  <c r="X220" i="15"/>
  <c r="AM292" i="15"/>
  <c r="F262" i="15"/>
  <c r="AA28" i="15"/>
  <c r="W36" i="15"/>
  <c r="I917" i="20"/>
  <c r="D1377" i="20"/>
  <c r="I916" i="20"/>
  <c r="I163" i="15"/>
  <c r="I188" i="15" s="1"/>
  <c r="AM66" i="15"/>
  <c r="AM283" i="15" s="1"/>
  <c r="AA231" i="15"/>
  <c r="AL163" i="15"/>
  <c r="AL234" i="15" s="1"/>
  <c r="AI222" i="15"/>
  <c r="AJ171" i="15"/>
  <c r="D1147" i="20"/>
  <c r="I184" i="15"/>
  <c r="I257" i="15" s="1"/>
  <c r="I302" i="15" s="1"/>
  <c r="AA171" i="15"/>
  <c r="E186" i="15"/>
  <c r="E259" i="15" s="1"/>
  <c r="E262" i="15" s="1"/>
  <c r="E231" i="15"/>
  <c r="AL176" i="15"/>
  <c r="AL249" i="15" s="1"/>
  <c r="E162" i="15"/>
  <c r="E189" i="15" s="1"/>
  <c r="AJ209" i="15"/>
  <c r="AJ76" i="15"/>
  <c r="AJ222" i="15" s="1"/>
  <c r="AD231" i="15"/>
  <c r="E152" i="15"/>
  <c r="E165" i="15" s="1"/>
  <c r="AL162" i="15"/>
  <c r="AL233" i="15" s="1"/>
  <c r="AB276" i="15"/>
  <c r="AB64" i="15"/>
  <c r="AC96" i="15" s="1"/>
  <c r="AC180" i="15" s="1"/>
  <c r="AC253" i="15" s="1"/>
  <c r="T262" i="15"/>
  <c r="E158" i="15"/>
  <c r="AF292" i="15"/>
  <c r="I854" i="20"/>
  <c r="D897" i="20" s="1"/>
  <c r="G234" i="15"/>
  <c r="AG295" i="15"/>
  <c r="AG283" i="15"/>
  <c r="AG292" i="15"/>
  <c r="AN278" i="15"/>
  <c r="W284" i="15"/>
  <c r="AN62" i="15"/>
  <c r="AB68" i="15"/>
  <c r="AB215" i="15" s="1"/>
  <c r="W214" i="15"/>
  <c r="AG278" i="15"/>
  <c r="S282" i="15"/>
  <c r="D1022" i="20"/>
  <c r="D1049" i="20" s="1"/>
  <c r="G288" i="15"/>
  <c r="W98" i="15"/>
  <c r="W181" i="15" s="1"/>
  <c r="W254" i="15" s="1"/>
  <c r="D945" i="20"/>
  <c r="D812" i="20"/>
  <c r="H261" i="15"/>
  <c r="AM257" i="15"/>
  <c r="C1024" i="20"/>
  <c r="C1030" i="20" s="1"/>
  <c r="C1049" i="20"/>
  <c r="D947" i="20"/>
  <c r="E283" i="15"/>
  <c r="W62" i="15"/>
  <c r="W279" i="15" s="1"/>
  <c r="AG282" i="15"/>
  <c r="D910" i="20"/>
  <c r="D1153" i="20"/>
  <c r="W35" i="15"/>
  <c r="H28" i="15"/>
  <c r="Z28" i="15"/>
  <c r="F185" i="15"/>
  <c r="F258" i="15" s="1"/>
  <c r="F263" i="15" s="1"/>
  <c r="V32" i="15"/>
  <c r="AO109" i="15"/>
  <c r="C828" i="20"/>
  <c r="I814" i="20" s="1"/>
  <c r="AF186" i="15"/>
  <c r="AF259" i="15" s="1"/>
  <c r="AJ248" i="15"/>
  <c r="AI220" i="15"/>
  <c r="AI290" i="15"/>
  <c r="AG291" i="15"/>
  <c r="AF171" i="15"/>
  <c r="AO248" i="15"/>
  <c r="D190" i="15"/>
  <c r="C780" i="20"/>
  <c r="I766" i="20" s="1"/>
  <c r="AG163" i="15"/>
  <c r="AG188" i="15" s="1"/>
  <c r="D815" i="20"/>
  <c r="F90" i="15"/>
  <c r="X90" i="15" s="1"/>
  <c r="AG274" i="15"/>
  <c r="AG289" i="15"/>
  <c r="AP71" i="15"/>
  <c r="AP78" i="15" s="1"/>
  <c r="AE281" i="15"/>
  <c r="I812" i="20"/>
  <c r="I813" i="20" s="1"/>
  <c r="AG281" i="15"/>
  <c r="AG290" i="15"/>
  <c r="D824" i="20"/>
  <c r="X109" i="15"/>
  <c r="AB69" i="15"/>
  <c r="AK176" i="15"/>
  <c r="AK249" i="15" s="1"/>
  <c r="C980" i="20"/>
  <c r="I967" i="20" s="1"/>
  <c r="AK283" i="15"/>
  <c r="AI225" i="15"/>
  <c r="D808" i="20"/>
  <c r="D844" i="20"/>
  <c r="AG284" i="15"/>
  <c r="V39" i="15"/>
  <c r="V41" i="15" s="1"/>
  <c r="AF158" i="15"/>
  <c r="AH248" i="15"/>
  <c r="T40" i="15"/>
  <c r="T36" i="15" s="1"/>
  <c r="V279" i="15"/>
  <c r="AA281" i="15"/>
  <c r="R208" i="15"/>
  <c r="AP35" i="15"/>
  <c r="I755" i="20"/>
  <c r="D796" i="20" s="1"/>
  <c r="J248" i="15"/>
  <c r="Y90" i="15"/>
  <c r="AJ162" i="15"/>
  <c r="AJ233" i="15" s="1"/>
  <c r="D919" i="20"/>
  <c r="D918" i="20"/>
  <c r="D923" i="20"/>
  <c r="H39" i="15"/>
  <c r="H41" i="15" s="1"/>
  <c r="H43" i="15" s="1"/>
  <c r="H90" i="15"/>
  <c r="AA285" i="15"/>
  <c r="AE21" i="15"/>
  <c r="V205" i="15"/>
  <c r="D819" i="20"/>
  <c r="Y261" i="15"/>
  <c r="AL28" i="15"/>
  <c r="H126" i="19"/>
  <c r="D922" i="20"/>
  <c r="D810" i="20"/>
  <c r="C825" i="20"/>
  <c r="C827" i="20" s="1"/>
  <c r="AF64" i="15"/>
  <c r="AF211" i="15" s="1"/>
  <c r="F28" i="15"/>
  <c r="D814" i="20"/>
  <c r="AE39" i="15"/>
  <c r="AE41" i="15" s="1"/>
  <c r="AF68" i="15"/>
  <c r="W186" i="15"/>
  <c r="W259" i="15" s="1"/>
  <c r="AP248" i="15"/>
  <c r="D917" i="20"/>
  <c r="AE215" i="15"/>
  <c r="R66" i="15"/>
  <c r="R71" i="15" s="1"/>
  <c r="R78" i="15" s="1"/>
  <c r="D912" i="20"/>
  <c r="AE280" i="15"/>
  <c r="D920" i="20"/>
  <c r="D949" i="20"/>
  <c r="D811" i="20"/>
  <c r="T261" i="15"/>
  <c r="AD213" i="15"/>
  <c r="S39" i="15"/>
  <c r="S41" i="15" s="1"/>
  <c r="AF109" i="15"/>
  <c r="F21" i="15"/>
  <c r="U171" i="15"/>
  <c r="U162" i="15"/>
  <c r="U189" i="15" s="1"/>
  <c r="J90" i="15"/>
  <c r="J126" i="19"/>
  <c r="J39" i="15"/>
  <c r="J41" i="15" s="1"/>
  <c r="K42" i="15" s="1"/>
  <c r="J21" i="15"/>
  <c r="AN216" i="15"/>
  <c r="AN286" i="15"/>
  <c r="AO292" i="15"/>
  <c r="AG126" i="19"/>
  <c r="AF63" i="15"/>
  <c r="AF210" i="15" s="1"/>
  <c r="AP284" i="15"/>
  <c r="AJ186" i="15"/>
  <c r="AJ259" i="15" s="1"/>
  <c r="D924" i="20"/>
  <c r="D915" i="20"/>
  <c r="D921" i="20"/>
  <c r="D813" i="20"/>
  <c r="AF57" i="15"/>
  <c r="AL109" i="15"/>
  <c r="AB217" i="15"/>
  <c r="AB287" i="15"/>
  <c r="AB219" i="15"/>
  <c r="AB289" i="15"/>
  <c r="AF79" i="15"/>
  <c r="AF294" i="15" s="1"/>
  <c r="Z171" i="15"/>
  <c r="C1295" i="20"/>
  <c r="C1299" i="20" s="1"/>
  <c r="AD163" i="15"/>
  <c r="AD176" i="15"/>
  <c r="AJ64" i="15"/>
  <c r="AL96" i="15" s="1"/>
  <c r="AL180" i="15" s="1"/>
  <c r="AL253" i="15" s="1"/>
  <c r="AI281" i="15"/>
  <c r="AI211" i="15"/>
  <c r="AB58" i="15"/>
  <c r="AN109" i="15"/>
  <c r="C1163" i="20"/>
  <c r="I1154" i="20" s="1"/>
  <c r="AJ80" i="15"/>
  <c r="AJ295" i="15" s="1"/>
  <c r="AD283" i="15"/>
  <c r="AA287" i="15"/>
  <c r="AA217" i="15"/>
  <c r="AM186" i="15"/>
  <c r="AM259" i="15" s="1"/>
  <c r="AM262" i="15" s="1"/>
  <c r="AM158" i="15"/>
  <c r="AM231" i="15"/>
  <c r="AM171" i="15"/>
  <c r="I21" i="15"/>
  <c r="I39" i="15"/>
  <c r="I41" i="15" s="1"/>
  <c r="I90" i="15"/>
  <c r="I126" i="19"/>
  <c r="I28" i="15"/>
  <c r="AA289" i="15"/>
  <c r="AA219" i="15"/>
  <c r="Z29" i="15"/>
  <c r="X29" i="15"/>
  <c r="AA29" i="15"/>
  <c r="Y29" i="15"/>
  <c r="W171" i="15"/>
  <c r="W231" i="15"/>
  <c r="AM178" i="15"/>
  <c r="AE93" i="15"/>
  <c r="AG176" i="15"/>
  <c r="AG249" i="15" s="1"/>
  <c r="D261" i="15"/>
  <c r="AB17" i="15"/>
  <c r="AB90" i="15" s="1"/>
  <c r="S220" i="15"/>
  <c r="S290" i="15"/>
  <c r="AJ220" i="15"/>
  <c r="AC93" i="15"/>
  <c r="X35" i="15"/>
  <c r="X284" i="15"/>
  <c r="AD43" i="15"/>
  <c r="AD45" i="15"/>
  <c r="AN80" i="15"/>
  <c r="AM225" i="15"/>
  <c r="AM295" i="15"/>
  <c r="D162" i="15"/>
  <c r="D231" i="15"/>
  <c r="D152" i="15"/>
  <c r="T74" i="15"/>
  <c r="T220" i="15" s="1"/>
  <c r="W162" i="15"/>
  <c r="W233" i="15" s="1"/>
  <c r="X75" i="15"/>
  <c r="X221" i="15" s="1"/>
  <c r="AB93" i="15"/>
  <c r="D1203" i="20"/>
  <c r="AI66" i="15"/>
  <c r="AI213" i="15" s="1"/>
  <c r="Z231" i="15"/>
  <c r="AJ17" i="15"/>
  <c r="AJ90" i="15" s="1"/>
  <c r="AG213" i="15"/>
  <c r="AG71" i="15"/>
  <c r="AG78" i="15" s="1"/>
  <c r="D186" i="15"/>
  <c r="D259" i="15" s="1"/>
  <c r="D262" i="15" s="1"/>
  <c r="U261" i="15"/>
  <c r="D171" i="15"/>
  <c r="Z186" i="15"/>
  <c r="Z259" i="15" s="1"/>
  <c r="AC163" i="15"/>
  <c r="AC162" i="15"/>
  <c r="AC176" i="15"/>
  <c r="C1339" i="20"/>
  <c r="E1334" i="20" s="1"/>
  <c r="H230" i="15"/>
  <c r="H146" i="15"/>
  <c r="H163" i="15"/>
  <c r="H30" i="15"/>
  <c r="AI51" i="15"/>
  <c r="AI50" i="15"/>
  <c r="AJ49" i="15"/>
  <c r="AK95" i="15" s="1"/>
  <c r="C1216" i="20"/>
  <c r="C1217" i="20" s="1"/>
  <c r="D251" i="15"/>
  <c r="D158" i="15"/>
  <c r="AI217" i="15"/>
  <c r="AI287" i="15"/>
  <c r="AJ70" i="15"/>
  <c r="AB220" i="15"/>
  <c r="AB290" i="15"/>
  <c r="X215" i="15"/>
  <c r="X285" i="15"/>
  <c r="D1154" i="20"/>
  <c r="F152" i="15"/>
  <c r="F165" i="15" s="1"/>
  <c r="AE36" i="15"/>
  <c r="AF40" i="15"/>
  <c r="AF36" i="15" s="1"/>
  <c r="X64" i="15"/>
  <c r="W211" i="15"/>
  <c r="W281" i="15"/>
  <c r="T280" i="15"/>
  <c r="T210" i="15"/>
  <c r="AF206" i="15"/>
  <c r="AF276" i="15"/>
  <c r="AL126" i="19"/>
  <c r="AL21" i="15"/>
  <c r="AC71" i="15"/>
  <c r="AC78" i="15" s="1"/>
  <c r="AC213" i="15"/>
  <c r="AC283" i="15"/>
  <c r="C213" i="15"/>
  <c r="C71" i="15"/>
  <c r="C78" i="15" s="1"/>
  <c r="C283" i="15"/>
  <c r="AJ205" i="15"/>
  <c r="AJ275" i="15"/>
  <c r="AF67" i="15"/>
  <c r="AH98" i="15" s="1"/>
  <c r="AH181" i="15" s="1"/>
  <c r="AH254" i="15" s="1"/>
  <c r="AE35" i="15"/>
  <c r="AE284" i="15"/>
  <c r="AE214" i="15"/>
  <c r="AN220" i="15"/>
  <c r="AN290" i="15"/>
  <c r="W291" i="15"/>
  <c r="D1156" i="20"/>
  <c r="AO283" i="15"/>
  <c r="AE209" i="15"/>
  <c r="AE66" i="15"/>
  <c r="AE279" i="15"/>
  <c r="BH21" i="15"/>
  <c r="BH39" i="15"/>
  <c r="BH41" i="15" s="1"/>
  <c r="BH43" i="15" s="1"/>
  <c r="BH28" i="15"/>
  <c r="D1180" i="20"/>
  <c r="AG21" i="15"/>
  <c r="AG23" i="15" s="1"/>
  <c r="AF17" i="15"/>
  <c r="AI90" i="15" s="1"/>
  <c r="AG146" i="15"/>
  <c r="AG186" i="15" s="1"/>
  <c r="AG259" i="15" s="1"/>
  <c r="AP253" i="15"/>
  <c r="AD162" i="15"/>
  <c r="AD189" i="15" s="1"/>
  <c r="D818" i="20"/>
  <c r="D821" i="20"/>
  <c r="D820" i="20"/>
  <c r="D847" i="20"/>
  <c r="I706" i="20"/>
  <c r="W294" i="15"/>
  <c r="W224" i="15"/>
  <c r="X79" i="15"/>
  <c r="AF220" i="15"/>
  <c r="AF290" i="15"/>
  <c r="X162" i="15"/>
  <c r="X231" i="15"/>
  <c r="X158" i="15"/>
  <c r="X186" i="15"/>
  <c r="X259" i="15" s="1"/>
  <c r="C188" i="15"/>
  <c r="C234" i="15"/>
  <c r="AF282" i="15"/>
  <c r="AF212" i="15"/>
  <c r="AL283" i="15"/>
  <c r="AL213" i="15"/>
  <c r="AD218" i="15"/>
  <c r="AD288" i="15"/>
  <c r="AC23" i="15"/>
  <c r="AC33" i="15"/>
  <c r="AC32" i="15"/>
  <c r="AN76" i="15"/>
  <c r="AM222" i="15"/>
  <c r="Y71" i="15"/>
  <c r="Y78" i="15" s="1"/>
  <c r="Y283" i="15"/>
  <c r="Y213" i="15"/>
  <c r="AI294" i="15"/>
  <c r="AI224" i="15"/>
  <c r="AJ79" i="15"/>
  <c r="D1152" i="20"/>
  <c r="F234" i="15"/>
  <c r="F188" i="15"/>
  <c r="AP109" i="15"/>
  <c r="D1157" i="20"/>
  <c r="AG28" i="15"/>
  <c r="AD186" i="15"/>
  <c r="AD259" i="15" s="1"/>
  <c r="J213" i="15"/>
  <c r="J283" i="15"/>
  <c r="W287" i="15"/>
  <c r="X70" i="15"/>
  <c r="W217" i="15"/>
  <c r="AA294" i="15"/>
  <c r="AA224" i="15"/>
  <c r="AB79" i="15"/>
  <c r="E90" i="15"/>
  <c r="T90" i="15" s="1"/>
  <c r="E28" i="15"/>
  <c r="E21" i="15"/>
  <c r="E39" i="15"/>
  <c r="E41" i="15" s="1"/>
  <c r="D846" i="20"/>
  <c r="D1181" i="20"/>
  <c r="D843" i="20"/>
  <c r="T215" i="15"/>
  <c r="AG184" i="15"/>
  <c r="AG257" i="15" s="1"/>
  <c r="AG302" i="15" s="1"/>
  <c r="AO253" i="15"/>
  <c r="AD158" i="15"/>
  <c r="AF75" i="15"/>
  <c r="AE291" i="15"/>
  <c r="AE221" i="15"/>
  <c r="X257" i="15"/>
  <c r="X302" i="15" s="1"/>
  <c r="S291" i="15"/>
  <c r="S221" i="15"/>
  <c r="T75" i="15"/>
  <c r="C249" i="15"/>
  <c r="C262" i="15" s="1"/>
  <c r="C178" i="15"/>
  <c r="AM50" i="15"/>
  <c r="AN49" i="15"/>
  <c r="AB210" i="15"/>
  <c r="AB280" i="15"/>
  <c r="AK21" i="15"/>
  <c r="AK39" i="15"/>
  <c r="AK41" i="15" s="1"/>
  <c r="AK42" i="15" s="1"/>
  <c r="AK126" i="19"/>
  <c r="AK28" i="15"/>
  <c r="AI28" i="15"/>
  <c r="AI39" i="15"/>
  <c r="AI41" i="15" s="1"/>
  <c r="AI21" i="15"/>
  <c r="C1120" i="20"/>
  <c r="I1108" i="20" s="1"/>
  <c r="AH176" i="15"/>
  <c r="AH163" i="15"/>
  <c r="AN63" i="15"/>
  <c r="AM280" i="15"/>
  <c r="AM210" i="15"/>
  <c r="S33" i="15"/>
  <c r="S32" i="15"/>
  <c r="S23" i="15"/>
  <c r="AJ206" i="15"/>
  <c r="AJ276" i="15"/>
  <c r="F171" i="15"/>
  <c r="F158" i="15"/>
  <c r="F231" i="15"/>
  <c r="C1207" i="20"/>
  <c r="I1198" i="20" s="1"/>
  <c r="AF176" i="15"/>
  <c r="AF163" i="15"/>
  <c r="AH283" i="15"/>
  <c r="AH213" i="15"/>
  <c r="D1155" i="20"/>
  <c r="D816" i="20"/>
  <c r="Z109" i="15"/>
  <c r="W96" i="15"/>
  <c r="W180" i="15" s="1"/>
  <c r="W253" i="15" s="1"/>
  <c r="D837" i="20"/>
  <c r="D838" i="20" s="1"/>
  <c r="D817" i="20"/>
  <c r="X171" i="15"/>
  <c r="AB158" i="15"/>
  <c r="AB186" i="15"/>
  <c r="AB259" i="15" s="1"/>
  <c r="V234" i="15"/>
  <c r="V188" i="15"/>
  <c r="BH63" i="15"/>
  <c r="BH66" i="15" s="1"/>
  <c r="BH71" i="15" s="1"/>
  <c r="W63" i="15"/>
  <c r="V280" i="15"/>
  <c r="V210" i="15"/>
  <c r="AJ280" i="15"/>
  <c r="AJ210" i="15"/>
  <c r="V66" i="15"/>
  <c r="V209" i="15"/>
  <c r="S51" i="15"/>
  <c r="S50" i="15"/>
  <c r="S149" i="15"/>
  <c r="AI219" i="15"/>
  <c r="AI289" i="15"/>
  <c r="AJ73" i="15"/>
  <c r="C90" i="15"/>
  <c r="C28" i="15"/>
  <c r="T49" i="15"/>
  <c r="T51" i="15" s="1"/>
  <c r="AF275" i="15"/>
  <c r="AF205" i="15"/>
  <c r="AA220" i="15"/>
  <c r="AA290" i="15"/>
  <c r="AK71" i="15"/>
  <c r="AO279" i="15"/>
  <c r="AO295" i="15"/>
  <c r="AO285" i="15"/>
  <c r="AO289" i="15"/>
  <c r="AO294" i="15"/>
  <c r="AO274" i="15"/>
  <c r="AO290" i="15"/>
  <c r="AO284" i="15"/>
  <c r="AO270" i="15"/>
  <c r="AO282" i="15"/>
  <c r="AO278" i="15"/>
  <c r="AO291" i="15"/>
  <c r="AO281" i="15"/>
  <c r="AO287" i="15"/>
  <c r="AO286" i="15"/>
  <c r="AO280" i="15"/>
  <c r="Y126" i="19"/>
  <c r="Y28" i="15"/>
  <c r="Y21" i="15"/>
  <c r="Y39" i="15"/>
  <c r="Y41" i="15" s="1"/>
  <c r="BI39" i="15"/>
  <c r="BI41" i="15" s="1"/>
  <c r="BI28" i="15"/>
  <c r="BI21" i="15"/>
  <c r="D1182" i="20"/>
  <c r="S210" i="15"/>
  <c r="S280" i="15"/>
  <c r="AG157" i="15"/>
  <c r="AG230" i="15"/>
  <c r="D822" i="20"/>
  <c r="D1150" i="20"/>
  <c r="F162" i="15"/>
  <c r="F233" i="15" s="1"/>
  <c r="AJ231" i="15"/>
  <c r="C1513" i="20"/>
  <c r="D1508" i="20" s="1"/>
  <c r="T65" i="15"/>
  <c r="T212" i="15" s="1"/>
  <c r="AP176" i="15"/>
  <c r="C731" i="20"/>
  <c r="AF162" i="15"/>
  <c r="AF233" i="15" s="1"/>
  <c r="AF62" i="15"/>
  <c r="AF209" i="15" s="1"/>
  <c r="D1178" i="20"/>
  <c r="D1179" i="20"/>
  <c r="C1027" i="20"/>
  <c r="AJ176" i="15"/>
  <c r="X149" i="15"/>
  <c r="X179" i="15"/>
  <c r="X252" i="15" s="1"/>
  <c r="E234" i="15"/>
  <c r="E188" i="15"/>
  <c r="J286" i="15"/>
  <c r="J282" i="15"/>
  <c r="J289" i="15"/>
  <c r="J291" i="15"/>
  <c r="J290" i="15"/>
  <c r="J280" i="15"/>
  <c r="J294" i="15"/>
  <c r="J285" i="15"/>
  <c r="J274" i="15"/>
  <c r="J249" i="15"/>
  <c r="J284" i="15"/>
  <c r="J295" i="15"/>
  <c r="J287" i="15"/>
  <c r="J270" i="15"/>
  <c r="J250" i="15"/>
  <c r="J278" i="15"/>
  <c r="J292" i="15"/>
  <c r="J281" i="15"/>
  <c r="J279" i="15"/>
  <c r="AG287" i="15"/>
  <c r="AG294" i="15"/>
  <c r="AG285" i="15"/>
  <c r="AG280" i="15"/>
  <c r="I1096" i="20"/>
  <c r="I1002" i="20"/>
  <c r="I1049" i="20"/>
  <c r="AG270" i="15"/>
  <c r="I243" i="15"/>
  <c r="AG279" i="15"/>
  <c r="I1142" i="20"/>
  <c r="BG28" i="15"/>
  <c r="BG21" i="15"/>
  <c r="BG39" i="15"/>
  <c r="BG41" i="15" s="1"/>
  <c r="Y251" i="15"/>
  <c r="AI248" i="15"/>
  <c r="AI176" i="15"/>
  <c r="C1074" i="20"/>
  <c r="I1061" i="20" s="1"/>
  <c r="AI163" i="15"/>
  <c r="AI162" i="15"/>
  <c r="AO249" i="15"/>
  <c r="C751" i="20"/>
  <c r="C890" i="20"/>
  <c r="D1172" i="20"/>
  <c r="D1173" i="20" s="1"/>
  <c r="D726" i="20"/>
  <c r="D728" i="20" s="1"/>
  <c r="C728" i="20"/>
  <c r="D989" i="20"/>
  <c r="D990" i="20" s="1"/>
  <c r="D1001" i="20"/>
  <c r="D1402" i="20"/>
  <c r="D1376" i="20"/>
  <c r="D775" i="20"/>
  <c r="D939" i="20"/>
  <c r="D940" i="20" s="1"/>
  <c r="D1272" i="20"/>
  <c r="C1002" i="20"/>
  <c r="C777" i="20"/>
  <c r="C783" i="20" s="1"/>
  <c r="C800" i="20"/>
  <c r="C1317" i="20"/>
  <c r="C1296" i="20"/>
  <c r="D1316" i="20"/>
  <c r="C1096" i="20"/>
  <c r="C1142" i="20"/>
  <c r="D1290" i="20"/>
  <c r="D1292" i="20" s="1"/>
  <c r="C1117" i="20"/>
  <c r="D1095" i="20"/>
  <c r="C877" i="20"/>
  <c r="C879" i="20" s="1"/>
  <c r="D1418" i="20"/>
  <c r="D1420" i="20" s="1"/>
  <c r="C1426" i="20" s="1"/>
  <c r="D1228" i="20"/>
  <c r="C1273" i="20"/>
  <c r="C1336" i="20"/>
  <c r="C1340" i="20" s="1"/>
  <c r="C1361" i="20"/>
  <c r="C1252" i="20"/>
  <c r="C1250" i="20"/>
  <c r="D975" i="20"/>
  <c r="D977" i="20" s="1"/>
  <c r="C1185" i="20"/>
  <c r="C902" i="20"/>
  <c r="C977" i="20"/>
  <c r="C952" i="20"/>
  <c r="C850" i="20"/>
  <c r="C881" i="20"/>
  <c r="D1115" i="20"/>
  <c r="C829" i="20"/>
  <c r="D1141" i="20"/>
  <c r="E925" i="20"/>
  <c r="C931" i="20"/>
  <c r="C927" i="20"/>
  <c r="C929" i="20" s="1"/>
  <c r="D1304" i="20"/>
  <c r="D1305" i="20" s="1"/>
  <c r="C1444" i="20"/>
  <c r="D1334" i="20"/>
  <c r="C1162" i="20"/>
  <c r="C1166" i="20"/>
  <c r="D1360" i="20"/>
  <c r="D1246" i="20"/>
  <c r="D1069" i="20"/>
  <c r="D1071" i="20" s="1"/>
  <c r="C1075" i="20"/>
  <c r="C1071" i="20"/>
  <c r="C1403" i="20"/>
  <c r="C1294" i="20"/>
  <c r="D789" i="20"/>
  <c r="D790" i="20" s="1"/>
  <c r="C790" i="20"/>
  <c r="AP283" i="15"/>
  <c r="AP163" i="15"/>
  <c r="AP234" i="15" s="1"/>
  <c r="AE95" i="15"/>
  <c r="AB50" i="15"/>
  <c r="AE94" i="15" s="1"/>
  <c r="AE177" i="15" s="1"/>
  <c r="AE250" i="15" s="1"/>
  <c r="AB51" i="15"/>
  <c r="G166" i="15"/>
  <c r="G185" i="15"/>
  <c r="G258" i="15" s="1"/>
  <c r="G263" i="15" s="1"/>
  <c r="AL214" i="15"/>
  <c r="AL284" i="15"/>
  <c r="AL35" i="15"/>
  <c r="AL71" i="15"/>
  <c r="AL78" i="15" s="1"/>
  <c r="AM67" i="15"/>
  <c r="AO157" i="15"/>
  <c r="AO230" i="15"/>
  <c r="AO184" i="15"/>
  <c r="AO257" i="15" s="1"/>
  <c r="AO302" i="15" s="1"/>
  <c r="AO146" i="15"/>
  <c r="AO30" i="15"/>
  <c r="AO163" i="15"/>
  <c r="AL43" i="15"/>
  <c r="AL45" i="15"/>
  <c r="AL42" i="15"/>
  <c r="AB67" i="15"/>
  <c r="AA35" i="15"/>
  <c r="AA214" i="15"/>
  <c r="AA284" i="15"/>
  <c r="H32" i="15"/>
  <c r="H23" i="15"/>
  <c r="H97" i="15" s="1"/>
  <c r="H33" i="15"/>
  <c r="W51" i="15"/>
  <c r="W50" i="15"/>
  <c r="X49" i="15"/>
  <c r="AJ234" i="15"/>
  <c r="AJ188" i="15"/>
  <c r="C1251" i="20"/>
  <c r="AE163" i="15"/>
  <c r="AE176" i="15"/>
  <c r="AK157" i="15"/>
  <c r="AK163" i="15"/>
  <c r="AK30" i="15"/>
  <c r="AK184" i="15"/>
  <c r="AK257" i="15" s="1"/>
  <c r="AK302" i="15" s="1"/>
  <c r="AK230" i="15"/>
  <c r="AK146" i="15"/>
  <c r="D283" i="15"/>
  <c r="D71" i="15"/>
  <c r="D78" i="15" s="1"/>
  <c r="D213" i="15"/>
  <c r="AN147" i="15"/>
  <c r="AN142" i="15"/>
  <c r="AB176" i="15"/>
  <c r="AB163" i="15"/>
  <c r="C1381" i="20"/>
  <c r="J146" i="15"/>
  <c r="J153" i="15"/>
  <c r="J163" i="15"/>
  <c r="J30" i="15"/>
  <c r="J230" i="15"/>
  <c r="J157" i="15"/>
  <c r="J184" i="15"/>
  <c r="J257" i="15" s="1"/>
  <c r="J302" i="15" s="1"/>
  <c r="AB162" i="15"/>
  <c r="AB233" i="15" s="1"/>
  <c r="AB208" i="15"/>
  <c r="AB278" i="15"/>
  <c r="AE186" i="15"/>
  <c r="AE259" i="15" s="1"/>
  <c r="AE231" i="15"/>
  <c r="AE171" i="15"/>
  <c r="AE158" i="15"/>
  <c r="AE162" i="15"/>
  <c r="AF216" i="15"/>
  <c r="AF286" i="15"/>
  <c r="H283" i="15"/>
  <c r="H71" i="15"/>
  <c r="H78" i="15" s="1"/>
  <c r="H213" i="15"/>
  <c r="X76" i="15"/>
  <c r="W292" i="15"/>
  <c r="W222" i="15"/>
  <c r="C1202" i="20"/>
  <c r="D1191" i="20"/>
  <c r="D1202" i="20" s="1"/>
  <c r="X188" i="15"/>
  <c r="X234" i="15"/>
  <c r="AN276" i="15"/>
  <c r="AN206" i="15"/>
  <c r="AA212" i="15"/>
  <c r="AA282" i="15"/>
  <c r="AB65" i="15"/>
  <c r="AM126" i="19"/>
  <c r="AM124" i="19"/>
  <c r="S281" i="15"/>
  <c r="S211" i="15"/>
  <c r="T64" i="15"/>
  <c r="C45" i="15"/>
  <c r="C43" i="15"/>
  <c r="C42" i="15"/>
  <c r="C91" i="15"/>
  <c r="D1260" i="20"/>
  <c r="D1261" i="20" s="1"/>
  <c r="C1261" i="20"/>
  <c r="X249" i="15"/>
  <c r="X178" i="15"/>
  <c r="AN291" i="15"/>
  <c r="AN221" i="15"/>
  <c r="W95" i="15"/>
  <c r="AM21" i="15"/>
  <c r="AM28" i="15"/>
  <c r="AM39" i="15"/>
  <c r="AM41" i="15" s="1"/>
  <c r="U213" i="15"/>
  <c r="U283" i="15"/>
  <c r="U71" i="15"/>
  <c r="U78" i="15" s="1"/>
  <c r="AP213" i="15"/>
  <c r="AA175" i="15"/>
  <c r="AA248" i="15" s="1"/>
  <c r="AA109" i="15"/>
  <c r="Y171" i="15"/>
  <c r="Y186" i="15"/>
  <c r="Y259" i="15" s="1"/>
  <c r="Y262" i="15" s="1"/>
  <c r="Y231" i="15"/>
  <c r="Y158" i="15"/>
  <c r="AA222" i="15"/>
  <c r="AB76" i="15"/>
  <c r="AA292" i="15"/>
  <c r="AN275" i="15"/>
  <c r="AN205" i="15"/>
  <c r="X289" i="15"/>
  <c r="X219" i="15"/>
  <c r="T286" i="15"/>
  <c r="T216" i="15"/>
  <c r="V94" i="15"/>
  <c r="V177" i="15" s="1"/>
  <c r="V250" i="15" s="1"/>
  <c r="AD95" i="15"/>
  <c r="AA50" i="15"/>
  <c r="AC95" i="15"/>
  <c r="AB95" i="15"/>
  <c r="AA51" i="15"/>
  <c r="E185" i="15"/>
  <c r="E258" i="15" s="1"/>
  <c r="E263" i="15" s="1"/>
  <c r="E166" i="15"/>
  <c r="AF80" i="15"/>
  <c r="AE225" i="15"/>
  <c r="AE295" i="15"/>
  <c r="AN249" i="15"/>
  <c r="AN178" i="15"/>
  <c r="C1084" i="20"/>
  <c r="D1083" i="20"/>
  <c r="D1084" i="20" s="1"/>
  <c r="S216" i="15"/>
  <c r="S286" i="15"/>
  <c r="V179" i="15"/>
  <c r="V252" i="15" s="1"/>
  <c r="V149" i="15"/>
  <c r="AP186" i="15"/>
  <c r="AP259" i="15" s="1"/>
  <c r="AP162" i="15"/>
  <c r="AP231" i="15"/>
  <c r="AP171" i="15"/>
  <c r="AP158" i="15"/>
  <c r="T284" i="15"/>
  <c r="T214" i="15"/>
  <c r="T35" i="15"/>
  <c r="AM251" i="15"/>
  <c r="Y189" i="15"/>
  <c r="Y233" i="15"/>
  <c r="AB36" i="15"/>
  <c r="W39" i="15"/>
  <c r="W41" i="15" s="1"/>
  <c r="W28" i="15"/>
  <c r="W21" i="15"/>
  <c r="AA163" i="15"/>
  <c r="AA176" i="15"/>
  <c r="C1423" i="20"/>
  <c r="E1420" i="20" s="1"/>
  <c r="AA162" i="15"/>
  <c r="Z279" i="15"/>
  <c r="AA62" i="15"/>
  <c r="AB62" i="15" s="1"/>
  <c r="Z66" i="15"/>
  <c r="Z209" i="15"/>
  <c r="AG43" i="15"/>
  <c r="AG42" i="15"/>
  <c r="AG45" i="15"/>
  <c r="X206" i="15"/>
  <c r="X276" i="15"/>
  <c r="AF95" i="15"/>
  <c r="AI95" i="15"/>
  <c r="AH95" i="15"/>
  <c r="AF51" i="15"/>
  <c r="AG95" i="15"/>
  <c r="AF50" i="15"/>
  <c r="C187" i="15"/>
  <c r="C260" i="15" s="1"/>
  <c r="C264" i="15" s="1"/>
  <c r="C165" i="15"/>
  <c r="C1468" i="20"/>
  <c r="Z176" i="15"/>
  <c r="Z162" i="15"/>
  <c r="Z163" i="15"/>
  <c r="D91" i="15"/>
  <c r="D43" i="15"/>
  <c r="D45" i="15"/>
  <c r="D42" i="15"/>
  <c r="J288" i="15"/>
  <c r="J99" i="15"/>
  <c r="J182" i="15" s="1"/>
  <c r="J255" i="15" s="1"/>
  <c r="J218" i="15"/>
  <c r="Q71" i="15"/>
  <c r="Q78" i="15" s="1"/>
  <c r="Q283" i="15"/>
  <c r="Q213" i="15"/>
  <c r="AB205" i="15"/>
  <c r="AB275" i="15"/>
  <c r="AH288" i="15"/>
  <c r="AH218" i="15"/>
  <c r="U251" i="15"/>
  <c r="F71" i="15"/>
  <c r="F78" i="15" s="1"/>
  <c r="F283" i="15"/>
  <c r="F213" i="15"/>
  <c r="U262" i="15"/>
  <c r="R27" i="15"/>
  <c r="R17" i="15"/>
  <c r="V90" i="15" s="1"/>
  <c r="T16" i="15"/>
  <c r="U28" i="15"/>
  <c r="U39" i="15"/>
  <c r="U41" i="15" s="1"/>
  <c r="U90" i="15"/>
  <c r="U21" i="15"/>
  <c r="E248" i="15"/>
  <c r="E251" i="15" s="1"/>
  <c r="E178" i="15"/>
  <c r="X278" i="15"/>
  <c r="X208" i="15"/>
  <c r="AJ212" i="15"/>
  <c r="AJ282" i="15"/>
  <c r="X17" i="15"/>
  <c r="X27" i="15"/>
  <c r="T292" i="15"/>
  <c r="T222" i="15"/>
  <c r="AJ67" i="15"/>
  <c r="AL98" i="15" s="1"/>
  <c r="AI284" i="15"/>
  <c r="AI35" i="15"/>
  <c r="AI214" i="15"/>
  <c r="C189" i="15"/>
  <c r="C233" i="15"/>
  <c r="BH76" i="15"/>
  <c r="BG78" i="15"/>
  <c r="C1349" i="20"/>
  <c r="D1348" i="20"/>
  <c r="D1349" i="20" s="1"/>
  <c r="T224" i="15"/>
  <c r="T294" i="15"/>
  <c r="T204" i="15"/>
  <c r="T61" i="15"/>
  <c r="T274" i="15"/>
  <c r="X47" i="15"/>
  <c r="T48" i="15"/>
  <c r="W163" i="15"/>
  <c r="W176" i="15"/>
  <c r="AN27" i="15"/>
  <c r="AN17" i="15"/>
  <c r="AH186" i="15"/>
  <c r="AH259" i="15" s="1"/>
  <c r="AH162" i="15"/>
  <c r="AH158" i="15"/>
  <c r="AH171" i="15"/>
  <c r="AH231" i="15"/>
  <c r="R279" i="15"/>
  <c r="S62" i="15"/>
  <c r="T62" i="15" s="1"/>
  <c r="R209" i="15"/>
  <c r="AA93" i="15"/>
  <c r="AB57" i="15"/>
  <c r="Z93" i="15"/>
  <c r="X58" i="15"/>
  <c r="X57" i="15"/>
  <c r="AN73" i="15"/>
  <c r="AM219" i="15"/>
  <c r="AM289" i="15"/>
  <c r="Q28" i="15"/>
  <c r="Q21" i="15"/>
  <c r="Q39" i="15"/>
  <c r="Q41" i="15" s="1"/>
  <c r="C1422" i="20"/>
  <c r="F43" i="15" l="1"/>
  <c r="AG271" i="15"/>
  <c r="AK271" i="15"/>
  <c r="AO271" i="15"/>
  <c r="AS271" i="15"/>
  <c r="AK218" i="15"/>
  <c r="AK78" i="15"/>
  <c r="AK223" i="15" s="1"/>
  <c r="C190" i="15"/>
  <c r="F91" i="15"/>
  <c r="E288" i="15"/>
  <c r="E78" i="15"/>
  <c r="AO78" i="15"/>
  <c r="AO81" i="15" s="1"/>
  <c r="C185" i="15"/>
  <c r="C258" i="15" s="1"/>
  <c r="C263" i="15" s="1"/>
  <c r="AI73" i="19"/>
  <c r="AJ77" i="19"/>
  <c r="AI72" i="19"/>
  <c r="AE83" i="19"/>
  <c r="AN81" i="19"/>
  <c r="AR81" i="19"/>
  <c r="AN77" i="19"/>
  <c r="AR77" i="19"/>
  <c r="AI65" i="19"/>
  <c r="AJ78" i="19"/>
  <c r="AN78" i="19"/>
  <c r="AM83" i="19"/>
  <c r="AQ83" i="19"/>
  <c r="AJ64" i="19"/>
  <c r="AJ83" i="19" s="1"/>
  <c r="AF79" i="19"/>
  <c r="AE70" i="19"/>
  <c r="AE74" i="19" s="1"/>
  <c r="AJ79" i="19"/>
  <c r="AI69" i="19"/>
  <c r="AI70" i="19"/>
  <c r="AN79" i="19"/>
  <c r="AR79" i="19"/>
  <c r="BE91" i="15"/>
  <c r="BE169" i="15" s="1"/>
  <c r="BE240" i="15" s="1"/>
  <c r="Z74" i="19"/>
  <c r="AJ48" i="19"/>
  <c r="T48" i="19"/>
  <c r="AF64" i="19"/>
  <c r="AH74" i="19"/>
  <c r="AD74" i="19"/>
  <c r="AJ65" i="19"/>
  <c r="AJ72" i="19"/>
  <c r="AM68" i="19"/>
  <c r="AM72" i="19"/>
  <c r="AM70" i="19"/>
  <c r="AA68" i="19"/>
  <c r="AA70" i="19"/>
  <c r="AA72" i="19"/>
  <c r="AM73" i="19"/>
  <c r="AM69" i="19"/>
  <c r="AM71" i="19"/>
  <c r="AA69" i="19"/>
  <c r="AA71" i="19"/>
  <c r="AA73" i="19"/>
  <c r="AA65" i="19"/>
  <c r="AF70" i="19"/>
  <c r="AI74" i="19"/>
  <c r="AL74" i="19"/>
  <c r="AF65" i="19"/>
  <c r="AF71" i="19"/>
  <c r="AF73" i="19"/>
  <c r="AF69" i="19"/>
  <c r="AF68" i="19"/>
  <c r="AB64" i="19"/>
  <c r="AB68" i="19" s="1"/>
  <c r="AN64" i="19"/>
  <c r="AB48" i="19"/>
  <c r="AN42" i="19"/>
  <c r="AN45" i="19"/>
  <c r="AN54" i="19"/>
  <c r="AR54" i="19"/>
  <c r="AN46" i="19"/>
  <c r="AN47" i="19"/>
  <c r="AM48" i="19"/>
  <c r="X48" i="19"/>
  <c r="U152" i="15"/>
  <c r="U187" i="15" s="1"/>
  <c r="U260" i="15" s="1"/>
  <c r="U264" i="15" s="1"/>
  <c r="BD43" i="15"/>
  <c r="BD42" i="15"/>
  <c r="BD45" i="15"/>
  <c r="BD91" i="15"/>
  <c r="BD23" i="15"/>
  <c r="BD32" i="15"/>
  <c r="BD33" i="15"/>
  <c r="BD283" i="15"/>
  <c r="BD213" i="15"/>
  <c r="BD71" i="15"/>
  <c r="BD78" i="15" s="1"/>
  <c r="Y152" i="15"/>
  <c r="Y166" i="15"/>
  <c r="Y237" i="15" s="1"/>
  <c r="J309" i="15"/>
  <c r="J306" i="15"/>
  <c r="AK306" i="15"/>
  <c r="AO306" i="15"/>
  <c r="AR306" i="15"/>
  <c r="Z305" i="15"/>
  <c r="AA305" i="15"/>
  <c r="H308" i="15"/>
  <c r="H305" i="15"/>
  <c r="AQ306" i="15"/>
  <c r="T150" i="15"/>
  <c r="T152" i="15" s="1"/>
  <c r="T187" i="15" s="1"/>
  <c r="T260" i="15" s="1"/>
  <c r="T264" i="15" s="1"/>
  <c r="T300" i="15"/>
  <c r="T309" i="15" s="1"/>
  <c r="W305" i="15"/>
  <c r="G306" i="15"/>
  <c r="G309" i="15"/>
  <c r="AC305" i="15"/>
  <c r="AI306" i="15"/>
  <c r="J312" i="15"/>
  <c r="J311" i="15"/>
  <c r="AL306" i="15"/>
  <c r="AP305" i="15"/>
  <c r="AH305" i="15"/>
  <c r="AQ312" i="15"/>
  <c r="U309" i="15"/>
  <c r="AJ306" i="15"/>
  <c r="V306" i="15"/>
  <c r="W306" i="15"/>
  <c r="T305" i="15"/>
  <c r="Y305" i="15"/>
  <c r="Y308" i="15"/>
  <c r="AQ305" i="15"/>
  <c r="U306" i="15"/>
  <c r="AO312" i="15"/>
  <c r="AG306" i="15"/>
  <c r="S150" i="15"/>
  <c r="S153" i="15" s="1"/>
  <c r="S300" i="15"/>
  <c r="V150" i="15"/>
  <c r="V153" i="15" s="1"/>
  <c r="V300" i="15"/>
  <c r="V309" i="15" s="1"/>
  <c r="X306" i="15"/>
  <c r="X150" i="15"/>
  <c r="X300" i="15"/>
  <c r="X309" i="15" s="1"/>
  <c r="AI305" i="15"/>
  <c r="AD305" i="15"/>
  <c r="D305" i="15"/>
  <c r="D308" i="15"/>
  <c r="AP306" i="15"/>
  <c r="AB305" i="15"/>
  <c r="AE305" i="15"/>
  <c r="C308" i="15"/>
  <c r="C305" i="15"/>
  <c r="AH306" i="15"/>
  <c r="E305" i="15"/>
  <c r="E308" i="15"/>
  <c r="V305" i="15"/>
  <c r="AJ305" i="15"/>
  <c r="T306" i="15"/>
  <c r="U305" i="15"/>
  <c r="U308" i="15"/>
  <c r="AF305" i="15"/>
  <c r="F305" i="15"/>
  <c r="F308" i="15"/>
  <c r="AP312" i="15"/>
  <c r="AX237" i="15"/>
  <c r="AO303" i="15"/>
  <c r="AR303" i="15"/>
  <c r="J303" i="15"/>
  <c r="AG303" i="15"/>
  <c r="AM261" i="15"/>
  <c r="AM302" i="15"/>
  <c r="G303" i="15"/>
  <c r="X303" i="15"/>
  <c r="I303" i="15"/>
  <c r="AK303" i="15"/>
  <c r="AL303" i="15"/>
  <c r="O165" i="15"/>
  <c r="O191" i="15" s="1"/>
  <c r="AU82" i="15"/>
  <c r="AU227" i="15" s="1"/>
  <c r="O185" i="15"/>
  <c r="O258" i="15" s="1"/>
  <c r="O263" i="15" s="1"/>
  <c r="AQ42" i="15"/>
  <c r="AV81" i="15"/>
  <c r="O82" i="15" s="1"/>
  <c r="AX182" i="15"/>
  <c r="AX255" i="15" s="1"/>
  <c r="AY185" i="15"/>
  <c r="AY258" i="15" s="1"/>
  <c r="AY263" i="15" s="1"/>
  <c r="AY166" i="15"/>
  <c r="AY187" i="15"/>
  <c r="AY260" i="15" s="1"/>
  <c r="AY264" i="15" s="1"/>
  <c r="AY165" i="15"/>
  <c r="AV223" i="15"/>
  <c r="AW185" i="15"/>
  <c r="AW258" i="15" s="1"/>
  <c r="AW263" i="15" s="1"/>
  <c r="AW166" i="15"/>
  <c r="O213" i="15"/>
  <c r="O283" i="15"/>
  <c r="AW165" i="15"/>
  <c r="AW187" i="15"/>
  <c r="AW260" i="15" s="1"/>
  <c r="AW264" i="15" s="1"/>
  <c r="O168" i="15"/>
  <c r="O239" i="15" s="1"/>
  <c r="O169" i="15"/>
  <c r="O240" i="15" s="1"/>
  <c r="Z43" i="15"/>
  <c r="O237" i="15"/>
  <c r="O190" i="15"/>
  <c r="X62" i="15"/>
  <c r="X209" i="15" s="1"/>
  <c r="D32" i="15"/>
  <c r="D33" i="15"/>
  <c r="AE124" i="19"/>
  <c r="AR39" i="15"/>
  <c r="AR41" i="15" s="1"/>
  <c r="AV42" i="15" s="1"/>
  <c r="AR90" i="15"/>
  <c r="AR215" i="15"/>
  <c r="Z45" i="15"/>
  <c r="V178" i="15"/>
  <c r="AR217" i="15"/>
  <c r="BI42" i="15"/>
  <c r="Z42" i="15"/>
  <c r="AR281" i="15"/>
  <c r="AU312" i="15" s="1"/>
  <c r="AR209" i="15"/>
  <c r="X291" i="15"/>
  <c r="AR287" i="15"/>
  <c r="AT94" i="15"/>
  <c r="AT177" i="15" s="1"/>
  <c r="AT250" i="15" s="1"/>
  <c r="AV236" i="15"/>
  <c r="AV191" i="15"/>
  <c r="AV237" i="15"/>
  <c r="AV190" i="15"/>
  <c r="AF219" i="15"/>
  <c r="AR96" i="15"/>
  <c r="AR180" i="15" s="1"/>
  <c r="AR253" i="15" s="1"/>
  <c r="AR211" i="15"/>
  <c r="G189" i="15"/>
  <c r="AG234" i="15"/>
  <c r="AB285" i="15"/>
  <c r="X212" i="15"/>
  <c r="C23" i="15"/>
  <c r="C97" i="15" s="1"/>
  <c r="G81" i="15"/>
  <c r="G82" i="15" s="1"/>
  <c r="G227" i="15" s="1"/>
  <c r="AR225" i="15"/>
  <c r="AR295" i="15"/>
  <c r="AR21" i="15"/>
  <c r="AR33" i="15" s="1"/>
  <c r="AR224" i="15"/>
  <c r="G43" i="15"/>
  <c r="AS149" i="15"/>
  <c r="AR212" i="15"/>
  <c r="AR216" i="15"/>
  <c r="E293" i="15"/>
  <c r="AR286" i="15"/>
  <c r="I99" i="15"/>
  <c r="I182" i="15" s="1"/>
  <c r="I255" i="15" s="1"/>
  <c r="AR221" i="15"/>
  <c r="AJ286" i="15"/>
  <c r="I166" i="15"/>
  <c r="I237" i="15" s="1"/>
  <c r="AU96" i="15"/>
  <c r="AU180" i="15" s="1"/>
  <c r="AU253" i="15" s="1"/>
  <c r="AR279" i="15"/>
  <c r="AT149" i="15"/>
  <c r="AP43" i="15"/>
  <c r="AR66" i="15"/>
  <c r="AR283" i="15" s="1"/>
  <c r="AR282" i="15"/>
  <c r="D880" i="20"/>
  <c r="AR210" i="15"/>
  <c r="AU149" i="15"/>
  <c r="AU300" i="15" s="1"/>
  <c r="AU179" i="15"/>
  <c r="AU252" i="15" s="1"/>
  <c r="AR76" i="15"/>
  <c r="AM188" i="15"/>
  <c r="AR94" i="15"/>
  <c r="AR177" i="15" s="1"/>
  <c r="AR250" i="15" s="1"/>
  <c r="AU94" i="15"/>
  <c r="AU177" i="15" s="1"/>
  <c r="AU250" i="15" s="1"/>
  <c r="AR280" i="15"/>
  <c r="AU251" i="15"/>
  <c r="AU262" i="15"/>
  <c r="AU261" i="15"/>
  <c r="AR291" i="15"/>
  <c r="AS96" i="15"/>
  <c r="AS180" i="15" s="1"/>
  <c r="AS253" i="15" s="1"/>
  <c r="AT96" i="15"/>
  <c r="AT180" i="15" s="1"/>
  <c r="AT253" i="15" s="1"/>
  <c r="AS90" i="15"/>
  <c r="AT251" i="15"/>
  <c r="AT261" i="15"/>
  <c r="AT262" i="15"/>
  <c r="AR72" i="15"/>
  <c r="AT90" i="15"/>
  <c r="F542" i="20"/>
  <c r="F540" i="20"/>
  <c r="AM233" i="15"/>
  <c r="AR67" i="15"/>
  <c r="AR28" i="15"/>
  <c r="AU226" i="15"/>
  <c r="AU296" i="15"/>
  <c r="AQ45" i="15"/>
  <c r="AU42" i="15"/>
  <c r="AT297" i="15"/>
  <c r="AT227" i="15"/>
  <c r="Z23" i="15"/>
  <c r="AM213" i="15"/>
  <c r="I867" i="20"/>
  <c r="AO218" i="15"/>
  <c r="H166" i="15"/>
  <c r="H237" i="15" s="1"/>
  <c r="AO288" i="15"/>
  <c r="AA23" i="15"/>
  <c r="AA33" i="15"/>
  <c r="G165" i="15"/>
  <c r="G236" i="15" s="1"/>
  <c r="AO33" i="15"/>
  <c r="AH32" i="15"/>
  <c r="E875" i="20"/>
  <c r="AO32" i="15"/>
  <c r="G223" i="15"/>
  <c r="E218" i="15"/>
  <c r="G33" i="15"/>
  <c r="E99" i="15"/>
  <c r="T99" i="15" s="1"/>
  <c r="T182" i="15" s="1"/>
  <c r="T255" i="15" s="1"/>
  <c r="F187" i="15"/>
  <c r="F260" i="15" s="1"/>
  <c r="F264" i="15" s="1"/>
  <c r="AL188" i="15"/>
  <c r="AF280" i="15"/>
  <c r="D874" i="20"/>
  <c r="D635" i="20"/>
  <c r="AF217" i="15"/>
  <c r="AH23" i="15"/>
  <c r="F583" i="20"/>
  <c r="AS251" i="15"/>
  <c r="AS261" i="15"/>
  <c r="AS262" i="15"/>
  <c r="AK251" i="15"/>
  <c r="AP288" i="15"/>
  <c r="AR251" i="15"/>
  <c r="AP45" i="15"/>
  <c r="AS94" i="15"/>
  <c r="AS177" i="15" s="1"/>
  <c r="AS250" i="15" s="1"/>
  <c r="I158" i="15"/>
  <c r="Z33" i="15"/>
  <c r="E187" i="15"/>
  <c r="E260" i="15" s="1"/>
  <c r="E264" i="15" s="1"/>
  <c r="AD233" i="15"/>
  <c r="AE96" i="15"/>
  <c r="AE180" i="15" s="1"/>
  <c r="AE253" i="15" s="1"/>
  <c r="I186" i="15"/>
  <c r="I259" i="15" s="1"/>
  <c r="AB126" i="19"/>
  <c r="AN215" i="15"/>
  <c r="AK288" i="15"/>
  <c r="AN285" i="15"/>
  <c r="AQ23" i="15"/>
  <c r="E632" i="20"/>
  <c r="AL261" i="15"/>
  <c r="AR261" i="15"/>
  <c r="AR179" i="15"/>
  <c r="AR252" i="15" s="1"/>
  <c r="AR149" i="15"/>
  <c r="AR300" i="15" s="1"/>
  <c r="AR309" i="15" s="1"/>
  <c r="AP33" i="15"/>
  <c r="AP23" i="15"/>
  <c r="AP32" i="15"/>
  <c r="AJ189" i="15"/>
  <c r="C634" i="20"/>
  <c r="D634" i="20" s="1"/>
  <c r="AP42" i="15"/>
  <c r="AR186" i="15"/>
  <c r="AR259" i="15" s="1"/>
  <c r="AR262" i="15" s="1"/>
  <c r="AR158" i="15"/>
  <c r="AR231" i="15"/>
  <c r="AR171" i="15"/>
  <c r="AR162" i="15"/>
  <c r="D683" i="20"/>
  <c r="F678" i="20" s="1"/>
  <c r="AQ32" i="15"/>
  <c r="AJ292" i="15"/>
  <c r="AG158" i="15"/>
  <c r="K290" i="15"/>
  <c r="K295" i="15"/>
  <c r="K294" i="15"/>
  <c r="K291" i="15"/>
  <c r="K287" i="15"/>
  <c r="K285" i="15"/>
  <c r="K284" i="15"/>
  <c r="K274" i="15"/>
  <c r="K280" i="15"/>
  <c r="K253" i="15"/>
  <c r="K248" i="15"/>
  <c r="K278" i="15"/>
  <c r="K249" i="15"/>
  <c r="K252" i="15"/>
  <c r="K250" i="15"/>
  <c r="K263" i="15" s="1"/>
  <c r="K286" i="15"/>
  <c r="K281" i="15"/>
  <c r="K254" i="15"/>
  <c r="K289" i="15"/>
  <c r="K279" i="15"/>
  <c r="K292" i="15"/>
  <c r="K282" i="15"/>
  <c r="K270" i="15"/>
  <c r="K283" i="15"/>
  <c r="K288" i="15"/>
  <c r="BH42" i="15"/>
  <c r="AQ251" i="15"/>
  <c r="T217" i="15"/>
  <c r="K236" i="15"/>
  <c r="K191" i="15"/>
  <c r="K255" i="15"/>
  <c r="K169" i="15"/>
  <c r="K240" i="15" s="1"/>
  <c r="K168" i="15"/>
  <c r="K239" i="15" s="1"/>
  <c r="K293" i="15"/>
  <c r="K223" i="15"/>
  <c r="AQ261" i="15"/>
  <c r="AQ233" i="15"/>
  <c r="AQ189" i="15"/>
  <c r="AN209" i="15"/>
  <c r="C1164" i="20"/>
  <c r="I218" i="15"/>
  <c r="AQ71" i="15"/>
  <c r="AQ78" i="15" s="1"/>
  <c r="AQ283" i="15"/>
  <c r="AQ213" i="15"/>
  <c r="C730" i="20"/>
  <c r="D730" i="20" s="1"/>
  <c r="C734" i="20"/>
  <c r="C735" i="20" s="1"/>
  <c r="AQ292" i="15"/>
  <c r="AQ222" i="15"/>
  <c r="AG231" i="15"/>
  <c r="AP90" i="15"/>
  <c r="AQ90" i="15"/>
  <c r="AH90" i="15"/>
  <c r="AB281" i="15"/>
  <c r="AE312" i="15" s="1"/>
  <c r="AG171" i="15"/>
  <c r="AQ95" i="15"/>
  <c r="AQ214" i="15"/>
  <c r="AQ284" i="15"/>
  <c r="AQ35" i="15"/>
  <c r="AG162" i="15"/>
  <c r="AG233" i="15" s="1"/>
  <c r="AD96" i="15"/>
  <c r="AD180" i="15" s="1"/>
  <c r="AD253" i="15" s="1"/>
  <c r="AB211" i="15"/>
  <c r="AQ262" i="15"/>
  <c r="D680" i="20"/>
  <c r="E975" i="20"/>
  <c r="D1378" i="20"/>
  <c r="D703" i="20"/>
  <c r="C1391" i="20"/>
  <c r="D868" i="20"/>
  <c r="C831" i="20"/>
  <c r="C832" i="20" s="1"/>
  <c r="D794" i="20"/>
  <c r="D860" i="20"/>
  <c r="E1158" i="20"/>
  <c r="I1153" i="20"/>
  <c r="D876" i="20"/>
  <c r="D871" i="20"/>
  <c r="D898" i="20"/>
  <c r="D867" i="20"/>
  <c r="D899" i="20"/>
  <c r="D731" i="20"/>
  <c r="F726" i="20" s="1"/>
  <c r="D795" i="20"/>
  <c r="AF39" i="15"/>
  <c r="AF41" i="15" s="1"/>
  <c r="AL251" i="15"/>
  <c r="C1385" i="20"/>
  <c r="AD23" i="15"/>
  <c r="V262" i="15"/>
  <c r="G32" i="15"/>
  <c r="AP218" i="15"/>
  <c r="I152" i="15"/>
  <c r="I165" i="15" s="1"/>
  <c r="C33" i="15"/>
  <c r="C1380" i="20"/>
  <c r="I234" i="15"/>
  <c r="AD33" i="15"/>
  <c r="T290" i="15"/>
  <c r="I162" i="15"/>
  <c r="I189" i="15" s="1"/>
  <c r="AM90" i="15"/>
  <c r="AA43" i="15"/>
  <c r="E233" i="15"/>
  <c r="AL262" i="15"/>
  <c r="R283" i="15"/>
  <c r="AK261" i="15"/>
  <c r="D849" i="20"/>
  <c r="R213" i="15"/>
  <c r="I231" i="15"/>
  <c r="V189" i="15"/>
  <c r="AA42" i="15"/>
  <c r="AL189" i="15"/>
  <c r="AL178" i="15"/>
  <c r="D889" i="20"/>
  <c r="D890" i="20" s="1"/>
  <c r="U165" i="15"/>
  <c r="U191" i="15" s="1"/>
  <c r="V45" i="15"/>
  <c r="T50" i="15"/>
  <c r="E775" i="20"/>
  <c r="G91" i="15"/>
  <c r="G168" i="15" s="1"/>
  <c r="G239" i="15" s="1"/>
  <c r="J251" i="15"/>
  <c r="D896" i="20"/>
  <c r="D872" i="20"/>
  <c r="AN217" i="15"/>
  <c r="AN287" i="15"/>
  <c r="W209" i="15"/>
  <c r="D1216" i="20"/>
  <c r="D1217" i="20" s="1"/>
  <c r="D866" i="20"/>
  <c r="D869" i="20"/>
  <c r="D780" i="20"/>
  <c r="F775" i="20" s="1"/>
  <c r="AB96" i="15"/>
  <c r="AB180" i="15" s="1"/>
  <c r="AB253" i="15" s="1"/>
  <c r="D862" i="20"/>
  <c r="D864" i="20"/>
  <c r="V43" i="15"/>
  <c r="G42" i="15"/>
  <c r="C1037" i="20"/>
  <c r="D873" i="20"/>
  <c r="D865" i="20"/>
  <c r="BH45" i="15"/>
  <c r="E777" i="20"/>
  <c r="D895" i="20"/>
  <c r="D863" i="20"/>
  <c r="D870" i="20"/>
  <c r="X286" i="15"/>
  <c r="X216" i="15"/>
  <c r="Z90" i="15"/>
  <c r="D1024" i="20"/>
  <c r="D1026" i="20" s="1"/>
  <c r="AJ225" i="15"/>
  <c r="H42" i="15"/>
  <c r="E1024" i="20"/>
  <c r="AF224" i="15"/>
  <c r="C1518" i="20"/>
  <c r="C1026" i="20"/>
  <c r="AI283" i="15"/>
  <c r="W94" i="15"/>
  <c r="W177" i="15" s="1"/>
  <c r="W250" i="15" s="1"/>
  <c r="AI71" i="15"/>
  <c r="D925" i="20"/>
  <c r="F925" i="20" s="1"/>
  <c r="D951" i="20"/>
  <c r="AN279" i="15"/>
  <c r="AG96" i="15"/>
  <c r="AG180" i="15" s="1"/>
  <c r="AG253" i="15" s="1"/>
  <c r="I767" i="20"/>
  <c r="T282" i="15"/>
  <c r="D1163" i="20"/>
  <c r="AJ66" i="15"/>
  <c r="AJ71" i="15" s="1"/>
  <c r="AJ78" i="15" s="1"/>
  <c r="D1510" i="20"/>
  <c r="W189" i="15"/>
  <c r="H45" i="15"/>
  <c r="AI96" i="15"/>
  <c r="AI180" i="15" s="1"/>
  <c r="AI253" i="15" s="1"/>
  <c r="I815" i="20"/>
  <c r="AO251" i="15"/>
  <c r="E1290" i="20"/>
  <c r="AG32" i="15"/>
  <c r="AG178" i="15"/>
  <c r="C1167" i="20"/>
  <c r="D1184" i="20"/>
  <c r="H91" i="15"/>
  <c r="H168" i="15" s="1"/>
  <c r="H239" i="15" s="1"/>
  <c r="AK178" i="15"/>
  <c r="D980" i="20"/>
  <c r="F977" i="20" s="1"/>
  <c r="I966" i="20"/>
  <c r="E1160" i="20"/>
  <c r="AG33" i="15"/>
  <c r="E1292" i="20"/>
  <c r="I1286" i="20"/>
  <c r="E825" i="20"/>
  <c r="E823" i="20"/>
  <c r="U166" i="15"/>
  <c r="U190" i="15" s="1"/>
  <c r="AB216" i="15"/>
  <c r="AB286" i="15"/>
  <c r="AL95" i="15"/>
  <c r="AL149" i="15" s="1"/>
  <c r="D828" i="20"/>
  <c r="J43" i="15"/>
  <c r="J45" i="15"/>
  <c r="J91" i="15"/>
  <c r="AF285" i="15"/>
  <c r="AF215" i="15"/>
  <c r="AF66" i="15"/>
  <c r="AF283" i="15" s="1"/>
  <c r="AE32" i="15"/>
  <c r="AE33" i="15"/>
  <c r="AE23" i="15"/>
  <c r="AF279" i="15"/>
  <c r="D750" i="20"/>
  <c r="D751" i="20" s="1"/>
  <c r="F168" i="15"/>
  <c r="F239" i="15" s="1"/>
  <c r="X91" i="15"/>
  <c r="F169" i="15"/>
  <c r="F240" i="15" s="1"/>
  <c r="E1115" i="20"/>
  <c r="F32" i="15"/>
  <c r="F23" i="15"/>
  <c r="F97" i="15" s="1"/>
  <c r="X97" i="15" s="1"/>
  <c r="F33" i="15"/>
  <c r="AB189" i="15"/>
  <c r="AF96" i="15"/>
  <c r="AF180" i="15" s="1"/>
  <c r="AF253" i="15" s="1"/>
  <c r="AF281" i="15"/>
  <c r="AG312" i="15" s="1"/>
  <c r="E1069" i="20"/>
  <c r="E1117" i="20"/>
  <c r="J33" i="15"/>
  <c r="J23" i="15"/>
  <c r="J97" i="15" s="1"/>
  <c r="J32" i="15"/>
  <c r="AH96" i="15"/>
  <c r="AH180" i="15" s="1"/>
  <c r="AH253" i="15" s="1"/>
  <c r="AJ287" i="15"/>
  <c r="AJ217" i="15"/>
  <c r="H231" i="15"/>
  <c r="H186" i="15"/>
  <c r="H259" i="15" s="1"/>
  <c r="H262" i="15" s="1"/>
  <c r="H171" i="15"/>
  <c r="H158" i="15"/>
  <c r="H152" i="15"/>
  <c r="H162" i="15"/>
  <c r="D165" i="15"/>
  <c r="D187" i="15"/>
  <c r="D260" i="15" s="1"/>
  <c r="D264" i="15" s="1"/>
  <c r="AB28" i="15"/>
  <c r="AB21" i="15"/>
  <c r="AE90" i="15"/>
  <c r="AC90" i="15"/>
  <c r="AD90" i="15"/>
  <c r="AB39" i="15"/>
  <c r="AB41" i="15" s="1"/>
  <c r="AC91" i="15" s="1"/>
  <c r="AC169" i="15" s="1"/>
  <c r="AC240" i="15" s="1"/>
  <c r="D1158" i="20"/>
  <c r="D1160" i="20" s="1"/>
  <c r="AK149" i="15"/>
  <c r="AK179" i="15"/>
  <c r="AK252" i="15" s="1"/>
  <c r="D1339" i="20"/>
  <c r="F1334" i="20" s="1"/>
  <c r="I1329" i="20"/>
  <c r="D233" i="15"/>
  <c r="D189" i="15"/>
  <c r="AJ281" i="15"/>
  <c r="AM312" i="15" s="1"/>
  <c r="AM96" i="15"/>
  <c r="AM180" i="15" s="1"/>
  <c r="AM253" i="15" s="1"/>
  <c r="AJ211" i="15"/>
  <c r="AJ51" i="15"/>
  <c r="AM95" i="15"/>
  <c r="AJ95" i="15"/>
  <c r="AJ50" i="15"/>
  <c r="AC249" i="15"/>
  <c r="AC178" i="15"/>
  <c r="AG288" i="15"/>
  <c r="AG218" i="15"/>
  <c r="I81" i="15"/>
  <c r="I296" i="15" s="1"/>
  <c r="I223" i="15"/>
  <c r="AD178" i="15"/>
  <c r="AD249" i="15"/>
  <c r="I1330" i="20"/>
  <c r="J261" i="15"/>
  <c r="AO261" i="15"/>
  <c r="AC233" i="15"/>
  <c r="AC189" i="15"/>
  <c r="AD188" i="15"/>
  <c r="AD234" i="15"/>
  <c r="AC234" i="15"/>
  <c r="AC188" i="15"/>
  <c r="AJ39" i="15"/>
  <c r="AJ41" i="15" s="1"/>
  <c r="AL91" i="15" s="1"/>
  <c r="AL169" i="15" s="1"/>
  <c r="AL240" i="15" s="1"/>
  <c r="AK90" i="15"/>
  <c r="AJ126" i="19"/>
  <c r="AL90" i="15"/>
  <c r="AJ28" i="15"/>
  <c r="AJ21" i="15"/>
  <c r="AN225" i="15"/>
  <c r="AN295" i="15"/>
  <c r="D1295" i="20"/>
  <c r="F1292" i="20" s="1"/>
  <c r="I1285" i="20"/>
  <c r="AP188" i="15"/>
  <c r="D823" i="20"/>
  <c r="D825" i="20" s="1"/>
  <c r="I91" i="15"/>
  <c r="I43" i="15"/>
  <c r="J42" i="15"/>
  <c r="I42" i="15"/>
  <c r="I45" i="15"/>
  <c r="H188" i="15"/>
  <c r="H234" i="15"/>
  <c r="AK96" i="15"/>
  <c r="AK180" i="15" s="1"/>
  <c r="AK253" i="15" s="1"/>
  <c r="AJ96" i="15"/>
  <c r="AJ180" i="15" s="1"/>
  <c r="AJ253" i="15" s="1"/>
  <c r="I32" i="15"/>
  <c r="I23" i="15"/>
  <c r="I97" i="15" s="1"/>
  <c r="I33" i="15"/>
  <c r="AO293" i="15"/>
  <c r="AO223" i="15"/>
  <c r="BG45" i="15"/>
  <c r="BG43" i="15"/>
  <c r="E1022" i="20"/>
  <c r="D1027" i="20"/>
  <c r="F1022" i="20" s="1"/>
  <c r="I1013" i="20"/>
  <c r="AP178" i="15"/>
  <c r="AP249" i="15"/>
  <c r="AJ294" i="15"/>
  <c r="AJ224" i="15"/>
  <c r="AF21" i="15"/>
  <c r="AF23" i="15" s="1"/>
  <c r="BG33" i="15"/>
  <c r="BG23" i="15"/>
  <c r="BG32" i="15"/>
  <c r="C1031" i="20"/>
  <c r="I1014" i="20"/>
  <c r="E191" i="15"/>
  <c r="E236" i="15"/>
  <c r="X189" i="15"/>
  <c r="X233" i="15"/>
  <c r="BH33" i="15"/>
  <c r="BH23" i="15"/>
  <c r="BH32" i="15"/>
  <c r="Z96" i="15"/>
  <c r="Z180" i="15" s="1"/>
  <c r="Z253" i="15" s="1"/>
  <c r="AA96" i="15"/>
  <c r="AA180" i="15" s="1"/>
  <c r="AA253" i="15" s="1"/>
  <c r="X281" i="15"/>
  <c r="AA312" i="15" s="1"/>
  <c r="X211" i="15"/>
  <c r="AI23" i="15"/>
  <c r="AI33" i="15"/>
  <c r="AI32" i="15"/>
  <c r="AG262" i="15"/>
  <c r="I717" i="20"/>
  <c r="AF28" i="15"/>
  <c r="BI33" i="15"/>
  <c r="BI32" i="15"/>
  <c r="BI23" i="15"/>
  <c r="AE42" i="15"/>
  <c r="AE45" i="15"/>
  <c r="AE43" i="15"/>
  <c r="AN210" i="15"/>
  <c r="AN280" i="15"/>
  <c r="AN50" i="15"/>
  <c r="AO95" i="15"/>
  <c r="AN95" i="15"/>
  <c r="AN51" i="15"/>
  <c r="AP95" i="15"/>
  <c r="I718" i="20"/>
  <c r="AC288" i="15"/>
  <c r="AC218" i="15"/>
  <c r="BH78" i="15"/>
  <c r="Y32" i="15"/>
  <c r="Y23" i="15"/>
  <c r="Y33" i="15"/>
  <c r="T291" i="15"/>
  <c r="T221" i="15"/>
  <c r="AI45" i="15"/>
  <c r="AI43" i="15"/>
  <c r="AI42" i="15"/>
  <c r="X287" i="15"/>
  <c r="X217" i="15"/>
  <c r="AF126" i="19"/>
  <c r="V283" i="15"/>
  <c r="V71" i="15"/>
  <c r="V213" i="15"/>
  <c r="E32" i="15"/>
  <c r="E23" i="15"/>
  <c r="E97" i="15" s="1"/>
  <c r="T97" i="15" s="1"/>
  <c r="E33" i="15"/>
  <c r="AN222" i="15"/>
  <c r="AN292" i="15"/>
  <c r="AF214" i="15"/>
  <c r="AG98" i="15"/>
  <c r="AG181" i="15" s="1"/>
  <c r="AG254" i="15" s="1"/>
  <c r="AF284" i="15"/>
  <c r="AF98" i="15"/>
  <c r="AF181" i="15" s="1"/>
  <c r="AF254" i="15" s="1"/>
  <c r="AF35" i="15"/>
  <c r="AG90" i="15"/>
  <c r="AI189" i="15"/>
  <c r="AI233" i="15"/>
  <c r="AF188" i="15"/>
  <c r="AF234" i="15"/>
  <c r="AH234" i="15"/>
  <c r="AH188" i="15"/>
  <c r="AO42" i="15"/>
  <c r="AK43" i="15"/>
  <c r="AK45" i="15"/>
  <c r="AB294" i="15"/>
  <c r="AB224" i="15"/>
  <c r="C288" i="15"/>
  <c r="C99" i="15"/>
  <c r="C182" i="15" s="1"/>
  <c r="C255" i="15" s="1"/>
  <c r="C218" i="15"/>
  <c r="AL32" i="15"/>
  <c r="AL23" i="15"/>
  <c r="AL33" i="15"/>
  <c r="BI45" i="15"/>
  <c r="BI43" i="15"/>
  <c r="AH42" i="15"/>
  <c r="AF178" i="15"/>
  <c r="AF249" i="15"/>
  <c r="AH178" i="15"/>
  <c r="AH249" i="15"/>
  <c r="AK23" i="15"/>
  <c r="AK33" i="15"/>
  <c r="AK32" i="15"/>
  <c r="AF291" i="15"/>
  <c r="AF221" i="15"/>
  <c r="AI98" i="15"/>
  <c r="AI181" i="15" s="1"/>
  <c r="AI254" i="15" s="1"/>
  <c r="S45" i="15"/>
  <c r="S43" i="15"/>
  <c r="AE283" i="15"/>
  <c r="AE71" i="15"/>
  <c r="AE78" i="15" s="1"/>
  <c r="AE213" i="15"/>
  <c r="AN66" i="15"/>
  <c r="AI249" i="15"/>
  <c r="AI178" i="15"/>
  <c r="X63" i="15"/>
  <c r="W210" i="15"/>
  <c r="W280" i="15"/>
  <c r="AJ249" i="15"/>
  <c r="AJ178" i="15"/>
  <c r="E91" i="15"/>
  <c r="E43" i="15"/>
  <c r="E45" i="15"/>
  <c r="F42" i="15"/>
  <c r="W66" i="15"/>
  <c r="W71" i="15" s="1"/>
  <c r="W78" i="15" s="1"/>
  <c r="E42" i="15"/>
  <c r="AF90" i="15"/>
  <c r="F189" i="15"/>
  <c r="AF189" i="15"/>
  <c r="E726" i="20"/>
  <c r="AI188" i="15"/>
  <c r="AI234" i="15"/>
  <c r="U99" i="15"/>
  <c r="U182" i="15" s="1"/>
  <c r="U255" i="15" s="1"/>
  <c r="I1060" i="20"/>
  <c r="D1074" i="20"/>
  <c r="F1069" i="20" s="1"/>
  <c r="I281" i="15"/>
  <c r="I284" i="15"/>
  <c r="I290" i="15"/>
  <c r="I253" i="15"/>
  <c r="I254" i="15"/>
  <c r="I250" i="15"/>
  <c r="I263" i="15" s="1"/>
  <c r="I280" i="15"/>
  <c r="I270" i="15"/>
  <c r="I271" i="15" s="1"/>
  <c r="I292" i="15"/>
  <c r="I283" i="15"/>
  <c r="I274" i="15"/>
  <c r="I306" i="15" s="1"/>
  <c r="I278" i="15"/>
  <c r="I295" i="15"/>
  <c r="I293" i="15"/>
  <c r="I286" i="15"/>
  <c r="I248" i="15"/>
  <c r="I287" i="15"/>
  <c r="I288" i="15"/>
  <c r="I294" i="15"/>
  <c r="I289" i="15"/>
  <c r="I291" i="15"/>
  <c r="I249" i="15"/>
  <c r="I282" i="15"/>
  <c r="I279" i="15"/>
  <c r="I252" i="15"/>
  <c r="I285" i="15"/>
  <c r="Y45" i="15"/>
  <c r="Y43" i="15"/>
  <c r="AC42" i="15"/>
  <c r="AJ289" i="15"/>
  <c r="AJ219" i="15"/>
  <c r="I1197" i="20"/>
  <c r="D1207" i="20"/>
  <c r="F1202" i="20" s="1"/>
  <c r="D1120" i="20"/>
  <c r="F1115" i="20" s="1"/>
  <c r="I1107" i="20"/>
  <c r="C261" i="15"/>
  <c r="C251" i="15"/>
  <c r="Y218" i="15"/>
  <c r="Y288" i="15"/>
  <c r="AD293" i="15"/>
  <c r="AD223" i="15"/>
  <c r="X294" i="15"/>
  <c r="X224" i="15"/>
  <c r="E728" i="20"/>
  <c r="C784" i="20"/>
  <c r="D1403" i="20"/>
  <c r="D1273" i="20"/>
  <c r="C779" i="20"/>
  <c r="D1096" i="20"/>
  <c r="D1117" i="20"/>
  <c r="C1119" i="20"/>
  <c r="D1142" i="20"/>
  <c r="D1317" i="20"/>
  <c r="C1123" i="20"/>
  <c r="C1124" i="20" s="1"/>
  <c r="E1336" i="20"/>
  <c r="D1248" i="20"/>
  <c r="C1445" i="20"/>
  <c r="D777" i="20"/>
  <c r="D1336" i="20"/>
  <c r="C1342" i="20"/>
  <c r="C1343" i="20" s="1"/>
  <c r="C1338" i="20"/>
  <c r="C883" i="20"/>
  <c r="C884" i="20" s="1"/>
  <c r="E877" i="20"/>
  <c r="D1361" i="20"/>
  <c r="C979" i="20"/>
  <c r="E977" i="20"/>
  <c r="C983" i="20"/>
  <c r="C984" i="20" s="1"/>
  <c r="D1002" i="20"/>
  <c r="C933" i="20"/>
  <c r="C934" i="20" s="1"/>
  <c r="E927" i="20"/>
  <c r="C1427" i="20"/>
  <c r="E1071" i="20"/>
  <c r="C1077" i="20"/>
  <c r="C1078" i="20" s="1"/>
  <c r="C1073" i="20"/>
  <c r="D1229" i="20"/>
  <c r="D1251" i="20"/>
  <c r="I1241" i="20"/>
  <c r="E1248" i="20"/>
  <c r="E1246" i="20"/>
  <c r="C1255" i="20"/>
  <c r="AM33" i="15"/>
  <c r="AM23" i="15"/>
  <c r="AM32" i="15"/>
  <c r="J188" i="15"/>
  <c r="J234" i="15"/>
  <c r="AK234" i="15"/>
  <c r="AK188" i="15"/>
  <c r="AG251" i="15"/>
  <c r="AG261" i="15"/>
  <c r="U218" i="15"/>
  <c r="U288" i="15"/>
  <c r="J185" i="15"/>
  <c r="J258" i="15" s="1"/>
  <c r="J263" i="15" s="1"/>
  <c r="J166" i="15"/>
  <c r="AN157" i="15"/>
  <c r="AN146" i="15"/>
  <c r="AN30" i="15"/>
  <c r="AN163" i="15"/>
  <c r="AN184" i="15"/>
  <c r="AN257" i="15" s="1"/>
  <c r="AN230" i="15"/>
  <c r="D218" i="15"/>
  <c r="D99" i="15"/>
  <c r="D182" i="15" s="1"/>
  <c r="D255" i="15" s="1"/>
  <c r="D288" i="15"/>
  <c r="AM35" i="15"/>
  <c r="AM214" i="15"/>
  <c r="AM284" i="15"/>
  <c r="AN67" i="15"/>
  <c r="AD179" i="15"/>
  <c r="AD252" i="15" s="1"/>
  <c r="AD149" i="15"/>
  <c r="X292" i="15"/>
  <c r="X222" i="15"/>
  <c r="G237" i="15"/>
  <c r="G190" i="15"/>
  <c r="AK98" i="15"/>
  <c r="AN251" i="15"/>
  <c r="C1515" i="20"/>
  <c r="C168" i="15"/>
  <c r="C239" i="15" s="1"/>
  <c r="C169" i="15"/>
  <c r="C240" i="15" s="1"/>
  <c r="D1204" i="20"/>
  <c r="J152" i="15"/>
  <c r="J171" i="15"/>
  <c r="J158" i="15"/>
  <c r="J231" i="15"/>
  <c r="J162" i="15"/>
  <c r="J186" i="15"/>
  <c r="J259" i="15" s="1"/>
  <c r="J262" i="15" s="1"/>
  <c r="AM71" i="15"/>
  <c r="AM78" i="15" s="1"/>
  <c r="Z95" i="15"/>
  <c r="X50" i="15"/>
  <c r="AA94" i="15" s="1"/>
  <c r="AA177" i="15" s="1"/>
  <c r="AA250" i="15" s="1"/>
  <c r="AA95" i="15"/>
  <c r="X51" i="15"/>
  <c r="AB284" i="15"/>
  <c r="AB214" i="15"/>
  <c r="AE98" i="15"/>
  <c r="AE181" i="15" s="1"/>
  <c r="AE254" i="15" s="1"/>
  <c r="AB35" i="15"/>
  <c r="AO234" i="15"/>
  <c r="AO188" i="15"/>
  <c r="AL218" i="15"/>
  <c r="AL288" i="15"/>
  <c r="AB292" i="15"/>
  <c r="AB222" i="15"/>
  <c r="W149" i="15"/>
  <c r="W179" i="15"/>
  <c r="W252" i="15" s="1"/>
  <c r="AB282" i="15"/>
  <c r="AB212" i="15"/>
  <c r="C1229" i="20"/>
  <c r="E1202" i="20"/>
  <c r="C1204" i="20"/>
  <c r="I1242" i="20"/>
  <c r="AE189" i="15"/>
  <c r="AE233" i="15"/>
  <c r="D1381" i="20"/>
  <c r="E1376" i="20"/>
  <c r="I1371" i="20"/>
  <c r="I1372" i="20"/>
  <c r="E1378" i="20"/>
  <c r="AC98" i="15"/>
  <c r="AC181" i="15" s="1"/>
  <c r="AC254" i="15" s="1"/>
  <c r="X251" i="15"/>
  <c r="X261" i="15"/>
  <c r="X262" i="15"/>
  <c r="AB188" i="15"/>
  <c r="AB234" i="15"/>
  <c r="AK231" i="15"/>
  <c r="AK162" i="15"/>
  <c r="AK171" i="15"/>
  <c r="AK158" i="15"/>
  <c r="AK186" i="15"/>
  <c r="AK259" i="15" s="1"/>
  <c r="AK262" i="15" s="1"/>
  <c r="AO171" i="15"/>
  <c r="AO158" i="15"/>
  <c r="AO186" i="15"/>
  <c r="AO259" i="15" s="1"/>
  <c r="AO262" i="15" s="1"/>
  <c r="AO162" i="15"/>
  <c r="AO231" i="15"/>
  <c r="AE149" i="15"/>
  <c r="AE179" i="15"/>
  <c r="AE252" i="15" s="1"/>
  <c r="AB179" i="15"/>
  <c r="AB252" i="15" s="1"/>
  <c r="AB149" i="15"/>
  <c r="H99" i="15"/>
  <c r="H182" i="15" s="1"/>
  <c r="H255" i="15" s="1"/>
  <c r="H218" i="15"/>
  <c r="H288" i="15"/>
  <c r="W90" i="15"/>
  <c r="AF225" i="15"/>
  <c r="AF295" i="15"/>
  <c r="AC179" i="15"/>
  <c r="AC252" i="15" s="1"/>
  <c r="AC149" i="15"/>
  <c r="AB249" i="15"/>
  <c r="AB178" i="15"/>
  <c r="AE249" i="15"/>
  <c r="AE178" i="15"/>
  <c r="AB98" i="15"/>
  <c r="AB181" i="15" s="1"/>
  <c r="AB254" i="15" s="1"/>
  <c r="E190" i="15"/>
  <c r="E237" i="15"/>
  <c r="AD94" i="15"/>
  <c r="AD177" i="15" s="1"/>
  <c r="AD250" i="15" s="1"/>
  <c r="AC94" i="15"/>
  <c r="AC177" i="15" s="1"/>
  <c r="AC250" i="15" s="1"/>
  <c r="AB94" i="15"/>
  <c r="AB177" i="15" s="1"/>
  <c r="AB250" i="15" s="1"/>
  <c r="Y187" i="15"/>
  <c r="Y260" i="15" s="1"/>
  <c r="Y264" i="15" s="1"/>
  <c r="Y165" i="15"/>
  <c r="AM42" i="15"/>
  <c r="AM43" i="15"/>
  <c r="AM45" i="15"/>
  <c r="T211" i="15"/>
  <c r="T281" i="15"/>
  <c r="U312" i="15" s="1"/>
  <c r="AE188" i="15"/>
  <c r="AE234" i="15"/>
  <c r="AD98" i="15"/>
  <c r="AD181" i="15" s="1"/>
  <c r="AD254" i="15" s="1"/>
  <c r="AP233" i="15"/>
  <c r="AP189" i="15"/>
  <c r="AB209" i="15"/>
  <c r="AB279" i="15"/>
  <c r="AB66" i="15"/>
  <c r="T209" i="15"/>
  <c r="T279" i="15"/>
  <c r="F236" i="15"/>
  <c r="F191" i="15"/>
  <c r="D168" i="15"/>
  <c r="D239" i="15" s="1"/>
  <c r="D169" i="15"/>
  <c r="D240" i="15" s="1"/>
  <c r="Z249" i="15"/>
  <c r="Z178" i="15"/>
  <c r="AH149" i="15"/>
  <c r="AH179" i="15"/>
  <c r="AH252" i="15" s="1"/>
  <c r="AA189" i="15"/>
  <c r="AA233" i="15"/>
  <c r="AH189" i="15"/>
  <c r="AH233" i="15"/>
  <c r="AJ35" i="15"/>
  <c r="AM98" i="15"/>
  <c r="AJ214" i="15"/>
  <c r="AJ284" i="15"/>
  <c r="D1463" i="20"/>
  <c r="C1472" i="20"/>
  <c r="D1465" i="20"/>
  <c r="C236" i="15"/>
  <c r="C191" i="15"/>
  <c r="AI179" i="15"/>
  <c r="AI252" i="15" s="1"/>
  <c r="AI149" i="15"/>
  <c r="D1423" i="20"/>
  <c r="I1413" i="20"/>
  <c r="I1414" i="20"/>
  <c r="E1418" i="20"/>
  <c r="AN219" i="15"/>
  <c r="AN289" i="15"/>
  <c r="V251" i="15"/>
  <c r="V261" i="15"/>
  <c r="S209" i="15"/>
  <c r="S279" i="15"/>
  <c r="S66" i="15"/>
  <c r="T206" i="15"/>
  <c r="T276" i="15"/>
  <c r="U33" i="15"/>
  <c r="U32" i="15"/>
  <c r="U23" i="15"/>
  <c r="AF179" i="15"/>
  <c r="AF252" i="15" s="1"/>
  <c r="AF149" i="15"/>
  <c r="AA249" i="15"/>
  <c r="AA178" i="15"/>
  <c r="Q43" i="15"/>
  <c r="Q45" i="15"/>
  <c r="AO90" i="15"/>
  <c r="AN21" i="15"/>
  <c r="AN90" i="15"/>
  <c r="AN39" i="15"/>
  <c r="AN41" i="15" s="1"/>
  <c r="AN28" i="15"/>
  <c r="AN126" i="19"/>
  <c r="Z213" i="15"/>
  <c r="Z71" i="15"/>
  <c r="Z78" i="15" s="1"/>
  <c r="Z283" i="15"/>
  <c r="AA209" i="15"/>
  <c r="AA279" i="15"/>
  <c r="AA66" i="15"/>
  <c r="T17" i="15"/>
  <c r="T27" i="15"/>
  <c r="Q218" i="15"/>
  <c r="Q288" i="15"/>
  <c r="AA188" i="15"/>
  <c r="AA234" i="15"/>
  <c r="X275" i="15"/>
  <c r="X205" i="15"/>
  <c r="AL181" i="15"/>
  <c r="AL254" i="15" s="1"/>
  <c r="U45" i="15"/>
  <c r="U42" i="15"/>
  <c r="U43" i="15"/>
  <c r="U91" i="15"/>
  <c r="Y91" i="15"/>
  <c r="Y42" i="15"/>
  <c r="F99" i="15"/>
  <c r="F218" i="15"/>
  <c r="F288" i="15"/>
  <c r="Y99" i="15"/>
  <c r="Y182" i="15" s="1"/>
  <c r="Y255" i="15" s="1"/>
  <c r="AJ98" i="15"/>
  <c r="AJ181" i="15" s="1"/>
  <c r="AJ254" i="15" s="1"/>
  <c r="X39" i="15"/>
  <c r="X41" i="15" s="1"/>
  <c r="X21" i="15"/>
  <c r="X28" i="15"/>
  <c r="AA90" i="15"/>
  <c r="AH293" i="15"/>
  <c r="AH223" i="15"/>
  <c r="J223" i="15"/>
  <c r="J81" i="15"/>
  <c r="J82" i="15" s="1"/>
  <c r="J293" i="15"/>
  <c r="AI94" i="15"/>
  <c r="AI177" i="15" s="1"/>
  <c r="AI250" i="15" s="1"/>
  <c r="AH94" i="15"/>
  <c r="AH177" i="15" s="1"/>
  <c r="AH250" i="15" s="1"/>
  <c r="AF94" i="15"/>
  <c r="AF177" i="15" s="1"/>
  <c r="AF250" i="15" s="1"/>
  <c r="AG94" i="15"/>
  <c r="AG177" i="15" s="1"/>
  <c r="AG250" i="15" s="1"/>
  <c r="W33" i="15"/>
  <c r="W23" i="15"/>
  <c r="W32" i="15"/>
  <c r="W249" i="15"/>
  <c r="W178" i="15"/>
  <c r="Z188" i="15"/>
  <c r="Z234" i="15"/>
  <c r="AG179" i="15"/>
  <c r="AG252" i="15" s="1"/>
  <c r="AG149" i="15"/>
  <c r="Q33" i="15"/>
  <c r="Q23" i="15"/>
  <c r="Q32" i="15"/>
  <c r="W188" i="15"/>
  <c r="W234" i="15"/>
  <c r="T278" i="15"/>
  <c r="T208" i="15"/>
  <c r="T66" i="15"/>
  <c r="R39" i="15"/>
  <c r="R41" i="15" s="1"/>
  <c r="W91" i="15" s="1"/>
  <c r="R21" i="15"/>
  <c r="R28" i="15"/>
  <c r="Z233" i="15"/>
  <c r="Z189" i="15"/>
  <c r="W43" i="15"/>
  <c r="W45" i="15"/>
  <c r="W42" i="15"/>
  <c r="R288" i="15"/>
  <c r="R218" i="15"/>
  <c r="AO86" i="15" l="1"/>
  <c r="AP81" i="15"/>
  <c r="V99" i="15"/>
  <c r="V182" i="15" s="1"/>
  <c r="V255" i="15" s="1"/>
  <c r="V78" i="15"/>
  <c r="AI288" i="15"/>
  <c r="AI78" i="15"/>
  <c r="AI223" i="15" s="1"/>
  <c r="AJ69" i="19"/>
  <c r="AN83" i="19"/>
  <c r="AR83" i="19"/>
  <c r="AF83" i="19"/>
  <c r="AJ71" i="19"/>
  <c r="AJ70" i="19"/>
  <c r="AF72" i="19"/>
  <c r="AF74" i="19" s="1"/>
  <c r="AJ73" i="19"/>
  <c r="AJ74" i="19" s="1"/>
  <c r="AJ68" i="19"/>
  <c r="BE99" i="15"/>
  <c r="BE182" i="15" s="1"/>
  <c r="BE255" i="15" s="1"/>
  <c r="BE168" i="15"/>
  <c r="BE239" i="15" s="1"/>
  <c r="AN72" i="19"/>
  <c r="AN65" i="19"/>
  <c r="AB70" i="19"/>
  <c r="AB72" i="19"/>
  <c r="AB69" i="19"/>
  <c r="AB73" i="19"/>
  <c r="AB71" i="19"/>
  <c r="AB65" i="19"/>
  <c r="AN68" i="19"/>
  <c r="AN70" i="19"/>
  <c r="AN69" i="19"/>
  <c r="AN71" i="19"/>
  <c r="AN73" i="19"/>
  <c r="AM74" i="19"/>
  <c r="AA74" i="19"/>
  <c r="AN48" i="19"/>
  <c r="BD97" i="15"/>
  <c r="BE97" i="15"/>
  <c r="X153" i="15"/>
  <c r="X152" i="15"/>
  <c r="V152" i="15"/>
  <c r="T165" i="15"/>
  <c r="T191" i="15" s="1"/>
  <c r="AE311" i="15"/>
  <c r="T153" i="15"/>
  <c r="Y190" i="15"/>
  <c r="T308" i="15"/>
  <c r="BD169" i="15"/>
  <c r="BD240" i="15" s="1"/>
  <c r="BD168" i="15"/>
  <c r="BD239" i="15" s="1"/>
  <c r="BD288" i="15"/>
  <c r="BD218" i="15"/>
  <c r="BD99" i="15"/>
  <c r="BD182" i="15" s="1"/>
  <c r="BD255" i="15" s="1"/>
  <c r="AF311" i="15"/>
  <c r="AM311" i="15"/>
  <c r="AS150" i="15"/>
  <c r="AS152" i="15" s="1"/>
  <c r="AS187" i="15" s="1"/>
  <c r="AS260" i="15" s="1"/>
  <c r="AS264" i="15" s="1"/>
  <c r="AS300" i="15"/>
  <c r="AM306" i="15"/>
  <c r="AG311" i="15"/>
  <c r="AK312" i="15"/>
  <c r="AL311" i="15"/>
  <c r="AL150" i="15"/>
  <c r="AL300" i="15"/>
  <c r="AL309" i="15" s="1"/>
  <c r="K306" i="15"/>
  <c r="K305" i="15"/>
  <c r="AB311" i="15"/>
  <c r="V312" i="15"/>
  <c r="AH312" i="15"/>
  <c r="AS312" i="15"/>
  <c r="Z311" i="15"/>
  <c r="X311" i="15"/>
  <c r="AG305" i="15"/>
  <c r="T312" i="15"/>
  <c r="V311" i="15"/>
  <c r="U311" i="15"/>
  <c r="AK311" i="15"/>
  <c r="AA311" i="15"/>
  <c r="AK150" i="15"/>
  <c r="AK300" i="15"/>
  <c r="AK309" i="15" s="1"/>
  <c r="AL305" i="15"/>
  <c r="J308" i="15"/>
  <c r="J305" i="15"/>
  <c r="W312" i="15"/>
  <c r="Y311" i="15"/>
  <c r="AI311" i="15"/>
  <c r="Z312" i="15"/>
  <c r="AF312" i="15"/>
  <c r="AI150" i="15"/>
  <c r="AI153" i="15" s="1"/>
  <c r="AI300" i="15"/>
  <c r="AG150" i="15"/>
  <c r="AG300" i="15"/>
  <c r="AG309" i="15" s="1"/>
  <c r="AC150" i="15"/>
  <c r="AC153" i="15" s="1"/>
  <c r="AC300" i="15"/>
  <c r="AB150" i="15"/>
  <c r="AB152" i="15" s="1"/>
  <c r="AB300" i="15"/>
  <c r="I312" i="15"/>
  <c r="I311" i="15"/>
  <c r="AK305" i="15"/>
  <c r="AR305" i="15"/>
  <c r="AR308" i="15"/>
  <c r="W311" i="15"/>
  <c r="AD312" i="15"/>
  <c r="AI312" i="15"/>
  <c r="I309" i="15"/>
  <c r="AT312" i="15"/>
  <c r="AL312" i="15"/>
  <c r="K311" i="15"/>
  <c r="K312" i="15"/>
  <c r="K309" i="15"/>
  <c r="K308" i="15"/>
  <c r="AT150" i="15"/>
  <c r="AT152" i="15" s="1"/>
  <c r="AT300" i="15"/>
  <c r="I308" i="15"/>
  <c r="I305" i="15"/>
  <c r="AO305" i="15"/>
  <c r="V308" i="15"/>
  <c r="Y312" i="15"/>
  <c r="AR312" i="15"/>
  <c r="X312" i="15"/>
  <c r="W150" i="15"/>
  <c r="W153" i="15" s="1"/>
  <c r="W300" i="15"/>
  <c r="AU309" i="15"/>
  <c r="AU308" i="15"/>
  <c r="X308" i="15"/>
  <c r="X305" i="15"/>
  <c r="AB312" i="15"/>
  <c r="AH311" i="15"/>
  <c r="AD311" i="15"/>
  <c r="AJ312" i="15"/>
  <c r="AC311" i="15"/>
  <c r="AC312" i="15"/>
  <c r="AH150" i="15"/>
  <c r="AH152" i="15" s="1"/>
  <c r="AH300" i="15"/>
  <c r="AD150" i="15"/>
  <c r="AD300" i="15"/>
  <c r="AF150" i="15"/>
  <c r="AF153" i="15" s="1"/>
  <c r="AF300" i="15"/>
  <c r="AE150" i="15"/>
  <c r="AE153" i="15" s="1"/>
  <c r="AE300" i="15"/>
  <c r="G308" i="15"/>
  <c r="G305" i="15"/>
  <c r="T311" i="15"/>
  <c r="AJ311" i="15"/>
  <c r="X279" i="15"/>
  <c r="E223" i="15"/>
  <c r="E81" i="15"/>
  <c r="AV296" i="15"/>
  <c r="AU297" i="15"/>
  <c r="AV226" i="15"/>
  <c r="AN261" i="15"/>
  <c r="AN302" i="15"/>
  <c r="AV86" i="15"/>
  <c r="AV82" i="15"/>
  <c r="AV227" i="15" s="1"/>
  <c r="AM303" i="15"/>
  <c r="O236" i="15"/>
  <c r="AR42" i="15"/>
  <c r="G191" i="15"/>
  <c r="AY191" i="15"/>
  <c r="AY236" i="15"/>
  <c r="G296" i="15"/>
  <c r="AY190" i="15"/>
  <c r="AY237" i="15"/>
  <c r="G297" i="15"/>
  <c r="AT91" i="15"/>
  <c r="AT169" i="15" s="1"/>
  <c r="AT240" i="15" s="1"/>
  <c r="AW236" i="15"/>
  <c r="AW191" i="15"/>
  <c r="O182" i="15"/>
  <c r="O255" i="15" s="1"/>
  <c r="O288" i="15"/>
  <c r="O218" i="15"/>
  <c r="AW237" i="15"/>
  <c r="AW190" i="15"/>
  <c r="O226" i="15"/>
  <c r="AR91" i="15"/>
  <c r="AR169" i="15" s="1"/>
  <c r="AR240" i="15" s="1"/>
  <c r="AR43" i="15"/>
  <c r="AU91" i="15"/>
  <c r="AU169" i="15" s="1"/>
  <c r="AU240" i="15" s="1"/>
  <c r="AR45" i="15"/>
  <c r="AS91" i="15"/>
  <c r="AS169" i="15" s="1"/>
  <c r="AS240" i="15" s="1"/>
  <c r="H190" i="15"/>
  <c r="AB43" i="15"/>
  <c r="AR98" i="15"/>
  <c r="AR181" i="15" s="1"/>
  <c r="AR254" i="15" s="1"/>
  <c r="K271" i="15"/>
  <c r="L271" i="15"/>
  <c r="I190" i="15"/>
  <c r="G226" i="15"/>
  <c r="G86" i="15"/>
  <c r="AR213" i="15"/>
  <c r="AB45" i="15"/>
  <c r="AR32" i="15"/>
  <c r="AR23" i="15"/>
  <c r="AU97" i="15" s="1"/>
  <c r="AB91" i="15"/>
  <c r="AB169" i="15" s="1"/>
  <c r="AB240" i="15" s="1"/>
  <c r="AT98" i="15"/>
  <c r="AT181" i="15" s="1"/>
  <c r="AT254" i="15" s="1"/>
  <c r="E182" i="15"/>
  <c r="E255" i="15" s="1"/>
  <c r="AU98" i="15"/>
  <c r="AU181" i="15" s="1"/>
  <c r="AU254" i="15" s="1"/>
  <c r="AU150" i="15"/>
  <c r="AU152" i="15" s="1"/>
  <c r="AR35" i="15"/>
  <c r="AR214" i="15"/>
  <c r="AS98" i="15"/>
  <c r="AS181" i="15" s="1"/>
  <c r="AS254" i="15" s="1"/>
  <c r="AR284" i="15"/>
  <c r="AR292" i="15"/>
  <c r="AR71" i="15"/>
  <c r="AR222" i="15"/>
  <c r="AB42" i="15"/>
  <c r="AE91" i="15"/>
  <c r="AE169" i="15" s="1"/>
  <c r="AE240" i="15" s="1"/>
  <c r="AK81" i="15"/>
  <c r="AK86" i="15" s="1"/>
  <c r="I262" i="15"/>
  <c r="AD91" i="15"/>
  <c r="AD168" i="15" s="1"/>
  <c r="AD239" i="15" s="1"/>
  <c r="AJ213" i="15"/>
  <c r="AP86" i="15"/>
  <c r="AL99" i="15"/>
  <c r="AL182" i="15" s="1"/>
  <c r="AL255" i="15" s="1"/>
  <c r="K264" i="15"/>
  <c r="AJ283" i="15"/>
  <c r="I187" i="15"/>
  <c r="I260" i="15" s="1"/>
  <c r="I264" i="15" s="1"/>
  <c r="AF71" i="15"/>
  <c r="AR150" i="15"/>
  <c r="AR189" i="15"/>
  <c r="AR233" i="15"/>
  <c r="K82" i="15"/>
  <c r="K297" i="15" s="1"/>
  <c r="F680" i="20"/>
  <c r="F630" i="20"/>
  <c r="F632" i="20"/>
  <c r="AP223" i="15"/>
  <c r="AG189" i="15"/>
  <c r="AP293" i="15"/>
  <c r="AK91" i="15"/>
  <c r="AK168" i="15" s="1"/>
  <c r="AK239" i="15" s="1"/>
  <c r="AF213" i="15"/>
  <c r="K251" i="15"/>
  <c r="K261" i="15"/>
  <c r="K262" i="15"/>
  <c r="K296" i="15"/>
  <c r="K226" i="15"/>
  <c r="AF42" i="15"/>
  <c r="AH91" i="15"/>
  <c r="AH169" i="15" s="1"/>
  <c r="AH240" i="15" s="1"/>
  <c r="AF91" i="15"/>
  <c r="AF168" i="15" s="1"/>
  <c r="AF239" i="15" s="1"/>
  <c r="AG91" i="15"/>
  <c r="AG168" i="15" s="1"/>
  <c r="AG239" i="15" s="1"/>
  <c r="AI91" i="15"/>
  <c r="AI168" i="15" s="1"/>
  <c r="AI239" i="15" s="1"/>
  <c r="AF45" i="15"/>
  <c r="AF43" i="15"/>
  <c r="G169" i="15"/>
  <c r="G240" i="15" s="1"/>
  <c r="AP94" i="15"/>
  <c r="AP177" i="15" s="1"/>
  <c r="AP250" i="15" s="1"/>
  <c r="AQ94" i="15"/>
  <c r="AQ177" i="15" s="1"/>
  <c r="AQ250" i="15" s="1"/>
  <c r="AQ288" i="15"/>
  <c r="AQ218" i="15"/>
  <c r="AO98" i="15"/>
  <c r="AO181" i="15" s="1"/>
  <c r="AO254" i="15" s="1"/>
  <c r="AQ98" i="15"/>
  <c r="AQ181" i="15" s="1"/>
  <c r="AQ254" i="15" s="1"/>
  <c r="AQ179" i="15"/>
  <c r="AQ252" i="15" s="1"/>
  <c r="AQ149" i="15"/>
  <c r="AQ300" i="15" s="1"/>
  <c r="AP91" i="15"/>
  <c r="AP169" i="15" s="1"/>
  <c r="AP240" i="15" s="1"/>
  <c r="AQ91" i="15"/>
  <c r="I233" i="15"/>
  <c r="Z94" i="15"/>
  <c r="Z177" i="15" s="1"/>
  <c r="Z250" i="15" s="1"/>
  <c r="AI218" i="15"/>
  <c r="F825" i="20"/>
  <c r="D799" i="20"/>
  <c r="D800" i="20" s="1"/>
  <c r="D927" i="20"/>
  <c r="F927" i="20" s="1"/>
  <c r="D952" i="20"/>
  <c r="F1336" i="20"/>
  <c r="F975" i="20"/>
  <c r="D875" i="20"/>
  <c r="F875" i="20" s="1"/>
  <c r="D901" i="20"/>
  <c r="W213" i="15"/>
  <c r="D850" i="20"/>
  <c r="F823" i="20"/>
  <c r="AF32" i="15"/>
  <c r="F1290" i="20"/>
  <c r="AF33" i="15"/>
  <c r="W283" i="15"/>
  <c r="AK293" i="15"/>
  <c r="F1160" i="20"/>
  <c r="F777" i="20"/>
  <c r="F728" i="20"/>
  <c r="AJ42" i="15"/>
  <c r="AM91" i="15"/>
  <c r="AM169" i="15" s="1"/>
  <c r="AM240" i="15" s="1"/>
  <c r="AL179" i="15"/>
  <c r="AL252" i="15" s="1"/>
  <c r="AN94" i="15"/>
  <c r="AN177" i="15" s="1"/>
  <c r="AN250" i="15" s="1"/>
  <c r="D1185" i="20"/>
  <c r="F1158" i="20"/>
  <c r="F1117" i="20"/>
  <c r="H169" i="15"/>
  <c r="H240" i="15" s="1"/>
  <c r="X168" i="15"/>
  <c r="X239" i="15" s="1"/>
  <c r="X169" i="15"/>
  <c r="X240" i="15" s="1"/>
  <c r="J271" i="15"/>
  <c r="J168" i="15"/>
  <c r="J239" i="15" s="1"/>
  <c r="J169" i="15"/>
  <c r="J240" i="15" s="1"/>
  <c r="AJ33" i="15"/>
  <c r="AJ23" i="15"/>
  <c r="AK97" i="15" s="1"/>
  <c r="AJ32" i="15"/>
  <c r="F1071" i="20"/>
  <c r="AD251" i="15"/>
  <c r="AD261" i="15"/>
  <c r="AC251" i="15"/>
  <c r="AC261" i="15"/>
  <c r="AC262" i="15"/>
  <c r="AK94" i="15"/>
  <c r="AK177" i="15" s="1"/>
  <c r="AK250" i="15" s="1"/>
  <c r="AM94" i="15"/>
  <c r="AM177" i="15" s="1"/>
  <c r="AM250" i="15" s="1"/>
  <c r="AL94" i="15"/>
  <c r="AL177" i="15" s="1"/>
  <c r="AL250" i="15" s="1"/>
  <c r="AJ94" i="15"/>
  <c r="AJ177" i="15" s="1"/>
  <c r="AJ250" i="15" s="1"/>
  <c r="D236" i="15"/>
  <c r="D191" i="15"/>
  <c r="AJ149" i="15"/>
  <c r="AJ179" i="15"/>
  <c r="AJ252" i="15" s="1"/>
  <c r="H189" i="15"/>
  <c r="H233" i="15"/>
  <c r="AD262" i="15"/>
  <c r="I168" i="15"/>
  <c r="I239" i="15" s="1"/>
  <c r="I169" i="15"/>
  <c r="I240" i="15" s="1"/>
  <c r="Z91" i="15"/>
  <c r="Z168" i="15" s="1"/>
  <c r="Z239" i="15" s="1"/>
  <c r="AC168" i="15"/>
  <c r="AC239" i="15" s="1"/>
  <c r="AO94" i="15"/>
  <c r="AO177" i="15" s="1"/>
  <c r="AO250" i="15" s="1"/>
  <c r="I82" i="15"/>
  <c r="I226" i="15"/>
  <c r="I86" i="15"/>
  <c r="AM149" i="15"/>
  <c r="AM179" i="15"/>
  <c r="AM252" i="15" s="1"/>
  <c r="H187" i="15"/>
  <c r="H260" i="15" s="1"/>
  <c r="H264" i="15" s="1"/>
  <c r="H165" i="15"/>
  <c r="AJ45" i="15"/>
  <c r="AJ43" i="15"/>
  <c r="AG81" i="15"/>
  <c r="AG82" i="15" s="1"/>
  <c r="AG293" i="15"/>
  <c r="AG223" i="15"/>
  <c r="AB33" i="15"/>
  <c r="AB32" i="15"/>
  <c r="AB23" i="15"/>
  <c r="AJ91" i="15"/>
  <c r="AJ169" i="15" s="1"/>
  <c r="AJ240" i="15" s="1"/>
  <c r="T91" i="15"/>
  <c r="E169" i="15"/>
  <c r="E240" i="15" s="1"/>
  <c r="E168" i="15"/>
  <c r="E239" i="15" s="1"/>
  <c r="AH261" i="15"/>
  <c r="AH251" i="15"/>
  <c r="V91" i="15"/>
  <c r="V168" i="15" s="1"/>
  <c r="V239" i="15" s="1"/>
  <c r="AN213" i="15"/>
  <c r="AN283" i="15"/>
  <c r="AO82" i="15"/>
  <c r="AO296" i="15"/>
  <c r="AO226" i="15"/>
  <c r="AJ251" i="15"/>
  <c r="AJ262" i="15"/>
  <c r="AJ261" i="15"/>
  <c r="AH262" i="15"/>
  <c r="F1204" i="20"/>
  <c r="AI251" i="15"/>
  <c r="AI262" i="15"/>
  <c r="AI261" i="15"/>
  <c r="AP261" i="15"/>
  <c r="AP251" i="15"/>
  <c r="AL168" i="15"/>
  <c r="AL239" i="15" s="1"/>
  <c r="AE218" i="15"/>
  <c r="AE288" i="15"/>
  <c r="C293" i="15"/>
  <c r="C223" i="15"/>
  <c r="C81" i="15"/>
  <c r="C82" i="15" s="1"/>
  <c r="V288" i="15"/>
  <c r="V218" i="15"/>
  <c r="AP149" i="15"/>
  <c r="AP300" i="15" s="1"/>
  <c r="AP179" i="15"/>
  <c r="AP252" i="15" s="1"/>
  <c r="AF261" i="15"/>
  <c r="AF251" i="15"/>
  <c r="AF262" i="15"/>
  <c r="I251" i="15"/>
  <c r="I261" i="15"/>
  <c r="X280" i="15"/>
  <c r="X210" i="15"/>
  <c r="AO179" i="15"/>
  <c r="AO252" i="15" s="1"/>
  <c r="AO149" i="15"/>
  <c r="AO300" i="15" s="1"/>
  <c r="AO309" i="15" s="1"/>
  <c r="AK181" i="15"/>
  <c r="AK254" i="15" s="1"/>
  <c r="Y293" i="15"/>
  <c r="Y223" i="15"/>
  <c r="Y81" i="15"/>
  <c r="AP262" i="15"/>
  <c r="F1024" i="20"/>
  <c r="AC223" i="15"/>
  <c r="AC81" i="15"/>
  <c r="AC293" i="15"/>
  <c r="AN179" i="15"/>
  <c r="AN252" i="15" s="1"/>
  <c r="AN149" i="15"/>
  <c r="X66" i="15"/>
  <c r="AE251" i="15"/>
  <c r="AE261" i="15"/>
  <c r="C1210" i="20"/>
  <c r="C1211" i="20" s="1"/>
  <c r="C1208" i="20"/>
  <c r="E1204" i="20"/>
  <c r="C1206" i="20"/>
  <c r="Z149" i="15"/>
  <c r="Z179" i="15"/>
  <c r="Z252" i="15" s="1"/>
  <c r="AM288" i="15"/>
  <c r="AM218" i="15"/>
  <c r="D81" i="15"/>
  <c r="D82" i="15" s="1"/>
  <c r="D293" i="15"/>
  <c r="D223" i="15"/>
  <c r="AN162" i="15"/>
  <c r="AN231" i="15"/>
  <c r="AN158" i="15"/>
  <c r="AN186" i="15"/>
  <c r="AN259" i="15" s="1"/>
  <c r="AN262" i="15" s="1"/>
  <c r="AN171" i="15"/>
  <c r="AN188" i="15"/>
  <c r="AN234" i="15"/>
  <c r="AN214" i="15"/>
  <c r="AN284" i="15"/>
  <c r="AQ311" i="15" s="1"/>
  <c r="AN71" i="15"/>
  <c r="AN78" i="15" s="1"/>
  <c r="AN35" i="15"/>
  <c r="AN98" i="15"/>
  <c r="AN181" i="15" s="1"/>
  <c r="AN254" i="15" s="1"/>
  <c r="AB262" i="15"/>
  <c r="AB261" i="15"/>
  <c r="AB251" i="15"/>
  <c r="AO233" i="15"/>
  <c r="AO189" i="15"/>
  <c r="AK233" i="15"/>
  <c r="AK189" i="15"/>
  <c r="V185" i="15"/>
  <c r="V258" i="15" s="1"/>
  <c r="V263" i="15" s="1"/>
  <c r="V166" i="15"/>
  <c r="J189" i="15"/>
  <c r="J233" i="15"/>
  <c r="J190" i="15"/>
  <c r="J237" i="15"/>
  <c r="I191" i="15"/>
  <c r="I236" i="15"/>
  <c r="J165" i="15"/>
  <c r="J187" i="15"/>
  <c r="J260" i="15" s="1"/>
  <c r="J264" i="15" s="1"/>
  <c r="Y191" i="15"/>
  <c r="Y236" i="15"/>
  <c r="F1376" i="20"/>
  <c r="F1378" i="20"/>
  <c r="U223" i="15"/>
  <c r="U293" i="15"/>
  <c r="U81" i="15"/>
  <c r="F1246" i="20"/>
  <c r="F1248" i="20"/>
  <c r="H81" i="15"/>
  <c r="H82" i="15" s="1"/>
  <c r="H223" i="15"/>
  <c r="H293" i="15"/>
  <c r="AL293" i="15"/>
  <c r="AL223" i="15"/>
  <c r="AA149" i="15"/>
  <c r="AA179" i="15"/>
  <c r="AA252" i="15" s="1"/>
  <c r="AP98" i="15"/>
  <c r="AP181" i="15" s="1"/>
  <c r="AP254" i="15" s="1"/>
  <c r="AE262" i="15"/>
  <c r="AJ288" i="15"/>
  <c r="AJ218" i="15"/>
  <c r="AM99" i="15"/>
  <c r="AM182" i="15" s="1"/>
  <c r="AM255" i="15" s="1"/>
  <c r="AK99" i="15"/>
  <c r="AK182" i="15" s="1"/>
  <c r="AK255" i="15" s="1"/>
  <c r="U169" i="15"/>
  <c r="U168" i="15"/>
  <c r="U97" i="15"/>
  <c r="Y97" i="15"/>
  <c r="AN23" i="15"/>
  <c r="AN33" i="15"/>
  <c r="AN32" i="15"/>
  <c r="W251" i="15"/>
  <c r="W261" i="15"/>
  <c r="W262" i="15"/>
  <c r="T283" i="15"/>
  <c r="T213" i="15"/>
  <c r="T71" i="15"/>
  <c r="T78" i="15" s="1"/>
  <c r="J226" i="15"/>
  <c r="J86" i="15"/>
  <c r="J296" i="15"/>
  <c r="Z251" i="15"/>
  <c r="Z261" i="15"/>
  <c r="Z262" i="15"/>
  <c r="W168" i="15"/>
  <c r="W239" i="15" s="1"/>
  <c r="W169" i="15"/>
  <c r="W240" i="15" s="1"/>
  <c r="F293" i="15"/>
  <c r="F223" i="15"/>
  <c r="F81" i="15"/>
  <c r="F82" i="15" s="1"/>
  <c r="Z288" i="15"/>
  <c r="Z218" i="15"/>
  <c r="R33" i="15"/>
  <c r="R32" i="15"/>
  <c r="R23" i="15"/>
  <c r="V97" i="15" s="1"/>
  <c r="J297" i="15"/>
  <c r="J227" i="15"/>
  <c r="R43" i="15"/>
  <c r="R45" i="15"/>
  <c r="BG42" i="15"/>
  <c r="V42" i="15"/>
  <c r="W288" i="15"/>
  <c r="W218" i="15"/>
  <c r="T39" i="15"/>
  <c r="T41" i="15" s="1"/>
  <c r="X42" i="15" s="1"/>
  <c r="T28" i="15"/>
  <c r="T21" i="15"/>
  <c r="X23" i="15"/>
  <c r="AA97" i="15" s="1"/>
  <c r="X32" i="15"/>
  <c r="X33" i="15"/>
  <c r="X99" i="15"/>
  <c r="X182" i="15" s="1"/>
  <c r="X255" i="15" s="1"/>
  <c r="F182" i="15"/>
  <c r="F255" i="15" s="1"/>
  <c r="Q81" i="15"/>
  <c r="Q293" i="15"/>
  <c r="Q223" i="15"/>
  <c r="AA261" i="15"/>
  <c r="AA251" i="15"/>
  <c r="AA262" i="15"/>
  <c r="AJ99" i="15"/>
  <c r="AJ182" i="15" s="1"/>
  <c r="AJ255" i="15" s="1"/>
  <c r="AM181" i="15"/>
  <c r="AM254" i="15" s="1"/>
  <c r="AN45" i="15"/>
  <c r="AN43" i="15"/>
  <c r="AN42" i="15"/>
  <c r="AO91" i="15"/>
  <c r="AN91" i="15"/>
  <c r="AF97" i="15"/>
  <c r="AH97" i="15"/>
  <c r="AG97" i="15"/>
  <c r="AI97" i="15"/>
  <c r="F1418" i="20"/>
  <c r="F1420" i="20"/>
  <c r="R293" i="15"/>
  <c r="R223" i="15"/>
  <c r="X45" i="15"/>
  <c r="X43" i="15"/>
  <c r="AA91" i="15"/>
  <c r="AA283" i="15"/>
  <c r="AA213" i="15"/>
  <c r="AA71" i="15"/>
  <c r="AA78" i="15" s="1"/>
  <c r="AB71" i="15"/>
  <c r="AB78" i="15" s="1"/>
  <c r="AB283" i="15"/>
  <c r="AB213" i="15"/>
  <c r="Y169" i="15"/>
  <c r="Y240" i="15" s="1"/>
  <c r="Y168" i="15"/>
  <c r="Y239" i="15" s="1"/>
  <c r="S213" i="15"/>
  <c r="S283" i="15"/>
  <c r="S71" i="15"/>
  <c r="S78" i="15" s="1"/>
  <c r="AU99" i="15" l="1"/>
  <c r="AU182" i="15" s="1"/>
  <c r="AU255" i="15" s="1"/>
  <c r="AR78" i="15"/>
  <c r="AF218" i="15"/>
  <c r="AF78" i="15"/>
  <c r="AB74" i="19"/>
  <c r="AN74" i="19"/>
  <c r="X166" i="15"/>
  <c r="X185" i="15"/>
  <c r="X258" i="15" s="1"/>
  <c r="X263" i="15" s="1"/>
  <c r="X165" i="15"/>
  <c r="X187" i="15"/>
  <c r="X260" i="15" s="1"/>
  <c r="X264" i="15" s="1"/>
  <c r="V165" i="15"/>
  <c r="V187" i="15"/>
  <c r="V260" i="15" s="1"/>
  <c r="V264" i="15" s="1"/>
  <c r="T166" i="15"/>
  <c r="T190" i="15" s="1"/>
  <c r="T185" i="15"/>
  <c r="T258" i="15" s="1"/>
  <c r="T263" i="15" s="1"/>
  <c r="AL153" i="15"/>
  <c r="AL166" i="15" s="1"/>
  <c r="AL152" i="15"/>
  <c r="AL187" i="15" s="1"/>
  <c r="AL260" i="15" s="1"/>
  <c r="AL264" i="15" s="1"/>
  <c r="AK153" i="15"/>
  <c r="AK152" i="15"/>
  <c r="AG152" i="15"/>
  <c r="AG153" i="15"/>
  <c r="AG185" i="15" s="1"/>
  <c r="AG258" i="15" s="1"/>
  <c r="AG263" i="15" s="1"/>
  <c r="AD153" i="15"/>
  <c r="AD152" i="15"/>
  <c r="E296" i="15"/>
  <c r="E82" i="15"/>
  <c r="AB153" i="15"/>
  <c r="AI152" i="15"/>
  <c r="AE152" i="15"/>
  <c r="E86" i="15"/>
  <c r="AH153" i="15"/>
  <c r="W152" i="15"/>
  <c r="AS153" i="15"/>
  <c r="AS166" i="15" s="1"/>
  <c r="AS237" i="15" s="1"/>
  <c r="AF152" i="15"/>
  <c r="AF187" i="15" s="1"/>
  <c r="AF260" i="15" s="1"/>
  <c r="AF264" i="15" s="1"/>
  <c r="R81" i="15"/>
  <c r="R226" i="15" s="1"/>
  <c r="BD82" i="15"/>
  <c r="BD293" i="15"/>
  <c r="BD223" i="15"/>
  <c r="AC152" i="15"/>
  <c r="AT153" i="15"/>
  <c r="AT166" i="15" s="1"/>
  <c r="AL308" i="15"/>
  <c r="AG308" i="15"/>
  <c r="AN150" i="15"/>
  <c r="AN153" i="15" s="1"/>
  <c r="AN300" i="15"/>
  <c r="AN309" i="15" s="1"/>
  <c r="AJ150" i="15"/>
  <c r="AJ153" i="15" s="1"/>
  <c r="AJ300" i="15"/>
  <c r="AQ309" i="15"/>
  <c r="AQ308" i="15"/>
  <c r="AO311" i="15"/>
  <c r="AH309" i="15"/>
  <c r="AH308" i="15"/>
  <c r="AB309" i="15"/>
  <c r="AB308" i="15"/>
  <c r="AU311" i="15"/>
  <c r="AR311" i="15"/>
  <c r="AT311" i="15"/>
  <c r="AM150" i="15"/>
  <c r="AM152" i="15" s="1"/>
  <c r="AM300" i="15"/>
  <c r="AM309" i="15" s="1"/>
  <c r="AM305" i="15"/>
  <c r="AE309" i="15"/>
  <c r="AE308" i="15"/>
  <c r="AO308" i="15"/>
  <c r="AC309" i="15"/>
  <c r="AC308" i="15"/>
  <c r="Z150" i="15"/>
  <c r="Z153" i="15" s="1"/>
  <c r="Z300" i="15"/>
  <c r="AP311" i="15"/>
  <c r="AS309" i="15"/>
  <c r="AS308" i="15"/>
  <c r="AF309" i="15"/>
  <c r="AF308" i="15"/>
  <c r="W309" i="15"/>
  <c r="W308" i="15"/>
  <c r="AK308" i="15"/>
  <c r="AN306" i="15"/>
  <c r="AN311" i="15"/>
  <c r="AA150" i="15"/>
  <c r="AA152" i="15" s="1"/>
  <c r="AA300" i="15"/>
  <c r="AP309" i="15"/>
  <c r="AP308" i="15"/>
  <c r="AD309" i="15"/>
  <c r="AD308" i="15"/>
  <c r="AT309" i="15"/>
  <c r="AT308" i="15"/>
  <c r="AI309" i="15"/>
  <c r="AI308" i="15"/>
  <c r="AS311" i="15"/>
  <c r="E226" i="15"/>
  <c r="AN303" i="15"/>
  <c r="AV297" i="15"/>
  <c r="O223" i="15"/>
  <c r="O293" i="15"/>
  <c r="AI293" i="15"/>
  <c r="AE168" i="15"/>
  <c r="AE239" i="15" s="1"/>
  <c r="AB168" i="15"/>
  <c r="AB239" i="15" s="1"/>
  <c r="AS165" i="15"/>
  <c r="AS191" i="15" s="1"/>
  <c r="AK82" i="15"/>
  <c r="AK297" i="15" s="1"/>
  <c r="AK296" i="15"/>
  <c r="AR168" i="15"/>
  <c r="AR239" i="15" s="1"/>
  <c r="AS97" i="15"/>
  <c r="AT97" i="15"/>
  <c r="AU153" i="15"/>
  <c r="AU166" i="15" s="1"/>
  <c r="AD169" i="15"/>
  <c r="AD240" i="15" s="1"/>
  <c r="AR97" i="15"/>
  <c r="AR293" i="15"/>
  <c r="AU168" i="15"/>
  <c r="AU239" i="15" s="1"/>
  <c r="AS168" i="15"/>
  <c r="AS239" i="15" s="1"/>
  <c r="AT168" i="15"/>
  <c r="AT239" i="15" s="1"/>
  <c r="AS99" i="15"/>
  <c r="AS182" i="15" s="1"/>
  <c r="AS255" i="15" s="1"/>
  <c r="AR288" i="15"/>
  <c r="AT187" i="15"/>
  <c r="AT260" i="15" s="1"/>
  <c r="AT264" i="15" s="1"/>
  <c r="AT165" i="15"/>
  <c r="AR99" i="15"/>
  <c r="AR182" i="15" s="1"/>
  <c r="AR255" i="15" s="1"/>
  <c r="AU165" i="15"/>
  <c r="AU187" i="15"/>
  <c r="AU260" i="15" s="1"/>
  <c r="AU264" i="15" s="1"/>
  <c r="AT99" i="15"/>
  <c r="AT182" i="15" s="1"/>
  <c r="AT255" i="15" s="1"/>
  <c r="AR218" i="15"/>
  <c r="AL81" i="15"/>
  <c r="AL82" i="15" s="1"/>
  <c r="AL227" i="15" s="1"/>
  <c r="AK226" i="15"/>
  <c r="AK169" i="15"/>
  <c r="AK240" i="15" s="1"/>
  <c r="AI169" i="15"/>
  <c r="AI240" i="15" s="1"/>
  <c r="AI99" i="15"/>
  <c r="AI182" i="15" s="1"/>
  <c r="AI255" i="15" s="1"/>
  <c r="AG169" i="15"/>
  <c r="AG240" i="15" s="1"/>
  <c r="AF99" i="15"/>
  <c r="AF182" i="15" s="1"/>
  <c r="AF255" i="15" s="1"/>
  <c r="AF288" i="15"/>
  <c r="AF223" i="15"/>
  <c r="AH168" i="15"/>
  <c r="AH239" i="15" s="1"/>
  <c r="AG99" i="15"/>
  <c r="AG182" i="15" s="1"/>
  <c r="AG255" i="15" s="1"/>
  <c r="AH99" i="15"/>
  <c r="AH182" i="15" s="1"/>
  <c r="AH255" i="15" s="1"/>
  <c r="AR153" i="15"/>
  <c r="AR152" i="15"/>
  <c r="AF169" i="15"/>
  <c r="AF240" i="15" s="1"/>
  <c r="K227" i="15"/>
  <c r="AQ169" i="15"/>
  <c r="AQ240" i="15" s="1"/>
  <c r="AQ168" i="15"/>
  <c r="AQ239" i="15" s="1"/>
  <c r="AQ81" i="15"/>
  <c r="AQ293" i="15"/>
  <c r="AQ223" i="15"/>
  <c r="AP99" i="15"/>
  <c r="AP182" i="15" s="1"/>
  <c r="AP255" i="15" s="1"/>
  <c r="AQ99" i="15"/>
  <c r="AQ182" i="15" s="1"/>
  <c r="AQ255" i="15" s="1"/>
  <c r="AM168" i="15"/>
  <c r="AM239" i="15" s="1"/>
  <c r="AQ150" i="15"/>
  <c r="AP97" i="15"/>
  <c r="AQ97" i="15"/>
  <c r="D877" i="20"/>
  <c r="F877" i="20" s="1"/>
  <c r="D902" i="20"/>
  <c r="AP150" i="15"/>
  <c r="AP152" i="15" s="1"/>
  <c r="Z169" i="15"/>
  <c r="Z240" i="15" s="1"/>
  <c r="AP226" i="15"/>
  <c r="AJ168" i="15"/>
  <c r="AJ239" i="15" s="1"/>
  <c r="AJ97" i="15"/>
  <c r="AM97" i="15"/>
  <c r="AP82" i="15"/>
  <c r="AL97" i="15"/>
  <c r="AP296" i="15"/>
  <c r="AG227" i="15"/>
  <c r="AG297" i="15"/>
  <c r="AL165" i="15"/>
  <c r="H236" i="15"/>
  <c r="H191" i="15"/>
  <c r="AG86" i="15"/>
  <c r="AG226" i="15"/>
  <c r="AH81" i="15"/>
  <c r="AG296" i="15"/>
  <c r="AD97" i="15"/>
  <c r="AE97" i="15"/>
  <c r="AC97" i="15"/>
  <c r="AB97" i="15"/>
  <c r="I227" i="15"/>
  <c r="I297" i="15"/>
  <c r="X71" i="15"/>
  <c r="X283" i="15"/>
  <c r="X213" i="15"/>
  <c r="C83" i="15"/>
  <c r="C227" i="15"/>
  <c r="C297" i="15"/>
  <c r="C296" i="15"/>
  <c r="C86" i="15"/>
  <c r="C226" i="15"/>
  <c r="V169" i="15"/>
  <c r="V240" i="15" s="1"/>
  <c r="AO150" i="15"/>
  <c r="Y82" i="15"/>
  <c r="Y86" i="15"/>
  <c r="Y296" i="15"/>
  <c r="Y226" i="15"/>
  <c r="AE293" i="15"/>
  <c r="AE223" i="15"/>
  <c r="AO297" i="15"/>
  <c r="AO227" i="15"/>
  <c r="AC226" i="15"/>
  <c r="AC296" i="15"/>
  <c r="AC86" i="15"/>
  <c r="BI81" i="15"/>
  <c r="AD81" i="15"/>
  <c r="AE81" i="15" s="1"/>
  <c r="V223" i="15"/>
  <c r="V293" i="15"/>
  <c r="AC82" i="15"/>
  <c r="T168" i="15"/>
  <c r="T169" i="15"/>
  <c r="H227" i="15"/>
  <c r="H297" i="15"/>
  <c r="AO99" i="15"/>
  <c r="AO182" i="15" s="1"/>
  <c r="AO255" i="15" s="1"/>
  <c r="AN218" i="15"/>
  <c r="AN288" i="15"/>
  <c r="J236" i="15"/>
  <c r="J191" i="15"/>
  <c r="W166" i="15"/>
  <c r="W185" i="15"/>
  <c r="W258" i="15" s="1"/>
  <c r="W263" i="15" s="1"/>
  <c r="H86" i="15"/>
  <c r="H296" i="15"/>
  <c r="H226" i="15"/>
  <c r="AN233" i="15"/>
  <c r="AN189" i="15"/>
  <c r="U82" i="15"/>
  <c r="U86" i="15"/>
  <c r="BG81" i="15"/>
  <c r="U296" i="15"/>
  <c r="U226" i="15"/>
  <c r="V81" i="15"/>
  <c r="W81" i="15" s="1"/>
  <c r="X81" i="15" s="1"/>
  <c r="AB165" i="15"/>
  <c r="AB187" i="15"/>
  <c r="AB260" i="15" s="1"/>
  <c r="AB264" i="15" s="1"/>
  <c r="AP168" i="15"/>
  <c r="AP239" i="15" s="1"/>
  <c r="D297" i="15"/>
  <c r="D227" i="15"/>
  <c r="AE166" i="15"/>
  <c r="AE185" i="15"/>
  <c r="AE258" i="15" s="1"/>
  <c r="AE263" i="15" s="1"/>
  <c r="AM293" i="15"/>
  <c r="AM223" i="15"/>
  <c r="V237" i="15"/>
  <c r="V190" i="15"/>
  <c r="AN99" i="15"/>
  <c r="AN182" i="15" s="1"/>
  <c r="AN255" i="15" s="1"/>
  <c r="AC166" i="15"/>
  <c r="AC185" i="15"/>
  <c r="AC258" i="15" s="1"/>
  <c r="AC263" i="15" s="1"/>
  <c r="D86" i="15"/>
  <c r="D296" i="15"/>
  <c r="D226" i="15"/>
  <c r="F297" i="15"/>
  <c r="F227" i="15"/>
  <c r="Z223" i="15"/>
  <c r="Z293" i="15"/>
  <c r="Z81" i="15"/>
  <c r="T218" i="15"/>
  <c r="T288" i="15"/>
  <c r="AO97" i="15"/>
  <c r="AN97" i="15"/>
  <c r="AE99" i="15"/>
  <c r="AE182" i="15" s="1"/>
  <c r="AE255" i="15" s="1"/>
  <c r="AB288" i="15"/>
  <c r="AB218" i="15"/>
  <c r="T43" i="15"/>
  <c r="T45" i="15"/>
  <c r="Z97" i="15"/>
  <c r="W97" i="15"/>
  <c r="AG165" i="15"/>
  <c r="AG187" i="15"/>
  <c r="AG260" i="15" s="1"/>
  <c r="AG264" i="15" s="1"/>
  <c r="T33" i="15"/>
  <c r="T23" i="15"/>
  <c r="T32" i="15"/>
  <c r="S288" i="15"/>
  <c r="S218" i="15"/>
  <c r="AA169" i="15"/>
  <c r="AA240" i="15" s="1"/>
  <c r="AA168" i="15"/>
  <c r="AA239" i="15" s="1"/>
  <c r="AN169" i="15"/>
  <c r="AN240" i="15" s="1"/>
  <c r="AN168" i="15"/>
  <c r="AN239" i="15" s="1"/>
  <c r="AO169" i="15"/>
  <c r="AO240" i="15" s="1"/>
  <c r="AO168" i="15"/>
  <c r="AO239" i="15" s="1"/>
  <c r="AI166" i="15"/>
  <c r="AI185" i="15"/>
  <c r="AI258" i="15" s="1"/>
  <c r="AI263" i="15" s="1"/>
  <c r="AA218" i="15"/>
  <c r="AA288" i="15"/>
  <c r="AD99" i="15"/>
  <c r="AD182" i="15" s="1"/>
  <c r="AD255" i="15" s="1"/>
  <c r="Q86" i="15"/>
  <c r="Q296" i="15"/>
  <c r="Q226" i="15"/>
  <c r="W99" i="15"/>
  <c r="W182" i="15" s="1"/>
  <c r="W255" i="15" s="1"/>
  <c r="AB99" i="15"/>
  <c r="AB182" i="15" s="1"/>
  <c r="AB255" i="15" s="1"/>
  <c r="AH165" i="15"/>
  <c r="AH187" i="15"/>
  <c r="AH260" i="15" s="1"/>
  <c r="AH264" i="15" s="1"/>
  <c r="AF185" i="15"/>
  <c r="AF258" i="15" s="1"/>
  <c r="AF263" i="15" s="1"/>
  <c r="AF166" i="15"/>
  <c r="Q82" i="15"/>
  <c r="W293" i="15"/>
  <c r="W223" i="15"/>
  <c r="AC99" i="15"/>
  <c r="AC182" i="15" s="1"/>
  <c r="AC255" i="15" s="1"/>
  <c r="F226" i="15"/>
  <c r="F86" i="15"/>
  <c r="F296" i="15"/>
  <c r="AJ293" i="15"/>
  <c r="AJ223" i="15"/>
  <c r="E297" i="15"/>
  <c r="E227" i="15"/>
  <c r="AL185" i="15" l="1"/>
  <c r="AL258" i="15" s="1"/>
  <c r="AL263" i="15" s="1"/>
  <c r="AA99" i="15"/>
  <c r="AA182" i="15" s="1"/>
  <c r="AA255" i="15" s="1"/>
  <c r="X78" i="15"/>
  <c r="AG166" i="15"/>
  <c r="X190" i="15"/>
  <c r="X237" i="15"/>
  <c r="X236" i="15"/>
  <c r="X191" i="15"/>
  <c r="V191" i="15"/>
  <c r="V236" i="15"/>
  <c r="AD187" i="15"/>
  <c r="AD260" i="15" s="1"/>
  <c r="AD264" i="15" s="1"/>
  <c r="AD165" i="15"/>
  <c r="AD191" i="15" s="1"/>
  <c r="AB185" i="15"/>
  <c r="AB258" i="15" s="1"/>
  <c r="AB263" i="15" s="1"/>
  <c r="AB166" i="15"/>
  <c r="W165" i="15"/>
  <c r="W191" i="15" s="1"/>
  <c r="W187" i="15"/>
  <c r="W260" i="15" s="1"/>
  <c r="W264" i="15" s="1"/>
  <c r="AK185" i="15"/>
  <c r="AK258" i="15" s="1"/>
  <c r="AK263" i="15" s="1"/>
  <c r="AK166" i="15"/>
  <c r="AK187" i="15"/>
  <c r="AK260" i="15" s="1"/>
  <c r="AK264" i="15" s="1"/>
  <c r="AK165" i="15"/>
  <c r="AD185" i="15"/>
  <c r="AD258" i="15" s="1"/>
  <c r="AD263" i="15" s="1"/>
  <c r="AD166" i="15"/>
  <c r="AE187" i="15"/>
  <c r="AE260" i="15" s="1"/>
  <c r="AE264" i="15" s="1"/>
  <c r="AE165" i="15"/>
  <c r="AC187" i="15"/>
  <c r="AC260" i="15" s="1"/>
  <c r="AC264" i="15" s="1"/>
  <c r="AC165" i="15"/>
  <c r="AI165" i="15"/>
  <c r="AI236" i="15" s="1"/>
  <c r="AI187" i="15"/>
  <c r="AI260" i="15" s="1"/>
  <c r="AI264" i="15" s="1"/>
  <c r="AH166" i="15"/>
  <c r="AH185" i="15"/>
  <c r="AH258" i="15" s="1"/>
  <c r="AH263" i="15" s="1"/>
  <c r="AS190" i="15"/>
  <c r="AF165" i="15"/>
  <c r="R82" i="15"/>
  <c r="AN152" i="15"/>
  <c r="AM153" i="15"/>
  <c r="AT185" i="15"/>
  <c r="AT258" i="15" s="1"/>
  <c r="AT263" i="15" s="1"/>
  <c r="R86" i="15"/>
  <c r="Z152" i="15"/>
  <c r="R296" i="15"/>
  <c r="AM308" i="15"/>
  <c r="AJ152" i="15"/>
  <c r="AS185" i="15"/>
  <c r="AS258" i="15" s="1"/>
  <c r="AS263" i="15" s="1"/>
  <c r="BD297" i="15"/>
  <c r="BD227" i="15"/>
  <c r="BD296" i="15"/>
  <c r="BD226" i="15"/>
  <c r="AA153" i="15"/>
  <c r="AA185" i="15" s="1"/>
  <c r="AA258" i="15" s="1"/>
  <c r="AA263" i="15" s="1"/>
  <c r="AA309" i="15"/>
  <c r="AA308" i="15"/>
  <c r="AJ309" i="15"/>
  <c r="AJ308" i="15"/>
  <c r="AN308" i="15"/>
  <c r="AN305" i="15"/>
  <c r="Z309" i="15"/>
  <c r="Z308" i="15"/>
  <c r="AS236" i="15"/>
  <c r="AK227" i="15"/>
  <c r="AL86" i="15"/>
  <c r="AL226" i="15"/>
  <c r="AL296" i="15"/>
  <c r="AL297" i="15"/>
  <c r="O297" i="15"/>
  <c r="O227" i="15"/>
  <c r="AM81" i="15"/>
  <c r="AM86" i="15" s="1"/>
  <c r="AR223" i="15"/>
  <c r="AU185" i="15"/>
  <c r="AU258" i="15" s="1"/>
  <c r="AU263" i="15" s="1"/>
  <c r="AU237" i="15"/>
  <c r="AU190" i="15"/>
  <c r="AT236" i="15"/>
  <c r="AT191" i="15"/>
  <c r="AT237" i="15"/>
  <c r="AT190" i="15"/>
  <c r="AU236" i="15"/>
  <c r="AU191" i="15"/>
  <c r="AP153" i="15"/>
  <c r="AP166" i="15" s="1"/>
  <c r="AP227" i="15"/>
  <c r="AR81" i="15"/>
  <c r="AF293" i="15"/>
  <c r="AR187" i="15"/>
  <c r="AR260" i="15" s="1"/>
  <c r="AR264" i="15" s="1"/>
  <c r="AR165" i="15"/>
  <c r="AR166" i="15"/>
  <c r="AR185" i="15"/>
  <c r="AR258" i="15" s="1"/>
  <c r="AR263" i="15" s="1"/>
  <c r="AP297" i="15"/>
  <c r="AQ82" i="15"/>
  <c r="AQ296" i="15"/>
  <c r="AQ86" i="15"/>
  <c r="AQ226" i="15"/>
  <c r="AQ153" i="15"/>
  <c r="AQ152" i="15"/>
  <c r="AM165" i="15"/>
  <c r="AM187" i="15"/>
  <c r="AM260" i="15" s="1"/>
  <c r="AM264" i="15" s="1"/>
  <c r="AL191" i="15"/>
  <c r="AL236" i="15"/>
  <c r="AJ166" i="15"/>
  <c r="AJ185" i="15"/>
  <c r="AJ258" i="15" s="1"/>
  <c r="AJ263" i="15" s="1"/>
  <c r="AL237" i="15"/>
  <c r="AL190" i="15"/>
  <c r="AH226" i="15"/>
  <c r="AH86" i="15"/>
  <c r="AH296" i="15"/>
  <c r="AH82" i="15"/>
  <c r="AI81" i="15"/>
  <c r="AE296" i="15"/>
  <c r="AE226" i="15"/>
  <c r="AE86" i="15"/>
  <c r="AF81" i="15"/>
  <c r="AF226" i="15" s="1"/>
  <c r="AE82" i="15"/>
  <c r="BI82" i="15"/>
  <c r="AO152" i="15"/>
  <c r="AO153" i="15"/>
  <c r="C85" i="15"/>
  <c r="D83" i="15"/>
  <c r="Q83" i="15" s="1"/>
  <c r="C228" i="15"/>
  <c r="AN185" i="15"/>
  <c r="AN258" i="15" s="1"/>
  <c r="AN263" i="15" s="1"/>
  <c r="AN166" i="15"/>
  <c r="AD86" i="15"/>
  <c r="AD226" i="15"/>
  <c r="AD296" i="15"/>
  <c r="AD82" i="15"/>
  <c r="AP187" i="15"/>
  <c r="AP260" i="15" s="1"/>
  <c r="AP264" i="15" s="1"/>
  <c r="AP165" i="15"/>
  <c r="Y227" i="15"/>
  <c r="Y297" i="15"/>
  <c r="AC297" i="15"/>
  <c r="AC227" i="15"/>
  <c r="Z99" i="15"/>
  <c r="Z182" i="15" s="1"/>
  <c r="Z255" i="15" s="1"/>
  <c r="X218" i="15"/>
  <c r="X288" i="15"/>
  <c r="X82" i="15"/>
  <c r="Z185" i="15"/>
  <c r="Z258" i="15" s="1"/>
  <c r="Z263" i="15" s="1"/>
  <c r="Z166" i="15"/>
  <c r="AE190" i="15"/>
  <c r="AE237" i="15"/>
  <c r="W236" i="15"/>
  <c r="V86" i="15"/>
  <c r="V226" i="15"/>
  <c r="V296" i="15"/>
  <c r="V82" i="15"/>
  <c r="AA187" i="15"/>
  <c r="AA260" i="15" s="1"/>
  <c r="AA264" i="15" s="1"/>
  <c r="AA165" i="15"/>
  <c r="AN293" i="15"/>
  <c r="AN223" i="15"/>
  <c r="W190" i="15"/>
  <c r="W237" i="15"/>
  <c r="AC190" i="15"/>
  <c r="AC237" i="15"/>
  <c r="AB191" i="15"/>
  <c r="AB236" i="15"/>
  <c r="BG82" i="15"/>
  <c r="BH81" i="15"/>
  <c r="U227" i="15"/>
  <c r="U297" i="15"/>
  <c r="X296" i="15"/>
  <c r="X226" i="15"/>
  <c r="W82" i="15"/>
  <c r="AB223" i="15"/>
  <c r="AB293" i="15"/>
  <c r="AA293" i="15"/>
  <c r="AA223" i="15"/>
  <c r="AA81" i="15"/>
  <c r="AB81" i="15" s="1"/>
  <c r="AB82" i="15" s="1"/>
  <c r="AH236" i="15"/>
  <c r="AH191" i="15"/>
  <c r="AI237" i="15"/>
  <c r="AI190" i="15"/>
  <c r="Q227" i="15"/>
  <c r="Q297" i="15"/>
  <c r="T293" i="15"/>
  <c r="T223" i="15"/>
  <c r="AF237" i="15"/>
  <c r="AF190" i="15"/>
  <c r="Z296" i="15"/>
  <c r="Z226" i="15"/>
  <c r="Z86" i="15"/>
  <c r="W296" i="15"/>
  <c r="W86" i="15"/>
  <c r="W226" i="15"/>
  <c r="S81" i="15"/>
  <c r="S223" i="15"/>
  <c r="S293" i="15"/>
  <c r="AG190" i="15"/>
  <c r="AG237" i="15"/>
  <c r="AG191" i="15"/>
  <c r="AG236" i="15"/>
  <c r="Z82" i="15"/>
  <c r="AI191" i="15" l="1"/>
  <c r="AD236" i="15"/>
  <c r="AM185" i="15"/>
  <c r="AM258" i="15" s="1"/>
  <c r="AM263" i="15" s="1"/>
  <c r="AM166" i="15"/>
  <c r="AB237" i="15"/>
  <c r="AB190" i="15"/>
  <c r="AD190" i="15"/>
  <c r="AD237" i="15"/>
  <c r="AN187" i="15"/>
  <c r="AN260" i="15" s="1"/>
  <c r="AN264" i="15" s="1"/>
  <c r="AN165" i="15"/>
  <c r="AK190" i="15"/>
  <c r="AK237" i="15"/>
  <c r="AK236" i="15"/>
  <c r="AK191" i="15"/>
  <c r="AE236" i="15"/>
  <c r="AE191" i="15"/>
  <c r="AC236" i="15"/>
  <c r="AC191" i="15"/>
  <c r="AF236" i="15"/>
  <c r="AF191" i="15"/>
  <c r="R227" i="15"/>
  <c r="R297" i="15"/>
  <c r="AH190" i="15"/>
  <c r="AH237" i="15"/>
  <c r="Z187" i="15"/>
  <c r="Z260" i="15" s="1"/>
  <c r="Z264" i="15" s="1"/>
  <c r="Z165" i="15"/>
  <c r="AJ187" i="15"/>
  <c r="AJ260" i="15" s="1"/>
  <c r="AJ264" i="15" s="1"/>
  <c r="AJ165" i="15"/>
  <c r="AA166" i="15"/>
  <c r="AA237" i="15" s="1"/>
  <c r="AM226" i="15"/>
  <c r="AM296" i="15"/>
  <c r="AN81" i="15"/>
  <c r="AN82" i="15" s="1"/>
  <c r="AM82" i="15"/>
  <c r="AR82" i="15"/>
  <c r="AR227" i="15" s="1"/>
  <c r="AR86" i="15"/>
  <c r="AR296" i="15"/>
  <c r="AR226" i="15"/>
  <c r="AP185" i="15"/>
  <c r="AP258" i="15" s="1"/>
  <c r="AP263" i="15" s="1"/>
  <c r="AR236" i="15"/>
  <c r="AR191" i="15"/>
  <c r="AR190" i="15"/>
  <c r="AR237" i="15"/>
  <c r="AQ166" i="15"/>
  <c r="AQ185" i="15"/>
  <c r="AQ258" i="15" s="1"/>
  <c r="AQ263" i="15" s="1"/>
  <c r="AQ165" i="15"/>
  <c r="AQ187" i="15"/>
  <c r="AQ260" i="15" s="1"/>
  <c r="AQ264" i="15" s="1"/>
  <c r="AQ227" i="15"/>
  <c r="AQ297" i="15"/>
  <c r="AF296" i="15"/>
  <c r="AF82" i="15"/>
  <c r="AF227" i="15" s="1"/>
  <c r="AF86" i="15"/>
  <c r="AJ237" i="15"/>
  <c r="AJ190" i="15"/>
  <c r="AI82" i="15"/>
  <c r="AI226" i="15"/>
  <c r="AJ81" i="15"/>
  <c r="AI296" i="15"/>
  <c r="AI86" i="15"/>
  <c r="AM191" i="15"/>
  <c r="AM236" i="15"/>
  <c r="AH297" i="15"/>
  <c r="AH227" i="15"/>
  <c r="AM237" i="15"/>
  <c r="AM190" i="15"/>
  <c r="D85" i="15"/>
  <c r="D228" i="15"/>
  <c r="E83" i="15"/>
  <c r="AO165" i="15"/>
  <c r="AO187" i="15"/>
  <c r="AO260" i="15" s="1"/>
  <c r="AO264" i="15" s="1"/>
  <c r="AD227" i="15"/>
  <c r="AD297" i="15"/>
  <c r="X223" i="15"/>
  <c r="X293" i="15"/>
  <c r="AN236" i="15"/>
  <c r="AN191" i="15"/>
  <c r="AN190" i="15"/>
  <c r="AN237" i="15"/>
  <c r="AE297" i="15"/>
  <c r="AE227" i="15"/>
  <c r="X86" i="15"/>
  <c r="AP237" i="15"/>
  <c r="AP190" i="15"/>
  <c r="AO185" i="15"/>
  <c r="AO258" i="15" s="1"/>
  <c r="AO263" i="15" s="1"/>
  <c r="AO166" i="15"/>
  <c r="AP236" i="15"/>
  <c r="AP191" i="15"/>
  <c r="BH82" i="15"/>
  <c r="AA191" i="15"/>
  <c r="AA236" i="15"/>
  <c r="V227" i="15"/>
  <c r="V297" i="15"/>
  <c r="Z237" i="15"/>
  <c r="Z190" i="15"/>
  <c r="AB297" i="15"/>
  <c r="AB227" i="15"/>
  <c r="AA226" i="15"/>
  <c r="AA296" i="15"/>
  <c r="AA86" i="15"/>
  <c r="AB86" i="15" s="1"/>
  <c r="X297" i="15"/>
  <c r="X227" i="15"/>
  <c r="S226" i="15"/>
  <c r="S296" i="15"/>
  <c r="S86" i="15"/>
  <c r="T86" i="15" s="1"/>
  <c r="T81" i="15"/>
  <c r="Q228" i="15"/>
  <c r="Q144" i="15"/>
  <c r="R83" i="15"/>
  <c r="AA82" i="15"/>
  <c r="S82" i="15"/>
  <c r="W297" i="15"/>
  <c r="W227" i="15"/>
  <c r="AB296" i="15"/>
  <c r="AB226" i="15"/>
  <c r="Z297" i="15"/>
  <c r="Z227" i="15"/>
  <c r="AJ191" i="15" l="1"/>
  <c r="AJ236" i="15"/>
  <c r="Z191" i="15"/>
  <c r="Z236" i="15"/>
  <c r="AM227" i="15"/>
  <c r="AM297" i="15"/>
  <c r="AA190" i="15"/>
  <c r="Q146" i="15"/>
  <c r="AN226" i="15"/>
  <c r="AN296" i="15"/>
  <c r="AN86" i="15"/>
  <c r="AR297" i="15"/>
  <c r="AF297" i="15"/>
  <c r="AN297" i="15"/>
  <c r="AN227" i="15"/>
  <c r="AQ191" i="15"/>
  <c r="AQ236" i="15"/>
  <c r="AQ190" i="15"/>
  <c r="AQ237" i="15"/>
  <c r="AI227" i="15"/>
  <c r="AI297" i="15"/>
  <c r="AJ226" i="15"/>
  <c r="AJ296" i="15"/>
  <c r="AJ86" i="15"/>
  <c r="AJ82" i="15"/>
  <c r="AO191" i="15"/>
  <c r="AO236" i="15"/>
  <c r="E85" i="15"/>
  <c r="E228" i="15"/>
  <c r="F83" i="15"/>
  <c r="AO237" i="15"/>
  <c r="AO190" i="15"/>
  <c r="S227" i="15"/>
  <c r="S297" i="15"/>
  <c r="T226" i="15"/>
  <c r="T296" i="15"/>
  <c r="T82" i="15"/>
  <c r="AA227" i="15"/>
  <c r="AA297" i="15"/>
  <c r="S83" i="15"/>
  <c r="R228" i="15"/>
  <c r="R144" i="15"/>
  <c r="R146" i="15" s="1"/>
  <c r="Q85" i="15"/>
  <c r="Q152" i="15" l="1"/>
  <c r="Q231" i="15"/>
  <c r="Q171" i="15"/>
  <c r="Q158" i="15"/>
  <c r="BD183" i="15"/>
  <c r="BD256" i="15" s="1"/>
  <c r="BD298" i="15" s="1"/>
  <c r="BD303" i="15" s="1"/>
  <c r="BD29" i="15"/>
  <c r="BD146" i="15"/>
  <c r="AJ297" i="15"/>
  <c r="AJ227" i="15"/>
  <c r="F228" i="15"/>
  <c r="G83" i="15"/>
  <c r="F85" i="15"/>
  <c r="R152" i="15"/>
  <c r="R171" i="15"/>
  <c r="R158" i="15"/>
  <c r="R231" i="15"/>
  <c r="R85" i="15"/>
  <c r="T83" i="15"/>
  <c r="S144" i="15"/>
  <c r="S146" i="15" s="1"/>
  <c r="S228" i="15"/>
  <c r="T297" i="15"/>
  <c r="T227" i="15"/>
  <c r="BD231" i="15" l="1"/>
  <c r="BD171" i="15"/>
  <c r="BD158" i="15"/>
  <c r="BD186" i="15"/>
  <c r="BD259" i="15" s="1"/>
  <c r="BD262" i="15" s="1"/>
  <c r="BD162" i="15"/>
  <c r="BD152" i="15"/>
  <c r="BD308" i="15"/>
  <c r="BD305" i="15"/>
  <c r="H83" i="15"/>
  <c r="G85" i="15"/>
  <c r="G228" i="15"/>
  <c r="S171" i="15"/>
  <c r="S231" i="15"/>
  <c r="S152" i="15"/>
  <c r="S158" i="15"/>
  <c r="S85" i="15"/>
  <c r="U83" i="15"/>
  <c r="T228" i="15"/>
  <c r="T85" i="15"/>
  <c r="BD187" i="15" l="1"/>
  <c r="BD260" i="15" s="1"/>
  <c r="BD264" i="15" s="1"/>
  <c r="BD165" i="15"/>
  <c r="BD189" i="15"/>
  <c r="BD233" i="15"/>
  <c r="I83" i="15"/>
  <c r="J83" i="15" s="1"/>
  <c r="K83" i="15" s="1"/>
  <c r="L83" i="15" s="1"/>
  <c r="M83" i="15" s="1"/>
  <c r="N83" i="15" s="1"/>
  <c r="H228" i="15"/>
  <c r="H85" i="15"/>
  <c r="U228" i="15"/>
  <c r="V83" i="15"/>
  <c r="U85" i="15"/>
  <c r="BG83" i="15"/>
  <c r="BD191" i="15" l="1"/>
  <c r="BD236" i="15"/>
  <c r="N85" i="15"/>
  <c r="N228" i="15"/>
  <c r="M85" i="15"/>
  <c r="M228" i="15"/>
  <c r="L85" i="15"/>
  <c r="L228" i="15"/>
  <c r="K228" i="15"/>
  <c r="K85" i="15"/>
  <c r="I85" i="15"/>
  <c r="I228" i="15"/>
  <c r="BH83" i="15"/>
  <c r="V228" i="15"/>
  <c r="V85" i="15"/>
  <c r="W83" i="15"/>
  <c r="J85" i="15" l="1"/>
  <c r="J228" i="15"/>
  <c r="W228" i="15"/>
  <c r="X83" i="15"/>
  <c r="W85" i="15"/>
  <c r="X228" i="15" l="1"/>
  <c r="X85" i="15"/>
  <c r="Y83" i="15"/>
  <c r="Y228" i="15" l="1"/>
  <c r="Y85" i="15"/>
  <c r="Z83" i="15"/>
  <c r="AA83" i="15" l="1"/>
  <c r="Z85" i="15"/>
  <c r="Z228" i="15"/>
  <c r="AA228" i="15" l="1"/>
  <c r="AB83" i="15"/>
  <c r="AA85" i="15"/>
  <c r="AC83" i="15" l="1"/>
  <c r="AB228" i="15"/>
  <c r="AB85" i="15"/>
  <c r="AC228" i="15" l="1"/>
  <c r="BI83" i="15"/>
  <c r="AC85" i="15"/>
  <c r="AD83" i="15"/>
  <c r="AD228" i="15" l="1"/>
  <c r="AD85" i="15"/>
  <c r="AE83" i="15"/>
  <c r="AE85" i="15" l="1"/>
  <c r="AE228" i="15"/>
  <c r="AF83" i="15"/>
  <c r="AF228" i="15" l="1"/>
  <c r="AG83" i="15"/>
  <c r="AF85" i="15"/>
  <c r="AG228" i="15" l="1"/>
  <c r="AG85" i="15"/>
  <c r="AH83" i="15"/>
  <c r="AI83" i="15" l="1"/>
  <c r="AH228" i="15"/>
  <c r="AH85" i="15"/>
  <c r="AI85" i="15" l="1"/>
  <c r="AI228" i="15"/>
  <c r="AJ83" i="15"/>
  <c r="AK83" i="15" l="1"/>
  <c r="AJ85" i="15"/>
  <c r="AJ228" i="15"/>
  <c r="AK85" i="15" l="1"/>
  <c r="AK228" i="15"/>
  <c r="AL83" i="15"/>
  <c r="AL85" i="15" l="1"/>
  <c r="AM83" i="15"/>
  <c r="AL228" i="15"/>
  <c r="AN83" i="15" l="1"/>
  <c r="AM85" i="15"/>
  <c r="AM228" i="15"/>
  <c r="AO83" i="15" l="1"/>
  <c r="AN228" i="15"/>
  <c r="AN85" i="15"/>
  <c r="AP83" i="15" l="1"/>
  <c r="AO85" i="15"/>
  <c r="AO228" i="15"/>
  <c r="AQ83" i="15" l="1"/>
  <c r="AP228" i="15"/>
  <c r="AP85" i="15"/>
  <c r="AR83" i="15" l="1"/>
  <c r="AQ85" i="15"/>
  <c r="AQ228" i="15"/>
  <c r="AS83" i="15" l="1"/>
  <c r="AR85" i="15"/>
  <c r="AR228" i="15"/>
  <c r="AT83" i="15" l="1"/>
  <c r="AU83" i="15" s="1"/>
  <c r="AS228" i="15"/>
  <c r="AS85" i="15"/>
  <c r="AU85" i="15" l="1"/>
  <c r="AV83" i="15"/>
  <c r="AT85" i="15"/>
  <c r="AT228" i="15"/>
  <c r="AW83" i="15" l="1"/>
  <c r="AV228" i="15"/>
  <c r="AV85" i="15"/>
  <c r="AU228" i="15"/>
  <c r="AX83" i="15" l="1"/>
  <c r="AX85" i="15" s="1"/>
  <c r="AW85" i="15"/>
  <c r="AW228" i="15"/>
  <c r="AX141" i="15"/>
  <c r="AX142" i="15" s="1"/>
  <c r="AY83" i="15" l="1"/>
  <c r="AX228" i="15"/>
  <c r="AZ83" i="15" l="1"/>
  <c r="AY228" i="15"/>
  <c r="AY85" i="15"/>
  <c r="BA83" i="15" l="1"/>
  <c r="AZ228" i="15"/>
  <c r="AZ85" i="15"/>
  <c r="BA228" i="15" l="1"/>
  <c r="BA85" i="15"/>
  <c r="BB83" i="15"/>
  <c r="O83" i="15" s="1"/>
  <c r="O228" i="15" s="1"/>
  <c r="O85" i="15" l="1"/>
  <c r="BC83" i="15"/>
  <c r="BD83" i="15" s="1"/>
  <c r="BE83" i="15" s="1"/>
  <c r="BB228" i="15"/>
  <c r="BB85" i="15"/>
  <c r="BE85" i="15" l="1"/>
  <c r="BE228" i="15"/>
  <c r="BD228" i="15"/>
  <c r="BD85" i="15"/>
  <c r="BC228" i="15"/>
  <c r="BC8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CRISIL</author>
    <author>CRISIL GR&amp;RS</author>
    <author>Vishal K Mirwani</author>
    <author>Vivek Panchal</author>
    <author>Meghana Ramesh Gollapudi</author>
  </authors>
  <commentList>
    <comment ref="I7" authorId="0" shapeId="0" xr:uid="{CE57D4EF-1262-40C9-94D8-FDD29D952625}">
      <text>
        <r>
          <rPr>
            <b/>
            <sz val="9"/>
            <color indexed="81"/>
            <rFont val="Tahoma"/>
            <family val="2"/>
          </rPr>
          <t>CRISIL:</t>
        </r>
        <r>
          <rPr>
            <sz val="9"/>
            <color indexed="81"/>
            <rFont val="Tahoma"/>
            <family val="2"/>
          </rPr>
          <t xml:space="preserve">
FS: pg 9/166</t>
        </r>
      </text>
    </comment>
    <comment ref="I8" authorId="0" shapeId="0" xr:uid="{55A5A326-2610-4859-B91E-B8D387DA48EB}">
      <text>
        <r>
          <rPr>
            <b/>
            <sz val="9"/>
            <color indexed="81"/>
            <rFont val="Tahoma"/>
            <family val="2"/>
          </rPr>
          <t>CRISIL:</t>
        </r>
        <r>
          <rPr>
            <sz val="9"/>
            <color indexed="81"/>
            <rFont val="Tahoma"/>
            <family val="2"/>
          </rPr>
          <t xml:space="preserve">
Data NA</t>
        </r>
      </text>
    </comment>
    <comment ref="I16" authorId="0" shapeId="0" xr:uid="{52D421AC-53E4-4661-AF76-1AB665335F7E}">
      <text>
        <r>
          <rPr>
            <b/>
            <sz val="9"/>
            <color indexed="81"/>
            <rFont val="Tahoma"/>
            <family val="2"/>
          </rPr>
          <t>CRISIL:</t>
        </r>
        <r>
          <rPr>
            <sz val="9"/>
            <color indexed="81"/>
            <rFont val="Tahoma"/>
            <family val="2"/>
          </rPr>
          <t xml:space="preserve">
Differs from calculated leverage due to company exlcuding financial leases from total debt</t>
        </r>
      </text>
    </comment>
    <comment ref="C24" authorId="0" shapeId="0" xr:uid="{9AB98D5E-E9F4-45DE-B6BC-F5E4B162A0AC}">
      <text>
        <r>
          <rPr>
            <b/>
            <sz val="9"/>
            <color indexed="81"/>
            <rFont val="Tahoma"/>
            <family val="2"/>
          </rPr>
          <t>CRISIL:</t>
        </r>
        <r>
          <rPr>
            <sz val="9"/>
            <color indexed="81"/>
            <rFont val="Tahoma"/>
            <family val="2"/>
          </rPr>
          <t xml:space="preserve">
Adjsuted with following (pg 49/166):
* Other non-current financial liabilities: 3,086.983</t>
        </r>
      </text>
    </comment>
    <comment ref="I51" authorId="0" shapeId="0" xr:uid="{9FF3072C-E158-482E-AA6D-4306D6E4FA0F}">
      <text>
        <r>
          <rPr>
            <b/>
            <sz val="9"/>
            <color indexed="81"/>
            <rFont val="Tahoma"/>
            <family val="2"/>
          </rPr>
          <t>CRISIL:</t>
        </r>
        <r>
          <rPr>
            <sz val="9"/>
            <color indexed="81"/>
            <rFont val="Tahoma"/>
            <family val="2"/>
          </rPr>
          <t xml:space="preserve">
FS: pg 86/161</t>
        </r>
      </text>
    </comment>
    <comment ref="I52" authorId="0" shapeId="0" xr:uid="{E7223105-724D-4544-BFF1-C54803893FF5}">
      <text>
        <r>
          <rPr>
            <b/>
            <sz val="9"/>
            <color indexed="81"/>
            <rFont val="Tahoma"/>
            <family val="2"/>
          </rPr>
          <t>CRISIL:</t>
        </r>
        <r>
          <rPr>
            <sz val="9"/>
            <color indexed="81"/>
            <rFont val="Tahoma"/>
            <family val="2"/>
          </rPr>
          <t xml:space="preserve">
Data NA</t>
        </r>
      </text>
    </comment>
    <comment ref="I60" authorId="0" shapeId="0" xr:uid="{FA699A51-A6D9-42A4-9FF2-261CB19100E2}">
      <text>
        <r>
          <rPr>
            <b/>
            <sz val="9"/>
            <color indexed="81"/>
            <rFont val="Tahoma"/>
            <family val="2"/>
          </rPr>
          <t>CRISIL:</t>
        </r>
        <r>
          <rPr>
            <sz val="9"/>
            <color indexed="81"/>
            <rFont val="Tahoma"/>
            <family val="2"/>
          </rPr>
          <t xml:space="preserve">
Differs from calculated leverage due to company exlcuding financial leases from total debt</t>
        </r>
      </text>
    </comment>
    <comment ref="C68" authorId="0" shapeId="0" xr:uid="{7E6F2605-589A-4F25-934D-6F0BC8CEB83B}">
      <text>
        <r>
          <rPr>
            <b/>
            <sz val="9"/>
            <color indexed="81"/>
            <rFont val="Tahoma"/>
            <family val="2"/>
          </rPr>
          <t>CRISIL:</t>
        </r>
        <r>
          <rPr>
            <sz val="9"/>
            <color indexed="81"/>
            <rFont val="Tahoma"/>
            <family val="2"/>
          </rPr>
          <t xml:space="preserve">
Adjsuted with following (pg 47/161):
* Other non-current financial liabilities: 2,130.113</t>
        </r>
      </text>
    </comment>
    <comment ref="I96" authorId="0" shapeId="0" xr:uid="{B6EBF132-9EF9-4978-86D2-3A87AC842845}">
      <text>
        <r>
          <rPr>
            <b/>
            <sz val="9"/>
            <color indexed="81"/>
            <rFont val="Tahoma"/>
            <family val="2"/>
          </rPr>
          <t>CRISIL:</t>
        </r>
        <r>
          <rPr>
            <sz val="9"/>
            <color indexed="81"/>
            <rFont val="Tahoma"/>
            <family val="2"/>
          </rPr>
          <t xml:space="preserve">
FS: pg 18/174</t>
        </r>
      </text>
    </comment>
    <comment ref="I97" authorId="0" shapeId="0" xr:uid="{6F3BEF9E-B8D3-4CCE-AE63-A0AEF2AEF5E2}">
      <text>
        <r>
          <rPr>
            <b/>
            <sz val="9"/>
            <color indexed="81"/>
            <rFont val="Tahoma"/>
            <family val="2"/>
          </rPr>
          <t>CRISIL:</t>
        </r>
        <r>
          <rPr>
            <sz val="9"/>
            <color indexed="81"/>
            <rFont val="Tahoma"/>
            <family val="2"/>
          </rPr>
          <t xml:space="preserve">
Data NA</t>
        </r>
      </text>
    </comment>
    <comment ref="I105" authorId="0" shapeId="0" xr:uid="{F4F232AF-A96A-4BA0-B60E-5FA2DE3E7B3A}">
      <text>
        <r>
          <rPr>
            <b/>
            <sz val="9"/>
            <color indexed="81"/>
            <rFont val="Tahoma"/>
            <family val="2"/>
          </rPr>
          <t>CRISIL:</t>
        </r>
        <r>
          <rPr>
            <sz val="9"/>
            <color indexed="81"/>
            <rFont val="Tahoma"/>
            <family val="2"/>
          </rPr>
          <t xml:space="preserve">
Differs from calculated leverage due to company exlcuding financial leases from total debt</t>
        </r>
      </text>
    </comment>
    <comment ref="C112" authorId="0" shapeId="0" xr:uid="{AC03981B-3837-458E-8F9C-1A683CAD4332}">
      <text>
        <r>
          <rPr>
            <b/>
            <sz val="9"/>
            <color indexed="81"/>
            <rFont val="Tahoma"/>
            <family val="2"/>
          </rPr>
          <t>CRISIL:</t>
        </r>
        <r>
          <rPr>
            <sz val="9"/>
            <color indexed="81"/>
            <rFont val="Tahoma"/>
            <family val="2"/>
          </rPr>
          <t xml:space="preserve">
Adjsuted with following (pg 49/174):
* Stock market loans current: (8,940.643)
* Other non-current financial liabilities: 2,232.569</t>
        </r>
      </text>
    </comment>
    <comment ref="I141" authorId="0" shapeId="0" xr:uid="{55477ACC-FDA0-4D47-85DF-22C75A6B292F}">
      <text>
        <r>
          <rPr>
            <b/>
            <sz val="9"/>
            <color indexed="81"/>
            <rFont val="Tahoma"/>
            <family val="2"/>
          </rPr>
          <t>CRISIL:</t>
        </r>
        <r>
          <rPr>
            <sz val="9"/>
            <color indexed="81"/>
            <rFont val="Tahoma"/>
            <family val="2"/>
          </rPr>
          <t xml:space="preserve">
Data NA</t>
        </r>
      </text>
    </comment>
    <comment ref="I149" authorId="0" shapeId="0" xr:uid="{FA540BFE-16FC-4574-9D2C-CBD0539E83F4}">
      <text>
        <r>
          <rPr>
            <b/>
            <sz val="9"/>
            <color indexed="81"/>
            <rFont val="Tahoma"/>
            <family val="2"/>
          </rPr>
          <t>CRISIL:</t>
        </r>
        <r>
          <rPr>
            <sz val="9"/>
            <color indexed="81"/>
            <rFont val="Tahoma"/>
            <family val="2"/>
          </rPr>
          <t xml:space="preserve">
Differs from calculated leverage due to company exlcuding financial leases from total debt</t>
        </r>
      </text>
    </comment>
    <comment ref="C156" authorId="0" shapeId="0" xr:uid="{AC33C872-C04C-4503-9E04-5F90E6686253}">
      <text>
        <r>
          <rPr>
            <b/>
            <sz val="9"/>
            <color indexed="81"/>
            <rFont val="Tahoma"/>
            <family val="2"/>
          </rPr>
          <t>CRISIL:</t>
        </r>
        <r>
          <rPr>
            <sz val="9"/>
            <color indexed="81"/>
            <rFont val="Tahoma"/>
            <family val="2"/>
          </rPr>
          <t xml:space="preserve">
Includes other long term liabilities</t>
        </r>
      </text>
    </comment>
    <comment ref="I190" authorId="0" shapeId="0" xr:uid="{2E7C0DA5-8A82-49F2-B8CD-54E860BCBE56}">
      <text>
        <r>
          <rPr>
            <b/>
            <sz val="9"/>
            <color indexed="81"/>
            <rFont val="Tahoma"/>
            <family val="2"/>
          </rPr>
          <t>CRISIL:</t>
        </r>
        <r>
          <rPr>
            <sz val="9"/>
            <color indexed="81"/>
            <rFont val="Tahoma"/>
            <family val="2"/>
          </rPr>
          <t xml:space="preserve">
Data NA</t>
        </r>
      </text>
    </comment>
    <comment ref="C202" authorId="0" shapeId="0" xr:uid="{9651F38E-AAAE-4AFA-89C0-08E3DEC7ED12}">
      <text>
        <r>
          <rPr>
            <b/>
            <sz val="9"/>
            <color indexed="81"/>
            <rFont val="Tahoma"/>
            <family val="2"/>
          </rPr>
          <t>CRISIL:</t>
        </r>
        <r>
          <rPr>
            <sz val="9"/>
            <color indexed="81"/>
            <rFont val="Tahoma"/>
            <family val="2"/>
          </rPr>
          <t xml:space="preserve">
Includes other long term liabilities</t>
        </r>
      </text>
    </comment>
    <comment ref="I203" authorId="0" shapeId="0" xr:uid="{30763E32-91D4-42DC-8AC5-4C601582233C}">
      <text>
        <r>
          <rPr>
            <b/>
            <sz val="9"/>
            <color indexed="81"/>
            <rFont val="Tahoma"/>
            <family val="2"/>
          </rPr>
          <t>CRISIL:</t>
        </r>
        <r>
          <rPr>
            <sz val="9"/>
            <color indexed="81"/>
            <rFont val="Tahoma"/>
            <family val="2"/>
          </rPr>
          <t xml:space="preserve">
Differs from calculated leverage due to company exlcuding financial leases from total debt</t>
        </r>
      </text>
    </comment>
    <comment ref="I236" authorId="0" shapeId="0" xr:uid="{3812D3B7-166D-4FFD-B34B-BB1FD70C390D}">
      <text>
        <r>
          <rPr>
            <b/>
            <sz val="9"/>
            <color indexed="81"/>
            <rFont val="Tahoma"/>
            <family val="2"/>
          </rPr>
          <t>CRISIL:</t>
        </r>
        <r>
          <rPr>
            <sz val="9"/>
            <color indexed="81"/>
            <rFont val="Tahoma"/>
            <family val="2"/>
          </rPr>
          <t xml:space="preserve">
Data NA</t>
        </r>
      </text>
    </comment>
    <comment ref="C248" authorId="0" shapeId="0" xr:uid="{54284587-7B9E-4585-B45A-4E4AF503ACA3}">
      <text>
        <r>
          <rPr>
            <b/>
            <sz val="9"/>
            <color indexed="81"/>
            <rFont val="Tahoma"/>
            <family val="2"/>
          </rPr>
          <t>CRISIL:</t>
        </r>
        <r>
          <rPr>
            <sz val="9"/>
            <color indexed="81"/>
            <rFont val="Tahoma"/>
            <family val="2"/>
          </rPr>
          <t xml:space="preserve">
excludes other long term liabilities of 967mn</t>
        </r>
      </text>
    </comment>
    <comment ref="I248" authorId="1" shapeId="0" xr:uid="{1DEA5FD8-D086-43A6-A34F-D80662A07BFD}">
      <text>
        <r>
          <rPr>
            <b/>
            <sz val="9"/>
            <color indexed="81"/>
            <rFont val="Tahoma"/>
            <family val="2"/>
          </rPr>
          <t>CRISIL GR&amp;RS:</t>
        </r>
        <r>
          <rPr>
            <sz val="9"/>
            <color indexed="81"/>
            <rFont val="Tahoma"/>
            <family val="2"/>
          </rPr>
          <t xml:space="preserve">
Data NA</t>
        </r>
      </text>
    </comment>
    <comment ref="I249" authorId="0" shapeId="0" xr:uid="{65E51D11-9AB0-4CB9-96E5-BD88855DAF85}">
      <text>
        <r>
          <rPr>
            <b/>
            <sz val="9"/>
            <color indexed="81"/>
            <rFont val="Tahoma"/>
            <family val="2"/>
          </rPr>
          <t>CRISIL:</t>
        </r>
        <r>
          <rPr>
            <sz val="9"/>
            <color indexed="81"/>
            <rFont val="Tahoma"/>
            <family val="2"/>
          </rPr>
          <t xml:space="preserve">
Differs from calculated leverage due to company exlcuding financial leases from total debt</t>
        </r>
      </text>
    </comment>
    <comment ref="I278" authorId="2" shapeId="0" xr:uid="{97E7D2E4-469A-4F6F-9EE4-FB7796441CEA}">
      <text>
        <r>
          <rPr>
            <b/>
            <sz val="9"/>
            <color indexed="81"/>
            <rFont val="Tahoma"/>
            <family val="2"/>
          </rPr>
          <t>Crisil GR&amp;RS:</t>
        </r>
        <r>
          <rPr>
            <sz val="9"/>
            <color indexed="81"/>
            <rFont val="Tahoma"/>
            <family val="2"/>
          </rPr>
          <t xml:space="preserve">
Press Release Pg 12</t>
        </r>
      </text>
    </comment>
    <comment ref="I290" authorId="1" shapeId="0" xr:uid="{61B510DA-A8C3-467A-A537-376AF16A0470}">
      <text>
        <r>
          <rPr>
            <b/>
            <sz val="9"/>
            <color indexed="81"/>
            <rFont val="Tahoma"/>
            <family val="2"/>
          </rPr>
          <t>CRISIL GR&amp;RS:</t>
        </r>
        <r>
          <rPr>
            <sz val="9"/>
            <color indexed="81"/>
            <rFont val="Tahoma"/>
            <family val="2"/>
          </rPr>
          <t xml:space="preserve">
Data NA</t>
        </r>
      </text>
    </comment>
    <comment ref="I320" authorId="2" shapeId="0" xr:uid="{0EDFE58C-9AB2-48D0-8D4D-A1649A08246B}">
      <text>
        <r>
          <rPr>
            <b/>
            <sz val="9"/>
            <color indexed="81"/>
            <rFont val="Tahoma"/>
            <family val="2"/>
          </rPr>
          <t>Crisil GR&amp;RS:</t>
        </r>
        <r>
          <rPr>
            <sz val="9"/>
            <color indexed="81"/>
            <rFont val="Tahoma"/>
            <family val="2"/>
          </rPr>
          <t xml:space="preserve">
Press Release Pg 12</t>
        </r>
      </text>
    </comment>
    <comment ref="I332" authorId="1" shapeId="0" xr:uid="{18DB4E1F-5B6E-4B1F-9161-F7ED4AF3375D}">
      <text>
        <r>
          <rPr>
            <b/>
            <sz val="9"/>
            <color indexed="81"/>
            <rFont val="Tahoma"/>
            <family val="2"/>
          </rPr>
          <t>CRISIL GR&amp;RS:</t>
        </r>
        <r>
          <rPr>
            <sz val="9"/>
            <color indexed="81"/>
            <rFont val="Tahoma"/>
            <family val="2"/>
          </rPr>
          <t xml:space="preserve">
Data NA</t>
        </r>
      </text>
    </comment>
    <comment ref="I363" authorId="2" shapeId="0" xr:uid="{0F3D8C34-71C3-43F6-80A4-4325E3BD3CB5}">
      <text>
        <r>
          <rPr>
            <b/>
            <sz val="9"/>
            <color indexed="81"/>
            <rFont val="Tahoma"/>
            <family val="2"/>
          </rPr>
          <t>Crisil GR&amp;RS:</t>
        </r>
        <r>
          <rPr>
            <sz val="9"/>
            <color indexed="81"/>
            <rFont val="Tahoma"/>
            <family val="2"/>
          </rPr>
          <t xml:space="preserve">
Press Release Pg 12</t>
        </r>
      </text>
    </comment>
    <comment ref="I375" authorId="1" shapeId="0" xr:uid="{4DC4F9CD-59C7-46B6-B41A-9D929801D34B}">
      <text>
        <r>
          <rPr>
            <b/>
            <sz val="9"/>
            <color indexed="81"/>
            <rFont val="Tahoma"/>
            <family val="2"/>
          </rPr>
          <t>CRISIL GR&amp;RS:</t>
        </r>
        <r>
          <rPr>
            <sz val="9"/>
            <color indexed="81"/>
            <rFont val="Tahoma"/>
            <family val="2"/>
          </rPr>
          <t xml:space="preserve">
Data NA</t>
        </r>
      </text>
    </comment>
    <comment ref="I406" authorId="2" shapeId="0" xr:uid="{4E75A0E2-1EB4-42D8-8E1E-A117B264E4EF}">
      <text>
        <r>
          <rPr>
            <b/>
            <sz val="9"/>
            <color indexed="81"/>
            <rFont val="Tahoma"/>
            <family val="2"/>
          </rPr>
          <t>Crisil GR&amp;RS:</t>
        </r>
        <r>
          <rPr>
            <sz val="9"/>
            <color indexed="81"/>
            <rFont val="Tahoma"/>
            <family val="2"/>
          </rPr>
          <t xml:space="preserve">
Press Release Pg 12</t>
        </r>
      </text>
    </comment>
    <comment ref="I449" authorId="2" shapeId="0" xr:uid="{8804E0A1-5478-473F-86E2-DDA934F723D7}">
      <text>
        <r>
          <rPr>
            <b/>
            <sz val="9"/>
            <color indexed="81"/>
            <rFont val="Tahoma"/>
            <family val="2"/>
          </rPr>
          <t>Crisil GR&amp;RS:</t>
        </r>
        <r>
          <rPr>
            <sz val="9"/>
            <color indexed="81"/>
            <rFont val="Tahoma"/>
            <family val="2"/>
          </rPr>
          <t xml:space="preserve">
Press Release Pg 11</t>
        </r>
      </text>
    </comment>
    <comment ref="I491" authorId="2" shapeId="0" xr:uid="{5EBE52D5-22EB-4D65-9BAE-47AF12218B90}">
      <text>
        <r>
          <rPr>
            <b/>
            <sz val="9"/>
            <color indexed="81"/>
            <rFont val="Tahoma"/>
            <family val="2"/>
          </rPr>
          <t>Crisil GR&amp;RS:</t>
        </r>
        <r>
          <rPr>
            <sz val="9"/>
            <color indexed="81"/>
            <rFont val="Tahoma"/>
            <family val="2"/>
          </rPr>
          <t xml:space="preserve">
Press Release Pg 11</t>
        </r>
      </text>
    </comment>
    <comment ref="I495" authorId="3" shapeId="0" xr:uid="{A390BDF0-D854-4B6F-A60A-9858489ACBB5}">
      <text>
        <r>
          <rPr>
            <b/>
            <sz val="9"/>
            <color indexed="81"/>
            <rFont val="Tahoma"/>
            <family val="2"/>
          </rPr>
          <t>Difference due to non-consideration of lease liabilities</t>
        </r>
      </text>
    </comment>
    <comment ref="I496" authorId="3" shapeId="0" xr:uid="{FDC6986D-A4EC-42A2-AA52-46DB140F709D}">
      <text>
        <r>
          <rPr>
            <b/>
            <sz val="9"/>
            <color indexed="81"/>
            <rFont val="Tahoma"/>
            <family val="2"/>
          </rPr>
          <t>Difference due to non-consideration of lease liabilities</t>
        </r>
      </text>
    </comment>
    <comment ref="I534" authorId="2" shapeId="0" xr:uid="{8D378D46-7206-43F1-950D-12083CEAC0C7}">
      <text>
        <r>
          <rPr>
            <b/>
            <sz val="9"/>
            <color indexed="81"/>
            <rFont val="Tahoma"/>
            <family val="2"/>
          </rPr>
          <t>Crisil GR&amp;RS:</t>
        </r>
        <r>
          <rPr>
            <sz val="9"/>
            <color indexed="81"/>
            <rFont val="Tahoma"/>
            <family val="2"/>
          </rPr>
          <t xml:space="preserve">
Press Release Pg 9
 </t>
        </r>
      </text>
    </comment>
    <comment ref="I575" authorId="2" shapeId="0" xr:uid="{1D1A8296-5CDC-41E3-8263-1EFBCCCC0BC8}">
      <text>
        <r>
          <rPr>
            <b/>
            <sz val="9"/>
            <color indexed="81"/>
            <rFont val="Tahoma"/>
            <family val="2"/>
          </rPr>
          <t>Crisil GR&amp;RS:</t>
        </r>
        <r>
          <rPr>
            <sz val="9"/>
            <color indexed="81"/>
            <rFont val="Tahoma"/>
            <family val="2"/>
          </rPr>
          <t xml:space="preserve">
Press Release Pg 9
 </t>
        </r>
      </text>
    </comment>
    <comment ref="I617" authorId="2" shapeId="0" xr:uid="{BC889CCF-8113-41A2-895D-6A251A14E883}">
      <text>
        <r>
          <rPr>
            <b/>
            <sz val="9"/>
            <color indexed="81"/>
            <rFont val="Tahoma"/>
            <family val="2"/>
          </rPr>
          <t>Crisil GR&amp;RS:</t>
        </r>
        <r>
          <rPr>
            <sz val="9"/>
            <color indexed="81"/>
            <rFont val="Tahoma"/>
            <family val="2"/>
          </rPr>
          <t xml:space="preserve">
Press Release Pg 9
 </t>
        </r>
      </text>
    </comment>
    <comment ref="C1007" authorId="4" shapeId="0" xr:uid="{00000000-0006-0000-0000-000001000000}">
      <text>
        <r>
          <rPr>
            <sz val="9"/>
            <color indexed="81"/>
            <rFont val="Tahoma"/>
            <family val="2"/>
          </rPr>
          <t xml:space="preserve">Spanish report not available yet
</t>
        </r>
      </text>
    </comment>
    <comment ref="C1042" authorId="4" shapeId="0" xr:uid="{00000000-0006-0000-0000-000002000000}">
      <text>
        <r>
          <rPr>
            <sz val="9"/>
            <color indexed="81"/>
            <rFont val="Tahoma"/>
            <family val="2"/>
          </rPr>
          <t xml:space="preserve">Spanish report not available yet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Onabule, Yejide</author>
    <author>Crisil GR&amp;A</author>
    <author>CRISIL</author>
    <author>Yogesh Sheth</author>
    <author>CRISIL GR&amp;RS</author>
    <author>Nikhil Arora</author>
    <author>Prarthana Roy</author>
    <author>Meghana Ramesh Gollapudi</author>
    <author>Kshitij Manish Garg</author>
    <author>Crisil Intergral IQ</author>
    <author>Crisil GR&amp;RS</author>
    <author>CRISIL GR&amp;A</author>
  </authors>
  <commentList>
    <comment ref="B7" authorId="0" shapeId="0" xr:uid="{00000000-0006-0000-0100-000001000000}">
      <text>
        <r>
          <rPr>
            <b/>
            <sz val="9"/>
            <color indexed="81"/>
            <rFont val="Tahoma"/>
            <family val="2"/>
          </rPr>
          <t>Onabule, Yejide:</t>
        </r>
        <r>
          <rPr>
            <sz val="9"/>
            <color indexed="81"/>
            <rFont val="Tahoma"/>
            <family val="2"/>
          </rPr>
          <t xml:space="preserve">
please report income statemet the way it is reported</t>
        </r>
      </text>
    </comment>
    <comment ref="AF7" authorId="1" shapeId="0" xr:uid="{00000000-0006-0000-0100-000002000000}">
      <text>
        <r>
          <rPr>
            <b/>
            <sz val="9"/>
            <color indexed="81"/>
            <rFont val="Tahoma"/>
            <family val="2"/>
          </rPr>
          <t>Crisil GR&amp;A:</t>
        </r>
        <r>
          <rPr>
            <sz val="9"/>
            <color indexed="81"/>
            <rFont val="Tahoma"/>
            <family val="2"/>
          </rPr>
          <t xml:space="preserve">
 Balancing number is slightly different from the reported 4Q19 numbers, due to restatements in the past quarters for which we do not have numbers available. So, we have kept the balancing number itself.</t>
        </r>
      </text>
    </comment>
    <comment ref="N10" authorId="2" shapeId="0" xr:uid="{B48031BF-86E3-4420-BE73-82B597B0FE33}">
      <text>
        <r>
          <rPr>
            <b/>
            <sz val="9"/>
            <color indexed="81"/>
            <rFont val="Tahoma"/>
            <family val="2"/>
          </rPr>
          <t>CRISIL:</t>
        </r>
        <r>
          <rPr>
            <sz val="9"/>
            <color indexed="81"/>
            <rFont val="Tahoma"/>
            <family val="2"/>
          </rPr>
          <t xml:space="preserve">
from ER prara</t>
        </r>
      </text>
    </comment>
    <comment ref="BE10" authorId="2" shapeId="0" xr:uid="{9EA74010-4559-47C3-AE7F-28533F9ADB93}">
      <text>
        <r>
          <rPr>
            <b/>
            <sz val="9"/>
            <color indexed="81"/>
            <rFont val="Tahoma"/>
            <family val="2"/>
          </rPr>
          <t>CRISIL:</t>
        </r>
        <r>
          <rPr>
            <sz val="9"/>
            <color indexed="81"/>
            <rFont val="Tahoma"/>
            <family val="2"/>
          </rPr>
          <t xml:space="preserve">
primarily driven
by lower foot traffic, which was partially offset by an increase in the average
ticket.
</t>
        </r>
      </text>
    </comment>
    <comment ref="B11" authorId="0" shapeId="0" xr:uid="{00000000-0006-0000-0100-000003000000}">
      <text>
        <r>
          <rPr>
            <b/>
            <sz val="9"/>
            <color indexed="81"/>
            <rFont val="Tahoma"/>
            <family val="2"/>
          </rPr>
          <t>Onabule, Yejide:</t>
        </r>
        <r>
          <rPr>
            <sz val="9"/>
            <color indexed="81"/>
            <rFont val="Tahoma"/>
            <family val="2"/>
          </rPr>
          <t xml:space="preserve">
pls note that surbia  was acquired this year</t>
        </r>
      </text>
    </comment>
    <comment ref="BE11" authorId="2" shapeId="0" xr:uid="{C9B6E4C0-2928-4EDD-A4A3-F15002B8F3BA}">
      <text>
        <r>
          <rPr>
            <b/>
            <sz val="9"/>
            <color indexed="81"/>
            <rFont val="Tahoma"/>
            <family val="2"/>
          </rPr>
          <t>CRISIL:</t>
        </r>
        <r>
          <rPr>
            <sz val="9"/>
            <color indexed="81"/>
            <rFont val="Tahoma"/>
            <family val="2"/>
          </rPr>
          <t xml:space="preserve">
primarily driven
by lower foot traffic, which was partially offset by an increase in the average
ticket.
</t>
        </r>
      </text>
    </comment>
    <comment ref="B12" authorId="3" shapeId="0" xr:uid="{00000000-0006-0000-0100-000004000000}">
      <text>
        <r>
          <rPr>
            <b/>
            <sz val="9"/>
            <color indexed="81"/>
            <rFont val="Tahoma"/>
            <family val="2"/>
          </rPr>
          <t xml:space="preserve">CRISIL GR&amp;A: </t>
        </r>
        <r>
          <rPr>
            <sz val="9"/>
            <color indexed="81"/>
            <rFont val="Tahoma"/>
            <family val="2"/>
          </rPr>
          <t xml:space="preserve">Commercial income's same stores sales growth
</t>
        </r>
      </text>
    </comment>
    <comment ref="M12" authorId="4" shapeId="0" xr:uid="{6FFB5689-7C69-45E2-84D1-3C58F673FF93}">
      <text>
        <r>
          <rPr>
            <b/>
            <sz val="9"/>
            <color indexed="81"/>
            <rFont val="Tahoma"/>
            <family val="2"/>
          </rPr>
          <t>CRISIL GR&amp;RS:</t>
        </r>
        <r>
          <rPr>
            <sz val="9"/>
            <color indexed="81"/>
            <rFont val="Tahoma"/>
            <family val="2"/>
          </rPr>
          <t xml:space="preserve">
not disclosed</t>
        </r>
      </text>
    </comment>
    <comment ref="N12" authorId="4" shapeId="0" xr:uid="{185B65CA-0753-4681-A60F-E9EEEAC8CAA2}">
      <text>
        <r>
          <rPr>
            <b/>
            <sz val="9"/>
            <color indexed="81"/>
            <rFont val="Tahoma"/>
            <family val="2"/>
          </rPr>
          <t>CRISIL GR&amp;RS:</t>
        </r>
        <r>
          <rPr>
            <sz val="9"/>
            <color indexed="81"/>
            <rFont val="Tahoma"/>
            <family val="2"/>
          </rPr>
          <t xml:space="preserve">
not disclosed</t>
        </r>
      </text>
    </comment>
    <comment ref="AX12" authorId="4" shapeId="0" xr:uid="{BF3CA7EA-C9CD-4B47-ACA0-B9ADEC0ED32D}">
      <text>
        <r>
          <rPr>
            <b/>
            <sz val="9"/>
            <color indexed="81"/>
            <rFont val="Tahoma"/>
            <family val="2"/>
          </rPr>
          <t>CRISIL GR&amp;RS:</t>
        </r>
        <r>
          <rPr>
            <sz val="9"/>
            <color indexed="81"/>
            <rFont val="Tahoma"/>
            <family val="2"/>
          </rPr>
          <t xml:space="preserve">
not disclosed</t>
        </r>
      </text>
    </comment>
    <comment ref="AY12" authorId="4" shapeId="0" xr:uid="{B6F3B9A7-E9F0-4FF0-8B06-C57F0627D0D9}">
      <text>
        <r>
          <rPr>
            <b/>
            <sz val="9"/>
            <color indexed="81"/>
            <rFont val="Tahoma"/>
            <family val="2"/>
          </rPr>
          <t>CRISIL GR&amp;RS:</t>
        </r>
        <r>
          <rPr>
            <sz val="9"/>
            <color indexed="81"/>
            <rFont val="Tahoma"/>
            <family val="2"/>
          </rPr>
          <t xml:space="preserve">
not disclosed</t>
        </r>
      </text>
    </comment>
    <comment ref="AZ12" authorId="4" shapeId="0" xr:uid="{27B300E5-56E5-4A53-B9EC-DCBA58440016}">
      <text>
        <r>
          <rPr>
            <b/>
            <sz val="9"/>
            <color indexed="81"/>
            <rFont val="Tahoma"/>
            <family val="2"/>
          </rPr>
          <t>CRISIL GR&amp;RS:</t>
        </r>
        <r>
          <rPr>
            <sz val="9"/>
            <color indexed="81"/>
            <rFont val="Tahoma"/>
            <family val="2"/>
          </rPr>
          <t xml:space="preserve">
not disclosed</t>
        </r>
      </text>
    </comment>
    <comment ref="BA12" authorId="4" shapeId="0" xr:uid="{80B1B3D4-0617-4014-B007-29CAB3ABA07D}">
      <text>
        <r>
          <rPr>
            <b/>
            <sz val="9"/>
            <color indexed="81"/>
            <rFont val="Tahoma"/>
            <family val="2"/>
          </rPr>
          <t>CRISIL GR&amp;RS:</t>
        </r>
        <r>
          <rPr>
            <sz val="9"/>
            <color indexed="81"/>
            <rFont val="Tahoma"/>
            <family val="2"/>
          </rPr>
          <t xml:space="preserve">
not disclosed</t>
        </r>
      </text>
    </comment>
    <comment ref="BB12" authorId="4" shapeId="0" xr:uid="{EDB67AA7-3EE7-4D58-9531-B92574154224}">
      <text>
        <r>
          <rPr>
            <b/>
            <sz val="9"/>
            <color indexed="81"/>
            <rFont val="Tahoma"/>
            <family val="2"/>
          </rPr>
          <t>CRISIL GR&amp;RS:</t>
        </r>
        <r>
          <rPr>
            <sz val="9"/>
            <color indexed="81"/>
            <rFont val="Tahoma"/>
            <family val="2"/>
          </rPr>
          <t xml:space="preserve">
not disclosed</t>
        </r>
      </text>
    </comment>
    <comment ref="BC12" authorId="4" shapeId="0" xr:uid="{D9F44575-41F1-42F8-A6A3-A4AF67237F97}">
      <text>
        <r>
          <rPr>
            <b/>
            <sz val="9"/>
            <color indexed="81"/>
            <rFont val="Tahoma"/>
            <family val="2"/>
          </rPr>
          <t>CRISIL GR&amp;RS:</t>
        </r>
        <r>
          <rPr>
            <sz val="9"/>
            <color indexed="81"/>
            <rFont val="Tahoma"/>
            <family val="2"/>
          </rPr>
          <t xml:space="preserve">
not disclosed</t>
        </r>
      </text>
    </comment>
    <comment ref="BD12" authorId="4" shapeId="0" xr:uid="{78C989BE-37CA-4CAD-A378-525B758F37DE}">
      <text>
        <r>
          <rPr>
            <b/>
            <sz val="9"/>
            <color indexed="81"/>
            <rFont val="Tahoma"/>
            <family val="2"/>
          </rPr>
          <t>CRISIL GR&amp;RS:</t>
        </r>
        <r>
          <rPr>
            <sz val="9"/>
            <color indexed="81"/>
            <rFont val="Tahoma"/>
            <family val="2"/>
          </rPr>
          <t xml:space="preserve">
not disclosed</t>
        </r>
      </text>
    </comment>
    <comment ref="BE12" authorId="4" shapeId="0" xr:uid="{B5CC70F6-C0AA-4995-8B83-9734FA0DA42E}">
      <text>
        <r>
          <rPr>
            <b/>
            <sz val="9"/>
            <color indexed="81"/>
            <rFont val="Tahoma"/>
            <family val="2"/>
          </rPr>
          <t>CRISIL GR&amp;RS:</t>
        </r>
        <r>
          <rPr>
            <sz val="9"/>
            <color indexed="81"/>
            <rFont val="Tahoma"/>
            <family val="2"/>
          </rPr>
          <t xml:space="preserve">
not disclosed</t>
        </r>
      </text>
    </comment>
    <comment ref="R16" authorId="5" shapeId="0" xr:uid="{00000000-0006-0000-0100-000007000000}">
      <text>
        <r>
          <rPr>
            <b/>
            <sz val="9"/>
            <color indexed="81"/>
            <rFont val="Tahoma"/>
            <family val="2"/>
          </rPr>
          <t>CRISIL GR&amp;A:</t>
        </r>
        <r>
          <rPr>
            <sz val="9"/>
            <color indexed="81"/>
            <rFont val="Tahoma"/>
            <family val="2"/>
          </rPr>
          <t xml:space="preserve">
Administrative and selling expenses were restated for 2Q17 as a result of Unicomer lawsuits against Wisdom's former shareholders.</t>
        </r>
      </text>
    </comment>
    <comment ref="H20" authorId="6" shapeId="0" xr:uid="{00000000-0006-0000-0100-000008000000}">
      <text>
        <r>
          <rPr>
            <sz val="9"/>
            <color indexed="81"/>
            <rFont val="Tahoma"/>
            <family val="2"/>
          </rPr>
          <t>Foreign exchange gain</t>
        </r>
        <r>
          <rPr>
            <sz val="9"/>
            <color indexed="81"/>
            <rFont val="Tahoma"/>
            <family val="2"/>
          </rPr>
          <t xml:space="preserve">
</t>
        </r>
      </text>
    </comment>
    <comment ref="I20" authorId="6" shapeId="0" xr:uid="{00000000-0006-0000-0100-000009000000}">
      <text>
        <r>
          <rPr>
            <sz val="9"/>
            <color indexed="81"/>
            <rFont val="Tahoma"/>
            <family val="2"/>
          </rPr>
          <t>Foreign exchange gain</t>
        </r>
        <r>
          <rPr>
            <sz val="9"/>
            <color indexed="81"/>
            <rFont val="Tahoma"/>
            <family val="2"/>
          </rPr>
          <t xml:space="preserve">
</t>
        </r>
      </text>
    </comment>
    <comment ref="J20" authorId="6" shapeId="0" xr:uid="{00000000-0006-0000-0100-00000A000000}">
      <text>
        <r>
          <rPr>
            <sz val="9"/>
            <color indexed="81"/>
            <rFont val="Tahoma"/>
            <family val="2"/>
          </rPr>
          <t>Foreign exchange gain</t>
        </r>
        <r>
          <rPr>
            <sz val="9"/>
            <color indexed="81"/>
            <rFont val="Tahoma"/>
            <family val="2"/>
          </rPr>
          <t xml:space="preserve">
</t>
        </r>
      </text>
    </comment>
    <comment ref="K20" authorId="6" shapeId="0" xr:uid="{20FC8DBF-E7D5-4501-BB52-D8CE1FBB1A35}">
      <text>
        <r>
          <rPr>
            <sz val="9"/>
            <color indexed="81"/>
            <rFont val="Tahoma"/>
            <family val="2"/>
          </rPr>
          <t>Foreign exchange gain</t>
        </r>
        <r>
          <rPr>
            <sz val="9"/>
            <color indexed="81"/>
            <rFont val="Tahoma"/>
            <family val="2"/>
          </rPr>
          <t xml:space="preserve">
</t>
        </r>
      </text>
    </comment>
    <comment ref="L20" authorId="6" shapeId="0" xr:uid="{749A6BF0-4E22-4E3F-B140-5D83A0EB9473}">
      <text>
        <r>
          <rPr>
            <sz val="9"/>
            <color indexed="81"/>
            <rFont val="Tahoma"/>
            <family val="2"/>
          </rPr>
          <t>Foreign exchange gain</t>
        </r>
        <r>
          <rPr>
            <sz val="9"/>
            <color indexed="81"/>
            <rFont val="Tahoma"/>
            <family val="2"/>
          </rPr>
          <t xml:space="preserve">
</t>
        </r>
      </text>
    </comment>
    <comment ref="M20" authorId="6" shapeId="0" xr:uid="{C900C383-B832-4E95-8244-E546BFC09278}">
      <text>
        <r>
          <rPr>
            <sz val="9"/>
            <color indexed="81"/>
            <rFont val="Tahoma"/>
            <family val="2"/>
          </rPr>
          <t>Foreign exchange gain</t>
        </r>
        <r>
          <rPr>
            <sz val="9"/>
            <color indexed="81"/>
            <rFont val="Tahoma"/>
            <family val="2"/>
          </rPr>
          <t xml:space="preserve">
</t>
        </r>
      </text>
    </comment>
    <comment ref="N20" authorId="6" shapeId="0" xr:uid="{62FD004E-7285-41D5-B26E-C7F19536B001}">
      <text>
        <r>
          <rPr>
            <sz val="9"/>
            <color indexed="81"/>
            <rFont val="Tahoma"/>
            <family val="2"/>
          </rPr>
          <t>Foreign exchange gain</t>
        </r>
        <r>
          <rPr>
            <sz val="9"/>
            <color indexed="81"/>
            <rFont val="Tahoma"/>
            <family val="2"/>
          </rPr>
          <t xml:space="preserve">
</t>
        </r>
      </text>
    </comment>
    <comment ref="R45" authorId="5" shapeId="0" xr:uid="{00000000-0006-0000-0100-00000B000000}">
      <text>
        <r>
          <rPr>
            <b/>
            <sz val="9"/>
            <color indexed="81"/>
            <rFont val="Tahoma"/>
            <family val="2"/>
          </rPr>
          <t>CRISIL GR&amp;A:</t>
        </r>
        <r>
          <rPr>
            <sz val="9"/>
            <color indexed="81"/>
            <rFont val="Tahoma"/>
            <family val="2"/>
          </rPr>
          <t xml:space="preserve">
Mainly includes Unicomer lawsuits against Wisdom's former shareholders.</t>
        </r>
      </text>
    </comment>
    <comment ref="AI45" authorId="7" shapeId="0" xr:uid="{00000000-0006-0000-0100-00000C000000}">
      <text>
        <r>
          <rPr>
            <sz val="9"/>
            <color indexed="81"/>
            <rFont val="Tahoma"/>
            <family val="2"/>
          </rPr>
          <t xml:space="preserve">due to rounding
</t>
        </r>
      </text>
    </comment>
    <comment ref="AM45" authorId="7" shapeId="0" xr:uid="{00000000-0006-0000-0100-00000D000000}">
      <text>
        <r>
          <rPr>
            <sz val="9"/>
            <color indexed="81"/>
            <rFont val="Tahoma"/>
            <family val="2"/>
          </rPr>
          <t xml:space="preserve">due to rounding
</t>
        </r>
      </text>
    </comment>
    <comment ref="H46" authorId="1" shapeId="0" xr:uid="{00000000-0006-0000-0100-00000E000000}">
      <text>
        <r>
          <rPr>
            <b/>
            <sz val="9"/>
            <color indexed="81"/>
            <rFont val="Tahoma"/>
            <family val="2"/>
          </rPr>
          <t>Crisil GR&amp;A:</t>
        </r>
        <r>
          <rPr>
            <sz val="9"/>
            <color indexed="81"/>
            <rFont val="Tahoma"/>
            <family val="2"/>
          </rPr>
          <t xml:space="preserve">
IFRS 16 EBITDA</t>
        </r>
      </text>
    </comment>
    <comment ref="R46" authorId="5" shapeId="0" xr:uid="{00000000-0006-0000-0100-00000F000000}">
      <text>
        <r>
          <rPr>
            <b/>
            <sz val="9"/>
            <color indexed="81"/>
            <rFont val="Tahoma"/>
            <family val="2"/>
          </rPr>
          <t>CRISIL GR&amp;A:</t>
        </r>
        <r>
          <rPr>
            <sz val="9"/>
            <color indexed="81"/>
            <rFont val="Tahoma"/>
            <family val="2"/>
          </rPr>
          <t xml:space="preserve">
Restated EBITDA numbers are considered as Administrative and selling expenses were restated for 2Q17 as a result of Unicomer lawsuits against Wisdom's former shareholders.</t>
        </r>
      </text>
    </comment>
    <comment ref="AC46" authorId="1" shapeId="0" xr:uid="{00000000-0006-0000-0100-000010000000}">
      <text>
        <r>
          <rPr>
            <b/>
            <sz val="9"/>
            <color indexed="81"/>
            <rFont val="Tahoma"/>
            <family val="2"/>
          </rPr>
          <t>Crisil GR&amp;A:</t>
        </r>
        <r>
          <rPr>
            <sz val="9"/>
            <color indexed="81"/>
            <rFont val="Tahoma"/>
            <family val="2"/>
          </rPr>
          <t xml:space="preserve">
IFRS 16 EBITDA</t>
        </r>
      </text>
    </comment>
    <comment ref="AD46" authorId="1" shapeId="0" xr:uid="{00000000-0006-0000-0100-000011000000}">
      <text>
        <r>
          <rPr>
            <b/>
            <sz val="9"/>
            <color indexed="81"/>
            <rFont val="Tahoma"/>
            <family val="2"/>
          </rPr>
          <t>Crisil GR&amp;A:</t>
        </r>
        <r>
          <rPr>
            <sz val="9"/>
            <color indexed="81"/>
            <rFont val="Tahoma"/>
            <family val="2"/>
          </rPr>
          <t xml:space="preserve">
IFRS 16 EBITDA</t>
        </r>
      </text>
    </comment>
    <comment ref="AE46" authorId="1" shapeId="0" xr:uid="{00000000-0006-0000-0100-000012000000}">
      <text>
        <r>
          <rPr>
            <b/>
            <sz val="9"/>
            <color indexed="81"/>
            <rFont val="Tahoma"/>
            <family val="2"/>
          </rPr>
          <t>Crisil GR&amp;A:</t>
        </r>
        <r>
          <rPr>
            <sz val="9"/>
            <color indexed="81"/>
            <rFont val="Tahoma"/>
            <family val="2"/>
          </rPr>
          <t xml:space="preserve">
IFRS 16 EBITDA</t>
        </r>
      </text>
    </comment>
    <comment ref="AF46" authorId="1" shapeId="0" xr:uid="{00000000-0006-0000-0100-000013000000}">
      <text>
        <r>
          <rPr>
            <b/>
            <sz val="9"/>
            <color indexed="81"/>
            <rFont val="Tahoma"/>
            <family val="2"/>
          </rPr>
          <t>Crisil GR&amp;A:</t>
        </r>
        <r>
          <rPr>
            <sz val="9"/>
            <color indexed="81"/>
            <rFont val="Tahoma"/>
            <family val="2"/>
          </rPr>
          <t xml:space="preserve">
 4Q19 EBITDA is 10953.7 as per IFRS 16, which is slightly different from the balancing number. However, we have taken out the balancing figure in 4Q19 as we do not have the restated numbers for the past quarters</t>
        </r>
      </text>
    </comment>
    <comment ref="AG46" authorId="1" shapeId="0" xr:uid="{00000000-0006-0000-0100-000014000000}">
      <text>
        <r>
          <rPr>
            <b/>
            <sz val="9"/>
            <color indexed="81"/>
            <rFont val="Tahoma"/>
            <family val="2"/>
          </rPr>
          <t>Crisil GR&amp;A:</t>
        </r>
        <r>
          <rPr>
            <sz val="9"/>
            <color indexed="81"/>
            <rFont val="Tahoma"/>
            <family val="2"/>
          </rPr>
          <t xml:space="preserve">
IFRS 16 EBITDA</t>
        </r>
      </text>
    </comment>
    <comment ref="AH46" authorId="1" shapeId="0" xr:uid="{00000000-0006-0000-0100-000015000000}">
      <text>
        <r>
          <rPr>
            <b/>
            <sz val="9"/>
            <color indexed="81"/>
            <rFont val="Tahoma"/>
            <family val="2"/>
          </rPr>
          <t>Crisil GR&amp;A:</t>
        </r>
        <r>
          <rPr>
            <sz val="9"/>
            <color indexed="81"/>
            <rFont val="Tahoma"/>
            <family val="2"/>
          </rPr>
          <t xml:space="preserve">
IFRS 16 EBITDA</t>
        </r>
      </text>
    </comment>
    <comment ref="AI46" authorId="1" shapeId="0" xr:uid="{00000000-0006-0000-0100-000016000000}">
      <text>
        <r>
          <rPr>
            <b/>
            <sz val="9"/>
            <color indexed="81"/>
            <rFont val="Tahoma"/>
            <family val="2"/>
          </rPr>
          <t>Crisil GR&amp;A:</t>
        </r>
        <r>
          <rPr>
            <sz val="9"/>
            <color indexed="81"/>
            <rFont val="Tahoma"/>
            <family val="2"/>
          </rPr>
          <t xml:space="preserve">
IFRS 16 EBITDA</t>
        </r>
      </text>
    </comment>
    <comment ref="AK46" authorId="1" shapeId="0" xr:uid="{00000000-0006-0000-0100-000017000000}">
      <text>
        <r>
          <rPr>
            <b/>
            <sz val="9"/>
            <color indexed="81"/>
            <rFont val="Tahoma"/>
            <family val="2"/>
          </rPr>
          <t>Crisil GR&amp;A:</t>
        </r>
        <r>
          <rPr>
            <sz val="9"/>
            <color indexed="81"/>
            <rFont val="Tahoma"/>
            <family val="2"/>
          </rPr>
          <t xml:space="preserve">
IFRS 16 EBITDA</t>
        </r>
      </text>
    </comment>
    <comment ref="AL46" authorId="1" shapeId="0" xr:uid="{00000000-0006-0000-0100-000018000000}">
      <text>
        <r>
          <rPr>
            <b/>
            <sz val="9"/>
            <color indexed="81"/>
            <rFont val="Tahoma"/>
            <family val="2"/>
          </rPr>
          <t>Crisil GR&amp;A:</t>
        </r>
        <r>
          <rPr>
            <sz val="9"/>
            <color indexed="81"/>
            <rFont val="Tahoma"/>
            <family val="2"/>
          </rPr>
          <t xml:space="preserve">
PPT is not reported yet</t>
        </r>
      </text>
    </comment>
    <comment ref="AM46" authorId="1" shapeId="0" xr:uid="{00000000-0006-0000-0100-000019000000}">
      <text>
        <r>
          <rPr>
            <b/>
            <sz val="9"/>
            <color indexed="81"/>
            <rFont val="Tahoma"/>
            <family val="2"/>
          </rPr>
          <t>Crisil GR&amp;A:</t>
        </r>
        <r>
          <rPr>
            <sz val="9"/>
            <color indexed="81"/>
            <rFont val="Tahoma"/>
            <family val="2"/>
          </rPr>
          <t xml:space="preserve">
IFRS 16 EBITDA</t>
        </r>
      </text>
    </comment>
    <comment ref="AO46" authorId="1" shapeId="0" xr:uid="{00000000-0006-0000-0100-00001A000000}">
      <text>
        <r>
          <rPr>
            <b/>
            <sz val="9"/>
            <color indexed="81"/>
            <rFont val="Tahoma"/>
            <family val="2"/>
          </rPr>
          <t>Crisil GR&amp;A:</t>
        </r>
        <r>
          <rPr>
            <sz val="9"/>
            <color indexed="81"/>
            <rFont val="Tahoma"/>
            <family val="2"/>
          </rPr>
          <t xml:space="preserve">
IFRS 16 EBITDA</t>
        </r>
      </text>
    </comment>
    <comment ref="AP46" authorId="1" shapeId="0" xr:uid="{00000000-0006-0000-0100-00001B000000}">
      <text>
        <r>
          <rPr>
            <b/>
            <sz val="9"/>
            <color indexed="81"/>
            <rFont val="Tahoma"/>
            <family val="2"/>
          </rPr>
          <t>Crisil GR&amp;A:</t>
        </r>
        <r>
          <rPr>
            <sz val="9"/>
            <color indexed="81"/>
            <rFont val="Tahoma"/>
            <family val="2"/>
          </rPr>
          <t xml:space="preserve">
IFRS 16 EBITDA</t>
        </r>
      </text>
    </comment>
    <comment ref="AQ46" authorId="8" shapeId="0" xr:uid="{C8C1BC51-45A5-4FD8-B905-F280F9211276}">
      <text>
        <r>
          <rPr>
            <b/>
            <sz val="9"/>
            <color indexed="81"/>
            <rFont val="Tahoma"/>
            <family val="2"/>
          </rPr>
          <t>Crisil GR&amp;A:</t>
        </r>
        <r>
          <rPr>
            <sz val="9"/>
            <color indexed="81"/>
            <rFont val="Tahoma"/>
            <family val="2"/>
          </rPr>
          <t xml:space="preserve">
IFRS 16 EBITDA</t>
        </r>
      </text>
    </comment>
    <comment ref="AS46" authorId="1" shapeId="0" xr:uid="{1FA6C74C-A29E-40BE-96BF-86EDB000D8F5}">
      <text>
        <r>
          <rPr>
            <b/>
            <sz val="9"/>
            <color indexed="81"/>
            <rFont val="Tahoma"/>
            <family val="2"/>
          </rPr>
          <t>Crisil GR&amp;A:</t>
        </r>
        <r>
          <rPr>
            <sz val="9"/>
            <color indexed="81"/>
            <rFont val="Tahoma"/>
            <family val="2"/>
          </rPr>
          <t xml:space="preserve">
IFRS 16 EBITDA</t>
        </r>
      </text>
    </comment>
    <comment ref="AT46" authorId="1" shapeId="0" xr:uid="{DBCCDB80-10A9-47D7-A1E2-9D4C6AD838D4}">
      <text>
        <r>
          <rPr>
            <b/>
            <sz val="9"/>
            <color indexed="81"/>
            <rFont val="Tahoma"/>
            <family val="2"/>
          </rPr>
          <t>Crisil GR&amp;A:</t>
        </r>
        <r>
          <rPr>
            <sz val="9"/>
            <color indexed="81"/>
            <rFont val="Tahoma"/>
            <family val="2"/>
          </rPr>
          <t xml:space="preserve">
IFRS 16 EBITDA</t>
        </r>
      </text>
    </comment>
    <comment ref="AU46" authorId="8" shapeId="0" xr:uid="{48F3700B-FDEC-42DF-BABF-142460BA1C0C}">
      <text>
        <r>
          <rPr>
            <b/>
            <sz val="9"/>
            <color indexed="81"/>
            <rFont val="Tahoma"/>
            <family val="2"/>
          </rPr>
          <t>Crisil GR&amp;A:</t>
        </r>
        <r>
          <rPr>
            <sz val="9"/>
            <color indexed="81"/>
            <rFont val="Tahoma"/>
            <family val="2"/>
          </rPr>
          <t xml:space="preserve">
IFRS 16 EBITDA</t>
        </r>
      </text>
    </comment>
    <comment ref="AW46" authorId="1" shapeId="0" xr:uid="{A8E85DF3-0929-45DD-B095-0AA16F2B6EA2}">
      <text>
        <r>
          <rPr>
            <b/>
            <sz val="9"/>
            <color indexed="81"/>
            <rFont val="Tahoma"/>
            <family val="2"/>
          </rPr>
          <t>Crisil GR&amp;A:</t>
        </r>
        <r>
          <rPr>
            <sz val="9"/>
            <color indexed="81"/>
            <rFont val="Tahoma"/>
            <family val="2"/>
          </rPr>
          <t xml:space="preserve">
IFRS 16 EBITDA</t>
        </r>
      </text>
    </comment>
    <comment ref="AX46" authorId="1" shapeId="0" xr:uid="{7DEB2894-17B7-4AAD-B957-4ED6CF3D0FDE}">
      <text>
        <r>
          <rPr>
            <b/>
            <sz val="9"/>
            <color indexed="81"/>
            <rFont val="Tahoma"/>
            <family val="2"/>
          </rPr>
          <t>Crisil GR&amp;A:</t>
        </r>
        <r>
          <rPr>
            <sz val="9"/>
            <color indexed="81"/>
            <rFont val="Tahoma"/>
            <family val="2"/>
          </rPr>
          <t xml:space="preserve">
IFRS 16 EBITDA</t>
        </r>
      </text>
    </comment>
    <comment ref="AY46" authorId="1" shapeId="0" xr:uid="{C0BC1944-8E5F-4498-980D-A1C8B72E588C}">
      <text>
        <r>
          <rPr>
            <b/>
            <sz val="9"/>
            <color indexed="81"/>
            <rFont val="Tahoma"/>
            <family val="2"/>
          </rPr>
          <t>Crisil GR&amp;A:</t>
        </r>
        <r>
          <rPr>
            <sz val="9"/>
            <color indexed="81"/>
            <rFont val="Tahoma"/>
            <family val="2"/>
          </rPr>
          <t xml:space="preserve">
IFRS 16 EBITDA</t>
        </r>
      </text>
    </comment>
    <comment ref="BA46" authorId="1" shapeId="0" xr:uid="{4067BAFA-42C1-42F8-912E-A4A67A5177BB}">
      <text>
        <r>
          <rPr>
            <b/>
            <sz val="9"/>
            <color indexed="81"/>
            <rFont val="Tahoma"/>
            <family val="2"/>
          </rPr>
          <t>Crisil GR&amp;A:</t>
        </r>
        <r>
          <rPr>
            <sz val="9"/>
            <color indexed="81"/>
            <rFont val="Tahoma"/>
            <family val="2"/>
          </rPr>
          <t xml:space="preserve">
IFRS 16 EBITDA</t>
        </r>
      </text>
    </comment>
    <comment ref="BB46" authorId="1" shapeId="0" xr:uid="{ACA92338-EE43-4AA7-9326-EDE611A9A718}">
      <text>
        <r>
          <rPr>
            <b/>
            <sz val="9"/>
            <color indexed="81"/>
            <rFont val="Tahoma"/>
            <family val="2"/>
          </rPr>
          <t>Crisil GR&amp;A:</t>
        </r>
        <r>
          <rPr>
            <sz val="9"/>
            <color indexed="81"/>
            <rFont val="Tahoma"/>
            <family val="2"/>
          </rPr>
          <t xml:space="preserve">
IFRS 16 EBITDA</t>
        </r>
      </text>
    </comment>
    <comment ref="BE46" authorId="1" shapeId="0" xr:uid="{04D4CCFE-AAE8-4742-99AB-AB3B91C9703F}">
      <text>
        <r>
          <rPr>
            <b/>
            <sz val="9"/>
            <color indexed="81"/>
            <rFont val="Tahoma"/>
            <family val="2"/>
          </rPr>
          <t>Crisil GR&amp;A:</t>
        </r>
        <r>
          <rPr>
            <sz val="9"/>
            <color indexed="81"/>
            <rFont val="Tahoma"/>
            <family val="2"/>
          </rPr>
          <t xml:space="preserve">
IFRS 16 EBITDA</t>
        </r>
      </text>
    </comment>
    <comment ref="BI46" authorId="1" shapeId="0" xr:uid="{00000000-0006-0000-0100-00001C000000}">
      <text>
        <r>
          <rPr>
            <b/>
            <sz val="9"/>
            <color indexed="81"/>
            <rFont val="Tahoma"/>
            <family val="2"/>
          </rPr>
          <t>Crisil GR&amp;A:</t>
        </r>
        <r>
          <rPr>
            <sz val="9"/>
            <color indexed="81"/>
            <rFont val="Tahoma"/>
            <family val="2"/>
          </rPr>
          <t xml:space="preserve">
IFRS 16 EBITDA</t>
        </r>
      </text>
    </comment>
    <comment ref="H49" authorId="1" shapeId="0" xr:uid="{00000000-0006-0000-0100-00001D000000}">
      <text>
        <r>
          <rPr>
            <b/>
            <sz val="9"/>
            <color indexed="81"/>
            <rFont val="Tahoma"/>
            <family val="2"/>
          </rPr>
          <t>Crisil GR&amp;A:</t>
        </r>
        <r>
          <rPr>
            <sz val="9"/>
            <color indexed="81"/>
            <rFont val="Tahoma"/>
            <family val="2"/>
          </rPr>
          <t xml:space="preserve">
FY19 Spanish Report; pg. 80/156</t>
        </r>
      </text>
    </comment>
    <comment ref="I49" authorId="7" shapeId="0" xr:uid="{00000000-0006-0000-0100-00001E000000}">
      <text>
        <r>
          <rPr>
            <sz val="9"/>
            <color indexed="81"/>
            <rFont val="Tahoma"/>
            <family val="2"/>
          </rPr>
          <t xml:space="preserve">pg 75/142 of the spanish report
</t>
        </r>
      </text>
    </comment>
    <comment ref="J49" authorId="7" shapeId="0" xr:uid="{00000000-0006-0000-0100-00001F000000}">
      <text>
        <r>
          <rPr>
            <sz val="9"/>
            <color indexed="81"/>
            <rFont val="Tahoma"/>
            <family val="2"/>
          </rPr>
          <t xml:space="preserve">pg 83/159 of the spanish report
</t>
        </r>
      </text>
    </comment>
    <comment ref="K49" authorId="7" shapeId="0" xr:uid="{665D4EF9-9EC9-4336-90A8-93BF49CBF36E}">
      <text>
        <r>
          <rPr>
            <sz val="9"/>
            <color indexed="81"/>
            <rFont val="Tahoma"/>
            <family val="2"/>
          </rPr>
          <t xml:space="preserve">pg 81/158 of the spanish report
</t>
        </r>
      </text>
    </comment>
    <comment ref="L49" authorId="7" shapeId="0" xr:uid="{246570B2-B560-4B41-A90F-949A25B867E7}">
      <text>
        <r>
          <rPr>
            <sz val="9"/>
            <color indexed="81"/>
            <rFont val="Tahoma"/>
            <family val="2"/>
          </rPr>
          <t xml:space="preserve">pg 82/164 of the spanish report
</t>
        </r>
      </text>
    </comment>
    <comment ref="M49" authorId="1" shapeId="0" xr:uid="{44A16E53-FD62-4F3F-AE01-48B9A577AF47}">
      <text>
        <r>
          <rPr>
            <b/>
            <sz val="9"/>
            <color indexed="81"/>
            <rFont val="Tahoma"/>
            <family val="2"/>
          </rPr>
          <t>Crisil GR&amp;A:</t>
        </r>
        <r>
          <rPr>
            <sz val="9"/>
            <color indexed="81"/>
            <rFont val="Tahoma"/>
            <family val="2"/>
          </rPr>
          <t xml:space="preserve">
Not disclosed</t>
        </r>
      </text>
    </comment>
    <comment ref="N49" authorId="1" shapeId="0" xr:uid="{C644FDD8-1B89-4A84-A192-FA43E5B8A2AD}">
      <text>
        <r>
          <rPr>
            <b/>
            <sz val="9"/>
            <color indexed="81"/>
            <rFont val="Tahoma"/>
            <family val="2"/>
          </rPr>
          <t>Crisil GR&amp;A:</t>
        </r>
        <r>
          <rPr>
            <sz val="9"/>
            <color indexed="81"/>
            <rFont val="Tahoma"/>
            <family val="2"/>
          </rPr>
          <t xml:space="preserve">
Not disclosed</t>
        </r>
      </text>
    </comment>
    <comment ref="AC49" authorId="1" shapeId="0" xr:uid="{00000000-0006-0000-0100-000020000000}">
      <text>
        <r>
          <rPr>
            <b/>
            <sz val="9"/>
            <color indexed="81"/>
            <rFont val="Tahoma"/>
            <family val="2"/>
          </rPr>
          <t>Crisil GR&amp;A:</t>
        </r>
        <r>
          <rPr>
            <sz val="9"/>
            <color indexed="81"/>
            <rFont val="Tahoma"/>
            <family val="2"/>
          </rPr>
          <t xml:space="preserve">
1Q19 Spanish Report; pg. 72/140 </t>
        </r>
      </text>
    </comment>
    <comment ref="AD49" authorId="1" shapeId="0" xr:uid="{00000000-0006-0000-0100-000021000000}">
      <text>
        <r>
          <rPr>
            <b/>
            <sz val="9"/>
            <color indexed="81"/>
            <rFont val="Tahoma"/>
            <family val="2"/>
          </rPr>
          <t>Crisil GR&amp;A:</t>
        </r>
        <r>
          <rPr>
            <sz val="9"/>
            <color indexed="81"/>
            <rFont val="Tahoma"/>
            <family val="2"/>
          </rPr>
          <t xml:space="preserve">
2Q19 Spanish Report; pg. 76/151</t>
        </r>
      </text>
    </comment>
    <comment ref="AE49" authorId="1" shapeId="0" xr:uid="{00000000-0006-0000-0100-000022000000}">
      <text>
        <r>
          <rPr>
            <b/>
            <sz val="9"/>
            <color indexed="81"/>
            <rFont val="Tahoma"/>
            <family val="2"/>
          </rPr>
          <t>Crisil GR&amp;A:</t>
        </r>
        <r>
          <rPr>
            <sz val="9"/>
            <color indexed="81"/>
            <rFont val="Tahoma"/>
            <family val="2"/>
          </rPr>
          <t xml:space="preserve">
3Q19 Spanish Report; pg. 75/149 </t>
        </r>
      </text>
    </comment>
    <comment ref="AG49" authorId="1" shapeId="0" xr:uid="{00000000-0006-0000-0100-000023000000}">
      <text>
        <r>
          <rPr>
            <b/>
            <sz val="9"/>
            <color indexed="81"/>
            <rFont val="Tahoma"/>
            <family val="2"/>
          </rPr>
          <t>Crisil GR&amp;A:</t>
        </r>
        <r>
          <rPr>
            <sz val="9"/>
            <color indexed="81"/>
            <rFont val="Tahoma"/>
            <family val="2"/>
          </rPr>
          <t xml:space="preserve">
1Q19 Spanish Report; pg. 72/140 </t>
        </r>
      </text>
    </comment>
    <comment ref="AH49" authorId="1" shapeId="0" xr:uid="{00000000-0006-0000-0100-000024000000}">
      <text>
        <r>
          <rPr>
            <b/>
            <sz val="9"/>
            <color indexed="81"/>
            <rFont val="Tahoma"/>
            <family val="2"/>
          </rPr>
          <t>Crisil GR&amp;A:</t>
        </r>
        <r>
          <rPr>
            <sz val="9"/>
            <color indexed="81"/>
            <rFont val="Tahoma"/>
            <family val="2"/>
          </rPr>
          <t xml:space="preserve">
2Q20 Spanish Report; pg. 73/148</t>
        </r>
      </text>
    </comment>
    <comment ref="AI49" authorId="1" shapeId="0" xr:uid="{00000000-0006-0000-0100-000025000000}">
      <text>
        <r>
          <rPr>
            <b/>
            <sz val="9"/>
            <color indexed="81"/>
            <rFont val="Tahoma"/>
            <family val="2"/>
          </rPr>
          <t>Crisil GR&amp;A:</t>
        </r>
        <r>
          <rPr>
            <sz val="9"/>
            <color indexed="81"/>
            <rFont val="Tahoma"/>
            <family val="2"/>
          </rPr>
          <t xml:space="preserve">
3Q20 Spanish Report; pg. 71/140 </t>
        </r>
      </text>
    </comment>
    <comment ref="AK49" authorId="1" shapeId="0" xr:uid="{00000000-0006-0000-0100-000026000000}">
      <text>
        <r>
          <rPr>
            <b/>
            <sz val="9"/>
            <color indexed="81"/>
            <rFont val="Tahoma"/>
            <family val="2"/>
          </rPr>
          <t>Crisil GR&amp;A:</t>
        </r>
        <r>
          <rPr>
            <sz val="9"/>
            <color indexed="81"/>
            <rFont val="Tahoma"/>
            <family val="2"/>
          </rPr>
          <t xml:space="preserve">
1Q21  Spanish Report; pg. 76/148 </t>
        </r>
      </text>
    </comment>
    <comment ref="AM49" authorId="1" shapeId="0" xr:uid="{00000000-0006-0000-0100-000027000000}">
      <text>
        <r>
          <rPr>
            <b/>
            <sz val="9"/>
            <color indexed="81"/>
            <rFont val="Tahoma"/>
            <family val="2"/>
          </rPr>
          <t>Crisil GR&amp;A:</t>
        </r>
        <r>
          <rPr>
            <sz val="9"/>
            <color indexed="81"/>
            <rFont val="Tahoma"/>
            <family val="2"/>
          </rPr>
          <t xml:space="preserve">
3Q21 Spanish Report; pg. 77/147 </t>
        </r>
      </text>
    </comment>
    <comment ref="AO49" authorId="1" shapeId="0" xr:uid="{00000000-0006-0000-0100-000028000000}">
      <text>
        <r>
          <rPr>
            <b/>
            <sz val="9"/>
            <color indexed="81"/>
            <rFont val="Tahoma"/>
            <family val="2"/>
          </rPr>
          <t>Crisil GR&amp;A:</t>
        </r>
        <r>
          <rPr>
            <sz val="9"/>
            <color indexed="81"/>
            <rFont val="Tahoma"/>
            <family val="2"/>
          </rPr>
          <t xml:space="preserve">
1Q22  Spanish Report; pg. 79/152 </t>
        </r>
      </text>
    </comment>
    <comment ref="AP49" authorId="1" shapeId="0" xr:uid="{00000000-0006-0000-0100-000029000000}">
      <text>
        <r>
          <rPr>
            <b/>
            <sz val="9"/>
            <color indexed="81"/>
            <rFont val="Tahoma"/>
            <family val="2"/>
          </rPr>
          <t>Crisil GR&amp;A:</t>
        </r>
        <r>
          <rPr>
            <sz val="9"/>
            <color indexed="81"/>
            <rFont val="Tahoma"/>
            <family val="2"/>
          </rPr>
          <t xml:space="preserve">
2Q22  Spanish Report; pg.81/152 </t>
        </r>
      </text>
    </comment>
    <comment ref="AQ49" authorId="4" shapeId="0" xr:uid="{BB93C75D-4F89-4051-BE1D-5E2488846182}">
      <text>
        <r>
          <rPr>
            <b/>
            <sz val="9"/>
            <color indexed="81"/>
            <rFont val="Tahoma"/>
            <family val="2"/>
          </rPr>
          <t>CRISIL GR&amp;RS:</t>
        </r>
        <r>
          <rPr>
            <sz val="9"/>
            <color indexed="81"/>
            <rFont val="Tahoma"/>
            <family val="2"/>
          </rPr>
          <t xml:space="preserve">
3Q22 Report, Page 78/153</t>
        </r>
      </text>
    </comment>
    <comment ref="AS49" authorId="1" shapeId="0" xr:uid="{4512BC82-FDCB-46B6-B47F-C2FBDAC5A544}">
      <text>
        <r>
          <rPr>
            <b/>
            <sz val="9"/>
            <color indexed="81"/>
            <rFont val="Tahoma"/>
            <family val="2"/>
          </rPr>
          <t>Crisil GR&amp;A:</t>
        </r>
        <r>
          <rPr>
            <sz val="9"/>
            <color indexed="81"/>
            <rFont val="Tahoma"/>
            <family val="2"/>
          </rPr>
          <t xml:space="preserve">
1Q23  Spanish Report; pg. 75/148 </t>
        </r>
      </text>
    </comment>
    <comment ref="AT49" authorId="1" shapeId="0" xr:uid="{B35B781C-6F09-413E-8374-8D29AF6FB8C3}">
      <text>
        <r>
          <rPr>
            <b/>
            <sz val="9"/>
            <color indexed="81"/>
            <rFont val="Tahoma"/>
            <family val="2"/>
          </rPr>
          <t>Crisil GR&amp;A:</t>
        </r>
        <r>
          <rPr>
            <sz val="9"/>
            <color indexed="81"/>
            <rFont val="Tahoma"/>
            <family val="2"/>
          </rPr>
          <t xml:space="preserve">
2Q22  Spanish Report; pg.81/152 </t>
        </r>
      </text>
    </comment>
    <comment ref="AU49" authorId="4" shapeId="0" xr:uid="{FC5C71BB-C322-4788-BEC3-29C23D66E042}">
      <text>
        <r>
          <rPr>
            <b/>
            <sz val="9"/>
            <color indexed="81"/>
            <rFont val="Tahoma"/>
            <family val="2"/>
          </rPr>
          <t>CRISIL GR&amp;RS:</t>
        </r>
        <r>
          <rPr>
            <sz val="9"/>
            <color indexed="81"/>
            <rFont val="Tahoma"/>
            <family val="2"/>
          </rPr>
          <t xml:space="preserve">
3Q23 Report, Page 80/154</t>
        </r>
      </text>
    </comment>
    <comment ref="AW49" authorId="1" shapeId="0" xr:uid="{47035EE8-6B50-47CC-8827-7F0AAEA63535}">
      <text>
        <r>
          <rPr>
            <b/>
            <sz val="9"/>
            <color indexed="81"/>
            <rFont val="Tahoma"/>
            <family val="2"/>
          </rPr>
          <t>Crisil GR&amp;A:</t>
        </r>
        <r>
          <rPr>
            <sz val="9"/>
            <color indexed="81"/>
            <rFont val="Tahoma"/>
            <family val="2"/>
          </rPr>
          <t xml:space="preserve">
Not disclosed</t>
        </r>
      </text>
    </comment>
    <comment ref="AX49" authorId="1" shapeId="0" xr:uid="{8ED09532-B070-4A1F-94C3-A883B0C13F6B}">
      <text>
        <r>
          <rPr>
            <b/>
            <sz val="9"/>
            <color indexed="81"/>
            <rFont val="Tahoma"/>
            <family val="2"/>
          </rPr>
          <t>Crisil GR&amp;A:</t>
        </r>
        <r>
          <rPr>
            <sz val="9"/>
            <color indexed="81"/>
            <rFont val="Tahoma"/>
            <family val="2"/>
          </rPr>
          <t xml:space="preserve">
Not disclosed</t>
        </r>
      </text>
    </comment>
    <comment ref="AY49" authorId="1" shapeId="0" xr:uid="{45730077-FBB2-4C33-8312-2DA89E170AD1}">
      <text>
        <r>
          <rPr>
            <b/>
            <sz val="9"/>
            <color indexed="81"/>
            <rFont val="Tahoma"/>
            <family val="2"/>
          </rPr>
          <t>Crisil GR&amp;A:</t>
        </r>
        <r>
          <rPr>
            <sz val="9"/>
            <color indexed="81"/>
            <rFont val="Tahoma"/>
            <family val="2"/>
          </rPr>
          <t xml:space="preserve">
Not disclosed</t>
        </r>
      </text>
    </comment>
    <comment ref="BA49" authorId="1" shapeId="0" xr:uid="{89DF1D6D-6A54-43E3-9F8A-67D93D81486E}">
      <text>
        <r>
          <rPr>
            <b/>
            <sz val="9"/>
            <color indexed="81"/>
            <rFont val="Tahoma"/>
            <family val="2"/>
          </rPr>
          <t>Crisil GR&amp;A:</t>
        </r>
        <r>
          <rPr>
            <sz val="9"/>
            <color indexed="81"/>
            <rFont val="Tahoma"/>
            <family val="2"/>
          </rPr>
          <t xml:space="preserve">
Not disclosed</t>
        </r>
      </text>
    </comment>
    <comment ref="BB49" authorId="1" shapeId="0" xr:uid="{4E20D89C-F825-4FA3-891A-F4944DECB1D6}">
      <text>
        <r>
          <rPr>
            <b/>
            <sz val="9"/>
            <color indexed="81"/>
            <rFont val="Tahoma"/>
            <family val="2"/>
          </rPr>
          <t>Crisil GR&amp;A:</t>
        </r>
        <r>
          <rPr>
            <sz val="9"/>
            <color indexed="81"/>
            <rFont val="Tahoma"/>
            <family val="2"/>
          </rPr>
          <t xml:space="preserve">
Not disclosed</t>
        </r>
      </text>
    </comment>
    <comment ref="BC49" authorId="1" shapeId="0" xr:uid="{93860F94-B0BA-4F00-8CE2-819A150F9008}">
      <text>
        <r>
          <rPr>
            <b/>
            <sz val="9"/>
            <color indexed="81"/>
            <rFont val="Tahoma"/>
            <family val="2"/>
          </rPr>
          <t>Crisil GR&amp;A:</t>
        </r>
        <r>
          <rPr>
            <sz val="9"/>
            <color indexed="81"/>
            <rFont val="Tahoma"/>
            <family val="2"/>
          </rPr>
          <t xml:space="preserve">
Not disclosed</t>
        </r>
      </text>
    </comment>
    <comment ref="BE49" authorId="1" shapeId="0" xr:uid="{7E688E63-392D-431C-AF46-7EFE787FEBE3}">
      <text>
        <r>
          <rPr>
            <b/>
            <sz val="9"/>
            <color indexed="81"/>
            <rFont val="Tahoma"/>
            <family val="2"/>
          </rPr>
          <t>Crisil GR&amp;A:</t>
        </r>
        <r>
          <rPr>
            <sz val="9"/>
            <color indexed="81"/>
            <rFont val="Tahoma"/>
            <family val="2"/>
          </rPr>
          <t xml:space="preserve">
Not disclosed</t>
        </r>
      </text>
    </comment>
    <comment ref="BI49" authorId="1" shapeId="0" xr:uid="{00000000-0006-0000-0100-00002A000000}">
      <text>
        <r>
          <rPr>
            <b/>
            <sz val="9"/>
            <color indexed="81"/>
            <rFont val="Tahoma"/>
            <family val="2"/>
          </rPr>
          <t>Crisil GR&amp;A:</t>
        </r>
        <r>
          <rPr>
            <sz val="9"/>
            <color indexed="81"/>
            <rFont val="Tahoma"/>
            <family val="2"/>
          </rPr>
          <t xml:space="preserve">
2Q19 Spanish Report; pg. 76/151</t>
        </r>
      </text>
    </comment>
    <comment ref="R56" authorId="5" shapeId="0" xr:uid="{00000000-0006-0000-0100-00002B000000}">
      <text>
        <r>
          <rPr>
            <b/>
            <sz val="9"/>
            <color indexed="81"/>
            <rFont val="Tahoma"/>
            <family val="2"/>
          </rPr>
          <t>CRISIL GR&amp;A:</t>
        </r>
        <r>
          <rPr>
            <sz val="9"/>
            <color indexed="81"/>
            <rFont val="Tahoma"/>
            <family val="2"/>
          </rPr>
          <t xml:space="preserve">
Restated EBITDA numbers are considered as Administrative and selling expenses were restated for 2Q17 as a result of Unicomer lawsuits against Wisdom's former shareholders.</t>
        </r>
      </text>
    </comment>
    <comment ref="AF56" authorId="1" shapeId="0" xr:uid="{00000000-0006-0000-0100-00002C000000}">
      <text>
        <r>
          <rPr>
            <b/>
            <sz val="9"/>
            <color indexed="81"/>
            <rFont val="Tahoma"/>
            <family val="2"/>
          </rPr>
          <t>Crisil GR&amp;A:</t>
        </r>
        <r>
          <rPr>
            <sz val="9"/>
            <color indexed="81"/>
            <rFont val="Tahoma"/>
            <family val="2"/>
          </rPr>
          <t xml:space="preserve">
 4Q19 EBITDA is 10,674.3 before IFRS 16, which is slightly different from the balancing number. However, we have taken out the balancing figure in 4Q19 as we do not have the restated numbers for the past quarters</t>
        </r>
      </text>
    </comment>
    <comment ref="B60" authorId="0" shapeId="0" xr:uid="{00000000-0006-0000-0100-00002D000000}">
      <text>
        <r>
          <rPr>
            <b/>
            <sz val="9"/>
            <color indexed="81"/>
            <rFont val="Tahoma"/>
            <family val="2"/>
          </rPr>
          <t>Onabule, Yejide:</t>
        </r>
        <r>
          <rPr>
            <sz val="9"/>
            <color indexed="81"/>
            <rFont val="Tahoma"/>
            <family val="2"/>
          </rPr>
          <t xml:space="preserve">
please adjust this section, if necessary  </t>
        </r>
      </text>
    </comment>
    <comment ref="B62" authorId="3" shapeId="0" xr:uid="{00000000-0006-0000-0100-00002E000000}">
      <text>
        <r>
          <rPr>
            <b/>
            <sz val="9"/>
            <color indexed="81"/>
            <rFont val="Tahoma"/>
            <family val="2"/>
          </rPr>
          <t xml:space="preserve">CRISIL:
</t>
        </r>
        <r>
          <rPr>
            <sz val="9"/>
            <color indexed="81"/>
            <rFont val="Tahoma"/>
            <family val="2"/>
          </rPr>
          <t xml:space="preserve">FY Includes:
</t>
        </r>
        <r>
          <rPr>
            <b/>
            <sz val="9"/>
            <color indexed="81"/>
            <rFont val="Tahoma"/>
            <family val="2"/>
          </rPr>
          <t xml:space="preserve">* </t>
        </r>
        <r>
          <rPr>
            <sz val="9"/>
            <color indexed="81"/>
            <rFont val="Tahoma"/>
            <family val="2"/>
          </rPr>
          <t xml:space="preserve">Adjustments for decrease (increase) in inventories
* Adjustments for decrease (increase) in trade accounts receivable
* Adjustments for decrease (increase) in other operating receivables
* Adjustments for increase (decrease) in trade accounts payable
* Adjustments for increase (decrease) in other operating payables
</t>
        </r>
      </text>
    </comment>
    <comment ref="B69" authorId="2" shapeId="0" xr:uid="{B541823E-CE49-4016-82FD-6A6C3A31A1E8}">
      <text>
        <r>
          <rPr>
            <b/>
            <sz val="9"/>
            <color indexed="81"/>
            <rFont val="Tahoma"/>
            <family val="2"/>
          </rPr>
          <t>CRISIL:</t>
        </r>
        <r>
          <rPr>
            <sz val="9"/>
            <color indexed="81"/>
            <rFont val="Tahoma"/>
            <family val="2"/>
          </rPr>
          <t xml:space="preserve">
cash payments/receipts to acquire/sell interests in joint ventures</t>
        </r>
      </text>
    </comment>
    <comment ref="C69" authorId="3" shapeId="0" xr:uid="{00000000-0006-0000-0100-00002F000000}">
      <text>
        <r>
          <rPr>
            <b/>
            <sz val="9"/>
            <color indexed="81"/>
            <rFont val="Tahoma"/>
            <family val="2"/>
          </rPr>
          <t xml:space="preserve">CRISIL GR&amp;A: </t>
        </r>
        <r>
          <rPr>
            <sz val="9"/>
            <color indexed="81"/>
            <rFont val="Tahoma"/>
            <family val="2"/>
          </rPr>
          <t xml:space="preserve">Includes gain on investments
</t>
        </r>
      </text>
    </comment>
    <comment ref="F69" authorId="5" shapeId="0" xr:uid="{00000000-0006-0000-0100-000030000000}">
      <text>
        <r>
          <rPr>
            <b/>
            <sz val="9"/>
            <color indexed="81"/>
            <rFont val="Tahoma"/>
            <family val="2"/>
          </rPr>
          <t>CRISIL GR&amp;A:</t>
        </r>
        <r>
          <rPr>
            <sz val="9"/>
            <color indexed="81"/>
            <rFont val="Tahoma"/>
            <family val="2"/>
          </rPr>
          <t xml:space="preserve">
Includes acquisition of Suburbia in April, 2017. The total consideration was MXN 18,205mn.</t>
        </r>
      </text>
    </comment>
    <comment ref="N72" authorId="2" shapeId="0" xr:uid="{E76BC336-3C7A-4E79-BED3-7EBFBAB410B0}">
      <text>
        <r>
          <rPr>
            <b/>
            <sz val="9"/>
            <color indexed="81"/>
            <rFont val="Tahoma"/>
            <family val="2"/>
          </rPr>
          <t>CRISIL:</t>
        </r>
        <r>
          <rPr>
            <sz val="9"/>
            <color indexed="81"/>
            <rFont val="Tahoma"/>
            <family val="2"/>
          </rPr>
          <t xml:space="preserve">
FY includes:
* Cash receipts from futures contracts, forward contracts, option contracts and swap contracts: 275.508
</t>
        </r>
      </text>
    </comment>
    <comment ref="BC72" authorId="2" shapeId="0" xr:uid="{4CE3F4CD-EFC9-4B99-9BC7-C7ABDFAEF8D0}">
      <text>
        <r>
          <rPr>
            <b/>
            <sz val="9"/>
            <color indexed="81"/>
            <rFont val="Tahoma"/>
            <family val="2"/>
          </rPr>
          <t>CRISIL:</t>
        </r>
        <r>
          <rPr>
            <sz val="9"/>
            <color indexed="81"/>
            <rFont val="Tahoma"/>
            <family val="2"/>
          </rPr>
          <t xml:space="preserve">
Includes:
1. Other cash receipts from sales of interests in joint ventures 7,455.762
2. Other cash payments to acquire interests in joint ventures: (24,559.265) 
3. Cash receipts from futures contracts, forward contracts, option contracts and swap contracts: 275.508</t>
        </r>
      </text>
    </comment>
    <comment ref="BE72" authorId="2" shapeId="0" xr:uid="{8F10331B-01B8-408D-BF25-73545772C34E}">
      <text>
        <r>
          <rPr>
            <b/>
            <sz val="9"/>
            <color indexed="81"/>
            <rFont val="Tahoma"/>
            <family val="2"/>
          </rPr>
          <t>CRISIL:</t>
        </r>
        <r>
          <rPr>
            <sz val="9"/>
            <color indexed="81"/>
            <rFont val="Tahoma"/>
            <family val="2"/>
          </rPr>
          <t xml:space="preserve">
3M includes:
* Other cash receipts from sales of interests in joint ventures: 14.691
* Cash payments for futures contracts, forward contracts, option contracts and swap contracts: (1,215.411)
* Dividends received : 167.475</t>
        </r>
      </text>
    </comment>
    <comment ref="M81" authorId="9" shapeId="0" xr:uid="{5AE82AC6-213D-4AD1-ADF7-6928F3FD4DB2}">
      <text>
        <r>
          <rPr>
            <b/>
            <sz val="9"/>
            <color indexed="81"/>
            <rFont val="Tahoma"/>
            <family val="2"/>
          </rPr>
          <t>Crisil Intergral IQ:</t>
        </r>
        <r>
          <rPr>
            <sz val="9"/>
            <color indexed="81"/>
            <rFont val="Tahoma"/>
            <family val="2"/>
          </rPr>
          <t xml:space="preserve">
Higher balancing figure mainly due to:
- Adjustments for fair value losses
 - Total adjustments to reconcile profit</t>
        </r>
      </text>
    </comment>
    <comment ref="N81" authorId="9" shapeId="0" xr:uid="{99EDA83C-6921-4AEB-9F03-DFADD2E56890}">
      <text>
        <r>
          <rPr>
            <b/>
            <sz val="9"/>
            <color indexed="81"/>
            <rFont val="Tahoma"/>
            <family val="2"/>
          </rPr>
          <t>Crisil Intergral IQ:</t>
        </r>
        <r>
          <rPr>
            <sz val="9"/>
            <color indexed="81"/>
            <rFont val="Tahoma"/>
            <family val="2"/>
          </rPr>
          <t xml:space="preserve">
It is high due to use of EBITDA instead of net profit to calcualte CFO, and other adjustments apart from working capital, majorly:
* Adjustments for provisions: 4,860.323
* Adjustments for fair value losses (gains): (886.607)
* Adjustments for losses (gains) on disposal of non-current assets : 125.262
* Other adjustments for which cash effects are investing or financing cash flow: (182.173)</t>
        </r>
      </text>
    </comment>
    <comment ref="AS81" authorId="10" shapeId="0" xr:uid="{51F5E57C-7921-4EB5-9134-2C29181BBE86}">
      <text>
        <r>
          <rPr>
            <b/>
            <sz val="9"/>
            <color indexed="81"/>
            <rFont val="Tahoma"/>
            <family val="2"/>
          </rPr>
          <t>Crisil GR&amp;RS:</t>
        </r>
        <r>
          <rPr>
            <sz val="9"/>
            <color indexed="81"/>
            <rFont val="Tahoma"/>
            <family val="2"/>
          </rPr>
          <t xml:space="preserve">
The balancing figure looks large because we're using EBITDA to calculate cashflow from operations, while the company is using net income and making adjustments to it.</t>
        </r>
      </text>
    </comment>
    <comment ref="BC81" authorId="2" shapeId="0" xr:uid="{C965D3BA-4DD1-4C29-8D5C-B7D20E04EB3E}">
      <text>
        <r>
          <rPr>
            <b/>
            <sz val="9"/>
            <color indexed="81"/>
            <rFont val="Tahoma"/>
            <family val="2"/>
          </rPr>
          <t>CRISIL:</t>
        </r>
        <r>
          <rPr>
            <sz val="9"/>
            <color indexed="81"/>
            <rFont val="Tahoma"/>
            <family val="2"/>
          </rPr>
          <t xml:space="preserve">
Higher balancing figure majolry due to use of EBITDA instead of Profit (loss) to calcualte cash flow from operating activities</t>
        </r>
      </text>
    </comment>
    <comment ref="BE81" authorId="2" shapeId="0" xr:uid="{7F3D392B-672A-4A27-A5A8-04613A15B84E}">
      <text>
        <r>
          <rPr>
            <b/>
            <sz val="9"/>
            <color indexed="81"/>
            <rFont val="Tahoma"/>
            <family val="2"/>
          </rPr>
          <t>CRISIL:</t>
        </r>
        <r>
          <rPr>
            <sz val="9"/>
            <color indexed="81"/>
            <rFont val="Tahoma"/>
            <family val="2"/>
          </rPr>
          <t xml:space="preserve">
It is due to use of EBITDA instead of net profit to calculate CFO and other adjsutments apart from working capital, majolry:
*  Adjustments for provisions: 937.097
* Other adjustments for non-cash items : (141.153)
* Other adjustments for which cash effects are investing or financing cash flow: 269.281
* Adjustments for income tax expense : 666.014</t>
        </r>
      </text>
    </comment>
    <comment ref="B103" authorId="2" shapeId="0" xr:uid="{D4864D14-E081-412F-906C-2E4E8B2554BA}">
      <text>
        <r>
          <rPr>
            <b/>
            <sz val="9"/>
            <color indexed="81"/>
            <rFont val="Tahoma"/>
            <family val="2"/>
          </rPr>
          <t>CRISIL:</t>
        </r>
        <r>
          <rPr>
            <sz val="9"/>
            <color indexed="81"/>
            <rFont val="Tahoma"/>
            <family val="2"/>
          </rPr>
          <t xml:space="preserve">
Includes:
* Property, plant and equipment 
* Investment property
* Right-of-use assets</t>
        </r>
      </text>
    </comment>
    <comment ref="H103" authorId="1" shapeId="0" xr:uid="{00000000-0006-0000-0100-000031000000}">
      <text>
        <r>
          <rPr>
            <b/>
            <sz val="9"/>
            <color indexed="81"/>
            <rFont val="Tahoma"/>
            <family val="2"/>
          </rPr>
          <t>Crisil GR&amp;A:</t>
        </r>
        <r>
          <rPr>
            <sz val="9"/>
            <color indexed="81"/>
            <rFont val="Tahoma"/>
            <family val="2"/>
          </rPr>
          <t xml:space="preserve">
Also Includes rights of use assets</t>
        </r>
      </text>
    </comment>
    <comment ref="I103" authorId="1" shapeId="0" xr:uid="{00000000-0006-0000-0100-000032000000}">
      <text>
        <r>
          <rPr>
            <b/>
            <sz val="9"/>
            <color indexed="81"/>
            <rFont val="Tahoma"/>
            <family val="2"/>
          </rPr>
          <t>Crisil GR&amp;A:</t>
        </r>
        <r>
          <rPr>
            <sz val="9"/>
            <color indexed="81"/>
            <rFont val="Tahoma"/>
            <family val="2"/>
          </rPr>
          <t xml:space="preserve">
Also Includes rights of use assets</t>
        </r>
      </text>
    </comment>
    <comment ref="J103" authorId="1" shapeId="0" xr:uid="{00000000-0006-0000-0100-000033000000}">
      <text>
        <r>
          <rPr>
            <b/>
            <sz val="9"/>
            <color indexed="81"/>
            <rFont val="Tahoma"/>
            <family val="2"/>
          </rPr>
          <t>Crisil GR&amp;A:</t>
        </r>
        <r>
          <rPr>
            <sz val="9"/>
            <color indexed="81"/>
            <rFont val="Tahoma"/>
            <family val="2"/>
          </rPr>
          <t xml:space="preserve">
Also Includes rights of use assets</t>
        </r>
      </text>
    </comment>
    <comment ref="K103" authorId="1" shapeId="0" xr:uid="{3C98BB90-E303-4CD7-A418-26528E18ED85}">
      <text>
        <r>
          <rPr>
            <b/>
            <sz val="9"/>
            <color indexed="81"/>
            <rFont val="Tahoma"/>
            <family val="2"/>
          </rPr>
          <t>Crisil GR&amp;A:</t>
        </r>
        <r>
          <rPr>
            <sz val="9"/>
            <color indexed="81"/>
            <rFont val="Tahoma"/>
            <family val="2"/>
          </rPr>
          <t xml:space="preserve">
Also Includes rights of use assets</t>
        </r>
      </text>
    </comment>
    <comment ref="B104" authorId="3" shapeId="0" xr:uid="{00000000-0006-0000-0100-000042000000}">
      <text>
        <r>
          <rPr>
            <b/>
            <sz val="9"/>
            <color indexed="81"/>
            <rFont val="Tahoma"/>
            <family val="2"/>
          </rPr>
          <t xml:space="preserve">CRISIL GR&amp;A: </t>
        </r>
        <r>
          <rPr>
            <sz val="9"/>
            <color indexed="81"/>
            <rFont val="Tahoma"/>
            <family val="2"/>
          </rPr>
          <t xml:space="preserve">Non-current provisions for employee benefits
</t>
        </r>
      </text>
    </comment>
    <comment ref="H116" authorId="1" shapeId="0" xr:uid="{00000000-0006-0000-0100-000043000000}">
      <text>
        <r>
          <rPr>
            <b/>
            <sz val="9"/>
            <color indexed="81"/>
            <rFont val="Tahoma"/>
            <family val="2"/>
          </rPr>
          <t>Crisil GR&amp;A:</t>
        </r>
        <r>
          <rPr>
            <sz val="9"/>
            <color indexed="81"/>
            <rFont val="Tahoma"/>
            <family val="2"/>
          </rPr>
          <t xml:space="preserve">
Includes lease liabilities as well</t>
        </r>
      </text>
    </comment>
    <comment ref="I116" authorId="1" shapeId="0" xr:uid="{00000000-0006-0000-0100-000044000000}">
      <text>
        <r>
          <rPr>
            <b/>
            <sz val="9"/>
            <color indexed="81"/>
            <rFont val="Tahoma"/>
            <family val="2"/>
          </rPr>
          <t>Crisil GR&amp;A:</t>
        </r>
        <r>
          <rPr>
            <sz val="9"/>
            <color indexed="81"/>
            <rFont val="Tahoma"/>
            <family val="2"/>
          </rPr>
          <t xml:space="preserve">
Includes lease liabilities as well</t>
        </r>
      </text>
    </comment>
    <comment ref="J116" authorId="1" shapeId="0" xr:uid="{00000000-0006-0000-0100-000045000000}">
      <text>
        <r>
          <rPr>
            <b/>
            <sz val="9"/>
            <color indexed="81"/>
            <rFont val="Tahoma"/>
            <family val="2"/>
          </rPr>
          <t>Crisil GR&amp;A:</t>
        </r>
        <r>
          <rPr>
            <sz val="9"/>
            <color indexed="81"/>
            <rFont val="Tahoma"/>
            <family val="2"/>
          </rPr>
          <t xml:space="preserve">
Includes lease liabilities as well</t>
        </r>
      </text>
    </comment>
    <comment ref="K116" authorId="1" shapeId="0" xr:uid="{72225991-F83C-43D2-8846-D5EF1DE87998}">
      <text>
        <r>
          <rPr>
            <b/>
            <sz val="9"/>
            <color indexed="81"/>
            <rFont val="Tahoma"/>
            <family val="2"/>
          </rPr>
          <t>Crisil GR&amp;A:</t>
        </r>
        <r>
          <rPr>
            <sz val="9"/>
            <color indexed="81"/>
            <rFont val="Tahoma"/>
            <family val="2"/>
          </rPr>
          <t xml:space="preserve">
Includes lease liabilities as well</t>
        </r>
      </text>
    </comment>
    <comment ref="L116" authorId="1" shapeId="0" xr:uid="{443C7E9B-5F2C-4ABE-BB10-F023FB3D2AC6}">
      <text>
        <r>
          <rPr>
            <b/>
            <sz val="9"/>
            <color indexed="81"/>
            <rFont val="Tahoma"/>
            <family val="2"/>
          </rPr>
          <t>Crisil GR&amp;A:</t>
        </r>
        <r>
          <rPr>
            <sz val="9"/>
            <color indexed="81"/>
            <rFont val="Tahoma"/>
            <family val="2"/>
          </rPr>
          <t xml:space="preserve">
Includes lease liabilities as well</t>
        </r>
      </text>
    </comment>
    <comment ref="M116" authorId="1" shapeId="0" xr:uid="{B7E3A7A8-9D04-40A4-9052-48A10B7039C3}">
      <text>
        <r>
          <rPr>
            <b/>
            <sz val="9"/>
            <color indexed="81"/>
            <rFont val="Tahoma"/>
            <family val="2"/>
          </rPr>
          <t>Crisil GR&amp;A:</t>
        </r>
        <r>
          <rPr>
            <sz val="9"/>
            <color indexed="81"/>
            <rFont val="Tahoma"/>
            <family val="2"/>
          </rPr>
          <t xml:space="preserve">
Includes lease liabilities as well</t>
        </r>
      </text>
    </comment>
    <comment ref="N116" authorId="1" shapeId="0" xr:uid="{3A8E8E61-6CFC-4836-83C9-69D31F0C4CD3}">
      <text>
        <r>
          <rPr>
            <b/>
            <sz val="9"/>
            <color indexed="81"/>
            <rFont val="Tahoma"/>
            <family val="2"/>
          </rPr>
          <t>Crisil GR&amp;A:</t>
        </r>
        <r>
          <rPr>
            <sz val="9"/>
            <color indexed="81"/>
            <rFont val="Tahoma"/>
            <family val="2"/>
          </rPr>
          <t xml:space="preserve">
Includes lease liabilities as well</t>
        </r>
      </text>
    </comment>
    <comment ref="S116" authorId="3" shapeId="0" xr:uid="{00000000-0006-0000-0100-000046000000}">
      <text>
        <r>
          <rPr>
            <b/>
            <sz val="9"/>
            <color indexed="81"/>
            <rFont val="Tahoma"/>
            <family val="2"/>
          </rPr>
          <t xml:space="preserve">CRISIL GR&amp;A: </t>
        </r>
        <r>
          <rPr>
            <sz val="9"/>
            <color indexed="81"/>
            <rFont val="Tahoma"/>
            <family val="2"/>
          </rPr>
          <t>The company raised US$750mn in 3Q16. It intends to utilize the proceeds from debt securities for overall corporate purposes including the financing of capital investments and the payment of the purchase price of the company's potential acquisitions</t>
        </r>
      </text>
    </comment>
    <comment ref="AC116" authorId="1" shapeId="0" xr:uid="{00000000-0006-0000-0100-000047000000}">
      <text>
        <r>
          <rPr>
            <b/>
            <sz val="9"/>
            <color indexed="81"/>
            <rFont val="Tahoma"/>
            <family val="2"/>
          </rPr>
          <t>Crisil GR&amp;A:</t>
        </r>
        <r>
          <rPr>
            <sz val="9"/>
            <color indexed="81"/>
            <rFont val="Tahoma"/>
            <family val="2"/>
          </rPr>
          <t xml:space="preserve">
Includes lease liabilities as well</t>
        </r>
      </text>
    </comment>
    <comment ref="AD116" authorId="1" shapeId="0" xr:uid="{00000000-0006-0000-0100-000048000000}">
      <text>
        <r>
          <rPr>
            <b/>
            <sz val="9"/>
            <color indexed="81"/>
            <rFont val="Tahoma"/>
            <family val="2"/>
          </rPr>
          <t>Crisil GR&amp;A:</t>
        </r>
        <r>
          <rPr>
            <sz val="9"/>
            <color indexed="81"/>
            <rFont val="Tahoma"/>
            <family val="2"/>
          </rPr>
          <t xml:space="preserve">
Includes lease liabilities as well</t>
        </r>
      </text>
    </comment>
    <comment ref="AE116" authorId="1" shapeId="0" xr:uid="{00000000-0006-0000-0100-000049000000}">
      <text>
        <r>
          <rPr>
            <b/>
            <sz val="9"/>
            <color indexed="81"/>
            <rFont val="Tahoma"/>
            <family val="2"/>
          </rPr>
          <t>Crisil GR&amp;A:</t>
        </r>
        <r>
          <rPr>
            <sz val="9"/>
            <color indexed="81"/>
            <rFont val="Tahoma"/>
            <family val="2"/>
          </rPr>
          <t xml:space="preserve">
Includes lease liabilities as well</t>
        </r>
      </text>
    </comment>
    <comment ref="AF116" authorId="1" shapeId="0" xr:uid="{00000000-0006-0000-0100-00004A000000}">
      <text>
        <r>
          <rPr>
            <b/>
            <sz val="9"/>
            <color indexed="81"/>
            <rFont val="Tahoma"/>
            <family val="2"/>
          </rPr>
          <t>Crisil GR&amp;A:</t>
        </r>
        <r>
          <rPr>
            <sz val="9"/>
            <color indexed="81"/>
            <rFont val="Tahoma"/>
            <family val="2"/>
          </rPr>
          <t xml:space="preserve">
Includes lease liabilities as well</t>
        </r>
      </text>
    </comment>
    <comment ref="AG116" authorId="1" shapeId="0" xr:uid="{00000000-0006-0000-0100-00004B000000}">
      <text>
        <r>
          <rPr>
            <b/>
            <sz val="9"/>
            <color indexed="81"/>
            <rFont val="Tahoma"/>
            <family val="2"/>
          </rPr>
          <t>Crisil GR&amp;A:</t>
        </r>
        <r>
          <rPr>
            <sz val="9"/>
            <color indexed="81"/>
            <rFont val="Tahoma"/>
            <family val="2"/>
          </rPr>
          <t xml:space="preserve">
Includes lease liabilities as well</t>
        </r>
      </text>
    </comment>
    <comment ref="AH116" authorId="1" shapeId="0" xr:uid="{00000000-0006-0000-0100-00004C000000}">
      <text>
        <r>
          <rPr>
            <b/>
            <sz val="9"/>
            <color indexed="81"/>
            <rFont val="Tahoma"/>
            <family val="2"/>
          </rPr>
          <t>Crisil GR&amp;A:</t>
        </r>
        <r>
          <rPr>
            <sz val="9"/>
            <color indexed="81"/>
            <rFont val="Tahoma"/>
            <family val="2"/>
          </rPr>
          <t xml:space="preserve">
Includes lease liabilities as well</t>
        </r>
      </text>
    </comment>
    <comment ref="AI116" authorId="1" shapeId="0" xr:uid="{00000000-0006-0000-0100-00004D000000}">
      <text>
        <r>
          <rPr>
            <b/>
            <sz val="9"/>
            <color indexed="81"/>
            <rFont val="Tahoma"/>
            <family val="2"/>
          </rPr>
          <t>Crisil GR&amp;A:</t>
        </r>
        <r>
          <rPr>
            <sz val="9"/>
            <color indexed="81"/>
            <rFont val="Tahoma"/>
            <family val="2"/>
          </rPr>
          <t xml:space="preserve">
Includes lease liabilities as well</t>
        </r>
      </text>
    </comment>
    <comment ref="AJ116" authorId="1" shapeId="0" xr:uid="{00000000-0006-0000-0100-00004E000000}">
      <text>
        <r>
          <rPr>
            <b/>
            <sz val="9"/>
            <color indexed="81"/>
            <rFont val="Tahoma"/>
            <family val="2"/>
          </rPr>
          <t>Crisil GR&amp;A:</t>
        </r>
        <r>
          <rPr>
            <sz val="9"/>
            <color indexed="81"/>
            <rFont val="Tahoma"/>
            <family val="2"/>
          </rPr>
          <t xml:space="preserve">
Includes lease liabilities as well</t>
        </r>
      </text>
    </comment>
    <comment ref="AK116" authorId="1" shapeId="0" xr:uid="{00000000-0006-0000-0100-00004F000000}">
      <text>
        <r>
          <rPr>
            <b/>
            <sz val="9"/>
            <color indexed="81"/>
            <rFont val="Tahoma"/>
            <family val="2"/>
          </rPr>
          <t>Crisil GR&amp;A:</t>
        </r>
        <r>
          <rPr>
            <sz val="9"/>
            <color indexed="81"/>
            <rFont val="Tahoma"/>
            <family val="2"/>
          </rPr>
          <t xml:space="preserve">
Includes lease liabilities as well</t>
        </r>
      </text>
    </comment>
    <comment ref="AL116" authorId="1" shapeId="0" xr:uid="{00000000-0006-0000-0100-000050000000}">
      <text>
        <r>
          <rPr>
            <b/>
            <sz val="9"/>
            <color indexed="81"/>
            <rFont val="Tahoma"/>
            <family val="2"/>
          </rPr>
          <t>Crisil GR&amp;A:</t>
        </r>
        <r>
          <rPr>
            <sz val="9"/>
            <color indexed="81"/>
            <rFont val="Tahoma"/>
            <family val="2"/>
          </rPr>
          <t xml:space="preserve">
Includes lease liabilities as well</t>
        </r>
      </text>
    </comment>
    <comment ref="AM116" authorId="1" shapeId="0" xr:uid="{00000000-0006-0000-0100-000051000000}">
      <text>
        <r>
          <rPr>
            <b/>
            <sz val="9"/>
            <color indexed="81"/>
            <rFont val="Tahoma"/>
            <family val="2"/>
          </rPr>
          <t>Crisil GR&amp;A:</t>
        </r>
        <r>
          <rPr>
            <sz val="9"/>
            <color indexed="81"/>
            <rFont val="Tahoma"/>
            <family val="2"/>
          </rPr>
          <t xml:space="preserve">
Includes lease liabilities as well</t>
        </r>
      </text>
    </comment>
    <comment ref="AN116" authorId="1" shapeId="0" xr:uid="{00000000-0006-0000-0100-000052000000}">
      <text>
        <r>
          <rPr>
            <b/>
            <sz val="9"/>
            <color indexed="81"/>
            <rFont val="Tahoma"/>
            <family val="2"/>
          </rPr>
          <t>Crisil GR&amp;A:</t>
        </r>
        <r>
          <rPr>
            <sz val="9"/>
            <color indexed="81"/>
            <rFont val="Tahoma"/>
            <family val="2"/>
          </rPr>
          <t xml:space="preserve">
Includes lease liabilities as well</t>
        </r>
      </text>
    </comment>
    <comment ref="AO116" authorId="1" shapeId="0" xr:uid="{00000000-0006-0000-0100-000053000000}">
      <text>
        <r>
          <rPr>
            <b/>
            <sz val="9"/>
            <color indexed="81"/>
            <rFont val="Tahoma"/>
            <family val="2"/>
          </rPr>
          <t>Crisil GR&amp;A:</t>
        </r>
        <r>
          <rPr>
            <sz val="9"/>
            <color indexed="81"/>
            <rFont val="Tahoma"/>
            <family val="2"/>
          </rPr>
          <t xml:space="preserve">
Includes lease liabilities as well</t>
        </r>
      </text>
    </comment>
    <comment ref="AP116" authorId="1" shapeId="0" xr:uid="{00000000-0006-0000-0100-000054000000}">
      <text>
        <r>
          <rPr>
            <b/>
            <sz val="9"/>
            <color indexed="81"/>
            <rFont val="Tahoma"/>
            <family val="2"/>
          </rPr>
          <t>Crisil GR&amp;A:</t>
        </r>
        <r>
          <rPr>
            <sz val="9"/>
            <color indexed="81"/>
            <rFont val="Tahoma"/>
            <family val="2"/>
          </rPr>
          <t xml:space="preserve">
Includes lease liabilities as well</t>
        </r>
      </text>
    </comment>
    <comment ref="AQ116" authorId="1" shapeId="0" xr:uid="{F6954BD2-E779-4E94-9427-BF5C09E58813}">
      <text>
        <r>
          <rPr>
            <b/>
            <sz val="9"/>
            <color indexed="81"/>
            <rFont val="Tahoma"/>
            <family val="2"/>
          </rPr>
          <t>Crisil GR&amp;A:</t>
        </r>
        <r>
          <rPr>
            <sz val="9"/>
            <color indexed="81"/>
            <rFont val="Tahoma"/>
            <family val="2"/>
          </rPr>
          <t xml:space="preserve">
Includes lease liabilities as well</t>
        </r>
      </text>
    </comment>
    <comment ref="AR116" authorId="1" shapeId="0" xr:uid="{7FEA9452-164C-403D-9004-1078A343503A}">
      <text>
        <r>
          <rPr>
            <b/>
            <sz val="9"/>
            <color indexed="81"/>
            <rFont val="Tahoma"/>
            <family val="2"/>
          </rPr>
          <t>Crisil GR&amp;A:</t>
        </r>
        <r>
          <rPr>
            <sz val="9"/>
            <color indexed="81"/>
            <rFont val="Tahoma"/>
            <family val="2"/>
          </rPr>
          <t xml:space="preserve">
Includes lease liabilities as well</t>
        </r>
      </text>
    </comment>
    <comment ref="AS116" authorId="1" shapeId="0" xr:uid="{60138882-9732-4B39-A159-010A93F681C3}">
      <text>
        <r>
          <rPr>
            <b/>
            <sz val="9"/>
            <color indexed="81"/>
            <rFont val="Tahoma"/>
            <family val="2"/>
          </rPr>
          <t>Crisil GR&amp;A:</t>
        </r>
        <r>
          <rPr>
            <sz val="9"/>
            <color indexed="81"/>
            <rFont val="Tahoma"/>
            <family val="2"/>
          </rPr>
          <t xml:space="preserve">
Includes lease liabilities as well</t>
        </r>
      </text>
    </comment>
    <comment ref="AT116" authorId="1" shapeId="0" xr:uid="{BA87074D-3FF0-4A09-A350-A25A3F65FB6D}">
      <text>
        <r>
          <rPr>
            <b/>
            <sz val="9"/>
            <color indexed="81"/>
            <rFont val="Tahoma"/>
            <family val="2"/>
          </rPr>
          <t>Crisil GR&amp;A:</t>
        </r>
        <r>
          <rPr>
            <sz val="9"/>
            <color indexed="81"/>
            <rFont val="Tahoma"/>
            <family val="2"/>
          </rPr>
          <t xml:space="preserve">
Includes lease liabilities as well</t>
        </r>
      </text>
    </comment>
    <comment ref="AU116" authorId="1" shapeId="0" xr:uid="{EF49F841-6237-4989-8012-A56020893DA5}">
      <text>
        <r>
          <rPr>
            <b/>
            <sz val="9"/>
            <color indexed="81"/>
            <rFont val="Tahoma"/>
            <family val="2"/>
          </rPr>
          <t>Crisil GR&amp;A:</t>
        </r>
        <r>
          <rPr>
            <sz val="9"/>
            <color indexed="81"/>
            <rFont val="Tahoma"/>
            <family val="2"/>
          </rPr>
          <t xml:space="preserve">
Includes lease liabilities as well</t>
        </r>
      </text>
    </comment>
    <comment ref="AV116" authorId="1" shapeId="0" xr:uid="{7437CCD4-808E-4DEE-B4EF-3A3378E465FF}">
      <text>
        <r>
          <rPr>
            <b/>
            <sz val="9"/>
            <color indexed="81"/>
            <rFont val="Tahoma"/>
            <family val="2"/>
          </rPr>
          <t>Crisil GR&amp;A:</t>
        </r>
        <r>
          <rPr>
            <sz val="9"/>
            <color indexed="81"/>
            <rFont val="Tahoma"/>
            <family val="2"/>
          </rPr>
          <t xml:space="preserve">
Includes lease liabilities as well</t>
        </r>
      </text>
    </comment>
    <comment ref="AW116" authorId="1" shapeId="0" xr:uid="{A1ABD988-7107-4BBC-B0C7-69BCDC767544}">
      <text>
        <r>
          <rPr>
            <b/>
            <sz val="9"/>
            <color indexed="81"/>
            <rFont val="Tahoma"/>
            <family val="2"/>
          </rPr>
          <t>Crisil GR&amp;A:</t>
        </r>
        <r>
          <rPr>
            <sz val="9"/>
            <color indexed="81"/>
            <rFont val="Tahoma"/>
            <family val="2"/>
          </rPr>
          <t xml:space="preserve">
Includes lease liabilities as well</t>
        </r>
      </text>
    </comment>
    <comment ref="AX116" authorId="1" shapeId="0" xr:uid="{BDC5D0EB-66F8-4FDF-8872-32D38458ADBB}">
      <text>
        <r>
          <rPr>
            <b/>
            <sz val="9"/>
            <color indexed="81"/>
            <rFont val="Tahoma"/>
            <family val="2"/>
          </rPr>
          <t>Crisil GR&amp;A:</t>
        </r>
        <r>
          <rPr>
            <sz val="9"/>
            <color indexed="81"/>
            <rFont val="Tahoma"/>
            <family val="2"/>
          </rPr>
          <t xml:space="preserve">
Includes lease liabilities as well</t>
        </r>
      </text>
    </comment>
    <comment ref="AY116" authorId="1" shapeId="0" xr:uid="{4F824777-C91A-4872-A0DA-8E6E5333D8E4}">
      <text>
        <r>
          <rPr>
            <b/>
            <sz val="9"/>
            <color indexed="81"/>
            <rFont val="Tahoma"/>
            <family val="2"/>
          </rPr>
          <t>Crisil GR&amp;A:</t>
        </r>
        <r>
          <rPr>
            <sz val="9"/>
            <color indexed="81"/>
            <rFont val="Tahoma"/>
            <family val="2"/>
          </rPr>
          <t xml:space="preserve">
Includes lease liabilities as well. </t>
        </r>
      </text>
    </comment>
    <comment ref="AZ116" authorId="1" shapeId="0" xr:uid="{8614523B-EBD4-47E0-BFBA-069A0AB81D7D}">
      <text>
        <r>
          <rPr>
            <b/>
            <sz val="9"/>
            <color indexed="81"/>
            <rFont val="Tahoma"/>
            <family val="2"/>
          </rPr>
          <t>Crisil GR&amp;A:</t>
        </r>
        <r>
          <rPr>
            <sz val="9"/>
            <color indexed="81"/>
            <rFont val="Tahoma"/>
            <family val="2"/>
          </rPr>
          <t xml:space="preserve">
Includes lease liabilities as well</t>
        </r>
      </text>
    </comment>
    <comment ref="BA116" authorId="1" shapeId="0" xr:uid="{93141C89-ED51-4C2A-B36B-7CA2B0084EE6}">
      <text>
        <r>
          <rPr>
            <b/>
            <sz val="9"/>
            <color indexed="81"/>
            <rFont val="Tahoma"/>
            <family val="2"/>
          </rPr>
          <t>Crisil GR&amp;A:</t>
        </r>
        <r>
          <rPr>
            <sz val="9"/>
            <color indexed="81"/>
            <rFont val="Tahoma"/>
            <family val="2"/>
          </rPr>
          <t xml:space="preserve">
Includes lease liabilities as well</t>
        </r>
      </text>
    </comment>
    <comment ref="BB116" authorId="1" shapeId="0" xr:uid="{140DBBA6-B04E-458D-B1BC-96BB30A10505}">
      <text>
        <r>
          <rPr>
            <b/>
            <sz val="9"/>
            <color indexed="81"/>
            <rFont val="Tahoma"/>
            <family val="2"/>
          </rPr>
          <t>Crisil GR&amp;A:</t>
        </r>
        <r>
          <rPr>
            <sz val="9"/>
            <color indexed="81"/>
            <rFont val="Tahoma"/>
            <family val="2"/>
          </rPr>
          <t xml:space="preserve">
Includes lease liabilities as well</t>
        </r>
      </text>
    </comment>
    <comment ref="BC116" authorId="1" shapeId="0" xr:uid="{556DB06C-81B1-4146-985D-1AF9A2040DD6}">
      <text>
        <r>
          <rPr>
            <b/>
            <sz val="9"/>
            <color indexed="81"/>
            <rFont val="Tahoma"/>
            <family val="2"/>
          </rPr>
          <t>Crisil GR&amp;A:</t>
        </r>
        <r>
          <rPr>
            <sz val="9"/>
            <color indexed="81"/>
            <rFont val="Tahoma"/>
            <family val="2"/>
          </rPr>
          <t xml:space="preserve">
Includes lease liabilities as well. </t>
        </r>
      </text>
    </comment>
    <comment ref="BE116" authorId="1" shapeId="0" xr:uid="{46C570B0-C581-4CCB-86CF-26CB6EA777FC}">
      <text>
        <r>
          <rPr>
            <b/>
            <sz val="9"/>
            <color indexed="81"/>
            <rFont val="Tahoma"/>
            <family val="2"/>
          </rPr>
          <t>Crisil GR&amp;A:</t>
        </r>
        <r>
          <rPr>
            <sz val="9"/>
            <color indexed="81"/>
            <rFont val="Tahoma"/>
            <family val="2"/>
          </rPr>
          <t xml:space="preserve">
Includes lease liabilities as well</t>
        </r>
      </text>
    </comment>
    <comment ref="N142" authorId="2" shapeId="0" xr:uid="{93FB555B-954E-44CE-AF87-0AFF7530D2F2}">
      <text>
        <r>
          <rPr>
            <b/>
            <sz val="9"/>
            <color indexed="81"/>
            <rFont val="Tahoma"/>
            <family val="2"/>
          </rPr>
          <t>CRISIL:</t>
        </r>
        <r>
          <rPr>
            <sz val="9"/>
            <color indexed="81"/>
            <rFont val="Tahoma"/>
            <family val="2"/>
          </rPr>
          <t xml:space="preserve">
Adjsuted with following (pg 49/174):
* Stock market loans current: (8,940.643)
* Other non-current financial liabilities: 2,232.569</t>
        </r>
      </text>
    </comment>
    <comment ref="O142" authorId="2" shapeId="0" xr:uid="{14DF96A9-5329-4CEF-BDCA-77CAC29E1220}">
      <text>
        <r>
          <rPr>
            <b/>
            <sz val="9"/>
            <color indexed="81"/>
            <rFont val="Tahoma"/>
            <family val="2"/>
          </rPr>
          <t>CRISIL:</t>
        </r>
        <r>
          <rPr>
            <sz val="9"/>
            <color indexed="81"/>
            <rFont val="Tahoma"/>
            <family val="2"/>
          </rPr>
          <t xml:space="preserve">
Adjsuted with following (pg 49/166):
* Other non-current financial liabilities: 3,086.983</t>
        </r>
      </text>
    </comment>
    <comment ref="BA142" authorId="2" shapeId="0" xr:uid="{650B0949-2080-41A8-87AC-408D60104249}">
      <text>
        <r>
          <rPr>
            <b/>
            <sz val="9"/>
            <color indexed="81"/>
            <rFont val="Tahoma"/>
            <family val="2"/>
          </rPr>
          <t>CRISIL:</t>
        </r>
        <r>
          <rPr>
            <sz val="9"/>
            <color indexed="81"/>
            <rFont val="Tahoma"/>
            <family val="2"/>
          </rPr>
          <t xml:space="preserve">
excludes other long term liabilities of 967mn</t>
        </r>
      </text>
    </comment>
    <comment ref="BB142" authorId="2" shapeId="0" xr:uid="{23F6BADD-B518-48E2-B02A-D237F3AFA931}">
      <text>
        <r>
          <rPr>
            <b/>
            <sz val="9"/>
            <color indexed="81"/>
            <rFont val="Tahoma"/>
            <family val="2"/>
          </rPr>
          <t>CRISIL:</t>
        </r>
        <r>
          <rPr>
            <sz val="9"/>
            <color indexed="81"/>
            <rFont val="Tahoma"/>
            <family val="2"/>
          </rPr>
          <t xml:space="preserve">
Includes other long term liabilities</t>
        </r>
      </text>
    </comment>
    <comment ref="BC142" authorId="2" shapeId="0" xr:uid="{16EEFA68-A27D-4043-998F-65D14F2CAD15}">
      <text>
        <r>
          <rPr>
            <b/>
            <sz val="9"/>
            <color indexed="81"/>
            <rFont val="Tahoma"/>
            <family val="2"/>
          </rPr>
          <t>CRISIL:</t>
        </r>
        <r>
          <rPr>
            <sz val="9"/>
            <color indexed="81"/>
            <rFont val="Tahoma"/>
            <family val="2"/>
          </rPr>
          <t xml:space="preserve">
adjusted for Other non-current financial liabilities: 3,672.029</t>
        </r>
      </text>
    </comment>
    <comment ref="BD142" authorId="2" shapeId="0" xr:uid="{96B83B78-2559-43D2-AB32-E1042E3B680C}">
      <text>
        <r>
          <rPr>
            <b/>
            <sz val="9"/>
            <color indexed="81"/>
            <rFont val="Tahoma"/>
            <family val="2"/>
          </rPr>
          <t>CRISIL:</t>
        </r>
        <r>
          <rPr>
            <sz val="9"/>
            <color indexed="81"/>
            <rFont val="Tahoma"/>
            <family val="2"/>
          </rPr>
          <t xml:space="preserve">
Adjsuted with following (pg 49/174):
* Stock market loans current: (8,940.643)
* Other non-current financial liabilities: 2,232.569</t>
        </r>
      </text>
    </comment>
    <comment ref="BE142" authorId="2" shapeId="0" xr:uid="{D4F67224-72DD-4F2F-BD84-7812A60F60C3}">
      <text>
        <r>
          <rPr>
            <b/>
            <sz val="9"/>
            <color indexed="81"/>
            <rFont val="Tahoma"/>
            <family val="2"/>
          </rPr>
          <t>CRISIL:</t>
        </r>
        <r>
          <rPr>
            <sz val="9"/>
            <color indexed="81"/>
            <rFont val="Tahoma"/>
            <family val="2"/>
          </rPr>
          <t xml:space="preserve">
Adjsuted with following (pg 47/161):
* Other non-current financial liabilities: 2,130.113</t>
        </r>
      </text>
    </comment>
    <comment ref="K155" authorId="8" shapeId="0" xr:uid="{7B3E1AF6-DA33-4D4F-9942-063AAE5A2CA4}">
      <text>
        <r>
          <rPr>
            <b/>
            <sz val="9"/>
            <color indexed="81"/>
            <rFont val="Tahoma"/>
            <family val="2"/>
          </rPr>
          <t>Crisil GR&amp;RS:</t>
        </r>
        <r>
          <rPr>
            <sz val="9"/>
            <color indexed="81"/>
            <rFont val="Tahoma"/>
            <family val="2"/>
          </rPr>
          <t xml:space="preserve">
Sourced from Bloomberg
</t>
        </r>
      </text>
    </comment>
    <comment ref="L155" authorId="8" shapeId="0" xr:uid="{EFE39830-E9C2-4352-A404-2F9DD4483DC1}">
      <text>
        <r>
          <rPr>
            <b/>
            <sz val="9"/>
            <color indexed="81"/>
            <rFont val="Tahoma"/>
            <family val="2"/>
          </rPr>
          <t>Crisil GR&amp;RS:</t>
        </r>
        <r>
          <rPr>
            <sz val="9"/>
            <color indexed="81"/>
            <rFont val="Tahoma"/>
            <family val="2"/>
          </rPr>
          <t xml:space="preserve">
Sourced from Bloomberg
</t>
        </r>
      </text>
    </comment>
    <comment ref="M155" authorId="2" shapeId="0" xr:uid="{4DAF58CB-ADF2-413E-A9CF-2AFD0EDBA682}">
      <text>
        <r>
          <rPr>
            <b/>
            <sz val="9"/>
            <color indexed="81"/>
            <rFont val="Tahoma"/>
            <family val="2"/>
          </rPr>
          <t>CRISIL:</t>
        </r>
        <r>
          <rPr>
            <sz val="9"/>
            <color indexed="81"/>
            <rFont val="Tahoma"/>
            <family val="2"/>
          </rPr>
          <t xml:space="preserve">
https://in.investing.com/equities/el-puerto-de-liverpool-c</t>
        </r>
      </text>
    </comment>
    <comment ref="N155" authorId="2" shapeId="0" xr:uid="{742F118B-FFDD-4036-B8F8-0F282E1F1E57}">
      <text>
        <r>
          <rPr>
            <b/>
            <sz val="9"/>
            <color indexed="81"/>
            <rFont val="Tahoma"/>
            <family val="2"/>
          </rPr>
          <t>CRISIL:</t>
        </r>
        <r>
          <rPr>
            <sz val="9"/>
            <color indexed="81"/>
            <rFont val="Tahoma"/>
            <family val="2"/>
          </rPr>
          <t xml:space="preserve">
https://in.investing.com/equities/el-puerto-de-liverpool-c</t>
        </r>
      </text>
    </comment>
    <comment ref="AI155" authorId="7" shapeId="0" xr:uid="{00000000-0006-0000-0100-000055000000}">
      <text>
        <r>
          <rPr>
            <sz val="9"/>
            <color indexed="81"/>
            <rFont val="Tahoma"/>
            <family val="2"/>
          </rPr>
          <t xml:space="preserve">sourced from bloomberg website as of 29/10/2020
</t>
        </r>
      </text>
    </comment>
    <comment ref="AM155" authorId="7" shapeId="0" xr:uid="{00000000-0006-0000-0100-000056000000}">
      <text>
        <r>
          <rPr>
            <sz val="9"/>
            <color indexed="81"/>
            <rFont val="Tahoma"/>
            <family val="2"/>
          </rPr>
          <t xml:space="preserve">sourced from bloomberg website as of 10/28/2021
</t>
        </r>
      </text>
    </comment>
    <comment ref="AO155" authorId="4" shapeId="0" xr:uid="{00000000-0006-0000-0100-000057000000}">
      <text>
        <r>
          <rPr>
            <b/>
            <sz val="9"/>
            <color indexed="81"/>
            <rFont val="Tahoma"/>
            <family val="2"/>
          </rPr>
          <t>CRISIL GR&amp;RS:</t>
        </r>
        <r>
          <rPr>
            <sz val="9"/>
            <color indexed="81"/>
            <rFont val="Tahoma"/>
            <family val="2"/>
          </rPr>
          <t xml:space="preserve">
Updated from google</t>
        </r>
      </text>
    </comment>
    <comment ref="AP155" authorId="4" shapeId="0" xr:uid="{00000000-0006-0000-0100-000058000000}">
      <text>
        <r>
          <rPr>
            <b/>
            <sz val="9"/>
            <color indexed="81"/>
            <rFont val="Tahoma"/>
            <family val="2"/>
          </rPr>
          <t>CRISIL GR&amp;RS:</t>
        </r>
        <r>
          <rPr>
            <sz val="9"/>
            <color indexed="81"/>
            <rFont val="Tahoma"/>
            <family val="2"/>
          </rPr>
          <t xml:space="preserve">
Updated from google</t>
        </r>
      </text>
    </comment>
    <comment ref="AS155" authorId="4" shapeId="0" xr:uid="{C5BEA9D4-276A-42CB-9541-746FEDE10653}">
      <text>
        <r>
          <rPr>
            <b/>
            <sz val="9"/>
            <color indexed="81"/>
            <rFont val="Tahoma"/>
            <family val="2"/>
          </rPr>
          <t>CRISIL GR&amp;RS:</t>
        </r>
        <r>
          <rPr>
            <sz val="9"/>
            <color indexed="81"/>
            <rFont val="Tahoma"/>
            <family val="2"/>
          </rPr>
          <t xml:space="preserve">
Updated from google</t>
        </r>
      </text>
    </comment>
    <comment ref="AT155" authorId="4" shapeId="0" xr:uid="{7B76A021-EC0A-4738-A533-7047DDADCB64}">
      <text>
        <r>
          <rPr>
            <b/>
            <sz val="9"/>
            <color indexed="81"/>
            <rFont val="Tahoma"/>
            <family val="2"/>
          </rPr>
          <t>CRISIL GR&amp;RS:</t>
        </r>
        <r>
          <rPr>
            <sz val="9"/>
            <color indexed="81"/>
            <rFont val="Tahoma"/>
            <family val="2"/>
          </rPr>
          <t xml:space="preserve">
Updated from google</t>
        </r>
      </text>
    </comment>
    <comment ref="AU155" authorId="4" shapeId="0" xr:uid="{506069EA-F02A-4A81-AE1F-8E5155FE5F40}">
      <text>
        <r>
          <rPr>
            <b/>
            <sz val="9"/>
            <color indexed="81"/>
            <rFont val="Tahoma"/>
            <family val="2"/>
          </rPr>
          <t>CRISIL GR&amp;RS:</t>
        </r>
        <r>
          <rPr>
            <sz val="9"/>
            <color indexed="81"/>
            <rFont val="Tahoma"/>
            <family val="2"/>
          </rPr>
          <t xml:space="preserve">
Updated from google</t>
        </r>
      </text>
    </comment>
    <comment ref="AW155" authorId="4" shapeId="0" xr:uid="{9B0BADFA-E3DB-4D01-B5FB-5C9A84331EDA}">
      <text>
        <r>
          <rPr>
            <b/>
            <sz val="9"/>
            <color indexed="81"/>
            <rFont val="Tahoma"/>
            <family val="2"/>
          </rPr>
          <t>CRISIL GR&amp;RS:</t>
        </r>
        <r>
          <rPr>
            <sz val="9"/>
            <color indexed="81"/>
            <rFont val="Tahoma"/>
            <family val="2"/>
          </rPr>
          <t xml:space="preserve">
Updated from google</t>
        </r>
      </text>
    </comment>
    <comment ref="AX155" authorId="4" shapeId="0" xr:uid="{E93A103E-28FF-4D0D-9960-4623E9062411}">
      <text>
        <r>
          <rPr>
            <b/>
            <sz val="9"/>
            <color indexed="81"/>
            <rFont val="Tahoma"/>
            <family val="2"/>
          </rPr>
          <t>CRISIL GR&amp;RS:</t>
        </r>
        <r>
          <rPr>
            <sz val="9"/>
            <color indexed="81"/>
            <rFont val="Tahoma"/>
            <family val="2"/>
          </rPr>
          <t xml:space="preserve">
Updated from google</t>
        </r>
      </text>
    </comment>
    <comment ref="AY155" authorId="2" shapeId="0" xr:uid="{FA667447-98A2-43EE-9B7A-9B9449713F45}">
      <text>
        <r>
          <rPr>
            <b/>
            <sz val="9"/>
            <color indexed="81"/>
            <rFont val="Tahoma"/>
            <family val="2"/>
          </rPr>
          <t>CRISIL:</t>
        </r>
        <r>
          <rPr>
            <sz val="9"/>
            <color indexed="81"/>
            <rFont val="Tahoma"/>
            <family val="2"/>
          </rPr>
          <t xml:space="preserve">
https://in.investing.com/equities/el-puerto-de-liverpool-c</t>
        </r>
      </text>
    </comment>
    <comment ref="BC155" authorId="2" shapeId="0" xr:uid="{B7038B42-E0B6-4252-AEEA-4B31958A7C7A}">
      <text>
        <r>
          <rPr>
            <b/>
            <sz val="9"/>
            <color indexed="81"/>
            <rFont val="Tahoma"/>
            <family val="2"/>
          </rPr>
          <t>CRISIL:</t>
        </r>
        <r>
          <rPr>
            <sz val="9"/>
            <color indexed="81"/>
            <rFont val="Tahoma"/>
            <family val="2"/>
          </rPr>
          <t xml:space="preserve">
https://in.investing.com/equities/el-puerto-de-liverpool-c</t>
        </r>
      </text>
    </comment>
    <comment ref="AB248" authorId="11" shapeId="0" xr:uid="{00000000-0006-0000-0100-000059000000}">
      <text>
        <r>
          <rPr>
            <b/>
            <sz val="9"/>
            <color indexed="81"/>
            <rFont val="Tahoma"/>
            <family val="2"/>
          </rPr>
          <t>CRISIL GR&amp;A:</t>
        </r>
        <r>
          <rPr>
            <sz val="9"/>
            <color indexed="81"/>
            <rFont val="Tahoma"/>
            <family val="2"/>
          </rPr>
          <t xml:space="preserve">
Not matching annual numbers because of FX conversion</t>
        </r>
      </text>
    </comment>
    <comment ref="B302" authorId="2" shapeId="0" xr:uid="{BFA65EDF-C1C4-4148-ABFB-9B7DF231903A}">
      <text>
        <r>
          <rPr>
            <b/>
            <sz val="9"/>
            <color indexed="81"/>
            <rFont val="Tahoma"/>
            <family val="2"/>
          </rPr>
          <t>CRISIL:</t>
        </r>
        <r>
          <rPr>
            <sz val="9"/>
            <color indexed="81"/>
            <rFont val="Tahoma"/>
            <family val="2"/>
          </rPr>
          <t xml:space="preserve">
Includes financial leases and capital leases</t>
        </r>
      </text>
    </comment>
    <comment ref="B308" authorId="2" shapeId="0" xr:uid="{1C4ECCE1-72BB-4333-AC4F-DFCB5ABB30F5}">
      <text>
        <r>
          <rPr>
            <b/>
            <sz val="9"/>
            <color indexed="81"/>
            <rFont val="Tahoma"/>
            <family val="2"/>
          </rPr>
          <t>CRISIL:</t>
        </r>
        <r>
          <rPr>
            <sz val="9"/>
            <color indexed="81"/>
            <rFont val="Tahoma"/>
            <family val="2"/>
          </rPr>
          <t xml:space="preserve">
Excludes capital leases</t>
        </r>
      </text>
    </comment>
    <comment ref="B309" authorId="2" shapeId="0" xr:uid="{5DEE99D7-23F6-4A8D-87A7-67FE417943F4}">
      <text>
        <r>
          <rPr>
            <b/>
            <sz val="9"/>
            <color indexed="81"/>
            <rFont val="Tahoma"/>
            <family val="2"/>
          </rPr>
          <t>CRISIL:</t>
        </r>
        <r>
          <rPr>
            <sz val="9"/>
            <color indexed="81"/>
            <rFont val="Tahoma"/>
            <family val="2"/>
          </rPr>
          <t xml:space="preserve">
Excludes capital leases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Yogesh Sheth</author>
    <author>CRISIL</author>
    <author>Vandana Shivani</author>
    <author>Meghana Ramesh Gollapudi</author>
    <author>CRISIL GR&amp;RS</author>
    <author>Kshitij Manish Garg</author>
  </authors>
  <commentList>
    <comment ref="B8" authorId="0" shapeId="0" xr:uid="{00000000-0006-0000-0200-000001000000}">
      <text>
        <r>
          <rPr>
            <b/>
            <sz val="9"/>
            <color indexed="81"/>
            <rFont val="Tahoma"/>
            <family val="2"/>
          </rPr>
          <t xml:space="preserve">CRISIL GR&amp;A: </t>
        </r>
        <r>
          <rPr>
            <sz val="9"/>
            <color indexed="81"/>
            <rFont val="Tahoma"/>
            <family val="2"/>
          </rPr>
          <t xml:space="preserve">Commercial income's same stores sales growth
</t>
        </r>
      </text>
    </comment>
    <comment ref="N8" authorId="1" shapeId="0" xr:uid="{0CEA1563-F3DE-451F-8ADD-D121016301AB}">
      <text>
        <r>
          <rPr>
            <b/>
            <sz val="9"/>
            <color indexed="81"/>
            <rFont val="Tahoma"/>
            <family val="2"/>
          </rPr>
          <t>CRISIL:</t>
        </r>
        <r>
          <rPr>
            <sz val="9"/>
            <color indexed="81"/>
            <rFont val="Tahoma"/>
            <family val="2"/>
          </rPr>
          <t xml:space="preserve">
from ER</t>
        </r>
      </text>
    </comment>
    <comment ref="AL8" authorId="1" shapeId="0" xr:uid="{00000000-0006-0000-0200-000002000000}">
      <text>
        <r>
          <rPr>
            <b/>
            <sz val="9"/>
            <color indexed="81"/>
            <rFont val="Tahoma"/>
            <family val="2"/>
          </rPr>
          <t>CRISIL:</t>
        </r>
        <r>
          <rPr>
            <sz val="9"/>
            <color indexed="81"/>
            <rFont val="Tahoma"/>
            <family val="2"/>
          </rPr>
          <t xml:space="preserve">
To be updated from PPT</t>
        </r>
      </text>
    </comment>
    <comment ref="AM8" authorId="1" shapeId="0" xr:uid="{00000000-0006-0000-0200-000003000000}">
      <text>
        <r>
          <rPr>
            <b/>
            <sz val="9"/>
            <color indexed="81"/>
            <rFont val="Tahoma"/>
            <family val="2"/>
          </rPr>
          <t>CRISIL:</t>
        </r>
        <r>
          <rPr>
            <sz val="9"/>
            <color indexed="81"/>
            <rFont val="Tahoma"/>
            <family val="2"/>
          </rPr>
          <t xml:space="preserve">
To be updated from PPT</t>
        </r>
      </text>
    </comment>
    <comment ref="BC8" authorId="1" shapeId="0" xr:uid="{0FA0E46E-C5EA-4510-BCD5-69D237FBA457}">
      <text>
        <r>
          <rPr>
            <b/>
            <sz val="9"/>
            <color indexed="81"/>
            <rFont val="Tahoma"/>
            <family val="2"/>
          </rPr>
          <t>CRISIL:</t>
        </r>
        <r>
          <rPr>
            <sz val="9"/>
            <color indexed="81"/>
            <rFont val="Tahoma"/>
            <family val="2"/>
          </rPr>
          <t xml:space="preserve">
from ER</t>
        </r>
      </text>
    </comment>
    <comment ref="BD8" authorId="1" shapeId="0" xr:uid="{375E4098-4FE2-4299-B6F5-5F8653607143}">
      <text>
        <r>
          <rPr>
            <b/>
            <sz val="9"/>
            <color indexed="81"/>
            <rFont val="Tahoma"/>
            <family val="2"/>
          </rPr>
          <t>CRISIL:</t>
        </r>
        <r>
          <rPr>
            <sz val="9"/>
            <color indexed="81"/>
            <rFont val="Tahoma"/>
            <family val="2"/>
          </rPr>
          <t xml:space="preserve">
from ER</t>
        </r>
      </text>
    </comment>
    <comment ref="BE8" authorId="1" shapeId="0" xr:uid="{4311B7ED-725C-4F84-976E-3A6A9D6B91DC}">
      <text>
        <r>
          <rPr>
            <b/>
            <sz val="9"/>
            <color indexed="81"/>
            <rFont val="Tahoma"/>
            <family val="2"/>
          </rPr>
          <t>CRISIL:</t>
        </r>
        <r>
          <rPr>
            <sz val="9"/>
            <color indexed="81"/>
            <rFont val="Tahoma"/>
            <family val="2"/>
          </rPr>
          <t xml:space="preserve">
from ER</t>
        </r>
      </text>
    </comment>
    <comment ref="BF8" authorId="1" shapeId="0" xr:uid="{9F41EB73-E3A9-491A-8AC3-B772C6615EB7}">
      <text>
        <r>
          <rPr>
            <b/>
            <sz val="9"/>
            <color indexed="81"/>
            <rFont val="Tahoma"/>
            <family val="2"/>
          </rPr>
          <t>CRISIL:</t>
        </r>
        <r>
          <rPr>
            <sz val="9"/>
            <color indexed="81"/>
            <rFont val="Tahoma"/>
            <family val="2"/>
          </rPr>
          <t xml:space="preserve">
from ER</t>
        </r>
      </text>
    </comment>
    <comment ref="AL9" authorId="1" shapeId="0" xr:uid="{00000000-0006-0000-0200-000004000000}">
      <text>
        <r>
          <rPr>
            <b/>
            <sz val="9"/>
            <color indexed="81"/>
            <rFont val="Tahoma"/>
            <family val="2"/>
          </rPr>
          <t>CRISIL:</t>
        </r>
        <r>
          <rPr>
            <sz val="9"/>
            <color indexed="81"/>
            <rFont val="Tahoma"/>
            <family val="2"/>
          </rPr>
          <t xml:space="preserve">
To be updated from PPT</t>
        </r>
      </text>
    </comment>
    <comment ref="AM9" authorId="1" shapeId="0" xr:uid="{00000000-0006-0000-0200-000005000000}">
      <text>
        <r>
          <rPr>
            <b/>
            <sz val="9"/>
            <color indexed="81"/>
            <rFont val="Tahoma"/>
            <family val="2"/>
          </rPr>
          <t>CRISIL:</t>
        </r>
        <r>
          <rPr>
            <sz val="9"/>
            <color indexed="81"/>
            <rFont val="Tahoma"/>
            <family val="2"/>
          </rPr>
          <t xml:space="preserve">
To be updated from PPT</t>
        </r>
      </text>
    </comment>
    <comment ref="AL10" authorId="1" shapeId="0" xr:uid="{00000000-0006-0000-0200-000006000000}">
      <text>
        <r>
          <rPr>
            <b/>
            <sz val="9"/>
            <color indexed="81"/>
            <rFont val="Tahoma"/>
            <family val="2"/>
          </rPr>
          <t>CRISIL:</t>
        </r>
        <r>
          <rPr>
            <sz val="9"/>
            <color indexed="81"/>
            <rFont val="Tahoma"/>
            <family val="2"/>
          </rPr>
          <t xml:space="preserve">
To be updated from PPT</t>
        </r>
      </text>
    </comment>
    <comment ref="AM10" authorId="1" shapeId="0" xr:uid="{00000000-0006-0000-0200-000007000000}">
      <text>
        <r>
          <rPr>
            <b/>
            <sz val="9"/>
            <color indexed="81"/>
            <rFont val="Tahoma"/>
            <family val="2"/>
          </rPr>
          <t>CRISIL:</t>
        </r>
        <r>
          <rPr>
            <sz val="9"/>
            <color indexed="81"/>
            <rFont val="Tahoma"/>
            <family val="2"/>
          </rPr>
          <t xml:space="preserve">
To be updated from PPT</t>
        </r>
      </text>
    </comment>
    <comment ref="BA10" authorId="1" shapeId="0" xr:uid="{0843EBBC-00AD-4E7B-A240-98444AB40601}">
      <text>
        <r>
          <rPr>
            <b/>
            <sz val="9"/>
            <color indexed="81"/>
            <rFont val="Tahoma"/>
            <family val="2"/>
          </rPr>
          <t>CRISIL:</t>
        </r>
        <r>
          <rPr>
            <sz val="9"/>
            <color indexed="81"/>
            <rFont val="Tahoma"/>
            <family val="2"/>
          </rPr>
          <t xml:space="preserve">
Data NA</t>
        </r>
      </text>
    </comment>
    <comment ref="BB10" authorId="1" shapeId="0" xr:uid="{00E8EC72-0EE1-4B20-896A-BB6E5E44C9DD}">
      <text>
        <r>
          <rPr>
            <b/>
            <sz val="9"/>
            <color indexed="81"/>
            <rFont val="Tahoma"/>
            <family val="2"/>
          </rPr>
          <t>CRISIL:</t>
        </r>
        <r>
          <rPr>
            <sz val="9"/>
            <color indexed="81"/>
            <rFont val="Tahoma"/>
            <family val="2"/>
          </rPr>
          <t xml:space="preserve">
Data NA</t>
        </r>
      </text>
    </comment>
    <comment ref="K33" authorId="2" shapeId="0" xr:uid="{C2470036-D7A4-44F9-82BD-6A79EE2F9F91}">
      <text>
        <r>
          <rPr>
            <b/>
            <sz val="9"/>
            <color indexed="81"/>
            <rFont val="Tahoma"/>
            <family val="2"/>
          </rPr>
          <t>Crisil GR&amp;RS:</t>
        </r>
        <r>
          <rPr>
            <sz val="9"/>
            <color indexed="81"/>
            <rFont val="Tahoma"/>
            <family val="2"/>
          </rPr>
          <t xml:space="preserve">Updated based on recent fillings
</t>
        </r>
      </text>
    </comment>
    <comment ref="K34" authorId="2" shapeId="0" xr:uid="{4B59EB40-EDE4-49E7-9AEC-4B54CC66C259}">
      <text>
        <r>
          <rPr>
            <b/>
            <sz val="9"/>
            <color indexed="81"/>
            <rFont val="Tahoma"/>
            <family val="2"/>
          </rPr>
          <t>Crisil GR&amp;RS:</t>
        </r>
        <r>
          <rPr>
            <sz val="9"/>
            <color indexed="81"/>
            <rFont val="Tahoma"/>
            <family val="2"/>
          </rPr>
          <t xml:space="preserve">Updated based on recent fillings
</t>
        </r>
      </text>
    </comment>
    <comment ref="N38" authorId="1" shapeId="0" xr:uid="{842FA70D-3923-453B-AFFA-CD8DFF73481C}">
      <text>
        <r>
          <rPr>
            <b/>
            <sz val="9"/>
            <color indexed="81"/>
            <rFont val="Tahoma"/>
            <family val="2"/>
          </rPr>
          <t>CRISIL:</t>
        </r>
        <r>
          <rPr>
            <sz val="9"/>
            <color indexed="81"/>
            <rFont val="Tahoma"/>
            <family val="2"/>
          </rPr>
          <t xml:space="preserve">
from ER</t>
        </r>
      </text>
    </comment>
    <comment ref="BC38" authorId="1" shapeId="0" xr:uid="{6F80B469-BC9E-447F-86BA-430204ED6B57}">
      <text>
        <r>
          <rPr>
            <b/>
            <sz val="9"/>
            <color indexed="81"/>
            <rFont val="Tahoma"/>
            <family val="2"/>
          </rPr>
          <t>CRISIL:</t>
        </r>
        <r>
          <rPr>
            <sz val="9"/>
            <color indexed="81"/>
            <rFont val="Tahoma"/>
            <family val="2"/>
          </rPr>
          <t xml:space="preserve">
from ER</t>
        </r>
      </text>
    </comment>
    <comment ref="BE38" authorId="1" shapeId="0" xr:uid="{6BF60AEA-DB4C-4E7F-A037-DCF7E2AF8585}">
      <text>
        <r>
          <rPr>
            <b/>
            <sz val="9"/>
            <color indexed="81"/>
            <rFont val="Tahoma"/>
            <family val="2"/>
          </rPr>
          <t>CRISIL:</t>
        </r>
        <r>
          <rPr>
            <sz val="9"/>
            <color indexed="81"/>
            <rFont val="Tahoma"/>
            <family val="2"/>
          </rPr>
          <t xml:space="preserve">
from ER</t>
        </r>
      </text>
    </comment>
    <comment ref="BF38" authorId="1" shapeId="0" xr:uid="{AB8CC708-C87C-454D-8D02-1F99FE988C90}">
      <text>
        <r>
          <rPr>
            <b/>
            <sz val="9"/>
            <color indexed="81"/>
            <rFont val="Tahoma"/>
            <family val="2"/>
          </rPr>
          <t>CRISIL:</t>
        </r>
        <r>
          <rPr>
            <sz val="9"/>
            <color indexed="81"/>
            <rFont val="Tahoma"/>
            <family val="2"/>
          </rPr>
          <t xml:space="preserve">
from ER</t>
        </r>
      </text>
    </comment>
    <comment ref="N58" authorId="1" shapeId="0" xr:uid="{BD0B1C40-EB44-494D-9948-343A3F21BE38}">
      <text>
        <r>
          <rPr>
            <b/>
            <sz val="9"/>
            <color indexed="81"/>
            <rFont val="Tahoma"/>
            <family val="2"/>
          </rPr>
          <t>CRISIL:</t>
        </r>
        <r>
          <rPr>
            <sz val="9"/>
            <color indexed="81"/>
            <rFont val="Tahoma"/>
            <family val="2"/>
          </rPr>
          <t xml:space="preserve">
from FS</t>
        </r>
      </text>
    </comment>
    <comment ref="BC58" authorId="1" shapeId="0" xr:uid="{D828A221-3D70-4EA5-BD5F-4D0C5E3BAD32}">
      <text>
        <r>
          <rPr>
            <b/>
            <sz val="9"/>
            <color indexed="81"/>
            <rFont val="Tahoma"/>
            <family val="2"/>
          </rPr>
          <t>CRISIL:</t>
        </r>
        <r>
          <rPr>
            <sz val="9"/>
            <color indexed="81"/>
            <rFont val="Tahoma"/>
            <family val="2"/>
          </rPr>
          <t xml:space="preserve">
from FS</t>
        </r>
      </text>
    </comment>
    <comment ref="BE58" authorId="1" shapeId="0" xr:uid="{E5D1F3F3-C5D2-4BF6-A790-963DC40AA6BA}">
      <text>
        <r>
          <rPr>
            <b/>
            <sz val="9"/>
            <color indexed="81"/>
            <rFont val="Tahoma"/>
            <family val="2"/>
          </rPr>
          <t>CRISIL:</t>
        </r>
        <r>
          <rPr>
            <sz val="9"/>
            <color indexed="81"/>
            <rFont val="Tahoma"/>
            <family val="2"/>
          </rPr>
          <t xml:space="preserve">
from FS</t>
        </r>
      </text>
    </comment>
    <comment ref="BF58" authorId="1" shapeId="0" xr:uid="{B5E3FF13-2201-4187-AD67-BB4134F38674}">
      <text>
        <r>
          <rPr>
            <b/>
            <sz val="9"/>
            <color indexed="81"/>
            <rFont val="Tahoma"/>
            <family val="2"/>
          </rPr>
          <t>CRISIL:</t>
        </r>
        <r>
          <rPr>
            <sz val="9"/>
            <color indexed="81"/>
            <rFont val="Tahoma"/>
            <family val="2"/>
          </rPr>
          <t xml:space="preserve">
from FS</t>
        </r>
      </text>
    </comment>
    <comment ref="I59" authorId="3" shapeId="0" xr:uid="{00000000-0006-0000-0200-00000A000000}">
      <text>
        <r>
          <rPr>
            <sz val="9"/>
            <color indexed="81"/>
            <rFont val="Tahoma"/>
            <family val="2"/>
          </rPr>
          <t xml:space="preserve">co. not reporting this segment data
</t>
        </r>
      </text>
    </comment>
    <comment ref="J59" authorId="3" shapeId="0" xr:uid="{00000000-0006-0000-0200-00000B000000}">
      <text>
        <r>
          <rPr>
            <sz val="9"/>
            <color indexed="81"/>
            <rFont val="Tahoma"/>
            <family val="2"/>
          </rPr>
          <t xml:space="preserve">co. not reporting this segment data
</t>
        </r>
      </text>
    </comment>
    <comment ref="K59" authorId="3" shapeId="0" xr:uid="{80FD5A9C-9EBD-4AA0-80E6-FBFF7D6B449C}">
      <text>
        <r>
          <rPr>
            <sz val="9"/>
            <color indexed="81"/>
            <rFont val="Tahoma"/>
            <family val="2"/>
          </rPr>
          <t xml:space="preserve">co. not reporting this segment data
</t>
        </r>
      </text>
    </comment>
    <comment ref="L59" authorId="3" shapeId="0" xr:uid="{0464CAF1-5750-4B07-8A9A-C1C81EF01A85}">
      <text>
        <r>
          <rPr>
            <sz val="9"/>
            <color indexed="81"/>
            <rFont val="Tahoma"/>
            <family val="2"/>
          </rPr>
          <t xml:space="preserve">co. not reporting this segment data
</t>
        </r>
      </text>
    </comment>
    <comment ref="M59" authorId="3" shapeId="0" xr:uid="{E3BFED84-ABDD-42A7-A45B-9A5E0A60630C}">
      <text>
        <r>
          <rPr>
            <sz val="9"/>
            <color indexed="81"/>
            <rFont val="Tahoma"/>
            <family val="2"/>
          </rPr>
          <t xml:space="preserve">co. not reporting this segment data
</t>
        </r>
      </text>
    </comment>
    <comment ref="N59" authorId="3" shapeId="0" xr:uid="{06E5847C-FAA0-42A4-832F-2BAA30FAA7F4}">
      <text>
        <r>
          <rPr>
            <sz val="9"/>
            <color indexed="81"/>
            <rFont val="Tahoma"/>
            <family val="2"/>
          </rPr>
          <t xml:space="preserve">co. not reporting this segment data
</t>
        </r>
      </text>
    </comment>
    <comment ref="O59" authorId="3" shapeId="0" xr:uid="{FEF9F478-7AF3-4CAE-8518-EE41ABB6ACE1}">
      <text>
        <r>
          <rPr>
            <sz val="9"/>
            <color indexed="81"/>
            <rFont val="Tahoma"/>
            <family val="2"/>
          </rPr>
          <t xml:space="preserve">co. not reporting this segment data
</t>
        </r>
      </text>
    </comment>
    <comment ref="AK59" authorId="3" shapeId="0" xr:uid="{00000000-0006-0000-0200-00000C000000}">
      <text>
        <r>
          <rPr>
            <sz val="9"/>
            <color indexed="81"/>
            <rFont val="Tahoma"/>
            <family val="2"/>
          </rPr>
          <t xml:space="preserve">co. not reporting this segment data
</t>
        </r>
      </text>
    </comment>
    <comment ref="AL59" authorId="3" shapeId="0" xr:uid="{00000000-0006-0000-0200-00000D000000}">
      <text>
        <r>
          <rPr>
            <sz val="9"/>
            <color indexed="81"/>
            <rFont val="Tahoma"/>
            <family val="2"/>
          </rPr>
          <t xml:space="preserve">co. not reporting this segment data
</t>
        </r>
      </text>
    </comment>
    <comment ref="AM59" authorId="3" shapeId="0" xr:uid="{00000000-0006-0000-0200-00000E000000}">
      <text>
        <r>
          <rPr>
            <sz val="9"/>
            <color indexed="81"/>
            <rFont val="Tahoma"/>
            <family val="2"/>
          </rPr>
          <t xml:space="preserve">co. not reporting this segment data
</t>
        </r>
      </text>
    </comment>
    <comment ref="AO59" authorId="3" shapeId="0" xr:uid="{DE78D52B-888D-49F0-BAD5-AA95BA119FC0}">
      <text>
        <r>
          <rPr>
            <sz val="9"/>
            <color indexed="81"/>
            <rFont val="Tahoma"/>
            <family val="2"/>
          </rPr>
          <t xml:space="preserve">co. not reporting this segment data
</t>
        </r>
      </text>
    </comment>
    <comment ref="AP59" authorId="3" shapeId="0" xr:uid="{4B8C60CF-9AF8-42D1-A846-AF9803DCD71B}">
      <text>
        <r>
          <rPr>
            <sz val="9"/>
            <color indexed="81"/>
            <rFont val="Tahoma"/>
            <family val="2"/>
          </rPr>
          <t xml:space="preserve">co. not reporting this segment data
</t>
        </r>
      </text>
    </comment>
    <comment ref="AQ59" authorId="3" shapeId="0" xr:uid="{0B313010-6DC4-4946-B13C-36E7759922FD}">
      <text>
        <r>
          <rPr>
            <sz val="9"/>
            <color indexed="81"/>
            <rFont val="Tahoma"/>
            <family val="2"/>
          </rPr>
          <t xml:space="preserve">co. not reporting this segment data
</t>
        </r>
      </text>
    </comment>
    <comment ref="AS59" authorId="3" shapeId="0" xr:uid="{7624EC4A-6414-4BC0-87F8-E10BD2C0150C}">
      <text>
        <r>
          <rPr>
            <sz val="9"/>
            <color indexed="81"/>
            <rFont val="Tahoma"/>
            <family val="2"/>
          </rPr>
          <t xml:space="preserve">co. not reporting this segment data
</t>
        </r>
      </text>
    </comment>
    <comment ref="AT59" authorId="3" shapeId="0" xr:uid="{F97EA3D5-0DE7-45A2-815F-DFCA0224F3A7}">
      <text>
        <r>
          <rPr>
            <sz val="9"/>
            <color indexed="81"/>
            <rFont val="Tahoma"/>
            <family val="2"/>
          </rPr>
          <t xml:space="preserve">co. not reporting this segment data
</t>
        </r>
      </text>
    </comment>
    <comment ref="AU59" authorId="3" shapeId="0" xr:uid="{D18F8A6A-B1A8-4458-9517-2D0BD6F08DAB}">
      <text>
        <r>
          <rPr>
            <sz val="9"/>
            <color indexed="81"/>
            <rFont val="Tahoma"/>
            <family val="2"/>
          </rPr>
          <t xml:space="preserve">co. not reporting this segment data
</t>
        </r>
      </text>
    </comment>
    <comment ref="AV59" authorId="3" shapeId="0" xr:uid="{49CF3CE5-FCAD-4DBB-AA6C-88A6A74DD0DE}">
      <text>
        <r>
          <rPr>
            <sz val="9"/>
            <color indexed="81"/>
            <rFont val="Tahoma"/>
            <family val="2"/>
          </rPr>
          <t xml:space="preserve">co. not reporting this segment data
</t>
        </r>
      </text>
    </comment>
    <comment ref="AW59" authorId="3" shapeId="0" xr:uid="{3AB99709-3BB2-42C1-971B-3C0344D3AA76}">
      <text>
        <r>
          <rPr>
            <sz val="9"/>
            <color indexed="81"/>
            <rFont val="Tahoma"/>
            <family val="2"/>
          </rPr>
          <t xml:space="preserve">co. not reporting this segment data
</t>
        </r>
      </text>
    </comment>
    <comment ref="AX59" authorId="3" shapeId="0" xr:uid="{11DAF548-26C5-4C5E-9CCB-2FC726115E2C}">
      <text>
        <r>
          <rPr>
            <sz val="9"/>
            <color indexed="81"/>
            <rFont val="Tahoma"/>
            <family val="2"/>
          </rPr>
          <t xml:space="preserve">co. not reporting this segment data
</t>
        </r>
      </text>
    </comment>
    <comment ref="AZ59" authorId="3" shapeId="0" xr:uid="{FEA46524-08F2-40CC-A268-FD46E64A5548}">
      <text>
        <r>
          <rPr>
            <sz val="9"/>
            <color indexed="81"/>
            <rFont val="Tahoma"/>
            <family val="2"/>
          </rPr>
          <t xml:space="preserve">co. not reporting this segment data
</t>
        </r>
      </text>
    </comment>
    <comment ref="BA59" authorId="3" shapeId="0" xr:uid="{8950995E-96B1-458D-9FB1-E9908D550F71}">
      <text>
        <r>
          <rPr>
            <sz val="9"/>
            <color indexed="81"/>
            <rFont val="Tahoma"/>
            <family val="2"/>
          </rPr>
          <t xml:space="preserve">co. not reporting this segment data
</t>
        </r>
      </text>
    </comment>
    <comment ref="BB59" authorId="3" shapeId="0" xr:uid="{71AA4EDD-65D7-4DDE-92E0-2301A63FAE21}">
      <text>
        <r>
          <rPr>
            <sz val="9"/>
            <color indexed="81"/>
            <rFont val="Tahoma"/>
            <family val="2"/>
          </rPr>
          <t xml:space="preserve">co. not reporting this segment data
</t>
        </r>
      </text>
    </comment>
    <comment ref="BD59" authorId="3" shapeId="0" xr:uid="{1D54E721-0ED0-4179-9432-79F51F1DB10B}">
      <text>
        <r>
          <rPr>
            <sz val="9"/>
            <color indexed="81"/>
            <rFont val="Tahoma"/>
            <family val="2"/>
          </rPr>
          <t xml:space="preserve">co. not reporting this segment data
</t>
        </r>
      </text>
    </comment>
    <comment ref="BE59" authorId="3" shapeId="0" xr:uid="{D10A2E80-001A-4565-8A52-AC2F4EC77949}">
      <text>
        <r>
          <rPr>
            <sz val="9"/>
            <color indexed="81"/>
            <rFont val="Tahoma"/>
            <family val="2"/>
          </rPr>
          <t xml:space="preserve">co. not reporting this segment data
</t>
        </r>
      </text>
    </comment>
    <comment ref="BF59" authorId="3" shapeId="0" xr:uid="{C54F8F29-60CF-4BC7-ABB4-B96E55752461}">
      <text>
        <r>
          <rPr>
            <sz val="9"/>
            <color indexed="81"/>
            <rFont val="Tahoma"/>
            <family val="2"/>
          </rPr>
          <t xml:space="preserve">co. not reporting this segment data
</t>
        </r>
      </text>
    </comment>
    <comment ref="BB60" authorId="1" shapeId="0" xr:uid="{37982499-B0FD-47E6-87BE-52A028BEC925}">
      <text>
        <r>
          <rPr>
            <b/>
            <sz val="9"/>
            <color indexed="81"/>
            <rFont val="Tahoma"/>
            <family val="2"/>
          </rPr>
          <t>CRISIL:</t>
        </r>
        <r>
          <rPr>
            <sz val="9"/>
            <color indexed="81"/>
            <rFont val="Tahoma"/>
            <family val="2"/>
          </rPr>
          <t xml:space="preserve">
Segment composition changed in 2Q25</t>
        </r>
      </text>
    </comment>
    <comment ref="BF60" authorId="1" shapeId="0" xr:uid="{79B52566-40A6-458C-AEFF-640687A3E685}">
      <text>
        <r>
          <rPr>
            <b/>
            <sz val="9"/>
            <color indexed="81"/>
            <rFont val="Tahoma"/>
            <family val="2"/>
          </rPr>
          <t>CRISIL:</t>
        </r>
        <r>
          <rPr>
            <sz val="9"/>
            <color indexed="81"/>
            <rFont val="Tahoma"/>
            <family val="2"/>
          </rPr>
          <t xml:space="preserve">
Segment composition changed in 2Q25</t>
        </r>
      </text>
    </comment>
    <comment ref="AO118" authorId="4" shapeId="0" xr:uid="{00000000-0006-0000-0200-00000F000000}">
      <text>
        <r>
          <rPr>
            <b/>
            <sz val="9"/>
            <color indexed="81"/>
            <rFont val="Tahoma"/>
            <family val="2"/>
          </rPr>
          <t>CRISIL GR&amp;RS:</t>
        </r>
        <r>
          <rPr>
            <sz val="9"/>
            <color indexed="81"/>
            <rFont val="Tahoma"/>
            <family val="2"/>
          </rPr>
          <t xml:space="preserve">
not reported</t>
        </r>
      </text>
    </comment>
    <comment ref="AP118" authorId="4" shapeId="0" xr:uid="{00000000-0006-0000-0200-000010000000}">
      <text>
        <r>
          <rPr>
            <b/>
            <sz val="9"/>
            <color indexed="81"/>
            <rFont val="Tahoma"/>
            <family val="2"/>
          </rPr>
          <t>CRISIL GR&amp;RS:</t>
        </r>
        <r>
          <rPr>
            <sz val="9"/>
            <color indexed="81"/>
            <rFont val="Tahoma"/>
            <family val="2"/>
          </rPr>
          <t xml:space="preserve">
not reported</t>
        </r>
      </text>
    </comment>
    <comment ref="AQ118" authorId="5" shapeId="0" xr:uid="{E3037759-4E06-417C-B189-25FC0769293A}">
      <text>
        <r>
          <rPr>
            <b/>
            <sz val="9"/>
            <color indexed="81"/>
            <rFont val="Tahoma"/>
            <family val="2"/>
          </rPr>
          <t>Crisil GR&amp;RS:</t>
        </r>
        <r>
          <rPr>
            <sz val="9"/>
            <color indexed="81"/>
            <rFont val="Tahoma"/>
            <family val="2"/>
          </rPr>
          <t xml:space="preserve">
not reported
</t>
        </r>
      </text>
    </comment>
    <comment ref="AR118" authorId="5" shapeId="0" xr:uid="{8C683E0A-ACBE-4527-84A6-FAD848D3DD29}">
      <text>
        <r>
          <rPr>
            <b/>
            <sz val="9"/>
            <color indexed="81"/>
            <rFont val="Tahoma"/>
            <family val="2"/>
          </rPr>
          <t>Crisil GR&amp;RS:</t>
        </r>
        <r>
          <rPr>
            <sz val="9"/>
            <color indexed="81"/>
            <rFont val="Tahoma"/>
            <family val="2"/>
          </rPr>
          <t xml:space="preserve">
not reported
</t>
        </r>
      </text>
    </comment>
    <comment ref="AS118" authorId="4" shapeId="0" xr:uid="{32B472A4-BC2E-4CD9-A8C6-C03D23D97CC5}">
      <text>
        <r>
          <rPr>
            <b/>
            <sz val="9"/>
            <color indexed="81"/>
            <rFont val="Tahoma"/>
            <family val="2"/>
          </rPr>
          <t>CRISIL GR&amp;RS:</t>
        </r>
        <r>
          <rPr>
            <sz val="9"/>
            <color indexed="81"/>
            <rFont val="Tahoma"/>
            <family val="2"/>
          </rPr>
          <t xml:space="preserve">
not reported</t>
        </r>
      </text>
    </comment>
    <comment ref="AT118" authorId="4" shapeId="0" xr:uid="{6075BB0E-B296-448F-AFD2-73C1464FD88E}">
      <text>
        <r>
          <rPr>
            <b/>
            <sz val="9"/>
            <color indexed="81"/>
            <rFont val="Tahoma"/>
            <family val="2"/>
          </rPr>
          <t>CRISIL GR&amp;RS:</t>
        </r>
        <r>
          <rPr>
            <sz val="9"/>
            <color indexed="81"/>
            <rFont val="Tahoma"/>
            <family val="2"/>
          </rPr>
          <t xml:space="preserve">
not reported</t>
        </r>
      </text>
    </comment>
    <comment ref="AU118" authorId="5" shapeId="0" xr:uid="{0ED9776B-9852-4466-81CE-65224035607E}">
      <text>
        <r>
          <rPr>
            <b/>
            <sz val="9"/>
            <color indexed="81"/>
            <rFont val="Tahoma"/>
            <family val="2"/>
          </rPr>
          <t>Crisil GR&amp;RS:</t>
        </r>
        <r>
          <rPr>
            <sz val="9"/>
            <color indexed="81"/>
            <rFont val="Tahoma"/>
            <family val="2"/>
          </rPr>
          <t xml:space="preserve">
not reported
</t>
        </r>
      </text>
    </comment>
    <comment ref="AV118" authorId="5" shapeId="0" xr:uid="{95EECAB9-0849-45F6-8E86-5422D1B11197}">
      <text>
        <r>
          <rPr>
            <b/>
            <sz val="9"/>
            <color indexed="81"/>
            <rFont val="Tahoma"/>
            <family val="2"/>
          </rPr>
          <t>Crisil GR&amp;RS:</t>
        </r>
        <r>
          <rPr>
            <sz val="9"/>
            <color indexed="81"/>
            <rFont val="Tahoma"/>
            <family val="2"/>
          </rPr>
          <t xml:space="preserve">
not reported
</t>
        </r>
      </text>
    </comment>
    <comment ref="AW118" authorId="4" shapeId="0" xr:uid="{A00E855B-1FCE-4F1A-93D1-1F60F5D74063}">
      <text>
        <r>
          <rPr>
            <b/>
            <sz val="9"/>
            <color indexed="81"/>
            <rFont val="Tahoma"/>
            <family val="2"/>
          </rPr>
          <t>CRISIL GR&amp;RS:</t>
        </r>
        <r>
          <rPr>
            <sz val="9"/>
            <color indexed="81"/>
            <rFont val="Tahoma"/>
            <family val="2"/>
          </rPr>
          <t xml:space="preserve">
not reported</t>
        </r>
      </text>
    </comment>
    <comment ref="AX118" authorId="4" shapeId="0" xr:uid="{E1DDFEA9-B4AE-4CD8-925D-2820C99BC128}">
      <text>
        <r>
          <rPr>
            <b/>
            <sz val="9"/>
            <color indexed="81"/>
            <rFont val="Tahoma"/>
            <family val="2"/>
          </rPr>
          <t>CRISIL GR&amp;RS:</t>
        </r>
        <r>
          <rPr>
            <sz val="9"/>
            <color indexed="81"/>
            <rFont val="Tahoma"/>
            <family val="2"/>
          </rPr>
          <t xml:space="preserve">
not reported</t>
        </r>
      </text>
    </comment>
    <comment ref="AZ118" authorId="5" shapeId="0" xr:uid="{F0BE4EB0-48AD-4CC2-9D46-B8E71B08A067}">
      <text>
        <r>
          <rPr>
            <b/>
            <sz val="9"/>
            <color indexed="81"/>
            <rFont val="Tahoma"/>
            <family val="2"/>
          </rPr>
          <t>Crisil GR&amp;RS:</t>
        </r>
        <r>
          <rPr>
            <sz val="9"/>
            <color indexed="81"/>
            <rFont val="Tahoma"/>
            <family val="2"/>
          </rPr>
          <t xml:space="preserve">
not reported
</t>
        </r>
      </text>
    </comment>
    <comment ref="BA118" authorId="4" shapeId="0" xr:uid="{A759A0EB-E7ED-4026-A5A5-FC064B33B9CC}">
      <text>
        <r>
          <rPr>
            <b/>
            <sz val="9"/>
            <color indexed="81"/>
            <rFont val="Tahoma"/>
            <family val="2"/>
          </rPr>
          <t>CRISIL GR&amp;RS:</t>
        </r>
        <r>
          <rPr>
            <sz val="9"/>
            <color indexed="81"/>
            <rFont val="Tahoma"/>
            <family val="2"/>
          </rPr>
          <t xml:space="preserve">
not reported</t>
        </r>
      </text>
    </comment>
    <comment ref="BB118" authorId="4" shapeId="0" xr:uid="{36F66836-3B45-49DD-9FDB-593540B9737E}">
      <text>
        <r>
          <rPr>
            <b/>
            <sz val="9"/>
            <color indexed="81"/>
            <rFont val="Tahoma"/>
            <family val="2"/>
          </rPr>
          <t>CRISIL GR&amp;RS:</t>
        </r>
        <r>
          <rPr>
            <sz val="9"/>
            <color indexed="81"/>
            <rFont val="Tahoma"/>
            <family val="2"/>
          </rPr>
          <t xml:space="preserve">
not reported</t>
        </r>
      </text>
    </comment>
    <comment ref="BD118" authorId="5" shapeId="0" xr:uid="{34D224A1-F8DE-42FD-AAFF-5B6B8455E522}">
      <text>
        <r>
          <rPr>
            <b/>
            <sz val="9"/>
            <color indexed="81"/>
            <rFont val="Tahoma"/>
            <family val="2"/>
          </rPr>
          <t>Crisil GR&amp;RS:</t>
        </r>
        <r>
          <rPr>
            <sz val="9"/>
            <color indexed="81"/>
            <rFont val="Tahoma"/>
            <family val="2"/>
          </rPr>
          <t xml:space="preserve">
not reported
</t>
        </r>
      </text>
    </comment>
    <comment ref="BE118" authorId="4" shapeId="0" xr:uid="{162603D4-139B-45A1-B7A3-99D23D3D76F1}">
      <text>
        <r>
          <rPr>
            <b/>
            <sz val="9"/>
            <color indexed="81"/>
            <rFont val="Tahoma"/>
            <family val="2"/>
          </rPr>
          <t>CRISIL GR&amp;RS:</t>
        </r>
        <r>
          <rPr>
            <sz val="9"/>
            <color indexed="81"/>
            <rFont val="Tahoma"/>
            <family val="2"/>
          </rPr>
          <t xml:space="preserve">
not reported</t>
        </r>
      </text>
    </comment>
    <comment ref="BF118" authorId="4" shapeId="0" xr:uid="{0057B338-D184-46C0-B3BA-CFD01189F9A0}">
      <text>
        <r>
          <rPr>
            <b/>
            <sz val="9"/>
            <color indexed="81"/>
            <rFont val="Tahoma"/>
            <family val="2"/>
          </rPr>
          <t>CRISIL GR&amp;RS:</t>
        </r>
        <r>
          <rPr>
            <sz val="9"/>
            <color indexed="81"/>
            <rFont val="Tahoma"/>
            <family val="2"/>
          </rPr>
          <t xml:space="preserve">
not reported</t>
        </r>
      </text>
    </comment>
    <comment ref="I119" authorId="3" shapeId="0" xr:uid="{00000000-0006-0000-0200-000011000000}">
      <text>
        <r>
          <rPr>
            <sz val="9"/>
            <color indexed="81"/>
            <rFont val="Tahoma"/>
            <family val="2"/>
          </rPr>
          <t xml:space="preserve">co. not reporting this segment data
</t>
        </r>
      </text>
    </comment>
    <comment ref="J119" authorId="3" shapeId="0" xr:uid="{00000000-0006-0000-0200-000012000000}">
      <text>
        <r>
          <rPr>
            <sz val="9"/>
            <color indexed="81"/>
            <rFont val="Tahoma"/>
            <family val="2"/>
          </rPr>
          <t xml:space="preserve">co. not reporting this segment data
</t>
        </r>
      </text>
    </comment>
    <comment ref="K119" authorId="3" shapeId="0" xr:uid="{1DBB8631-E7A9-41D5-82C2-99A615944BA5}">
      <text>
        <r>
          <rPr>
            <sz val="9"/>
            <color indexed="81"/>
            <rFont val="Tahoma"/>
            <family val="2"/>
          </rPr>
          <t xml:space="preserve">co. not reporting this segment data
</t>
        </r>
      </text>
    </comment>
    <comment ref="L119" authorId="3" shapeId="0" xr:uid="{4CE51471-58E9-462D-888A-A6454DDEED59}">
      <text>
        <r>
          <rPr>
            <sz val="9"/>
            <color indexed="81"/>
            <rFont val="Tahoma"/>
            <family val="2"/>
          </rPr>
          <t xml:space="preserve">co. not reporting this segment data
</t>
        </r>
      </text>
    </comment>
    <comment ref="M119" authorId="3" shapeId="0" xr:uid="{E9F75414-BC09-4BCD-AA82-96E85A31537D}">
      <text>
        <r>
          <rPr>
            <sz val="9"/>
            <color indexed="81"/>
            <rFont val="Tahoma"/>
            <family val="2"/>
          </rPr>
          <t xml:space="preserve">co. not reporting this segment data
</t>
        </r>
      </text>
    </comment>
    <comment ref="N119" authorId="3" shapeId="0" xr:uid="{1E8CAA61-D0A5-4E05-B685-919F07605A38}">
      <text>
        <r>
          <rPr>
            <sz val="9"/>
            <color indexed="81"/>
            <rFont val="Tahoma"/>
            <family val="2"/>
          </rPr>
          <t xml:space="preserve">co. not reporting this segment data
</t>
        </r>
      </text>
    </comment>
    <comment ref="AK119" authorId="3" shapeId="0" xr:uid="{00000000-0006-0000-0200-000013000000}">
      <text>
        <r>
          <rPr>
            <sz val="9"/>
            <color indexed="81"/>
            <rFont val="Tahoma"/>
            <family val="2"/>
          </rPr>
          <t xml:space="preserve">co. not reporting this segment data
</t>
        </r>
      </text>
    </comment>
    <comment ref="AL119" authorId="3" shapeId="0" xr:uid="{00000000-0006-0000-0200-000014000000}">
      <text>
        <r>
          <rPr>
            <sz val="9"/>
            <color indexed="81"/>
            <rFont val="Tahoma"/>
            <family val="2"/>
          </rPr>
          <t xml:space="preserve">co. not reporting this segment data
</t>
        </r>
      </text>
    </comment>
    <comment ref="AM119" authorId="3" shapeId="0" xr:uid="{00000000-0006-0000-0200-000015000000}">
      <text>
        <r>
          <rPr>
            <sz val="9"/>
            <color indexed="81"/>
            <rFont val="Tahoma"/>
            <family val="2"/>
          </rPr>
          <t xml:space="preserve">co. not reporting this segment data
</t>
        </r>
      </text>
    </comment>
  </commentList>
</comments>
</file>

<file path=xl/sharedStrings.xml><?xml version="1.0" encoding="utf-8"?>
<sst xmlns="http://schemas.openxmlformats.org/spreadsheetml/2006/main" count="2430" uniqueCount="431">
  <si>
    <t>2Q26</t>
  </si>
  <si>
    <t>Exchange rate as at end 2Q6</t>
  </si>
  <si>
    <t>Average exchange rate for LTM 2Q26</t>
  </si>
  <si>
    <t>Amount outstanding as on 30-Jun-2026</t>
  </si>
  <si>
    <t>MXN (mn)</t>
  </si>
  <si>
    <t>USD (mn)</t>
  </si>
  <si>
    <t>Leverage (MXN)</t>
  </si>
  <si>
    <t>Leverage (USD)</t>
  </si>
  <si>
    <r>
      <t>Company</t>
    </r>
    <r>
      <rPr>
        <b/>
        <sz val="10"/>
        <color rgb="FFFF0000"/>
        <rFont val="Calibri"/>
        <family val="2"/>
      </rPr>
      <t xml:space="preserve"> reported debt details</t>
    </r>
  </si>
  <si>
    <t>Lease Liabilities</t>
  </si>
  <si>
    <t>Cost Bearing Debt</t>
  </si>
  <si>
    <t>USD denominated debt</t>
  </si>
  <si>
    <t>Financial Derivatives</t>
  </si>
  <si>
    <t>3.95% Notes due 2024 (US$ 300mn)</t>
  </si>
  <si>
    <t>Gross Debt</t>
  </si>
  <si>
    <t>3.875% Notes due 2026 (US$ 750 mn)</t>
  </si>
  <si>
    <t>Cash</t>
  </si>
  <si>
    <t>Denominated in Mexican pesos:</t>
  </si>
  <si>
    <t>Net debt</t>
  </si>
  <si>
    <t>7.94% notes due 2027</t>
  </si>
  <si>
    <t>Gross leverage</t>
  </si>
  <si>
    <t>7.96% notes due 2029</t>
  </si>
  <si>
    <t>Net leverage</t>
  </si>
  <si>
    <t>8.03% notes due 2030</t>
  </si>
  <si>
    <t>6.26% notes due 2032</t>
  </si>
  <si>
    <t>6.67% notes due 2037</t>
  </si>
  <si>
    <t>Reported Net Leverage</t>
  </si>
  <si>
    <t>5.75% notes due 2038</t>
  </si>
  <si>
    <t>Total Loans &amp; Borrows</t>
  </si>
  <si>
    <t>Cash &amp; Equivalents</t>
  </si>
  <si>
    <t xml:space="preserve">Net debt </t>
  </si>
  <si>
    <t>Equity</t>
  </si>
  <si>
    <t xml:space="preserve">Total Capitalisation </t>
  </si>
  <si>
    <t>LTM Adjusted EBITDA</t>
  </si>
  <si>
    <t>check</t>
  </si>
  <si>
    <t>EV</t>
  </si>
  <si>
    <t>EV/EBITDA</t>
  </si>
  <si>
    <t>Liquidity Table as of 2Q26</t>
  </si>
  <si>
    <t>Total Liquidity</t>
  </si>
  <si>
    <t>Debt Maturity Profile as of 2Q26</t>
  </si>
  <si>
    <t>Until 1 year</t>
  </si>
  <si>
    <t>Until 2 years</t>
  </si>
  <si>
    <t>Until 3 years</t>
  </si>
  <si>
    <t>Until 4 years</t>
  </si>
  <si>
    <t>Unitl 5 years or more</t>
  </si>
  <si>
    <t>Total debt</t>
  </si>
  <si>
    <t>1Q26</t>
  </si>
  <si>
    <t>Exchange rate as at end FY25</t>
  </si>
  <si>
    <t>Average exchange rate for LTM FY25</t>
  </si>
  <si>
    <t>Amount outstanding as on 31-Mar-2026</t>
  </si>
  <si>
    <t>Liquidity Table as of 1Q26</t>
  </si>
  <si>
    <t>Debt Maturity Profile as of 1Q26</t>
  </si>
  <si>
    <t>FY25</t>
  </si>
  <si>
    <t>Amount outstanding as on 31-Dec-2025</t>
  </si>
  <si>
    <t>Liquidity Table as of FY25</t>
  </si>
  <si>
    <t>Debt Maturity Profile as of FY25</t>
  </si>
  <si>
    <t>3Q25</t>
  </si>
  <si>
    <t>Exchange rate as at end 3Q25</t>
  </si>
  <si>
    <t>Average exchange rate for LTM 3Q25</t>
  </si>
  <si>
    <t>Amount outstanding as on 31-Aug-2025</t>
  </si>
  <si>
    <t xml:space="preserve">Leverage </t>
  </si>
  <si>
    <t>Liquidity Table as of 3Q 2025</t>
  </si>
  <si>
    <t>Debt Maturity Profile as of 3Q 2025</t>
  </si>
  <si>
    <t>2Q25</t>
  </si>
  <si>
    <t>Exchange rate as at end 2Q25</t>
  </si>
  <si>
    <t>Average exchange rate for LTM2Q25</t>
  </si>
  <si>
    <t>Amount outstanding as on 30-Jun-2025</t>
  </si>
  <si>
    <t>MXN</t>
  </si>
  <si>
    <t>USD</t>
  </si>
  <si>
    <r>
      <t>Company</t>
    </r>
    <r>
      <rPr>
        <b/>
        <sz val="10"/>
        <color indexed="10"/>
        <rFont val="Calibri"/>
        <family val="2"/>
      </rPr>
      <t xml:space="preserve"> </t>
    </r>
    <r>
      <rPr>
        <b/>
        <sz val="10"/>
        <rFont val="Calibri"/>
        <family val="2"/>
      </rPr>
      <t>reported debt details</t>
    </r>
  </si>
  <si>
    <t>Liquidity Table as of 2Q 2025</t>
  </si>
  <si>
    <t>(MXN millions)</t>
  </si>
  <si>
    <t>(USD millions)</t>
  </si>
  <si>
    <t>Debt Maturity Profile as of 2Q 2025</t>
  </si>
  <si>
    <t>1Q25</t>
  </si>
  <si>
    <t>Exchange rate as at end 1Q25</t>
  </si>
  <si>
    <t>Average exchange rate for LTM1Q25</t>
  </si>
  <si>
    <t>Amount outstanding as on 31-Mar-2025</t>
  </si>
  <si>
    <t>Reported Gross Leverage</t>
  </si>
  <si>
    <t>0.2x</t>
  </si>
  <si>
    <t>Liquidity Table as of 1Q 2025</t>
  </si>
  <si>
    <t>Debt Maturity Profile as of 1Q 2025</t>
  </si>
  <si>
    <t>FY24</t>
  </si>
  <si>
    <t>Exchange rate as at end FY24</t>
  </si>
  <si>
    <t>Average exchange rate for LTMFY24</t>
  </si>
  <si>
    <t>Amount outstanding as on 31-December-2024</t>
  </si>
  <si>
    <t>Liquidity Table as of FY 2024</t>
  </si>
  <si>
    <t>(Pesos millions)</t>
  </si>
  <si>
    <t>Debt Maturity Profile as of FY 2024</t>
  </si>
  <si>
    <t>3Q24</t>
  </si>
  <si>
    <t>Exchange rate as at end 3Q24</t>
  </si>
  <si>
    <t>Average exchange rate for LTM3Q24</t>
  </si>
  <si>
    <t>Amount outstanding as on 30-September-2024</t>
  </si>
  <si>
    <t>Liquidity Table as of 3Q 2024</t>
  </si>
  <si>
    <t>Debt Maturity Profile as of 3Q 2024</t>
  </si>
  <si>
    <t>2Q24</t>
  </si>
  <si>
    <t>Exchange rate as at end 2Q24</t>
  </si>
  <si>
    <t>Average exchange rate for LTM2Q24</t>
  </si>
  <si>
    <t>Amount outstanding as on 30-June-2024</t>
  </si>
  <si>
    <t>Liquidity Table as of 2Q 2024</t>
  </si>
  <si>
    <t>Debt Maturity Profile as of 2Q 2024</t>
  </si>
  <si>
    <t>1Q24</t>
  </si>
  <si>
    <t>Exchange rate as at end 1Q24</t>
  </si>
  <si>
    <t>Average exchange rate for LTM1Q24</t>
  </si>
  <si>
    <t>Amount outstanding as on 31-Mar-2024</t>
  </si>
  <si>
    <t>Liquidity Table as of 1Q 2024</t>
  </si>
  <si>
    <t>Debt Maturity Profile as of 1Q 2024</t>
  </si>
  <si>
    <t>FY23</t>
  </si>
  <si>
    <t>Exchange rate as at end 4Q23</t>
  </si>
  <si>
    <t>Average exchange rate for LTM4Q23</t>
  </si>
  <si>
    <t>Amount outstanding as on 31-Dec-2023</t>
  </si>
  <si>
    <t>Liquidity Table as of 4Q 2023</t>
  </si>
  <si>
    <t>Debt Maturity Profile as of 4Q 2023</t>
  </si>
  <si>
    <t>3Q23</t>
  </si>
  <si>
    <t>Exchange rate as at end 3Q23</t>
  </si>
  <si>
    <t>Average exchange rate for LTM3Q23</t>
  </si>
  <si>
    <t>Amount outstanding as on 30-Sept-2023</t>
  </si>
  <si>
    <t>Liquidity Table as of 3Q 2023</t>
  </si>
  <si>
    <t>Debt Maturity Profile as of 3Q 2023</t>
  </si>
  <si>
    <t>2Q23</t>
  </si>
  <si>
    <t>Exchange rate as at end 2Q23</t>
  </si>
  <si>
    <t>Average exchange rate for LTM2Q23</t>
  </si>
  <si>
    <t>Amount outstanding as on 30-Jun-2023</t>
  </si>
  <si>
    <t>Liquidity Table as of 2Q 2023</t>
  </si>
  <si>
    <t>Debt Maturity Profile as of 2Q 2023</t>
  </si>
  <si>
    <t>1Q23</t>
  </si>
  <si>
    <t>Exchange rate as at end 1Q23</t>
  </si>
  <si>
    <t>Average exchange rate for LTM1Q23</t>
  </si>
  <si>
    <t>Amount outstanding as on 31-Mar-2023</t>
  </si>
  <si>
    <t>Liquidity Table as of 1Q 2023</t>
  </si>
  <si>
    <t>Debt Maturity Profile as of 1Q 2023</t>
  </si>
  <si>
    <t>4Q22</t>
  </si>
  <si>
    <t>Exchange rate as at end 4Q22</t>
  </si>
  <si>
    <t>Average exchange rate for LTM4Q22</t>
  </si>
  <si>
    <t>Amount outstanding as on 31-Dec-2022</t>
  </si>
  <si>
    <t>4.22% Notes (certificados bursátiles) due 2020</t>
  </si>
  <si>
    <t>8.53% Notes (certificados bursátiles) due 2020</t>
  </si>
  <si>
    <t>Floating rate notes due 2022</t>
  </si>
  <si>
    <t>7.64% Notes (certificados bursátiles) due 2022</t>
  </si>
  <si>
    <t>BBVA -TIIE 28 dias + 0.225 puntos</t>
  </si>
  <si>
    <t>SANTANDER - TIIE 28 días + 0.275 puntos</t>
  </si>
  <si>
    <t>SCOTIABANK -TIIE 28 días + .70 puntos</t>
  </si>
  <si>
    <t>Liquidity Table as of 4Q 2022</t>
  </si>
  <si>
    <t>Debt Maturity Profile as of 4Q 2022</t>
  </si>
  <si>
    <t>3Q22</t>
  </si>
  <si>
    <t>Exchange rate as at end 3Q22</t>
  </si>
  <si>
    <t>Average exchange rate for LTM3Q22</t>
  </si>
  <si>
    <t>Amount outstanding as on 30-Sept-2022</t>
  </si>
  <si>
    <t>Liquidity Table as of 3Q 2022</t>
  </si>
  <si>
    <t>Debt Maturity Profile as of 3Q 2022</t>
  </si>
  <si>
    <t>1 year - 2 years</t>
  </si>
  <si>
    <t>2 years - 3 years</t>
  </si>
  <si>
    <t>3 years - 4 years</t>
  </si>
  <si>
    <t>5 years and thereafter</t>
  </si>
  <si>
    <t>2Q22</t>
  </si>
  <si>
    <t>Exchange rate as at end 2Q22</t>
  </si>
  <si>
    <t>Average exchange rate for LTM2Q22</t>
  </si>
  <si>
    <t>Amount outstanding as on 30-June-2022</t>
  </si>
  <si>
    <t>1.01x</t>
  </si>
  <si>
    <t>0.18x</t>
  </si>
  <si>
    <t>Liquidity Table as of 2Q 2022</t>
  </si>
  <si>
    <t>Debt Maturity Profile as of 2Q 2022</t>
  </si>
  <si>
    <t>1Q22</t>
  </si>
  <si>
    <t>Exchange rate as at end 1Q22</t>
  </si>
  <si>
    <t>Average exchange rate for LTM1Q22</t>
  </si>
  <si>
    <t>Amount outstanding as on 31-Mar-2022</t>
  </si>
  <si>
    <t>1.08x</t>
  </si>
  <si>
    <t>0.26x</t>
  </si>
  <si>
    <t>Liquidity Table as of 1Q 2022</t>
  </si>
  <si>
    <t>Debt Maturity Profile as of 1Q 2022</t>
  </si>
  <si>
    <t>4Q21</t>
  </si>
  <si>
    <t>Exchange rate as at end 4Q21</t>
  </si>
  <si>
    <t>Average exchange rate for LTM4Q21</t>
  </si>
  <si>
    <t>Amount outstanding as on 31-Dec-2021</t>
  </si>
  <si>
    <t>Liquidity Table as of 4Q 2021</t>
  </si>
  <si>
    <t>Debt Maturity Profile as of 4Q 2021</t>
  </si>
  <si>
    <t>3Q21</t>
  </si>
  <si>
    <t>Exchange rate as at end 3Q21</t>
  </si>
  <si>
    <t>Average exchange rate for LTM3Q21</t>
  </si>
  <si>
    <t>Amount outstanding as on 30-Sept-2021</t>
  </si>
  <si>
    <t>Liquidity Table as of 3Q 2021</t>
  </si>
  <si>
    <t>Debt Maturity Profile as of 3Q 2021</t>
  </si>
  <si>
    <t>Exchange rate as at end 2Q21</t>
  </si>
  <si>
    <t>Average exchange rate for LTM2Q21</t>
  </si>
  <si>
    <t>Amount outstanding as on 30-Jun-2021</t>
  </si>
  <si>
    <t>Liquidity Table as of 2Q 2021</t>
  </si>
  <si>
    <t>Debt Maturity Profile as of 2Q 2021</t>
  </si>
  <si>
    <t>Exchange rate as at end 1Q21</t>
  </si>
  <si>
    <t>Average exchange rate for LTM1Q21</t>
  </si>
  <si>
    <t>Amount outstanding as on 31-Mar-2021</t>
  </si>
  <si>
    <t>Liquidity Table as of 1Q 2021</t>
  </si>
  <si>
    <t>Debt Maturity Profile as of 1Q 2021</t>
  </si>
  <si>
    <t>Exchange rate as at end 4Q20</t>
  </si>
  <si>
    <t>Average exchange rate for LTM4Q20</t>
  </si>
  <si>
    <t>Amount outstanding as on 31-Dec-2020</t>
  </si>
  <si>
    <t>Liquidity Table as of 4Q 2020</t>
  </si>
  <si>
    <t>Debt Maturity Profile as of 4Q 2020</t>
  </si>
  <si>
    <t>Exchange rate as at end 3Q20</t>
  </si>
  <si>
    <t>Average exchange rate for LTM3Q20</t>
  </si>
  <si>
    <t>Amount outstanding as on 30-Sep-2020</t>
  </si>
  <si>
    <t>Liquidity Table as of 3Q 2020</t>
  </si>
  <si>
    <t>Debt Maturity Profile as of 3Q 2020</t>
  </si>
  <si>
    <t>Exchange rate as at end 2Q20</t>
  </si>
  <si>
    <t>Average exchange rate for LTM2Q20</t>
  </si>
  <si>
    <t>Amount outstanding as on 30-June-2020</t>
  </si>
  <si>
    <t>Liquidity Table as of 2Q 2020</t>
  </si>
  <si>
    <t>Debt Maturity Profile as of 2Q 2020</t>
  </si>
  <si>
    <t>Exchange rate as at end 1Q20</t>
  </si>
  <si>
    <t>Average exchange rate for LTM1Q20</t>
  </si>
  <si>
    <t>Amount outstanding as on 31-March-2020</t>
  </si>
  <si>
    <t>Liquidity Table as of 4Q 2019</t>
  </si>
  <si>
    <t>Debt Maturity Profile as of 4Q 2019</t>
  </si>
  <si>
    <t>Exchange rate as at end 4Q19</t>
  </si>
  <si>
    <t>Average exchange rate for LTM4Q19</t>
  </si>
  <si>
    <t>Amount outstanding as on 31-Dec-2019</t>
  </si>
  <si>
    <t>Exchange rate as at end 3Q19</t>
  </si>
  <si>
    <t>Average exchange rate for LTM3Q19</t>
  </si>
  <si>
    <t>Amount outstanding as on 30-Sep-2019</t>
  </si>
  <si>
    <t>Liquidity Table as of 3Q 2019</t>
  </si>
  <si>
    <t>Debt Maturity Profile as of 3Q 2019</t>
  </si>
  <si>
    <t>Exchange rate as at end 2Q19</t>
  </si>
  <si>
    <t>Average exchange rate for LTM2Q19</t>
  </si>
  <si>
    <t>Amount outstanding as on 30-Jun-2019</t>
  </si>
  <si>
    <t>Liquidity Table as of 2Q 2019</t>
  </si>
  <si>
    <t>Debt Maturity Profile as of 2Q 2019</t>
  </si>
  <si>
    <t>Exchange rate as at end 1Q19</t>
  </si>
  <si>
    <t>Average exchange rate for LTM1Q19</t>
  </si>
  <si>
    <t>Amount outstanding as on 31-Mar-2019</t>
  </si>
  <si>
    <t>Liquidity Table as of 1Q 2019</t>
  </si>
  <si>
    <t>Debt Maturity Profile as of 1Q 2019</t>
  </si>
  <si>
    <t>Exchange rate as at end 4Q18</t>
  </si>
  <si>
    <t>Average exchange rate for LTM4Q18</t>
  </si>
  <si>
    <t>Company reported debt details</t>
  </si>
  <si>
    <t>Amount outstanding as on 31-Dec-2018</t>
  </si>
  <si>
    <t>PF Liquidity Table as of 4Q 2018</t>
  </si>
  <si>
    <t>Debt Maturity Profile as of 4Q 2018</t>
  </si>
  <si>
    <t>Exchange rate as at end 3Q18</t>
  </si>
  <si>
    <t>Average exchange rate for LTM3Q18</t>
  </si>
  <si>
    <t>Amount outstanding as on 31-Sep-2018</t>
  </si>
  <si>
    <t>PF Liquidity Table as of 3Q 2018</t>
  </si>
  <si>
    <t xml:space="preserve">Debt Maturity Profile </t>
  </si>
  <si>
    <t>As on 31-Sep-2018</t>
  </si>
  <si>
    <t>USD (m)</t>
  </si>
  <si>
    <t>Amount outstanding as on 31-Jun-2018</t>
  </si>
  <si>
    <t>Credit Suisse Credit Facility due June 2018 (fixed monthly interest rate of 9.31%)</t>
  </si>
  <si>
    <t>9.36% Notes (certificados bursátiles) due 2018</t>
  </si>
  <si>
    <t>CitiBanamex Unsecured Loan due 2021</t>
  </si>
  <si>
    <t>PF Liquidity Table as of 2Q 2018</t>
  </si>
  <si>
    <t>As on 31-Jun-2018</t>
  </si>
  <si>
    <t>Amount outstanding as on 31-Mar-2018</t>
  </si>
  <si>
    <t>due to FX rate</t>
  </si>
  <si>
    <t>PF Liquidity Table as of 1Q 2018</t>
  </si>
  <si>
    <t>As on 31-Mar-2018</t>
  </si>
  <si>
    <t>EL PUERTO DE LIVERPOOL</t>
  </si>
  <si>
    <t>Annual</t>
  </si>
  <si>
    <t>LTM</t>
  </si>
  <si>
    <t>Quarterly</t>
  </si>
  <si>
    <t>Act</t>
  </si>
  <si>
    <t>Restated</t>
  </si>
  <si>
    <t>FY</t>
  </si>
  <si>
    <t>Q1</t>
  </si>
  <si>
    <t>Q2</t>
  </si>
  <si>
    <t>Q3</t>
  </si>
  <si>
    <t>Q4</t>
  </si>
  <si>
    <t>INCOME STATEMENT</t>
  </si>
  <si>
    <t>Revenues</t>
  </si>
  <si>
    <t xml:space="preserve">% y-o-ygrowth </t>
  </si>
  <si>
    <t>Organic growth</t>
  </si>
  <si>
    <t>Same-store growth Liverpool</t>
  </si>
  <si>
    <t>Suburba growth (Same store sales)</t>
  </si>
  <si>
    <t>n/a</t>
  </si>
  <si>
    <t>LFL Sales growth</t>
  </si>
  <si>
    <t>COGS</t>
  </si>
  <si>
    <t>Gross Profit</t>
  </si>
  <si>
    <t>Gross Profit margin</t>
  </si>
  <si>
    <t>Administrative and selling expenses</t>
  </si>
  <si>
    <t>Operating Profit</t>
  </si>
  <si>
    <t>Finance Income</t>
  </si>
  <si>
    <t>Finance costs</t>
  </si>
  <si>
    <t>Share of profit (loss) of associates and joint ventures accounted for 
using equity method</t>
  </si>
  <si>
    <t>Profit before tax</t>
  </si>
  <si>
    <t>Income tax benefit/(expense)</t>
  </si>
  <si>
    <t>Profit/(loss) for the year</t>
  </si>
  <si>
    <t>% of sales or stated otherwise</t>
  </si>
  <si>
    <t>Finance Income as a % of cash at end of period</t>
  </si>
  <si>
    <t>Finance costs as a % of debt at end of period</t>
  </si>
  <si>
    <t>Income tax benefit/(expense) as a % of Profit before tax</t>
  </si>
  <si>
    <t>capex/sales</t>
  </si>
  <si>
    <t>D/A/sales</t>
  </si>
  <si>
    <t xml:space="preserve">EBITDA </t>
  </si>
  <si>
    <t xml:space="preserve">Operating profit </t>
  </si>
  <si>
    <t>Depreciation &amp; amortisation</t>
  </si>
  <si>
    <t xml:space="preserve">% growth </t>
  </si>
  <si>
    <t>% margin</t>
  </si>
  <si>
    <t xml:space="preserve">Adjustment </t>
  </si>
  <si>
    <t xml:space="preserve">Adj. EBITDA </t>
  </si>
  <si>
    <t xml:space="preserve">Rent </t>
  </si>
  <si>
    <t>Adj. EBITDA</t>
  </si>
  <si>
    <t>rent % of sales</t>
  </si>
  <si>
    <t xml:space="preserve">Depreciation </t>
  </si>
  <si>
    <t>Amortisation</t>
  </si>
  <si>
    <t>Adj. EBITDA (Pre IFRS16 )</t>
  </si>
  <si>
    <t>CASH FLOW</t>
  </si>
  <si>
    <t xml:space="preserve">Adjusted EBITDA </t>
  </si>
  <si>
    <t>Working Capital</t>
  </si>
  <si>
    <t>Taxes</t>
  </si>
  <si>
    <t>Cash interest paid</t>
  </si>
  <si>
    <t>Deposits interest received</t>
  </si>
  <si>
    <t xml:space="preserve">Net cash from operations </t>
  </si>
  <si>
    <t>Capex</t>
  </si>
  <si>
    <t>Net Payment for acquisition  of intangible assets</t>
  </si>
  <si>
    <t>Disposals/ Acquisition, of subsidiaries</t>
  </si>
  <si>
    <t>Disposed Cash from discontinued operations</t>
  </si>
  <si>
    <t xml:space="preserve">Free cash flow </t>
  </si>
  <si>
    <t>Other investing activities</t>
  </si>
  <si>
    <t>Equity Issuance/Buyback</t>
  </si>
  <si>
    <t xml:space="preserve">Dividends received  / Dividends Paid </t>
  </si>
  <si>
    <t>Acquisition of bonds</t>
  </si>
  <si>
    <t>Change in debt /Finance Costs</t>
  </si>
  <si>
    <t>Other financing activities</t>
  </si>
  <si>
    <t>Cash flow after financing activities</t>
  </si>
  <si>
    <t xml:space="preserve">FX </t>
  </si>
  <si>
    <t>Hyperinflation effect</t>
  </si>
  <si>
    <t>Balancing figure</t>
  </si>
  <si>
    <t xml:space="preserve">Net change in cash </t>
  </si>
  <si>
    <t>Cash and cash equivalents</t>
  </si>
  <si>
    <t>check 1</t>
  </si>
  <si>
    <t>check 2</t>
  </si>
  <si>
    <t xml:space="preserve">LTM </t>
  </si>
  <si>
    <t>EBITDA</t>
  </si>
  <si>
    <t>Adjusted EBITDA</t>
  </si>
  <si>
    <t>Adjusted EBITDA (pre IFRS16)</t>
  </si>
  <si>
    <t>Adjusted EBITDAR</t>
  </si>
  <si>
    <t xml:space="preserve">LTM RENT </t>
  </si>
  <si>
    <t>Net Income</t>
  </si>
  <si>
    <t xml:space="preserve">BALANCE SHEET </t>
  </si>
  <si>
    <t>Tangible fixed assets</t>
  </si>
  <si>
    <t xml:space="preserve">Net pension liability </t>
  </si>
  <si>
    <t>Inventory</t>
  </si>
  <si>
    <t>Trade debtors/receivables</t>
  </si>
  <si>
    <t>Trade creditors /payables</t>
  </si>
  <si>
    <t>Net working capital</t>
  </si>
  <si>
    <t>% of revenues</t>
  </si>
  <si>
    <t>Inventory days</t>
  </si>
  <si>
    <t>Receivable days</t>
  </si>
  <si>
    <t>Payable days</t>
  </si>
  <si>
    <t xml:space="preserve">Debt  Breakdown </t>
  </si>
  <si>
    <t>Debt Obligations</t>
  </si>
  <si>
    <t>Debt items</t>
  </si>
  <si>
    <r>
      <t>Current financial lease</t>
    </r>
    <r>
      <rPr>
        <sz val="10"/>
        <rFont val="Calibri"/>
        <family val="2"/>
      </rPr>
      <t>s</t>
    </r>
  </si>
  <si>
    <r>
      <t>Non-Current financial lease</t>
    </r>
    <r>
      <rPr>
        <sz val="10"/>
        <rFont val="Calibri"/>
        <family val="2"/>
      </rPr>
      <t>s</t>
    </r>
  </si>
  <si>
    <t>TIIE + 0.35% Notes (certificados bursátiles) due 2017</t>
  </si>
  <si>
    <t>6.66% notes due 2037</t>
  </si>
  <si>
    <t xml:space="preserve">Private placements - unsecured SENIOR NOTE 26 </t>
  </si>
  <si>
    <t>Banamex Loan due 03-Oct-2016</t>
  </si>
  <si>
    <t>Total Debt</t>
  </si>
  <si>
    <t>Cash and equivalents</t>
  </si>
  <si>
    <t xml:space="preserve">Gross total debt </t>
  </si>
  <si>
    <t>Capitalized operating leases (rent*8)</t>
  </si>
  <si>
    <t>Total leases</t>
  </si>
  <si>
    <t>Net debt- including capitalized Operating leases</t>
  </si>
  <si>
    <t>Gross debt- including capitalized Operating leases</t>
  </si>
  <si>
    <t>Market cap</t>
  </si>
  <si>
    <t>Equity (as reported on balance sheet)</t>
  </si>
  <si>
    <t>Total debt + Equity</t>
  </si>
  <si>
    <t>Net debt + Market Cap</t>
  </si>
  <si>
    <t>CREDIT RATIOS</t>
  </si>
  <si>
    <t>Total Net Leverage</t>
  </si>
  <si>
    <t xml:space="preserve">Total Gross Leverage </t>
  </si>
  <si>
    <t>Lease adjusted net leverage</t>
  </si>
  <si>
    <t>Lease adjusted gross leverage</t>
  </si>
  <si>
    <t>EBITDA - Capex / Interest</t>
  </si>
  <si>
    <t>EBITDA/Interest</t>
  </si>
  <si>
    <t xml:space="preserve">Gearing (Net debt / Equity) </t>
  </si>
  <si>
    <t>Key  Credit Metrics (Pesos mn where applicable)</t>
  </si>
  <si>
    <t>Adjusted EBITDA margin</t>
  </si>
  <si>
    <t>Lease Adjusted Debt</t>
  </si>
  <si>
    <t>Net Debt</t>
  </si>
  <si>
    <t>Net Lease Adjusted Debt</t>
  </si>
  <si>
    <t>Gross Leverage</t>
  </si>
  <si>
    <t xml:space="preserve">Net Leverage </t>
  </si>
  <si>
    <t>Gross lease adjusted Leverage</t>
  </si>
  <si>
    <t xml:space="preserve">Net lease adjusted Leverage </t>
  </si>
  <si>
    <t>Summary Financials</t>
  </si>
  <si>
    <t>Pesos millions)</t>
  </si>
  <si>
    <t xml:space="preserve">LFL sales growth </t>
  </si>
  <si>
    <t>FX rate average - MXN/USD</t>
  </si>
  <si>
    <t>FX rate  - MXN/USD (as at end of period)</t>
  </si>
  <si>
    <t>EOP USD to MXN</t>
  </si>
  <si>
    <t>Key  Credit Metrics (USD mn where applicable)</t>
  </si>
  <si>
    <t xml:space="preserve">Net lease adjusted  Leverage </t>
  </si>
  <si>
    <t>Capital Leases</t>
  </si>
  <si>
    <t xml:space="preserve"> </t>
  </si>
  <si>
    <t>Same store sales growth</t>
  </si>
  <si>
    <t>Accounts more than 90 days past due (%) and growth rate</t>
  </si>
  <si>
    <t xml:space="preserve">Accumulated past-due account reserves as </t>
  </si>
  <si>
    <t>Department Stores data:</t>
  </si>
  <si>
    <t>Liverpool</t>
  </si>
  <si>
    <t>Fábricas de Francia</t>
  </si>
  <si>
    <t>Duty Free</t>
  </si>
  <si>
    <t>Total Stores</t>
  </si>
  <si>
    <t>Suburbia</t>
  </si>
  <si>
    <t>Store Area (in thousand sq m)</t>
  </si>
  <si>
    <t>Total Stores Area</t>
  </si>
  <si>
    <t>Number of Shopping Malls</t>
  </si>
  <si>
    <t>Area of Shopping Malls ( in thousand sq. m)</t>
  </si>
  <si>
    <t>Boutiques</t>
  </si>
  <si>
    <t>Area of Boutiques (in thousand sq. m)</t>
  </si>
  <si>
    <t xml:space="preserve">Credit customers </t>
  </si>
  <si>
    <t>Components of  Revenues</t>
  </si>
  <si>
    <t xml:space="preserve">Retail sales / Commercial Segment </t>
  </si>
  <si>
    <t>Interest / Financial Business Segment</t>
  </si>
  <si>
    <t>Leasing / Real Estate Segment</t>
  </si>
  <si>
    <t xml:space="preserve">Total revenues </t>
  </si>
  <si>
    <t>Components of  Revenues (% Share)</t>
  </si>
  <si>
    <t>Retail sales</t>
  </si>
  <si>
    <t>Interest</t>
  </si>
  <si>
    <t>Leasing</t>
  </si>
  <si>
    <t>Components of  Revenues (% YoY Growth)</t>
  </si>
  <si>
    <t>Revenue by segment</t>
  </si>
  <si>
    <t>Liverpool / Revenue from sale of goods</t>
  </si>
  <si>
    <t>Digital</t>
  </si>
  <si>
    <t>Suburbia / Revenue from rendering of services</t>
  </si>
  <si>
    <t>Credit / Interest income</t>
  </si>
  <si>
    <t>Real Estate / Rental income</t>
  </si>
  <si>
    <t>Others</t>
  </si>
  <si>
    <t>Revenue by segment (% Share)</t>
  </si>
  <si>
    <t>Revenue by segment (% YoY Growth)</t>
  </si>
  <si>
    <t>Operating Profit by segment</t>
  </si>
  <si>
    <t>Credit</t>
  </si>
  <si>
    <t>Real Estate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</si>
</sst>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2">
    <numFmt numFmtId="43" formatCode="_-* #,##0.00_-;\-* #,##0.00_-;_-* &quot;-&quot;??_-;_-@_-"/>
    <numFmt numFmtId="164" formatCode="&quot;$&quot;#,##0_);\(&quot;$&quot;#,##0\)"/>
    <numFmt numFmtId="165" formatCode="&quot;$&quot;#,##0_);[Red]\(&quot;$&quot;#,##0\)"/>
    <numFmt numFmtId="166" formatCode="&quot;$&quot;#,##0.00_);\(&quot;$&quot;#,##0.00\)"/>
    <numFmt numFmtId="167" formatCode="&quot;$&quot;#,##0.00_);[Red]\(&quot;$&quot;#,##0.00\)"/>
    <numFmt numFmtId="168" formatCode="_(&quot;$&quot;* #,##0_);_(&quot;$&quot;* \(#,##0\);_(&quot;$&quot;* &quot;-&quot;_);_(@_)"/>
    <numFmt numFmtId="169" formatCode="_(* #,##0_);_(* \(#,##0\);_(* &quot;-&quot;_);_(@_)"/>
    <numFmt numFmtId="170" formatCode="_(&quot;$&quot;* #,##0.00_);_(&quot;$&quot;* \(#,##0.00\);_(&quot;$&quot;* &quot;-&quot;??_);_(@_)"/>
    <numFmt numFmtId="171" formatCode="_(* #,##0.00_);_(* \(#,##0.00\);_(* &quot;-&quot;??_);_(@_)"/>
    <numFmt numFmtId="172" formatCode="#,##0.0_);\(#,##0.0\)"/>
    <numFmt numFmtId="173" formatCode="#0.0%_);\(#0.0%\)"/>
    <numFmt numFmtId="174" formatCode="#0.00\x"/>
    <numFmt numFmtId="175" formatCode="mmm\ yyyy"/>
    <numFmt numFmtId="176" formatCode="0.0%"/>
    <numFmt numFmtId="177" formatCode="_(* #,##0.0_);_(* \(#,##0.0\);_(* &quot;-&quot;??_);_(@_)"/>
    <numFmt numFmtId="178" formatCode="_(* #,##0.000_);_(* \(#,##0.000\);_(* &quot;-&quot;??_);_(@_)"/>
    <numFmt numFmtId="179" formatCode="_(* #,##0_);_(* \(#,##0\);_(* &quot;-&quot;??_);_(@_)"/>
    <numFmt numFmtId="180" formatCode="#,##0.0\ ;\(#,##0.0\)"/>
    <numFmt numFmtId="181" formatCode="&quot;$&quot;#,##0.00_)&quot;per share&quot;;\(&quot;$&quot;#,##0.00\)&quot; per share&quot;"/>
    <numFmt numFmtId="182" formatCode="0.0_)\%;\(0.0\)\%;0.0_)\%;@_)_%"/>
    <numFmt numFmtId="183" formatCode="#,##0.0_)_%;\(#,##0.0\)_%;0.0_)_%;@_)_%"/>
    <numFmt numFmtId="184" formatCode="#,##0.0_);\(#,##0.0\);#,##0.0_);@_)"/>
    <numFmt numFmtId="185" formatCode="&quot;$&quot;_(#,##0.00_);&quot;$&quot;\(#,##0.00\);&quot;$&quot;_(0.00_);@_)"/>
    <numFmt numFmtId="186" formatCode="&quot;$&quot;_(#,##0.00_);&quot;$&quot;\(#,##0.00\)"/>
    <numFmt numFmtId="187" formatCode="#,##0.00_);\(#,##0.00\);0.00_);@_)"/>
    <numFmt numFmtId="188" formatCode="\€_(#,##0.00_);\€\(#,##0.00\);\€_(0.00_);@_)"/>
    <numFmt numFmtId="189" formatCode="#,##0_)\x;\(#,##0\)\x;0_)\x;@_)_x"/>
    <numFmt numFmtId="190" formatCode="#,##0.0_)\x;\(#,##0.0\)\x"/>
    <numFmt numFmtId="191" formatCode="#,##0_)_x;\(#,##0\)_x;0_)_x;@_)_x"/>
    <numFmt numFmtId="192" formatCode="#,##0.0_)_x;\(#,##0.0\)_x"/>
    <numFmt numFmtId="193" formatCode="0.0_)\%;\(0.0\)\%"/>
    <numFmt numFmtId="194" formatCode="#,##0.0_)_%;\(#,##0.0\)_%"/>
    <numFmt numFmtId="195" formatCode="_(\£* #,##0_);_(\£* \(#,##0\);_(\£* &quot;-&quot;_);_(@_)"/>
    <numFmt numFmtId="196" formatCode="_(\£* #,##0.0_);_(\£* \(#,##0.0\);_(\£* &quot;-&quot;_);_(@_)"/>
    <numFmt numFmtId="197" formatCode="_(\£* #,##0.00_);_(\£* \(#,##0.00\);_(\£* &quot;-&quot;_);_(@_)"/>
    <numFmt numFmtId="198" formatCode="_(* #,##0\p_);_(* \(#,##0\p\);_(* &quot;-&quot;\ \p_);_(@_)"/>
    <numFmt numFmtId="199" formatCode="_(* #,##0.00\p_);_(* \(#,##0.00\p\);_(* &quot;-&quot;\ \p_);_(@_)"/>
    <numFmt numFmtId="200" formatCode="\£#,##0.00"/>
    <numFmt numFmtId="201" formatCode="&quot;$&quot;&quot; &quot;#,##0_);\(&quot;$&quot;&quot; &quot;#,##0\);\-_)"/>
    <numFmt numFmtId="202" formatCode="#,##0_);\(#,##0\);\-_)"/>
    <numFmt numFmtId="203" formatCode="&quot;$&quot;#,##0_);[Red]\(&quot;$&quot;#,##0\);&quot;-&quot;"/>
    <numFmt numFmtId="204" formatCode="[Blue]0.0%;[Blue]\-0.0%"/>
    <numFmt numFmtId="205" formatCode="\£#,##0_);\(\£#,##0\)"/>
    <numFmt numFmtId="206" formatCode="&quot;fl&quot;#,##0_);\(&quot;fl&quot;#,##0\)"/>
    <numFmt numFmtId="207" formatCode="&quot;$&quot;\ #,##0_);\(&quot;$&quot;\ #,##0\)"/>
    <numFmt numFmtId="208" formatCode="_(&quot;R$&quot;* #,##0.00_);_(&quot;R$&quot;* \(#,##0.00\);_(&quot;R$&quot;* &quot;-&quot;??_);_(@_)"/>
    <numFmt numFmtId="209" formatCode="0.0\x;[Red]\(0.0\x\)"/>
    <numFmt numFmtId="210" formatCode="#,##0.0_);\(#,##0.0\);&quot;—&quot;_)"/>
    <numFmt numFmtId="211" formatCode="&quot;$&quot;#,##0.0_);\(&quot;$&quot;#,##0.0\);&quot;—&quot;_)"/>
    <numFmt numFmtId="212" formatCode="0.000000000%"/>
    <numFmt numFmtId="213" formatCode="#,##0.0000"/>
    <numFmt numFmtId="214" formatCode="mm/dd/yy"/>
    <numFmt numFmtId="215" formatCode="&quot;$&quot;#,##0.00"/>
    <numFmt numFmtId="216" formatCode="_([$€-2]* #,##0.00_);_([$€-2]* \(#,##0.00\);_([$€-2]* &quot;-&quot;??_)"/>
    <numFmt numFmtId="217" formatCode="#&quot; mon&quot;"/>
    <numFmt numFmtId="218" formatCode="#,##0\ &quot;F&quot;;[Red]\-#,##0\ &quot;F&quot;"/>
    <numFmt numFmtId="219" formatCode="#,##0.00\ &quot;F&quot;;[Red]\-#,##0.00\ &quot;F&quot;"/>
    <numFmt numFmtId="220" formatCode="#,##0.0\x_)_);\(#,##0.0\x\)_);#,##0.0\x_)_);@_%_)"/>
    <numFmt numFmtId="221" formatCode="_(* #,##0.00\ ___);_(* \(#,##0.00\ __\);_(* &quot;-&quot;??_);_(@_)"/>
    <numFmt numFmtId="222" formatCode="0%\);[Red]\(0%"/>
    <numFmt numFmtId="223" formatCode="_(* #,##0\ ___);_(* \(#,##0\ __\);_(* &quot;-&quot;??_);_(@_)"/>
    <numFmt numFmtId="224" formatCode="_(* #,##0\ \x_);_(* \(#,##0\ \x\);_(* &quot;-&quot;??_);_(@_)"/>
    <numFmt numFmtId="225" formatCode="0%_);[Red]\(0%\)"/>
    <numFmt numFmtId="226" formatCode="_(* #,##0.0\ ___);_(* \(#,##0.0\ __\);_(* &quot;-&quot;??_);_(@_)"/>
    <numFmt numFmtId="227" formatCode="_(* #,##0.0\ \x_);_(* \(#,##0.0\ \x\);_(* &quot;-&quot;??_);_(@_)"/>
    <numFmt numFmtId="228" formatCode="#,##0&quot; F&quot;_);\(#,##0&quot; F&quot;\)"/>
    <numFmt numFmtId="229" formatCode="_(* #,##0.00_);_(* \(\ #,##0.00\ \);_(* &quot;&quot;??_);_(\ @_ \)"/>
    <numFmt numFmtId="230" formatCode="0.00_)"/>
    <numFmt numFmtId="231" formatCode="_(* #,##0.0_);_(* \(#,##0.0\);_(* &quot;-&quot;?_);_(@_)"/>
    <numFmt numFmtId="232" formatCode="0.00%\ &quot;Ramped&quot;\ "/>
    <numFmt numFmtId="233" formatCode="0.00%\ &quot;Ramped&quot;"/>
    <numFmt numFmtId="234" formatCode="0.0000"/>
    <numFmt numFmtId="235" formatCode="0.000"/>
    <numFmt numFmtId="236" formatCode="&quot;Diversity =&quot;\ #.0"/>
    <numFmt numFmtId="237" formatCode="&quot;Ratings Factor =&quot;\ #"/>
    <numFmt numFmtId="238" formatCode="&quot;Page &quot;0"/>
    <numFmt numFmtId="239" formatCode="&quot;\&quot;#,##0.00;[Red]\-&quot;\&quot;#,##0.00"/>
    <numFmt numFmtId="240" formatCode="0.0_%"/>
    <numFmt numFmtId="241" formatCode="_(0.0%;_(* \(0.0\)%"/>
    <numFmt numFmtId="242" formatCode="_(* #,##0.0000_);_(* \(#,##0.0000\);_(* &quot;-&quot;??_);_(@_)"/>
    <numFmt numFmtId="243" formatCode="0&quot; bps&quot;"/>
    <numFmt numFmtId="244" formatCode="&quot;WAS =&quot;\ #.00"/>
    <numFmt numFmtId="245" formatCode="&quot;Avg. Px.=&quot;#.00"/>
    <numFmt numFmtId="246" formatCode="&quot;WAL=&quot;#.00"/>
    <numFmt numFmtId="247" formatCode="#.00\ &quot;years&quot;"/>
    <numFmt numFmtId="248" formatCode="&quot;2nd Lien=&quot;#"/>
    <numFmt numFmtId="249" formatCode="&quot;WAPP=&quot;#.00"/>
    <numFmt numFmtId="250" formatCode="&quot;WAS=&quot;#.00"/>
    <numFmt numFmtId="251" formatCode="&quot;WAC=&quot;#.00"/>
    <numFmt numFmtId="252" formatCode="&quot;$&quot;#,##0.0_);\(&quot;$&quot;#,##0.0\)"/>
    <numFmt numFmtId="253" formatCode="#,###,;\(#,###,\)"/>
    <numFmt numFmtId="254" formatCode="000\-00\-0000"/>
    <numFmt numFmtId="255" formatCode="&quot;$&quot;#,##0.0000"/>
    <numFmt numFmtId="256" formatCode="&quot;$&quot;#,##0.000000"/>
    <numFmt numFmtId="257" formatCode="&quot;$&quot;#,##0.000"/>
    <numFmt numFmtId="258" formatCode="000000000"/>
    <numFmt numFmtId="259" formatCode="000"/>
    <numFmt numFmtId="260" formatCode="hh:mm\ AM/PM_)"/>
    <numFmt numFmtId="261" formatCode="#.0&quot;x&quot;"/>
    <numFmt numFmtId="262" formatCode="yyyy"/>
    <numFmt numFmtId="263" formatCode="\¥#,##0_);\(\¥#,##0\)"/>
    <numFmt numFmtId="264" formatCode="#0.0\x"/>
    <numFmt numFmtId="265" formatCode="0.0\x"/>
    <numFmt numFmtId="266" formatCode="0.0"/>
    <numFmt numFmtId="267" formatCode="#,##0.000"/>
    <numFmt numFmtId="268" formatCode="#,##0.00000_);\(#,##0.00000\)"/>
    <numFmt numFmtId="269" formatCode="#,##0.0000_);\(#,##0.0000\)"/>
    <numFmt numFmtId="270" formatCode="0.00\x"/>
    <numFmt numFmtId="271" formatCode="_(* #,##0.000_);_(* \(#,##0.000\);_(* &quot;-&quot;?_);_(@_)"/>
    <numFmt numFmtId="272" formatCode="#,##0.0_);[Red]\(#,##0.0\)"/>
    <numFmt numFmtId="273" formatCode="_(* #,##0_);_(* \(#,##0\);_(* &quot;-&quot;?????_);_(@_)"/>
    <numFmt numFmtId="274" formatCode="#,##0.000_);\(#,##0.000\)"/>
  </numFmts>
  <fonts count="133">
    <font>
      <sz val="10"/>
      <name val="Arial"/>
      <family val="2"/>
    </font>
    <font>
      <sz val="10"/>
      <name val="Arial"/>
      <family val="2"/>
    </font>
    <font>
      <sz val="8"/>
      <name val="Arial"/>
      <family val="2"/>
    </font>
    <font>
      <sz val="10"/>
      <color indexed="12"/>
      <name val="Arial"/>
      <family val="2"/>
    </font>
    <font>
      <sz val="10"/>
      <color indexed="8"/>
      <name val="Arial"/>
      <family val="2"/>
    </font>
    <font>
      <b/>
      <sz val="10"/>
      <name val="Arial"/>
      <family val="2"/>
    </font>
    <font>
      <sz val="10"/>
      <name val="Arial"/>
      <family val="2"/>
    </font>
    <font>
      <b/>
      <i/>
      <sz val="9"/>
      <name val="Arial"/>
      <family val="2"/>
    </font>
    <font>
      <b/>
      <u val="singleAccounting"/>
      <sz val="8"/>
      <color indexed="8"/>
      <name val="Arial"/>
      <family val="2"/>
    </font>
    <font>
      <sz val="1"/>
      <color indexed="9"/>
      <name val="Symbol"/>
      <family val="1"/>
    </font>
    <font>
      <b/>
      <u val="singleAccounting"/>
      <sz val="8"/>
      <color indexed="8"/>
      <name val="Verdana"/>
      <family val="2"/>
    </font>
    <font>
      <b/>
      <sz val="10"/>
      <color indexed="9"/>
      <name val="Arial"/>
      <family val="2"/>
    </font>
    <font>
      <b/>
      <sz val="12"/>
      <color indexed="8"/>
      <name val="Verdana"/>
      <family val="2"/>
    </font>
    <font>
      <b/>
      <sz val="8"/>
      <color indexed="9"/>
      <name val="Verdana"/>
      <family val="2"/>
    </font>
    <font>
      <vertAlign val="subscript"/>
      <sz val="8"/>
      <color indexed="8"/>
      <name val="Arial"/>
      <family val="2"/>
    </font>
    <font>
      <vertAlign val="superscript"/>
      <sz val="8"/>
      <color indexed="8"/>
      <name val="Arial"/>
      <family val="2"/>
    </font>
    <font>
      <b/>
      <sz val="8"/>
      <color indexed="8"/>
      <name val="Arial"/>
      <family val="2"/>
    </font>
    <font>
      <i/>
      <sz val="8"/>
      <color indexed="8"/>
      <name val="Arial"/>
      <family val="2"/>
    </font>
    <font>
      <sz val="8"/>
      <color indexed="8"/>
      <name val="Arial"/>
      <family val="2"/>
    </font>
    <font>
      <b/>
      <sz val="13"/>
      <color indexed="8"/>
      <name val="Verdana"/>
      <family val="2"/>
    </font>
    <font>
      <b/>
      <sz val="8"/>
      <name val="Arial"/>
      <family val="2"/>
    </font>
    <font>
      <u val="singleAccounting"/>
      <sz val="10"/>
      <name val="Arial"/>
      <family val="2"/>
    </font>
    <font>
      <sz val="10"/>
      <name val="Times New Roman"/>
      <family val="1"/>
    </font>
    <font>
      <b/>
      <sz val="10"/>
      <name val="Times New Roman"/>
      <family val="1"/>
    </font>
    <font>
      <b/>
      <sz val="10"/>
      <color indexed="12"/>
      <name val="Times New Roman"/>
      <family val="1"/>
    </font>
    <font>
      <i/>
      <sz val="10"/>
      <name val="Times New Roman"/>
      <family val="1"/>
    </font>
    <font>
      <sz val="9"/>
      <name val="Arial"/>
      <family val="2"/>
    </font>
    <font>
      <sz val="8"/>
      <name val="Times New Roman"/>
      <family val="1"/>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8"/>
      <color indexed="8"/>
      <name val="Times New Roman"/>
      <family val="1"/>
    </font>
    <font>
      <sz val="8"/>
      <color indexed="14"/>
      <name val="Times New Roman"/>
      <family val="1"/>
    </font>
    <font>
      <sz val="10"/>
      <name val="Book Antiqua"/>
      <family val="1"/>
    </font>
    <font>
      <sz val="8"/>
      <name val="Times"/>
      <family val="1"/>
    </font>
    <font>
      <b/>
      <sz val="12"/>
      <name val="Times"/>
      <family val="1"/>
    </font>
    <font>
      <sz val="12"/>
      <name val="Arial"/>
      <family val="2"/>
    </font>
    <font>
      <sz val="10"/>
      <color indexed="8"/>
      <name val="Times New Roman"/>
      <family val="1"/>
    </font>
    <font>
      <sz val="8"/>
      <color indexed="12"/>
      <name val="Times"/>
      <family val="1"/>
    </font>
    <font>
      <sz val="8"/>
      <name val="Helv"/>
    </font>
    <font>
      <sz val="12"/>
      <name val="Times"/>
      <family val="1"/>
    </font>
    <font>
      <b/>
      <i/>
      <sz val="10"/>
      <name val="Arial"/>
      <family val="2"/>
    </font>
    <font>
      <b/>
      <i/>
      <sz val="12"/>
      <name val="Times New Roman"/>
      <family val="1"/>
    </font>
    <font>
      <b/>
      <u/>
      <sz val="8"/>
      <color indexed="8"/>
      <name val="Times New Roman"/>
      <family val="1"/>
    </font>
    <font>
      <b/>
      <sz val="9"/>
      <color indexed="8"/>
      <name val="Times New Roman"/>
      <family val="1"/>
    </font>
    <font>
      <i/>
      <sz val="8"/>
      <name val="Arial"/>
      <family val="2"/>
    </font>
    <font>
      <b/>
      <i/>
      <sz val="8"/>
      <name val="Arial"/>
      <family val="2"/>
    </font>
    <font>
      <b/>
      <sz val="8"/>
      <name val="Book Antiqua"/>
      <family val="1"/>
    </font>
    <font>
      <sz val="14"/>
      <name val="Arial"/>
      <family val="2"/>
    </font>
    <font>
      <sz val="8"/>
      <color indexed="12"/>
      <name val="Times New Roman"/>
      <family val="1"/>
    </font>
    <font>
      <b/>
      <sz val="14"/>
      <name val="Book Antiqua"/>
      <family val="1"/>
    </font>
    <font>
      <sz val="10"/>
      <name val="MS Serif"/>
      <family val="1"/>
    </font>
    <font>
      <sz val="10"/>
      <name val="MS Sans Serif"/>
      <family val="2"/>
    </font>
    <font>
      <sz val="12"/>
      <name val="Times New Roman"/>
      <family val="1"/>
    </font>
    <font>
      <u val="doubleAccounting"/>
      <sz val="10"/>
      <name val="Arial"/>
      <family val="2"/>
    </font>
    <font>
      <sz val="10"/>
      <color indexed="16"/>
      <name val="MS Serif"/>
      <family val="1"/>
    </font>
    <font>
      <b/>
      <i/>
      <sz val="9"/>
      <color indexed="4"/>
      <name val="Times New Roman"/>
      <family val="1"/>
    </font>
    <font>
      <sz val="7"/>
      <name val="Arial"/>
      <family val="2"/>
    </font>
    <font>
      <b/>
      <sz val="14"/>
      <name val="Arial"/>
      <family val="2"/>
    </font>
    <font>
      <u/>
      <sz val="8"/>
      <name val="Times New Roman"/>
      <family val="1"/>
    </font>
    <font>
      <b/>
      <sz val="12"/>
      <color indexed="9"/>
      <name val="Times"/>
      <family val="1"/>
    </font>
    <font>
      <b/>
      <i/>
      <sz val="18"/>
      <color indexed="4"/>
      <name val="Times New Roman"/>
      <family val="1"/>
    </font>
    <font>
      <b/>
      <sz val="12"/>
      <name val="Arial"/>
      <family val="2"/>
    </font>
    <font>
      <b/>
      <sz val="8"/>
      <name val="Palatino"/>
      <family val="1"/>
    </font>
    <font>
      <b/>
      <sz val="9"/>
      <name val="Arial"/>
      <family val="2"/>
    </font>
    <font>
      <b/>
      <sz val="8"/>
      <name val="MS Sans Serif"/>
      <family val="2"/>
    </font>
    <font>
      <b/>
      <i/>
      <sz val="10"/>
      <name val="Times New Roman"/>
      <family val="1"/>
    </font>
    <font>
      <b/>
      <sz val="10"/>
      <name val="Palatino"/>
      <family val="1"/>
    </font>
    <font>
      <sz val="8"/>
      <name val="Book Antiqua"/>
      <family val="1"/>
    </font>
    <font>
      <sz val="10"/>
      <name val="Geneva"/>
      <family val="2"/>
    </font>
    <font>
      <i/>
      <sz val="7"/>
      <name val="Book Antiqua"/>
      <family val="1"/>
    </font>
    <font>
      <sz val="8"/>
      <name val="Palatino"/>
      <family val="1"/>
    </font>
    <font>
      <b/>
      <i/>
      <sz val="16"/>
      <name val="Helv"/>
    </font>
    <font>
      <sz val="10"/>
      <color indexed="12"/>
      <name val="Times New Roman"/>
      <family val="1"/>
    </font>
    <font>
      <b/>
      <sz val="11"/>
      <name val="Times New Roman"/>
      <family val="1"/>
    </font>
    <font>
      <sz val="11"/>
      <name val="Times New Roman"/>
      <family val="1"/>
    </font>
    <font>
      <b/>
      <u/>
      <sz val="10"/>
      <color indexed="12"/>
      <name val="Times New Roman"/>
      <family val="1"/>
    </font>
    <font>
      <b/>
      <sz val="12"/>
      <name val="Times New Roman"/>
      <family val="1"/>
    </font>
    <font>
      <b/>
      <sz val="15"/>
      <name val="Times New Roman"/>
      <family val="1"/>
    </font>
    <font>
      <sz val="8"/>
      <color indexed="72"/>
      <name val="Arial"/>
      <family val="2"/>
    </font>
    <font>
      <sz val="11"/>
      <color indexed="8"/>
      <name val="Times New Roman"/>
      <family val="1"/>
    </font>
    <font>
      <b/>
      <i/>
      <sz val="11"/>
      <color indexed="8"/>
      <name val="Times New Roman"/>
      <family val="1"/>
    </font>
    <font>
      <b/>
      <sz val="11"/>
      <color indexed="16"/>
      <name val="Times New Roman"/>
      <family val="1"/>
    </font>
    <font>
      <u/>
      <sz val="8"/>
      <name val="Book Antiqua"/>
      <family val="1"/>
    </font>
    <font>
      <sz val="9"/>
      <name val="Times New Roman"/>
      <family val="1"/>
    </font>
    <font>
      <b/>
      <sz val="9"/>
      <name val="Times New Roman"/>
      <family val="1"/>
    </font>
    <font>
      <sz val="12"/>
      <name val="Arial MT"/>
    </font>
    <font>
      <b/>
      <sz val="10"/>
      <color indexed="8"/>
      <name val="Arial Narrow"/>
      <family val="2"/>
    </font>
    <font>
      <b/>
      <sz val="10"/>
      <name val="MS Sans Serif"/>
      <family val="2"/>
    </font>
    <font>
      <sz val="7"/>
      <color indexed="12"/>
      <name val="Arial"/>
      <family val="2"/>
    </font>
    <font>
      <sz val="8"/>
      <name val="Wingdings"/>
      <charset val="2"/>
    </font>
    <font>
      <sz val="9"/>
      <color indexed="8"/>
      <name val="Times New Roman"/>
      <family val="1"/>
    </font>
    <font>
      <sz val="8"/>
      <name val="MS Sans Serif"/>
      <family val="2"/>
    </font>
    <font>
      <b/>
      <sz val="8"/>
      <color indexed="10"/>
      <name val="Times New Roman"/>
      <family val="1"/>
    </font>
    <font>
      <b/>
      <sz val="8"/>
      <color indexed="8"/>
      <name val="Helv"/>
    </font>
    <font>
      <b/>
      <sz val="14"/>
      <color indexed="8"/>
      <name val="Times New Roman"/>
      <family val="1"/>
    </font>
    <font>
      <b/>
      <u/>
      <sz val="14"/>
      <name val="Book Antiqua"/>
      <family val="1"/>
    </font>
    <font>
      <b/>
      <sz val="10"/>
      <name val="Book Antiqua"/>
      <family val="1"/>
    </font>
    <font>
      <b/>
      <sz val="7"/>
      <name val="Arial"/>
      <family val="2"/>
    </font>
    <font>
      <b/>
      <sz val="7"/>
      <color indexed="12"/>
      <name val="Arial"/>
      <family val="2"/>
    </font>
    <font>
      <b/>
      <u/>
      <sz val="10"/>
      <name val="Book Antiqua"/>
      <family val="1"/>
    </font>
    <font>
      <b/>
      <sz val="8"/>
      <name val="Times New Roman"/>
      <family val="1"/>
    </font>
    <font>
      <sz val="9"/>
      <color indexed="81"/>
      <name val="Tahoma"/>
      <family val="2"/>
    </font>
    <font>
      <b/>
      <sz val="9"/>
      <color indexed="81"/>
      <name val="Tahoma"/>
      <family val="2"/>
    </font>
    <font>
      <b/>
      <sz val="11"/>
      <color indexed="9"/>
      <name val="Calibri"/>
      <family val="2"/>
    </font>
    <font>
      <sz val="10"/>
      <name val="Calibri"/>
      <family val="2"/>
    </font>
    <font>
      <b/>
      <sz val="10"/>
      <name val="Calibri"/>
      <family val="2"/>
    </font>
    <font>
      <b/>
      <sz val="10"/>
      <color indexed="10"/>
      <name val="Calibri"/>
      <family val="2"/>
    </font>
    <font>
      <sz val="10"/>
      <name val="Calibri"/>
      <family val="2"/>
      <scheme val="minor"/>
    </font>
    <font>
      <b/>
      <sz val="10"/>
      <color indexed="9"/>
      <name val="Calibri"/>
      <family val="2"/>
      <scheme val="minor"/>
    </font>
    <font>
      <b/>
      <sz val="10"/>
      <color indexed="12"/>
      <name val="Calibri"/>
      <family val="2"/>
      <scheme val="minor"/>
    </font>
    <font>
      <sz val="10"/>
      <color indexed="12"/>
      <name val="Calibri"/>
      <family val="2"/>
      <scheme val="minor"/>
    </font>
    <font>
      <b/>
      <sz val="10"/>
      <name val="Calibri"/>
      <family val="2"/>
      <scheme val="minor"/>
    </font>
    <font>
      <b/>
      <u/>
      <sz val="16"/>
      <name val="Calibri"/>
      <family val="2"/>
      <scheme val="minor"/>
    </font>
    <font>
      <b/>
      <sz val="10"/>
      <color rgb="FFFF0000"/>
      <name val="Calibri"/>
      <family val="2"/>
      <scheme val="minor"/>
    </font>
    <font>
      <i/>
      <sz val="10"/>
      <name val="Calibri"/>
      <family val="2"/>
      <scheme val="minor"/>
    </font>
    <font>
      <i/>
      <sz val="10"/>
      <color indexed="8"/>
      <name val="Calibri"/>
      <family val="2"/>
      <scheme val="minor"/>
    </font>
    <font>
      <sz val="10"/>
      <color rgb="FFFF0000"/>
      <name val="Calibri"/>
      <family val="2"/>
      <scheme val="minor"/>
    </font>
    <font>
      <b/>
      <sz val="10"/>
      <color indexed="8"/>
      <name val="Calibri"/>
      <family val="2"/>
      <scheme val="minor"/>
    </font>
    <font>
      <i/>
      <sz val="10"/>
      <color rgb="FFFF0000"/>
      <name val="Calibri"/>
      <family val="2"/>
      <scheme val="minor"/>
    </font>
    <font>
      <i/>
      <sz val="10"/>
      <color rgb="FF0000FF"/>
      <name val="Calibri"/>
      <family val="2"/>
      <scheme val="minor"/>
    </font>
    <font>
      <sz val="10"/>
      <color rgb="FF0000FF"/>
      <name val="Calibri"/>
      <family val="2"/>
      <scheme val="minor"/>
    </font>
    <font>
      <b/>
      <sz val="10"/>
      <color rgb="FF0000FF"/>
      <name val="Calibri"/>
      <family val="2"/>
      <scheme val="minor"/>
    </font>
    <font>
      <i/>
      <sz val="8"/>
      <color rgb="FFFF0000"/>
      <name val="Calibri"/>
      <family val="2"/>
      <scheme val="minor"/>
    </font>
    <font>
      <b/>
      <i/>
      <sz val="10"/>
      <name val="Calibri"/>
      <family val="2"/>
      <scheme val="minor"/>
    </font>
    <font>
      <sz val="8"/>
      <color rgb="FFFF0000"/>
      <name val="Calibri"/>
      <family val="2"/>
      <scheme val="minor"/>
    </font>
    <font>
      <b/>
      <i/>
      <sz val="10"/>
      <color rgb="FF0000FF"/>
      <name val="Calibri"/>
      <family val="2"/>
      <scheme val="minor"/>
    </font>
    <font>
      <b/>
      <sz val="10"/>
      <color rgb="FFFF0000"/>
      <name val="Calibri"/>
      <family val="2"/>
    </font>
    <font>
      <i/>
      <sz val="8"/>
      <name val="Calibri"/>
      <family val="2"/>
      <scheme val="minor"/>
    </font>
    <font>
      <b/>
      <i/>
      <sz val="8"/>
      <color rgb="FFFF0000"/>
      <name val="Calibri"/>
      <family val="2"/>
      <scheme val="minor"/>
    </font>
    <font>
      <sz val="8"/>
      <name val="Calibri"/>
      <family val="2"/>
      <scheme val="minor"/>
    </font>
  </fonts>
  <fills count="37">
    <fill>
      <patternFill patternType="none"/>
    </fill>
    <fill>
      <patternFill patternType="gray125"/>
    </fill>
    <fill>
      <patternFill patternType="solid">
        <fgColor indexed="43"/>
      </patternFill>
    </fill>
    <fill>
      <patternFill patternType="solid">
        <fgColor indexed="44"/>
      </patternFill>
    </fill>
    <fill>
      <patternFill patternType="lightGray">
        <fgColor indexed="15"/>
      </patternFill>
    </fill>
    <fill>
      <patternFill patternType="solid">
        <fgColor indexed="60"/>
        <bgColor indexed="64"/>
      </patternFill>
    </fill>
    <fill>
      <patternFill patternType="solid">
        <fgColor indexed="22"/>
        <bgColor indexed="64"/>
      </patternFill>
    </fill>
    <fill>
      <patternFill patternType="solid">
        <fgColor indexed="55"/>
        <bgColor indexed="64"/>
      </patternFill>
    </fill>
    <fill>
      <patternFill patternType="solid">
        <fgColor indexed="65"/>
        <bgColor indexed="64"/>
      </patternFill>
    </fill>
    <fill>
      <patternFill patternType="solid">
        <fgColor indexed="26"/>
        <bgColor indexed="64"/>
      </patternFill>
    </fill>
    <fill>
      <patternFill patternType="solid">
        <fgColor indexed="62"/>
        <bgColor indexed="64"/>
      </patternFill>
    </fill>
    <fill>
      <patternFill patternType="solid">
        <fgColor indexed="63"/>
        <bgColor indexed="64"/>
      </patternFill>
    </fill>
    <fill>
      <patternFill patternType="solid">
        <fgColor indexed="13"/>
        <bgColor indexed="64"/>
      </patternFill>
    </fill>
    <fill>
      <patternFill patternType="solid">
        <fgColor indexed="43"/>
        <bgColor indexed="64"/>
      </patternFill>
    </fill>
    <fill>
      <patternFill patternType="solid">
        <fgColor indexed="52"/>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44"/>
        <bgColor indexed="64"/>
      </patternFill>
    </fill>
    <fill>
      <patternFill patternType="solid">
        <fgColor indexed="50"/>
        <bgColor indexed="64"/>
      </patternFill>
    </fill>
    <fill>
      <patternFill patternType="mediumGray">
        <fgColor indexed="22"/>
      </patternFill>
    </fill>
    <fill>
      <patternFill patternType="darkVertical"/>
    </fill>
    <fill>
      <patternFill patternType="solid">
        <fgColor indexed="56"/>
        <bgColor indexed="64"/>
      </patternFill>
    </fill>
    <fill>
      <patternFill patternType="solid">
        <fgColor indexed="15"/>
        <bgColor indexed="64"/>
      </patternFill>
    </fill>
    <fill>
      <patternFill patternType="lightGray">
        <fgColor indexed="13"/>
      </patternFill>
    </fill>
    <fill>
      <patternFill patternType="solid">
        <fgColor rgb="FF4F81BD"/>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6" tint="0.79998168889431442"/>
        <bgColor indexed="64"/>
      </patternFill>
    </fill>
  </fills>
  <borders count="46">
    <border>
      <left/>
      <right/>
      <top/>
      <bottom/>
      <diagonal/>
    </border>
    <border>
      <left/>
      <right/>
      <top style="hair">
        <color indexed="8"/>
      </top>
      <bottom style="hair">
        <color indexed="8"/>
      </bottom>
      <diagonal/>
    </border>
    <border>
      <left/>
      <right/>
      <top/>
      <bottom style="medium">
        <color indexed="18"/>
      </bottom>
      <diagonal/>
    </border>
    <border>
      <left/>
      <right/>
      <top/>
      <bottom style="thin">
        <color indexed="64"/>
      </bottom>
      <diagonal/>
    </border>
    <border>
      <left/>
      <right/>
      <top style="thin">
        <color indexed="8"/>
      </top>
      <bottom/>
      <diagonal/>
    </border>
    <border>
      <left/>
      <right/>
      <top/>
      <bottom style="thin">
        <color indexed="8"/>
      </bottom>
      <diagonal/>
    </border>
    <border>
      <left/>
      <right/>
      <top style="double">
        <color indexed="64"/>
      </top>
      <bottom style="double">
        <color indexed="64"/>
      </bottom>
      <diagonal/>
    </border>
    <border>
      <left/>
      <right/>
      <top/>
      <bottom style="double">
        <color indexed="64"/>
      </bottom>
      <diagonal/>
    </border>
    <border>
      <left/>
      <right/>
      <top style="thin">
        <color indexed="64"/>
      </top>
      <bottom style="thin">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22"/>
      </left>
      <right style="thin">
        <color indexed="22"/>
      </right>
      <top style="thin">
        <color indexed="22"/>
      </top>
      <bottom style="thin">
        <color indexed="22"/>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medium">
        <color indexed="45"/>
      </bottom>
      <diagonal/>
    </border>
    <border>
      <left style="thin">
        <color indexed="64"/>
      </left>
      <right style="thin">
        <color indexed="64"/>
      </right>
      <top/>
      <bottom/>
      <diagonal/>
    </border>
    <border>
      <left/>
      <right/>
      <top/>
      <bottom style="thin">
        <color indexed="45"/>
      </bottom>
      <diagonal/>
    </border>
    <border>
      <left/>
      <right/>
      <top style="medium">
        <color indexed="45"/>
      </top>
      <bottom/>
      <diagonal/>
    </border>
    <border>
      <left/>
      <right/>
      <top/>
      <bottom style="double">
        <color indexed="45"/>
      </bottom>
      <diagonal/>
    </border>
    <border>
      <left style="thick">
        <color indexed="9"/>
      </left>
      <right style="thick">
        <color indexed="9"/>
      </right>
      <top/>
      <bottom style="double">
        <color indexed="64"/>
      </bottom>
      <diagonal/>
    </border>
    <border>
      <left style="thick">
        <color indexed="64"/>
      </left>
      <right style="thin">
        <color indexed="64"/>
      </right>
      <top/>
      <bottom/>
      <diagonal/>
    </border>
    <border>
      <left/>
      <right/>
      <top/>
      <bottom style="thin">
        <color indexed="9"/>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897">
    <xf numFmtId="0" fontId="0" fillId="0" borderId="0"/>
    <xf numFmtId="180" fontId="26" fillId="0" borderId="0"/>
    <xf numFmtId="0" fontId="27" fillId="0" borderId="0">
      <alignment horizontal="right"/>
    </xf>
    <xf numFmtId="0" fontId="6" fillId="0" borderId="0"/>
    <xf numFmtId="181" fontId="22" fillId="0" borderId="0" applyFont="0" applyFill="0" applyBorder="0" applyAlignment="0"/>
    <xf numFmtId="182" fontId="6" fillId="0" borderId="0" applyFont="0" applyFill="0" applyBorder="0" applyAlignment="0" applyProtection="0"/>
    <xf numFmtId="183" fontId="6" fillId="0" borderId="0" applyFont="0" applyFill="0" applyBorder="0" applyAlignment="0" applyProtection="0"/>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pplyNumberFormat="0" applyFill="0" applyBorder="0" applyAlignment="0" applyProtection="0">
      <alignment horizontal="left" wrapText="1"/>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6" fillId="0" borderId="0" applyNumberFormat="0" applyFill="0" applyBorder="0" applyAlignment="0" applyProtection="0">
      <alignment horizontal="left" wrapText="1"/>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vertical="top"/>
    </xf>
    <xf numFmtId="0" fontId="6" fillId="0" borderId="0" applyNumberFormat="0" applyFill="0" applyBorder="0" applyAlignment="0" applyProtection="0">
      <alignment horizontal="left" wrapText="1"/>
    </xf>
    <xf numFmtId="0" fontId="6" fillId="0" borderId="0">
      <alignment vertical="top"/>
    </xf>
    <xf numFmtId="184" fontId="6" fillId="0" borderId="0" applyFont="0" applyFill="0" applyBorder="0" applyAlignment="0" applyProtection="0"/>
    <xf numFmtId="172" fontId="6" fillId="0" borderId="0" applyFont="0" applyFill="0" applyBorder="0" applyAlignment="0" applyProtection="0"/>
    <xf numFmtId="185" fontId="6" fillId="0" borderId="0" applyFont="0" applyFill="0" applyBorder="0" applyAlignment="0" applyProtection="0"/>
    <xf numFmtId="186" fontId="6" fillId="0" borderId="0" applyFont="0" applyFill="0" applyBorder="0" applyAlignment="0" applyProtection="0"/>
    <xf numFmtId="187" fontId="6" fillId="0" borderId="0" applyFont="0" applyFill="0" applyBorder="0" applyAlignment="0" applyProtection="0"/>
    <xf numFmtId="39" fontId="6" fillId="0" borderId="0" applyFont="0" applyFill="0" applyBorder="0" applyAlignment="0" applyProtection="0"/>
    <xf numFmtId="188" fontId="6" fillId="0" borderId="0" applyFont="0" applyFill="0" applyBorder="0" applyAlignment="0" applyProtection="0"/>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28" fillId="0" borderId="0" applyNumberFormat="0" applyFill="0" applyBorder="0" applyAlignment="0" applyProtection="0"/>
    <xf numFmtId="0" fontId="28" fillId="0" borderId="0" applyNumberFormat="0" applyFill="0" applyBorder="0" applyAlignment="0" applyProtection="0"/>
    <xf numFmtId="0" fontId="6" fillId="2" borderId="0" applyNumberFormat="0" applyFont="0" applyAlignment="0" applyProtection="0"/>
    <xf numFmtId="0" fontId="6" fillId="0" borderId="0" applyFont="0" applyFill="0" applyBorder="0" applyAlignment="0" applyProtection="0"/>
    <xf numFmtId="189" fontId="6" fillId="0" borderId="0" applyFont="0" applyFill="0" applyBorder="0" applyAlignment="0" applyProtection="0"/>
    <xf numFmtId="190" fontId="6" fillId="0" borderId="0" applyFont="0" applyFill="0" applyBorder="0" applyAlignment="0" applyProtection="0"/>
    <xf numFmtId="191" fontId="6" fillId="0" borderId="0" applyFont="0" applyFill="0" applyBorder="0" applyProtection="0">
      <alignment horizontal="right"/>
    </xf>
    <xf numFmtId="192" fontId="6" fillId="0" borderId="0" applyFont="0" applyFill="0" applyBorder="0" applyAlignment="0" applyProtection="0"/>
    <xf numFmtId="0" fontId="6" fillId="0" borderId="0">
      <alignment horizontal="left" wrapText="1"/>
    </xf>
    <xf numFmtId="0" fontId="6" fillId="0" borderId="0">
      <alignment horizontal="left" wrapText="1"/>
    </xf>
    <xf numFmtId="193" fontId="6" fillId="0" borderId="0" applyFont="0" applyFill="0" applyBorder="0" applyAlignment="0" applyProtection="0"/>
    <xf numFmtId="194" fontId="6" fillId="0" borderId="0" applyFont="0" applyFill="0" applyBorder="0" applyAlignment="0" applyProtection="0"/>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6" fillId="0" borderId="0" applyFont="0" applyFill="0" applyBorder="0" applyAlignment="0" applyProtection="0"/>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6" fillId="0" borderId="0">
      <alignment horizontal="left" wrapText="1"/>
    </xf>
    <xf numFmtId="0" fontId="6" fillId="0" borderId="0">
      <alignment horizontal="left" wrapText="1"/>
    </xf>
    <xf numFmtId="0" fontId="6" fillId="0" borderId="0">
      <alignment horizontal="left" wrapText="1"/>
    </xf>
    <xf numFmtId="0" fontId="6" fillId="0" borderId="0">
      <alignment horizontal="left" wrapText="1"/>
    </xf>
    <xf numFmtId="0" fontId="29" fillId="0" borderId="0" applyNumberFormat="0" applyFill="0" applyBorder="0" applyProtection="0">
      <alignment vertical="top"/>
    </xf>
    <xf numFmtId="0" fontId="29" fillId="0" borderId="0" applyNumberFormat="0" applyFill="0" applyBorder="0" applyProtection="0">
      <alignment vertical="top"/>
    </xf>
    <xf numFmtId="0" fontId="30" fillId="0" borderId="1" applyNumberFormat="0" applyFill="0" applyAlignment="0" applyProtection="0"/>
    <xf numFmtId="0" fontId="31" fillId="0" borderId="2" applyNumberFormat="0" applyFill="0" applyProtection="0">
      <alignment horizontal="center"/>
    </xf>
    <xf numFmtId="0" fontId="31" fillId="0" borderId="0" applyNumberFormat="0" applyFill="0" applyBorder="0" applyProtection="0">
      <alignment horizontal="left"/>
    </xf>
    <xf numFmtId="0" fontId="32" fillId="0" borderId="0" applyNumberFormat="0" applyFill="0" applyBorder="0" applyProtection="0">
      <alignment horizontal="centerContinuous"/>
    </xf>
    <xf numFmtId="195" fontId="33" fillId="0" borderId="0" applyFont="0" applyFill="0" applyBorder="0" applyAlignment="0" applyProtection="0"/>
    <xf numFmtId="196" fontId="33" fillId="0" borderId="0" applyFont="0" applyFill="0" applyBorder="0" applyAlignment="0" applyProtection="0"/>
    <xf numFmtId="197" fontId="33" fillId="0" borderId="0" applyFont="0" applyFill="0" applyBorder="0" applyAlignment="0" applyProtection="0"/>
    <xf numFmtId="198" fontId="33" fillId="0" borderId="0" applyFont="0" applyFill="0" applyBorder="0" applyAlignment="0" applyProtection="0"/>
    <xf numFmtId="199" fontId="33" fillId="0" borderId="0" applyFont="0" applyFill="0" applyBorder="0" applyAlignment="0" applyProtection="0"/>
    <xf numFmtId="200" fontId="34" fillId="0" borderId="0" applyFont="0" applyFill="0" applyBorder="0" applyAlignment="0" applyProtection="0"/>
    <xf numFmtId="168" fontId="6" fillId="0" borderId="0" applyFont="0" applyFill="0" applyBorder="0" applyAlignment="0" applyProtection="0"/>
    <xf numFmtId="0" fontId="35" fillId="0" borderId="0" applyNumberFormat="0" applyFont="0" applyFill="0" applyBorder="0" applyProtection="0">
      <alignment horizontal="centerContinuous"/>
    </xf>
    <xf numFmtId="0" fontId="3" fillId="0" borderId="0" applyNumberFormat="0" applyFill="0" applyBorder="0" applyAlignment="0">
      <protection locked="0"/>
    </xf>
    <xf numFmtId="0" fontId="36" fillId="0" borderId="0"/>
    <xf numFmtId="0" fontId="37" fillId="0" borderId="0"/>
    <xf numFmtId="0" fontId="27" fillId="0" borderId="0">
      <alignment horizontal="center" wrapText="1"/>
      <protection locked="0"/>
    </xf>
    <xf numFmtId="0" fontId="6" fillId="0" borderId="0" applyNumberFormat="0" applyFill="0" applyBorder="0" applyAlignment="0" applyProtection="0"/>
    <xf numFmtId="0" fontId="38" fillId="0" borderId="0" applyNumberFormat="0" applyFill="0" applyBorder="0" applyAlignment="0" applyProtection="0"/>
    <xf numFmtId="0" fontId="22" fillId="3" borderId="0" applyNumberFormat="0" applyBorder="0" applyAlignment="0">
      <protection locked="0"/>
    </xf>
    <xf numFmtId="201" fontId="22" fillId="0" borderId="0" applyFont="0" applyFill="0" applyBorder="0" applyAlignment="0" applyProtection="0"/>
    <xf numFmtId="202" fontId="39" fillId="0" borderId="0" applyFont="0" applyFill="0" applyBorder="0" applyAlignment="0" applyProtection="0"/>
    <xf numFmtId="203" fontId="22" fillId="0" borderId="0" applyFont="0" applyFill="0" applyBorder="0" applyAlignment="0" applyProtection="0"/>
    <xf numFmtId="0" fontId="106" fillId="25" borderId="0"/>
    <xf numFmtId="0" fontId="40" fillId="0" borderId="0" applyNumberFormat="0" applyFill="0" applyBorder="0" applyAlignment="0" applyProtection="0"/>
    <xf numFmtId="204" fontId="41" fillId="0" borderId="0"/>
    <xf numFmtId="0" fontId="42" fillId="0" borderId="0" applyNumberFormat="0" applyFill="0" applyBorder="0" applyAlignment="0" applyProtection="0"/>
    <xf numFmtId="0" fontId="5" fillId="0" borderId="0"/>
    <xf numFmtId="0" fontId="43" fillId="0" borderId="0"/>
    <xf numFmtId="0" fontId="35" fillId="0" borderId="3" applyNumberFormat="0" applyFont="0" applyFill="0" applyAlignment="0" applyProtection="0"/>
    <xf numFmtId="0" fontId="44" fillId="0" borderId="4" applyFill="0" applyProtection="0">
      <alignment horizontal="right"/>
    </xf>
    <xf numFmtId="205" fontId="21" fillId="0" borderId="0" applyFont="0" applyFill="0" applyBorder="0" applyAlignment="0" applyProtection="0"/>
    <xf numFmtId="0" fontId="7" fillId="0" borderId="0" applyNumberFormat="0" applyFill="0" applyBorder="0" applyAlignment="0" applyProtection="0"/>
    <xf numFmtId="0" fontId="45" fillId="0" borderId="0"/>
    <xf numFmtId="0" fontId="26" fillId="0" borderId="0" applyFill="0" applyBorder="0" applyAlignment="0"/>
    <xf numFmtId="0" fontId="26" fillId="0" borderId="0" applyFill="0" applyBorder="0" applyAlignment="0"/>
    <xf numFmtId="206" fontId="26" fillId="0" borderId="0" applyFill="0" applyBorder="0" applyAlignment="0"/>
    <xf numFmtId="207" fontId="26" fillId="0" borderId="0" applyFill="0" applyBorder="0" applyAlignment="0"/>
    <xf numFmtId="208" fontId="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39" fontId="27" fillId="4" borderId="0" applyNumberFormat="0" applyFont="0" applyBorder="0" applyAlignment="0"/>
    <xf numFmtId="0" fontId="46" fillId="0" borderId="0"/>
    <xf numFmtId="0" fontId="35" fillId="0" borderId="0" applyNumberFormat="0" applyFont="0" applyFill="0" applyBorder="0" applyProtection="0">
      <alignment horizontal="center"/>
    </xf>
    <xf numFmtId="49" fontId="20" fillId="0" borderId="0" applyFill="0" applyBorder="0" applyProtection="0">
      <alignment horizontal="center"/>
    </xf>
    <xf numFmtId="49" fontId="47" fillId="0" borderId="0" applyFill="0" applyBorder="0" applyProtection="0">
      <alignment horizontal="center"/>
    </xf>
    <xf numFmtId="167" fontId="6" fillId="0" borderId="5" applyFont="0" applyFill="0" applyBorder="0" applyProtection="0">
      <alignment horizontal="right"/>
    </xf>
    <xf numFmtId="0" fontId="4" fillId="0" borderId="0"/>
    <xf numFmtId="0" fontId="2" fillId="0" borderId="0" applyNumberFormat="0" applyFill="0" applyBorder="0" applyAlignment="0" applyProtection="0"/>
    <xf numFmtId="0" fontId="48" fillId="0" borderId="0" applyNumberFormat="0" applyFill="0" applyBorder="0" applyAlignment="0" applyProtection="0"/>
    <xf numFmtId="0" fontId="2" fillId="0" borderId="0" applyNumberFormat="0" applyFill="0" applyBorder="0" applyAlignment="0" applyProtection="0"/>
    <xf numFmtId="0" fontId="49" fillId="0" borderId="3" applyNumberFormat="0" applyFill="0" applyBorder="0" applyAlignment="0" applyProtection="0">
      <alignment horizontal="center"/>
    </xf>
    <xf numFmtId="0" fontId="8" fillId="5" borderId="0"/>
    <xf numFmtId="171" fontId="1" fillId="0" borderId="0" applyFont="0" applyFill="0" applyBorder="0" applyAlignment="0" applyProtection="0"/>
    <xf numFmtId="209" fontId="6" fillId="0" borderId="0"/>
    <xf numFmtId="209" fontId="6" fillId="0" borderId="0"/>
    <xf numFmtId="209" fontId="6" fillId="0" borderId="0"/>
    <xf numFmtId="209" fontId="6" fillId="0" borderId="0"/>
    <xf numFmtId="209" fontId="6" fillId="0" borderId="0"/>
    <xf numFmtId="209" fontId="6" fillId="0" borderId="0"/>
    <xf numFmtId="209" fontId="6" fillId="0" borderId="0"/>
    <xf numFmtId="209" fontId="6" fillId="0" borderId="0"/>
    <xf numFmtId="210" fontId="50" fillId="0" borderId="0"/>
    <xf numFmtId="0" fontId="26" fillId="0" borderId="0" applyFont="0" applyFill="0" applyBorder="0" applyAlignment="0" applyProtection="0"/>
    <xf numFmtId="177" fontId="51" fillId="0" borderId="0" applyFont="0" applyFill="0" applyBorder="0" applyAlignment="0" applyProtection="0"/>
    <xf numFmtId="171" fontId="6" fillId="0" borderId="0" applyFont="0" applyFill="0" applyBorder="0" applyAlignment="0" applyProtection="0"/>
    <xf numFmtId="40" fontId="6" fillId="0" borderId="0" applyFont="0" applyFill="0" applyBorder="0" applyProtection="0">
      <alignment horizontal="right"/>
    </xf>
    <xf numFmtId="3" fontId="6" fillId="0" borderId="0" applyFill="0" applyBorder="0" applyAlignment="0" applyProtection="0"/>
    <xf numFmtId="3" fontId="2" fillId="0" borderId="0" applyFont="0" applyFill="0" applyBorder="0" applyAlignment="0" applyProtection="0"/>
    <xf numFmtId="3" fontId="20" fillId="0" borderId="0" applyFill="0" applyBorder="0" applyAlignment="0" applyProtection="0"/>
    <xf numFmtId="38" fontId="52" fillId="0" borderId="0" applyNumberFormat="0" applyFill="0" applyBorder="0">
      <alignment vertical="center"/>
    </xf>
    <xf numFmtId="0" fontId="53" fillId="0" borderId="0" applyNumberFormat="0" applyAlignment="0">
      <alignment horizontal="left"/>
    </xf>
    <xf numFmtId="166" fontId="6" fillId="0" borderId="0" applyFont="0" applyFill="0" applyBorder="0" applyAlignment="0" applyProtection="0"/>
    <xf numFmtId="211" fontId="50" fillId="0" borderId="0"/>
    <xf numFmtId="0" fontId="26" fillId="0" borderId="0" applyFont="0" applyFill="0" applyBorder="0" applyAlignment="0" applyProtection="0"/>
    <xf numFmtId="212" fontId="22" fillId="0" borderId="0" applyFont="0" applyFill="0" applyBorder="0" applyAlignment="0" applyProtection="0"/>
    <xf numFmtId="167" fontId="35" fillId="0" borderId="0" applyBorder="0"/>
    <xf numFmtId="213" fontId="6" fillId="0" borderId="0" applyNumberFormat="0">
      <alignment horizontal="right"/>
    </xf>
    <xf numFmtId="15" fontId="6" fillId="0" borderId="0" applyFont="0" applyFill="0" applyBorder="0" applyProtection="0">
      <alignment horizontal="right"/>
    </xf>
    <xf numFmtId="14" fontId="4" fillId="0" borderId="0" applyFill="0" applyBorder="0" applyAlignment="0"/>
    <xf numFmtId="15" fontId="6" fillId="0" borderId="0" applyFont="0" applyFill="0" applyBorder="0" applyProtection="0">
      <alignment horizontal="right"/>
    </xf>
    <xf numFmtId="214" fontId="20" fillId="0" borderId="0" applyFill="0" applyBorder="0" applyProtection="0">
      <alignment horizontal="left"/>
    </xf>
    <xf numFmtId="0" fontId="6" fillId="0" borderId="0">
      <alignment horizontal="left"/>
    </xf>
    <xf numFmtId="38" fontId="54" fillId="0" borderId="6">
      <alignment vertical="center"/>
    </xf>
    <xf numFmtId="215" fontId="34" fillId="0" borderId="0" applyFont="0" applyFill="0" applyBorder="0" applyAlignment="0" applyProtection="0"/>
    <xf numFmtId="4" fontId="55" fillId="0" borderId="0" applyFont="0" applyFill="0" applyBorder="0" applyAlignment="0" applyProtection="0"/>
    <xf numFmtId="0" fontId="34" fillId="0" borderId="0" applyFont="0" applyFill="0" applyBorder="0" applyAlignment="0" applyProtection="0"/>
    <xf numFmtId="0" fontId="35" fillId="0" borderId="7" applyNumberFormat="0" applyFont="0" applyFill="0" applyAlignment="0" applyProtection="0"/>
    <xf numFmtId="168" fontId="56" fillId="0" borderId="0" applyFill="0" applyBorder="0" applyAlignment="0" applyProtection="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57" fillId="0" borderId="0" applyNumberFormat="0" applyAlignment="0">
      <alignment horizontal="left"/>
    </xf>
    <xf numFmtId="216" fontId="6" fillId="0" borderId="0" applyFont="0" applyFill="0" applyBorder="0" applyAlignment="0" applyProtection="0"/>
    <xf numFmtId="176" fontId="35" fillId="0" borderId="0" applyNumberFormat="0" applyFont="0" applyAlignment="0">
      <alignment vertical="center"/>
    </xf>
    <xf numFmtId="0" fontId="58" fillId="0" borderId="0">
      <alignment horizontal="center"/>
    </xf>
    <xf numFmtId="0" fontId="59" fillId="0" borderId="0" applyNumberFormat="0" applyFill="0" applyBorder="0" applyAlignment="0" applyProtection="0"/>
    <xf numFmtId="38" fontId="2" fillId="6" borderId="0" applyNumberFormat="0" applyBorder="0" applyAlignment="0" applyProtection="0"/>
    <xf numFmtId="0" fontId="5" fillId="7" borderId="8" applyAlignment="0" applyProtection="0"/>
    <xf numFmtId="0" fontId="60" fillId="0" borderId="3" applyFill="0" applyProtection="0">
      <alignment horizontal="centerContinuous"/>
    </xf>
    <xf numFmtId="169" fontId="61" fillId="0" borderId="0">
      <alignment horizontal="center"/>
    </xf>
    <xf numFmtId="0" fontId="6" fillId="0" borderId="0">
      <alignment horizontal="center"/>
    </xf>
    <xf numFmtId="0" fontId="6" fillId="0" borderId="0">
      <alignment horizontal="left"/>
    </xf>
    <xf numFmtId="0" fontId="6" fillId="0" borderId="0">
      <alignment horizontal="right"/>
    </xf>
    <xf numFmtId="0" fontId="62" fillId="8" borderId="0"/>
    <xf numFmtId="0" fontId="63" fillId="0" borderId="0">
      <alignment horizontal="center" vertical="center"/>
    </xf>
    <xf numFmtId="0" fontId="64" fillId="0" borderId="9" applyNumberFormat="0" applyAlignment="0" applyProtection="0">
      <alignment horizontal="left" vertical="center"/>
    </xf>
    <xf numFmtId="0" fontId="64" fillId="0" borderId="8">
      <alignment horizontal="left" vertical="center"/>
    </xf>
    <xf numFmtId="0" fontId="65" fillId="0" borderId="0">
      <alignment horizontal="center"/>
    </xf>
    <xf numFmtId="0" fontId="66" fillId="0" borderId="0" applyFill="0" applyBorder="0" applyProtection="0">
      <alignment horizontal="right"/>
    </xf>
    <xf numFmtId="0" fontId="67" fillId="0" borderId="10">
      <alignment horizontal="center"/>
    </xf>
    <xf numFmtId="0" fontId="67" fillId="0" borderId="0">
      <alignment horizontal="center"/>
    </xf>
    <xf numFmtId="10" fontId="40" fillId="0" borderId="0" applyNumberFormat="0" applyFill="0" applyBorder="0" applyAlignment="0" applyProtection="0">
      <alignment horizontal="right"/>
    </xf>
    <xf numFmtId="10" fontId="2" fillId="9" borderId="11" applyNumberFormat="0" applyBorder="0" applyAlignment="0" applyProtection="0"/>
    <xf numFmtId="0" fontId="9" fillId="0" borderId="0"/>
    <xf numFmtId="0" fontId="68" fillId="0" borderId="0"/>
    <xf numFmtId="0" fontId="2" fillId="0" borderId="0" applyNumberFormat="0" applyFill="0" applyBorder="0" applyAlignment="0" applyProtection="0"/>
    <xf numFmtId="0" fontId="20" fillId="0" borderId="0" applyNumberFormat="0" applyFill="0" applyBorder="0" applyAlignment="0" applyProtection="0"/>
    <xf numFmtId="0" fontId="2" fillId="0" borderId="0" applyNumberFormat="0" applyFill="0" applyBorder="0" applyAlignment="0" applyProtection="0"/>
    <xf numFmtId="49" fontId="2" fillId="0" borderId="0" applyFont="0" applyFill="0" applyBorder="0" applyProtection="0">
      <alignment horizontal="left"/>
    </xf>
    <xf numFmtId="49" fontId="20" fillId="0" borderId="0" applyFill="0" applyBorder="0" applyProtection="0">
      <alignment horizontal="left"/>
    </xf>
    <xf numFmtId="49" fontId="20" fillId="0" borderId="3" applyFill="0" applyProtection="0">
      <alignment horizontal="left"/>
    </xf>
    <xf numFmtId="49" fontId="20" fillId="0" borderId="12" applyFill="0" applyProtection="0">
      <alignment horizontal="left"/>
    </xf>
    <xf numFmtId="0" fontId="69" fillId="0" borderId="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172" fontId="6" fillId="0" borderId="0" applyNumberFormat="0" applyFont="0" applyFill="0" applyBorder="0" applyAlignment="0"/>
    <xf numFmtId="17" fontId="22" fillId="0" borderId="0"/>
    <xf numFmtId="0" fontId="27" fillId="0" borderId="0" applyNumberFormat="0" applyFill="0" applyBorder="0" applyProtection="0"/>
    <xf numFmtId="0" fontId="22" fillId="0" borderId="0" applyNumberFormat="0" applyFill="0" applyBorder="0" applyProtection="0"/>
    <xf numFmtId="38" fontId="70" fillId="0" borderId="0" applyNumberFormat="0" applyFill="0" applyBorder="0">
      <alignment horizontal="left" vertical="center"/>
    </xf>
    <xf numFmtId="43" fontId="6" fillId="0" borderId="0" applyFont="0" applyFill="0" applyBorder="0" applyAlignment="0" applyProtection="0"/>
    <xf numFmtId="38" fontId="71" fillId="0" borderId="0" applyFont="0" applyFill="0" applyBorder="0" applyAlignment="0" applyProtection="0"/>
    <xf numFmtId="40" fontId="71" fillId="0" borderId="0" applyFont="0" applyFill="0" applyBorder="0" applyAlignment="0" applyProtection="0"/>
    <xf numFmtId="176" fontId="72" fillId="0" borderId="0" applyFill="0" applyBorder="0">
      <alignment vertical="center"/>
    </xf>
    <xf numFmtId="217" fontId="27" fillId="0" borderId="0">
      <alignment horizontal="center"/>
    </xf>
    <xf numFmtId="218" fontId="71" fillId="0" borderId="0" applyFont="0" applyFill="0" applyBorder="0" applyAlignment="0" applyProtection="0"/>
    <xf numFmtId="219" fontId="71" fillId="0" borderId="0" applyFont="0" applyFill="0" applyBorder="0" applyAlignment="0" applyProtection="0"/>
    <xf numFmtId="166" fontId="6" fillId="0" borderId="0"/>
    <xf numFmtId="220" fontId="73" fillId="0" borderId="0" applyFont="0" applyFill="0" applyBorder="0" applyProtection="0">
      <alignment horizontal="right"/>
    </xf>
    <xf numFmtId="221" fontId="55" fillId="0" borderId="0" applyFont="0" applyFill="0" applyBorder="0" applyAlignment="0" applyProtection="0"/>
    <xf numFmtId="222" fontId="22" fillId="0" borderId="0" applyFont="0" applyFill="0" applyBorder="0" applyAlignment="0" applyProtection="0"/>
    <xf numFmtId="223" fontId="55" fillId="0" borderId="0" applyFont="0" applyFill="0" applyBorder="0" applyAlignment="0" applyProtection="0"/>
    <xf numFmtId="224" fontId="27" fillId="0" borderId="0" applyFont="0" applyFill="0" applyBorder="0" applyAlignment="0" applyProtection="0"/>
    <xf numFmtId="225" fontId="22" fillId="0" borderId="0" applyFont="0" applyFill="0" applyBorder="0" applyAlignment="0" applyProtection="0"/>
    <xf numFmtId="226" fontId="55" fillId="0" borderId="0" applyFont="0" applyFill="0" applyBorder="0" applyAlignment="0" applyProtection="0"/>
    <xf numFmtId="227" fontId="55" fillId="0" borderId="0" applyFont="0" applyFill="0" applyBorder="0" applyAlignment="0" applyProtection="0"/>
    <xf numFmtId="228" fontId="22" fillId="0" borderId="0" applyFont="0" applyFill="0" applyBorder="0" applyAlignment="0" applyProtection="0"/>
    <xf numFmtId="229" fontId="6" fillId="0" borderId="0"/>
    <xf numFmtId="0" fontId="10" fillId="10" borderId="0"/>
    <xf numFmtId="0" fontId="11" fillId="11" borderId="0"/>
    <xf numFmtId="0" fontId="12" fillId="0" borderId="0"/>
    <xf numFmtId="230" fontId="74" fillId="0" borderId="0"/>
    <xf numFmtId="0" fontId="6" fillId="0" borderId="0"/>
    <xf numFmtId="0" fontId="6" fillId="0" borderId="0"/>
    <xf numFmtId="0" fontId="75" fillId="0" borderId="0">
      <alignment horizontal="center"/>
    </xf>
    <xf numFmtId="0" fontId="23" fillId="0" borderId="0">
      <alignment horizontal="center" vertical="center"/>
    </xf>
    <xf numFmtId="0" fontId="22" fillId="0" borderId="13"/>
    <xf numFmtId="0" fontId="22" fillId="0" borderId="14"/>
    <xf numFmtId="49" fontId="22" fillId="0" borderId="14">
      <alignment horizontal="left"/>
    </xf>
    <xf numFmtId="0" fontId="22" fillId="0" borderId="15"/>
    <xf numFmtId="0" fontId="22" fillId="0" borderId="3"/>
    <xf numFmtId="0" fontId="22" fillId="0" borderId="16"/>
    <xf numFmtId="0" fontId="22" fillId="6" borderId="17"/>
    <xf numFmtId="0" fontId="23" fillId="6" borderId="12">
      <alignment horizontal="left"/>
    </xf>
    <xf numFmtId="0" fontId="23" fillId="6" borderId="18">
      <alignment horizontal="left"/>
    </xf>
    <xf numFmtId="0" fontId="22" fillId="6" borderId="12"/>
    <xf numFmtId="0" fontId="22" fillId="0" borderId="0">
      <alignment horizontal="left"/>
    </xf>
    <xf numFmtId="0" fontId="23" fillId="6" borderId="12">
      <alignment horizontal="left"/>
    </xf>
    <xf numFmtId="0" fontId="39" fillId="6" borderId="12">
      <alignment horizontal="left"/>
    </xf>
    <xf numFmtId="0" fontId="22" fillId="6" borderId="18"/>
    <xf numFmtId="0" fontId="22" fillId="0" borderId="13">
      <alignment horizontal="left"/>
    </xf>
    <xf numFmtId="0" fontId="22" fillId="0" borderId="0">
      <alignment horizontal="left"/>
    </xf>
    <xf numFmtId="0" fontId="22" fillId="0" borderId="14">
      <alignment horizontal="center"/>
    </xf>
    <xf numFmtId="0" fontId="22" fillId="0" borderId="0">
      <alignment horizontal="left"/>
    </xf>
    <xf numFmtId="0" fontId="23" fillId="6" borderId="17">
      <alignment horizontal="left"/>
    </xf>
    <xf numFmtId="0" fontId="22" fillId="0" borderId="13">
      <alignment horizontal="left"/>
    </xf>
    <xf numFmtId="0" fontId="22" fillId="0" borderId="13">
      <alignment horizontal="right"/>
    </xf>
    <xf numFmtId="179" fontId="23" fillId="0" borderId="0"/>
    <xf numFmtId="0" fontId="22" fillId="0" borderId="13"/>
    <xf numFmtId="176" fontId="22" fillId="0" borderId="14"/>
    <xf numFmtId="0" fontId="22" fillId="0" borderId="13"/>
    <xf numFmtId="0" fontId="22" fillId="0" borderId="13">
      <alignment horizontal="left"/>
    </xf>
    <xf numFmtId="0" fontId="23" fillId="6" borderId="17"/>
    <xf numFmtId="0" fontId="76" fillId="6" borderId="13">
      <alignment horizontal="left"/>
    </xf>
    <xf numFmtId="0" fontId="22" fillId="6" borderId="14"/>
    <xf numFmtId="0" fontId="23" fillId="6" borderId="13">
      <alignment horizontal="left"/>
    </xf>
    <xf numFmtId="0" fontId="22" fillId="0" borderId="13">
      <alignment horizontal="left"/>
    </xf>
    <xf numFmtId="0" fontId="22" fillId="0" borderId="13">
      <alignment horizontal="left"/>
    </xf>
    <xf numFmtId="14" fontId="75" fillId="0" borderId="0">
      <alignment horizontal="center"/>
    </xf>
    <xf numFmtId="49" fontId="77" fillId="0" borderId="13">
      <alignment horizontal="left"/>
    </xf>
    <xf numFmtId="0" fontId="77" fillId="0" borderId="13"/>
    <xf numFmtId="0" fontId="23" fillId="6" borderId="13">
      <alignment horizontal="left"/>
    </xf>
    <xf numFmtId="0" fontId="23" fillId="6" borderId="13"/>
    <xf numFmtId="49" fontId="22" fillId="0" borderId="14">
      <alignment horizontal="left"/>
    </xf>
    <xf numFmtId="0" fontId="75" fillId="0" borderId="13"/>
    <xf numFmtId="0" fontId="75" fillId="0" borderId="0">
      <alignment horizontal="center"/>
    </xf>
    <xf numFmtId="14" fontId="75" fillId="0" borderId="0">
      <alignment horizontal="center"/>
    </xf>
    <xf numFmtId="0" fontId="75" fillId="0" borderId="15"/>
    <xf numFmtId="0" fontId="22" fillId="0" borderId="3">
      <alignment horizontal="center"/>
    </xf>
    <xf numFmtId="0" fontId="22" fillId="0" borderId="0"/>
    <xf numFmtId="0" fontId="75" fillId="0" borderId="3">
      <alignment horizontal="center"/>
    </xf>
    <xf numFmtId="14" fontId="75" fillId="0" borderId="3">
      <alignment horizontal="center"/>
    </xf>
    <xf numFmtId="0" fontId="23" fillId="0" borderId="0">
      <alignment horizontal="left" vertical="center" wrapText="1"/>
    </xf>
    <xf numFmtId="0" fontId="23" fillId="6" borderId="9">
      <alignment horizontal="left" wrapText="1"/>
    </xf>
    <xf numFmtId="0" fontId="23" fillId="0" borderId="0">
      <alignment horizontal="right" vertical="center"/>
    </xf>
    <xf numFmtId="179" fontId="23" fillId="0" borderId="0">
      <alignment horizontal="right"/>
    </xf>
    <xf numFmtId="14" fontId="78" fillId="0" borderId="0">
      <alignment horizontal="center"/>
    </xf>
    <xf numFmtId="0" fontId="23" fillId="6" borderId="19">
      <alignment horizontal="center" wrapText="1"/>
    </xf>
    <xf numFmtId="0" fontId="55" fillId="0" borderId="0">
      <alignment horizontal="center" vertical="center"/>
    </xf>
    <xf numFmtId="1" fontId="79" fillId="0" borderId="0">
      <alignment horizontal="center" wrapText="1"/>
    </xf>
    <xf numFmtId="0" fontId="23" fillId="6" borderId="9">
      <alignment horizontal="center" wrapText="1"/>
    </xf>
    <xf numFmtId="0" fontId="79" fillId="6" borderId="20">
      <alignment horizontal="center" wrapText="1"/>
    </xf>
    <xf numFmtId="0" fontId="79" fillId="6" borderId="19">
      <alignment horizontal="left" wrapText="1"/>
    </xf>
    <xf numFmtId="0" fontId="22" fillId="0" borderId="14">
      <alignment horizontal="left"/>
    </xf>
    <xf numFmtId="0" fontId="55" fillId="0" borderId="0">
      <alignment horizontal="center"/>
    </xf>
    <xf numFmtId="2" fontId="55" fillId="12" borderId="0">
      <alignment horizontal="center"/>
    </xf>
    <xf numFmtId="0" fontId="22" fillId="0" borderId="0">
      <alignment horizontal="left" vertical="top"/>
    </xf>
    <xf numFmtId="16" fontId="22" fillId="0" borderId="0"/>
    <xf numFmtId="0" fontId="22" fillId="12" borderId="0"/>
    <xf numFmtId="14" fontId="22" fillId="0" borderId="0">
      <alignment horizontal="center"/>
    </xf>
    <xf numFmtId="2" fontId="55" fillId="0" borderId="12">
      <alignment horizontal="center" vertical="center"/>
    </xf>
    <xf numFmtId="0" fontId="23" fillId="6" borderId="0">
      <alignment horizontal="center"/>
    </xf>
    <xf numFmtId="2" fontId="55" fillId="0" borderId="0">
      <alignment horizontal="center"/>
    </xf>
    <xf numFmtId="2" fontId="55" fillId="0" borderId="0">
      <alignment horizontal="center"/>
    </xf>
    <xf numFmtId="0" fontId="22" fillId="0" borderId="0">
      <alignment horizontal="left" vertical="top"/>
    </xf>
    <xf numFmtId="15" fontId="22" fillId="0" borderId="0">
      <alignment horizontal="left" vertical="top"/>
    </xf>
    <xf numFmtId="0" fontId="22" fillId="0" borderId="0">
      <alignment horizontal="left" vertical="top"/>
    </xf>
    <xf numFmtId="14" fontId="22" fillId="0" borderId="0">
      <alignment horizontal="center" vertical="top"/>
    </xf>
    <xf numFmtId="0" fontId="55" fillId="0" borderId="0"/>
    <xf numFmtId="0" fontId="79" fillId="0" borderId="3"/>
    <xf numFmtId="14" fontId="79" fillId="0" borderId="3"/>
    <xf numFmtId="2" fontId="55" fillId="0" borderId="3">
      <alignment horizontal="center"/>
    </xf>
    <xf numFmtId="0" fontId="22" fillId="0" borderId="0">
      <alignment horizontal="center"/>
    </xf>
    <xf numFmtId="2" fontId="55" fillId="0" borderId="3">
      <alignment horizontal="center"/>
    </xf>
    <xf numFmtId="0" fontId="55" fillId="0" borderId="3"/>
    <xf numFmtId="0" fontId="55" fillId="0" borderId="3">
      <alignment horizontal="center"/>
    </xf>
    <xf numFmtId="0" fontId="55" fillId="0" borderId="3">
      <alignment horizontal="center"/>
    </xf>
    <xf numFmtId="0" fontId="23" fillId="0" borderId="0">
      <alignment horizontal="left" vertical="top"/>
    </xf>
    <xf numFmtId="0" fontId="23" fillId="0" borderId="0">
      <alignment horizontal="left" vertical="top"/>
    </xf>
    <xf numFmtId="0" fontId="22" fillId="0" borderId="0">
      <alignment horizontal="center" vertical="top"/>
    </xf>
    <xf numFmtId="171" fontId="55" fillId="0" borderId="0">
      <alignment horizontal="left"/>
    </xf>
    <xf numFmtId="179" fontId="22" fillId="0" borderId="0"/>
    <xf numFmtId="0" fontId="22" fillId="0" borderId="0">
      <alignment horizontal="center"/>
    </xf>
    <xf numFmtId="0" fontId="75" fillId="0" borderId="0"/>
    <xf numFmtId="171" fontId="22" fillId="0" borderId="0"/>
    <xf numFmtId="1" fontId="22" fillId="0" borderId="0"/>
    <xf numFmtId="0" fontId="23" fillId="0" borderId="0"/>
    <xf numFmtId="171" fontId="22" fillId="0" borderId="0">
      <alignment horizontal="center"/>
    </xf>
    <xf numFmtId="171" fontId="22" fillId="0" borderId="21"/>
    <xf numFmtId="171" fontId="22" fillId="0" borderId="22"/>
    <xf numFmtId="0" fontId="22" fillId="0" borderId="10"/>
    <xf numFmtId="171" fontId="22" fillId="0" borderId="0"/>
    <xf numFmtId="1" fontId="79" fillId="0" borderId="16">
      <alignment horizontal="center" wrapText="1"/>
    </xf>
    <xf numFmtId="0" fontId="55" fillId="0" borderId="0">
      <alignment horizontal="center"/>
    </xf>
    <xf numFmtId="0" fontId="22" fillId="0" borderId="0">
      <alignment horizontal="left"/>
    </xf>
    <xf numFmtId="0" fontId="55" fillId="0" borderId="0"/>
    <xf numFmtId="171" fontId="22" fillId="0" borderId="0">
      <alignment horizontal="center"/>
    </xf>
    <xf numFmtId="0" fontId="23" fillId="0" borderId="3">
      <alignment horizontal="left" vertical="top"/>
    </xf>
    <xf numFmtId="0" fontId="22" fillId="0" borderId="3">
      <alignment horizontal="center" vertical="top"/>
    </xf>
    <xf numFmtId="14" fontId="22" fillId="0" borderId="3">
      <alignment horizontal="center" vertical="top"/>
    </xf>
    <xf numFmtId="15" fontId="22" fillId="0" borderId="3">
      <alignment horizontal="left" vertical="top"/>
    </xf>
    <xf numFmtId="0" fontId="25" fillId="0" borderId="0"/>
    <xf numFmtId="231" fontId="22" fillId="0" borderId="0">
      <alignment vertical="top"/>
    </xf>
    <xf numFmtId="0" fontId="22" fillId="0" borderId="3">
      <alignment horizontal="left" vertical="top"/>
    </xf>
    <xf numFmtId="0" fontId="22" fillId="0" borderId="0">
      <alignment horizontal="center" wrapText="1"/>
    </xf>
    <xf numFmtId="0" fontId="22" fillId="0" borderId="0">
      <alignment horizontal="center"/>
    </xf>
    <xf numFmtId="0" fontId="22" fillId="0" borderId="0">
      <alignment horizontal="center" vertical="top"/>
    </xf>
    <xf numFmtId="0" fontId="23" fillId="0" borderId="0"/>
    <xf numFmtId="14" fontId="22" fillId="0" borderId="0">
      <alignment horizontal="center"/>
    </xf>
    <xf numFmtId="14" fontId="22" fillId="0" borderId="0">
      <alignment horizontal="left" vertical="top"/>
    </xf>
    <xf numFmtId="169" fontId="22" fillId="0" borderId="0"/>
    <xf numFmtId="3" fontId="23" fillId="0" borderId="23">
      <alignment horizontal="right" vertical="center"/>
    </xf>
    <xf numFmtId="179" fontId="23" fillId="0" borderId="22">
      <alignment horizontal="right"/>
    </xf>
    <xf numFmtId="232" fontId="79" fillId="0" borderId="0">
      <alignment wrapText="1"/>
    </xf>
    <xf numFmtId="0" fontId="22" fillId="0" borderId="0">
      <alignment horizontal="center"/>
    </xf>
    <xf numFmtId="233" fontId="23" fillId="0" borderId="10"/>
    <xf numFmtId="233" fontId="23" fillId="0" borderId="0"/>
    <xf numFmtId="0" fontId="22" fillId="0" borderId="0">
      <alignment vertical="top"/>
    </xf>
    <xf numFmtId="3" fontId="23" fillId="0" borderId="21">
      <alignment horizontal="right" vertical="center"/>
    </xf>
    <xf numFmtId="0" fontId="79" fillId="0" borderId="15">
      <alignment horizontal="center" wrapText="1"/>
    </xf>
    <xf numFmtId="3" fontId="23" fillId="0" borderId="24">
      <alignment horizontal="right" vertical="center"/>
    </xf>
    <xf numFmtId="3" fontId="23" fillId="0" borderId="0">
      <alignment horizontal="right" vertical="center"/>
    </xf>
    <xf numFmtId="179" fontId="23" fillId="0" borderId="10">
      <alignment horizontal="right"/>
    </xf>
    <xf numFmtId="0" fontId="4" fillId="0" borderId="25">
      <alignment wrapText="1"/>
    </xf>
    <xf numFmtId="234" fontId="4" fillId="0" borderId="25">
      <alignment horizontal="right" wrapText="1"/>
    </xf>
    <xf numFmtId="4" fontId="22" fillId="0" borderId="0">
      <alignment horizontal="center"/>
    </xf>
    <xf numFmtId="0" fontId="23" fillId="6" borderId="9">
      <alignment horizontal="center"/>
    </xf>
    <xf numFmtId="0" fontId="23" fillId="6" borderId="20">
      <alignment horizontal="center"/>
    </xf>
    <xf numFmtId="14" fontId="22" fillId="0" borderId="0">
      <alignment horizontal="center" vertical="top"/>
    </xf>
    <xf numFmtId="0" fontId="22" fillId="13" borderId="0">
      <alignment vertical="top"/>
    </xf>
    <xf numFmtId="0" fontId="22" fillId="13" borderId="0"/>
    <xf numFmtId="0" fontId="4" fillId="0" borderId="25">
      <alignment wrapText="1"/>
    </xf>
    <xf numFmtId="235" fontId="26" fillId="0" borderId="0">
      <alignment horizontal="right" vertical="center" wrapText="1"/>
    </xf>
    <xf numFmtId="0" fontId="26" fillId="0" borderId="0">
      <alignment horizontal="right" vertical="center" wrapText="1"/>
    </xf>
    <xf numFmtId="0" fontId="4" fillId="0" borderId="0">
      <alignment wrapText="1"/>
    </xf>
    <xf numFmtId="179" fontId="22" fillId="0" borderId="0"/>
    <xf numFmtId="0" fontId="22" fillId="13" borderId="0">
      <alignment horizontal="center"/>
    </xf>
    <xf numFmtId="0" fontId="23" fillId="13" borderId="0"/>
    <xf numFmtId="0" fontId="22" fillId="13" borderId="0">
      <alignment horizontal="center" vertical="top"/>
    </xf>
    <xf numFmtId="0" fontId="22" fillId="0" borderId="0">
      <alignment vertical="top"/>
    </xf>
    <xf numFmtId="14" fontId="22" fillId="13" borderId="0">
      <alignment horizontal="center" vertical="top"/>
    </xf>
    <xf numFmtId="15" fontId="22" fillId="13" borderId="0">
      <alignment horizontal="left" vertical="top"/>
    </xf>
    <xf numFmtId="0" fontId="22" fillId="13" borderId="0">
      <alignment horizontal="left" vertical="top"/>
    </xf>
    <xf numFmtId="14" fontId="22" fillId="13" borderId="0">
      <alignment horizontal="left" vertical="top"/>
    </xf>
    <xf numFmtId="0" fontId="22" fillId="14" borderId="0">
      <alignment horizontal="center"/>
    </xf>
    <xf numFmtId="0" fontId="23" fillId="14" borderId="0"/>
    <xf numFmtId="0" fontId="22" fillId="14" borderId="0">
      <alignment horizontal="center" vertical="top"/>
    </xf>
    <xf numFmtId="14" fontId="22" fillId="14" borderId="0">
      <alignment horizontal="center" vertical="top"/>
    </xf>
    <xf numFmtId="0" fontId="22" fillId="14" borderId="0">
      <alignment vertical="top"/>
    </xf>
    <xf numFmtId="15" fontId="22" fillId="14" borderId="0">
      <alignment horizontal="left" vertical="top"/>
    </xf>
    <xf numFmtId="15" fontId="75" fillId="0" borderId="0">
      <alignment horizontal="left"/>
    </xf>
    <xf numFmtId="0" fontId="22" fillId="14" borderId="0">
      <alignment horizontal="left" vertical="top"/>
    </xf>
    <xf numFmtId="179" fontId="22" fillId="14" borderId="0">
      <alignment vertical="top"/>
    </xf>
    <xf numFmtId="14" fontId="22" fillId="14" borderId="0">
      <alignment horizontal="left" vertical="top"/>
    </xf>
    <xf numFmtId="0" fontId="22" fillId="14" borderId="0">
      <alignment horizontal="center"/>
    </xf>
    <xf numFmtId="0" fontId="22" fillId="14" borderId="0"/>
    <xf numFmtId="0" fontId="23" fillId="14" borderId="0">
      <alignment horizontal="left" vertical="top"/>
    </xf>
    <xf numFmtId="14" fontId="22" fillId="14" borderId="0">
      <alignment horizontal="center" vertical="top"/>
    </xf>
    <xf numFmtId="0" fontId="55" fillId="14" borderId="0">
      <alignment horizontal="center"/>
    </xf>
    <xf numFmtId="0" fontId="75" fillId="14" borderId="0">
      <alignment horizontal="center"/>
    </xf>
    <xf numFmtId="0" fontId="22" fillId="14" borderId="0"/>
    <xf numFmtId="0" fontId="55" fillId="0" borderId="0"/>
    <xf numFmtId="0" fontId="23" fillId="0" borderId="0">
      <alignment horizontal="center"/>
    </xf>
    <xf numFmtId="0" fontId="23" fillId="0" borderId="0">
      <alignment horizontal="center"/>
    </xf>
    <xf numFmtId="179" fontId="23" fillId="6" borderId="23">
      <alignment horizontal="center"/>
    </xf>
    <xf numFmtId="179" fontId="23" fillId="6" borderId="24">
      <alignment horizontal="center"/>
    </xf>
    <xf numFmtId="2" fontId="55" fillId="0" borderId="0"/>
    <xf numFmtId="0" fontId="55" fillId="0" borderId="0"/>
    <xf numFmtId="2" fontId="55" fillId="0" borderId="0">
      <alignment horizontal="center"/>
    </xf>
    <xf numFmtId="0" fontId="55" fillId="0" borderId="0">
      <alignment horizontal="center"/>
    </xf>
    <xf numFmtId="0" fontId="75" fillId="0" borderId="0">
      <alignment wrapText="1"/>
    </xf>
    <xf numFmtId="0" fontId="55" fillId="0" borderId="0">
      <alignment horizontal="center"/>
    </xf>
    <xf numFmtId="0" fontId="79" fillId="0" borderId="0">
      <alignment horizontal="left" vertical="center"/>
    </xf>
    <xf numFmtId="2" fontId="55" fillId="0" borderId="12">
      <alignment horizontal="center" vertical="center"/>
    </xf>
    <xf numFmtId="0" fontId="55" fillId="0" borderId="12">
      <alignment horizontal="center" vertical="center"/>
    </xf>
    <xf numFmtId="0" fontId="55" fillId="0" borderId="18">
      <alignment horizontal="center" vertical="center"/>
    </xf>
    <xf numFmtId="0" fontId="55" fillId="0" borderId="0">
      <alignment horizontal="center" vertical="center"/>
    </xf>
    <xf numFmtId="0" fontId="55" fillId="0" borderId="0">
      <alignment horizontal="left" vertical="center"/>
    </xf>
    <xf numFmtId="0" fontId="79" fillId="0" borderId="0">
      <alignment horizontal="left"/>
    </xf>
    <xf numFmtId="0" fontId="79" fillId="0" borderId="0">
      <alignment horizontal="left"/>
    </xf>
    <xf numFmtId="0" fontId="79" fillId="0" borderId="0">
      <alignment horizontal="center"/>
    </xf>
    <xf numFmtId="0" fontId="22" fillId="0" borderId="0">
      <alignment horizontal="center" vertical="center" wrapText="1"/>
    </xf>
    <xf numFmtId="0" fontId="79" fillId="0" borderId="0">
      <alignment horizontal="center" wrapText="1"/>
    </xf>
    <xf numFmtId="0" fontId="79" fillId="0" borderId="13">
      <alignment horizontal="center" wrapText="1"/>
    </xf>
    <xf numFmtId="1" fontId="79" fillId="0" borderId="14">
      <alignment horizontal="center" wrapText="1"/>
    </xf>
    <xf numFmtId="0" fontId="79" fillId="0" borderId="0">
      <alignment horizontal="center"/>
    </xf>
    <xf numFmtId="236" fontId="79" fillId="0" borderId="0">
      <alignment horizontal="center" wrapText="1"/>
    </xf>
    <xf numFmtId="171" fontId="79" fillId="0" borderId="0"/>
    <xf numFmtId="0" fontId="79" fillId="0" borderId="0"/>
    <xf numFmtId="0" fontId="55" fillId="0" borderId="0">
      <alignment wrapText="1"/>
    </xf>
    <xf numFmtId="0" fontId="79" fillId="0" borderId="0">
      <alignment horizontal="center" wrapText="1"/>
    </xf>
    <xf numFmtId="0" fontId="79" fillId="0" borderId="0">
      <alignment horizontal="center" wrapText="1"/>
    </xf>
    <xf numFmtId="171" fontId="22" fillId="0" borderId="0">
      <alignment horizontal="center" vertical="center" wrapText="1"/>
    </xf>
    <xf numFmtId="0" fontId="79" fillId="0" borderId="0">
      <alignment horizontal="center" wrapText="1"/>
    </xf>
    <xf numFmtId="237" fontId="79" fillId="0" borderId="0">
      <alignment horizontal="center" wrapText="1"/>
    </xf>
    <xf numFmtId="0" fontId="79" fillId="6" borderId="9">
      <alignment horizontal="center" wrapText="1"/>
    </xf>
    <xf numFmtId="2" fontId="79" fillId="6" borderId="9">
      <alignment horizontal="center" wrapText="1"/>
    </xf>
    <xf numFmtId="0" fontId="79" fillId="6" borderId="9">
      <alignment horizontal="center" wrapText="1"/>
    </xf>
    <xf numFmtId="0" fontId="79" fillId="0" borderId="0">
      <alignment horizontal="center" wrapText="1"/>
    </xf>
    <xf numFmtId="0" fontId="22" fillId="0" borderId="0"/>
    <xf numFmtId="0" fontId="22" fillId="0" borderId="0"/>
    <xf numFmtId="0" fontId="80" fillId="0" borderId="0">
      <alignment horizontal="left" vertical="center"/>
    </xf>
    <xf numFmtId="179" fontId="80" fillId="0" borderId="0">
      <alignment horizontal="left" vertical="center"/>
    </xf>
    <xf numFmtId="0" fontId="23" fillId="0" borderId="0">
      <alignment horizontal="center" vertical="center" wrapText="1"/>
    </xf>
    <xf numFmtId="0" fontId="80" fillId="0" borderId="0">
      <alignment horizontal="center" vertical="center"/>
    </xf>
    <xf numFmtId="0" fontId="23" fillId="0" borderId="23">
      <alignment horizontal="left"/>
    </xf>
    <xf numFmtId="169" fontId="23" fillId="0" borderId="26"/>
    <xf numFmtId="0" fontId="23" fillId="0" borderId="23"/>
    <xf numFmtId="169" fontId="23" fillId="0" borderId="0"/>
    <xf numFmtId="0" fontId="23" fillId="0" borderId="21"/>
    <xf numFmtId="179" fontId="23" fillId="0" borderId="27"/>
    <xf numFmtId="179" fontId="23" fillId="0" borderId="0"/>
    <xf numFmtId="171" fontId="23" fillId="0" borderId="27"/>
    <xf numFmtId="171" fontId="23" fillId="0" borderId="0"/>
    <xf numFmtId="0" fontId="22" fillId="0" borderId="0">
      <alignment wrapText="1"/>
    </xf>
    <xf numFmtId="0" fontId="23" fillId="0" borderId="22"/>
    <xf numFmtId="171" fontId="23" fillId="0" borderId="28"/>
    <xf numFmtId="0" fontId="23" fillId="0" borderId="0">
      <alignment horizontal="center"/>
    </xf>
    <xf numFmtId="0" fontId="23" fillId="6" borderId="23">
      <alignment horizontal="center"/>
    </xf>
    <xf numFmtId="179" fontId="23" fillId="6" borderId="24">
      <alignment horizontal="center"/>
    </xf>
    <xf numFmtId="0" fontId="23" fillId="6" borderId="24">
      <alignment horizontal="center"/>
    </xf>
    <xf numFmtId="0" fontId="23" fillId="6" borderId="26">
      <alignment horizontal="center"/>
    </xf>
    <xf numFmtId="0" fontId="23" fillId="6" borderId="22">
      <alignment horizontal="center"/>
    </xf>
    <xf numFmtId="179" fontId="23" fillId="6" borderId="10">
      <alignment horizontal="right"/>
    </xf>
    <xf numFmtId="0" fontId="23" fillId="6" borderId="10">
      <alignment horizontal="center"/>
    </xf>
    <xf numFmtId="0" fontId="22" fillId="0" borderId="0">
      <alignment horizontal="left" vertical="center" wrapText="1"/>
    </xf>
    <xf numFmtId="0" fontId="23" fillId="6" borderId="28">
      <alignment horizontal="center"/>
    </xf>
    <xf numFmtId="0" fontId="23" fillId="15" borderId="0">
      <alignment horizontal="center"/>
    </xf>
    <xf numFmtId="179" fontId="23" fillId="6" borderId="22">
      <alignment horizontal="center"/>
    </xf>
    <xf numFmtId="179" fontId="23" fillId="6" borderId="10">
      <alignment horizontal="center"/>
    </xf>
    <xf numFmtId="0" fontId="23" fillId="6" borderId="10">
      <alignment horizontal="center"/>
    </xf>
    <xf numFmtId="179" fontId="23" fillId="6" borderId="28">
      <alignment horizontal="center"/>
    </xf>
    <xf numFmtId="0" fontId="23" fillId="6" borderId="29">
      <alignment horizontal="center"/>
    </xf>
    <xf numFmtId="0" fontId="23" fillId="6" borderId="3">
      <alignment horizontal="center"/>
    </xf>
    <xf numFmtId="0" fontId="23" fillId="6" borderId="3">
      <alignment horizontal="center"/>
    </xf>
    <xf numFmtId="0" fontId="23" fillId="6" borderId="30">
      <alignment horizontal="center"/>
    </xf>
    <xf numFmtId="0" fontId="22" fillId="0" borderId="0"/>
    <xf numFmtId="0" fontId="23" fillId="6" borderId="21">
      <alignment horizontal="center"/>
    </xf>
    <xf numFmtId="0" fontId="23" fillId="6" borderId="0">
      <alignment horizontal="center"/>
    </xf>
    <xf numFmtId="0" fontId="23" fillId="6" borderId="27">
      <alignment horizontal="center"/>
    </xf>
    <xf numFmtId="0" fontId="39" fillId="0" borderId="0">
      <alignment horizontal="left"/>
    </xf>
    <xf numFmtId="49" fontId="22" fillId="0" borderId="0">
      <alignment horizontal="left"/>
    </xf>
    <xf numFmtId="0" fontId="39" fillId="0" borderId="0">
      <alignment horizontal="left"/>
    </xf>
    <xf numFmtId="15" fontId="75" fillId="15" borderId="0">
      <alignment horizontal="left"/>
    </xf>
    <xf numFmtId="0" fontId="22" fillId="0" borderId="0">
      <alignment horizontal="right"/>
    </xf>
    <xf numFmtId="49" fontId="22" fillId="0" borderId="0">
      <alignment horizontal="left"/>
    </xf>
    <xf numFmtId="49" fontId="22" fillId="0" borderId="0">
      <alignment horizontal="left"/>
    </xf>
    <xf numFmtId="10" fontId="75" fillId="0" borderId="0"/>
    <xf numFmtId="0" fontId="2" fillId="0" borderId="0" applyNumberFormat="0" applyFill="0" applyBorder="0" applyAlignment="0" applyProtection="0"/>
    <xf numFmtId="0" fontId="6" fillId="0" borderId="0" applyNumberFormat="0" applyFill="0" applyBorder="0" applyAlignment="0" applyProtection="0"/>
    <xf numFmtId="0" fontId="48" fillId="0" borderId="0" applyNumberFormat="0" applyFill="0" applyBorder="0" applyAlignment="0" applyProtection="0"/>
    <xf numFmtId="0" fontId="6" fillId="0" borderId="0" applyNumberFormat="0" applyFill="0" applyBorder="0" applyAlignment="0" applyProtection="0"/>
    <xf numFmtId="0" fontId="70" fillId="0" borderId="0" applyNumberFormat="0" applyFill="0" applyBorder="0" applyAlignment="0" applyProtection="0"/>
    <xf numFmtId="0" fontId="2" fillId="0" borderId="0" applyNumberFormat="0" applyFill="0" applyBorder="0" applyAlignment="0" applyProtection="0"/>
    <xf numFmtId="0" fontId="81" fillId="0" borderId="0">
      <alignment horizontal="left" vertical="top"/>
      <protection locked="0"/>
    </xf>
    <xf numFmtId="0" fontId="35" fillId="0" borderId="11" applyNumberFormat="0" applyFont="0" applyFill="0" applyAlignment="0" applyProtection="0"/>
    <xf numFmtId="40" fontId="82" fillId="15" borderId="0">
      <alignment horizontal="right"/>
    </xf>
    <xf numFmtId="0" fontId="83" fillId="15" borderId="0">
      <alignment horizontal="right"/>
    </xf>
    <xf numFmtId="0" fontId="84" fillId="15" borderId="14"/>
    <xf numFmtId="0" fontId="84" fillId="0" borderId="0" applyBorder="0">
      <alignment horizontal="centerContinuous"/>
    </xf>
    <xf numFmtId="238" fontId="85" fillId="0" borderId="0" applyFill="0">
      <alignment horizontal="center" vertical="center"/>
    </xf>
    <xf numFmtId="0" fontId="23" fillId="0" borderId="31" applyNumberFormat="0" applyAlignment="0" applyProtection="0"/>
    <xf numFmtId="0" fontId="22" fillId="16" borderId="0" applyNumberFormat="0" applyFont="0" applyBorder="0" applyAlignment="0" applyProtection="0"/>
    <xf numFmtId="0" fontId="2" fillId="17" borderId="32" applyNumberFormat="0" applyFont="0" applyBorder="0" applyAlignment="0" applyProtection="0">
      <alignment horizontal="center"/>
    </xf>
    <xf numFmtId="0" fontId="2" fillId="18" borderId="32" applyNumberFormat="0" applyFont="0" applyBorder="0" applyAlignment="0" applyProtection="0">
      <alignment horizontal="center"/>
    </xf>
    <xf numFmtId="0" fontId="22" fillId="0" borderId="33" applyNumberFormat="0" applyAlignment="0" applyProtection="0"/>
    <xf numFmtId="0" fontId="22" fillId="0" borderId="34" applyNumberFormat="0" applyAlignment="0" applyProtection="0"/>
    <xf numFmtId="0" fontId="23" fillId="0" borderId="35" applyNumberFormat="0" applyAlignment="0" applyProtection="0"/>
    <xf numFmtId="14" fontId="27" fillId="0" borderId="0">
      <alignment horizontal="center" wrapText="1"/>
      <protection locked="0"/>
    </xf>
    <xf numFmtId="9" fontId="1" fillId="0" borderId="0" applyFont="0" applyFill="0" applyBorder="0" applyAlignment="0" applyProtection="0"/>
    <xf numFmtId="9" fontId="55" fillId="0" borderId="0" applyFont="0" applyFill="0" applyBorder="0" applyAlignment="0" applyProtection="0"/>
    <xf numFmtId="239" fontId="86" fillId="0" borderId="0" applyFont="0" applyFill="0" applyBorder="0" applyAlignment="0" applyProtection="0"/>
    <xf numFmtId="176" fontId="55" fillId="0" borderId="0" applyFont="0" applyFill="0" applyBorder="0" applyAlignment="0" applyProtection="0"/>
    <xf numFmtId="240" fontId="55" fillId="0" borderId="0" applyFont="0" applyFill="0" applyBorder="0" applyAlignment="0" applyProtection="0"/>
    <xf numFmtId="241" fontId="55" fillId="0" borderId="0" applyFont="0" applyFill="0" applyBorder="0" applyAlignment="0" applyProtection="0"/>
    <xf numFmtId="10" fontId="6" fillId="0" borderId="0" applyFont="0" applyFill="0" applyBorder="0" applyAlignment="0" applyProtection="0"/>
    <xf numFmtId="0" fontId="6" fillId="0" borderId="0" applyFont="0" applyFill="0" applyBorder="0" applyProtection="0">
      <alignment horizontal="right"/>
    </xf>
    <xf numFmtId="179" fontId="75" fillId="0" borderId="0">
      <alignment horizontal="right"/>
    </xf>
    <xf numFmtId="179" fontId="23" fillId="0" borderId="0">
      <alignment horizontal="left" vertical="center"/>
    </xf>
    <xf numFmtId="178" fontId="2" fillId="0" borderId="0"/>
    <xf numFmtId="179" fontId="75" fillId="0" borderId="0">
      <alignment horizontal="right"/>
    </xf>
    <xf numFmtId="179" fontId="75" fillId="0" borderId="0">
      <alignment horizontal="center"/>
    </xf>
    <xf numFmtId="177" fontId="75" fillId="0" borderId="0">
      <alignment horizontal="right"/>
    </xf>
    <xf numFmtId="179" fontId="75" fillId="0" borderId="3">
      <alignment horizontal="right"/>
    </xf>
    <xf numFmtId="179" fontId="75" fillId="0" borderId="3">
      <alignment horizontal="center"/>
    </xf>
    <xf numFmtId="177" fontId="75" fillId="0" borderId="3">
      <alignment horizontal="right"/>
    </xf>
    <xf numFmtId="171" fontId="75" fillId="0" borderId="3">
      <alignment horizontal="center"/>
    </xf>
    <xf numFmtId="242" fontId="75" fillId="0" borderId="12"/>
    <xf numFmtId="243" fontId="75" fillId="0" borderId="12">
      <alignment horizontal="center"/>
    </xf>
    <xf numFmtId="179" fontId="23" fillId="0" borderId="0">
      <alignment horizontal="right" vertical="center"/>
    </xf>
    <xf numFmtId="243" fontId="75" fillId="0" borderId="18">
      <alignment horizontal="center" wrapText="1"/>
    </xf>
    <xf numFmtId="243" fontId="75" fillId="0" borderId="0">
      <alignment horizontal="center"/>
    </xf>
    <xf numFmtId="243" fontId="75" fillId="0" borderId="14">
      <alignment horizontal="center" wrapText="1"/>
    </xf>
    <xf numFmtId="242" fontId="75" fillId="0" borderId="14">
      <alignment wrapText="1"/>
    </xf>
    <xf numFmtId="242" fontId="75" fillId="0" borderId="3"/>
    <xf numFmtId="242" fontId="75" fillId="0" borderId="16">
      <alignment wrapText="1"/>
    </xf>
    <xf numFmtId="244" fontId="23" fillId="0" borderId="0">
      <alignment horizontal="left"/>
    </xf>
    <xf numFmtId="245" fontId="23" fillId="0" borderId="0">
      <alignment horizontal="left"/>
    </xf>
    <xf numFmtId="246" fontId="23" fillId="0" borderId="0">
      <alignment horizontal="left"/>
    </xf>
    <xf numFmtId="179" fontId="22" fillId="0" borderId="0">
      <alignment vertical="top"/>
    </xf>
    <xf numFmtId="247" fontId="23" fillId="0" borderId="0">
      <alignment horizontal="center"/>
    </xf>
    <xf numFmtId="242" fontId="78" fillId="0" borderId="0"/>
    <xf numFmtId="179" fontId="55" fillId="0" borderId="0">
      <alignment horizontal="right"/>
    </xf>
    <xf numFmtId="179" fontId="55" fillId="0" borderId="0">
      <alignment horizontal="center"/>
    </xf>
    <xf numFmtId="243" fontId="22" fillId="0" borderId="0">
      <alignment horizontal="center" vertical="top"/>
    </xf>
    <xf numFmtId="179" fontId="20" fillId="0" borderId="3">
      <alignment horizontal="centerContinuous"/>
    </xf>
    <xf numFmtId="179" fontId="2" fillId="0" borderId="3">
      <alignment horizontal="center"/>
    </xf>
    <xf numFmtId="179" fontId="2" fillId="0" borderId="0"/>
    <xf numFmtId="179" fontId="2" fillId="0" borderId="3"/>
    <xf numFmtId="171" fontId="2" fillId="0" borderId="3"/>
    <xf numFmtId="171" fontId="20" fillId="0" borderId="0">
      <alignment horizontal="right"/>
    </xf>
    <xf numFmtId="177" fontId="23" fillId="0" borderId="0">
      <alignment horizontal="right" vertical="center"/>
    </xf>
    <xf numFmtId="172" fontId="79" fillId="0" borderId="0">
      <alignment horizontal="center" wrapText="1"/>
    </xf>
    <xf numFmtId="2" fontId="79" fillId="0" borderId="0">
      <alignment horizontal="center"/>
    </xf>
    <xf numFmtId="171" fontId="55" fillId="0" borderId="0"/>
    <xf numFmtId="0" fontId="2" fillId="0" borderId="0">
      <alignment horizontal="center"/>
    </xf>
    <xf numFmtId="171" fontId="22" fillId="0" borderId="0">
      <alignment horizontal="center" vertical="top"/>
    </xf>
    <xf numFmtId="242" fontId="22" fillId="0" borderId="0">
      <alignment horizontal="center" vertical="top"/>
    </xf>
    <xf numFmtId="243" fontId="22" fillId="0" borderId="0">
      <alignment horizontal="center" vertical="top" wrapText="1"/>
    </xf>
    <xf numFmtId="171" fontId="22" fillId="0" borderId="0">
      <alignment horizontal="left" vertical="top"/>
    </xf>
    <xf numFmtId="179" fontId="22" fillId="0" borderId="0">
      <alignment horizontal="right" vertical="top"/>
    </xf>
    <xf numFmtId="171" fontId="22" fillId="0" borderId="0">
      <alignment horizontal="center" vertical="top"/>
    </xf>
    <xf numFmtId="171" fontId="23" fillId="0" borderId="0">
      <alignment horizontal="center"/>
    </xf>
    <xf numFmtId="242" fontId="22" fillId="0" borderId="0">
      <alignment horizontal="center" vertical="top"/>
    </xf>
    <xf numFmtId="243" fontId="22" fillId="0" borderId="0">
      <alignment horizontal="center" vertical="top" wrapText="1"/>
    </xf>
    <xf numFmtId="179" fontId="22" fillId="0" borderId="0">
      <alignment horizontal="left" vertical="top"/>
    </xf>
    <xf numFmtId="171" fontId="22" fillId="0" borderId="0">
      <alignment horizontal="left" vertical="top"/>
    </xf>
    <xf numFmtId="179" fontId="2" fillId="0" borderId="0">
      <alignment horizontal="left"/>
    </xf>
    <xf numFmtId="179" fontId="20" fillId="0" borderId="0">
      <alignment horizontal="centerContinuous"/>
    </xf>
    <xf numFmtId="179" fontId="20" fillId="0" borderId="0">
      <alignment horizontal="left"/>
    </xf>
    <xf numFmtId="179" fontId="20" fillId="0" borderId="3">
      <alignment horizontal="left"/>
    </xf>
    <xf numFmtId="171" fontId="55" fillId="0" borderId="0"/>
    <xf numFmtId="171" fontId="55" fillId="0" borderId="3">
      <alignment horizontal="center"/>
    </xf>
    <xf numFmtId="242" fontId="23" fillId="0" borderId="0">
      <alignment horizontal="center"/>
    </xf>
    <xf numFmtId="171" fontId="55" fillId="0" borderId="3"/>
    <xf numFmtId="171" fontId="20" fillId="0" borderId="0"/>
    <xf numFmtId="179" fontId="2" fillId="14" borderId="0">
      <alignment horizontal="center"/>
    </xf>
    <xf numFmtId="179" fontId="2" fillId="14" borderId="0">
      <alignment horizontal="center"/>
    </xf>
    <xf numFmtId="179" fontId="20" fillId="14" borderId="0">
      <alignment horizontal="centerContinuous"/>
    </xf>
    <xf numFmtId="179" fontId="20" fillId="14" borderId="3">
      <alignment horizontal="center" wrapText="1"/>
    </xf>
    <xf numFmtId="179" fontId="2" fillId="19" borderId="0">
      <alignment horizontal="center"/>
    </xf>
    <xf numFmtId="179" fontId="2" fillId="19" borderId="0">
      <alignment horizontal="center"/>
    </xf>
    <xf numFmtId="179" fontId="20" fillId="19" borderId="0">
      <alignment horizontal="centerContinuous"/>
    </xf>
    <xf numFmtId="179" fontId="20" fillId="19" borderId="3">
      <alignment horizontal="centerContinuous"/>
    </xf>
    <xf numFmtId="242" fontId="23" fillId="0" borderId="0">
      <alignment horizontal="center" wrapText="1"/>
    </xf>
    <xf numFmtId="179" fontId="22" fillId="0" borderId="0"/>
    <xf numFmtId="171" fontId="22" fillId="0" borderId="0"/>
    <xf numFmtId="171" fontId="22" fillId="0" borderId="0">
      <alignment horizontal="center"/>
    </xf>
    <xf numFmtId="179" fontId="22" fillId="0" borderId="0"/>
    <xf numFmtId="178" fontId="22" fillId="0" borderId="0"/>
    <xf numFmtId="171" fontId="22" fillId="0" borderId="27"/>
    <xf numFmtId="179" fontId="22" fillId="0" borderId="3"/>
    <xf numFmtId="171" fontId="22" fillId="0" borderId="28"/>
    <xf numFmtId="178" fontId="22" fillId="0" borderId="10"/>
    <xf numFmtId="10" fontId="22" fillId="0" borderId="0"/>
    <xf numFmtId="244" fontId="23" fillId="0" borderId="0">
      <alignment horizontal="center"/>
    </xf>
    <xf numFmtId="171" fontId="22" fillId="0" borderId="0"/>
    <xf numFmtId="248" fontId="23" fillId="0" borderId="0">
      <alignment horizontal="center" vertical="top"/>
    </xf>
    <xf numFmtId="14" fontId="20" fillId="0" borderId="0">
      <alignment horizontal="center"/>
    </xf>
    <xf numFmtId="4" fontId="55" fillId="0" borderId="0">
      <alignment horizontal="right" vertical="top"/>
    </xf>
    <xf numFmtId="179" fontId="55" fillId="0" borderId="0">
      <alignment horizontal="center" vertical="top"/>
    </xf>
    <xf numFmtId="179" fontId="22" fillId="0" borderId="3">
      <alignment horizontal="right" vertical="top"/>
    </xf>
    <xf numFmtId="177" fontId="22" fillId="0" borderId="3">
      <alignment horizontal="center" vertical="top"/>
    </xf>
    <xf numFmtId="171" fontId="22" fillId="0" borderId="3">
      <alignment horizontal="center" vertical="top"/>
    </xf>
    <xf numFmtId="242" fontId="22" fillId="0" borderId="3">
      <alignment horizontal="center" vertical="top"/>
    </xf>
    <xf numFmtId="243" fontId="22" fillId="0" borderId="3">
      <alignment horizontal="center" vertical="top" wrapText="1"/>
    </xf>
    <xf numFmtId="244" fontId="23" fillId="0" borderId="0">
      <alignment horizontal="center" wrapText="1"/>
    </xf>
    <xf numFmtId="179" fontId="22" fillId="0" borderId="3">
      <alignment horizontal="center" vertical="top"/>
    </xf>
    <xf numFmtId="179" fontId="22" fillId="0" borderId="3">
      <alignment horizontal="left" vertical="top"/>
    </xf>
    <xf numFmtId="179" fontId="22" fillId="0" borderId="3">
      <alignment vertical="top"/>
    </xf>
    <xf numFmtId="171" fontId="22" fillId="0" borderId="3">
      <alignment horizontal="left" vertical="top"/>
    </xf>
    <xf numFmtId="243" fontId="22" fillId="0" borderId="3">
      <alignment horizontal="center" vertical="top"/>
    </xf>
    <xf numFmtId="171" fontId="2" fillId="0" borderId="0">
      <alignment horizontal="center"/>
    </xf>
    <xf numFmtId="179" fontId="23" fillId="0" borderId="24">
      <alignment horizontal="right" vertical="center"/>
    </xf>
    <xf numFmtId="246" fontId="23" fillId="0" borderId="24">
      <alignment horizontal="left"/>
    </xf>
    <xf numFmtId="249" fontId="23" fillId="0" borderId="24">
      <alignment horizontal="left"/>
    </xf>
    <xf numFmtId="177" fontId="23" fillId="0" borderId="24">
      <alignment horizontal="right" vertical="center"/>
    </xf>
    <xf numFmtId="179" fontId="23" fillId="0" borderId="0">
      <alignment horizontal="left"/>
    </xf>
    <xf numFmtId="179" fontId="23" fillId="0" borderId="10">
      <alignment horizontal="right" vertical="center"/>
    </xf>
    <xf numFmtId="246" fontId="23" fillId="0" borderId="10">
      <alignment horizontal="left"/>
    </xf>
    <xf numFmtId="249" fontId="23" fillId="0" borderId="10">
      <alignment horizontal="left"/>
    </xf>
    <xf numFmtId="177" fontId="23" fillId="0" borderId="10">
      <alignment horizontal="right"/>
    </xf>
    <xf numFmtId="250" fontId="23" fillId="0" borderId="28">
      <alignment horizontal="left"/>
    </xf>
    <xf numFmtId="179" fontId="23" fillId="0" borderId="10">
      <alignment horizontal="left" vertical="center"/>
    </xf>
    <xf numFmtId="178" fontId="2" fillId="0" borderId="0">
      <alignment horizontal="center"/>
    </xf>
    <xf numFmtId="171" fontId="2" fillId="14" borderId="0">
      <alignment horizontal="center"/>
    </xf>
    <xf numFmtId="171" fontId="2" fillId="19" borderId="0">
      <alignment horizontal="center"/>
    </xf>
    <xf numFmtId="249" fontId="23" fillId="0" borderId="0">
      <alignment horizontal="left"/>
    </xf>
    <xf numFmtId="176" fontId="20" fillId="0" borderId="0" applyFill="0" applyBorder="0" applyAlignment="0" applyProtection="0"/>
    <xf numFmtId="179" fontId="75" fillId="0" borderId="0">
      <alignment horizontal="center"/>
    </xf>
    <xf numFmtId="179" fontId="23" fillId="0" borderId="0">
      <alignment horizontal="right"/>
    </xf>
    <xf numFmtId="250" fontId="23" fillId="0" borderId="27">
      <alignment horizontal="left"/>
    </xf>
    <xf numFmtId="171" fontId="22" fillId="0" borderId="26">
      <alignment horizontal="center"/>
    </xf>
    <xf numFmtId="179" fontId="23" fillId="0" borderId="3">
      <alignment horizontal="right" vertical="center"/>
    </xf>
    <xf numFmtId="251" fontId="23" fillId="0" borderId="27">
      <alignment horizontal="left"/>
    </xf>
    <xf numFmtId="179" fontId="22" fillId="13" borderId="0"/>
    <xf numFmtId="179" fontId="22" fillId="13" borderId="0">
      <alignment horizontal="center" vertical="top"/>
    </xf>
    <xf numFmtId="179" fontId="22" fillId="0" borderId="10"/>
    <xf numFmtId="179" fontId="22" fillId="13" borderId="0">
      <alignment horizontal="center" vertical="top"/>
    </xf>
    <xf numFmtId="179" fontId="22" fillId="13" borderId="0">
      <alignment horizontal="right" vertical="top"/>
    </xf>
    <xf numFmtId="177" fontId="22" fillId="13" borderId="0">
      <alignment horizontal="center" vertical="top"/>
    </xf>
    <xf numFmtId="177" fontId="23" fillId="0" borderId="0">
      <alignment horizontal="right"/>
    </xf>
    <xf numFmtId="171" fontId="22" fillId="13" borderId="0">
      <alignment horizontal="center" vertical="top"/>
    </xf>
    <xf numFmtId="242" fontId="22" fillId="13" borderId="0">
      <alignment horizontal="center" vertical="top"/>
    </xf>
    <xf numFmtId="243" fontId="22" fillId="13" borderId="0">
      <alignment horizontal="center" vertical="top"/>
    </xf>
    <xf numFmtId="243" fontId="22" fillId="13" borderId="0">
      <alignment horizontal="center" vertical="top" wrapText="1"/>
    </xf>
    <xf numFmtId="179" fontId="22" fillId="13" borderId="0">
      <alignment horizontal="left" vertical="top"/>
    </xf>
    <xf numFmtId="171" fontId="22" fillId="13" borderId="0">
      <alignment horizontal="left" vertical="top"/>
    </xf>
    <xf numFmtId="171" fontId="22" fillId="13" borderId="0"/>
    <xf numFmtId="179" fontId="22" fillId="14" borderId="0">
      <alignment horizontal="center" vertical="top"/>
    </xf>
    <xf numFmtId="179" fontId="22" fillId="14" borderId="0">
      <alignment horizontal="right" vertical="top"/>
    </xf>
    <xf numFmtId="177" fontId="22" fillId="14" borderId="0">
      <alignment horizontal="center" vertical="top"/>
    </xf>
    <xf numFmtId="179" fontId="22" fillId="0" borderId="0">
      <alignment horizontal="right"/>
    </xf>
    <xf numFmtId="171" fontId="22" fillId="14" borderId="0">
      <alignment horizontal="center" vertical="top"/>
    </xf>
    <xf numFmtId="242" fontId="22" fillId="14" borderId="0">
      <alignment horizontal="center" vertical="top"/>
    </xf>
    <xf numFmtId="243" fontId="22" fillId="14" borderId="0">
      <alignment horizontal="center" vertical="top"/>
    </xf>
    <xf numFmtId="243" fontId="22" fillId="14" borderId="0">
      <alignment horizontal="center" vertical="top" wrapText="1"/>
    </xf>
    <xf numFmtId="179" fontId="22" fillId="14" borderId="0">
      <alignment horizontal="center" vertical="top"/>
    </xf>
    <xf numFmtId="179" fontId="22" fillId="14" borderId="0">
      <alignment horizontal="left" vertical="top"/>
    </xf>
    <xf numFmtId="179" fontId="22" fillId="14" borderId="0"/>
    <xf numFmtId="171" fontId="22" fillId="14" borderId="0">
      <alignment horizontal="left" vertical="top"/>
    </xf>
    <xf numFmtId="242" fontId="22" fillId="14" borderId="0">
      <alignment horizontal="center" vertical="top"/>
    </xf>
    <xf numFmtId="243" fontId="75" fillId="14" borderId="0">
      <alignment horizontal="center" wrapText="1"/>
    </xf>
    <xf numFmtId="179" fontId="22" fillId="0" borderId="0"/>
    <xf numFmtId="179" fontId="22" fillId="14" borderId="0">
      <alignment horizontal="left" vertical="top"/>
    </xf>
    <xf numFmtId="179" fontId="22" fillId="14" borderId="0">
      <alignment horizontal="right"/>
    </xf>
    <xf numFmtId="179" fontId="22" fillId="14" borderId="0">
      <alignment horizontal="right"/>
    </xf>
    <xf numFmtId="4" fontId="55" fillId="14" borderId="0">
      <alignment horizontal="right" vertical="top"/>
    </xf>
    <xf numFmtId="171" fontId="22" fillId="14" borderId="0">
      <alignment horizontal="center" vertical="top"/>
    </xf>
    <xf numFmtId="243" fontId="22" fillId="14" borderId="0">
      <alignment horizontal="center" vertical="top" wrapText="1"/>
    </xf>
    <xf numFmtId="171" fontId="22" fillId="14" borderId="0">
      <alignment horizontal="left" vertical="top"/>
    </xf>
    <xf numFmtId="179" fontId="23" fillId="6" borderId="9">
      <alignment horizontal="right" wrapText="1"/>
    </xf>
    <xf numFmtId="179" fontId="23" fillId="6" borderId="9">
      <alignment horizontal="center" wrapText="1"/>
    </xf>
    <xf numFmtId="177" fontId="23" fillId="6" borderId="9">
      <alignment horizontal="right" wrapText="1"/>
    </xf>
    <xf numFmtId="171" fontId="23" fillId="6" borderId="9">
      <alignment horizontal="center" wrapText="1"/>
    </xf>
    <xf numFmtId="242" fontId="23" fillId="6" borderId="9">
      <alignment horizontal="center" wrapText="1"/>
    </xf>
    <xf numFmtId="242" fontId="23" fillId="6" borderId="9">
      <alignment horizontal="center" wrapText="1"/>
    </xf>
    <xf numFmtId="214" fontId="24" fillId="0" borderId="0">
      <alignment horizontal="left" vertical="center" wrapText="1"/>
    </xf>
    <xf numFmtId="179" fontId="22" fillId="0" borderId="0">
      <alignment horizontal="right"/>
    </xf>
    <xf numFmtId="179" fontId="22" fillId="0" borderId="0"/>
    <xf numFmtId="177" fontId="22" fillId="0" borderId="0">
      <alignment horizontal="right"/>
    </xf>
    <xf numFmtId="171" fontId="22" fillId="0" borderId="0">
      <alignment horizontal="center"/>
    </xf>
    <xf numFmtId="242" fontId="22" fillId="0" borderId="0"/>
    <xf numFmtId="242" fontId="22" fillId="0" borderId="0">
      <alignment wrapText="1"/>
    </xf>
    <xf numFmtId="177" fontId="22" fillId="0" borderId="0">
      <alignment horizontal="center" vertical="top"/>
    </xf>
    <xf numFmtId="179" fontId="22" fillId="0" borderId="0">
      <alignment horizontal="center" vertical="top"/>
    </xf>
    <xf numFmtId="179" fontId="22" fillId="0" borderId="0">
      <alignment horizontal="center" vertical="top"/>
    </xf>
    <xf numFmtId="179" fontId="22" fillId="0" borderId="0">
      <alignment horizontal="left" vertical="top"/>
    </xf>
    <xf numFmtId="179" fontId="22" fillId="0" borderId="0">
      <alignment horizontal="right" vertical="center" wrapText="1"/>
    </xf>
    <xf numFmtId="179" fontId="22" fillId="0" borderId="0">
      <alignment horizontal="right" vertical="top"/>
    </xf>
    <xf numFmtId="177" fontId="22" fillId="0" borderId="0">
      <alignment horizontal="center" vertical="top"/>
    </xf>
    <xf numFmtId="177" fontId="75" fillId="0" borderId="0">
      <alignment horizontal="right"/>
    </xf>
    <xf numFmtId="171" fontId="75" fillId="0" borderId="0">
      <alignment horizontal="center"/>
    </xf>
    <xf numFmtId="242" fontId="75" fillId="0" borderId="0"/>
    <xf numFmtId="243" fontId="75" fillId="0" borderId="0">
      <alignment horizontal="center"/>
    </xf>
    <xf numFmtId="243" fontId="75" fillId="0" borderId="0">
      <alignment horizontal="center" wrapText="1"/>
    </xf>
    <xf numFmtId="242" fontId="75" fillId="0" borderId="0">
      <alignment wrapText="1"/>
    </xf>
    <xf numFmtId="171" fontId="55" fillId="0" borderId="0">
      <alignment horizontal="center"/>
    </xf>
    <xf numFmtId="171" fontId="55" fillId="0" borderId="0"/>
    <xf numFmtId="179" fontId="22" fillId="0" borderId="0">
      <alignment horizontal="center" vertical="center" wrapText="1"/>
    </xf>
    <xf numFmtId="171" fontId="55" fillId="0" borderId="17">
      <alignment horizontal="center" vertical="center"/>
    </xf>
    <xf numFmtId="171" fontId="55" fillId="0" borderId="12">
      <alignment horizontal="center" vertical="center"/>
    </xf>
    <xf numFmtId="171" fontId="79" fillId="0" borderId="12">
      <alignment horizontal="center" vertical="center"/>
    </xf>
    <xf numFmtId="171" fontId="79" fillId="0" borderId="13">
      <alignment horizontal="center"/>
    </xf>
    <xf numFmtId="171" fontId="79" fillId="0" borderId="0">
      <alignment horizontal="center"/>
    </xf>
    <xf numFmtId="2" fontId="79" fillId="0" borderId="0">
      <alignment horizontal="center"/>
    </xf>
    <xf numFmtId="171" fontId="79" fillId="0" borderId="14">
      <alignment horizontal="center"/>
    </xf>
    <xf numFmtId="171" fontId="79" fillId="0" borderId="0">
      <alignment horizontal="center"/>
    </xf>
    <xf numFmtId="179" fontId="79" fillId="0" borderId="0">
      <alignment horizontal="center" wrapText="1"/>
    </xf>
    <xf numFmtId="179" fontId="79" fillId="0" borderId="3">
      <alignment horizontal="center" wrapText="1"/>
    </xf>
    <xf numFmtId="177" fontId="22" fillId="0" borderId="0">
      <alignment horizontal="right" vertical="center" wrapText="1"/>
    </xf>
    <xf numFmtId="172" fontId="79" fillId="0" borderId="3">
      <alignment horizontal="center" wrapText="1"/>
    </xf>
    <xf numFmtId="171" fontId="87" fillId="0" borderId="0">
      <alignment horizontal="left"/>
    </xf>
    <xf numFmtId="171" fontId="79" fillId="0" borderId="0">
      <alignment horizontal="center" wrapText="1"/>
    </xf>
    <xf numFmtId="171" fontId="79" fillId="0" borderId="0">
      <alignment wrapText="1"/>
    </xf>
    <xf numFmtId="171" fontId="79" fillId="6" borderId="9">
      <alignment horizontal="right" wrapText="1"/>
    </xf>
    <xf numFmtId="171" fontId="79" fillId="6" borderId="9">
      <alignment horizontal="center" wrapText="1"/>
    </xf>
    <xf numFmtId="179" fontId="2" fillId="0" borderId="0"/>
    <xf numFmtId="179" fontId="2" fillId="0" borderId="0">
      <alignment horizontal="center"/>
    </xf>
    <xf numFmtId="179" fontId="2" fillId="0" borderId="0">
      <alignment horizontal="left"/>
    </xf>
    <xf numFmtId="179" fontId="2" fillId="0" borderId="0">
      <alignment horizontal="center"/>
    </xf>
    <xf numFmtId="171" fontId="23" fillId="0" borderId="0">
      <alignment horizontal="center" vertical="center" wrapText="1"/>
    </xf>
    <xf numFmtId="179" fontId="20" fillId="0" borderId="0">
      <alignment horizontal="center"/>
    </xf>
    <xf numFmtId="179" fontId="2" fillId="0" borderId="0"/>
    <xf numFmtId="179" fontId="80" fillId="0" borderId="0">
      <alignment horizontal="left" vertical="center"/>
    </xf>
    <xf numFmtId="179" fontId="23" fillId="0" borderId="27"/>
    <xf numFmtId="179" fontId="23" fillId="0" borderId="0"/>
    <xf numFmtId="171" fontId="23" fillId="0" borderId="0"/>
    <xf numFmtId="171" fontId="23" fillId="0" borderId="0">
      <alignment horizontal="center"/>
    </xf>
    <xf numFmtId="179" fontId="23" fillId="0" borderId="0">
      <alignment horizontal="center"/>
    </xf>
    <xf numFmtId="179" fontId="23" fillId="6" borderId="24">
      <alignment horizontal="center"/>
    </xf>
    <xf numFmtId="49" fontId="22" fillId="0" borderId="0">
      <alignment horizontal="left"/>
    </xf>
    <xf numFmtId="242" fontId="23" fillId="0" borderId="0">
      <alignment horizontal="center" vertical="center" wrapText="1"/>
    </xf>
    <xf numFmtId="49" fontId="22" fillId="0" borderId="13">
      <alignment horizontal="left"/>
    </xf>
    <xf numFmtId="49" fontId="22" fillId="0" borderId="15">
      <alignment horizontal="left"/>
    </xf>
    <xf numFmtId="179" fontId="77" fillId="0" borderId="14"/>
    <xf numFmtId="49" fontId="22" fillId="0" borderId="14">
      <alignment horizontal="left"/>
    </xf>
    <xf numFmtId="179" fontId="2" fillId="0" borderId="0">
      <alignment horizontal="center"/>
    </xf>
    <xf numFmtId="179" fontId="2" fillId="0" borderId="0"/>
    <xf numFmtId="179" fontId="2" fillId="0" borderId="0"/>
    <xf numFmtId="179" fontId="20" fillId="0" borderId="0">
      <alignment horizontal="right"/>
    </xf>
    <xf numFmtId="179" fontId="20" fillId="0" borderId="0">
      <alignment horizontal="center"/>
    </xf>
    <xf numFmtId="179" fontId="20" fillId="0" borderId="3"/>
    <xf numFmtId="179" fontId="23" fillId="0" borderId="0">
      <alignment horizontal="left" vertical="center" wrapText="1"/>
    </xf>
    <xf numFmtId="179" fontId="20" fillId="0" borderId="3">
      <alignment horizontal="center"/>
    </xf>
    <xf numFmtId="179" fontId="20" fillId="0" borderId="3">
      <alignment horizontal="center" wrapText="1"/>
    </xf>
    <xf numFmtId="179" fontId="20" fillId="0" borderId="0"/>
    <xf numFmtId="179" fontId="20" fillId="0" borderId="3">
      <alignment horizontal="center" wrapText="1"/>
    </xf>
    <xf numFmtId="179" fontId="20" fillId="0" borderId="0">
      <alignment horizontal="center"/>
    </xf>
    <xf numFmtId="179" fontId="20" fillId="0" borderId="3">
      <alignment horizontal="center"/>
    </xf>
    <xf numFmtId="179" fontId="20" fillId="0" borderId="0"/>
    <xf numFmtId="179" fontId="20" fillId="0" borderId="3">
      <alignment horizontal="left" wrapText="1"/>
    </xf>
    <xf numFmtId="243" fontId="2" fillId="0" borderId="0">
      <alignment horizontal="center"/>
    </xf>
    <xf numFmtId="243" fontId="2" fillId="0" borderId="0">
      <alignment horizontal="left"/>
    </xf>
    <xf numFmtId="0" fontId="88" fillId="0" borderId="0"/>
    <xf numFmtId="10" fontId="6" fillId="0" borderId="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0" fontId="26" fillId="0" borderId="0" applyFill="0" applyBorder="0" applyAlignment="0"/>
    <xf numFmtId="234" fontId="6" fillId="0" borderId="0"/>
    <xf numFmtId="0" fontId="89" fillId="6" borderId="0"/>
    <xf numFmtId="0" fontId="54" fillId="0" borderId="0" applyNumberFormat="0" applyFont="0" applyFill="0" applyBorder="0" applyAlignment="0" applyProtection="0">
      <alignment horizontal="left"/>
    </xf>
    <xf numFmtId="15" fontId="54" fillId="0" borderId="0" applyFont="0" applyFill="0" applyBorder="0" applyAlignment="0" applyProtection="0"/>
    <xf numFmtId="4" fontId="54" fillId="0" borderId="0" applyFont="0" applyFill="0" applyBorder="0" applyAlignment="0" applyProtection="0"/>
    <xf numFmtId="0" fontId="90" fillId="0" borderId="10">
      <alignment horizontal="center"/>
    </xf>
    <xf numFmtId="3" fontId="54" fillId="0" borderId="0" applyFont="0" applyFill="0" applyBorder="0" applyAlignment="0" applyProtection="0"/>
    <xf numFmtId="0" fontId="54" fillId="20" borderId="0" applyNumberFormat="0" applyFont="0" applyBorder="0" applyAlignment="0" applyProtection="0"/>
    <xf numFmtId="0" fontId="22" fillId="0" borderId="0">
      <alignment vertical="top"/>
    </xf>
    <xf numFmtId="0" fontId="22" fillId="0" borderId="0">
      <alignment vertical="top"/>
    </xf>
    <xf numFmtId="0" fontId="22" fillId="0" borderId="0">
      <alignment vertical="top"/>
    </xf>
    <xf numFmtId="0" fontId="22" fillId="0" borderId="0">
      <alignment vertical="top"/>
    </xf>
    <xf numFmtId="252" fontId="91" fillId="0" borderId="0"/>
    <xf numFmtId="0" fontId="6" fillId="0" borderId="0" applyFont="0" applyFill="0" applyBorder="0" applyProtection="0">
      <alignment horizontal="right"/>
    </xf>
    <xf numFmtId="0" fontId="6" fillId="0" borderId="0" applyFont="0" applyFill="0" applyBorder="0" applyProtection="0">
      <alignment horizontal="right"/>
    </xf>
    <xf numFmtId="0" fontId="6" fillId="0" borderId="0" applyFont="0" applyFill="0" applyBorder="0" applyProtection="0">
      <alignment horizontal="right"/>
    </xf>
    <xf numFmtId="0" fontId="92" fillId="21" borderId="0" applyNumberFormat="0" applyFont="0" applyBorder="0" applyAlignment="0">
      <alignment horizontal="center"/>
    </xf>
    <xf numFmtId="14" fontId="41" fillId="0" borderId="0" applyNumberFormat="0" applyFill="0" applyBorder="0" applyAlignment="0" applyProtection="0">
      <alignment horizontal="left"/>
    </xf>
    <xf numFmtId="49" fontId="2" fillId="0" borderId="0" applyFont="0" applyFill="0" applyBorder="0" applyProtection="0">
      <alignment horizontal="right"/>
    </xf>
    <xf numFmtId="49" fontId="20" fillId="0" borderId="0" applyFill="0" applyBorder="0" applyProtection="0">
      <alignment horizontal="right"/>
    </xf>
    <xf numFmtId="49" fontId="20" fillId="0" borderId="3" applyFill="0" applyProtection="0">
      <alignment horizontal="right"/>
    </xf>
    <xf numFmtId="49" fontId="20" fillId="0" borderId="12" applyFill="0" applyProtection="0">
      <alignment horizontal="right"/>
    </xf>
    <xf numFmtId="0" fontId="64" fillId="0" borderId="0" applyFill="0" applyBorder="0" applyProtection="0">
      <alignment horizontal="left"/>
    </xf>
    <xf numFmtId="0" fontId="13" fillId="22" borderId="0"/>
    <xf numFmtId="0" fontId="92" fillId="1" borderId="8" applyNumberFormat="0" applyFont="0" applyAlignment="0">
      <alignment horizontal="center"/>
    </xf>
    <xf numFmtId="253" fontId="93" fillId="0" borderId="0" applyFont="0" applyFill="0" applyBorder="0" applyAlignment="0" applyProtection="0"/>
    <xf numFmtId="1" fontId="6" fillId="0" borderId="0"/>
    <xf numFmtId="0" fontId="2" fillId="0" borderId="0" applyFont="0" applyFill="0" applyBorder="0" applyAlignment="0" applyProtection="0"/>
    <xf numFmtId="0" fontId="20" fillId="0" borderId="0" applyFill="0" applyBorder="0" applyAlignment="0" applyProtection="0"/>
    <xf numFmtId="168" fontId="21" fillId="0" borderId="0" applyFill="0" applyBorder="0" applyAlignment="0" applyProtection="0"/>
    <xf numFmtId="0" fontId="94" fillId="0" borderId="0" applyNumberFormat="0" applyFill="0" applyBorder="0" applyAlignment="0">
      <alignment horizontal="center"/>
    </xf>
    <xf numFmtId="12" fontId="6" fillId="0" borderId="0" applyFont="0" applyFill="0" applyBorder="0" applyProtection="0">
      <alignment horizontal="right"/>
    </xf>
    <xf numFmtId="0" fontId="6" fillId="23" borderId="0" applyFont="0" applyFill="0" applyBorder="0" applyProtection="0">
      <alignment horizontal="right"/>
    </xf>
    <xf numFmtId="0" fontId="4" fillId="0" borderId="0">
      <alignment vertical="top"/>
    </xf>
    <xf numFmtId="0" fontId="79" fillId="0" borderId="0" applyNumberFormat="0" applyFill="0" applyBorder="0" applyProtection="0">
      <alignment horizontal="left"/>
    </xf>
    <xf numFmtId="0" fontId="22" fillId="0" borderId="0" applyNumberFormat="0" applyFill="0" applyBorder="0" applyProtection="0">
      <alignment horizontal="left"/>
    </xf>
    <xf numFmtId="0" fontId="22" fillId="0" borderId="0" applyNumberFormat="0" applyFill="0" applyBorder="0" applyProtection="0">
      <alignment horizontal="left"/>
    </xf>
    <xf numFmtId="0" fontId="23" fillId="0" borderId="0" applyNumberFormat="0" applyFill="0" applyBorder="0" applyProtection="0">
      <alignment horizontal="left"/>
    </xf>
    <xf numFmtId="0" fontId="23" fillId="0" borderId="0" applyFill="0" applyBorder="0" applyProtection="0">
      <alignment horizontal="left" wrapText="1"/>
    </xf>
    <xf numFmtId="0" fontId="23" fillId="0" borderId="0" applyNumberFormat="0" applyFill="0" applyBorder="0" applyProtection="0">
      <alignment horizontal="right" wrapText="1"/>
    </xf>
    <xf numFmtId="1" fontId="22" fillId="0" borderId="0" applyFill="0" applyBorder="0" applyProtection="0">
      <alignment horizontal="left"/>
    </xf>
    <xf numFmtId="49" fontId="22" fillId="0" borderId="0" applyFill="0" applyBorder="0" applyProtection="0">
      <alignment horizontal="left"/>
    </xf>
    <xf numFmtId="1" fontId="22" fillId="0" borderId="0" applyFill="0" applyBorder="0" applyProtection="0">
      <alignment horizontal="center"/>
    </xf>
    <xf numFmtId="37" fontId="22" fillId="0" borderId="0" applyFill="0" applyBorder="0" applyProtection="0">
      <alignment horizontal="right"/>
    </xf>
    <xf numFmtId="166" fontId="22" fillId="0" borderId="0" applyFill="0" applyBorder="0" applyProtection="0">
      <alignment horizontal="right"/>
    </xf>
    <xf numFmtId="254" fontId="22" fillId="0" borderId="0" applyFill="0" applyBorder="0" applyProtection="0">
      <alignment horizontal="left"/>
    </xf>
    <xf numFmtId="37" fontId="23" fillId="0" borderId="0" applyFill="0" applyBorder="0" applyProtection="0">
      <alignment horizontal="right"/>
    </xf>
    <xf numFmtId="166" fontId="23" fillId="0" borderId="0" applyFill="0" applyBorder="0" applyProtection="0">
      <alignment horizontal="right"/>
    </xf>
    <xf numFmtId="255" fontId="22" fillId="0" borderId="0" applyFill="0" applyBorder="0" applyProtection="0">
      <alignment horizontal="right"/>
    </xf>
    <xf numFmtId="256" fontId="22" fillId="0" borderId="0" applyFill="0" applyBorder="0" applyProtection="0">
      <alignment horizontal="right"/>
    </xf>
    <xf numFmtId="257" fontId="22" fillId="0" borderId="0" applyFill="0" applyBorder="0" applyProtection="0">
      <alignment horizontal="right"/>
    </xf>
    <xf numFmtId="14" fontId="22" fillId="0" borderId="0" applyFill="0" applyBorder="0" applyProtection="0">
      <alignment horizontal="right"/>
    </xf>
    <xf numFmtId="14" fontId="22" fillId="0" borderId="0" applyFill="0" applyBorder="0" applyProtection="0">
      <alignment horizontal="right"/>
    </xf>
    <xf numFmtId="258" fontId="22" fillId="0" borderId="0" applyFill="0" applyBorder="0" applyProtection="0">
      <alignment horizontal="left"/>
    </xf>
    <xf numFmtId="259" fontId="22" fillId="0" borderId="0" applyFill="0" applyBorder="0" applyProtection="0">
      <alignment horizontal="left"/>
    </xf>
    <xf numFmtId="255" fontId="23" fillId="0" borderId="0" applyFill="0" applyBorder="0" applyProtection="0">
      <alignment horizontal="right"/>
    </xf>
    <xf numFmtId="1" fontId="23" fillId="0" borderId="0" applyFill="0" applyBorder="0" applyProtection="0">
      <alignment horizontal="left"/>
    </xf>
    <xf numFmtId="254" fontId="23" fillId="0" borderId="0" applyFill="0" applyBorder="0" applyProtection="0">
      <alignment horizontal="left"/>
    </xf>
    <xf numFmtId="37" fontId="23" fillId="0" borderId="0" applyFill="0" applyBorder="0" applyProtection="0">
      <alignment horizontal="right"/>
    </xf>
    <xf numFmtId="1" fontId="95" fillId="0" borderId="0" applyFill="0" applyBorder="0" applyProtection="0">
      <alignment horizontal="left"/>
    </xf>
    <xf numFmtId="49" fontId="22" fillId="0" borderId="0" applyFill="0" applyBorder="0" applyProtection="0">
      <alignment horizontal="left"/>
    </xf>
    <xf numFmtId="259" fontId="22" fillId="0" borderId="0" applyFill="0" applyBorder="0" applyProtection="0">
      <alignment horizontal="left"/>
    </xf>
    <xf numFmtId="0" fontId="4" fillId="0" borderId="0" applyNumberFormat="0" applyBorder="0" applyAlignment="0"/>
    <xf numFmtId="0" fontId="14" fillId="0" borderId="0"/>
    <xf numFmtId="40" fontId="96" fillId="0" borderId="0" applyBorder="0">
      <alignment horizontal="right"/>
    </xf>
    <xf numFmtId="165" fontId="70" fillId="0" borderId="36" applyFill="0">
      <alignment vertical="center"/>
    </xf>
    <xf numFmtId="0" fontId="15" fillId="0" borderId="0"/>
    <xf numFmtId="0" fontId="97" fillId="0" borderId="0"/>
    <xf numFmtId="0" fontId="2" fillId="0" borderId="0"/>
    <xf numFmtId="49" fontId="4" fillId="0" borderId="0" applyFill="0" applyBorder="0" applyAlignment="0"/>
    <xf numFmtId="0" fontId="26" fillId="0" borderId="0" applyFill="0" applyBorder="0" applyAlignment="0"/>
    <xf numFmtId="208" fontId="6" fillId="0" borderId="0" applyFill="0" applyBorder="0" applyAlignment="0"/>
    <xf numFmtId="0" fontId="16" fillId="0" borderId="0"/>
    <xf numFmtId="0" fontId="17" fillId="0" borderId="0"/>
    <xf numFmtId="0" fontId="18" fillId="0" borderId="0">
      <alignment vertical="top"/>
    </xf>
    <xf numFmtId="260" fontId="70" fillId="0" borderId="0" applyFill="0" applyBorder="0">
      <alignment vertical="center"/>
    </xf>
    <xf numFmtId="0" fontId="22" fillId="0" borderId="0" applyNumberFormat="0" applyFill="0" applyBorder="0" applyAlignment="0" applyProtection="0"/>
    <xf numFmtId="0" fontId="5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38" fontId="98" fillId="0" borderId="0" applyNumberFormat="0" applyFill="0" applyBorder="0">
      <alignment horizontal="left" vertical="center"/>
    </xf>
    <xf numFmtId="38" fontId="99" fillId="0" borderId="0" applyNumberFormat="0" applyFill="0" applyBorder="0">
      <alignment horizontal="centerContinuous" vertical="center"/>
    </xf>
    <xf numFmtId="0" fontId="19" fillId="0" borderId="0">
      <alignment vertical="top"/>
    </xf>
    <xf numFmtId="0" fontId="100" fillId="0" borderId="0" applyNumberFormat="0" applyFill="0" applyBorder="0" applyAlignment="0" applyProtection="0"/>
    <xf numFmtId="0" fontId="6" fillId="0" borderId="0" applyNumberFormat="0" applyFill="0" applyBorder="0" applyAlignment="0" applyProtection="0"/>
    <xf numFmtId="0" fontId="25" fillId="0" borderId="0" applyFill="0" applyBorder="0" applyAlignment="0" applyProtection="0"/>
    <xf numFmtId="0" fontId="16" fillId="0" borderId="0">
      <alignment wrapText="1"/>
    </xf>
    <xf numFmtId="0" fontId="101" fillId="0" borderId="0">
      <alignment horizontal="left"/>
      <protection locked="0"/>
    </xf>
    <xf numFmtId="164" fontId="86" fillId="0" borderId="0">
      <alignment vertical="center"/>
    </xf>
    <xf numFmtId="230" fontId="26" fillId="0" borderId="0"/>
    <xf numFmtId="261" fontId="27" fillId="0" borderId="0" applyFill="0" applyBorder="0" applyAlignment="0" applyProtection="0"/>
    <xf numFmtId="14" fontId="22" fillId="0" borderId="0" applyFont="0" applyFill="0" applyBorder="0" applyProtection="0"/>
    <xf numFmtId="262" fontId="102" fillId="0" borderId="0" applyFill="0" applyBorder="0">
      <alignment vertical="center"/>
    </xf>
    <xf numFmtId="0" fontId="70" fillId="24" borderId="37" applyNumberFormat="0" applyFont="0" applyBorder="0" applyAlignment="0" applyProtection="0">
      <alignment horizontal="right"/>
    </xf>
    <xf numFmtId="263" fontId="21" fillId="0" borderId="0" applyFont="0" applyFill="0" applyBorder="0" applyAlignment="0" applyProtection="0"/>
    <xf numFmtId="262" fontId="103" fillId="0" borderId="0">
      <alignment horizontal="center"/>
    </xf>
    <xf numFmtId="171" fontId="6" fillId="0" borderId="0" applyFont="0" applyFill="0" applyBorder="0" applyAlignment="0" applyProtection="0"/>
    <xf numFmtId="169" fontId="6" fillId="0" borderId="0" applyFont="0" applyFill="0" applyBorder="0" applyAlignment="0" applyProtection="0"/>
    <xf numFmtId="0" fontId="6" fillId="0" borderId="0"/>
    <xf numFmtId="170" fontId="6" fillId="0" borderId="0" applyFont="0" applyFill="0" applyBorder="0" applyAlignment="0" applyProtection="0"/>
    <xf numFmtId="168" fontId="6" fillId="0" borderId="0" applyFont="0" applyFill="0" applyBorder="0" applyAlignment="0" applyProtection="0"/>
  </cellStyleXfs>
  <cellXfs count="504">
    <xf numFmtId="0" fontId="0" fillId="0" borderId="0" xfId="0"/>
    <xf numFmtId="0" fontId="110" fillId="0" borderId="0" xfId="0" applyFont="1"/>
    <xf numFmtId="0" fontId="111" fillId="0" borderId="0" xfId="0" applyFont="1"/>
    <xf numFmtId="0" fontId="112" fillId="0" borderId="0" xfId="0" applyFont="1"/>
    <xf numFmtId="172" fontId="113" fillId="0" borderId="0" xfId="0" applyNumberFormat="1" applyFont="1"/>
    <xf numFmtId="0" fontId="114" fillId="0" borderId="0" xfId="0" applyFont="1"/>
    <xf numFmtId="172" fontId="110" fillId="0" borderId="0" xfId="0" applyNumberFormat="1" applyFont="1"/>
    <xf numFmtId="0" fontId="110" fillId="0" borderId="0" xfId="0" applyFont="1" applyAlignment="1">
      <alignment horizontal="left"/>
    </xf>
    <xf numFmtId="172" fontId="114" fillId="0" borderId="0" xfId="0" applyNumberFormat="1" applyFont="1"/>
    <xf numFmtId="174" fontId="110" fillId="0" borderId="0" xfId="0" applyNumberFormat="1" applyFont="1"/>
    <xf numFmtId="0" fontId="114" fillId="26" borderId="0" xfId="0" applyFont="1" applyFill="1"/>
    <xf numFmtId="175" fontId="114" fillId="26" borderId="0" xfId="0" applyNumberFormat="1" applyFont="1" applyFill="1" applyAlignment="1">
      <alignment horizontal="centerContinuous"/>
    </xf>
    <xf numFmtId="175" fontId="114" fillId="26" borderId="0" xfId="0" applyNumberFormat="1" applyFont="1" applyFill="1" applyAlignment="1">
      <alignment horizontal="center"/>
    </xf>
    <xf numFmtId="0" fontId="114" fillId="0" borderId="0" xfId="0" applyFont="1" applyAlignment="1">
      <alignment horizontal="left"/>
    </xf>
    <xf numFmtId="0" fontId="114" fillId="26" borderId="3" xfId="0" applyFont="1" applyFill="1" applyBorder="1"/>
    <xf numFmtId="0" fontId="110" fillId="26" borderId="3" xfId="0" applyFont="1" applyFill="1" applyBorder="1"/>
    <xf numFmtId="0" fontId="114" fillId="0" borderId="3" xfId="0" applyFont="1" applyBorder="1"/>
    <xf numFmtId="0" fontId="117" fillId="27" borderId="0" xfId="0" applyFont="1" applyFill="1" applyAlignment="1">
      <alignment horizontal="left" indent="1"/>
    </xf>
    <xf numFmtId="176" fontId="118" fillId="27" borderId="0" xfId="544" applyNumberFormat="1" applyFont="1" applyFill="1"/>
    <xf numFmtId="0" fontId="117" fillId="27" borderId="0" xfId="0" applyFont="1" applyFill="1"/>
    <xf numFmtId="0" fontId="117" fillId="27" borderId="0" xfId="0" applyFont="1" applyFill="1" applyAlignment="1">
      <alignment horizontal="left"/>
    </xf>
    <xf numFmtId="171" fontId="112" fillId="0" borderId="0" xfId="162" applyFont="1" applyFill="1" applyBorder="1" applyAlignment="1">
      <alignment horizontal="center"/>
    </xf>
    <xf numFmtId="37" fontId="110" fillId="0" borderId="0" xfId="0" applyNumberFormat="1" applyFont="1"/>
    <xf numFmtId="0" fontId="114" fillId="0" borderId="39" xfId="0" applyFont="1" applyBorder="1"/>
    <xf numFmtId="172" fontId="112" fillId="0" borderId="0" xfId="0" applyNumberFormat="1" applyFont="1"/>
    <xf numFmtId="0" fontId="117" fillId="0" borderId="0" xfId="0" applyFont="1"/>
    <xf numFmtId="176" fontId="117" fillId="27" borderId="0" xfId="544" applyNumberFormat="1" applyFont="1" applyFill="1"/>
    <xf numFmtId="264" fontId="110" fillId="0" borderId="0" xfId="0" applyNumberFormat="1" applyFont="1"/>
    <xf numFmtId="176" fontId="117" fillId="27" borderId="0" xfId="544" applyNumberFormat="1" applyFont="1" applyFill="1" applyBorder="1"/>
    <xf numFmtId="173" fontId="114" fillId="0" borderId="0" xfId="0" applyNumberFormat="1" applyFont="1"/>
    <xf numFmtId="172" fontId="119" fillId="0" borderId="0" xfId="0" applyNumberFormat="1" applyFont="1"/>
    <xf numFmtId="172" fontId="120" fillId="0" borderId="0" xfId="0" applyNumberFormat="1" applyFont="1"/>
    <xf numFmtId="176" fontId="117" fillId="27" borderId="0" xfId="0" applyNumberFormat="1" applyFont="1" applyFill="1"/>
    <xf numFmtId="175" fontId="114" fillId="26" borderId="3" xfId="0" applyNumberFormat="1" applyFont="1" applyFill="1" applyBorder="1" applyAlignment="1">
      <alignment horizontal="centerContinuous"/>
    </xf>
    <xf numFmtId="172" fontId="116" fillId="0" borderId="0" xfId="0" applyNumberFormat="1" applyFont="1"/>
    <xf numFmtId="265" fontId="114" fillId="0" borderId="0" xfId="0" applyNumberFormat="1" applyFont="1" applyAlignment="1">
      <alignment horizontal="right"/>
    </xf>
    <xf numFmtId="265" fontId="110" fillId="0" borderId="0" xfId="0" applyNumberFormat="1" applyFont="1" applyAlignment="1">
      <alignment horizontal="right"/>
    </xf>
    <xf numFmtId="9" fontId="117" fillId="27" borderId="0" xfId="544" applyFont="1" applyFill="1" applyAlignment="1">
      <alignment horizontal="right"/>
    </xf>
    <xf numFmtId="37" fontId="110" fillId="0" borderId="0" xfId="0" applyNumberFormat="1" applyFont="1" applyAlignment="1">
      <alignment horizontal="right"/>
    </xf>
    <xf numFmtId="176" fontId="117" fillId="0" borderId="0" xfId="544" applyNumberFormat="1" applyFont="1" applyFill="1" applyBorder="1"/>
    <xf numFmtId="172" fontId="114" fillId="0" borderId="0" xfId="0" applyNumberFormat="1" applyFont="1" applyAlignment="1">
      <alignment horizontal="right"/>
    </xf>
    <xf numFmtId="9" fontId="110" fillId="0" borderId="0" xfId="544" applyFont="1"/>
    <xf numFmtId="9" fontId="110" fillId="0" borderId="0" xfId="544" applyFont="1" applyFill="1"/>
    <xf numFmtId="0" fontId="110" fillId="0" borderId="7" xfId="0" applyFont="1" applyBorder="1"/>
    <xf numFmtId="175" fontId="114" fillId="0" borderId="0" xfId="0" applyNumberFormat="1" applyFont="1" applyAlignment="1">
      <alignment horizontal="centerContinuous"/>
    </xf>
    <xf numFmtId="179" fontId="110" fillId="0" borderId="0" xfId="162" applyNumberFormat="1" applyFont="1" applyFill="1" applyBorder="1"/>
    <xf numFmtId="176" fontId="118" fillId="27" borderId="0" xfId="544" applyNumberFormat="1" applyFont="1" applyFill="1" applyBorder="1"/>
    <xf numFmtId="176" fontId="121" fillId="27" borderId="0" xfId="544" applyNumberFormat="1" applyFont="1" applyFill="1"/>
    <xf numFmtId="176" fontId="117" fillId="0" borderId="0" xfId="544" applyNumberFormat="1" applyFont="1" applyFill="1"/>
    <xf numFmtId="172" fontId="114" fillId="0" borderId="39" xfId="0" applyNumberFormat="1" applyFont="1" applyBorder="1"/>
    <xf numFmtId="266" fontId="110" fillId="0" borderId="0" xfId="0" applyNumberFormat="1" applyFont="1"/>
    <xf numFmtId="266" fontId="114" fillId="0" borderId="39" xfId="0" applyNumberFormat="1" applyFont="1" applyBorder="1"/>
    <xf numFmtId="0" fontId="117" fillId="0" borderId="0" xfId="0" applyFont="1" applyAlignment="1">
      <alignment horizontal="left" indent="1"/>
    </xf>
    <xf numFmtId="176" fontId="118" fillId="0" borderId="0" xfId="544" applyNumberFormat="1" applyFont="1" applyFill="1"/>
    <xf numFmtId="0" fontId="114" fillId="0" borderId="7" xfId="0" applyFont="1" applyBorder="1"/>
    <xf numFmtId="176" fontId="117" fillId="27" borderId="0" xfId="544" applyNumberFormat="1" applyFont="1" applyFill="1" applyBorder="1" applyAlignment="1">
      <alignment horizontal="left" indent="1"/>
    </xf>
    <xf numFmtId="176" fontId="117" fillId="27" borderId="0" xfId="544" applyNumberFormat="1" applyFont="1" applyFill="1" applyAlignment="1">
      <alignment horizontal="right"/>
    </xf>
    <xf numFmtId="176" fontId="117" fillId="0" borderId="0" xfId="544" applyNumberFormat="1" applyFont="1" applyFill="1" applyAlignment="1">
      <alignment horizontal="right"/>
    </xf>
    <xf numFmtId="0" fontId="114" fillId="26" borderId="8" xfId="0" applyFont="1" applyFill="1" applyBorder="1"/>
    <xf numFmtId="0" fontId="114" fillId="0" borderId="6" xfId="0" applyFont="1" applyBorder="1"/>
    <xf numFmtId="176" fontId="122" fillId="27" borderId="0" xfId="544" applyNumberFormat="1" applyFont="1" applyFill="1"/>
    <xf numFmtId="176" fontId="123" fillId="0" borderId="0" xfId="544" applyNumberFormat="1" applyFont="1"/>
    <xf numFmtId="176" fontId="123" fillId="0" borderId="0" xfId="544" applyNumberFormat="1" applyFont="1" applyFill="1" applyBorder="1"/>
    <xf numFmtId="177" fontId="123" fillId="0" borderId="0" xfId="162" applyNumberFormat="1" applyFont="1" applyFill="1" applyBorder="1"/>
    <xf numFmtId="176" fontId="122" fillId="27" borderId="0" xfId="544" applyNumberFormat="1" applyFont="1" applyFill="1" applyAlignment="1">
      <alignment horizontal="right" vertical="center"/>
    </xf>
    <xf numFmtId="177" fontId="110" fillId="0" borderId="0" xfId="0" applyNumberFormat="1" applyFont="1"/>
    <xf numFmtId="177" fontId="123" fillId="0" borderId="0" xfId="0" applyNumberFormat="1" applyFont="1"/>
    <xf numFmtId="176" fontId="123" fillId="0" borderId="0" xfId="0" applyNumberFormat="1" applyFont="1"/>
    <xf numFmtId="179" fontId="123" fillId="0" borderId="0" xfId="162" applyNumberFormat="1" applyFont="1" applyFill="1"/>
    <xf numFmtId="172" fontId="123" fillId="0" borderId="0" xfId="0" applyNumberFormat="1" applyFont="1"/>
    <xf numFmtId="177" fontId="123" fillId="0" borderId="0" xfId="162" applyNumberFormat="1" applyFont="1" applyFill="1"/>
    <xf numFmtId="177" fontId="123" fillId="0" borderId="0" xfId="162" applyNumberFormat="1" applyFont="1" applyFill="1" applyBorder="1" applyAlignment="1">
      <alignment horizontal="right"/>
    </xf>
    <xf numFmtId="177" fontId="110" fillId="0" borderId="0" xfId="162" applyNumberFormat="1" applyFont="1" applyFill="1" applyBorder="1"/>
    <xf numFmtId="177" fontId="114" fillId="0" borderId="0" xfId="162" applyNumberFormat="1" applyFont="1"/>
    <xf numFmtId="172" fontId="124" fillId="0" borderId="0" xfId="0" applyNumberFormat="1" applyFont="1"/>
    <xf numFmtId="177" fontId="124" fillId="0" borderId="0" xfId="162" applyNumberFormat="1" applyFont="1" applyFill="1"/>
    <xf numFmtId="177" fontId="124" fillId="0" borderId="0" xfId="162" applyNumberFormat="1" applyFont="1"/>
    <xf numFmtId="177" fontId="124" fillId="0" borderId="0" xfId="162" applyNumberFormat="1" applyFont="1" applyFill="1" applyBorder="1"/>
    <xf numFmtId="177" fontId="123" fillId="0" borderId="0" xfId="162" applyNumberFormat="1" applyFont="1"/>
    <xf numFmtId="177" fontId="114" fillId="0" borderId="0" xfId="162" applyNumberFormat="1" applyFont="1" applyFill="1" applyBorder="1"/>
    <xf numFmtId="0" fontId="125" fillId="0" borderId="0" xfId="0" applyFont="1"/>
    <xf numFmtId="179" fontId="123" fillId="0" borderId="0" xfId="162" applyNumberFormat="1" applyFont="1" applyFill="1" applyBorder="1"/>
    <xf numFmtId="179" fontId="114" fillId="0" borderId="0" xfId="162" applyNumberFormat="1" applyFont="1" applyFill="1" applyBorder="1"/>
    <xf numFmtId="177" fontId="113" fillId="0" borderId="0" xfId="162" applyNumberFormat="1" applyFont="1" applyFill="1"/>
    <xf numFmtId="177" fontId="114" fillId="0" borderId="0" xfId="162" applyNumberFormat="1" applyFont="1" applyFill="1"/>
    <xf numFmtId="175" fontId="114" fillId="26" borderId="3" xfId="0" applyNumberFormat="1" applyFont="1" applyFill="1" applyBorder="1" applyAlignment="1">
      <alignment horizontal="center" vertical="center"/>
    </xf>
    <xf numFmtId="266" fontId="114" fillId="29" borderId="0" xfId="0" applyNumberFormat="1" applyFont="1" applyFill="1"/>
    <xf numFmtId="172" fontId="116" fillId="29" borderId="0" xfId="0" applyNumberFormat="1" applyFont="1" applyFill="1"/>
    <xf numFmtId="172" fontId="114" fillId="29" borderId="0" xfId="0" applyNumberFormat="1" applyFont="1" applyFill="1"/>
    <xf numFmtId="0" fontId="114" fillId="29" borderId="0" xfId="0" applyFont="1" applyFill="1"/>
    <xf numFmtId="177" fontId="110" fillId="0" borderId="0" xfId="162" applyNumberFormat="1" applyFont="1" applyAlignment="1">
      <alignment horizontal="right"/>
    </xf>
    <xf numFmtId="177" fontId="114" fillId="0" borderId="39" xfId="162" applyNumberFormat="1" applyFont="1" applyFill="1" applyBorder="1" applyAlignment="1">
      <alignment horizontal="right"/>
    </xf>
    <xf numFmtId="177" fontId="110" fillId="0" borderId="0" xfId="162" applyNumberFormat="1" applyFont="1" applyBorder="1"/>
    <xf numFmtId="177" fontId="110" fillId="0" borderId="7" xfId="162" applyNumberFormat="1" applyFont="1" applyBorder="1"/>
    <xf numFmtId="177" fontId="114" fillId="0" borderId="7" xfId="162" applyNumberFormat="1" applyFont="1" applyBorder="1"/>
    <xf numFmtId="177" fontId="110" fillId="0" borderId="0" xfId="162" applyNumberFormat="1" applyFont="1"/>
    <xf numFmtId="177" fontId="114" fillId="0" borderId="6" xfId="162" applyNumberFormat="1" applyFont="1" applyBorder="1"/>
    <xf numFmtId="175" fontId="114" fillId="26" borderId="8" xfId="0" applyNumberFormat="1" applyFont="1" applyFill="1" applyBorder="1" applyAlignment="1">
      <alignment horizontal="center" vertical="center"/>
    </xf>
    <xf numFmtId="179" fontId="110" fillId="0" borderId="0" xfId="0" applyNumberFormat="1" applyFont="1"/>
    <xf numFmtId="172" fontId="121" fillId="0" borderId="0" xfId="0" applyNumberFormat="1" applyFont="1"/>
    <xf numFmtId="176" fontId="122" fillId="0" borderId="0" xfId="544" applyNumberFormat="1" applyFont="1" applyFill="1"/>
    <xf numFmtId="179" fontId="123" fillId="0" borderId="0" xfId="0" applyNumberFormat="1" applyFont="1"/>
    <xf numFmtId="176" fontId="110" fillId="0" borderId="0" xfId="544" applyNumberFormat="1" applyFont="1" applyFill="1" applyBorder="1"/>
    <xf numFmtId="179" fontId="110" fillId="0" borderId="0" xfId="162" applyNumberFormat="1" applyFont="1" applyFill="1"/>
    <xf numFmtId="176" fontId="113" fillId="0" borderId="0" xfId="544" applyNumberFormat="1" applyFont="1" applyFill="1"/>
    <xf numFmtId="172" fontId="113" fillId="0" borderId="0" xfId="0" applyNumberFormat="1" applyFont="1" applyAlignment="1">
      <alignment horizontal="right"/>
    </xf>
    <xf numFmtId="267" fontId="110" fillId="0" borderId="0" xfId="0" applyNumberFormat="1" applyFont="1"/>
    <xf numFmtId="176" fontId="118" fillId="27" borderId="0" xfId="544" applyNumberFormat="1" applyFont="1" applyFill="1" applyAlignment="1">
      <alignment horizontal="right"/>
    </xf>
    <xf numFmtId="176" fontId="122" fillId="27" borderId="0" xfId="544" applyNumberFormat="1" applyFont="1" applyFill="1" applyBorder="1"/>
    <xf numFmtId="176" fontId="118" fillId="27" borderId="0" xfId="544" applyNumberFormat="1" applyFont="1" applyFill="1" applyBorder="1" applyAlignment="1">
      <alignment horizontal="right"/>
    </xf>
    <xf numFmtId="9" fontId="119" fillId="0" borderId="0" xfId="544" applyFont="1" applyFill="1" applyBorder="1"/>
    <xf numFmtId="172" fontId="110" fillId="0" borderId="0" xfId="544" applyNumberFormat="1" applyFont="1" applyFill="1" applyBorder="1"/>
    <xf numFmtId="177" fontId="114" fillId="0" borderId="0" xfId="0" applyNumberFormat="1" applyFont="1"/>
    <xf numFmtId="9" fontId="117" fillId="27" borderId="0" xfId="544" applyFont="1" applyFill="1" applyBorder="1" applyAlignment="1">
      <alignment horizontal="right"/>
    </xf>
    <xf numFmtId="176" fontId="117" fillId="0" borderId="0" xfId="544" applyNumberFormat="1" applyFont="1" applyFill="1" applyBorder="1" applyAlignment="1">
      <alignment horizontal="right"/>
    </xf>
    <xf numFmtId="176" fontId="117" fillId="27" borderId="0" xfId="544" applyNumberFormat="1" applyFont="1" applyFill="1" applyBorder="1" applyAlignment="1">
      <alignment horizontal="right"/>
    </xf>
    <xf numFmtId="177" fontId="110" fillId="0" borderId="0" xfId="162" applyNumberFormat="1" applyFont="1" applyBorder="1" applyAlignment="1">
      <alignment horizontal="right"/>
    </xf>
    <xf numFmtId="2" fontId="110" fillId="0" borderId="0" xfId="0" applyNumberFormat="1" applyFont="1"/>
    <xf numFmtId="9" fontId="110" fillId="0" borderId="0" xfId="544" applyFont="1" applyBorder="1"/>
    <xf numFmtId="176" fontId="123" fillId="0" borderId="0" xfId="544" applyNumberFormat="1" applyFont="1" applyBorder="1"/>
    <xf numFmtId="176" fontId="110" fillId="0" borderId="0" xfId="544" applyNumberFormat="1" applyFont="1" applyBorder="1"/>
    <xf numFmtId="179" fontId="114" fillId="0" borderId="0" xfId="0" applyNumberFormat="1" applyFont="1"/>
    <xf numFmtId="171" fontId="110" fillId="0" borderId="0" xfId="0" applyNumberFormat="1" applyFont="1"/>
    <xf numFmtId="172" fontId="114" fillId="0" borderId="12" xfId="0" applyNumberFormat="1" applyFont="1" applyBorder="1"/>
    <xf numFmtId="175" fontId="114" fillId="26" borderId="12" xfId="0" applyNumberFormat="1" applyFont="1" applyFill="1" applyBorder="1" applyAlignment="1">
      <alignment horizontal="center"/>
    </xf>
    <xf numFmtId="266" fontId="114" fillId="0" borderId="0" xfId="0" applyNumberFormat="1" applyFont="1" applyAlignment="1">
      <alignment horizontal="right"/>
    </xf>
    <xf numFmtId="176" fontId="110" fillId="0" borderId="0" xfId="544" applyNumberFormat="1" applyFont="1"/>
    <xf numFmtId="177" fontId="110" fillId="0" borderId="0" xfId="162" applyNumberFormat="1" applyFont="1" applyFill="1" applyAlignment="1">
      <alignment horizontal="right"/>
    </xf>
    <xf numFmtId="177" fontId="114" fillId="0" borderId="7" xfId="162" applyNumberFormat="1" applyFont="1" applyFill="1" applyBorder="1"/>
    <xf numFmtId="177" fontId="110" fillId="0" borderId="0" xfId="162" applyNumberFormat="1" applyFont="1" applyFill="1"/>
    <xf numFmtId="177" fontId="110" fillId="0" borderId="7" xfId="162" applyNumberFormat="1" applyFont="1" applyFill="1" applyBorder="1"/>
    <xf numFmtId="0" fontId="126" fillId="0" borderId="0" xfId="0" applyFont="1"/>
    <xf numFmtId="269" fontId="114" fillId="0" borderId="0" xfId="0" applyNumberFormat="1" applyFont="1" applyAlignment="1">
      <alignment horizontal="right"/>
    </xf>
    <xf numFmtId="176" fontId="114" fillId="0" borderId="3" xfId="544" applyNumberFormat="1" applyFont="1" applyFill="1" applyBorder="1" applyAlignment="1">
      <alignment horizontal="right"/>
    </xf>
    <xf numFmtId="176" fontId="114" fillId="0" borderId="3" xfId="544" applyNumberFormat="1" applyFont="1" applyFill="1" applyBorder="1"/>
    <xf numFmtId="176" fontId="114" fillId="0" borderId="3" xfId="0" applyNumberFormat="1" applyFont="1" applyBorder="1" applyAlignment="1">
      <alignment horizontal="right"/>
    </xf>
    <xf numFmtId="265" fontId="110" fillId="0" borderId="3" xfId="0" applyNumberFormat="1" applyFont="1" applyBorder="1" applyAlignment="1">
      <alignment horizontal="right"/>
    </xf>
    <xf numFmtId="177" fontId="123" fillId="30" borderId="0" xfId="162" applyNumberFormat="1" applyFont="1" applyFill="1" applyBorder="1"/>
    <xf numFmtId="0" fontId="110" fillId="30" borderId="0" xfId="0" applyFont="1" applyFill="1"/>
    <xf numFmtId="177" fontId="123" fillId="30" borderId="0" xfId="0" applyNumberFormat="1" applyFont="1" applyFill="1"/>
    <xf numFmtId="177" fontId="110" fillId="30" borderId="0" xfId="0" applyNumberFormat="1" applyFont="1" applyFill="1"/>
    <xf numFmtId="0" fontId="127" fillId="0" borderId="7" xfId="0" applyFont="1" applyBorder="1"/>
    <xf numFmtId="177" fontId="119" fillId="0" borderId="7" xfId="162" applyNumberFormat="1" applyFont="1" applyFill="1" applyBorder="1"/>
    <xf numFmtId="177" fontId="116" fillId="0" borderId="7" xfId="0" applyNumberFormat="1" applyFont="1" applyBorder="1"/>
    <xf numFmtId="0" fontId="110" fillId="0" borderId="3" xfId="0" applyFont="1" applyBorder="1"/>
    <xf numFmtId="177" fontId="114" fillId="0" borderId="0" xfId="162" applyNumberFormat="1" applyFont="1" applyBorder="1"/>
    <xf numFmtId="271" fontId="110" fillId="0" borderId="0" xfId="0" applyNumberFormat="1" applyFont="1"/>
    <xf numFmtId="0" fontId="114" fillId="32" borderId="0" xfId="0" applyFont="1" applyFill="1"/>
    <xf numFmtId="172" fontId="114" fillId="32" borderId="0" xfId="0" applyNumberFormat="1" applyFont="1" applyFill="1"/>
    <xf numFmtId="172" fontId="124" fillId="32" borderId="0" xfId="0" applyNumberFormat="1" applyFont="1" applyFill="1"/>
    <xf numFmtId="177" fontId="124" fillId="32" borderId="0" xfId="162" applyNumberFormat="1" applyFont="1" applyFill="1"/>
    <xf numFmtId="177" fontId="114" fillId="32" borderId="0" xfId="162" applyNumberFormat="1" applyFont="1" applyFill="1"/>
    <xf numFmtId="177" fontId="124" fillId="32" borderId="0" xfId="162" applyNumberFormat="1" applyFont="1" applyFill="1" applyBorder="1"/>
    <xf numFmtId="172" fontId="110" fillId="32" borderId="0" xfId="0" applyNumberFormat="1" applyFont="1" applyFill="1"/>
    <xf numFmtId="172" fontId="119" fillId="32" borderId="0" xfId="0" applyNumberFormat="1" applyFont="1" applyFill="1"/>
    <xf numFmtId="272" fontId="114" fillId="0" borderId="39" xfId="0" applyNumberFormat="1" applyFont="1" applyBorder="1"/>
    <xf numFmtId="177" fontId="119" fillId="0" borderId="0" xfId="162" applyNumberFormat="1" applyFont="1" applyFill="1" applyBorder="1"/>
    <xf numFmtId="177" fontId="114" fillId="32" borderId="0" xfId="162" applyNumberFormat="1" applyFont="1" applyFill="1" applyBorder="1"/>
    <xf numFmtId="4" fontId="110" fillId="0" borderId="0" xfId="0" applyNumberFormat="1" applyFont="1"/>
    <xf numFmtId="172" fontId="114" fillId="30" borderId="0" xfId="0" applyNumberFormat="1" applyFont="1" applyFill="1"/>
    <xf numFmtId="176" fontId="118" fillId="30" borderId="0" xfId="544" applyNumberFormat="1" applyFont="1" applyFill="1"/>
    <xf numFmtId="172" fontId="110" fillId="30" borderId="0" xfId="0" applyNumberFormat="1" applyFont="1" applyFill="1"/>
    <xf numFmtId="176" fontId="122" fillId="27" borderId="0" xfId="544" applyNumberFormat="1" applyFont="1" applyFill="1" applyBorder="1" applyAlignment="1">
      <alignment horizontal="right" vertical="center"/>
    </xf>
    <xf numFmtId="177" fontId="114" fillId="30" borderId="0" xfId="162" applyNumberFormat="1" applyFont="1" applyFill="1" applyBorder="1"/>
    <xf numFmtId="176" fontId="114" fillId="30" borderId="0" xfId="544" applyNumberFormat="1" applyFont="1" applyFill="1" applyBorder="1" applyAlignment="1">
      <alignment horizontal="right"/>
    </xf>
    <xf numFmtId="9" fontId="110" fillId="30" borderId="0" xfId="544" applyFont="1" applyFill="1" applyBorder="1"/>
    <xf numFmtId="171" fontId="112" fillId="30" borderId="0" xfId="162" applyFont="1" applyFill="1" applyBorder="1" applyAlignment="1">
      <alignment horizontal="center"/>
    </xf>
    <xf numFmtId="9" fontId="117" fillId="30" borderId="0" xfId="544" applyFont="1" applyFill="1" applyBorder="1" applyAlignment="1">
      <alignment horizontal="right"/>
    </xf>
    <xf numFmtId="176" fontId="117" fillId="30" borderId="0" xfId="544" applyNumberFormat="1" applyFont="1" applyFill="1" applyBorder="1" applyAlignment="1">
      <alignment horizontal="right"/>
    </xf>
    <xf numFmtId="177" fontId="110" fillId="30" borderId="0" xfId="162" applyNumberFormat="1" applyFont="1" applyFill="1" applyBorder="1" applyAlignment="1">
      <alignment horizontal="right"/>
    </xf>
    <xf numFmtId="177" fontId="114" fillId="30" borderId="0" xfId="162" applyNumberFormat="1" applyFont="1" applyFill="1" applyBorder="1" applyAlignment="1">
      <alignment horizontal="right"/>
    </xf>
    <xf numFmtId="177" fontId="110" fillId="30" borderId="0" xfId="162" applyNumberFormat="1" applyFont="1" applyFill="1" applyBorder="1"/>
    <xf numFmtId="177" fontId="119" fillId="30" borderId="0" xfId="162" applyNumberFormat="1" applyFont="1" applyFill="1" applyBorder="1"/>
    <xf numFmtId="0" fontId="127" fillId="0" borderId="0" xfId="0" applyFont="1"/>
    <xf numFmtId="177" fontId="116" fillId="0" borderId="0" xfId="0" applyNumberFormat="1" applyFont="1"/>
    <xf numFmtId="175" fontId="114" fillId="0" borderId="0" xfId="0" applyNumberFormat="1" applyFont="1" applyAlignment="1">
      <alignment horizontal="center"/>
    </xf>
    <xf numFmtId="176" fontId="118" fillId="0" borderId="0" xfId="544" applyNumberFormat="1" applyFont="1" applyFill="1" applyBorder="1"/>
    <xf numFmtId="176" fontId="123" fillId="0" borderId="0" xfId="544" applyNumberFormat="1" applyFont="1" applyFill="1"/>
    <xf numFmtId="179" fontId="110" fillId="27" borderId="0" xfId="174" applyNumberFormat="1" applyFont="1" applyFill="1" applyBorder="1" applyAlignment="1">
      <alignment horizontal="center" wrapText="1"/>
    </xf>
    <xf numFmtId="179" fontId="123" fillId="27" borderId="0" xfId="174" applyNumberFormat="1" applyFont="1" applyFill="1" applyBorder="1" applyAlignment="1">
      <alignment horizontal="center" wrapText="1"/>
    </xf>
    <xf numFmtId="179" fontId="123" fillId="0" borderId="0" xfId="174" applyNumberFormat="1" applyFont="1" applyFill="1" applyBorder="1" applyAlignment="1">
      <alignment horizontal="right" vertical="center"/>
    </xf>
    <xf numFmtId="177" fontId="110" fillId="27" borderId="0" xfId="174" applyNumberFormat="1" applyFont="1" applyFill="1" applyBorder="1" applyAlignment="1">
      <alignment horizontal="right" wrapText="1"/>
    </xf>
    <xf numFmtId="174" fontId="123" fillId="0" borderId="0" xfId="174" applyNumberFormat="1" applyFont="1" applyFill="1" applyBorder="1" applyAlignment="1">
      <alignment horizontal="right" vertical="center"/>
    </xf>
    <xf numFmtId="179" fontId="114" fillId="28" borderId="0" xfId="174" applyNumberFormat="1" applyFont="1" applyFill="1" applyBorder="1"/>
    <xf numFmtId="177" fontId="114" fillId="0" borderId="0" xfId="174" applyNumberFormat="1" applyFont="1" applyFill="1" applyBorder="1" applyAlignment="1">
      <alignment horizontal="center"/>
    </xf>
    <xf numFmtId="179" fontId="110" fillId="0" borderId="0" xfId="174" applyNumberFormat="1" applyFont="1" applyFill="1" applyBorder="1" applyAlignment="1">
      <alignment horizontal="left" wrapText="1"/>
    </xf>
    <xf numFmtId="179" fontId="123" fillId="0" borderId="0" xfId="174" applyNumberFormat="1" applyFont="1" applyBorder="1" applyAlignment="1">
      <alignment horizontal="right" vertical="center"/>
    </xf>
    <xf numFmtId="179" fontId="110" fillId="0" borderId="0" xfId="174" applyNumberFormat="1" applyFont="1" applyFill="1" applyBorder="1" applyAlignment="1">
      <alignment horizontal="center" wrapText="1"/>
    </xf>
    <xf numFmtId="174" fontId="123" fillId="0" borderId="0" xfId="174" applyNumberFormat="1" applyFont="1" applyBorder="1" applyAlignment="1">
      <alignment horizontal="right" vertical="center"/>
    </xf>
    <xf numFmtId="177" fontId="110" fillId="0" borderId="0" xfId="174" applyNumberFormat="1" applyFont="1" applyFill="1" applyBorder="1" applyAlignment="1">
      <alignment horizontal="right" wrapText="1"/>
    </xf>
    <xf numFmtId="177" fontId="123" fillId="30" borderId="0" xfId="174" applyNumberFormat="1" applyFont="1" applyFill="1" applyBorder="1"/>
    <xf numFmtId="177" fontId="114" fillId="0" borderId="0" xfId="174" applyNumberFormat="1" applyFont="1"/>
    <xf numFmtId="177" fontId="119" fillId="0" borderId="7" xfId="174" applyNumberFormat="1" applyFont="1" applyFill="1" applyBorder="1"/>
    <xf numFmtId="172" fontId="123" fillId="28" borderId="0" xfId="0" applyNumberFormat="1" applyFont="1" applyFill="1"/>
    <xf numFmtId="0" fontId="110" fillId="0" borderId="0" xfId="267" applyFont="1"/>
    <xf numFmtId="0" fontId="114" fillId="0" borderId="0" xfId="267" applyFont="1"/>
    <xf numFmtId="268" fontId="114" fillId="0" borderId="0" xfId="0" applyNumberFormat="1" applyFont="1" applyAlignment="1">
      <alignment horizontal="right"/>
    </xf>
    <xf numFmtId="0" fontId="114" fillId="0" borderId="0" xfId="267" applyFont="1" applyAlignment="1">
      <alignment wrapText="1"/>
    </xf>
    <xf numFmtId="0" fontId="110" fillId="0" borderId="0" xfId="267" applyFont="1" applyAlignment="1">
      <alignment horizontal="center" wrapText="1"/>
    </xf>
    <xf numFmtId="17" fontId="114" fillId="27" borderId="0" xfId="267" applyNumberFormat="1" applyFont="1" applyFill="1" applyAlignment="1">
      <alignment horizontal="left" vertical="center" wrapText="1"/>
    </xf>
    <xf numFmtId="17" fontId="114" fillId="27" borderId="0" xfId="267" applyNumberFormat="1" applyFont="1" applyFill="1" applyAlignment="1">
      <alignment horizontal="center" vertical="center" wrapText="1"/>
    </xf>
    <xf numFmtId="0" fontId="114" fillId="27" borderId="0" xfId="267" applyFont="1" applyFill="1" applyAlignment="1">
      <alignment horizontal="right" wrapText="1"/>
    </xf>
    <xf numFmtId="0" fontId="110" fillId="27" borderId="0" xfId="267" applyFont="1" applyFill="1" applyAlignment="1">
      <alignment horizontal="left" wrapText="1"/>
    </xf>
    <xf numFmtId="17" fontId="114" fillId="0" borderId="0" xfId="267" applyNumberFormat="1" applyFont="1" applyAlignment="1">
      <alignment horizontal="left" vertical="center" wrapText="1"/>
    </xf>
    <xf numFmtId="270" fontId="110" fillId="28" borderId="0" xfId="268" applyNumberFormat="1" applyFont="1" applyFill="1"/>
    <xf numFmtId="0" fontId="114" fillId="27" borderId="0" xfId="267" applyFont="1" applyFill="1" applyAlignment="1">
      <alignment horizontal="left" wrapText="1"/>
    </xf>
    <xf numFmtId="0" fontId="110" fillId="27" borderId="0" xfId="267" applyFont="1" applyFill="1" applyAlignment="1">
      <alignment horizontal="right" wrapText="1"/>
    </xf>
    <xf numFmtId="179" fontId="110" fillId="27" borderId="0" xfId="267" applyNumberFormat="1" applyFont="1" applyFill="1" applyAlignment="1">
      <alignment horizontal="right" wrapText="1"/>
    </xf>
    <xf numFmtId="3" fontId="114" fillId="0" borderId="0" xfId="267" applyNumberFormat="1" applyFont="1"/>
    <xf numFmtId="3" fontId="110" fillId="0" borderId="0" xfId="267" applyNumberFormat="1" applyFont="1"/>
    <xf numFmtId="0" fontId="123" fillId="27" borderId="0" xfId="267" applyFont="1" applyFill="1" applyAlignment="1">
      <alignment horizontal="right" wrapText="1"/>
    </xf>
    <xf numFmtId="265" fontId="110" fillId="28" borderId="0" xfId="268" applyNumberFormat="1" applyFont="1" applyFill="1"/>
    <xf numFmtId="0" fontId="114" fillId="28" borderId="0" xfId="268" applyFont="1" applyFill="1"/>
    <xf numFmtId="265" fontId="114" fillId="0" borderId="0" xfId="268" applyNumberFormat="1" applyFont="1"/>
    <xf numFmtId="265" fontId="114" fillId="28" borderId="0" xfId="268" applyNumberFormat="1" applyFont="1" applyFill="1"/>
    <xf numFmtId="0" fontId="110" fillId="28" borderId="0" xfId="268" applyFont="1" applyFill="1"/>
    <xf numFmtId="179" fontId="110" fillId="28" borderId="0" xfId="174" applyNumberFormat="1" applyFont="1" applyFill="1" applyBorder="1"/>
    <xf numFmtId="265" fontId="110" fillId="0" borderId="0" xfId="268" applyNumberFormat="1" applyFont="1"/>
    <xf numFmtId="0" fontId="125" fillId="0" borderId="0" xfId="267" applyFont="1"/>
    <xf numFmtId="179" fontId="121" fillId="0" borderId="0" xfId="174" applyNumberFormat="1" applyFont="1" applyFill="1" applyBorder="1"/>
    <xf numFmtId="266" fontId="125" fillId="0" borderId="0" xfId="267" applyNumberFormat="1" applyFont="1"/>
    <xf numFmtId="0" fontId="119" fillId="0" borderId="0" xfId="267" applyFont="1"/>
    <xf numFmtId="179" fontId="114" fillId="28" borderId="0" xfId="174" applyNumberFormat="1" applyFont="1" applyFill="1" applyBorder="1" applyAlignment="1">
      <alignment horizontal="center"/>
    </xf>
    <xf numFmtId="0" fontId="114" fillId="0" borderId="0" xfId="268" applyFont="1"/>
    <xf numFmtId="0" fontId="114" fillId="0" borderId="0" xfId="267" applyFont="1" applyAlignment="1">
      <alignment horizontal="left" wrapText="1"/>
    </xf>
    <xf numFmtId="0" fontId="110" fillId="0" borderId="0" xfId="267" applyFont="1" applyAlignment="1">
      <alignment horizontal="left" wrapText="1"/>
    </xf>
    <xf numFmtId="0" fontId="110" fillId="0" borderId="0" xfId="267" applyFont="1" applyAlignment="1">
      <alignment horizontal="left"/>
    </xf>
    <xf numFmtId="273" fontId="110" fillId="0" borderId="0" xfId="174" applyNumberFormat="1" applyFont="1" applyBorder="1" applyAlignment="1">
      <alignment horizontal="right" vertical="center"/>
    </xf>
    <xf numFmtId="179" fontId="110" fillId="0" borderId="0" xfId="267" applyNumberFormat="1" applyFont="1"/>
    <xf numFmtId="179" fontId="110" fillId="0" borderId="0" xfId="174" applyNumberFormat="1" applyFont="1" applyBorder="1" applyAlignment="1">
      <alignment horizontal="right" vertical="center"/>
    </xf>
    <xf numFmtId="179" fontId="114" fillId="0" borderId="0" xfId="267" applyNumberFormat="1" applyFont="1"/>
    <xf numFmtId="179" fontId="110" fillId="0" borderId="0" xfId="174" applyNumberFormat="1" applyFont="1" applyBorder="1"/>
    <xf numFmtId="179" fontId="121" fillId="0" borderId="0" xfId="174" applyNumberFormat="1" applyFont="1" applyBorder="1"/>
    <xf numFmtId="179" fontId="125" fillId="0" borderId="0" xfId="174" applyNumberFormat="1" applyFont="1" applyBorder="1"/>
    <xf numFmtId="0" fontId="110" fillId="0" borderId="0" xfId="267" applyFont="1" applyAlignment="1">
      <alignment horizontal="right" wrapText="1"/>
    </xf>
    <xf numFmtId="179" fontId="110" fillId="0" borderId="0" xfId="267" applyNumberFormat="1" applyFont="1" applyAlignment="1">
      <alignment horizontal="right" wrapText="1"/>
    </xf>
    <xf numFmtId="0" fontId="123" fillId="0" borderId="0" xfId="267" applyFont="1" applyAlignment="1">
      <alignment horizontal="right" wrapText="1"/>
    </xf>
    <xf numFmtId="179" fontId="110" fillId="0" borderId="0" xfId="174" applyNumberFormat="1" applyFont="1" applyFill="1" applyBorder="1" applyAlignment="1">
      <alignment horizontal="right" vertical="center"/>
    </xf>
    <xf numFmtId="266" fontId="114" fillId="0" borderId="0" xfId="267" applyNumberFormat="1" applyFont="1"/>
    <xf numFmtId="176" fontId="117" fillId="0" borderId="0" xfId="0" applyNumberFormat="1" applyFont="1"/>
    <xf numFmtId="175" fontId="114" fillId="26" borderId="3" xfId="0" applyNumberFormat="1" applyFont="1" applyFill="1" applyBorder="1" applyAlignment="1">
      <alignment horizontal="center"/>
    </xf>
    <xf numFmtId="177" fontId="114" fillId="30" borderId="0" xfId="162" applyNumberFormat="1" applyFont="1" applyFill="1"/>
    <xf numFmtId="176" fontId="118" fillId="0" borderId="0" xfId="544" applyNumberFormat="1" applyFont="1" applyFill="1" applyAlignment="1">
      <alignment horizontal="right"/>
    </xf>
    <xf numFmtId="177" fontId="123" fillId="0" borderId="0" xfId="174" applyNumberFormat="1" applyFont="1" applyFill="1" applyBorder="1"/>
    <xf numFmtId="0" fontId="114" fillId="0" borderId="11" xfId="267" applyFont="1" applyBorder="1" applyAlignment="1">
      <alignment horizontal="left" wrapText="1"/>
    </xf>
    <xf numFmtId="0" fontId="110" fillId="0" borderId="11" xfId="267" applyFont="1" applyBorder="1" applyAlignment="1">
      <alignment horizontal="left" wrapText="1"/>
    </xf>
    <xf numFmtId="179" fontId="110" fillId="0" borderId="11" xfId="174" applyNumberFormat="1" applyFont="1" applyFill="1" applyBorder="1" applyAlignment="1">
      <alignment horizontal="left" wrapText="1"/>
    </xf>
    <xf numFmtId="0" fontId="110" fillId="0" borderId="11" xfId="267" applyFont="1" applyBorder="1"/>
    <xf numFmtId="0" fontId="114" fillId="0" borderId="11" xfId="267" applyFont="1" applyBorder="1"/>
    <xf numFmtId="0" fontId="110" fillId="0" borderId="11" xfId="267" applyFont="1" applyBorder="1" applyAlignment="1">
      <alignment horizontal="left"/>
    </xf>
    <xf numFmtId="179" fontId="123" fillId="0" borderId="11" xfId="174" applyNumberFormat="1" applyFont="1" applyBorder="1" applyAlignment="1">
      <alignment horizontal="right" vertical="center"/>
    </xf>
    <xf numFmtId="179" fontId="123" fillId="0" borderId="11" xfId="174" applyNumberFormat="1" applyFont="1" applyFill="1" applyBorder="1" applyAlignment="1">
      <alignment horizontal="right" vertical="center"/>
    </xf>
    <xf numFmtId="179" fontId="110" fillId="0" borderId="11" xfId="267" applyNumberFormat="1" applyFont="1" applyBorder="1"/>
    <xf numFmtId="179" fontId="110" fillId="0" borderId="11" xfId="174" applyNumberFormat="1" applyFont="1" applyBorder="1" applyAlignment="1">
      <alignment horizontal="right" vertical="center"/>
    </xf>
    <xf numFmtId="179" fontId="114" fillId="0" borderId="11" xfId="267" applyNumberFormat="1" applyFont="1" applyBorder="1"/>
    <xf numFmtId="273" fontId="110" fillId="0" borderId="11" xfId="174" applyNumberFormat="1" applyFont="1" applyBorder="1" applyAlignment="1">
      <alignment horizontal="right" vertical="center"/>
    </xf>
    <xf numFmtId="0" fontId="117" fillId="0" borderId="0" xfId="0" applyFont="1" applyAlignment="1">
      <alignment horizontal="left"/>
    </xf>
    <xf numFmtId="39" fontId="114" fillId="0" borderId="0" xfId="0" applyNumberFormat="1" applyFont="1" applyAlignment="1">
      <alignment horizontal="right"/>
    </xf>
    <xf numFmtId="174" fontId="123" fillId="33" borderId="0" xfId="174" applyNumberFormat="1" applyFont="1" applyFill="1" applyBorder="1" applyAlignment="1">
      <alignment horizontal="right" vertical="center"/>
    </xf>
    <xf numFmtId="171" fontId="114" fillId="0" borderId="0" xfId="267" applyNumberFormat="1" applyFont="1"/>
    <xf numFmtId="179" fontId="110" fillId="27" borderId="0" xfId="174" applyNumberFormat="1" applyFont="1" applyFill="1" applyBorder="1" applyAlignment="1">
      <alignment horizontal="center" vertical="center" wrapText="1"/>
    </xf>
    <xf numFmtId="0" fontId="110" fillId="26" borderId="0" xfId="0" applyFont="1" applyFill="1"/>
    <xf numFmtId="177" fontId="110" fillId="0" borderId="0" xfId="174" applyNumberFormat="1" applyFont="1" applyFill="1" applyBorder="1"/>
    <xf numFmtId="0" fontId="110" fillId="0" borderId="13" xfId="267" applyFont="1" applyBorder="1" applyAlignment="1">
      <alignment horizontal="left" wrapText="1"/>
    </xf>
    <xf numFmtId="0" fontId="114" fillId="0" borderId="40" xfId="267" applyFont="1" applyBorder="1" applyAlignment="1">
      <alignment horizontal="left" wrapText="1"/>
    </xf>
    <xf numFmtId="0" fontId="114" fillId="0" borderId="41" xfId="267" applyFont="1" applyBorder="1" applyAlignment="1">
      <alignment horizontal="left" wrapText="1"/>
    </xf>
    <xf numFmtId="0" fontId="110" fillId="0" borderId="40" xfId="267" applyFont="1" applyBorder="1"/>
    <xf numFmtId="179" fontId="110" fillId="0" borderId="13" xfId="174" applyNumberFormat="1" applyFont="1" applyFill="1" applyBorder="1" applyAlignment="1">
      <alignment horizontal="left" wrapText="1"/>
    </xf>
    <xf numFmtId="179" fontId="110" fillId="0" borderId="40" xfId="174" applyNumberFormat="1" applyFont="1" applyFill="1" applyBorder="1" applyAlignment="1">
      <alignment horizontal="left" wrapText="1"/>
    </xf>
    <xf numFmtId="0" fontId="110" fillId="0" borderId="13" xfId="267" applyFont="1" applyBorder="1" applyAlignment="1">
      <alignment horizontal="left"/>
    </xf>
    <xf numFmtId="179" fontId="110" fillId="0" borderId="14" xfId="174" applyNumberFormat="1" applyFont="1" applyBorder="1" applyAlignment="1">
      <alignment horizontal="right" vertical="center"/>
    </xf>
    <xf numFmtId="179" fontId="123" fillId="0" borderId="32" xfId="174" applyNumberFormat="1" applyFont="1" applyFill="1" applyBorder="1" applyAlignment="1">
      <alignment horizontal="right" vertical="center"/>
    </xf>
    <xf numFmtId="179" fontId="110" fillId="0" borderId="32" xfId="267" applyNumberFormat="1" applyFont="1" applyBorder="1"/>
    <xf numFmtId="0" fontId="114" fillId="0" borderId="40" xfId="267" applyFont="1" applyBorder="1"/>
    <xf numFmtId="171" fontId="114" fillId="0" borderId="11" xfId="267" applyNumberFormat="1" applyFont="1" applyBorder="1"/>
    <xf numFmtId="179" fontId="114" fillId="0" borderId="41" xfId="267" applyNumberFormat="1" applyFont="1" applyBorder="1"/>
    <xf numFmtId="179" fontId="110" fillId="0" borderId="32" xfId="174" applyNumberFormat="1" applyFont="1" applyFill="1" applyBorder="1" applyAlignment="1">
      <alignment horizontal="left" wrapText="1"/>
    </xf>
    <xf numFmtId="0" fontId="110" fillId="27" borderId="13" xfId="267" applyFont="1" applyFill="1" applyBorder="1" applyAlignment="1">
      <alignment horizontal="left" wrapText="1"/>
    </xf>
    <xf numFmtId="0" fontId="114" fillId="27" borderId="14" xfId="267" applyFont="1" applyFill="1" applyBorder="1" applyAlignment="1">
      <alignment horizontal="right" wrapText="1"/>
    </xf>
    <xf numFmtId="0" fontId="114" fillId="27" borderId="13" xfId="267" applyFont="1" applyFill="1" applyBorder="1" applyAlignment="1">
      <alignment horizontal="left" wrapText="1"/>
    </xf>
    <xf numFmtId="0" fontId="110" fillId="27" borderId="14" xfId="267" applyFont="1" applyFill="1" applyBorder="1" applyAlignment="1">
      <alignment horizontal="right" wrapText="1"/>
    </xf>
    <xf numFmtId="179" fontId="110" fillId="27" borderId="14" xfId="267" applyNumberFormat="1" applyFont="1" applyFill="1" applyBorder="1" applyAlignment="1">
      <alignment horizontal="right" wrapText="1"/>
    </xf>
    <xf numFmtId="0" fontId="114" fillId="28" borderId="13" xfId="268" applyFont="1" applyFill="1" applyBorder="1"/>
    <xf numFmtId="0" fontId="110" fillId="28" borderId="13" xfId="268" applyFont="1" applyFill="1" applyBorder="1"/>
    <xf numFmtId="265" fontId="110" fillId="28" borderId="14" xfId="268" applyNumberFormat="1" applyFont="1" applyFill="1" applyBorder="1"/>
    <xf numFmtId="0" fontId="110" fillId="0" borderId="14" xfId="267" applyFont="1" applyBorder="1"/>
    <xf numFmtId="0" fontId="110" fillId="28" borderId="15" xfId="268" applyFont="1" applyFill="1" applyBorder="1"/>
    <xf numFmtId="0" fontId="110" fillId="0" borderId="16" xfId="267" applyFont="1" applyBorder="1"/>
    <xf numFmtId="17" fontId="114" fillId="27" borderId="40" xfId="267" applyNumberFormat="1" applyFont="1" applyFill="1" applyBorder="1" applyAlignment="1">
      <alignment horizontal="left" vertical="center" wrapText="1"/>
    </xf>
    <xf numFmtId="17" fontId="114" fillId="27" borderId="8" xfId="267" applyNumberFormat="1" applyFont="1" applyFill="1" applyBorder="1" applyAlignment="1">
      <alignment horizontal="center" vertical="center" wrapText="1"/>
    </xf>
    <xf numFmtId="0" fontId="114" fillId="27" borderId="8" xfId="267" applyFont="1" applyFill="1" applyBorder="1" applyAlignment="1">
      <alignment horizontal="right" wrapText="1"/>
    </xf>
    <xf numFmtId="0" fontId="114" fillId="27" borderId="41" xfId="267" applyFont="1" applyFill="1" applyBorder="1" applyAlignment="1">
      <alignment horizontal="right" wrapText="1"/>
    </xf>
    <xf numFmtId="179" fontId="110" fillId="27" borderId="42" xfId="174" applyNumberFormat="1" applyFont="1" applyFill="1" applyBorder="1" applyAlignment="1">
      <alignment horizontal="center" wrapText="1"/>
    </xf>
    <xf numFmtId="179" fontId="123" fillId="27" borderId="32" xfId="174" applyNumberFormat="1" applyFont="1" applyFill="1" applyBorder="1" applyAlignment="1">
      <alignment horizontal="center" wrapText="1"/>
    </xf>
    <xf numFmtId="179" fontId="110" fillId="27" borderId="32" xfId="174" applyNumberFormat="1" applyFont="1" applyFill="1" applyBorder="1" applyAlignment="1">
      <alignment horizontal="center" wrapText="1"/>
    </xf>
    <xf numFmtId="179" fontId="114" fillId="28" borderId="32" xfId="174" applyNumberFormat="1" applyFont="1" applyFill="1" applyBorder="1"/>
    <xf numFmtId="179" fontId="110" fillId="28" borderId="32" xfId="174" applyNumberFormat="1" applyFont="1" applyFill="1" applyBorder="1"/>
    <xf numFmtId="172" fontId="110" fillId="0" borderId="43" xfId="0" applyNumberFormat="1" applyFont="1" applyBorder="1"/>
    <xf numFmtId="179" fontId="110" fillId="27" borderId="42" xfId="174" applyNumberFormat="1" applyFont="1" applyFill="1" applyBorder="1" applyAlignment="1">
      <alignment horizontal="center" vertical="center" wrapText="1"/>
    </xf>
    <xf numFmtId="179" fontId="110" fillId="27" borderId="43" xfId="174" applyNumberFormat="1" applyFont="1" applyFill="1" applyBorder="1" applyAlignment="1">
      <alignment horizontal="center" wrapText="1"/>
    </xf>
    <xf numFmtId="0" fontId="114" fillId="27" borderId="42" xfId="267" applyFont="1" applyFill="1" applyBorder="1" applyAlignment="1">
      <alignment horizontal="right" wrapText="1"/>
    </xf>
    <xf numFmtId="0" fontId="110" fillId="27" borderId="32" xfId="267" applyFont="1" applyFill="1" applyBorder="1" applyAlignment="1">
      <alignment horizontal="right" wrapText="1"/>
    </xf>
    <xf numFmtId="265" fontId="114" fillId="0" borderId="32" xfId="268" applyNumberFormat="1" applyFont="1" applyBorder="1"/>
    <xf numFmtId="265" fontId="110" fillId="0" borderId="32" xfId="268" applyNumberFormat="1" applyFont="1" applyBorder="1"/>
    <xf numFmtId="265" fontId="114" fillId="28" borderId="32" xfId="268" applyNumberFormat="1" applyFont="1" applyFill="1" applyBorder="1"/>
    <xf numFmtId="0" fontId="110" fillId="28" borderId="43" xfId="268" applyFont="1" applyFill="1" applyBorder="1"/>
    <xf numFmtId="0" fontId="114" fillId="28" borderId="40" xfId="268" applyFont="1" applyFill="1" applyBorder="1"/>
    <xf numFmtId="179" fontId="114" fillId="28" borderId="11" xfId="174" applyNumberFormat="1" applyFont="1" applyFill="1" applyBorder="1"/>
    <xf numFmtId="265" fontId="114" fillId="0" borderId="11" xfId="268" applyNumberFormat="1" applyFont="1" applyBorder="1"/>
    <xf numFmtId="265" fontId="114" fillId="28" borderId="41" xfId="268" applyNumberFormat="1" applyFont="1" applyFill="1" applyBorder="1"/>
    <xf numFmtId="0" fontId="110" fillId="0" borderId="17" xfId="267" applyFont="1" applyBorder="1"/>
    <xf numFmtId="0" fontId="110" fillId="0" borderId="13" xfId="267" applyFont="1" applyBorder="1"/>
    <xf numFmtId="265" fontId="110" fillId="28" borderId="13" xfId="268" applyNumberFormat="1" applyFont="1" applyFill="1" applyBorder="1"/>
    <xf numFmtId="265" fontId="110" fillId="28" borderId="15" xfId="268" applyNumberFormat="1" applyFont="1" applyFill="1" applyBorder="1"/>
    <xf numFmtId="179" fontId="123" fillId="0" borderId="42" xfId="174" applyNumberFormat="1" applyFont="1" applyFill="1" applyBorder="1" applyAlignment="1">
      <alignment horizontal="right" vertical="center"/>
    </xf>
    <xf numFmtId="3" fontId="114" fillId="0" borderId="11" xfId="267" applyNumberFormat="1" applyFont="1" applyBorder="1"/>
    <xf numFmtId="3" fontId="110" fillId="0" borderId="32" xfId="267" applyNumberFormat="1" applyFont="1" applyBorder="1"/>
    <xf numFmtId="270" fontId="110" fillId="28" borderId="32" xfId="268" applyNumberFormat="1" applyFont="1" applyFill="1" applyBorder="1"/>
    <xf numFmtId="270" fontId="110" fillId="28" borderId="43" xfId="268" applyNumberFormat="1" applyFont="1" applyFill="1" applyBorder="1"/>
    <xf numFmtId="265" fontId="110" fillId="34" borderId="0" xfId="0" applyNumberFormat="1" applyFont="1" applyFill="1" applyAlignment="1">
      <alignment horizontal="right"/>
    </xf>
    <xf numFmtId="265" fontId="114" fillId="34" borderId="0" xfId="0" applyNumberFormat="1" applyFont="1" applyFill="1" applyAlignment="1">
      <alignment horizontal="right"/>
    </xf>
    <xf numFmtId="265" fontId="110" fillId="34" borderId="3" xfId="0" applyNumberFormat="1" applyFont="1" applyFill="1" applyBorder="1" applyAlignment="1">
      <alignment horizontal="right"/>
    </xf>
    <xf numFmtId="274" fontId="110" fillId="0" borderId="0" xfId="0" applyNumberFormat="1" applyFont="1"/>
    <xf numFmtId="176" fontId="122" fillId="0" borderId="0" xfId="544" applyNumberFormat="1" applyFont="1" applyFill="1" applyBorder="1"/>
    <xf numFmtId="266" fontId="114" fillId="0" borderId="0" xfId="0" applyNumberFormat="1" applyFont="1"/>
    <xf numFmtId="9" fontId="110" fillId="0" borderId="0" xfId="544" applyFont="1" applyFill="1" applyBorder="1"/>
    <xf numFmtId="176" fontId="114" fillId="0" borderId="0" xfId="544" applyNumberFormat="1" applyFont="1" applyFill="1" applyBorder="1" applyAlignment="1">
      <alignment horizontal="right"/>
    </xf>
    <xf numFmtId="175" fontId="114" fillId="0" borderId="0" xfId="0" applyNumberFormat="1" applyFont="1" applyAlignment="1">
      <alignment horizontal="center" vertical="center"/>
    </xf>
    <xf numFmtId="9" fontId="117" fillId="0" borderId="0" xfId="544" applyFont="1" applyFill="1" applyBorder="1" applyAlignment="1">
      <alignment horizontal="right"/>
    </xf>
    <xf numFmtId="177" fontId="110" fillId="0" borderId="0" xfId="162" applyNumberFormat="1" applyFont="1" applyFill="1" applyBorder="1" applyAlignment="1">
      <alignment horizontal="right"/>
    </xf>
    <xf numFmtId="177" fontId="114" fillId="0" borderId="0" xfId="162" applyNumberFormat="1" applyFont="1" applyFill="1" applyBorder="1" applyAlignment="1">
      <alignment horizontal="right"/>
    </xf>
    <xf numFmtId="0" fontId="126" fillId="35" borderId="0" xfId="0" applyFont="1" applyFill="1" applyAlignment="1">
      <alignment horizontal="left" indent="1"/>
    </xf>
    <xf numFmtId="176" fontId="128" fillId="35" borderId="0" xfId="544" applyNumberFormat="1" applyFont="1" applyFill="1"/>
    <xf numFmtId="176" fontId="128" fillId="35" borderId="0" xfId="544" applyNumberFormat="1" applyFont="1" applyFill="1" applyBorder="1"/>
    <xf numFmtId="179" fontId="110" fillId="0" borderId="42" xfId="174" applyNumberFormat="1" applyFont="1" applyFill="1" applyBorder="1" applyAlignment="1">
      <alignment horizontal="center" wrapText="1"/>
    </xf>
    <xf numFmtId="179" fontId="110" fillId="0" borderId="42" xfId="174" applyNumberFormat="1" applyFont="1" applyFill="1" applyBorder="1" applyAlignment="1">
      <alignment horizontal="center" vertical="center" wrapText="1"/>
    </xf>
    <xf numFmtId="0" fontId="114" fillId="0" borderId="42" xfId="267" applyFont="1" applyBorder="1" applyAlignment="1">
      <alignment horizontal="right" wrapText="1"/>
    </xf>
    <xf numFmtId="0" fontId="114" fillId="0" borderId="14" xfId="267" applyFont="1" applyBorder="1" applyAlignment="1">
      <alignment horizontal="right" wrapText="1"/>
    </xf>
    <xf numFmtId="0" fontId="114" fillId="0" borderId="13" xfId="267" applyFont="1" applyBorder="1" applyAlignment="1">
      <alignment horizontal="left" wrapText="1"/>
    </xf>
    <xf numFmtId="179" fontId="123" fillId="0" borderId="32" xfId="174" applyNumberFormat="1" applyFont="1" applyFill="1" applyBorder="1" applyAlignment="1">
      <alignment horizontal="center" wrapText="1"/>
    </xf>
    <xf numFmtId="179" fontId="110" fillId="0" borderId="32" xfId="174" applyNumberFormat="1" applyFont="1" applyFill="1" applyBorder="1" applyAlignment="1">
      <alignment horizontal="center" wrapText="1"/>
    </xf>
    <xf numFmtId="0" fontId="110" fillId="0" borderId="32" xfId="267" applyFont="1" applyBorder="1" applyAlignment="1">
      <alignment horizontal="right" wrapText="1"/>
    </xf>
    <xf numFmtId="0" fontId="110" fillId="0" borderId="14" xfId="267" applyFont="1" applyBorder="1" applyAlignment="1">
      <alignment horizontal="right" wrapText="1"/>
    </xf>
    <xf numFmtId="179" fontId="110" fillId="0" borderId="14" xfId="267" applyNumberFormat="1" applyFont="1" applyBorder="1" applyAlignment="1">
      <alignment horizontal="right" wrapText="1"/>
    </xf>
    <xf numFmtId="242" fontId="121" fillId="0" borderId="0" xfId="174" applyNumberFormat="1" applyFont="1" applyFill="1" applyBorder="1"/>
    <xf numFmtId="17" fontId="114" fillId="26" borderId="40" xfId="267" applyNumberFormat="1" applyFont="1" applyFill="1" applyBorder="1" applyAlignment="1">
      <alignment horizontal="left" vertical="center" wrapText="1"/>
    </xf>
    <xf numFmtId="17" fontId="114" fillId="26" borderId="8" xfId="267" applyNumberFormat="1" applyFont="1" applyFill="1" applyBorder="1" applyAlignment="1">
      <alignment horizontal="center" vertical="center" wrapText="1"/>
    </xf>
    <xf numFmtId="0" fontId="114" fillId="26" borderId="8" xfId="267" applyFont="1" applyFill="1" applyBorder="1" applyAlignment="1">
      <alignment horizontal="center" vertical="center" wrapText="1"/>
    </xf>
    <xf numFmtId="0" fontId="114" fillId="26" borderId="41" xfId="267" applyFont="1" applyFill="1" applyBorder="1" applyAlignment="1">
      <alignment horizontal="center" vertical="center" wrapText="1"/>
    </xf>
    <xf numFmtId="179" fontId="114" fillId="0" borderId="11" xfId="174" applyNumberFormat="1" applyFont="1" applyFill="1" applyBorder="1"/>
    <xf numFmtId="179" fontId="110" fillId="0" borderId="43" xfId="174" applyNumberFormat="1" applyFont="1" applyFill="1" applyBorder="1" applyAlignment="1">
      <alignment horizontal="center" wrapText="1"/>
    </xf>
    <xf numFmtId="0" fontId="114" fillId="26" borderId="40" xfId="267" applyFont="1" applyFill="1" applyBorder="1" applyAlignment="1">
      <alignment horizontal="left" wrapText="1"/>
    </xf>
    <xf numFmtId="17" fontId="114" fillId="26" borderId="40" xfId="267" applyNumberFormat="1" applyFont="1" applyFill="1" applyBorder="1" applyAlignment="1">
      <alignment horizontal="center" wrapText="1"/>
    </xf>
    <xf numFmtId="0" fontId="114" fillId="26" borderId="40" xfId="267" applyFont="1" applyFill="1" applyBorder="1"/>
    <xf numFmtId="17" fontId="114" fillId="26" borderId="11" xfId="267" applyNumberFormat="1" applyFont="1" applyFill="1" applyBorder="1" applyAlignment="1">
      <alignment horizontal="center" wrapText="1"/>
    </xf>
    <xf numFmtId="177" fontId="110" fillId="0" borderId="13" xfId="174" applyNumberFormat="1" applyFont="1" applyFill="1" applyBorder="1" applyAlignment="1">
      <alignment horizontal="left" wrapText="1"/>
    </xf>
    <xf numFmtId="177" fontId="110" fillId="0" borderId="32" xfId="174" applyNumberFormat="1" applyFont="1" applyFill="1" applyBorder="1" applyAlignment="1">
      <alignment horizontal="left" wrapText="1"/>
    </xf>
    <xf numFmtId="177" fontId="114" fillId="0" borderId="40" xfId="174" applyNumberFormat="1" applyFont="1" applyFill="1" applyBorder="1" applyAlignment="1">
      <alignment horizontal="left" wrapText="1"/>
    </xf>
    <xf numFmtId="177" fontId="114" fillId="0" borderId="11" xfId="174" applyNumberFormat="1" applyFont="1" applyFill="1" applyBorder="1" applyAlignment="1">
      <alignment horizontal="left" wrapText="1"/>
    </xf>
    <xf numFmtId="0" fontId="110" fillId="0" borderId="21" xfId="267" applyFont="1" applyBorder="1"/>
    <xf numFmtId="179" fontId="123" fillId="0" borderId="27" xfId="174" applyNumberFormat="1" applyFont="1" applyFill="1" applyBorder="1" applyAlignment="1">
      <alignment horizontal="right" vertical="center"/>
    </xf>
    <xf numFmtId="0" fontId="114" fillId="0" borderId="21" xfId="267" applyFont="1" applyBorder="1"/>
    <xf numFmtId="3" fontId="114" fillId="0" borderId="27" xfId="267" applyNumberFormat="1" applyFont="1" applyBorder="1"/>
    <xf numFmtId="3" fontId="110" fillId="0" borderId="27" xfId="267" applyNumberFormat="1" applyFont="1" applyBorder="1"/>
    <xf numFmtId="265" fontId="110" fillId="28" borderId="21" xfId="268" applyNumberFormat="1" applyFont="1" applyFill="1" applyBorder="1"/>
    <xf numFmtId="270" fontId="110" fillId="28" borderId="27" xfId="268" applyNumberFormat="1" applyFont="1" applyFill="1" applyBorder="1"/>
    <xf numFmtId="265" fontId="110" fillId="28" borderId="22" xfId="268" applyNumberFormat="1" applyFont="1" applyFill="1" applyBorder="1"/>
    <xf numFmtId="270" fontId="110" fillId="28" borderId="28" xfId="268" applyNumberFormat="1" applyFont="1" applyFill="1" applyBorder="1"/>
    <xf numFmtId="3" fontId="0" fillId="0" borderId="0" xfId="0" applyNumberFormat="1"/>
    <xf numFmtId="270" fontId="114" fillId="26" borderId="45" xfId="268" applyNumberFormat="1" applyFont="1" applyFill="1" applyBorder="1" applyAlignment="1">
      <alignment horizontal="center" vertical="center"/>
    </xf>
    <xf numFmtId="17" fontId="116" fillId="26" borderId="44" xfId="267" applyNumberFormat="1" applyFont="1" applyFill="1" applyBorder="1" applyAlignment="1">
      <alignment horizontal="left" vertical="center" wrapText="1"/>
    </xf>
    <xf numFmtId="172" fontId="113" fillId="31" borderId="0" xfId="0" applyNumberFormat="1" applyFont="1" applyFill="1"/>
    <xf numFmtId="172" fontId="110" fillId="31" borderId="0" xfId="0" applyNumberFormat="1" applyFont="1" applyFill="1"/>
    <xf numFmtId="177" fontId="124" fillId="0" borderId="0" xfId="162" applyNumberFormat="1" applyFont="1" applyBorder="1"/>
    <xf numFmtId="177" fontId="124" fillId="30" borderId="0" xfId="162" applyNumberFormat="1" applyFont="1" applyFill="1" applyBorder="1"/>
    <xf numFmtId="176" fontId="118" fillId="30" borderId="0" xfId="544" applyNumberFormat="1" applyFont="1" applyFill="1" applyBorder="1"/>
    <xf numFmtId="175" fontId="114" fillId="30" borderId="0" xfId="0" applyNumberFormat="1" applyFont="1" applyFill="1" applyAlignment="1">
      <alignment horizontal="centerContinuous"/>
    </xf>
    <xf numFmtId="172" fontId="113" fillId="30" borderId="0" xfId="0" applyNumberFormat="1" applyFont="1" applyFill="1"/>
    <xf numFmtId="177" fontId="123" fillId="30" borderId="0" xfId="162" applyNumberFormat="1" applyFont="1" applyFill="1" applyBorder="1" applyAlignment="1">
      <alignment horizontal="right"/>
    </xf>
    <xf numFmtId="176" fontId="117" fillId="30" borderId="0" xfId="0" applyNumberFormat="1" applyFont="1" applyFill="1"/>
    <xf numFmtId="172" fontId="119" fillId="30" borderId="0" xfId="0" applyNumberFormat="1" applyFont="1" applyFill="1"/>
    <xf numFmtId="172" fontId="123" fillId="30" borderId="0" xfId="0" applyNumberFormat="1" applyFont="1" applyFill="1"/>
    <xf numFmtId="172" fontId="112" fillId="30" borderId="0" xfId="0" applyNumberFormat="1" applyFont="1" applyFill="1"/>
    <xf numFmtId="264" fontId="114" fillId="30" borderId="0" xfId="0" applyNumberFormat="1" applyFont="1" applyFill="1"/>
    <xf numFmtId="264" fontId="110" fillId="30" borderId="0" xfId="0" applyNumberFormat="1" applyFont="1" applyFill="1"/>
    <xf numFmtId="174" fontId="110" fillId="30" borderId="0" xfId="0" applyNumberFormat="1" applyFont="1" applyFill="1"/>
    <xf numFmtId="173" fontId="114" fillId="30" borderId="0" xfId="0" applyNumberFormat="1" applyFont="1" applyFill="1"/>
    <xf numFmtId="0" fontId="114" fillId="30" borderId="0" xfId="0" applyFont="1" applyFill="1"/>
    <xf numFmtId="175" fontId="114" fillId="30" borderId="0" xfId="0" applyNumberFormat="1" applyFont="1" applyFill="1" applyAlignment="1">
      <alignment horizontal="center" vertical="center"/>
    </xf>
    <xf numFmtId="37" fontId="110" fillId="30" borderId="0" xfId="0" applyNumberFormat="1" applyFont="1" applyFill="1"/>
    <xf numFmtId="265" fontId="110" fillId="30" borderId="0" xfId="0" applyNumberFormat="1" applyFont="1" applyFill="1" applyAlignment="1">
      <alignment horizontal="right"/>
    </xf>
    <xf numFmtId="265" fontId="114" fillId="30" borderId="0" xfId="0" applyNumberFormat="1" applyFont="1" applyFill="1" applyAlignment="1">
      <alignment horizontal="right"/>
    </xf>
    <xf numFmtId="175" fontId="114" fillId="30" borderId="0" xfId="0" applyNumberFormat="1" applyFont="1" applyFill="1" applyAlignment="1">
      <alignment horizontal="center"/>
    </xf>
    <xf numFmtId="172" fontId="114" fillId="30" borderId="0" xfId="0" applyNumberFormat="1" applyFont="1" applyFill="1" applyAlignment="1">
      <alignment horizontal="right"/>
    </xf>
    <xf numFmtId="37" fontId="110" fillId="30" borderId="0" xfId="0" applyNumberFormat="1" applyFont="1" applyFill="1" applyAlignment="1">
      <alignment horizontal="right"/>
    </xf>
    <xf numFmtId="266" fontId="114" fillId="30" borderId="0" xfId="0" applyNumberFormat="1" applyFont="1" applyFill="1"/>
    <xf numFmtId="1" fontId="110" fillId="30" borderId="0" xfId="0" applyNumberFormat="1" applyFont="1" applyFill="1" applyAlignment="1">
      <alignment horizontal="right"/>
    </xf>
    <xf numFmtId="2" fontId="110" fillId="30" borderId="0" xfId="0" applyNumberFormat="1" applyFont="1" applyFill="1"/>
    <xf numFmtId="266" fontId="110" fillId="30" borderId="0" xfId="0" applyNumberFormat="1" applyFont="1" applyFill="1"/>
    <xf numFmtId="268" fontId="114" fillId="30" borderId="0" xfId="0" applyNumberFormat="1" applyFont="1" applyFill="1" applyAlignment="1">
      <alignment horizontal="right"/>
    </xf>
    <xf numFmtId="0" fontId="0" fillId="30" borderId="0" xfId="0" applyFill="1"/>
    <xf numFmtId="172" fontId="113" fillId="35" borderId="0" xfId="0" applyNumberFormat="1" applyFont="1" applyFill="1"/>
    <xf numFmtId="37" fontId="110" fillId="35" borderId="0" xfId="0" applyNumberFormat="1" applyFont="1" applyFill="1"/>
    <xf numFmtId="0" fontId="114" fillId="35" borderId="0" xfId="0" applyFont="1" applyFill="1" applyAlignment="1">
      <alignment horizontal="left"/>
    </xf>
    <xf numFmtId="0" fontId="117" fillId="0" borderId="0" xfId="544" applyNumberFormat="1" applyFont="1" applyFill="1" applyBorder="1"/>
    <xf numFmtId="0" fontId="119" fillId="35" borderId="0" xfId="0" applyFont="1" applyFill="1" applyAlignment="1">
      <alignment horizontal="left"/>
    </xf>
    <xf numFmtId="172" fontId="110" fillId="35" borderId="0" xfId="0" applyNumberFormat="1" applyFont="1" applyFill="1"/>
    <xf numFmtId="171" fontId="125" fillId="0" borderId="0" xfId="162" applyFont="1" applyFill="1"/>
    <xf numFmtId="179" fontId="125" fillId="0" borderId="0" xfId="162" applyNumberFormat="1" applyFont="1" applyFill="1"/>
    <xf numFmtId="177" fontId="125" fillId="0" borderId="0" xfId="162" applyNumberFormat="1" applyFont="1" applyFill="1"/>
    <xf numFmtId="177" fontId="125" fillId="0" borderId="0" xfId="162" applyNumberFormat="1" applyFont="1" applyFill="1" applyBorder="1"/>
    <xf numFmtId="171" fontId="125" fillId="0" borderId="0" xfId="544" applyNumberFormat="1" applyFont="1" applyFill="1" applyBorder="1"/>
    <xf numFmtId="0" fontId="130" fillId="0" borderId="0" xfId="0" applyFont="1"/>
    <xf numFmtId="179" fontId="125" fillId="0" borderId="0" xfId="162" applyNumberFormat="1" applyFont="1" applyFill="1" applyBorder="1"/>
    <xf numFmtId="171" fontId="125" fillId="0" borderId="0" xfId="162" applyFont="1" applyFill="1" applyBorder="1"/>
    <xf numFmtId="178" fontId="125" fillId="0" borderId="0" xfId="162" applyNumberFormat="1" applyFont="1" applyFill="1"/>
    <xf numFmtId="0" fontId="110" fillId="27" borderId="0" xfId="0" applyFont="1" applyFill="1"/>
    <xf numFmtId="172" fontId="110" fillId="27" borderId="0" xfId="0" applyNumberFormat="1" applyFont="1" applyFill="1"/>
    <xf numFmtId="37" fontId="117" fillId="0" borderId="0" xfId="0" applyNumberFormat="1" applyFont="1"/>
    <xf numFmtId="264" fontId="114" fillId="0" borderId="0" xfId="0" applyNumberFormat="1" applyFont="1" applyAlignment="1">
      <alignment horizontal="left" indent="3"/>
    </xf>
    <xf numFmtId="0" fontId="110" fillId="35" borderId="0" xfId="0" applyFont="1" applyFill="1"/>
    <xf numFmtId="269" fontId="110" fillId="35" borderId="0" xfId="0" applyNumberFormat="1" applyFont="1" applyFill="1" applyAlignment="1">
      <alignment horizontal="right"/>
    </xf>
    <xf numFmtId="269" fontId="110" fillId="0" borderId="0" xfId="0" applyNumberFormat="1" applyFont="1" applyAlignment="1">
      <alignment horizontal="right"/>
    </xf>
    <xf numFmtId="242" fontId="113" fillId="35" borderId="0" xfId="162" applyNumberFormat="1" applyFont="1" applyFill="1" applyBorder="1" applyAlignment="1">
      <alignment horizontal="center"/>
    </xf>
    <xf numFmtId="242" fontId="110" fillId="35" borderId="0" xfId="162" applyNumberFormat="1" applyFont="1" applyFill="1" applyBorder="1" applyAlignment="1">
      <alignment horizontal="center"/>
    </xf>
    <xf numFmtId="177" fontId="123" fillId="27" borderId="0" xfId="162" applyNumberFormat="1" applyFont="1" applyFill="1" applyBorder="1"/>
    <xf numFmtId="177" fontId="123" fillId="27" borderId="0" xfId="174" applyNumberFormat="1" applyFont="1" applyFill="1" applyBorder="1"/>
    <xf numFmtId="177" fontId="110" fillId="27" borderId="0" xfId="162" applyNumberFormat="1" applyFont="1" applyFill="1" applyBorder="1"/>
    <xf numFmtId="176" fontId="117" fillId="0" borderId="0" xfId="544" applyNumberFormat="1" applyFont="1" applyFill="1" applyBorder="1" applyAlignment="1">
      <alignment horizontal="left" indent="1"/>
    </xf>
    <xf numFmtId="176" fontId="110" fillId="27" borderId="0" xfId="544" applyNumberFormat="1" applyFont="1" applyFill="1" applyBorder="1"/>
    <xf numFmtId="176" fontId="110" fillId="27" borderId="0" xfId="0" applyNumberFormat="1" applyFont="1" applyFill="1"/>
    <xf numFmtId="177" fontId="110" fillId="27" borderId="0" xfId="0" applyNumberFormat="1" applyFont="1" applyFill="1"/>
    <xf numFmtId="179" fontId="125" fillId="0" borderId="0" xfId="174" applyNumberFormat="1" applyFont="1" applyFill="1" applyBorder="1"/>
    <xf numFmtId="177" fontId="110" fillId="0" borderId="0" xfId="174" applyNumberFormat="1" applyFont="1" applyFill="1" applyBorder="1" applyAlignment="1">
      <alignment horizontal="center" wrapText="1"/>
    </xf>
    <xf numFmtId="177" fontId="110" fillId="0" borderId="0" xfId="174" applyNumberFormat="1" applyFont="1" applyFill="1" applyBorder="1" applyAlignment="1">
      <alignment horizontal="center" vertical="center" wrapText="1"/>
    </xf>
    <xf numFmtId="0" fontId="114" fillId="0" borderId="0" xfId="267" applyFont="1" applyAlignment="1">
      <alignment horizontal="right" wrapText="1"/>
    </xf>
    <xf numFmtId="177" fontId="123" fillId="0" borderId="0" xfId="174" applyNumberFormat="1" applyFont="1" applyFill="1" applyBorder="1" applyAlignment="1">
      <alignment horizontal="center" wrapText="1"/>
    </xf>
    <xf numFmtId="177" fontId="114" fillId="28" borderId="0" xfId="174" applyNumberFormat="1" applyFont="1" applyFill="1" applyBorder="1"/>
    <xf numFmtId="177" fontId="114" fillId="0" borderId="0" xfId="174" applyNumberFormat="1" applyFont="1" applyFill="1" applyBorder="1"/>
    <xf numFmtId="177" fontId="110" fillId="28" borderId="0" xfId="174" applyNumberFormat="1" applyFont="1" applyFill="1" applyBorder="1"/>
    <xf numFmtId="17" fontId="114" fillId="26" borderId="8" xfId="267" applyNumberFormat="1" applyFont="1" applyFill="1" applyBorder="1" applyAlignment="1">
      <alignment horizontal="left" vertical="center" wrapText="1"/>
    </xf>
    <xf numFmtId="0" fontId="114" fillId="26" borderId="8" xfId="267" applyFont="1" applyFill="1" applyBorder="1" applyAlignment="1">
      <alignment horizontal="center" vertical="center"/>
    </xf>
    <xf numFmtId="177" fontId="114" fillId="0" borderId="0" xfId="174" applyNumberFormat="1" applyFont="1" applyFill="1" applyBorder="1" applyAlignment="1">
      <alignment horizontal="left" wrapText="1"/>
    </xf>
    <xf numFmtId="0" fontId="110" fillId="27" borderId="0" xfId="0" applyFont="1" applyFill="1" applyAlignment="1">
      <alignment horizontal="left"/>
    </xf>
    <xf numFmtId="0" fontId="131" fillId="0" borderId="0" xfId="0" applyFont="1" applyAlignment="1">
      <alignment horizontal="left"/>
    </xf>
    <xf numFmtId="172" fontId="125" fillId="0" borderId="0" xfId="0" applyNumberFormat="1" applyFont="1"/>
    <xf numFmtId="37" fontId="125" fillId="0" borderId="0" xfId="0" applyNumberFormat="1" applyFont="1"/>
    <xf numFmtId="172" fontId="127" fillId="0" borderId="0" xfId="0" applyNumberFormat="1" applyFont="1"/>
    <xf numFmtId="0" fontId="132" fillId="0" borderId="0" xfId="0" applyFont="1"/>
    <xf numFmtId="172" fontId="125" fillId="30" borderId="0" xfId="0" applyNumberFormat="1" applyFont="1" applyFill="1"/>
    <xf numFmtId="269" fontId="110" fillId="27" borderId="0" xfId="0" applyNumberFormat="1" applyFont="1" applyFill="1" applyAlignment="1">
      <alignment horizontal="right"/>
    </xf>
    <xf numFmtId="0" fontId="5" fillId="30" borderId="0" xfId="0" applyFont="1" applyFill="1"/>
    <xf numFmtId="179" fontId="131" fillId="0" borderId="0" xfId="0" applyNumberFormat="1" applyFont="1"/>
    <xf numFmtId="0" fontId="114" fillId="27" borderId="0" xfId="0" applyFont="1" applyFill="1"/>
    <xf numFmtId="176" fontId="114" fillId="0" borderId="0" xfId="544" applyNumberFormat="1" applyFont="1" applyFill="1" applyBorder="1"/>
    <xf numFmtId="177" fontId="125" fillId="27" borderId="0" xfId="162" applyNumberFormat="1" applyFont="1" applyFill="1" applyBorder="1"/>
    <xf numFmtId="0" fontId="112" fillId="36" borderId="0" xfId="0" applyFont="1" applyFill="1"/>
    <xf numFmtId="171" fontId="112" fillId="36" borderId="0" xfId="162" applyFont="1" applyFill="1" applyBorder="1" applyAlignment="1">
      <alignment horizontal="center"/>
    </xf>
    <xf numFmtId="175" fontId="114" fillId="36" borderId="0" xfId="0" applyNumberFormat="1" applyFont="1" applyFill="1" applyAlignment="1">
      <alignment horizontal="centerContinuous"/>
    </xf>
    <xf numFmtId="0" fontId="110" fillId="36" borderId="0" xfId="0" applyFont="1" applyFill="1"/>
    <xf numFmtId="0" fontId="0" fillId="36" borderId="0" xfId="0" applyFill="1"/>
    <xf numFmtId="176" fontId="117" fillId="36" borderId="0" xfId="544" applyNumberFormat="1" applyFont="1" applyFill="1" applyBorder="1" applyAlignment="1">
      <alignment horizontal="left" indent="1"/>
    </xf>
    <xf numFmtId="176" fontId="118" fillId="36" borderId="0" xfId="544" applyNumberFormat="1" applyFont="1" applyFill="1" applyBorder="1"/>
    <xf numFmtId="176" fontId="114" fillId="27" borderId="0" xfId="544" applyNumberFormat="1" applyFont="1" applyFill="1" applyBorder="1"/>
    <xf numFmtId="0" fontId="114" fillId="28" borderId="8" xfId="268" applyFont="1" applyFill="1" applyBorder="1"/>
    <xf numFmtId="177" fontId="114" fillId="28" borderId="8" xfId="174" applyNumberFormat="1" applyFont="1" applyFill="1" applyBorder="1"/>
    <xf numFmtId="177" fontId="114" fillId="0" borderId="8" xfId="174" applyNumberFormat="1" applyFont="1" applyFill="1" applyBorder="1"/>
    <xf numFmtId="265" fontId="114" fillId="0" borderId="8" xfId="268" applyNumberFormat="1" applyFont="1" applyBorder="1"/>
    <xf numFmtId="265" fontId="114" fillId="28" borderId="8" xfId="268" applyNumberFormat="1" applyFont="1" applyFill="1" applyBorder="1"/>
    <xf numFmtId="177" fontId="114" fillId="0" borderId="0" xfId="174" applyNumberFormat="1" applyFont="1" applyFill="1" applyBorder="1" applyAlignment="1">
      <alignment horizontal="center" wrapText="1"/>
    </xf>
    <xf numFmtId="0" fontId="115" fillId="26" borderId="0" xfId="0" applyFont="1" applyFill="1" applyAlignment="1">
      <alignment horizontal="left" vertical="center"/>
    </xf>
    <xf numFmtId="0" fontId="114" fillId="26" borderId="38" xfId="0" applyFont="1" applyFill="1" applyBorder="1" applyAlignment="1">
      <alignment horizontal="centerContinuous" vertical="center"/>
    </xf>
    <xf numFmtId="0" fontId="114" fillId="26" borderId="38" xfId="0" applyFont="1" applyFill="1" applyBorder="1" applyAlignment="1">
      <alignment horizontal="center" vertical="center"/>
    </xf>
    <xf numFmtId="0" fontId="114" fillId="0" borderId="0" xfId="0" applyFont="1" applyAlignment="1">
      <alignment horizontal="centerContinuous" vertical="center"/>
    </xf>
    <xf numFmtId="0" fontId="111" fillId="0" borderId="0" xfId="0" applyFont="1" applyAlignment="1">
      <alignment vertical="center"/>
    </xf>
    <xf numFmtId="0" fontId="114" fillId="26" borderId="0" xfId="0" applyFont="1" applyFill="1" applyAlignment="1">
      <alignment horizontal="centerContinuous" vertical="center"/>
    </xf>
    <xf numFmtId="0" fontId="114" fillId="26" borderId="0" xfId="0" applyFont="1" applyFill="1" applyAlignment="1">
      <alignment vertical="center"/>
    </xf>
    <xf numFmtId="175" fontId="114" fillId="26" borderId="0" xfId="0" applyNumberFormat="1" applyFont="1" applyFill="1" applyAlignment="1">
      <alignment horizontal="centerContinuous" vertical="center"/>
    </xf>
    <xf numFmtId="175" fontId="114" fillId="26" borderId="0" xfId="0" applyNumberFormat="1" applyFont="1" applyFill="1" applyAlignment="1">
      <alignment horizontal="center" vertical="center"/>
    </xf>
    <xf numFmtId="175" fontId="114" fillId="0" borderId="0" xfId="0" applyNumberFormat="1" applyFont="1" applyAlignment="1">
      <alignment horizontal="centerContinuous" vertical="center"/>
    </xf>
    <xf numFmtId="0" fontId="114" fillId="0" borderId="0" xfId="0" applyFont="1" applyAlignment="1">
      <alignment vertical="center"/>
    </xf>
    <xf numFmtId="0" fontId="112" fillId="0" borderId="0" xfId="0" applyFont="1" applyAlignment="1">
      <alignment vertical="center"/>
    </xf>
    <xf numFmtId="171" fontId="112" fillId="0" borderId="0" xfId="162" applyFont="1" applyFill="1" applyBorder="1" applyAlignment="1">
      <alignment horizontal="center" vertical="center"/>
    </xf>
    <xf numFmtId="171" fontId="114" fillId="0" borderId="0" xfId="162" applyFont="1" applyFill="1" applyBorder="1" applyAlignment="1">
      <alignment horizontal="center" vertical="center"/>
    </xf>
    <xf numFmtId="37" fontId="114" fillId="0" borderId="0" xfId="0" applyNumberFormat="1" applyFont="1"/>
    <xf numFmtId="271" fontId="114" fillId="0" borderId="0" xfId="0" applyNumberFormat="1" applyFont="1"/>
    <xf numFmtId="37" fontId="114" fillId="30" borderId="0" xfId="0" applyNumberFormat="1" applyFont="1" applyFill="1"/>
    <xf numFmtId="242" fontId="123" fillId="35" borderId="0" xfId="162" applyNumberFormat="1" applyFont="1" applyFill="1" applyBorder="1" applyAlignment="1">
      <alignment horizontal="center"/>
    </xf>
    <xf numFmtId="269" fontId="123" fillId="35" borderId="0" xfId="0" applyNumberFormat="1" applyFont="1" applyFill="1" applyAlignment="1">
      <alignment horizontal="right"/>
    </xf>
    <xf numFmtId="0" fontId="114" fillId="0" borderId="0" xfId="0" applyFont="1" applyAlignment="1">
      <alignment horizontal="center"/>
    </xf>
    <xf numFmtId="0" fontId="114" fillId="36" borderId="38" xfId="0" applyFont="1" applyFill="1" applyBorder="1" applyAlignment="1">
      <alignment horizontal="center" vertical="center"/>
    </xf>
    <xf numFmtId="175" fontId="114" fillId="36" borderId="0" xfId="0" applyNumberFormat="1" applyFont="1" applyFill="1" applyAlignment="1">
      <alignment horizontal="center" vertical="center"/>
    </xf>
    <xf numFmtId="0" fontId="114" fillId="0" borderId="38" xfId="0" applyFont="1" applyBorder="1" applyAlignment="1">
      <alignment horizontal="center" vertical="center"/>
    </xf>
    <xf numFmtId="0" fontId="112" fillId="26" borderId="0" xfId="0" applyFont="1" applyFill="1" applyAlignment="1">
      <alignment vertical="center"/>
    </xf>
    <xf numFmtId="171" fontId="112" fillId="26" borderId="0" xfId="162" applyFont="1" applyFill="1" applyBorder="1" applyAlignment="1">
      <alignment horizontal="center" vertical="center"/>
    </xf>
    <xf numFmtId="0" fontId="114" fillId="36" borderId="0" xfId="267" applyFont="1" applyFill="1"/>
    <xf numFmtId="0" fontId="110" fillId="36" borderId="0" xfId="267" applyFont="1" applyFill="1"/>
    <xf numFmtId="39" fontId="110" fillId="0" borderId="0" xfId="0" applyNumberFormat="1" applyFont="1" applyAlignment="1">
      <alignment horizontal="right"/>
    </xf>
    <xf numFmtId="0" fontId="110" fillId="0" borderId="0" xfId="267" applyFont="1" applyAlignment="1">
      <alignment wrapText="1"/>
    </xf>
    <xf numFmtId="177" fontId="123" fillId="0" borderId="32" xfId="174" applyNumberFormat="1" applyFont="1" applyFill="1" applyBorder="1" applyAlignment="1">
      <alignment horizontal="right" vertical="center"/>
    </xf>
    <xf numFmtId="177" fontId="110" fillId="0" borderId="14" xfId="174" applyNumberFormat="1" applyFont="1" applyBorder="1" applyAlignment="1">
      <alignment horizontal="right" vertical="center"/>
    </xf>
    <xf numFmtId="177" fontId="114" fillId="0" borderId="11" xfId="267" applyNumberFormat="1" applyFont="1" applyBorder="1"/>
    <xf numFmtId="177" fontId="114" fillId="0" borderId="41" xfId="267" applyNumberFormat="1" applyFont="1" applyBorder="1"/>
    <xf numFmtId="179" fontId="123" fillId="0" borderId="0" xfId="0" applyNumberFormat="1" applyFont="1" applyAlignment="1">
      <alignment horizontal="center" vertical="center"/>
    </xf>
  </cellXfs>
  <cellStyles count="897">
    <cellStyle name="$" xfId="1" xr:uid="{00000000-0005-0000-0000-000000000000}"/>
    <cellStyle name="$_TSA Model - 1 8 06 - v2" xfId="2" xr:uid="{00000000-0005-0000-0000-000001000000}"/>
    <cellStyle name="%" xfId="3" xr:uid="{00000000-0005-0000-0000-000002000000}"/>
    <cellStyle name=";;;" xfId="4" xr:uid="{00000000-0005-0000-0000-000003000000}"/>
    <cellStyle name="_%(SignOnly)" xfId="5" xr:uid="{00000000-0005-0000-0000-000004000000}"/>
    <cellStyle name="_%(SignSpaceOnly)" xfId="6" xr:uid="{00000000-0005-0000-0000-000005000000}"/>
    <cellStyle name="_0% CADR" xfId="7" xr:uid="{00000000-0005-0000-0000-000006000000}"/>
    <cellStyle name="_0% IRR" xfId="8" xr:uid="{00000000-0005-0000-0000-000007000000}"/>
    <cellStyle name="_1% CADR" xfId="9" xr:uid="{00000000-0005-0000-0000-000008000000}"/>
    <cellStyle name="_10% CADR" xfId="10" xr:uid="{00000000-0005-0000-0000-000009000000}"/>
    <cellStyle name="_10% CDR" xfId="11" xr:uid="{00000000-0005-0000-0000-00000A000000}"/>
    <cellStyle name="_11% CADR" xfId="12" xr:uid="{00000000-0005-0000-0000-00000B000000}"/>
    <cellStyle name="_12% CADR" xfId="13" xr:uid="{00000000-0005-0000-0000-00000C000000}"/>
    <cellStyle name="_12% CDR" xfId="14" xr:uid="{00000000-0005-0000-0000-00000D000000}"/>
    <cellStyle name="_13% CADR" xfId="15" xr:uid="{00000000-0005-0000-0000-00000E000000}"/>
    <cellStyle name="_14% CADR" xfId="16" xr:uid="{00000000-0005-0000-0000-00000F000000}"/>
    <cellStyle name="_14% CDR" xfId="17" xr:uid="{00000000-0005-0000-0000-000010000000}"/>
    <cellStyle name="_16% CDR" xfId="18" xr:uid="{00000000-0005-0000-0000-000011000000}"/>
    <cellStyle name="_18% CDR" xfId="19" xr:uid="{00000000-0005-0000-0000-000012000000}"/>
    <cellStyle name="_19.6% CDR BBB Break In Yield" xfId="20" xr:uid="{00000000-0005-0000-0000-000013000000}"/>
    <cellStyle name="_2% CADR" xfId="21" xr:uid="{00000000-0005-0000-0000-000014000000}"/>
    <cellStyle name="_20% CDR" xfId="22" xr:uid="{00000000-0005-0000-0000-000015000000}"/>
    <cellStyle name="_21.5% CDR BBB Break In Yield" xfId="23" xr:uid="{00000000-0005-0000-0000-000016000000}"/>
    <cellStyle name="_3% CADR" xfId="24" xr:uid="{00000000-0005-0000-0000-000017000000}"/>
    <cellStyle name="_3% CDR" xfId="25" xr:uid="{00000000-0005-0000-0000-000018000000}"/>
    <cellStyle name="_4% CADR" xfId="26" xr:uid="{00000000-0005-0000-0000-000019000000}"/>
    <cellStyle name="_5% CADR" xfId="27" xr:uid="{00000000-0005-0000-0000-00001A000000}"/>
    <cellStyle name="_5% CDR" xfId="28" xr:uid="{00000000-0005-0000-0000-00001B000000}"/>
    <cellStyle name="_6% CADR" xfId="29" xr:uid="{00000000-0005-0000-0000-00001C000000}"/>
    <cellStyle name="_7% CADR" xfId="30" xr:uid="{00000000-0005-0000-0000-00001D000000}"/>
    <cellStyle name="_7% CDR" xfId="31" xr:uid="{00000000-0005-0000-0000-00001E000000}"/>
    <cellStyle name="_8% CADR" xfId="32" xr:uid="{00000000-0005-0000-0000-00001F000000}"/>
    <cellStyle name="_8.0% CDR BB Break In Yield" xfId="33" xr:uid="{00000000-0005-0000-0000-000020000000}"/>
    <cellStyle name="_8.1% CDR BB Break In Yield" xfId="34" xr:uid="{00000000-0005-0000-0000-000021000000}"/>
    <cellStyle name="_9% CADR" xfId="35" xr:uid="{00000000-0005-0000-0000-000022000000}"/>
    <cellStyle name="_Assets" xfId="36" xr:uid="{00000000-0005-0000-0000-000023000000}"/>
    <cellStyle name="_Assets_1" xfId="37" xr:uid="{00000000-0005-0000-0000-000024000000}"/>
    <cellStyle name="_Assets_1_COMPS - B2B Publishers" xfId="38" xr:uid="{00000000-0005-0000-0000-000025000000}"/>
    <cellStyle name="_Assets_1_COMPS - Directories" xfId="39" xr:uid="{00000000-0005-0000-0000-000026000000}"/>
    <cellStyle name="_Assets_1_F&amp;W Servicing Model" xfId="40" xr:uid="{00000000-0005-0000-0000-000027000000}"/>
    <cellStyle name="_Assets_1_F&amp;W Servicing Model v2" xfId="41" xr:uid="{00000000-0005-0000-0000-000028000000}"/>
    <cellStyle name="_Assets_1_S&amp;P Analysis" xfId="42" xr:uid="{00000000-0005-0000-0000-000029000000}"/>
    <cellStyle name="_Assets_1_Univision Annual Model" xfId="43" xr:uid="{00000000-0005-0000-0000-00002A000000}"/>
    <cellStyle name="_Assets_1_Yell Servicing Model" xfId="44" xr:uid="{00000000-0005-0000-0000-00002B000000}"/>
    <cellStyle name="_Assets_S&amp;P Analysis" xfId="45" xr:uid="{00000000-0005-0000-0000-00002C000000}"/>
    <cellStyle name="_Assets_S&amp;P Analysis_COMPS - B2B Publishers" xfId="46" xr:uid="{00000000-0005-0000-0000-00002D000000}"/>
    <cellStyle name="_Assets_S&amp;P Analysis_COMPS - Directories" xfId="47" xr:uid="{00000000-0005-0000-0000-00002E000000}"/>
    <cellStyle name="_Assets_S&amp;P Analysis_F&amp;W Servicing Model" xfId="48" xr:uid="{00000000-0005-0000-0000-00002F000000}"/>
    <cellStyle name="_Assets_S&amp;P Analysis_F&amp;W Servicing Model v2" xfId="49" xr:uid="{00000000-0005-0000-0000-000030000000}"/>
    <cellStyle name="_Assets_S&amp;P Analysis_Univision Annual Model" xfId="50" xr:uid="{00000000-0005-0000-0000-000031000000}"/>
    <cellStyle name="_Assets_S&amp;P Analysis_Yell Servicing Model" xfId="51" xr:uid="{00000000-0005-0000-0000-000032000000}"/>
    <cellStyle name="_Assumptions" xfId="52" xr:uid="{00000000-0005-0000-0000-000033000000}"/>
    <cellStyle name="_Assumptions_1" xfId="53" xr:uid="{00000000-0005-0000-0000-000034000000}"/>
    <cellStyle name="_Assumptions_1_COMPS - B2B Publishers" xfId="54" xr:uid="{00000000-0005-0000-0000-000035000000}"/>
    <cellStyle name="_Assumptions_1_COMPS - Directories" xfId="55" xr:uid="{00000000-0005-0000-0000-000036000000}"/>
    <cellStyle name="_Assumptions_1_F&amp;W Servicing Model" xfId="56" xr:uid="{00000000-0005-0000-0000-000037000000}"/>
    <cellStyle name="_Assumptions_1_F&amp;W Servicing Model v2" xfId="57" xr:uid="{00000000-0005-0000-0000-000038000000}"/>
    <cellStyle name="_Assumptions_1_Univision Annual Model" xfId="58" xr:uid="{00000000-0005-0000-0000-000039000000}"/>
    <cellStyle name="_Assumptions_1_Yell Servicing Model" xfId="59" xr:uid="{00000000-0005-0000-0000-00003A000000}"/>
    <cellStyle name="_Blue Mountain TRS (7-5-05)" xfId="60" xr:uid="{00000000-0005-0000-0000-00003B000000}"/>
    <cellStyle name="_Book2" xfId="61" xr:uid="{00000000-0005-0000-0000-00003C000000}"/>
    <cellStyle name="_CDO of CDO" xfId="62" xr:uid="{00000000-0005-0000-0000-00003D000000}"/>
    <cellStyle name="_CLO Portfolio 10_07_2005" xfId="63" xr:uid="{00000000-0005-0000-0000-00003E000000}"/>
    <cellStyle name="_Comma" xfId="64" xr:uid="{00000000-0005-0000-0000-00003F000000}"/>
    <cellStyle name="_Comma_dcf" xfId="65" xr:uid="{00000000-0005-0000-0000-000040000000}"/>
    <cellStyle name="_Currency" xfId="66" xr:uid="{00000000-0005-0000-0000-000041000000}"/>
    <cellStyle name="_Currency_dcf" xfId="67" xr:uid="{00000000-0005-0000-0000-000042000000}"/>
    <cellStyle name="_CurrencySpace" xfId="68" xr:uid="{00000000-0005-0000-0000-000043000000}"/>
    <cellStyle name="_CurrencySpace_dcf" xfId="69" xr:uid="{00000000-0005-0000-0000-000044000000}"/>
    <cellStyle name="_Euro" xfId="70" xr:uid="{00000000-0005-0000-0000-000045000000}"/>
    <cellStyle name="_EV8 Assumption List" xfId="71" xr:uid="{00000000-0005-0000-0000-000046000000}"/>
    <cellStyle name="_Exhibit I Babson Warehouse 2006-II CLO 8 18 06" xfId="72" xr:uid="{00000000-0005-0000-0000-000047000000}"/>
    <cellStyle name="_First PIK" xfId="73" xr:uid="{00000000-0005-0000-0000-000048000000}"/>
    <cellStyle name="_Galaxy VI CLO - WestLB Request" xfId="74" xr:uid="{00000000-0005-0000-0000-000049000000}"/>
    <cellStyle name="_Heading" xfId="75" xr:uid="{00000000-0005-0000-0000-00004A000000}"/>
    <cellStyle name="_Heading_prestemp" xfId="76" xr:uid="{00000000-0005-0000-0000-00004B000000}"/>
    <cellStyle name="_Highlight" xfId="77" xr:uid="{00000000-0005-0000-0000-00004C000000}"/>
    <cellStyle name="_Model FINAL (2)" xfId="78" xr:uid="{00000000-0005-0000-0000-00004D000000}"/>
    <cellStyle name="_Multiple" xfId="79" xr:uid="{00000000-0005-0000-0000-00004E000000}"/>
    <cellStyle name="_Multiple_dcf" xfId="80" xr:uid="{00000000-0005-0000-0000-00004F000000}"/>
    <cellStyle name="_MultipleSpace" xfId="81" xr:uid="{00000000-0005-0000-0000-000050000000}"/>
    <cellStyle name="_MultipleSpace_dcf" xfId="82" xr:uid="{00000000-0005-0000-0000-000051000000}"/>
    <cellStyle name="_Other Defafult Scenario 1" xfId="83" xr:uid="{00000000-0005-0000-0000-000052000000}"/>
    <cellStyle name="_Other Default Scenario 2" xfId="84" xr:uid="{00000000-0005-0000-0000-000053000000}"/>
    <cellStyle name="_Percent" xfId="85" xr:uid="{00000000-0005-0000-0000-000054000000}"/>
    <cellStyle name="_PercentSpace" xfId="86" xr:uid="{00000000-0005-0000-0000-000055000000}"/>
    <cellStyle name="_Port" xfId="87" xr:uid="{00000000-0005-0000-0000-000056000000}"/>
    <cellStyle name="_Port For S&amp;P" xfId="88" xr:uid="{00000000-0005-0000-0000-000057000000}"/>
    <cellStyle name="_Port_COMPS - B2B Publishers" xfId="89" xr:uid="{00000000-0005-0000-0000-000058000000}"/>
    <cellStyle name="_Port_COMPS - Directories" xfId="90" xr:uid="{00000000-0005-0000-0000-000059000000}"/>
    <cellStyle name="_Port_F&amp;W Servicing Model" xfId="91" xr:uid="{00000000-0005-0000-0000-00005A000000}"/>
    <cellStyle name="_Port_F&amp;W Servicing Model v2" xfId="92" xr:uid="{00000000-0005-0000-0000-00005B000000}"/>
    <cellStyle name="_Port_Univision Annual Model" xfId="93" xr:uid="{00000000-0005-0000-0000-00005C000000}"/>
    <cellStyle name="_Port_Yell Servicing Model" xfId="94" xr:uid="{00000000-0005-0000-0000-00005D000000}"/>
    <cellStyle name="_Pro Forma TTM 9.30.07 (CW NEIRB Acquisition)" xfId="95" xr:uid="{00000000-0005-0000-0000-00005E000000}"/>
    <cellStyle name="_S&amp;P Analysis" xfId="96" xr:uid="{00000000-0005-0000-0000-00005F000000}"/>
    <cellStyle name="_S&amp;P Analysis_COMPS - B2B Publishers" xfId="97" xr:uid="{00000000-0005-0000-0000-000060000000}"/>
    <cellStyle name="_S&amp;P Analysis_COMPS - Directories" xfId="98" xr:uid="{00000000-0005-0000-0000-000061000000}"/>
    <cellStyle name="_S&amp;P Analysis_F&amp;W Servicing Model" xfId="99" xr:uid="{00000000-0005-0000-0000-000062000000}"/>
    <cellStyle name="_S&amp;P Analysis_F&amp;W Servicing Model v2" xfId="100" xr:uid="{00000000-0005-0000-0000-000063000000}"/>
    <cellStyle name="_S&amp;P Analysis_Univision Annual Model" xfId="101" xr:uid="{00000000-0005-0000-0000-000064000000}"/>
    <cellStyle name="_S&amp;P Analysis_Yell Servicing Model" xfId="102" xr:uid="{00000000-0005-0000-0000-000065000000}"/>
    <cellStyle name="_S&amp;P Hypothetical Port Summary" xfId="103" xr:uid="{00000000-0005-0000-0000-000066000000}"/>
    <cellStyle name="_S&amp;P Port 80Div_2099WARF" xfId="104" xr:uid="{00000000-0005-0000-0000-000067000000}"/>
    <cellStyle name="_S&amp;P Stress Scenarios" xfId="105" xr:uid="{00000000-0005-0000-0000-000068000000}"/>
    <cellStyle name="_Sources and Uses" xfId="106" xr:uid="{00000000-0005-0000-0000-000069000000}"/>
    <cellStyle name="_SubHeading" xfId="107" xr:uid="{00000000-0005-0000-0000-00006A000000}"/>
    <cellStyle name="_SubHeading_prestemp" xfId="108" xr:uid="{00000000-0005-0000-0000-00006B000000}"/>
    <cellStyle name="_Table" xfId="109" xr:uid="{00000000-0005-0000-0000-00006C000000}"/>
    <cellStyle name="_TableHead" xfId="110" xr:uid="{00000000-0005-0000-0000-00006D000000}"/>
    <cellStyle name="_TableRowHead" xfId="111" xr:uid="{00000000-0005-0000-0000-00006E000000}"/>
    <cellStyle name="_TableSuperHead" xfId="112" xr:uid="{00000000-0005-0000-0000-00006F000000}"/>
    <cellStyle name="£Currency [0]" xfId="113" xr:uid="{00000000-0005-0000-0000-000070000000}"/>
    <cellStyle name="£Currency [1]" xfId="114" xr:uid="{00000000-0005-0000-0000-000071000000}"/>
    <cellStyle name="£Currency [2]" xfId="115" xr:uid="{00000000-0005-0000-0000-000072000000}"/>
    <cellStyle name="£Currency [p]" xfId="116" xr:uid="{00000000-0005-0000-0000-000073000000}"/>
    <cellStyle name="£Currency [p2]" xfId="117" xr:uid="{00000000-0005-0000-0000-000074000000}"/>
    <cellStyle name="£Pounds" xfId="118" xr:uid="{00000000-0005-0000-0000-000075000000}"/>
    <cellStyle name="Accounting $" xfId="119" xr:uid="{00000000-0005-0000-0000-000076000000}"/>
    <cellStyle name="Across" xfId="120" xr:uid="{00000000-0005-0000-0000-000077000000}"/>
    <cellStyle name="Adjustable" xfId="121" xr:uid="{00000000-0005-0000-0000-000078000000}"/>
    <cellStyle name="AFE" xfId="122" xr:uid="{00000000-0005-0000-0000-000079000000}"/>
    <cellStyle name="Andre's Title" xfId="123" xr:uid="{00000000-0005-0000-0000-00007A000000}"/>
    <cellStyle name="args.style" xfId="124" xr:uid="{00000000-0005-0000-0000-00007B000000}"/>
    <cellStyle name="Arial 10" xfId="125" xr:uid="{00000000-0005-0000-0000-00007C000000}"/>
    <cellStyle name="Arial 12" xfId="126" xr:uid="{00000000-0005-0000-0000-00007D000000}"/>
    <cellStyle name="Best" xfId="127" xr:uid="{00000000-0005-0000-0000-00007E000000}"/>
    <cellStyle name="Blank [$]" xfId="128" xr:uid="{00000000-0005-0000-0000-00007F000000}"/>
    <cellStyle name="Blank [,]" xfId="129" xr:uid="{00000000-0005-0000-0000-000080000000}"/>
    <cellStyle name="BlankedZeros" xfId="130" xr:uid="{00000000-0005-0000-0000-000081000000}"/>
    <cellStyle name="blp_column_header" xfId="131" xr:uid="{00000000-0005-0000-0000-000082000000}"/>
    <cellStyle name="Blue" xfId="132" xr:uid="{00000000-0005-0000-0000-000083000000}"/>
    <cellStyle name="bluepercent" xfId="133" xr:uid="{00000000-0005-0000-0000-000084000000}"/>
    <cellStyle name="Body" xfId="134" xr:uid="{00000000-0005-0000-0000-000085000000}"/>
    <cellStyle name="Bold" xfId="135" xr:uid="{00000000-0005-0000-0000-000086000000}"/>
    <cellStyle name="BoldItalic" xfId="136" xr:uid="{00000000-0005-0000-0000-000087000000}"/>
    <cellStyle name="Bottom" xfId="137" xr:uid="{00000000-0005-0000-0000-000088000000}"/>
    <cellStyle name="Bottom Edge" xfId="138" xr:uid="{00000000-0005-0000-0000-000089000000}"/>
    <cellStyle name="British Pound" xfId="139" xr:uid="{00000000-0005-0000-0000-00008A000000}"/>
    <cellStyle name="Business Description" xfId="140" xr:uid="{00000000-0005-0000-0000-00008B000000}"/>
    <cellStyle name="c" xfId="141" xr:uid="{00000000-0005-0000-0000-00008C000000}"/>
    <cellStyle name="Calc Currency (0)" xfId="142" xr:uid="{00000000-0005-0000-0000-00008D000000}"/>
    <cellStyle name="Calc Currency (2)" xfId="143" xr:uid="{00000000-0005-0000-0000-00008E000000}"/>
    <cellStyle name="Calc Percent (0)" xfId="144" xr:uid="{00000000-0005-0000-0000-00008F000000}"/>
    <cellStyle name="Calc Percent (1)" xfId="145" xr:uid="{00000000-0005-0000-0000-000090000000}"/>
    <cellStyle name="Calc Percent (2)" xfId="146" xr:uid="{00000000-0005-0000-0000-000091000000}"/>
    <cellStyle name="Calc Units (0)" xfId="147" xr:uid="{00000000-0005-0000-0000-000092000000}"/>
    <cellStyle name="Calc Units (1)" xfId="148" xr:uid="{00000000-0005-0000-0000-000093000000}"/>
    <cellStyle name="Calc Units (2)" xfId="149" xr:uid="{00000000-0005-0000-0000-000094000000}"/>
    <cellStyle name="Case" xfId="150" xr:uid="{00000000-0005-0000-0000-000095000000}"/>
    <cellStyle name="cc" xfId="151" xr:uid="{00000000-0005-0000-0000-000096000000}"/>
    <cellStyle name="Center" xfId="152" xr:uid="{00000000-0005-0000-0000-000097000000}"/>
    <cellStyle name="CenterBold" xfId="153" xr:uid="{00000000-0005-0000-0000-000098000000}"/>
    <cellStyle name="CenterItalic" xfId="154" xr:uid="{00000000-0005-0000-0000-000099000000}"/>
    <cellStyle name="Cents" xfId="155" xr:uid="{00000000-0005-0000-0000-00009A000000}"/>
    <cellStyle name="ChartingText" xfId="156" xr:uid="{00000000-0005-0000-0000-00009B000000}"/>
    <cellStyle name="Co. Names" xfId="157" xr:uid="{00000000-0005-0000-0000-00009C000000}"/>
    <cellStyle name="Co. Names - Bold" xfId="158" xr:uid="{00000000-0005-0000-0000-00009D000000}"/>
    <cellStyle name="Co. Names_Break-Up" xfId="159" xr:uid="{00000000-0005-0000-0000-00009E000000}"/>
    <cellStyle name="COL HEADINGS" xfId="160" xr:uid="{00000000-0005-0000-0000-00009F000000}"/>
    <cellStyle name="ColumnHeaderNormal" xfId="161" xr:uid="{00000000-0005-0000-0000-0000A0000000}"/>
    <cellStyle name="Comma" xfId="162" builtinId="3"/>
    <cellStyle name="Comma  - Style1" xfId="163" xr:uid="{00000000-0005-0000-0000-0000A2000000}"/>
    <cellStyle name="Comma  - Style2" xfId="164" xr:uid="{00000000-0005-0000-0000-0000A3000000}"/>
    <cellStyle name="Comma  - Style3" xfId="165" xr:uid="{00000000-0005-0000-0000-0000A4000000}"/>
    <cellStyle name="Comma  - Style4" xfId="166" xr:uid="{00000000-0005-0000-0000-0000A5000000}"/>
    <cellStyle name="Comma  - Style5" xfId="167" xr:uid="{00000000-0005-0000-0000-0000A6000000}"/>
    <cellStyle name="Comma  - Style6" xfId="168" xr:uid="{00000000-0005-0000-0000-0000A7000000}"/>
    <cellStyle name="Comma  - Style7" xfId="169" xr:uid="{00000000-0005-0000-0000-0000A8000000}"/>
    <cellStyle name="Comma  - Style8" xfId="170" xr:uid="{00000000-0005-0000-0000-0000A9000000}"/>
    <cellStyle name="Comma [0]; --" xfId="171" xr:uid="{00000000-0005-0000-0000-0000AA000000}"/>
    <cellStyle name="Comma [00]" xfId="172" xr:uid="{00000000-0005-0000-0000-0000AB000000}"/>
    <cellStyle name="Comma [1]" xfId="173" xr:uid="{00000000-0005-0000-0000-0000AC000000}"/>
    <cellStyle name="Comma 2" xfId="174" xr:uid="{00000000-0005-0000-0000-0000AD000000}"/>
    <cellStyle name="Comma Cents" xfId="175" xr:uid="{00000000-0005-0000-0000-0000AE000000}"/>
    <cellStyle name="Comma0" xfId="176" xr:uid="{00000000-0005-0000-0000-0000AF000000}"/>
    <cellStyle name="Commas" xfId="177" xr:uid="{00000000-0005-0000-0000-0000B0000000}"/>
    <cellStyle name="CommasBold" xfId="178" xr:uid="{00000000-0005-0000-0000-0000B1000000}"/>
    <cellStyle name="CompanyTitle" xfId="179" xr:uid="{00000000-0005-0000-0000-0000B2000000}"/>
    <cellStyle name="Copied" xfId="180" xr:uid="{00000000-0005-0000-0000-0000B3000000}"/>
    <cellStyle name="Currency $" xfId="181" xr:uid="{00000000-0005-0000-0000-0000B4000000}"/>
    <cellStyle name="Currency [0]; --" xfId="182" xr:uid="{00000000-0005-0000-0000-0000B5000000}"/>
    <cellStyle name="Currency [00]" xfId="183" xr:uid="{00000000-0005-0000-0000-0000B6000000}"/>
    <cellStyle name="Currency [1]" xfId="184" xr:uid="{00000000-0005-0000-0000-0000B7000000}"/>
    <cellStyle name="Currency [2]" xfId="185" xr:uid="{00000000-0005-0000-0000-0000B8000000}"/>
    <cellStyle name="data" xfId="186" xr:uid="{00000000-0005-0000-0000-0000B9000000}"/>
    <cellStyle name="Date" xfId="187" xr:uid="{00000000-0005-0000-0000-0000BA000000}"/>
    <cellStyle name="Date Short" xfId="188" xr:uid="{00000000-0005-0000-0000-0000BB000000}"/>
    <cellStyle name="Date_COMPS - Directories" xfId="189" xr:uid="{00000000-0005-0000-0000-0000BC000000}"/>
    <cellStyle name="DateLeftBold" xfId="190" xr:uid="{00000000-0005-0000-0000-0000BD000000}"/>
    <cellStyle name="Default" xfId="191" xr:uid="{00000000-0005-0000-0000-0000BE000000}"/>
    <cellStyle name="DELTA" xfId="192" xr:uid="{00000000-0005-0000-0000-0000BF000000}"/>
    <cellStyle name="Dollars" xfId="193" xr:uid="{00000000-0005-0000-0000-0000C0000000}"/>
    <cellStyle name="Dollars []" xfId="194" xr:uid="{00000000-0005-0000-0000-0000C1000000}"/>
    <cellStyle name="Dollars_Pro Forma TTM 9.30.07 (CW NEIRB Acquisition)" xfId="195" xr:uid="{00000000-0005-0000-0000-0000C2000000}"/>
    <cellStyle name="Double" xfId="196" xr:uid="{00000000-0005-0000-0000-0000C3000000}"/>
    <cellStyle name="Double Accounting" xfId="197" xr:uid="{00000000-0005-0000-0000-0000C4000000}"/>
    <cellStyle name="Enter Currency (0)" xfId="198" xr:uid="{00000000-0005-0000-0000-0000C5000000}"/>
    <cellStyle name="Enter Currency (2)" xfId="199" xr:uid="{00000000-0005-0000-0000-0000C6000000}"/>
    <cellStyle name="Enter Units (0)" xfId="200" xr:uid="{00000000-0005-0000-0000-0000C7000000}"/>
    <cellStyle name="Enter Units (1)" xfId="201" xr:uid="{00000000-0005-0000-0000-0000C8000000}"/>
    <cellStyle name="Enter Units (2)" xfId="202" xr:uid="{00000000-0005-0000-0000-0000C9000000}"/>
    <cellStyle name="Entered" xfId="203" xr:uid="{00000000-0005-0000-0000-0000CA000000}"/>
    <cellStyle name="Euro" xfId="204" xr:uid="{00000000-0005-0000-0000-0000CB000000}"/>
    <cellStyle name="Fit" xfId="205" xr:uid="{00000000-0005-0000-0000-0000CC000000}"/>
    <cellStyle name="Footer" xfId="206" xr:uid="{00000000-0005-0000-0000-0000CD000000}"/>
    <cellStyle name="Footnotes" xfId="207" xr:uid="{00000000-0005-0000-0000-0000CE000000}"/>
    <cellStyle name="Grey" xfId="208" xr:uid="{00000000-0005-0000-0000-0000CF000000}"/>
    <cellStyle name="GreybarHeader" xfId="209" xr:uid="{00000000-0005-0000-0000-0000D0000000}"/>
    <cellStyle name="Grouped Head" xfId="210" xr:uid="{00000000-0005-0000-0000-0000D1000000}"/>
    <cellStyle name="h" xfId="211" xr:uid="{00000000-0005-0000-0000-0000D2000000}"/>
    <cellStyle name="HAlignCenter" xfId="212" xr:uid="{00000000-0005-0000-0000-0000D3000000}"/>
    <cellStyle name="HAlignLeft" xfId="213" xr:uid="{00000000-0005-0000-0000-0000D4000000}"/>
    <cellStyle name="HAlignRight" xfId="214" xr:uid="{00000000-0005-0000-0000-0000D5000000}"/>
    <cellStyle name="Head 1" xfId="215" xr:uid="{00000000-0005-0000-0000-0000D6000000}"/>
    <cellStyle name="Header" xfId="216" xr:uid="{00000000-0005-0000-0000-0000D7000000}"/>
    <cellStyle name="Header1" xfId="217" xr:uid="{00000000-0005-0000-0000-0000D8000000}"/>
    <cellStyle name="Header2" xfId="218" xr:uid="{00000000-0005-0000-0000-0000D9000000}"/>
    <cellStyle name="headers" xfId="219" xr:uid="{00000000-0005-0000-0000-0000DA000000}"/>
    <cellStyle name="Heading" xfId="220" xr:uid="{00000000-0005-0000-0000-0000DB000000}"/>
    <cellStyle name="HEADINGS" xfId="221" xr:uid="{00000000-0005-0000-0000-0000DC000000}"/>
    <cellStyle name="HEADINGSTOP" xfId="222" xr:uid="{00000000-0005-0000-0000-0000DD000000}"/>
    <cellStyle name="imput" xfId="223" xr:uid="{00000000-0005-0000-0000-0000DE000000}"/>
    <cellStyle name="Input [yellow]" xfId="224" xr:uid="{00000000-0005-0000-0000-0000DF000000}"/>
    <cellStyle name="Invisible" xfId="225" xr:uid="{00000000-0005-0000-0000-0000E0000000}"/>
    <cellStyle name="ItalicHeader" xfId="226" xr:uid="{00000000-0005-0000-0000-0000E1000000}"/>
    <cellStyle name="Item Descriptions" xfId="227" xr:uid="{00000000-0005-0000-0000-0000E2000000}"/>
    <cellStyle name="Item Descriptions - Bold" xfId="228" xr:uid="{00000000-0005-0000-0000-0000E3000000}"/>
    <cellStyle name="Item Descriptions_6079BX" xfId="229" xr:uid="{00000000-0005-0000-0000-0000E4000000}"/>
    <cellStyle name="Left" xfId="230" xr:uid="{00000000-0005-0000-0000-0000E5000000}"/>
    <cellStyle name="LeftBold" xfId="231" xr:uid="{00000000-0005-0000-0000-0000E6000000}"/>
    <cellStyle name="LeftBoldBottomRule" xfId="232" xr:uid="{00000000-0005-0000-0000-0000E7000000}"/>
    <cellStyle name="LeftBoldCenterRule" xfId="233" xr:uid="{00000000-0005-0000-0000-0000E8000000}"/>
    <cellStyle name="Line" xfId="234" xr:uid="{00000000-0005-0000-0000-0000E9000000}"/>
    <cellStyle name="Link Currency (0)" xfId="235" xr:uid="{00000000-0005-0000-0000-0000EA000000}"/>
    <cellStyle name="Link Currency (2)" xfId="236" xr:uid="{00000000-0005-0000-0000-0000EB000000}"/>
    <cellStyle name="Link Units (0)" xfId="237" xr:uid="{00000000-0005-0000-0000-0000EC000000}"/>
    <cellStyle name="Link Units (1)" xfId="238" xr:uid="{00000000-0005-0000-0000-0000ED000000}"/>
    <cellStyle name="Link Units (2)" xfId="239" xr:uid="{00000000-0005-0000-0000-0000EE000000}"/>
    <cellStyle name="locked" xfId="240" xr:uid="{00000000-0005-0000-0000-0000EF000000}"/>
    <cellStyle name="m&amp;a" xfId="241" xr:uid="{00000000-0005-0000-0000-0000F0000000}"/>
    <cellStyle name="Map Labels" xfId="242" xr:uid="{00000000-0005-0000-0000-0000F1000000}"/>
    <cellStyle name="Map Legend" xfId="243" xr:uid="{00000000-0005-0000-0000-0000F2000000}"/>
    <cellStyle name="Merrill" xfId="244" xr:uid="{00000000-0005-0000-0000-0000F3000000}"/>
    <cellStyle name="Millares_Inv Detail A7" xfId="245" xr:uid="{00000000-0005-0000-0000-0000F4000000}"/>
    <cellStyle name="Milliers [0]_r00SC" xfId="246" xr:uid="{00000000-0005-0000-0000-0000F5000000}"/>
    <cellStyle name="Milliers_r00SC" xfId="247" xr:uid="{00000000-0005-0000-0000-0000F6000000}"/>
    <cellStyle name="Mix" xfId="248" xr:uid="{00000000-0005-0000-0000-0000F7000000}"/>
    <cellStyle name="mon" xfId="249" xr:uid="{00000000-0005-0000-0000-0000F8000000}"/>
    <cellStyle name="Monétaire [0]_r00SC" xfId="250" xr:uid="{00000000-0005-0000-0000-0000F9000000}"/>
    <cellStyle name="Monétaire_r00SC" xfId="251" xr:uid="{00000000-0005-0000-0000-0000FA000000}"/>
    <cellStyle name="Money" xfId="252" xr:uid="{00000000-0005-0000-0000-0000FB000000}"/>
    <cellStyle name="Multiple" xfId="253" xr:uid="{00000000-0005-0000-0000-0000FC000000}"/>
    <cellStyle name="Multiple []" xfId="254" xr:uid="{00000000-0005-0000-0000-0000FD000000}"/>
    <cellStyle name="Multiple [0]" xfId="255" xr:uid="{00000000-0005-0000-0000-0000FE000000}"/>
    <cellStyle name="Multiple [0] []" xfId="256" xr:uid="{00000000-0005-0000-0000-0000FF000000}"/>
    <cellStyle name="Multiple [0]_New MA Public Comps and WACC Model" xfId="257" xr:uid="{00000000-0005-0000-0000-000000010000}"/>
    <cellStyle name="Multiple [1]" xfId="258" xr:uid="{00000000-0005-0000-0000-000001010000}"/>
    <cellStyle name="Multiple [1] []" xfId="259" xr:uid="{00000000-0005-0000-0000-000002010000}"/>
    <cellStyle name="Multiple [1]_New MA Public Comps and WACC Model" xfId="260" xr:uid="{00000000-0005-0000-0000-000003010000}"/>
    <cellStyle name="Multiple_CapitalSum" xfId="261" xr:uid="{00000000-0005-0000-0000-000004010000}"/>
    <cellStyle name="N2Style" xfId="262" xr:uid="{00000000-0005-0000-0000-000005010000}"/>
    <cellStyle name="NewColumnHeaderNormal" xfId="263" xr:uid="{00000000-0005-0000-0000-000006010000}"/>
    <cellStyle name="NewSectionHeaderNormal" xfId="264" xr:uid="{00000000-0005-0000-0000-000007010000}"/>
    <cellStyle name="NewTitleNormal" xfId="265" xr:uid="{00000000-0005-0000-0000-000008010000}"/>
    <cellStyle name="Normal" xfId="0" builtinId="0"/>
    <cellStyle name="Normal - Style1" xfId="266" xr:uid="{00000000-0005-0000-0000-00000A010000}"/>
    <cellStyle name="Normal 2" xfId="267" xr:uid="{00000000-0005-0000-0000-00000B010000}"/>
    <cellStyle name="Normal 2 2" xfId="268" xr:uid="{00000000-0005-0000-0000-00000C010000}"/>
    <cellStyle name="Normal1" xfId="269" xr:uid="{00000000-0005-0000-0000-00000D010000}"/>
    <cellStyle name="Normal10" xfId="270" xr:uid="{00000000-0005-0000-0000-00000E010000}"/>
    <cellStyle name="Normal100" xfId="271" xr:uid="{00000000-0005-0000-0000-00000F010000}"/>
    <cellStyle name="Normal101" xfId="272" xr:uid="{00000000-0005-0000-0000-000010010000}"/>
    <cellStyle name="Normal102" xfId="273" xr:uid="{00000000-0005-0000-0000-000011010000}"/>
    <cellStyle name="Normal103" xfId="274" xr:uid="{00000000-0005-0000-0000-000012010000}"/>
    <cellStyle name="Normal104" xfId="275" xr:uid="{00000000-0005-0000-0000-000013010000}"/>
    <cellStyle name="Normal105" xfId="276" xr:uid="{00000000-0005-0000-0000-000014010000}"/>
    <cellStyle name="Normal106" xfId="277" xr:uid="{00000000-0005-0000-0000-000015010000}"/>
    <cellStyle name="Normal107" xfId="278" xr:uid="{00000000-0005-0000-0000-000016010000}"/>
    <cellStyle name="Normal108" xfId="279" xr:uid="{00000000-0005-0000-0000-000017010000}"/>
    <cellStyle name="Normal109" xfId="280" xr:uid="{00000000-0005-0000-0000-000018010000}"/>
    <cellStyle name="Normal11" xfId="281" xr:uid="{00000000-0005-0000-0000-000019010000}"/>
    <cellStyle name="Normal110" xfId="282" xr:uid="{00000000-0005-0000-0000-00001A010000}"/>
    <cellStyle name="Normal111" xfId="283" xr:uid="{00000000-0005-0000-0000-00001B010000}"/>
    <cellStyle name="Normal112" xfId="284" xr:uid="{00000000-0005-0000-0000-00001C010000}"/>
    <cellStyle name="Normal113" xfId="285" xr:uid="{00000000-0005-0000-0000-00001D010000}"/>
    <cellStyle name="Normal114" xfId="286" xr:uid="{00000000-0005-0000-0000-00001E010000}"/>
    <cellStyle name="Normal115" xfId="287" xr:uid="{00000000-0005-0000-0000-00001F010000}"/>
    <cellStyle name="Normal116" xfId="288" xr:uid="{00000000-0005-0000-0000-000020010000}"/>
    <cellStyle name="Normal117" xfId="289" xr:uid="{00000000-0005-0000-0000-000021010000}"/>
    <cellStyle name="Normal118" xfId="290" xr:uid="{00000000-0005-0000-0000-000022010000}"/>
    <cellStyle name="Normal119" xfId="291" xr:uid="{00000000-0005-0000-0000-000023010000}"/>
    <cellStyle name="Normal12" xfId="292" xr:uid="{00000000-0005-0000-0000-000024010000}"/>
    <cellStyle name="Normal120" xfId="293" xr:uid="{00000000-0005-0000-0000-000025010000}"/>
    <cellStyle name="Normal121" xfId="294" xr:uid="{00000000-0005-0000-0000-000026010000}"/>
    <cellStyle name="Normal122" xfId="295" xr:uid="{00000000-0005-0000-0000-000027010000}"/>
    <cellStyle name="Normal123" xfId="296" xr:uid="{00000000-0005-0000-0000-000028010000}"/>
    <cellStyle name="Normal124" xfId="297" xr:uid="{00000000-0005-0000-0000-000029010000}"/>
    <cellStyle name="Normal125" xfId="298" xr:uid="{00000000-0005-0000-0000-00002A010000}"/>
    <cellStyle name="Normal126" xfId="299" xr:uid="{00000000-0005-0000-0000-00002B010000}"/>
    <cellStyle name="Normal127" xfId="300" xr:uid="{00000000-0005-0000-0000-00002C010000}"/>
    <cellStyle name="Normal128" xfId="301" xr:uid="{00000000-0005-0000-0000-00002D010000}"/>
    <cellStyle name="Normal129" xfId="302" xr:uid="{00000000-0005-0000-0000-00002E010000}"/>
    <cellStyle name="Normal13" xfId="303" xr:uid="{00000000-0005-0000-0000-00002F010000}"/>
    <cellStyle name="Normal130" xfId="304" xr:uid="{00000000-0005-0000-0000-000030010000}"/>
    <cellStyle name="Normal131" xfId="305" xr:uid="{00000000-0005-0000-0000-000031010000}"/>
    <cellStyle name="Normal132" xfId="306" xr:uid="{00000000-0005-0000-0000-000032010000}"/>
    <cellStyle name="Normal133" xfId="307" xr:uid="{00000000-0005-0000-0000-000033010000}"/>
    <cellStyle name="Normal134" xfId="308" xr:uid="{00000000-0005-0000-0000-000034010000}"/>
    <cellStyle name="Normal135" xfId="309" xr:uid="{00000000-0005-0000-0000-000035010000}"/>
    <cellStyle name="Normal136" xfId="310" xr:uid="{00000000-0005-0000-0000-000036010000}"/>
    <cellStyle name="Normal137" xfId="311" xr:uid="{00000000-0005-0000-0000-000037010000}"/>
    <cellStyle name="Normal138" xfId="312" xr:uid="{00000000-0005-0000-0000-000038010000}"/>
    <cellStyle name="Normal139" xfId="313" xr:uid="{00000000-0005-0000-0000-000039010000}"/>
    <cellStyle name="Normal14" xfId="314" xr:uid="{00000000-0005-0000-0000-00003A010000}"/>
    <cellStyle name="Normal140" xfId="315" xr:uid="{00000000-0005-0000-0000-00003B010000}"/>
    <cellStyle name="Normal141" xfId="316" xr:uid="{00000000-0005-0000-0000-00003C010000}"/>
    <cellStyle name="Normal142" xfId="317" xr:uid="{00000000-0005-0000-0000-00003D010000}"/>
    <cellStyle name="Normal143" xfId="318" xr:uid="{00000000-0005-0000-0000-00003E010000}"/>
    <cellStyle name="Normal144" xfId="319" xr:uid="{00000000-0005-0000-0000-00003F010000}"/>
    <cellStyle name="Normal145" xfId="320" xr:uid="{00000000-0005-0000-0000-000040010000}"/>
    <cellStyle name="Normal146" xfId="321" xr:uid="{00000000-0005-0000-0000-000041010000}"/>
    <cellStyle name="Normal147" xfId="322" xr:uid="{00000000-0005-0000-0000-000042010000}"/>
    <cellStyle name="Normal148" xfId="323" xr:uid="{00000000-0005-0000-0000-000043010000}"/>
    <cellStyle name="Normal149" xfId="324" xr:uid="{00000000-0005-0000-0000-000044010000}"/>
    <cellStyle name="Normal15" xfId="325" xr:uid="{00000000-0005-0000-0000-000045010000}"/>
    <cellStyle name="Normal150" xfId="326" xr:uid="{00000000-0005-0000-0000-000046010000}"/>
    <cellStyle name="Normal151" xfId="327" xr:uid="{00000000-0005-0000-0000-000047010000}"/>
    <cellStyle name="Normal152" xfId="328" xr:uid="{00000000-0005-0000-0000-000048010000}"/>
    <cellStyle name="Normal153" xfId="329" xr:uid="{00000000-0005-0000-0000-000049010000}"/>
    <cellStyle name="Normal154" xfId="330" xr:uid="{00000000-0005-0000-0000-00004A010000}"/>
    <cellStyle name="Normal155" xfId="331" xr:uid="{00000000-0005-0000-0000-00004B010000}"/>
    <cellStyle name="Normal156" xfId="332" xr:uid="{00000000-0005-0000-0000-00004C010000}"/>
    <cellStyle name="Normal157" xfId="333" xr:uid="{00000000-0005-0000-0000-00004D010000}"/>
    <cellStyle name="Normal158" xfId="334" xr:uid="{00000000-0005-0000-0000-00004E010000}"/>
    <cellStyle name="Normal159" xfId="335" xr:uid="{00000000-0005-0000-0000-00004F010000}"/>
    <cellStyle name="Normal16" xfId="336" xr:uid="{00000000-0005-0000-0000-000050010000}"/>
    <cellStyle name="Normal160" xfId="337" xr:uid="{00000000-0005-0000-0000-000051010000}"/>
    <cellStyle name="Normal161" xfId="338" xr:uid="{00000000-0005-0000-0000-000052010000}"/>
    <cellStyle name="Normal162" xfId="339" xr:uid="{00000000-0005-0000-0000-000053010000}"/>
    <cellStyle name="Normal163" xfId="340" xr:uid="{00000000-0005-0000-0000-000054010000}"/>
    <cellStyle name="Normal164" xfId="341" xr:uid="{00000000-0005-0000-0000-000055010000}"/>
    <cellStyle name="Normal165" xfId="342" xr:uid="{00000000-0005-0000-0000-000056010000}"/>
    <cellStyle name="Normal166" xfId="343" xr:uid="{00000000-0005-0000-0000-000057010000}"/>
    <cellStyle name="Normal167" xfId="344" xr:uid="{00000000-0005-0000-0000-000058010000}"/>
    <cellStyle name="Normal168" xfId="345" xr:uid="{00000000-0005-0000-0000-000059010000}"/>
    <cellStyle name="Normal169" xfId="346" xr:uid="{00000000-0005-0000-0000-00005A010000}"/>
    <cellStyle name="Normal17" xfId="347" xr:uid="{00000000-0005-0000-0000-00005B010000}"/>
    <cellStyle name="Normal170" xfId="348" xr:uid="{00000000-0005-0000-0000-00005C010000}"/>
    <cellStyle name="Normal171" xfId="349" xr:uid="{00000000-0005-0000-0000-00005D010000}"/>
    <cellStyle name="Normal172" xfId="350" xr:uid="{00000000-0005-0000-0000-00005E010000}"/>
    <cellStyle name="Normal173" xfId="351" xr:uid="{00000000-0005-0000-0000-00005F010000}"/>
    <cellStyle name="Normal174" xfId="352" xr:uid="{00000000-0005-0000-0000-000060010000}"/>
    <cellStyle name="Normal175" xfId="353" xr:uid="{00000000-0005-0000-0000-000061010000}"/>
    <cellStyle name="Normal176" xfId="354" xr:uid="{00000000-0005-0000-0000-000062010000}"/>
    <cellStyle name="Normal177" xfId="355" xr:uid="{00000000-0005-0000-0000-000063010000}"/>
    <cellStyle name="Normal178" xfId="356" xr:uid="{00000000-0005-0000-0000-000064010000}"/>
    <cellStyle name="Normal179" xfId="357" xr:uid="{00000000-0005-0000-0000-000065010000}"/>
    <cellStyle name="Normal18" xfId="358" xr:uid="{00000000-0005-0000-0000-000066010000}"/>
    <cellStyle name="Normal180" xfId="359" xr:uid="{00000000-0005-0000-0000-000067010000}"/>
    <cellStyle name="Normal181" xfId="360" xr:uid="{00000000-0005-0000-0000-000068010000}"/>
    <cellStyle name="Normal182" xfId="361" xr:uid="{00000000-0005-0000-0000-000069010000}"/>
    <cellStyle name="Normal183" xfId="362" xr:uid="{00000000-0005-0000-0000-00006A010000}"/>
    <cellStyle name="Normal184" xfId="363" xr:uid="{00000000-0005-0000-0000-00006B010000}"/>
    <cellStyle name="Normal185" xfId="364" xr:uid="{00000000-0005-0000-0000-00006C010000}"/>
    <cellStyle name="Normal186" xfId="365" xr:uid="{00000000-0005-0000-0000-00006D010000}"/>
    <cellStyle name="Normal187" xfId="366" xr:uid="{00000000-0005-0000-0000-00006E010000}"/>
    <cellStyle name="Normal188" xfId="367" xr:uid="{00000000-0005-0000-0000-00006F010000}"/>
    <cellStyle name="Normal189" xfId="368" xr:uid="{00000000-0005-0000-0000-000070010000}"/>
    <cellStyle name="Normal19" xfId="369" xr:uid="{00000000-0005-0000-0000-000071010000}"/>
    <cellStyle name="Normal190" xfId="370" xr:uid="{00000000-0005-0000-0000-000072010000}"/>
    <cellStyle name="Normal191" xfId="371" xr:uid="{00000000-0005-0000-0000-000073010000}"/>
    <cellStyle name="Normal192" xfId="372" xr:uid="{00000000-0005-0000-0000-000074010000}"/>
    <cellStyle name="Normal193" xfId="373" xr:uid="{00000000-0005-0000-0000-000075010000}"/>
    <cellStyle name="Normal194" xfId="374" xr:uid="{00000000-0005-0000-0000-000076010000}"/>
    <cellStyle name="Normal195" xfId="375" xr:uid="{00000000-0005-0000-0000-000077010000}"/>
    <cellStyle name="Normal196" xfId="376" xr:uid="{00000000-0005-0000-0000-000078010000}"/>
    <cellStyle name="Normal197" xfId="377" xr:uid="{00000000-0005-0000-0000-000079010000}"/>
    <cellStyle name="Normal198" xfId="378" xr:uid="{00000000-0005-0000-0000-00007A010000}"/>
    <cellStyle name="Normal199" xfId="379" xr:uid="{00000000-0005-0000-0000-00007B010000}"/>
    <cellStyle name="Normal2" xfId="380" xr:uid="{00000000-0005-0000-0000-00007C010000}"/>
    <cellStyle name="Normal20" xfId="381" xr:uid="{00000000-0005-0000-0000-00007D010000}"/>
    <cellStyle name="Normal200" xfId="382" xr:uid="{00000000-0005-0000-0000-00007E010000}"/>
    <cellStyle name="Normal201" xfId="383" xr:uid="{00000000-0005-0000-0000-00007F010000}"/>
    <cellStyle name="Normal202" xfId="384" xr:uid="{00000000-0005-0000-0000-000080010000}"/>
    <cellStyle name="Normal203" xfId="385" xr:uid="{00000000-0005-0000-0000-000081010000}"/>
    <cellStyle name="Normal204" xfId="386" xr:uid="{00000000-0005-0000-0000-000082010000}"/>
    <cellStyle name="Normal205" xfId="387" xr:uid="{00000000-0005-0000-0000-000083010000}"/>
    <cellStyle name="Normal206" xfId="388" xr:uid="{00000000-0005-0000-0000-000084010000}"/>
    <cellStyle name="Normal207" xfId="389" xr:uid="{00000000-0005-0000-0000-000085010000}"/>
    <cellStyle name="Normal208" xfId="390" xr:uid="{00000000-0005-0000-0000-000086010000}"/>
    <cellStyle name="Normal209" xfId="391" xr:uid="{00000000-0005-0000-0000-000087010000}"/>
    <cellStyle name="Normal21" xfId="392" xr:uid="{00000000-0005-0000-0000-000088010000}"/>
    <cellStyle name="Normal210" xfId="393" xr:uid="{00000000-0005-0000-0000-000089010000}"/>
    <cellStyle name="Normal211" xfId="394" xr:uid="{00000000-0005-0000-0000-00008A010000}"/>
    <cellStyle name="Normal212" xfId="395" xr:uid="{00000000-0005-0000-0000-00008B010000}"/>
    <cellStyle name="Normal213" xfId="396" xr:uid="{00000000-0005-0000-0000-00008C010000}"/>
    <cellStyle name="Normal214" xfId="397" xr:uid="{00000000-0005-0000-0000-00008D010000}"/>
    <cellStyle name="Normal215" xfId="398" xr:uid="{00000000-0005-0000-0000-00008E010000}"/>
    <cellStyle name="Normal216" xfId="399" xr:uid="{00000000-0005-0000-0000-00008F010000}"/>
    <cellStyle name="Normal217" xfId="400" xr:uid="{00000000-0005-0000-0000-000090010000}"/>
    <cellStyle name="Normal218" xfId="401" xr:uid="{00000000-0005-0000-0000-000091010000}"/>
    <cellStyle name="Normal219" xfId="402" xr:uid="{00000000-0005-0000-0000-000092010000}"/>
    <cellStyle name="Normal22" xfId="403" xr:uid="{00000000-0005-0000-0000-000093010000}"/>
    <cellStyle name="Normal220" xfId="404" xr:uid="{00000000-0005-0000-0000-000094010000}"/>
    <cellStyle name="Normal221" xfId="405" xr:uid="{00000000-0005-0000-0000-000095010000}"/>
    <cellStyle name="Normal222" xfId="406" xr:uid="{00000000-0005-0000-0000-000096010000}"/>
    <cellStyle name="Normal223" xfId="407" xr:uid="{00000000-0005-0000-0000-000097010000}"/>
    <cellStyle name="Normal224" xfId="408" xr:uid="{00000000-0005-0000-0000-000098010000}"/>
    <cellStyle name="Normal225" xfId="409" xr:uid="{00000000-0005-0000-0000-000099010000}"/>
    <cellStyle name="Normal226" xfId="410" xr:uid="{00000000-0005-0000-0000-00009A010000}"/>
    <cellStyle name="Normal227" xfId="411" xr:uid="{00000000-0005-0000-0000-00009B010000}"/>
    <cellStyle name="Normal228" xfId="412" xr:uid="{00000000-0005-0000-0000-00009C010000}"/>
    <cellStyle name="Normal229" xfId="413" xr:uid="{00000000-0005-0000-0000-00009D010000}"/>
    <cellStyle name="Normal23" xfId="414" xr:uid="{00000000-0005-0000-0000-00009E010000}"/>
    <cellStyle name="Normal230" xfId="415" xr:uid="{00000000-0005-0000-0000-00009F010000}"/>
    <cellStyle name="Normal231" xfId="416" xr:uid="{00000000-0005-0000-0000-0000A0010000}"/>
    <cellStyle name="Normal232" xfId="417" xr:uid="{00000000-0005-0000-0000-0000A1010000}"/>
    <cellStyle name="Normal233" xfId="418" xr:uid="{00000000-0005-0000-0000-0000A2010000}"/>
    <cellStyle name="Normal234" xfId="419" xr:uid="{00000000-0005-0000-0000-0000A3010000}"/>
    <cellStyle name="Normal235" xfId="420" xr:uid="{00000000-0005-0000-0000-0000A4010000}"/>
    <cellStyle name="Normal236" xfId="421" xr:uid="{00000000-0005-0000-0000-0000A5010000}"/>
    <cellStyle name="Normal237" xfId="422" xr:uid="{00000000-0005-0000-0000-0000A6010000}"/>
    <cellStyle name="Normal238" xfId="423" xr:uid="{00000000-0005-0000-0000-0000A7010000}"/>
    <cellStyle name="Normal239" xfId="424" xr:uid="{00000000-0005-0000-0000-0000A8010000}"/>
    <cellStyle name="Normal24" xfId="425" xr:uid="{00000000-0005-0000-0000-0000A9010000}"/>
    <cellStyle name="Normal240" xfId="426" xr:uid="{00000000-0005-0000-0000-0000AA010000}"/>
    <cellStyle name="Normal241" xfId="427" xr:uid="{00000000-0005-0000-0000-0000AB010000}"/>
    <cellStyle name="Normal242" xfId="428" xr:uid="{00000000-0005-0000-0000-0000AC010000}"/>
    <cellStyle name="Normal243" xfId="429" xr:uid="{00000000-0005-0000-0000-0000AD010000}"/>
    <cellStyle name="Normal244" xfId="430" xr:uid="{00000000-0005-0000-0000-0000AE010000}"/>
    <cellStyle name="Normal245" xfId="431" xr:uid="{00000000-0005-0000-0000-0000AF010000}"/>
    <cellStyle name="Normal246" xfId="432" xr:uid="{00000000-0005-0000-0000-0000B0010000}"/>
    <cellStyle name="Normal247" xfId="433" xr:uid="{00000000-0005-0000-0000-0000B1010000}"/>
    <cellStyle name="Normal248" xfId="434" xr:uid="{00000000-0005-0000-0000-0000B2010000}"/>
    <cellStyle name="Normal249" xfId="435" xr:uid="{00000000-0005-0000-0000-0000B3010000}"/>
    <cellStyle name="Normal25" xfId="436" xr:uid="{00000000-0005-0000-0000-0000B4010000}"/>
    <cellStyle name="Normal250" xfId="437" xr:uid="{00000000-0005-0000-0000-0000B5010000}"/>
    <cellStyle name="Normal251" xfId="438" xr:uid="{00000000-0005-0000-0000-0000B6010000}"/>
    <cellStyle name="Normal252" xfId="439" xr:uid="{00000000-0005-0000-0000-0000B7010000}"/>
    <cellStyle name="Normal253" xfId="440" xr:uid="{00000000-0005-0000-0000-0000B8010000}"/>
    <cellStyle name="Normal26" xfId="441" xr:uid="{00000000-0005-0000-0000-0000B9010000}"/>
    <cellStyle name="Normal27" xfId="442" xr:uid="{00000000-0005-0000-0000-0000BA010000}"/>
    <cellStyle name="Normal28" xfId="443" xr:uid="{00000000-0005-0000-0000-0000BB010000}"/>
    <cellStyle name="Normal29" xfId="444" xr:uid="{00000000-0005-0000-0000-0000BC010000}"/>
    <cellStyle name="Normal3" xfId="445" xr:uid="{00000000-0005-0000-0000-0000BD010000}"/>
    <cellStyle name="Normal30" xfId="446" xr:uid="{00000000-0005-0000-0000-0000BE010000}"/>
    <cellStyle name="Normal31" xfId="447" xr:uid="{00000000-0005-0000-0000-0000BF010000}"/>
    <cellStyle name="Normal32" xfId="448" xr:uid="{00000000-0005-0000-0000-0000C0010000}"/>
    <cellStyle name="Normal33" xfId="449" xr:uid="{00000000-0005-0000-0000-0000C1010000}"/>
    <cellStyle name="Normal34" xfId="450" xr:uid="{00000000-0005-0000-0000-0000C2010000}"/>
    <cellStyle name="Normal35" xfId="451" xr:uid="{00000000-0005-0000-0000-0000C3010000}"/>
    <cellStyle name="Normal36" xfId="452" xr:uid="{00000000-0005-0000-0000-0000C4010000}"/>
    <cellStyle name="Normal37" xfId="453" xr:uid="{00000000-0005-0000-0000-0000C5010000}"/>
    <cellStyle name="Normal38" xfId="454" xr:uid="{00000000-0005-0000-0000-0000C6010000}"/>
    <cellStyle name="Normal39" xfId="455" xr:uid="{00000000-0005-0000-0000-0000C7010000}"/>
    <cellStyle name="Normal4" xfId="456" xr:uid="{00000000-0005-0000-0000-0000C8010000}"/>
    <cellStyle name="Normal40" xfId="457" xr:uid="{00000000-0005-0000-0000-0000C9010000}"/>
    <cellStyle name="Normal41" xfId="458" xr:uid="{00000000-0005-0000-0000-0000CA010000}"/>
    <cellStyle name="Normal42" xfId="459" xr:uid="{00000000-0005-0000-0000-0000CB010000}"/>
    <cellStyle name="Normal43" xfId="460" xr:uid="{00000000-0005-0000-0000-0000CC010000}"/>
    <cellStyle name="Normal44" xfId="461" xr:uid="{00000000-0005-0000-0000-0000CD010000}"/>
    <cellStyle name="Normal45" xfId="462" xr:uid="{00000000-0005-0000-0000-0000CE010000}"/>
    <cellStyle name="Normal46" xfId="463" xr:uid="{00000000-0005-0000-0000-0000CF010000}"/>
    <cellStyle name="Normal47" xfId="464" xr:uid="{00000000-0005-0000-0000-0000D0010000}"/>
    <cellStyle name="Normal48" xfId="465" xr:uid="{00000000-0005-0000-0000-0000D1010000}"/>
    <cellStyle name="Normal49" xfId="466" xr:uid="{00000000-0005-0000-0000-0000D2010000}"/>
    <cellStyle name="Normal5" xfId="467" xr:uid="{00000000-0005-0000-0000-0000D3010000}"/>
    <cellStyle name="Normal50" xfId="468" xr:uid="{00000000-0005-0000-0000-0000D4010000}"/>
    <cellStyle name="Normal51" xfId="469" xr:uid="{00000000-0005-0000-0000-0000D5010000}"/>
    <cellStyle name="Normal52" xfId="470" xr:uid="{00000000-0005-0000-0000-0000D6010000}"/>
    <cellStyle name="Normal53" xfId="471" xr:uid="{00000000-0005-0000-0000-0000D7010000}"/>
    <cellStyle name="Normal54" xfId="472" xr:uid="{00000000-0005-0000-0000-0000D8010000}"/>
    <cellStyle name="Normal55" xfId="473" xr:uid="{00000000-0005-0000-0000-0000D9010000}"/>
    <cellStyle name="Normal56" xfId="474" xr:uid="{00000000-0005-0000-0000-0000DA010000}"/>
    <cellStyle name="Normal57" xfId="475" xr:uid="{00000000-0005-0000-0000-0000DB010000}"/>
    <cellStyle name="Normal58" xfId="476" xr:uid="{00000000-0005-0000-0000-0000DC010000}"/>
    <cellStyle name="Normal59" xfId="477" xr:uid="{00000000-0005-0000-0000-0000DD010000}"/>
    <cellStyle name="Normal6" xfId="478" xr:uid="{00000000-0005-0000-0000-0000DE010000}"/>
    <cellStyle name="Normal60" xfId="479" xr:uid="{00000000-0005-0000-0000-0000DF010000}"/>
    <cellStyle name="Normal61" xfId="480" xr:uid="{00000000-0005-0000-0000-0000E0010000}"/>
    <cellStyle name="Normal62" xfId="481" xr:uid="{00000000-0005-0000-0000-0000E1010000}"/>
    <cellStyle name="Normal63" xfId="482" xr:uid="{00000000-0005-0000-0000-0000E2010000}"/>
    <cellStyle name="Normal64" xfId="483" xr:uid="{00000000-0005-0000-0000-0000E3010000}"/>
    <cellStyle name="Normal65" xfId="484" xr:uid="{00000000-0005-0000-0000-0000E4010000}"/>
    <cellStyle name="Normal66" xfId="485" xr:uid="{00000000-0005-0000-0000-0000E5010000}"/>
    <cellStyle name="Normal67" xfId="486" xr:uid="{00000000-0005-0000-0000-0000E6010000}"/>
    <cellStyle name="Normal68" xfId="487" xr:uid="{00000000-0005-0000-0000-0000E7010000}"/>
    <cellStyle name="Normal69" xfId="488" xr:uid="{00000000-0005-0000-0000-0000E8010000}"/>
    <cellStyle name="Normal7" xfId="489" xr:uid="{00000000-0005-0000-0000-0000E9010000}"/>
    <cellStyle name="Normal70" xfId="490" xr:uid="{00000000-0005-0000-0000-0000EA010000}"/>
    <cellStyle name="Normal71" xfId="491" xr:uid="{00000000-0005-0000-0000-0000EB010000}"/>
    <cellStyle name="Normal72" xfId="492" xr:uid="{00000000-0005-0000-0000-0000EC010000}"/>
    <cellStyle name="Normal73" xfId="493" xr:uid="{00000000-0005-0000-0000-0000ED010000}"/>
    <cellStyle name="Normal74" xfId="494" xr:uid="{00000000-0005-0000-0000-0000EE010000}"/>
    <cellStyle name="Normal75" xfId="495" xr:uid="{00000000-0005-0000-0000-0000EF010000}"/>
    <cellStyle name="Normal76" xfId="496" xr:uid="{00000000-0005-0000-0000-0000F0010000}"/>
    <cellStyle name="Normal77" xfId="497" xr:uid="{00000000-0005-0000-0000-0000F1010000}"/>
    <cellStyle name="Normal78" xfId="498" xr:uid="{00000000-0005-0000-0000-0000F2010000}"/>
    <cellStyle name="Normal79" xfId="499" xr:uid="{00000000-0005-0000-0000-0000F3010000}"/>
    <cellStyle name="Normal8" xfId="500" xr:uid="{00000000-0005-0000-0000-0000F4010000}"/>
    <cellStyle name="Normal80" xfId="501" xr:uid="{00000000-0005-0000-0000-0000F5010000}"/>
    <cellStyle name="Normal81" xfId="502" xr:uid="{00000000-0005-0000-0000-0000F6010000}"/>
    <cellStyle name="Normal82" xfId="503" xr:uid="{00000000-0005-0000-0000-0000F7010000}"/>
    <cellStyle name="Normal83" xfId="504" xr:uid="{00000000-0005-0000-0000-0000F8010000}"/>
    <cellStyle name="Normal84" xfId="505" xr:uid="{00000000-0005-0000-0000-0000F9010000}"/>
    <cellStyle name="Normal85" xfId="506" xr:uid="{00000000-0005-0000-0000-0000FA010000}"/>
    <cellStyle name="Normal86" xfId="507" xr:uid="{00000000-0005-0000-0000-0000FB010000}"/>
    <cellStyle name="Normal87" xfId="508" xr:uid="{00000000-0005-0000-0000-0000FC010000}"/>
    <cellStyle name="Normal88" xfId="509" xr:uid="{00000000-0005-0000-0000-0000FD010000}"/>
    <cellStyle name="Normal89" xfId="510" xr:uid="{00000000-0005-0000-0000-0000FE010000}"/>
    <cellStyle name="Normal9" xfId="511" xr:uid="{00000000-0005-0000-0000-0000FF010000}"/>
    <cellStyle name="Normal90" xfId="512" xr:uid="{00000000-0005-0000-0000-000000020000}"/>
    <cellStyle name="Normal91" xfId="513" xr:uid="{00000000-0005-0000-0000-000001020000}"/>
    <cellStyle name="Normal92" xfId="514" xr:uid="{00000000-0005-0000-0000-000002020000}"/>
    <cellStyle name="Normal93" xfId="515" xr:uid="{00000000-0005-0000-0000-000003020000}"/>
    <cellStyle name="Normal94" xfId="516" xr:uid="{00000000-0005-0000-0000-000004020000}"/>
    <cellStyle name="Normal95" xfId="517" xr:uid="{00000000-0005-0000-0000-000005020000}"/>
    <cellStyle name="Normal96" xfId="518" xr:uid="{00000000-0005-0000-0000-000006020000}"/>
    <cellStyle name="Normal97" xfId="519" xr:uid="{00000000-0005-0000-0000-000007020000}"/>
    <cellStyle name="Normal98" xfId="520" xr:uid="{00000000-0005-0000-0000-000008020000}"/>
    <cellStyle name="Normal99" xfId="521" xr:uid="{00000000-0005-0000-0000-000009020000}"/>
    <cellStyle name="NotDeclared_1" xfId="522" xr:uid="{00000000-0005-0000-0000-00000A020000}"/>
    <cellStyle name="Numbers" xfId="523" xr:uid="{00000000-0005-0000-0000-00000B020000}"/>
    <cellStyle name="Numbers - Bold" xfId="524" xr:uid="{00000000-0005-0000-0000-00000C020000}"/>
    <cellStyle name="Numbers - Bold - Italic" xfId="525" xr:uid="{00000000-0005-0000-0000-00000D020000}"/>
    <cellStyle name="Numbers - Bold_6079BX" xfId="526" xr:uid="{00000000-0005-0000-0000-00000E020000}"/>
    <cellStyle name="Numbers - Large" xfId="527" xr:uid="{00000000-0005-0000-0000-00000F020000}"/>
    <cellStyle name="Numbers_6079BX" xfId="528" xr:uid="{00000000-0005-0000-0000-000010020000}"/>
    <cellStyle name="OSW_RowLabels" xfId="529" xr:uid="{00000000-0005-0000-0000-000011020000}"/>
    <cellStyle name="Outline" xfId="530" xr:uid="{00000000-0005-0000-0000-000012020000}"/>
    <cellStyle name="Output Amounts" xfId="531" xr:uid="{00000000-0005-0000-0000-000013020000}"/>
    <cellStyle name="Output Column Headings" xfId="532" xr:uid="{00000000-0005-0000-0000-000014020000}"/>
    <cellStyle name="Output Line Items" xfId="533" xr:uid="{00000000-0005-0000-0000-000015020000}"/>
    <cellStyle name="Output Report Heading" xfId="534" xr:uid="{00000000-0005-0000-0000-000016020000}"/>
    <cellStyle name="Page" xfId="535" xr:uid="{00000000-0005-0000-0000-000017020000}"/>
    <cellStyle name="PB Table Heading" xfId="536" xr:uid="{00000000-0005-0000-0000-000018020000}"/>
    <cellStyle name="PB Table Highlight1" xfId="537" xr:uid="{00000000-0005-0000-0000-000019020000}"/>
    <cellStyle name="PB Table Highlight2" xfId="538" xr:uid="{00000000-0005-0000-0000-00001A020000}"/>
    <cellStyle name="PB Table Highlight3" xfId="539" xr:uid="{00000000-0005-0000-0000-00001B020000}"/>
    <cellStyle name="PB Table Standard Row" xfId="540" xr:uid="{00000000-0005-0000-0000-00001C020000}"/>
    <cellStyle name="PB Table Subtotal Row" xfId="541" xr:uid="{00000000-0005-0000-0000-00001D020000}"/>
    <cellStyle name="PB Table Total Row" xfId="542" xr:uid="{00000000-0005-0000-0000-00001E020000}"/>
    <cellStyle name="per.style" xfId="543" xr:uid="{00000000-0005-0000-0000-00001F020000}"/>
    <cellStyle name="Percent" xfId="544" builtinId="5"/>
    <cellStyle name="Percent [0]" xfId="545" xr:uid="{00000000-0005-0000-0000-000021020000}"/>
    <cellStyle name="Percent [00]" xfId="546" xr:uid="{00000000-0005-0000-0000-000022020000}"/>
    <cellStyle name="Percent [1]" xfId="547" xr:uid="{00000000-0005-0000-0000-000023020000}"/>
    <cellStyle name="Percent [1][]" xfId="548" xr:uid="{00000000-0005-0000-0000-000024020000}"/>
    <cellStyle name="Percent [1]_New MA Public Comps and WACC Model" xfId="549" xr:uid="{00000000-0005-0000-0000-000025020000}"/>
    <cellStyle name="Percent [2]" xfId="550" xr:uid="{00000000-0005-0000-0000-000026020000}"/>
    <cellStyle name="Percent Comma" xfId="551" xr:uid="{00000000-0005-0000-0000-000027020000}"/>
    <cellStyle name="Percent1" xfId="552" xr:uid="{00000000-0005-0000-0000-000028020000}"/>
    <cellStyle name="Percent10" xfId="553" xr:uid="{00000000-0005-0000-0000-000029020000}"/>
    <cellStyle name="Percent100" xfId="554" xr:uid="{00000000-0005-0000-0000-00002A020000}"/>
    <cellStyle name="Percent101" xfId="555" xr:uid="{00000000-0005-0000-0000-00002B020000}"/>
    <cellStyle name="Percent102" xfId="556" xr:uid="{00000000-0005-0000-0000-00002C020000}"/>
    <cellStyle name="Percent103" xfId="557" xr:uid="{00000000-0005-0000-0000-00002D020000}"/>
    <cellStyle name="Percent104" xfId="558" xr:uid="{00000000-0005-0000-0000-00002E020000}"/>
    <cellStyle name="Percent105" xfId="559" xr:uid="{00000000-0005-0000-0000-00002F020000}"/>
    <cellStyle name="Percent106" xfId="560" xr:uid="{00000000-0005-0000-0000-000030020000}"/>
    <cellStyle name="Percent107" xfId="561" xr:uid="{00000000-0005-0000-0000-000031020000}"/>
    <cellStyle name="Percent108" xfId="562" xr:uid="{00000000-0005-0000-0000-000032020000}"/>
    <cellStyle name="Percent109" xfId="563" xr:uid="{00000000-0005-0000-0000-000033020000}"/>
    <cellStyle name="Percent11" xfId="564" xr:uid="{00000000-0005-0000-0000-000034020000}"/>
    <cellStyle name="Percent110" xfId="565" xr:uid="{00000000-0005-0000-0000-000035020000}"/>
    <cellStyle name="Percent111" xfId="566" xr:uid="{00000000-0005-0000-0000-000036020000}"/>
    <cellStyle name="Percent112" xfId="567" xr:uid="{00000000-0005-0000-0000-000037020000}"/>
    <cellStyle name="Percent113" xfId="568" xr:uid="{00000000-0005-0000-0000-000038020000}"/>
    <cellStyle name="Percent114" xfId="569" xr:uid="{00000000-0005-0000-0000-000039020000}"/>
    <cellStyle name="Percent115" xfId="570" xr:uid="{00000000-0005-0000-0000-00003A020000}"/>
    <cellStyle name="Percent116" xfId="571" xr:uid="{00000000-0005-0000-0000-00003B020000}"/>
    <cellStyle name="Percent117" xfId="572" xr:uid="{00000000-0005-0000-0000-00003C020000}"/>
    <cellStyle name="Percent118" xfId="573" xr:uid="{00000000-0005-0000-0000-00003D020000}"/>
    <cellStyle name="Percent119" xfId="574" xr:uid="{00000000-0005-0000-0000-00003E020000}"/>
    <cellStyle name="Percent12" xfId="575" xr:uid="{00000000-0005-0000-0000-00003F020000}"/>
    <cellStyle name="Percent120" xfId="576" xr:uid="{00000000-0005-0000-0000-000040020000}"/>
    <cellStyle name="Percent121" xfId="577" xr:uid="{00000000-0005-0000-0000-000041020000}"/>
    <cellStyle name="Percent122" xfId="578" xr:uid="{00000000-0005-0000-0000-000042020000}"/>
    <cellStyle name="Percent123" xfId="579" xr:uid="{00000000-0005-0000-0000-000043020000}"/>
    <cellStyle name="Percent124" xfId="580" xr:uid="{00000000-0005-0000-0000-000044020000}"/>
    <cellStyle name="Percent125" xfId="581" xr:uid="{00000000-0005-0000-0000-000045020000}"/>
    <cellStyle name="Percent126" xfId="582" xr:uid="{00000000-0005-0000-0000-000046020000}"/>
    <cellStyle name="Percent127" xfId="583" xr:uid="{00000000-0005-0000-0000-000047020000}"/>
    <cellStyle name="Percent128" xfId="584" xr:uid="{00000000-0005-0000-0000-000048020000}"/>
    <cellStyle name="Percent129" xfId="585" xr:uid="{00000000-0005-0000-0000-000049020000}"/>
    <cellStyle name="Percent13" xfId="586" xr:uid="{00000000-0005-0000-0000-00004A020000}"/>
    <cellStyle name="Percent130" xfId="587" xr:uid="{00000000-0005-0000-0000-00004B020000}"/>
    <cellStyle name="Percent131" xfId="588" xr:uid="{00000000-0005-0000-0000-00004C020000}"/>
    <cellStyle name="Percent132" xfId="589" xr:uid="{00000000-0005-0000-0000-00004D020000}"/>
    <cellStyle name="Percent133" xfId="590" xr:uid="{00000000-0005-0000-0000-00004E020000}"/>
    <cellStyle name="Percent134" xfId="591" xr:uid="{00000000-0005-0000-0000-00004F020000}"/>
    <cellStyle name="Percent135" xfId="592" xr:uid="{00000000-0005-0000-0000-000050020000}"/>
    <cellStyle name="Percent136" xfId="593" xr:uid="{00000000-0005-0000-0000-000051020000}"/>
    <cellStyle name="Percent137" xfId="594" xr:uid="{00000000-0005-0000-0000-000052020000}"/>
    <cellStyle name="Percent138" xfId="595" xr:uid="{00000000-0005-0000-0000-000053020000}"/>
    <cellStyle name="Percent139" xfId="596" xr:uid="{00000000-0005-0000-0000-000054020000}"/>
    <cellStyle name="Percent14" xfId="597" xr:uid="{00000000-0005-0000-0000-000055020000}"/>
    <cellStyle name="Percent140" xfId="598" xr:uid="{00000000-0005-0000-0000-000056020000}"/>
    <cellStyle name="Percent141" xfId="599" xr:uid="{00000000-0005-0000-0000-000057020000}"/>
    <cellStyle name="Percent142" xfId="600" xr:uid="{00000000-0005-0000-0000-000058020000}"/>
    <cellStyle name="Percent143" xfId="601" xr:uid="{00000000-0005-0000-0000-000059020000}"/>
    <cellStyle name="Percent144" xfId="602" xr:uid="{00000000-0005-0000-0000-00005A020000}"/>
    <cellStyle name="Percent145" xfId="603" xr:uid="{00000000-0005-0000-0000-00005B020000}"/>
    <cellStyle name="Percent146" xfId="604" xr:uid="{00000000-0005-0000-0000-00005C020000}"/>
    <cellStyle name="Percent147" xfId="605" xr:uid="{00000000-0005-0000-0000-00005D020000}"/>
    <cellStyle name="Percent148" xfId="606" xr:uid="{00000000-0005-0000-0000-00005E020000}"/>
    <cellStyle name="Percent149" xfId="607" xr:uid="{00000000-0005-0000-0000-00005F020000}"/>
    <cellStyle name="Percent15" xfId="608" xr:uid="{00000000-0005-0000-0000-000060020000}"/>
    <cellStyle name="Percent150" xfId="609" xr:uid="{00000000-0005-0000-0000-000061020000}"/>
    <cellStyle name="Percent151" xfId="610" xr:uid="{00000000-0005-0000-0000-000062020000}"/>
    <cellStyle name="Percent152" xfId="611" xr:uid="{00000000-0005-0000-0000-000063020000}"/>
    <cellStyle name="Percent153" xfId="612" xr:uid="{00000000-0005-0000-0000-000064020000}"/>
    <cellStyle name="Percent154" xfId="613" xr:uid="{00000000-0005-0000-0000-000065020000}"/>
    <cellStyle name="Percent155" xfId="614" xr:uid="{00000000-0005-0000-0000-000066020000}"/>
    <cellStyle name="Percent156" xfId="615" xr:uid="{00000000-0005-0000-0000-000067020000}"/>
    <cellStyle name="Percent157" xfId="616" xr:uid="{00000000-0005-0000-0000-000068020000}"/>
    <cellStyle name="Percent158" xfId="617" xr:uid="{00000000-0005-0000-0000-000069020000}"/>
    <cellStyle name="Percent159" xfId="618" xr:uid="{00000000-0005-0000-0000-00006A020000}"/>
    <cellStyle name="Percent16" xfId="619" xr:uid="{00000000-0005-0000-0000-00006B020000}"/>
    <cellStyle name="Percent160" xfId="620" xr:uid="{00000000-0005-0000-0000-00006C020000}"/>
    <cellStyle name="Percent161" xfId="621" xr:uid="{00000000-0005-0000-0000-00006D020000}"/>
    <cellStyle name="Percent162" xfId="622" xr:uid="{00000000-0005-0000-0000-00006E020000}"/>
    <cellStyle name="Percent163" xfId="623" xr:uid="{00000000-0005-0000-0000-00006F020000}"/>
    <cellStyle name="Percent164" xfId="624" xr:uid="{00000000-0005-0000-0000-000070020000}"/>
    <cellStyle name="Percent165" xfId="625" xr:uid="{00000000-0005-0000-0000-000071020000}"/>
    <cellStyle name="Percent166" xfId="626" xr:uid="{00000000-0005-0000-0000-000072020000}"/>
    <cellStyle name="Percent167" xfId="627" xr:uid="{00000000-0005-0000-0000-000073020000}"/>
    <cellStyle name="Percent168" xfId="628" xr:uid="{00000000-0005-0000-0000-000074020000}"/>
    <cellStyle name="Percent169" xfId="629" xr:uid="{00000000-0005-0000-0000-000075020000}"/>
    <cellStyle name="Percent17" xfId="630" xr:uid="{00000000-0005-0000-0000-000076020000}"/>
    <cellStyle name="Percent170" xfId="631" xr:uid="{00000000-0005-0000-0000-000077020000}"/>
    <cellStyle name="Percent171" xfId="632" xr:uid="{00000000-0005-0000-0000-000078020000}"/>
    <cellStyle name="Percent172" xfId="633" xr:uid="{00000000-0005-0000-0000-000079020000}"/>
    <cellStyle name="Percent173" xfId="634" xr:uid="{00000000-0005-0000-0000-00007A020000}"/>
    <cellStyle name="Percent174" xfId="635" xr:uid="{00000000-0005-0000-0000-00007B020000}"/>
    <cellStyle name="Percent175" xfId="636" xr:uid="{00000000-0005-0000-0000-00007C020000}"/>
    <cellStyle name="Percent176" xfId="637" xr:uid="{00000000-0005-0000-0000-00007D020000}"/>
    <cellStyle name="Percent177" xfId="638" xr:uid="{00000000-0005-0000-0000-00007E020000}"/>
    <cellStyle name="Percent178" xfId="639" xr:uid="{00000000-0005-0000-0000-00007F020000}"/>
    <cellStyle name="Percent179" xfId="640" xr:uid="{00000000-0005-0000-0000-000080020000}"/>
    <cellStyle name="Percent18" xfId="641" xr:uid="{00000000-0005-0000-0000-000081020000}"/>
    <cellStyle name="Percent180" xfId="642" xr:uid="{00000000-0005-0000-0000-000082020000}"/>
    <cellStyle name="Percent181" xfId="643" xr:uid="{00000000-0005-0000-0000-000083020000}"/>
    <cellStyle name="Percent182" xfId="644" xr:uid="{00000000-0005-0000-0000-000084020000}"/>
    <cellStyle name="Percent183" xfId="645" xr:uid="{00000000-0005-0000-0000-000085020000}"/>
    <cellStyle name="Percent184" xfId="646" xr:uid="{00000000-0005-0000-0000-000086020000}"/>
    <cellStyle name="Percent185" xfId="647" xr:uid="{00000000-0005-0000-0000-000087020000}"/>
    <cellStyle name="Percent186" xfId="648" xr:uid="{00000000-0005-0000-0000-000088020000}"/>
    <cellStyle name="Percent187" xfId="649" xr:uid="{00000000-0005-0000-0000-000089020000}"/>
    <cellStyle name="Percent188" xfId="650" xr:uid="{00000000-0005-0000-0000-00008A020000}"/>
    <cellStyle name="Percent189" xfId="651" xr:uid="{00000000-0005-0000-0000-00008B020000}"/>
    <cellStyle name="Percent19" xfId="652" xr:uid="{00000000-0005-0000-0000-00008C020000}"/>
    <cellStyle name="Percent190" xfId="653" xr:uid="{00000000-0005-0000-0000-00008D020000}"/>
    <cellStyle name="Percent191" xfId="654" xr:uid="{00000000-0005-0000-0000-00008E020000}"/>
    <cellStyle name="Percent192" xfId="655" xr:uid="{00000000-0005-0000-0000-00008F020000}"/>
    <cellStyle name="Percent193" xfId="656" xr:uid="{00000000-0005-0000-0000-000090020000}"/>
    <cellStyle name="Percent194" xfId="657" xr:uid="{00000000-0005-0000-0000-000091020000}"/>
    <cellStyle name="Percent195" xfId="658" xr:uid="{00000000-0005-0000-0000-000092020000}"/>
    <cellStyle name="Percent196" xfId="659" xr:uid="{00000000-0005-0000-0000-000093020000}"/>
    <cellStyle name="Percent197" xfId="660" xr:uid="{00000000-0005-0000-0000-000094020000}"/>
    <cellStyle name="Percent198" xfId="661" xr:uid="{00000000-0005-0000-0000-000095020000}"/>
    <cellStyle name="Percent199" xfId="662" xr:uid="{00000000-0005-0000-0000-000096020000}"/>
    <cellStyle name="Percent1Bold" xfId="663" xr:uid="{00000000-0005-0000-0000-000097020000}"/>
    <cellStyle name="Percent2" xfId="664" xr:uid="{00000000-0005-0000-0000-000098020000}"/>
    <cellStyle name="Percent20" xfId="665" xr:uid="{00000000-0005-0000-0000-000099020000}"/>
    <cellStyle name="Percent200" xfId="666" xr:uid="{00000000-0005-0000-0000-00009A020000}"/>
    <cellStyle name="Percent201" xfId="667" xr:uid="{00000000-0005-0000-0000-00009B020000}"/>
    <cellStyle name="Percent202" xfId="668" xr:uid="{00000000-0005-0000-0000-00009C020000}"/>
    <cellStyle name="Percent203" xfId="669" xr:uid="{00000000-0005-0000-0000-00009D020000}"/>
    <cellStyle name="Percent204" xfId="670" xr:uid="{00000000-0005-0000-0000-00009E020000}"/>
    <cellStyle name="Percent205" xfId="671" xr:uid="{00000000-0005-0000-0000-00009F020000}"/>
    <cellStyle name="Percent206" xfId="672" xr:uid="{00000000-0005-0000-0000-0000A0020000}"/>
    <cellStyle name="Percent207" xfId="673" xr:uid="{00000000-0005-0000-0000-0000A1020000}"/>
    <cellStyle name="Percent208" xfId="674" xr:uid="{00000000-0005-0000-0000-0000A2020000}"/>
    <cellStyle name="Percent209" xfId="675" xr:uid="{00000000-0005-0000-0000-0000A3020000}"/>
    <cellStyle name="Percent21" xfId="676" xr:uid="{00000000-0005-0000-0000-0000A4020000}"/>
    <cellStyle name="Percent210" xfId="677" xr:uid="{00000000-0005-0000-0000-0000A5020000}"/>
    <cellStyle name="Percent211" xfId="678" xr:uid="{00000000-0005-0000-0000-0000A6020000}"/>
    <cellStyle name="Percent212" xfId="679" xr:uid="{00000000-0005-0000-0000-0000A7020000}"/>
    <cellStyle name="Percent213" xfId="680" xr:uid="{00000000-0005-0000-0000-0000A8020000}"/>
    <cellStyle name="Percent214" xfId="681" xr:uid="{00000000-0005-0000-0000-0000A9020000}"/>
    <cellStyle name="Percent215" xfId="682" xr:uid="{00000000-0005-0000-0000-0000AA020000}"/>
    <cellStyle name="Percent216" xfId="683" xr:uid="{00000000-0005-0000-0000-0000AB020000}"/>
    <cellStyle name="Percent217" xfId="684" xr:uid="{00000000-0005-0000-0000-0000AC020000}"/>
    <cellStyle name="Percent218" xfId="685" xr:uid="{00000000-0005-0000-0000-0000AD020000}"/>
    <cellStyle name="Percent219" xfId="686" xr:uid="{00000000-0005-0000-0000-0000AE020000}"/>
    <cellStyle name="Percent22" xfId="687" xr:uid="{00000000-0005-0000-0000-0000AF020000}"/>
    <cellStyle name="Percent220" xfId="688" xr:uid="{00000000-0005-0000-0000-0000B0020000}"/>
    <cellStyle name="Percent221" xfId="689" xr:uid="{00000000-0005-0000-0000-0000B1020000}"/>
    <cellStyle name="Percent222" xfId="690" xr:uid="{00000000-0005-0000-0000-0000B2020000}"/>
    <cellStyle name="Percent223" xfId="691" xr:uid="{00000000-0005-0000-0000-0000B3020000}"/>
    <cellStyle name="Percent224" xfId="692" xr:uid="{00000000-0005-0000-0000-0000B4020000}"/>
    <cellStyle name="Percent225" xfId="693" xr:uid="{00000000-0005-0000-0000-0000B5020000}"/>
    <cellStyle name="Percent226" xfId="694" xr:uid="{00000000-0005-0000-0000-0000B6020000}"/>
    <cellStyle name="Percent227" xfId="695" xr:uid="{00000000-0005-0000-0000-0000B7020000}"/>
    <cellStyle name="Percent228" xfId="696" xr:uid="{00000000-0005-0000-0000-0000B8020000}"/>
    <cellStyle name="Percent229" xfId="697" xr:uid="{00000000-0005-0000-0000-0000B9020000}"/>
    <cellStyle name="Percent23" xfId="698" xr:uid="{00000000-0005-0000-0000-0000BA020000}"/>
    <cellStyle name="Percent230" xfId="699" xr:uid="{00000000-0005-0000-0000-0000BB020000}"/>
    <cellStyle name="Percent231" xfId="700" xr:uid="{00000000-0005-0000-0000-0000BC020000}"/>
    <cellStyle name="Percent232" xfId="701" xr:uid="{00000000-0005-0000-0000-0000BD020000}"/>
    <cellStyle name="Percent233" xfId="702" xr:uid="{00000000-0005-0000-0000-0000BE020000}"/>
    <cellStyle name="Percent234" xfId="703" xr:uid="{00000000-0005-0000-0000-0000BF020000}"/>
    <cellStyle name="Percent235" xfId="704" xr:uid="{00000000-0005-0000-0000-0000C0020000}"/>
    <cellStyle name="Percent236" xfId="705" xr:uid="{00000000-0005-0000-0000-0000C1020000}"/>
    <cellStyle name="Percent24" xfId="706" xr:uid="{00000000-0005-0000-0000-0000C2020000}"/>
    <cellStyle name="Percent25" xfId="707" xr:uid="{00000000-0005-0000-0000-0000C3020000}"/>
    <cellStyle name="Percent26" xfId="708" xr:uid="{00000000-0005-0000-0000-0000C4020000}"/>
    <cellStyle name="Percent27" xfId="709" xr:uid="{00000000-0005-0000-0000-0000C5020000}"/>
    <cellStyle name="Percent28" xfId="710" xr:uid="{00000000-0005-0000-0000-0000C6020000}"/>
    <cellStyle name="Percent29" xfId="711" xr:uid="{00000000-0005-0000-0000-0000C7020000}"/>
    <cellStyle name="Percent3" xfId="712" xr:uid="{00000000-0005-0000-0000-0000C8020000}"/>
    <cellStyle name="Percent30" xfId="713" xr:uid="{00000000-0005-0000-0000-0000C9020000}"/>
    <cellStyle name="Percent31" xfId="714" xr:uid="{00000000-0005-0000-0000-0000CA020000}"/>
    <cellStyle name="Percent32" xfId="715" xr:uid="{00000000-0005-0000-0000-0000CB020000}"/>
    <cellStyle name="Percent33" xfId="716" xr:uid="{00000000-0005-0000-0000-0000CC020000}"/>
    <cellStyle name="Percent34" xfId="717" xr:uid="{00000000-0005-0000-0000-0000CD020000}"/>
    <cellStyle name="Percent35" xfId="718" xr:uid="{00000000-0005-0000-0000-0000CE020000}"/>
    <cellStyle name="Percent36" xfId="719" xr:uid="{00000000-0005-0000-0000-0000CF020000}"/>
    <cellStyle name="Percent37" xfId="720" xr:uid="{00000000-0005-0000-0000-0000D0020000}"/>
    <cellStyle name="Percent38" xfId="721" xr:uid="{00000000-0005-0000-0000-0000D1020000}"/>
    <cellStyle name="Percent39" xfId="722" xr:uid="{00000000-0005-0000-0000-0000D2020000}"/>
    <cellStyle name="Percent4" xfId="723" xr:uid="{00000000-0005-0000-0000-0000D3020000}"/>
    <cellStyle name="Percent40" xfId="724" xr:uid="{00000000-0005-0000-0000-0000D4020000}"/>
    <cellStyle name="Percent41" xfId="725" xr:uid="{00000000-0005-0000-0000-0000D5020000}"/>
    <cellStyle name="Percent42" xfId="726" xr:uid="{00000000-0005-0000-0000-0000D6020000}"/>
    <cellStyle name="Percent43" xfId="727" xr:uid="{00000000-0005-0000-0000-0000D7020000}"/>
    <cellStyle name="Percent44" xfId="728" xr:uid="{00000000-0005-0000-0000-0000D8020000}"/>
    <cellStyle name="Percent45" xfId="729" xr:uid="{00000000-0005-0000-0000-0000D9020000}"/>
    <cellStyle name="Percent46" xfId="730" xr:uid="{00000000-0005-0000-0000-0000DA020000}"/>
    <cellStyle name="Percent47" xfId="731" xr:uid="{00000000-0005-0000-0000-0000DB020000}"/>
    <cellStyle name="Percent48" xfId="732" xr:uid="{00000000-0005-0000-0000-0000DC020000}"/>
    <cellStyle name="Percent49" xfId="733" xr:uid="{00000000-0005-0000-0000-0000DD020000}"/>
    <cellStyle name="Percent5" xfId="734" xr:uid="{00000000-0005-0000-0000-0000DE020000}"/>
    <cellStyle name="Percent50" xfId="735" xr:uid="{00000000-0005-0000-0000-0000DF020000}"/>
    <cellStyle name="Percent51" xfId="736" xr:uid="{00000000-0005-0000-0000-0000E0020000}"/>
    <cellStyle name="Percent52" xfId="737" xr:uid="{00000000-0005-0000-0000-0000E1020000}"/>
    <cellStyle name="Percent53" xfId="738" xr:uid="{00000000-0005-0000-0000-0000E2020000}"/>
    <cellStyle name="Percent54" xfId="739" xr:uid="{00000000-0005-0000-0000-0000E3020000}"/>
    <cellStyle name="Percent55" xfId="740" xr:uid="{00000000-0005-0000-0000-0000E4020000}"/>
    <cellStyle name="Percent56" xfId="741" xr:uid="{00000000-0005-0000-0000-0000E5020000}"/>
    <cellStyle name="Percent57" xfId="742" xr:uid="{00000000-0005-0000-0000-0000E6020000}"/>
    <cellStyle name="Percent58" xfId="743" xr:uid="{00000000-0005-0000-0000-0000E7020000}"/>
    <cellStyle name="Percent59" xfId="744" xr:uid="{00000000-0005-0000-0000-0000E8020000}"/>
    <cellStyle name="Percent6" xfId="745" xr:uid="{00000000-0005-0000-0000-0000E9020000}"/>
    <cellStyle name="Percent60" xfId="746" xr:uid="{00000000-0005-0000-0000-0000EA020000}"/>
    <cellStyle name="Percent61" xfId="747" xr:uid="{00000000-0005-0000-0000-0000EB020000}"/>
    <cellStyle name="Percent62" xfId="748" xr:uid="{00000000-0005-0000-0000-0000EC020000}"/>
    <cellStyle name="Percent63" xfId="749" xr:uid="{00000000-0005-0000-0000-0000ED020000}"/>
    <cellStyle name="Percent64" xfId="750" xr:uid="{00000000-0005-0000-0000-0000EE020000}"/>
    <cellStyle name="Percent65" xfId="751" xr:uid="{00000000-0005-0000-0000-0000EF020000}"/>
    <cellStyle name="Percent66" xfId="752" xr:uid="{00000000-0005-0000-0000-0000F0020000}"/>
    <cellStyle name="Percent67" xfId="753" xr:uid="{00000000-0005-0000-0000-0000F1020000}"/>
    <cellStyle name="Percent68" xfId="754" xr:uid="{00000000-0005-0000-0000-0000F2020000}"/>
    <cellStyle name="Percent69" xfId="755" xr:uid="{00000000-0005-0000-0000-0000F3020000}"/>
    <cellStyle name="Percent7" xfId="756" xr:uid="{00000000-0005-0000-0000-0000F4020000}"/>
    <cellStyle name="Percent70" xfId="757" xr:uid="{00000000-0005-0000-0000-0000F5020000}"/>
    <cellStyle name="Percent71" xfId="758" xr:uid="{00000000-0005-0000-0000-0000F6020000}"/>
    <cellStyle name="Percent72" xfId="759" xr:uid="{00000000-0005-0000-0000-0000F7020000}"/>
    <cellStyle name="Percent73" xfId="760" xr:uid="{00000000-0005-0000-0000-0000F8020000}"/>
    <cellStyle name="Percent74" xfId="761" xr:uid="{00000000-0005-0000-0000-0000F9020000}"/>
    <cellStyle name="Percent75" xfId="762" xr:uid="{00000000-0005-0000-0000-0000FA020000}"/>
    <cellStyle name="Percent76" xfId="763" xr:uid="{00000000-0005-0000-0000-0000FB020000}"/>
    <cellStyle name="Percent77" xfId="764" xr:uid="{00000000-0005-0000-0000-0000FC020000}"/>
    <cellStyle name="Percent78" xfId="765" xr:uid="{00000000-0005-0000-0000-0000FD020000}"/>
    <cellStyle name="Percent79" xfId="766" xr:uid="{00000000-0005-0000-0000-0000FE020000}"/>
    <cellStyle name="Percent8" xfId="767" xr:uid="{00000000-0005-0000-0000-0000FF020000}"/>
    <cellStyle name="Percent80" xfId="768" xr:uid="{00000000-0005-0000-0000-000000030000}"/>
    <cellStyle name="Percent81" xfId="769" xr:uid="{00000000-0005-0000-0000-000001030000}"/>
    <cellStyle name="Percent82" xfId="770" xr:uid="{00000000-0005-0000-0000-000002030000}"/>
    <cellStyle name="Percent83" xfId="771" xr:uid="{00000000-0005-0000-0000-000003030000}"/>
    <cellStyle name="Percent84" xfId="772" xr:uid="{00000000-0005-0000-0000-000004030000}"/>
    <cellStyle name="Percent85" xfId="773" xr:uid="{00000000-0005-0000-0000-000005030000}"/>
    <cellStyle name="Percent86" xfId="774" xr:uid="{00000000-0005-0000-0000-000006030000}"/>
    <cellStyle name="Percent87" xfId="775" xr:uid="{00000000-0005-0000-0000-000007030000}"/>
    <cellStyle name="Percent88" xfId="776" xr:uid="{00000000-0005-0000-0000-000008030000}"/>
    <cellStyle name="Percent89" xfId="777" xr:uid="{00000000-0005-0000-0000-000009030000}"/>
    <cellStyle name="Percent9" xfId="778" xr:uid="{00000000-0005-0000-0000-00000A030000}"/>
    <cellStyle name="Percent90" xfId="779" xr:uid="{00000000-0005-0000-0000-00000B030000}"/>
    <cellStyle name="Percent91" xfId="780" xr:uid="{00000000-0005-0000-0000-00000C030000}"/>
    <cellStyle name="Percent92" xfId="781" xr:uid="{00000000-0005-0000-0000-00000D030000}"/>
    <cellStyle name="Percent93" xfId="782" xr:uid="{00000000-0005-0000-0000-00000E030000}"/>
    <cellStyle name="Percent94" xfId="783" xr:uid="{00000000-0005-0000-0000-00000F030000}"/>
    <cellStyle name="Percent95" xfId="784" xr:uid="{00000000-0005-0000-0000-000010030000}"/>
    <cellStyle name="Percent96" xfId="785" xr:uid="{00000000-0005-0000-0000-000011030000}"/>
    <cellStyle name="Percent97" xfId="786" xr:uid="{00000000-0005-0000-0000-000012030000}"/>
    <cellStyle name="Percent98" xfId="787" xr:uid="{00000000-0005-0000-0000-000013030000}"/>
    <cellStyle name="Percent99" xfId="788" xr:uid="{00000000-0005-0000-0000-000014030000}"/>
    <cellStyle name="Percentage" xfId="789" xr:uid="{00000000-0005-0000-0000-000015030000}"/>
    <cellStyle name="PercentStyle" xfId="790" xr:uid="{00000000-0005-0000-0000-000016030000}"/>
    <cellStyle name="PrePop Currency (0)" xfId="791" xr:uid="{00000000-0005-0000-0000-000017030000}"/>
    <cellStyle name="PrePop Currency (2)" xfId="792" xr:uid="{00000000-0005-0000-0000-000018030000}"/>
    <cellStyle name="PrePop Units (0)" xfId="793" xr:uid="{00000000-0005-0000-0000-000019030000}"/>
    <cellStyle name="PrePop Units (1)" xfId="794" xr:uid="{00000000-0005-0000-0000-00001A030000}"/>
    <cellStyle name="PrePop Units (2)" xfId="795" xr:uid="{00000000-0005-0000-0000-00001B030000}"/>
    <cellStyle name="Price" xfId="796" xr:uid="{00000000-0005-0000-0000-00001C030000}"/>
    <cellStyle name="Product Header" xfId="797" xr:uid="{00000000-0005-0000-0000-00001D030000}"/>
    <cellStyle name="PSChar" xfId="798" xr:uid="{00000000-0005-0000-0000-00001E030000}"/>
    <cellStyle name="PSDate" xfId="799" xr:uid="{00000000-0005-0000-0000-00001F030000}"/>
    <cellStyle name="PSDec" xfId="800" xr:uid="{00000000-0005-0000-0000-000020030000}"/>
    <cellStyle name="PSHeading" xfId="801" xr:uid="{00000000-0005-0000-0000-000021030000}"/>
    <cellStyle name="PSInt" xfId="802" xr:uid="{00000000-0005-0000-0000-000022030000}"/>
    <cellStyle name="PSSpacer" xfId="803" xr:uid="{00000000-0005-0000-0000-000023030000}"/>
    <cellStyle name="r" xfId="804" xr:uid="{00000000-0005-0000-0000-000024030000}"/>
    <cellStyle name="r_F&amp;W Servicing Model" xfId="805" xr:uid="{00000000-0005-0000-0000-000025030000}"/>
    <cellStyle name="r_F&amp;W Servicing Model v2" xfId="806" xr:uid="{00000000-0005-0000-0000-000026030000}"/>
    <cellStyle name="r_Yell Servicing Model" xfId="807" xr:uid="{00000000-0005-0000-0000-000027030000}"/>
    <cellStyle name="rate" xfId="808" xr:uid="{00000000-0005-0000-0000-000028030000}"/>
    <cellStyle name="Ratio" xfId="809" xr:uid="{00000000-0005-0000-0000-000029030000}"/>
    <cellStyle name="Ratio Comma" xfId="810" xr:uid="{00000000-0005-0000-0000-00002A030000}"/>
    <cellStyle name="Ratio_Private" xfId="811" xr:uid="{00000000-0005-0000-0000-00002B030000}"/>
    <cellStyle name="regstoresfromspecstores" xfId="812" xr:uid="{00000000-0005-0000-0000-00002C030000}"/>
    <cellStyle name="RevList" xfId="813" xr:uid="{00000000-0005-0000-0000-00002D030000}"/>
    <cellStyle name="Right" xfId="814" xr:uid="{00000000-0005-0000-0000-00002E030000}"/>
    <cellStyle name="RightBold" xfId="815" xr:uid="{00000000-0005-0000-0000-00002F030000}"/>
    <cellStyle name="RightBoldBottomRule" xfId="816" xr:uid="{00000000-0005-0000-0000-000030030000}"/>
    <cellStyle name="RightBoldCenterRule" xfId="817" xr:uid="{00000000-0005-0000-0000-000031030000}"/>
    <cellStyle name="Section" xfId="818" xr:uid="{00000000-0005-0000-0000-000032030000}"/>
    <cellStyle name="SectionHeaderNormal" xfId="819" xr:uid="{00000000-0005-0000-0000-000033030000}"/>
    <cellStyle name="SHADEDSTORES" xfId="820" xr:uid="{00000000-0005-0000-0000-000034030000}"/>
    <cellStyle name="Short $" xfId="821" xr:uid="{00000000-0005-0000-0000-000035030000}"/>
    <cellStyle name="ShOut" xfId="822" xr:uid="{00000000-0005-0000-0000-000036030000}"/>
    <cellStyle name="Simple" xfId="823" xr:uid="{00000000-0005-0000-0000-000037030000}"/>
    <cellStyle name="SimpleBold" xfId="824" xr:uid="{00000000-0005-0000-0000-000038030000}"/>
    <cellStyle name="Single Accounting" xfId="825" xr:uid="{00000000-0005-0000-0000-000039030000}"/>
    <cellStyle name="specstores" xfId="826" xr:uid="{00000000-0005-0000-0000-00003A030000}"/>
    <cellStyle name="Stock Comma" xfId="827" xr:uid="{00000000-0005-0000-0000-00003B030000}"/>
    <cellStyle name="Stock Price" xfId="828" xr:uid="{00000000-0005-0000-0000-00003C030000}"/>
    <cellStyle name="Style 1" xfId="829" xr:uid="{00000000-0005-0000-0000-00003D030000}"/>
    <cellStyle name="Style 21" xfId="830" xr:uid="{00000000-0005-0000-0000-00003E030000}"/>
    <cellStyle name="Style 22" xfId="831" xr:uid="{00000000-0005-0000-0000-00003F030000}"/>
    <cellStyle name="Style 23" xfId="832" xr:uid="{00000000-0005-0000-0000-000040030000}"/>
    <cellStyle name="Style 24" xfId="833" xr:uid="{00000000-0005-0000-0000-000041030000}"/>
    <cellStyle name="Style 25" xfId="834" xr:uid="{00000000-0005-0000-0000-000042030000}"/>
    <cellStyle name="Style 26" xfId="835" xr:uid="{00000000-0005-0000-0000-000043030000}"/>
    <cellStyle name="Style 27" xfId="836" xr:uid="{00000000-0005-0000-0000-000044030000}"/>
    <cellStyle name="Style 28" xfId="837" xr:uid="{00000000-0005-0000-0000-000045030000}"/>
    <cellStyle name="Style 29" xfId="838" xr:uid="{00000000-0005-0000-0000-000046030000}"/>
    <cellStyle name="Style 30" xfId="839" xr:uid="{00000000-0005-0000-0000-000047030000}"/>
    <cellStyle name="Style 31" xfId="840" xr:uid="{00000000-0005-0000-0000-000048030000}"/>
    <cellStyle name="Style 32" xfId="841" xr:uid="{00000000-0005-0000-0000-000049030000}"/>
    <cellStyle name="Style 33" xfId="842" xr:uid="{00000000-0005-0000-0000-00004A030000}"/>
    <cellStyle name="Style 34" xfId="843" xr:uid="{00000000-0005-0000-0000-00004B030000}"/>
    <cellStyle name="Style 35" xfId="844" xr:uid="{00000000-0005-0000-0000-00004C030000}"/>
    <cellStyle name="Style 36" xfId="845" xr:uid="{00000000-0005-0000-0000-00004D030000}"/>
    <cellStyle name="Style 37" xfId="846" xr:uid="{00000000-0005-0000-0000-00004E030000}"/>
    <cellStyle name="Style 38" xfId="847" xr:uid="{00000000-0005-0000-0000-00004F030000}"/>
    <cellStyle name="Style 39" xfId="848" xr:uid="{00000000-0005-0000-0000-000050030000}"/>
    <cellStyle name="Style 40" xfId="849" xr:uid="{00000000-0005-0000-0000-000051030000}"/>
    <cellStyle name="Style 41" xfId="850" xr:uid="{00000000-0005-0000-0000-000052030000}"/>
    <cellStyle name="Style 42" xfId="851" xr:uid="{00000000-0005-0000-0000-000053030000}"/>
    <cellStyle name="Style 43" xfId="852" xr:uid="{00000000-0005-0000-0000-000054030000}"/>
    <cellStyle name="Style 44" xfId="853" xr:uid="{00000000-0005-0000-0000-000055030000}"/>
    <cellStyle name="Style 45" xfId="854" xr:uid="{00000000-0005-0000-0000-000056030000}"/>
    <cellStyle name="Style 46" xfId="855" xr:uid="{00000000-0005-0000-0000-000057030000}"/>
    <cellStyle name="Style 47" xfId="856" xr:uid="{00000000-0005-0000-0000-000058030000}"/>
    <cellStyle name="Style 48" xfId="857" xr:uid="{00000000-0005-0000-0000-000059030000}"/>
    <cellStyle name="STYLE1" xfId="858" xr:uid="{00000000-0005-0000-0000-00005A030000}"/>
    <cellStyle name="SubScript" xfId="859" xr:uid="{00000000-0005-0000-0000-00005B030000}"/>
    <cellStyle name="Subtotal" xfId="860" xr:uid="{00000000-0005-0000-0000-00005C030000}"/>
    <cellStyle name="Sum" xfId="861" xr:uid="{00000000-0005-0000-0000-00005D030000}"/>
    <cellStyle name="SuperScript" xfId="862" xr:uid="{00000000-0005-0000-0000-00005E030000}"/>
    <cellStyle name="Table_Title" xfId="863" xr:uid="{00000000-0005-0000-0000-00005F030000}"/>
    <cellStyle name="Test" xfId="864" xr:uid="{00000000-0005-0000-0000-000060030000}"/>
    <cellStyle name="Text Indent A" xfId="865" xr:uid="{00000000-0005-0000-0000-000061030000}"/>
    <cellStyle name="Text Indent B" xfId="866" xr:uid="{00000000-0005-0000-0000-000062030000}"/>
    <cellStyle name="Text Indent C" xfId="867" xr:uid="{00000000-0005-0000-0000-000063030000}"/>
    <cellStyle name="TextBold" xfId="868" xr:uid="{00000000-0005-0000-0000-000064030000}"/>
    <cellStyle name="TextItalic" xfId="869" xr:uid="{00000000-0005-0000-0000-000065030000}"/>
    <cellStyle name="TextNormal" xfId="870" xr:uid="{00000000-0005-0000-0000-000066030000}"/>
    <cellStyle name="Time" xfId="871" xr:uid="{00000000-0005-0000-0000-000067030000}"/>
    <cellStyle name="Times 10" xfId="872" xr:uid="{00000000-0005-0000-0000-000068030000}"/>
    <cellStyle name="Times 12" xfId="873" xr:uid="{00000000-0005-0000-0000-000069030000}"/>
    <cellStyle name="Title - PROJECT" xfId="874" xr:uid="{00000000-0005-0000-0000-00006A030000}"/>
    <cellStyle name="Title - Underline" xfId="875" xr:uid="{00000000-0005-0000-0000-00006B030000}"/>
    <cellStyle name="Title1" xfId="876" xr:uid="{00000000-0005-0000-0000-00006C030000}"/>
    <cellStyle name="Title2" xfId="877" xr:uid="{00000000-0005-0000-0000-00006D030000}"/>
    <cellStyle name="TitleNormal" xfId="878" xr:uid="{00000000-0005-0000-0000-00006E030000}"/>
    <cellStyle name="Titles - Col. Headings" xfId="879" xr:uid="{00000000-0005-0000-0000-00006F030000}"/>
    <cellStyle name="Titles - Other" xfId="880" xr:uid="{00000000-0005-0000-0000-000070030000}"/>
    <cellStyle name="Top Edge" xfId="881" xr:uid="{00000000-0005-0000-0000-000071030000}"/>
    <cellStyle name="Total" xfId="882" builtinId="25" customBuiltin="1"/>
    <cellStyle name="ubordinated Debt" xfId="883" xr:uid="{00000000-0005-0000-0000-000073030000}"/>
    <cellStyle name="wheat merger's and acquisitions" xfId="884" xr:uid="{00000000-0005-0000-0000-000074030000}"/>
    <cellStyle name="x" xfId="885" xr:uid="{00000000-0005-0000-0000-000075030000}"/>
    <cellStyle name="x_TSA Model - 1 8 06 - v2" xfId="886" xr:uid="{00000000-0005-0000-0000-000076030000}"/>
    <cellStyle name="Y2K Compliant Date Fmt" xfId="887" xr:uid="{00000000-0005-0000-0000-000077030000}"/>
    <cellStyle name="Years" xfId="888" xr:uid="{00000000-0005-0000-0000-000078030000}"/>
    <cellStyle name="yellow" xfId="889" xr:uid="{00000000-0005-0000-0000-000079030000}"/>
    <cellStyle name="Yen" xfId="890" xr:uid="{00000000-0005-0000-0000-00007A030000}"/>
    <cellStyle name="YYYY" xfId="891" xr:uid="{00000000-0005-0000-0000-00007B030000}"/>
    <cellStyle name="桁区切り [0.00]_Appendix" xfId="892" xr:uid="{00000000-0005-0000-0000-00007C030000}"/>
    <cellStyle name="桁区切り_Appendix" xfId="893" xr:uid="{00000000-0005-0000-0000-00007D030000}"/>
    <cellStyle name="標準_Appendix" xfId="894" xr:uid="{00000000-0005-0000-0000-00007E030000}"/>
    <cellStyle name="通貨 [0.00]_Appendix" xfId="895" xr:uid="{00000000-0005-0000-0000-00007F030000}"/>
    <cellStyle name="通貨_Appendix" xfId="896" xr:uid="{00000000-0005-0000-0000-00008003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0.xml"/><Relationship Id="rId18" Type="http://schemas.openxmlformats.org/officeDocument/2006/relationships/externalLink" Target="externalLinks/externalLink15.xml"/><Relationship Id="rId26" Type="http://schemas.openxmlformats.org/officeDocument/2006/relationships/externalLink" Target="externalLinks/externalLink23.xml"/><Relationship Id="rId39" Type="http://schemas.openxmlformats.org/officeDocument/2006/relationships/calcChain" Target="calcChain.xml"/><Relationship Id="rId21" Type="http://schemas.openxmlformats.org/officeDocument/2006/relationships/externalLink" Target="externalLinks/externalLink18.xml"/><Relationship Id="rId34" Type="http://schemas.openxmlformats.org/officeDocument/2006/relationships/externalLink" Target="externalLinks/externalLink31.xml"/><Relationship Id="rId42" Type="http://schemas.openxmlformats.org/officeDocument/2006/relationships/customXml" Target="../customXml/item3.xml"/><Relationship Id="rId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13.xml"/><Relationship Id="rId20" Type="http://schemas.openxmlformats.org/officeDocument/2006/relationships/externalLink" Target="externalLinks/externalLink17.xml"/><Relationship Id="rId29" Type="http://schemas.openxmlformats.org/officeDocument/2006/relationships/externalLink" Target="externalLinks/externalLink26.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24" Type="http://schemas.openxmlformats.org/officeDocument/2006/relationships/externalLink" Target="externalLinks/externalLink21.xml"/><Relationship Id="rId32" Type="http://schemas.openxmlformats.org/officeDocument/2006/relationships/externalLink" Target="externalLinks/externalLink29.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externalLink" Target="externalLinks/externalLink2.xml"/><Relationship Id="rId15" Type="http://schemas.openxmlformats.org/officeDocument/2006/relationships/externalLink" Target="externalLinks/externalLink12.xml"/><Relationship Id="rId23" Type="http://schemas.openxmlformats.org/officeDocument/2006/relationships/externalLink" Target="externalLinks/externalLink20.xml"/><Relationship Id="rId28" Type="http://schemas.openxmlformats.org/officeDocument/2006/relationships/externalLink" Target="externalLinks/externalLink25.xml"/><Relationship Id="rId36" Type="http://schemas.openxmlformats.org/officeDocument/2006/relationships/styles" Target="styles.xml"/><Relationship Id="rId10" Type="http://schemas.openxmlformats.org/officeDocument/2006/relationships/externalLink" Target="externalLinks/externalLink7.xml"/><Relationship Id="rId19" Type="http://schemas.openxmlformats.org/officeDocument/2006/relationships/externalLink" Target="externalLinks/externalLink16.xml"/><Relationship Id="rId31" Type="http://schemas.openxmlformats.org/officeDocument/2006/relationships/externalLink" Target="externalLinks/externalLink28.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externalLink" Target="externalLinks/externalLink11.xml"/><Relationship Id="rId22" Type="http://schemas.openxmlformats.org/officeDocument/2006/relationships/externalLink" Target="externalLinks/externalLink19.xml"/><Relationship Id="rId27" Type="http://schemas.openxmlformats.org/officeDocument/2006/relationships/externalLink" Target="externalLinks/externalLink24.xml"/><Relationship Id="rId30" Type="http://schemas.openxmlformats.org/officeDocument/2006/relationships/externalLink" Target="externalLinks/externalLink27.xml"/><Relationship Id="rId35" Type="http://schemas.openxmlformats.org/officeDocument/2006/relationships/theme" Target="theme/theme1.xml"/><Relationship Id="rId8" Type="http://schemas.openxmlformats.org/officeDocument/2006/relationships/externalLink" Target="externalLinks/externalLink5.xml"/><Relationship Id="rId3" Type="http://schemas.openxmlformats.org/officeDocument/2006/relationships/worksheet" Target="worksheets/sheet3.xml"/><Relationship Id="rId12" Type="http://schemas.openxmlformats.org/officeDocument/2006/relationships/externalLink" Target="externalLinks/externalLink9.xml"/><Relationship Id="rId17" Type="http://schemas.openxmlformats.org/officeDocument/2006/relationships/externalLink" Target="externalLinks/externalLink14.xml"/><Relationship Id="rId25" Type="http://schemas.openxmlformats.org/officeDocument/2006/relationships/externalLink" Target="externalLinks/externalLink22.xml"/><Relationship Id="rId33" Type="http://schemas.openxmlformats.org/officeDocument/2006/relationships/externalLink" Target="externalLinks/externalLink30.xml"/><Relationship Id="rId38"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tp_sfnt01\GBlank$\Documents%20and%20Settings\GBlank\Local%20Settings\Temporary%20Internet%20Files\OLK39\TSA%20Model%20-%201%208%2006%20-%20v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Office\Media\COMPS%20-%20B2B%20Publisher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p_sfnt01\GBlank$\My%20Documents\TPG\LBO\Bally\BFT%20Forecast%20Model.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METG%20Templat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Bank%20Loan%20Team\APPROVAL%20MEMOS\Endurance%20Media\BLT%20Work\EBM%20Quarterly%20Mode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Bank%20Loan%20Team\ELK%20TEAM\Models\Presentation\Draft%20Presentation%20Files\Presentation%20Info%2022%20(Adam%20Silve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M:\Bank%20Loan%20Team\ELK%20TEAM\Models\Presentation\Draft%20Presentation%20Files\PresentationChartData.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WCMP%20II\PORTFOLIO%20COMPANIES\Jobson%20Medical%20Information\Bank%20Correspondence\JMI%20Model%20(Wx%20Model%20-%20BMO%20Adjusted%205-18).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E:\WCMP%20II\INACTIVE%20DEALS\Facts%20on%20File\Transaction%20Models\FOF%20Model%20v3%20(Asset%20Purchase).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Projects5\Barracuda\Documents%20and%20Settings\nbk7h1e\Local%20Settings\Temporary%20Internet%20Files\OLK61\Bank%20Austria\Returns@@@2.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I:\Deals%20-%20In%20Process\TruCom\BridgeCom%20Budget%202001.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Ny-fil01\data\Wicks\Wicks%20Model\JMI%20Model%20(Wx%20Model%20-%20BMO%20Adjusted%205-18).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I:\Deals%20-%20In%20Process\Crescent%20Publishing%20Company,%20LLC\R0%20-%20Aug%202,%202001\CrescentPublishing%20Model%208-01%20R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I:\Credit%20Derivatives%20Group\Emerging\CBO\MFS\Jersey%20Street%20CLO\Warehouse\Warehouse%20Report\versions\August\Jersey%20Street%20CLO%208.7.06%20Committed.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mail.wicksgroup.com/PORTFOLIO%20COMPANIES/Bressler%20Outdoor/Financial%20Models/SubDebt%20Model%20-%20IRR%20-$30MM%20Equity.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ominous.studioholdings.net\temp\unzipped\7xbb01_\7b7k01_.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ominous.studioholdings.net\temp\TEMP\Consolidated%2012-4-00.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ttc-neptune\accounting\Invoices\Invoice%2099\z.December%201999\DEC99Invoice%20Summary.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I:\Rosetta%20Stone%20Model%20(91"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smarimow\My%20Documents\Companies\Univision\Model\Bank%20Model%20-%20Financing\Company%20Materials\Company%20Materials\Bank%20Model_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F:\Bank%20Loan%20Team%20Research\_RAs\Takacs_G\PORTFOLIO%20-%20Takacs.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F:\Documents%20and%20Settings\Kim\Local%20Settings\Temporary%20Internet%20Files\Content.IE5\YTHBT5P6\Spring%202002\Modeling\Problem%204%20worksheet.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I:\Documents%20and%20Settings\smarimow\My%20Documents\Companies\Univision\Model\Bank%20Model%20-%20Financing\Bank%20Model_21.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MNT14\USERS$\mm93223\My%20Documents\Templates\Servicing%20Template%20-%20MAB.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I:\Documents%20and%20Settings\EMcKee\Local%20Settings\Temporary%20Internet%20Files\OLK12\65%20UVN%207-Year%20Model.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F:\Documents%20and%20Settings\Kim\Local%20Settings\Temporary%20Internet%20Files\Content.IE5\YTHBT5P6\windows\TEMP\financial%20forecast%207.27.98.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I:\Beckett\Deals%20in%20process\UniFocus%20R6\Unifocus%20Model%204-02%20R6.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I:\Documents%20and%20Settings\CRothbard\Local%20Settings\Temporary%20Internet%20Files\OLK146\JMI_WMI%20Financing%20Model%20(02-09-06)_vTD4%2006.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jorr\Local%20Settings\Temporary%20Internet%20Files\OLK27\MC-DW-JOB%20Merger%20Model%20for%20Syndicate%20-%203.31.05%20rjf%205.03.05.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I:\WCMP%20II\PORTFOLIO%20COMPANIES\Jobson%20Medical%20Information\Corporate%20Development\JMI_WMI%20Combination\2005.11\Oct%202005\MEDCON%20Projection%20Model%20September%202005%20(09-13-05)%20v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ominous.studioholdings.net\temp\M&amp;A_Deal\New%20Models\dcf.shor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sheetName val="Returns Summary"/>
      <sheetName val="Case Logic"/>
      <sheetName val="Option Summary"/>
      <sheetName val="TRANSACTION"/>
    </sheet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d Page"/>
      <sheetName val="Deal Multiples"/>
      <sheetName val="Asset Coverage"/>
      <sheetName val="Status"/>
      <sheetName val="Output"/>
      <sheetName val="Graphs"/>
      <sheetName val="Inputs"/>
      <sheetName val="WARF"/>
      <sheetName val="Comps"/>
      <sheetName val="Magazines"/>
      <sheetName val="2"/>
      <sheetName val="4"/>
      <sheetName val="5"/>
      <sheetName val="6"/>
      <sheetName val="7"/>
      <sheetName val="8"/>
      <sheetName val="10"/>
      <sheetName val="11"/>
      <sheetName val="12"/>
      <sheetName val="14"/>
      <sheetName val="16"/>
      <sheetName val="1"/>
      <sheetName val="3"/>
      <sheetName val="9"/>
      <sheetName val="13"/>
      <sheetName val="15"/>
      <sheetName val="ARP"/>
      <sheetName val="CNG"/>
      <sheetName val="F&amp;W"/>
      <sheetName val="HNW"/>
      <sheetName val="IMO"/>
      <sheetName val="JMI"/>
      <sheetName val="MMH"/>
      <sheetName val="PRM"/>
      <sheetName val="RDA"/>
      <sheetName val="SRCE"/>
      <sheetName val="SPRG"/>
      <sheetName val="WNM"/>
      <sheetName val="RVDP"/>
      <sheetName val="SMTB"/>
      <sheetName val="TMN"/>
      <sheetName val="Portfolio"/>
      <sheetName val="LBO Summary"/>
      <sheetName val="Char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attrition"/>
      <sheetName val="Sheet1"/>
      <sheetName val="IncStmt"/>
      <sheetName val="CashFlow"/>
      <sheetName val="BalSht"/>
      <sheetName val="Allowance"/>
      <sheetName val="CashEBITDA"/>
      <sheetName val="FxdChg"/>
      <sheetName val="Ratio"/>
      <sheetName val="Module1"/>
      <sheetName val="LBO Summary"/>
      <sheetName val="Chart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anning Assumptions"/>
      <sheetName val="Tanning P&amp;L"/>
      <sheetName val="Tanning Balance Sheets"/>
      <sheetName val="Tanning Cash Flows"/>
      <sheetName val="Meta P&amp;L"/>
      <sheetName val="Meta Balance Sheet"/>
      <sheetName val="Meta Cash Flow"/>
      <sheetName val="Combined Balance Sheet"/>
      <sheetName val="Combined P&amp;L"/>
      <sheetName val="Combined Cash Flow"/>
      <sheetName val="Shares"/>
      <sheetName val="EssRet"/>
      <sheetName val="Meta Segments"/>
      <sheetName val="Capex"/>
      <sheetName val="Sheet5"/>
      <sheetName val="D"/>
      <sheetName val="TRANSAC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
      <sheetName val="Qual. Analysis"/>
      <sheetName val="Inputs"/>
      <sheetName val="Base"/>
      <sheetName val="EV_DCF Analysis"/>
      <sheetName val="VeCTOR Import"/>
      <sheetName val="Annual Summary"/>
    </sheetNames>
    <sheetDataSet>
      <sheetData sheetId="0" refreshError="1"/>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s"/>
      <sheetName val="Calcs"/>
      <sheetName val="Account"/>
      <sheetName val="OCTrends"/>
      <sheetName val="ICTrends"/>
      <sheetName val="DivTrends"/>
      <sheetName val="WARFTrends"/>
      <sheetName val="WARFFitchTrends"/>
      <sheetName val="WASTrends"/>
      <sheetName val="WACTrends"/>
      <sheetName val="WALTrends"/>
      <sheetName val="Debt Structure"/>
      <sheetName val="Fund Schedule"/>
      <sheetName val="Principal"/>
      <sheetName val="Ineligible"/>
      <sheetName val="S&amp;P Industry"/>
      <sheetName val="Trade Activity Summary"/>
      <sheetName val="Sale Activity Bond"/>
      <sheetName val="Sale Activity"/>
      <sheetName val="Buy Activity Bond"/>
      <sheetName val="Buy Activity"/>
      <sheetName val="Default"/>
      <sheetName val="CCC"/>
      <sheetName val="CCCBond"/>
      <sheetName val="Presentation Info 22 (Adam Silv"/>
    </sheetNames>
    <sheetDataSet>
      <sheetData sheetId="0" refreshError="1"/>
      <sheetData sheetId="1" refreshError="1"/>
      <sheetData sheetId="2"/>
      <sheetData sheetId="3" refreshError="1"/>
      <sheetData sheetId="4" refreshError="1"/>
      <sheetData sheetId="5" refreshError="1"/>
      <sheetData sheetId="6" refreshError="1"/>
      <sheetData sheetId="7"/>
      <sheetData sheetId="8" refreshError="1"/>
      <sheetData sheetId="9" refreshError="1"/>
      <sheetData sheetId="10" refreshError="1"/>
      <sheetData sheetId="11"/>
      <sheetData sheetId="12"/>
      <sheetData sheetId="13" refreshError="1"/>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M YTD 2000"/>
      <sheetName val="AUM_Chart"/>
      <sheetName val="Cap Structure"/>
      <sheetName val="TOP10"/>
      <sheetName val="DefaultHistory"/>
      <sheetName val="DefaultedSecuritySummary"/>
      <sheetName val="DefaultedSecuritySummary2"/>
      <sheetName val="DefaultedSecurityData"/>
      <sheetName val="Actual vs Covenant"/>
      <sheetName val="APEX"/>
      <sheetName val="APEX_MR"/>
      <sheetName val="APEX_SR"/>
      <sheetName val="APEX_MI"/>
      <sheetName val="APEX_SI"/>
      <sheetName val="ELC1"/>
      <sheetName val="ELC1_SR"/>
      <sheetName val="ELC1_MR"/>
      <sheetName val="ELC1_FR"/>
      <sheetName val="ELC1_SI"/>
      <sheetName val="ELC1_MI"/>
      <sheetName val="ELC2"/>
      <sheetName val="ELC2_SR"/>
      <sheetName val="ELC2_FR"/>
      <sheetName val="ELC2_SI"/>
      <sheetName val="ELC2_MI"/>
      <sheetName val="ELC3"/>
      <sheetName val="ELC3_MR"/>
      <sheetName val="ELC3_SR"/>
      <sheetName val="ELC3_FR"/>
      <sheetName val="ELC3_MI"/>
      <sheetName val="ELC3_SI"/>
      <sheetName val="ELC4"/>
      <sheetName val="ELC4_MR"/>
      <sheetName val="ELC4_SR"/>
      <sheetName val="ELC4_MI"/>
      <sheetName val="ELC4_SI"/>
      <sheetName val="ELC5"/>
      <sheetName val="ELC5_MR"/>
      <sheetName val="ELC5_SR"/>
      <sheetName val="ELC5_MI"/>
      <sheetName val="ELC5_SI"/>
      <sheetName val="TRYN"/>
      <sheetName val="TRYN_MR"/>
      <sheetName val="TRYN_SR"/>
      <sheetName val="TRYN_SI"/>
      <sheetName val="TRYN_MI"/>
      <sheetName val="SaleData"/>
      <sheetName val="SH_Results"/>
      <sheetName val="SH_APEX"/>
      <sheetName val="SH_ELC1"/>
      <sheetName val="SH_ELC2"/>
      <sheetName val="SH_ELC3"/>
      <sheetName val="SH_ELC4"/>
      <sheetName val="SH_ELC5"/>
      <sheetName val="SH_TRY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EBITDA SUM"/>
      <sheetName val="RIF SUM"/>
      <sheetName val="OBS"/>
      <sheetName val="AFS"/>
      <sheetName val="MIS"/>
      <sheetName val="MBS"/>
      <sheetName val="MCF"/>
      <sheetName val="MC-MIS"/>
      <sheetName val="ED-MIS"/>
      <sheetName val="MED PUB-MIS"/>
      <sheetName val="OPT-MIS"/>
      <sheetName val="REV"/>
      <sheetName val="EXP"/>
      <sheetName val="MODR"/>
      <sheetName val="D&amp;A"/>
      <sheetName val="DEBT"/>
      <sheetName val="COVS"/>
      <sheetName val="DISPLAY"/>
      <sheetName val="CONTRO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U"/>
      <sheetName val="BS"/>
      <sheetName val="IS"/>
      <sheetName val="CFS"/>
      <sheetName val="REV"/>
      <sheetName val="RATIO"/>
      <sheetName val="RETURN"/>
      <sheetName val="CONTROL"/>
      <sheetName val="D&amp;A"/>
    </sheetNames>
    <sheetDataSet>
      <sheetData sheetId="0" refreshError="1"/>
      <sheetData sheetId="1"/>
      <sheetData sheetId="2"/>
      <sheetData sheetId="3" refreshError="1"/>
      <sheetData sheetId="4" refreshError="1"/>
      <sheetData sheetId="5"/>
      <sheetData sheetId="6" refreshError="1"/>
      <sheetData sheetId="7" refreshError="1"/>
      <sheetData sheetId="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hflows"/>
      <sheetName val="OC-IC"/>
      <sheetName val="Sources and Uses"/>
      <sheetName val="After Tax"/>
      <sheetName val="Tax Report"/>
      <sheetName val="Price Yield"/>
      <sheetName val="LIBOR"/>
      <sheetName val="Revolver"/>
      <sheetName val="PV Calc"/>
      <sheetName val="Module1"/>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DRIVER"/>
      <sheetName val="Sheet1"/>
      <sheetName val="Bcom IS-Mnthly"/>
      <sheetName val="Conversion Balance Sheet"/>
      <sheetName val="Bcom BS-Mnthly"/>
      <sheetName val="Bcom FAS95-Mnthly"/>
      <sheetName val="Bcom Rollup-Income"/>
      <sheetName val="Bcom Rollup- Balance"/>
      <sheetName val="Bcom Conversion Charge Adj"/>
      <sheetName val="Bcom Debt"/>
      <sheetName val="Bcom Fixed Assets"/>
      <sheetName val="Bcom Lines"/>
      <sheetName val="Bcom New AE Efficiency"/>
      <sheetName val="Bcom Rev"/>
      <sheetName val="Bcom COGS"/>
      <sheetName val="Bcom-SG&amp;A,Taxes"/>
      <sheetName val="Bcom HEADCOUNT"/>
      <sheetName val="MasterDriverTrucom"/>
      <sheetName val="TruCom IS"/>
      <sheetName val="TruCom BS"/>
      <sheetName val="TruCom FAS95-Mnthly"/>
      <sheetName val="TruCom Rev"/>
      <sheetName val="TruCom COGS"/>
      <sheetName val="TruCom Lines"/>
      <sheetName val="TruCom-SG&amp;A,Taxes"/>
      <sheetName val="TruCom HEADCOUNT"/>
      <sheetName val="TruCom Amort."/>
      <sheetName val="TruCom Fixed Assets"/>
      <sheetName val="TruCom Debt"/>
      <sheetName val="TruCom Debt worksheet"/>
      <sheetName val="Cap Tables"/>
      <sheetName val="TruCom Cash Acct. Recon."/>
      <sheetName val="MASTER"/>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EBITDA SUM"/>
      <sheetName val="RIF SUM"/>
      <sheetName val="OBS"/>
      <sheetName val="AFS"/>
      <sheetName val="MIS"/>
      <sheetName val="MBS"/>
      <sheetName val="MCF"/>
      <sheetName val="MC-MIS"/>
      <sheetName val="ED-MIS"/>
      <sheetName val="MED PUB-MIS"/>
      <sheetName val="DISPLAY"/>
      <sheetName val="OPT-MIS"/>
      <sheetName val="REV"/>
      <sheetName val="EXP"/>
      <sheetName val="MODR"/>
      <sheetName val="D&amp;A"/>
      <sheetName val="DEBT"/>
      <sheetName val="COVS"/>
      <sheetName val="CONTRO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CM 2000 Rev Chart"/>
      <sheetName val="MCM 2001 Rev Chart"/>
      <sheetName val="MCM 1999 P&amp;L"/>
      <sheetName val="MCM 2000 P&amp;L"/>
      <sheetName val="MCM 2001 Plan"/>
      <sheetName val="MCM 2000 and 2001 Plan"/>
      <sheetName val="GSN Hist IS"/>
      <sheetName val="GSN Hist BS"/>
      <sheetName val="CC 2000 Detail"/>
      <sheetName val="CC 2000 IS"/>
      <sheetName val="CC 2000 BS"/>
      <sheetName val="CC 2000 CF"/>
      <sheetName val="Crescent Mo IS 9-00 to 6-01"/>
      <sheetName val="Crescent Qtr IS Sep00-Jun01"/>
      <sheetName val="Target P&amp;L RollUp"/>
      <sheetName val="Target P&amp;L RollUp June"/>
      <sheetName val="Target P&amp;L Pct Sales"/>
      <sheetName val="MASTER DRIVERS"/>
      <sheetName val="Summary"/>
      <sheetName val="IS Sum"/>
      <sheetName val="BS Sum"/>
      <sheetName val="CF Sum"/>
      <sheetName val="Covenants and Capitalization"/>
      <sheetName val="Ret Earn Reconcile"/>
      <sheetName val="GSN IS Sum"/>
      <sheetName val="Maine IS Sum"/>
      <sheetName val="Conversion BS"/>
      <sheetName val="Key Ratios"/>
      <sheetName val="MCG vs Vaxa"/>
      <sheetName val="Exhibits1"/>
      <sheetName val="Exhibits2"/>
      <sheetName val="IS"/>
      <sheetName val="BS"/>
      <sheetName val="CF"/>
      <sheetName val="Debt"/>
      <sheetName val="Fixed Assets"/>
      <sheetName val="Intangibles"/>
      <sheetName val="DCF"/>
      <sheetName val="Initial TTM EBITDA by Cluster"/>
      <sheetName val="Geographic Concentration"/>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nX"/>
      <sheetName val="Portfolio Input"/>
      <sheetName val="Warehouse Summary"/>
      <sheetName val="Investor Summary"/>
      <sheetName val="Industry"/>
      <sheetName val="Rating"/>
      <sheetName val="Broad Loan Category"/>
      <sheetName val="Diversity Calc"/>
      <sheetName val="Vlookup"/>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sheetName val="Pipeline"/>
      <sheetName val="Monthly Financials"/>
      <sheetName val="Quarterly Financials"/>
      <sheetName val="Yearly Financials"/>
      <sheetName val="Distributions"/>
      <sheetName val="Returns"/>
      <sheetName val="Operations"/>
      <sheetName val="Payroll"/>
      <sheetName val="Depreciation"/>
      <sheetName val="Debt"/>
      <sheetName val="Equ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s"/>
      <sheetName val="Model"/>
      <sheetName val="Portfolio Input"/>
    </sheetNames>
    <sheetDataSet>
      <sheetData sheetId="0"/>
      <sheetData sheetId="1" refreshError="1"/>
      <sheetData sheetId="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TransSum"/>
      <sheetName val="Consolidated"/>
      <sheetName val="JDPC Proj."/>
      <sheetName val="EG Proj."/>
      <sheetName val="KBB Proj. "/>
    </sheetNames>
    <sheetDataSet>
      <sheetData sheetId="0"/>
      <sheetData sheetId="1"/>
      <sheetData sheetId="2"/>
      <sheetData sheetId="3"/>
      <sheetData sheetId="4"/>
      <sheetData sheetId="5"/>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liminary"/>
      <sheetName val="Final"/>
    </sheetNames>
    <sheetDataSet>
      <sheetData sheetId="0" refreshError="1"/>
      <sheetData sheetId="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01_05_v_Wicks_xls__01_05_v_Wic"/>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BO Summary"/>
      <sheetName val="Financials"/>
      <sheetName val="Debt"/>
      <sheetName val="Cap"/>
      <sheetName val="Consolidated"/>
      <sheetName val="Television"/>
      <sheetName val="Corporate"/>
      <sheetName val="Capex"/>
      <sheetName val="Tax"/>
      <sheetName val="Adj 2006"/>
      <sheetName val="Credit"/>
      <sheetName val="For Banks"/>
      <sheetName val="_01_05_v_Wicks_xls__01_05_v_Wic"/>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M Yields"/>
      <sheetName val="Vector Output"/>
      <sheetName val="Portfolio"/>
      <sheetName val="Action Items"/>
      <sheetName val="Defense Comps"/>
      <sheetName val="Telecom"/>
      <sheetName val="WARF"/>
      <sheetName val="Template"/>
      <sheetName val="1"/>
      <sheetName val="2"/>
      <sheetName val="3"/>
      <sheetName val="4"/>
      <sheetName val="Credit Breakdown"/>
      <sheetName val="Auto EVs"/>
      <sheetName val="WARF Tracker"/>
      <sheetName val="Deal Multiples"/>
      <sheetName val="Status"/>
      <sheetName val="Output"/>
      <sheetName val="Graphs"/>
      <sheetName val="Inputs"/>
      <sheetName val="LBO Summary"/>
      <sheetName val="Tanning Assumptions"/>
      <sheetName val="IncStmt"/>
      <sheetName val="BS"/>
      <sheetName val="DCF"/>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ly-by-night - Base"/>
      <sheetName val="Fly-by-night - problem 5"/>
      <sheetName val="Fly-by-night - problem 6"/>
      <sheetName val="Fly-by-night - Base with ltd"/>
      <sheetName val="Portfolio"/>
      <sheetName val="MASTER DRIVER"/>
      <sheetName val="LBO Summary"/>
      <sheetName val="IncStmt"/>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BO Summary"/>
      <sheetName val="Financials"/>
      <sheetName val="Debt"/>
      <sheetName val="Cap"/>
      <sheetName val="Consolidated"/>
      <sheetName val="Television"/>
      <sheetName val="Corporate"/>
      <sheetName val="Capex"/>
      <sheetName val="Tax"/>
      <sheetName val="Credit"/>
      <sheetName val="Summary"/>
      <sheetName val="Segments"/>
      <sheetName val="Adjustments"/>
      <sheetName val="Fly-by-night - problem 5"/>
      <sheetName val="Input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al Info"/>
      <sheetName val="Qualitative Analysis"/>
      <sheetName val="Base"/>
      <sheetName val="EV_DCF Analysis"/>
      <sheetName val="VeCTOR Import"/>
      <sheetName val="Annual Summary"/>
      <sheetName val="LBO Summary"/>
      <sheetName val="Fly-by-night - problem 5"/>
      <sheetName val="Segment Info"/>
    </sheetNames>
    <sheetDataSet>
      <sheetData sheetId="0" refreshError="1"/>
      <sheetData sheetId="1"/>
      <sheetData sheetId="2"/>
      <sheetData sheetId="3" refreshError="1"/>
      <sheetData sheetId="4"/>
      <sheetData sheetId="5" refreshError="1"/>
      <sheetData sheetId="6" refreshError="1"/>
      <sheetData sheetId="7" refreshError="1"/>
      <sheetData sheetId="8"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SUMMARY"/>
      <sheetName val="TRANSACTION"/>
      <sheetName val="Capital Structure"/>
      <sheetName val="DEBT DETAIL"/>
      <sheetName val="Sheet2"/>
      <sheetName val="Flat EBITDA"/>
      <sheetName val="Scenario Fan"/>
      <sheetName val="Sheet1"/>
      <sheetName val="Sheet1 (2)"/>
      <sheetName val="Case Comparison"/>
      <sheetName val="INCOME STATEMENT"/>
      <sheetName val="BALANCE SHEET"/>
      <sheetName val="CASH FLOW"/>
      <sheetName val="World Cup"/>
      <sheetName val="Taxes"/>
      <sheetName val="CAPEX &amp; INTANG"/>
      <sheetName val="Drivers"/>
      <sheetName val="WORKING CAPITAL"/>
      <sheetName val="Buildup"/>
      <sheetName val="S&amp;U"/>
      <sheetName val="TV Build"/>
      <sheetName val="TV Group"/>
      <sheetName val="UVN"/>
      <sheetName val="TLF"/>
      <sheetName val="Gala"/>
      <sheetName val="TV Station Group"/>
      <sheetName val="UTG"/>
      <sheetName val="TTG"/>
      <sheetName val="Radio Operating Build"/>
      <sheetName val="Radio Drivers"/>
      <sheetName val="Consolidated"/>
      <sheetName val="Market Build"/>
      <sheetName val="Other"/>
      <sheetName val="Overview"/>
      <sheetName val="Margin Bridge"/>
      <sheetName val="Projections Detail"/>
      <sheetName val="VeCTOR Import"/>
      <sheetName val="LBO Summary"/>
    </sheetNames>
    <sheetDataSet>
      <sheetData sheetId="0" refreshError="1"/>
      <sheetData sheetId="1" refreshError="1"/>
      <sheetData sheetId="2"/>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reciation"/>
      <sheetName val="S&amp;U"/>
      <sheetName val="Sheet1"/>
      <sheetName val="1998 assump"/>
      <sheetName val="1997 assump"/>
      <sheetName val="******"/>
      <sheetName val="1998 P &amp; L"/>
      <sheetName val="1999 P &amp; L"/>
      <sheetName val="summ people"/>
      <sheetName val="people"/>
      <sheetName val="Sheet2"/>
      <sheetName val="B"/>
      <sheetName val="Sheet5"/>
      <sheetName val="Employees"/>
      <sheetName val="Reconcile"/>
      <sheetName val="D"/>
      <sheetName val="TRANSACTION"/>
      <sheetName val="VeCTOR Imp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CovCalcs Table"/>
      <sheetName val="IS Table"/>
      <sheetName val="BS Table"/>
      <sheetName val="SoCF Table"/>
      <sheetName val="RE &amp; DIVS Table"/>
      <sheetName val="Debt Table"/>
      <sheetName val="RE &amp; DIVS"/>
      <sheetName val="Debt"/>
      <sheetName val="BalSh Comb"/>
      <sheetName val="SoCF Comb"/>
      <sheetName val="IS Comb"/>
      <sheetName val="Covenant Summary"/>
      <sheetName val="UF P&amp;L-Mth"/>
      <sheetName val="Sheet1"/>
      <sheetName val="MASTER"/>
      <sheetName val="FC P&amp;L-Mth"/>
      <sheetName val="Headcount"/>
      <sheetName val="New FC Contracts"/>
      <sheetName val="UF Bal-Mth"/>
      <sheetName val="FC Bal-Mth"/>
      <sheetName val="Fixed Assets"/>
      <sheetName val="G&amp;A"/>
      <sheetName val="FC Contracts 2001"/>
      <sheetName val="End Model"/>
      <sheetName val="Combnd Hist BS"/>
      <sheetName val="UF Bal Sheet"/>
      <sheetName val="FC Bal Sheet"/>
      <sheetName val="UF P&amp;L Hist"/>
      <sheetName val="FC P&amp;L Hist"/>
      <sheetName val="UF2000"/>
      <sheetName val="UF2001"/>
      <sheetName val="FC2000"/>
      <sheetName val="FC2001"/>
      <sheetName val="vs. 2001 actuals"/>
      <sheetName val="Sheet3"/>
      <sheetName val="Equity Table"/>
      <sheetName val="Card Count Table"/>
      <sheetName val="BS Tables"/>
      <sheetName val="Concentr Table"/>
      <sheetName val="BS Analysis"/>
      <sheetName val="Table 5"/>
      <sheetName val="Table 4"/>
      <sheetName val="Table 3"/>
      <sheetName val="Table 2"/>
      <sheetName val="Table 1"/>
      <sheetName val="DCF"/>
      <sheetName val="top50hotels"/>
      <sheetName val="Sheet5"/>
      <sheetName val="D"/>
      <sheetName val="MASTER DRIVE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
      <sheetName val="OBS - MEDCON"/>
      <sheetName val="OBS - REFI"/>
      <sheetName val="AFS"/>
      <sheetName val="MBS"/>
      <sheetName val="MMIS (2)"/>
      <sheetName val="WHEC"/>
      <sheetName val="MIS"/>
      <sheetName val="MCF"/>
      <sheetName val="PACING06"/>
      <sheetName val="D&amp;A"/>
      <sheetName val="D&amp;A (2)"/>
      <sheetName val="DEBT"/>
      <sheetName val="CHARTS&gt;&gt;&gt;"/>
      <sheetName val="S&amp;U_CAP_MERGER"/>
      <sheetName val="S&amp;U_CAP_REFI"/>
      <sheetName val="MEDCON IS"/>
      <sheetName val="SUM IS"/>
      <sheetName val="PF IS"/>
      <sheetName val="PF BS"/>
      <sheetName val="COVS"/>
      <sheetName val="ECF"/>
      <sheetName val="Bridge"/>
      <sheetName val="HoldCo INT"/>
      <sheetName val="PACING05"/>
      <sheetName val="MASTER"/>
    </sheetNames>
    <sheetDataSet>
      <sheetData sheetId="0"/>
      <sheetData sheetId="1" refreshError="1"/>
      <sheetData sheetId="2"/>
      <sheetData sheetId="3" refreshError="1"/>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EBITDA SUM"/>
      <sheetName val="RIF SUM"/>
      <sheetName val="OBS"/>
      <sheetName val="AFS"/>
      <sheetName val="MIS"/>
      <sheetName val="MBS"/>
      <sheetName val="MCF"/>
      <sheetName val="MC-MIS"/>
      <sheetName val="ED-MIS"/>
      <sheetName val="MED PUB-MIS"/>
      <sheetName val="OPT-MIS"/>
      <sheetName val="REV"/>
      <sheetName val="EXP"/>
      <sheetName val="MODR"/>
      <sheetName val="D&amp;A"/>
      <sheetName val="DEBT"/>
      <sheetName val="COVS"/>
      <sheetName val="CONTROL"/>
      <sheetName val="OBS - REFI"/>
      <sheetName val="WH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
      <sheetName val="AFS"/>
      <sheetName val="MIS"/>
      <sheetName val="MBS"/>
      <sheetName val="MCF"/>
      <sheetName val="DEBT"/>
      <sheetName val="D&amp;A"/>
      <sheetName val="COVS_ACTUAL"/>
      <sheetName val="COVS"/>
      <sheetName val="PACING05"/>
      <sheetName val="PACING06"/>
    </sheetNames>
    <sheetDataSet>
      <sheetData sheetId="0" refreshError="1"/>
      <sheetData sheetId="1"/>
      <sheetData sheetId="2" refreshError="1"/>
      <sheetData sheetId="3"/>
      <sheetData sheetId="4" refreshError="1"/>
      <sheetData sheetId="5" refreshError="1"/>
      <sheetData sheetId="6"/>
      <sheetData sheetId="7" refreshError="1"/>
      <sheetData sheetId="8"/>
      <sheetData sheetId="9"/>
      <sheetData sheetId="10" refreshError="1"/>
      <sheetData sheetId="11"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CF"/>
      <sheetName val="DCFnew"/>
      <sheetName val="COVS_ACTUAL"/>
      <sheetName val="D&amp;A"/>
    </sheetNames>
    <sheetDataSet>
      <sheetData sheetId="0"/>
      <sheetData sheetId="1" refreshError="1"/>
      <sheetData sheetId="2" refreshError="1"/>
      <sheetData sheetId="3"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K1535"/>
  <sheetViews>
    <sheetView showGridLines="0" zoomScaleNormal="100" workbookViewId="0">
      <selection activeCell="N2" sqref="N2"/>
    </sheetView>
  </sheetViews>
  <sheetFormatPr defaultColWidth="11.453125" defaultRowHeight="13"/>
  <cols>
    <col min="1" max="1" width="8.7265625" style="194" customWidth="1"/>
    <col min="2" max="2" width="50.7265625" style="194" customWidth="1"/>
    <col min="3" max="7" width="12.7265625" style="194" customWidth="1"/>
    <col min="8" max="8" width="50.7265625" style="194" customWidth="1"/>
    <col min="9" max="9" width="12.7265625" style="194" customWidth="1"/>
    <col min="10" max="16384" width="11.453125" style="194"/>
  </cols>
  <sheetData>
    <row r="2" spans="1:11">
      <c r="A2" s="195"/>
    </row>
    <row r="3" spans="1:11">
      <c r="A3" s="495" t="s">
        <v>0</v>
      </c>
      <c r="B3" s="496"/>
      <c r="C3" s="496"/>
      <c r="D3" s="496"/>
      <c r="E3" s="496"/>
      <c r="F3" s="496"/>
      <c r="H3" s="194" t="s">
        <v>1</v>
      </c>
      <c r="I3" s="497" t="e">
        <f>Model!#REF!</f>
        <v>#REF!</v>
      </c>
    </row>
    <row r="4" spans="1:11">
      <c r="H4" s="498" t="s">
        <v>2</v>
      </c>
      <c r="I4" s="497">
        <f>AVERAGE(Model!$BC$243:$BE$243)</f>
        <v>5.508182524575167E-2</v>
      </c>
    </row>
    <row r="5" spans="1:11" ht="13.5" thickBot="1">
      <c r="H5" s="197"/>
      <c r="I5" s="196"/>
    </row>
    <row r="6" spans="1:11" ht="15" customHeight="1">
      <c r="B6" s="440" t="s">
        <v>3</v>
      </c>
      <c r="C6" s="346" t="s">
        <v>4</v>
      </c>
      <c r="D6" s="346" t="s">
        <v>5</v>
      </c>
      <c r="E6" s="441" t="s">
        <v>6</v>
      </c>
      <c r="F6" s="347" t="s">
        <v>7</v>
      </c>
      <c r="H6" s="370" t="s">
        <v>8</v>
      </c>
      <c r="I6" s="369" t="str">
        <f>C6</f>
        <v>MXN (mn)</v>
      </c>
    </row>
    <row r="7" spans="1:11">
      <c r="B7" s="225" t="s">
        <v>9</v>
      </c>
      <c r="C7" s="433" t="e">
        <f>Model!#REF!+Model!#REF!</f>
        <v>#REF!</v>
      </c>
      <c r="D7" s="434" t="e">
        <f>C7*$I3</f>
        <v>#REF!</v>
      </c>
      <c r="E7" s="435"/>
      <c r="F7" s="435"/>
      <c r="H7" s="359" t="s">
        <v>10</v>
      </c>
      <c r="I7" s="360">
        <v>39705</v>
      </c>
      <c r="J7" s="228"/>
    </row>
    <row r="8" spans="1:11">
      <c r="B8" s="224" t="s">
        <v>11</v>
      </c>
      <c r="C8" s="436"/>
      <c r="D8" s="433"/>
      <c r="E8" s="234"/>
      <c r="F8" s="234"/>
      <c r="H8" s="359" t="s">
        <v>12</v>
      </c>
      <c r="I8" s="360"/>
      <c r="K8" s="368"/>
    </row>
    <row r="9" spans="1:11">
      <c r="B9" s="225" t="s">
        <v>13</v>
      </c>
      <c r="C9" s="433" t="e">
        <f>Model!#REF!</f>
        <v>#REF!</v>
      </c>
      <c r="D9" s="433" t="e">
        <f>C9*$I3</f>
        <v>#REF!</v>
      </c>
      <c r="E9" s="234"/>
      <c r="F9" s="235"/>
      <c r="H9" s="361" t="s">
        <v>14</v>
      </c>
      <c r="I9" s="362">
        <f>SUM(I7:I8)</f>
        <v>39705</v>
      </c>
      <c r="J9" s="228"/>
    </row>
    <row r="10" spans="1:11">
      <c r="B10" s="225" t="s">
        <v>15</v>
      </c>
      <c r="C10" s="433" t="e">
        <f>Model!#REF!</f>
        <v>#REF!</v>
      </c>
      <c r="D10" s="433" t="e">
        <f>C10*$I3</f>
        <v>#REF!</v>
      </c>
      <c r="E10" s="234"/>
      <c r="F10" s="234"/>
      <c r="H10" s="359" t="s">
        <v>16</v>
      </c>
      <c r="I10" s="363" t="e">
        <f>C19</f>
        <v>#REF!</v>
      </c>
      <c r="J10" s="209"/>
    </row>
    <row r="11" spans="1:11">
      <c r="B11" s="224" t="s">
        <v>17</v>
      </c>
      <c r="C11" s="433"/>
      <c r="D11" s="433"/>
      <c r="E11" s="234"/>
      <c r="F11" s="234"/>
      <c r="H11" s="361" t="s">
        <v>18</v>
      </c>
      <c r="I11" s="362" t="e">
        <f>I9-I10</f>
        <v>#REF!</v>
      </c>
      <c r="J11" s="208"/>
    </row>
    <row r="12" spans="1:11">
      <c r="B12" s="225" t="s">
        <v>19</v>
      </c>
      <c r="C12" s="433" t="e">
        <f>Model!#REF!</f>
        <v>#REF!</v>
      </c>
      <c r="D12" s="433" t="e">
        <f>C12*$I3</f>
        <v>#REF!</v>
      </c>
      <c r="E12" s="234"/>
      <c r="F12" s="235"/>
      <c r="H12" s="364" t="s">
        <v>20</v>
      </c>
      <c r="I12" s="365" t="e">
        <f>I9/C23</f>
        <v>#REF!</v>
      </c>
      <c r="J12" s="204"/>
    </row>
    <row r="13" spans="1:11" ht="13.5" thickBot="1">
      <c r="B13" s="225" t="s">
        <v>21</v>
      </c>
      <c r="C13" s="433" t="e">
        <f>Model!#REF!</f>
        <v>#REF!</v>
      </c>
      <c r="D13" s="433" t="e">
        <f>C13*$I3</f>
        <v>#REF!</v>
      </c>
      <c r="E13" s="234"/>
      <c r="F13" s="235"/>
      <c r="H13" s="366" t="s">
        <v>22</v>
      </c>
      <c r="I13" s="367" t="e">
        <f>I11/C23</f>
        <v>#REF!</v>
      </c>
      <c r="J13" s="204"/>
    </row>
    <row r="14" spans="1:11">
      <c r="B14" s="225" t="s">
        <v>23</v>
      </c>
      <c r="C14" s="433" t="e">
        <f>Model!#REF!</f>
        <v>#REF!</v>
      </c>
      <c r="D14" s="433" t="e">
        <f>C14*$I3</f>
        <v>#REF!</v>
      </c>
      <c r="E14" s="234"/>
      <c r="F14" s="235"/>
    </row>
    <row r="15" spans="1:11">
      <c r="B15" s="225" t="s">
        <v>24</v>
      </c>
      <c r="C15" s="433" t="e">
        <f>Model!#REF!</f>
        <v>#REF!</v>
      </c>
      <c r="D15" s="433" t="e">
        <f>C15*$I3</f>
        <v>#REF!</v>
      </c>
      <c r="E15" s="234"/>
      <c r="F15" s="235"/>
    </row>
    <row r="16" spans="1:11">
      <c r="B16" s="225" t="s">
        <v>25</v>
      </c>
      <c r="C16" s="433" t="e">
        <f>Model!#REF!</f>
        <v>#REF!</v>
      </c>
      <c r="D16" s="433" t="e">
        <f>C16*$I3</f>
        <v>#REF!</v>
      </c>
      <c r="E16" s="234"/>
      <c r="F16" s="235"/>
      <c r="H16" s="194" t="s">
        <v>26</v>
      </c>
      <c r="I16" s="182">
        <v>0.62</v>
      </c>
    </row>
    <row r="17" spans="2:9">
      <c r="B17" s="1" t="s">
        <v>27</v>
      </c>
      <c r="C17" s="433" t="e">
        <f>Model!#REF!</f>
        <v>#REF!</v>
      </c>
      <c r="D17" s="433" t="e">
        <f>C17*$I3</f>
        <v>#REF!</v>
      </c>
      <c r="E17" s="234"/>
      <c r="F17" s="235"/>
      <c r="I17" s="182"/>
    </row>
    <row r="18" spans="2:9">
      <c r="B18" s="464" t="s">
        <v>28</v>
      </c>
      <c r="C18" s="465" t="e">
        <f>SUM(C7:C17)</f>
        <v>#REF!</v>
      </c>
      <c r="D18" s="465" t="e">
        <f>SUM(D7:D17)</f>
        <v>#REF!</v>
      </c>
      <c r="E18" s="467" t="e">
        <f>C18/C23</f>
        <v>#REF!</v>
      </c>
      <c r="F18" s="468" t="e">
        <f>D18/D23</f>
        <v>#REF!</v>
      </c>
    </row>
    <row r="19" spans="2:9">
      <c r="B19" s="215" t="s">
        <v>29</v>
      </c>
      <c r="C19" s="439" t="e">
        <f>Model!#REF!</f>
        <v>#REF!</v>
      </c>
      <c r="D19" s="433" t="e">
        <f>C19*$I3</f>
        <v>#REF!</v>
      </c>
      <c r="E19" s="217"/>
      <c r="F19" s="211"/>
    </row>
    <row r="20" spans="2:9">
      <c r="B20" s="464" t="s">
        <v>30</v>
      </c>
      <c r="C20" s="465" t="e">
        <f>C18-C19</f>
        <v>#REF!</v>
      </c>
      <c r="D20" s="466" t="e">
        <f>D18-D19</f>
        <v>#REF!</v>
      </c>
      <c r="E20" s="467" t="e">
        <f>C20/C23</f>
        <v>#REF!</v>
      </c>
      <c r="F20" s="468" t="e">
        <f>D20/D23</f>
        <v>#REF!</v>
      </c>
    </row>
    <row r="21" spans="2:9">
      <c r="B21" s="215" t="s">
        <v>31</v>
      </c>
      <c r="C21" s="439" t="e">
        <f>Model!#REF!</f>
        <v>#REF!</v>
      </c>
      <c r="D21" s="433" t="e">
        <f>C21*$I3</f>
        <v>#REF!</v>
      </c>
      <c r="E21" s="217"/>
    </row>
    <row r="22" spans="2:9">
      <c r="B22" s="212" t="s">
        <v>32</v>
      </c>
      <c r="C22" s="437" t="e">
        <f>C20+C21</f>
        <v>#REF!</v>
      </c>
      <c r="D22" s="469" t="e">
        <f>C22*$I3</f>
        <v>#REF!</v>
      </c>
      <c r="E22" s="214"/>
    </row>
    <row r="23" spans="2:9" s="195" customFormat="1">
      <c r="B23" s="212" t="s">
        <v>33</v>
      </c>
      <c r="C23" s="112" t="e">
        <f>Model!#REF!</f>
        <v>#REF!</v>
      </c>
      <c r="D23" s="469" t="e">
        <f>C23*$I4</f>
        <v>#REF!</v>
      </c>
      <c r="E23" s="212"/>
    </row>
    <row r="24" spans="2:9">
      <c r="B24" s="218" t="s">
        <v>34</v>
      </c>
      <c r="C24" s="432" t="e">
        <f>C18-Model!#REF!+3086.983</f>
        <v>#REF!</v>
      </c>
      <c r="D24" s="220"/>
      <c r="E24" s="221"/>
    </row>
    <row r="26" spans="2:9">
      <c r="B26" s="212" t="s">
        <v>35</v>
      </c>
      <c r="C26" s="222" t="e">
        <f>C20+Model!#REF!</f>
        <v>#REF!</v>
      </c>
      <c r="E26" s="223"/>
      <c r="F26" s="184"/>
    </row>
    <row r="27" spans="2:9">
      <c r="B27" s="212" t="s">
        <v>36</v>
      </c>
      <c r="C27" s="214" t="e">
        <f>C26/C23</f>
        <v>#REF!</v>
      </c>
      <c r="E27" s="223"/>
      <c r="F27" s="213"/>
    </row>
    <row r="30" spans="2:9">
      <c r="B30" s="351" t="s">
        <v>37</v>
      </c>
      <c r="C30" s="352" t="str">
        <f>C6</f>
        <v>MXN (mn)</v>
      </c>
      <c r="D30" s="354" t="str">
        <f>D6</f>
        <v>USD (mn)</v>
      </c>
    </row>
    <row r="31" spans="2:9">
      <c r="B31" s="263" t="s">
        <v>16</v>
      </c>
      <c r="C31" s="355" t="e">
        <f>C19</f>
        <v>#REF!</v>
      </c>
      <c r="D31" s="356" t="e">
        <f>C31*I3</f>
        <v>#REF!</v>
      </c>
      <c r="G31" s="213"/>
      <c r="H31" s="213"/>
      <c r="I31" s="213"/>
    </row>
    <row r="32" spans="2:9" ht="12" customHeight="1">
      <c r="B32" s="273" t="s">
        <v>38</v>
      </c>
      <c r="C32" s="357" t="e">
        <f>SUM(C31:C31)</f>
        <v>#REF!</v>
      </c>
      <c r="D32" s="358" t="e">
        <f>SUM(D31:D31)</f>
        <v>#REF!</v>
      </c>
    </row>
    <row r="33" spans="1:9" ht="12" customHeight="1">
      <c r="B33" s="195"/>
      <c r="C33" s="442"/>
      <c r="D33" s="442"/>
    </row>
    <row r="34" spans="1:9">
      <c r="C34" s="185"/>
      <c r="D34" s="185"/>
    </row>
    <row r="35" spans="1:9">
      <c r="B35" s="353" t="s">
        <v>39</v>
      </c>
      <c r="C35" s="354" t="str">
        <f>C30</f>
        <v>MXN (mn)</v>
      </c>
      <c r="D35" s="354" t="str">
        <f>D30</f>
        <v>USD (mn)</v>
      </c>
    </row>
    <row r="36" spans="1:9">
      <c r="B36" s="269" t="s">
        <v>40</v>
      </c>
      <c r="C36" s="271">
        <v>0</v>
      </c>
      <c r="D36" s="270" t="e">
        <f>C36*$I3</f>
        <v>#REF!</v>
      </c>
      <c r="E36" s="186"/>
    </row>
    <row r="37" spans="1:9">
      <c r="B37" s="269" t="s">
        <v>41</v>
      </c>
      <c r="C37" s="499">
        <f>3500</f>
        <v>3500</v>
      </c>
      <c r="D37" s="500" t="e">
        <f>C37*$I3</f>
        <v>#REF!</v>
      </c>
      <c r="E37" s="186"/>
    </row>
    <row r="38" spans="1:9">
      <c r="B38" s="269" t="s">
        <v>42</v>
      </c>
      <c r="C38" s="499"/>
      <c r="D38" s="500" t="e">
        <f>C38*$I3</f>
        <v>#REF!</v>
      </c>
      <c r="E38" s="186"/>
    </row>
    <row r="39" spans="1:9">
      <c r="B39" s="269" t="s">
        <v>43</v>
      </c>
      <c r="C39" s="499">
        <f>5000</f>
        <v>5000</v>
      </c>
      <c r="D39" s="500" t="e">
        <f>C39*$I3</f>
        <v>#REF!</v>
      </c>
      <c r="E39" s="186"/>
    </row>
    <row r="40" spans="1:9">
      <c r="B40" s="269" t="s">
        <v>44</v>
      </c>
      <c r="C40" s="499">
        <f>5000+8735+8735+8735</f>
        <v>31205</v>
      </c>
      <c r="D40" s="500" t="e">
        <f>C40*$I3</f>
        <v>#REF!</v>
      </c>
      <c r="E40" s="180"/>
    </row>
    <row r="41" spans="1:9">
      <c r="B41" s="273" t="s">
        <v>45</v>
      </c>
      <c r="C41" s="501">
        <f>SUM(C36:C40)</f>
        <v>39705</v>
      </c>
      <c r="D41" s="502" t="e">
        <f>SUM(D36:D40)</f>
        <v>#REF!</v>
      </c>
    </row>
    <row r="42" spans="1:9">
      <c r="B42" s="218" t="s">
        <v>34</v>
      </c>
      <c r="C42" s="220" t="e">
        <f>C41+C7-C18</f>
        <v>#REF!</v>
      </c>
      <c r="D42" s="220" t="e">
        <f>D41+D7-D18</f>
        <v>#REF!</v>
      </c>
    </row>
    <row r="43" spans="1:9">
      <c r="B43" s="218"/>
      <c r="C43" s="220"/>
      <c r="D43" s="220"/>
    </row>
    <row r="44" spans="1:9">
      <c r="B44" s="218"/>
      <c r="C44" s="220"/>
      <c r="D44" s="220"/>
    </row>
    <row r="46" spans="1:9">
      <c r="A46" s="195"/>
    </row>
    <row r="47" spans="1:9">
      <c r="A47" s="495" t="s">
        <v>46</v>
      </c>
      <c r="B47" s="496"/>
      <c r="C47" s="496"/>
      <c r="D47" s="496"/>
      <c r="E47" s="496"/>
      <c r="F47" s="496"/>
      <c r="H47" s="195" t="s">
        <v>47</v>
      </c>
      <c r="I47" s="257">
        <f>Model!$BE$244</f>
        <v>5.5744467361614362E-2</v>
      </c>
    </row>
    <row r="48" spans="1:9">
      <c r="H48" s="197" t="s">
        <v>48</v>
      </c>
      <c r="I48" s="257">
        <f>AVERAGE(Model!$BB$243:$BE$243)</f>
        <v>5.4123373204396474E-2</v>
      </c>
    </row>
    <row r="49" spans="2:11" ht="13.5" thickBot="1">
      <c r="H49" s="197"/>
      <c r="I49" s="196"/>
    </row>
    <row r="50" spans="2:11" ht="15" customHeight="1">
      <c r="B50" s="440" t="s">
        <v>49</v>
      </c>
      <c r="C50" s="346" t="s">
        <v>4</v>
      </c>
      <c r="D50" s="346" t="s">
        <v>5</v>
      </c>
      <c r="E50" s="441" t="s">
        <v>6</v>
      </c>
      <c r="F50" s="347" t="s">
        <v>7</v>
      </c>
      <c r="H50" s="370" t="s">
        <v>8</v>
      </c>
      <c r="I50" s="369" t="str">
        <f>C50</f>
        <v>MXN (mn)</v>
      </c>
    </row>
    <row r="51" spans="2:11">
      <c r="B51" s="225" t="s">
        <v>9</v>
      </c>
      <c r="C51" s="433">
        <f>Model!$BE$119+Model!$BE$120</f>
        <v>14552.023000000001</v>
      </c>
      <c r="D51" s="434">
        <f>C51*$I47</f>
        <v>811.19477116896155</v>
      </c>
      <c r="E51" s="435"/>
      <c r="F51" s="435"/>
      <c r="H51" s="359" t="s">
        <v>10</v>
      </c>
      <c r="I51" s="360">
        <v>40600</v>
      </c>
      <c r="J51" s="228"/>
    </row>
    <row r="52" spans="2:11">
      <c r="B52" s="224" t="s">
        <v>11</v>
      </c>
      <c r="C52" s="436"/>
      <c r="D52" s="433"/>
      <c r="E52" s="234"/>
      <c r="F52" s="234"/>
      <c r="H52" s="359" t="s">
        <v>12</v>
      </c>
      <c r="I52" s="360"/>
      <c r="K52" s="368"/>
    </row>
    <row r="53" spans="2:11">
      <c r="B53" s="225" t="s">
        <v>13</v>
      </c>
      <c r="C53" s="433">
        <f>Model!$BE$128</f>
        <v>0</v>
      </c>
      <c r="D53" s="433">
        <f>C53*$I47</f>
        <v>0</v>
      </c>
      <c r="E53" s="234"/>
      <c r="F53" s="235"/>
      <c r="H53" s="361" t="s">
        <v>14</v>
      </c>
      <c r="I53" s="362">
        <f>SUM(I51:I52)</f>
        <v>40600</v>
      </c>
      <c r="J53" s="228"/>
    </row>
    <row r="54" spans="2:11">
      <c r="B54" s="225" t="s">
        <v>15</v>
      </c>
      <c r="C54" s="433">
        <f>Model!$BE$129</f>
        <v>0</v>
      </c>
      <c r="D54" s="433">
        <f>C54*$I47</f>
        <v>0</v>
      </c>
      <c r="E54" s="234"/>
      <c r="F54" s="234"/>
      <c r="H54" s="359" t="s">
        <v>16</v>
      </c>
      <c r="I54" s="363">
        <f>C63</f>
        <v>22803.13</v>
      </c>
      <c r="J54" s="209"/>
    </row>
    <row r="55" spans="2:11">
      <c r="B55" s="224" t="s">
        <v>17</v>
      </c>
      <c r="C55" s="433"/>
      <c r="D55" s="433"/>
      <c r="E55" s="234"/>
      <c r="F55" s="234"/>
      <c r="H55" s="361" t="s">
        <v>18</v>
      </c>
      <c r="I55" s="362">
        <f>I53-I54</f>
        <v>17796.87</v>
      </c>
      <c r="J55" s="208"/>
    </row>
    <row r="56" spans="2:11">
      <c r="B56" s="225" t="s">
        <v>19</v>
      </c>
      <c r="C56" s="433">
        <f>Model!$BE$130</f>
        <v>3500</v>
      </c>
      <c r="D56" s="433">
        <f>C56*$I47</f>
        <v>195.10563576565028</v>
      </c>
      <c r="E56" s="234"/>
      <c r="F56" s="235"/>
      <c r="H56" s="364" t="s">
        <v>20</v>
      </c>
      <c r="I56" s="365">
        <f>I53/C67</f>
        <v>1.090899320203133</v>
      </c>
      <c r="J56" s="204"/>
    </row>
    <row r="57" spans="2:11" ht="13.5" thickBot="1">
      <c r="B57" s="225" t="s">
        <v>21</v>
      </c>
      <c r="C57" s="433">
        <f>Model!$BE$131</f>
        <v>5000</v>
      </c>
      <c r="D57" s="433">
        <f>C57*$I47</f>
        <v>278.72233680807182</v>
      </c>
      <c r="E57" s="234"/>
      <c r="F57" s="235"/>
      <c r="H57" s="366" t="s">
        <v>22</v>
      </c>
      <c r="I57" s="367">
        <f>I55/C67</f>
        <v>0.47819195528924952</v>
      </c>
      <c r="J57" s="204"/>
    </row>
    <row r="58" spans="2:11">
      <c r="B58" s="225" t="s">
        <v>23</v>
      </c>
      <c r="C58" s="433">
        <f>Model!$BE$132</f>
        <v>5000</v>
      </c>
      <c r="D58" s="433">
        <f>C58*$I47</f>
        <v>278.72233680807182</v>
      </c>
      <c r="E58" s="234"/>
      <c r="F58" s="235"/>
    </row>
    <row r="59" spans="2:11">
      <c r="B59" s="225" t="s">
        <v>24</v>
      </c>
      <c r="C59" s="433">
        <f>Model!$BE$133</f>
        <v>9033.35</v>
      </c>
      <c r="D59" s="433">
        <f>C59*$I47</f>
        <v>503.55928424103911</v>
      </c>
      <c r="E59" s="234"/>
      <c r="F59" s="235"/>
    </row>
    <row r="60" spans="2:11">
      <c r="B60" s="225" t="s">
        <v>25</v>
      </c>
      <c r="C60" s="433">
        <f>Model!$BE$134</f>
        <v>9033.35</v>
      </c>
      <c r="D60" s="433">
        <f>C60*$I47</f>
        <v>503.55928424103911</v>
      </c>
      <c r="E60" s="234"/>
      <c r="F60" s="235"/>
      <c r="H60" s="194" t="s">
        <v>26</v>
      </c>
      <c r="I60" s="182">
        <v>0.57999999999999996</v>
      </c>
    </row>
    <row r="61" spans="2:11">
      <c r="B61" s="1" t="s">
        <v>27</v>
      </c>
      <c r="C61" s="433">
        <f>Model!$BE$135</f>
        <v>9033.35</v>
      </c>
      <c r="D61" s="433">
        <f>C61*$I47</f>
        <v>503.55928424103911</v>
      </c>
      <c r="E61" s="234"/>
      <c r="F61" s="235"/>
      <c r="I61" s="182"/>
    </row>
    <row r="62" spans="2:11">
      <c r="B62" s="464" t="s">
        <v>28</v>
      </c>
      <c r="C62" s="465">
        <f>SUM(C51:C61)</f>
        <v>55152.072999999997</v>
      </c>
      <c r="D62" s="465">
        <f>SUM(D51:D61)</f>
        <v>3074.4229332738728</v>
      </c>
      <c r="E62" s="467">
        <f>C62/C67</f>
        <v>1.4819053926968857</v>
      </c>
      <c r="F62" s="468">
        <f>D62/D67</f>
        <v>1.5262911733942253</v>
      </c>
    </row>
    <row r="63" spans="2:11">
      <c r="B63" s="215" t="s">
        <v>29</v>
      </c>
      <c r="C63" s="439">
        <f>Model!$BE$144</f>
        <v>22803.13</v>
      </c>
      <c r="D63" s="433">
        <f>C63*$I47</f>
        <v>1271.1483360276493</v>
      </c>
      <c r="E63" s="217"/>
      <c r="F63" s="211"/>
    </row>
    <row r="64" spans="2:11">
      <c r="B64" s="464" t="s">
        <v>30</v>
      </c>
      <c r="C64" s="465">
        <f>C62-C63</f>
        <v>32348.942999999996</v>
      </c>
      <c r="D64" s="466">
        <f>D62-D63</f>
        <v>1803.2745972462235</v>
      </c>
      <c r="E64" s="467">
        <f>C64/C67</f>
        <v>0.86919802778300226</v>
      </c>
      <c r="F64" s="468">
        <f>D64/D67</f>
        <v>0.8952321006960684</v>
      </c>
    </row>
    <row r="65" spans="2:9">
      <c r="B65" s="215" t="s">
        <v>31</v>
      </c>
      <c r="C65" s="439">
        <f>Model!$BE$156</f>
        <v>180306.93799999999</v>
      </c>
      <c r="D65" s="433">
        <f>C65*$I47</f>
        <v>10051.114220413625</v>
      </c>
      <c r="E65" s="217"/>
    </row>
    <row r="66" spans="2:9">
      <c r="B66" s="212" t="s">
        <v>32</v>
      </c>
      <c r="C66" s="437">
        <f>C64+C65</f>
        <v>212655.88099999999</v>
      </c>
      <c r="D66" s="433">
        <f>C66*$I47</f>
        <v>11854.388817659847</v>
      </c>
      <c r="E66" s="214"/>
    </row>
    <row r="67" spans="2:9" s="195" customFormat="1">
      <c r="B67" s="212" t="s">
        <v>33</v>
      </c>
      <c r="C67" s="112">
        <f>Model!$BE$92</f>
        <v>37217</v>
      </c>
      <c r="D67" s="469">
        <f>C67*$I48</f>
        <v>2014.3095805480236</v>
      </c>
      <c r="E67" s="212"/>
    </row>
    <row r="68" spans="2:9">
      <c r="B68" s="218" t="s">
        <v>34</v>
      </c>
      <c r="C68" s="432">
        <f>C62-Model!$BE$116+2130.113</f>
        <v>-5.0022208597511053E-12</v>
      </c>
      <c r="D68" s="220"/>
      <c r="E68" s="221"/>
    </row>
    <row r="70" spans="2:9">
      <c r="B70" s="212" t="s">
        <v>35</v>
      </c>
      <c r="C70" s="222">
        <f>C64+Model!$BE$155</f>
        <v>171905.74299999999</v>
      </c>
      <c r="E70" s="223"/>
      <c r="F70" s="184"/>
    </row>
    <row r="71" spans="2:9">
      <c r="B71" s="212" t="s">
        <v>36</v>
      </c>
      <c r="C71" s="214">
        <f>C70/C67</f>
        <v>4.6190112851653815</v>
      </c>
      <c r="E71" s="223"/>
      <c r="F71" s="213"/>
    </row>
    <row r="74" spans="2:9">
      <c r="B74" s="351" t="s">
        <v>50</v>
      </c>
      <c r="C74" s="352" t="str">
        <f>C50</f>
        <v>MXN (mn)</v>
      </c>
      <c r="D74" s="354" t="str">
        <f>D50</f>
        <v>USD (mn)</v>
      </c>
    </row>
    <row r="75" spans="2:9">
      <c r="B75" s="263" t="s">
        <v>16</v>
      </c>
      <c r="C75" s="355">
        <f>C63</f>
        <v>22803.13</v>
      </c>
      <c r="D75" s="356">
        <f>C75*I47</f>
        <v>1271.1483360276493</v>
      </c>
      <c r="G75" s="213"/>
      <c r="H75" s="213"/>
      <c r="I75" s="213"/>
    </row>
    <row r="76" spans="2:9" ht="12" customHeight="1">
      <c r="B76" s="273" t="s">
        <v>38</v>
      </c>
      <c r="C76" s="357">
        <f>SUM(C75:C75)</f>
        <v>22803.13</v>
      </c>
      <c r="D76" s="358">
        <f>SUM(D75:D75)</f>
        <v>1271.1483360276493</v>
      </c>
    </row>
    <row r="77" spans="2:9" ht="12" customHeight="1">
      <c r="B77" s="195"/>
      <c r="C77" s="442"/>
      <c r="D77" s="442"/>
    </row>
    <row r="78" spans="2:9">
      <c r="C78" s="185"/>
      <c r="D78" s="185"/>
    </row>
    <row r="79" spans="2:9">
      <c r="B79" s="353" t="s">
        <v>51</v>
      </c>
      <c r="C79" s="354" t="str">
        <f>C74</f>
        <v>MXN (mn)</v>
      </c>
      <c r="D79" s="354" t="str">
        <f>D74</f>
        <v>USD (mn)</v>
      </c>
    </row>
    <row r="80" spans="2:9">
      <c r="B80" s="269" t="s">
        <v>40</v>
      </c>
      <c r="C80" s="271">
        <v>0</v>
      </c>
      <c r="D80" s="270">
        <f>C80*$I47</f>
        <v>0</v>
      </c>
      <c r="E80" s="186"/>
    </row>
    <row r="81" spans="1:10">
      <c r="B81" s="269" t="s">
        <v>41</v>
      </c>
      <c r="C81" s="271">
        <f>3500</f>
        <v>3500</v>
      </c>
      <c r="D81" s="270">
        <f>C81*$I47</f>
        <v>195.10563576565028</v>
      </c>
      <c r="E81" s="186"/>
    </row>
    <row r="82" spans="1:10">
      <c r="B82" s="269" t="s">
        <v>42</v>
      </c>
      <c r="C82" s="271"/>
      <c r="D82" s="270">
        <f>C82*$I47</f>
        <v>0</v>
      </c>
      <c r="E82" s="186"/>
    </row>
    <row r="83" spans="1:10">
      <c r="B83" s="269" t="s">
        <v>43</v>
      </c>
      <c r="C83" s="271">
        <f>5000</f>
        <v>5000</v>
      </c>
      <c r="D83" s="270">
        <f>C83*$I47</f>
        <v>278.72233680807182</v>
      </c>
      <c r="E83" s="186"/>
    </row>
    <row r="84" spans="1:10">
      <c r="B84" s="269" t="s">
        <v>44</v>
      </c>
      <c r="C84" s="271">
        <f>5000+9033.35+9033.35+9033.35</f>
        <v>32100.050000000003</v>
      </c>
      <c r="D84" s="270">
        <f>C84*$I47</f>
        <v>1789.4001895311892</v>
      </c>
      <c r="E84" s="180"/>
    </row>
    <row r="85" spans="1:10">
      <c r="B85" s="273" t="s">
        <v>45</v>
      </c>
      <c r="C85" s="274">
        <f>SUM(C80:C84)</f>
        <v>40600.050000000003</v>
      </c>
      <c r="D85" s="275">
        <f>SUM(D80:D84)</f>
        <v>2263.2281621049115</v>
      </c>
    </row>
    <row r="86" spans="1:10">
      <c r="B86" s="218" t="s">
        <v>34</v>
      </c>
      <c r="C86" s="220">
        <f>C85+C51-C62</f>
        <v>0</v>
      </c>
      <c r="D86" s="220">
        <f>D85+D51-D62</f>
        <v>0</v>
      </c>
    </row>
    <row r="87" spans="1:10">
      <c r="B87" s="218"/>
      <c r="C87" s="220"/>
      <c r="D87" s="220"/>
    </row>
    <row r="88" spans="1:10">
      <c r="B88" s="218"/>
      <c r="C88" s="220"/>
      <c r="D88" s="220"/>
    </row>
    <row r="89" spans="1:10">
      <c r="B89" s="218"/>
      <c r="C89" s="220"/>
      <c r="D89" s="220"/>
    </row>
    <row r="91" spans="1:10">
      <c r="A91" s="195"/>
    </row>
    <row r="92" spans="1:10">
      <c r="A92" s="195" t="s">
        <v>52</v>
      </c>
      <c r="H92" s="195" t="s">
        <v>47</v>
      </c>
      <c r="I92" s="257">
        <f>Model!$O$244</f>
        <v>5.5744467361614362E-2</v>
      </c>
    </row>
    <row r="93" spans="1:10">
      <c r="H93" s="197" t="s">
        <v>48</v>
      </c>
      <c r="I93" s="257">
        <f>Model!$O$243</f>
        <v>5.508182524575167E-2</v>
      </c>
    </row>
    <row r="94" spans="1:10" ht="13.5" thickBot="1">
      <c r="H94" s="197"/>
      <c r="I94" s="196"/>
    </row>
    <row r="95" spans="1:10" ht="15" customHeight="1">
      <c r="B95" s="440" t="s">
        <v>53</v>
      </c>
      <c r="C95" s="346" t="s">
        <v>4</v>
      </c>
      <c r="D95" s="346" t="s">
        <v>5</v>
      </c>
      <c r="E95" s="441" t="s">
        <v>6</v>
      </c>
      <c r="F95" s="347" t="s">
        <v>7</v>
      </c>
      <c r="H95" s="370" t="s">
        <v>8</v>
      </c>
      <c r="I95" s="369" t="str">
        <f>C95</f>
        <v>MXN (mn)</v>
      </c>
    </row>
    <row r="96" spans="1:10">
      <c r="B96" s="225" t="s">
        <v>9</v>
      </c>
      <c r="C96" s="433">
        <f>Model!$BD$119+Model!$BD$120</f>
        <v>15012.366999999998</v>
      </c>
      <c r="D96" s="434">
        <f>C96*$I92</f>
        <v>836.85640225207646</v>
      </c>
      <c r="E96" s="435"/>
      <c r="F96" s="435"/>
      <c r="H96" s="359" t="s">
        <v>10</v>
      </c>
      <c r="I96" s="360">
        <v>40407</v>
      </c>
      <c r="J96" s="228"/>
    </row>
    <row r="97" spans="2:11">
      <c r="B97" s="224" t="s">
        <v>11</v>
      </c>
      <c r="C97" s="436"/>
      <c r="D97" s="433"/>
      <c r="E97" s="234"/>
      <c r="F97" s="234"/>
      <c r="H97" s="359" t="s">
        <v>12</v>
      </c>
      <c r="I97" s="360"/>
      <c r="K97" s="368"/>
    </row>
    <row r="98" spans="2:11">
      <c r="B98" s="225" t="s">
        <v>13</v>
      </c>
      <c r="C98" s="433">
        <f>Model!$BD$128</f>
        <v>0</v>
      </c>
      <c r="D98" s="433">
        <f>C98*$I92</f>
        <v>0</v>
      </c>
      <c r="E98" s="234"/>
      <c r="F98" s="235"/>
      <c r="H98" s="361" t="s">
        <v>14</v>
      </c>
      <c r="I98" s="362">
        <f>SUM(I96:I97)</f>
        <v>40407</v>
      </c>
      <c r="J98" s="228"/>
    </row>
    <row r="99" spans="2:11">
      <c r="B99" s="225" t="s">
        <v>15</v>
      </c>
      <c r="C99" s="433">
        <f>Model!$BD$129</f>
        <v>8940.643</v>
      </c>
      <c r="D99" s="433">
        <f>C99*$I92</f>
        <v>498.3913819053459</v>
      </c>
      <c r="E99" s="234"/>
      <c r="F99" s="234"/>
      <c r="H99" s="359" t="s">
        <v>16</v>
      </c>
      <c r="I99" s="363">
        <f>C107</f>
        <v>25265.098000000002</v>
      </c>
      <c r="J99" s="209"/>
    </row>
    <row r="100" spans="2:11">
      <c r="B100" s="224" t="s">
        <v>17</v>
      </c>
      <c r="C100" s="433"/>
      <c r="D100" s="433"/>
      <c r="E100" s="234"/>
      <c r="F100" s="234"/>
      <c r="H100" s="361" t="s">
        <v>18</v>
      </c>
      <c r="I100" s="362">
        <f>I98-I99</f>
        <v>15141.901999999998</v>
      </c>
      <c r="J100" s="208"/>
    </row>
    <row r="101" spans="2:11">
      <c r="B101" s="225" t="s">
        <v>19</v>
      </c>
      <c r="C101" s="433">
        <f>Model!$BD$130</f>
        <v>3500</v>
      </c>
      <c r="D101" s="433">
        <f>C101*$I92</f>
        <v>195.10563576565028</v>
      </c>
      <c r="E101" s="234"/>
      <c r="F101" s="235"/>
      <c r="H101" s="364" t="s">
        <v>20</v>
      </c>
      <c r="I101" s="365">
        <f>I98/C111</f>
        <v>1.075856009372171</v>
      </c>
      <c r="J101" s="204"/>
    </row>
    <row r="102" spans="2:11" ht="13.5" thickBot="1">
      <c r="B102" s="225" t="s">
        <v>21</v>
      </c>
      <c r="C102" s="433">
        <f>Model!$BD$131</f>
        <v>5000</v>
      </c>
      <c r="D102" s="433">
        <f>C102*$I92</f>
        <v>278.72233680807182</v>
      </c>
      <c r="E102" s="234"/>
      <c r="F102" s="235"/>
      <c r="H102" s="366" t="s">
        <v>22</v>
      </c>
      <c r="I102" s="367">
        <f>I100/C111</f>
        <v>0.40316049842909629</v>
      </c>
      <c r="J102" s="204"/>
    </row>
    <row r="103" spans="2:11">
      <c r="B103" s="225" t="s">
        <v>23</v>
      </c>
      <c r="C103" s="433">
        <f>Model!$BD$132</f>
        <v>5000</v>
      </c>
      <c r="D103" s="433">
        <f>C103*$I92</f>
        <v>278.72233680807182</v>
      </c>
      <c r="E103" s="234"/>
      <c r="F103" s="235"/>
    </row>
    <row r="104" spans="2:11">
      <c r="B104" s="225" t="s">
        <v>24</v>
      </c>
      <c r="C104" s="433">
        <f>Model!$BD$133</f>
        <v>8983.35</v>
      </c>
      <c r="D104" s="433">
        <f>C104*$I92</f>
        <v>500.77206087295838</v>
      </c>
      <c r="E104" s="234"/>
      <c r="F104" s="235"/>
    </row>
    <row r="105" spans="2:11">
      <c r="B105" s="225" t="s">
        <v>25</v>
      </c>
      <c r="C105" s="433">
        <f>Model!$BD$134</f>
        <v>8983.35</v>
      </c>
      <c r="D105" s="433">
        <f>C105*$I92</f>
        <v>500.77206087295838</v>
      </c>
      <c r="E105" s="234"/>
      <c r="F105" s="235"/>
      <c r="H105" s="194" t="s">
        <v>26</v>
      </c>
      <c r="I105" s="182">
        <v>0.52</v>
      </c>
    </row>
    <row r="106" spans="2:11">
      <c r="B106" s="212" t="s">
        <v>28</v>
      </c>
      <c r="C106" s="437">
        <f>SUM(C96:C105)</f>
        <v>55419.709999999992</v>
      </c>
      <c r="D106" s="438">
        <f>SUM(D96:D105)</f>
        <v>3089.3422152851326</v>
      </c>
      <c r="E106" s="213">
        <f>C106/C111</f>
        <v>1.4755767080249211</v>
      </c>
      <c r="F106" s="214">
        <f>D106/D111</f>
        <v>1.4933281036542583</v>
      </c>
    </row>
    <row r="107" spans="2:11">
      <c r="B107" s="215" t="s">
        <v>29</v>
      </c>
      <c r="C107" s="439">
        <f>Model!$BD$144</f>
        <v>25265.098000000002</v>
      </c>
      <c r="D107" s="433">
        <f>C107*$I92</f>
        <v>1408.3894308489885</v>
      </c>
      <c r="E107" s="217"/>
      <c r="F107" s="211"/>
    </row>
    <row r="108" spans="2:11">
      <c r="B108" s="212" t="s">
        <v>30</v>
      </c>
      <c r="C108" s="437">
        <f>C106-C107</f>
        <v>30154.61199999999</v>
      </c>
      <c r="D108" s="438">
        <f>D106-D107</f>
        <v>1680.9527844361442</v>
      </c>
      <c r="E108" s="213">
        <f>C108/C111</f>
        <v>0.80288119708184646</v>
      </c>
      <c r="F108" s="214">
        <f>D108/D111</f>
        <v>0.81253997096682629</v>
      </c>
    </row>
    <row r="109" spans="2:11">
      <c r="B109" s="212" t="s">
        <v>31</v>
      </c>
      <c r="C109" s="437">
        <f>Model!$BD$156</f>
        <v>179369.48300000001</v>
      </c>
      <c r="D109" s="433">
        <f>C109*$I92</f>
        <v>9998.8562907631422</v>
      </c>
      <c r="E109" s="213"/>
    </row>
    <row r="110" spans="2:11">
      <c r="B110" s="212" t="s">
        <v>32</v>
      </c>
      <c r="C110" s="437">
        <f>C108+C109</f>
        <v>209524.095</v>
      </c>
      <c r="D110" s="433">
        <f>C110*$I92</f>
        <v>11679.809075199288</v>
      </c>
      <c r="E110" s="214"/>
    </row>
    <row r="111" spans="2:11">
      <c r="B111" s="215" t="s">
        <v>33</v>
      </c>
      <c r="C111" s="65">
        <f>Model!$BD$92</f>
        <v>37558</v>
      </c>
      <c r="D111" s="433">
        <f>C111*$I93</f>
        <v>2068.763192579941</v>
      </c>
      <c r="E111" s="215"/>
    </row>
    <row r="112" spans="2:11">
      <c r="B112" s="218" t="s">
        <v>34</v>
      </c>
      <c r="C112" s="432">
        <f>C106-Model!$BD$116-8940.643+2232.569</f>
        <v>-6.8212102632969618E-12</v>
      </c>
      <c r="D112" s="220"/>
      <c r="E112" s="221"/>
    </row>
    <row r="114" spans="2:9">
      <c r="B114" s="212" t="s">
        <v>35</v>
      </c>
      <c r="C114" s="222">
        <f>C108+Model!$BC$155</f>
        <v>164284.31200000001</v>
      </c>
      <c r="E114" s="223"/>
      <c r="F114" s="184"/>
    </row>
    <row r="115" spans="2:9">
      <c r="B115" s="212" t="s">
        <v>36</v>
      </c>
      <c r="C115" s="214">
        <f>C114/C111</f>
        <v>4.3741496352308431</v>
      </c>
      <c r="E115" s="223"/>
      <c r="F115" s="213"/>
    </row>
    <row r="118" spans="2:9">
      <c r="B118" s="351" t="s">
        <v>54</v>
      </c>
      <c r="C118" s="352" t="str">
        <f>C95</f>
        <v>MXN (mn)</v>
      </c>
      <c r="D118" s="354" t="str">
        <f>D95</f>
        <v>USD (mn)</v>
      </c>
    </row>
    <row r="119" spans="2:9">
      <c r="B119" s="263" t="s">
        <v>16</v>
      </c>
      <c r="C119" s="355">
        <f>C107</f>
        <v>25265.098000000002</v>
      </c>
      <c r="D119" s="356">
        <f>C119*I92</f>
        <v>1408.3894308489885</v>
      </c>
      <c r="G119" s="213"/>
      <c r="H119" s="213"/>
      <c r="I119" s="213"/>
    </row>
    <row r="120" spans="2:9" ht="12" customHeight="1">
      <c r="B120" s="273" t="s">
        <v>38</v>
      </c>
      <c r="C120" s="357">
        <f>SUM(C119:C119)</f>
        <v>25265.098000000002</v>
      </c>
      <c r="D120" s="358">
        <f>SUM(D119:D119)</f>
        <v>1408.3894308489885</v>
      </c>
    </row>
    <row r="121" spans="2:9" ht="12" customHeight="1">
      <c r="B121" s="195"/>
      <c r="C121" s="442"/>
      <c r="D121" s="442"/>
    </row>
    <row r="122" spans="2:9">
      <c r="C122" s="185"/>
      <c r="D122" s="185"/>
    </row>
    <row r="123" spans="2:9">
      <c r="B123" s="353" t="s">
        <v>55</v>
      </c>
      <c r="C123" s="354" t="str">
        <f>C118</f>
        <v>MXN (mn)</v>
      </c>
      <c r="D123" s="354" t="str">
        <f>D118</f>
        <v>USD (mn)</v>
      </c>
    </row>
    <row r="124" spans="2:9">
      <c r="B124" s="269" t="s">
        <v>40</v>
      </c>
      <c r="C124" s="271">
        <v>8940.643</v>
      </c>
      <c r="D124" s="270">
        <f>C124*$I92</f>
        <v>498.3913819053459</v>
      </c>
      <c r="E124" s="186"/>
    </row>
    <row r="125" spans="2:9">
      <c r="B125" s="269" t="s">
        <v>41</v>
      </c>
      <c r="C125" s="271">
        <f>3500</f>
        <v>3500</v>
      </c>
      <c r="D125" s="270">
        <f>C125*$I92</f>
        <v>195.10563576565028</v>
      </c>
      <c r="E125" s="186"/>
    </row>
    <row r="126" spans="2:9">
      <c r="B126" s="269" t="s">
        <v>42</v>
      </c>
      <c r="C126" s="271"/>
      <c r="D126" s="270">
        <f>C126*$I92</f>
        <v>0</v>
      </c>
      <c r="E126" s="186"/>
    </row>
    <row r="127" spans="2:9">
      <c r="B127" s="269" t="s">
        <v>43</v>
      </c>
      <c r="C127" s="271">
        <v>0</v>
      </c>
      <c r="D127" s="270">
        <f>C127*$I92</f>
        <v>0</v>
      </c>
      <c r="E127" s="186"/>
    </row>
    <row r="128" spans="2:9">
      <c r="B128" s="269" t="s">
        <v>44</v>
      </c>
      <c r="C128" s="271">
        <f>5000+5000+8983.35+8983.35</f>
        <v>27966.699999999997</v>
      </c>
      <c r="D128" s="270">
        <f>C128*$I92</f>
        <v>1558.9887953620603</v>
      </c>
      <c r="E128" s="180"/>
    </row>
    <row r="129" spans="1:11">
      <c r="B129" s="273" t="s">
        <v>45</v>
      </c>
      <c r="C129" s="274">
        <f>SUM(C124:C128)</f>
        <v>40407.342999999993</v>
      </c>
      <c r="D129" s="275">
        <f>SUM(D124:D128)</f>
        <v>2252.4858130330567</v>
      </c>
    </row>
    <row r="130" spans="1:11">
      <c r="B130" s="218" t="s">
        <v>34</v>
      </c>
      <c r="C130" s="220">
        <f>C129+C96-C106</f>
        <v>0</v>
      </c>
      <c r="D130" s="220">
        <f>D129+D96-D106</f>
        <v>0</v>
      </c>
    </row>
    <row r="131" spans="1:11">
      <c r="B131" s="218"/>
      <c r="C131" s="220"/>
      <c r="D131" s="220"/>
    </row>
    <row r="132" spans="1:11">
      <c r="B132" s="218"/>
      <c r="C132" s="220"/>
      <c r="D132" s="220"/>
    </row>
    <row r="133" spans="1:11">
      <c r="B133" s="218"/>
      <c r="C133" s="220"/>
      <c r="D133" s="220"/>
    </row>
    <row r="135" spans="1:11">
      <c r="A135" s="195"/>
    </row>
    <row r="136" spans="1:11">
      <c r="A136" s="195" t="s">
        <v>56</v>
      </c>
      <c r="H136" s="195" t="s">
        <v>57</v>
      </c>
      <c r="I136" s="257">
        <f>Model!$BC$244</f>
        <v>5.4609999999999999E-2</v>
      </c>
    </row>
    <row r="137" spans="1:11">
      <c r="H137" s="197" t="s">
        <v>58</v>
      </c>
      <c r="I137" s="257">
        <f>AVERAGE(Model!$AZ$243:BC$243)</f>
        <v>5.0698852885907017E-2</v>
      </c>
    </row>
    <row r="138" spans="1:11" ht="13.5" thickBot="1">
      <c r="H138" s="197"/>
      <c r="I138" s="196"/>
    </row>
    <row r="139" spans="1:11" ht="15" customHeight="1">
      <c r="B139" s="345" t="s">
        <v>59</v>
      </c>
      <c r="C139" s="346" t="s">
        <v>4</v>
      </c>
      <c r="D139" s="346" t="s">
        <v>5</v>
      </c>
      <c r="E139" s="347" t="s">
        <v>60</v>
      </c>
      <c r="F139" s="348" t="s">
        <v>7</v>
      </c>
      <c r="H139" s="370" t="s">
        <v>8</v>
      </c>
      <c r="I139" s="369" t="str">
        <f>C139</f>
        <v>MXN (mn)</v>
      </c>
    </row>
    <row r="140" spans="1:11">
      <c r="B140" s="263" t="s">
        <v>9</v>
      </c>
      <c r="C140" s="334">
        <f>Model!$BC$119+Model!$BC$120</f>
        <v>14544.342999999999</v>
      </c>
      <c r="D140" s="335">
        <f>C140*$I136</f>
        <v>794.26657122999995</v>
      </c>
      <c r="E140" s="336"/>
      <c r="F140" s="337"/>
      <c r="H140" s="359" t="s">
        <v>10</v>
      </c>
      <c r="I140" s="360">
        <f>41030.055</f>
        <v>41030.055</v>
      </c>
      <c r="J140" s="228"/>
    </row>
    <row r="141" spans="1:11">
      <c r="B141" s="338" t="s">
        <v>11</v>
      </c>
      <c r="C141" s="339"/>
      <c r="D141" s="340"/>
      <c r="E141" s="341"/>
      <c r="F141" s="342"/>
      <c r="H141" s="359" t="s">
        <v>12</v>
      </c>
      <c r="I141" s="360"/>
      <c r="K141" s="368"/>
    </row>
    <row r="142" spans="1:11">
      <c r="B142" s="263" t="s">
        <v>13</v>
      </c>
      <c r="C142" s="340">
        <f>Model!$BC$128</f>
        <v>0</v>
      </c>
      <c r="D142" s="340">
        <f>C142*$I136</f>
        <v>0</v>
      </c>
      <c r="E142" s="341"/>
      <c r="F142" s="343"/>
      <c r="H142" s="361" t="s">
        <v>14</v>
      </c>
      <c r="I142" s="362">
        <f>SUM(I140:I141)</f>
        <v>41030.055</v>
      </c>
      <c r="J142" s="228"/>
    </row>
    <row r="143" spans="1:11">
      <c r="B143" s="263" t="s">
        <v>15</v>
      </c>
      <c r="C143" s="340">
        <f>Model!$BC$129</f>
        <v>9147.5550000000003</v>
      </c>
      <c r="D143" s="340">
        <f>C143*$I136</f>
        <v>499.54797854999998</v>
      </c>
      <c r="E143" s="341"/>
      <c r="F143" s="342"/>
      <c r="H143" s="359" t="s">
        <v>16</v>
      </c>
      <c r="I143" s="363">
        <f>C151</f>
        <v>10105.847</v>
      </c>
      <c r="J143" s="209"/>
    </row>
    <row r="144" spans="1:11">
      <c r="B144" s="338" t="s">
        <v>17</v>
      </c>
      <c r="C144" s="340"/>
      <c r="D144" s="340"/>
      <c r="E144" s="341"/>
      <c r="F144" s="342"/>
      <c r="H144" s="361" t="s">
        <v>18</v>
      </c>
      <c r="I144" s="362">
        <f>I142-I143</f>
        <v>30924.207999999999</v>
      </c>
      <c r="J144" s="208"/>
    </row>
    <row r="145" spans="2:10">
      <c r="B145" s="263" t="s">
        <v>19</v>
      </c>
      <c r="C145" s="340">
        <f>Model!$BC$130</f>
        <v>3500</v>
      </c>
      <c r="D145" s="340">
        <f>C145*$I136</f>
        <v>191.13499999999999</v>
      </c>
      <c r="E145" s="341"/>
      <c r="F145" s="343"/>
      <c r="H145" s="364" t="s">
        <v>20</v>
      </c>
      <c r="I145" s="365">
        <f>I142/C155</f>
        <v>1.160286607092359</v>
      </c>
      <c r="J145" s="204"/>
    </row>
    <row r="146" spans="2:10" ht="13.5" thickBot="1">
      <c r="B146" s="263" t="s">
        <v>21</v>
      </c>
      <c r="C146" s="340">
        <f>Model!$BC$131</f>
        <v>5000</v>
      </c>
      <c r="D146" s="340">
        <f>C146*$I136</f>
        <v>273.05</v>
      </c>
      <c r="E146" s="341"/>
      <c r="F146" s="343"/>
      <c r="H146" s="366" t="s">
        <v>22</v>
      </c>
      <c r="I146" s="367">
        <f>I144/C155</f>
        <v>0.87450393077314625</v>
      </c>
      <c r="J146" s="204"/>
    </row>
    <row r="147" spans="2:10">
      <c r="B147" s="263" t="s">
        <v>23</v>
      </c>
      <c r="C147" s="340">
        <f>Model!$BC$132</f>
        <v>5000</v>
      </c>
      <c r="D147" s="340">
        <f>C147*$I136</f>
        <v>273.05</v>
      </c>
      <c r="E147" s="341"/>
      <c r="F147" s="343"/>
    </row>
    <row r="148" spans="2:10">
      <c r="B148" s="263" t="s">
        <v>24</v>
      </c>
      <c r="C148" s="340">
        <f>Model!$BC$133</f>
        <v>9191.25</v>
      </c>
      <c r="D148" s="340">
        <f>C148*$I136</f>
        <v>501.93416250000001</v>
      </c>
      <c r="E148" s="341"/>
      <c r="F148" s="343"/>
    </row>
    <row r="149" spans="2:10">
      <c r="B149" s="263" t="s">
        <v>25</v>
      </c>
      <c r="C149" s="340">
        <f>Model!$BC$134</f>
        <v>9191.25</v>
      </c>
      <c r="D149" s="340">
        <f>C149*$I136</f>
        <v>501.93416250000001</v>
      </c>
      <c r="E149" s="341"/>
      <c r="F149" s="343"/>
      <c r="H149" s="194" t="s">
        <v>26</v>
      </c>
      <c r="I149" s="182">
        <v>0.79</v>
      </c>
    </row>
    <row r="150" spans="2:10">
      <c r="B150" s="306" t="s">
        <v>28</v>
      </c>
      <c r="C150" s="307">
        <f>SUM(C140:C149)</f>
        <v>55574.398000000001</v>
      </c>
      <c r="D150" s="349">
        <f>SUM(D140:D149)</f>
        <v>3034.9178747800001</v>
      </c>
      <c r="E150" s="308">
        <f>C150/C155</f>
        <v>1.5715852610146486</v>
      </c>
      <c r="F150" s="309">
        <f>D150/D155</f>
        <v>1.6928247133549428</v>
      </c>
    </row>
    <row r="151" spans="2:10">
      <c r="B151" s="283" t="s">
        <v>29</v>
      </c>
      <c r="C151" s="296">
        <f>Model!$BC$144</f>
        <v>10105.847</v>
      </c>
      <c r="D151" s="340">
        <f>C151*$I136</f>
        <v>551.88030466999999</v>
      </c>
      <c r="E151" s="303"/>
      <c r="F151" s="284"/>
    </row>
    <row r="152" spans="2:10">
      <c r="B152" s="306" t="s">
        <v>30</v>
      </c>
      <c r="C152" s="307">
        <f>C150-C151</f>
        <v>45468.550999999999</v>
      </c>
      <c r="D152" s="349">
        <f>D150-D151</f>
        <v>2483.0375701100002</v>
      </c>
      <c r="E152" s="308">
        <f>C152/C155</f>
        <v>1.2858025846954357</v>
      </c>
      <c r="F152" s="309">
        <f>D152/D155</f>
        <v>1.3849954220509881</v>
      </c>
    </row>
    <row r="153" spans="2:10">
      <c r="B153" s="282" t="s">
        <v>31</v>
      </c>
      <c r="C153" s="295">
        <f>Model!$BC$156</f>
        <v>172633.261</v>
      </c>
      <c r="D153" s="340">
        <f>C153*$I136</f>
        <v>9427.5023832099996</v>
      </c>
      <c r="E153" s="302"/>
      <c r="F153" s="285"/>
    </row>
    <row r="154" spans="2:10">
      <c r="B154" s="282" t="s">
        <v>32</v>
      </c>
      <c r="C154" s="295">
        <f>C152+C153</f>
        <v>218101.81200000001</v>
      </c>
      <c r="D154" s="340">
        <f>C154*$I136</f>
        <v>11910.53995332</v>
      </c>
      <c r="E154" s="304"/>
      <c r="F154" s="285"/>
    </row>
    <row r="155" spans="2:10">
      <c r="B155" s="286" t="s">
        <v>33</v>
      </c>
      <c r="C155" s="297">
        <f>Model!$BC$92</f>
        <v>35362</v>
      </c>
      <c r="D155" s="350">
        <f>C155*$I137</f>
        <v>1792.812835751444</v>
      </c>
      <c r="E155" s="305"/>
      <c r="F155" s="287"/>
    </row>
    <row r="156" spans="2:10">
      <c r="B156" s="218" t="s">
        <v>34</v>
      </c>
      <c r="C156" s="344">
        <f>C150-Model!$BC$116+3672.029</f>
        <v>0</v>
      </c>
      <c r="D156" s="220"/>
      <c r="E156" s="221"/>
    </row>
    <row r="158" spans="2:10">
      <c r="B158" s="212" t="s">
        <v>35</v>
      </c>
      <c r="C158" s="222">
        <f>C152+Model!$BC$155</f>
        <v>179598.25100000002</v>
      </c>
      <c r="E158" s="223"/>
      <c r="F158" s="184"/>
    </row>
    <row r="159" spans="2:10">
      <c r="B159" s="212" t="s">
        <v>36</v>
      </c>
      <c r="C159" s="214">
        <f>C158/C155</f>
        <v>5.0788487924891133</v>
      </c>
      <c r="E159" s="223"/>
      <c r="F159" s="213"/>
    </row>
    <row r="162" spans="2:9">
      <c r="B162" s="351" t="s">
        <v>61</v>
      </c>
      <c r="C162" s="352" t="str">
        <f>C139</f>
        <v>MXN (mn)</v>
      </c>
      <c r="D162" s="354" t="str">
        <f>D139</f>
        <v>USD (mn)</v>
      </c>
    </row>
    <row r="163" spans="2:9">
      <c r="B163" s="263"/>
      <c r="C163" s="267"/>
      <c r="D163" s="276"/>
      <c r="G163" s="184"/>
      <c r="H163" s="184"/>
      <c r="I163" s="184"/>
    </row>
    <row r="164" spans="2:9">
      <c r="B164" s="263" t="s">
        <v>16</v>
      </c>
      <c r="C164" s="355">
        <f>C151</f>
        <v>10105.847</v>
      </c>
      <c r="D164" s="356">
        <f>C164*I136</f>
        <v>551.88030466999999</v>
      </c>
      <c r="G164" s="213"/>
      <c r="H164" s="213"/>
      <c r="I164" s="213"/>
    </row>
    <row r="165" spans="2:9">
      <c r="B165" s="273" t="s">
        <v>38</v>
      </c>
      <c r="C165" s="357">
        <f>SUM(C163:C164)</f>
        <v>10105.847</v>
      </c>
      <c r="D165" s="358">
        <f>SUM(D163:D164)</f>
        <v>551.88030466999999</v>
      </c>
    </row>
    <row r="166" spans="2:9">
      <c r="C166" s="185"/>
      <c r="D166" s="185"/>
    </row>
    <row r="167" spans="2:9">
      <c r="B167" s="353" t="s">
        <v>62</v>
      </c>
      <c r="C167" s="354" t="str">
        <f>C162</f>
        <v>MXN (mn)</v>
      </c>
      <c r="D167" s="354" t="str">
        <f>D162</f>
        <v>USD (mn)</v>
      </c>
    </row>
    <row r="168" spans="2:9">
      <c r="B168" s="269" t="s">
        <v>40</v>
      </c>
      <c r="C168" s="271">
        <v>0</v>
      </c>
      <c r="D168" s="270">
        <f>C168*$I136</f>
        <v>0</v>
      </c>
      <c r="E168" s="186"/>
    </row>
    <row r="169" spans="2:9">
      <c r="B169" s="269" t="s">
        <v>41</v>
      </c>
      <c r="C169" s="271">
        <f>3500+9147.555</f>
        <v>12647.555</v>
      </c>
      <c r="D169" s="270">
        <f>C169*$I136</f>
        <v>690.68297855000003</v>
      </c>
      <c r="E169" s="186"/>
    </row>
    <row r="170" spans="2:9">
      <c r="B170" s="269" t="s">
        <v>42</v>
      </c>
      <c r="C170" s="271"/>
      <c r="D170" s="270">
        <f>C170*$I136</f>
        <v>0</v>
      </c>
      <c r="E170" s="186"/>
    </row>
    <row r="171" spans="2:9">
      <c r="B171" s="269" t="s">
        <v>43</v>
      </c>
      <c r="C171" s="271">
        <v>0</v>
      </c>
      <c r="D171" s="270">
        <f>C171*$I136</f>
        <v>0</v>
      </c>
      <c r="E171" s="186"/>
    </row>
    <row r="172" spans="2:9">
      <c r="B172" s="269" t="s">
        <v>44</v>
      </c>
      <c r="C172" s="271">
        <f>5000+5000+9191.25+9191.25</f>
        <v>28382.5</v>
      </c>
      <c r="D172" s="270">
        <f>C172*$I136</f>
        <v>1549.968325</v>
      </c>
      <c r="E172" s="180"/>
    </row>
    <row r="173" spans="2:9">
      <c r="B173" s="269"/>
      <c r="C173" s="272"/>
      <c r="D173" s="270"/>
    </row>
    <row r="174" spans="2:9">
      <c r="B174" s="273" t="s">
        <v>45</v>
      </c>
      <c r="C174" s="274">
        <f>SUM(C168:C173)</f>
        <v>41030.055</v>
      </c>
      <c r="D174" s="275">
        <f>SUM(D168:D173)</f>
        <v>2240.6513035500002</v>
      </c>
    </row>
    <row r="175" spans="2:9">
      <c r="B175" s="218" t="s">
        <v>34</v>
      </c>
      <c r="C175" s="220">
        <f>C174+C140-C150</f>
        <v>0</v>
      </c>
      <c r="D175" s="220">
        <f>D174+D140-D150</f>
        <v>0</v>
      </c>
    </row>
    <row r="176" spans="2:9">
      <c r="B176" s="218"/>
      <c r="C176" s="220"/>
      <c r="D176" s="220"/>
    </row>
    <row r="177" spans="1:10">
      <c r="B177" s="218"/>
      <c r="C177" s="220"/>
      <c r="D177" s="220"/>
    </row>
    <row r="178" spans="1:10">
      <c r="B178" s="218"/>
      <c r="C178" s="220"/>
      <c r="D178" s="220"/>
    </row>
    <row r="179" spans="1:10">
      <c r="B179" s="218"/>
      <c r="C179" s="220"/>
      <c r="D179" s="220"/>
    </row>
    <row r="180" spans="1:10">
      <c r="A180" s="195" t="s">
        <v>63</v>
      </c>
    </row>
    <row r="181" spans="1:10">
      <c r="A181" s="195"/>
    </row>
    <row r="182" spans="1:10">
      <c r="H182" s="195" t="s">
        <v>64</v>
      </c>
      <c r="I182" s="257">
        <f>Model!$BB$244</f>
        <v>5.3376034160661862E-2</v>
      </c>
    </row>
    <row r="183" spans="1:10">
      <c r="H183" s="197" t="s">
        <v>65</v>
      </c>
      <c r="I183" s="257">
        <f>AVERAGE(Model!$AY$243:BB$243)</f>
        <v>5.0486352885907013E-2</v>
      </c>
    </row>
    <row r="184" spans="1:10">
      <c r="H184" s="197"/>
      <c r="I184" s="196"/>
    </row>
    <row r="185" spans="1:10">
      <c r="B185" s="288" t="s">
        <v>66</v>
      </c>
      <c r="C185" s="289" t="s">
        <v>67</v>
      </c>
      <c r="D185" s="289" t="s">
        <v>68</v>
      </c>
      <c r="E185" s="290" t="s">
        <v>60</v>
      </c>
      <c r="F185" s="291" t="s">
        <v>7</v>
      </c>
      <c r="H185" s="198"/>
      <c r="I185" s="198"/>
    </row>
    <row r="186" spans="1:10">
      <c r="B186" s="277" t="s">
        <v>9</v>
      </c>
      <c r="C186" s="292">
        <f>Model!$BB$119+Model!$BB$120</f>
        <v>14854.076000000001</v>
      </c>
      <c r="D186" s="298">
        <f>C186*$I182</f>
        <v>792.85166800106754</v>
      </c>
      <c r="E186" s="300"/>
      <c r="F186" s="278"/>
      <c r="H186" s="203" t="s">
        <v>69</v>
      </c>
      <c r="I186" s="204"/>
    </row>
    <row r="187" spans="1:10">
      <c r="B187" s="279" t="s">
        <v>11</v>
      </c>
      <c r="C187" s="293"/>
      <c r="D187" s="294"/>
      <c r="E187" s="301"/>
      <c r="F187" s="280"/>
      <c r="H187" s="203"/>
      <c r="I187" s="204"/>
    </row>
    <row r="188" spans="1:10">
      <c r="B188" s="277" t="s">
        <v>13</v>
      </c>
      <c r="C188" s="294">
        <f>Model!$BB$128</f>
        <v>0</v>
      </c>
      <c r="D188" s="294">
        <f>C188*$I182</f>
        <v>0</v>
      </c>
      <c r="E188" s="301"/>
      <c r="F188" s="281"/>
    </row>
    <row r="189" spans="1:10">
      <c r="B189" s="277" t="s">
        <v>15</v>
      </c>
      <c r="C189" s="294">
        <f>Model!$BB$129</f>
        <v>9401.4920000000002</v>
      </c>
      <c r="D189" s="294">
        <f>C189*$I182</f>
        <v>501.81435815318923</v>
      </c>
      <c r="E189" s="301"/>
      <c r="F189" s="280"/>
      <c r="H189" s="310" t="s">
        <v>10</v>
      </c>
      <c r="I189" s="314">
        <f>41794.292+1418.473</f>
        <v>43212.764999999999</v>
      </c>
      <c r="J189" s="180"/>
    </row>
    <row r="190" spans="1:10">
      <c r="B190" s="279" t="s">
        <v>17</v>
      </c>
      <c r="C190" s="294"/>
      <c r="D190" s="294"/>
      <c r="E190" s="301"/>
      <c r="F190" s="280"/>
      <c r="H190" s="311" t="s">
        <v>12</v>
      </c>
      <c r="I190" s="271">
        <v>0</v>
      </c>
    </row>
    <row r="191" spans="1:10">
      <c r="B191" s="277" t="s">
        <v>19</v>
      </c>
      <c r="C191" s="294">
        <f>Model!$BB$130</f>
        <v>3500</v>
      </c>
      <c r="D191" s="294">
        <f>C191*$I182</f>
        <v>186.81611956231652</v>
      </c>
      <c r="E191" s="301"/>
      <c r="F191" s="281"/>
      <c r="H191" s="273" t="s">
        <v>14</v>
      </c>
      <c r="I191" s="315">
        <f>SUM(I189:I190)</f>
        <v>43212.764999999999</v>
      </c>
    </row>
    <row r="192" spans="1:10">
      <c r="B192" s="277" t="s">
        <v>21</v>
      </c>
      <c r="C192" s="294">
        <f>Model!$BB$131</f>
        <v>5000</v>
      </c>
      <c r="D192" s="294">
        <f>C192*$I182</f>
        <v>266.88017080330928</v>
      </c>
      <c r="E192" s="301"/>
      <c r="F192" s="281"/>
      <c r="H192" s="311" t="s">
        <v>16</v>
      </c>
      <c r="I192" s="316">
        <f>C197</f>
        <v>8958.9699999999993</v>
      </c>
    </row>
    <row r="193" spans="2:9">
      <c r="B193" s="277" t="s">
        <v>23</v>
      </c>
      <c r="C193" s="294">
        <f>Model!$BB$132</f>
        <v>5000</v>
      </c>
      <c r="D193" s="294">
        <f>C193*$I182</f>
        <v>266.88017080330928</v>
      </c>
      <c r="E193" s="301"/>
      <c r="F193" s="281"/>
      <c r="H193" s="273" t="s">
        <v>18</v>
      </c>
      <c r="I193" s="315">
        <f>I191-I192</f>
        <v>34253.794999999998</v>
      </c>
    </row>
    <row r="194" spans="2:9">
      <c r="B194" s="277" t="s">
        <v>24</v>
      </c>
      <c r="C194" s="294">
        <f>Model!$BB$133</f>
        <v>9446.4</v>
      </c>
      <c r="D194" s="294">
        <f>C194*$I182</f>
        <v>504.21136909527621</v>
      </c>
      <c r="E194" s="301"/>
      <c r="F194" s="281"/>
      <c r="H194" s="312" t="s">
        <v>20</v>
      </c>
      <c r="I194" s="317">
        <f>I191/C201</f>
        <v>1.1849177383531218</v>
      </c>
    </row>
    <row r="195" spans="2:9">
      <c r="B195" s="277" t="s">
        <v>25</v>
      </c>
      <c r="C195" s="294">
        <f>Model!$BB$134</f>
        <v>9446.4</v>
      </c>
      <c r="D195" s="294">
        <f>C195*$I182</f>
        <v>504.21136909527621</v>
      </c>
      <c r="E195" s="301"/>
      <c r="F195" s="281"/>
      <c r="H195" s="313" t="s">
        <v>22</v>
      </c>
      <c r="I195" s="318">
        <f>I193/C201</f>
        <v>0.93925786284241408</v>
      </c>
    </row>
    <row r="196" spans="2:9">
      <c r="B196" s="306" t="s">
        <v>28</v>
      </c>
      <c r="C196" s="307">
        <f>SUM(C186:C195)</f>
        <v>56648.368000000002</v>
      </c>
      <c r="D196" s="307">
        <f>SUM(D186:D195)</f>
        <v>3023.6652255137442</v>
      </c>
      <c r="E196" s="308">
        <f>C196/C201</f>
        <v>1.5533293482135513</v>
      </c>
      <c r="F196" s="309">
        <f>D196/D201</f>
        <v>1.6422370722712507</v>
      </c>
    </row>
    <row r="197" spans="2:9">
      <c r="B197" s="283" t="s">
        <v>29</v>
      </c>
      <c r="C197" s="296">
        <f>Model!$BB$144</f>
        <v>8958.9699999999993</v>
      </c>
      <c r="D197" s="294">
        <f>C197*$I182</f>
        <v>478.19428876434478</v>
      </c>
      <c r="E197" s="303"/>
      <c r="F197" s="284"/>
    </row>
    <row r="198" spans="2:9">
      <c r="B198" s="306" t="s">
        <v>30</v>
      </c>
      <c r="C198" s="307">
        <f>C196-C197</f>
        <v>47689.398000000001</v>
      </c>
      <c r="D198" s="307">
        <f>D196-D197</f>
        <v>2545.4709367493992</v>
      </c>
      <c r="E198" s="308">
        <f>C198/C201</f>
        <v>1.3076694727028435</v>
      </c>
      <c r="F198" s="309">
        <f>D198/D201</f>
        <v>1.3825163921738828</v>
      </c>
    </row>
    <row r="199" spans="2:9">
      <c r="B199" s="282" t="s">
        <v>31</v>
      </c>
      <c r="C199" s="295">
        <f>Model!$BB$156</f>
        <v>169456.22500000001</v>
      </c>
      <c r="D199" s="294">
        <f>C199*$I182</f>
        <v>9044.9012543368026</v>
      </c>
      <c r="E199" s="302"/>
      <c r="F199" s="285"/>
    </row>
    <row r="200" spans="2:9">
      <c r="B200" s="282" t="s">
        <v>32</v>
      </c>
      <c r="C200" s="295">
        <f>C198+C199</f>
        <v>217145.62300000002</v>
      </c>
      <c r="D200" s="294">
        <f>C200*$I182</f>
        <v>11590.372191086202</v>
      </c>
      <c r="E200" s="304"/>
      <c r="F200" s="285"/>
    </row>
    <row r="201" spans="2:9">
      <c r="B201" s="286" t="s">
        <v>33</v>
      </c>
      <c r="C201" s="297">
        <f>Model!$BB$92</f>
        <v>36469</v>
      </c>
      <c r="D201" s="299">
        <f>C201*$I183</f>
        <v>1841.1868033961427</v>
      </c>
      <c r="E201" s="305"/>
      <c r="F201" s="287"/>
    </row>
    <row r="202" spans="2:9">
      <c r="B202" s="218" t="s">
        <v>34</v>
      </c>
      <c r="C202" s="219">
        <f>C196-Model!$BB$116+2851</f>
        <v>-5.1999999996041879E-2</v>
      </c>
      <c r="D202" s="220"/>
      <c r="E202" s="221"/>
    </row>
    <row r="203" spans="2:9">
      <c r="H203" s="194" t="s">
        <v>26</v>
      </c>
      <c r="I203" s="182">
        <v>0.96</v>
      </c>
    </row>
    <row r="204" spans="2:9">
      <c r="B204" s="212" t="s">
        <v>35</v>
      </c>
      <c r="C204" s="222">
        <f>C198+Model!$BB$155</f>
        <v>183551.31800000003</v>
      </c>
      <c r="E204" s="223"/>
      <c r="F204" s="184"/>
    </row>
    <row r="205" spans="2:9">
      <c r="B205" s="212" t="s">
        <v>36</v>
      </c>
      <c r="C205" s="214">
        <f>C204/C201</f>
        <v>5.0330779017795946</v>
      </c>
      <c r="E205" s="223"/>
      <c r="F205" s="213"/>
    </row>
    <row r="208" spans="2:9">
      <c r="B208" s="264" t="s">
        <v>70</v>
      </c>
      <c r="C208" s="264" t="s">
        <v>71</v>
      </c>
      <c r="D208" s="244" t="s">
        <v>72</v>
      </c>
    </row>
    <row r="209" spans="2:9">
      <c r="B209" s="263"/>
      <c r="C209" s="267"/>
      <c r="D209" s="276"/>
      <c r="G209" s="184"/>
      <c r="H209" s="184"/>
      <c r="I209" s="184"/>
    </row>
    <row r="210" spans="2:9">
      <c r="B210" s="263" t="s">
        <v>16</v>
      </c>
      <c r="C210" s="267">
        <f>C197</f>
        <v>8958.9699999999993</v>
      </c>
      <c r="D210" s="276">
        <f>C210*I182</f>
        <v>478.19428876434478</v>
      </c>
      <c r="G210" s="213"/>
      <c r="H210" s="213"/>
      <c r="I210" s="213"/>
    </row>
    <row r="211" spans="2:9">
      <c r="B211" s="266" t="s">
        <v>38</v>
      </c>
      <c r="C211" s="268">
        <f>SUM(C209:C210)</f>
        <v>8958.9699999999993</v>
      </c>
      <c r="D211" s="246">
        <f>SUM(D209:D210)</f>
        <v>478.19428876434478</v>
      </c>
    </row>
    <row r="212" spans="2:9">
      <c r="C212" s="185"/>
      <c r="D212" s="185"/>
    </row>
    <row r="213" spans="2:9">
      <c r="B213" s="273" t="s">
        <v>73</v>
      </c>
      <c r="C213" s="244" t="s">
        <v>71</v>
      </c>
      <c r="D213" s="265" t="s">
        <v>72</v>
      </c>
    </row>
    <row r="214" spans="2:9">
      <c r="B214" s="269" t="s">
        <v>40</v>
      </c>
      <c r="C214" s="271">
        <v>0</v>
      </c>
      <c r="D214" s="270">
        <f>C214*$I182</f>
        <v>0</v>
      </c>
      <c r="E214" s="186"/>
    </row>
    <row r="215" spans="2:9">
      <c r="B215" s="269" t="s">
        <v>41</v>
      </c>
      <c r="C215" s="271">
        <f>9401.492</f>
        <v>9401.4920000000002</v>
      </c>
      <c r="D215" s="270">
        <f>C215*$I182</f>
        <v>501.81435815318923</v>
      </c>
      <c r="E215" s="186"/>
    </row>
    <row r="216" spans="2:9">
      <c r="B216" s="269" t="s">
        <v>42</v>
      </c>
      <c r="C216" s="271">
        <v>3500</v>
      </c>
      <c r="D216" s="270">
        <f>C216*$I182</f>
        <v>186.81611956231652</v>
      </c>
      <c r="E216" s="186"/>
    </row>
    <row r="217" spans="2:9">
      <c r="B217" s="269" t="s">
        <v>43</v>
      </c>
      <c r="C217" s="271">
        <v>0</v>
      </c>
      <c r="D217" s="270">
        <f>C217*$I182</f>
        <v>0</v>
      </c>
      <c r="E217" s="186"/>
    </row>
    <row r="218" spans="2:9">
      <c r="B218" s="269" t="s">
        <v>44</v>
      </c>
      <c r="C218" s="271">
        <f>10000+18892.8</f>
        <v>28892.799999999999</v>
      </c>
      <c r="D218" s="270">
        <f>C218*$I182</f>
        <v>1542.1830797971711</v>
      </c>
      <c r="E218" s="180"/>
    </row>
    <row r="219" spans="2:9">
      <c r="B219" s="269"/>
      <c r="C219" s="272"/>
      <c r="D219" s="270"/>
    </row>
    <row r="220" spans="2:9">
      <c r="B220" s="273" t="s">
        <v>45</v>
      </c>
      <c r="C220" s="274">
        <f>SUM(C214:C219)</f>
        <v>41794.292000000001</v>
      </c>
      <c r="D220" s="275">
        <f>SUM(D214:D219)</f>
        <v>2230.8135575126771</v>
      </c>
    </row>
    <row r="221" spans="2:9">
      <c r="B221" s="218" t="s">
        <v>34</v>
      </c>
      <c r="C221" s="220">
        <f>C220+C186-C196</f>
        <v>0</v>
      </c>
      <c r="D221" s="220">
        <f>D220+D186-D196</f>
        <v>0</v>
      </c>
    </row>
    <row r="222" spans="2:9">
      <c r="B222" s="218"/>
      <c r="C222" s="220"/>
      <c r="D222" s="220"/>
    </row>
    <row r="223" spans="2:9">
      <c r="B223" s="218"/>
      <c r="C223" s="220"/>
      <c r="D223" s="220"/>
    </row>
    <row r="224" spans="2:9">
      <c r="B224" s="218"/>
      <c r="C224" s="220"/>
      <c r="D224" s="220"/>
    </row>
    <row r="225" spans="1:10">
      <c r="B225" s="218"/>
      <c r="C225" s="220"/>
      <c r="D225" s="220"/>
    </row>
    <row r="226" spans="1:10">
      <c r="A226" s="195" t="s">
        <v>74</v>
      </c>
    </row>
    <row r="227" spans="1:10">
      <c r="A227" s="195"/>
    </row>
    <row r="228" spans="1:10">
      <c r="H228" s="195" t="s">
        <v>75</v>
      </c>
      <c r="I228" s="257">
        <f>Model!$BA$244</f>
        <v>4.9119999999999997E-2</v>
      </c>
    </row>
    <row r="229" spans="1:10">
      <c r="H229" s="197" t="s">
        <v>76</v>
      </c>
      <c r="I229" s="257">
        <f>AVERAGE(Model!$AX243:BA$243)</f>
        <v>5.1938098615824282E-2</v>
      </c>
    </row>
    <row r="230" spans="1:10">
      <c r="H230" s="197"/>
      <c r="I230" s="196"/>
    </row>
    <row r="231" spans="1:10">
      <c r="B231" s="288" t="s">
        <v>77</v>
      </c>
      <c r="C231" s="289" t="s">
        <v>67</v>
      </c>
      <c r="D231" s="289" t="s">
        <v>68</v>
      </c>
      <c r="E231" s="290" t="s">
        <v>60</v>
      </c>
      <c r="F231" s="291" t="s">
        <v>7</v>
      </c>
      <c r="H231" s="198"/>
      <c r="I231" s="198"/>
    </row>
    <row r="232" spans="1:10">
      <c r="B232" s="277" t="s">
        <v>9</v>
      </c>
      <c r="C232" s="292">
        <f>Model!$BA$119+Model!$BA$120</f>
        <v>14692.364000000001</v>
      </c>
      <c r="D232" s="298">
        <f>C232*$I228</f>
        <v>721.68891968000003</v>
      </c>
      <c r="E232" s="300"/>
      <c r="F232" s="278"/>
      <c r="H232" s="203" t="s">
        <v>69</v>
      </c>
      <c r="I232" s="204"/>
    </row>
    <row r="233" spans="1:10">
      <c r="B233" s="279" t="s">
        <v>11</v>
      </c>
      <c r="C233" s="293"/>
      <c r="D233" s="294"/>
      <c r="E233" s="301"/>
      <c r="F233" s="280"/>
      <c r="H233" s="203"/>
      <c r="I233" s="204"/>
    </row>
    <row r="234" spans="1:10">
      <c r="B234" s="277" t="s">
        <v>13</v>
      </c>
      <c r="C234" s="294">
        <f>Model!$BA$128</f>
        <v>0</v>
      </c>
      <c r="D234" s="294">
        <f>C234*$I228</f>
        <v>0</v>
      </c>
      <c r="E234" s="301"/>
      <c r="F234" s="281"/>
    </row>
    <row r="235" spans="1:10">
      <c r="B235" s="277" t="s">
        <v>15</v>
      </c>
      <c r="C235" s="294">
        <f>Model!$BA$129</f>
        <v>10110.804</v>
      </c>
      <c r="D235" s="294">
        <f>C235*$I228</f>
        <v>496.64269247999999</v>
      </c>
      <c r="E235" s="301"/>
      <c r="F235" s="280"/>
      <c r="H235" s="310" t="s">
        <v>10</v>
      </c>
      <c r="I235" s="314">
        <v>43939</v>
      </c>
      <c r="J235" s="180"/>
    </row>
    <row r="236" spans="1:10">
      <c r="B236" s="279" t="s">
        <v>17</v>
      </c>
      <c r="C236" s="294"/>
      <c r="D236" s="294"/>
      <c r="E236" s="301"/>
      <c r="F236" s="280"/>
      <c r="H236" s="311" t="s">
        <v>12</v>
      </c>
      <c r="I236" s="271">
        <v>0</v>
      </c>
    </row>
    <row r="237" spans="1:10">
      <c r="B237" s="277" t="s">
        <v>19</v>
      </c>
      <c r="C237" s="294">
        <f>Model!$BA$130</f>
        <v>3500</v>
      </c>
      <c r="D237" s="294">
        <f>C237*$I228</f>
        <v>171.92</v>
      </c>
      <c r="E237" s="301"/>
      <c r="F237" s="281"/>
      <c r="H237" s="273" t="s">
        <v>14</v>
      </c>
      <c r="I237" s="315">
        <f>SUM(I235:I236)</f>
        <v>43939</v>
      </c>
    </row>
    <row r="238" spans="1:10">
      <c r="B238" s="277" t="s">
        <v>21</v>
      </c>
      <c r="C238" s="294">
        <f>Model!$BA$131</f>
        <v>5000</v>
      </c>
      <c r="D238" s="294">
        <f>C238*$I228</f>
        <v>245.6</v>
      </c>
      <c r="E238" s="301"/>
      <c r="F238" s="281"/>
      <c r="H238" s="311" t="s">
        <v>16</v>
      </c>
      <c r="I238" s="316">
        <f>C243</f>
        <v>36570.851999999999</v>
      </c>
    </row>
    <row r="239" spans="1:10">
      <c r="B239" s="277" t="s">
        <v>23</v>
      </c>
      <c r="C239" s="294">
        <f>Model!$BA$132</f>
        <v>5000</v>
      </c>
      <c r="D239" s="294">
        <f>C239*$I228</f>
        <v>245.6</v>
      </c>
      <c r="E239" s="301"/>
      <c r="F239" s="281"/>
      <c r="H239" s="273" t="s">
        <v>18</v>
      </c>
      <c r="I239" s="315">
        <f>I237-I238</f>
        <v>7368.148000000001</v>
      </c>
    </row>
    <row r="240" spans="1:10">
      <c r="B240" s="277" t="s">
        <v>24</v>
      </c>
      <c r="C240" s="294">
        <f>Model!$BA$133</f>
        <v>10159.1</v>
      </c>
      <c r="D240" s="294">
        <f>C240*$I228</f>
        <v>499.01499200000001</v>
      </c>
      <c r="E240" s="301"/>
      <c r="F240" s="281"/>
      <c r="H240" s="312" t="s">
        <v>20</v>
      </c>
      <c r="I240" s="317">
        <f>I237/C247</f>
        <v>1.1834783311336763</v>
      </c>
    </row>
    <row r="241" spans="2:9">
      <c r="B241" s="277" t="s">
        <v>25</v>
      </c>
      <c r="C241" s="294">
        <f>Model!$BA$134</f>
        <v>10159.1</v>
      </c>
      <c r="D241" s="294">
        <f>C241*$I228</f>
        <v>499.01499200000001</v>
      </c>
      <c r="E241" s="301"/>
      <c r="F241" s="281"/>
      <c r="H241" s="313" t="s">
        <v>22</v>
      </c>
      <c r="I241" s="318">
        <f>I239/C247</f>
        <v>0.19845794165970859</v>
      </c>
    </row>
    <row r="242" spans="2:9">
      <c r="B242" s="306" t="s">
        <v>28</v>
      </c>
      <c r="C242" s="307">
        <f>SUM(C232:C241)</f>
        <v>58621.368000000002</v>
      </c>
      <c r="D242" s="307">
        <f>SUM(D232:D241)</f>
        <v>2879.4815961599998</v>
      </c>
      <c r="E242" s="308">
        <f>C242/C247</f>
        <v>1.5789416866431438</v>
      </c>
      <c r="F242" s="309">
        <f>D242/D247</f>
        <v>1.4932702142523424</v>
      </c>
    </row>
    <row r="243" spans="2:9">
      <c r="B243" s="283" t="s">
        <v>29</v>
      </c>
      <c r="C243" s="296">
        <f>Model!$BA$144</f>
        <v>36570.851999999999</v>
      </c>
      <c r="D243" s="294">
        <f>C243*$I228</f>
        <v>1796.3602502399999</v>
      </c>
      <c r="E243" s="303"/>
      <c r="F243" s="284"/>
    </row>
    <row r="244" spans="2:9">
      <c r="B244" s="306" t="s">
        <v>30</v>
      </c>
      <c r="C244" s="307">
        <f>C242-C243</f>
        <v>22050.516000000003</v>
      </c>
      <c r="D244" s="307">
        <f>D242-D243</f>
        <v>1083.1213459199998</v>
      </c>
      <c r="E244" s="308">
        <f>C244/C247</f>
        <v>0.59392129716917619</v>
      </c>
      <c r="F244" s="309">
        <f>D244/D247</f>
        <v>0.56169584359912417</v>
      </c>
    </row>
    <row r="245" spans="2:9">
      <c r="B245" s="282" t="s">
        <v>31</v>
      </c>
      <c r="C245" s="295">
        <f>Model!$BA$156</f>
        <v>166992.15400000001</v>
      </c>
      <c r="D245" s="294">
        <f>C245*$I228</f>
        <v>8202.6546044799998</v>
      </c>
      <c r="E245" s="302"/>
      <c r="F245" s="285"/>
    </row>
    <row r="246" spans="2:9">
      <c r="B246" s="282" t="s">
        <v>32</v>
      </c>
      <c r="C246" s="295">
        <f>C244+C245</f>
        <v>189042.67</v>
      </c>
      <c r="D246" s="294">
        <f>C246*$I228</f>
        <v>9285.7759504000005</v>
      </c>
      <c r="E246" s="304"/>
      <c r="F246" s="285"/>
    </row>
    <row r="247" spans="2:9">
      <c r="B247" s="286" t="s">
        <v>33</v>
      </c>
      <c r="C247" s="297">
        <f>Model!$BA$92</f>
        <v>37127</v>
      </c>
      <c r="D247" s="299">
        <f>C247*$I229</f>
        <v>1928.3057873097082</v>
      </c>
      <c r="E247" s="305"/>
      <c r="F247" s="287"/>
    </row>
    <row r="248" spans="2:9">
      <c r="B248" s="218" t="s">
        <v>34</v>
      </c>
      <c r="C248" s="219">
        <f>C242-Model!$BA$116+967.586</f>
        <v>4.3200998334214091E-12</v>
      </c>
      <c r="D248" s="220"/>
      <c r="E248" s="221"/>
      <c r="H248" s="194" t="s">
        <v>78</v>
      </c>
      <c r="I248" s="258"/>
    </row>
    <row r="249" spans="2:9">
      <c r="H249" s="194" t="s">
        <v>26</v>
      </c>
      <c r="I249" s="182" t="s">
        <v>79</v>
      </c>
    </row>
    <row r="250" spans="2:9">
      <c r="B250" s="212" t="s">
        <v>35</v>
      </c>
      <c r="C250" s="222">
        <f>C244+Model!$BA$155</f>
        <v>160177.80600000001</v>
      </c>
      <c r="E250" s="223"/>
      <c r="F250" s="184"/>
    </row>
    <row r="251" spans="2:9">
      <c r="B251" s="212" t="s">
        <v>36</v>
      </c>
      <c r="C251" s="214">
        <f>C250/C247</f>
        <v>4.3143212756215155</v>
      </c>
      <c r="E251" s="223"/>
      <c r="F251" s="213"/>
    </row>
    <row r="254" spans="2:9">
      <c r="B254" s="264" t="s">
        <v>80</v>
      </c>
      <c r="C254" s="264" t="s">
        <v>71</v>
      </c>
      <c r="D254" s="244" t="s">
        <v>72</v>
      </c>
    </row>
    <row r="255" spans="2:9">
      <c r="B255" s="263"/>
      <c r="C255" s="267"/>
      <c r="D255" s="276"/>
      <c r="G255" s="184"/>
      <c r="H255" s="184"/>
      <c r="I255" s="184"/>
    </row>
    <row r="256" spans="2:9">
      <c r="B256" s="263" t="s">
        <v>16</v>
      </c>
      <c r="C256" s="267">
        <f>C243</f>
        <v>36570.851999999999</v>
      </c>
      <c r="D256" s="276">
        <f>C256*I228</f>
        <v>1796.3602502399999</v>
      </c>
      <c r="G256" s="213"/>
      <c r="H256" s="213"/>
      <c r="I256" s="213"/>
    </row>
    <row r="257" spans="1:9">
      <c r="B257" s="266" t="s">
        <v>38</v>
      </c>
      <c r="C257" s="268">
        <f>SUM(C255:C256)</f>
        <v>36570.851999999999</v>
      </c>
      <c r="D257" s="246">
        <f>SUM(D255:D256)</f>
        <v>1796.3602502399999</v>
      </c>
    </row>
    <row r="258" spans="1:9">
      <c r="C258" s="185"/>
      <c r="D258" s="185"/>
    </row>
    <row r="259" spans="1:9">
      <c r="B259" s="273" t="s">
        <v>81</v>
      </c>
      <c r="C259" s="244" t="s">
        <v>71</v>
      </c>
      <c r="D259" s="265" t="s">
        <v>72</v>
      </c>
    </row>
    <row r="260" spans="1:9">
      <c r="B260" s="269" t="s">
        <v>40</v>
      </c>
      <c r="C260" s="271">
        <v>0</v>
      </c>
      <c r="D260" s="270">
        <f>C260*$I228</f>
        <v>0</v>
      </c>
      <c r="E260" s="186"/>
    </row>
    <row r="261" spans="1:9">
      <c r="B261" s="269" t="s">
        <v>41</v>
      </c>
      <c r="C261" s="271">
        <v>10110.804</v>
      </c>
      <c r="D261" s="270">
        <f>C261*$I228</f>
        <v>496.64269247999999</v>
      </c>
      <c r="E261" s="186"/>
    </row>
    <row r="262" spans="1:9">
      <c r="B262" s="269" t="s">
        <v>42</v>
      </c>
      <c r="C262" s="271">
        <v>3500</v>
      </c>
      <c r="D262" s="270">
        <f>C262*$I228</f>
        <v>171.92</v>
      </c>
      <c r="E262" s="186"/>
    </row>
    <row r="263" spans="1:9">
      <c r="B263" s="269" t="s">
        <v>43</v>
      </c>
      <c r="C263" s="271">
        <v>0</v>
      </c>
      <c r="D263" s="270">
        <f>C263*$I228</f>
        <v>0</v>
      </c>
      <c r="E263" s="186"/>
    </row>
    <row r="264" spans="1:9">
      <c r="B264" s="269" t="s">
        <v>44</v>
      </c>
      <c r="C264" s="271">
        <v>30318.2</v>
      </c>
      <c r="D264" s="270">
        <f>C264*$I228</f>
        <v>1489.2299839999998</v>
      </c>
      <c r="E264" s="180"/>
    </row>
    <row r="265" spans="1:9">
      <c r="B265" s="269"/>
      <c r="C265" s="272"/>
      <c r="D265" s="270"/>
    </row>
    <row r="266" spans="1:9">
      <c r="B266" s="273" t="s">
        <v>45</v>
      </c>
      <c r="C266" s="274">
        <f>SUM(C260:C265)</f>
        <v>43929.004000000001</v>
      </c>
      <c r="D266" s="275">
        <f>SUM(D260:D265)</f>
        <v>2157.79267648</v>
      </c>
    </row>
    <row r="267" spans="1:9">
      <c r="B267" s="218" t="s">
        <v>34</v>
      </c>
      <c r="C267" s="220">
        <f>C266+C232-C242</f>
        <v>0</v>
      </c>
      <c r="D267" s="220">
        <f>D266+D232-D242</f>
        <v>0</v>
      </c>
    </row>
    <row r="268" spans="1:9">
      <c r="A268" s="195" t="s">
        <v>82</v>
      </c>
    </row>
    <row r="269" spans="1:9">
      <c r="A269" s="195"/>
    </row>
    <row r="270" spans="1:9">
      <c r="H270" s="195" t="s">
        <v>83</v>
      </c>
      <c r="I270" s="257">
        <f>Model!$AZ$244</f>
        <v>4.8031431768949598E-2</v>
      </c>
    </row>
    <row r="271" spans="1:9">
      <c r="H271" s="197" t="s">
        <v>84</v>
      </c>
      <c r="I271" s="257">
        <f>AVERAGE(Model!$AW243:AZ$243)</f>
        <v>5.4519169644705587E-2</v>
      </c>
    </row>
    <row r="272" spans="1:9">
      <c r="H272" s="197"/>
      <c r="I272" s="196"/>
    </row>
    <row r="273" spans="2:10">
      <c r="H273" s="198"/>
      <c r="I273" s="198"/>
    </row>
    <row r="274" spans="2:10">
      <c r="H274" s="203" t="s">
        <v>69</v>
      </c>
      <c r="I274" s="204"/>
    </row>
    <row r="275" spans="2:10">
      <c r="B275" s="288" t="s">
        <v>85</v>
      </c>
      <c r="C275" s="289" t="s">
        <v>67</v>
      </c>
      <c r="D275" s="289" t="s">
        <v>68</v>
      </c>
      <c r="E275" s="290" t="s">
        <v>60</v>
      </c>
      <c r="F275" s="291" t="s">
        <v>7</v>
      </c>
      <c r="H275" s="203"/>
      <c r="I275" s="204"/>
    </row>
    <row r="276" spans="2:10">
      <c r="B276" s="277" t="s">
        <v>9</v>
      </c>
      <c r="C276" s="292">
        <f>Model!$AZ$119+Model!$AZ$120</f>
        <v>14785.28</v>
      </c>
      <c r="D276" s="298">
        <f>C276*$I$270</f>
        <v>710.1581675048152</v>
      </c>
      <c r="E276" s="300"/>
      <c r="F276" s="278"/>
    </row>
    <row r="277" spans="2:10">
      <c r="B277" s="279" t="s">
        <v>11</v>
      </c>
      <c r="C277" s="293"/>
      <c r="D277" s="294"/>
      <c r="E277" s="301"/>
      <c r="F277" s="280"/>
      <c r="H277" s="310" t="s">
        <v>10</v>
      </c>
      <c r="I277" s="314">
        <v>23586</v>
      </c>
      <c r="J277" s="180"/>
    </row>
    <row r="278" spans="2:10">
      <c r="B278" s="277" t="s">
        <v>13</v>
      </c>
      <c r="C278" s="294">
        <f>Model!$AZ$128</f>
        <v>0</v>
      </c>
      <c r="D278" s="294">
        <f t="shared" ref="D278:D279" si="0">C278*$I$270</f>
        <v>0</v>
      </c>
      <c r="E278" s="301"/>
      <c r="F278" s="281"/>
      <c r="H278" s="311" t="s">
        <v>12</v>
      </c>
      <c r="I278" s="271">
        <v>-444</v>
      </c>
    </row>
    <row r="279" spans="2:10">
      <c r="B279" s="277" t="s">
        <v>15</v>
      </c>
      <c r="C279" s="294">
        <f>Model!$AZ$129</f>
        <v>10085.972</v>
      </c>
      <c r="D279" s="294">
        <f t="shared" si="0"/>
        <v>484.44367594153613</v>
      </c>
      <c r="E279" s="301"/>
      <c r="F279" s="280"/>
      <c r="H279" s="273" t="s">
        <v>14</v>
      </c>
      <c r="I279" s="315">
        <f>SUM(I277:I278)</f>
        <v>23142</v>
      </c>
    </row>
    <row r="280" spans="2:10">
      <c r="B280" s="279" t="s">
        <v>17</v>
      </c>
      <c r="C280" s="294"/>
      <c r="D280" s="294"/>
      <c r="E280" s="301"/>
      <c r="F280" s="280"/>
      <c r="H280" s="311" t="s">
        <v>16</v>
      </c>
      <c r="I280" s="316">
        <f>C285</f>
        <v>24728.179</v>
      </c>
    </row>
    <row r="281" spans="2:10">
      <c r="B281" s="277" t="s">
        <v>19</v>
      </c>
      <c r="C281" s="294">
        <f>Model!$AZ$130</f>
        <v>3500</v>
      </c>
      <c r="D281" s="294">
        <f t="shared" ref="D281:D283" si="1">C281*$I$270</f>
        <v>168.11001119132359</v>
      </c>
      <c r="E281" s="301"/>
      <c r="F281" s="281"/>
      <c r="H281" s="273" t="s">
        <v>18</v>
      </c>
      <c r="I281" s="315">
        <f>I279-I280</f>
        <v>-1586.1790000000001</v>
      </c>
    </row>
    <row r="282" spans="2:10">
      <c r="B282" s="277" t="s">
        <v>21</v>
      </c>
      <c r="C282" s="294">
        <f>Model!$AZ$131</f>
        <v>5000</v>
      </c>
      <c r="D282" s="294">
        <f t="shared" si="1"/>
        <v>240.15715884474798</v>
      </c>
      <c r="E282" s="301"/>
      <c r="F282" s="281"/>
      <c r="H282" s="312" t="s">
        <v>20</v>
      </c>
      <c r="I282" s="317">
        <f>I279/C289</f>
        <v>0.61616699504765959</v>
      </c>
    </row>
    <row r="283" spans="2:10">
      <c r="B283" s="277" t="s">
        <v>23</v>
      </c>
      <c r="C283" s="294">
        <f>Model!$AZ$132</f>
        <v>5000</v>
      </c>
      <c r="D283" s="294">
        <f t="shared" si="1"/>
        <v>240.15715884474798</v>
      </c>
      <c r="E283" s="301"/>
      <c r="F283" s="281"/>
      <c r="H283" s="313" t="s">
        <v>22</v>
      </c>
      <c r="I283" s="318">
        <f>I281/C289</f>
        <v>-4.2232786623355875E-2</v>
      </c>
    </row>
    <row r="284" spans="2:10">
      <c r="B284" s="306" t="s">
        <v>28</v>
      </c>
      <c r="C284" s="307">
        <f>SUM(C276:C283)</f>
        <v>38371.252</v>
      </c>
      <c r="D284" s="307">
        <f>SUM(D276:D283)</f>
        <v>1843.0261723271708</v>
      </c>
      <c r="E284" s="308">
        <f>C284/C289</f>
        <v>1.0216532296714416</v>
      </c>
      <c r="F284" s="309">
        <f>D284/D289</f>
        <v>0.9000773069781377</v>
      </c>
    </row>
    <row r="285" spans="2:10">
      <c r="B285" s="283" t="s">
        <v>29</v>
      </c>
      <c r="C285" s="296">
        <f>Model!$AZ$144</f>
        <v>24728.179</v>
      </c>
      <c r="D285" s="294">
        <f>C285*$I$270</f>
        <v>1187.7298424088724</v>
      </c>
      <c r="E285" s="303"/>
      <c r="F285" s="284"/>
    </row>
    <row r="286" spans="2:10">
      <c r="B286" s="306" t="s">
        <v>30</v>
      </c>
      <c r="C286" s="307">
        <f>C284-C285</f>
        <v>13643.073</v>
      </c>
      <c r="D286" s="307">
        <f>D284-D285</f>
        <v>655.2963299182984</v>
      </c>
      <c r="E286" s="308">
        <f>C286/C289</f>
        <v>0.36325344800042603</v>
      </c>
      <c r="F286" s="309">
        <f>D286/D289</f>
        <v>0.32002657626981107</v>
      </c>
    </row>
    <row r="287" spans="2:10">
      <c r="B287" s="282" t="s">
        <v>31</v>
      </c>
      <c r="C287" s="295">
        <f>Model!$AZ$156</f>
        <v>169713.88500000001</v>
      </c>
      <c r="D287" s="294">
        <f>C287*$I$270</f>
        <v>8151.6008876208589</v>
      </c>
      <c r="E287" s="302"/>
      <c r="F287" s="285"/>
    </row>
    <row r="288" spans="2:10">
      <c r="B288" s="282" t="s">
        <v>32</v>
      </c>
      <c r="C288" s="295">
        <f>C286+C287</f>
        <v>183356.95800000001</v>
      </c>
      <c r="D288" s="294">
        <f>C288*$I$270</f>
        <v>8806.8972175391573</v>
      </c>
      <c r="E288" s="304"/>
      <c r="F288" s="285"/>
    </row>
    <row r="289" spans="2:9">
      <c r="B289" s="286" t="s">
        <v>33</v>
      </c>
      <c r="C289" s="297">
        <f>Model!$AZ$92</f>
        <v>37558</v>
      </c>
      <c r="D289" s="299">
        <f>C289*$I$271</f>
        <v>2047.6309735158525</v>
      </c>
      <c r="E289" s="305"/>
      <c r="F289" s="287"/>
    </row>
    <row r="290" spans="2:9">
      <c r="B290" s="218" t="s">
        <v>34</v>
      </c>
      <c r="C290" s="219">
        <f>C284-Model!$AZ$116</f>
        <v>0</v>
      </c>
      <c r="D290" s="220"/>
      <c r="E290" s="221"/>
      <c r="H290" s="194" t="s">
        <v>78</v>
      </c>
      <c r="I290" s="258"/>
    </row>
    <row r="291" spans="2:9">
      <c r="H291" s="194" t="s">
        <v>26</v>
      </c>
      <c r="I291" s="182">
        <v>-0.04</v>
      </c>
    </row>
    <row r="292" spans="2:9">
      <c r="B292" s="212" t="s">
        <v>35</v>
      </c>
      <c r="C292" s="222">
        <f>C286+Model!$AZ$155</f>
        <v>152143.073</v>
      </c>
      <c r="E292" s="223"/>
      <c r="F292" s="184"/>
    </row>
    <row r="293" spans="2:9">
      <c r="B293" s="212" t="s">
        <v>36</v>
      </c>
      <c r="C293" s="214">
        <f>C292/C289</f>
        <v>4.0508832472442622</v>
      </c>
      <c r="E293" s="223"/>
      <c r="F293" s="213"/>
    </row>
    <row r="296" spans="2:9" ht="26">
      <c r="B296" s="264" t="s">
        <v>86</v>
      </c>
      <c r="C296" s="264" t="s">
        <v>87</v>
      </c>
      <c r="D296" s="244" t="s">
        <v>72</v>
      </c>
    </row>
    <row r="297" spans="2:9">
      <c r="B297" s="263"/>
      <c r="C297" s="267"/>
      <c r="D297" s="276"/>
      <c r="G297" s="184"/>
      <c r="H297" s="184"/>
      <c r="I297" s="184"/>
    </row>
    <row r="298" spans="2:9">
      <c r="B298" s="263" t="s">
        <v>16</v>
      </c>
      <c r="C298" s="267">
        <f>C285</f>
        <v>24728.179</v>
      </c>
      <c r="D298" s="276">
        <f>C298*I270</f>
        <v>1187.7298424088724</v>
      </c>
      <c r="G298" s="213"/>
      <c r="H298" s="213"/>
      <c r="I298" s="213"/>
    </row>
    <row r="299" spans="2:9">
      <c r="B299" s="266" t="s">
        <v>38</v>
      </c>
      <c r="C299" s="268">
        <f>SUM(C297:C298)</f>
        <v>24728.179</v>
      </c>
      <c r="D299" s="246">
        <f>SUM(D297:D298)</f>
        <v>1187.7298424088724</v>
      </c>
    </row>
    <row r="300" spans="2:9">
      <c r="C300" s="185"/>
      <c r="D300" s="185"/>
    </row>
    <row r="301" spans="2:9" ht="26">
      <c r="B301" s="273" t="s">
        <v>88</v>
      </c>
      <c r="C301" s="244" t="s">
        <v>87</v>
      </c>
      <c r="D301" s="265" t="s">
        <v>72</v>
      </c>
    </row>
    <row r="302" spans="2:9">
      <c r="B302" s="269" t="s">
        <v>40</v>
      </c>
      <c r="C302" s="271">
        <v>0</v>
      </c>
      <c r="D302" s="270">
        <f>C302*$I$270</f>
        <v>0</v>
      </c>
      <c r="E302" s="186"/>
    </row>
    <row r="303" spans="2:9">
      <c r="B303" s="269" t="s">
        <v>41</v>
      </c>
      <c r="C303" s="271">
        <v>10085.972</v>
      </c>
      <c r="D303" s="270">
        <f t="shared" ref="D303:D306" si="2">C303*$I$270</f>
        <v>484.44367594153613</v>
      </c>
      <c r="E303" s="186"/>
    </row>
    <row r="304" spans="2:9">
      <c r="B304" s="269" t="s">
        <v>42</v>
      </c>
      <c r="C304" s="271">
        <v>3500</v>
      </c>
      <c r="D304" s="270">
        <f t="shared" si="2"/>
        <v>168.11001119132359</v>
      </c>
      <c r="E304" s="186"/>
    </row>
    <row r="305" spans="1:10">
      <c r="B305" s="269" t="s">
        <v>43</v>
      </c>
      <c r="C305" s="271">
        <v>0</v>
      </c>
      <c r="D305" s="270">
        <f t="shared" si="2"/>
        <v>0</v>
      </c>
      <c r="E305" s="186"/>
    </row>
    <row r="306" spans="1:10">
      <c r="B306" s="269" t="s">
        <v>44</v>
      </c>
      <c r="C306" s="271">
        <v>10000</v>
      </c>
      <c r="D306" s="270">
        <f t="shared" si="2"/>
        <v>480.31431768949597</v>
      </c>
      <c r="E306" s="180"/>
    </row>
    <row r="307" spans="1:10">
      <c r="B307" s="269"/>
      <c r="C307" s="272"/>
      <c r="D307" s="270"/>
    </row>
    <row r="308" spans="1:10">
      <c r="B308" s="273" t="s">
        <v>45</v>
      </c>
      <c r="C308" s="274">
        <f>SUM(C302:C307)</f>
        <v>23585.972000000002</v>
      </c>
      <c r="D308" s="275">
        <f>SUM(D302:D307)</f>
        <v>1132.8680048223557</v>
      </c>
    </row>
    <row r="309" spans="1:10">
      <c r="B309" s="218" t="s">
        <v>34</v>
      </c>
      <c r="C309" s="220">
        <f>C308+C276-C284</f>
        <v>0</v>
      </c>
      <c r="D309" s="220">
        <f>D308+D276-D284</f>
        <v>0</v>
      </c>
    </row>
    <row r="310" spans="1:10">
      <c r="A310" s="195" t="s">
        <v>89</v>
      </c>
    </row>
    <row r="312" spans="1:10">
      <c r="H312" s="195" t="s">
        <v>90</v>
      </c>
      <c r="I312" s="257">
        <f>Model!$AY$244</f>
        <v>5.0810000000000001E-2</v>
      </c>
    </row>
    <row r="313" spans="1:10">
      <c r="H313" s="197" t="s">
        <v>91</v>
      </c>
      <c r="I313" s="257">
        <f>AVERAGE(Model!$AV243:AY$243)</f>
        <v>5.6301249999999997E-2</v>
      </c>
    </row>
    <row r="314" spans="1:10">
      <c r="H314" s="197"/>
      <c r="I314" s="196"/>
    </row>
    <row r="315" spans="1:10">
      <c r="H315" s="198"/>
      <c r="I315" s="198"/>
    </row>
    <row r="316" spans="1:10">
      <c r="H316" s="203" t="s">
        <v>69</v>
      </c>
      <c r="I316" s="204"/>
    </row>
    <row r="317" spans="1:10">
      <c r="B317" s="199" t="s">
        <v>92</v>
      </c>
      <c r="C317" s="200" t="s">
        <v>67</v>
      </c>
      <c r="D317" s="200" t="s">
        <v>68</v>
      </c>
      <c r="E317" s="201" t="s">
        <v>60</v>
      </c>
      <c r="F317" s="201" t="s">
        <v>7</v>
      </c>
      <c r="H317" s="203"/>
      <c r="I317" s="204"/>
    </row>
    <row r="318" spans="1:10">
      <c r="B318" s="202" t="s">
        <v>9</v>
      </c>
      <c r="C318" s="178">
        <f>Model!$AY$119+Model!$AY$120</f>
        <v>14286.531000000001</v>
      </c>
      <c r="D318" s="260">
        <f>C318*$I$312</f>
        <v>725.89864011000009</v>
      </c>
      <c r="E318" s="201"/>
      <c r="F318" s="201"/>
    </row>
    <row r="319" spans="1:10">
      <c r="B319" s="205" t="s">
        <v>11</v>
      </c>
      <c r="C319" s="179"/>
      <c r="D319" s="178"/>
      <c r="E319" s="206"/>
      <c r="F319" s="206"/>
      <c r="H319" s="194" t="s">
        <v>10</v>
      </c>
      <c r="I319" s="180">
        <v>29157</v>
      </c>
      <c r="J319" s="180"/>
    </row>
    <row r="320" spans="1:10">
      <c r="B320" s="202" t="s">
        <v>13</v>
      </c>
      <c r="C320" s="178">
        <f>Model!$AY$128</f>
        <v>5888.7</v>
      </c>
      <c r="D320" s="178">
        <f>C320*$I$312</f>
        <v>299.20484699999997</v>
      </c>
      <c r="E320" s="206"/>
      <c r="F320" s="207"/>
      <c r="H320" s="194" t="s">
        <v>12</v>
      </c>
      <c r="I320" s="180">
        <v>-2066</v>
      </c>
    </row>
    <row r="321" spans="2:9">
      <c r="B321" s="202" t="s">
        <v>15</v>
      </c>
      <c r="C321" s="178">
        <f>Model!$AY$129</f>
        <v>9767.8420000000006</v>
      </c>
      <c r="D321" s="178">
        <f>C321*$I$312</f>
        <v>496.30405202000003</v>
      </c>
      <c r="E321" s="206"/>
      <c r="F321" s="206"/>
      <c r="H321" s="195" t="s">
        <v>14</v>
      </c>
      <c r="I321" s="208">
        <f>SUM(I319:I320)</f>
        <v>27091</v>
      </c>
    </row>
    <row r="322" spans="2:9">
      <c r="B322" s="205" t="s">
        <v>17</v>
      </c>
      <c r="C322" s="178"/>
      <c r="D322" s="178"/>
      <c r="E322" s="206"/>
      <c r="F322" s="206"/>
      <c r="H322" s="194" t="s">
        <v>16</v>
      </c>
      <c r="I322" s="209">
        <f>C327</f>
        <v>18158.505000000001</v>
      </c>
    </row>
    <row r="323" spans="2:9">
      <c r="B323" s="202" t="s">
        <v>19</v>
      </c>
      <c r="C323" s="178">
        <f>Model!$AY$130</f>
        <v>3500</v>
      </c>
      <c r="D323" s="178">
        <f>C323*$I$312</f>
        <v>177.83500000000001</v>
      </c>
      <c r="E323" s="206"/>
      <c r="F323" s="207"/>
      <c r="H323" s="195" t="s">
        <v>18</v>
      </c>
      <c r="I323" s="208">
        <f>I321-I322</f>
        <v>8932.494999999999</v>
      </c>
    </row>
    <row r="324" spans="2:9">
      <c r="B324" s="202" t="s">
        <v>21</v>
      </c>
      <c r="C324" s="178">
        <f>Model!$AY$131</f>
        <v>5000</v>
      </c>
      <c r="D324" s="178">
        <f>C324*$I$312</f>
        <v>254.05</v>
      </c>
      <c r="E324" s="206"/>
      <c r="F324" s="207"/>
      <c r="H324" s="211" t="s">
        <v>20</v>
      </c>
      <c r="I324" s="204">
        <f>I321/C331</f>
        <v>0.73607646870228183</v>
      </c>
    </row>
    <row r="325" spans="2:9">
      <c r="B325" s="202" t="s">
        <v>23</v>
      </c>
      <c r="C325" s="178">
        <f>Model!$AY$132</f>
        <v>5000</v>
      </c>
      <c r="D325" s="178">
        <f>C325*$I$312</f>
        <v>254.05</v>
      </c>
      <c r="E325" s="206"/>
      <c r="F325" s="207"/>
      <c r="H325" s="211" t="s">
        <v>22</v>
      </c>
      <c r="I325" s="204">
        <f>I323/C331</f>
        <v>0.2427005048282008</v>
      </c>
    </row>
    <row r="326" spans="2:9">
      <c r="B326" s="212" t="s">
        <v>28</v>
      </c>
      <c r="C326" s="183">
        <f>SUM(C318:C325)</f>
        <v>43443.073000000004</v>
      </c>
      <c r="D326" s="183">
        <f>SUM(D318:D325)</f>
        <v>2207.3425391300002</v>
      </c>
      <c r="E326" s="213">
        <f>C326/C331</f>
        <v>1.1803707417007658</v>
      </c>
      <c r="F326" s="214">
        <f>D326/D331</f>
        <v>1.0652452189927561</v>
      </c>
    </row>
    <row r="327" spans="2:9">
      <c r="B327" s="215" t="s">
        <v>29</v>
      </c>
      <c r="C327" s="216">
        <f>Model!$AY$144</f>
        <v>18158.505000000001</v>
      </c>
      <c r="D327" s="178">
        <f>C327*$I$312</f>
        <v>922.63363905000006</v>
      </c>
      <c r="E327" s="217"/>
      <c r="F327" s="211"/>
    </row>
    <row r="328" spans="2:9">
      <c r="B328" s="212" t="s">
        <v>30</v>
      </c>
      <c r="C328" s="183">
        <f>C326-C327</f>
        <v>25284.568000000003</v>
      </c>
      <c r="D328" s="183">
        <f>D326-D327</f>
        <v>1284.7089000800001</v>
      </c>
      <c r="E328" s="213">
        <f>C328/C331</f>
        <v>0.68699477782668483</v>
      </c>
      <c r="F328" s="214">
        <f>D328/D331</f>
        <v>0.61998986987631466</v>
      </c>
    </row>
    <row r="329" spans="2:9">
      <c r="B329" s="212" t="s">
        <v>31</v>
      </c>
      <c r="C329" s="183">
        <f>Model!$AY$156</f>
        <v>158955.02100000001</v>
      </c>
      <c r="D329" s="178">
        <f>C329*$I$312</f>
        <v>8076.5046170100004</v>
      </c>
      <c r="E329" s="213"/>
    </row>
    <row r="330" spans="2:9">
      <c r="B330" s="212" t="s">
        <v>32</v>
      </c>
      <c r="C330" s="183">
        <f>C328+C329</f>
        <v>184239.58900000001</v>
      </c>
      <c r="D330" s="178">
        <f>C330*$I$312</f>
        <v>9361.2135170900001</v>
      </c>
      <c r="E330" s="214"/>
    </row>
    <row r="331" spans="2:9">
      <c r="B331" s="215" t="s">
        <v>33</v>
      </c>
      <c r="C331" s="6">
        <f>Model!$AY$92</f>
        <v>36804.6</v>
      </c>
      <c r="D331" s="178">
        <f>C331*$I$313</f>
        <v>2072.1449857499997</v>
      </c>
      <c r="E331" s="215"/>
    </row>
    <row r="332" spans="2:9">
      <c r="B332" s="218" t="s">
        <v>34</v>
      </c>
      <c r="C332" s="219">
        <f>C326-Model!$AY$116</f>
        <v>0</v>
      </c>
      <c r="D332" s="220"/>
      <c r="E332" s="221"/>
      <c r="H332" s="194" t="s">
        <v>78</v>
      </c>
      <c r="I332" s="258"/>
    </row>
    <row r="333" spans="2:9">
      <c r="H333" s="194" t="s">
        <v>26</v>
      </c>
      <c r="I333" s="182">
        <v>0.24</v>
      </c>
    </row>
    <row r="334" spans="2:9">
      <c r="B334" s="212" t="s">
        <v>35</v>
      </c>
      <c r="C334" s="222">
        <f>C328+Model!$AY$155</f>
        <v>180164.568</v>
      </c>
      <c r="E334" s="223"/>
      <c r="F334" s="184"/>
    </row>
    <row r="335" spans="2:9">
      <c r="B335" s="212" t="s">
        <v>36</v>
      </c>
      <c r="C335" s="214">
        <f>C334/C331</f>
        <v>4.8951644087967265</v>
      </c>
      <c r="E335" s="223"/>
      <c r="F335" s="213"/>
    </row>
    <row r="338" spans="2:9" ht="26">
      <c r="B338" s="224" t="s">
        <v>93</v>
      </c>
      <c r="C338" s="224" t="s">
        <v>87</v>
      </c>
      <c r="D338" s="224" t="s">
        <v>72</v>
      </c>
    </row>
    <row r="339" spans="2:9">
      <c r="B339" s="225"/>
      <c r="C339" s="185"/>
      <c r="D339" s="185"/>
      <c r="G339" s="184"/>
      <c r="H339" s="184"/>
      <c r="I339" s="184"/>
    </row>
    <row r="340" spans="2:9">
      <c r="B340" s="225" t="s">
        <v>16</v>
      </c>
      <c r="C340" s="185">
        <f>C327</f>
        <v>18158.505000000001</v>
      </c>
      <c r="D340" s="185">
        <f>C340*I312</f>
        <v>922.63363905000006</v>
      </c>
      <c r="G340" s="213"/>
      <c r="H340" s="213"/>
      <c r="I340" s="213"/>
    </row>
    <row r="341" spans="2:9">
      <c r="B341" s="194" t="s">
        <v>38</v>
      </c>
      <c r="C341" s="185">
        <f>SUM(C339:C340)</f>
        <v>18158.505000000001</v>
      </c>
      <c r="D341" s="185">
        <f>SUM(D339:D340)</f>
        <v>922.63363905000006</v>
      </c>
    </row>
    <row r="342" spans="2:9">
      <c r="C342" s="185"/>
      <c r="D342" s="185"/>
    </row>
    <row r="343" spans="2:9" ht="26">
      <c r="B343" s="195" t="s">
        <v>94</v>
      </c>
      <c r="C343" s="224" t="s">
        <v>87</v>
      </c>
      <c r="D343" s="224" t="s">
        <v>72</v>
      </c>
    </row>
    <row r="344" spans="2:9">
      <c r="B344" s="226" t="s">
        <v>40</v>
      </c>
      <c r="C344" s="180">
        <v>5888.7</v>
      </c>
      <c r="D344" s="229">
        <f>C344*$I$312</f>
        <v>299.20484699999997</v>
      </c>
      <c r="E344" s="186"/>
    </row>
    <row r="345" spans="2:9">
      <c r="B345" s="226" t="s">
        <v>41</v>
      </c>
      <c r="C345" s="180">
        <v>0</v>
      </c>
      <c r="D345" s="229">
        <f>C345*$I$312</f>
        <v>0</v>
      </c>
      <c r="E345" s="186"/>
    </row>
    <row r="346" spans="2:9">
      <c r="B346" s="226" t="s">
        <v>42</v>
      </c>
      <c r="C346" s="180">
        <v>0</v>
      </c>
      <c r="D346" s="229">
        <f>C346*$I$312</f>
        <v>0</v>
      </c>
      <c r="E346" s="186"/>
    </row>
    <row r="347" spans="2:9">
      <c r="B347" s="226" t="s">
        <v>43</v>
      </c>
      <c r="C347" s="180">
        <f>9767.842+3500</f>
        <v>13267.842000000001</v>
      </c>
      <c r="D347" s="229">
        <f>C347*$I$312</f>
        <v>674.13905202000001</v>
      </c>
      <c r="E347" s="186"/>
    </row>
    <row r="348" spans="2:9">
      <c r="B348" s="226" t="s">
        <v>44</v>
      </c>
      <c r="C348" s="180">
        <v>10000</v>
      </c>
      <c r="D348" s="229">
        <f>C348*$I$312</f>
        <v>508.1</v>
      </c>
      <c r="E348" s="180"/>
    </row>
    <row r="349" spans="2:9">
      <c r="B349" s="226"/>
      <c r="C349" s="228"/>
      <c r="D349" s="229"/>
    </row>
    <row r="350" spans="2:9">
      <c r="B350" s="195" t="s">
        <v>45</v>
      </c>
      <c r="C350" s="259">
        <f>SUM(C344:C349)</f>
        <v>29156.542000000001</v>
      </c>
      <c r="D350" s="230">
        <f>SUM(D344:D349)</f>
        <v>1481.4438990200001</v>
      </c>
    </row>
    <row r="351" spans="2:9">
      <c r="B351" s="218" t="s">
        <v>34</v>
      </c>
      <c r="C351" s="220">
        <f>C350+C318-C326</f>
        <v>0</v>
      </c>
      <c r="D351" s="220">
        <f>D350+D318-D326</f>
        <v>0</v>
      </c>
    </row>
    <row r="353" spans="1:10">
      <c r="A353" s="195" t="s">
        <v>95</v>
      </c>
    </row>
    <row r="355" spans="1:10">
      <c r="H355" s="195" t="s">
        <v>96</v>
      </c>
      <c r="I355" s="257">
        <f>Model!$AX$244</f>
        <v>5.4510000000000003E-2</v>
      </c>
    </row>
    <row r="356" spans="1:10">
      <c r="H356" s="197" t="s">
        <v>97</v>
      </c>
      <c r="I356" s="257">
        <f>AVERAGE(Model!$AU243:AX$243)</f>
        <v>5.7731249999999998E-2</v>
      </c>
    </row>
    <row r="357" spans="1:10">
      <c r="H357" s="197"/>
      <c r="I357" s="196"/>
    </row>
    <row r="358" spans="1:10">
      <c r="H358" s="198"/>
      <c r="I358" s="198"/>
    </row>
    <row r="359" spans="1:10">
      <c r="H359" s="203" t="s">
        <v>69</v>
      </c>
      <c r="I359" s="204"/>
    </row>
    <row r="360" spans="1:10">
      <c r="B360" s="199" t="s">
        <v>98</v>
      </c>
      <c r="C360" s="200" t="s">
        <v>67</v>
      </c>
      <c r="D360" s="200" t="s">
        <v>68</v>
      </c>
      <c r="E360" s="201" t="s">
        <v>60</v>
      </c>
      <c r="F360" s="201" t="s">
        <v>7</v>
      </c>
      <c r="H360" s="203"/>
      <c r="I360" s="204"/>
    </row>
    <row r="361" spans="1:10">
      <c r="B361" s="202" t="s">
        <v>9</v>
      </c>
      <c r="C361" s="178">
        <f>Model!$AX$119+Model!$AX$120</f>
        <v>14272.624</v>
      </c>
      <c r="D361" s="260">
        <f>C361*$I$355</f>
        <v>778.00073424000004</v>
      </c>
      <c r="E361" s="201"/>
      <c r="F361" s="201"/>
    </row>
    <row r="362" spans="1:10">
      <c r="B362" s="205" t="s">
        <v>11</v>
      </c>
      <c r="C362" s="179"/>
      <c r="D362" s="178"/>
      <c r="E362" s="206"/>
      <c r="F362" s="206"/>
      <c r="H362" s="194" t="s">
        <v>10</v>
      </c>
      <c r="I362" s="180">
        <v>28158.2</v>
      </c>
      <c r="J362" s="180"/>
    </row>
    <row r="363" spans="1:10">
      <c r="B363" s="202" t="s">
        <v>13</v>
      </c>
      <c r="C363" s="178">
        <f>Model!$AX$128</f>
        <v>5513.19</v>
      </c>
      <c r="D363" s="178">
        <f>C363*$I$355</f>
        <v>300.52398690000001</v>
      </c>
      <c r="E363" s="206"/>
      <c r="F363" s="207"/>
      <c r="H363" s="194" t="s">
        <v>12</v>
      </c>
      <c r="I363" s="180">
        <v>-1067.8</v>
      </c>
    </row>
    <row r="364" spans="1:10">
      <c r="B364" s="202" t="s">
        <v>15</v>
      </c>
      <c r="C364" s="178">
        <f>Model!$AX$129</f>
        <v>9144.9670000000006</v>
      </c>
      <c r="D364" s="178">
        <f>C364*$I$355</f>
        <v>498.49215117000006</v>
      </c>
      <c r="E364" s="206"/>
      <c r="F364" s="206"/>
      <c r="H364" s="195" t="s">
        <v>14</v>
      </c>
      <c r="I364" s="208">
        <f>SUM(I362:I363)</f>
        <v>27090.400000000001</v>
      </c>
    </row>
    <row r="365" spans="1:10">
      <c r="B365" s="205" t="s">
        <v>17</v>
      </c>
      <c r="C365" s="178"/>
      <c r="D365" s="178"/>
      <c r="E365" s="206"/>
      <c r="F365" s="206"/>
      <c r="H365" s="194" t="s">
        <v>16</v>
      </c>
      <c r="I365" s="209">
        <f>C370</f>
        <v>22231.47</v>
      </c>
    </row>
    <row r="366" spans="1:10">
      <c r="B366" s="202" t="s">
        <v>19</v>
      </c>
      <c r="C366" s="178">
        <f>Model!$AX$130</f>
        <v>3500</v>
      </c>
      <c r="D366" s="178">
        <f>C366*$I$355</f>
        <v>190.785</v>
      </c>
      <c r="E366" s="206"/>
      <c r="F366" s="207"/>
      <c r="H366" s="195" t="s">
        <v>18</v>
      </c>
      <c r="I366" s="208">
        <f>I364-I365</f>
        <v>4858.93</v>
      </c>
    </row>
    <row r="367" spans="1:10">
      <c r="B367" s="202" t="s">
        <v>21</v>
      </c>
      <c r="C367" s="178">
        <f>Model!$AX$131</f>
        <v>5000</v>
      </c>
      <c r="D367" s="178">
        <f>C367*$I$355</f>
        <v>272.55</v>
      </c>
      <c r="E367" s="206"/>
      <c r="F367" s="207"/>
      <c r="H367" s="211" t="s">
        <v>20</v>
      </c>
      <c r="I367" s="204">
        <f>I364/C374</f>
        <v>0.74634135590231865</v>
      </c>
    </row>
    <row r="368" spans="1:10">
      <c r="B368" s="202" t="s">
        <v>23</v>
      </c>
      <c r="C368" s="178">
        <f>Model!$AX$132</f>
        <v>5000</v>
      </c>
      <c r="D368" s="178">
        <f>C368*$I$355</f>
        <v>272.55</v>
      </c>
      <c r="E368" s="206"/>
      <c r="F368" s="207"/>
      <c r="H368" s="211" t="s">
        <v>22</v>
      </c>
      <c r="I368" s="204">
        <f>I366/C374</f>
        <v>0.13386367142731201</v>
      </c>
    </row>
    <row r="369" spans="2:9">
      <c r="B369" s="212" t="s">
        <v>28</v>
      </c>
      <c r="C369" s="183">
        <f>SUM(C361:C368)</f>
        <v>42430.781000000003</v>
      </c>
      <c r="D369" s="183">
        <f>SUM(D361:D368)</f>
        <v>2312.9018723100003</v>
      </c>
      <c r="E369" s="213">
        <f>C369/C374</f>
        <v>1.1689693257956451</v>
      </c>
      <c r="F369" s="214">
        <f>D369/D374</f>
        <v>1.1037439506180902</v>
      </c>
    </row>
    <row r="370" spans="2:9">
      <c r="B370" s="215" t="s">
        <v>29</v>
      </c>
      <c r="C370" s="216">
        <f>Model!$AX$144</f>
        <v>22231.47</v>
      </c>
      <c r="D370" s="178">
        <f>C370*$I$355</f>
        <v>1211.8374297</v>
      </c>
      <c r="E370" s="217"/>
      <c r="F370" s="211"/>
    </row>
    <row r="371" spans="2:9">
      <c r="B371" s="212" t="s">
        <v>30</v>
      </c>
      <c r="C371" s="183">
        <f>C369-C370</f>
        <v>20199.311000000002</v>
      </c>
      <c r="D371" s="183">
        <f>D369-D370</f>
        <v>1101.0644426100002</v>
      </c>
      <c r="E371" s="213">
        <f>C371/C374</f>
        <v>0.55649164132063833</v>
      </c>
      <c r="F371" s="214">
        <f>D371/D374</f>
        <v>0.52544088978478731</v>
      </c>
    </row>
    <row r="372" spans="2:9">
      <c r="B372" s="212" t="s">
        <v>31</v>
      </c>
      <c r="C372" s="183">
        <f>Model!$AX$156</f>
        <v>153245.27499999999</v>
      </c>
      <c r="D372" s="178">
        <f>C372*$I$355</f>
        <v>8353.3999402499994</v>
      </c>
      <c r="E372" s="213"/>
    </row>
    <row r="373" spans="2:9">
      <c r="B373" s="212" t="s">
        <v>32</v>
      </c>
      <c r="C373" s="183">
        <f>C371+C372</f>
        <v>173444.58600000001</v>
      </c>
      <c r="D373" s="178">
        <f>C373*$I$355</f>
        <v>9454.4643828600019</v>
      </c>
      <c r="E373" s="214"/>
    </row>
    <row r="374" spans="2:9">
      <c r="B374" s="215" t="s">
        <v>33</v>
      </c>
      <c r="C374" s="6">
        <f>Model!$AX$92</f>
        <v>36297.599999999999</v>
      </c>
      <c r="D374" s="178">
        <f>C374*$I$356</f>
        <v>2095.5058199999999</v>
      </c>
      <c r="E374" s="215"/>
    </row>
    <row r="375" spans="2:9">
      <c r="B375" s="218" t="s">
        <v>34</v>
      </c>
      <c r="C375" s="219">
        <f>C369-Model!$AX$116</f>
        <v>0</v>
      </c>
      <c r="D375" s="220"/>
      <c r="E375" s="221"/>
      <c r="H375" s="194" t="s">
        <v>78</v>
      </c>
      <c r="I375" s="258"/>
    </row>
    <row r="376" spans="2:9">
      <c r="H376" s="194" t="s">
        <v>26</v>
      </c>
      <c r="I376" s="182">
        <v>0.13</v>
      </c>
    </row>
    <row r="377" spans="2:9">
      <c r="B377" s="212" t="s">
        <v>35</v>
      </c>
      <c r="C377" s="222">
        <f>C371+Model!$AX$155</f>
        <v>204080.31099999999</v>
      </c>
      <c r="E377" s="223"/>
      <c r="F377" s="184"/>
    </row>
    <row r="378" spans="2:9">
      <c r="B378" s="212" t="s">
        <v>36</v>
      </c>
      <c r="C378" s="214">
        <f>C377/C374</f>
        <v>5.6224188651591289</v>
      </c>
      <c r="E378" s="223"/>
      <c r="F378" s="213"/>
    </row>
    <row r="381" spans="2:9" ht="26">
      <c r="B381" s="224" t="s">
        <v>99</v>
      </c>
      <c r="C381" s="224" t="s">
        <v>87</v>
      </c>
      <c r="D381" s="224" t="s">
        <v>72</v>
      </c>
    </row>
    <row r="382" spans="2:9">
      <c r="B382" s="225"/>
      <c r="C382" s="185"/>
      <c r="D382" s="185"/>
      <c r="G382" s="184"/>
      <c r="H382" s="184"/>
      <c r="I382" s="184"/>
    </row>
    <row r="383" spans="2:9">
      <c r="B383" s="225" t="s">
        <v>16</v>
      </c>
      <c r="C383" s="185">
        <f>C370</f>
        <v>22231.47</v>
      </c>
      <c r="D383" s="185">
        <f>C383*I355</f>
        <v>1211.8374297</v>
      </c>
      <c r="G383" s="213"/>
      <c r="H383" s="213"/>
      <c r="I383" s="213"/>
    </row>
    <row r="384" spans="2:9">
      <c r="B384" s="194" t="s">
        <v>38</v>
      </c>
      <c r="C384" s="185">
        <f>SUM(C382:C383)</f>
        <v>22231.47</v>
      </c>
      <c r="D384" s="185">
        <f>SUM(D382:D383)</f>
        <v>1211.8374297</v>
      </c>
    </row>
    <row r="385" spans="1:9">
      <c r="C385" s="185"/>
      <c r="D385" s="185"/>
    </row>
    <row r="386" spans="1:9" ht="26">
      <c r="B386" s="195" t="s">
        <v>100</v>
      </c>
      <c r="C386" s="224" t="s">
        <v>87</v>
      </c>
      <c r="D386" s="224" t="s">
        <v>72</v>
      </c>
    </row>
    <row r="387" spans="1:9">
      <c r="B387" s="226" t="s">
        <v>40</v>
      </c>
      <c r="C387" s="180">
        <v>5513.19</v>
      </c>
      <c r="D387" s="229">
        <f>C387*$I$355</f>
        <v>300.52398690000001</v>
      </c>
      <c r="E387" s="186"/>
    </row>
    <row r="388" spans="1:9">
      <c r="B388" s="226" t="s">
        <v>41</v>
      </c>
      <c r="C388" s="180">
        <v>0</v>
      </c>
      <c r="D388" s="229">
        <f t="shared" ref="D388:D391" si="3">C388*$I$355</f>
        <v>0</v>
      </c>
      <c r="E388" s="186"/>
    </row>
    <row r="389" spans="1:9">
      <c r="B389" s="226" t="s">
        <v>42</v>
      </c>
      <c r="C389" s="180">
        <v>0</v>
      </c>
      <c r="D389" s="229">
        <f t="shared" si="3"/>
        <v>0</v>
      </c>
      <c r="E389" s="186"/>
    </row>
    <row r="390" spans="1:9">
      <c r="B390" s="226" t="s">
        <v>43</v>
      </c>
      <c r="C390" s="180">
        <f>9144.97+3500</f>
        <v>12644.97</v>
      </c>
      <c r="D390" s="229">
        <f t="shared" si="3"/>
        <v>689.27731470000003</v>
      </c>
      <c r="E390" s="186"/>
    </row>
    <row r="391" spans="1:9">
      <c r="B391" s="226" t="s">
        <v>44</v>
      </c>
      <c r="C391" s="180">
        <v>10000</v>
      </c>
      <c r="D391" s="229">
        <f t="shared" si="3"/>
        <v>545.1</v>
      </c>
      <c r="E391" s="180"/>
    </row>
    <row r="392" spans="1:9">
      <c r="B392" s="226"/>
      <c r="C392" s="228"/>
      <c r="D392" s="229"/>
    </row>
    <row r="393" spans="1:9">
      <c r="B393" s="195" t="s">
        <v>45</v>
      </c>
      <c r="C393" s="259">
        <f>SUM(C387:C392)</f>
        <v>28158.16</v>
      </c>
      <c r="D393" s="230">
        <f>SUM(D387:D392)</f>
        <v>1534.9013015999999</v>
      </c>
    </row>
    <row r="394" spans="1:9">
      <c r="B394" s="218" t="s">
        <v>34</v>
      </c>
      <c r="C394" s="220">
        <f>C393+C361-C369</f>
        <v>2.9999999969732016E-3</v>
      </c>
      <c r="D394" s="220">
        <f>D393+D361-D369</f>
        <v>1.6352999955415726E-4</v>
      </c>
    </row>
    <row r="396" spans="1:9">
      <c r="A396" s="195" t="s">
        <v>101</v>
      </c>
    </row>
    <row r="398" spans="1:9">
      <c r="H398" s="195" t="s">
        <v>102</v>
      </c>
      <c r="I398" s="257">
        <f>Model!$AW$244</f>
        <v>5.96E-2</v>
      </c>
    </row>
    <row r="399" spans="1:9">
      <c r="H399" s="197" t="s">
        <v>103</v>
      </c>
      <c r="I399" s="257">
        <f>AVERAGE(Model!$AT243:AW$243)</f>
        <v>5.7793750000000005E-2</v>
      </c>
    </row>
    <row r="400" spans="1:9">
      <c r="H400" s="197"/>
      <c r="I400" s="196"/>
    </row>
    <row r="401" spans="2:10">
      <c r="H401" s="198"/>
      <c r="I401" s="198"/>
    </row>
    <row r="402" spans="2:10">
      <c r="H402" s="203" t="s">
        <v>69</v>
      </c>
      <c r="I402" s="204"/>
    </row>
    <row r="403" spans="2:10">
      <c r="B403" s="199" t="s">
        <v>104</v>
      </c>
      <c r="C403" s="200" t="s">
        <v>67</v>
      </c>
      <c r="D403" s="200" t="s">
        <v>68</v>
      </c>
      <c r="E403" s="201" t="s">
        <v>60</v>
      </c>
      <c r="F403" s="201" t="s">
        <v>7</v>
      </c>
      <c r="H403" s="203"/>
      <c r="I403" s="204"/>
    </row>
    <row r="404" spans="2:10">
      <c r="B404" s="202" t="s">
        <v>9</v>
      </c>
      <c r="C404" s="178">
        <f>Model!$AW$119+Model!$AW$120</f>
        <v>14241.284000000001</v>
      </c>
      <c r="D404" s="178">
        <f t="shared" ref="D404:D411" si="4">C404*$I$398</f>
        <v>848.7805264000001</v>
      </c>
      <c r="E404" s="201"/>
      <c r="F404" s="201"/>
    </row>
    <row r="405" spans="2:10">
      <c r="B405" s="205" t="s">
        <v>11</v>
      </c>
      <c r="C405" s="179"/>
      <c r="D405" s="178"/>
      <c r="E405" s="206"/>
      <c r="F405" s="206"/>
      <c r="H405" s="194" t="s">
        <v>10</v>
      </c>
      <c r="I405" s="180">
        <v>26802.799999999999</v>
      </c>
      <c r="J405" s="180"/>
    </row>
    <row r="406" spans="2:10">
      <c r="B406" s="202" t="s">
        <v>13</v>
      </c>
      <c r="C406" s="178">
        <f>Model!$AW$128</f>
        <v>5003.3999999999996</v>
      </c>
      <c r="D406" s="178">
        <f t="shared" si="4"/>
        <v>298.20263999999997</v>
      </c>
      <c r="E406" s="206"/>
      <c r="F406" s="207"/>
      <c r="H406" s="194" t="s">
        <v>12</v>
      </c>
      <c r="I406" s="180">
        <v>-287.60000000000002</v>
      </c>
    </row>
    <row r="407" spans="2:10">
      <c r="B407" s="202" t="s">
        <v>15</v>
      </c>
      <c r="C407" s="178">
        <f>Model!$AW$129</f>
        <v>8299.3559999999998</v>
      </c>
      <c r="D407" s="178">
        <f t="shared" si="4"/>
        <v>494.64161759999996</v>
      </c>
      <c r="E407" s="206"/>
      <c r="F407" s="206"/>
      <c r="H407" s="195" t="s">
        <v>14</v>
      </c>
      <c r="I407" s="208">
        <f>SUM(I405:I406)</f>
        <v>26515.200000000001</v>
      </c>
    </row>
    <row r="408" spans="2:10">
      <c r="B408" s="205" t="s">
        <v>17</v>
      </c>
      <c r="C408" s="178"/>
      <c r="D408" s="178"/>
      <c r="E408" s="206"/>
      <c r="F408" s="206"/>
      <c r="H408" s="194" t="s">
        <v>16</v>
      </c>
      <c r="I408" s="209">
        <f>C413</f>
        <v>23286.625</v>
      </c>
    </row>
    <row r="409" spans="2:10">
      <c r="B409" s="202" t="s">
        <v>19</v>
      </c>
      <c r="C409" s="178">
        <f>Model!$AW$130</f>
        <v>3500</v>
      </c>
      <c r="D409" s="178">
        <f t="shared" si="4"/>
        <v>208.6</v>
      </c>
      <c r="E409" s="206"/>
      <c r="F409" s="207"/>
      <c r="H409" s="195" t="s">
        <v>18</v>
      </c>
      <c r="I409" s="208">
        <f>I407-I408</f>
        <v>3228.5750000000007</v>
      </c>
    </row>
    <row r="410" spans="2:10">
      <c r="B410" s="202" t="s">
        <v>21</v>
      </c>
      <c r="C410" s="178">
        <f>Model!$AW$131</f>
        <v>5000</v>
      </c>
      <c r="D410" s="178">
        <f t="shared" si="4"/>
        <v>298</v>
      </c>
      <c r="E410" s="206"/>
      <c r="F410" s="207"/>
      <c r="H410" s="211" t="s">
        <v>20</v>
      </c>
      <c r="I410" s="204">
        <f>I407/C417</f>
        <v>0.74235670929737729</v>
      </c>
    </row>
    <row r="411" spans="2:10">
      <c r="B411" s="202" t="s">
        <v>23</v>
      </c>
      <c r="C411" s="178">
        <f>Model!$AW$132</f>
        <v>5000</v>
      </c>
      <c r="D411" s="178">
        <f t="shared" si="4"/>
        <v>298</v>
      </c>
      <c r="E411" s="206"/>
      <c r="F411" s="207"/>
      <c r="H411" s="211" t="s">
        <v>22</v>
      </c>
      <c r="I411" s="204">
        <f>I409/C417</f>
        <v>9.0391711649158976E-2</v>
      </c>
    </row>
    <row r="412" spans="2:10">
      <c r="B412" s="212" t="s">
        <v>28</v>
      </c>
      <c r="C412" s="183">
        <f>SUM(C404:C411)</f>
        <v>41044.04</v>
      </c>
      <c r="D412" s="183">
        <f>SUM(D404:D411)</f>
        <v>2446.224784</v>
      </c>
      <c r="E412" s="213">
        <f>C412/C417</f>
        <v>1.1491264810625574</v>
      </c>
      <c r="F412" s="214">
        <f>D412/D417</f>
        <v>1.1850405670393152</v>
      </c>
    </row>
    <row r="413" spans="2:10">
      <c r="B413" s="215" t="s">
        <v>29</v>
      </c>
      <c r="C413" s="216">
        <f>Model!$AW$144</f>
        <v>23286.625</v>
      </c>
      <c r="D413" s="178">
        <f>C413*$I$398</f>
        <v>1387.88285</v>
      </c>
      <c r="E413" s="217"/>
      <c r="F413" s="211"/>
    </row>
    <row r="414" spans="2:10">
      <c r="B414" s="212" t="s">
        <v>30</v>
      </c>
      <c r="C414" s="183">
        <f>C412-C413</f>
        <v>17757.415000000001</v>
      </c>
      <c r="D414" s="183">
        <f>D412-D413</f>
        <v>1058.341934</v>
      </c>
      <c r="E414" s="213">
        <f>C414/C417</f>
        <v>0.49716148341433919</v>
      </c>
      <c r="F414" s="214">
        <f>D414/D417</f>
        <v>0.5126994599155551</v>
      </c>
    </row>
    <row r="415" spans="2:10">
      <c r="B415" s="212" t="s">
        <v>31</v>
      </c>
      <c r="C415" s="183">
        <f>Model!$AW$156</f>
        <v>146330.50899999999</v>
      </c>
      <c r="D415" s="178">
        <f>C415*$I$398</f>
        <v>8721.2983363999992</v>
      </c>
      <c r="E415" s="213"/>
    </row>
    <row r="416" spans="2:10">
      <c r="B416" s="212" t="s">
        <v>32</v>
      </c>
      <c r="C416" s="183">
        <f>C414+C415</f>
        <v>164087.924</v>
      </c>
      <c r="D416" s="178">
        <f>C416*$I$398</f>
        <v>9779.6402703999993</v>
      </c>
      <c r="E416" s="214"/>
    </row>
    <row r="417" spans="2:9">
      <c r="B417" s="215" t="s">
        <v>33</v>
      </c>
      <c r="C417" s="6">
        <f>Model!$AW$92</f>
        <v>35717.599999999999</v>
      </c>
      <c r="D417" s="178">
        <f>C417*$I$399</f>
        <v>2064.2540450000001</v>
      </c>
      <c r="E417" s="215"/>
    </row>
    <row r="418" spans="2:9">
      <c r="B418" s="218" t="s">
        <v>34</v>
      </c>
      <c r="C418" s="219">
        <f>C412-Model!$AW$116</f>
        <v>0</v>
      </c>
      <c r="D418" s="220"/>
      <c r="E418" s="221"/>
      <c r="H418" s="194" t="s">
        <v>78</v>
      </c>
      <c r="I418" s="182">
        <v>0.76</v>
      </c>
    </row>
    <row r="419" spans="2:9">
      <c r="H419" s="194" t="s">
        <v>26</v>
      </c>
      <c r="I419" s="182">
        <v>0.11</v>
      </c>
    </row>
    <row r="420" spans="2:9">
      <c r="B420" s="212" t="s">
        <v>35</v>
      </c>
      <c r="C420" s="222">
        <f>C414+Model!$AW$155</f>
        <v>217270.315</v>
      </c>
      <c r="E420" s="223"/>
      <c r="F420" s="184"/>
    </row>
    <row r="421" spans="2:9">
      <c r="B421" s="212" t="s">
        <v>36</v>
      </c>
      <c r="C421" s="214">
        <f>C420/C417</f>
        <v>6.0830043171993644</v>
      </c>
      <c r="E421" s="223"/>
      <c r="F421" s="213"/>
    </row>
    <row r="424" spans="2:9" ht="26">
      <c r="B424" s="224" t="s">
        <v>105</v>
      </c>
      <c r="C424" s="224" t="s">
        <v>87</v>
      </c>
      <c r="D424" s="224" t="s">
        <v>72</v>
      </c>
    </row>
    <row r="425" spans="2:9">
      <c r="B425" s="225"/>
      <c r="C425" s="185"/>
      <c r="D425" s="185"/>
      <c r="G425" s="184"/>
      <c r="H425" s="184"/>
      <c r="I425" s="184"/>
    </row>
    <row r="426" spans="2:9">
      <c r="B426" s="225" t="s">
        <v>16</v>
      </c>
      <c r="C426" s="185">
        <f>C413</f>
        <v>23286.625</v>
      </c>
      <c r="D426" s="185">
        <f>C426*I398</f>
        <v>1387.88285</v>
      </c>
      <c r="G426" s="213"/>
      <c r="H426" s="213"/>
      <c r="I426" s="213"/>
    </row>
    <row r="427" spans="2:9">
      <c r="B427" s="194" t="s">
        <v>38</v>
      </c>
      <c r="C427" s="185">
        <f>SUM(C425:C426)</f>
        <v>23286.625</v>
      </c>
      <c r="D427" s="185">
        <f>SUM(D425:D426)</f>
        <v>1387.88285</v>
      </c>
    </row>
    <row r="428" spans="2:9">
      <c r="C428" s="185"/>
      <c r="D428" s="185"/>
    </row>
    <row r="429" spans="2:9" ht="26">
      <c r="B429" s="195" t="s">
        <v>106</v>
      </c>
      <c r="C429" s="224" t="s">
        <v>87</v>
      </c>
      <c r="D429" s="224" t="s">
        <v>72</v>
      </c>
    </row>
    <row r="430" spans="2:9">
      <c r="B430" s="226" t="s">
        <v>40</v>
      </c>
      <c r="C430" s="186">
        <v>5003.3999999999996</v>
      </c>
      <c r="D430" s="229">
        <f>C430*$I$398</f>
        <v>298.20263999999997</v>
      </c>
      <c r="E430" s="186"/>
    </row>
    <row r="431" spans="2:9">
      <c r="B431" s="226" t="s">
        <v>41</v>
      </c>
      <c r="C431" s="186">
        <v>0</v>
      </c>
      <c r="D431" s="229">
        <f>C431*$I$398</f>
        <v>0</v>
      </c>
      <c r="E431" s="186"/>
    </row>
    <row r="432" spans="2:9">
      <c r="B432" s="226" t="s">
        <v>42</v>
      </c>
      <c r="C432" s="186">
        <v>0</v>
      </c>
      <c r="D432" s="229">
        <f t="shared" ref="D432:D434" si="5">C432*$I$398</f>
        <v>0</v>
      </c>
      <c r="E432" s="186"/>
    </row>
    <row r="433" spans="1:9">
      <c r="B433" s="226" t="s">
        <v>43</v>
      </c>
      <c r="C433" s="186">
        <f>3500+8299.356</f>
        <v>11799.356</v>
      </c>
      <c r="D433" s="229">
        <f t="shared" si="5"/>
        <v>703.24161760000004</v>
      </c>
      <c r="E433" s="186"/>
    </row>
    <row r="434" spans="1:9">
      <c r="B434" s="226" t="s">
        <v>44</v>
      </c>
      <c r="C434" s="180">
        <v>10000</v>
      </c>
      <c r="D434" s="229">
        <f t="shared" si="5"/>
        <v>596</v>
      </c>
      <c r="E434" s="180"/>
    </row>
    <row r="435" spans="1:9">
      <c r="B435" s="226"/>
      <c r="C435" s="228"/>
      <c r="D435" s="229"/>
    </row>
    <row r="436" spans="1:9">
      <c r="B436" s="195" t="s">
        <v>45</v>
      </c>
      <c r="C436" s="230">
        <f>SUM(C430:C435)</f>
        <v>26802.756000000001</v>
      </c>
      <c r="D436" s="230">
        <f>SUM(D430:D435)</f>
        <v>1597.4442576000001</v>
      </c>
    </row>
    <row r="437" spans="1:9">
      <c r="B437" s="218" t="s">
        <v>34</v>
      </c>
      <c r="C437" s="220">
        <f>C436+C404-C412</f>
        <v>0</v>
      </c>
      <c r="D437" s="220">
        <f>D436+D404-D412</f>
        <v>0</v>
      </c>
    </row>
    <row r="439" spans="1:9">
      <c r="A439" s="195" t="s">
        <v>107</v>
      </c>
    </row>
    <row r="441" spans="1:9">
      <c r="H441" s="195" t="s">
        <v>108</v>
      </c>
      <c r="I441" s="257">
        <f>Model!$AV$244</f>
        <v>5.8860000000000003E-2</v>
      </c>
    </row>
    <row r="442" spans="1:9">
      <c r="H442" s="197" t="s">
        <v>109</v>
      </c>
      <c r="I442" s="257">
        <f>AVERAGE(Model!$AS243:AV$243)</f>
        <v>5.6411249999999996E-2</v>
      </c>
    </row>
    <row r="443" spans="1:9">
      <c r="H443" s="197"/>
      <c r="I443" s="196"/>
    </row>
    <row r="444" spans="1:9">
      <c r="H444" s="198"/>
      <c r="I444" s="198"/>
    </row>
    <row r="445" spans="1:9">
      <c r="H445" s="203" t="s">
        <v>69</v>
      </c>
      <c r="I445" s="204"/>
    </row>
    <row r="446" spans="1:9">
      <c r="B446" s="199" t="s">
        <v>110</v>
      </c>
      <c r="C446" s="200" t="s">
        <v>67</v>
      </c>
      <c r="D446" s="200" t="s">
        <v>68</v>
      </c>
      <c r="E446" s="201" t="s">
        <v>60</v>
      </c>
      <c r="F446" s="201" t="s">
        <v>7</v>
      </c>
      <c r="H446" s="203"/>
      <c r="I446" s="204"/>
    </row>
    <row r="447" spans="1:9">
      <c r="B447" s="202" t="s">
        <v>9</v>
      </c>
      <c r="C447" s="178">
        <f>Model!$AV$119+Model!$AV$120</f>
        <v>14123.287</v>
      </c>
      <c r="D447" s="178">
        <f>C447*$I$441</f>
        <v>831.29667282000003</v>
      </c>
      <c r="E447" s="201"/>
      <c r="F447" s="201"/>
    </row>
    <row r="448" spans="1:9">
      <c r="B448" s="205" t="s">
        <v>11</v>
      </c>
      <c r="C448" s="179"/>
      <c r="D448" s="178"/>
      <c r="E448" s="206"/>
      <c r="F448" s="206"/>
      <c r="H448" s="194" t="s">
        <v>10</v>
      </c>
      <c r="I448" s="180">
        <v>26974.6</v>
      </c>
    </row>
    <row r="449" spans="2:9">
      <c r="B449" s="202" t="s">
        <v>13</v>
      </c>
      <c r="C449" s="178">
        <f>Model!$AV$128</f>
        <v>5068.05</v>
      </c>
      <c r="D449" s="178">
        <f>C449*$I$441</f>
        <v>298.30542300000002</v>
      </c>
      <c r="E449" s="206"/>
      <c r="F449" s="207"/>
      <c r="H449" s="194" t="s">
        <v>12</v>
      </c>
      <c r="I449" s="180">
        <v>-115.7</v>
      </c>
    </row>
    <row r="450" spans="2:9">
      <c r="B450" s="202" t="s">
        <v>15</v>
      </c>
      <c r="C450" s="178">
        <f>Model!$AV$129</f>
        <v>8406.5939999999991</v>
      </c>
      <c r="D450" s="178">
        <f>C450*$I$441</f>
        <v>494.81212283999997</v>
      </c>
      <c r="E450" s="206"/>
      <c r="F450" s="206"/>
      <c r="H450" s="195" t="s">
        <v>14</v>
      </c>
      <c r="I450" s="208">
        <f>SUM(I448:I449)</f>
        <v>26858.899999999998</v>
      </c>
    </row>
    <row r="451" spans="2:9">
      <c r="B451" s="205" t="s">
        <v>17</v>
      </c>
      <c r="C451" s="178"/>
      <c r="D451" s="178"/>
      <c r="E451" s="206"/>
      <c r="F451" s="206"/>
      <c r="H451" s="194" t="s">
        <v>16</v>
      </c>
      <c r="I451" s="209">
        <f>C456</f>
        <v>29807.166000000001</v>
      </c>
    </row>
    <row r="452" spans="2:9">
      <c r="B452" s="202" t="s">
        <v>19</v>
      </c>
      <c r="C452" s="178">
        <f>Model!$AV$130</f>
        <v>3500</v>
      </c>
      <c r="D452" s="178">
        <f>C452*$I$441</f>
        <v>206.01000000000002</v>
      </c>
      <c r="E452" s="206"/>
      <c r="F452" s="207"/>
      <c r="H452" s="195" t="s">
        <v>18</v>
      </c>
      <c r="I452" s="208">
        <f>I450-I451</f>
        <v>-2948.2660000000033</v>
      </c>
    </row>
    <row r="453" spans="2:9">
      <c r="B453" s="202" t="s">
        <v>21</v>
      </c>
      <c r="C453" s="178">
        <f>Model!$AV$131</f>
        <v>5000</v>
      </c>
      <c r="D453" s="178">
        <f>C453*$I$441</f>
        <v>294.3</v>
      </c>
      <c r="E453" s="206"/>
      <c r="F453" s="207"/>
      <c r="H453" s="211" t="s">
        <v>20</v>
      </c>
      <c r="I453" s="204">
        <f>I450/C460</f>
        <v>0.76757916877430932</v>
      </c>
    </row>
    <row r="454" spans="2:9">
      <c r="B454" s="202" t="s">
        <v>23</v>
      </c>
      <c r="C454" s="178">
        <f>Model!$AV$132</f>
        <v>5000</v>
      </c>
      <c r="D454" s="178">
        <f>C454*$I$441</f>
        <v>294.3</v>
      </c>
      <c r="E454" s="206"/>
      <c r="F454" s="207"/>
      <c r="H454" s="211" t="s">
        <v>22</v>
      </c>
      <c r="I454" s="204">
        <f>I452/C460</f>
        <v>-8.4256152173229751E-2</v>
      </c>
    </row>
    <row r="455" spans="2:9">
      <c r="B455" s="212" t="s">
        <v>28</v>
      </c>
      <c r="C455" s="183">
        <f>SUM(C447:C454)</f>
        <v>41097.930999999997</v>
      </c>
      <c r="D455" s="183">
        <f>SUM(D447:D454)</f>
        <v>2419.0242186600003</v>
      </c>
      <c r="E455" s="213">
        <f>C455/C460</f>
        <v>1.1745051255011902</v>
      </c>
      <c r="F455" s="214">
        <f>D455/D460</f>
        <v>1.1745051255011905</v>
      </c>
    </row>
    <row r="456" spans="2:9">
      <c r="B456" s="215" t="s">
        <v>29</v>
      </c>
      <c r="C456" s="216">
        <f>Model!$AV$144</f>
        <v>29807.166000000001</v>
      </c>
      <c r="D456" s="178">
        <f>C456*$I$441</f>
        <v>1754.44979076</v>
      </c>
      <c r="E456" s="217"/>
      <c r="F456" s="211"/>
    </row>
    <row r="457" spans="2:9">
      <c r="B457" s="212" t="s">
        <v>30</v>
      </c>
      <c r="C457" s="183">
        <f>C455-C456</f>
        <v>11290.764999999996</v>
      </c>
      <c r="D457" s="183">
        <f>D455-D456</f>
        <v>664.57442790000027</v>
      </c>
      <c r="E457" s="213">
        <f>C457/C460</f>
        <v>0.32266980455365118</v>
      </c>
      <c r="F457" s="214">
        <f>D457/D460</f>
        <v>0.32266980455365146</v>
      </c>
    </row>
    <row r="458" spans="2:9">
      <c r="B458" s="212" t="s">
        <v>31</v>
      </c>
      <c r="C458" s="183">
        <f>Model!$AV$156</f>
        <v>147499.71900000001</v>
      </c>
      <c r="D458" s="178">
        <f>C458*$I$441</f>
        <v>8681.8334603400017</v>
      </c>
      <c r="E458" s="213"/>
    </row>
    <row r="459" spans="2:9">
      <c r="B459" s="212" t="s">
        <v>32</v>
      </c>
      <c r="C459" s="183">
        <f>C457+C458</f>
        <v>158790.484</v>
      </c>
      <c r="D459" s="178">
        <f>C459*$I$441</f>
        <v>9346.4078882400008</v>
      </c>
      <c r="E459" s="214"/>
    </row>
    <row r="460" spans="2:9">
      <c r="B460" s="215" t="s">
        <v>33</v>
      </c>
      <c r="C460" s="6">
        <f>Model!$AV$92</f>
        <v>34991.699999999997</v>
      </c>
      <c r="D460" s="178">
        <f>C460*$I$441</f>
        <v>2059.6114619999998</v>
      </c>
      <c r="E460" s="215"/>
    </row>
    <row r="461" spans="2:9">
      <c r="B461" s="218" t="s">
        <v>34</v>
      </c>
      <c r="C461" s="219">
        <f>C455-Model!$AV$116</f>
        <v>0</v>
      </c>
      <c r="D461" s="220"/>
      <c r="E461" s="221"/>
      <c r="H461" s="194" t="s">
        <v>78</v>
      </c>
      <c r="I461" s="182">
        <v>0.77</v>
      </c>
    </row>
    <row r="462" spans="2:9">
      <c r="H462" s="194" t="s">
        <v>26</v>
      </c>
      <c r="I462" s="182">
        <v>-0.08</v>
      </c>
    </row>
    <row r="463" spans="2:9">
      <c r="B463" s="212" t="s">
        <v>35</v>
      </c>
      <c r="C463" s="222">
        <f>C457+Model!$AV$155</f>
        <v>178806.66499999998</v>
      </c>
      <c r="E463" s="223"/>
      <c r="F463" s="184"/>
    </row>
    <row r="464" spans="2:9">
      <c r="B464" s="212" t="s">
        <v>36</v>
      </c>
      <c r="C464" s="214">
        <f>C463/C460</f>
        <v>5.1099736508943545</v>
      </c>
      <c r="E464" s="223"/>
      <c r="F464" s="213"/>
    </row>
    <row r="467" spans="2:9" ht="26">
      <c r="B467" s="224" t="s">
        <v>111</v>
      </c>
      <c r="C467" s="224" t="s">
        <v>87</v>
      </c>
      <c r="D467" s="224" t="s">
        <v>72</v>
      </c>
    </row>
    <row r="468" spans="2:9">
      <c r="B468" s="225"/>
      <c r="C468" s="185"/>
      <c r="D468" s="185"/>
      <c r="G468" s="184"/>
      <c r="H468" s="184"/>
      <c r="I468" s="184"/>
    </row>
    <row r="469" spans="2:9">
      <c r="B469" s="225" t="s">
        <v>16</v>
      </c>
      <c r="C469" s="185">
        <f>C456</f>
        <v>29807.166000000001</v>
      </c>
      <c r="D469" s="185">
        <f>C469*I441</f>
        <v>1754.44979076</v>
      </c>
      <c r="G469" s="213"/>
      <c r="H469" s="213"/>
      <c r="I469" s="213"/>
    </row>
    <row r="470" spans="2:9">
      <c r="B470" s="194" t="s">
        <v>38</v>
      </c>
      <c r="C470" s="185">
        <f>SUM(C468:C469)</f>
        <v>29807.166000000001</v>
      </c>
      <c r="D470" s="185">
        <f>SUM(D468:D469)</f>
        <v>1754.44979076</v>
      </c>
    </row>
    <row r="471" spans="2:9">
      <c r="C471" s="185"/>
      <c r="D471" s="185"/>
    </row>
    <row r="472" spans="2:9" ht="26">
      <c r="B472" s="195" t="s">
        <v>112</v>
      </c>
      <c r="C472" s="224" t="s">
        <v>87</v>
      </c>
      <c r="D472" s="224" t="s">
        <v>72</v>
      </c>
    </row>
    <row r="473" spans="2:9">
      <c r="B473" s="226" t="s">
        <v>40</v>
      </c>
      <c r="C473" s="186">
        <v>0</v>
      </c>
      <c r="D473" s="229">
        <f>C473*$I$441</f>
        <v>0</v>
      </c>
    </row>
    <row r="474" spans="2:9">
      <c r="B474" s="226" t="s">
        <v>41</v>
      </c>
      <c r="C474" s="186">
        <v>5068.05</v>
      </c>
      <c r="D474" s="229">
        <f>C474*$I$441</f>
        <v>298.30542300000002</v>
      </c>
    </row>
    <row r="475" spans="2:9">
      <c r="B475" s="226" t="s">
        <v>42</v>
      </c>
      <c r="C475" s="186">
        <v>0</v>
      </c>
      <c r="D475" s="229">
        <f>C475*$I$441</f>
        <v>0</v>
      </c>
    </row>
    <row r="476" spans="2:9">
      <c r="B476" s="226" t="s">
        <v>43</v>
      </c>
      <c r="C476" s="186">
        <f>3500+8406.594</f>
        <v>11906.593999999999</v>
      </c>
      <c r="D476" s="229">
        <f>C476*$I$441</f>
        <v>700.82212284000002</v>
      </c>
    </row>
    <row r="477" spans="2:9">
      <c r="B477" s="226" t="s">
        <v>44</v>
      </c>
      <c r="C477" s="180">
        <v>10000</v>
      </c>
      <c r="D477" s="229">
        <f>C477*$I$441</f>
        <v>588.6</v>
      </c>
    </row>
    <row r="478" spans="2:9">
      <c r="B478" s="226"/>
      <c r="C478" s="228"/>
      <c r="D478" s="229"/>
    </row>
    <row r="479" spans="2:9">
      <c r="B479" s="195" t="s">
        <v>45</v>
      </c>
      <c r="C479" s="230">
        <f>SUM(C473:C478)</f>
        <v>26974.644</v>
      </c>
      <c r="D479" s="230">
        <f>SUM(D473:D478)</f>
        <v>1587.7275458399999</v>
      </c>
    </row>
    <row r="480" spans="2:9">
      <c r="B480" s="218" t="s">
        <v>34</v>
      </c>
      <c r="C480" s="220">
        <f>C479+C447-C455</f>
        <v>0</v>
      </c>
      <c r="D480" s="220">
        <f>D479+D447-D455</f>
        <v>0</v>
      </c>
    </row>
    <row r="481" spans="1:9">
      <c r="A481" s="195" t="s">
        <v>113</v>
      </c>
      <c r="B481" s="218"/>
      <c r="C481" s="220"/>
      <c r="D481" s="220"/>
    </row>
    <row r="482" spans="1:9">
      <c r="B482" s="218"/>
      <c r="C482" s="220"/>
      <c r="D482" s="220"/>
    </row>
    <row r="483" spans="1:9">
      <c r="H483" s="195" t="s">
        <v>114</v>
      </c>
      <c r="I483" s="257">
        <f>Model!$AU$244</f>
        <v>5.7340000000000002E-2</v>
      </c>
    </row>
    <row r="484" spans="1:9">
      <c r="H484" s="197" t="s">
        <v>115</v>
      </c>
      <c r="I484" s="257">
        <f>AVERAGE(Model!$AR$243:AU243)</f>
        <v>5.5008749999999995E-2</v>
      </c>
    </row>
    <row r="485" spans="1:9">
      <c r="H485" s="197"/>
      <c r="I485" s="196"/>
    </row>
    <row r="486" spans="1:9">
      <c r="H486" s="198"/>
      <c r="I486" s="198"/>
    </row>
    <row r="487" spans="1:9">
      <c r="H487" s="203" t="s">
        <v>69</v>
      </c>
      <c r="I487" s="204"/>
    </row>
    <row r="488" spans="1:9">
      <c r="B488" s="199" t="s">
        <v>116</v>
      </c>
      <c r="C488" s="200" t="s">
        <v>67</v>
      </c>
      <c r="D488" s="200" t="s">
        <v>68</v>
      </c>
      <c r="E488" s="201" t="s">
        <v>60</v>
      </c>
      <c r="F488" s="201" t="s">
        <v>7</v>
      </c>
      <c r="H488" s="203"/>
      <c r="I488" s="204"/>
    </row>
    <row r="489" spans="1:9">
      <c r="B489" s="202" t="s">
        <v>9</v>
      </c>
      <c r="C489" s="178">
        <f>Model!$AU$119+Model!$AU$120</f>
        <v>13661.783000000001</v>
      </c>
      <c r="D489" s="178">
        <f>Capitalisation!$C$489*$I$483</f>
        <v>783.36663722000014</v>
      </c>
      <c r="E489" s="201"/>
      <c r="F489" s="201"/>
    </row>
    <row r="490" spans="1:9">
      <c r="B490" s="205" t="s">
        <v>11</v>
      </c>
      <c r="C490" s="179"/>
      <c r="D490" s="178"/>
      <c r="E490" s="206"/>
      <c r="F490" s="206"/>
      <c r="H490" s="194" t="s">
        <v>10</v>
      </c>
      <c r="I490" s="180">
        <v>27553.7</v>
      </c>
    </row>
    <row r="491" spans="1:9">
      <c r="B491" s="202" t="s">
        <v>13</v>
      </c>
      <c r="C491" s="178">
        <f>Model!$AU$128</f>
        <v>5285.85</v>
      </c>
      <c r="D491" s="178">
        <f>Capitalisation!$C$491*$I$483</f>
        <v>303.09063900000001</v>
      </c>
      <c r="E491" s="206"/>
      <c r="F491" s="207"/>
      <c r="H491" s="194" t="s">
        <v>12</v>
      </c>
      <c r="I491" s="180">
        <v>-463.4</v>
      </c>
    </row>
    <row r="492" spans="1:9">
      <c r="B492" s="202" t="s">
        <v>15</v>
      </c>
      <c r="C492" s="178">
        <f>Model!$AU$129</f>
        <v>8767.8680000000004</v>
      </c>
      <c r="D492" s="178">
        <f>Capitalisation!$C$492*$I$483</f>
        <v>502.74955112000004</v>
      </c>
      <c r="E492" s="206"/>
      <c r="F492" s="206"/>
      <c r="H492" s="195" t="s">
        <v>14</v>
      </c>
      <c r="I492" s="208">
        <f>SUM(I490:I491)</f>
        <v>27090.3</v>
      </c>
    </row>
    <row r="493" spans="1:9">
      <c r="B493" s="205" t="s">
        <v>17</v>
      </c>
      <c r="C493" s="178"/>
      <c r="D493" s="178"/>
      <c r="E493" s="206"/>
      <c r="F493" s="206"/>
      <c r="H493" s="194" t="s">
        <v>16</v>
      </c>
      <c r="I493" s="209">
        <f>C498</f>
        <v>14884.527</v>
      </c>
    </row>
    <row r="494" spans="1:9">
      <c r="B494" s="202" t="s">
        <v>19</v>
      </c>
      <c r="C494" s="178">
        <f>Model!$AU$130</f>
        <v>3500</v>
      </c>
      <c r="D494" s="178">
        <f>Capitalisation!$C$494*$I$483</f>
        <v>200.69</v>
      </c>
      <c r="E494" s="206"/>
      <c r="F494" s="207"/>
      <c r="H494" s="195" t="s">
        <v>18</v>
      </c>
      <c r="I494" s="208">
        <f>I492-I493</f>
        <v>12205.772999999999</v>
      </c>
    </row>
    <row r="495" spans="1:9">
      <c r="B495" s="202" t="s">
        <v>21</v>
      </c>
      <c r="C495" s="178">
        <f>Model!$AU$131</f>
        <v>5000</v>
      </c>
      <c r="D495" s="178">
        <f>Capitalisation!$C$495*$I$483</f>
        <v>286.7</v>
      </c>
      <c r="E495" s="206"/>
      <c r="F495" s="207"/>
      <c r="H495" s="211" t="s">
        <v>20</v>
      </c>
      <c r="I495" s="204">
        <f>I492/C502</f>
        <v>0.82938037491619032</v>
      </c>
    </row>
    <row r="496" spans="1:9">
      <c r="B496" s="202" t="s">
        <v>23</v>
      </c>
      <c r="C496" s="178">
        <f>Model!$AU$132</f>
        <v>5000</v>
      </c>
      <c r="D496" s="178">
        <f>Capitalisation!$C$496*$I$483</f>
        <v>286.7</v>
      </c>
      <c r="E496" s="206"/>
      <c r="F496" s="207"/>
      <c r="H496" s="211" t="s">
        <v>22</v>
      </c>
      <c r="I496" s="204">
        <f>I494/C502</f>
        <v>0.37368462463988633</v>
      </c>
    </row>
    <row r="497" spans="2:9">
      <c r="B497" s="212" t="s">
        <v>28</v>
      </c>
      <c r="C497" s="183">
        <f>SUM(C489:C496)</f>
        <v>41215.501000000004</v>
      </c>
      <c r="D497" s="183">
        <f>SUM(D489:D496)</f>
        <v>2363.2968273399997</v>
      </c>
      <c r="E497" s="213">
        <f>C497/C502</f>
        <v>1.2618290558516747</v>
      </c>
      <c r="F497" s="214">
        <f>D497/D502</f>
        <v>1.3153048935403007</v>
      </c>
    </row>
    <row r="498" spans="2:9">
      <c r="B498" s="215" t="s">
        <v>29</v>
      </c>
      <c r="C498" s="216">
        <f>Model!$AU$144</f>
        <v>14884.527</v>
      </c>
      <c r="D498" s="178">
        <f>Capitalisation!$C$498*$I$483</f>
        <v>853.47877818000006</v>
      </c>
      <c r="E498" s="217"/>
      <c r="F498" s="211"/>
    </row>
    <row r="499" spans="2:9">
      <c r="B499" s="212" t="s">
        <v>30</v>
      </c>
      <c r="C499" s="183">
        <f>C497-C498</f>
        <v>26330.974000000002</v>
      </c>
      <c r="D499" s="183">
        <f>D497-D498</f>
        <v>1509.8180491599996</v>
      </c>
      <c r="E499" s="213">
        <f>C499/C502</f>
        <v>0.80613330557537055</v>
      </c>
      <c r="F499" s="214">
        <f>D499/D502</f>
        <v>0.84029692988282301</v>
      </c>
    </row>
    <row r="500" spans="2:9">
      <c r="B500" s="212" t="s">
        <v>31</v>
      </c>
      <c r="C500" s="183">
        <f>Model!$AU$156</f>
        <v>138175.44699999999</v>
      </c>
      <c r="D500" s="178">
        <f>Capitalisation!$C$500*$I$483</f>
        <v>7922.9801309799996</v>
      </c>
      <c r="E500" s="213"/>
    </row>
    <row r="501" spans="2:9">
      <c r="B501" s="212" t="s">
        <v>32</v>
      </c>
      <c r="C501" s="183">
        <f>C499+C500</f>
        <v>164506.42099999997</v>
      </c>
      <c r="D501" s="178">
        <f>Capitalisation!$C$501*$I$483</f>
        <v>9432.7981801399983</v>
      </c>
      <c r="E501" s="214"/>
    </row>
    <row r="502" spans="2:9">
      <c r="B502" s="215" t="s">
        <v>33</v>
      </c>
      <c r="C502" s="6">
        <f>Model!$AU$92</f>
        <v>32663.3</v>
      </c>
      <c r="D502" s="178">
        <f>Capitalisation!$C$502*$I$484</f>
        <v>1796.7673038749997</v>
      </c>
      <c r="E502" s="215"/>
    </row>
    <row r="503" spans="2:9">
      <c r="B503" s="218" t="s">
        <v>34</v>
      </c>
      <c r="C503" s="219">
        <f>C497-Model!$AU$116</f>
        <v>0</v>
      </c>
      <c r="D503" s="220"/>
      <c r="E503" s="221"/>
      <c r="H503" s="194" t="s">
        <v>78</v>
      </c>
      <c r="I503" s="182">
        <v>0.83</v>
      </c>
    </row>
    <row r="504" spans="2:9">
      <c r="H504" s="194" t="s">
        <v>26</v>
      </c>
      <c r="I504" s="182">
        <v>0.37</v>
      </c>
    </row>
    <row r="505" spans="2:9">
      <c r="B505" s="212" t="s">
        <v>35</v>
      </c>
      <c r="C505" s="222">
        <f>C499+Model!$AU$155</f>
        <v>160912.97399999999</v>
      </c>
      <c r="E505" s="223"/>
      <c r="F505" s="184"/>
    </row>
    <row r="506" spans="2:9">
      <c r="B506" s="212" t="s">
        <v>36</v>
      </c>
      <c r="C506" s="214">
        <f>C505/C502</f>
        <v>4.9264150897184296</v>
      </c>
      <c r="E506" s="223"/>
      <c r="F506" s="213"/>
    </row>
    <row r="509" spans="2:9" ht="26">
      <c r="B509" s="224" t="s">
        <v>117</v>
      </c>
      <c r="C509" s="224" t="s">
        <v>87</v>
      </c>
      <c r="D509" s="224" t="s">
        <v>72</v>
      </c>
    </row>
    <row r="510" spans="2:9">
      <c r="B510" s="225"/>
      <c r="C510" s="185"/>
      <c r="D510" s="185"/>
      <c r="G510" s="184"/>
      <c r="H510" s="184"/>
      <c r="I510" s="184"/>
    </row>
    <row r="511" spans="2:9">
      <c r="B511" s="225" t="s">
        <v>16</v>
      </c>
      <c r="C511" s="185">
        <f>C498</f>
        <v>14884.527</v>
      </c>
      <c r="D511" s="185">
        <f>C511*I483</f>
        <v>853.47877818000006</v>
      </c>
      <c r="G511" s="213"/>
      <c r="H511" s="213"/>
      <c r="I511" s="213"/>
    </row>
    <row r="512" spans="2:9">
      <c r="B512" s="194" t="s">
        <v>38</v>
      </c>
      <c r="C512" s="185">
        <f>SUM(C510:C511)</f>
        <v>14884.527</v>
      </c>
      <c r="D512" s="185">
        <f>SUM(D510:D511)</f>
        <v>853.47877818000006</v>
      </c>
    </row>
    <row r="513" spans="1:9">
      <c r="C513" s="185"/>
      <c r="D513" s="185"/>
    </row>
    <row r="514" spans="1:9" ht="26">
      <c r="B514" s="195" t="s">
        <v>118</v>
      </c>
      <c r="C514" s="224" t="s">
        <v>87</v>
      </c>
      <c r="D514" s="224" t="s">
        <v>72</v>
      </c>
    </row>
    <row r="515" spans="1:9">
      <c r="B515" s="226" t="s">
        <v>40</v>
      </c>
      <c r="C515" s="186">
        <v>0</v>
      </c>
      <c r="D515" s="229">
        <f>C515*$I$483</f>
        <v>0</v>
      </c>
    </row>
    <row r="516" spans="1:9">
      <c r="B516" s="226" t="s">
        <v>41</v>
      </c>
      <c r="C516" s="186">
        <v>5285.85</v>
      </c>
      <c r="D516" s="229">
        <f>C516*$I$483</f>
        <v>303.09063900000001</v>
      </c>
    </row>
    <row r="517" spans="1:9">
      <c r="B517" s="226" t="s">
        <v>42</v>
      </c>
      <c r="C517" s="186">
        <v>0</v>
      </c>
      <c r="D517" s="229">
        <f>C517*$I$483</f>
        <v>0</v>
      </c>
    </row>
    <row r="518" spans="1:9">
      <c r="B518" s="226" t="s">
        <v>43</v>
      </c>
      <c r="C518" s="186">
        <f>3500+8767.868</f>
        <v>12267.868</v>
      </c>
      <c r="D518" s="229">
        <f>C518*$I$483</f>
        <v>703.43955112000003</v>
      </c>
    </row>
    <row r="519" spans="1:9">
      <c r="B519" s="226" t="s">
        <v>44</v>
      </c>
      <c r="C519" s="180">
        <v>10000</v>
      </c>
      <c r="D519" s="229">
        <f>C519*$I$483</f>
        <v>573.4</v>
      </c>
    </row>
    <row r="520" spans="1:9">
      <c r="B520" s="226"/>
      <c r="C520" s="228"/>
      <c r="D520" s="229"/>
    </row>
    <row r="521" spans="1:9">
      <c r="B521" s="195" t="s">
        <v>45</v>
      </c>
      <c r="C521" s="230">
        <f>SUM(C515:C520)</f>
        <v>27553.718000000001</v>
      </c>
      <c r="D521" s="230">
        <f>SUM(D515:D520)</f>
        <v>1579.9301901200001</v>
      </c>
    </row>
    <row r="522" spans="1:9">
      <c r="B522" s="218" t="s">
        <v>34</v>
      </c>
      <c r="C522" s="220">
        <f>C521+C489-C497</f>
        <v>0</v>
      </c>
      <c r="D522" s="220">
        <f>D521+D489-D497</f>
        <v>0</v>
      </c>
    </row>
    <row r="523" spans="1:9">
      <c r="B523" s="218"/>
      <c r="C523" s="220"/>
      <c r="D523" s="220"/>
    </row>
    <row r="524" spans="1:9">
      <c r="A524" s="195" t="s">
        <v>119</v>
      </c>
      <c r="B524" s="218"/>
      <c r="C524" s="220"/>
      <c r="D524" s="220"/>
    </row>
    <row r="526" spans="1:9">
      <c r="H526" s="195" t="s">
        <v>120</v>
      </c>
      <c r="I526" s="257">
        <f>Model!AT244</f>
        <v>5.9130000000000002E-2</v>
      </c>
    </row>
    <row r="527" spans="1:9">
      <c r="H527" s="197" t="s">
        <v>121</v>
      </c>
      <c r="I527" s="257">
        <f>AVERAGE(Model!AQ243:AT243)</f>
        <v>5.2718750000000002E-2</v>
      </c>
    </row>
    <row r="528" spans="1:9">
      <c r="H528" s="197"/>
      <c r="I528" s="196"/>
    </row>
    <row r="529" spans="2:9">
      <c r="H529" s="198"/>
      <c r="I529" s="198"/>
    </row>
    <row r="530" spans="2:9">
      <c r="H530" s="203" t="s">
        <v>69</v>
      </c>
      <c r="I530" s="204"/>
    </row>
    <row r="531" spans="2:9">
      <c r="B531" s="199" t="s">
        <v>122</v>
      </c>
      <c r="C531" s="200" t="s">
        <v>67</v>
      </c>
      <c r="D531" s="200" t="s">
        <v>68</v>
      </c>
      <c r="E531" s="201" t="s">
        <v>60</v>
      </c>
      <c r="F531" s="201" t="s">
        <v>7</v>
      </c>
      <c r="H531" s="203"/>
      <c r="I531" s="204"/>
    </row>
    <row r="532" spans="2:9">
      <c r="B532" s="202" t="s">
        <v>9</v>
      </c>
      <c r="C532" s="178">
        <f>Model!AT119+Model!AT120</f>
        <v>13777.419</v>
      </c>
      <c r="D532" s="178">
        <f>Capitalisation!C532*$I$526</f>
        <v>814.65878547</v>
      </c>
      <c r="E532" s="201"/>
      <c r="F532" s="201"/>
    </row>
    <row r="533" spans="2:9">
      <c r="B533" s="205" t="s">
        <v>11</v>
      </c>
      <c r="C533" s="179"/>
      <c r="D533" s="178"/>
      <c r="E533" s="206"/>
      <c r="F533" s="206"/>
      <c r="H533" s="194" t="s">
        <v>10</v>
      </c>
      <c r="I533" s="180">
        <v>27167.907999999999</v>
      </c>
    </row>
    <row r="534" spans="2:9">
      <c r="B534" s="202" t="s">
        <v>13</v>
      </c>
      <c r="C534" s="178">
        <f>Model!AT128</f>
        <v>5140.74</v>
      </c>
      <c r="D534" s="178">
        <f>Capitalisation!C534*$I$526</f>
        <v>303.97195620000002</v>
      </c>
      <c r="E534" s="206"/>
      <c r="F534" s="207"/>
      <c r="H534" s="194" t="s">
        <v>12</v>
      </c>
      <c r="I534" s="180">
        <v>-77.599999999999994</v>
      </c>
    </row>
    <row r="535" spans="2:9">
      <c r="B535" s="202" t="s">
        <v>15</v>
      </c>
      <c r="C535" s="178">
        <f>Model!AT129</f>
        <v>8527.1679999999997</v>
      </c>
      <c r="D535" s="178">
        <f>Capitalisation!C535*$I$526</f>
        <v>504.21144384000002</v>
      </c>
      <c r="E535" s="206"/>
      <c r="F535" s="206"/>
      <c r="H535" s="195" t="s">
        <v>14</v>
      </c>
      <c r="I535" s="208">
        <f>SUM(I533:I534)</f>
        <v>27090.308000000001</v>
      </c>
    </row>
    <row r="536" spans="2:9">
      <c r="B536" s="205" t="s">
        <v>17</v>
      </c>
      <c r="C536" s="178"/>
      <c r="D536" s="178"/>
      <c r="E536" s="206"/>
      <c r="F536" s="206"/>
      <c r="H536" s="194" t="s">
        <v>16</v>
      </c>
      <c r="I536" s="209">
        <f>C541</f>
        <v>15801.237999999999</v>
      </c>
    </row>
    <row r="537" spans="2:9">
      <c r="B537" s="202" t="s">
        <v>19</v>
      </c>
      <c r="C537" s="178">
        <f>Model!AT130</f>
        <v>3500</v>
      </c>
      <c r="D537" s="178">
        <f>Capitalisation!C537*$I$526</f>
        <v>206.95500000000001</v>
      </c>
      <c r="E537" s="206"/>
      <c r="F537" s="207"/>
      <c r="H537" s="195" t="s">
        <v>18</v>
      </c>
      <c r="I537" s="208">
        <f>I535-I536</f>
        <v>11289.070000000002</v>
      </c>
    </row>
    <row r="538" spans="2:9">
      <c r="B538" s="202" t="s">
        <v>21</v>
      </c>
      <c r="C538" s="178">
        <f>Model!AT131</f>
        <v>5000</v>
      </c>
      <c r="D538" s="178">
        <f>Capitalisation!C538*$I$526</f>
        <v>295.65000000000003</v>
      </c>
      <c r="E538" s="206"/>
      <c r="F538" s="207"/>
      <c r="H538" s="211" t="s">
        <v>20</v>
      </c>
      <c r="I538" s="204">
        <f>I535/C545</f>
        <v>0.85012404954450327</v>
      </c>
    </row>
    <row r="539" spans="2:9">
      <c r="B539" s="202" t="s">
        <v>23</v>
      </c>
      <c r="C539" s="178">
        <f>Model!AT132</f>
        <v>5000</v>
      </c>
      <c r="D539" s="178">
        <f>Capitalisation!C539*$I$526</f>
        <v>295.65000000000003</v>
      </c>
      <c r="E539" s="206"/>
      <c r="F539" s="207"/>
      <c r="H539" s="211" t="s">
        <v>22</v>
      </c>
      <c r="I539" s="204">
        <f>I537/C545</f>
        <v>0.35426359508320709</v>
      </c>
    </row>
    <row r="540" spans="2:9">
      <c r="B540" s="212" t="s">
        <v>28</v>
      </c>
      <c r="C540" s="183">
        <f>SUM(C532:C539)</f>
        <v>40945.326999999997</v>
      </c>
      <c r="D540" s="183">
        <f>SUM(D532:D539)</f>
        <v>2421.0971855100001</v>
      </c>
      <c r="E540" s="213">
        <f>C540/C545</f>
        <v>1.2849099832738662</v>
      </c>
      <c r="F540" s="214">
        <f>D540/D545</f>
        <v>1.4411708796392881</v>
      </c>
    </row>
    <row r="541" spans="2:9">
      <c r="B541" s="215" t="s">
        <v>29</v>
      </c>
      <c r="C541" s="216">
        <f>Model!AT144</f>
        <v>15801.237999999999</v>
      </c>
      <c r="D541" s="178">
        <f>Capitalisation!C541*$I$526</f>
        <v>934.32720294000001</v>
      </c>
      <c r="E541" s="217"/>
      <c r="F541" s="211"/>
    </row>
    <row r="542" spans="2:9">
      <c r="B542" s="212" t="s">
        <v>30</v>
      </c>
      <c r="C542" s="183">
        <f>C540-C541</f>
        <v>25144.089</v>
      </c>
      <c r="D542" s="183">
        <f>D540-D541</f>
        <v>1486.7699825700001</v>
      </c>
      <c r="E542" s="213">
        <f>C542/C545</f>
        <v>0.78904952881257018</v>
      </c>
      <c r="F542" s="214">
        <f>D542/D545</f>
        <v>0.88500768016478526</v>
      </c>
    </row>
    <row r="543" spans="2:9">
      <c r="B543" s="212" t="s">
        <v>31</v>
      </c>
      <c r="C543" s="183">
        <f>Model!AT156</f>
        <v>135620.00399999999</v>
      </c>
      <c r="D543" s="178">
        <f>Capitalisation!C543*$I$526</f>
        <v>8019.2108365199992</v>
      </c>
      <c r="E543" s="213"/>
    </row>
    <row r="544" spans="2:9">
      <c r="B544" s="212" t="s">
        <v>32</v>
      </c>
      <c r="C544" s="183">
        <f>C542+C543</f>
        <v>160764.09299999999</v>
      </c>
      <c r="D544" s="178">
        <f>Capitalisation!C544*$I$526</f>
        <v>9505.9808190900003</v>
      </c>
      <c r="E544" s="214"/>
    </row>
    <row r="545" spans="2:9">
      <c r="B545" s="215" t="s">
        <v>33</v>
      </c>
      <c r="C545" s="6">
        <f>Model!AT92</f>
        <v>31866.299999999996</v>
      </c>
      <c r="D545" s="178">
        <f>Capitalisation!C545*$I$527</f>
        <v>1679.9515031249998</v>
      </c>
      <c r="E545" s="215"/>
    </row>
    <row r="546" spans="2:9">
      <c r="B546" s="218" t="s">
        <v>34</v>
      </c>
      <c r="C546" s="219">
        <f>C540-Model!AT116</f>
        <v>0</v>
      </c>
      <c r="D546" s="220"/>
      <c r="E546" s="221"/>
      <c r="H546" s="194" t="s">
        <v>78</v>
      </c>
      <c r="I546" s="182">
        <v>0.85</v>
      </c>
    </row>
    <row r="547" spans="2:9">
      <c r="H547" s="194" t="s">
        <v>26</v>
      </c>
      <c r="I547" s="182">
        <v>0.35</v>
      </c>
    </row>
    <row r="548" spans="2:9">
      <c r="B548" s="212" t="s">
        <v>35</v>
      </c>
      <c r="C548" s="222">
        <f>C542+Model!AT155</f>
        <v>175464.08900000001</v>
      </c>
      <c r="E548" s="223"/>
      <c r="F548" s="184"/>
    </row>
    <row r="549" spans="2:9">
      <c r="B549" s="212" t="s">
        <v>36</v>
      </c>
      <c r="C549" s="214">
        <f>C548/C545</f>
        <v>5.5062586180384931</v>
      </c>
      <c r="E549" s="223"/>
      <c r="F549" s="213"/>
    </row>
    <row r="552" spans="2:9" ht="26">
      <c r="B552" s="224" t="s">
        <v>123</v>
      </c>
      <c r="C552" s="224" t="s">
        <v>87</v>
      </c>
      <c r="D552" s="224" t="s">
        <v>72</v>
      </c>
    </row>
    <row r="553" spans="2:9">
      <c r="B553" s="225"/>
      <c r="C553" s="185"/>
      <c r="D553" s="185"/>
      <c r="G553" s="184"/>
      <c r="H553" s="184"/>
      <c r="I553" s="184"/>
    </row>
    <row r="554" spans="2:9">
      <c r="B554" s="225" t="s">
        <v>16</v>
      </c>
      <c r="C554" s="185">
        <f>C541</f>
        <v>15801.237999999999</v>
      </c>
      <c r="D554" s="185">
        <f>C554*I526</f>
        <v>934.32720294000001</v>
      </c>
      <c r="G554" s="213"/>
      <c r="H554" s="213"/>
      <c r="I554" s="213"/>
    </row>
    <row r="555" spans="2:9">
      <c r="B555" s="194" t="s">
        <v>38</v>
      </c>
      <c r="C555" s="185">
        <f>SUM(C553:C554)</f>
        <v>15801.237999999999</v>
      </c>
      <c r="D555" s="185">
        <f>SUM(D553:D554)</f>
        <v>934.32720294000001</v>
      </c>
    </row>
    <row r="556" spans="2:9">
      <c r="C556" s="185"/>
      <c r="D556" s="185"/>
    </row>
    <row r="557" spans="2:9" ht="26">
      <c r="B557" s="195" t="s">
        <v>124</v>
      </c>
      <c r="C557" s="224" t="s">
        <v>87</v>
      </c>
      <c r="D557" s="224" t="s">
        <v>72</v>
      </c>
    </row>
    <row r="558" spans="2:9">
      <c r="B558" s="226" t="s">
        <v>40</v>
      </c>
      <c r="C558" s="186">
        <v>0</v>
      </c>
      <c r="D558" s="229">
        <f>C558*$I$526</f>
        <v>0</v>
      </c>
    </row>
    <row r="559" spans="2:9">
      <c r="B559" s="226" t="s">
        <v>41</v>
      </c>
      <c r="C559" s="186">
        <v>5140.74</v>
      </c>
      <c r="D559" s="229">
        <f t="shared" ref="D559:D562" si="6">C559*$I$526</f>
        <v>303.97195620000002</v>
      </c>
    </row>
    <row r="560" spans="2:9">
      <c r="B560" s="226" t="s">
        <v>42</v>
      </c>
      <c r="C560" s="186">
        <v>0</v>
      </c>
      <c r="D560" s="229">
        <f t="shared" si="6"/>
        <v>0</v>
      </c>
    </row>
    <row r="561" spans="1:9">
      <c r="B561" s="226" t="s">
        <v>43</v>
      </c>
      <c r="C561" s="186">
        <v>8527.1679999999997</v>
      </c>
      <c r="D561" s="229">
        <f t="shared" si="6"/>
        <v>504.21144384000002</v>
      </c>
    </row>
    <row r="562" spans="1:9">
      <c r="B562" s="226" t="s">
        <v>44</v>
      </c>
      <c r="C562" s="180">
        <f>13500</f>
        <v>13500</v>
      </c>
      <c r="D562" s="229">
        <f t="shared" si="6"/>
        <v>798.255</v>
      </c>
    </row>
    <row r="563" spans="1:9">
      <c r="B563" s="226"/>
      <c r="C563" s="228"/>
      <c r="D563" s="229"/>
    </row>
    <row r="564" spans="1:9">
      <c r="B564" s="195" t="s">
        <v>45</v>
      </c>
      <c r="C564" s="230">
        <f>SUM(C558:C563)</f>
        <v>27167.907999999999</v>
      </c>
      <c r="D564" s="230">
        <f>SUM(D558:D563)</f>
        <v>1606.43840004</v>
      </c>
    </row>
    <row r="565" spans="1:9">
      <c r="A565" s="195" t="s">
        <v>125</v>
      </c>
      <c r="B565" s="218" t="s">
        <v>34</v>
      </c>
      <c r="C565" s="220">
        <f>C564+C532-C540</f>
        <v>0</v>
      </c>
      <c r="D565" s="220">
        <f>D564+D532-D540</f>
        <v>0</v>
      </c>
    </row>
    <row r="567" spans="1:9">
      <c r="H567" s="195" t="s">
        <v>126</v>
      </c>
      <c r="I567" s="196">
        <f>Model!AS244</f>
        <v>5.5480000000000002E-2</v>
      </c>
    </row>
    <row r="568" spans="1:9">
      <c r="H568" s="197" t="s">
        <v>127</v>
      </c>
      <c r="I568" s="196">
        <f>AVERAGE(Model!AP243:AS243)</f>
        <v>5.0897625000000002E-2</v>
      </c>
    </row>
    <row r="569" spans="1:9">
      <c r="H569" s="197"/>
      <c r="I569" s="196"/>
    </row>
    <row r="570" spans="1:9">
      <c r="H570" s="198"/>
      <c r="I570" s="198"/>
    </row>
    <row r="571" spans="1:9">
      <c r="H571" s="203" t="s">
        <v>69</v>
      </c>
      <c r="I571" s="204"/>
    </row>
    <row r="572" spans="1:9">
      <c r="B572" s="199" t="s">
        <v>128</v>
      </c>
      <c r="C572" s="200" t="s">
        <v>67</v>
      </c>
      <c r="D572" s="200" t="s">
        <v>68</v>
      </c>
      <c r="E572" s="201" t="s">
        <v>60</v>
      </c>
      <c r="F572" s="201" t="s">
        <v>7</v>
      </c>
      <c r="H572" s="203"/>
      <c r="I572" s="204"/>
    </row>
    <row r="573" spans="1:9">
      <c r="B573" s="202" t="s">
        <v>9</v>
      </c>
      <c r="C573" s="178">
        <f>Model!AS119+Model!AS120</f>
        <v>13602.543000000001</v>
      </c>
      <c r="D573" s="178">
        <f>Capitalisation!C573*$I$567</f>
        <v>754.66908564000005</v>
      </c>
      <c r="E573" s="201"/>
      <c r="F573" s="201"/>
    </row>
    <row r="574" spans="1:9">
      <c r="B574" s="205" t="s">
        <v>11</v>
      </c>
      <c r="C574" s="179"/>
      <c r="D574" s="178"/>
      <c r="E574" s="206"/>
      <c r="F574" s="206"/>
      <c r="H574" s="194" t="s">
        <v>10</v>
      </c>
      <c r="I574" s="180">
        <v>27890.3</v>
      </c>
    </row>
    <row r="575" spans="1:9">
      <c r="B575" s="202" t="s">
        <v>13</v>
      </c>
      <c r="C575" s="178">
        <f>Model!AS128</f>
        <v>5412.45</v>
      </c>
      <c r="D575" s="178">
        <f>Capitalisation!C575*$I$567</f>
        <v>300.28272600000003</v>
      </c>
      <c r="E575" s="206"/>
      <c r="F575" s="207"/>
      <c r="H575" s="194" t="s">
        <v>12</v>
      </c>
      <c r="I575" s="180">
        <v>-800</v>
      </c>
    </row>
    <row r="576" spans="1:9">
      <c r="B576" s="202" t="s">
        <v>15</v>
      </c>
      <c r="C576" s="178">
        <f>Model!AS129</f>
        <v>8977.8649999999998</v>
      </c>
      <c r="D576" s="178">
        <f>Capitalisation!C576*$I$567</f>
        <v>498.09195019999999</v>
      </c>
      <c r="E576" s="206"/>
      <c r="F576" s="206"/>
      <c r="H576" s="195" t="s">
        <v>14</v>
      </c>
      <c r="I576" s="208">
        <f>SUM(I574:I575)</f>
        <v>27090.3</v>
      </c>
    </row>
    <row r="577" spans="2:9">
      <c r="B577" s="205" t="s">
        <v>17</v>
      </c>
      <c r="C577" s="178"/>
      <c r="D577" s="178"/>
      <c r="E577" s="206"/>
      <c r="F577" s="206"/>
      <c r="H577" s="194" t="s">
        <v>16</v>
      </c>
      <c r="I577" s="209">
        <f>C582</f>
        <v>18539.126</v>
      </c>
    </row>
    <row r="578" spans="2:9">
      <c r="B578" s="202" t="s">
        <v>19</v>
      </c>
      <c r="C578" s="178">
        <f>Model!AS130</f>
        <v>3500</v>
      </c>
      <c r="D578" s="178">
        <f>Capitalisation!C578*$I$567</f>
        <v>194.18</v>
      </c>
      <c r="E578" s="206"/>
      <c r="F578" s="207"/>
      <c r="H578" s="195" t="s">
        <v>18</v>
      </c>
      <c r="I578" s="208">
        <f>I576-I577</f>
        <v>8551.1739999999991</v>
      </c>
    </row>
    <row r="579" spans="2:9">
      <c r="B579" s="202" t="s">
        <v>21</v>
      </c>
      <c r="C579" s="178">
        <f>Model!AS131</f>
        <v>5000</v>
      </c>
      <c r="D579" s="178">
        <f>Capitalisation!C579*$I$567</f>
        <v>277.40000000000003</v>
      </c>
      <c r="E579" s="206"/>
      <c r="F579" s="207"/>
      <c r="H579" s="211" t="s">
        <v>20</v>
      </c>
      <c r="I579" s="204">
        <f>I576/C586</f>
        <v>0.87537725789252596</v>
      </c>
    </row>
    <row r="580" spans="2:9">
      <c r="B580" s="202" t="s">
        <v>23</v>
      </c>
      <c r="C580" s="178">
        <f>Model!AS132</f>
        <v>5000</v>
      </c>
      <c r="D580" s="178">
        <f>Capitalisation!C580*$I$567</f>
        <v>277.40000000000003</v>
      </c>
      <c r="E580" s="206"/>
      <c r="F580" s="207"/>
      <c r="H580" s="211" t="s">
        <v>22</v>
      </c>
      <c r="I580" s="204">
        <f>I578/C586</f>
        <v>0.2763167350631725</v>
      </c>
    </row>
    <row r="581" spans="2:9">
      <c r="B581" s="212" t="s">
        <v>28</v>
      </c>
      <c r="C581" s="183">
        <f>SUM(C573:C580)</f>
        <v>41492.858</v>
      </c>
      <c r="D581" s="183">
        <f>SUM(D573:D580)</f>
        <v>2302.0237618400001</v>
      </c>
      <c r="E581" s="213">
        <f>C581/C586</f>
        <v>1.3407715772126538</v>
      </c>
      <c r="F581" s="214">
        <f>D581/D586</f>
        <v>1.4614828708364691</v>
      </c>
    </row>
    <row r="582" spans="2:9">
      <c r="B582" s="215" t="s">
        <v>29</v>
      </c>
      <c r="C582" s="216">
        <f>Model!AS144</f>
        <v>18539.126</v>
      </c>
      <c r="D582" s="178">
        <f>Capitalisation!C582*$I$567</f>
        <v>1028.5507104800001</v>
      </c>
      <c r="E582" s="217"/>
      <c r="F582" s="211"/>
    </row>
    <row r="583" spans="2:9">
      <c r="B583" s="212" t="s">
        <v>30</v>
      </c>
      <c r="C583" s="183">
        <f>C581-C582</f>
        <v>22953.732</v>
      </c>
      <c r="D583" s="183">
        <f>D581-D582</f>
        <v>1273.47305136</v>
      </c>
      <c r="E583" s="213">
        <f>C583/C586</f>
        <v>0.74171105438330043</v>
      </c>
      <c r="F583" s="214">
        <f>D583/D586</f>
        <v>0.80848820150617062</v>
      </c>
    </row>
    <row r="584" spans="2:9">
      <c r="B584" s="212" t="s">
        <v>31</v>
      </c>
      <c r="C584" s="183">
        <f>Model!AS156</f>
        <v>130424.83</v>
      </c>
      <c r="D584" s="178">
        <f>Capitalisation!C584*$I$567</f>
        <v>7235.9695683999998</v>
      </c>
      <c r="E584" s="213"/>
    </row>
    <row r="585" spans="2:9">
      <c r="B585" s="212" t="s">
        <v>32</v>
      </c>
      <c r="C585" s="183">
        <f>C583+C584</f>
        <v>153378.56200000001</v>
      </c>
      <c r="D585" s="178">
        <f>Capitalisation!C585*$I$567</f>
        <v>8509.4426197600005</v>
      </c>
      <c r="E585" s="214"/>
    </row>
    <row r="586" spans="2:9">
      <c r="B586" s="215" t="s">
        <v>33</v>
      </c>
      <c r="C586" s="6">
        <f>Model!AS92</f>
        <v>30947</v>
      </c>
      <c r="D586" s="178">
        <f>Capitalisation!C586*$I$568</f>
        <v>1575.128800875</v>
      </c>
      <c r="E586" s="215"/>
    </row>
    <row r="587" spans="2:9">
      <c r="B587" s="218" t="s">
        <v>34</v>
      </c>
      <c r="C587" s="219">
        <f>C581-Model!AS116</f>
        <v>0</v>
      </c>
      <c r="D587" s="220"/>
      <c r="E587" s="221"/>
      <c r="H587" s="194" t="s">
        <v>78</v>
      </c>
      <c r="I587" s="182">
        <v>0.88</v>
      </c>
    </row>
    <row r="588" spans="2:9">
      <c r="H588" s="194" t="s">
        <v>26</v>
      </c>
      <c r="I588" s="182">
        <v>0.28000000000000003</v>
      </c>
    </row>
    <row r="589" spans="2:9">
      <c r="B589" s="212" t="s">
        <v>35</v>
      </c>
      <c r="C589" s="222">
        <f>C583+Model!AS155</f>
        <v>175513.73199999999</v>
      </c>
      <c r="E589" s="223"/>
      <c r="F589" s="184"/>
    </row>
    <row r="590" spans="2:9">
      <c r="B590" s="212" t="s">
        <v>36</v>
      </c>
      <c r="C590" s="214">
        <f>C589/C586</f>
        <v>5.6714296054544864</v>
      </c>
      <c r="E590" s="223"/>
      <c r="F590" s="213"/>
    </row>
    <row r="593" spans="1:9" ht="26">
      <c r="B593" s="244" t="s">
        <v>129</v>
      </c>
      <c r="C593" s="244" t="s">
        <v>87</v>
      </c>
      <c r="D593" s="244" t="s">
        <v>72</v>
      </c>
    </row>
    <row r="594" spans="1:9">
      <c r="B594" s="245"/>
      <c r="C594" s="246"/>
      <c r="D594" s="246"/>
      <c r="G594" s="184"/>
      <c r="H594" s="184"/>
      <c r="I594" s="184"/>
    </row>
    <row r="595" spans="1:9">
      <c r="B595" s="245" t="s">
        <v>16</v>
      </c>
      <c r="C595" s="246">
        <f>C582</f>
        <v>18539.126</v>
      </c>
      <c r="D595" s="246">
        <f>C595*I567</f>
        <v>1028.5507104800001</v>
      </c>
      <c r="G595" s="213"/>
      <c r="H595" s="213"/>
      <c r="I595" s="213"/>
    </row>
    <row r="596" spans="1:9">
      <c r="B596" s="247" t="s">
        <v>38</v>
      </c>
      <c r="C596" s="246">
        <f>SUM(C594:C595)</f>
        <v>18539.126</v>
      </c>
      <c r="D596" s="246">
        <f>SUM(D594:D595)</f>
        <v>1028.5507104800001</v>
      </c>
    </row>
    <row r="597" spans="1:9">
      <c r="C597" s="185"/>
      <c r="D597" s="185"/>
    </row>
    <row r="598" spans="1:9" ht="26">
      <c r="B598" s="248" t="s">
        <v>130</v>
      </c>
      <c r="C598" s="244" t="s">
        <v>87</v>
      </c>
      <c r="D598" s="244" t="s">
        <v>72</v>
      </c>
    </row>
    <row r="599" spans="1:9">
      <c r="B599" s="249" t="s">
        <v>40</v>
      </c>
      <c r="C599" s="250">
        <v>0</v>
      </c>
      <c r="D599" s="253">
        <f>C599*$I$567</f>
        <v>0</v>
      </c>
    </row>
    <row r="600" spans="1:9">
      <c r="B600" s="249" t="s">
        <v>41</v>
      </c>
      <c r="C600" s="250">
        <v>5412.45</v>
      </c>
      <c r="D600" s="253">
        <f>C600*$I$567</f>
        <v>300.28272600000003</v>
      </c>
    </row>
    <row r="601" spans="1:9">
      <c r="B601" s="249" t="s">
        <v>42</v>
      </c>
      <c r="C601" s="250">
        <v>0</v>
      </c>
      <c r="D601" s="253">
        <f>C601*$I$567</f>
        <v>0</v>
      </c>
    </row>
    <row r="602" spans="1:9">
      <c r="B602" s="249" t="s">
        <v>43</v>
      </c>
      <c r="C602" s="250">
        <v>8977.8649999999998</v>
      </c>
      <c r="D602" s="253">
        <f>C602*$I$567</f>
        <v>498.09195019999999</v>
      </c>
    </row>
    <row r="603" spans="1:9">
      <c r="B603" s="249" t="s">
        <v>44</v>
      </c>
      <c r="C603" s="251">
        <f>13500</f>
        <v>13500</v>
      </c>
      <c r="D603" s="253">
        <f>C603*$I$567</f>
        <v>748.98</v>
      </c>
    </row>
    <row r="604" spans="1:9">
      <c r="B604" s="249"/>
      <c r="C604" s="252"/>
      <c r="D604" s="253"/>
    </row>
    <row r="605" spans="1:9">
      <c r="B605" s="248" t="s">
        <v>45</v>
      </c>
      <c r="C605" s="254">
        <f>SUM(C599:C604)</f>
        <v>27890.314999999999</v>
      </c>
      <c r="D605" s="254">
        <f>SUM(D599:D604)</f>
        <v>1547.3546762000001</v>
      </c>
    </row>
    <row r="606" spans="1:9">
      <c r="B606" s="218" t="s">
        <v>34</v>
      </c>
      <c r="C606" s="220">
        <f>C605+C573-C581</f>
        <v>0</v>
      </c>
      <c r="D606" s="220">
        <f>D605+D573-D581</f>
        <v>0</v>
      </c>
    </row>
    <row r="607" spans="1:9">
      <c r="A607" s="195" t="s">
        <v>131</v>
      </c>
    </row>
    <row r="609" spans="2:9">
      <c r="H609" s="195" t="s">
        <v>132</v>
      </c>
      <c r="I609" s="196">
        <f>Model!AR244</f>
        <v>5.126E-2</v>
      </c>
    </row>
    <row r="610" spans="2:9">
      <c r="H610" s="197" t="s">
        <v>133</v>
      </c>
      <c r="I610" s="196">
        <f>AVERAGE(Model!AO243:AR243)</f>
        <v>4.9931453704199831E-2</v>
      </c>
    </row>
    <row r="611" spans="2:9">
      <c r="H611" s="197"/>
      <c r="I611" s="196"/>
    </row>
    <row r="612" spans="2:9">
      <c r="H612" s="198"/>
      <c r="I612" s="198"/>
    </row>
    <row r="613" spans="2:9">
      <c r="H613" s="203" t="s">
        <v>69</v>
      </c>
      <c r="I613" s="204"/>
    </row>
    <row r="614" spans="2:9">
      <c r="B614" s="199" t="s">
        <v>134</v>
      </c>
      <c r="C614" s="200" t="s">
        <v>67</v>
      </c>
      <c r="D614" s="200" t="s">
        <v>68</v>
      </c>
      <c r="E614" s="201" t="s">
        <v>60</v>
      </c>
      <c r="F614" s="201" t="s">
        <v>7</v>
      </c>
      <c r="H614" s="203"/>
      <c r="I614" s="204"/>
    </row>
    <row r="615" spans="2:9">
      <c r="B615" s="202" t="s">
        <v>9</v>
      </c>
      <c r="C615" s="178">
        <f>Model!AR119+Model!AR120</f>
        <v>13619.038</v>
      </c>
      <c r="D615" s="178">
        <f>Capitalisation!C615*$I$609</f>
        <v>698.11188788000004</v>
      </c>
      <c r="E615" s="201"/>
      <c r="F615" s="201"/>
    </row>
    <row r="616" spans="2:9">
      <c r="B616" s="205" t="s">
        <v>11</v>
      </c>
      <c r="C616" s="179"/>
      <c r="D616" s="178">
        <f>Capitalisation!C616*$I$609</f>
        <v>0</v>
      </c>
      <c r="E616" s="206"/>
      <c r="F616" s="206"/>
      <c r="H616" s="194" t="s">
        <v>10</v>
      </c>
      <c r="I616" s="180">
        <v>29030.9</v>
      </c>
    </row>
    <row r="617" spans="2:9">
      <c r="B617" s="202" t="s">
        <v>13</v>
      </c>
      <c r="C617" s="178">
        <f>Model!AR128</f>
        <v>5841.45</v>
      </c>
      <c r="D617" s="178">
        <f>Capitalisation!C617*$I$609</f>
        <v>299.432727</v>
      </c>
      <c r="E617" s="206"/>
      <c r="F617" s="207"/>
      <c r="H617" s="194" t="s">
        <v>12</v>
      </c>
      <c r="I617" s="180">
        <v>-1940.6</v>
      </c>
    </row>
    <row r="618" spans="2:9">
      <c r="B618" s="202" t="s">
        <v>15</v>
      </c>
      <c r="C618" s="178">
        <f>Model!AR129</f>
        <v>9689.4660000000003</v>
      </c>
      <c r="D618" s="178">
        <f>Capitalisation!C618*$I$609</f>
        <v>496.68202716000002</v>
      </c>
      <c r="E618" s="206"/>
      <c r="F618" s="206"/>
      <c r="H618" s="195" t="s">
        <v>14</v>
      </c>
      <c r="I618" s="208">
        <f>SUM(I616:I617)</f>
        <v>27090.300000000003</v>
      </c>
    </row>
    <row r="619" spans="2:9">
      <c r="B619" s="205" t="s">
        <v>17</v>
      </c>
      <c r="C619" s="178"/>
      <c r="D619" s="178">
        <f>Capitalisation!C619*$I$609</f>
        <v>0</v>
      </c>
      <c r="E619" s="206"/>
      <c r="F619" s="206"/>
      <c r="H619" s="194" t="s">
        <v>16</v>
      </c>
      <c r="I619" s="209">
        <f>C631</f>
        <v>24516.254000000001</v>
      </c>
    </row>
    <row r="620" spans="2:9">
      <c r="B620" s="202" t="s">
        <v>135</v>
      </c>
      <c r="C620" s="178">
        <f>Model!AR124</f>
        <v>0</v>
      </c>
      <c r="D620" s="178">
        <f>Capitalisation!C620*$I$609</f>
        <v>0</v>
      </c>
      <c r="E620" s="206"/>
      <c r="F620" s="207"/>
      <c r="H620" s="195" t="s">
        <v>18</v>
      </c>
      <c r="I620" s="208">
        <f>I618-I619</f>
        <v>2574.0460000000021</v>
      </c>
    </row>
    <row r="621" spans="2:9">
      <c r="B621" s="202" t="s">
        <v>136</v>
      </c>
      <c r="C621" s="178">
        <f>Model!AR125</f>
        <v>0</v>
      </c>
      <c r="D621" s="178">
        <f>Capitalisation!C621*$I$609</f>
        <v>0</v>
      </c>
      <c r="E621" s="206"/>
      <c r="F621" s="181"/>
      <c r="H621" s="211" t="s">
        <v>20</v>
      </c>
      <c r="I621" s="204">
        <f>I618/C635</f>
        <v>0.88279401701046056</v>
      </c>
    </row>
    <row r="622" spans="2:9">
      <c r="B622" s="202" t="s">
        <v>137</v>
      </c>
      <c r="C622" s="178">
        <f>Model!AR126</f>
        <v>0</v>
      </c>
      <c r="D622" s="178">
        <f>Capitalisation!C622*$I$609</f>
        <v>0</v>
      </c>
      <c r="E622" s="206"/>
      <c r="F622" s="206"/>
      <c r="H622" s="211" t="s">
        <v>22</v>
      </c>
      <c r="I622" s="204">
        <f>I620/C635</f>
        <v>8.3880666080099128E-2</v>
      </c>
    </row>
    <row r="623" spans="2:9">
      <c r="B623" s="202" t="s">
        <v>138</v>
      </c>
      <c r="C623" s="178">
        <f>Model!AR127</f>
        <v>0</v>
      </c>
      <c r="D623" s="178">
        <f>Capitalisation!C623*$I$609</f>
        <v>0</v>
      </c>
      <c r="E623" s="206"/>
      <c r="F623" s="210"/>
    </row>
    <row r="624" spans="2:9">
      <c r="B624" s="202" t="s">
        <v>19</v>
      </c>
      <c r="C624" s="178">
        <f>Model!AR130</f>
        <v>3500</v>
      </c>
      <c r="D624" s="178">
        <f>Capitalisation!C624*$I$609</f>
        <v>179.41</v>
      </c>
      <c r="E624" s="206"/>
      <c r="F624" s="207"/>
    </row>
    <row r="625" spans="1:11">
      <c r="B625" s="202" t="s">
        <v>21</v>
      </c>
      <c r="C625" s="178">
        <f>Model!AR131</f>
        <v>5000</v>
      </c>
      <c r="D625" s="178">
        <f>Capitalisation!C625*$I$609</f>
        <v>256.3</v>
      </c>
      <c r="E625" s="206"/>
      <c r="F625" s="207"/>
    </row>
    <row r="626" spans="1:11">
      <c r="B626" s="202" t="s">
        <v>23</v>
      </c>
      <c r="C626" s="178">
        <f>Model!AR132</f>
        <v>5000</v>
      </c>
      <c r="D626" s="178">
        <f>Capitalisation!C626*$I$609</f>
        <v>256.3</v>
      </c>
      <c r="E626" s="206"/>
      <c r="F626" s="207"/>
    </row>
    <row r="627" spans="1:11" s="198" customFormat="1">
      <c r="A627" s="194"/>
      <c r="B627" s="202" t="s">
        <v>139</v>
      </c>
      <c r="C627" s="178">
        <f>Model!AR136</f>
        <v>0</v>
      </c>
      <c r="D627" s="178">
        <f>Capitalisation!C627*$I$609</f>
        <v>0</v>
      </c>
      <c r="E627" s="206"/>
      <c r="F627" s="207"/>
      <c r="G627" s="194"/>
      <c r="H627" s="194"/>
      <c r="I627" s="194"/>
      <c r="J627" s="194"/>
      <c r="K627" s="194"/>
    </row>
    <row r="628" spans="1:11" s="198" customFormat="1">
      <c r="A628" s="194"/>
      <c r="B628" s="202" t="s">
        <v>140</v>
      </c>
      <c r="C628" s="178">
        <f>Model!AR137</f>
        <v>0</v>
      </c>
      <c r="D628" s="178">
        <f>Capitalisation!C628*$I$609</f>
        <v>0</v>
      </c>
      <c r="E628" s="206"/>
      <c r="F628" s="207"/>
      <c r="G628" s="194"/>
      <c r="H628" s="194"/>
      <c r="I628" s="194"/>
      <c r="J628" s="194"/>
      <c r="K628" s="194"/>
    </row>
    <row r="629" spans="1:11">
      <c r="B629" s="202" t="s">
        <v>141</v>
      </c>
      <c r="C629" s="178">
        <f>Model!AR138</f>
        <v>0</v>
      </c>
      <c r="D629" s="178">
        <f>Capitalisation!C629*$I$609</f>
        <v>0</v>
      </c>
      <c r="E629" s="206"/>
      <c r="F629" s="207"/>
      <c r="H629" s="194" t="s">
        <v>78</v>
      </c>
      <c r="I629" s="182">
        <v>0.88</v>
      </c>
    </row>
    <row r="630" spans="1:11">
      <c r="B630" s="212" t="s">
        <v>28</v>
      </c>
      <c r="C630" s="183">
        <f>SUM(C615:C629)</f>
        <v>42649.953999999998</v>
      </c>
      <c r="D630" s="183">
        <f>SUM(D615:D629)</f>
        <v>2186.2366420400003</v>
      </c>
      <c r="E630" s="213">
        <f>C630/C635</f>
        <v>1.3898378466451591</v>
      </c>
      <c r="F630" s="214">
        <f>D630/D635</f>
        <v>1.4268178219100895</v>
      </c>
      <c r="H630" s="194" t="s">
        <v>26</v>
      </c>
      <c r="I630" s="182">
        <v>0.08</v>
      </c>
    </row>
    <row r="631" spans="1:11">
      <c r="B631" s="215" t="s">
        <v>29</v>
      </c>
      <c r="C631" s="216">
        <f>Model!AR144</f>
        <v>24516.254000000001</v>
      </c>
      <c r="D631" s="178">
        <f>Capitalisation!C631*$I$609</f>
        <v>1256.70318004</v>
      </c>
      <c r="E631" s="217"/>
      <c r="F631" s="211"/>
    </row>
    <row r="632" spans="1:11">
      <c r="B632" s="212" t="s">
        <v>30</v>
      </c>
      <c r="C632" s="183">
        <f>C630-C631</f>
        <v>18133.699999999997</v>
      </c>
      <c r="D632" s="183">
        <f>D630-D631</f>
        <v>929.53346200000033</v>
      </c>
      <c r="E632" s="213">
        <f>C632/C635</f>
        <v>0.59092449571479766</v>
      </c>
      <c r="F632" s="214">
        <f>D632/D635</f>
        <v>0.60664746173397976</v>
      </c>
    </row>
    <row r="633" spans="1:11">
      <c r="B633" s="212" t="s">
        <v>31</v>
      </c>
      <c r="C633" s="183">
        <f>Model!AR156</f>
        <v>132454.516</v>
      </c>
      <c r="D633" s="178">
        <f>Capitalisation!C633*$I$609</f>
        <v>6789.61849016</v>
      </c>
      <c r="E633" s="213"/>
    </row>
    <row r="634" spans="1:11">
      <c r="B634" s="212" t="s">
        <v>32</v>
      </c>
      <c r="C634" s="183">
        <f>C632+C633</f>
        <v>150588.21600000001</v>
      </c>
      <c r="D634" s="178">
        <f>Capitalisation!C634*$I$609</f>
        <v>7719.1519521600012</v>
      </c>
      <c r="E634" s="214"/>
    </row>
    <row r="635" spans="1:11">
      <c r="B635" s="215" t="s">
        <v>33</v>
      </c>
      <c r="C635" s="6">
        <f>Model!AR92</f>
        <v>30687</v>
      </c>
      <c r="D635" s="178">
        <f>Capitalisation!C635*$I$610</f>
        <v>1532.2465198207801</v>
      </c>
      <c r="E635" s="215"/>
    </row>
    <row r="636" spans="1:11">
      <c r="B636" s="218" t="s">
        <v>34</v>
      </c>
      <c r="C636" s="219">
        <f>C630-Model!AR116</f>
        <v>0</v>
      </c>
      <c r="D636" s="220"/>
      <c r="E636" s="221"/>
      <c r="G636" s="184"/>
      <c r="H636" s="184"/>
      <c r="I636" s="184"/>
    </row>
    <row r="637" spans="1:11">
      <c r="G637" s="213"/>
      <c r="H637" s="213"/>
      <c r="I637" s="213"/>
    </row>
    <row r="638" spans="1:11">
      <c r="B638" s="212" t="s">
        <v>35</v>
      </c>
      <c r="C638" s="222">
        <f>C632+Model!AR155</f>
        <v>175581.7</v>
      </c>
      <c r="E638" s="223"/>
      <c r="F638" s="184"/>
    </row>
    <row r="639" spans="1:11">
      <c r="B639" s="212" t="s">
        <v>36</v>
      </c>
      <c r="C639" s="214">
        <f>C638/C635</f>
        <v>5.7216964838530977</v>
      </c>
      <c r="E639" s="223"/>
      <c r="F639" s="213"/>
    </row>
    <row r="642" spans="1:4" ht="26">
      <c r="B642" s="244" t="s">
        <v>142</v>
      </c>
      <c r="C642" s="244" t="s">
        <v>87</v>
      </c>
      <c r="D642" s="244" t="s">
        <v>72</v>
      </c>
    </row>
    <row r="643" spans="1:4">
      <c r="B643" s="245"/>
      <c r="C643" s="246"/>
      <c r="D643" s="246"/>
    </row>
    <row r="644" spans="1:4">
      <c r="B644" s="245" t="s">
        <v>16</v>
      </c>
      <c r="C644" s="246">
        <f>C631</f>
        <v>24516.254000000001</v>
      </c>
      <c r="D644" s="246">
        <f>C644*I609</f>
        <v>1256.70318004</v>
      </c>
    </row>
    <row r="645" spans="1:4">
      <c r="B645" s="247" t="s">
        <v>38</v>
      </c>
      <c r="C645" s="246">
        <f>SUM(C643:C644)</f>
        <v>24516.254000000001</v>
      </c>
      <c r="D645" s="246">
        <f>SUM(D643:D644)</f>
        <v>1256.70318004</v>
      </c>
    </row>
    <row r="646" spans="1:4">
      <c r="C646" s="185"/>
      <c r="D646" s="185"/>
    </row>
    <row r="647" spans="1:4" ht="26">
      <c r="B647" s="248" t="s">
        <v>143</v>
      </c>
      <c r="C647" s="244" t="s">
        <v>87</v>
      </c>
      <c r="D647" s="244" t="s">
        <v>72</v>
      </c>
    </row>
    <row r="648" spans="1:4">
      <c r="B648" s="249" t="s">
        <v>40</v>
      </c>
      <c r="C648" s="250">
        <v>0</v>
      </c>
      <c r="D648" s="253">
        <f>C648*$I$609</f>
        <v>0</v>
      </c>
    </row>
    <row r="649" spans="1:4">
      <c r="B649" s="249" t="s">
        <v>41</v>
      </c>
      <c r="C649" s="250">
        <v>5841.45</v>
      </c>
      <c r="D649" s="253">
        <f t="shared" ref="D649:D652" si="7">C649*$I$609</f>
        <v>299.432727</v>
      </c>
    </row>
    <row r="650" spans="1:4">
      <c r="B650" s="249" t="s">
        <v>42</v>
      </c>
      <c r="C650" s="250">
        <v>0</v>
      </c>
      <c r="D650" s="253">
        <f t="shared" si="7"/>
        <v>0</v>
      </c>
    </row>
    <row r="651" spans="1:4">
      <c r="B651" s="249" t="s">
        <v>43</v>
      </c>
      <c r="C651" s="250">
        <v>9689.4660000000003</v>
      </c>
      <c r="D651" s="253">
        <f t="shared" si="7"/>
        <v>496.68202716000002</v>
      </c>
    </row>
    <row r="652" spans="1:4">
      <c r="B652" s="249" t="s">
        <v>44</v>
      </c>
      <c r="C652" s="251">
        <f>13500</f>
        <v>13500</v>
      </c>
      <c r="D652" s="255">
        <f t="shared" si="7"/>
        <v>692.01</v>
      </c>
    </row>
    <row r="653" spans="1:4">
      <c r="B653" s="249"/>
      <c r="C653" s="252"/>
      <c r="D653" s="253"/>
    </row>
    <row r="654" spans="1:4">
      <c r="B654" s="248" t="s">
        <v>45</v>
      </c>
      <c r="C654" s="254">
        <f>SUM(C648:C653)</f>
        <v>29030.916000000001</v>
      </c>
      <c r="D654" s="254">
        <f>SUM(D648:D653)</f>
        <v>1488.1247541600001</v>
      </c>
    </row>
    <row r="655" spans="1:4">
      <c r="A655" s="195" t="s">
        <v>144</v>
      </c>
      <c r="B655" s="218" t="s">
        <v>34</v>
      </c>
      <c r="C655" s="220">
        <f>C654+C615-C630</f>
        <v>0</v>
      </c>
      <c r="D655" s="220">
        <f>D654+D615-D630</f>
        <v>0</v>
      </c>
    </row>
    <row r="657" spans="2:11">
      <c r="H657" s="195" t="s">
        <v>145</v>
      </c>
      <c r="I657" s="196">
        <f>Model!AQ244</f>
        <v>4.9549999999999997E-2</v>
      </c>
    </row>
    <row r="658" spans="2:11">
      <c r="H658" s="197" t="s">
        <v>146</v>
      </c>
      <c r="I658" s="196">
        <f>AVERAGE(Model!AN243:AQ243)</f>
        <v>4.9278249784322825E-2</v>
      </c>
    </row>
    <row r="659" spans="2:11">
      <c r="H659" s="197"/>
      <c r="I659" s="196"/>
    </row>
    <row r="660" spans="2:11">
      <c r="H660" s="198"/>
      <c r="I660" s="198"/>
    </row>
    <row r="661" spans="2:11">
      <c r="H661" s="203" t="s">
        <v>69</v>
      </c>
      <c r="I661" s="204"/>
    </row>
    <row r="662" spans="2:11">
      <c r="B662" s="199" t="s">
        <v>147</v>
      </c>
      <c r="C662" s="200" t="s">
        <v>67</v>
      </c>
      <c r="D662" s="200" t="s">
        <v>68</v>
      </c>
      <c r="E662" s="201" t="s">
        <v>60</v>
      </c>
      <c r="F662" s="201" t="s">
        <v>7</v>
      </c>
      <c r="H662" s="203"/>
      <c r="I662" s="204"/>
    </row>
    <row r="663" spans="2:11">
      <c r="B663" s="202" t="s">
        <v>9</v>
      </c>
      <c r="C663" s="178">
        <f>Model!AQ119+Model!AQ120</f>
        <v>12630.903999999999</v>
      </c>
      <c r="D663" s="178">
        <f>Capitalisation!C663*$I$657</f>
        <v>625.86129319999986</v>
      </c>
      <c r="E663" s="201"/>
      <c r="F663" s="201"/>
    </row>
    <row r="664" spans="2:11">
      <c r="B664" s="205" t="s">
        <v>11</v>
      </c>
      <c r="C664" s="179"/>
      <c r="D664" s="178">
        <f>Capitalisation!C664*$I$657</f>
        <v>0</v>
      </c>
      <c r="E664" s="206"/>
      <c r="F664" s="206"/>
      <c r="H664" s="194" t="s">
        <v>10</v>
      </c>
      <c r="I664" s="180">
        <v>29526.2</v>
      </c>
    </row>
    <row r="665" spans="2:11">
      <c r="B665" s="202" t="s">
        <v>13</v>
      </c>
      <c r="C665" s="178">
        <f>Model!AQ128</f>
        <v>6027.75</v>
      </c>
      <c r="D665" s="178">
        <f>Capitalisation!C665*$I$657</f>
        <v>298.67501249999998</v>
      </c>
      <c r="E665" s="206"/>
      <c r="F665" s="207"/>
      <c r="H665" s="194" t="s">
        <v>12</v>
      </c>
      <c r="I665" s="180">
        <v>-2435.9</v>
      </c>
    </row>
    <row r="666" spans="2:11" ht="12" customHeight="1">
      <c r="B666" s="202" t="s">
        <v>15</v>
      </c>
      <c r="C666" s="178">
        <f>Model!AQ129</f>
        <v>9998.49</v>
      </c>
      <c r="D666" s="178">
        <f>Capitalisation!C666*$I$657</f>
        <v>495.42517949999996</v>
      </c>
      <c r="E666" s="206"/>
      <c r="F666" s="206"/>
      <c r="H666" s="195" t="s">
        <v>14</v>
      </c>
      <c r="I666" s="208">
        <f>SUM(I664:I665)</f>
        <v>27090.3</v>
      </c>
    </row>
    <row r="667" spans="2:11">
      <c r="B667" s="205" t="s">
        <v>17</v>
      </c>
      <c r="C667" s="178"/>
      <c r="D667" s="178">
        <f>Capitalisation!C667*$I$657</f>
        <v>0</v>
      </c>
      <c r="E667" s="206"/>
      <c r="F667" s="206"/>
      <c r="H667" s="194" t="s">
        <v>16</v>
      </c>
      <c r="I667" s="209">
        <f>C679</f>
        <v>13186.63</v>
      </c>
    </row>
    <row r="668" spans="2:11">
      <c r="B668" s="202" t="s">
        <v>135</v>
      </c>
      <c r="C668" s="178">
        <f>Model!AQ124</f>
        <v>0</v>
      </c>
      <c r="D668" s="178">
        <f>Capitalisation!C668*$I$657</f>
        <v>0</v>
      </c>
      <c r="E668" s="206"/>
      <c r="F668" s="207"/>
      <c r="H668" s="195" t="s">
        <v>18</v>
      </c>
      <c r="I668" s="208">
        <f>I666-I667</f>
        <v>13903.67</v>
      </c>
    </row>
    <row r="669" spans="2:11">
      <c r="B669" s="202" t="s">
        <v>136</v>
      </c>
      <c r="C669" s="178">
        <f>Model!AQ125</f>
        <v>0</v>
      </c>
      <c r="D669" s="178">
        <f>Capitalisation!C669*$I$657</f>
        <v>0</v>
      </c>
      <c r="E669" s="206"/>
      <c r="F669" s="181"/>
      <c r="H669" s="211" t="s">
        <v>20</v>
      </c>
      <c r="I669" s="204">
        <f>I666/C683</f>
        <v>0.92671537940518456</v>
      </c>
      <c r="K669" s="198"/>
    </row>
    <row r="670" spans="2:11">
      <c r="B670" s="202" t="s">
        <v>137</v>
      </c>
      <c r="C670" s="178">
        <f>Model!AQ126</f>
        <v>0</v>
      </c>
      <c r="D670" s="178">
        <f>Capitalisation!C670*$I$657</f>
        <v>0</v>
      </c>
      <c r="E670" s="206"/>
      <c r="F670" s="206"/>
      <c r="H670" s="211" t="s">
        <v>22</v>
      </c>
      <c r="I670" s="204">
        <f>I668/C683</f>
        <v>0.47562207945923385</v>
      </c>
      <c r="K670" s="198"/>
    </row>
    <row r="671" spans="2:11">
      <c r="B671" s="202" t="s">
        <v>138</v>
      </c>
      <c r="C671" s="178">
        <f>Model!AQ127</f>
        <v>0</v>
      </c>
      <c r="D671" s="178">
        <f>Capitalisation!C671*$I$657</f>
        <v>0</v>
      </c>
      <c r="E671" s="206"/>
      <c r="F671" s="210"/>
    </row>
    <row r="672" spans="2:11">
      <c r="B672" s="202" t="s">
        <v>19</v>
      </c>
      <c r="C672" s="178">
        <f>Model!AQ130</f>
        <v>3500</v>
      </c>
      <c r="D672" s="178">
        <f>Capitalisation!C672*$I$657</f>
        <v>173.42499999999998</v>
      </c>
      <c r="E672" s="206"/>
      <c r="F672" s="207"/>
    </row>
    <row r="673" spans="1:11">
      <c r="B673" s="202" t="s">
        <v>21</v>
      </c>
      <c r="C673" s="178">
        <f>Model!AQ131</f>
        <v>5000</v>
      </c>
      <c r="D673" s="178">
        <f>Capitalisation!C673*$I$657</f>
        <v>247.74999999999997</v>
      </c>
      <c r="E673" s="206"/>
      <c r="F673" s="207"/>
    </row>
    <row r="674" spans="1:11">
      <c r="B674" s="202" t="s">
        <v>23</v>
      </c>
      <c r="C674" s="178">
        <f>Model!AQ132</f>
        <v>5000</v>
      </c>
      <c r="D674" s="178">
        <f>Capitalisation!C674*$I$657</f>
        <v>247.74999999999997</v>
      </c>
      <c r="E674" s="206"/>
      <c r="F674" s="207"/>
    </row>
    <row r="675" spans="1:11">
      <c r="B675" s="202" t="s">
        <v>139</v>
      </c>
      <c r="C675" s="178">
        <f>Model!AQ136</f>
        <v>0</v>
      </c>
      <c r="D675" s="178">
        <f>Capitalisation!C675*$I$657</f>
        <v>0</v>
      </c>
      <c r="E675" s="206"/>
      <c r="F675" s="207"/>
    </row>
    <row r="676" spans="1:11">
      <c r="B676" s="202" t="s">
        <v>140</v>
      </c>
      <c r="C676" s="178">
        <f>Model!AQ137</f>
        <v>0</v>
      </c>
      <c r="D676" s="178">
        <f>Capitalisation!C676*$I$657</f>
        <v>0</v>
      </c>
      <c r="E676" s="206"/>
      <c r="F676" s="207"/>
    </row>
    <row r="677" spans="1:11">
      <c r="B677" s="202" t="s">
        <v>141</v>
      </c>
      <c r="C677" s="178">
        <f>Model!AQ138</f>
        <v>0</v>
      </c>
      <c r="D677" s="178">
        <f>Capitalisation!C677*$I$657</f>
        <v>0</v>
      </c>
      <c r="E677" s="206"/>
      <c r="F677" s="207"/>
      <c r="H677" s="194" t="s">
        <v>78</v>
      </c>
      <c r="I677" s="182">
        <v>0.93</v>
      </c>
    </row>
    <row r="678" spans="1:11">
      <c r="B678" s="212" t="s">
        <v>28</v>
      </c>
      <c r="C678" s="183">
        <f>SUM(C663:C677)</f>
        <v>42157.144</v>
      </c>
      <c r="D678" s="183">
        <f>SUM(D663:D677)</f>
        <v>2088.8864851999997</v>
      </c>
      <c r="E678" s="213">
        <f>C678/C683</f>
        <v>1.4421277614717813</v>
      </c>
      <c r="F678" s="214">
        <f>D678/D683</f>
        <v>1.4500805303288171</v>
      </c>
      <c r="H678" s="194" t="s">
        <v>26</v>
      </c>
      <c r="I678" s="182">
        <v>0.48</v>
      </c>
    </row>
    <row r="679" spans="1:11">
      <c r="B679" s="215" t="s">
        <v>29</v>
      </c>
      <c r="C679" s="216">
        <f>Model!AQ144</f>
        <v>13186.63</v>
      </c>
      <c r="D679" s="178">
        <f>Capitalisation!C679*$I$657</f>
        <v>653.39751649999994</v>
      </c>
      <c r="E679" s="217"/>
      <c r="F679" s="211"/>
    </row>
    <row r="680" spans="1:11">
      <c r="B680" s="212" t="s">
        <v>30</v>
      </c>
      <c r="C680" s="183">
        <f>C678-C679</f>
        <v>28970.514000000003</v>
      </c>
      <c r="D680" s="183">
        <f>D678-D679</f>
        <v>1435.4889686999998</v>
      </c>
      <c r="E680" s="213">
        <f>C680/C683</f>
        <v>0.99103446152583075</v>
      </c>
      <c r="F680" s="214">
        <f>D680/D683</f>
        <v>0.99649962779780388</v>
      </c>
    </row>
    <row r="681" spans="1:11">
      <c r="B681" s="212" t="s">
        <v>31</v>
      </c>
      <c r="C681" s="183">
        <f>Model!AQ156</f>
        <v>125395.887</v>
      </c>
      <c r="D681" s="178">
        <f>Capitalisation!C681*$I$657</f>
        <v>6213.3662008499996</v>
      </c>
      <c r="E681" s="213"/>
    </row>
    <row r="682" spans="1:11">
      <c r="B682" s="212" t="s">
        <v>32</v>
      </c>
      <c r="C682" s="183">
        <f>C680+C681</f>
        <v>154366.40100000001</v>
      </c>
      <c r="D682" s="178">
        <f>Capitalisation!C682*$I$657</f>
        <v>7648.85516955</v>
      </c>
      <c r="E682" s="214"/>
    </row>
    <row r="683" spans="1:11">
      <c r="B683" s="215" t="s">
        <v>33</v>
      </c>
      <c r="C683" s="6">
        <f>Model!AQ92</f>
        <v>29232.600000000002</v>
      </c>
      <c r="D683" s="178">
        <f>Capitalisation!C683*$I$658</f>
        <v>1440.5313646451955</v>
      </c>
      <c r="E683" s="215"/>
    </row>
    <row r="684" spans="1:11">
      <c r="B684" s="218" t="s">
        <v>34</v>
      </c>
      <c r="C684" s="219">
        <f>C678-Model!AQ116</f>
        <v>0</v>
      </c>
      <c r="D684" s="220"/>
      <c r="E684" s="221"/>
      <c r="G684" s="184"/>
      <c r="H684" s="184"/>
      <c r="I684" s="184"/>
    </row>
    <row r="685" spans="1:11">
      <c r="G685" s="213"/>
      <c r="H685" s="213"/>
      <c r="I685" s="213"/>
    </row>
    <row r="686" spans="1:11">
      <c r="B686" s="212" t="s">
        <v>35</v>
      </c>
      <c r="C686" s="222">
        <f>C680+Model!AQ155</f>
        <v>186418.514</v>
      </c>
      <c r="E686" s="223"/>
      <c r="F686" s="184"/>
    </row>
    <row r="687" spans="1:11">
      <c r="B687" s="212" t="s">
        <v>36</v>
      </c>
      <c r="C687" s="214">
        <f>C686/C683</f>
        <v>6.3770760726038729</v>
      </c>
      <c r="E687" s="223"/>
      <c r="F687" s="213"/>
    </row>
    <row r="688" spans="1:11" s="198" customFormat="1">
      <c r="A688" s="194"/>
      <c r="B688" s="194"/>
      <c r="C688" s="194"/>
      <c r="D688" s="194"/>
      <c r="E688" s="194"/>
      <c r="F688" s="194"/>
      <c r="G688" s="194"/>
      <c r="H688" s="194"/>
      <c r="I688" s="194"/>
      <c r="J688" s="194"/>
      <c r="K688" s="194"/>
    </row>
    <row r="689" spans="1:11" s="198" customFormat="1">
      <c r="A689" s="194"/>
      <c r="B689" s="194"/>
      <c r="C689" s="194"/>
      <c r="D689" s="194"/>
      <c r="E689" s="194"/>
      <c r="F689" s="194"/>
      <c r="G689" s="194"/>
      <c r="H689" s="194"/>
      <c r="I689" s="194"/>
      <c r="J689" s="194"/>
      <c r="K689" s="194"/>
    </row>
    <row r="690" spans="1:11" ht="26">
      <c r="B690" s="224" t="s">
        <v>148</v>
      </c>
      <c r="C690" s="224" t="s">
        <v>87</v>
      </c>
      <c r="D690" s="224" t="s">
        <v>72</v>
      </c>
    </row>
    <row r="691" spans="1:11">
      <c r="B691" s="225"/>
      <c r="C691" s="185"/>
      <c r="D691" s="185"/>
    </row>
    <row r="692" spans="1:11">
      <c r="B692" s="225" t="s">
        <v>16</v>
      </c>
      <c r="C692" s="185">
        <f>C679</f>
        <v>13186.63</v>
      </c>
      <c r="D692" s="185">
        <f>C692*I657</f>
        <v>653.39751649999994</v>
      </c>
    </row>
    <row r="693" spans="1:11">
      <c r="B693" s="194" t="s">
        <v>38</v>
      </c>
      <c r="C693" s="185">
        <f>SUM(C691:C692)</f>
        <v>13186.63</v>
      </c>
      <c r="D693" s="185">
        <f>SUM(D691:D692)</f>
        <v>653.39751649999994</v>
      </c>
    </row>
    <row r="694" spans="1:11">
      <c r="C694" s="185"/>
      <c r="D694" s="185"/>
    </row>
    <row r="695" spans="1:11" ht="26">
      <c r="B695" s="195" t="s">
        <v>149</v>
      </c>
      <c r="C695" s="224" t="s">
        <v>87</v>
      </c>
      <c r="D695" s="224" t="s">
        <v>72</v>
      </c>
    </row>
    <row r="696" spans="1:11">
      <c r="B696" s="226" t="s">
        <v>40</v>
      </c>
      <c r="C696" s="186">
        <v>0</v>
      </c>
      <c r="D696" s="227">
        <f>C696*$I$657</f>
        <v>0</v>
      </c>
    </row>
    <row r="697" spans="1:11">
      <c r="B697" s="226" t="s">
        <v>150</v>
      </c>
      <c r="C697" s="186">
        <v>0</v>
      </c>
      <c r="D697" s="227">
        <f t="shared" ref="D697:D700" si="8">C697*$I$657</f>
        <v>0</v>
      </c>
    </row>
    <row r="698" spans="1:11">
      <c r="B698" s="226" t="s">
        <v>151</v>
      </c>
      <c r="C698" s="186">
        <v>0</v>
      </c>
      <c r="D698" s="227">
        <f t="shared" si="8"/>
        <v>0</v>
      </c>
    </row>
    <row r="699" spans="1:11">
      <c r="B699" s="226" t="s">
        <v>152</v>
      </c>
      <c r="C699" s="186">
        <v>0</v>
      </c>
      <c r="D699" s="227">
        <f t="shared" si="8"/>
        <v>0</v>
      </c>
    </row>
    <row r="700" spans="1:11">
      <c r="B700" s="226" t="s">
        <v>153</v>
      </c>
      <c r="C700" s="180">
        <f>13500+6027.75+9998.49</f>
        <v>29526.239999999998</v>
      </c>
      <c r="D700" s="227">
        <f t="shared" si="8"/>
        <v>1463.0251919999998</v>
      </c>
    </row>
    <row r="701" spans="1:11">
      <c r="B701" s="226"/>
      <c r="C701" s="228"/>
      <c r="D701" s="229"/>
    </row>
    <row r="702" spans="1:11">
      <c r="B702" s="195" t="s">
        <v>45</v>
      </c>
      <c r="C702" s="230">
        <f>SUM(C696:C701)</f>
        <v>29526.239999999998</v>
      </c>
      <c r="D702" s="230">
        <f>SUM(D696:D701)</f>
        <v>1463.0251919999998</v>
      </c>
    </row>
    <row r="703" spans="1:11">
      <c r="A703" s="195" t="s">
        <v>154</v>
      </c>
      <c r="B703" s="218" t="s">
        <v>34</v>
      </c>
      <c r="C703" s="220">
        <f>C702+C663-C678</f>
        <v>0</v>
      </c>
      <c r="D703" s="220">
        <f>D702+D663-D678</f>
        <v>0</v>
      </c>
    </row>
    <row r="705" spans="2:10">
      <c r="H705" s="195" t="s">
        <v>155</v>
      </c>
      <c r="I705" s="196">
        <f>+Model!AP244</f>
        <v>4.9741E-2</v>
      </c>
    </row>
    <row r="706" spans="2:10">
      <c r="H706" s="197" t="s">
        <v>156</v>
      </c>
      <c r="I706" s="196">
        <f>AVERAGE(Model!AM243:AP243)</f>
        <v>4.9115470144990549E-2</v>
      </c>
    </row>
    <row r="707" spans="2:10">
      <c r="H707" s="197"/>
      <c r="I707" s="196"/>
    </row>
    <row r="708" spans="2:10">
      <c r="H708" s="198"/>
      <c r="I708" s="198"/>
    </row>
    <row r="709" spans="2:10">
      <c r="H709" s="203" t="s">
        <v>69</v>
      </c>
      <c r="I709" s="204"/>
    </row>
    <row r="710" spans="2:10">
      <c r="B710" s="199" t="s">
        <v>157</v>
      </c>
      <c r="C710" s="200" t="s">
        <v>67</v>
      </c>
      <c r="D710" s="200" t="s">
        <v>68</v>
      </c>
      <c r="E710" s="201" t="s">
        <v>60</v>
      </c>
      <c r="F710" s="201" t="s">
        <v>7</v>
      </c>
      <c r="H710" s="203"/>
      <c r="I710" s="204"/>
    </row>
    <row r="711" spans="2:10">
      <c r="B711" s="202" t="s">
        <v>9</v>
      </c>
      <c r="C711" s="178">
        <f>Model!AP119+Model!AP120</f>
        <v>12632.620999999999</v>
      </c>
      <c r="D711" s="178">
        <f>Capitalisation!C711*$I$705</f>
        <v>628.35920116099999</v>
      </c>
      <c r="E711" s="201"/>
      <c r="F711" s="201"/>
      <c r="J711" s="198"/>
    </row>
    <row r="712" spans="2:10">
      <c r="B712" s="205" t="s">
        <v>11</v>
      </c>
      <c r="C712" s="179"/>
      <c r="D712" s="178">
        <f>Capitalisation!C712*$I$705</f>
        <v>0</v>
      </c>
      <c r="E712" s="206"/>
      <c r="F712" s="206"/>
      <c r="H712" s="194" t="s">
        <v>10</v>
      </c>
      <c r="I712" s="180">
        <v>31058.9</v>
      </c>
      <c r="J712" s="198"/>
    </row>
    <row r="713" spans="2:10">
      <c r="B713" s="202" t="s">
        <v>13</v>
      </c>
      <c r="C713" s="178">
        <f>Model!AP128</f>
        <v>6040.05</v>
      </c>
      <c r="D713" s="178">
        <f>Capitalisation!C713*$I$705</f>
        <v>300.43812704999999</v>
      </c>
      <c r="E713" s="206"/>
      <c r="F713" s="207"/>
      <c r="H713" s="194" t="s">
        <v>12</v>
      </c>
      <c r="I713" s="180">
        <v>-2468.6</v>
      </c>
    </row>
    <row r="714" spans="2:10">
      <c r="B714" s="202" t="s">
        <v>15</v>
      </c>
      <c r="C714" s="178">
        <f>Model!AP129</f>
        <v>10018.893</v>
      </c>
      <c r="D714" s="178">
        <f>Capitalisation!C714*$I$705</f>
        <v>498.34975671300003</v>
      </c>
      <c r="E714" s="206"/>
      <c r="F714" s="206"/>
      <c r="H714" s="195" t="s">
        <v>14</v>
      </c>
      <c r="I714" s="208">
        <f>SUM(I712:I713)</f>
        <v>28590.300000000003</v>
      </c>
    </row>
    <row r="715" spans="2:10">
      <c r="B715" s="205" t="s">
        <v>17</v>
      </c>
      <c r="C715" s="178"/>
      <c r="D715" s="178">
        <f>Capitalisation!C715*$I$705</f>
        <v>0</v>
      </c>
      <c r="E715" s="206"/>
      <c r="F715" s="206"/>
      <c r="H715" s="194" t="s">
        <v>16</v>
      </c>
      <c r="I715" s="209">
        <f>C727</f>
        <v>23556.927</v>
      </c>
    </row>
    <row r="716" spans="2:10">
      <c r="B716" s="202" t="s">
        <v>135</v>
      </c>
      <c r="C716" s="178">
        <f>Model!AO57</f>
        <v>0</v>
      </c>
      <c r="D716" s="178">
        <f>Capitalisation!C716*$I$705</f>
        <v>0</v>
      </c>
      <c r="E716" s="206"/>
      <c r="F716" s="207"/>
      <c r="H716" s="195" t="s">
        <v>18</v>
      </c>
      <c r="I716" s="208">
        <f>I714-I715</f>
        <v>5033.3730000000032</v>
      </c>
    </row>
    <row r="717" spans="2:10">
      <c r="B717" s="202" t="s">
        <v>136</v>
      </c>
      <c r="C717" s="178">
        <f>Model!AO58</f>
        <v>0</v>
      </c>
      <c r="D717" s="178">
        <f>Capitalisation!C717*$I$705</f>
        <v>0</v>
      </c>
      <c r="E717" s="206"/>
      <c r="F717" s="181"/>
      <c r="H717" s="211" t="s">
        <v>20</v>
      </c>
      <c r="I717" s="204">
        <f>I714/C731</f>
        <v>1.0111297373000043</v>
      </c>
    </row>
    <row r="718" spans="2:10" ht="12" customHeight="1">
      <c r="B718" s="202" t="s">
        <v>137</v>
      </c>
      <c r="C718" s="178">
        <f>Model!AP126</f>
        <v>1500</v>
      </c>
      <c r="D718" s="178">
        <f>Capitalisation!C718*$I$705</f>
        <v>74.611500000000007</v>
      </c>
      <c r="E718" s="206"/>
      <c r="F718" s="206"/>
      <c r="H718" s="211" t="s">
        <v>22</v>
      </c>
      <c r="I718" s="204">
        <f>I716/C731</f>
        <v>0.17801118278657227</v>
      </c>
    </row>
    <row r="719" spans="2:10">
      <c r="B719" s="202" t="s">
        <v>138</v>
      </c>
      <c r="C719" s="178">
        <f>Model!AP127</f>
        <v>0</v>
      </c>
      <c r="D719" s="178">
        <f>Capitalisation!C719*$I$705</f>
        <v>0</v>
      </c>
      <c r="E719" s="206"/>
      <c r="F719" s="210"/>
    </row>
    <row r="720" spans="2:10">
      <c r="B720" s="202" t="s">
        <v>19</v>
      </c>
      <c r="C720" s="178">
        <f>Model!AP130</f>
        <v>3500</v>
      </c>
      <c r="D720" s="178">
        <f>Capitalisation!C720*$I$705</f>
        <v>174.09350000000001</v>
      </c>
      <c r="E720" s="206"/>
      <c r="F720" s="207"/>
    </row>
    <row r="721" spans="2:11">
      <c r="B721" s="202" t="s">
        <v>21</v>
      </c>
      <c r="C721" s="178">
        <f>Model!AP131</f>
        <v>5000</v>
      </c>
      <c r="D721" s="178">
        <f>Capitalisation!C721*$I$705</f>
        <v>248.70500000000001</v>
      </c>
      <c r="E721" s="206"/>
      <c r="F721" s="207"/>
    </row>
    <row r="722" spans="2:11">
      <c r="B722" s="202" t="s">
        <v>23</v>
      </c>
      <c r="C722" s="178">
        <f>Model!AP132</f>
        <v>5000</v>
      </c>
      <c r="D722" s="178">
        <f>Capitalisation!C722*$I$705</f>
        <v>248.70500000000001</v>
      </c>
      <c r="E722" s="206"/>
      <c r="F722" s="207"/>
    </row>
    <row r="723" spans="2:11">
      <c r="B723" s="202" t="s">
        <v>139</v>
      </c>
      <c r="C723" s="178">
        <f>Model!AP136</f>
        <v>0</v>
      </c>
      <c r="D723" s="178">
        <f>Capitalisation!C723*$I$705</f>
        <v>0</v>
      </c>
      <c r="E723" s="206"/>
      <c r="F723" s="207"/>
    </row>
    <row r="724" spans="2:11">
      <c r="B724" s="202" t="s">
        <v>140</v>
      </c>
      <c r="C724" s="178">
        <f>Model!AP137</f>
        <v>0</v>
      </c>
      <c r="D724" s="178">
        <f>Capitalisation!C724*$I$705</f>
        <v>0</v>
      </c>
      <c r="E724" s="206"/>
      <c r="F724" s="207"/>
    </row>
    <row r="725" spans="2:11">
      <c r="B725" s="202" t="s">
        <v>141</v>
      </c>
      <c r="C725" s="178">
        <f>Model!AP138</f>
        <v>0</v>
      </c>
      <c r="D725" s="178">
        <f>Capitalisation!C725*$I$705</f>
        <v>0</v>
      </c>
      <c r="E725" s="206"/>
      <c r="F725" s="207"/>
      <c r="H725" s="194" t="s">
        <v>78</v>
      </c>
      <c r="I725" s="182" t="s">
        <v>158</v>
      </c>
    </row>
    <row r="726" spans="2:11">
      <c r="B726" s="212" t="s">
        <v>28</v>
      </c>
      <c r="C726" s="183">
        <f>SUM(C711:C725)</f>
        <v>43691.563999999998</v>
      </c>
      <c r="D726" s="183">
        <f>SUM(D711:D725)</f>
        <v>2173.2620849239997</v>
      </c>
      <c r="E726" s="213">
        <f>C726/C731</f>
        <v>1.5452037799374725</v>
      </c>
      <c r="F726" s="214">
        <f>D726/D731</f>
        <v>1.564883345124795</v>
      </c>
      <c r="H726" s="194" t="s">
        <v>26</v>
      </c>
      <c r="I726" s="182" t="s">
        <v>159</v>
      </c>
    </row>
    <row r="727" spans="2:11">
      <c r="B727" s="215" t="s">
        <v>29</v>
      </c>
      <c r="C727" s="216">
        <f>Model!AP144</f>
        <v>23556.927</v>
      </c>
      <c r="D727" s="178">
        <f>Capitalisation!C727*$I$705</f>
        <v>1171.7451059069999</v>
      </c>
      <c r="E727" s="217"/>
      <c r="F727" s="211"/>
    </row>
    <row r="728" spans="2:11">
      <c r="B728" s="212" t="s">
        <v>30</v>
      </c>
      <c r="C728" s="183">
        <f>C726-C727</f>
        <v>20134.636999999999</v>
      </c>
      <c r="D728" s="183">
        <f>D726-D727</f>
        <v>1001.5169790169998</v>
      </c>
      <c r="E728" s="213">
        <f>C728/C731</f>
        <v>0.7120852254240404</v>
      </c>
      <c r="F728" s="214">
        <f>D728/D731</f>
        <v>0.72115427365871965</v>
      </c>
    </row>
    <row r="729" spans="2:11">
      <c r="B729" s="212" t="s">
        <v>31</v>
      </c>
      <c r="C729" s="183">
        <f>Model!AP156</f>
        <v>123199.13800000001</v>
      </c>
      <c r="D729" s="178">
        <f>Capitalisation!C729*$I$705</f>
        <v>6128.048323258</v>
      </c>
      <c r="E729" s="213"/>
    </row>
    <row r="730" spans="2:11">
      <c r="B730" s="212" t="s">
        <v>32</v>
      </c>
      <c r="C730" s="183">
        <f>C728+C729</f>
        <v>143333.77499999999</v>
      </c>
      <c r="D730" s="178">
        <f>Capitalisation!C730*$I$705</f>
        <v>7129.5653022749993</v>
      </c>
      <c r="E730" s="214"/>
      <c r="K730" s="198"/>
    </row>
    <row r="731" spans="2:11">
      <c r="B731" s="215" t="s">
        <v>33</v>
      </c>
      <c r="C731" s="6">
        <f>Model!AP92</f>
        <v>28275.600000000002</v>
      </c>
      <c r="D731" s="178">
        <f>Capitalisation!C731*$I$706</f>
        <v>1388.7693876316948</v>
      </c>
      <c r="E731" s="215"/>
      <c r="K731" s="198"/>
    </row>
    <row r="732" spans="2:11">
      <c r="B732" s="218" t="s">
        <v>34</v>
      </c>
      <c r="C732" s="219">
        <f>C726-Model!AP116</f>
        <v>0</v>
      </c>
      <c r="D732" s="220"/>
      <c r="E732" s="221"/>
      <c r="G732" s="184"/>
      <c r="H732" s="184"/>
      <c r="I732" s="184"/>
    </row>
    <row r="733" spans="2:11">
      <c r="G733" s="213"/>
      <c r="H733" s="213"/>
      <c r="I733" s="213"/>
    </row>
    <row r="734" spans="2:11">
      <c r="B734" s="212" t="s">
        <v>35</v>
      </c>
      <c r="C734" s="222">
        <f>C728+Model!AN46</f>
        <v>30465.436999999998</v>
      </c>
      <c r="E734" s="223"/>
      <c r="F734" s="184"/>
    </row>
    <row r="735" spans="2:11">
      <c r="B735" s="212" t="s">
        <v>36</v>
      </c>
      <c r="C735" s="214">
        <f>C734/C731</f>
        <v>1.0774461726718441</v>
      </c>
      <c r="E735" s="223"/>
      <c r="F735" s="213"/>
    </row>
    <row r="738" spans="1:11" s="198" customFormat="1" ht="26">
      <c r="A738" s="194"/>
      <c r="B738" s="224" t="s">
        <v>160</v>
      </c>
      <c r="C738" s="224" t="s">
        <v>87</v>
      </c>
      <c r="D738" s="224" t="s">
        <v>72</v>
      </c>
      <c r="E738" s="194"/>
      <c r="F738" s="194"/>
      <c r="G738" s="194"/>
      <c r="H738" s="194"/>
      <c r="I738" s="194"/>
      <c r="J738" s="194"/>
      <c r="K738" s="194"/>
    </row>
    <row r="739" spans="1:11" s="198" customFormat="1">
      <c r="A739" s="194"/>
      <c r="B739" s="225"/>
      <c r="C739" s="185"/>
      <c r="D739" s="185"/>
      <c r="E739" s="194"/>
      <c r="F739" s="194"/>
      <c r="G739" s="194"/>
      <c r="H739" s="194"/>
      <c r="I739" s="194"/>
      <c r="J739" s="194"/>
      <c r="K739" s="194"/>
    </row>
    <row r="740" spans="1:11">
      <c r="B740" s="225" t="s">
        <v>16</v>
      </c>
      <c r="C740" s="185">
        <f>C727</f>
        <v>23556.927</v>
      </c>
      <c r="D740" s="185">
        <f>C740*I705</f>
        <v>1171.7451059069999</v>
      </c>
    </row>
    <row r="741" spans="1:11">
      <c r="B741" s="194" t="s">
        <v>38</v>
      </c>
      <c r="C741" s="185">
        <f>SUM(C739:C740)</f>
        <v>23556.927</v>
      </c>
      <c r="D741" s="185">
        <f>SUM(D739:D740)</f>
        <v>1171.7451059069999</v>
      </c>
    </row>
    <row r="742" spans="1:11">
      <c r="C742" s="185"/>
      <c r="D742" s="185"/>
    </row>
    <row r="743" spans="1:11" ht="26">
      <c r="B743" s="195" t="s">
        <v>161</v>
      </c>
      <c r="C743" s="224" t="s">
        <v>87</v>
      </c>
      <c r="D743" s="224" t="s">
        <v>72</v>
      </c>
    </row>
    <row r="744" spans="1:11">
      <c r="B744" s="226" t="s">
        <v>40</v>
      </c>
      <c r="C744" s="186">
        <v>1500</v>
      </c>
      <c r="D744" s="227">
        <f>C744*$I$705</f>
        <v>74.611500000000007</v>
      </c>
    </row>
    <row r="745" spans="1:11">
      <c r="B745" s="226" t="s">
        <v>150</v>
      </c>
      <c r="C745" s="186">
        <v>0</v>
      </c>
      <c r="D745" s="227">
        <f t="shared" ref="D745:D748" si="9">C745*$I$705</f>
        <v>0</v>
      </c>
    </row>
    <row r="746" spans="1:11">
      <c r="B746" s="226" t="s">
        <v>151</v>
      </c>
      <c r="C746" s="186">
        <v>0</v>
      </c>
      <c r="D746" s="227">
        <f t="shared" si="9"/>
        <v>0</v>
      </c>
    </row>
    <row r="747" spans="1:11">
      <c r="B747" s="226" t="s">
        <v>152</v>
      </c>
      <c r="C747" s="186">
        <v>0</v>
      </c>
      <c r="D747" s="227">
        <f t="shared" si="9"/>
        <v>0</v>
      </c>
    </row>
    <row r="748" spans="1:11">
      <c r="B748" s="226" t="s">
        <v>153</v>
      </c>
      <c r="C748" s="180">
        <f>13500+6040.05+10018.893</f>
        <v>29558.942999999999</v>
      </c>
      <c r="D748" s="227">
        <f t="shared" si="9"/>
        <v>1470.2913837629999</v>
      </c>
    </row>
    <row r="749" spans="1:11">
      <c r="B749" s="226"/>
      <c r="C749" s="228"/>
      <c r="D749" s="229"/>
    </row>
    <row r="750" spans="1:11">
      <c r="B750" s="195" t="s">
        <v>45</v>
      </c>
      <c r="C750" s="230">
        <f>SUM(C744:C749)</f>
        <v>31058.942999999999</v>
      </c>
      <c r="D750" s="230">
        <f>SUM(D744:D749)</f>
        <v>1544.9028837629999</v>
      </c>
    </row>
    <row r="751" spans="1:11">
      <c r="B751" s="218" t="s">
        <v>34</v>
      </c>
      <c r="C751" s="220">
        <f>C750+C711-C726</f>
        <v>0</v>
      </c>
      <c r="D751" s="220">
        <f>D750+D711-D726</f>
        <v>0</v>
      </c>
    </row>
    <row r="752" spans="1:11">
      <c r="A752" s="195" t="s">
        <v>162</v>
      </c>
    </row>
    <row r="754" spans="1:9">
      <c r="H754" s="195" t="s">
        <v>163</v>
      </c>
      <c r="I754" s="196">
        <f>+Model!AO244</f>
        <v>5.0299999999999997E-2</v>
      </c>
    </row>
    <row r="755" spans="1:9">
      <c r="H755" s="197" t="s">
        <v>164</v>
      </c>
      <c r="I755" s="196">
        <f>AVERAGE(Model!AL243:AO243)</f>
        <v>4.9225203429672584E-2</v>
      </c>
    </row>
    <row r="756" spans="1:9">
      <c r="H756" s="197"/>
      <c r="I756" s="196"/>
    </row>
    <row r="757" spans="1:9">
      <c r="A757" s="198"/>
      <c r="H757" s="198"/>
      <c r="I757" s="198"/>
    </row>
    <row r="758" spans="1:9">
      <c r="A758" s="198"/>
      <c r="H758" s="203" t="s">
        <v>69</v>
      </c>
      <c r="I758" s="204"/>
    </row>
    <row r="759" spans="1:9">
      <c r="B759" s="199" t="s">
        <v>165</v>
      </c>
      <c r="C759" s="200" t="s">
        <v>67</v>
      </c>
      <c r="D759" s="200" t="s">
        <v>68</v>
      </c>
      <c r="E759" s="201" t="s">
        <v>60</v>
      </c>
      <c r="F759" s="201" t="s">
        <v>7</v>
      </c>
      <c r="H759" s="203"/>
      <c r="I759" s="204"/>
    </row>
    <row r="760" spans="1:9">
      <c r="B760" s="202" t="s">
        <v>9</v>
      </c>
      <c r="C760" s="178">
        <f>Model!AO119+Model!AO120</f>
        <v>12510.569000000001</v>
      </c>
      <c r="D760" s="178">
        <f>Capitalisation!C760*$I$754</f>
        <v>629.28162070000008</v>
      </c>
      <c r="E760" s="201"/>
      <c r="F760" s="201"/>
    </row>
    <row r="761" spans="1:9">
      <c r="B761" s="205" t="s">
        <v>11</v>
      </c>
      <c r="C761" s="179"/>
      <c r="D761" s="178">
        <f>Capitalisation!C761*$I$754</f>
        <v>0</v>
      </c>
      <c r="E761" s="206"/>
      <c r="F761" s="206"/>
      <c r="H761" s="194" t="s">
        <v>10</v>
      </c>
      <c r="I761" s="180">
        <v>30881.599999999999</v>
      </c>
    </row>
    <row r="762" spans="1:9">
      <c r="B762" s="202" t="s">
        <v>13</v>
      </c>
      <c r="C762" s="178">
        <f>Model!AO128</f>
        <v>5973.36</v>
      </c>
      <c r="D762" s="178">
        <f>Capitalisation!C762*$I$754</f>
        <v>300.46000799999996</v>
      </c>
      <c r="E762" s="206"/>
      <c r="F762" s="207"/>
      <c r="H762" s="194" t="s">
        <v>12</v>
      </c>
      <c r="I762" s="180">
        <v>-2291.3000000000002</v>
      </c>
    </row>
    <row r="763" spans="1:9">
      <c r="B763" s="202" t="s">
        <v>15</v>
      </c>
      <c r="C763" s="178">
        <f>Model!AO129</f>
        <v>9908.2710000000006</v>
      </c>
      <c r="D763" s="178">
        <f>Capitalisation!C763*$I$754</f>
        <v>498.38603130000001</v>
      </c>
      <c r="E763" s="206"/>
      <c r="F763" s="206"/>
      <c r="H763" s="195" t="s">
        <v>14</v>
      </c>
      <c r="I763" s="208">
        <f>SUM(I761:I762)</f>
        <v>28590.3</v>
      </c>
    </row>
    <row r="764" spans="1:9">
      <c r="B764" s="205" t="s">
        <v>17</v>
      </c>
      <c r="C764" s="178"/>
      <c r="D764" s="178">
        <f>Capitalisation!C764*$I$754</f>
        <v>0</v>
      </c>
      <c r="E764" s="206"/>
      <c r="F764" s="206"/>
      <c r="H764" s="194" t="s">
        <v>16</v>
      </c>
      <c r="I764" s="209">
        <f>C776</f>
        <v>21642.888999999999</v>
      </c>
    </row>
    <row r="765" spans="1:9">
      <c r="B765" s="202" t="s">
        <v>135</v>
      </c>
      <c r="C765" s="178">
        <f>Model!AO124</f>
        <v>0</v>
      </c>
      <c r="D765" s="178">
        <f>Capitalisation!C765*$I$754</f>
        <v>0</v>
      </c>
      <c r="E765" s="206"/>
      <c r="F765" s="207"/>
      <c r="H765" s="195" t="s">
        <v>18</v>
      </c>
      <c r="I765" s="208">
        <f>I763-I764</f>
        <v>6947.4110000000001</v>
      </c>
    </row>
    <row r="766" spans="1:9">
      <c r="B766" s="202" t="s">
        <v>136</v>
      </c>
      <c r="C766" s="178">
        <f>Model!AO125</f>
        <v>0</v>
      </c>
      <c r="D766" s="178">
        <f>Capitalisation!C766*$I$754</f>
        <v>0</v>
      </c>
      <c r="E766" s="206"/>
      <c r="F766" s="181"/>
      <c r="H766" s="211" t="s">
        <v>20</v>
      </c>
      <c r="I766" s="204">
        <f>I763/C780</f>
        <v>1.0765271350520937</v>
      </c>
    </row>
    <row r="767" spans="1:9">
      <c r="B767" s="202" t="s">
        <v>137</v>
      </c>
      <c r="C767" s="178">
        <f>Model!AO126</f>
        <v>1500</v>
      </c>
      <c r="D767" s="178">
        <f>Capitalisation!C767*$I$754</f>
        <v>75.45</v>
      </c>
      <c r="E767" s="206"/>
      <c r="F767" s="206"/>
      <c r="H767" s="211" t="s">
        <v>22</v>
      </c>
      <c r="I767" s="204">
        <f>I765/C780</f>
        <v>0.26159489266847152</v>
      </c>
    </row>
    <row r="768" spans="1:9" ht="12" customHeight="1">
      <c r="B768" s="202" t="s">
        <v>138</v>
      </c>
      <c r="C768" s="178">
        <f>Model!AO127</f>
        <v>0</v>
      </c>
      <c r="D768" s="178">
        <f>Capitalisation!C768*$I$754</f>
        <v>0</v>
      </c>
      <c r="E768" s="206"/>
      <c r="F768" s="210"/>
    </row>
    <row r="769" spans="2:11">
      <c r="B769" s="202" t="s">
        <v>19</v>
      </c>
      <c r="C769" s="178">
        <f>Model!AO130</f>
        <v>3500</v>
      </c>
      <c r="D769" s="178">
        <f>Capitalisation!C769*$I$754</f>
        <v>176.04999999999998</v>
      </c>
      <c r="E769" s="206"/>
      <c r="F769" s="207"/>
    </row>
    <row r="770" spans="2:11">
      <c r="B770" s="202" t="s">
        <v>21</v>
      </c>
      <c r="C770" s="178">
        <f>Model!AO131</f>
        <v>5000</v>
      </c>
      <c r="D770" s="178">
        <f>Capitalisation!C770*$I$754</f>
        <v>251.5</v>
      </c>
      <c r="E770" s="206"/>
      <c r="F770" s="207"/>
    </row>
    <row r="771" spans="2:11">
      <c r="B771" s="202" t="s">
        <v>23</v>
      </c>
      <c r="C771" s="178">
        <f>Model!AO132</f>
        <v>5000</v>
      </c>
      <c r="D771" s="178">
        <f>Capitalisation!C771*$I$754</f>
        <v>251.5</v>
      </c>
      <c r="E771" s="206"/>
      <c r="F771" s="207"/>
    </row>
    <row r="772" spans="2:11">
      <c r="B772" s="202" t="s">
        <v>139</v>
      </c>
      <c r="C772" s="178">
        <f>Model!AO136</f>
        <v>0</v>
      </c>
      <c r="D772" s="178">
        <f>Capitalisation!C772*$I$754</f>
        <v>0</v>
      </c>
      <c r="E772" s="206"/>
      <c r="F772" s="207"/>
      <c r="J772" s="198"/>
    </row>
    <row r="773" spans="2:11">
      <c r="B773" s="202" t="s">
        <v>140</v>
      </c>
      <c r="C773" s="178">
        <f>Model!AO137</f>
        <v>0</v>
      </c>
      <c r="D773" s="178">
        <f>Capitalisation!C773*$I$754</f>
        <v>0</v>
      </c>
      <c r="E773" s="206"/>
      <c r="F773" s="207"/>
      <c r="J773" s="198"/>
    </row>
    <row r="774" spans="2:11">
      <c r="B774" s="202" t="s">
        <v>141</v>
      </c>
      <c r="C774" s="178">
        <f>Model!AO138</f>
        <v>0</v>
      </c>
      <c r="D774" s="178">
        <f>Capitalisation!C774*$I$754</f>
        <v>0</v>
      </c>
      <c r="E774" s="206"/>
      <c r="F774" s="207"/>
      <c r="H774" s="194" t="s">
        <v>78</v>
      </c>
      <c r="I774" s="182" t="s">
        <v>166</v>
      </c>
    </row>
    <row r="775" spans="2:11">
      <c r="B775" s="212" t="s">
        <v>28</v>
      </c>
      <c r="C775" s="183">
        <f>SUM(C760:C774)</f>
        <v>43392.2</v>
      </c>
      <c r="D775" s="183">
        <f>SUM(D760:D774)</f>
        <v>2182.6276600000001</v>
      </c>
      <c r="E775" s="213">
        <f>C775/C780</f>
        <v>1.6338716540087881</v>
      </c>
      <c r="F775" s="214">
        <f>D775/D780</f>
        <v>1.6695460550824726</v>
      </c>
      <c r="H775" s="194" t="s">
        <v>26</v>
      </c>
      <c r="I775" s="182" t="s">
        <v>167</v>
      </c>
    </row>
    <row r="776" spans="2:11">
      <c r="B776" s="215" t="s">
        <v>29</v>
      </c>
      <c r="C776" s="216">
        <f>Model!AO144</f>
        <v>21642.888999999999</v>
      </c>
      <c r="D776" s="178">
        <f>Capitalisation!C776*$I$754</f>
        <v>1088.6373166999999</v>
      </c>
      <c r="E776" s="217"/>
      <c r="F776" s="211"/>
    </row>
    <row r="777" spans="2:11">
      <c r="B777" s="212" t="s">
        <v>30</v>
      </c>
      <c r="C777" s="183">
        <f>C775-C776</f>
        <v>21749.310999999998</v>
      </c>
      <c r="D777" s="183">
        <f>D775-D776</f>
        <v>1093.9903433000002</v>
      </c>
      <c r="E777" s="213">
        <f>C777/C780</f>
        <v>0.81893941162516604</v>
      </c>
      <c r="F777" s="214">
        <f>D777/D780</f>
        <v>0.83682035897723162</v>
      </c>
    </row>
    <row r="778" spans="2:11">
      <c r="B778" s="212" t="s">
        <v>31</v>
      </c>
      <c r="C778" s="183">
        <f>Model!AO156</f>
        <v>118804.755</v>
      </c>
      <c r="E778" s="213"/>
    </row>
    <row r="779" spans="2:11">
      <c r="B779" s="212" t="s">
        <v>32</v>
      </c>
      <c r="C779" s="183">
        <f>C777+C778</f>
        <v>140554.06599999999</v>
      </c>
      <c r="D779" s="183"/>
      <c r="E779" s="214"/>
    </row>
    <row r="780" spans="2:11">
      <c r="B780" s="215" t="s">
        <v>33</v>
      </c>
      <c r="C780" s="6">
        <f>Model!AO92</f>
        <v>26557.9</v>
      </c>
      <c r="D780" s="178">
        <f>Capitalisation!C780*$I$755</f>
        <v>1307.3180301649015</v>
      </c>
      <c r="E780" s="215"/>
      <c r="K780" s="198"/>
    </row>
    <row r="781" spans="2:11">
      <c r="B781" s="218" t="s">
        <v>34</v>
      </c>
      <c r="C781" s="219">
        <f>C775-Model!AO116</f>
        <v>0</v>
      </c>
      <c r="D781" s="220"/>
      <c r="E781" s="221"/>
      <c r="G781" s="184"/>
      <c r="H781" s="184"/>
      <c r="I781" s="184"/>
      <c r="K781" s="198"/>
    </row>
    <row r="782" spans="2:11">
      <c r="G782" s="213"/>
      <c r="H782" s="213"/>
      <c r="I782" s="213"/>
    </row>
    <row r="783" spans="2:11">
      <c r="B783" s="212" t="s">
        <v>35</v>
      </c>
      <c r="C783" s="222">
        <f>C777+Model!AO155</f>
        <v>186474.31099999999</v>
      </c>
      <c r="E783" s="223"/>
      <c r="F783" s="184"/>
    </row>
    <row r="784" spans="2:11">
      <c r="B784" s="212" t="s">
        <v>36</v>
      </c>
      <c r="C784" s="214">
        <f>C783/C780</f>
        <v>7.021425300946234</v>
      </c>
      <c r="E784" s="223"/>
      <c r="F784" s="213"/>
    </row>
    <row r="787" spans="1:11" ht="26">
      <c r="B787" s="224" t="s">
        <v>168</v>
      </c>
      <c r="C787" s="224" t="s">
        <v>87</v>
      </c>
      <c r="D787" s="224" t="s">
        <v>72</v>
      </c>
    </row>
    <row r="788" spans="1:11" s="198" customFormat="1">
      <c r="A788" s="194"/>
      <c r="B788" s="225"/>
      <c r="C788" s="185"/>
      <c r="D788" s="185"/>
      <c r="E788" s="194"/>
      <c r="F788" s="194"/>
      <c r="G788" s="194"/>
      <c r="H788" s="194"/>
      <c r="I788" s="194"/>
      <c r="J788" s="194"/>
      <c r="K788" s="194"/>
    </row>
    <row r="789" spans="1:11" s="198" customFormat="1">
      <c r="A789" s="194"/>
      <c r="B789" s="225" t="s">
        <v>16</v>
      </c>
      <c r="C789" s="185">
        <f>C776</f>
        <v>21642.888999999999</v>
      </c>
      <c r="D789" s="185">
        <f>C789*I754</f>
        <v>1088.6373166999999</v>
      </c>
      <c r="E789" s="194"/>
      <c r="F789" s="194"/>
      <c r="G789" s="194"/>
      <c r="H789" s="194"/>
      <c r="I789" s="194"/>
      <c r="J789" s="194"/>
      <c r="K789" s="194"/>
    </row>
    <row r="790" spans="1:11">
      <c r="B790" s="194" t="s">
        <v>38</v>
      </c>
      <c r="C790" s="185">
        <f>SUM(C788:C789)</f>
        <v>21642.888999999999</v>
      </c>
      <c r="D790" s="185">
        <f>SUM(D788:D789)</f>
        <v>1088.6373166999999</v>
      </c>
    </row>
    <row r="791" spans="1:11">
      <c r="C791" s="185"/>
      <c r="D791" s="185"/>
    </row>
    <row r="792" spans="1:11" ht="26">
      <c r="B792" s="195" t="s">
        <v>169</v>
      </c>
      <c r="C792" s="224" t="s">
        <v>87</v>
      </c>
      <c r="D792" s="224" t="s">
        <v>72</v>
      </c>
    </row>
    <row r="793" spans="1:11">
      <c r="B793" s="226" t="s">
        <v>40</v>
      </c>
      <c r="C793" s="186">
        <v>1500</v>
      </c>
      <c r="D793" s="227">
        <f>C793*$I$754</f>
        <v>75.45</v>
      </c>
    </row>
    <row r="794" spans="1:11">
      <c r="B794" s="226" t="s">
        <v>150</v>
      </c>
      <c r="C794" s="186">
        <v>0</v>
      </c>
      <c r="D794" s="227">
        <f>C794*$I$755</f>
        <v>0</v>
      </c>
    </row>
    <row r="795" spans="1:11">
      <c r="B795" s="226" t="s">
        <v>151</v>
      </c>
      <c r="C795" s="186">
        <v>0</v>
      </c>
      <c r="D795" s="227">
        <f>C795*$I$755</f>
        <v>0</v>
      </c>
    </row>
    <row r="796" spans="1:11">
      <c r="B796" s="226" t="s">
        <v>152</v>
      </c>
      <c r="C796" s="186">
        <v>0</v>
      </c>
      <c r="D796" s="227">
        <f>C796*$I$755</f>
        <v>0</v>
      </c>
    </row>
    <row r="797" spans="1:11">
      <c r="B797" s="226" t="s">
        <v>153</v>
      </c>
      <c r="C797" s="180">
        <f>13500+5973.36+9908.271</f>
        <v>29381.631000000001</v>
      </c>
      <c r="D797" s="227">
        <f>C797*$I$754</f>
        <v>1477.8960393</v>
      </c>
    </row>
    <row r="798" spans="1:11">
      <c r="B798" s="226"/>
      <c r="C798" s="228"/>
      <c r="D798" s="229"/>
    </row>
    <row r="799" spans="1:11">
      <c r="B799" s="195" t="s">
        <v>45</v>
      </c>
      <c r="C799" s="230">
        <f>SUM(C793:C798)</f>
        <v>30881.631000000001</v>
      </c>
      <c r="D799" s="230">
        <f>SUM(D793:D798)</f>
        <v>1553.3460393</v>
      </c>
    </row>
    <row r="800" spans="1:11">
      <c r="A800" s="195" t="s">
        <v>170</v>
      </c>
      <c r="B800" s="218" t="s">
        <v>34</v>
      </c>
      <c r="C800" s="220">
        <f>C799+C760-C775</f>
        <v>0</v>
      </c>
      <c r="D800" s="220">
        <f>D799+D760-D775</f>
        <v>0</v>
      </c>
    </row>
    <row r="802" spans="1:9">
      <c r="H802" s="195" t="s">
        <v>171</v>
      </c>
      <c r="I802" s="196">
        <f>+Model!AN244</f>
        <v>4.8710629633598644E-2</v>
      </c>
    </row>
    <row r="803" spans="1:9">
      <c r="H803" s="197" t="s">
        <v>172</v>
      </c>
      <c r="I803" s="196">
        <f>AVERAGE(Model!AK243:AN243)</f>
        <v>4.8966374725472751E-2</v>
      </c>
    </row>
    <row r="804" spans="1:9">
      <c r="H804" s="197"/>
      <c r="I804" s="196"/>
    </row>
    <row r="805" spans="1:9">
      <c r="A805" s="198"/>
      <c r="H805" s="198"/>
      <c r="I805" s="198"/>
    </row>
    <row r="806" spans="1:9">
      <c r="A806" s="198"/>
      <c r="H806" s="203" t="s">
        <v>69</v>
      </c>
      <c r="I806" s="204"/>
    </row>
    <row r="807" spans="1:9">
      <c r="B807" s="199" t="s">
        <v>173</v>
      </c>
      <c r="C807" s="200" t="s">
        <v>67</v>
      </c>
      <c r="D807" s="200" t="s">
        <v>68</v>
      </c>
      <c r="E807" s="201" t="s">
        <v>60</v>
      </c>
      <c r="F807" s="201" t="s">
        <v>7</v>
      </c>
      <c r="H807" s="203"/>
      <c r="I807" s="204"/>
    </row>
    <row r="808" spans="1:9">
      <c r="B808" s="202" t="s">
        <v>9</v>
      </c>
      <c r="C808" s="178">
        <f>Model!AN119+Model!AN120</f>
        <v>12560.09</v>
      </c>
      <c r="D808" s="178">
        <f>Capitalisation!C808*$I$802</f>
        <v>611.80989215466604</v>
      </c>
      <c r="E808" s="201"/>
      <c r="F808" s="201"/>
    </row>
    <row r="809" spans="1:9">
      <c r="B809" s="205" t="s">
        <v>11</v>
      </c>
      <c r="C809" s="179"/>
      <c r="D809" s="179"/>
      <c r="E809" s="206"/>
      <c r="F809" s="206"/>
      <c r="H809" s="194" t="s">
        <v>10</v>
      </c>
      <c r="I809" s="180">
        <v>33225.1</v>
      </c>
    </row>
    <row r="810" spans="1:9">
      <c r="B810" s="202" t="s">
        <v>13</v>
      </c>
      <c r="C810" s="178">
        <f>Model!AN128</f>
        <v>6140.16</v>
      </c>
      <c r="D810" s="178">
        <f>Capitalisation!C810*$I$802</f>
        <v>299.09105965103703</v>
      </c>
      <c r="E810" s="206"/>
      <c r="F810" s="207"/>
      <c r="H810" s="194" t="s">
        <v>12</v>
      </c>
      <c r="I810" s="180">
        <v>-2734.8</v>
      </c>
    </row>
    <row r="811" spans="1:9">
      <c r="B811" s="202" t="s">
        <v>15</v>
      </c>
      <c r="C811" s="178">
        <f>Model!AN129</f>
        <v>10184.949000000001</v>
      </c>
      <c r="D811" s="178">
        <f>Capitalisation!C811*$I$802</f>
        <v>496.11527857609093</v>
      </c>
      <c r="E811" s="206"/>
      <c r="F811" s="206"/>
      <c r="H811" s="195" t="s">
        <v>14</v>
      </c>
      <c r="I811" s="208">
        <f>SUM(I809:I810)</f>
        <v>30490.3</v>
      </c>
    </row>
    <row r="812" spans="1:9">
      <c r="B812" s="205" t="s">
        <v>17</v>
      </c>
      <c r="C812" s="178"/>
      <c r="D812" s="178">
        <f>Capitalisation!C812*$I$802</f>
        <v>0</v>
      </c>
      <c r="E812" s="206"/>
      <c r="F812" s="206"/>
      <c r="H812" s="194" t="s">
        <v>16</v>
      </c>
      <c r="I812" s="209">
        <f>C824</f>
        <v>32494.9</v>
      </c>
    </row>
    <row r="813" spans="1:9">
      <c r="B813" s="202" t="s">
        <v>135</v>
      </c>
      <c r="C813" s="178">
        <f>Model!AN124</f>
        <v>0</v>
      </c>
      <c r="D813" s="178">
        <f>Capitalisation!C813*$I$802</f>
        <v>0</v>
      </c>
      <c r="E813" s="206"/>
      <c r="F813" s="207"/>
      <c r="H813" s="195" t="s">
        <v>18</v>
      </c>
      <c r="I813" s="208">
        <f>I811-I812</f>
        <v>-2004.6000000000022</v>
      </c>
    </row>
    <row r="814" spans="1:9">
      <c r="B814" s="202" t="s">
        <v>136</v>
      </c>
      <c r="C814" s="178">
        <f>Model!AN125</f>
        <v>0</v>
      </c>
      <c r="D814" s="178">
        <f>Capitalisation!C814*$I$802</f>
        <v>0</v>
      </c>
      <c r="E814" s="206"/>
      <c r="F814" s="181"/>
      <c r="H814" s="211" t="s">
        <v>20</v>
      </c>
      <c r="I814" s="204">
        <f>I811/C828</f>
        <v>1.1480689361734173</v>
      </c>
    </row>
    <row r="815" spans="1:9">
      <c r="B815" s="202" t="s">
        <v>137</v>
      </c>
      <c r="C815" s="178">
        <f>Model!AN126</f>
        <v>1500</v>
      </c>
      <c r="D815" s="178">
        <f>Capitalisation!C815*$I$802</f>
        <v>73.065944450397964</v>
      </c>
      <c r="E815" s="206"/>
      <c r="F815" s="206"/>
      <c r="H815" s="211" t="s">
        <v>22</v>
      </c>
      <c r="I815" s="204">
        <f>I813/C828</f>
        <v>-7.5480365540950223E-2</v>
      </c>
    </row>
    <row r="816" spans="1:9">
      <c r="B816" s="202" t="s">
        <v>138</v>
      </c>
      <c r="C816" s="178">
        <f>Model!AN127</f>
        <v>1900</v>
      </c>
      <c r="D816" s="178">
        <f>Capitalisation!C816*$I$802</f>
        <v>92.550196303837424</v>
      </c>
      <c r="E816" s="206"/>
      <c r="F816" s="210"/>
    </row>
    <row r="817" spans="2:11">
      <c r="B817" s="202" t="s">
        <v>19</v>
      </c>
      <c r="C817" s="178">
        <f>Model!AN130</f>
        <v>3500</v>
      </c>
      <c r="D817" s="178">
        <f>Capitalisation!C817*$I$802</f>
        <v>170.48720371759526</v>
      </c>
      <c r="E817" s="206"/>
      <c r="F817" s="207"/>
    </row>
    <row r="818" spans="2:11" ht="12" customHeight="1">
      <c r="B818" s="202" t="s">
        <v>21</v>
      </c>
      <c r="C818" s="178">
        <f>Model!AN131</f>
        <v>5000</v>
      </c>
      <c r="D818" s="178">
        <f>Capitalisation!C818*$I$802</f>
        <v>243.55314816799321</v>
      </c>
      <c r="E818" s="206"/>
      <c r="F818" s="207"/>
    </row>
    <row r="819" spans="2:11">
      <c r="B819" s="202" t="s">
        <v>23</v>
      </c>
      <c r="C819" s="178">
        <f>Model!AN132</f>
        <v>5000</v>
      </c>
      <c r="D819" s="178">
        <f>Capitalisation!C819*$I$802</f>
        <v>243.55314816799321</v>
      </c>
      <c r="E819" s="206"/>
      <c r="F819" s="207"/>
    </row>
    <row r="820" spans="2:11">
      <c r="B820" s="202" t="s">
        <v>139</v>
      </c>
      <c r="C820" s="178">
        <f>Model!AN136</f>
        <v>0</v>
      </c>
      <c r="D820" s="178">
        <f>Capitalisation!C820*$I$802</f>
        <v>0</v>
      </c>
      <c r="E820" s="206"/>
      <c r="F820" s="207"/>
    </row>
    <row r="821" spans="2:11">
      <c r="B821" s="202" t="s">
        <v>140</v>
      </c>
      <c r="C821" s="178">
        <f>Model!AN137</f>
        <v>0</v>
      </c>
      <c r="D821" s="178">
        <f>Capitalisation!C821*$I$802</f>
        <v>0</v>
      </c>
      <c r="E821" s="206"/>
      <c r="F821" s="207"/>
    </row>
    <row r="822" spans="2:11">
      <c r="B822" s="202" t="s">
        <v>141</v>
      </c>
      <c r="C822" s="178">
        <f>Model!AN138</f>
        <v>0</v>
      </c>
      <c r="D822" s="178">
        <f>Capitalisation!C822*$I$802</f>
        <v>0</v>
      </c>
      <c r="E822" s="206"/>
      <c r="F822" s="207"/>
      <c r="H822" s="194" t="s">
        <v>78</v>
      </c>
      <c r="I822" s="182">
        <v>1.28</v>
      </c>
      <c r="J822" s="198"/>
    </row>
    <row r="823" spans="2:11">
      <c r="B823" s="212" t="s">
        <v>28</v>
      </c>
      <c r="C823" s="183">
        <f>SUM(C808:C822)</f>
        <v>45785.199000000001</v>
      </c>
      <c r="D823" s="183">
        <f>SUM(D808:D822)</f>
        <v>2230.2258711896111</v>
      </c>
      <c r="E823" s="213">
        <f>C823/C828</f>
        <v>1.723976632188539</v>
      </c>
      <c r="F823" s="214">
        <f>D823/D828</f>
        <v>1.7149725234576039</v>
      </c>
      <c r="H823" s="194" t="s">
        <v>26</v>
      </c>
      <c r="I823" s="182">
        <v>-0.08</v>
      </c>
      <c r="J823" s="198"/>
    </row>
    <row r="824" spans="2:11">
      <c r="B824" s="215" t="s">
        <v>29</v>
      </c>
      <c r="C824" s="216">
        <f>Model!AN144</f>
        <v>32494.9</v>
      </c>
      <c r="D824" s="178">
        <f>Capitalisation!C824*$I$802</f>
        <v>1582.8470388808246</v>
      </c>
      <c r="E824" s="217"/>
      <c r="F824" s="211"/>
    </row>
    <row r="825" spans="2:11">
      <c r="B825" s="212" t="s">
        <v>30</v>
      </c>
      <c r="C825" s="183">
        <f>C823-C824</f>
        <v>13290.298999999999</v>
      </c>
      <c r="D825" s="183">
        <f>D823-D824</f>
        <v>647.37883230878651</v>
      </c>
      <c r="E825" s="213">
        <f>C825/C828</f>
        <v>0.50042733047417143</v>
      </c>
      <c r="F825" s="214">
        <f>D825/D828</f>
        <v>0.49781366274144773</v>
      </c>
    </row>
    <row r="826" spans="2:11">
      <c r="B826" s="212" t="s">
        <v>31</v>
      </c>
      <c r="C826" s="183">
        <f>Model!AN156</f>
        <v>119887.5</v>
      </c>
      <c r="E826" s="213"/>
    </row>
    <row r="827" spans="2:11">
      <c r="B827" s="212" t="s">
        <v>32</v>
      </c>
      <c r="C827" s="183">
        <f>C825+C826</f>
        <v>133177.799</v>
      </c>
      <c r="D827" s="183"/>
      <c r="E827" s="214"/>
    </row>
    <row r="828" spans="2:11">
      <c r="B828" s="215" t="s">
        <v>33</v>
      </c>
      <c r="C828" s="6">
        <f>Model!AO92</f>
        <v>26557.9</v>
      </c>
      <c r="D828" s="178">
        <f>Capitalisation!C828*$I$803</f>
        <v>1300.4440833216329</v>
      </c>
      <c r="E828" s="215"/>
    </row>
    <row r="829" spans="2:11">
      <c r="B829" s="218" t="s">
        <v>34</v>
      </c>
      <c r="C829" s="219">
        <f>C823-Model!AN116</f>
        <v>0</v>
      </c>
      <c r="D829" s="220"/>
      <c r="E829" s="221"/>
      <c r="G829" s="184"/>
      <c r="H829" s="184"/>
      <c r="I829" s="184"/>
    </row>
    <row r="830" spans="2:11">
      <c r="G830" s="213"/>
      <c r="H830" s="213"/>
      <c r="I830" s="213"/>
      <c r="K830" s="198"/>
    </row>
    <row r="831" spans="2:11">
      <c r="B831" s="212" t="s">
        <v>35</v>
      </c>
      <c r="C831" s="222">
        <f>C825+Model!AN155</f>
        <v>143698.49900000001</v>
      </c>
      <c r="E831" s="223"/>
      <c r="F831" s="184"/>
      <c r="K831" s="198"/>
    </row>
    <row r="832" spans="2:11">
      <c r="B832" s="212" t="s">
        <v>36</v>
      </c>
      <c r="C832" s="214">
        <f>C831/C828</f>
        <v>5.4107628615214303</v>
      </c>
      <c r="E832" s="223"/>
      <c r="F832" s="213"/>
    </row>
    <row r="835" spans="1:11" s="198" customFormat="1" ht="26">
      <c r="A835" s="194"/>
      <c r="B835" s="224" t="s">
        <v>174</v>
      </c>
      <c r="C835" s="224" t="s">
        <v>87</v>
      </c>
      <c r="D835" s="224" t="s">
        <v>72</v>
      </c>
      <c r="E835" s="194"/>
      <c r="F835" s="194"/>
      <c r="G835" s="194"/>
      <c r="H835" s="194"/>
      <c r="I835" s="194"/>
      <c r="J835" s="194"/>
      <c r="K835" s="194"/>
    </row>
    <row r="836" spans="1:11" s="198" customFormat="1">
      <c r="A836" s="194"/>
      <c r="B836" s="225"/>
      <c r="C836" s="185"/>
      <c r="D836" s="185"/>
      <c r="E836" s="194"/>
      <c r="F836" s="194"/>
      <c r="G836" s="194"/>
      <c r="H836" s="194"/>
      <c r="I836" s="194"/>
      <c r="J836" s="194"/>
      <c r="K836" s="194"/>
    </row>
    <row r="837" spans="1:11">
      <c r="B837" s="225" t="s">
        <v>16</v>
      </c>
      <c r="C837" s="185">
        <f>C824</f>
        <v>32494.9</v>
      </c>
      <c r="D837" s="185">
        <f>C837*I802</f>
        <v>1582.8470388808246</v>
      </c>
    </row>
    <row r="838" spans="1:11">
      <c r="B838" s="194" t="s">
        <v>38</v>
      </c>
      <c r="C838" s="185">
        <f>SUM(C836:C837)</f>
        <v>32494.9</v>
      </c>
      <c r="D838" s="185">
        <f>SUM(D836:D837)</f>
        <v>1582.8470388808246</v>
      </c>
    </row>
    <row r="840" spans="1:11">
      <c r="C840" s="231"/>
    </row>
    <row r="842" spans="1:11" ht="26">
      <c r="B842" s="195" t="s">
        <v>175</v>
      </c>
      <c r="C842" s="224" t="s">
        <v>87</v>
      </c>
      <c r="D842" s="224" t="s">
        <v>72</v>
      </c>
    </row>
    <row r="843" spans="1:11">
      <c r="B843" s="226" t="s">
        <v>40</v>
      </c>
      <c r="C843" s="186">
        <f>1900+1500</f>
        <v>3400</v>
      </c>
      <c r="D843" s="227">
        <f>C843*$I$802</f>
        <v>165.6161407542354</v>
      </c>
    </row>
    <row r="844" spans="1:11">
      <c r="B844" s="226" t="s">
        <v>150</v>
      </c>
      <c r="C844" s="186">
        <v>0</v>
      </c>
      <c r="D844" s="229">
        <f>C844*$I$802</f>
        <v>0</v>
      </c>
    </row>
    <row r="845" spans="1:11">
      <c r="B845" s="226" t="s">
        <v>151</v>
      </c>
      <c r="C845" s="186">
        <v>0</v>
      </c>
      <c r="D845" s="229">
        <f>C845*$I$802</f>
        <v>0</v>
      </c>
    </row>
    <row r="846" spans="1:11">
      <c r="B846" s="226" t="s">
        <v>152</v>
      </c>
      <c r="C846" s="186">
        <v>6140.16</v>
      </c>
      <c r="D846" s="229">
        <f>C846*$I$802</f>
        <v>299.09105965103703</v>
      </c>
    </row>
    <row r="847" spans="1:11">
      <c r="B847" s="226" t="s">
        <v>153</v>
      </c>
      <c r="C847" s="180">
        <f>13500+10184.949</f>
        <v>23684.949000000001</v>
      </c>
      <c r="D847" s="229">
        <f>C847*$I$802</f>
        <v>1153.7087786296727</v>
      </c>
    </row>
    <row r="848" spans="1:11">
      <c r="B848" s="226"/>
      <c r="C848" s="228"/>
      <c r="D848" s="229"/>
    </row>
    <row r="849" spans="1:9">
      <c r="B849" s="195" t="s">
        <v>45</v>
      </c>
      <c r="C849" s="230">
        <f>SUM(C843:C848)</f>
        <v>33225.108999999997</v>
      </c>
      <c r="D849" s="230">
        <f>SUM(D843:D848)</f>
        <v>1618.4159790349452</v>
      </c>
    </row>
    <row r="850" spans="1:9">
      <c r="B850" s="218" t="s">
        <v>34</v>
      </c>
      <c r="C850" s="220">
        <f>C849+C808-C823</f>
        <v>0</v>
      </c>
      <c r="D850" s="220">
        <f>D849+D808-D823</f>
        <v>0</v>
      </c>
    </row>
    <row r="851" spans="1:9">
      <c r="B851" s="218"/>
      <c r="C851" s="220"/>
      <c r="D851" s="220"/>
    </row>
    <row r="852" spans="1:9">
      <c r="A852" s="195" t="s">
        <v>176</v>
      </c>
      <c r="B852" s="218"/>
      <c r="C852" s="220"/>
      <c r="D852" s="220"/>
    </row>
    <row r="854" spans="1:9">
      <c r="H854" s="195" t="s">
        <v>177</v>
      </c>
      <c r="I854" s="196">
        <f>+Model!AM244</f>
        <v>4.9599157290699511E-2</v>
      </c>
    </row>
    <row r="855" spans="1:9">
      <c r="H855" s="197" t="s">
        <v>178</v>
      </c>
      <c r="I855" s="196">
        <f>AVERAGE(Model!AJ243:AM243)</f>
        <v>4.9157578645349753E-2</v>
      </c>
    </row>
    <row r="856" spans="1:9">
      <c r="H856" s="197"/>
      <c r="I856" s="196"/>
    </row>
    <row r="857" spans="1:9">
      <c r="A857" s="198"/>
      <c r="H857" s="198"/>
      <c r="I857" s="198"/>
    </row>
    <row r="858" spans="1:9">
      <c r="A858" s="198"/>
      <c r="H858" s="203" t="s">
        <v>69</v>
      </c>
      <c r="I858" s="204"/>
    </row>
    <row r="859" spans="1:9">
      <c r="B859" s="199" t="s">
        <v>179</v>
      </c>
      <c r="C859" s="200" t="s">
        <v>67</v>
      </c>
      <c r="D859" s="200" t="s">
        <v>68</v>
      </c>
      <c r="E859" s="201" t="s">
        <v>60</v>
      </c>
      <c r="F859" s="201" t="s">
        <v>7</v>
      </c>
      <c r="H859" s="203"/>
      <c r="I859" s="204"/>
    </row>
    <row r="860" spans="1:9">
      <c r="B860" s="202" t="s">
        <v>9</v>
      </c>
      <c r="C860" s="178">
        <f>Model!AM119+Model!AM120</f>
        <v>12383.909</v>
      </c>
      <c r="D860" s="178">
        <f>Capitalisation!C860*$I$854</f>
        <v>614.2314503647093</v>
      </c>
      <c r="E860" s="201"/>
      <c r="F860" s="201"/>
    </row>
    <row r="861" spans="1:9">
      <c r="B861" s="205" t="s">
        <v>11</v>
      </c>
      <c r="C861" s="179"/>
      <c r="D861" s="179"/>
      <c r="E861" s="206"/>
      <c r="F861" s="206"/>
      <c r="H861" s="194" t="s">
        <v>10</v>
      </c>
      <c r="I861" s="180">
        <v>33866.9</v>
      </c>
    </row>
    <row r="862" spans="1:9">
      <c r="B862" s="202" t="s">
        <v>13</v>
      </c>
      <c r="C862" s="178">
        <f>Model!AM128</f>
        <v>6168.6890000000003</v>
      </c>
      <c r="D862" s="178">
        <f>Capitalisation!C862*$I$854</f>
        <v>305.96177598840791</v>
      </c>
      <c r="E862" s="206"/>
      <c r="F862" s="207"/>
      <c r="H862" s="194" t="s">
        <v>12</v>
      </c>
      <c r="I862" s="180">
        <v>-2813.2</v>
      </c>
    </row>
    <row r="863" spans="1:9">
      <c r="B863" s="202" t="s">
        <v>15</v>
      </c>
      <c r="C863" s="178">
        <f>Model!AM129</f>
        <v>10281.15</v>
      </c>
      <c r="D863" s="178">
        <f>Capitalisation!C863*$I$854</f>
        <v>509.93637597927528</v>
      </c>
      <c r="E863" s="206"/>
      <c r="F863" s="206"/>
      <c r="H863" s="195" t="s">
        <v>14</v>
      </c>
      <c r="I863" s="208">
        <f>SUM(I861:I862)</f>
        <v>31053.7</v>
      </c>
    </row>
    <row r="864" spans="1:9">
      <c r="B864" s="205" t="s">
        <v>17</v>
      </c>
      <c r="C864" s="178"/>
      <c r="D864" s="178">
        <f>Capitalisation!C864*$I$854</f>
        <v>0</v>
      </c>
      <c r="E864" s="206"/>
      <c r="F864" s="206"/>
      <c r="H864" s="194" t="s">
        <v>16</v>
      </c>
      <c r="I864" s="209">
        <f>C876</f>
        <v>20364.069</v>
      </c>
    </row>
    <row r="865" spans="2:11" ht="12" customHeight="1">
      <c r="B865" s="202" t="s">
        <v>135</v>
      </c>
      <c r="C865" s="178">
        <f>Model!AM124</f>
        <v>0</v>
      </c>
      <c r="D865" s="178">
        <f>Capitalisation!C865*$I$854</f>
        <v>0</v>
      </c>
      <c r="E865" s="206"/>
      <c r="F865" s="207"/>
      <c r="H865" s="195" t="s">
        <v>18</v>
      </c>
      <c r="I865" s="208">
        <f>I863-I864</f>
        <v>10689.631000000001</v>
      </c>
    </row>
    <row r="866" spans="2:11">
      <c r="B866" s="202" t="s">
        <v>136</v>
      </c>
      <c r="C866" s="178">
        <f>Model!AM125</f>
        <v>0</v>
      </c>
      <c r="D866" s="178">
        <f>Capitalisation!C866*$I$854</f>
        <v>0</v>
      </c>
      <c r="E866" s="206"/>
      <c r="F866" s="181"/>
      <c r="H866" s="211" t="s">
        <v>20</v>
      </c>
      <c r="I866" s="204">
        <f>I863/C880</f>
        <v>1.4886506905461572</v>
      </c>
    </row>
    <row r="867" spans="2:11">
      <c r="B867" s="202" t="s">
        <v>137</v>
      </c>
      <c r="C867" s="178">
        <f>Model!AM126</f>
        <v>1500</v>
      </c>
      <c r="D867" s="178">
        <f>Capitalisation!C867*$I$854</f>
        <v>74.398735936049263</v>
      </c>
      <c r="E867" s="206"/>
      <c r="F867" s="206"/>
      <c r="H867" s="211" t="s">
        <v>22</v>
      </c>
      <c r="I867" s="204">
        <f>I865/C880</f>
        <v>0.51243898697525925</v>
      </c>
    </row>
    <row r="868" spans="2:11">
      <c r="B868" s="202" t="s">
        <v>138</v>
      </c>
      <c r="C868" s="178">
        <f>Model!AM127</f>
        <v>1900</v>
      </c>
      <c r="D868" s="178">
        <f>Capitalisation!C868*$I$854</f>
        <v>94.23839885232907</v>
      </c>
      <c r="E868" s="206"/>
      <c r="F868" s="210"/>
    </row>
    <row r="869" spans="2:11">
      <c r="B869" s="202" t="s">
        <v>19</v>
      </c>
      <c r="C869" s="178">
        <f>Model!AM130</f>
        <v>3500</v>
      </c>
      <c r="D869" s="178">
        <f>Capitalisation!C869*$I$854</f>
        <v>173.59705051744828</v>
      </c>
      <c r="E869" s="206"/>
      <c r="F869" s="207"/>
    </row>
    <row r="870" spans="2:11">
      <c r="B870" s="202" t="s">
        <v>21</v>
      </c>
      <c r="C870" s="178">
        <f>Model!AM131</f>
        <v>5000</v>
      </c>
      <c r="D870" s="178">
        <f>Capitalisation!C870*$I$854</f>
        <v>247.99578645349754</v>
      </c>
      <c r="E870" s="206"/>
      <c r="F870" s="207"/>
    </row>
    <row r="871" spans="2:11">
      <c r="B871" s="202" t="s">
        <v>23</v>
      </c>
      <c r="C871" s="178">
        <f>Model!AM132</f>
        <v>5000</v>
      </c>
      <c r="D871" s="178">
        <f>Capitalisation!C871*$I$854</f>
        <v>247.99578645349754</v>
      </c>
      <c r="E871" s="206"/>
      <c r="F871" s="207"/>
    </row>
    <row r="872" spans="2:11">
      <c r="B872" s="202" t="s">
        <v>139</v>
      </c>
      <c r="C872" s="178">
        <f>Model!AM136</f>
        <v>517.01700000000005</v>
      </c>
      <c r="D872" s="178">
        <f>Capitalisation!C872*$I$854</f>
        <v>25.64360750496559</v>
      </c>
      <c r="E872" s="206"/>
      <c r="F872" s="207"/>
      <c r="J872" s="198"/>
    </row>
    <row r="873" spans="2:11">
      <c r="B873" s="202" t="s">
        <v>140</v>
      </c>
      <c r="C873" s="178">
        <f>Model!AM137</f>
        <v>0</v>
      </c>
      <c r="D873" s="178">
        <f>Capitalisation!C873*$I$854</f>
        <v>0</v>
      </c>
      <c r="E873" s="206"/>
      <c r="F873" s="207"/>
      <c r="J873" s="198"/>
    </row>
    <row r="874" spans="2:11">
      <c r="B874" s="202" t="s">
        <v>141</v>
      </c>
      <c r="C874" s="178">
        <f>Model!AM138</f>
        <v>0</v>
      </c>
      <c r="D874" s="178">
        <f>Capitalisation!C874*$I$854</f>
        <v>0</v>
      </c>
      <c r="E874" s="206"/>
      <c r="F874" s="207"/>
      <c r="H874" s="194" t="s">
        <v>78</v>
      </c>
      <c r="I874" s="182">
        <v>1.49</v>
      </c>
    </row>
    <row r="875" spans="2:11">
      <c r="B875" s="212" t="s">
        <v>28</v>
      </c>
      <c r="C875" s="183">
        <f>SUM(C860:C874)</f>
        <v>46250.764999999999</v>
      </c>
      <c r="D875" s="183">
        <f>SUM(D860:D874)</f>
        <v>2293.9989680501799</v>
      </c>
      <c r="E875" s="213">
        <f>C875/C880</f>
        <v>2.2171668192691381</v>
      </c>
      <c r="F875" s="214">
        <f>D875/D880</f>
        <v>2.2370834536426645</v>
      </c>
      <c r="H875" s="194" t="s">
        <v>26</v>
      </c>
      <c r="I875" s="182">
        <v>0.51</v>
      </c>
    </row>
    <row r="876" spans="2:11">
      <c r="B876" s="215" t="s">
        <v>29</v>
      </c>
      <c r="C876" s="216">
        <f>Model!AM144</f>
        <v>20364.069</v>
      </c>
      <c r="D876" s="178">
        <f>Capitalisation!C876*$I$854</f>
        <v>1010.0406614096579</v>
      </c>
      <c r="E876" s="217"/>
      <c r="F876" s="211"/>
    </row>
    <row r="877" spans="2:11">
      <c r="B877" s="212" t="s">
        <v>30</v>
      </c>
      <c r="C877" s="183">
        <f>C875-C876</f>
        <v>25886.696</v>
      </c>
      <c r="D877" s="183">
        <f>D875-D876</f>
        <v>1283.9583066405221</v>
      </c>
      <c r="E877" s="213">
        <f>C877/C880</f>
        <v>1.2409551156982401</v>
      </c>
      <c r="F877" s="214">
        <f>D877/D880</f>
        <v>1.2521025174627438</v>
      </c>
      <c r="K877" s="198"/>
    </row>
    <row r="878" spans="2:11">
      <c r="B878" s="212" t="s">
        <v>31</v>
      </c>
      <c r="C878" s="183">
        <f>Model!AM156</f>
        <v>112564.478</v>
      </c>
      <c r="E878" s="213"/>
      <c r="K878" s="198"/>
    </row>
    <row r="879" spans="2:11">
      <c r="B879" s="212" t="s">
        <v>32</v>
      </c>
      <c r="C879" s="183">
        <f>C877+C878</f>
        <v>138451.174</v>
      </c>
      <c r="D879" s="183"/>
      <c r="E879" s="214"/>
    </row>
    <row r="880" spans="2:11">
      <c r="B880" s="215" t="s">
        <v>33</v>
      </c>
      <c r="C880" s="6">
        <f>Model!AM92</f>
        <v>20860.3</v>
      </c>
      <c r="D880" s="178">
        <f>Capitalisation!C880*$I$855</f>
        <v>1025.4418378155895</v>
      </c>
      <c r="E880" s="215"/>
    </row>
    <row r="881" spans="1:11">
      <c r="B881" s="218" t="s">
        <v>34</v>
      </c>
      <c r="C881" s="219">
        <f>C875-Model!AM116</f>
        <v>0</v>
      </c>
      <c r="D881" s="220"/>
      <c r="E881" s="221"/>
      <c r="G881" s="184"/>
      <c r="H881" s="184"/>
      <c r="I881" s="184"/>
    </row>
    <row r="882" spans="1:11" s="198" customFormat="1">
      <c r="A882" s="194"/>
      <c r="B882" s="194"/>
      <c r="C882" s="194"/>
      <c r="D882" s="194"/>
      <c r="E882" s="194"/>
      <c r="F882" s="194"/>
      <c r="G882" s="213"/>
      <c r="H882" s="213"/>
      <c r="I882" s="213"/>
      <c r="J882" s="194"/>
      <c r="K882" s="194"/>
    </row>
    <row r="883" spans="1:11" s="198" customFormat="1">
      <c r="A883" s="194"/>
      <c r="B883" s="212" t="s">
        <v>35</v>
      </c>
      <c r="C883" s="222">
        <f>C877+Model!AM155</f>
        <v>142452.696</v>
      </c>
      <c r="D883" s="194"/>
      <c r="E883" s="223"/>
      <c r="F883" s="184"/>
      <c r="G883" s="194"/>
      <c r="H883" s="194"/>
      <c r="I883" s="194"/>
      <c r="J883" s="194"/>
      <c r="K883" s="194"/>
    </row>
    <row r="884" spans="1:11">
      <c r="B884" s="212" t="s">
        <v>36</v>
      </c>
      <c r="C884" s="214">
        <f>C883/C880</f>
        <v>6.8288900926640554</v>
      </c>
      <c r="E884" s="223"/>
      <c r="F884" s="213"/>
    </row>
    <row r="887" spans="1:11" ht="26">
      <c r="B887" s="224" t="s">
        <v>180</v>
      </c>
      <c r="C887" s="224" t="s">
        <v>87</v>
      </c>
      <c r="D887" s="224" t="s">
        <v>72</v>
      </c>
    </row>
    <row r="888" spans="1:11">
      <c r="B888" s="225"/>
      <c r="C888" s="185"/>
      <c r="D888" s="185"/>
    </row>
    <row r="889" spans="1:11">
      <c r="B889" s="225" t="s">
        <v>16</v>
      </c>
      <c r="C889" s="185">
        <f>C876</f>
        <v>20364.069</v>
      </c>
      <c r="D889" s="185">
        <f>C889*I854</f>
        <v>1010.0406614096579</v>
      </c>
    </row>
    <row r="890" spans="1:11">
      <c r="B890" s="194" t="s">
        <v>38</v>
      </c>
      <c r="C890" s="185">
        <f>SUM(C888:C889)</f>
        <v>20364.069</v>
      </c>
      <c r="D890" s="185">
        <f>SUM(D888:D889)</f>
        <v>1010.0406614096579</v>
      </c>
    </row>
    <row r="892" spans="1:11">
      <c r="C892" s="231"/>
    </row>
    <row r="894" spans="1:11" ht="26">
      <c r="B894" s="195" t="s">
        <v>181</v>
      </c>
      <c r="C894" s="224" t="s">
        <v>87</v>
      </c>
      <c r="D894" s="224" t="s">
        <v>72</v>
      </c>
    </row>
    <row r="895" spans="1:11">
      <c r="B895" s="226" t="s">
        <v>40</v>
      </c>
      <c r="C895" s="186">
        <f>1900+1500+517.017</f>
        <v>3917.0169999999998</v>
      </c>
      <c r="D895" s="227">
        <f>C895*$I$854</f>
        <v>194.28074229334391</v>
      </c>
    </row>
    <row r="896" spans="1:11">
      <c r="B896" s="226" t="s">
        <v>150</v>
      </c>
      <c r="C896" s="186">
        <v>0</v>
      </c>
      <c r="D896" s="229">
        <f>C896*$I$854</f>
        <v>0</v>
      </c>
    </row>
    <row r="897" spans="1:9">
      <c r="B897" s="226" t="s">
        <v>151</v>
      </c>
      <c r="C897" s="186">
        <v>0</v>
      </c>
      <c r="D897" s="229">
        <f>C897*$I$854</f>
        <v>0</v>
      </c>
    </row>
    <row r="898" spans="1:9">
      <c r="B898" s="226" t="s">
        <v>152</v>
      </c>
      <c r="C898" s="186">
        <v>6168.6890000000003</v>
      </c>
      <c r="D898" s="229">
        <f>C898*$I$854</f>
        <v>305.96177598840791</v>
      </c>
    </row>
    <row r="899" spans="1:9">
      <c r="B899" s="226" t="s">
        <v>153</v>
      </c>
      <c r="C899" s="180">
        <f>13500+10281.15</f>
        <v>23781.15</v>
      </c>
      <c r="D899" s="229">
        <f>C899*$I$854</f>
        <v>1179.5249994037188</v>
      </c>
    </row>
    <row r="900" spans="1:9">
      <c r="B900" s="226"/>
      <c r="C900" s="228"/>
      <c r="D900" s="229"/>
    </row>
    <row r="901" spans="1:9">
      <c r="B901" s="195" t="s">
        <v>45</v>
      </c>
      <c r="C901" s="230">
        <f>SUM(C895:C900)</f>
        <v>33866.856</v>
      </c>
      <c r="D901" s="230">
        <f>SUM(D895:D900)</f>
        <v>1679.7675176854705</v>
      </c>
    </row>
    <row r="902" spans="1:9">
      <c r="B902" s="218" t="s">
        <v>34</v>
      </c>
      <c r="C902" s="220">
        <f>C901+C860-C875</f>
        <v>0</v>
      </c>
      <c r="D902" s="220">
        <f>D901+D860-D875</f>
        <v>0</v>
      </c>
    </row>
    <row r="904" spans="1:9">
      <c r="H904" s="195" t="s">
        <v>182</v>
      </c>
      <c r="I904" s="196">
        <f>+Model!AL244</f>
        <v>4.9464716569364062E-2</v>
      </c>
    </row>
    <row r="905" spans="1:9">
      <c r="H905" s="197" t="s">
        <v>183</v>
      </c>
      <c r="I905" s="196">
        <f>AVERAGE(Model!AI243:AL243)</f>
        <v>4.8289524951348695E-2</v>
      </c>
    </row>
    <row r="906" spans="1:9">
      <c r="H906" s="197"/>
      <c r="I906" s="196"/>
    </row>
    <row r="907" spans="1:9">
      <c r="A907" s="198"/>
      <c r="H907" s="198"/>
      <c r="I907" s="198"/>
    </row>
    <row r="908" spans="1:9">
      <c r="A908" s="198"/>
      <c r="H908" s="203" t="s">
        <v>69</v>
      </c>
      <c r="I908" s="204"/>
    </row>
    <row r="909" spans="1:9">
      <c r="B909" s="199" t="s">
        <v>184</v>
      </c>
      <c r="C909" s="200" t="s">
        <v>67</v>
      </c>
      <c r="D909" s="200" t="s">
        <v>68</v>
      </c>
      <c r="E909" s="201" t="s">
        <v>60</v>
      </c>
      <c r="F909" s="201" t="s">
        <v>7</v>
      </c>
      <c r="H909" s="203"/>
      <c r="I909" s="204"/>
    </row>
    <row r="910" spans="1:9">
      <c r="B910" s="202" t="s">
        <v>9</v>
      </c>
      <c r="C910" s="178">
        <f>Model!AL119+Model!AL120</f>
        <v>12392.97</v>
      </c>
      <c r="D910" s="178">
        <f>Capitalisation!C910*$I$904</f>
        <v>613.01474850263173</v>
      </c>
      <c r="E910" s="201"/>
      <c r="F910" s="201"/>
    </row>
    <row r="911" spans="1:9">
      <c r="B911" s="205" t="s">
        <v>11</v>
      </c>
      <c r="C911" s="179"/>
      <c r="D911" s="179"/>
      <c r="E911" s="206"/>
      <c r="F911" s="206"/>
      <c r="H911" s="194" t="s">
        <v>10</v>
      </c>
      <c r="I911" s="180">
        <v>37801.5</v>
      </c>
    </row>
    <row r="912" spans="1:9" ht="12" customHeight="1">
      <c r="B912" s="202" t="s">
        <v>13</v>
      </c>
      <c r="C912" s="178">
        <f>Model!AL128</f>
        <v>5971.86</v>
      </c>
      <c r="D912" s="178">
        <f>Capitalisation!C912*$I$904</f>
        <v>295.39636229192246</v>
      </c>
      <c r="E912" s="206"/>
      <c r="F912" s="207"/>
      <c r="H912" s="194" t="s">
        <v>12</v>
      </c>
      <c r="I912" s="180">
        <v>-2407.4</v>
      </c>
    </row>
    <row r="913" spans="2:11">
      <c r="B913" s="202" t="s">
        <v>15</v>
      </c>
      <c r="C913" s="178">
        <f>Model!AL129</f>
        <v>14929.65</v>
      </c>
      <c r="D913" s="178">
        <f>Capitalisation!C913*$I$904</f>
        <v>738.49090572980617</v>
      </c>
      <c r="E913" s="206"/>
      <c r="F913" s="206"/>
      <c r="H913" s="195" t="s">
        <v>14</v>
      </c>
      <c r="I913" s="208">
        <f>SUM(I911:I912)</f>
        <v>35394.1</v>
      </c>
    </row>
    <row r="914" spans="2:11">
      <c r="B914" s="205" t="s">
        <v>17</v>
      </c>
      <c r="C914" s="178"/>
      <c r="D914" s="178">
        <f>Capitalisation!C914*$I$904</f>
        <v>0</v>
      </c>
      <c r="E914" s="206"/>
      <c r="F914" s="206"/>
      <c r="H914" s="194" t="s">
        <v>16</v>
      </c>
      <c r="I914" s="209">
        <f>C926</f>
        <v>24905.376</v>
      </c>
    </row>
    <row r="915" spans="2:11">
      <c r="B915" s="202" t="s">
        <v>135</v>
      </c>
      <c r="C915" s="178">
        <f>Model!AL124</f>
        <v>0</v>
      </c>
      <c r="D915" s="178">
        <f>Capitalisation!C915*$I$904</f>
        <v>0</v>
      </c>
      <c r="E915" s="206"/>
      <c r="F915" s="207"/>
      <c r="H915" s="195" t="s">
        <v>18</v>
      </c>
      <c r="I915" s="208">
        <f>I913-I914</f>
        <v>10488.723999999998</v>
      </c>
    </row>
    <row r="916" spans="2:11">
      <c r="B916" s="202" t="s">
        <v>136</v>
      </c>
      <c r="C916" s="178">
        <f>Model!AL125</f>
        <v>0</v>
      </c>
      <c r="D916" s="178">
        <f>Capitalisation!C916*$I$904</f>
        <v>0</v>
      </c>
      <c r="E916" s="206"/>
      <c r="F916" s="181"/>
      <c r="H916" s="211" t="s">
        <v>20</v>
      </c>
      <c r="I916" s="204">
        <f>I913/C930</f>
        <v>2.1293142344922185</v>
      </c>
    </row>
    <row r="917" spans="2:11">
      <c r="B917" s="202" t="s">
        <v>137</v>
      </c>
      <c r="C917" s="178">
        <f>Model!AL126</f>
        <v>1500</v>
      </c>
      <c r="D917" s="178">
        <f>Capitalisation!C917*$I$904</f>
        <v>74.197074854046093</v>
      </c>
      <c r="E917" s="206"/>
      <c r="F917" s="206"/>
      <c r="H917" s="211" t="s">
        <v>22</v>
      </c>
      <c r="I917" s="204">
        <f>I915/C930</f>
        <v>0.63100317043971044</v>
      </c>
    </row>
    <row r="918" spans="2:11">
      <c r="B918" s="202" t="s">
        <v>138</v>
      </c>
      <c r="C918" s="178">
        <f>Model!AL127</f>
        <v>1900</v>
      </c>
      <c r="D918" s="178">
        <f>Capitalisation!C918*$I$904</f>
        <v>93.982961481791719</v>
      </c>
      <c r="E918" s="206"/>
      <c r="F918" s="210"/>
    </row>
    <row r="919" spans="2:11">
      <c r="B919" s="202" t="s">
        <v>19</v>
      </c>
      <c r="C919" s="178">
        <f>Model!AL130</f>
        <v>3500</v>
      </c>
      <c r="D919" s="178">
        <f>Capitalisation!C919*$I$904</f>
        <v>173.12650799277421</v>
      </c>
      <c r="E919" s="206"/>
      <c r="F919" s="207"/>
      <c r="J919" s="198"/>
    </row>
    <row r="920" spans="2:11">
      <c r="B920" s="202" t="s">
        <v>21</v>
      </c>
      <c r="C920" s="178">
        <f>Model!AL131</f>
        <v>5000</v>
      </c>
      <c r="D920" s="178">
        <f>Capitalisation!C920*$I$904</f>
        <v>247.3235828468203</v>
      </c>
      <c r="E920" s="206"/>
      <c r="F920" s="207"/>
      <c r="J920" s="198"/>
    </row>
    <row r="921" spans="2:11">
      <c r="B921" s="202" t="s">
        <v>23</v>
      </c>
      <c r="C921" s="178">
        <f>Model!AL132</f>
        <v>5000</v>
      </c>
      <c r="D921" s="178">
        <f>Capitalisation!C921*$I$904</f>
        <v>247.3235828468203</v>
      </c>
      <c r="E921" s="206"/>
      <c r="F921" s="207"/>
    </row>
    <row r="922" spans="2:11">
      <c r="B922" s="202" t="s">
        <v>139</v>
      </c>
      <c r="C922" s="178">
        <f>Model!AL136</f>
        <v>0</v>
      </c>
      <c r="D922" s="178">
        <f>Capitalisation!C922*$I$904</f>
        <v>0</v>
      </c>
      <c r="E922" s="206"/>
      <c r="F922" s="207"/>
    </row>
    <row r="923" spans="2:11">
      <c r="B923" s="202" t="s">
        <v>140</v>
      </c>
      <c r="C923" s="178">
        <f>Model!AL137</f>
        <v>0</v>
      </c>
      <c r="D923" s="178">
        <f>Capitalisation!C923*$I$904</f>
        <v>0</v>
      </c>
      <c r="E923" s="206"/>
      <c r="F923" s="207"/>
    </row>
    <row r="924" spans="2:11">
      <c r="B924" s="202" t="s">
        <v>141</v>
      </c>
      <c r="C924" s="178">
        <f>Model!AL138</f>
        <v>0</v>
      </c>
      <c r="D924" s="178">
        <f>Capitalisation!C924*$I$904</f>
        <v>0</v>
      </c>
      <c r="E924" s="206"/>
      <c r="F924" s="207"/>
      <c r="H924" s="194" t="s">
        <v>78</v>
      </c>
      <c r="I924" s="182">
        <v>2.1</v>
      </c>
      <c r="K924" s="198"/>
    </row>
    <row r="925" spans="2:11">
      <c r="B925" s="212" t="s">
        <v>28</v>
      </c>
      <c r="C925" s="183">
        <f>SUM(C910:C924)</f>
        <v>50194.479999999996</v>
      </c>
      <c r="D925" s="183">
        <f>SUM(D910:D924)</f>
        <v>2482.8557265466134</v>
      </c>
      <c r="E925" s="213">
        <f>C925/C930</f>
        <v>3.0197072607280582</v>
      </c>
      <c r="F925" s="214">
        <f>D925/D930</f>
        <v>3.0931959658922339</v>
      </c>
      <c r="H925" s="194" t="s">
        <v>26</v>
      </c>
      <c r="I925" s="182">
        <v>0.6</v>
      </c>
      <c r="K925" s="198"/>
    </row>
    <row r="926" spans="2:11">
      <c r="B926" s="215" t="s">
        <v>29</v>
      </c>
      <c r="C926" s="216">
        <f>Model!AL144</f>
        <v>24905.376</v>
      </c>
      <c r="D926" s="178">
        <f>Capitalisation!C926*$I$904</f>
        <v>1231.937364893442</v>
      </c>
      <c r="E926" s="217"/>
      <c r="F926" s="211"/>
    </row>
    <row r="927" spans="2:11">
      <c r="B927" s="212" t="s">
        <v>30</v>
      </c>
      <c r="C927" s="183">
        <f>C925-C926</f>
        <v>25289.103999999996</v>
      </c>
      <c r="D927" s="183">
        <f>D925-D926</f>
        <v>1250.9183616531714</v>
      </c>
      <c r="E927" s="213">
        <f>C927/C930</f>
        <v>1.52139619667555</v>
      </c>
      <c r="F927" s="214">
        <f>D927/D930</f>
        <v>1.558421453391472</v>
      </c>
    </row>
    <row r="928" spans="2:11">
      <c r="B928" s="212" t="s">
        <v>31</v>
      </c>
      <c r="C928" s="183">
        <f>Model!AL156</f>
        <v>110506.22100000001</v>
      </c>
      <c r="E928" s="213"/>
    </row>
    <row r="929" spans="1:11" s="198" customFormat="1">
      <c r="A929" s="194"/>
      <c r="B929" s="212" t="s">
        <v>32</v>
      </c>
      <c r="C929" s="183">
        <f>C927+C928</f>
        <v>135795.32500000001</v>
      </c>
      <c r="D929" s="183"/>
      <c r="E929" s="214"/>
      <c r="F929" s="194"/>
      <c r="G929" s="194"/>
      <c r="H929" s="194"/>
      <c r="I929" s="194"/>
      <c r="J929" s="194"/>
      <c r="K929" s="194"/>
    </row>
    <row r="930" spans="1:11" s="198" customFormat="1">
      <c r="A930" s="194"/>
      <c r="B930" s="215" t="s">
        <v>33</v>
      </c>
      <c r="C930" s="6">
        <f>Model!AL92</f>
        <v>16622.3</v>
      </c>
      <c r="D930" s="178">
        <f>Capitalisation!C930*$I$905</f>
        <v>802.68297059880342</v>
      </c>
      <c r="E930" s="215"/>
      <c r="F930" s="194"/>
      <c r="G930" s="194"/>
      <c r="H930" s="194"/>
      <c r="I930" s="194"/>
      <c r="J930" s="194"/>
      <c r="K930" s="194"/>
    </row>
    <row r="931" spans="1:11">
      <c r="B931" s="218" t="s">
        <v>34</v>
      </c>
      <c r="C931" s="219">
        <f>C925-Model!AL116</f>
        <v>0</v>
      </c>
      <c r="D931" s="220"/>
      <c r="E931" s="221"/>
      <c r="G931" s="184"/>
      <c r="H931" s="184"/>
      <c r="I931" s="184"/>
    </row>
    <row r="932" spans="1:11">
      <c r="G932" s="213"/>
      <c r="H932" s="213"/>
      <c r="I932" s="213"/>
    </row>
    <row r="933" spans="1:11">
      <c r="B933" s="212" t="s">
        <v>35</v>
      </c>
      <c r="C933" s="222">
        <f>C927+Model!AL155</f>
        <v>155201.10399999999</v>
      </c>
      <c r="E933" s="223"/>
      <c r="F933" s="184"/>
    </row>
    <row r="934" spans="1:11">
      <c r="B934" s="212" t="s">
        <v>36</v>
      </c>
      <c r="C934" s="214">
        <f>C933/C930</f>
        <v>9.3369211240321732</v>
      </c>
      <c r="E934" s="223"/>
      <c r="F934" s="213"/>
    </row>
    <row r="937" spans="1:11" ht="26">
      <c r="B937" s="224" t="s">
        <v>185</v>
      </c>
      <c r="C937" s="224" t="s">
        <v>87</v>
      </c>
      <c r="D937" s="224" t="s">
        <v>72</v>
      </c>
    </row>
    <row r="938" spans="1:11">
      <c r="B938" s="225"/>
      <c r="C938" s="185"/>
      <c r="D938" s="185"/>
    </row>
    <row r="939" spans="1:11">
      <c r="B939" s="225" t="s">
        <v>16</v>
      </c>
      <c r="C939" s="185">
        <f>C926</f>
        <v>24905.376</v>
      </c>
      <c r="D939" s="185">
        <f>C939*I904</f>
        <v>1231.937364893442</v>
      </c>
    </row>
    <row r="940" spans="1:11">
      <c r="B940" s="194" t="s">
        <v>38</v>
      </c>
      <c r="C940" s="185">
        <f>SUM(C938:C939)</f>
        <v>24905.376</v>
      </c>
      <c r="D940" s="185">
        <f>SUM(D938:D939)</f>
        <v>1231.937364893442</v>
      </c>
    </row>
    <row r="942" spans="1:11">
      <c r="C942" s="231"/>
    </row>
    <row r="944" spans="1:11" ht="26">
      <c r="B944" s="195" t="s">
        <v>186</v>
      </c>
      <c r="C944" s="224" t="s">
        <v>87</v>
      </c>
      <c r="D944" s="224" t="s">
        <v>72</v>
      </c>
    </row>
    <row r="945" spans="1:9">
      <c r="B945" s="226" t="s">
        <v>40</v>
      </c>
      <c r="C945" s="186">
        <v>1900</v>
      </c>
      <c r="D945" s="227">
        <f>C945*$I$904</f>
        <v>93.982961481791719</v>
      </c>
    </row>
    <row r="946" spans="1:9">
      <c r="B946" s="226" t="s">
        <v>150</v>
      </c>
      <c r="C946" s="186">
        <f>1500</f>
        <v>1500</v>
      </c>
      <c r="D946" s="229">
        <f>C946*$I$904</f>
        <v>74.197074854046093</v>
      </c>
    </row>
    <row r="947" spans="1:9">
      <c r="B947" s="226" t="s">
        <v>151</v>
      </c>
      <c r="C947" s="186">
        <v>0</v>
      </c>
      <c r="D947" s="229">
        <f>C947*$I$904</f>
        <v>0</v>
      </c>
    </row>
    <row r="948" spans="1:9">
      <c r="B948" s="226" t="s">
        <v>152</v>
      </c>
      <c r="C948" s="186">
        <v>5971.86</v>
      </c>
      <c r="D948" s="229">
        <f>C948*$I$904</f>
        <v>295.39636229192246</v>
      </c>
    </row>
    <row r="949" spans="1:9">
      <c r="B949" s="226" t="s">
        <v>153</v>
      </c>
      <c r="C949" s="180">
        <f>13500+14929.65</f>
        <v>28429.65</v>
      </c>
      <c r="D949" s="229">
        <f>C949*$I$904</f>
        <v>1406.2645794162211</v>
      </c>
    </row>
    <row r="950" spans="1:9">
      <c r="B950" s="226"/>
      <c r="C950" s="228"/>
      <c r="D950" s="229"/>
    </row>
    <row r="951" spans="1:9">
      <c r="B951" s="195" t="s">
        <v>45</v>
      </c>
      <c r="C951" s="230">
        <f>SUM(C945:C950)</f>
        <v>37801.51</v>
      </c>
      <c r="D951" s="230">
        <f>SUM(D945:D950)</f>
        <v>1869.8409780439813</v>
      </c>
    </row>
    <row r="952" spans="1:9">
      <c r="B952" s="218" t="s">
        <v>34</v>
      </c>
      <c r="C952" s="220">
        <f>C951+C910-C925</f>
        <v>0</v>
      </c>
      <c r="D952" s="220">
        <f>D951+D910-D925</f>
        <v>0</v>
      </c>
    </row>
    <row r="954" spans="1:9">
      <c r="H954" s="195" t="s">
        <v>187</v>
      </c>
      <c r="I954" s="196">
        <f>+Model!AK244</f>
        <v>4.8910000000000002E-2</v>
      </c>
    </row>
    <row r="955" spans="1:9">
      <c r="H955" s="197" t="s">
        <v>188</v>
      </c>
      <c r="I955" s="196">
        <f>AVERAGE(Model!AH243:AK243)</f>
        <v>4.8184666666666674E-2</v>
      </c>
    </row>
    <row r="956" spans="1:9">
      <c r="H956" s="197"/>
      <c r="I956" s="196"/>
    </row>
    <row r="957" spans="1:9">
      <c r="A957" s="198"/>
      <c r="H957" s="198"/>
      <c r="I957" s="198"/>
    </row>
    <row r="958" spans="1:9" ht="12" customHeight="1">
      <c r="A958" s="198"/>
      <c r="H958" s="203" t="s">
        <v>69</v>
      </c>
      <c r="I958" s="204"/>
    </row>
    <row r="959" spans="1:9">
      <c r="B959" s="199" t="s">
        <v>189</v>
      </c>
      <c r="C959" s="200" t="s">
        <v>67</v>
      </c>
      <c r="D959" s="200" t="s">
        <v>68</v>
      </c>
      <c r="E959" s="201" t="s">
        <v>60</v>
      </c>
      <c r="F959" s="201" t="s">
        <v>7</v>
      </c>
      <c r="H959" s="203"/>
      <c r="I959" s="204"/>
    </row>
    <row r="960" spans="1:9">
      <c r="B960" s="202" t="s">
        <v>9</v>
      </c>
      <c r="C960" s="178">
        <f>Model!AK119+Model!AK120</f>
        <v>12363.920999999998</v>
      </c>
      <c r="D960" s="178">
        <f>Capitalisation!C960*$I$954</f>
        <v>604.71937610999998</v>
      </c>
      <c r="E960" s="201"/>
      <c r="F960" s="201"/>
    </row>
    <row r="961" spans="1:11">
      <c r="B961" s="205" t="s">
        <v>11</v>
      </c>
      <c r="C961" s="179"/>
      <c r="D961" s="179"/>
      <c r="E961" s="206"/>
      <c r="F961" s="206"/>
      <c r="H961" s="194" t="s">
        <v>10</v>
      </c>
      <c r="I961" s="180">
        <v>38362</v>
      </c>
    </row>
    <row r="962" spans="1:11">
      <c r="B962" s="202" t="s">
        <v>13</v>
      </c>
      <c r="C962" s="178">
        <f>Model!AK128</f>
        <v>6132</v>
      </c>
      <c r="D962" s="178">
        <f>Capitalisation!C962*$I$954</f>
        <v>299.91612000000003</v>
      </c>
      <c r="E962" s="206"/>
      <c r="F962" s="207"/>
      <c r="H962" s="194" t="s">
        <v>12</v>
      </c>
      <c r="I962" s="180">
        <v>-2967.9</v>
      </c>
    </row>
    <row r="963" spans="1:11">
      <c r="B963" s="202" t="s">
        <v>15</v>
      </c>
      <c r="C963" s="178">
        <f>Model!AK129</f>
        <v>15330</v>
      </c>
      <c r="D963" s="178">
        <f>Capitalisation!C963*$I$954</f>
        <v>749.7903</v>
      </c>
      <c r="E963" s="206"/>
      <c r="F963" s="206"/>
      <c r="H963" s="195" t="s">
        <v>14</v>
      </c>
      <c r="I963" s="208">
        <f>SUM(I961:I962)</f>
        <v>35394.1</v>
      </c>
    </row>
    <row r="964" spans="1:11">
      <c r="B964" s="205" t="s">
        <v>17</v>
      </c>
      <c r="C964" s="178"/>
      <c r="D964" s="178">
        <f>Capitalisation!C964*$I$954</f>
        <v>0</v>
      </c>
      <c r="E964" s="206"/>
      <c r="F964" s="206"/>
      <c r="H964" s="194" t="s">
        <v>16</v>
      </c>
      <c r="I964" s="209">
        <f>C976</f>
        <v>17877.300999999999</v>
      </c>
    </row>
    <row r="965" spans="1:11">
      <c r="B965" s="202" t="s">
        <v>135</v>
      </c>
      <c r="C965" s="178">
        <f>Model!AK124</f>
        <v>0</v>
      </c>
      <c r="D965" s="178">
        <f>Capitalisation!C965*$I$954</f>
        <v>0</v>
      </c>
      <c r="E965" s="206"/>
      <c r="F965" s="207"/>
      <c r="H965" s="195" t="s">
        <v>18</v>
      </c>
      <c r="I965" s="208">
        <f>I963-I964</f>
        <v>17516.798999999999</v>
      </c>
    </row>
    <row r="966" spans="1:11">
      <c r="B966" s="202" t="s">
        <v>136</v>
      </c>
      <c r="C966" s="178">
        <f>Model!AK125</f>
        <v>0</v>
      </c>
      <c r="D966" s="178">
        <f>Capitalisation!C966*$I$954</f>
        <v>0</v>
      </c>
      <c r="E966" s="206"/>
      <c r="F966" s="181"/>
      <c r="H966" s="211" t="s">
        <v>20</v>
      </c>
      <c r="I966" s="204">
        <f>I963/C980</f>
        <v>4.0599807290830254</v>
      </c>
      <c r="J966" s="198"/>
    </row>
    <row r="967" spans="1:11">
      <c r="B967" s="202" t="s">
        <v>137</v>
      </c>
      <c r="C967" s="178">
        <f>Model!AK126</f>
        <v>1500</v>
      </c>
      <c r="D967" s="178">
        <f>Capitalisation!C967*$I$954</f>
        <v>73.365000000000009</v>
      </c>
      <c r="E967" s="206"/>
      <c r="F967" s="206"/>
      <c r="H967" s="211" t="s">
        <v>22</v>
      </c>
      <c r="I967" s="204">
        <f>I965/C980</f>
        <v>2.0093141618298196</v>
      </c>
      <c r="J967" s="198"/>
    </row>
    <row r="968" spans="1:11">
      <c r="B968" s="202" t="s">
        <v>138</v>
      </c>
      <c r="C968" s="178">
        <f>Model!AK127</f>
        <v>1900</v>
      </c>
      <c r="D968" s="178">
        <f>Capitalisation!C968*$I$954</f>
        <v>92.929000000000002</v>
      </c>
      <c r="E968" s="206"/>
      <c r="F968" s="210"/>
    </row>
    <row r="969" spans="1:11">
      <c r="B969" s="202" t="s">
        <v>19</v>
      </c>
      <c r="C969" s="178">
        <f>Model!AK130</f>
        <v>3500</v>
      </c>
      <c r="D969" s="178">
        <f>Capitalisation!C969*$I$954</f>
        <v>171.185</v>
      </c>
      <c r="E969" s="206"/>
      <c r="F969" s="207"/>
    </row>
    <row r="970" spans="1:11">
      <c r="B970" s="202" t="s">
        <v>21</v>
      </c>
      <c r="C970" s="178">
        <f>Model!AK131</f>
        <v>5000</v>
      </c>
      <c r="D970" s="178">
        <f>Capitalisation!C970*$I$954</f>
        <v>244.55</v>
      </c>
      <c r="E970" s="206"/>
      <c r="F970" s="207"/>
    </row>
    <row r="971" spans="1:11">
      <c r="B971" s="202" t="s">
        <v>23</v>
      </c>
      <c r="C971" s="178">
        <f>Model!AK132</f>
        <v>5000</v>
      </c>
      <c r="D971" s="178">
        <f>Capitalisation!C971*$I$954</f>
        <v>244.55</v>
      </c>
      <c r="E971" s="206"/>
      <c r="F971" s="207"/>
      <c r="K971" s="198"/>
    </row>
    <row r="972" spans="1:11">
      <c r="B972" s="202" t="s">
        <v>139</v>
      </c>
      <c r="C972" s="178">
        <f>Model!AK136</f>
        <v>0</v>
      </c>
      <c r="D972" s="178">
        <f>Capitalisation!C972*$I$954</f>
        <v>0</v>
      </c>
      <c r="E972" s="206"/>
      <c r="F972" s="207"/>
      <c r="K972" s="198"/>
    </row>
    <row r="973" spans="1:11">
      <c r="B973" s="202" t="s">
        <v>140</v>
      </c>
      <c r="C973" s="178">
        <f>Model!AK137</f>
        <v>0</v>
      </c>
      <c r="D973" s="178">
        <f>Capitalisation!C973*$I$954</f>
        <v>0</v>
      </c>
      <c r="E973" s="206"/>
      <c r="F973" s="207"/>
    </row>
    <row r="974" spans="1:11">
      <c r="B974" s="202" t="s">
        <v>141</v>
      </c>
      <c r="C974" s="178">
        <f>Model!AK138</f>
        <v>0</v>
      </c>
      <c r="D974" s="178">
        <f>Capitalisation!C974*$I$954</f>
        <v>0</v>
      </c>
      <c r="E974" s="206"/>
      <c r="F974" s="207"/>
      <c r="H974" s="194" t="s">
        <v>78</v>
      </c>
      <c r="I974" s="182">
        <v>4.0999999999999996</v>
      </c>
    </row>
    <row r="975" spans="1:11" s="198" customFormat="1">
      <c r="A975" s="194"/>
      <c r="B975" s="212" t="s">
        <v>28</v>
      </c>
      <c r="C975" s="183">
        <f>SUM(C960:C974)</f>
        <v>50725.921000000002</v>
      </c>
      <c r="D975" s="183">
        <f>SUM(D960:D974)</f>
        <v>2481.0047961100004</v>
      </c>
      <c r="E975" s="213">
        <f>C975/C980</f>
        <v>5.8186607859781141</v>
      </c>
      <c r="F975" s="214">
        <f>D975/D980</f>
        <v>5.9062502395407162</v>
      </c>
      <c r="G975" s="194"/>
      <c r="H975" s="194" t="s">
        <v>26</v>
      </c>
      <c r="I975" s="182">
        <v>2</v>
      </c>
      <c r="J975" s="194"/>
      <c r="K975" s="194"/>
    </row>
    <row r="976" spans="1:11" s="198" customFormat="1">
      <c r="A976" s="194"/>
      <c r="B976" s="215" t="s">
        <v>29</v>
      </c>
      <c r="C976" s="216">
        <f>Model!AK144</f>
        <v>17877.300999999999</v>
      </c>
      <c r="D976" s="178">
        <f>Capitalisation!C976*$I$954</f>
        <v>874.37879191000002</v>
      </c>
      <c r="E976" s="217"/>
      <c r="F976" s="211"/>
      <c r="G976" s="194"/>
      <c r="H976" s="194"/>
      <c r="I976" s="194"/>
      <c r="J976" s="194"/>
      <c r="K976" s="194"/>
    </row>
    <row r="977" spans="2:9">
      <c r="B977" s="212" t="s">
        <v>30</v>
      </c>
      <c r="C977" s="183">
        <f>C975-C976</f>
        <v>32848.620000000003</v>
      </c>
      <c r="D977" s="183">
        <f>D975-D976</f>
        <v>1606.6260042000004</v>
      </c>
      <c r="E977" s="213">
        <f>C977/C980</f>
        <v>3.7679942187249083</v>
      </c>
      <c r="F977" s="214">
        <f>D977/D980</f>
        <v>3.8247145821873199</v>
      </c>
    </row>
    <row r="978" spans="2:9">
      <c r="B978" s="212" t="s">
        <v>31</v>
      </c>
      <c r="C978" s="183">
        <f>Model!AK156</f>
        <v>107226.265</v>
      </c>
      <c r="E978" s="213"/>
    </row>
    <row r="979" spans="2:9">
      <c r="B979" s="212" t="s">
        <v>32</v>
      </c>
      <c r="C979" s="183">
        <f>C977+C978</f>
        <v>140074.88500000001</v>
      </c>
      <c r="D979" s="183"/>
      <c r="E979" s="214"/>
    </row>
    <row r="980" spans="2:9">
      <c r="B980" s="215" t="s">
        <v>33</v>
      </c>
      <c r="C980" s="6">
        <f>Model!AK92</f>
        <v>8717.7999999999993</v>
      </c>
      <c r="D980" s="178">
        <f>Capitalisation!C980*$I$955</f>
        <v>420.06428706666668</v>
      </c>
      <c r="E980" s="215"/>
    </row>
    <row r="981" spans="2:9">
      <c r="B981" s="218" t="s">
        <v>34</v>
      </c>
      <c r="C981" s="219">
        <f>C975-Model!AK116</f>
        <v>0</v>
      </c>
      <c r="D981" s="220"/>
      <c r="E981" s="221"/>
      <c r="G981" s="184"/>
      <c r="H981" s="184"/>
      <c r="I981" s="184"/>
    </row>
    <row r="982" spans="2:9">
      <c r="G982" s="213"/>
      <c r="H982" s="213"/>
      <c r="I982" s="213"/>
    </row>
    <row r="983" spans="2:9">
      <c r="B983" s="212" t="s">
        <v>35</v>
      </c>
      <c r="C983" s="222">
        <f>C977+Model!AK155</f>
        <v>128990.12</v>
      </c>
      <c r="E983" s="223"/>
      <c r="F983" s="184"/>
    </row>
    <row r="984" spans="2:9">
      <c r="B984" s="212" t="s">
        <v>36</v>
      </c>
      <c r="C984" s="214">
        <f>C983/C980</f>
        <v>14.796177934800065</v>
      </c>
      <c r="E984" s="223"/>
      <c r="F984" s="213"/>
    </row>
    <row r="987" spans="2:9" ht="26">
      <c r="B987" s="224" t="s">
        <v>190</v>
      </c>
      <c r="C987" s="224" t="s">
        <v>87</v>
      </c>
      <c r="D987" s="224" t="s">
        <v>72</v>
      </c>
    </row>
    <row r="988" spans="2:9">
      <c r="B988" s="225"/>
      <c r="C988" s="185"/>
      <c r="D988" s="185"/>
    </row>
    <row r="989" spans="2:9">
      <c r="B989" s="225" t="s">
        <v>16</v>
      </c>
      <c r="C989" s="185">
        <f>C976</f>
        <v>17877.300999999999</v>
      </c>
      <c r="D989" s="185">
        <f>C989*I954</f>
        <v>874.37879191000002</v>
      </c>
    </row>
    <row r="990" spans="2:9">
      <c r="B990" s="194" t="s">
        <v>38</v>
      </c>
      <c r="C990" s="185">
        <f>SUM(C988:C989)</f>
        <v>17877.300999999999</v>
      </c>
      <c r="D990" s="185">
        <f>SUM(D988:D989)</f>
        <v>874.37879191000002</v>
      </c>
    </row>
    <row r="992" spans="2:9">
      <c r="C992" s="231"/>
    </row>
    <row r="994" spans="1:9" ht="26">
      <c r="B994" s="195" t="s">
        <v>191</v>
      </c>
      <c r="C994" s="224" t="s">
        <v>87</v>
      </c>
      <c r="D994" s="224" t="s">
        <v>72</v>
      </c>
    </row>
    <row r="995" spans="1:9">
      <c r="B995" s="226" t="s">
        <v>40</v>
      </c>
      <c r="C995" s="186">
        <v>1900</v>
      </c>
      <c r="D995" s="227">
        <f>C995*$I$954</f>
        <v>92.929000000000002</v>
      </c>
    </row>
    <row r="996" spans="1:9">
      <c r="B996" s="226" t="s">
        <v>150</v>
      </c>
      <c r="C996" s="186">
        <f>1500</f>
        <v>1500</v>
      </c>
      <c r="D996" s="229">
        <f>C996*$I$954</f>
        <v>73.365000000000009</v>
      </c>
    </row>
    <row r="997" spans="1:9">
      <c r="B997" s="226" t="s">
        <v>151</v>
      </c>
      <c r="C997" s="186">
        <v>0</v>
      </c>
      <c r="D997" s="229">
        <f>C997*$I$954</f>
        <v>0</v>
      </c>
    </row>
    <row r="998" spans="1:9">
      <c r="B998" s="226" t="s">
        <v>152</v>
      </c>
      <c r="C998" s="186">
        <v>6132</v>
      </c>
      <c r="D998" s="229">
        <f>C998*$I$954</f>
        <v>299.91612000000003</v>
      </c>
    </row>
    <row r="999" spans="1:9">
      <c r="B999" s="226" t="s">
        <v>153</v>
      </c>
      <c r="C999" s="180">
        <f>13500+15330</f>
        <v>28830</v>
      </c>
      <c r="D999" s="229">
        <f>C999*$I$954</f>
        <v>1410.0753</v>
      </c>
    </row>
    <row r="1000" spans="1:9">
      <c r="B1000" s="226"/>
      <c r="C1000" s="228"/>
      <c r="D1000" s="229"/>
    </row>
    <row r="1001" spans="1:9" ht="12" customHeight="1">
      <c r="B1001" s="195" t="s">
        <v>45</v>
      </c>
      <c r="C1001" s="230">
        <f>SUM(C995:C1000)</f>
        <v>38362</v>
      </c>
      <c r="D1001" s="230">
        <f>SUM(D995:D1000)</f>
        <v>1876.2854200000002</v>
      </c>
      <c r="H1001" s="195" t="s">
        <v>192</v>
      </c>
      <c r="I1001" s="196">
        <f>+Model!AJ244</f>
        <v>5.0215000000000003E-2</v>
      </c>
    </row>
    <row r="1002" spans="1:9">
      <c r="B1002" s="218" t="s">
        <v>34</v>
      </c>
      <c r="C1002" s="220">
        <f>C1001+C960-C975</f>
        <v>0</v>
      </c>
      <c r="D1002" s="220">
        <f>D1001+D960-D975</f>
        <v>0</v>
      </c>
      <c r="H1002" s="197" t="s">
        <v>193</v>
      </c>
      <c r="I1002" s="196">
        <f>AVERAGE(Model!AG243:AI243)</f>
        <v>4.7606237693389591E-2</v>
      </c>
    </row>
    <row r="1003" spans="1:9">
      <c r="H1003" s="197"/>
      <c r="I1003" s="196"/>
    </row>
    <row r="1004" spans="1:9">
      <c r="A1004" s="198"/>
      <c r="H1004" s="198"/>
      <c r="I1004" s="198"/>
    </row>
    <row r="1005" spans="1:9">
      <c r="A1005" s="198"/>
      <c r="H1005" s="203" t="s">
        <v>69</v>
      </c>
      <c r="I1005" s="204"/>
    </row>
    <row r="1006" spans="1:9">
      <c r="B1006" s="199" t="s">
        <v>194</v>
      </c>
      <c r="C1006" s="200" t="s">
        <v>67</v>
      </c>
      <c r="D1006" s="200" t="s">
        <v>68</v>
      </c>
      <c r="E1006" s="201" t="s">
        <v>60</v>
      </c>
      <c r="F1006" s="201" t="s">
        <v>7</v>
      </c>
      <c r="H1006" s="203"/>
      <c r="I1006" s="204"/>
    </row>
    <row r="1007" spans="1:9">
      <c r="B1007" s="202" t="s">
        <v>9</v>
      </c>
      <c r="C1007" s="178"/>
      <c r="D1007" s="178"/>
      <c r="E1007" s="201"/>
      <c r="F1007" s="201"/>
    </row>
    <row r="1008" spans="1:9">
      <c r="B1008" s="205" t="s">
        <v>11</v>
      </c>
      <c r="C1008" s="179"/>
      <c r="D1008" s="179"/>
      <c r="E1008" s="206"/>
      <c r="F1008" s="206"/>
      <c r="H1008" s="194" t="s">
        <v>10</v>
      </c>
      <c r="I1008" s="186">
        <v>37804.1</v>
      </c>
    </row>
    <row r="1009" spans="1:11">
      <c r="B1009" s="202" t="s">
        <v>13</v>
      </c>
      <c r="C1009" s="178"/>
      <c r="D1009" s="178"/>
      <c r="E1009" s="206"/>
      <c r="F1009" s="207"/>
      <c r="H1009" s="194" t="s">
        <v>12</v>
      </c>
      <c r="I1009" s="186">
        <v>-2410</v>
      </c>
    </row>
    <row r="1010" spans="1:11">
      <c r="B1010" s="202" t="s">
        <v>15</v>
      </c>
      <c r="C1010" s="178"/>
      <c r="D1010" s="178"/>
      <c r="E1010" s="206"/>
      <c r="F1010" s="206"/>
      <c r="H1010" s="195" t="s">
        <v>14</v>
      </c>
      <c r="I1010" s="208">
        <f>SUM(I1008:I1009)</f>
        <v>35394.1</v>
      </c>
    </row>
    <row r="1011" spans="1:11">
      <c r="B1011" s="205" t="s">
        <v>17</v>
      </c>
      <c r="C1011" s="178"/>
      <c r="D1011" s="178"/>
      <c r="E1011" s="206"/>
      <c r="F1011" s="206"/>
      <c r="H1011" s="194" t="s">
        <v>16</v>
      </c>
      <c r="I1011" s="209">
        <f>C1023</f>
        <v>26195.9</v>
      </c>
    </row>
    <row r="1012" spans="1:11">
      <c r="B1012" s="202" t="s">
        <v>135</v>
      </c>
      <c r="C1012" s="178"/>
      <c r="D1012" s="178"/>
      <c r="E1012" s="206"/>
      <c r="F1012" s="207"/>
      <c r="H1012" s="195" t="s">
        <v>18</v>
      </c>
      <c r="I1012" s="208">
        <f>I1010-I1011</f>
        <v>9198.1999999999971</v>
      </c>
    </row>
    <row r="1013" spans="1:11">
      <c r="B1013" s="202" t="s">
        <v>136</v>
      </c>
      <c r="C1013" s="178"/>
      <c r="D1013" s="178"/>
      <c r="E1013" s="206"/>
      <c r="F1013" s="181"/>
      <c r="H1013" s="211" t="s">
        <v>20</v>
      </c>
      <c r="I1013" s="204">
        <f>I1010/C1027</f>
        <v>3.9299268289974796</v>
      </c>
      <c r="J1013" s="198"/>
    </row>
    <row r="1014" spans="1:11">
      <c r="B1014" s="202" t="s">
        <v>137</v>
      </c>
      <c r="C1014" s="178"/>
      <c r="D1014" s="178"/>
      <c r="E1014" s="206"/>
      <c r="F1014" s="206"/>
      <c r="H1014" s="211" t="s">
        <v>22</v>
      </c>
      <c r="I1014" s="204">
        <f>I1012/C1027</f>
        <v>1.0213073071072469</v>
      </c>
      <c r="J1014" s="198"/>
    </row>
    <row r="1015" spans="1:11">
      <c r="B1015" s="202" t="s">
        <v>138</v>
      </c>
      <c r="C1015" s="178"/>
      <c r="D1015" s="178"/>
      <c r="E1015" s="206"/>
      <c r="F1015" s="210"/>
    </row>
    <row r="1016" spans="1:11">
      <c r="B1016" s="202" t="s">
        <v>19</v>
      </c>
      <c r="C1016" s="178"/>
      <c r="D1016" s="178"/>
      <c r="E1016" s="206"/>
      <c r="F1016" s="207"/>
    </row>
    <row r="1017" spans="1:11">
      <c r="B1017" s="202" t="s">
        <v>21</v>
      </c>
      <c r="C1017" s="178"/>
      <c r="D1017" s="178"/>
      <c r="E1017" s="206"/>
      <c r="F1017" s="207"/>
      <c r="K1017" s="198"/>
    </row>
    <row r="1018" spans="1:11">
      <c r="B1018" s="202" t="s">
        <v>23</v>
      </c>
      <c r="C1018" s="178"/>
      <c r="D1018" s="178"/>
      <c r="E1018" s="206"/>
      <c r="F1018" s="207"/>
      <c r="K1018" s="198"/>
    </row>
    <row r="1019" spans="1:11" s="198" customFormat="1">
      <c r="A1019" s="194"/>
      <c r="B1019" s="202" t="s">
        <v>139</v>
      </c>
      <c r="C1019" s="178"/>
      <c r="D1019" s="178"/>
      <c r="E1019" s="206"/>
      <c r="F1019" s="207"/>
      <c r="G1019" s="194"/>
      <c r="H1019" s="194"/>
      <c r="I1019" s="194"/>
      <c r="J1019" s="194"/>
      <c r="K1019" s="194"/>
    </row>
    <row r="1020" spans="1:11" s="198" customFormat="1">
      <c r="A1020" s="194"/>
      <c r="B1020" s="202" t="s">
        <v>140</v>
      </c>
      <c r="C1020" s="178"/>
      <c r="D1020" s="178"/>
      <c r="E1020" s="206"/>
      <c r="F1020" s="207"/>
      <c r="G1020" s="194"/>
      <c r="H1020" s="194"/>
      <c r="I1020" s="194"/>
      <c r="J1020" s="194"/>
      <c r="K1020" s="194"/>
    </row>
    <row r="1021" spans="1:11">
      <c r="B1021" s="202" t="s">
        <v>141</v>
      </c>
      <c r="C1021" s="178"/>
      <c r="D1021" s="178"/>
      <c r="E1021" s="206"/>
      <c r="F1021" s="207"/>
      <c r="H1021" s="194" t="s">
        <v>78</v>
      </c>
      <c r="I1021" s="188">
        <v>3.9</v>
      </c>
    </row>
    <row r="1022" spans="1:11">
      <c r="B1022" s="212" t="s">
        <v>28</v>
      </c>
      <c r="C1022" s="183">
        <f>Model!AJ147</f>
        <v>50215.145000000004</v>
      </c>
      <c r="D1022" s="183">
        <f>Capitalisation!C1022*$I$1001</f>
        <v>2521.5535061750002</v>
      </c>
      <c r="E1022" s="213">
        <f>C1022/C1027</f>
        <v>5.5755576651899235</v>
      </c>
      <c r="F1022" s="214">
        <f>D1022/D1027</f>
        <v>5.8810912544846703</v>
      </c>
      <c r="H1022" s="194" t="s">
        <v>26</v>
      </c>
      <c r="I1022" s="188">
        <v>1</v>
      </c>
    </row>
    <row r="1023" spans="1:11">
      <c r="B1023" s="215" t="s">
        <v>29</v>
      </c>
      <c r="C1023" s="216">
        <f>Model!AJ144</f>
        <v>26195.9</v>
      </c>
      <c r="D1023" s="187">
        <f>Capitalisation!C1023*$I$1001</f>
        <v>1315.4271185000002</v>
      </c>
      <c r="E1023" s="217"/>
      <c r="F1023" s="211"/>
    </row>
    <row r="1024" spans="1:11">
      <c r="B1024" s="212" t="s">
        <v>30</v>
      </c>
      <c r="C1024" s="183">
        <f>C1022-C1023</f>
        <v>24019.245000000003</v>
      </c>
      <c r="D1024" s="183">
        <f>D1022-D1023</f>
        <v>1206.1263876749999</v>
      </c>
      <c r="E1024" s="213">
        <f>C1024/C1027</f>
        <v>2.6669381432996908</v>
      </c>
      <c r="F1024" s="214">
        <f>D1024/D1027</f>
        <v>2.8130830192529492</v>
      </c>
    </row>
    <row r="1025" spans="2:9">
      <c r="B1025" s="212" t="s">
        <v>31</v>
      </c>
      <c r="C1025" s="183">
        <f>Model!AJ156</f>
        <v>107820</v>
      </c>
      <c r="D1025" s="187">
        <f>Capitalisation!C1025*$I$1001</f>
        <v>5414.1813000000002</v>
      </c>
      <c r="E1025" s="213"/>
    </row>
    <row r="1026" spans="2:9">
      <c r="B1026" s="212" t="s">
        <v>32</v>
      </c>
      <c r="C1026" s="183">
        <f>C1024+C1025</f>
        <v>131839.245</v>
      </c>
      <c r="D1026" s="183">
        <f>D1024+D1025</f>
        <v>6620.3076876750001</v>
      </c>
      <c r="E1026" s="214"/>
    </row>
    <row r="1027" spans="2:9">
      <c r="B1027" s="215" t="s">
        <v>33</v>
      </c>
      <c r="C1027" s="6">
        <f>Model!AJ92</f>
        <v>9006.2999999999993</v>
      </c>
      <c r="D1027" s="178">
        <f>Capitalisation!C1027*$I$1002</f>
        <v>428.75605853797464</v>
      </c>
      <c r="E1027" s="215"/>
    </row>
    <row r="1028" spans="2:9">
      <c r="B1028" s="218" t="s">
        <v>34</v>
      </c>
      <c r="C1028" s="219">
        <f>C1022-Model!AJ116</f>
        <v>0</v>
      </c>
      <c r="D1028" s="220"/>
      <c r="E1028" s="221"/>
      <c r="G1028" s="184"/>
      <c r="H1028" s="184"/>
      <c r="I1028" s="184"/>
    </row>
    <row r="1029" spans="2:9">
      <c r="G1029" s="213"/>
      <c r="H1029" s="213"/>
      <c r="I1029" s="213"/>
    </row>
    <row r="1030" spans="2:9">
      <c r="B1030" s="212" t="s">
        <v>35</v>
      </c>
      <c r="C1030" s="222">
        <f>C1024+Model!AJ155</f>
        <v>119970.245</v>
      </c>
      <c r="E1030" s="223"/>
      <c r="F1030" s="184"/>
    </row>
    <row r="1031" spans="2:9">
      <c r="B1031" s="212" t="s">
        <v>36</v>
      </c>
      <c r="C1031" s="214">
        <f>C1030/C1027</f>
        <v>13.320702730311005</v>
      </c>
      <c r="E1031" s="223"/>
      <c r="F1031" s="213"/>
    </row>
    <row r="1034" spans="2:9" ht="26">
      <c r="B1034" s="224" t="s">
        <v>195</v>
      </c>
      <c r="C1034" s="224" t="s">
        <v>87</v>
      </c>
      <c r="D1034" s="224" t="s">
        <v>72</v>
      </c>
    </row>
    <row r="1035" spans="2:9">
      <c r="B1035" s="225"/>
      <c r="C1035" s="185"/>
      <c r="D1035" s="185"/>
    </row>
    <row r="1036" spans="2:9">
      <c r="B1036" s="225" t="s">
        <v>16</v>
      </c>
      <c r="C1036" s="185">
        <f>C1023</f>
        <v>26195.9</v>
      </c>
      <c r="D1036" s="185">
        <f>C1036*I1001</f>
        <v>1315.4271185000002</v>
      </c>
    </row>
    <row r="1037" spans="2:9">
      <c r="B1037" s="194" t="s">
        <v>38</v>
      </c>
      <c r="C1037" s="185">
        <f>SUM(C1035:C1036)</f>
        <v>26195.9</v>
      </c>
      <c r="D1037" s="185">
        <f>SUM(D1035:D1036)</f>
        <v>1315.4271185000002</v>
      </c>
    </row>
    <row r="1039" spans="2:9">
      <c r="C1039" s="231"/>
    </row>
    <row r="1041" spans="1:9" ht="26">
      <c r="B1041" s="195" t="s">
        <v>196</v>
      </c>
      <c r="C1041" s="224" t="s">
        <v>87</v>
      </c>
      <c r="D1041" s="224" t="s">
        <v>72</v>
      </c>
    </row>
    <row r="1042" spans="1:9">
      <c r="B1042" s="226" t="s">
        <v>40</v>
      </c>
      <c r="C1042" s="178"/>
      <c r="D1042" s="178"/>
    </row>
    <row r="1043" spans="1:9">
      <c r="B1043" s="226" t="s">
        <v>150</v>
      </c>
      <c r="C1043" s="178"/>
      <c r="D1043" s="178"/>
    </row>
    <row r="1044" spans="1:9">
      <c r="B1044" s="226" t="s">
        <v>151</v>
      </c>
      <c r="C1044" s="178"/>
      <c r="D1044" s="178"/>
    </row>
    <row r="1045" spans="1:9" ht="12" customHeight="1">
      <c r="B1045" s="226" t="s">
        <v>152</v>
      </c>
      <c r="C1045" s="178"/>
      <c r="D1045" s="178"/>
    </row>
    <row r="1046" spans="1:9">
      <c r="B1046" s="226" t="s">
        <v>153</v>
      </c>
      <c r="C1046" s="178"/>
      <c r="D1046" s="178"/>
    </row>
    <row r="1047" spans="1:9">
      <c r="B1047" s="226"/>
      <c r="C1047" s="178"/>
      <c r="D1047" s="178"/>
    </row>
    <row r="1048" spans="1:9">
      <c r="B1048" s="195" t="s">
        <v>45</v>
      </c>
      <c r="C1048" s="230">
        <f>SUM(C1042:C1047)</f>
        <v>0</v>
      </c>
      <c r="D1048" s="230">
        <f>SUM(D1042:D1047)</f>
        <v>0</v>
      </c>
      <c r="H1048" s="195" t="s">
        <v>197</v>
      </c>
      <c r="I1048" s="196">
        <f>+Model!AI244</f>
        <v>4.5220000000000003E-2</v>
      </c>
    </row>
    <row r="1049" spans="1:9">
      <c r="B1049" s="218" t="s">
        <v>34</v>
      </c>
      <c r="C1049" s="220">
        <f>C1048+C1007-C1022</f>
        <v>-50215.145000000004</v>
      </c>
      <c r="D1049" s="220">
        <f>D1048+D1007-D1022</f>
        <v>-2521.5535061750002</v>
      </c>
      <c r="H1049" s="197" t="s">
        <v>198</v>
      </c>
      <c r="I1049" s="196">
        <f>AVERAGE(Model!AF243:AI243)</f>
        <v>4.8697178270042198E-2</v>
      </c>
    </row>
    <row r="1050" spans="1:9">
      <c r="H1050" s="197"/>
      <c r="I1050" s="196"/>
    </row>
    <row r="1051" spans="1:9">
      <c r="A1051" s="198"/>
      <c r="H1051" s="198"/>
      <c r="I1051" s="198"/>
    </row>
    <row r="1052" spans="1:9">
      <c r="A1052" s="198"/>
      <c r="H1052" s="203" t="s">
        <v>69</v>
      </c>
      <c r="I1052" s="204"/>
    </row>
    <row r="1053" spans="1:9">
      <c r="B1053" s="199" t="s">
        <v>199</v>
      </c>
      <c r="C1053" s="200" t="s">
        <v>67</v>
      </c>
      <c r="D1053" s="200" t="s">
        <v>68</v>
      </c>
      <c r="E1053" s="201" t="s">
        <v>60</v>
      </c>
      <c r="F1053" s="201" t="s">
        <v>7</v>
      </c>
      <c r="H1053" s="203"/>
      <c r="I1053" s="204"/>
    </row>
    <row r="1054" spans="1:9">
      <c r="B1054" s="202" t="s">
        <v>9</v>
      </c>
      <c r="C1054" s="178">
        <f>Model!AI119+Model!AI120</f>
        <v>12099.902</v>
      </c>
      <c r="D1054" s="178">
        <f>Capitalisation!C1054*$I$1048</f>
        <v>547.15756844000009</v>
      </c>
      <c r="E1054" s="201"/>
      <c r="F1054" s="201"/>
    </row>
    <row r="1055" spans="1:9">
      <c r="B1055" s="205" t="s">
        <v>11</v>
      </c>
      <c r="C1055" s="179"/>
      <c r="D1055" s="179"/>
      <c r="E1055" s="206"/>
      <c r="F1055" s="206"/>
      <c r="H1055" s="194" t="s">
        <v>10</v>
      </c>
      <c r="I1055" s="186">
        <v>43651</v>
      </c>
    </row>
    <row r="1056" spans="1:9">
      <c r="B1056" s="202" t="s">
        <v>13</v>
      </c>
      <c r="C1056" s="178">
        <f>Model!AI128</f>
        <v>6643.14</v>
      </c>
      <c r="D1056" s="178">
        <f>Capitalisation!C1056*$I$1048</f>
        <v>300.40279080000005</v>
      </c>
      <c r="E1056" s="206"/>
      <c r="F1056" s="207"/>
      <c r="H1056" s="194" t="s">
        <v>12</v>
      </c>
      <c r="I1056" s="186">
        <v>-4756.8999999999996</v>
      </c>
    </row>
    <row r="1057" spans="1:11">
      <c r="B1057" s="202" t="s">
        <v>15</v>
      </c>
      <c r="C1057" s="178">
        <f>Model!AI129</f>
        <v>16607.849999999999</v>
      </c>
      <c r="D1057" s="178">
        <f>Capitalisation!C1057*$I$1048</f>
        <v>751.00697700000001</v>
      </c>
      <c r="E1057" s="206"/>
      <c r="F1057" s="206"/>
      <c r="H1057" s="195" t="s">
        <v>14</v>
      </c>
      <c r="I1057" s="208">
        <f>SUM(I1055:I1056)</f>
        <v>38894.1</v>
      </c>
    </row>
    <row r="1058" spans="1:11">
      <c r="B1058" s="205" t="s">
        <v>17</v>
      </c>
      <c r="C1058" s="178"/>
      <c r="D1058" s="178"/>
      <c r="E1058" s="206"/>
      <c r="F1058" s="206"/>
      <c r="H1058" s="194" t="s">
        <v>16</v>
      </c>
      <c r="I1058" s="209">
        <f>C1070</f>
        <v>19649.725999999999</v>
      </c>
    </row>
    <row r="1059" spans="1:11">
      <c r="B1059" s="202" t="s">
        <v>135</v>
      </c>
      <c r="C1059" s="178">
        <f>Model!AI124</f>
        <v>0</v>
      </c>
      <c r="D1059" s="178">
        <f>Capitalisation!C1059*$I$1048</f>
        <v>0</v>
      </c>
      <c r="E1059" s="206"/>
      <c r="F1059" s="207"/>
      <c r="H1059" s="195" t="s">
        <v>18</v>
      </c>
      <c r="I1059" s="208">
        <f>I1057-I1058</f>
        <v>19244.374</v>
      </c>
      <c r="J1059" s="198"/>
    </row>
    <row r="1060" spans="1:11">
      <c r="B1060" s="202" t="s">
        <v>136</v>
      </c>
      <c r="C1060" s="178">
        <f>Model!AI125</f>
        <v>0</v>
      </c>
      <c r="D1060" s="178">
        <f>Capitalisation!C1060*$I$1048</f>
        <v>0</v>
      </c>
      <c r="E1060" s="206"/>
      <c r="F1060" s="181"/>
      <c r="H1060" s="211" t="s">
        <v>20</v>
      </c>
      <c r="I1060" s="204">
        <f>I1057/C1074</f>
        <v>3.0553342917069268</v>
      </c>
      <c r="J1060" s="198"/>
    </row>
    <row r="1061" spans="1:11">
      <c r="B1061" s="202" t="s">
        <v>137</v>
      </c>
      <c r="C1061" s="178">
        <f>Model!AI126</f>
        <v>1500</v>
      </c>
      <c r="D1061" s="178">
        <f>Capitalisation!C1061*$I$1048</f>
        <v>67.83</v>
      </c>
      <c r="E1061" s="206"/>
      <c r="F1061" s="206"/>
      <c r="H1061" s="211" t="s">
        <v>22</v>
      </c>
      <c r="I1061" s="204">
        <f>I1059/C1074</f>
        <v>1.5117458895985045</v>
      </c>
      <c r="K1061" s="198"/>
    </row>
    <row r="1062" spans="1:11">
      <c r="B1062" s="202" t="s">
        <v>138</v>
      </c>
      <c r="C1062" s="178">
        <f>Model!AI127</f>
        <v>1900</v>
      </c>
      <c r="D1062" s="178">
        <f>Capitalisation!C1062*$I$1048</f>
        <v>85.918000000000006</v>
      </c>
      <c r="E1062" s="206"/>
      <c r="F1062" s="210"/>
      <c r="K1062" s="198"/>
    </row>
    <row r="1063" spans="1:11">
      <c r="B1063" s="202" t="s">
        <v>19</v>
      </c>
      <c r="C1063" s="178">
        <f>Model!AI130</f>
        <v>3500</v>
      </c>
      <c r="D1063" s="178">
        <f>Capitalisation!C1063*$I$1048</f>
        <v>158.27000000000001</v>
      </c>
      <c r="E1063" s="206"/>
      <c r="F1063" s="207"/>
    </row>
    <row r="1064" spans="1:11" s="198" customFormat="1">
      <c r="A1064" s="194"/>
      <c r="B1064" s="202" t="s">
        <v>21</v>
      </c>
      <c r="C1064" s="178">
        <f>Model!AI131</f>
        <v>5000</v>
      </c>
      <c r="D1064" s="178">
        <f>Capitalisation!C1064*$I$1048</f>
        <v>226.10000000000002</v>
      </c>
      <c r="E1064" s="206"/>
      <c r="F1064" s="207"/>
      <c r="G1064" s="194"/>
      <c r="H1064" s="194"/>
      <c r="I1064" s="194"/>
      <c r="J1064" s="194"/>
      <c r="K1064" s="194"/>
    </row>
    <row r="1065" spans="1:11" s="198" customFormat="1">
      <c r="A1065" s="194"/>
      <c r="B1065" s="202" t="s">
        <v>23</v>
      </c>
      <c r="C1065" s="178">
        <f>Model!AI132</f>
        <v>5000</v>
      </c>
      <c r="D1065" s="178">
        <f>Capitalisation!C1065*$I$1048</f>
        <v>226.10000000000002</v>
      </c>
      <c r="E1065" s="206"/>
      <c r="F1065" s="207"/>
      <c r="G1065" s="194"/>
      <c r="H1065" s="194"/>
      <c r="I1065" s="194"/>
      <c r="J1065" s="194"/>
      <c r="K1065" s="194"/>
    </row>
    <row r="1066" spans="1:11">
      <c r="B1066" s="202" t="s">
        <v>139</v>
      </c>
      <c r="C1066" s="178">
        <f>+Model!AI136</f>
        <v>1000</v>
      </c>
      <c r="D1066" s="178">
        <f>Capitalisation!C1066*$I$1048</f>
        <v>45.220000000000006</v>
      </c>
      <c r="E1066" s="206"/>
      <c r="F1066" s="207"/>
    </row>
    <row r="1067" spans="1:11">
      <c r="B1067" s="202" t="s">
        <v>140</v>
      </c>
      <c r="C1067" s="178">
        <f>+Model!AI137</f>
        <v>1500</v>
      </c>
      <c r="D1067" s="178">
        <f>Capitalisation!C1067*$I$1048</f>
        <v>67.83</v>
      </c>
      <c r="E1067" s="206"/>
      <c r="F1067" s="207"/>
    </row>
    <row r="1068" spans="1:11">
      <c r="B1068" s="202" t="s">
        <v>141</v>
      </c>
      <c r="C1068" s="178">
        <f>+Model!AI138</f>
        <v>1000</v>
      </c>
      <c r="D1068" s="178">
        <f>Capitalisation!C1068*$I$1048</f>
        <v>45.220000000000006</v>
      </c>
      <c r="E1068" s="206"/>
      <c r="F1068" s="207"/>
      <c r="H1068" s="194" t="s">
        <v>78</v>
      </c>
      <c r="I1068" s="188">
        <v>3.1</v>
      </c>
    </row>
    <row r="1069" spans="1:11">
      <c r="B1069" s="212" t="s">
        <v>28</v>
      </c>
      <c r="C1069" s="183">
        <f>SUM(C1054:C1068)</f>
        <v>55750.892</v>
      </c>
      <c r="D1069" s="183">
        <f>SUM(D1054:D1068)</f>
        <v>2521.0553362399996</v>
      </c>
      <c r="E1069" s="213">
        <f>C1069/C1074</f>
        <v>4.3795231698599366</v>
      </c>
      <c r="F1069" s="214">
        <f>D1069/D1074</f>
        <v>4.066807252010717</v>
      </c>
      <c r="H1069" s="194" t="s">
        <v>26</v>
      </c>
      <c r="I1069" s="188">
        <v>1.5</v>
      </c>
    </row>
    <row r="1070" spans="1:11">
      <c r="B1070" s="215" t="s">
        <v>29</v>
      </c>
      <c r="C1070" s="216">
        <f>Model!AI144</f>
        <v>19649.725999999999</v>
      </c>
      <c r="D1070" s="178">
        <f>Capitalisation!C1070*$I$1048</f>
        <v>888.56060972</v>
      </c>
      <c r="E1070" s="217"/>
      <c r="F1070" s="211"/>
    </row>
    <row r="1071" spans="1:11">
      <c r="B1071" s="212" t="s">
        <v>30</v>
      </c>
      <c r="C1071" s="183">
        <f>C1069-C1070</f>
        <v>36101.165999999997</v>
      </c>
      <c r="D1071" s="183">
        <f>D1069-D1070</f>
        <v>1632.4947265199996</v>
      </c>
      <c r="E1071" s="213">
        <f>C1071/C1074</f>
        <v>2.8359347677515143</v>
      </c>
      <c r="F1071" s="214">
        <f>D1071/D1074</f>
        <v>2.6334373931603232</v>
      </c>
    </row>
    <row r="1072" spans="1:11">
      <c r="B1072" s="212" t="s">
        <v>31</v>
      </c>
      <c r="C1072" s="183">
        <f>Model!AI156</f>
        <v>105227.955</v>
      </c>
      <c r="E1072" s="213"/>
    </row>
    <row r="1073" spans="2:9">
      <c r="B1073" s="212" t="s">
        <v>32</v>
      </c>
      <c r="C1073" s="183">
        <f>C1071+C1072</f>
        <v>141329.12099999998</v>
      </c>
      <c r="D1073" s="183"/>
      <c r="E1073" s="214"/>
    </row>
    <row r="1074" spans="2:9">
      <c r="B1074" s="215" t="s">
        <v>33</v>
      </c>
      <c r="C1074" s="6">
        <f>Model!AI92</f>
        <v>12729.899999999998</v>
      </c>
      <c r="D1074" s="178">
        <f>Capitalisation!C1074*$I$1049</f>
        <v>619.91020965981011</v>
      </c>
      <c r="E1074" s="215"/>
    </row>
    <row r="1075" spans="2:9">
      <c r="B1075" s="218" t="s">
        <v>34</v>
      </c>
      <c r="C1075" s="219">
        <f>C1069-Model!AI116</f>
        <v>0</v>
      </c>
      <c r="D1075" s="220"/>
      <c r="E1075" s="221"/>
      <c r="G1075" s="184"/>
      <c r="H1075" s="184"/>
      <c r="I1075" s="184"/>
    </row>
    <row r="1076" spans="2:9">
      <c r="G1076" s="213"/>
      <c r="H1076" s="213"/>
      <c r="I1076" s="213"/>
    </row>
    <row r="1077" spans="2:9">
      <c r="B1077" s="212" t="s">
        <v>35</v>
      </c>
      <c r="C1077" s="222">
        <f>C1071+Model!AI155</f>
        <v>119497.166</v>
      </c>
      <c r="E1077" s="223"/>
      <c r="F1077" s="184"/>
    </row>
    <row r="1078" spans="2:9">
      <c r="B1078" s="212" t="s">
        <v>36</v>
      </c>
      <c r="C1078" s="214">
        <f>C1077/C1074</f>
        <v>9.3871252719974247</v>
      </c>
      <c r="E1078" s="223"/>
      <c r="F1078" s="213"/>
    </row>
    <row r="1081" spans="2:9" ht="26">
      <c r="B1081" s="224" t="s">
        <v>200</v>
      </c>
      <c r="C1081" s="224" t="s">
        <v>87</v>
      </c>
      <c r="D1081" s="224" t="s">
        <v>72</v>
      </c>
    </row>
    <row r="1082" spans="2:9">
      <c r="B1082" s="225"/>
      <c r="C1082" s="185"/>
      <c r="D1082" s="185"/>
    </row>
    <row r="1083" spans="2:9">
      <c r="B1083" s="225" t="s">
        <v>16</v>
      </c>
      <c r="C1083" s="185">
        <f>C1070</f>
        <v>19649.725999999999</v>
      </c>
      <c r="D1083" s="185">
        <f>C1083*I1048</f>
        <v>888.56060972</v>
      </c>
    </row>
    <row r="1084" spans="2:9">
      <c r="B1084" s="194" t="s">
        <v>38</v>
      </c>
      <c r="C1084" s="185">
        <f>SUM(C1082:C1083)</f>
        <v>19649.725999999999</v>
      </c>
      <c r="D1084" s="185">
        <f>SUM(D1082:D1083)</f>
        <v>888.56060972</v>
      </c>
    </row>
    <row r="1086" spans="2:9">
      <c r="C1086" s="231"/>
    </row>
    <row r="1088" spans="2:9" ht="26">
      <c r="B1088" s="195" t="s">
        <v>201</v>
      </c>
      <c r="C1088" s="224" t="s">
        <v>87</v>
      </c>
      <c r="D1088" s="224" t="s">
        <v>72</v>
      </c>
    </row>
    <row r="1089" spans="1:10" ht="12" customHeight="1">
      <c r="B1089" s="226" t="s">
        <v>40</v>
      </c>
      <c r="C1089" s="186">
        <f>1000+1500+1000</f>
        <v>3500</v>
      </c>
      <c r="D1089" s="227">
        <f>C1089*$I$1048</f>
        <v>158.27000000000001</v>
      </c>
    </row>
    <row r="1090" spans="1:10">
      <c r="B1090" s="226" t="s">
        <v>150</v>
      </c>
      <c r="C1090" s="186">
        <f>1900+1500</f>
        <v>3400</v>
      </c>
      <c r="D1090" s="229">
        <f>C1090*$I$1048</f>
        <v>153.74800000000002</v>
      </c>
    </row>
    <row r="1091" spans="1:10">
      <c r="B1091" s="226" t="s">
        <v>151</v>
      </c>
      <c r="C1091" s="186">
        <v>0</v>
      </c>
      <c r="D1091" s="229">
        <f>C1091*$I$1048</f>
        <v>0</v>
      </c>
    </row>
    <row r="1092" spans="1:10">
      <c r="B1092" s="226" t="s">
        <v>152</v>
      </c>
      <c r="C1092" s="186">
        <v>0</v>
      </c>
      <c r="D1092" s="229">
        <f>C1092*$I$1048</f>
        <v>0</v>
      </c>
    </row>
    <row r="1093" spans="1:10">
      <c r="B1093" s="226" t="s">
        <v>153</v>
      </c>
      <c r="C1093" s="180">
        <f>13500+23250.99</f>
        <v>36750.990000000005</v>
      </c>
      <c r="D1093" s="229">
        <f>C1093*$I$1048</f>
        <v>1661.8797678000003</v>
      </c>
    </row>
    <row r="1094" spans="1:10">
      <c r="B1094" s="226"/>
      <c r="C1094" s="228"/>
      <c r="D1094" s="229"/>
    </row>
    <row r="1095" spans="1:10">
      <c r="B1095" s="195" t="s">
        <v>45</v>
      </c>
      <c r="C1095" s="230">
        <f>SUM(C1089:C1094)</f>
        <v>43650.990000000005</v>
      </c>
      <c r="D1095" s="230">
        <f>SUM(D1089:D1094)</f>
        <v>1973.8977678000003</v>
      </c>
      <c r="H1095" s="195" t="s">
        <v>202</v>
      </c>
      <c r="I1095" s="196">
        <f>+Model!AH244</f>
        <v>4.2243000000000003E-2</v>
      </c>
    </row>
    <row r="1096" spans="1:10">
      <c r="B1096" s="218" t="s">
        <v>34</v>
      </c>
      <c r="C1096" s="220">
        <f>C1095+C1054-C1069</f>
        <v>0</v>
      </c>
      <c r="D1096" s="220">
        <f>D1095+D1054-D1069</f>
        <v>0</v>
      </c>
      <c r="H1096" s="197" t="s">
        <v>203</v>
      </c>
      <c r="I1096" s="196">
        <f>AVERAGE(Model!AE243:AH243)</f>
        <v>5.024551160337553E-2</v>
      </c>
    </row>
    <row r="1097" spans="1:10">
      <c r="H1097" s="197"/>
      <c r="I1097" s="196"/>
    </row>
    <row r="1098" spans="1:10">
      <c r="A1098" s="198"/>
      <c r="H1098" s="198"/>
      <c r="I1098" s="198"/>
    </row>
    <row r="1099" spans="1:10">
      <c r="A1099" s="198"/>
      <c r="H1099" s="203" t="s">
        <v>69</v>
      </c>
      <c r="I1099" s="204"/>
    </row>
    <row r="1100" spans="1:10">
      <c r="B1100" s="199" t="s">
        <v>204</v>
      </c>
      <c r="C1100" s="200" t="s">
        <v>67</v>
      </c>
      <c r="D1100" s="200" t="s">
        <v>68</v>
      </c>
      <c r="E1100" s="201" t="s">
        <v>60</v>
      </c>
      <c r="F1100" s="201" t="s">
        <v>7</v>
      </c>
      <c r="H1100" s="203"/>
      <c r="I1100" s="204"/>
    </row>
    <row r="1101" spans="1:10">
      <c r="B1101" s="202" t="s">
        <v>9</v>
      </c>
      <c r="C1101" s="178">
        <f>Model!AH119+Model!AH120</f>
        <v>12112.313</v>
      </c>
      <c r="D1101" s="178">
        <f>Capitalisation!C1101*$I$1095</f>
        <v>511.66043805900006</v>
      </c>
      <c r="E1101" s="201"/>
      <c r="F1101" s="201"/>
    </row>
    <row r="1102" spans="1:10">
      <c r="B1102" s="205" t="s">
        <v>11</v>
      </c>
      <c r="C1102" s="179"/>
      <c r="D1102" s="179"/>
      <c r="E1102" s="206"/>
      <c r="F1102" s="206"/>
      <c r="H1102" s="194" t="s">
        <v>10</v>
      </c>
      <c r="I1102" s="186">
        <v>39643.800000000003</v>
      </c>
    </row>
    <row r="1103" spans="1:10">
      <c r="B1103" s="202" t="s">
        <v>13</v>
      </c>
      <c r="C1103" s="178">
        <f>Model!AH128</f>
        <v>6926.79</v>
      </c>
      <c r="D1103" s="178">
        <f>Capitalisation!C1103*$I$1095</f>
        <v>292.60838997000002</v>
      </c>
      <c r="E1103" s="206"/>
      <c r="F1103" s="207"/>
      <c r="H1103" s="194" t="s">
        <v>12</v>
      </c>
      <c r="I1103" s="186">
        <v>-5749.7</v>
      </c>
      <c r="J1103" s="198"/>
    </row>
    <row r="1104" spans="1:10">
      <c r="B1104" s="202" t="s">
        <v>15</v>
      </c>
      <c r="C1104" s="178">
        <f>Model!AH129</f>
        <v>17316.974999999999</v>
      </c>
      <c r="D1104" s="178">
        <f>Capitalisation!C1104*$I$1095</f>
        <v>731.52097492500002</v>
      </c>
      <c r="E1104" s="206"/>
      <c r="F1104" s="206"/>
      <c r="H1104" s="195" t="s">
        <v>14</v>
      </c>
      <c r="I1104" s="208">
        <f>SUM(I1102:I1103)</f>
        <v>33894.100000000006</v>
      </c>
      <c r="J1104" s="198"/>
    </row>
    <row r="1105" spans="1:11">
      <c r="B1105" s="205" t="s">
        <v>17</v>
      </c>
      <c r="C1105" s="178"/>
      <c r="D1105" s="178"/>
      <c r="E1105" s="206"/>
      <c r="F1105" s="206"/>
      <c r="H1105" s="194" t="s">
        <v>16</v>
      </c>
      <c r="I1105" s="209">
        <f>C1116</f>
        <v>5454.6120000000001</v>
      </c>
    </row>
    <row r="1106" spans="1:11">
      <c r="B1106" s="202" t="s">
        <v>135</v>
      </c>
      <c r="C1106" s="178">
        <f>Model!AH124</f>
        <v>0</v>
      </c>
      <c r="D1106" s="178">
        <f>Capitalisation!C1106*$I$1095</f>
        <v>0</v>
      </c>
      <c r="E1106" s="206"/>
      <c r="F1106" s="207"/>
      <c r="H1106" s="195" t="s">
        <v>18</v>
      </c>
      <c r="I1106" s="208">
        <f>I1104-I1105</f>
        <v>28439.488000000005</v>
      </c>
      <c r="K1106" s="198"/>
    </row>
    <row r="1107" spans="1:11">
      <c r="B1107" s="202" t="s">
        <v>136</v>
      </c>
      <c r="C1107" s="178">
        <f>Model!AH125</f>
        <v>0</v>
      </c>
      <c r="D1107" s="178">
        <f>Capitalisation!C1107*$I$1095</f>
        <v>0</v>
      </c>
      <c r="E1107" s="206"/>
      <c r="F1107" s="181"/>
      <c r="H1107" s="211" t="s">
        <v>20</v>
      </c>
      <c r="I1107" s="204">
        <f>I1104/C1120</f>
        <v>2.1210458138035913</v>
      </c>
      <c r="K1107" s="198"/>
    </row>
    <row r="1108" spans="1:11" s="198" customFormat="1">
      <c r="A1108" s="194"/>
      <c r="B1108" s="202" t="s">
        <v>137</v>
      </c>
      <c r="C1108" s="178">
        <f>Model!AH126</f>
        <v>1500</v>
      </c>
      <c r="D1108" s="178">
        <f>Capitalisation!C1108*$I$1095</f>
        <v>63.364500000000007</v>
      </c>
      <c r="E1108" s="206"/>
      <c r="F1108" s="206"/>
      <c r="G1108" s="194"/>
      <c r="H1108" s="211" t="s">
        <v>22</v>
      </c>
      <c r="I1108" s="204">
        <f>I1106/C1120</f>
        <v>1.7797037528395052</v>
      </c>
      <c r="J1108" s="194"/>
      <c r="K1108" s="194"/>
    </row>
    <row r="1109" spans="1:11" s="198" customFormat="1">
      <c r="A1109" s="194"/>
      <c r="B1109" s="202" t="s">
        <v>138</v>
      </c>
      <c r="C1109" s="178">
        <f>Model!AH127</f>
        <v>1900</v>
      </c>
      <c r="D1109" s="178">
        <f>Capitalisation!C1109*$I$1095</f>
        <v>80.261700000000005</v>
      </c>
      <c r="E1109" s="206"/>
      <c r="F1109" s="210"/>
      <c r="G1109" s="194"/>
      <c r="H1109" s="194"/>
      <c r="I1109" s="194"/>
      <c r="J1109" s="194"/>
      <c r="K1109" s="194"/>
    </row>
    <row r="1110" spans="1:11">
      <c r="B1110" s="202" t="s">
        <v>19</v>
      </c>
      <c r="C1110" s="178">
        <f>Model!AH130</f>
        <v>3500</v>
      </c>
      <c r="D1110" s="178">
        <f>Capitalisation!C1110*$I$1095</f>
        <v>147.85050000000001</v>
      </c>
      <c r="E1110" s="206"/>
      <c r="F1110" s="207"/>
    </row>
    <row r="1111" spans="1:11">
      <c r="B1111" s="202" t="s">
        <v>21</v>
      </c>
      <c r="C1111" s="178">
        <f>Model!AH131</f>
        <v>5000</v>
      </c>
      <c r="D1111" s="178">
        <f>Capitalisation!C1111*$I$1095</f>
        <v>211.215</v>
      </c>
      <c r="E1111" s="206"/>
      <c r="F1111" s="207"/>
    </row>
    <row r="1112" spans="1:11">
      <c r="B1112" s="202" t="s">
        <v>139</v>
      </c>
      <c r="C1112" s="178">
        <f>+Model!AH136</f>
        <v>1000</v>
      </c>
      <c r="D1112" s="178">
        <f>Capitalisation!C1112*$I$1095</f>
        <v>42.243000000000002</v>
      </c>
      <c r="E1112" s="206"/>
      <c r="F1112" s="207"/>
    </row>
    <row r="1113" spans="1:11">
      <c r="B1113" s="202" t="s">
        <v>140</v>
      </c>
      <c r="C1113" s="178">
        <f>+Model!AH137</f>
        <v>1500</v>
      </c>
      <c r="D1113" s="178">
        <f>Capitalisation!C1113*$I$1095</f>
        <v>63.364500000000007</v>
      </c>
      <c r="E1113" s="206"/>
      <c r="F1113" s="207"/>
    </row>
    <row r="1114" spans="1:11">
      <c r="B1114" s="202" t="s">
        <v>141</v>
      </c>
      <c r="C1114" s="178">
        <f>+Model!AH138</f>
        <v>1000</v>
      </c>
      <c r="D1114" s="178">
        <f>Capitalisation!C1114*$I$1095</f>
        <v>42.243000000000002</v>
      </c>
      <c r="E1114" s="206"/>
      <c r="F1114" s="207"/>
      <c r="H1114" s="194" t="s">
        <v>78</v>
      </c>
      <c r="I1114" s="188">
        <v>2.13</v>
      </c>
    </row>
    <row r="1115" spans="1:11">
      <c r="B1115" s="212" t="s">
        <v>28</v>
      </c>
      <c r="C1115" s="183">
        <f>SUM(C1101:C1114)</f>
        <v>51756.077999999994</v>
      </c>
      <c r="D1115" s="183">
        <f>SUM(D1101:D1114)</f>
        <v>2186.332002954</v>
      </c>
      <c r="E1115" s="214">
        <f>C1115/C1120</f>
        <v>3.2388236472068037</v>
      </c>
      <c r="F1115" s="214">
        <f>D1115/D1120</f>
        <v>2.7229820726865781</v>
      </c>
      <c r="H1115" s="194" t="s">
        <v>26</v>
      </c>
      <c r="I1115" s="188">
        <v>1.79</v>
      </c>
    </row>
    <row r="1116" spans="1:11">
      <c r="B1116" s="215" t="s">
        <v>29</v>
      </c>
      <c r="C1116" s="216">
        <f>Model!AH144</f>
        <v>5454.6120000000001</v>
      </c>
      <c r="D1116" s="178">
        <f>Capitalisation!C1116*$I$1095</f>
        <v>230.41917471600001</v>
      </c>
      <c r="E1116" s="211"/>
      <c r="F1116" s="211"/>
    </row>
    <row r="1117" spans="1:11">
      <c r="B1117" s="212" t="s">
        <v>30</v>
      </c>
      <c r="C1117" s="183">
        <f>C1115-C1116</f>
        <v>46301.465999999993</v>
      </c>
      <c r="D1117" s="183">
        <f>D1115-D1116</f>
        <v>1955.912828238</v>
      </c>
      <c r="E1117" s="214">
        <f>C1117/C1120</f>
        <v>2.8974815862427175</v>
      </c>
      <c r="F1117" s="214">
        <f>D1117/D1120</f>
        <v>2.4360049433635047</v>
      </c>
    </row>
    <row r="1118" spans="1:11">
      <c r="B1118" s="212" t="s">
        <v>31</v>
      </c>
      <c r="C1118" s="183">
        <f>Model!AH156</f>
        <v>105057.80899999999</v>
      </c>
      <c r="E1118" s="214"/>
    </row>
    <row r="1119" spans="1:11">
      <c r="B1119" s="212" t="s">
        <v>32</v>
      </c>
      <c r="C1119" s="183">
        <f>C1117+C1118</f>
        <v>151359.27499999999</v>
      </c>
      <c r="D1119" s="183"/>
      <c r="E1119" s="214"/>
    </row>
    <row r="1120" spans="1:11">
      <c r="B1120" s="215" t="s">
        <v>33</v>
      </c>
      <c r="C1120" s="6">
        <f>Model!AH92</f>
        <v>15979.899999999998</v>
      </c>
      <c r="D1120" s="178">
        <f>Capitalisation!C1120*$I$1096</f>
        <v>802.91825087078053</v>
      </c>
      <c r="E1120" s="215"/>
    </row>
    <row r="1121" spans="2:9">
      <c r="B1121" s="218" t="s">
        <v>34</v>
      </c>
      <c r="C1121" s="232">
        <f>C1115-Model!AH116</f>
        <v>0</v>
      </c>
      <c r="D1121" s="220"/>
      <c r="E1121" s="221"/>
      <c r="G1121" s="184"/>
      <c r="H1121" s="184"/>
      <c r="I1121" s="184"/>
    </row>
    <row r="1122" spans="2:9">
      <c r="G1122" s="213"/>
      <c r="H1122" s="213"/>
      <c r="I1122" s="213"/>
    </row>
    <row r="1123" spans="2:9">
      <c r="B1123" s="212" t="s">
        <v>35</v>
      </c>
      <c r="C1123" s="222">
        <f>C1117+Model!AH155</f>
        <v>131571.726</v>
      </c>
      <c r="E1123" s="223"/>
      <c r="F1123" s="184"/>
    </row>
    <row r="1124" spans="2:9">
      <c r="B1124" s="212" t="s">
        <v>36</v>
      </c>
      <c r="C1124" s="214">
        <f>C1123/C1120</f>
        <v>8.2335763052334503</v>
      </c>
      <c r="E1124" s="223"/>
      <c r="F1124" s="213"/>
    </row>
    <row r="1127" spans="2:9" ht="26">
      <c r="B1127" s="224" t="s">
        <v>205</v>
      </c>
      <c r="C1127" s="224" t="s">
        <v>87</v>
      </c>
      <c r="D1127" s="224" t="s">
        <v>72</v>
      </c>
    </row>
    <row r="1128" spans="2:9">
      <c r="B1128" s="225"/>
      <c r="C1128" s="185"/>
      <c r="D1128" s="185"/>
    </row>
    <row r="1129" spans="2:9">
      <c r="B1129" s="225" t="s">
        <v>16</v>
      </c>
      <c r="C1129" s="185">
        <f>C1116</f>
        <v>5454.6120000000001</v>
      </c>
      <c r="D1129" s="185">
        <f>C1129*I1095</f>
        <v>230.41917471600001</v>
      </c>
    </row>
    <row r="1130" spans="2:9">
      <c r="B1130" s="194" t="s">
        <v>38</v>
      </c>
      <c r="C1130" s="185">
        <f>SUM(C1128:C1129)</f>
        <v>5454.6120000000001</v>
      </c>
      <c r="D1130" s="185">
        <f>SUM(D1128:D1129)</f>
        <v>230.41917471600001</v>
      </c>
    </row>
    <row r="1132" spans="2:9">
      <c r="C1132" s="231"/>
    </row>
    <row r="1133" spans="2:9" ht="12" customHeight="1"/>
    <row r="1134" spans="2:9" ht="26">
      <c r="B1134" s="195" t="s">
        <v>206</v>
      </c>
      <c r="C1134" s="224" t="s">
        <v>87</v>
      </c>
      <c r="D1134" s="224" t="s">
        <v>72</v>
      </c>
    </row>
    <row r="1135" spans="2:9">
      <c r="B1135" s="226" t="s">
        <v>40</v>
      </c>
      <c r="C1135" s="186">
        <f>1000+1500+1000</f>
        <v>3500</v>
      </c>
      <c r="D1135" s="227">
        <f>C1135*$I$1095</f>
        <v>147.85050000000001</v>
      </c>
    </row>
    <row r="1136" spans="2:9">
      <c r="B1136" s="226" t="s">
        <v>150</v>
      </c>
      <c r="C1136" s="186">
        <v>1900</v>
      </c>
      <c r="D1136" s="229">
        <f>C1136*$I$1095</f>
        <v>80.261700000000005</v>
      </c>
    </row>
    <row r="1137" spans="1:11">
      <c r="B1137" s="226" t="s">
        <v>151</v>
      </c>
      <c r="C1137" s="186">
        <v>1500</v>
      </c>
      <c r="D1137" s="229">
        <f>C1137*$I$1095</f>
        <v>63.364500000000007</v>
      </c>
    </row>
    <row r="1138" spans="1:11">
      <c r="B1138" s="226" t="s">
        <v>152</v>
      </c>
      <c r="C1138" s="186">
        <v>0</v>
      </c>
      <c r="D1138" s="229">
        <f>C1138*$I$1095</f>
        <v>0</v>
      </c>
    </row>
    <row r="1139" spans="1:11">
      <c r="B1139" s="226" t="s">
        <v>153</v>
      </c>
      <c r="C1139" s="180">
        <f>8500+24243.765</f>
        <v>32743.764999999999</v>
      </c>
      <c r="D1139" s="229">
        <f>C1139*$I$1095</f>
        <v>1383.1948648950001</v>
      </c>
    </row>
    <row r="1140" spans="1:11">
      <c r="B1140" s="226"/>
      <c r="C1140" s="228"/>
      <c r="D1140" s="229"/>
    </row>
    <row r="1141" spans="1:11">
      <c r="B1141" s="195" t="s">
        <v>45</v>
      </c>
      <c r="C1141" s="230">
        <f>SUM(C1135:C1140)</f>
        <v>39643.764999999999</v>
      </c>
      <c r="D1141" s="230">
        <f>SUM(D1135:D1140)</f>
        <v>1674.6715648950003</v>
      </c>
      <c r="H1141" s="195" t="s">
        <v>207</v>
      </c>
      <c r="I1141" s="196">
        <f>Model!AG244</f>
        <v>4.2194092827004218E-2</v>
      </c>
    </row>
    <row r="1142" spans="1:11">
      <c r="B1142" s="218" t="s">
        <v>34</v>
      </c>
      <c r="C1142" s="220">
        <f>C1141+C1101-C1115</f>
        <v>0</v>
      </c>
      <c r="D1142" s="220">
        <f>D1141+D1101-D1115</f>
        <v>0</v>
      </c>
      <c r="H1142" s="197" t="s">
        <v>208</v>
      </c>
      <c r="I1142" s="196">
        <f>AVERAGE(Model!AD243:AG243)</f>
        <v>5.0820511603375529E-2</v>
      </c>
    </row>
    <row r="1143" spans="1:11">
      <c r="H1143" s="197"/>
      <c r="I1143" s="196"/>
    </row>
    <row r="1144" spans="1:11">
      <c r="A1144" s="198"/>
      <c r="H1144" s="198"/>
      <c r="I1144" s="198"/>
    </row>
    <row r="1145" spans="1:11">
      <c r="A1145" s="198"/>
      <c r="H1145" s="203" t="s">
        <v>69</v>
      </c>
      <c r="I1145" s="204"/>
    </row>
    <row r="1146" spans="1:11">
      <c r="B1146" s="199" t="s">
        <v>209</v>
      </c>
      <c r="C1146" s="200" t="s">
        <v>67</v>
      </c>
      <c r="D1146" s="200" t="s">
        <v>68</v>
      </c>
      <c r="E1146" s="201" t="s">
        <v>60</v>
      </c>
      <c r="F1146" s="201" t="s">
        <v>7</v>
      </c>
      <c r="H1146" s="203"/>
      <c r="I1146" s="204"/>
    </row>
    <row r="1147" spans="1:11">
      <c r="B1147" s="202" t="s">
        <v>9</v>
      </c>
      <c r="C1147" s="178">
        <f>Model!AG119+Model!AG120</f>
        <v>12196.377</v>
      </c>
      <c r="D1147" s="178">
        <f>Capitalisation!C1147*$I$1141</f>
        <v>514.61506329113922</v>
      </c>
      <c r="E1147" s="201"/>
      <c r="F1147" s="201"/>
    </row>
    <row r="1148" spans="1:11">
      <c r="B1148" s="205" t="s">
        <v>11</v>
      </c>
      <c r="C1148" s="179"/>
      <c r="D1148" s="179"/>
      <c r="E1148" s="206"/>
      <c r="F1148" s="206"/>
      <c r="H1148" s="194" t="s">
        <v>10</v>
      </c>
      <c r="I1148" s="186">
        <v>39558.9</v>
      </c>
      <c r="J1148" s="198"/>
    </row>
    <row r="1149" spans="1:11">
      <c r="B1149" s="202" t="s">
        <v>13</v>
      </c>
      <c r="C1149" s="178">
        <f>Model!AG128</f>
        <v>7045.41</v>
      </c>
      <c r="D1149" s="178">
        <f>Capitalisation!C1149*$I$1141</f>
        <v>297.2746835443038</v>
      </c>
      <c r="E1149" s="206"/>
      <c r="F1149" s="207"/>
      <c r="H1149" s="194" t="s">
        <v>12</v>
      </c>
      <c r="I1149" s="186">
        <v>-6164.8</v>
      </c>
      <c r="J1149" s="198"/>
    </row>
    <row r="1150" spans="1:11">
      <c r="B1150" s="202" t="s">
        <v>15</v>
      </c>
      <c r="C1150" s="178">
        <f>Model!AG129</f>
        <v>17613.525000000001</v>
      </c>
      <c r="D1150" s="178">
        <f>Capitalisation!C1150*$I$1141</f>
        <v>743.1867088607595</v>
      </c>
      <c r="E1150" s="206"/>
      <c r="F1150" s="206"/>
      <c r="H1150" s="195" t="s">
        <v>14</v>
      </c>
      <c r="I1150" s="208">
        <f>SUM(I1148:I1149)</f>
        <v>33394.1</v>
      </c>
      <c r="K1150" s="198"/>
    </row>
    <row r="1151" spans="1:11">
      <c r="B1151" s="205" t="s">
        <v>17</v>
      </c>
      <c r="C1151" s="178"/>
      <c r="D1151" s="178"/>
      <c r="E1151" s="206"/>
      <c r="F1151" s="206"/>
      <c r="H1151" s="194" t="s">
        <v>16</v>
      </c>
      <c r="I1151" s="209">
        <f>C1159</f>
        <v>14161.040999999999</v>
      </c>
      <c r="K1151" s="198"/>
    </row>
    <row r="1152" spans="1:11" s="198" customFormat="1">
      <c r="A1152" s="194"/>
      <c r="B1152" s="202" t="s">
        <v>135</v>
      </c>
      <c r="C1152" s="178">
        <f>Model!AG124</f>
        <v>750</v>
      </c>
      <c r="D1152" s="178">
        <f>Capitalisation!C1152*$I$1141</f>
        <v>31.645569620253163</v>
      </c>
      <c r="E1152" s="206"/>
      <c r="F1152" s="207"/>
      <c r="G1152" s="194"/>
      <c r="H1152" s="195" t="s">
        <v>18</v>
      </c>
      <c r="I1152" s="208">
        <f>I1150-I1151</f>
        <v>19233.059000000001</v>
      </c>
      <c r="J1152" s="194"/>
      <c r="K1152" s="194"/>
    </row>
    <row r="1153" spans="1:11" s="198" customFormat="1">
      <c r="A1153" s="194"/>
      <c r="B1153" s="202" t="s">
        <v>136</v>
      </c>
      <c r="C1153" s="178">
        <f>Model!AG125</f>
        <v>2250</v>
      </c>
      <c r="D1153" s="178">
        <f>Capitalisation!C1153*$I$1141</f>
        <v>94.936708860759495</v>
      </c>
      <c r="E1153" s="206"/>
      <c r="F1153" s="181"/>
      <c r="G1153" s="194"/>
      <c r="H1153" s="211" t="s">
        <v>20</v>
      </c>
      <c r="I1153" s="204">
        <f>I1150/C1163</f>
        <v>1.4215155010876088</v>
      </c>
      <c r="J1153" s="194"/>
      <c r="K1153" s="194"/>
    </row>
    <row r="1154" spans="1:11">
      <c r="B1154" s="202" t="s">
        <v>137</v>
      </c>
      <c r="C1154" s="178">
        <f>Model!AG126</f>
        <v>1500</v>
      </c>
      <c r="D1154" s="178">
        <f>Capitalisation!C1154*$I$1141</f>
        <v>63.291139240506325</v>
      </c>
      <c r="E1154" s="206"/>
      <c r="F1154" s="206"/>
      <c r="H1154" s="211" t="s">
        <v>22</v>
      </c>
      <c r="I1154" s="204">
        <f>I1152/C1163</f>
        <v>0.81871023629421202</v>
      </c>
    </row>
    <row r="1155" spans="1:11">
      <c r="B1155" s="202" t="s">
        <v>138</v>
      </c>
      <c r="C1155" s="178">
        <f>Model!AG127</f>
        <v>1900</v>
      </c>
      <c r="D1155" s="178">
        <f>Capitalisation!C1155*$I$1141</f>
        <v>80.168776371308013</v>
      </c>
      <c r="E1155" s="206"/>
      <c r="F1155" s="210"/>
    </row>
    <row r="1156" spans="1:11">
      <c r="B1156" s="202" t="s">
        <v>19</v>
      </c>
      <c r="C1156" s="178">
        <f>Model!AG130</f>
        <v>3500</v>
      </c>
      <c r="D1156" s="178">
        <f>Capitalisation!C1156*$I$1141</f>
        <v>147.67932489451476</v>
      </c>
      <c r="E1156" s="206"/>
      <c r="F1156" s="207"/>
    </row>
    <row r="1157" spans="1:11">
      <c r="B1157" s="202" t="s">
        <v>21</v>
      </c>
      <c r="C1157" s="178">
        <v>5000</v>
      </c>
      <c r="D1157" s="178">
        <f>Capitalisation!C1157*$I$1141</f>
        <v>210.97046413502107</v>
      </c>
      <c r="E1157" s="206"/>
      <c r="F1157" s="207"/>
      <c r="H1157" s="194" t="s">
        <v>78</v>
      </c>
      <c r="I1157" s="188">
        <v>1.42</v>
      </c>
    </row>
    <row r="1158" spans="1:11">
      <c r="B1158" s="212" t="s">
        <v>28</v>
      </c>
      <c r="C1158" s="183">
        <f>SUM(C1147:C1157)</f>
        <v>51755.312000000005</v>
      </c>
      <c r="D1158" s="183">
        <f>SUM(D1147:D1157)</f>
        <v>2183.7684388185653</v>
      </c>
      <c r="E1158" s="214">
        <f>C1158/C1163</f>
        <v>2.2031130730166568</v>
      </c>
      <c r="F1158" s="214">
        <f>D1158/D1163</f>
        <v>1.8291503681965486</v>
      </c>
      <c r="H1158" s="194" t="s">
        <v>26</v>
      </c>
      <c r="I1158" s="188">
        <v>0.82</v>
      </c>
    </row>
    <row r="1159" spans="1:11">
      <c r="B1159" s="215" t="s">
        <v>29</v>
      </c>
      <c r="C1159" s="216">
        <f>Model!AG144</f>
        <v>14161.040999999999</v>
      </c>
      <c r="D1159" s="178">
        <f>Capitalisation!C1159*$I$1141</f>
        <v>597.51227848101257</v>
      </c>
      <c r="E1159" s="211"/>
      <c r="F1159" s="211"/>
    </row>
    <row r="1160" spans="1:11">
      <c r="B1160" s="212" t="s">
        <v>30</v>
      </c>
      <c r="C1160" s="183">
        <f>C1158-C1159</f>
        <v>37594.271000000008</v>
      </c>
      <c r="D1160" s="183">
        <f>D1158-D1159</f>
        <v>1586.2561603375527</v>
      </c>
      <c r="E1160" s="214">
        <f>C1160/C1163</f>
        <v>1.6003078082232602</v>
      </c>
      <c r="F1160" s="214">
        <f>D1160/D1163</f>
        <v>1.3286669905831276</v>
      </c>
    </row>
    <row r="1161" spans="1:11">
      <c r="B1161" s="212" t="s">
        <v>31</v>
      </c>
      <c r="C1161" s="183">
        <f>Model!AG156</f>
        <v>109073.88</v>
      </c>
      <c r="E1161" s="214"/>
    </row>
    <row r="1162" spans="1:11">
      <c r="B1162" s="212" t="s">
        <v>32</v>
      </c>
      <c r="C1162" s="183">
        <f>C1160+C1161</f>
        <v>146668.15100000001</v>
      </c>
      <c r="D1162" s="183"/>
      <c r="E1162" s="214"/>
    </row>
    <row r="1163" spans="1:11">
      <c r="B1163" s="215" t="s">
        <v>33</v>
      </c>
      <c r="C1163" s="6">
        <f>Model!AG92</f>
        <v>23491.9</v>
      </c>
      <c r="D1163" s="178">
        <f>Capitalisation!C1163*$I$1142</f>
        <v>1193.8703765353378</v>
      </c>
      <c r="E1163" s="215"/>
    </row>
    <row r="1164" spans="1:11">
      <c r="B1164" s="218" t="s">
        <v>34</v>
      </c>
      <c r="C1164" s="233">
        <f>C1160-Model!AG146</f>
        <v>0</v>
      </c>
      <c r="D1164" s="220"/>
      <c r="E1164" s="221"/>
      <c r="G1164" s="184"/>
      <c r="H1164" s="184"/>
      <c r="I1164" s="184"/>
    </row>
    <row r="1165" spans="1:11">
      <c r="G1165" s="213"/>
      <c r="H1165" s="213"/>
      <c r="I1165" s="213"/>
    </row>
    <row r="1166" spans="1:11">
      <c r="B1166" s="212" t="s">
        <v>35</v>
      </c>
      <c r="C1166" s="222">
        <f>C1160+Model!AG155</f>
        <v>127768.27100000001</v>
      </c>
      <c r="E1166" s="223"/>
      <c r="F1166" s="184"/>
    </row>
    <row r="1167" spans="1:11">
      <c r="B1167" s="212" t="s">
        <v>36</v>
      </c>
      <c r="C1167" s="214">
        <f>C1166/C1163</f>
        <v>5.4388223600475056</v>
      </c>
      <c r="E1167" s="223"/>
      <c r="F1167" s="213"/>
    </row>
    <row r="1170" spans="2:4" ht="26">
      <c r="B1170" s="224" t="s">
        <v>210</v>
      </c>
      <c r="C1170" s="224" t="s">
        <v>87</v>
      </c>
      <c r="D1170" s="224" t="s">
        <v>72</v>
      </c>
    </row>
    <row r="1171" spans="2:4">
      <c r="B1171" s="225"/>
      <c r="C1171" s="185"/>
      <c r="D1171" s="185"/>
    </row>
    <row r="1172" spans="2:4">
      <c r="B1172" s="225" t="s">
        <v>16</v>
      </c>
      <c r="C1172" s="185">
        <f>C1159</f>
        <v>14161.040999999999</v>
      </c>
      <c r="D1172" s="185">
        <f>C1172*I1141</f>
        <v>597.51227848101257</v>
      </c>
    </row>
    <row r="1173" spans="2:4">
      <c r="B1173" s="194" t="s">
        <v>38</v>
      </c>
      <c r="C1173" s="185">
        <f>SUM(C1171:C1172)</f>
        <v>14161.040999999999</v>
      </c>
      <c r="D1173" s="185">
        <f>SUM(D1171:D1172)</f>
        <v>597.51227848101257</v>
      </c>
    </row>
    <row r="1175" spans="2:4">
      <c r="C1175" s="231"/>
    </row>
    <row r="1177" spans="2:4" ht="12" customHeight="1">
      <c r="B1177" s="195" t="s">
        <v>211</v>
      </c>
      <c r="C1177" s="224" t="s">
        <v>87</v>
      </c>
      <c r="D1177" s="224" t="s">
        <v>72</v>
      </c>
    </row>
    <row r="1178" spans="2:4">
      <c r="B1178" s="226" t="s">
        <v>40</v>
      </c>
      <c r="C1178" s="186">
        <v>3000</v>
      </c>
      <c r="D1178" s="229">
        <f>C1178*$I$1141</f>
        <v>126.58227848101265</v>
      </c>
    </row>
    <row r="1179" spans="2:4">
      <c r="B1179" s="226" t="s">
        <v>150</v>
      </c>
      <c r="C1179" s="186">
        <v>1900</v>
      </c>
      <c r="D1179" s="229">
        <f>C1179*$I$1141</f>
        <v>80.168776371308013</v>
      </c>
    </row>
    <row r="1180" spans="2:4">
      <c r="B1180" s="226" t="s">
        <v>151</v>
      </c>
      <c r="C1180" s="186">
        <v>1500</v>
      </c>
      <c r="D1180" s="229">
        <f>C1180*$I$1141</f>
        <v>63.291139240506325</v>
      </c>
    </row>
    <row r="1181" spans="2:4">
      <c r="B1181" s="226" t="s">
        <v>152</v>
      </c>
      <c r="C1181" s="186">
        <v>0</v>
      </c>
      <c r="D1181" s="229">
        <f>C1181*$I$1141</f>
        <v>0</v>
      </c>
    </row>
    <row r="1182" spans="2:4">
      <c r="B1182" s="226" t="s">
        <v>153</v>
      </c>
      <c r="C1182" s="180">
        <f>8500+24658.935</f>
        <v>33158.934999999998</v>
      </c>
      <c r="D1182" s="229">
        <f>C1182*$I$1141</f>
        <v>1399.1111814345991</v>
      </c>
    </row>
    <row r="1183" spans="2:4">
      <c r="B1183" s="226"/>
      <c r="C1183" s="228"/>
      <c r="D1183" s="229"/>
    </row>
    <row r="1184" spans="2:4">
      <c r="B1184" s="195" t="s">
        <v>45</v>
      </c>
      <c r="C1184" s="230">
        <f>SUM(C1178:C1183)</f>
        <v>39558.934999999998</v>
      </c>
      <c r="D1184" s="230">
        <f>SUM(D1178:D1183)</f>
        <v>1669.1533755274261</v>
      </c>
    </row>
    <row r="1185" spans="1:11">
      <c r="B1185" s="218" t="s">
        <v>34</v>
      </c>
      <c r="C1185" s="220">
        <f>C1184+C1147-C1158</f>
        <v>0</v>
      </c>
      <c r="D1185" s="220">
        <f>D1184+D1147-D1158</f>
        <v>0</v>
      </c>
      <c r="H1185" s="195" t="s">
        <v>212</v>
      </c>
      <c r="I1185" s="196">
        <f>Model!AF244</f>
        <v>5.2830000000000002E-2</v>
      </c>
    </row>
    <row r="1186" spans="1:11">
      <c r="B1186" s="218"/>
      <c r="C1186" s="220"/>
      <c r="D1186" s="220"/>
      <c r="H1186" s="197" t="s">
        <v>213</v>
      </c>
      <c r="I1186" s="196">
        <f>AVERAGE(Model!AC243:AF243)</f>
        <v>5.1992499999999997E-2</v>
      </c>
    </row>
    <row r="1187" spans="1:11">
      <c r="H1187" s="197"/>
      <c r="I1187" s="196"/>
    </row>
    <row r="1188" spans="1:11">
      <c r="A1188" s="198"/>
      <c r="H1188" s="198"/>
      <c r="I1188" s="198"/>
    </row>
    <row r="1189" spans="1:11">
      <c r="A1189" s="198"/>
      <c r="H1189" s="203" t="s">
        <v>69</v>
      </c>
      <c r="I1189" s="204"/>
    </row>
    <row r="1190" spans="1:11">
      <c r="B1190" s="199" t="s">
        <v>214</v>
      </c>
      <c r="C1190" s="200" t="s">
        <v>67</v>
      </c>
      <c r="D1190" s="200" t="s">
        <v>68</v>
      </c>
      <c r="E1190" s="201" t="s">
        <v>60</v>
      </c>
      <c r="F1190" s="201" t="s">
        <v>7</v>
      </c>
      <c r="H1190" s="203"/>
      <c r="I1190" s="204"/>
    </row>
    <row r="1191" spans="1:11">
      <c r="B1191" s="202" t="s">
        <v>9</v>
      </c>
      <c r="C1191" s="178">
        <f>Model!AF119+Model!AF120</f>
        <v>12219.113000000001</v>
      </c>
      <c r="D1191" s="178">
        <f>Capitalisation!C1191*$I$1185</f>
        <v>645.53573979000009</v>
      </c>
      <c r="E1191" s="201"/>
      <c r="F1191" s="201"/>
    </row>
    <row r="1192" spans="1:11">
      <c r="B1192" s="205" t="s">
        <v>11</v>
      </c>
      <c r="C1192" s="179"/>
      <c r="D1192" s="179"/>
      <c r="E1192" s="206"/>
      <c r="F1192" s="206"/>
      <c r="H1192" s="194" t="s">
        <v>10</v>
      </c>
      <c r="I1192" s="186">
        <v>34707.4</v>
      </c>
      <c r="J1192" s="198"/>
    </row>
    <row r="1193" spans="1:11">
      <c r="B1193" s="202" t="s">
        <v>13</v>
      </c>
      <c r="C1193" s="178">
        <f>Model!AF128</f>
        <v>5659.26</v>
      </c>
      <c r="D1193" s="178">
        <f>Capitalisation!C1193*$I$1185</f>
        <v>298.9787058</v>
      </c>
      <c r="E1193" s="206"/>
      <c r="F1193" s="207"/>
      <c r="H1193" s="194" t="s">
        <v>12</v>
      </c>
      <c r="I1193" s="186">
        <v>-1313.3</v>
      </c>
      <c r="J1193" s="198"/>
    </row>
    <row r="1194" spans="1:11">
      <c r="B1194" s="202" t="s">
        <v>15</v>
      </c>
      <c r="C1194" s="178">
        <f>Model!AF129</f>
        <v>14148.15</v>
      </c>
      <c r="D1194" s="178">
        <f>Capitalisation!C1194*$I$1185</f>
        <v>747.44676449999997</v>
      </c>
      <c r="E1194" s="206"/>
      <c r="F1194" s="206"/>
      <c r="H1194" s="195" t="s">
        <v>14</v>
      </c>
      <c r="I1194" s="208">
        <f>SUM(I1192:I1193)</f>
        <v>33394.1</v>
      </c>
      <c r="K1194" s="198"/>
    </row>
    <row r="1195" spans="1:11" s="198" customFormat="1">
      <c r="A1195" s="194"/>
      <c r="B1195" s="205" t="s">
        <v>17</v>
      </c>
      <c r="C1195" s="178"/>
      <c r="D1195" s="178"/>
      <c r="E1195" s="206"/>
      <c r="F1195" s="206"/>
      <c r="G1195" s="194"/>
      <c r="H1195" s="194" t="s">
        <v>16</v>
      </c>
      <c r="I1195" s="209">
        <f>C1203</f>
        <v>18634.797999999999</v>
      </c>
      <c r="J1195" s="194"/>
    </row>
    <row r="1196" spans="1:11">
      <c r="B1196" s="202" t="s">
        <v>135</v>
      </c>
      <c r="C1196" s="178">
        <f>Model!AF124</f>
        <v>750</v>
      </c>
      <c r="D1196" s="178">
        <f>Capitalisation!C1196*$I$1185</f>
        <v>39.622500000000002</v>
      </c>
      <c r="E1196" s="206"/>
      <c r="F1196" s="207"/>
      <c r="H1196" s="195" t="s">
        <v>18</v>
      </c>
      <c r="I1196" s="208">
        <f>I1194-I1195</f>
        <v>14759.302</v>
      </c>
    </row>
    <row r="1197" spans="1:11">
      <c r="B1197" s="202" t="s">
        <v>136</v>
      </c>
      <c r="C1197" s="178">
        <f>Model!AF125</f>
        <v>2250</v>
      </c>
      <c r="D1197" s="178">
        <f>Capitalisation!C1197*$I$1185</f>
        <v>118.86750000000001</v>
      </c>
      <c r="E1197" s="206"/>
      <c r="F1197" s="181"/>
      <c r="H1197" s="211" t="s">
        <v>20</v>
      </c>
      <c r="I1197" s="204">
        <f>I1194/C1207</f>
        <v>1.3986120301885527</v>
      </c>
    </row>
    <row r="1198" spans="1:11">
      <c r="B1198" s="202" t="s">
        <v>137</v>
      </c>
      <c r="C1198" s="178">
        <f>Model!AF126</f>
        <v>1500</v>
      </c>
      <c r="D1198" s="178">
        <f>Capitalisation!C1198*$I$1185</f>
        <v>79.245000000000005</v>
      </c>
      <c r="E1198" s="206"/>
      <c r="F1198" s="206"/>
      <c r="H1198" s="211" t="s">
        <v>22</v>
      </c>
      <c r="I1198" s="204">
        <f>I1196/C1207</f>
        <v>0.61814923397803712</v>
      </c>
    </row>
    <row r="1199" spans="1:11">
      <c r="B1199" s="202" t="s">
        <v>138</v>
      </c>
      <c r="C1199" s="178">
        <f>Model!AF127</f>
        <v>1900</v>
      </c>
      <c r="D1199" s="178">
        <f>Capitalisation!C1199*$I$1185</f>
        <v>100.37700000000001</v>
      </c>
      <c r="E1199" s="206"/>
      <c r="F1199" s="210"/>
    </row>
    <row r="1200" spans="1:11">
      <c r="B1200" s="202" t="s">
        <v>19</v>
      </c>
      <c r="C1200" s="178">
        <f>Model!AF130</f>
        <v>3500</v>
      </c>
      <c r="D1200" s="178">
        <f>Capitalisation!C1200*$I$1185</f>
        <v>184.905</v>
      </c>
      <c r="E1200" s="206"/>
      <c r="F1200" s="207"/>
    </row>
    <row r="1201" spans="2:9">
      <c r="B1201" s="202" t="s">
        <v>21</v>
      </c>
      <c r="C1201" s="178">
        <v>5000</v>
      </c>
      <c r="D1201" s="178">
        <f>Capitalisation!C1201*$I$1185</f>
        <v>264.15000000000003</v>
      </c>
      <c r="E1201" s="206"/>
      <c r="F1201" s="207"/>
      <c r="H1201" s="194" t="s">
        <v>78</v>
      </c>
      <c r="I1201" s="188">
        <v>1.5</v>
      </c>
    </row>
    <row r="1202" spans="2:9">
      <c r="B1202" s="212" t="s">
        <v>28</v>
      </c>
      <c r="C1202" s="183">
        <f>SUM(C1191:C1201)</f>
        <v>46926.523000000001</v>
      </c>
      <c r="D1202" s="183">
        <f>SUM(D1191:D1201)</f>
        <v>2479.1282100900003</v>
      </c>
      <c r="E1202" s="214">
        <f>C1202/C1207</f>
        <v>1.9653771056180529</v>
      </c>
      <c r="F1202" s="214">
        <f>D1202/D1207</f>
        <v>1.9970355818589556</v>
      </c>
      <c r="H1202" s="194" t="s">
        <v>26</v>
      </c>
      <c r="I1202" s="188">
        <v>0.66</v>
      </c>
    </row>
    <row r="1203" spans="2:9">
      <c r="B1203" s="215" t="s">
        <v>29</v>
      </c>
      <c r="C1203" s="216">
        <f>Model!AF144</f>
        <v>18634.797999999999</v>
      </c>
      <c r="D1203" s="178">
        <f>Capitalisation!C1203*$I$1185</f>
        <v>984.47637834</v>
      </c>
      <c r="E1203" s="211"/>
      <c r="F1203" s="211"/>
    </row>
    <row r="1204" spans="2:9">
      <c r="B1204" s="212" t="s">
        <v>30</v>
      </c>
      <c r="C1204" s="183">
        <f>C1202-C1203</f>
        <v>28291.725000000002</v>
      </c>
      <c r="D1204" s="183">
        <f>D1202-D1203</f>
        <v>1494.6518317500004</v>
      </c>
      <c r="E1204" s="214">
        <f>C1204/C1207</f>
        <v>1.1849143094075372</v>
      </c>
      <c r="F1204" s="214">
        <f>D1204/D1207</f>
        <v>1.2040010187238583</v>
      </c>
    </row>
    <row r="1205" spans="2:9">
      <c r="B1205" s="212" t="s">
        <v>31</v>
      </c>
      <c r="C1205" s="183">
        <f>Model!AF156</f>
        <v>109074.541</v>
      </c>
      <c r="E1205" s="214"/>
    </row>
    <row r="1206" spans="2:9">
      <c r="B1206" s="212" t="s">
        <v>32</v>
      </c>
      <c r="C1206" s="183">
        <f>C1204+C1205</f>
        <v>137366.266</v>
      </c>
      <c r="D1206" s="183"/>
      <c r="E1206" s="214"/>
    </row>
    <row r="1207" spans="2:9">
      <c r="B1207" s="215" t="s">
        <v>33</v>
      </c>
      <c r="C1207" s="6">
        <f>Model!AF92</f>
        <v>23876.6</v>
      </c>
      <c r="D1207" s="178">
        <f>Capitalisation!C1207*$I$1186</f>
        <v>1241.4041255</v>
      </c>
      <c r="E1207" s="215"/>
    </row>
    <row r="1208" spans="2:9">
      <c r="B1208" s="218" t="s">
        <v>34</v>
      </c>
      <c r="C1208" s="233">
        <f>C1204-Model!AF146</f>
        <v>0</v>
      </c>
      <c r="D1208" s="220"/>
      <c r="E1208" s="221"/>
      <c r="G1208" s="184"/>
      <c r="H1208" s="184"/>
      <c r="I1208" s="184"/>
    </row>
    <row r="1209" spans="2:9">
      <c r="G1209" s="213"/>
      <c r="H1209" s="213"/>
      <c r="I1209" s="213"/>
    </row>
    <row r="1210" spans="2:9">
      <c r="B1210" s="212" t="s">
        <v>35</v>
      </c>
      <c r="C1210" s="222">
        <f>C1204+Model!AF155</f>
        <v>154350.82500000001</v>
      </c>
      <c r="E1210" s="223"/>
      <c r="F1210" s="184"/>
    </row>
    <row r="1211" spans="2:9">
      <c r="B1211" s="212" t="s">
        <v>36</v>
      </c>
      <c r="C1211" s="214">
        <f>C1210/C1207</f>
        <v>6.4645227963780449</v>
      </c>
      <c r="E1211" s="223"/>
      <c r="F1211" s="213"/>
    </row>
    <row r="1214" spans="2:9" ht="26">
      <c r="B1214" s="224" t="s">
        <v>210</v>
      </c>
      <c r="C1214" s="224" t="s">
        <v>87</v>
      </c>
      <c r="D1214" s="224" t="s">
        <v>72</v>
      </c>
    </row>
    <row r="1215" spans="2:9">
      <c r="B1215" s="225"/>
      <c r="C1215" s="185"/>
      <c r="D1215" s="185"/>
    </row>
    <row r="1216" spans="2:9">
      <c r="B1216" s="225" t="s">
        <v>16</v>
      </c>
      <c r="C1216" s="185">
        <f>C1203</f>
        <v>18634.797999999999</v>
      </c>
      <c r="D1216" s="185">
        <f>C1216*I1185</f>
        <v>984.47637834</v>
      </c>
    </row>
    <row r="1217" spans="2:9">
      <c r="B1217" s="194" t="s">
        <v>38</v>
      </c>
      <c r="C1217" s="185">
        <f>SUM(C1215:C1216)</f>
        <v>18634.797999999999</v>
      </c>
      <c r="D1217" s="185">
        <f>SUM(D1215:D1216)</f>
        <v>984.47637834</v>
      </c>
    </row>
    <row r="1219" spans="2:9" ht="12" customHeight="1">
      <c r="C1219" s="231"/>
    </row>
    <row r="1221" spans="2:9" ht="26">
      <c r="B1221" s="195" t="s">
        <v>211</v>
      </c>
      <c r="C1221" s="224" t="s">
        <v>87</v>
      </c>
      <c r="D1221" s="224" t="s">
        <v>72</v>
      </c>
    </row>
    <row r="1222" spans="2:9">
      <c r="B1222" s="226" t="s">
        <v>40</v>
      </c>
      <c r="C1222" s="186"/>
      <c r="D1222" s="229"/>
    </row>
    <row r="1223" spans="2:9">
      <c r="B1223" s="226" t="s">
        <v>150</v>
      </c>
      <c r="C1223" s="186">
        <v>3000</v>
      </c>
      <c r="D1223" s="229">
        <f>C1223*$I$1185</f>
        <v>158.49</v>
      </c>
    </row>
    <row r="1224" spans="2:9">
      <c r="B1224" s="226" t="s">
        <v>151</v>
      </c>
      <c r="C1224" s="186">
        <v>0</v>
      </c>
      <c r="D1224" s="229">
        <f>C1224*$I$1185</f>
        <v>0</v>
      </c>
    </row>
    <row r="1225" spans="2:9">
      <c r="B1225" s="226" t="s">
        <v>152</v>
      </c>
      <c r="C1225" s="186">
        <v>3400</v>
      </c>
      <c r="D1225" s="229">
        <f>C1225*$I$1185</f>
        <v>179.62200000000001</v>
      </c>
    </row>
    <row r="1226" spans="2:9">
      <c r="B1226" s="226" t="s">
        <v>153</v>
      </c>
      <c r="C1226" s="180">
        <f>8500+19807.41</f>
        <v>28307.41</v>
      </c>
      <c r="D1226" s="229">
        <f>C1226*$I$1185</f>
        <v>1495.4804703</v>
      </c>
    </row>
    <row r="1227" spans="2:9">
      <c r="B1227" s="226"/>
      <c r="C1227" s="228"/>
      <c r="D1227" s="229"/>
    </row>
    <row r="1228" spans="2:9">
      <c r="B1228" s="195" t="s">
        <v>45</v>
      </c>
      <c r="C1228" s="230">
        <f>SUM(C1222:C1227)</f>
        <v>34707.410000000003</v>
      </c>
      <c r="D1228" s="230">
        <f>SUM(D1222:D1227)</f>
        <v>1833.5924703000001</v>
      </c>
    </row>
    <row r="1229" spans="2:9">
      <c r="B1229" s="218" t="s">
        <v>34</v>
      </c>
      <c r="C1229" s="220">
        <f>C1228+C1191-C1202</f>
        <v>0</v>
      </c>
      <c r="D1229" s="220">
        <f>D1228+D1191-D1202</f>
        <v>0</v>
      </c>
    </row>
    <row r="1230" spans="2:9">
      <c r="B1230" s="218"/>
      <c r="C1230" s="220"/>
      <c r="D1230" s="220"/>
      <c r="H1230" s="195" t="s">
        <v>215</v>
      </c>
      <c r="I1230" s="196">
        <f>Model!AE244</f>
        <v>5.067E-2</v>
      </c>
    </row>
    <row r="1231" spans="2:9">
      <c r="B1231" s="218"/>
      <c r="C1231" s="220"/>
      <c r="D1231" s="220"/>
      <c r="H1231" s="197" t="s">
        <v>216</v>
      </c>
      <c r="I1231" s="196">
        <f>AVERAGE(Model!AB243:AE243)</f>
        <v>5.1612500000000006E-2</v>
      </c>
    </row>
    <row r="1232" spans="2:9">
      <c r="H1232" s="197"/>
      <c r="I1232" s="196"/>
    </row>
    <row r="1233" spans="1:10">
      <c r="A1233" s="198"/>
      <c r="H1233" s="203" t="s">
        <v>69</v>
      </c>
      <c r="I1233" s="204"/>
    </row>
    <row r="1234" spans="1:10">
      <c r="A1234" s="198"/>
      <c r="H1234" s="203"/>
      <c r="I1234" s="204"/>
    </row>
    <row r="1235" spans="1:10">
      <c r="B1235" s="199" t="s">
        <v>217</v>
      </c>
      <c r="C1235" s="200" t="s">
        <v>67</v>
      </c>
      <c r="D1235" s="200" t="s">
        <v>68</v>
      </c>
      <c r="E1235" s="201" t="s">
        <v>60</v>
      </c>
      <c r="F1235" s="201" t="s">
        <v>7</v>
      </c>
    </row>
    <row r="1236" spans="1:10">
      <c r="B1236" s="202" t="s">
        <v>9</v>
      </c>
      <c r="C1236" s="178">
        <f>Model!AE119+Model!AE120</f>
        <v>11613.526000000002</v>
      </c>
      <c r="D1236" s="178">
        <f>C1236*$I$1230</f>
        <v>588.45736242000009</v>
      </c>
      <c r="E1236" s="201"/>
      <c r="F1236" s="201"/>
      <c r="H1236" s="194" t="s">
        <v>10</v>
      </c>
      <c r="I1236" s="186">
        <v>30621.200000000001</v>
      </c>
      <c r="J1236" s="198"/>
    </row>
    <row r="1237" spans="1:10" s="198" customFormat="1">
      <c r="A1237" s="194"/>
      <c r="B1237" s="205" t="s">
        <v>11</v>
      </c>
      <c r="C1237" s="179"/>
      <c r="D1237" s="179"/>
      <c r="E1237" s="206"/>
      <c r="F1237" s="206"/>
      <c r="G1237" s="194"/>
      <c r="H1237" s="194" t="s">
        <v>12</v>
      </c>
      <c r="I1237" s="186">
        <v>-2227.1</v>
      </c>
    </row>
    <row r="1238" spans="1:10">
      <c r="B1238" s="202" t="s">
        <v>13</v>
      </c>
      <c r="C1238" s="178">
        <f>Model!AE128</f>
        <v>5920.35</v>
      </c>
      <c r="D1238" s="178">
        <f>C1238*$I$1230</f>
        <v>299.98413450000004</v>
      </c>
      <c r="E1238" s="206"/>
      <c r="F1238" s="207"/>
      <c r="H1238" s="195" t="s">
        <v>14</v>
      </c>
      <c r="I1238" s="208">
        <f>SUM(I1236:I1237)</f>
        <v>28394.100000000002</v>
      </c>
    </row>
    <row r="1239" spans="1:10">
      <c r="B1239" s="202" t="s">
        <v>15</v>
      </c>
      <c r="C1239" s="178">
        <f>Model!AE129</f>
        <v>14800.875</v>
      </c>
      <c r="D1239" s="178">
        <f>C1239*$I$1230</f>
        <v>749.96033624999995</v>
      </c>
      <c r="E1239" s="206"/>
      <c r="F1239" s="206"/>
      <c r="H1239" s="194" t="s">
        <v>16</v>
      </c>
      <c r="I1239" s="209">
        <f>C1247</f>
        <v>5562.6450000000004</v>
      </c>
    </row>
    <row r="1240" spans="1:10">
      <c r="B1240" s="205" t="s">
        <v>17</v>
      </c>
      <c r="C1240" s="178"/>
      <c r="D1240" s="178"/>
      <c r="E1240" s="206"/>
      <c r="F1240" s="206"/>
      <c r="H1240" s="195" t="s">
        <v>18</v>
      </c>
      <c r="I1240" s="208">
        <f>I1238-I1239</f>
        <v>22831.455000000002</v>
      </c>
    </row>
    <row r="1241" spans="1:10">
      <c r="B1241" s="202" t="s">
        <v>135</v>
      </c>
      <c r="C1241" s="178">
        <f>Model!AE124</f>
        <v>750</v>
      </c>
      <c r="D1241" s="178">
        <f>C1241*$I$1230</f>
        <v>38.002499999999998</v>
      </c>
      <c r="E1241" s="206"/>
      <c r="F1241" s="207"/>
      <c r="H1241" s="211" t="s">
        <v>20</v>
      </c>
      <c r="I1241" s="204">
        <f>I1238/C1251</f>
        <v>1.2812877415390815</v>
      </c>
    </row>
    <row r="1242" spans="1:10">
      <c r="B1242" s="202" t="s">
        <v>136</v>
      </c>
      <c r="C1242" s="178">
        <f>Model!AE125</f>
        <v>2250</v>
      </c>
      <c r="D1242" s="178">
        <f>C1242*$I$1230</f>
        <v>114.00749999999999</v>
      </c>
      <c r="E1242" s="206"/>
      <c r="F1242" s="181"/>
      <c r="H1242" s="211" t="s">
        <v>22</v>
      </c>
      <c r="I1242" s="204">
        <f>I1240/C1251</f>
        <v>1.0302726063865792</v>
      </c>
    </row>
    <row r="1243" spans="1:10">
      <c r="B1243" s="202" t="s">
        <v>137</v>
      </c>
      <c r="C1243" s="178">
        <f>Model!AE126</f>
        <v>1500</v>
      </c>
      <c r="D1243" s="178">
        <f>C1243*$I$1230</f>
        <v>76.004999999999995</v>
      </c>
      <c r="E1243" s="206"/>
      <c r="F1243" s="206"/>
    </row>
    <row r="1244" spans="1:10">
      <c r="B1244" s="202" t="s">
        <v>138</v>
      </c>
      <c r="C1244" s="178">
        <f>Model!AE127</f>
        <v>1900</v>
      </c>
      <c r="D1244" s="178">
        <f>C1244*$I$1230</f>
        <v>96.272999999999996</v>
      </c>
      <c r="E1244" s="206"/>
      <c r="F1244" s="210"/>
    </row>
    <row r="1245" spans="1:10">
      <c r="B1245" s="202" t="s">
        <v>19</v>
      </c>
      <c r="C1245" s="178">
        <f>Model!AE130</f>
        <v>3500</v>
      </c>
      <c r="D1245" s="178">
        <f>C1245*$I$1230</f>
        <v>177.345</v>
      </c>
      <c r="E1245" s="206"/>
      <c r="F1245" s="207"/>
      <c r="H1245" s="194" t="s">
        <v>78</v>
      </c>
      <c r="I1245" s="188">
        <v>1.37</v>
      </c>
    </row>
    <row r="1246" spans="1:10">
      <c r="B1246" s="212" t="s">
        <v>28</v>
      </c>
      <c r="C1246" s="183">
        <f>SUM(C1236:C1245)</f>
        <v>42234.751000000004</v>
      </c>
      <c r="D1246" s="183">
        <f>SUM(D1236:D1245)</f>
        <v>2140.0348331700002</v>
      </c>
      <c r="E1246" s="214">
        <f>C1246/C1251</f>
        <v>1.9058490574892484</v>
      </c>
      <c r="F1246" s="214">
        <f>D1246/D1251</f>
        <v>1.8710461950686403</v>
      </c>
      <c r="H1246" s="194" t="s">
        <v>26</v>
      </c>
      <c r="I1246" s="188">
        <v>1.1000000000000001</v>
      </c>
    </row>
    <row r="1247" spans="1:10">
      <c r="B1247" s="215" t="s">
        <v>29</v>
      </c>
      <c r="C1247" s="216">
        <f>Model!AE144</f>
        <v>5562.6450000000004</v>
      </c>
      <c r="D1247" s="178">
        <f>C1247*$I$1230</f>
        <v>281.85922214999999</v>
      </c>
      <c r="E1247" s="211"/>
      <c r="F1247" s="211"/>
    </row>
    <row r="1248" spans="1:10">
      <c r="B1248" s="212" t="s">
        <v>30</v>
      </c>
      <c r="C1248" s="183">
        <f>C1246-C1247</f>
        <v>36672.106</v>
      </c>
      <c r="D1248" s="183">
        <f>D1246-D1247</f>
        <v>1858.1756110200001</v>
      </c>
      <c r="E1248" s="214">
        <f>C1248/C1251</f>
        <v>1.6548339223367459</v>
      </c>
      <c r="F1248" s="214">
        <f>D1248/D1251</f>
        <v>1.624614867421708</v>
      </c>
    </row>
    <row r="1249" spans="2:10">
      <c r="B1249" s="212" t="s">
        <v>31</v>
      </c>
      <c r="C1249" s="183">
        <f>Model!AE156</f>
        <v>103477.16</v>
      </c>
      <c r="E1249" s="214"/>
    </row>
    <row r="1250" spans="2:10">
      <c r="B1250" s="212" t="s">
        <v>32</v>
      </c>
      <c r="C1250" s="183">
        <f>C1248+C1249</f>
        <v>140149.266</v>
      </c>
      <c r="D1250" s="183"/>
      <c r="E1250" s="214"/>
    </row>
    <row r="1251" spans="2:10">
      <c r="B1251" s="215" t="s">
        <v>33</v>
      </c>
      <c r="C1251" s="6">
        <f>Model!AE92</f>
        <v>22160.595999999998</v>
      </c>
      <c r="D1251" s="6">
        <f>C1251*I1231</f>
        <v>1143.7637610500001</v>
      </c>
      <c r="E1251" s="215"/>
    </row>
    <row r="1252" spans="2:10">
      <c r="B1252" s="218" t="s">
        <v>34</v>
      </c>
      <c r="C1252" s="233">
        <f>C1248-Model!AE146</f>
        <v>0</v>
      </c>
      <c r="D1252" s="220"/>
      <c r="E1252" s="221"/>
      <c r="G1252" s="184"/>
      <c r="H1252" s="184"/>
      <c r="I1252" s="184"/>
    </row>
    <row r="1253" spans="2:10">
      <c r="G1253" s="213"/>
      <c r="H1253" s="213"/>
      <c r="I1253" s="213"/>
    </row>
    <row r="1254" spans="2:10">
      <c r="B1254" s="212" t="s">
        <v>35</v>
      </c>
      <c r="C1254" s="222">
        <f>C1248+Model!AE155</f>
        <v>181803.80600000001</v>
      </c>
      <c r="E1254" s="223"/>
      <c r="F1254" s="184"/>
    </row>
    <row r="1255" spans="2:10">
      <c r="B1255" s="212" t="s">
        <v>36</v>
      </c>
      <c r="C1255" s="214">
        <f>C1254/C1251</f>
        <v>8.2039222230304656</v>
      </c>
      <c r="E1255" s="223"/>
      <c r="F1255" s="213"/>
      <c r="J1255" s="184"/>
    </row>
    <row r="1256" spans="2:10">
      <c r="J1256" s="213"/>
    </row>
    <row r="1258" spans="2:10" ht="26">
      <c r="B1258" s="224" t="s">
        <v>218</v>
      </c>
      <c r="C1258" s="224" t="s">
        <v>87</v>
      </c>
      <c r="D1258" s="224" t="s">
        <v>72</v>
      </c>
    </row>
    <row r="1259" spans="2:10">
      <c r="B1259" s="225"/>
      <c r="C1259" s="185"/>
      <c r="D1259" s="185"/>
    </row>
    <row r="1260" spans="2:10">
      <c r="B1260" s="225" t="s">
        <v>16</v>
      </c>
      <c r="C1260" s="185">
        <f>C1247</f>
        <v>5562.6450000000004</v>
      </c>
      <c r="D1260" s="185">
        <f>C1260*I1230</f>
        <v>281.85922214999999</v>
      </c>
    </row>
    <row r="1261" spans="2:10" ht="12" customHeight="1">
      <c r="B1261" s="194" t="s">
        <v>38</v>
      </c>
      <c r="C1261" s="185">
        <f>SUM(C1259:C1260)</f>
        <v>5562.6450000000004</v>
      </c>
      <c r="D1261" s="185">
        <f>SUM(D1259:D1260)</f>
        <v>281.85922214999999</v>
      </c>
    </row>
    <row r="1263" spans="2:10">
      <c r="C1263" s="231"/>
    </row>
    <row r="1265" spans="1:11" ht="26">
      <c r="B1265" s="195" t="s">
        <v>219</v>
      </c>
      <c r="C1265" s="224" t="s">
        <v>87</v>
      </c>
      <c r="D1265" s="224" t="s">
        <v>72</v>
      </c>
    </row>
    <row r="1266" spans="1:11">
      <c r="B1266" s="226" t="s">
        <v>40</v>
      </c>
      <c r="C1266" s="186"/>
      <c r="D1266" s="229">
        <f>C1266*$I$1274</f>
        <v>0</v>
      </c>
    </row>
    <row r="1267" spans="1:11">
      <c r="B1267" s="226" t="s">
        <v>150</v>
      </c>
      <c r="C1267" s="186">
        <v>3000</v>
      </c>
      <c r="D1267" s="229">
        <f>C1267*$I$1230</f>
        <v>152.01</v>
      </c>
    </row>
    <row r="1268" spans="1:11">
      <c r="B1268" s="226" t="s">
        <v>151</v>
      </c>
      <c r="C1268" s="186">
        <v>0</v>
      </c>
      <c r="D1268" s="229">
        <f>C1268*$I$1230</f>
        <v>0</v>
      </c>
    </row>
    <row r="1269" spans="1:11">
      <c r="B1269" s="226" t="s">
        <v>152</v>
      </c>
      <c r="C1269" s="186">
        <v>3400</v>
      </c>
      <c r="D1269" s="229">
        <f>C1269*$I$1230</f>
        <v>172.27799999999999</v>
      </c>
    </row>
    <row r="1270" spans="1:11">
      <c r="B1270" s="226" t="s">
        <v>153</v>
      </c>
      <c r="C1270" s="180">
        <f>3500+20721.225</f>
        <v>24221.224999999999</v>
      </c>
      <c r="D1270" s="229">
        <f>C1270*$I$1230</f>
        <v>1227.28947075</v>
      </c>
    </row>
    <row r="1271" spans="1:11">
      <c r="B1271" s="226"/>
      <c r="C1271" s="228"/>
      <c r="D1271" s="229">
        <f>C1271*$I$1230</f>
        <v>0</v>
      </c>
    </row>
    <row r="1272" spans="1:11">
      <c r="B1272" s="195" t="s">
        <v>45</v>
      </c>
      <c r="C1272" s="230">
        <f>SUM(C1266:C1271)</f>
        <v>30621.224999999999</v>
      </c>
      <c r="D1272" s="230">
        <f>SUM(D1266:D1271)</f>
        <v>1551.57747075</v>
      </c>
    </row>
    <row r="1273" spans="1:11">
      <c r="B1273" s="218" t="s">
        <v>34</v>
      </c>
      <c r="C1273" s="220">
        <f>C1272+C1236-C1246</f>
        <v>0</v>
      </c>
      <c r="D1273" s="220">
        <f>D1272+D1236-D1246</f>
        <v>0</v>
      </c>
    </row>
    <row r="1274" spans="1:11">
      <c r="B1274" s="218"/>
      <c r="C1274" s="220"/>
      <c r="D1274" s="220"/>
      <c r="H1274" s="195" t="s">
        <v>220</v>
      </c>
      <c r="I1274" s="196">
        <f>Model!AD244</f>
        <v>5.203E-2</v>
      </c>
    </row>
    <row r="1275" spans="1:11">
      <c r="B1275" s="218"/>
      <c r="C1275" s="220"/>
      <c r="D1275" s="220"/>
      <c r="H1275" s="197" t="s">
        <v>221</v>
      </c>
      <c r="I1275" s="196">
        <f>AVERAGE(Model!AA243:AD243)</f>
        <v>5.2104999999999999E-2</v>
      </c>
    </row>
    <row r="1276" spans="1:11">
      <c r="H1276" s="197"/>
      <c r="I1276" s="196"/>
    </row>
    <row r="1277" spans="1:11">
      <c r="A1277" s="198"/>
      <c r="H1277" s="203" t="s">
        <v>69</v>
      </c>
      <c r="I1277" s="204"/>
    </row>
    <row r="1278" spans="1:11" s="198" customFormat="1">
      <c r="B1278" s="194"/>
      <c r="C1278" s="194"/>
      <c r="D1278" s="194"/>
      <c r="E1278" s="194"/>
      <c r="F1278" s="194"/>
      <c r="G1278" s="194"/>
      <c r="H1278" s="203"/>
      <c r="I1278" s="204"/>
      <c r="J1278" s="194"/>
      <c r="K1278" s="194"/>
    </row>
    <row r="1279" spans="1:11">
      <c r="B1279" s="199" t="s">
        <v>222</v>
      </c>
      <c r="C1279" s="200" t="s">
        <v>67</v>
      </c>
      <c r="D1279" s="200" t="s">
        <v>68</v>
      </c>
      <c r="E1279" s="201" t="s">
        <v>60</v>
      </c>
      <c r="F1279" s="201" t="s">
        <v>7</v>
      </c>
      <c r="J1279" s="198"/>
      <c r="K1279" s="198"/>
    </row>
    <row r="1280" spans="1:11">
      <c r="B1280" s="202" t="s">
        <v>9</v>
      </c>
      <c r="C1280" s="178">
        <f>Model!AD119+Model!AD120</f>
        <v>11527.245999999999</v>
      </c>
      <c r="D1280" s="178">
        <f>C1280*$I$1274</f>
        <v>599.76260937999996</v>
      </c>
      <c r="E1280" s="201"/>
      <c r="F1280" s="201"/>
      <c r="H1280" s="194" t="s">
        <v>10</v>
      </c>
      <c r="I1280" s="186">
        <v>30069.1</v>
      </c>
    </row>
    <row r="1281" spans="2:9">
      <c r="B1281" s="205" t="s">
        <v>11</v>
      </c>
      <c r="C1281" s="179"/>
      <c r="D1281" s="179"/>
      <c r="E1281" s="206"/>
      <c r="F1281" s="206"/>
      <c r="H1281" s="194" t="s">
        <v>12</v>
      </c>
      <c r="I1281" s="186">
        <v>-1675</v>
      </c>
    </row>
    <row r="1282" spans="2:9">
      <c r="B1282" s="202" t="s">
        <v>13</v>
      </c>
      <c r="C1282" s="178">
        <f>Model!AD128</f>
        <v>5762.61</v>
      </c>
      <c r="D1282" s="178">
        <f>C1282*$I$1274</f>
        <v>299.82859830000001</v>
      </c>
      <c r="E1282" s="206"/>
      <c r="F1282" s="207"/>
      <c r="H1282" s="195" t="s">
        <v>14</v>
      </c>
      <c r="I1282" s="208">
        <f>SUM(I1280:I1281)</f>
        <v>28394.1</v>
      </c>
    </row>
    <row r="1283" spans="2:9">
      <c r="B1283" s="202" t="s">
        <v>15</v>
      </c>
      <c r="C1283" s="178">
        <f>Model!AD129</f>
        <v>14406.525</v>
      </c>
      <c r="D1283" s="178">
        <f>C1283*$I$1274</f>
        <v>749.57149574999994</v>
      </c>
      <c r="E1283" s="206"/>
      <c r="F1283" s="206"/>
      <c r="H1283" s="194" t="s">
        <v>16</v>
      </c>
      <c r="I1283" s="209">
        <f>C1291</f>
        <v>10953.096</v>
      </c>
    </row>
    <row r="1284" spans="2:9">
      <c r="B1284" s="205" t="s">
        <v>17</v>
      </c>
      <c r="C1284" s="178"/>
      <c r="D1284" s="178"/>
      <c r="E1284" s="206"/>
      <c r="F1284" s="206"/>
      <c r="H1284" s="195" t="s">
        <v>18</v>
      </c>
      <c r="I1284" s="208">
        <f>I1282-I1283</f>
        <v>17441.004000000001</v>
      </c>
    </row>
    <row r="1285" spans="2:9">
      <c r="B1285" s="202" t="s">
        <v>135</v>
      </c>
      <c r="C1285" s="178">
        <f>Model!AD124</f>
        <v>750</v>
      </c>
      <c r="D1285" s="178">
        <f>C1285*$I$1274</f>
        <v>39.022500000000001</v>
      </c>
      <c r="E1285" s="206"/>
      <c r="F1285" s="207"/>
      <c r="H1285" s="211" t="s">
        <v>20</v>
      </c>
      <c r="I1285" s="204">
        <f>I1282/C1295</f>
        <v>1.3121311723587794</v>
      </c>
    </row>
    <row r="1286" spans="2:9">
      <c r="B1286" s="202" t="s">
        <v>136</v>
      </c>
      <c r="C1286" s="178">
        <f>Model!AD125</f>
        <v>2250</v>
      </c>
      <c r="D1286" s="178">
        <f>C1286*$I$1274</f>
        <v>117.0675</v>
      </c>
      <c r="E1286" s="206"/>
      <c r="F1286" s="181"/>
      <c r="H1286" s="211" t="s">
        <v>22</v>
      </c>
      <c r="I1286" s="204">
        <f>I1284/C1295</f>
        <v>0.8059732488662843</v>
      </c>
    </row>
    <row r="1287" spans="2:9">
      <c r="B1287" s="202" t="s">
        <v>137</v>
      </c>
      <c r="C1287" s="178">
        <f>Model!AD126</f>
        <v>1500</v>
      </c>
      <c r="D1287" s="178">
        <f>C1287*$I$1274</f>
        <v>78.045000000000002</v>
      </c>
      <c r="E1287" s="206"/>
      <c r="F1287" s="206"/>
    </row>
    <row r="1288" spans="2:9">
      <c r="B1288" s="202" t="s">
        <v>138</v>
      </c>
      <c r="C1288" s="178">
        <f>Model!AD127</f>
        <v>1900</v>
      </c>
      <c r="D1288" s="178">
        <f>C1288*$I$1274</f>
        <v>98.856999999999999</v>
      </c>
      <c r="E1288" s="206"/>
      <c r="F1288" s="210"/>
    </row>
    <row r="1289" spans="2:9">
      <c r="B1289" s="202" t="s">
        <v>19</v>
      </c>
      <c r="C1289" s="178">
        <f>Model!AD130</f>
        <v>3500</v>
      </c>
      <c r="D1289" s="178">
        <f>C1289*$I$1274</f>
        <v>182.10499999999999</v>
      </c>
      <c r="E1289" s="206"/>
      <c r="F1289" s="207"/>
      <c r="H1289" s="194" t="s">
        <v>78</v>
      </c>
      <c r="I1289" s="188">
        <v>1.37</v>
      </c>
    </row>
    <row r="1290" spans="2:9">
      <c r="B1290" s="212" t="s">
        <v>28</v>
      </c>
      <c r="C1290" s="183">
        <f>SUM(C1280:C1289)</f>
        <v>41596.381000000001</v>
      </c>
      <c r="D1290" s="183">
        <f>SUM(D1280:D1289)</f>
        <v>2164.2597034300002</v>
      </c>
      <c r="E1290" s="214">
        <f>C1290/C1295</f>
        <v>1.9222270882828636</v>
      </c>
      <c r="F1290" s="214">
        <f>D1290/D1295</f>
        <v>1.9194602322878302</v>
      </c>
      <c r="H1290" s="194" t="s">
        <v>26</v>
      </c>
      <c r="I1290" s="188">
        <v>0.84</v>
      </c>
    </row>
    <row r="1291" spans="2:9">
      <c r="B1291" s="215" t="s">
        <v>29</v>
      </c>
      <c r="C1291" s="216">
        <f>Model!AD144</f>
        <v>10953.096</v>
      </c>
      <c r="D1291" s="187">
        <f>C1291*$I$1274</f>
        <v>569.88958488000003</v>
      </c>
      <c r="E1291" s="211"/>
      <c r="F1291" s="211"/>
    </row>
    <row r="1292" spans="2:9">
      <c r="B1292" s="212" t="s">
        <v>30</v>
      </c>
      <c r="C1292" s="183">
        <f>C1290-C1291</f>
        <v>30643.285000000003</v>
      </c>
      <c r="D1292" s="183">
        <f>D1290-D1291</f>
        <v>1594.3701185500001</v>
      </c>
      <c r="E1292" s="214">
        <f>C1292/C1295</f>
        <v>1.4160691647903685</v>
      </c>
      <c r="F1292" s="214">
        <f>D1292/D1295</f>
        <v>1.4140308731224043</v>
      </c>
    </row>
    <row r="1293" spans="2:9">
      <c r="B1293" s="212" t="s">
        <v>31</v>
      </c>
      <c r="C1293" s="183">
        <f>Model!AD156</f>
        <v>101918.406</v>
      </c>
      <c r="E1293" s="214"/>
    </row>
    <row r="1294" spans="2:9">
      <c r="B1294" s="212" t="s">
        <v>32</v>
      </c>
      <c r="C1294" s="183">
        <f>C1292+C1293</f>
        <v>132561.69099999999</v>
      </c>
      <c r="D1294" s="183"/>
      <c r="E1294" s="214"/>
    </row>
    <row r="1295" spans="2:9">
      <c r="B1295" s="215" t="s">
        <v>33</v>
      </c>
      <c r="C1295" s="6">
        <f>Model!AD92</f>
        <v>21639.680999999997</v>
      </c>
      <c r="D1295" s="6">
        <f>C1295*I1275</f>
        <v>1127.5355785049999</v>
      </c>
      <c r="E1295" s="215"/>
    </row>
    <row r="1296" spans="2:9">
      <c r="B1296" s="218" t="s">
        <v>34</v>
      </c>
      <c r="C1296" s="233">
        <f>C1292-Model!AD146</f>
        <v>0</v>
      </c>
      <c r="D1296" s="220"/>
      <c r="E1296" s="221"/>
      <c r="G1296" s="184"/>
      <c r="H1296" s="184"/>
      <c r="I1296" s="184"/>
    </row>
    <row r="1297" spans="2:9">
      <c r="G1297" s="213"/>
      <c r="H1297" s="213"/>
      <c r="I1297" s="213"/>
    </row>
    <row r="1298" spans="2:9">
      <c r="B1298" s="212" t="s">
        <v>35</v>
      </c>
      <c r="C1298" s="222">
        <f>C1292+Model!AD155</f>
        <v>174083.785</v>
      </c>
      <c r="E1298" s="223"/>
      <c r="F1298" s="184"/>
    </row>
    <row r="1299" spans="2:9">
      <c r="B1299" s="212" t="s">
        <v>36</v>
      </c>
      <c r="C1299" s="214">
        <f>C1298/C1295</f>
        <v>8.0446557876708091</v>
      </c>
      <c r="E1299" s="223"/>
      <c r="F1299" s="213"/>
    </row>
    <row r="1302" spans="2:9" ht="26">
      <c r="B1302" s="224" t="s">
        <v>223</v>
      </c>
      <c r="C1302" s="224" t="s">
        <v>87</v>
      </c>
      <c r="D1302" s="224" t="s">
        <v>72</v>
      </c>
    </row>
    <row r="1303" spans="2:9">
      <c r="B1303" s="225"/>
      <c r="C1303" s="185"/>
      <c r="D1303" s="185"/>
    </row>
    <row r="1304" spans="2:9">
      <c r="B1304" s="225" t="s">
        <v>16</v>
      </c>
      <c r="C1304" s="185">
        <f>C1291</f>
        <v>10953.096</v>
      </c>
      <c r="D1304" s="185">
        <f>C1304*I1274</f>
        <v>569.88958488000003</v>
      </c>
    </row>
    <row r="1305" spans="2:9">
      <c r="B1305" s="194" t="s">
        <v>38</v>
      </c>
      <c r="C1305" s="185">
        <f>SUM(C1303:C1304)</f>
        <v>10953.096</v>
      </c>
      <c r="D1305" s="185">
        <f>SUM(D1303:D1304)</f>
        <v>569.88958488000003</v>
      </c>
    </row>
    <row r="1306" spans="2:9" ht="12" customHeight="1"/>
    <row r="1307" spans="2:9">
      <c r="C1307" s="231"/>
    </row>
    <row r="1309" spans="2:9" ht="26">
      <c r="B1309" s="195" t="s">
        <v>224</v>
      </c>
      <c r="C1309" s="224" t="s">
        <v>87</v>
      </c>
      <c r="D1309" s="224" t="s">
        <v>72</v>
      </c>
    </row>
    <row r="1310" spans="2:9">
      <c r="B1310" s="226" t="s">
        <v>40</v>
      </c>
      <c r="C1310" s="186">
        <v>3000</v>
      </c>
      <c r="D1310" s="229">
        <f t="shared" ref="D1310:D1315" si="10">C1310*$I$1274</f>
        <v>156.09</v>
      </c>
    </row>
    <row r="1311" spans="2:9">
      <c r="B1311" s="226" t="s">
        <v>150</v>
      </c>
      <c r="C1311" s="186">
        <v>0</v>
      </c>
      <c r="D1311" s="229">
        <f t="shared" si="10"/>
        <v>0</v>
      </c>
    </row>
    <row r="1312" spans="2:9">
      <c r="B1312" s="226" t="s">
        <v>151</v>
      </c>
      <c r="C1312" s="186">
        <v>1900</v>
      </c>
      <c r="D1312" s="229">
        <f t="shared" si="10"/>
        <v>98.856999999999999</v>
      </c>
    </row>
    <row r="1313" spans="1:11">
      <c r="B1313" s="226" t="s">
        <v>152</v>
      </c>
      <c r="C1313" s="186">
        <v>1500</v>
      </c>
      <c r="D1313" s="229">
        <f t="shared" si="10"/>
        <v>78.045000000000002</v>
      </c>
    </row>
    <row r="1314" spans="1:11">
      <c r="B1314" s="226" t="s">
        <v>153</v>
      </c>
      <c r="C1314" s="180">
        <f>3500+20169.135</f>
        <v>23669.134999999998</v>
      </c>
      <c r="D1314" s="229">
        <f t="shared" si="10"/>
        <v>1231.50509405</v>
      </c>
    </row>
    <row r="1315" spans="1:11">
      <c r="B1315" s="226"/>
      <c r="C1315" s="228"/>
      <c r="D1315" s="229">
        <f t="shared" si="10"/>
        <v>0</v>
      </c>
    </row>
    <row r="1316" spans="1:11">
      <c r="B1316" s="195" t="s">
        <v>45</v>
      </c>
      <c r="C1316" s="230">
        <f>SUM(C1310:C1315)</f>
        <v>30069.134999999998</v>
      </c>
      <c r="D1316" s="230">
        <f>SUM(D1310:D1315)</f>
        <v>1564.49709405</v>
      </c>
    </row>
    <row r="1317" spans="1:11">
      <c r="B1317" s="218" t="s">
        <v>34</v>
      </c>
      <c r="C1317" s="220">
        <f>C1316+C1280-C1290</f>
        <v>0</v>
      </c>
      <c r="D1317" s="220">
        <f>D1316+D1280-D1290</f>
        <v>0</v>
      </c>
    </row>
    <row r="1318" spans="1:11">
      <c r="B1318" s="218"/>
      <c r="C1318" s="220"/>
      <c r="D1318" s="220"/>
      <c r="H1318" s="195" t="s">
        <v>225</v>
      </c>
      <c r="I1318" s="196">
        <f>Model!AC244</f>
        <v>5.1470000000000002E-2</v>
      </c>
    </row>
    <row r="1319" spans="1:11">
      <c r="H1319" s="197" t="s">
        <v>226</v>
      </c>
      <c r="I1319" s="196">
        <f>AVERAGE(Model!Z243:AC243)</f>
        <v>5.2069999999999998E-2</v>
      </c>
    </row>
    <row r="1320" spans="1:11">
      <c r="H1320" s="197"/>
      <c r="I1320" s="196"/>
      <c r="K1320" s="198"/>
    </row>
    <row r="1321" spans="1:11">
      <c r="A1321" s="198"/>
      <c r="H1321" s="199" t="s">
        <v>69</v>
      </c>
      <c r="I1321" s="204"/>
      <c r="J1321" s="198"/>
    </row>
    <row r="1322" spans="1:11">
      <c r="A1322" s="198"/>
      <c r="H1322" s="199"/>
      <c r="I1322" s="204"/>
    </row>
    <row r="1323" spans="1:11" s="198" customFormat="1">
      <c r="A1323" s="194"/>
      <c r="B1323" s="199" t="s">
        <v>227</v>
      </c>
      <c r="C1323" s="200" t="s">
        <v>67</v>
      </c>
      <c r="D1323" s="200" t="s">
        <v>68</v>
      </c>
      <c r="E1323" s="201" t="s">
        <v>60</v>
      </c>
      <c r="F1323" s="201" t="s">
        <v>7</v>
      </c>
      <c r="G1323" s="194"/>
      <c r="H1323" s="194"/>
      <c r="I1323" s="194"/>
      <c r="J1323" s="194"/>
      <c r="K1323" s="194"/>
    </row>
    <row r="1324" spans="1:11">
      <c r="B1324" s="202" t="s">
        <v>9</v>
      </c>
      <c r="C1324" s="178">
        <f>+Model!AC119+Model!AC120</f>
        <v>11426.435000000001</v>
      </c>
      <c r="D1324" s="178">
        <f>C1324*$I$1318</f>
        <v>588.11860945000012</v>
      </c>
      <c r="E1324" s="201"/>
      <c r="F1324" s="201"/>
      <c r="H1324" s="194" t="s">
        <v>10</v>
      </c>
      <c r="I1324" s="186">
        <v>30246.799999999999</v>
      </c>
    </row>
    <row r="1325" spans="1:11">
      <c r="B1325" s="205" t="s">
        <v>11</v>
      </c>
      <c r="C1325" s="179"/>
      <c r="D1325" s="179"/>
      <c r="E1325" s="206"/>
      <c r="F1325" s="234"/>
      <c r="H1325" s="194" t="s">
        <v>12</v>
      </c>
      <c r="I1325" s="186">
        <v>-1852.7</v>
      </c>
    </row>
    <row r="1326" spans="1:11">
      <c r="B1326" s="202" t="s">
        <v>13</v>
      </c>
      <c r="C1326" s="178">
        <f>Model!AC128</f>
        <v>5813.37</v>
      </c>
      <c r="D1326" s="178">
        <f>C1326*$I$1318</f>
        <v>299.21415389999999</v>
      </c>
      <c r="E1326" s="206"/>
      <c r="F1326" s="235"/>
      <c r="H1326" s="195" t="s">
        <v>14</v>
      </c>
      <c r="I1326" s="208">
        <f>SUM(I1324:I1325)</f>
        <v>28394.1</v>
      </c>
    </row>
    <row r="1327" spans="1:11">
      <c r="B1327" s="202" t="s">
        <v>15</v>
      </c>
      <c r="C1327" s="178">
        <f>Model!AC129</f>
        <v>14533.424999999999</v>
      </c>
      <c r="D1327" s="178">
        <f>C1327*$I$1318</f>
        <v>748.03538474999993</v>
      </c>
      <c r="E1327" s="206"/>
      <c r="F1327" s="234"/>
      <c r="H1327" s="194" t="s">
        <v>16</v>
      </c>
      <c r="I1327" s="209">
        <f>C1335</f>
        <v>9532.3680000000004</v>
      </c>
    </row>
    <row r="1328" spans="1:11">
      <c r="B1328" s="205" t="s">
        <v>17</v>
      </c>
      <c r="C1328" s="178"/>
      <c r="D1328" s="178"/>
      <c r="E1328" s="206"/>
      <c r="F1328" s="234"/>
      <c r="H1328" s="195" t="s">
        <v>18</v>
      </c>
      <c r="I1328" s="208">
        <f>I1326-I1327</f>
        <v>18861.731999999996</v>
      </c>
    </row>
    <row r="1329" spans="2:9">
      <c r="B1329" s="202" t="s">
        <v>135</v>
      </c>
      <c r="C1329" s="178">
        <f>Model!AC124</f>
        <v>750</v>
      </c>
      <c r="D1329" s="178">
        <f>C1329*$I$1318</f>
        <v>38.602499999999999</v>
      </c>
      <c r="E1329" s="206"/>
      <c r="F1329" s="235"/>
      <c r="H1329" s="211" t="s">
        <v>20</v>
      </c>
      <c r="I1329" s="204">
        <f>I1326/C1339</f>
        <v>1.3626480639994103</v>
      </c>
    </row>
    <row r="1330" spans="2:9">
      <c r="B1330" s="202" t="s">
        <v>136</v>
      </c>
      <c r="C1330" s="178">
        <f>Model!AC125</f>
        <v>2250</v>
      </c>
      <c r="D1330" s="178">
        <f>C1330*$I$1318</f>
        <v>115.8075</v>
      </c>
      <c r="E1330" s="206"/>
      <c r="F1330" s="189"/>
      <c r="H1330" s="211" t="s">
        <v>22</v>
      </c>
      <c r="I1330" s="204">
        <f>I1328/C1339</f>
        <v>0.90518461911015746</v>
      </c>
    </row>
    <row r="1331" spans="2:9">
      <c r="B1331" s="202" t="s">
        <v>137</v>
      </c>
      <c r="C1331" s="178">
        <f>Model!AC126</f>
        <v>1500</v>
      </c>
      <c r="D1331" s="178">
        <f>C1331*$I$1318</f>
        <v>77.204999999999998</v>
      </c>
      <c r="E1331" s="206"/>
      <c r="F1331" s="234"/>
    </row>
    <row r="1332" spans="2:9">
      <c r="B1332" s="202" t="s">
        <v>138</v>
      </c>
      <c r="C1332" s="178">
        <f>Model!AC127</f>
        <v>1900</v>
      </c>
      <c r="D1332" s="178">
        <f>C1332*$I$1318</f>
        <v>97.793000000000006</v>
      </c>
      <c r="E1332" s="206"/>
      <c r="F1332" s="236"/>
    </row>
    <row r="1333" spans="2:9">
      <c r="B1333" s="202" t="s">
        <v>19</v>
      </c>
      <c r="C1333" s="178">
        <f>Model!AC130</f>
        <v>3500</v>
      </c>
      <c r="D1333" s="178">
        <f>C1333*$I$1318</f>
        <v>180.14500000000001</v>
      </c>
      <c r="E1333" s="206"/>
      <c r="F1333" s="235"/>
      <c r="H1333" s="194" t="s">
        <v>78</v>
      </c>
      <c r="I1333" s="188">
        <v>1.36</v>
      </c>
    </row>
    <row r="1334" spans="2:9">
      <c r="B1334" s="212" t="s">
        <v>28</v>
      </c>
      <c r="C1334" s="183">
        <f>SUM(C1324:C1333)</f>
        <v>41673.229999999996</v>
      </c>
      <c r="D1334" s="183">
        <f>SUM(D1324:D1333)</f>
        <v>2144.9211480999998</v>
      </c>
      <c r="E1334" s="214">
        <f>C1334/C1339</f>
        <v>1.9999206236542852</v>
      </c>
      <c r="F1334" s="214">
        <f>D1334/D1339</f>
        <v>1.9768756385536019</v>
      </c>
      <c r="H1334" s="194" t="s">
        <v>26</v>
      </c>
      <c r="I1334" s="188">
        <v>0.91</v>
      </c>
    </row>
    <row r="1335" spans="2:9">
      <c r="B1335" s="215" t="s">
        <v>29</v>
      </c>
      <c r="C1335" s="216">
        <f>Model!AC144</f>
        <v>9532.3680000000004</v>
      </c>
      <c r="D1335" s="178">
        <f>C1335*$I$1318</f>
        <v>490.63098096000004</v>
      </c>
      <c r="E1335" s="211"/>
      <c r="F1335" s="211"/>
    </row>
    <row r="1336" spans="2:9">
      <c r="B1336" s="212" t="s">
        <v>30</v>
      </c>
      <c r="C1336" s="183">
        <f>C1334-C1335</f>
        <v>32140.861999999994</v>
      </c>
      <c r="D1336" s="183">
        <f>D1334-D1335</f>
        <v>1654.2901671399998</v>
      </c>
      <c r="E1336" s="214">
        <f>C1336/C1339</f>
        <v>1.5424571787650325</v>
      </c>
      <c r="F1336" s="214">
        <f>D1336/D1339</f>
        <v>1.5246835220095298</v>
      </c>
    </row>
    <row r="1337" spans="2:9">
      <c r="B1337" s="212" t="s">
        <v>31</v>
      </c>
      <c r="C1337" s="183">
        <f>Model!AC156</f>
        <v>99720.441000000006</v>
      </c>
      <c r="E1337" s="214"/>
    </row>
    <row r="1338" spans="2:9">
      <c r="B1338" s="212" t="s">
        <v>32</v>
      </c>
      <c r="C1338" s="183">
        <f>C1336+C1337</f>
        <v>131861.30300000001</v>
      </c>
      <c r="D1338" s="183"/>
      <c r="E1338" s="214"/>
    </row>
    <row r="1339" spans="2:9">
      <c r="B1339" s="215" t="s">
        <v>33</v>
      </c>
      <c r="C1339" s="6">
        <f>Model!AC92</f>
        <v>20837.441999999999</v>
      </c>
      <c r="D1339" s="6">
        <f>C1339*I1319</f>
        <v>1085.00560494</v>
      </c>
      <c r="E1339" s="215"/>
    </row>
    <row r="1340" spans="2:9">
      <c r="B1340" s="218" t="s">
        <v>34</v>
      </c>
      <c r="C1340" s="233">
        <f>C1336-Model!AC146</f>
        <v>0</v>
      </c>
      <c r="D1340" s="220"/>
      <c r="E1340" s="221"/>
      <c r="G1340" s="184"/>
      <c r="H1340" s="184"/>
      <c r="I1340" s="184"/>
    </row>
    <row r="1341" spans="2:9">
      <c r="G1341" s="213"/>
      <c r="H1341" s="213"/>
      <c r="I1341" s="213"/>
    </row>
    <row r="1342" spans="2:9">
      <c r="B1342" s="212" t="s">
        <v>35</v>
      </c>
      <c r="C1342" s="222">
        <f>C1336+Model!AC155</f>
        <v>198744.56200000001</v>
      </c>
      <c r="F1342" s="223"/>
    </row>
    <row r="1343" spans="2:9">
      <c r="B1343" s="212" t="s">
        <v>36</v>
      </c>
      <c r="C1343" s="214">
        <f>C1342/C1339</f>
        <v>9.5378579578049933</v>
      </c>
      <c r="F1343" s="223"/>
    </row>
    <row r="1346" spans="2:4" ht="26">
      <c r="B1346" s="224" t="s">
        <v>228</v>
      </c>
      <c r="C1346" s="224" t="s">
        <v>87</v>
      </c>
      <c r="D1346" s="224" t="s">
        <v>72</v>
      </c>
    </row>
    <row r="1347" spans="2:4">
      <c r="B1347" s="225"/>
      <c r="C1347" s="185"/>
      <c r="D1347" s="185"/>
    </row>
    <row r="1348" spans="2:4">
      <c r="B1348" s="225" t="s">
        <v>16</v>
      </c>
      <c r="C1348" s="185">
        <f>C1335</f>
        <v>9532.3680000000004</v>
      </c>
      <c r="D1348" s="185">
        <f>C1348*I1318</f>
        <v>490.63098096000004</v>
      </c>
    </row>
    <row r="1349" spans="2:4">
      <c r="B1349" s="194" t="s">
        <v>38</v>
      </c>
      <c r="C1349" s="185">
        <f>SUM(C1347:C1348)</f>
        <v>9532.3680000000004</v>
      </c>
      <c r="D1349" s="185">
        <f>SUM(D1347:D1348)</f>
        <v>490.63098096000004</v>
      </c>
    </row>
    <row r="1351" spans="2:4">
      <c r="C1351" s="231"/>
    </row>
    <row r="1352" spans="2:4" ht="12" customHeight="1"/>
    <row r="1353" spans="2:4" ht="26">
      <c r="B1353" s="195" t="s">
        <v>229</v>
      </c>
      <c r="C1353" s="224" t="s">
        <v>87</v>
      </c>
      <c r="D1353" s="224" t="s">
        <v>72</v>
      </c>
    </row>
    <row r="1354" spans="2:4">
      <c r="B1354" s="226" t="s">
        <v>40</v>
      </c>
      <c r="C1354" s="186">
        <v>0</v>
      </c>
      <c r="D1354" s="229">
        <f t="shared" ref="D1354:D1359" si="11">C1354*$I$1318</f>
        <v>0</v>
      </c>
    </row>
    <row r="1355" spans="2:4">
      <c r="B1355" s="226" t="s">
        <v>150</v>
      </c>
      <c r="C1355" s="186">
        <v>3000</v>
      </c>
      <c r="D1355" s="229">
        <f t="shared" si="11"/>
        <v>154.41</v>
      </c>
    </row>
    <row r="1356" spans="2:4">
      <c r="B1356" s="226" t="s">
        <v>151</v>
      </c>
      <c r="C1356" s="186">
        <v>1900</v>
      </c>
      <c r="D1356" s="229">
        <f t="shared" si="11"/>
        <v>97.793000000000006</v>
      </c>
    </row>
    <row r="1357" spans="2:4">
      <c r="B1357" s="226" t="s">
        <v>152</v>
      </c>
      <c r="C1357" s="186">
        <v>1500</v>
      </c>
      <c r="D1357" s="229">
        <f t="shared" si="11"/>
        <v>77.204999999999998</v>
      </c>
    </row>
    <row r="1358" spans="2:4">
      <c r="B1358" s="226" t="s">
        <v>153</v>
      </c>
      <c r="C1358" s="180">
        <f>3500+20346.795</f>
        <v>23846.794999999998</v>
      </c>
      <c r="D1358" s="229">
        <f t="shared" si="11"/>
        <v>1227.39453865</v>
      </c>
    </row>
    <row r="1359" spans="2:4">
      <c r="B1359" s="226"/>
      <c r="C1359" s="228"/>
      <c r="D1359" s="229">
        <f t="shared" si="11"/>
        <v>0</v>
      </c>
    </row>
    <row r="1360" spans="2:4">
      <c r="B1360" s="195" t="s">
        <v>45</v>
      </c>
      <c r="C1360" s="230">
        <f>SUM(C1354:C1359)</f>
        <v>30246.794999999998</v>
      </c>
      <c r="D1360" s="230">
        <f>SUM(D1354:D1359)</f>
        <v>1556.8025386499999</v>
      </c>
    </row>
    <row r="1361" spans="1:11">
      <c r="B1361" s="218" t="s">
        <v>34</v>
      </c>
      <c r="C1361" s="220">
        <f>C1360+C1324-C1334</f>
        <v>0</v>
      </c>
      <c r="D1361" s="220">
        <f>D1360+D1324-D1334</f>
        <v>0</v>
      </c>
      <c r="H1361" s="195" t="s">
        <v>230</v>
      </c>
      <c r="I1361" s="196">
        <f>Model!G244</f>
        <v>5.0900000000000001E-2</v>
      </c>
    </row>
    <row r="1362" spans="1:11">
      <c r="B1362" s="218"/>
      <c r="C1362" s="220"/>
      <c r="D1362" s="220"/>
      <c r="H1362" s="197" t="s">
        <v>231</v>
      </c>
      <c r="I1362" s="196">
        <f>Model!G243</f>
        <v>5.2060000000000002E-2</v>
      </c>
      <c r="J1362" s="198"/>
    </row>
    <row r="1363" spans="1:11">
      <c r="H1363" s="197"/>
      <c r="I1363" s="196"/>
    </row>
    <row r="1364" spans="1:11">
      <c r="A1364" s="198"/>
      <c r="H1364" s="214" t="s">
        <v>232</v>
      </c>
      <c r="I1364" s="204"/>
    </row>
    <row r="1365" spans="1:11">
      <c r="K1365" s="198"/>
    </row>
    <row r="1366" spans="1:11">
      <c r="B1366" s="200" t="s">
        <v>233</v>
      </c>
      <c r="C1366" s="200" t="s">
        <v>67</v>
      </c>
      <c r="D1366" s="200" t="s">
        <v>68</v>
      </c>
      <c r="E1366" s="201" t="s">
        <v>60</v>
      </c>
      <c r="F1366" s="201" t="s">
        <v>7</v>
      </c>
      <c r="H1366" s="194" t="s">
        <v>10</v>
      </c>
      <c r="I1366" s="209">
        <v>30533.759999999998</v>
      </c>
    </row>
    <row r="1367" spans="1:11">
      <c r="B1367" s="205" t="s">
        <v>11</v>
      </c>
      <c r="C1367" s="179"/>
      <c r="D1367" s="179"/>
      <c r="E1367" s="206"/>
      <c r="F1367" s="234"/>
      <c r="H1367" s="194" t="s">
        <v>12</v>
      </c>
      <c r="I1367" s="209">
        <v>-2139.6579999999999</v>
      </c>
    </row>
    <row r="1368" spans="1:11">
      <c r="B1368" s="202" t="s">
        <v>13</v>
      </c>
      <c r="C1368" s="178">
        <f>Model!AB128</f>
        <v>5895.36</v>
      </c>
      <c r="D1368" s="178">
        <f>C1368*$I$1361</f>
        <v>300.073824</v>
      </c>
      <c r="E1368" s="206"/>
      <c r="F1368" s="235"/>
      <c r="H1368" s="195" t="s">
        <v>14</v>
      </c>
      <c r="I1368" s="208">
        <f>SUM(I1366:I1367)</f>
        <v>28394.101999999999</v>
      </c>
    </row>
    <row r="1369" spans="1:11">
      <c r="B1369" s="202" t="s">
        <v>15</v>
      </c>
      <c r="C1369" s="178">
        <f>Model!AB129</f>
        <v>14738.4</v>
      </c>
      <c r="D1369" s="178">
        <f>C1369*$I$1361</f>
        <v>750.18456000000003</v>
      </c>
      <c r="E1369" s="206"/>
      <c r="F1369" s="234"/>
      <c r="H1369" s="194" t="s">
        <v>16</v>
      </c>
      <c r="I1369" s="209">
        <f>C1377</f>
        <v>13535.498</v>
      </c>
    </row>
    <row r="1370" spans="1:11">
      <c r="B1370" s="205" t="s">
        <v>17</v>
      </c>
      <c r="C1370" s="178"/>
      <c r="D1370" s="178"/>
      <c r="E1370" s="206"/>
      <c r="F1370" s="234"/>
      <c r="H1370" s="195" t="s">
        <v>18</v>
      </c>
      <c r="I1370" s="208">
        <f>I1368-I1369</f>
        <v>14858.603999999999</v>
      </c>
    </row>
    <row r="1371" spans="1:11">
      <c r="B1371" s="202" t="s">
        <v>135</v>
      </c>
      <c r="C1371" s="178">
        <f>Model!AB124</f>
        <v>750</v>
      </c>
      <c r="D1371" s="178">
        <f>C1371*$I$1361</f>
        <v>38.174999999999997</v>
      </c>
      <c r="E1371" s="206"/>
      <c r="F1371" s="235"/>
      <c r="H1371" s="211" t="s">
        <v>20</v>
      </c>
      <c r="I1371" s="204">
        <f>I1368/C1381</f>
        <v>1.4031034397900599</v>
      </c>
    </row>
    <row r="1372" spans="1:11">
      <c r="B1372" s="202" t="s">
        <v>136</v>
      </c>
      <c r="C1372" s="178">
        <f>Model!AB125</f>
        <v>2250</v>
      </c>
      <c r="D1372" s="178">
        <f>C1372*$I$1361</f>
        <v>114.52500000000001</v>
      </c>
      <c r="E1372" s="206"/>
      <c r="F1372" s="189"/>
      <c r="H1372" s="211" t="s">
        <v>22</v>
      </c>
      <c r="I1372" s="204">
        <f>I1370/C1381</f>
        <v>0.73424256850518976</v>
      </c>
    </row>
    <row r="1373" spans="1:11">
      <c r="B1373" s="202" t="s">
        <v>137</v>
      </c>
      <c r="C1373" s="178">
        <f>Model!AB126</f>
        <v>1500</v>
      </c>
      <c r="D1373" s="178">
        <f>C1373*$I$1361</f>
        <v>76.349999999999994</v>
      </c>
      <c r="E1373" s="206"/>
      <c r="F1373" s="234"/>
    </row>
    <row r="1374" spans="1:11">
      <c r="B1374" s="202" t="s">
        <v>138</v>
      </c>
      <c r="C1374" s="178">
        <f>Model!AB127</f>
        <v>1900</v>
      </c>
      <c r="D1374" s="178">
        <f>C1374*$I$1361</f>
        <v>96.710000000000008</v>
      </c>
      <c r="E1374" s="206"/>
      <c r="F1374" s="236"/>
    </row>
    <row r="1375" spans="1:11">
      <c r="B1375" s="202" t="s">
        <v>19</v>
      </c>
      <c r="C1375" s="178">
        <f>Model!AB130</f>
        <v>3500</v>
      </c>
      <c r="D1375" s="178">
        <f>C1375*$I$1361</f>
        <v>178.15</v>
      </c>
      <c r="E1375" s="206"/>
      <c r="F1375" s="235"/>
      <c r="H1375" s="194" t="s">
        <v>78</v>
      </c>
      <c r="I1375" s="9">
        <v>1.4</v>
      </c>
    </row>
    <row r="1376" spans="1:11">
      <c r="B1376" s="212" t="s">
        <v>28</v>
      </c>
      <c r="C1376" s="183">
        <f>SUM(C1368:C1375)</f>
        <v>30533.759999999998</v>
      </c>
      <c r="D1376" s="183">
        <f>SUM(D1368:D1375)</f>
        <v>1554.1683840000001</v>
      </c>
      <c r="E1376" s="214">
        <f>C1376/C1381</f>
        <v>1.5088353097317233</v>
      </c>
      <c r="F1376" s="214">
        <f>D1376/D1381</f>
        <v>1.4752154680242933</v>
      </c>
      <c r="H1376" s="194" t="s">
        <v>26</v>
      </c>
      <c r="I1376" s="9">
        <v>0.73</v>
      </c>
    </row>
    <row r="1377" spans="2:9">
      <c r="B1377" s="215" t="s">
        <v>29</v>
      </c>
      <c r="C1377" s="216">
        <f>Model!AB144</f>
        <v>13535.498</v>
      </c>
      <c r="D1377" s="216">
        <f>C1377*$I$1361</f>
        <v>688.95684819999997</v>
      </c>
      <c r="E1377" s="211"/>
      <c r="F1377" s="211"/>
    </row>
    <row r="1378" spans="2:9">
      <c r="B1378" s="212" t="s">
        <v>30</v>
      </c>
      <c r="C1378" s="183">
        <f>C1376-C1377</f>
        <v>16998.261999999999</v>
      </c>
      <c r="D1378" s="183">
        <f>D1376-D1377</f>
        <v>865.21153580000009</v>
      </c>
      <c r="E1378" s="214">
        <f>C1378/C1381</f>
        <v>0.83997443844685293</v>
      </c>
      <c r="F1378" s="214">
        <f>D1378/D1381</f>
        <v>0.82125814285333876</v>
      </c>
    </row>
    <row r="1379" spans="2:9">
      <c r="B1379" s="212" t="s">
        <v>31</v>
      </c>
      <c r="C1379" s="183">
        <f>Model!AB156</f>
        <v>101203.69500000001</v>
      </c>
      <c r="E1379" s="214"/>
    </row>
    <row r="1380" spans="2:9">
      <c r="B1380" s="212" t="s">
        <v>32</v>
      </c>
      <c r="C1380" s="183">
        <f>C1378+C1379</f>
        <v>118201.95700000001</v>
      </c>
      <c r="D1380" s="183"/>
      <c r="E1380" s="214"/>
    </row>
    <row r="1381" spans="2:9">
      <c r="B1381" s="215" t="s">
        <v>33</v>
      </c>
      <c r="C1381" s="6">
        <f>Model!AB92</f>
        <v>20236.642</v>
      </c>
      <c r="D1381" s="6">
        <f>C1381*I1362</f>
        <v>1053.5195825200001</v>
      </c>
      <c r="E1381" s="215"/>
    </row>
    <row r="1382" spans="2:9">
      <c r="B1382" s="218" t="s">
        <v>34</v>
      </c>
      <c r="D1382" s="220"/>
      <c r="E1382" s="221"/>
      <c r="G1382" s="184"/>
      <c r="H1382" s="184"/>
      <c r="I1382" s="184"/>
    </row>
    <row r="1383" spans="2:9">
      <c r="G1383" s="213"/>
      <c r="H1383" s="213"/>
      <c r="I1383" s="213"/>
    </row>
    <row r="1384" spans="2:9">
      <c r="B1384" s="212" t="s">
        <v>35</v>
      </c>
      <c r="C1384" s="222">
        <f>C1378+Model!G155</f>
        <v>186343.16199999998</v>
      </c>
      <c r="E1384" s="223"/>
      <c r="F1384" s="184"/>
    </row>
    <row r="1385" spans="2:9">
      <c r="B1385" s="212" t="s">
        <v>36</v>
      </c>
      <c r="C1385" s="214">
        <f>C1384/C1381</f>
        <v>9.2082056894617192</v>
      </c>
      <c r="E1385" s="223"/>
      <c r="F1385" s="213"/>
    </row>
    <row r="1388" spans="2:9" ht="26">
      <c r="B1388" s="224" t="s">
        <v>234</v>
      </c>
      <c r="C1388" s="224" t="s">
        <v>87</v>
      </c>
      <c r="D1388" s="224" t="s">
        <v>72</v>
      </c>
    </row>
    <row r="1389" spans="2:9">
      <c r="B1389" s="225"/>
      <c r="C1389" s="185"/>
      <c r="D1389" s="185"/>
    </row>
    <row r="1390" spans="2:9">
      <c r="B1390" s="225" t="s">
        <v>16</v>
      </c>
      <c r="C1390" s="185">
        <f>C1377</f>
        <v>13535.498</v>
      </c>
      <c r="D1390" s="185">
        <f>C1390*I1361</f>
        <v>688.95684819999997</v>
      </c>
    </row>
    <row r="1391" spans="2:9">
      <c r="B1391" s="194" t="s">
        <v>38</v>
      </c>
      <c r="C1391" s="185">
        <f>SUM(C1389:C1390)</f>
        <v>13535.498</v>
      </c>
      <c r="D1391" s="185">
        <f>SUM(D1389:D1390)</f>
        <v>688.95684819999997</v>
      </c>
    </row>
    <row r="1393" spans="1:10">
      <c r="C1393" s="231"/>
    </row>
    <row r="1395" spans="1:10" ht="26">
      <c r="B1395" s="195" t="s">
        <v>235</v>
      </c>
      <c r="C1395" s="224" t="s">
        <v>87</v>
      </c>
      <c r="D1395" s="224" t="s">
        <v>72</v>
      </c>
    </row>
    <row r="1396" spans="1:10">
      <c r="B1396" s="226" t="s">
        <v>40</v>
      </c>
      <c r="C1396" s="186">
        <v>0</v>
      </c>
      <c r="D1396" s="229">
        <f t="shared" ref="D1396:D1401" si="12">C1396*$I$1361</f>
        <v>0</v>
      </c>
    </row>
    <row r="1397" spans="1:10">
      <c r="B1397" s="226" t="s">
        <v>150</v>
      </c>
      <c r="C1397" s="186">
        <v>3000</v>
      </c>
      <c r="D1397" s="229">
        <f t="shared" si="12"/>
        <v>152.69999999999999</v>
      </c>
    </row>
    <row r="1398" spans="1:10">
      <c r="B1398" s="226" t="s">
        <v>151</v>
      </c>
      <c r="C1398" s="186">
        <v>0</v>
      </c>
      <c r="D1398" s="229">
        <f t="shared" si="12"/>
        <v>0</v>
      </c>
    </row>
    <row r="1399" spans="1:10">
      <c r="B1399" s="226" t="s">
        <v>152</v>
      </c>
      <c r="C1399" s="186">
        <v>3400</v>
      </c>
      <c r="D1399" s="229">
        <f t="shared" si="12"/>
        <v>173.06</v>
      </c>
    </row>
    <row r="1400" spans="1:10">
      <c r="B1400" s="226" t="s">
        <v>153</v>
      </c>
      <c r="C1400" s="180">
        <f>3500+20633.76</f>
        <v>24133.759999999998</v>
      </c>
      <c r="D1400" s="237">
        <f t="shared" si="12"/>
        <v>1228.4083839999998</v>
      </c>
    </row>
    <row r="1401" spans="1:10">
      <c r="B1401" s="226"/>
      <c r="C1401" s="228"/>
      <c r="D1401" s="228">
        <f t="shared" si="12"/>
        <v>0</v>
      </c>
    </row>
    <row r="1402" spans="1:10">
      <c r="B1402" s="195" t="s">
        <v>45</v>
      </c>
      <c r="C1402" s="230">
        <f>SUM(C1396:C1401)</f>
        <v>30533.759999999998</v>
      </c>
      <c r="D1402" s="230">
        <f>SUM(D1396:D1401)</f>
        <v>1554.1683839999998</v>
      </c>
    </row>
    <row r="1403" spans="1:10">
      <c r="B1403" s="218" t="s">
        <v>34</v>
      </c>
      <c r="C1403" s="220">
        <f>C1402-C1376</f>
        <v>0</v>
      </c>
      <c r="D1403" s="220">
        <f>D1402-D1376</f>
        <v>0</v>
      </c>
      <c r="H1403" s="195" t="s">
        <v>236</v>
      </c>
      <c r="I1403" s="196">
        <f>Model!AA244</f>
        <v>5.1830000000000001E-2</v>
      </c>
    </row>
    <row r="1404" spans="1:10">
      <c r="H1404" s="197" t="s">
        <v>237</v>
      </c>
      <c r="I1404" s="196">
        <f>AVERAGE(Model!X243:AA243)</f>
        <v>5.2927500000000002E-2</v>
      </c>
    </row>
    <row r="1405" spans="1:10">
      <c r="H1405" s="197"/>
      <c r="I1405" s="196"/>
    </row>
    <row r="1406" spans="1:10">
      <c r="A1406" s="198"/>
      <c r="H1406" s="214" t="s">
        <v>232</v>
      </c>
      <c r="I1406" s="204"/>
    </row>
    <row r="1407" spans="1:10">
      <c r="J1407" s="198"/>
    </row>
    <row r="1408" spans="1:10">
      <c r="B1408" s="200" t="s">
        <v>238</v>
      </c>
      <c r="C1408" s="200" t="s">
        <v>67</v>
      </c>
      <c r="D1408" s="200" t="s">
        <v>68</v>
      </c>
      <c r="E1408" s="201" t="s">
        <v>60</v>
      </c>
      <c r="F1408" s="201" t="s">
        <v>7</v>
      </c>
      <c r="H1408" s="194" t="s">
        <v>10</v>
      </c>
      <c r="I1408" s="209">
        <v>29559.255000000001</v>
      </c>
    </row>
    <row r="1409" spans="2:9">
      <c r="B1409" s="205" t="s">
        <v>11</v>
      </c>
      <c r="C1409" s="179"/>
      <c r="D1409" s="179"/>
      <c r="E1409" s="206"/>
      <c r="F1409" s="234"/>
      <c r="H1409" s="194" t="s">
        <v>12</v>
      </c>
      <c r="I1409" s="209">
        <v>-1389.0129999999999</v>
      </c>
    </row>
    <row r="1410" spans="2:9">
      <c r="B1410" s="202" t="s">
        <v>13</v>
      </c>
      <c r="C1410" s="178">
        <f>Model!AA128</f>
        <v>5616.93</v>
      </c>
      <c r="D1410" s="178">
        <f>C1410*$I$1403</f>
        <v>291.12548190000001</v>
      </c>
      <c r="E1410" s="206"/>
      <c r="F1410" s="235"/>
      <c r="H1410" s="195" t="s">
        <v>14</v>
      </c>
      <c r="I1410" s="208">
        <f>SUM(I1408:I1409)</f>
        <v>28170.242000000002</v>
      </c>
    </row>
    <row r="1411" spans="2:9">
      <c r="B1411" s="202" t="s">
        <v>15</v>
      </c>
      <c r="C1411" s="178">
        <f>Model!AA129</f>
        <v>14042.325000000001</v>
      </c>
      <c r="D1411" s="178">
        <f>C1411*$I$1403</f>
        <v>727.81370475000006</v>
      </c>
      <c r="E1411" s="206"/>
      <c r="F1411" s="234"/>
      <c r="H1411" s="194" t="s">
        <v>16</v>
      </c>
      <c r="I1411" s="209">
        <f>C1419</f>
        <v>5970.8050000000003</v>
      </c>
    </row>
    <row r="1412" spans="2:9">
      <c r="B1412" s="205" t="s">
        <v>17</v>
      </c>
      <c r="C1412" s="178"/>
      <c r="D1412" s="178"/>
      <c r="E1412" s="206"/>
      <c r="F1412" s="234"/>
      <c r="H1412" s="195" t="s">
        <v>18</v>
      </c>
      <c r="I1412" s="208">
        <f>I1410-I1411</f>
        <v>22199.437000000002</v>
      </c>
    </row>
    <row r="1413" spans="2:9">
      <c r="B1413" s="202" t="s">
        <v>135</v>
      </c>
      <c r="C1413" s="178">
        <f>Model!AA124</f>
        <v>750</v>
      </c>
      <c r="D1413" s="178">
        <f>C1413*$I$1403</f>
        <v>38.872500000000002</v>
      </c>
      <c r="E1413" s="206"/>
      <c r="F1413" s="235"/>
      <c r="H1413" s="211" t="s">
        <v>20</v>
      </c>
      <c r="I1413" s="204">
        <f>I1410/C1423</f>
        <v>1.4573668251321761</v>
      </c>
    </row>
    <row r="1414" spans="2:9">
      <c r="B1414" s="202" t="s">
        <v>136</v>
      </c>
      <c r="C1414" s="178">
        <f>Model!AA125</f>
        <v>2250</v>
      </c>
      <c r="D1414" s="178">
        <f>C1414*$I$1403</f>
        <v>116.61750000000001</v>
      </c>
      <c r="E1414" s="206"/>
      <c r="F1414" s="189"/>
      <c r="H1414" s="211" t="s">
        <v>22</v>
      </c>
      <c r="I1414" s="204">
        <f>I1412/C1423</f>
        <v>1.1484716041989189</v>
      </c>
    </row>
    <row r="1415" spans="2:9">
      <c r="B1415" s="202" t="s">
        <v>137</v>
      </c>
      <c r="C1415" s="178">
        <f>Model!AA126</f>
        <v>1500</v>
      </c>
      <c r="D1415" s="178">
        <f>C1415*$I$1403</f>
        <v>77.745000000000005</v>
      </c>
      <c r="E1415" s="206"/>
      <c r="F1415" s="234"/>
    </row>
    <row r="1416" spans="2:9">
      <c r="B1416" s="202" t="s">
        <v>138</v>
      </c>
      <c r="C1416" s="178">
        <f>Model!AA127</f>
        <v>1900</v>
      </c>
      <c r="D1416" s="178">
        <f>C1416*$I$1403</f>
        <v>98.477000000000004</v>
      </c>
      <c r="E1416" s="206"/>
      <c r="F1416" s="236"/>
    </row>
    <row r="1417" spans="2:9">
      <c r="B1417" s="202" t="s">
        <v>19</v>
      </c>
      <c r="C1417" s="178">
        <f>Model!AA130</f>
        <v>3500</v>
      </c>
      <c r="D1417" s="178">
        <f>C1417*$I$1403</f>
        <v>181.405</v>
      </c>
      <c r="E1417" s="206"/>
      <c r="F1417" s="235"/>
      <c r="H1417" s="194" t="s">
        <v>78</v>
      </c>
      <c r="I1417" s="9">
        <v>1.47</v>
      </c>
    </row>
    <row r="1418" spans="2:9">
      <c r="B1418" s="212" t="s">
        <v>28</v>
      </c>
      <c r="C1418" s="183">
        <f>SUM(C1410:C1417)</f>
        <v>29559.255000000001</v>
      </c>
      <c r="D1418" s="183">
        <f>SUM(D1410:D1417)</f>
        <v>1532.0561866500002</v>
      </c>
      <c r="E1418" s="214">
        <f>C1418/C1423</f>
        <v>1.529226394740322</v>
      </c>
      <c r="F1418" s="214">
        <f>D1418/D1423</f>
        <v>1.4975164902818177</v>
      </c>
      <c r="H1418" s="194" t="s">
        <v>26</v>
      </c>
      <c r="I1418" s="9">
        <v>1.1599999999999999</v>
      </c>
    </row>
    <row r="1419" spans="2:9">
      <c r="B1419" s="215" t="s">
        <v>29</v>
      </c>
      <c r="C1419" s="216">
        <f>Model!AA144</f>
        <v>5970.8050000000003</v>
      </c>
      <c r="D1419" s="178">
        <f>C1419*$I$1403</f>
        <v>309.46682315000004</v>
      </c>
      <c r="E1419" s="211"/>
      <c r="F1419" s="211"/>
    </row>
    <row r="1420" spans="2:9">
      <c r="B1420" s="212" t="s">
        <v>30</v>
      </c>
      <c r="C1420" s="183">
        <f>C1418-C1419</f>
        <v>23588.45</v>
      </c>
      <c r="D1420" s="183">
        <f>D1418-D1419</f>
        <v>1222.5893635000002</v>
      </c>
      <c r="E1420" s="214">
        <f>C1420/C1423</f>
        <v>1.2203311738070648</v>
      </c>
      <c r="F1420" s="214">
        <f>D1420/D1423</f>
        <v>1.1950264935698867</v>
      </c>
    </row>
    <row r="1421" spans="2:9">
      <c r="B1421" s="212" t="s">
        <v>31</v>
      </c>
      <c r="C1421" s="183">
        <f>Model!AA156</f>
        <v>93431.843999999997</v>
      </c>
      <c r="E1421" s="214"/>
    </row>
    <row r="1422" spans="2:9">
      <c r="B1422" s="212" t="s">
        <v>32</v>
      </c>
      <c r="C1422" s="183">
        <f>C1420+C1421</f>
        <v>117020.29399999999</v>
      </c>
      <c r="D1422" s="183"/>
      <c r="E1422" s="214"/>
    </row>
    <row r="1423" spans="2:9">
      <c r="B1423" s="215" t="s">
        <v>33</v>
      </c>
      <c r="C1423" s="6">
        <f>Model!AA92</f>
        <v>19329.547999999999</v>
      </c>
      <c r="D1423" s="6">
        <f>C1423*I1404</f>
        <v>1023.06465177</v>
      </c>
      <c r="E1423" s="215"/>
    </row>
    <row r="1424" spans="2:9">
      <c r="B1424" s="218" t="s">
        <v>34</v>
      </c>
      <c r="D1424" s="220"/>
      <c r="E1424" s="221"/>
      <c r="G1424" s="184"/>
      <c r="H1424" s="184"/>
      <c r="I1424" s="184"/>
    </row>
    <row r="1425" spans="2:9">
      <c r="G1425" s="213"/>
      <c r="H1425" s="213"/>
      <c r="I1425" s="213"/>
    </row>
    <row r="1426" spans="2:9">
      <c r="B1426" s="212" t="s">
        <v>35</v>
      </c>
      <c r="C1426" s="222">
        <f>D1420+I1403*Model!AA155</f>
        <v>10992.4407035</v>
      </c>
      <c r="E1426" s="223"/>
      <c r="F1426" s="184"/>
    </row>
    <row r="1427" spans="2:9">
      <c r="B1427" s="212" t="s">
        <v>36</v>
      </c>
      <c r="C1427" s="214">
        <f>C1426/C1423</f>
        <v>0.56868586391673515</v>
      </c>
      <c r="E1427" s="223"/>
      <c r="F1427" s="213"/>
    </row>
    <row r="1430" spans="2:9" ht="26">
      <c r="B1430" s="224" t="s">
        <v>239</v>
      </c>
      <c r="C1430" s="224" t="s">
        <v>87</v>
      </c>
      <c r="D1430" s="224" t="s">
        <v>72</v>
      </c>
    </row>
    <row r="1431" spans="2:9">
      <c r="B1431" s="225"/>
      <c r="C1431" s="185"/>
      <c r="D1431" s="185"/>
    </row>
    <row r="1432" spans="2:9">
      <c r="B1432" s="225" t="s">
        <v>16</v>
      </c>
      <c r="C1432" s="185">
        <f>Model!AA144</f>
        <v>5970.8050000000003</v>
      </c>
      <c r="D1432" s="185">
        <f>C1432*I1403</f>
        <v>309.46682315000004</v>
      </c>
    </row>
    <row r="1433" spans="2:9">
      <c r="B1433" s="194" t="s">
        <v>38</v>
      </c>
      <c r="C1433" s="185">
        <f>SUM(C1431:C1432)</f>
        <v>5970.8050000000003</v>
      </c>
      <c r="D1433" s="185">
        <f>SUM(D1431:D1432)</f>
        <v>309.46682315000004</v>
      </c>
    </row>
    <row r="1435" spans="2:9">
      <c r="C1435" s="231"/>
    </row>
    <row r="1437" spans="2:9">
      <c r="B1437" s="195" t="s">
        <v>240</v>
      </c>
      <c r="C1437" s="195" t="s">
        <v>241</v>
      </c>
      <c r="D1437" s="195"/>
    </row>
    <row r="1438" spans="2:9">
      <c r="B1438" s="226" t="s">
        <v>40</v>
      </c>
      <c r="C1438" s="186">
        <f>(1000)*I1403</f>
        <v>51.83</v>
      </c>
    </row>
    <row r="1439" spans="2:9">
      <c r="B1439" s="226" t="s">
        <v>150</v>
      </c>
      <c r="C1439" s="186">
        <f>(3000)*I1403</f>
        <v>155.49</v>
      </c>
    </row>
    <row r="1440" spans="2:9">
      <c r="B1440" s="226" t="s">
        <v>151</v>
      </c>
      <c r="C1440" s="186">
        <f>(0)*I1403</f>
        <v>0</v>
      </c>
    </row>
    <row r="1441" spans="1:9">
      <c r="B1441" s="226" t="s">
        <v>152</v>
      </c>
      <c r="C1441" s="186">
        <f>1900*I1403</f>
        <v>98.477000000000004</v>
      </c>
    </row>
    <row r="1442" spans="1:9">
      <c r="B1442" s="226" t="s">
        <v>153</v>
      </c>
      <c r="C1442" s="180">
        <f>(5000+20675.76)*I1403</f>
        <v>1330.7746408</v>
      </c>
    </row>
    <row r="1443" spans="1:9">
      <c r="B1443" s="226"/>
      <c r="C1443" s="228"/>
    </row>
    <row r="1444" spans="1:9">
      <c r="B1444" s="195" t="s">
        <v>45</v>
      </c>
      <c r="C1444" s="230">
        <f>SUM(C1438:C1443)</f>
        <v>1636.5716408000001</v>
      </c>
      <c r="D1444" s="238"/>
    </row>
    <row r="1445" spans="1:9">
      <c r="B1445" s="218" t="s">
        <v>34</v>
      </c>
      <c r="C1445" s="220">
        <f>C1444-D1418</f>
        <v>104.51545414999987</v>
      </c>
    </row>
    <row r="1447" spans="1:9">
      <c r="A1447" s="198"/>
      <c r="G1447" s="196"/>
      <c r="H1447" s="196"/>
      <c r="I1447" s="196"/>
    </row>
    <row r="1448" spans="1:9">
      <c r="G1448" s="234"/>
      <c r="H1448" s="234"/>
      <c r="I1448" s="234"/>
    </row>
    <row r="1449" spans="1:9" ht="39">
      <c r="B1449" s="205" t="s">
        <v>242</v>
      </c>
      <c r="C1449" s="200" t="s">
        <v>243</v>
      </c>
      <c r="D1449" s="201" t="s">
        <v>60</v>
      </c>
      <c r="E1449" s="195"/>
      <c r="F1449" s="196"/>
      <c r="G1449" s="235"/>
      <c r="H1449" s="235"/>
      <c r="I1449" s="235"/>
    </row>
    <row r="1450" spans="1:9">
      <c r="B1450" s="205" t="s">
        <v>11</v>
      </c>
      <c r="C1450" s="179"/>
      <c r="D1450" s="206"/>
      <c r="E1450" s="234"/>
      <c r="F1450" s="234"/>
      <c r="G1450" s="234"/>
      <c r="H1450" s="234"/>
      <c r="I1450" s="234"/>
    </row>
    <row r="1451" spans="1:9">
      <c r="B1451" s="202" t="s">
        <v>13</v>
      </c>
      <c r="C1451" s="179">
        <v>300</v>
      </c>
      <c r="D1451" s="206"/>
      <c r="E1451" s="69"/>
      <c r="F1451" s="235"/>
      <c r="G1451" s="234"/>
      <c r="H1451" s="234"/>
      <c r="I1451" s="234"/>
    </row>
    <row r="1452" spans="1:9">
      <c r="B1452" s="202" t="s">
        <v>15</v>
      </c>
      <c r="C1452" s="179">
        <v>750</v>
      </c>
      <c r="D1452" s="206"/>
      <c r="E1452" s="69"/>
      <c r="F1452" s="234"/>
      <c r="G1452" s="234"/>
      <c r="H1452" s="234"/>
      <c r="I1452" s="234"/>
    </row>
    <row r="1453" spans="1:9">
      <c r="B1453" s="205" t="s">
        <v>17</v>
      </c>
      <c r="C1453" s="179"/>
      <c r="D1453" s="206"/>
      <c r="E1453" s="234"/>
      <c r="F1453" s="234"/>
      <c r="G1453" s="236"/>
      <c r="H1453" s="236"/>
      <c r="I1453" s="236"/>
    </row>
    <row r="1454" spans="1:9" ht="26">
      <c r="B1454" s="202" t="s">
        <v>244</v>
      </c>
      <c r="C1454" s="178" t="e">
        <f>Model!Z121*Capitalisation!#REF!</f>
        <v>#REF!</v>
      </c>
      <c r="D1454" s="206"/>
      <c r="E1454" s="234"/>
      <c r="F1454" s="234"/>
      <c r="G1454" s="235"/>
      <c r="H1454" s="235"/>
      <c r="I1454" s="235"/>
    </row>
    <row r="1455" spans="1:9">
      <c r="B1455" s="202" t="s">
        <v>245</v>
      </c>
      <c r="C1455" s="178" t="e">
        <f>Model!Z123*Capitalisation!#REF!</f>
        <v>#REF!</v>
      </c>
      <c r="D1455" s="206"/>
      <c r="E1455" s="234"/>
      <c r="F1455" s="236"/>
      <c r="G1455" s="189"/>
      <c r="H1455" s="189"/>
      <c r="I1455" s="189"/>
    </row>
    <row r="1456" spans="1:9">
      <c r="B1456" s="202" t="s">
        <v>135</v>
      </c>
      <c r="C1456" s="178" t="e">
        <f>Model!Z124*Capitalisation!#REF!</f>
        <v>#REF!</v>
      </c>
      <c r="D1456" s="206"/>
      <c r="E1456" s="234"/>
      <c r="F1456" s="235"/>
      <c r="G1456" s="234"/>
      <c r="H1456" s="234"/>
      <c r="I1456" s="234"/>
    </row>
    <row r="1457" spans="2:9">
      <c r="B1457" s="202" t="s">
        <v>136</v>
      </c>
      <c r="C1457" s="178" t="e">
        <f>Model!Z125*Capitalisation!#REF!</f>
        <v>#REF!</v>
      </c>
      <c r="D1457" s="206"/>
      <c r="E1457" s="234"/>
      <c r="F1457" s="189"/>
      <c r="G1457" s="236"/>
      <c r="H1457" s="236"/>
      <c r="I1457" s="236"/>
    </row>
    <row r="1458" spans="2:9">
      <c r="B1458" s="202" t="s">
        <v>137</v>
      </c>
      <c r="C1458" s="178" t="e">
        <f>Model!Z126*Capitalisation!#REF!</f>
        <v>#REF!</v>
      </c>
      <c r="D1458" s="206"/>
      <c r="E1458" s="234"/>
      <c r="F1458" s="234"/>
      <c r="G1458" s="235"/>
      <c r="H1458" s="235"/>
      <c r="I1458" s="235"/>
    </row>
    <row r="1459" spans="2:9">
      <c r="B1459" s="202" t="s">
        <v>138</v>
      </c>
      <c r="C1459" s="178" t="e">
        <f>Model!Z127*Capitalisation!#REF!</f>
        <v>#REF!</v>
      </c>
      <c r="D1459" s="206"/>
      <c r="E1459" s="234"/>
      <c r="F1459" s="236"/>
      <c r="G1459" s="235"/>
      <c r="H1459" s="235"/>
      <c r="I1459" s="235"/>
    </row>
    <row r="1460" spans="2:9">
      <c r="B1460" s="202" t="s">
        <v>19</v>
      </c>
      <c r="C1460" s="178" t="e">
        <f>Model!Z130*Capitalisation!#REF!</f>
        <v>#REF!</v>
      </c>
      <c r="D1460" s="206"/>
      <c r="E1460" s="234"/>
      <c r="F1460" s="235"/>
    </row>
    <row r="1461" spans="2:9">
      <c r="B1461" s="202" t="s">
        <v>246</v>
      </c>
      <c r="C1461" s="178" t="e">
        <f>Model!Z139*Capitalisation!#REF!</f>
        <v>#REF!</v>
      </c>
      <c r="D1461" s="179"/>
      <c r="E1461" s="234"/>
      <c r="F1461" s="235"/>
    </row>
    <row r="1462" spans="2:9">
      <c r="B1462" s="215"/>
      <c r="C1462" s="231"/>
      <c r="D1462" s="215"/>
    </row>
    <row r="1463" spans="2:9">
      <c r="B1463" s="212" t="s">
        <v>28</v>
      </c>
      <c r="C1463" s="183" t="e">
        <f>SUM(C1451:C1462)</f>
        <v>#REF!</v>
      </c>
      <c r="D1463" s="214" t="e">
        <f>+C1463/C1468</f>
        <v>#REF!</v>
      </c>
    </row>
    <row r="1464" spans="2:9">
      <c r="B1464" s="215" t="s">
        <v>29</v>
      </c>
      <c r="C1464" s="216" t="e">
        <f>Model!Z144*#REF!</f>
        <v>#REF!</v>
      </c>
      <c r="D1464" s="211"/>
    </row>
    <row r="1465" spans="2:9">
      <c r="B1465" s="212" t="s">
        <v>30</v>
      </c>
      <c r="C1465" s="183" t="e">
        <f>+C1463-C1464</f>
        <v>#REF!</v>
      </c>
      <c r="D1465" s="214" t="e">
        <f>+C1465/C1468</f>
        <v>#REF!</v>
      </c>
    </row>
    <row r="1466" spans="2:9">
      <c r="B1466" s="212" t="s">
        <v>31</v>
      </c>
      <c r="C1466" s="183" t="e">
        <f>Model!Z156*Capitalisation!#REF!</f>
        <v>#REF!</v>
      </c>
      <c r="D1466" s="214"/>
    </row>
    <row r="1467" spans="2:9">
      <c r="B1467" s="212" t="s">
        <v>32</v>
      </c>
      <c r="C1467" s="183" t="e">
        <f>C1463+C1466</f>
        <v>#REF!</v>
      </c>
      <c r="D1467" s="214"/>
    </row>
    <row r="1468" spans="2:9">
      <c r="B1468" s="215" t="s">
        <v>33</v>
      </c>
      <c r="C1468" s="6" t="e">
        <f>Model!Z92*Capitalisation!#REF!</f>
        <v>#REF!</v>
      </c>
      <c r="D1468" s="215"/>
    </row>
    <row r="1469" spans="2:9">
      <c r="B1469" s="218" t="s">
        <v>34</v>
      </c>
      <c r="C1469" s="220" t="e">
        <f>C1463-Model!Z147*Capitalisation!#REF!</f>
        <v>#REF!</v>
      </c>
      <c r="D1469" s="221"/>
      <c r="G1469" s="184"/>
      <c r="H1469" s="184"/>
      <c r="I1469" s="184"/>
    </row>
    <row r="1470" spans="2:9">
      <c r="G1470" s="213"/>
      <c r="H1470" s="213"/>
      <c r="I1470" s="213"/>
    </row>
    <row r="1471" spans="2:9">
      <c r="B1471" s="212" t="s">
        <v>35</v>
      </c>
      <c r="C1471" s="222" t="e">
        <f>C1465+#REF!*Model!Z155</f>
        <v>#REF!</v>
      </c>
      <c r="E1471" s="223"/>
      <c r="F1471" s="184"/>
    </row>
    <row r="1472" spans="2:9">
      <c r="B1472" s="212" t="s">
        <v>36</v>
      </c>
      <c r="C1472" s="214" t="e">
        <f>C1471/C1468</f>
        <v>#REF!</v>
      </c>
      <c r="E1472" s="223"/>
      <c r="F1472" s="213"/>
    </row>
    <row r="1475" spans="2:4" ht="26">
      <c r="B1475" s="224" t="s">
        <v>247</v>
      </c>
      <c r="C1475" s="224" t="s">
        <v>87</v>
      </c>
      <c r="D1475" s="224" t="s">
        <v>72</v>
      </c>
    </row>
    <row r="1476" spans="2:4">
      <c r="B1476" s="225"/>
      <c r="C1476" s="185"/>
      <c r="D1476" s="185"/>
    </row>
    <row r="1477" spans="2:4">
      <c r="B1477" s="225" t="s">
        <v>16</v>
      </c>
      <c r="C1477" s="185">
        <f>Model!Z144</f>
        <v>9161.66</v>
      </c>
      <c r="D1477" s="185" t="e">
        <f>C1477*#REF!</f>
        <v>#REF!</v>
      </c>
    </row>
    <row r="1478" spans="2:4">
      <c r="B1478" s="194" t="s">
        <v>38</v>
      </c>
      <c r="C1478" s="185">
        <f>SUM(C1476:C1477)</f>
        <v>9161.66</v>
      </c>
      <c r="D1478" s="185" t="e">
        <f>SUM(D1476:D1477)</f>
        <v>#REF!</v>
      </c>
    </row>
    <row r="1480" spans="2:4">
      <c r="C1480" s="231"/>
    </row>
    <row r="1482" spans="2:4">
      <c r="B1482" s="195" t="s">
        <v>240</v>
      </c>
      <c r="C1482" s="195" t="s">
        <v>248</v>
      </c>
      <c r="D1482" s="195"/>
    </row>
    <row r="1483" spans="2:4">
      <c r="B1483" s="226" t="s">
        <v>40</v>
      </c>
      <c r="C1483" s="186" t="e">
        <f>(1000)*#REF!</f>
        <v>#REF!</v>
      </c>
    </row>
    <row r="1484" spans="2:4">
      <c r="B1484" s="226" t="s">
        <v>150</v>
      </c>
      <c r="C1484" s="186" t="e">
        <f>(3000)*#REF!</f>
        <v>#REF!</v>
      </c>
    </row>
    <row r="1485" spans="2:4">
      <c r="B1485" s="226" t="s">
        <v>151</v>
      </c>
      <c r="C1485" s="186" t="e">
        <f>(0)*#REF!</f>
        <v>#REF!</v>
      </c>
    </row>
    <row r="1486" spans="2:4">
      <c r="B1486" s="226" t="s">
        <v>152</v>
      </c>
      <c r="C1486" s="186" t="e">
        <f>1900*#REF!</f>
        <v>#REF!</v>
      </c>
    </row>
    <row r="1487" spans="2:4">
      <c r="B1487" s="226" t="s">
        <v>153</v>
      </c>
      <c r="C1487" s="180" t="e">
        <f>(5000+20675.76)*#REF!</f>
        <v>#REF!</v>
      </c>
    </row>
    <row r="1488" spans="2:4">
      <c r="B1488" s="226"/>
      <c r="C1488" s="228"/>
    </row>
    <row r="1489" spans="1:9">
      <c r="B1489" s="195" t="s">
        <v>45</v>
      </c>
      <c r="C1489" s="230" t="e">
        <f>SUM(C1483:C1488)</f>
        <v>#REF!</v>
      </c>
      <c r="D1489" s="238"/>
    </row>
    <row r="1490" spans="1:9">
      <c r="B1490" s="218" t="s">
        <v>34</v>
      </c>
      <c r="C1490" s="220" t="e">
        <f>C1489-C1463</f>
        <v>#REF!</v>
      </c>
    </row>
    <row r="1492" spans="1:9">
      <c r="A1492" s="198"/>
      <c r="G1492" s="196"/>
      <c r="H1492" s="196"/>
      <c r="I1492" s="196"/>
    </row>
    <row r="1493" spans="1:9">
      <c r="G1493" s="234"/>
      <c r="H1493" s="234"/>
      <c r="I1493" s="234"/>
    </row>
    <row r="1494" spans="1:9" ht="52">
      <c r="B1494" s="205" t="s">
        <v>242</v>
      </c>
      <c r="C1494" s="200" t="s">
        <v>249</v>
      </c>
      <c r="D1494" s="201" t="s">
        <v>60</v>
      </c>
      <c r="E1494" s="195"/>
      <c r="F1494" s="196"/>
      <c r="G1494" s="235"/>
      <c r="H1494" s="235"/>
      <c r="I1494" s="235"/>
    </row>
    <row r="1495" spans="1:9">
      <c r="B1495" s="205" t="s">
        <v>11</v>
      </c>
      <c r="C1495" s="179"/>
      <c r="D1495" s="206"/>
      <c r="E1495" s="234"/>
      <c r="F1495" s="234"/>
      <c r="G1495" s="234"/>
      <c r="H1495" s="234"/>
      <c r="I1495" s="234"/>
    </row>
    <row r="1496" spans="1:9">
      <c r="B1496" s="202" t="s">
        <v>13</v>
      </c>
      <c r="C1496" s="179">
        <v>300</v>
      </c>
      <c r="D1496" s="206"/>
      <c r="E1496" s="69"/>
      <c r="F1496" s="235"/>
      <c r="G1496" s="234"/>
      <c r="H1496" s="234"/>
      <c r="I1496" s="234"/>
    </row>
    <row r="1497" spans="1:9">
      <c r="B1497" s="202" t="s">
        <v>15</v>
      </c>
      <c r="C1497" s="179">
        <v>750</v>
      </c>
      <c r="D1497" s="206"/>
      <c r="E1497" s="69"/>
      <c r="F1497" s="234"/>
      <c r="G1497" s="234"/>
      <c r="H1497" s="234"/>
      <c r="I1497" s="234"/>
    </row>
    <row r="1498" spans="1:9">
      <c r="B1498" s="205" t="s">
        <v>17</v>
      </c>
      <c r="C1498" s="179"/>
      <c r="D1498" s="206"/>
      <c r="E1498" s="234"/>
      <c r="F1498" s="234"/>
      <c r="G1498" s="236"/>
      <c r="H1498" s="236"/>
      <c r="I1498" s="236"/>
    </row>
    <row r="1499" spans="1:9" ht="26">
      <c r="B1499" s="202" t="s">
        <v>244</v>
      </c>
      <c r="C1499" s="178" t="e">
        <f>Model!#REF!*Capitalisation!#REF!</f>
        <v>#REF!</v>
      </c>
      <c r="D1499" s="206"/>
      <c r="E1499" s="234"/>
      <c r="F1499" s="234"/>
      <c r="G1499" s="235"/>
      <c r="H1499" s="235"/>
      <c r="I1499" s="235"/>
    </row>
    <row r="1500" spans="1:9">
      <c r="B1500" s="202" t="s">
        <v>245</v>
      </c>
      <c r="C1500" s="178" t="e">
        <f>Model!#REF!*Capitalisation!#REF!</f>
        <v>#REF!</v>
      </c>
      <c r="D1500" s="206"/>
      <c r="E1500" s="234"/>
      <c r="F1500" s="236"/>
      <c r="G1500" s="189"/>
      <c r="H1500" s="189"/>
      <c r="I1500" s="189"/>
    </row>
    <row r="1501" spans="1:9">
      <c r="B1501" s="202" t="s">
        <v>135</v>
      </c>
      <c r="C1501" s="178" t="e">
        <f>Model!#REF!*Capitalisation!#REF!</f>
        <v>#REF!</v>
      </c>
      <c r="D1501" s="206"/>
      <c r="E1501" s="234"/>
      <c r="F1501" s="235"/>
      <c r="G1501" s="234"/>
      <c r="H1501" s="234"/>
      <c r="I1501" s="234"/>
    </row>
    <row r="1502" spans="1:9">
      <c r="B1502" s="202" t="s">
        <v>136</v>
      </c>
      <c r="C1502" s="178" t="e">
        <f>Model!#REF!*Capitalisation!#REF!</f>
        <v>#REF!</v>
      </c>
      <c r="D1502" s="206"/>
      <c r="E1502" s="234"/>
      <c r="F1502" s="189"/>
      <c r="G1502" s="236"/>
      <c r="H1502" s="236"/>
      <c r="I1502" s="236"/>
    </row>
    <row r="1503" spans="1:9">
      <c r="B1503" s="202" t="s">
        <v>137</v>
      </c>
      <c r="C1503" s="178" t="e">
        <f>Model!#REF!*Capitalisation!#REF!</f>
        <v>#REF!</v>
      </c>
      <c r="D1503" s="206"/>
      <c r="E1503" s="234"/>
      <c r="F1503" s="234"/>
      <c r="G1503" s="235"/>
      <c r="H1503" s="235"/>
      <c r="I1503" s="235"/>
    </row>
    <row r="1504" spans="1:9">
      <c r="B1504" s="202" t="s">
        <v>138</v>
      </c>
      <c r="C1504" s="178" t="e">
        <f>Model!#REF!*Capitalisation!#REF!</f>
        <v>#REF!</v>
      </c>
      <c r="D1504" s="206"/>
      <c r="E1504" s="234"/>
      <c r="F1504" s="236"/>
      <c r="G1504" s="235"/>
      <c r="H1504" s="235"/>
      <c r="I1504" s="235"/>
    </row>
    <row r="1505" spans="2:9">
      <c r="B1505" s="202" t="s">
        <v>19</v>
      </c>
      <c r="C1505" s="178" t="e">
        <f>Model!#REF!*Capitalisation!#REF!</f>
        <v>#REF!</v>
      </c>
      <c r="D1505" s="206"/>
      <c r="E1505" s="234"/>
      <c r="F1505" s="235"/>
    </row>
    <row r="1506" spans="2:9">
      <c r="B1506" s="202" t="s">
        <v>246</v>
      </c>
      <c r="C1506" s="178" t="e">
        <f>Model!#REF!*Capitalisation!#REF!</f>
        <v>#REF!</v>
      </c>
      <c r="D1506" s="179"/>
      <c r="E1506" s="234"/>
      <c r="F1506" s="235"/>
    </row>
    <row r="1507" spans="2:9">
      <c r="B1507" s="215"/>
      <c r="C1507" s="231"/>
      <c r="D1507" s="215"/>
    </row>
    <row r="1508" spans="2:9">
      <c r="B1508" s="212" t="s">
        <v>28</v>
      </c>
      <c r="C1508" s="183" t="e">
        <f>SUM(C1496:C1507)</f>
        <v>#REF!</v>
      </c>
      <c r="D1508" s="214" t="e">
        <f>+C1508/C1513</f>
        <v>#REF!</v>
      </c>
    </row>
    <row r="1509" spans="2:9">
      <c r="B1509" s="215" t="s">
        <v>29</v>
      </c>
      <c r="C1509" s="216" t="e">
        <f>Model!#REF!*#REF!</f>
        <v>#REF!</v>
      </c>
      <c r="D1509" s="211"/>
    </row>
    <row r="1510" spans="2:9">
      <c r="B1510" s="212" t="s">
        <v>30</v>
      </c>
      <c r="C1510" s="183" t="e">
        <f>+C1508-C1509</f>
        <v>#REF!</v>
      </c>
      <c r="D1510" s="214" t="e">
        <f>+C1510/C1513</f>
        <v>#REF!</v>
      </c>
    </row>
    <row r="1511" spans="2:9">
      <c r="B1511" s="212" t="s">
        <v>31</v>
      </c>
      <c r="C1511" s="183" t="e">
        <f>Model!#REF!*Capitalisation!#REF!</f>
        <v>#REF!</v>
      </c>
      <c r="D1511" s="214"/>
    </row>
    <row r="1512" spans="2:9">
      <c r="B1512" s="212" t="s">
        <v>32</v>
      </c>
      <c r="C1512" s="183" t="e">
        <f>C1508+C1511</f>
        <v>#REF!</v>
      </c>
      <c r="D1512" s="214"/>
    </row>
    <row r="1513" spans="2:9">
      <c r="B1513" s="215" t="s">
        <v>33</v>
      </c>
      <c r="C1513" s="6" t="e">
        <f>Model!#REF!*Capitalisation!#REF!</f>
        <v>#REF!</v>
      </c>
      <c r="D1513" s="215"/>
    </row>
    <row r="1515" spans="2:9">
      <c r="B1515" s="218" t="s">
        <v>34</v>
      </c>
      <c r="C1515" s="220" t="e">
        <f>C1508-Model!#REF!*Capitalisation!#REF!</f>
        <v>#REF!</v>
      </c>
      <c r="D1515" s="221" t="s">
        <v>250</v>
      </c>
      <c r="G1515" s="184"/>
      <c r="H1515" s="184"/>
      <c r="I1515" s="184"/>
    </row>
    <row r="1516" spans="2:9">
      <c r="G1516" s="213"/>
      <c r="H1516" s="213"/>
      <c r="I1516" s="213"/>
    </row>
    <row r="1517" spans="2:9">
      <c r="B1517" s="212" t="s">
        <v>35</v>
      </c>
      <c r="C1517" s="222" t="e">
        <f>C1510+#REF!*Model!W155</f>
        <v>#REF!</v>
      </c>
      <c r="E1517" s="223"/>
      <c r="F1517" s="184"/>
    </row>
    <row r="1518" spans="2:9">
      <c r="B1518" s="212" t="s">
        <v>36</v>
      </c>
      <c r="C1518" s="214" t="e">
        <f>C1517/C1513</f>
        <v>#REF!</v>
      </c>
      <c r="E1518" s="223"/>
      <c r="F1518" s="213"/>
    </row>
    <row r="1521" spans="2:4" ht="26">
      <c r="B1521" s="224" t="s">
        <v>251</v>
      </c>
      <c r="C1521" s="224" t="s">
        <v>87</v>
      </c>
      <c r="D1521" s="224" t="s">
        <v>72</v>
      </c>
    </row>
    <row r="1522" spans="2:4">
      <c r="B1522" s="225"/>
      <c r="C1522" s="185"/>
      <c r="D1522" s="185"/>
    </row>
    <row r="1523" spans="2:4">
      <c r="B1523" s="225" t="s">
        <v>16</v>
      </c>
      <c r="C1523" s="185" t="e">
        <f>Model!#REF!</f>
        <v>#REF!</v>
      </c>
      <c r="D1523" s="185" t="e">
        <f>C1523*#REF!</f>
        <v>#REF!</v>
      </c>
    </row>
    <row r="1524" spans="2:4">
      <c r="B1524" s="194" t="s">
        <v>38</v>
      </c>
      <c r="C1524" s="185" t="e">
        <f>SUM(C1522:C1523)</f>
        <v>#REF!</v>
      </c>
      <c r="D1524" s="185" t="e">
        <f>SUM(D1522:D1523)</f>
        <v>#REF!</v>
      </c>
    </row>
    <row r="1526" spans="2:4">
      <c r="C1526" s="231"/>
    </row>
    <row r="1528" spans="2:4">
      <c r="B1528" s="195" t="s">
        <v>240</v>
      </c>
      <c r="C1528" s="195" t="s">
        <v>252</v>
      </c>
      <c r="D1528" s="195"/>
    </row>
    <row r="1529" spans="2:4">
      <c r="B1529" s="226" t="s">
        <v>40</v>
      </c>
      <c r="C1529" s="186" t="e">
        <f>(1546.456+1000)*#REF!</f>
        <v>#REF!</v>
      </c>
    </row>
    <row r="1530" spans="2:4">
      <c r="B1530" s="226" t="s">
        <v>150</v>
      </c>
      <c r="C1530" s="186" t="e">
        <f>(625)*#REF!</f>
        <v>#REF!</v>
      </c>
    </row>
    <row r="1531" spans="2:4">
      <c r="B1531" s="226" t="s">
        <v>151</v>
      </c>
      <c r="C1531" s="186" t="e">
        <f>(625+3000)*#REF!</f>
        <v>#REF!</v>
      </c>
    </row>
    <row r="1532" spans="2:4">
      <c r="B1532" s="226" t="s">
        <v>152</v>
      </c>
      <c r="C1532" s="186" t="e">
        <f>468.75*#REF!</f>
        <v>#REF!</v>
      </c>
    </row>
    <row r="1533" spans="2:4">
      <c r="B1533" s="226" t="s">
        <v>153</v>
      </c>
      <c r="C1533" s="180" t="e">
        <f>(6900+19184.445)*#REF!</f>
        <v>#REF!</v>
      </c>
    </row>
    <row r="1534" spans="2:4">
      <c r="B1534" s="226"/>
      <c r="C1534" s="228"/>
    </row>
    <row r="1535" spans="2:4">
      <c r="B1535" s="195" t="s">
        <v>45</v>
      </c>
      <c r="C1535" s="230" t="e">
        <f>SUM(C1529:C1534)</f>
        <v>#REF!</v>
      </c>
      <c r="D1535" s="238"/>
    </row>
  </sheetData>
  <pageMargins left="0.7" right="0.7" top="0.75" bottom="0.75" header="0.3" footer="0.3"/>
  <pageSetup orientation="portrait" horizontalDpi="90" verticalDpi="90" r:id="rId1"/>
  <headerFooter>
    <oddFooter>&amp;C_x000D_&amp;1#&amp;"Aptos"&amp;10&amp;K000000 Barings-Corporate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B2:BK378"/>
  <sheetViews>
    <sheetView showGridLines="0" tabSelected="1" zoomScaleNormal="100" zoomScaleSheetLayoutView="100" workbookViewId="0">
      <pane xSplit="2" ySplit="6" topLeftCell="L7" activePane="bottomRight" state="frozen"/>
      <selection pane="topRight" activeCell="H21" sqref="H21"/>
      <selection pane="bottomLeft" activeCell="H21" sqref="H21"/>
      <selection pane="bottomRight" activeCell="O119" sqref="O119"/>
    </sheetView>
  </sheetViews>
  <sheetFormatPr defaultColWidth="11.453125" defaultRowHeight="13.5" customHeight="1" outlineLevelRow="1" outlineLevelCol="1"/>
  <cols>
    <col min="1" max="1" width="2.7265625" style="1" customWidth="1"/>
    <col min="2" max="2" width="50.7265625" style="1" customWidth="1"/>
    <col min="3" max="9" width="12.7265625" style="1" hidden="1" customWidth="1" outlineLevel="1"/>
    <col min="10" max="10" width="12.7265625" style="1" hidden="1" customWidth="1" outlineLevel="1" collapsed="1"/>
    <col min="11" max="11" width="12.7265625" style="1" hidden="1" customWidth="1" outlineLevel="1"/>
    <col min="12" max="12" width="12.7265625" style="1" customWidth="1" collapsed="1"/>
    <col min="13" max="16" width="12.7265625" style="1" customWidth="1"/>
    <col min="17" max="40" width="12.7265625" style="1" hidden="1" customWidth="1" outlineLevel="1"/>
    <col min="41" max="41" width="12.7265625" style="1" hidden="1" customWidth="1" outlineLevel="1" collapsed="1"/>
    <col min="42" max="44" width="12.7265625" style="1" hidden="1" customWidth="1" outlineLevel="1"/>
    <col min="45" max="45" width="12.7265625" style="1" hidden="1" customWidth="1" outlineLevel="1" collapsed="1"/>
    <col min="46" max="51" width="12.7265625" style="1" hidden="1" customWidth="1" outlineLevel="1"/>
    <col min="52" max="52" width="12.7265625" style="1" customWidth="1" collapsed="1"/>
    <col min="53" max="58" width="12.7265625" style="1" customWidth="1"/>
    <col min="59" max="61" width="12.7265625" style="1" hidden="1" customWidth="1" outlineLevel="1"/>
    <col min="62" max="62" width="12.7265625" style="1" customWidth="1" collapsed="1"/>
    <col min="63" max="66" width="12.7265625" style="1" customWidth="1"/>
    <col min="67" max="16384" width="11.453125" style="1"/>
  </cols>
  <sheetData>
    <row r="2" spans="2:63" s="474" customFormat="1" ht="24.75" customHeight="1">
      <c r="B2" s="470" t="s">
        <v>253</v>
      </c>
      <c r="C2" s="471" t="s">
        <v>254</v>
      </c>
      <c r="D2" s="471" t="s">
        <v>254</v>
      </c>
      <c r="E2" s="471" t="s">
        <v>254</v>
      </c>
      <c r="F2" s="471" t="s">
        <v>254</v>
      </c>
      <c r="G2" s="471" t="s">
        <v>254</v>
      </c>
      <c r="H2" s="472" t="s">
        <v>254</v>
      </c>
      <c r="I2" s="472" t="s">
        <v>254</v>
      </c>
      <c r="J2" s="472" t="s">
        <v>254</v>
      </c>
      <c r="K2" s="472" t="s">
        <v>254</v>
      </c>
      <c r="L2" s="472" t="s">
        <v>254</v>
      </c>
      <c r="M2" s="472" t="s">
        <v>254</v>
      </c>
      <c r="N2" s="472" t="s">
        <v>254</v>
      </c>
      <c r="O2" s="490" t="s">
        <v>255</v>
      </c>
      <c r="P2" s="473"/>
      <c r="Q2" s="471" t="s">
        <v>256</v>
      </c>
      <c r="R2" s="471" t="s">
        <v>256</v>
      </c>
      <c r="S2" s="471" t="s">
        <v>256</v>
      </c>
      <c r="T2" s="471" t="s">
        <v>256</v>
      </c>
      <c r="U2" s="471" t="s">
        <v>256</v>
      </c>
      <c r="V2" s="471" t="s">
        <v>256</v>
      </c>
      <c r="W2" s="471" t="s">
        <v>256</v>
      </c>
      <c r="X2" s="471" t="s">
        <v>256</v>
      </c>
      <c r="Y2" s="471" t="s">
        <v>256</v>
      </c>
      <c r="Z2" s="471" t="s">
        <v>256</v>
      </c>
      <c r="AA2" s="471" t="s">
        <v>256</v>
      </c>
      <c r="AB2" s="471" t="s">
        <v>256</v>
      </c>
      <c r="AC2" s="471" t="s">
        <v>256</v>
      </c>
      <c r="AD2" s="471" t="s">
        <v>256</v>
      </c>
      <c r="AE2" s="471" t="s">
        <v>256</v>
      </c>
      <c r="AF2" s="471" t="s">
        <v>256</v>
      </c>
      <c r="AG2" s="471" t="s">
        <v>256</v>
      </c>
      <c r="AH2" s="471" t="s">
        <v>256</v>
      </c>
      <c r="AI2" s="472" t="s">
        <v>256</v>
      </c>
      <c r="AJ2" s="471" t="s">
        <v>256</v>
      </c>
      <c r="AK2" s="471" t="s">
        <v>256</v>
      </c>
      <c r="AL2" s="471" t="s">
        <v>256</v>
      </c>
      <c r="AM2" s="472" t="s">
        <v>256</v>
      </c>
      <c r="AN2" s="471" t="s">
        <v>256</v>
      </c>
      <c r="AO2" s="471" t="s">
        <v>256</v>
      </c>
      <c r="AP2" s="471" t="s">
        <v>256</v>
      </c>
      <c r="AQ2" s="472" t="s">
        <v>256</v>
      </c>
      <c r="AR2" s="471" t="s">
        <v>256</v>
      </c>
      <c r="AS2" s="471" t="s">
        <v>256</v>
      </c>
      <c r="AT2" s="471" t="s">
        <v>256</v>
      </c>
      <c r="AU2" s="472" t="s">
        <v>256</v>
      </c>
      <c r="AV2" s="471" t="s">
        <v>256</v>
      </c>
      <c r="AW2" s="471" t="s">
        <v>256</v>
      </c>
      <c r="AX2" s="471" t="s">
        <v>256</v>
      </c>
      <c r="AY2" s="471" t="s">
        <v>256</v>
      </c>
      <c r="AZ2" s="471" t="s">
        <v>256</v>
      </c>
      <c r="BA2" s="471" t="s">
        <v>256</v>
      </c>
      <c r="BB2" s="471" t="s">
        <v>256</v>
      </c>
      <c r="BC2" s="471" t="s">
        <v>256</v>
      </c>
      <c r="BD2" s="471" t="s">
        <v>256</v>
      </c>
      <c r="BE2" s="471" t="s">
        <v>256</v>
      </c>
      <c r="BG2" s="475" t="s">
        <v>256</v>
      </c>
      <c r="BH2" s="475" t="s">
        <v>256</v>
      </c>
      <c r="BI2" s="475" t="s">
        <v>256</v>
      </c>
    </row>
    <row r="3" spans="2:63" s="474" customFormat="1" ht="13.5" customHeight="1">
      <c r="B3" s="476" t="s">
        <v>71</v>
      </c>
      <c r="C3" s="477">
        <v>41975</v>
      </c>
      <c r="D3" s="477">
        <v>42341</v>
      </c>
      <c r="E3" s="477">
        <v>42708</v>
      </c>
      <c r="F3" s="477">
        <v>43100</v>
      </c>
      <c r="G3" s="477">
        <v>43465</v>
      </c>
      <c r="H3" s="478">
        <v>43830</v>
      </c>
      <c r="I3" s="478">
        <v>44196</v>
      </c>
      <c r="J3" s="478">
        <v>44561</v>
      </c>
      <c r="K3" s="478">
        <v>44926</v>
      </c>
      <c r="L3" s="478">
        <v>45291</v>
      </c>
      <c r="M3" s="478">
        <v>45657</v>
      </c>
      <c r="N3" s="478">
        <v>46022</v>
      </c>
      <c r="O3" s="491">
        <f>BE3</f>
        <v>46112</v>
      </c>
      <c r="P3" s="479"/>
      <c r="Q3" s="477">
        <v>42437</v>
      </c>
      <c r="R3" s="477">
        <v>42527</v>
      </c>
      <c r="S3" s="477">
        <v>42622</v>
      </c>
      <c r="T3" s="477">
        <v>42714</v>
      </c>
      <c r="U3" s="477">
        <v>42801</v>
      </c>
      <c r="V3" s="477">
        <v>42892</v>
      </c>
      <c r="W3" s="477">
        <v>42987</v>
      </c>
      <c r="X3" s="477">
        <v>43100</v>
      </c>
      <c r="Y3" s="477">
        <v>43190</v>
      </c>
      <c r="Z3" s="477">
        <v>43281</v>
      </c>
      <c r="AA3" s="477">
        <v>43373</v>
      </c>
      <c r="AB3" s="477">
        <v>43465</v>
      </c>
      <c r="AC3" s="477">
        <v>43555</v>
      </c>
      <c r="AD3" s="477">
        <v>43646</v>
      </c>
      <c r="AE3" s="477">
        <v>43738</v>
      </c>
      <c r="AF3" s="477">
        <v>43830</v>
      </c>
      <c r="AG3" s="477">
        <v>43921</v>
      </c>
      <c r="AH3" s="477">
        <v>44012</v>
      </c>
      <c r="AI3" s="478">
        <v>44104</v>
      </c>
      <c r="AJ3" s="477">
        <v>44196</v>
      </c>
      <c r="AK3" s="477">
        <v>44286</v>
      </c>
      <c r="AL3" s="477">
        <v>44377</v>
      </c>
      <c r="AM3" s="478">
        <v>44469</v>
      </c>
      <c r="AN3" s="477">
        <v>44561</v>
      </c>
      <c r="AO3" s="477">
        <v>44651</v>
      </c>
      <c r="AP3" s="477">
        <v>44742</v>
      </c>
      <c r="AQ3" s="478">
        <v>44834</v>
      </c>
      <c r="AR3" s="477">
        <v>44926</v>
      </c>
      <c r="AS3" s="477">
        <v>45016</v>
      </c>
      <c r="AT3" s="477">
        <v>45107</v>
      </c>
      <c r="AU3" s="478">
        <v>45199</v>
      </c>
      <c r="AV3" s="477">
        <v>45291</v>
      </c>
      <c r="AW3" s="477">
        <v>45382</v>
      </c>
      <c r="AX3" s="477">
        <v>45473</v>
      </c>
      <c r="AY3" s="477">
        <v>45536</v>
      </c>
      <c r="AZ3" s="477">
        <v>45657</v>
      </c>
      <c r="BA3" s="477">
        <v>45747</v>
      </c>
      <c r="BB3" s="477">
        <v>45838</v>
      </c>
      <c r="BC3" s="477">
        <v>45901</v>
      </c>
      <c r="BD3" s="477">
        <v>46022</v>
      </c>
      <c r="BE3" s="477">
        <v>46112</v>
      </c>
      <c r="BG3" s="477">
        <v>42892</v>
      </c>
      <c r="BH3" s="477">
        <v>42987</v>
      </c>
      <c r="BI3" s="477">
        <v>43646</v>
      </c>
    </row>
    <row r="4" spans="2:63" s="480" customFormat="1" ht="13.5" customHeight="1">
      <c r="B4" s="476"/>
      <c r="C4" s="478" t="s">
        <v>257</v>
      </c>
      <c r="D4" s="478" t="s">
        <v>257</v>
      </c>
      <c r="E4" s="478" t="s">
        <v>257</v>
      </c>
      <c r="F4" s="478" t="s">
        <v>257</v>
      </c>
      <c r="G4" s="478" t="s">
        <v>257</v>
      </c>
      <c r="H4" s="478" t="s">
        <v>257</v>
      </c>
      <c r="I4" s="478" t="s">
        <v>257</v>
      </c>
      <c r="J4" s="478" t="s">
        <v>257</v>
      </c>
      <c r="K4" s="478" t="s">
        <v>257</v>
      </c>
      <c r="L4" s="478" t="s">
        <v>257</v>
      </c>
      <c r="M4" s="478" t="s">
        <v>257</v>
      </c>
      <c r="N4" s="478" t="s">
        <v>257</v>
      </c>
      <c r="O4" s="491" t="s">
        <v>257</v>
      </c>
      <c r="P4" s="327"/>
      <c r="Q4" s="478" t="s">
        <v>257</v>
      </c>
      <c r="R4" s="478" t="s">
        <v>257</v>
      </c>
      <c r="S4" s="478" t="s">
        <v>257</v>
      </c>
      <c r="T4" s="478" t="s">
        <v>257</v>
      </c>
      <c r="U4" s="478" t="s">
        <v>257</v>
      </c>
      <c r="V4" s="478" t="s">
        <v>257</v>
      </c>
      <c r="W4" s="478" t="s">
        <v>257</v>
      </c>
      <c r="X4" s="478" t="s">
        <v>257</v>
      </c>
      <c r="Y4" s="478" t="s">
        <v>257</v>
      </c>
      <c r="Z4" s="478" t="s">
        <v>257</v>
      </c>
      <c r="AA4" s="478" t="s">
        <v>257</v>
      </c>
      <c r="AB4" s="478" t="s">
        <v>257</v>
      </c>
      <c r="AC4" s="478" t="s">
        <v>257</v>
      </c>
      <c r="AD4" s="478" t="s">
        <v>257</v>
      </c>
      <c r="AE4" s="478" t="s">
        <v>257</v>
      </c>
      <c r="AF4" s="478" t="s">
        <v>257</v>
      </c>
      <c r="AG4" s="478" t="s">
        <v>257</v>
      </c>
      <c r="AH4" s="478" t="s">
        <v>257</v>
      </c>
      <c r="AI4" s="478" t="s">
        <v>257</v>
      </c>
      <c r="AJ4" s="478" t="s">
        <v>257</v>
      </c>
      <c r="AK4" s="478" t="s">
        <v>257</v>
      </c>
      <c r="AL4" s="478" t="s">
        <v>257</v>
      </c>
      <c r="AM4" s="478" t="s">
        <v>257</v>
      </c>
      <c r="AN4" s="478" t="s">
        <v>257</v>
      </c>
      <c r="AO4" s="478" t="s">
        <v>257</v>
      </c>
      <c r="AP4" s="478" t="s">
        <v>257</v>
      </c>
      <c r="AQ4" s="478" t="s">
        <v>257</v>
      </c>
      <c r="AR4" s="478" t="s">
        <v>257</v>
      </c>
      <c r="AS4" s="478" t="s">
        <v>257</v>
      </c>
      <c r="AT4" s="478" t="s">
        <v>257</v>
      </c>
      <c r="AU4" s="478" t="s">
        <v>257</v>
      </c>
      <c r="AV4" s="478" t="s">
        <v>257</v>
      </c>
      <c r="AW4" s="478" t="s">
        <v>257</v>
      </c>
      <c r="AX4" s="478" t="s">
        <v>257</v>
      </c>
      <c r="AY4" s="478" t="s">
        <v>257</v>
      </c>
      <c r="AZ4" s="478" t="s">
        <v>257</v>
      </c>
      <c r="BA4" s="478" t="s">
        <v>257</v>
      </c>
      <c r="BB4" s="478" t="s">
        <v>257</v>
      </c>
      <c r="BC4" s="478" t="s">
        <v>257</v>
      </c>
      <c r="BD4" s="478" t="s">
        <v>257</v>
      </c>
      <c r="BE4" s="478" t="s">
        <v>257</v>
      </c>
      <c r="BG4" s="478" t="s">
        <v>258</v>
      </c>
      <c r="BH4" s="478" t="s">
        <v>258</v>
      </c>
      <c r="BI4" s="478" t="s">
        <v>258</v>
      </c>
    </row>
    <row r="5" spans="2:63" s="481" customFormat="1" ht="13.5" customHeight="1">
      <c r="C5" s="482" t="s">
        <v>259</v>
      </c>
      <c r="D5" s="482" t="s">
        <v>259</v>
      </c>
      <c r="E5" s="482" t="s">
        <v>259</v>
      </c>
      <c r="F5" s="482" t="s">
        <v>259</v>
      </c>
      <c r="G5" s="482" t="s">
        <v>259</v>
      </c>
      <c r="H5" s="482" t="s">
        <v>259</v>
      </c>
      <c r="I5" s="482" t="s">
        <v>259</v>
      </c>
      <c r="J5" s="482" t="s">
        <v>259</v>
      </c>
      <c r="K5" s="482" t="s">
        <v>259</v>
      </c>
      <c r="L5" s="482" t="s">
        <v>259</v>
      </c>
      <c r="M5" s="482" t="s">
        <v>259</v>
      </c>
      <c r="N5" s="482" t="s">
        <v>259</v>
      </c>
      <c r="O5" s="483" t="s">
        <v>255</v>
      </c>
      <c r="P5" s="327"/>
      <c r="Q5" s="482" t="s">
        <v>260</v>
      </c>
      <c r="R5" s="482" t="s">
        <v>261</v>
      </c>
      <c r="S5" s="482" t="s">
        <v>262</v>
      </c>
      <c r="T5" s="482" t="s">
        <v>263</v>
      </c>
      <c r="U5" s="482" t="s">
        <v>260</v>
      </c>
      <c r="V5" s="482" t="s">
        <v>261</v>
      </c>
      <c r="W5" s="482" t="s">
        <v>262</v>
      </c>
      <c r="X5" s="482" t="s">
        <v>263</v>
      </c>
      <c r="Y5" s="482" t="s">
        <v>260</v>
      </c>
      <c r="Z5" s="482" t="s">
        <v>261</v>
      </c>
      <c r="AA5" s="482" t="s">
        <v>262</v>
      </c>
      <c r="AB5" s="482" t="s">
        <v>263</v>
      </c>
      <c r="AC5" s="482" t="s">
        <v>260</v>
      </c>
      <c r="AD5" s="482" t="s">
        <v>261</v>
      </c>
      <c r="AE5" s="482" t="s">
        <v>262</v>
      </c>
      <c r="AF5" s="482" t="s">
        <v>263</v>
      </c>
      <c r="AG5" s="482" t="s">
        <v>260</v>
      </c>
      <c r="AH5" s="482" t="s">
        <v>261</v>
      </c>
      <c r="AI5" s="482" t="s">
        <v>262</v>
      </c>
      <c r="AJ5" s="482" t="s">
        <v>263</v>
      </c>
      <c r="AK5" s="482" t="s">
        <v>260</v>
      </c>
      <c r="AL5" s="482" t="s">
        <v>261</v>
      </c>
      <c r="AM5" s="482" t="s">
        <v>262</v>
      </c>
      <c r="AN5" s="482" t="s">
        <v>263</v>
      </c>
      <c r="AO5" s="482" t="s">
        <v>260</v>
      </c>
      <c r="AP5" s="482" t="s">
        <v>261</v>
      </c>
      <c r="AQ5" s="482" t="s">
        <v>262</v>
      </c>
      <c r="AR5" s="482" t="s">
        <v>263</v>
      </c>
      <c r="AS5" s="482" t="s">
        <v>260</v>
      </c>
      <c r="AT5" s="482" t="s">
        <v>261</v>
      </c>
      <c r="AU5" s="482" t="s">
        <v>262</v>
      </c>
      <c r="AV5" s="482" t="s">
        <v>263</v>
      </c>
      <c r="AW5" s="482" t="s">
        <v>260</v>
      </c>
      <c r="AX5" s="482" t="s">
        <v>261</v>
      </c>
      <c r="AY5" s="482" t="s">
        <v>262</v>
      </c>
      <c r="AZ5" s="483" t="s">
        <v>263</v>
      </c>
      <c r="BA5" s="482" t="s">
        <v>260</v>
      </c>
      <c r="BB5" s="482" t="s">
        <v>261</v>
      </c>
      <c r="BC5" s="482" t="s">
        <v>262</v>
      </c>
      <c r="BD5" s="483" t="s">
        <v>263</v>
      </c>
      <c r="BE5" s="482" t="s">
        <v>260</v>
      </c>
      <c r="BG5" s="482" t="s">
        <v>261</v>
      </c>
      <c r="BH5" s="482" t="s">
        <v>262</v>
      </c>
      <c r="BI5" s="482" t="s">
        <v>261</v>
      </c>
    </row>
    <row r="6" spans="2:63" ht="13.5" customHeight="1">
      <c r="B6" s="14" t="s">
        <v>264</v>
      </c>
      <c r="C6" s="15"/>
      <c r="D6" s="15"/>
      <c r="E6" s="15"/>
      <c r="F6" s="15"/>
      <c r="G6" s="15"/>
      <c r="H6" s="15"/>
      <c r="I6" s="15"/>
      <c r="J6" s="15"/>
      <c r="K6" s="15"/>
      <c r="L6" s="15"/>
      <c r="M6" s="15"/>
      <c r="N6" s="15"/>
      <c r="O6" s="15"/>
      <c r="P6" s="17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261"/>
      <c r="AZ6" s="15"/>
      <c r="BA6" s="15"/>
      <c r="BB6" s="15"/>
      <c r="BC6" s="261"/>
      <c r="BD6" s="15"/>
      <c r="BE6" s="15"/>
      <c r="BG6" s="261"/>
      <c r="BH6" s="261"/>
      <c r="BI6" s="261"/>
    </row>
    <row r="7" spans="2:63" s="5" customFormat="1" ht="13">
      <c r="B7" s="5" t="s">
        <v>265</v>
      </c>
      <c r="C7" s="24">
        <v>81213.589000000007</v>
      </c>
      <c r="D7" s="24">
        <v>91292.888999999996</v>
      </c>
      <c r="E7" s="24">
        <v>100441.53599999999</v>
      </c>
      <c r="F7" s="24">
        <v>122168.27899999999</v>
      </c>
      <c r="G7" s="24">
        <v>135534.75099999999</v>
      </c>
      <c r="H7" s="24">
        <v>144233.50700000001</v>
      </c>
      <c r="I7" s="24">
        <v>115472.5</v>
      </c>
      <c r="J7" s="24">
        <v>151021.70000000001</v>
      </c>
      <c r="K7" s="24">
        <v>176033.72</v>
      </c>
      <c r="L7" s="24">
        <v>195991.62299999999</v>
      </c>
      <c r="M7" s="24">
        <v>214847.87100000001</v>
      </c>
      <c r="N7" s="24">
        <v>229136.595</v>
      </c>
      <c r="O7" s="8">
        <f>SUM(BC7:BE7)</f>
        <v>172602.88100000002</v>
      </c>
      <c r="P7" s="175"/>
      <c r="Q7" s="24">
        <v>19084.189999999999</v>
      </c>
      <c r="R7" s="24">
        <v>24284.51</v>
      </c>
      <c r="S7" s="24">
        <v>21767.114000000001</v>
      </c>
      <c r="T7" s="8">
        <f>E7-S7-R7-Q7</f>
        <v>35305.721999999994</v>
      </c>
      <c r="U7" s="24">
        <v>20651.63</v>
      </c>
      <c r="V7" s="24">
        <v>29902.902999999998</v>
      </c>
      <c r="W7" s="24">
        <v>27067.465</v>
      </c>
      <c r="X7" s="123">
        <f>F7-W7-V7-U7</f>
        <v>44546.281000000003</v>
      </c>
      <c r="Y7" s="24">
        <v>25262.394</v>
      </c>
      <c r="Z7" s="24">
        <v>32633.386999999999</v>
      </c>
      <c r="AA7" s="24">
        <v>29244.337</v>
      </c>
      <c r="AB7" s="8">
        <f>G7-Y7-Z7-AA7</f>
        <v>48394.632999999987</v>
      </c>
      <c r="AC7" s="24">
        <v>27469.264999999999</v>
      </c>
      <c r="AD7" s="24">
        <v>35663.415000000001</v>
      </c>
      <c r="AE7" s="24">
        <v>30145.769</v>
      </c>
      <c r="AF7" s="8">
        <f>H7-AE7-AD7-AC7</f>
        <v>50955.058000000005</v>
      </c>
      <c r="AG7" s="24">
        <v>26725.071</v>
      </c>
      <c r="AH7" s="24">
        <v>14746.217000000001</v>
      </c>
      <c r="AI7" s="24">
        <v>26913.19</v>
      </c>
      <c r="AJ7" s="8">
        <f>I7-AI7-AH7-AG7</f>
        <v>47088.021999999997</v>
      </c>
      <c r="AK7" s="24">
        <v>25586.257000000001</v>
      </c>
      <c r="AL7" s="24">
        <v>37537.843999999997</v>
      </c>
      <c r="AM7" s="24">
        <v>31828.929</v>
      </c>
      <c r="AN7" s="8">
        <f>J7-AM7-AL7-AK7</f>
        <v>56068.670000000013</v>
      </c>
      <c r="AO7" s="24">
        <v>32246.69</v>
      </c>
      <c r="AP7" s="24">
        <v>42560.2</v>
      </c>
      <c r="AQ7" s="24">
        <v>38053.964</v>
      </c>
      <c r="AR7" s="8">
        <f>K7-AQ7-AP7-AO7</f>
        <v>63172.865999999995</v>
      </c>
      <c r="AS7" s="24">
        <v>37569.51</v>
      </c>
      <c r="AT7" s="24">
        <v>47587.13</v>
      </c>
      <c r="AU7" s="24">
        <v>41701.750999999997</v>
      </c>
      <c r="AV7" s="8">
        <f>L7-AU7-AT7-AS7</f>
        <v>69133.231999999989</v>
      </c>
      <c r="AW7" s="24">
        <v>41220.343000000001</v>
      </c>
      <c r="AX7" s="24">
        <v>52237.464999999997</v>
      </c>
      <c r="AY7" s="24">
        <v>46055.315000000002</v>
      </c>
      <c r="AZ7" s="8">
        <f>M7-AY7-AX7-AW7</f>
        <v>75334.748000000021</v>
      </c>
      <c r="BA7" s="24">
        <v>45527.398999999998</v>
      </c>
      <c r="BB7" s="24">
        <v>56423.963000000003</v>
      </c>
      <c r="BC7" s="24">
        <v>48061.900999999998</v>
      </c>
      <c r="BD7" s="8">
        <f>N7-BC7-BB7-BA7</f>
        <v>79123.332000000024</v>
      </c>
      <c r="BE7" s="24">
        <v>45417.648000000001</v>
      </c>
      <c r="BG7" s="24">
        <v>29944.802</v>
      </c>
      <c r="BH7" s="24">
        <v>27025.565999999999</v>
      </c>
      <c r="BI7" s="24">
        <v>35715.701000000001</v>
      </c>
    </row>
    <row r="8" spans="2:63" s="25" customFormat="1" ht="13.5" customHeight="1">
      <c r="B8" s="17" t="s">
        <v>266</v>
      </c>
      <c r="C8" s="60">
        <f>C7/74105.444-1</f>
        <v>9.5919336236619968E-2</v>
      </c>
      <c r="D8" s="18">
        <f t="shared" ref="D8:N8" si="0">D7/C7-1</f>
        <v>0.1241085405054565</v>
      </c>
      <c r="E8" s="18">
        <f t="shared" si="0"/>
        <v>0.10021204389752625</v>
      </c>
      <c r="F8" s="18">
        <f t="shared" si="0"/>
        <v>0.21631233317658549</v>
      </c>
      <c r="G8" s="18">
        <f t="shared" si="0"/>
        <v>0.10941033228437314</v>
      </c>
      <c r="H8" s="18">
        <f t="shared" si="0"/>
        <v>6.4181001077723732E-2</v>
      </c>
      <c r="I8" s="18">
        <f t="shared" si="0"/>
        <v>-0.19940586343782107</v>
      </c>
      <c r="J8" s="18">
        <f t="shared" si="0"/>
        <v>0.30785858104743569</v>
      </c>
      <c r="K8" s="18">
        <f t="shared" si="0"/>
        <v>0.16561871572098563</v>
      </c>
      <c r="L8" s="18">
        <f t="shared" si="0"/>
        <v>0.11337545442998076</v>
      </c>
      <c r="M8" s="18">
        <f t="shared" si="0"/>
        <v>9.6209458911414858E-2</v>
      </c>
      <c r="N8" s="18">
        <f t="shared" si="0"/>
        <v>6.6506239663878253E-2</v>
      </c>
      <c r="O8" s="18"/>
      <c r="P8" s="175"/>
      <c r="Q8" s="60">
        <f>Q7/16983.134-1</f>
        <v>0.12371426852075706</v>
      </c>
      <c r="R8" s="60">
        <f>R7/22067.045-1</f>
        <v>0.10048762759127916</v>
      </c>
      <c r="S8" s="60">
        <f>S7/19623.026-1</f>
        <v>0.10926388213520166</v>
      </c>
      <c r="T8" s="60">
        <f>T7/32620-1</f>
        <v>8.2333599019006609E-2</v>
      </c>
      <c r="U8" s="18">
        <f t="shared" ref="U8:W8" si="1">U7/Q7-1</f>
        <v>8.2132906872128375E-2</v>
      </c>
      <c r="V8" s="18">
        <f t="shared" si="1"/>
        <v>0.23135706670630785</v>
      </c>
      <c r="W8" s="18">
        <f t="shared" si="1"/>
        <v>0.24350269861222751</v>
      </c>
      <c r="X8" s="28">
        <f>X7/T7-1</f>
        <v>0.26172978419758719</v>
      </c>
      <c r="Y8" s="18">
        <f>Y7/U7-1</f>
        <v>0.22326392638256642</v>
      </c>
      <c r="Z8" s="18">
        <f>Z7/V7-1</f>
        <v>9.1311669639566384E-2</v>
      </c>
      <c r="AA8" s="18">
        <f>AA7/BH7-1</f>
        <v>8.2098965105855681E-2</v>
      </c>
      <c r="AB8" s="18">
        <f>AB7/X7-1</f>
        <v>8.6389972711750751E-2</v>
      </c>
      <c r="AC8" s="18">
        <f t="shared" ref="AC8:BE8" si="2">AC7/Y7-1</f>
        <v>8.7357951902737208E-2</v>
      </c>
      <c r="AD8" s="18">
        <f t="shared" si="2"/>
        <v>9.285055210481219E-2</v>
      </c>
      <c r="AE8" s="18">
        <f t="shared" si="2"/>
        <v>3.0824155801514763E-2</v>
      </c>
      <c r="AF8" s="18">
        <f t="shared" si="2"/>
        <v>5.2907209772621311E-2</v>
      </c>
      <c r="AG8" s="18">
        <f t="shared" si="2"/>
        <v>-2.7091878868983232E-2</v>
      </c>
      <c r="AH8" s="18">
        <f>AH7/BI7-1</f>
        <v>-0.58712228551806955</v>
      </c>
      <c r="AI8" s="18">
        <f t="shared" si="2"/>
        <v>-0.10723159857026709</v>
      </c>
      <c r="AJ8" s="18">
        <f t="shared" si="2"/>
        <v>-7.5891111732225069E-2</v>
      </c>
      <c r="AK8" s="18">
        <f t="shared" si="2"/>
        <v>-4.2612197363292248E-2</v>
      </c>
      <c r="AL8" s="18">
        <f t="shared" si="2"/>
        <v>1.5455914557611621</v>
      </c>
      <c r="AM8" s="18">
        <f t="shared" si="2"/>
        <v>0.18265166633907026</v>
      </c>
      <c r="AN8" s="18">
        <f t="shared" si="2"/>
        <v>0.19072043416901252</v>
      </c>
      <c r="AO8" s="18">
        <f t="shared" si="2"/>
        <v>0.26031290938725404</v>
      </c>
      <c r="AP8" s="18">
        <f t="shared" si="2"/>
        <v>0.13379447152052748</v>
      </c>
      <c r="AQ8" s="18">
        <f>AQ7/AM7-1</f>
        <v>0.19557789707595874</v>
      </c>
      <c r="AR8" s="18">
        <f t="shared" si="2"/>
        <v>0.12670527051916847</v>
      </c>
      <c r="AS8" s="18">
        <f t="shared" si="2"/>
        <v>0.16506562378960465</v>
      </c>
      <c r="AT8" s="18">
        <f t="shared" si="2"/>
        <v>0.11811340172273632</v>
      </c>
      <c r="AU8" s="18">
        <f>AU7/AQ7-1</f>
        <v>9.5858265908907558E-2</v>
      </c>
      <c r="AV8" s="18">
        <f t="shared" si="2"/>
        <v>9.4350096448054144E-2</v>
      </c>
      <c r="AW8" s="18">
        <f t="shared" si="2"/>
        <v>9.7175422303884096E-2</v>
      </c>
      <c r="AX8" s="18">
        <f t="shared" si="2"/>
        <v>9.7722535483858675E-2</v>
      </c>
      <c r="AY8" s="18">
        <f t="shared" si="2"/>
        <v>0.10439763068941654</v>
      </c>
      <c r="AZ8" s="18">
        <f t="shared" si="2"/>
        <v>8.9703834474280431E-2</v>
      </c>
      <c r="BA8" s="18">
        <f t="shared" si="2"/>
        <v>0.10448860165962226</v>
      </c>
      <c r="BB8" s="18">
        <f t="shared" si="2"/>
        <v>8.0143590428823686E-2</v>
      </c>
      <c r="BC8" s="18">
        <f t="shared" si="2"/>
        <v>4.356904300839104E-2</v>
      </c>
      <c r="BD8" s="18">
        <f t="shared" si="2"/>
        <v>5.0289993669322408E-2</v>
      </c>
      <c r="BE8" s="18">
        <f t="shared" si="2"/>
        <v>-2.4106582499913154E-3</v>
      </c>
      <c r="BG8" s="46">
        <f>BG7/Y7-1</f>
        <v>0.18535092121514696</v>
      </c>
      <c r="BH8" s="46">
        <f>BH7/S7-1</f>
        <v>0.24157782239758552</v>
      </c>
      <c r="BI8" s="46">
        <f>BI7/Z7-1</f>
        <v>9.4452776231900293E-2</v>
      </c>
    </row>
    <row r="9" spans="2:63" s="25" customFormat="1" ht="13.5" customHeight="1">
      <c r="B9" s="17" t="s">
        <v>267</v>
      </c>
      <c r="C9" s="18"/>
      <c r="D9" s="47"/>
      <c r="E9" s="47"/>
      <c r="F9" s="47"/>
      <c r="G9" s="47"/>
      <c r="H9" s="47"/>
      <c r="I9" s="47"/>
      <c r="J9" s="47"/>
      <c r="K9" s="47"/>
      <c r="L9" s="47"/>
      <c r="M9" s="47"/>
      <c r="N9" s="47"/>
      <c r="O9" s="60"/>
      <c r="P9" s="175"/>
      <c r="Q9" s="18"/>
      <c r="R9" s="18"/>
      <c r="S9" s="18"/>
      <c r="T9" s="18"/>
      <c r="U9" s="18"/>
      <c r="V9" s="60">
        <v>9.1999999999999998E-2</v>
      </c>
      <c r="W9" s="60">
        <v>0.09</v>
      </c>
      <c r="X9" s="108">
        <v>9.8000000000000004E-2</v>
      </c>
      <c r="Y9" s="60">
        <v>5.8999999999999997E-2</v>
      </c>
      <c r="Z9" s="60"/>
      <c r="AA9" s="19"/>
      <c r="AB9" s="19"/>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G9" s="19"/>
      <c r="BH9" s="19"/>
      <c r="BI9" s="108"/>
    </row>
    <row r="10" spans="2:63" s="25" customFormat="1" ht="13.5" customHeight="1">
      <c r="B10" s="17" t="s">
        <v>268</v>
      </c>
      <c r="C10" s="18"/>
      <c r="D10" s="47"/>
      <c r="E10" s="47"/>
      <c r="F10" s="47"/>
      <c r="G10" s="60">
        <v>6.5000000000000002E-2</v>
      </c>
      <c r="H10" s="60">
        <v>4.2999999999999997E-2</v>
      </c>
      <c r="I10" s="60">
        <v>-0.187</v>
      </c>
      <c r="J10" s="60">
        <v>0.33700000000000002</v>
      </c>
      <c r="K10" s="60">
        <v>0.16400000000000001</v>
      </c>
      <c r="L10" s="60">
        <v>8.5999999999999993E-2</v>
      </c>
      <c r="M10" s="60">
        <v>6.9000000000000006E-2</v>
      </c>
      <c r="N10" s="60">
        <v>3.3000000000000002E-2</v>
      </c>
      <c r="O10" s="60"/>
      <c r="P10" s="175"/>
      <c r="Q10" s="18"/>
      <c r="R10" s="18"/>
      <c r="S10" s="18"/>
      <c r="T10" s="18"/>
      <c r="U10" s="18"/>
      <c r="V10" s="60"/>
      <c r="W10" s="60"/>
      <c r="X10" s="108"/>
      <c r="Y10" s="60"/>
      <c r="Z10" s="60">
        <v>7.3999999999999996E-2</v>
      </c>
      <c r="AA10" s="60">
        <v>6.3E-2</v>
      </c>
      <c r="AB10" s="60">
        <v>6.4000000000000001E-2</v>
      </c>
      <c r="AC10" s="60">
        <v>4.9000000000000002E-2</v>
      </c>
      <c r="AD10" s="60">
        <v>7.0999999999999994E-2</v>
      </c>
      <c r="AE10" s="60">
        <v>4.0000000000000001E-3</v>
      </c>
      <c r="AF10" s="60">
        <v>4.3999999999999997E-2</v>
      </c>
      <c r="AG10" s="60">
        <v>-0.04</v>
      </c>
      <c r="AH10" s="60">
        <v>-0.59299999999999997</v>
      </c>
      <c r="AI10" s="60">
        <v>-0.10299999999999999</v>
      </c>
      <c r="AJ10" s="60">
        <v>-0.03</v>
      </c>
      <c r="AK10" s="60">
        <v>1.2E-2</v>
      </c>
      <c r="AL10" s="60">
        <v>1.6559999999999999</v>
      </c>
      <c r="AM10" s="60">
        <v>0.22</v>
      </c>
      <c r="AN10" s="60">
        <v>-0.03</v>
      </c>
      <c r="AO10" s="60">
        <v>0.27600000000000002</v>
      </c>
      <c r="AP10" s="60">
        <v>0.14000000000000001</v>
      </c>
      <c r="AQ10" s="60">
        <v>0.193</v>
      </c>
      <c r="AR10" s="60">
        <v>0.115</v>
      </c>
      <c r="AS10" s="60">
        <v>0.15</v>
      </c>
      <c r="AT10" s="60">
        <v>9.2999999999999999E-2</v>
      </c>
      <c r="AU10" s="60">
        <v>5.8000000000000003E-2</v>
      </c>
      <c r="AV10" s="60">
        <v>0.115</v>
      </c>
      <c r="AW10" s="60">
        <v>5.8999999999999997E-2</v>
      </c>
      <c r="AX10" s="60">
        <v>6.5000000000000002E-2</v>
      </c>
      <c r="AY10" s="60">
        <v>7.5999999999999998E-2</v>
      </c>
      <c r="AZ10" s="60">
        <v>7.2999999999999995E-2</v>
      </c>
      <c r="BA10" s="60">
        <v>7.9000000000000001E-2</v>
      </c>
      <c r="BB10" s="60">
        <v>4.7E-2</v>
      </c>
      <c r="BC10" s="60">
        <v>1.9E-2</v>
      </c>
      <c r="BD10" s="60">
        <v>3.3000000000000002E-2</v>
      </c>
      <c r="BE10" s="60">
        <v>-2.5000000000000001E-2</v>
      </c>
      <c r="BG10" s="108">
        <v>4.1000000000000002E-2</v>
      </c>
      <c r="BH10" s="108">
        <v>5.0999999999999997E-2</v>
      </c>
      <c r="BI10" s="108">
        <v>7.0999999999999994E-2</v>
      </c>
    </row>
    <row r="11" spans="2:63" s="25" customFormat="1" ht="13.5" customHeight="1">
      <c r="B11" s="17" t="s">
        <v>269</v>
      </c>
      <c r="C11" s="18"/>
      <c r="D11" s="47"/>
      <c r="E11" s="47"/>
      <c r="F11" s="47"/>
      <c r="G11" s="64">
        <v>0.106</v>
      </c>
      <c r="H11" s="64">
        <v>-2.7E-2</v>
      </c>
      <c r="I11" s="64">
        <v>-0.39800000000000002</v>
      </c>
      <c r="J11" s="64">
        <v>0.49099999999999999</v>
      </c>
      <c r="K11" s="64">
        <v>0.09</v>
      </c>
      <c r="L11" s="64">
        <v>4.7E-2</v>
      </c>
      <c r="M11" s="64">
        <v>7.6999999999999999E-2</v>
      </c>
      <c r="N11" s="64">
        <v>5.0000000000000001E-3</v>
      </c>
      <c r="O11" s="107"/>
      <c r="P11" s="323"/>
      <c r="Q11" s="18"/>
      <c r="R11" s="18"/>
      <c r="S11" s="18"/>
      <c r="T11" s="18"/>
      <c r="U11" s="18"/>
      <c r="V11" s="64">
        <v>4.7E-2</v>
      </c>
      <c r="W11" s="64">
        <v>3.2000000000000001E-2</v>
      </c>
      <c r="X11" s="109" t="s">
        <v>270</v>
      </c>
      <c r="Y11" s="64" t="s">
        <v>270</v>
      </c>
      <c r="Z11" s="64">
        <v>0.113</v>
      </c>
      <c r="AA11" s="64">
        <v>0.11700000000000001</v>
      </c>
      <c r="AB11" s="64">
        <v>6.6000000000000003E-2</v>
      </c>
      <c r="AC11" s="64">
        <v>-5.0000000000000001E-3</v>
      </c>
      <c r="AD11" s="64">
        <v>0.05</v>
      </c>
      <c r="AE11" s="64">
        <v>-5.8999999999999997E-2</v>
      </c>
      <c r="AF11" s="64">
        <v>-6.6000000000000003E-2</v>
      </c>
      <c r="AG11" s="64">
        <v>-0.113</v>
      </c>
      <c r="AH11" s="64">
        <v>-0.91200000000000003</v>
      </c>
      <c r="AI11" s="64">
        <v>-0.314</v>
      </c>
      <c r="AJ11" s="64">
        <v>-0.27300000000000002</v>
      </c>
      <c r="AK11" s="64">
        <v>-0.16700000000000001</v>
      </c>
      <c r="AL11" s="60">
        <v>9.4390000000000001</v>
      </c>
      <c r="AM11" s="64">
        <v>0.27900000000000003</v>
      </c>
      <c r="AN11" s="64">
        <v>-0.27300000000000002</v>
      </c>
      <c r="AO11" s="64">
        <v>0.24099999999999999</v>
      </c>
      <c r="AP11" s="64">
        <v>5.0999999999999997E-2</v>
      </c>
      <c r="AQ11" s="64">
        <v>0.161</v>
      </c>
      <c r="AR11" s="64">
        <v>1.7000000000000001E-2</v>
      </c>
      <c r="AS11" s="64">
        <v>3.1E-2</v>
      </c>
      <c r="AT11" s="64">
        <v>1.2999999999999999E-2</v>
      </c>
      <c r="AU11" s="64">
        <v>3.7999999999999999E-2</v>
      </c>
      <c r="AV11" s="64">
        <v>1.7000000000000001E-2</v>
      </c>
      <c r="AW11" s="64">
        <v>0.126</v>
      </c>
      <c r="AX11" s="64">
        <v>8.2000000000000003E-2</v>
      </c>
      <c r="AY11" s="60">
        <v>7.5999999999999998E-2</v>
      </c>
      <c r="AZ11" s="64">
        <v>5.1999999999999998E-2</v>
      </c>
      <c r="BA11" s="64">
        <v>7.2999999999999995E-2</v>
      </c>
      <c r="BB11" s="64">
        <v>8.2000000000000003E-2</v>
      </c>
      <c r="BC11" s="60">
        <v>0.04</v>
      </c>
      <c r="BD11" s="64">
        <v>5.0000000000000001E-3</v>
      </c>
      <c r="BE11" s="64">
        <v>-3.1E-2</v>
      </c>
      <c r="BG11" s="162" t="s">
        <v>270</v>
      </c>
      <c r="BH11" s="162">
        <v>3.2000000000000001E-2</v>
      </c>
      <c r="BI11" s="162">
        <v>0.05</v>
      </c>
    </row>
    <row r="12" spans="2:63" s="131" customFormat="1" ht="13.5" customHeight="1">
      <c r="B12" s="331" t="s">
        <v>271</v>
      </c>
      <c r="C12" s="332">
        <v>6.2E-2</v>
      </c>
      <c r="D12" s="332">
        <v>9.8000000000000004E-2</v>
      </c>
      <c r="E12" s="332">
        <v>7.5999999999999998E-2</v>
      </c>
      <c r="F12" s="332">
        <v>5.8000000000000003E-2</v>
      </c>
      <c r="G12" s="332">
        <v>7.0999999999999994E-2</v>
      </c>
      <c r="H12" s="332">
        <v>3.3000000000000002E-2</v>
      </c>
      <c r="I12" s="332">
        <v>-0.217</v>
      </c>
      <c r="J12" s="332">
        <v>0.35499999999999998</v>
      </c>
      <c r="K12" s="332">
        <v>0.154</v>
      </c>
      <c r="L12" s="332">
        <v>8.1000000000000003E-2</v>
      </c>
      <c r="M12" s="332"/>
      <c r="N12" s="332"/>
      <c r="O12" s="332"/>
      <c r="P12" s="323"/>
      <c r="Q12" s="332">
        <v>9.5000000000000001E-2</v>
      </c>
      <c r="R12" s="332">
        <v>8.6999999999999994E-2</v>
      </c>
      <c r="S12" s="333">
        <v>7.6999999999999999E-2</v>
      </c>
      <c r="T12" s="333">
        <v>5.8000000000000003E-2</v>
      </c>
      <c r="U12" s="332">
        <v>4.1000000000000002E-2</v>
      </c>
      <c r="V12" s="332">
        <v>6.0999999999999999E-2</v>
      </c>
      <c r="W12" s="333">
        <v>5.0999999999999997E-2</v>
      </c>
      <c r="X12" s="333">
        <v>6.8000000000000005E-2</v>
      </c>
      <c r="Y12" s="333">
        <v>5.8999999999999997E-2</v>
      </c>
      <c r="Z12" s="332">
        <v>7.9000000000000001E-2</v>
      </c>
      <c r="AA12" s="333">
        <v>7.0000000000000007E-2</v>
      </c>
      <c r="AB12" s="333">
        <v>6.5000000000000002E-2</v>
      </c>
      <c r="AC12" s="333">
        <v>4.1000000000000002E-2</v>
      </c>
      <c r="AD12" s="333">
        <v>6.8000000000000005E-2</v>
      </c>
      <c r="AE12" s="333">
        <v>-5.0000000000000001E-3</v>
      </c>
      <c r="AF12" s="333">
        <v>2.8000000000000001E-2</v>
      </c>
      <c r="AG12" s="333">
        <v>-0.05</v>
      </c>
      <c r="AH12" s="333">
        <v>-0.63500000000000001</v>
      </c>
      <c r="AI12" s="333">
        <v>-0.13300000000000001</v>
      </c>
      <c r="AJ12" s="333">
        <v>-6.6000000000000003E-2</v>
      </c>
      <c r="AK12" s="333">
        <v>-1.4999999999999999E-2</v>
      </c>
      <c r="AL12" s="333">
        <v>1.921</v>
      </c>
      <c r="AM12" s="333">
        <v>0.22700000000000001</v>
      </c>
      <c r="AN12" s="333">
        <v>-6.6000000000000003E-2</v>
      </c>
      <c r="AO12" s="333">
        <v>0.27200000000000002</v>
      </c>
      <c r="AP12" s="333">
        <v>0.129</v>
      </c>
      <c r="AQ12" s="333">
        <v>0.189</v>
      </c>
      <c r="AR12" s="333">
        <v>0.10100000000000001</v>
      </c>
      <c r="AS12" s="333">
        <v>0.13500000000000001</v>
      </c>
      <c r="AT12" s="333">
        <v>8.4000000000000005E-2</v>
      </c>
      <c r="AU12" s="333">
        <v>5.6000000000000001E-2</v>
      </c>
      <c r="AV12" s="333">
        <v>6.9000000000000006E-2</v>
      </c>
      <c r="AW12" s="333">
        <v>6.7000000000000004E-2</v>
      </c>
      <c r="AX12" s="332"/>
      <c r="AY12" s="332"/>
      <c r="AZ12" s="332"/>
      <c r="BA12" s="332"/>
      <c r="BB12" s="332"/>
      <c r="BC12" s="332"/>
      <c r="BD12" s="332"/>
      <c r="BE12" s="332"/>
      <c r="BF12" s="242"/>
      <c r="BG12" s="333">
        <v>4.1000000000000002E-2</v>
      </c>
      <c r="BH12" s="333">
        <v>4.8000000000000001E-2</v>
      </c>
      <c r="BI12" s="333">
        <v>6.8000000000000005E-2</v>
      </c>
    </row>
    <row r="13" spans="2:63" s="25" customFormat="1" ht="13.5" customHeight="1">
      <c r="B13" s="5" t="s">
        <v>272</v>
      </c>
      <c r="C13" s="4">
        <v>-48193.961000000003</v>
      </c>
      <c r="D13" s="4">
        <v>-54148.771999999997</v>
      </c>
      <c r="E13" s="4">
        <v>-60107.805999999997</v>
      </c>
      <c r="F13" s="4">
        <v>-73387.486999999994</v>
      </c>
      <c r="G13" s="4">
        <v>-81620.873000000007</v>
      </c>
      <c r="H13" s="4">
        <v>-86833.222999999998</v>
      </c>
      <c r="I13" s="4">
        <v>-73599.5</v>
      </c>
      <c r="J13" s="4">
        <v>-93950.3</v>
      </c>
      <c r="K13" s="4">
        <v>-107576.97199999999</v>
      </c>
      <c r="L13" s="4">
        <v>-116871.459</v>
      </c>
      <c r="M13" s="4">
        <v>-127699.22100000001</v>
      </c>
      <c r="N13" s="4">
        <v>-138729.34899999999</v>
      </c>
      <c r="O13" s="6">
        <f>SUM(BC13:BE13)</f>
        <v>-103655.11799999999</v>
      </c>
      <c r="P13" s="6"/>
      <c r="Q13" s="4">
        <v>-11196.734</v>
      </c>
      <c r="R13" s="4">
        <v>-14482.550999999999</v>
      </c>
      <c r="S13" s="4">
        <v>-13057.365</v>
      </c>
      <c r="T13" s="6">
        <f>E13-S13-R13-Q13</f>
        <v>-21371.155999999999</v>
      </c>
      <c r="U13" s="4">
        <v>-11860.232</v>
      </c>
      <c r="V13" s="4">
        <v>-17908.203000000001</v>
      </c>
      <c r="W13" s="4">
        <v>-16371.626</v>
      </c>
      <c r="X13" s="6">
        <f>F13-W13-V13-U13</f>
        <v>-27247.425999999989</v>
      </c>
      <c r="Y13" s="4">
        <v>-14968.927</v>
      </c>
      <c r="Z13" s="4">
        <v>-19543.067999999999</v>
      </c>
      <c r="AA13" s="4">
        <v>-17464.280999999999</v>
      </c>
      <c r="AB13" s="6">
        <f>G13-Y13-Z13-AA13</f>
        <v>-29644.597000000012</v>
      </c>
      <c r="AC13" s="4">
        <v>-16409.473000000002</v>
      </c>
      <c r="AD13" s="4">
        <v>-21347.047999999999</v>
      </c>
      <c r="AE13" s="4">
        <v>-17780.977999999999</v>
      </c>
      <c r="AF13" s="6">
        <f>H13-AE13-AD13-AC13</f>
        <v>-31295.723999999998</v>
      </c>
      <c r="AG13" s="4">
        <v>-15916.986000000001</v>
      </c>
      <c r="AH13" s="4">
        <v>-9451.01</v>
      </c>
      <c r="AI13" s="4">
        <v>-16941.060000000001</v>
      </c>
      <c r="AJ13" s="6">
        <f>I13-AI13-AH13-AG13</f>
        <v>-31290.444</v>
      </c>
      <c r="AK13" s="4">
        <v>-16101.288</v>
      </c>
      <c r="AL13" s="4">
        <v>-23745.522000000001</v>
      </c>
      <c r="AM13" s="4">
        <v>-19092.455000000002</v>
      </c>
      <c r="AN13" s="6">
        <f>J13-AM13-AL13-AK13</f>
        <v>-35011.035000000003</v>
      </c>
      <c r="AO13" s="4">
        <v>-19238.154999999999</v>
      </c>
      <c r="AP13" s="4">
        <v>-25876.1</v>
      </c>
      <c r="AQ13" s="4">
        <v>-22977.100999999999</v>
      </c>
      <c r="AR13" s="6">
        <f>K13-AQ13-AP13-AO13</f>
        <v>-39485.616000000002</v>
      </c>
      <c r="AS13" s="4">
        <v>-22352.686000000002</v>
      </c>
      <c r="AT13" s="4">
        <v>-28761.377</v>
      </c>
      <c r="AU13" s="4">
        <v>-24340.851999999999</v>
      </c>
      <c r="AV13" s="6">
        <f>L13-AU13-AT13-AS13</f>
        <v>-41416.544000000002</v>
      </c>
      <c r="AW13" s="4">
        <v>-23913.087</v>
      </c>
      <c r="AX13" s="4">
        <v>-31003.223000000002</v>
      </c>
      <c r="AY13" s="4">
        <v>-26814.609</v>
      </c>
      <c r="AZ13" s="6">
        <f>M13-AY13-AX13-AW13</f>
        <v>-45968.302000000011</v>
      </c>
      <c r="BA13" s="4">
        <v>-27271.57</v>
      </c>
      <c r="BB13" s="4">
        <v>-34290.858999999997</v>
      </c>
      <c r="BC13" s="4">
        <v>-28525.064999999999</v>
      </c>
      <c r="BD13" s="6">
        <f>N13-BC13-BB13-BA13</f>
        <v>-48641.854999999989</v>
      </c>
      <c r="BE13" s="4">
        <v>-26488.198</v>
      </c>
      <c r="BF13" s="4"/>
      <c r="BG13" s="4">
        <v>-17894.447</v>
      </c>
      <c r="BH13" s="4">
        <v>-16385.382000000001</v>
      </c>
      <c r="BI13" s="4">
        <v>-21347.048999999999</v>
      </c>
    </row>
    <row r="14" spans="2:63" s="5" customFormat="1" ht="16.5" customHeight="1">
      <c r="B14" s="5" t="s">
        <v>273</v>
      </c>
      <c r="C14" s="8">
        <f t="shared" ref="C14:I14" si="3">C7+C13</f>
        <v>33019.628000000004</v>
      </c>
      <c r="D14" s="8">
        <f t="shared" si="3"/>
        <v>37144.116999999998</v>
      </c>
      <c r="E14" s="8">
        <f t="shared" si="3"/>
        <v>40333.729999999996</v>
      </c>
      <c r="F14" s="8">
        <f t="shared" si="3"/>
        <v>48780.792000000001</v>
      </c>
      <c r="G14" s="8">
        <f t="shared" si="3"/>
        <v>53913.877999999982</v>
      </c>
      <c r="H14" s="8">
        <f t="shared" si="3"/>
        <v>57400.284000000014</v>
      </c>
      <c r="I14" s="8">
        <f t="shared" si="3"/>
        <v>41873</v>
      </c>
      <c r="J14" s="8">
        <f t="shared" ref="J14:O14" si="4">J7+J13</f>
        <v>57071.400000000009</v>
      </c>
      <c r="K14" s="8">
        <f t="shared" si="4"/>
        <v>68456.748000000007</v>
      </c>
      <c r="L14" s="8">
        <f t="shared" si="4"/>
        <v>79120.16399999999</v>
      </c>
      <c r="M14" s="8">
        <f t="shared" si="4"/>
        <v>87148.650000000009</v>
      </c>
      <c r="N14" s="8">
        <f t="shared" si="4"/>
        <v>90407.246000000014</v>
      </c>
      <c r="O14" s="8">
        <f t="shared" si="4"/>
        <v>68947.763000000035</v>
      </c>
      <c r="P14" s="8"/>
      <c r="Q14" s="8">
        <f t="shared" ref="Q14:W14" si="5">Q7+Q13</f>
        <v>7887.4559999999983</v>
      </c>
      <c r="R14" s="8">
        <f t="shared" si="5"/>
        <v>9801.9589999999989</v>
      </c>
      <c r="S14" s="8">
        <f t="shared" si="5"/>
        <v>8709.7490000000016</v>
      </c>
      <c r="T14" s="8">
        <f t="shared" si="5"/>
        <v>13934.565999999995</v>
      </c>
      <c r="U14" s="8">
        <f t="shared" si="5"/>
        <v>8791.398000000001</v>
      </c>
      <c r="V14" s="8">
        <f t="shared" si="5"/>
        <v>11994.699999999997</v>
      </c>
      <c r="W14" s="8">
        <f t="shared" si="5"/>
        <v>10695.839</v>
      </c>
      <c r="X14" s="8">
        <f t="shared" ref="X14:AC14" si="6">X7+X13</f>
        <v>17298.855000000014</v>
      </c>
      <c r="Y14" s="8">
        <f t="shared" si="6"/>
        <v>10293.467000000001</v>
      </c>
      <c r="Z14" s="8">
        <f t="shared" si="6"/>
        <v>13090.319</v>
      </c>
      <c r="AA14" s="8">
        <f t="shared" si="6"/>
        <v>11780.056</v>
      </c>
      <c r="AB14" s="8">
        <f t="shared" si="6"/>
        <v>18750.035999999975</v>
      </c>
      <c r="AC14" s="8">
        <f t="shared" si="6"/>
        <v>11059.791999999998</v>
      </c>
      <c r="AD14" s="8">
        <f t="shared" ref="AD14:AI14" si="7">AD7+AD13</f>
        <v>14316.367000000002</v>
      </c>
      <c r="AE14" s="8">
        <f t="shared" si="7"/>
        <v>12364.791000000001</v>
      </c>
      <c r="AF14" s="8">
        <f t="shared" si="7"/>
        <v>19659.334000000006</v>
      </c>
      <c r="AG14" s="8">
        <f t="shared" si="7"/>
        <v>10808.084999999999</v>
      </c>
      <c r="AH14" s="8">
        <f t="shared" si="7"/>
        <v>5295.2070000000003</v>
      </c>
      <c r="AI14" s="8">
        <f t="shared" si="7"/>
        <v>9972.1299999999974</v>
      </c>
      <c r="AJ14" s="8">
        <f t="shared" ref="AJ14:AQ14" si="8">AJ7+AJ13</f>
        <v>15797.577999999998</v>
      </c>
      <c r="AK14" s="8">
        <f t="shared" si="8"/>
        <v>9484.969000000001</v>
      </c>
      <c r="AL14" s="8">
        <f t="shared" si="8"/>
        <v>13792.321999999996</v>
      </c>
      <c r="AM14" s="8">
        <f t="shared" si="8"/>
        <v>12736.473999999998</v>
      </c>
      <c r="AN14" s="8">
        <f t="shared" si="8"/>
        <v>21057.635000000009</v>
      </c>
      <c r="AO14" s="8">
        <f t="shared" si="8"/>
        <v>13008.535</v>
      </c>
      <c r="AP14" s="8">
        <f t="shared" si="8"/>
        <v>16684.099999999999</v>
      </c>
      <c r="AQ14" s="8">
        <f t="shared" si="8"/>
        <v>15076.863000000001</v>
      </c>
      <c r="AR14" s="8">
        <f t="shared" ref="AR14" si="9">AR7+AR13</f>
        <v>23687.249999999993</v>
      </c>
      <c r="AS14" s="8">
        <f>AS7+AS13</f>
        <v>15216.824000000001</v>
      </c>
      <c r="AT14" s="8">
        <f t="shared" ref="AT14:AV14" si="10">AT7+AT13</f>
        <v>18825.752999999997</v>
      </c>
      <c r="AU14" s="8">
        <f t="shared" si="10"/>
        <v>17360.898999999998</v>
      </c>
      <c r="AV14" s="8">
        <f t="shared" si="10"/>
        <v>27716.687999999987</v>
      </c>
      <c r="AW14" s="8">
        <f>AW7+AW13</f>
        <v>17307.256000000001</v>
      </c>
      <c r="AX14" s="8">
        <f t="shared" ref="AX14:AZ14" si="11">AX7+AX13</f>
        <v>21234.241999999995</v>
      </c>
      <c r="AY14" s="8">
        <f t="shared" si="11"/>
        <v>19240.706000000002</v>
      </c>
      <c r="AZ14" s="8">
        <f t="shared" si="11"/>
        <v>29366.446000000011</v>
      </c>
      <c r="BA14" s="8">
        <f>BA7+BA13</f>
        <v>18255.828999999998</v>
      </c>
      <c r="BB14" s="8">
        <f t="shared" ref="BB14:BD14" si="12">BB7+BB13</f>
        <v>22133.104000000007</v>
      </c>
      <c r="BC14" s="8">
        <f t="shared" si="12"/>
        <v>19536.835999999999</v>
      </c>
      <c r="BD14" s="8">
        <f t="shared" si="12"/>
        <v>30481.477000000035</v>
      </c>
      <c r="BE14" s="8">
        <f>BE7+BE13</f>
        <v>18929.45</v>
      </c>
      <c r="BG14" s="8">
        <f>BG7+BG13</f>
        <v>12050.355</v>
      </c>
      <c r="BH14" s="8">
        <f>BH7+BH13</f>
        <v>10640.183999999997</v>
      </c>
      <c r="BI14" s="8">
        <f>BI7+BI13</f>
        <v>14368.652000000002</v>
      </c>
      <c r="BK14" s="4"/>
    </row>
    <row r="15" spans="2:63" s="25" customFormat="1" ht="13.5" customHeight="1">
      <c r="B15" s="17" t="s">
        <v>274</v>
      </c>
      <c r="C15" s="18">
        <f t="shared" ref="C15:I15" si="13">C14/C7</f>
        <v>0.40657762335808112</v>
      </c>
      <c r="D15" s="18">
        <f t="shared" si="13"/>
        <v>0.40686758198658823</v>
      </c>
      <c r="E15" s="18">
        <f t="shared" si="13"/>
        <v>0.40156424927631534</v>
      </c>
      <c r="F15" s="18">
        <f t="shared" si="13"/>
        <v>0.39929179979690149</v>
      </c>
      <c r="G15" s="18">
        <f t="shared" si="13"/>
        <v>0.39778638026198893</v>
      </c>
      <c r="H15" s="18">
        <f t="shared" si="13"/>
        <v>0.39796774822926556</v>
      </c>
      <c r="I15" s="18">
        <f t="shared" si="13"/>
        <v>0.36262313537855334</v>
      </c>
      <c r="J15" s="18">
        <f t="shared" ref="J15:O15" si="14">J14/J7</f>
        <v>0.37790198362222122</v>
      </c>
      <c r="K15" s="18">
        <f t="shared" si="14"/>
        <v>0.38888428876013076</v>
      </c>
      <c r="L15" s="18">
        <f t="shared" si="14"/>
        <v>0.40369155981732951</v>
      </c>
      <c r="M15" s="18">
        <f t="shared" si="14"/>
        <v>0.40562957219157181</v>
      </c>
      <c r="N15" s="18">
        <f t="shared" si="14"/>
        <v>0.394556120553332</v>
      </c>
      <c r="O15" s="18">
        <f t="shared" si="14"/>
        <v>0.39945893487142908</v>
      </c>
      <c r="P15" s="176"/>
      <c r="Q15" s="18">
        <f t="shared" ref="Q15:W15" si="15">Q14/Q7</f>
        <v>0.41329791832925572</v>
      </c>
      <c r="R15" s="18">
        <f t="shared" si="15"/>
        <v>0.40363009177455095</v>
      </c>
      <c r="S15" s="18">
        <f t="shared" si="15"/>
        <v>0.40013338470134358</v>
      </c>
      <c r="T15" s="26">
        <f t="shared" si="15"/>
        <v>0.39468293553096001</v>
      </c>
      <c r="U15" s="18">
        <f t="shared" si="15"/>
        <v>0.42569995685570583</v>
      </c>
      <c r="V15" s="18">
        <f t="shared" si="15"/>
        <v>0.40112159010113491</v>
      </c>
      <c r="W15" s="18">
        <f t="shared" si="15"/>
        <v>0.39515481039691008</v>
      </c>
      <c r="X15" s="28">
        <f t="shared" ref="X15:AC15" si="16">X14/X7</f>
        <v>0.38833443806453816</v>
      </c>
      <c r="Y15" s="18">
        <f t="shared" si="16"/>
        <v>0.4074620560505865</v>
      </c>
      <c r="Z15" s="18">
        <f t="shared" si="16"/>
        <v>0.4011327111096375</v>
      </c>
      <c r="AA15" s="18">
        <f t="shared" si="16"/>
        <v>0.40281494499259807</v>
      </c>
      <c r="AB15" s="18">
        <f t="shared" si="16"/>
        <v>0.38744040067418178</v>
      </c>
      <c r="AC15" s="18">
        <f t="shared" si="16"/>
        <v>0.40262424203923908</v>
      </c>
      <c r="AD15" s="18">
        <f t="shared" ref="AD15:AI15" si="17">AD14/AD7</f>
        <v>0.40143006495592198</v>
      </c>
      <c r="AE15" s="18">
        <f t="shared" si="17"/>
        <v>0.41016671361078899</v>
      </c>
      <c r="AF15" s="18">
        <f t="shared" si="17"/>
        <v>0.38581712535780066</v>
      </c>
      <c r="AG15" s="18">
        <f t="shared" si="17"/>
        <v>0.40441744757198211</v>
      </c>
      <c r="AH15" s="18">
        <f t="shared" si="17"/>
        <v>0.35908918199155759</v>
      </c>
      <c r="AI15" s="18">
        <f t="shared" si="17"/>
        <v>0.37052946900757577</v>
      </c>
      <c r="AJ15" s="18">
        <f t="shared" ref="AJ15:AO15" si="18">AJ14/AJ7</f>
        <v>0.33549037162784195</v>
      </c>
      <c r="AK15" s="18">
        <f t="shared" si="18"/>
        <v>0.37070560965599619</v>
      </c>
      <c r="AL15" s="18">
        <f t="shared" si="18"/>
        <v>0.36742445836793391</v>
      </c>
      <c r="AM15" s="18">
        <f t="shared" si="18"/>
        <v>0.40015402340430611</v>
      </c>
      <c r="AN15" s="18">
        <f t="shared" si="18"/>
        <v>0.37556865536493028</v>
      </c>
      <c r="AO15" s="18">
        <f t="shared" si="18"/>
        <v>0.40340683028242591</v>
      </c>
      <c r="AP15" s="18">
        <f t="shared" ref="AP15:AS15" si="19">AP14/AP7</f>
        <v>0.39201178565890199</v>
      </c>
      <c r="AQ15" s="18">
        <f t="shared" si="19"/>
        <v>0.39619691131257706</v>
      </c>
      <c r="AR15" s="18">
        <f t="shared" si="19"/>
        <v>0.37495924278629367</v>
      </c>
      <c r="AS15" s="18">
        <f t="shared" si="19"/>
        <v>0.40503120748713517</v>
      </c>
      <c r="AT15" s="18">
        <f t="shared" ref="AT15:AW15" si="20">AT14/AT7</f>
        <v>0.39560597581741108</v>
      </c>
      <c r="AU15" s="18">
        <f t="shared" si="20"/>
        <v>0.41631103211949061</v>
      </c>
      <c r="AV15" s="18">
        <f t="shared" si="20"/>
        <v>0.40091700037978828</v>
      </c>
      <c r="AW15" s="18">
        <f t="shared" si="20"/>
        <v>0.4198717123726991</v>
      </c>
      <c r="AX15" s="18">
        <f t="shared" ref="AX15:BA15" si="21">AX14/AX7</f>
        <v>0.40649449585656572</v>
      </c>
      <c r="AY15" s="18">
        <f t="shared" si="21"/>
        <v>0.41777384434348136</v>
      </c>
      <c r="AZ15" s="18">
        <f t="shared" si="21"/>
        <v>0.38981275944534921</v>
      </c>
      <c r="BA15" s="18">
        <f t="shared" si="21"/>
        <v>0.40098554718665125</v>
      </c>
      <c r="BB15" s="18">
        <f t="shared" ref="BB15:BE15" si="22">BB14/BB7</f>
        <v>0.39226425836129242</v>
      </c>
      <c r="BC15" s="18">
        <f t="shared" si="22"/>
        <v>0.40649320134049627</v>
      </c>
      <c r="BD15" s="18">
        <f t="shared" si="22"/>
        <v>0.38524005788836124</v>
      </c>
      <c r="BE15" s="18">
        <f t="shared" si="22"/>
        <v>0.41678622371638446</v>
      </c>
      <c r="BG15" s="46">
        <f>BG14/BG7</f>
        <v>0.4024189239922174</v>
      </c>
      <c r="BH15" s="46"/>
      <c r="BI15" s="46">
        <f>BI14/BI7</f>
        <v>0.4023063134054124</v>
      </c>
    </row>
    <row r="16" spans="2:63" ht="16.5" customHeight="1">
      <c r="B16" s="1" t="s">
        <v>275</v>
      </c>
      <c r="C16" s="4">
        <v>-21906.321</v>
      </c>
      <c r="D16" s="4">
        <f>-18290.255-6198.554</f>
        <v>-24488.809000000001</v>
      </c>
      <c r="E16" s="4">
        <f>-19832.784-7094.555</f>
        <v>-26927.339</v>
      </c>
      <c r="F16" s="4">
        <f>-25077.138-8471.97</f>
        <v>-33549.108</v>
      </c>
      <c r="G16" s="4">
        <f>-32809.883-4178.627</f>
        <v>-36988.51</v>
      </c>
      <c r="H16" s="4">
        <f>-33556.035-4673.047</f>
        <v>-38229.082000000002</v>
      </c>
      <c r="I16" s="4">
        <v>-38061</v>
      </c>
      <c r="J16" s="4">
        <v>-38338.1</v>
      </c>
      <c r="K16" s="4">
        <f>-36193.482-6747.886</f>
        <v>-42941.368000000002</v>
      </c>
      <c r="L16" s="4">
        <f>-41847.678-7666.698</f>
        <v>-49514.376000000004</v>
      </c>
      <c r="M16" s="4">
        <f>-47610.966-7683.545</f>
        <v>-55294.510999999999</v>
      </c>
      <c r="N16" s="4">
        <f>-9089.484-51862.8</f>
        <v>-60952.284</v>
      </c>
      <c r="O16" s="6">
        <f>SUM(BC16:BE16)</f>
        <v>-46999.370999999999</v>
      </c>
      <c r="P16" s="6"/>
      <c r="Q16" s="4">
        <f>-4334.51-1755.176</f>
        <v>-6089.6859999999997</v>
      </c>
      <c r="R16" s="4">
        <f>-19279.824-S16-Q16</f>
        <v>-6641.7000000000007</v>
      </c>
      <c r="S16" s="4">
        <f>-5025.079-1523.359</f>
        <v>-6548.4380000000001</v>
      </c>
      <c r="T16" s="6">
        <f>E16-S16-R16-Q16</f>
        <v>-7647.5149999999976</v>
      </c>
      <c r="U16" s="4">
        <f>-4815.312-2054.221</f>
        <v>-6869.5329999999994</v>
      </c>
      <c r="V16" s="4">
        <f>-6265.83-2071.556</f>
        <v>-8337.3860000000004</v>
      </c>
      <c r="W16" s="4">
        <f>-6538.831-2074.714</f>
        <v>-8613.5450000000001</v>
      </c>
      <c r="X16" s="6">
        <f>F16-W16-V16-U16</f>
        <v>-9728.6440000000039</v>
      </c>
      <c r="Y16" s="4">
        <f>-6126.236-2620.411</f>
        <v>-8746.6470000000008</v>
      </c>
      <c r="Z16" s="4">
        <f>-6907.052-2117.945</f>
        <v>-9024.9969999999994</v>
      </c>
      <c r="AA16" s="4">
        <f>-6655.87-2220.705</f>
        <v>-8876.5750000000007</v>
      </c>
      <c r="AB16" s="6">
        <f>G16-Y16-Z16-AA16</f>
        <v>-10340.291000000001</v>
      </c>
      <c r="AC16" s="4">
        <f>-7716.613-1549.58</f>
        <v>-9266.1929999999993</v>
      </c>
      <c r="AD16" s="4">
        <f>-8760.995-1039.423</f>
        <v>-9800.4180000000015</v>
      </c>
      <c r="AE16" s="4">
        <f>-8235.751-1065.462</f>
        <v>-9301.2129999999997</v>
      </c>
      <c r="AF16" s="6">
        <f>H16-AE16-AD16-AC16</f>
        <v>-9861.2580000000016</v>
      </c>
      <c r="AG16" s="4">
        <f>-7888.527-1606.081</f>
        <v>-9494.6080000000002</v>
      </c>
      <c r="AH16" s="4">
        <f>-7316.8-1050.78</f>
        <v>-8367.58</v>
      </c>
      <c r="AI16" s="4">
        <f>-9166.964-1105.152</f>
        <v>-10272.116</v>
      </c>
      <c r="AJ16" s="6">
        <f>I16-AI16-AH16-AG16</f>
        <v>-9926.6959999999963</v>
      </c>
      <c r="AK16" s="4">
        <f>-6893.956-1583.895</f>
        <v>-8477.8510000000006</v>
      </c>
      <c r="AL16" s="4">
        <f>-7574.431-1406.285</f>
        <v>-8980.7160000000003</v>
      </c>
      <c r="AM16" s="4">
        <f>-7584.39-1180.299</f>
        <v>-8764.6890000000003</v>
      </c>
      <c r="AN16" s="6">
        <f>J16-AM16-AL16-AK16</f>
        <v>-12114.843999999999</v>
      </c>
      <c r="AO16" s="4">
        <f>-7437.24-1899.1</f>
        <v>-9336.34</v>
      </c>
      <c r="AP16" s="4">
        <v>-10153.5</v>
      </c>
      <c r="AQ16" s="4">
        <f>-8640.602-1529.747</f>
        <v>-10170.349</v>
      </c>
      <c r="AR16" s="6">
        <f>K16-AQ16-AP16-AO16</f>
        <v>-13281.179</v>
      </c>
      <c r="AS16" s="4">
        <f>-9210.112-2120.919</f>
        <v>-11331.030999999999</v>
      </c>
      <c r="AT16" s="4">
        <f>-9917.62-1530.036</f>
        <v>-11447.656000000001</v>
      </c>
      <c r="AU16" s="4">
        <f>-1601.129-10112.495</f>
        <v>-11713.624</v>
      </c>
      <c r="AV16" s="6">
        <f>L16-AU16-AT16-AS16</f>
        <v>-15022.065000000006</v>
      </c>
      <c r="AW16" s="4">
        <f>-10569-2180.44</f>
        <v>-12749.44</v>
      </c>
      <c r="AX16" s="4">
        <f>-11610.106-1753.076</f>
        <v>-13363.182000000001</v>
      </c>
      <c r="AY16" s="4">
        <f>-11338.144-1857.702</f>
        <v>-13195.846</v>
      </c>
      <c r="AZ16" s="6">
        <f>M16-AY16-AX16-AW16</f>
        <v>-15986.043</v>
      </c>
      <c r="BA16" s="4">
        <f>-11648.866-2598.629</f>
        <v>-14247.494999999999</v>
      </c>
      <c r="BB16" s="4">
        <f>-13030.102-1995.405</f>
        <v>-15025.507000000001</v>
      </c>
      <c r="BC16" s="4">
        <f>-2047.706-12660.681</f>
        <v>-14708.387000000001</v>
      </c>
      <c r="BD16" s="6">
        <f>N16-BC16-BB16-BA16</f>
        <v>-16970.894999999997</v>
      </c>
      <c r="BE16" s="4">
        <f>-12464.067-2856.022</f>
        <v>-15320.089</v>
      </c>
      <c r="BG16" s="4">
        <f>-6321.484-2071.556</f>
        <v>-8393.0400000000009</v>
      </c>
      <c r="BH16" s="4">
        <f>-6483.17-2074.728</f>
        <v>-8557.898000000001</v>
      </c>
      <c r="BI16" s="4">
        <f>-8760.995-1039.423</f>
        <v>-9800.4180000000015</v>
      </c>
    </row>
    <row r="17" spans="2:61" s="5" customFormat="1" ht="13.5" customHeight="1">
      <c r="B17" s="13" t="s">
        <v>276</v>
      </c>
      <c r="C17" s="8">
        <f t="shared" ref="C17:G17" si="23">SUM(C14,C16)</f>
        <v>11113.307000000004</v>
      </c>
      <c r="D17" s="8">
        <f t="shared" si="23"/>
        <v>12655.307999999997</v>
      </c>
      <c r="E17" s="8">
        <f t="shared" si="23"/>
        <v>13406.390999999996</v>
      </c>
      <c r="F17" s="8">
        <f t="shared" si="23"/>
        <v>15231.684000000001</v>
      </c>
      <c r="G17" s="8">
        <f t="shared" si="23"/>
        <v>16925.36799999998</v>
      </c>
      <c r="H17" s="8">
        <f t="shared" ref="H17:L17" si="24">SUM(H14,H16)</f>
        <v>19171.202000000012</v>
      </c>
      <c r="I17" s="8">
        <f t="shared" si="24"/>
        <v>3812</v>
      </c>
      <c r="J17" s="8">
        <f t="shared" si="24"/>
        <v>18733.30000000001</v>
      </c>
      <c r="K17" s="8">
        <f t="shared" si="24"/>
        <v>25515.380000000005</v>
      </c>
      <c r="L17" s="8">
        <f t="shared" si="24"/>
        <v>29605.787999999986</v>
      </c>
      <c r="M17" s="8">
        <f t="shared" ref="M17:N17" si="25">SUM(M14,M16)</f>
        <v>31854.13900000001</v>
      </c>
      <c r="N17" s="8">
        <f t="shared" si="25"/>
        <v>29454.962000000014</v>
      </c>
      <c r="O17" s="8">
        <f>SUM(O14,O16)</f>
        <v>21948.392000000036</v>
      </c>
      <c r="P17" s="8"/>
      <c r="Q17" s="8">
        <f t="shared" ref="Q17:X17" si="26">SUM(Q14,Q16)</f>
        <v>1797.7699999999986</v>
      </c>
      <c r="R17" s="8">
        <f t="shared" si="26"/>
        <v>3160.2589999999982</v>
      </c>
      <c r="S17" s="8">
        <f t="shared" si="26"/>
        <v>2161.3110000000015</v>
      </c>
      <c r="T17" s="8">
        <f t="shared" si="26"/>
        <v>6287.0509999999977</v>
      </c>
      <c r="U17" s="8">
        <f t="shared" si="26"/>
        <v>1921.8650000000016</v>
      </c>
      <c r="V17" s="8">
        <f t="shared" si="26"/>
        <v>3657.3139999999967</v>
      </c>
      <c r="W17" s="8">
        <f t="shared" si="26"/>
        <v>2082.2939999999999</v>
      </c>
      <c r="X17" s="8">
        <f t="shared" si="26"/>
        <v>7570.2110000000102</v>
      </c>
      <c r="Y17" s="8">
        <f t="shared" ref="Y17:AD17" si="27">SUM(Y14,Y16)</f>
        <v>1546.8199999999997</v>
      </c>
      <c r="Z17" s="8">
        <f t="shared" si="27"/>
        <v>4065.3220000000001</v>
      </c>
      <c r="AA17" s="8">
        <f t="shared" si="27"/>
        <v>2903.4809999999998</v>
      </c>
      <c r="AB17" s="8">
        <f t="shared" si="27"/>
        <v>8409.7449999999735</v>
      </c>
      <c r="AC17" s="8">
        <f t="shared" si="27"/>
        <v>1793.5989999999983</v>
      </c>
      <c r="AD17" s="8">
        <f t="shared" si="27"/>
        <v>4515.9490000000005</v>
      </c>
      <c r="AE17" s="8">
        <f t="shared" ref="AE17:AJ17" si="28">SUM(AE14,AE16)</f>
        <v>3063.5780000000013</v>
      </c>
      <c r="AF17" s="8">
        <f t="shared" si="28"/>
        <v>9798.0760000000046</v>
      </c>
      <c r="AG17" s="8">
        <f t="shared" si="28"/>
        <v>1313.476999999999</v>
      </c>
      <c r="AH17" s="8">
        <f t="shared" si="28"/>
        <v>-3072.3729999999996</v>
      </c>
      <c r="AI17" s="8">
        <f t="shared" si="28"/>
        <v>-299.9860000000026</v>
      </c>
      <c r="AJ17" s="8">
        <f t="shared" si="28"/>
        <v>5870.8820000000014</v>
      </c>
      <c r="AK17" s="8">
        <f t="shared" ref="AK17:AQ17" si="29">SUM(AK14,AK16)</f>
        <v>1007.1180000000004</v>
      </c>
      <c r="AL17" s="8">
        <f t="shared" si="29"/>
        <v>4811.6059999999961</v>
      </c>
      <c r="AM17" s="8">
        <f t="shared" si="29"/>
        <v>3971.784999999998</v>
      </c>
      <c r="AN17" s="8">
        <f t="shared" si="29"/>
        <v>8942.7910000000102</v>
      </c>
      <c r="AO17" s="8">
        <f t="shared" si="29"/>
        <v>3672.1949999999997</v>
      </c>
      <c r="AP17" s="8">
        <f t="shared" si="29"/>
        <v>6530.5999999999985</v>
      </c>
      <c r="AQ17" s="8">
        <f t="shared" si="29"/>
        <v>4906.514000000001</v>
      </c>
      <c r="AR17" s="8">
        <f t="shared" ref="AR17" si="30">SUM(AR14,AR16)</f>
        <v>10406.070999999993</v>
      </c>
      <c r="AS17" s="8">
        <f>SUM(AS14,AS16)</f>
        <v>3885.7930000000015</v>
      </c>
      <c r="AT17" s="8">
        <f t="shared" ref="AT17:AV17" si="31">SUM(AT14,AT16)</f>
        <v>7378.0969999999961</v>
      </c>
      <c r="AU17" s="8">
        <f t="shared" si="31"/>
        <v>5647.2749999999978</v>
      </c>
      <c r="AV17" s="8">
        <f t="shared" si="31"/>
        <v>12694.622999999981</v>
      </c>
      <c r="AW17" s="8">
        <f>SUM(AW14,AW16)</f>
        <v>4557.8160000000007</v>
      </c>
      <c r="AX17" s="8">
        <f t="shared" ref="AX17:AZ17" si="32">SUM(AX14,AX16)</f>
        <v>7871.059999999994</v>
      </c>
      <c r="AY17" s="8">
        <f t="shared" si="32"/>
        <v>6044.8600000000024</v>
      </c>
      <c r="AZ17" s="8">
        <f t="shared" si="32"/>
        <v>13380.403000000011</v>
      </c>
      <c r="BA17" s="8">
        <f>SUM(BA14,BA16)</f>
        <v>4008.3339999999989</v>
      </c>
      <c r="BB17" s="8">
        <f t="shared" ref="BB17:BD17" si="33">SUM(BB14,BB16)</f>
        <v>7107.5970000000052</v>
      </c>
      <c r="BC17" s="8">
        <f t="shared" si="33"/>
        <v>4828.4489999999987</v>
      </c>
      <c r="BD17" s="8">
        <f t="shared" si="33"/>
        <v>13510.582000000039</v>
      </c>
      <c r="BE17" s="8">
        <f>SUM(BE14,BE16)</f>
        <v>3609.3610000000008</v>
      </c>
      <c r="BG17" s="8">
        <f>SUM(BG14,BG16)</f>
        <v>3657.3149999999987</v>
      </c>
      <c r="BH17" s="8">
        <f>SUM(BH14,BH16)</f>
        <v>2082.2859999999964</v>
      </c>
      <c r="BI17" s="8">
        <f>SUM(BI14,BI16)</f>
        <v>4568.2340000000004</v>
      </c>
    </row>
    <row r="18" spans="2:61" ht="13.5" customHeight="1">
      <c r="B18" s="7" t="s">
        <v>277</v>
      </c>
      <c r="C18" s="4">
        <v>201.761</v>
      </c>
      <c r="D18" s="4">
        <v>259.01499999999999</v>
      </c>
      <c r="E18" s="4">
        <v>1085.2270000000001</v>
      </c>
      <c r="F18" s="4">
        <f>681.631-4366.841+3471.895</f>
        <v>-213.31500000000051</v>
      </c>
      <c r="G18" s="4">
        <v>894.61300000000006</v>
      </c>
      <c r="H18" s="4">
        <v>0</v>
      </c>
      <c r="I18" s="4">
        <v>0</v>
      </c>
      <c r="J18" s="4">
        <v>1603.5250000000001</v>
      </c>
      <c r="K18" s="4">
        <v>1823.7449999999999</v>
      </c>
      <c r="L18" s="4">
        <f>1915.389</f>
        <v>1915.3889999999999</v>
      </c>
      <c r="M18" s="4">
        <v>4193.9160000000002</v>
      </c>
      <c r="N18" s="4">
        <f>1428.557</f>
        <v>1428.557</v>
      </c>
      <c r="O18" s="6">
        <f>SUM(BC18:BE18)</f>
        <v>941.971</v>
      </c>
      <c r="P18" s="6"/>
      <c r="Q18" s="4">
        <v>76.052000000000007</v>
      </c>
      <c r="R18" s="4">
        <v>63.191000000000003</v>
      </c>
      <c r="S18" s="4">
        <v>129.251</v>
      </c>
      <c r="T18" s="6">
        <f>E18-S18-R18-Q18</f>
        <v>816.73300000000006</v>
      </c>
      <c r="U18" s="4">
        <v>180.483</v>
      </c>
      <c r="V18" s="4">
        <v>111.57899999999999</v>
      </c>
      <c r="W18" s="4">
        <v>179.02799999999999</v>
      </c>
      <c r="X18" s="6">
        <f>F18-W18-V18-U18</f>
        <v>-684.40500000000054</v>
      </c>
      <c r="Y18" s="4">
        <v>261.87799999999999</v>
      </c>
      <c r="Z18" s="4">
        <v>227.739</v>
      </c>
      <c r="AA18" s="4">
        <v>199.822</v>
      </c>
      <c r="AB18" s="6">
        <f>G18-Y18-Z18-AA18</f>
        <v>205.17400000000009</v>
      </c>
      <c r="AC18" s="4">
        <v>223.88900000000001</v>
      </c>
      <c r="AD18" s="4">
        <v>203.91200000000001</v>
      </c>
      <c r="AE18" s="4">
        <v>193.672</v>
      </c>
      <c r="AF18" s="6">
        <f>H18-AE18-AD18-AC18</f>
        <v>-621.47299999999996</v>
      </c>
      <c r="AG18" s="4">
        <v>538.39200000000005</v>
      </c>
      <c r="AH18" s="4">
        <v>1002.878</v>
      </c>
      <c r="AI18" s="4">
        <v>197.345</v>
      </c>
      <c r="AJ18" s="6">
        <f>I18-AI18-AH18-AG18</f>
        <v>-1738.615</v>
      </c>
      <c r="AK18" s="4">
        <v>243.18799999999999</v>
      </c>
      <c r="AL18" s="4">
        <v>251.65799999999999</v>
      </c>
      <c r="AM18" s="4">
        <v>816.10900000000004</v>
      </c>
      <c r="AN18" s="6">
        <f>J18-AM18-AL18-AK18</f>
        <v>292.57000000000005</v>
      </c>
      <c r="AO18" s="4">
        <v>541.59299999999996</v>
      </c>
      <c r="AP18" s="4">
        <v>630.86500000000001</v>
      </c>
      <c r="AQ18" s="4">
        <v>471.762</v>
      </c>
      <c r="AR18" s="6">
        <f>K18-AQ18-AP18-AO18</f>
        <v>179.52499999999998</v>
      </c>
      <c r="AS18" s="4">
        <v>540.43700000000001</v>
      </c>
      <c r="AT18" s="4">
        <v>429.35399999999998</v>
      </c>
      <c r="AU18" s="4">
        <v>553.80399999999997</v>
      </c>
      <c r="AV18" s="6">
        <f>L18-AU18-AT18-AS18</f>
        <v>391.79399999999998</v>
      </c>
      <c r="AW18" s="4">
        <v>540.42399999999998</v>
      </c>
      <c r="AX18" s="4">
        <v>1830.7470000000001</v>
      </c>
      <c r="AY18" s="4">
        <v>1152.364</v>
      </c>
      <c r="AZ18" s="6">
        <f>M18-AY18-AX18-AW18</f>
        <v>670.38100000000009</v>
      </c>
      <c r="BA18" s="4">
        <v>675.50300000000004</v>
      </c>
      <c r="BB18" s="4">
        <v>212.40899999999999</v>
      </c>
      <c r="BC18" s="4">
        <v>306.233</v>
      </c>
      <c r="BD18" s="6">
        <f t="shared" ref="BD18:BD20" si="34">N18-BC18-BB18-BA18</f>
        <v>234.41200000000003</v>
      </c>
      <c r="BE18" s="4">
        <v>401.32600000000002</v>
      </c>
      <c r="BF18" s="4"/>
      <c r="BG18" s="4">
        <v>111.57899999999999</v>
      </c>
      <c r="BH18" s="4">
        <v>179.02799999999999</v>
      </c>
      <c r="BI18" s="4">
        <v>203.91200000000001</v>
      </c>
    </row>
    <row r="19" spans="2:61" ht="13.5" customHeight="1">
      <c r="B19" s="7" t="s">
        <v>278</v>
      </c>
      <c r="C19" s="4">
        <v>-1249.3779999999999</v>
      </c>
      <c r="D19" s="4">
        <v>-1137.549</v>
      </c>
      <c r="E19" s="4">
        <v>-1344.2249999999999</v>
      </c>
      <c r="F19" s="4">
        <v>-2770.7220000000002</v>
      </c>
      <c r="G19" s="4">
        <v>-2695.9110000000001</v>
      </c>
      <c r="H19" s="4">
        <v>-2872.3</v>
      </c>
      <c r="I19" s="4">
        <v>-3266.4</v>
      </c>
      <c r="J19" s="4">
        <v>-4685.7430000000004</v>
      </c>
      <c r="K19" s="4">
        <v>-4521.8909999999996</v>
      </c>
      <c r="L19" s="4">
        <v>-5029.5479999999998</v>
      </c>
      <c r="M19" s="4">
        <v>-4010.1469999999999</v>
      </c>
      <c r="N19" s="4">
        <v>-7591.0370000000003</v>
      </c>
      <c r="O19" s="6">
        <f>SUM(BC19:BE19)</f>
        <v>-4611.7049999999999</v>
      </c>
      <c r="P19" s="6"/>
      <c r="Q19" s="4">
        <v>-261.01400000000001</v>
      </c>
      <c r="R19" s="4">
        <v>-269.267</v>
      </c>
      <c r="S19" s="4">
        <v>-254.03299999999999</v>
      </c>
      <c r="T19" s="6">
        <f>E19-S19-R19-Q19</f>
        <v>-559.91099999999994</v>
      </c>
      <c r="U19" s="4">
        <v>-1482.768</v>
      </c>
      <c r="V19" s="4">
        <v>-716.221</v>
      </c>
      <c r="W19" s="4">
        <v>-715.87800000000004</v>
      </c>
      <c r="X19" s="6">
        <f>F19-W19-V19-U19</f>
        <v>144.14499999999998</v>
      </c>
      <c r="Y19" s="4">
        <v>-744.23299999999995</v>
      </c>
      <c r="Z19" s="4">
        <v>-688.74400000000003</v>
      </c>
      <c r="AA19" s="4">
        <v>-662.85299999999995</v>
      </c>
      <c r="AB19" s="6">
        <f>G19-Y19-Z19-AA19</f>
        <v>-600.08100000000024</v>
      </c>
      <c r="AC19" s="4">
        <v>-899.27099999999996</v>
      </c>
      <c r="AD19" s="4">
        <v>-916.33600000000001</v>
      </c>
      <c r="AE19" s="4">
        <v>-908.31799999999998</v>
      </c>
      <c r="AF19" s="6">
        <f>H19-AE19-AD19-AC19</f>
        <v>-148.37500000000023</v>
      </c>
      <c r="AG19" s="4">
        <v>-1022.1</v>
      </c>
      <c r="AH19" s="4">
        <v>-1695.999</v>
      </c>
      <c r="AI19" s="4">
        <v>-1089.9580000000001</v>
      </c>
      <c r="AJ19" s="6">
        <f>I19-AI19-AH19-AG19</f>
        <v>541.65700000000004</v>
      </c>
      <c r="AK19" s="4">
        <v>-1062.123</v>
      </c>
      <c r="AL19" s="4">
        <v>-1068.8050000000001</v>
      </c>
      <c r="AM19" s="4">
        <v>-1564.518</v>
      </c>
      <c r="AN19" s="6">
        <f>J19-AM19-AL19-AK19</f>
        <v>-990.29700000000003</v>
      </c>
      <c r="AO19" s="4">
        <v>-1358.9349999999999</v>
      </c>
      <c r="AP19" s="4">
        <v>-998.95299999999997</v>
      </c>
      <c r="AQ19" s="4">
        <v>-1228.0129999999999</v>
      </c>
      <c r="AR19" s="6">
        <f>K19-AQ19-AP19-AO19</f>
        <v>-935.98999999999978</v>
      </c>
      <c r="AS19" s="4">
        <v>-1567.4870000000001</v>
      </c>
      <c r="AT19" s="4">
        <v>-1373.951</v>
      </c>
      <c r="AU19" s="4">
        <v>-1008.158</v>
      </c>
      <c r="AV19" s="6">
        <f>L19-AU19-AT19-AS19</f>
        <v>-1079.9519999999998</v>
      </c>
      <c r="AW19" s="4">
        <v>-1318.115</v>
      </c>
      <c r="AX19" s="4">
        <v>-1009.4450000000001</v>
      </c>
      <c r="AY19" s="4">
        <v>-1008.53</v>
      </c>
      <c r="AZ19" s="6">
        <f>M19-AY19-AX19-AW19</f>
        <v>-674.05700000000002</v>
      </c>
      <c r="BA19" s="4">
        <v>-1717.826</v>
      </c>
      <c r="BB19" s="4">
        <v>-2660.8429999999998</v>
      </c>
      <c r="BC19" s="4">
        <v>-1363.76</v>
      </c>
      <c r="BD19" s="6">
        <f t="shared" si="34"/>
        <v>-1848.6080000000002</v>
      </c>
      <c r="BE19" s="4">
        <v>-1399.337</v>
      </c>
      <c r="BG19" s="4">
        <v>-716.221</v>
      </c>
      <c r="BH19" s="4">
        <v>-715.87800000000004</v>
      </c>
      <c r="BI19" s="4">
        <v>-916.33600000000001</v>
      </c>
    </row>
    <row r="20" spans="2:61" ht="13.5" customHeight="1">
      <c r="B20" s="7" t="s">
        <v>279</v>
      </c>
      <c r="C20" s="4">
        <v>495.85</v>
      </c>
      <c r="D20" s="4">
        <v>699.29</v>
      </c>
      <c r="E20" s="4">
        <v>715.67200000000003</v>
      </c>
      <c r="F20" s="4">
        <v>628.03</v>
      </c>
      <c r="G20" s="4">
        <v>626.46</v>
      </c>
      <c r="H20" s="4">
        <v>9.3000000000000007</v>
      </c>
      <c r="I20" s="4">
        <v>349.5</v>
      </c>
      <c r="J20" s="4">
        <v>737.29200000000003</v>
      </c>
      <c r="K20" s="4">
        <v>376.91800000000001</v>
      </c>
      <c r="L20" s="4">
        <f>507.668</f>
        <v>507.66800000000001</v>
      </c>
      <c r="M20" s="4">
        <v>86.828000000000003</v>
      </c>
      <c r="N20" s="4">
        <v>164.19300000000001</v>
      </c>
      <c r="O20" s="6">
        <f>SUM(BC20:BE20)</f>
        <v>68.76499999999993</v>
      </c>
      <c r="P20" s="6"/>
      <c r="Q20" s="4">
        <v>183.94900000000001</v>
      </c>
      <c r="R20" s="4">
        <v>196.24700000000001</v>
      </c>
      <c r="S20" s="4">
        <v>159.71600000000001</v>
      </c>
      <c r="T20" s="6">
        <f>E20-S20-R20-Q20</f>
        <v>175.76</v>
      </c>
      <c r="U20" s="4">
        <v>252.267</v>
      </c>
      <c r="V20" s="4">
        <v>45.694000000000003</v>
      </c>
      <c r="W20" s="4">
        <v>121.544</v>
      </c>
      <c r="X20" s="6">
        <f>F20-W20-V20-U20</f>
        <v>208.52499999999998</v>
      </c>
      <c r="Y20" s="4">
        <v>173.49199999999999</v>
      </c>
      <c r="Z20" s="4">
        <v>161.10499999999999</v>
      </c>
      <c r="AA20" s="4">
        <v>94.954999999999998</v>
      </c>
      <c r="AB20" s="6">
        <f>G20-Y20-Z20-AA20</f>
        <v>196.90800000000007</v>
      </c>
      <c r="AC20" s="4">
        <v>122.869</v>
      </c>
      <c r="AD20" s="4">
        <v>261.601</v>
      </c>
      <c r="AE20" s="4">
        <v>176.64099999999999</v>
      </c>
      <c r="AF20" s="6">
        <f>H20-AE20-AD20-AC20</f>
        <v>-551.81100000000004</v>
      </c>
      <c r="AG20" s="4">
        <v>183.81</v>
      </c>
      <c r="AH20" s="4">
        <v>-297.28699999999998</v>
      </c>
      <c r="AI20" s="4">
        <v>-82.74</v>
      </c>
      <c r="AJ20" s="6">
        <f>I20-AI20-AH20-AG20</f>
        <v>545.7170000000001</v>
      </c>
      <c r="AK20" s="4">
        <v>504.85199999999998</v>
      </c>
      <c r="AL20" s="4">
        <v>147.374</v>
      </c>
      <c r="AM20" s="4">
        <v>-44.906999999999996</v>
      </c>
      <c r="AN20" s="6">
        <f>J20-AM20-AL20-AK20</f>
        <v>129.97300000000007</v>
      </c>
      <c r="AO20" s="4">
        <v>107.33</v>
      </c>
      <c r="AP20" s="4">
        <v>154.61600000000001</v>
      </c>
      <c r="AQ20" s="4">
        <v>113.43600000000001</v>
      </c>
      <c r="AR20" s="6">
        <f>K20-AQ20-AP20-AO20</f>
        <v>1.5359999999999587</v>
      </c>
      <c r="AS20" s="4">
        <v>79.046999999999997</v>
      </c>
      <c r="AT20" s="4">
        <v>123.34399999999999</v>
      </c>
      <c r="AU20" s="4">
        <v>260.15300000000002</v>
      </c>
      <c r="AV20" s="6">
        <f>L20-AU20-AT20-AS20</f>
        <v>45.123999999999995</v>
      </c>
      <c r="AW20" s="4">
        <v>128.45500000000001</v>
      </c>
      <c r="AX20" s="4">
        <v>19.195</v>
      </c>
      <c r="AY20" s="4">
        <v>-6.6710000000000003</v>
      </c>
      <c r="AZ20" s="6">
        <f>M20-AY20-AX20-AW20</f>
        <v>-54.15100000000001</v>
      </c>
      <c r="BA20" s="4">
        <v>136.97499999999999</v>
      </c>
      <c r="BB20" s="4">
        <v>-67.525000000000006</v>
      </c>
      <c r="BC20" s="4">
        <v>1208.3889999999999</v>
      </c>
      <c r="BD20" s="6">
        <f t="shared" si="34"/>
        <v>-1113.646</v>
      </c>
      <c r="BE20" s="4">
        <v>-25.978000000000002</v>
      </c>
      <c r="BG20" s="4">
        <v>45.694000000000003</v>
      </c>
      <c r="BH20" s="4">
        <v>121.544</v>
      </c>
      <c r="BI20" s="4">
        <v>261.601</v>
      </c>
    </row>
    <row r="21" spans="2:61" s="5" customFormat="1" ht="13.5" customHeight="1">
      <c r="B21" s="5" t="s">
        <v>280</v>
      </c>
      <c r="C21" s="8">
        <f t="shared" ref="C21:O21" si="35">SUM(C17,C18,C19,C20)</f>
        <v>10561.540000000005</v>
      </c>
      <c r="D21" s="8">
        <f t="shared" si="35"/>
        <v>12476.063999999998</v>
      </c>
      <c r="E21" s="8">
        <f t="shared" si="35"/>
        <v>13863.064999999997</v>
      </c>
      <c r="F21" s="8">
        <f t="shared" si="35"/>
        <v>12875.677000000001</v>
      </c>
      <c r="G21" s="8">
        <f t="shared" si="35"/>
        <v>15750.529999999981</v>
      </c>
      <c r="H21" s="8">
        <f t="shared" si="35"/>
        <v>16308.202000000012</v>
      </c>
      <c r="I21" s="8">
        <f t="shared" si="35"/>
        <v>895.09999999999991</v>
      </c>
      <c r="J21" s="8">
        <f t="shared" si="35"/>
        <v>16388.374000000011</v>
      </c>
      <c r="K21" s="8">
        <f t="shared" si="35"/>
        <v>23194.152000000006</v>
      </c>
      <c r="L21" s="8">
        <f t="shared" si="35"/>
        <v>26999.296999999988</v>
      </c>
      <c r="M21" s="8">
        <f t="shared" si="35"/>
        <v>32124.736000000008</v>
      </c>
      <c r="N21" s="8">
        <f t="shared" si="35"/>
        <v>23456.675000000014</v>
      </c>
      <c r="O21" s="8">
        <f t="shared" si="35"/>
        <v>18347.423000000039</v>
      </c>
      <c r="P21" s="8"/>
      <c r="Q21" s="8">
        <f t="shared" ref="Q21:BE21" si="36">SUM(Q17,Q18,Q19,Q20)</f>
        <v>1796.7569999999987</v>
      </c>
      <c r="R21" s="8">
        <f t="shared" si="36"/>
        <v>3150.429999999998</v>
      </c>
      <c r="S21" s="8">
        <f t="shared" si="36"/>
        <v>2196.2450000000017</v>
      </c>
      <c r="T21" s="8">
        <f t="shared" si="36"/>
        <v>6719.632999999998</v>
      </c>
      <c r="U21" s="8">
        <f t="shared" si="36"/>
        <v>871.8470000000018</v>
      </c>
      <c r="V21" s="8">
        <f t="shared" si="36"/>
        <v>3098.3659999999968</v>
      </c>
      <c r="W21" s="8">
        <f t="shared" si="36"/>
        <v>1666.9879999999996</v>
      </c>
      <c r="X21" s="8">
        <f t="shared" si="36"/>
        <v>7238.4760000000097</v>
      </c>
      <c r="Y21" s="8">
        <f t="shared" si="36"/>
        <v>1237.9569999999997</v>
      </c>
      <c r="Z21" s="8">
        <f t="shared" si="36"/>
        <v>3765.4219999999996</v>
      </c>
      <c r="AA21" s="8">
        <f t="shared" si="36"/>
        <v>2535.4049999999997</v>
      </c>
      <c r="AB21" s="8">
        <f t="shared" si="36"/>
        <v>8211.7459999999737</v>
      </c>
      <c r="AC21" s="8">
        <f t="shared" si="36"/>
        <v>1241.0859999999984</v>
      </c>
      <c r="AD21" s="8">
        <f t="shared" si="36"/>
        <v>4065.1260000000007</v>
      </c>
      <c r="AE21" s="8">
        <f t="shared" si="36"/>
        <v>2525.5730000000017</v>
      </c>
      <c r="AF21" s="8">
        <f t="shared" si="36"/>
        <v>8476.4170000000049</v>
      </c>
      <c r="AG21" s="8">
        <f t="shared" si="36"/>
        <v>1013.578999999999</v>
      </c>
      <c r="AH21" s="8">
        <f t="shared" si="36"/>
        <v>-4062.7809999999995</v>
      </c>
      <c r="AI21" s="8">
        <f t="shared" si="36"/>
        <v>-1275.3390000000027</v>
      </c>
      <c r="AJ21" s="8">
        <f t="shared" si="36"/>
        <v>5219.6410000000014</v>
      </c>
      <c r="AK21" s="8">
        <f t="shared" si="36"/>
        <v>693.03500000000042</v>
      </c>
      <c r="AL21" s="8">
        <f t="shared" si="36"/>
        <v>4141.832999999996</v>
      </c>
      <c r="AM21" s="8">
        <f t="shared" si="36"/>
        <v>3178.4689999999982</v>
      </c>
      <c r="AN21" s="8">
        <f t="shared" si="36"/>
        <v>8375.0370000000094</v>
      </c>
      <c r="AO21" s="8">
        <f t="shared" si="36"/>
        <v>2962.1829999999995</v>
      </c>
      <c r="AP21" s="8">
        <f t="shared" si="36"/>
        <v>6317.1279999999988</v>
      </c>
      <c r="AQ21" s="8">
        <f t="shared" si="36"/>
        <v>4263.6990000000005</v>
      </c>
      <c r="AR21" s="8">
        <f t="shared" si="36"/>
        <v>9651.1419999999925</v>
      </c>
      <c r="AS21" s="8">
        <f t="shared" si="36"/>
        <v>2937.7900000000013</v>
      </c>
      <c r="AT21" s="8">
        <f t="shared" si="36"/>
        <v>6556.8439999999964</v>
      </c>
      <c r="AU21" s="8">
        <f t="shared" si="36"/>
        <v>5453.0739999999978</v>
      </c>
      <c r="AV21" s="8">
        <f t="shared" si="36"/>
        <v>12051.588999999982</v>
      </c>
      <c r="AW21" s="8">
        <f t="shared" si="36"/>
        <v>3908.5800000000008</v>
      </c>
      <c r="AX21" s="8">
        <f t="shared" si="36"/>
        <v>8711.5569999999934</v>
      </c>
      <c r="AY21" s="8">
        <f t="shared" si="36"/>
        <v>6182.023000000002</v>
      </c>
      <c r="AZ21" s="8">
        <f t="shared" si="36"/>
        <v>13322.57600000001</v>
      </c>
      <c r="BA21" s="8">
        <f t="shared" si="36"/>
        <v>3102.9859999999985</v>
      </c>
      <c r="BB21" s="8">
        <f t="shared" si="36"/>
        <v>4591.6380000000054</v>
      </c>
      <c r="BC21" s="8">
        <f t="shared" si="36"/>
        <v>4979.3109999999988</v>
      </c>
      <c r="BD21" s="8">
        <f t="shared" si="36"/>
        <v>10782.740000000038</v>
      </c>
      <c r="BE21" s="8">
        <f t="shared" si="36"/>
        <v>2585.3720000000008</v>
      </c>
      <c r="BG21" s="8">
        <f>SUM(BG17,BG18,BG19,BG20)</f>
        <v>3098.3669999999988</v>
      </c>
      <c r="BH21" s="8">
        <f>SUM(BH17,BH18,BH19,BH20)</f>
        <v>1666.9799999999962</v>
      </c>
      <c r="BI21" s="8">
        <f>SUM(BI17,BI18,BI19,BI20)</f>
        <v>4117.4110000000001</v>
      </c>
    </row>
    <row r="22" spans="2:61" s="5" customFormat="1" ht="13.5" customHeight="1">
      <c r="B22" s="7" t="s">
        <v>281</v>
      </c>
      <c r="C22" s="4">
        <v>-2797.1790000000001</v>
      </c>
      <c r="D22" s="4">
        <v>-3263.165</v>
      </c>
      <c r="E22" s="4">
        <v>-3724.1559999999999</v>
      </c>
      <c r="F22" s="4">
        <v>-2989.34</v>
      </c>
      <c r="G22" s="4">
        <v>-4038.4569999999999</v>
      </c>
      <c r="H22" s="4">
        <v>-4599.8789999999999</v>
      </c>
      <c r="I22" s="4">
        <v>382.3</v>
      </c>
      <c r="J22" s="4">
        <v>-3510.2</v>
      </c>
      <c r="K22" s="4">
        <v>-5796.9129999999996</v>
      </c>
      <c r="L22" s="4">
        <f>-7498.083</f>
        <v>-7498.0829999999996</v>
      </c>
      <c r="M22" s="4">
        <v>-8955.07</v>
      </c>
      <c r="N22" s="4">
        <v>-6289.5630000000001</v>
      </c>
      <c r="O22" s="6">
        <f>SUM(BC22:BE22)</f>
        <v>-4876.8290000000006</v>
      </c>
      <c r="P22" s="6"/>
      <c r="Q22" s="4">
        <v>-410.91399999999999</v>
      </c>
      <c r="R22" s="4">
        <v>-831.43700000000001</v>
      </c>
      <c r="S22" s="4">
        <v>-599.03099999999995</v>
      </c>
      <c r="T22" s="6">
        <f>E22-S22-R22-Q22</f>
        <v>-1882.7740000000001</v>
      </c>
      <c r="U22" s="4">
        <v>-76.117000000000004</v>
      </c>
      <c r="V22" s="4">
        <v>-902.18100000000004</v>
      </c>
      <c r="W22" s="4">
        <v>-408.53899999999999</v>
      </c>
      <c r="X22" s="6">
        <f>F22-W22-V22-U22</f>
        <v>-1602.5030000000004</v>
      </c>
      <c r="Y22" s="4">
        <v>-239.714</v>
      </c>
      <c r="Z22" s="4">
        <v>-1045.2049999999999</v>
      </c>
      <c r="AA22" s="4">
        <v>-618.39599999999996</v>
      </c>
      <c r="AB22" s="6">
        <f>G22-Y22-Z22-AA22</f>
        <v>-2135.1419999999998</v>
      </c>
      <c r="AC22" s="4">
        <v>-279.19099999999997</v>
      </c>
      <c r="AD22" s="4">
        <v>-1025.8</v>
      </c>
      <c r="AE22" s="4">
        <v>-648.23</v>
      </c>
      <c r="AF22" s="6">
        <f>H22-AE22-AD22-AC22</f>
        <v>-2646.6580000000004</v>
      </c>
      <c r="AG22" s="4">
        <v>-193.68700000000001</v>
      </c>
      <c r="AH22" s="4">
        <v>1183.933</v>
      </c>
      <c r="AI22" s="4">
        <v>396.62599999999998</v>
      </c>
      <c r="AJ22" s="6">
        <f>I22-AI22-AH22-AG22</f>
        <v>-1004.572</v>
      </c>
      <c r="AK22" s="4">
        <v>-0.60799999999999998</v>
      </c>
      <c r="AL22" s="4">
        <v>-1121.211</v>
      </c>
      <c r="AM22" s="4">
        <v>-903.41700000000003</v>
      </c>
      <c r="AN22" s="6">
        <f>J22-AM22-AL22-AK22</f>
        <v>-1484.9639999999999</v>
      </c>
      <c r="AO22" s="4">
        <v>-727.15300000000002</v>
      </c>
      <c r="AP22" s="4">
        <v>-1841.075</v>
      </c>
      <c r="AQ22" s="4">
        <v>-1181.3320000000001</v>
      </c>
      <c r="AR22" s="6">
        <f>K22-AQ22-AP22-AO22</f>
        <v>-2047.3529999999994</v>
      </c>
      <c r="AS22" s="4">
        <v>-791.72</v>
      </c>
      <c r="AT22" s="4">
        <v>-1852.491</v>
      </c>
      <c r="AU22" s="4">
        <v>-1482.1420000000001</v>
      </c>
      <c r="AV22" s="6">
        <f>L22-AU22-AT22-AS22</f>
        <v>-3371.7299999999996</v>
      </c>
      <c r="AW22" s="4">
        <v>-1024.932</v>
      </c>
      <c r="AX22" s="4">
        <v>-2481.3180000000002</v>
      </c>
      <c r="AY22" s="4">
        <v>-1790.2550000000001</v>
      </c>
      <c r="AZ22" s="6">
        <f>M22-AY22-AX22-AW22</f>
        <v>-3658.5649999999996</v>
      </c>
      <c r="BA22" s="4">
        <v>-785.88099999999997</v>
      </c>
      <c r="BB22" s="4">
        <v>-1292.867</v>
      </c>
      <c r="BC22" s="4">
        <v>-1022.003</v>
      </c>
      <c r="BD22" s="6">
        <f>N22-BC22-BB22-BA22</f>
        <v>-3188.8120000000004</v>
      </c>
      <c r="BE22" s="4">
        <v>-666.01400000000001</v>
      </c>
      <c r="BG22" s="4">
        <v>-902.18100000000004</v>
      </c>
      <c r="BH22" s="4">
        <v>-410.803</v>
      </c>
      <c r="BI22" s="4">
        <v>-1078.086</v>
      </c>
    </row>
    <row r="23" spans="2:61" s="5" customFormat="1" ht="13.5" customHeight="1">
      <c r="B23" s="5" t="s">
        <v>282</v>
      </c>
      <c r="C23" s="8">
        <f t="shared" ref="C23:G23" si="37">SUM(C21,C22)</f>
        <v>7764.3610000000044</v>
      </c>
      <c r="D23" s="8">
        <f t="shared" si="37"/>
        <v>9212.8989999999976</v>
      </c>
      <c r="E23" s="8">
        <f t="shared" si="37"/>
        <v>10138.908999999996</v>
      </c>
      <c r="F23" s="8">
        <f t="shared" si="37"/>
        <v>9886.3370000000014</v>
      </c>
      <c r="G23" s="8">
        <f t="shared" si="37"/>
        <v>11712.07299999998</v>
      </c>
      <c r="H23" s="8">
        <f t="shared" ref="H23:L23" si="38">SUM(H21,H22)</f>
        <v>11708.323000000011</v>
      </c>
      <c r="I23" s="8">
        <f t="shared" si="38"/>
        <v>1277.3999999999999</v>
      </c>
      <c r="J23" s="8">
        <f t="shared" si="38"/>
        <v>12878.17400000001</v>
      </c>
      <c r="K23" s="8">
        <f t="shared" si="38"/>
        <v>17397.239000000005</v>
      </c>
      <c r="L23" s="8">
        <f t="shared" si="38"/>
        <v>19501.213999999989</v>
      </c>
      <c r="M23" s="8">
        <f t="shared" ref="M23:N23" si="39">SUM(M21,M22)</f>
        <v>23169.666000000008</v>
      </c>
      <c r="N23" s="8">
        <f t="shared" si="39"/>
        <v>17167.112000000016</v>
      </c>
      <c r="O23" s="8">
        <f>SUM(O21,O22)</f>
        <v>13470.594000000037</v>
      </c>
      <c r="P23" s="8"/>
      <c r="Q23" s="8">
        <f t="shared" ref="Q23:AC23" si="40">SUM(Q21,Q22)</f>
        <v>1385.8429999999987</v>
      </c>
      <c r="R23" s="8">
        <f t="shared" si="40"/>
        <v>2318.9929999999981</v>
      </c>
      <c r="S23" s="8">
        <f t="shared" si="40"/>
        <v>1597.2140000000018</v>
      </c>
      <c r="T23" s="8">
        <f t="shared" si="40"/>
        <v>4836.8589999999976</v>
      </c>
      <c r="U23" s="8">
        <f t="shared" si="40"/>
        <v>795.73000000000184</v>
      </c>
      <c r="V23" s="8">
        <f t="shared" si="40"/>
        <v>2196.1849999999968</v>
      </c>
      <c r="W23" s="8">
        <f t="shared" si="40"/>
        <v>1258.4489999999996</v>
      </c>
      <c r="X23" s="8">
        <f t="shared" si="40"/>
        <v>5635.9730000000091</v>
      </c>
      <c r="Y23" s="8">
        <f t="shared" si="40"/>
        <v>998.24299999999971</v>
      </c>
      <c r="Z23" s="8">
        <f t="shared" si="40"/>
        <v>2720.2169999999996</v>
      </c>
      <c r="AA23" s="8">
        <f t="shared" si="40"/>
        <v>1917.0089999999998</v>
      </c>
      <c r="AB23" s="8">
        <f t="shared" si="40"/>
        <v>6076.6039999999739</v>
      </c>
      <c r="AC23" s="8">
        <f t="shared" si="40"/>
        <v>961.89499999999839</v>
      </c>
      <c r="AD23" s="8">
        <f t="shared" ref="AD23:AI23" si="41">SUM(AD21,AD22)</f>
        <v>3039.3260000000009</v>
      </c>
      <c r="AE23" s="8">
        <f t="shared" si="41"/>
        <v>1877.3430000000017</v>
      </c>
      <c r="AF23" s="8">
        <f t="shared" si="41"/>
        <v>5829.7590000000046</v>
      </c>
      <c r="AG23" s="8">
        <f t="shared" si="41"/>
        <v>819.89199999999903</v>
      </c>
      <c r="AH23" s="8">
        <f t="shared" si="41"/>
        <v>-2878.8479999999995</v>
      </c>
      <c r="AI23" s="8">
        <f t="shared" si="41"/>
        <v>-878.71300000000269</v>
      </c>
      <c r="AJ23" s="8">
        <f t="shared" ref="AJ23:AO23" si="42">SUM(AJ21,AJ22)</f>
        <v>4215.0690000000013</v>
      </c>
      <c r="AK23" s="8">
        <f t="shared" si="42"/>
        <v>692.42700000000048</v>
      </c>
      <c r="AL23" s="8">
        <f t="shared" si="42"/>
        <v>3020.6219999999958</v>
      </c>
      <c r="AM23" s="8">
        <f t="shared" si="42"/>
        <v>2275.0519999999983</v>
      </c>
      <c r="AN23" s="8">
        <f t="shared" si="42"/>
        <v>6890.0730000000094</v>
      </c>
      <c r="AO23" s="8">
        <f t="shared" si="42"/>
        <v>2235.0299999999997</v>
      </c>
      <c r="AP23" s="8">
        <f t="shared" ref="AP23:AS23" si="43">SUM(AP21,AP22)</f>
        <v>4476.052999999999</v>
      </c>
      <c r="AQ23" s="8">
        <f t="shared" si="43"/>
        <v>3082.3670000000002</v>
      </c>
      <c r="AR23" s="8">
        <f t="shared" si="43"/>
        <v>7603.7889999999934</v>
      </c>
      <c r="AS23" s="8">
        <f t="shared" si="43"/>
        <v>2146.0700000000015</v>
      </c>
      <c r="AT23" s="8">
        <f t="shared" ref="AT23:AW23" si="44">SUM(AT21,AT22)</f>
        <v>4704.3529999999964</v>
      </c>
      <c r="AU23" s="8">
        <f t="shared" si="44"/>
        <v>3970.931999999998</v>
      </c>
      <c r="AV23" s="8">
        <f t="shared" si="44"/>
        <v>8679.8589999999822</v>
      </c>
      <c r="AW23" s="8">
        <f t="shared" si="44"/>
        <v>2883.648000000001</v>
      </c>
      <c r="AX23" s="8">
        <f t="shared" ref="AX23:BA23" si="45">SUM(AX21,AX22)</f>
        <v>6230.2389999999932</v>
      </c>
      <c r="AY23" s="8">
        <f t="shared" si="45"/>
        <v>4391.7680000000018</v>
      </c>
      <c r="AZ23" s="8">
        <f t="shared" si="45"/>
        <v>9664.0110000000095</v>
      </c>
      <c r="BA23" s="8">
        <f t="shared" si="45"/>
        <v>2317.1049999999987</v>
      </c>
      <c r="BB23" s="8">
        <f t="shared" ref="BB23:BE23" si="46">SUM(BB21,BB22)</f>
        <v>3298.7710000000052</v>
      </c>
      <c r="BC23" s="8">
        <f t="shared" si="46"/>
        <v>3957.3079999999986</v>
      </c>
      <c r="BD23" s="8">
        <f t="shared" si="46"/>
        <v>7593.9280000000381</v>
      </c>
      <c r="BE23" s="8">
        <f t="shared" si="46"/>
        <v>1919.3580000000006</v>
      </c>
      <c r="BG23" s="8">
        <f>SUM(BG21,BG22)</f>
        <v>2196.1859999999988</v>
      </c>
      <c r="BH23" s="8">
        <f>SUM(BH21,BH22)</f>
        <v>1256.176999999996</v>
      </c>
      <c r="BI23" s="8">
        <f>SUM(BI21,BI22)</f>
        <v>3039.3249999999998</v>
      </c>
    </row>
    <row r="24" spans="2:61" s="5" customFormat="1" ht="13.5" customHeight="1">
      <c r="B24" s="7"/>
      <c r="C24" s="4"/>
      <c r="D24" s="4"/>
      <c r="E24" s="4"/>
      <c r="F24" s="4"/>
      <c r="G24" s="4"/>
      <c r="H24" s="4"/>
      <c r="I24" s="4"/>
      <c r="J24" s="4"/>
      <c r="K24" s="4"/>
      <c r="L24" s="4"/>
      <c r="M24" s="4"/>
      <c r="N24" s="4"/>
      <c r="O24" s="4"/>
      <c r="P24" s="176"/>
      <c r="Q24" s="4"/>
      <c r="U24" s="4"/>
      <c r="V24" s="4"/>
      <c r="X24" s="22"/>
      <c r="Z24" s="4"/>
      <c r="BG24" s="4"/>
    </row>
    <row r="25" spans="2:61" s="5" customFormat="1" ht="13.5" customHeight="1">
      <c r="B25" s="403" t="s">
        <v>283</v>
      </c>
      <c r="C25" s="401"/>
      <c r="D25" s="401"/>
      <c r="E25" s="401"/>
      <c r="F25" s="401"/>
      <c r="G25" s="401"/>
      <c r="H25" s="401"/>
      <c r="I25" s="401"/>
      <c r="J25" s="401"/>
      <c r="K25" s="401"/>
      <c r="L25" s="401"/>
      <c r="M25" s="401"/>
      <c r="N25" s="401"/>
      <c r="O25" s="401"/>
      <c r="P25" s="176"/>
      <c r="Q25" s="401"/>
      <c r="R25" s="401"/>
      <c r="S25" s="401"/>
      <c r="T25" s="401"/>
      <c r="U25" s="401"/>
      <c r="V25" s="401"/>
      <c r="W25" s="401"/>
      <c r="X25" s="402"/>
      <c r="Y25" s="401"/>
      <c r="Z25" s="401"/>
      <c r="AA25" s="401"/>
      <c r="AB25" s="401"/>
      <c r="AC25" s="401"/>
      <c r="AD25" s="401"/>
      <c r="AE25" s="401"/>
      <c r="AF25" s="401"/>
      <c r="AG25" s="401"/>
      <c r="AH25" s="401"/>
      <c r="AI25" s="401"/>
      <c r="AJ25" s="401"/>
      <c r="AK25" s="401"/>
      <c r="AL25" s="401"/>
      <c r="AM25" s="401"/>
      <c r="AN25" s="401"/>
      <c r="AO25" s="401"/>
      <c r="AP25" s="401"/>
      <c r="AQ25" s="401"/>
      <c r="AR25" s="401"/>
      <c r="AS25" s="401"/>
      <c r="AT25" s="401"/>
      <c r="AU25" s="401"/>
      <c r="AV25" s="401"/>
      <c r="AW25" s="401"/>
      <c r="AX25" s="401"/>
      <c r="AY25" s="401"/>
      <c r="AZ25" s="401"/>
      <c r="BA25" s="401"/>
      <c r="BB25" s="401"/>
      <c r="BC25" s="401"/>
      <c r="BD25" s="401"/>
      <c r="BE25" s="401"/>
      <c r="BG25" s="401"/>
      <c r="BH25" s="401"/>
      <c r="BI25" s="401"/>
    </row>
    <row r="26" spans="2:61" s="25" customFormat="1" ht="13.5" customHeight="1">
      <c r="B26" s="416" t="str">
        <f>B13</f>
        <v>COGS</v>
      </c>
      <c r="C26" s="26">
        <f t="shared" ref="C26:O26" si="47">-C13/C7</f>
        <v>0.59342237664191888</v>
      </c>
      <c r="D26" s="26">
        <f t="shared" si="47"/>
        <v>0.59313241801341177</v>
      </c>
      <c r="E26" s="26">
        <f t="shared" si="47"/>
        <v>0.59843575072368471</v>
      </c>
      <c r="F26" s="26">
        <f t="shared" si="47"/>
        <v>0.60070820020309856</v>
      </c>
      <c r="G26" s="26">
        <f t="shared" si="47"/>
        <v>0.60221361973801102</v>
      </c>
      <c r="H26" s="26">
        <f t="shared" si="47"/>
        <v>0.60203225177073449</v>
      </c>
      <c r="I26" s="26">
        <f t="shared" si="47"/>
        <v>0.63737686462144671</v>
      </c>
      <c r="J26" s="26">
        <f t="shared" si="47"/>
        <v>0.62209801637777884</v>
      </c>
      <c r="K26" s="26">
        <f t="shared" si="47"/>
        <v>0.61111571123986919</v>
      </c>
      <c r="L26" s="26">
        <f t="shared" si="47"/>
        <v>0.59630844018267049</v>
      </c>
      <c r="M26" s="26">
        <f t="shared" si="47"/>
        <v>0.59437042780842819</v>
      </c>
      <c r="N26" s="26">
        <f t="shared" si="47"/>
        <v>0.605443879446668</v>
      </c>
      <c r="O26" s="26">
        <f t="shared" si="47"/>
        <v>0.60054106512857086</v>
      </c>
      <c r="P26" s="176"/>
      <c r="Q26" s="26">
        <f t="shared" ref="Q26:BE26" si="48">-Q13/Q7</f>
        <v>0.58670208167074422</v>
      </c>
      <c r="R26" s="26">
        <f t="shared" si="48"/>
        <v>0.59636990822544911</v>
      </c>
      <c r="S26" s="26">
        <f t="shared" si="48"/>
        <v>0.59986661529865648</v>
      </c>
      <c r="T26" s="26">
        <f t="shared" si="48"/>
        <v>0.60531706446903999</v>
      </c>
      <c r="U26" s="26">
        <f t="shared" si="48"/>
        <v>0.57430004314429417</v>
      </c>
      <c r="V26" s="26">
        <f t="shared" si="48"/>
        <v>0.59887840989886509</v>
      </c>
      <c r="W26" s="26">
        <f t="shared" si="48"/>
        <v>0.60484518960308986</v>
      </c>
      <c r="X26" s="28">
        <f t="shared" si="48"/>
        <v>0.61166556193546184</v>
      </c>
      <c r="Y26" s="26">
        <f t="shared" si="48"/>
        <v>0.5925379439494135</v>
      </c>
      <c r="Z26" s="26">
        <f t="shared" si="48"/>
        <v>0.59886728889036245</v>
      </c>
      <c r="AA26" s="26">
        <f t="shared" si="48"/>
        <v>0.59718505500740193</v>
      </c>
      <c r="AB26" s="26">
        <f t="shared" si="48"/>
        <v>0.61255959932581827</v>
      </c>
      <c r="AC26" s="26">
        <f t="shared" si="48"/>
        <v>0.59737575796076092</v>
      </c>
      <c r="AD26" s="26">
        <f t="shared" si="48"/>
        <v>0.59856993504407807</v>
      </c>
      <c r="AE26" s="26">
        <f t="shared" si="48"/>
        <v>0.58983328638921095</v>
      </c>
      <c r="AF26" s="26">
        <f t="shared" si="48"/>
        <v>0.61418287464219934</v>
      </c>
      <c r="AG26" s="26">
        <f t="shared" si="48"/>
        <v>0.59558255242801794</v>
      </c>
      <c r="AH26" s="26">
        <f t="shared" si="48"/>
        <v>0.64091081800844241</v>
      </c>
      <c r="AI26" s="26">
        <f t="shared" si="48"/>
        <v>0.62947053099242423</v>
      </c>
      <c r="AJ26" s="26">
        <f t="shared" si="48"/>
        <v>0.66450962837215799</v>
      </c>
      <c r="AK26" s="26">
        <f t="shared" si="48"/>
        <v>0.62929439034400381</v>
      </c>
      <c r="AL26" s="26">
        <f t="shared" si="48"/>
        <v>0.63257554163206609</v>
      </c>
      <c r="AM26" s="26">
        <f t="shared" si="48"/>
        <v>0.59984597659569383</v>
      </c>
      <c r="AN26" s="26">
        <f t="shared" si="48"/>
        <v>0.62443134463506977</v>
      </c>
      <c r="AO26" s="26">
        <f t="shared" si="48"/>
        <v>0.59659316971757415</v>
      </c>
      <c r="AP26" s="26">
        <f t="shared" si="48"/>
        <v>0.60798821434109807</v>
      </c>
      <c r="AQ26" s="26">
        <f t="shared" si="48"/>
        <v>0.60380308868742294</v>
      </c>
      <c r="AR26" s="26">
        <f t="shared" si="48"/>
        <v>0.62504075721370633</v>
      </c>
      <c r="AS26" s="26">
        <f t="shared" si="48"/>
        <v>0.59496879251286483</v>
      </c>
      <c r="AT26" s="26">
        <f t="shared" si="48"/>
        <v>0.60439402418258892</v>
      </c>
      <c r="AU26" s="26">
        <f t="shared" si="48"/>
        <v>0.58368896788050939</v>
      </c>
      <c r="AV26" s="26">
        <f t="shared" si="48"/>
        <v>0.59908299962021172</v>
      </c>
      <c r="AW26" s="26">
        <f t="shared" si="48"/>
        <v>0.58012828762730084</v>
      </c>
      <c r="AX26" s="26">
        <f t="shared" si="48"/>
        <v>0.59350550414343428</v>
      </c>
      <c r="AY26" s="26">
        <f t="shared" si="48"/>
        <v>0.5822261556565187</v>
      </c>
      <c r="AZ26" s="26">
        <f t="shared" si="48"/>
        <v>0.61018724055465079</v>
      </c>
      <c r="BA26" s="26">
        <f t="shared" si="48"/>
        <v>0.59901445281334875</v>
      </c>
      <c r="BB26" s="26">
        <f t="shared" si="48"/>
        <v>0.60773574163870758</v>
      </c>
      <c r="BC26" s="26">
        <f t="shared" si="48"/>
        <v>0.59350679865950373</v>
      </c>
      <c r="BD26" s="26">
        <f t="shared" si="48"/>
        <v>0.61475994211163876</v>
      </c>
      <c r="BE26" s="26">
        <f t="shared" si="48"/>
        <v>0.58321377628361559</v>
      </c>
      <c r="BG26" s="28">
        <f>-BG13/BG7</f>
        <v>0.59758107600778254</v>
      </c>
      <c r="BH26" s="28">
        <f>-BH13/BH7</f>
        <v>0.60629190892801288</v>
      </c>
      <c r="BI26" s="28">
        <f>-BI13/BI7</f>
        <v>0.59769368659458755</v>
      </c>
    </row>
    <row r="27" spans="2:61" s="25" customFormat="1" ht="13.5" customHeight="1">
      <c r="B27" s="416" t="str">
        <f>B16</f>
        <v>Administrative and selling expenses</v>
      </c>
      <c r="C27" s="26">
        <f t="shared" ref="C27:O27" si="49">-C16/C7</f>
        <v>0.26973713721727033</v>
      </c>
      <c r="D27" s="26">
        <f t="shared" si="49"/>
        <v>0.26824443029730388</v>
      </c>
      <c r="E27" s="26">
        <f t="shared" si="49"/>
        <v>0.26808967756128305</v>
      </c>
      <c r="F27" s="26">
        <f t="shared" si="49"/>
        <v>0.27461390366315958</v>
      </c>
      <c r="G27" s="26">
        <f t="shared" si="49"/>
        <v>0.27290794225902998</v>
      </c>
      <c r="H27" s="26">
        <f t="shared" si="49"/>
        <v>0.26504993739076177</v>
      </c>
      <c r="I27" s="26">
        <f t="shared" si="49"/>
        <v>0.32961094632921256</v>
      </c>
      <c r="J27" s="26">
        <f t="shared" si="49"/>
        <v>0.2538582203749527</v>
      </c>
      <c r="K27" s="26">
        <f t="shared" si="49"/>
        <v>0.2439383090921444</v>
      </c>
      <c r="L27" s="26">
        <f t="shared" si="49"/>
        <v>0.2526351649223294</v>
      </c>
      <c r="M27" s="26">
        <f t="shared" si="49"/>
        <v>0.25736587820318685</v>
      </c>
      <c r="N27" s="26">
        <f t="shared" si="49"/>
        <v>0.26600850902929757</v>
      </c>
      <c r="O27" s="26">
        <f t="shared" si="49"/>
        <v>0.27229772022171517</v>
      </c>
      <c r="P27" s="39"/>
      <c r="Q27" s="26">
        <f t="shared" ref="Q27:BE27" si="50">-Q16/Q7</f>
        <v>0.31909585892825421</v>
      </c>
      <c r="R27" s="26">
        <f t="shared" si="50"/>
        <v>0.27349532685650241</v>
      </c>
      <c r="S27" s="26">
        <f t="shared" si="50"/>
        <v>0.30084089236634676</v>
      </c>
      <c r="T27" s="26">
        <f t="shared" si="50"/>
        <v>0.21660837299970806</v>
      </c>
      <c r="U27" s="26">
        <f t="shared" si="50"/>
        <v>0.33263877960238486</v>
      </c>
      <c r="V27" s="26">
        <f t="shared" si="50"/>
        <v>0.27881527087854985</v>
      </c>
      <c r="W27" s="26">
        <f t="shared" si="50"/>
        <v>0.31822503511134126</v>
      </c>
      <c r="X27" s="28">
        <f t="shared" si="50"/>
        <v>0.21839407873353117</v>
      </c>
      <c r="Y27" s="26">
        <f t="shared" si="50"/>
        <v>0.34623191293746747</v>
      </c>
      <c r="Z27" s="26">
        <f t="shared" si="50"/>
        <v>0.2765571652124249</v>
      </c>
      <c r="AA27" s="26">
        <f t="shared" si="50"/>
        <v>0.30353141533008599</v>
      </c>
      <c r="AB27" s="26">
        <f t="shared" si="50"/>
        <v>0.21366606912795483</v>
      </c>
      <c r="AC27" s="26">
        <f t="shared" si="50"/>
        <v>0.33732948442559346</v>
      </c>
      <c r="AD27" s="26">
        <f t="shared" si="50"/>
        <v>0.27480312807957402</v>
      </c>
      <c r="AE27" s="26">
        <f t="shared" si="50"/>
        <v>0.30854124172450204</v>
      </c>
      <c r="AF27" s="26">
        <f t="shared" si="50"/>
        <v>0.19352854038552955</v>
      </c>
      <c r="AG27" s="26">
        <f t="shared" si="50"/>
        <v>0.35526970162212107</v>
      </c>
      <c r="AH27" s="26">
        <f t="shared" si="50"/>
        <v>0.56743909302297668</v>
      </c>
      <c r="AI27" s="26">
        <f t="shared" si="50"/>
        <v>0.38167589943815655</v>
      </c>
      <c r="AJ27" s="26">
        <f t="shared" si="50"/>
        <v>0.21081148832286897</v>
      </c>
      <c r="AK27" s="26">
        <f t="shared" si="50"/>
        <v>0.33134393201787976</v>
      </c>
      <c r="AL27" s="26">
        <f t="shared" si="50"/>
        <v>0.2392443210110842</v>
      </c>
      <c r="AM27" s="26">
        <f t="shared" si="50"/>
        <v>0.27536864341241268</v>
      </c>
      <c r="AN27" s="26">
        <f t="shared" si="50"/>
        <v>0.21607154227128977</v>
      </c>
      <c r="AO27" s="26">
        <f t="shared" si="50"/>
        <v>0.2895286306904678</v>
      </c>
      <c r="AP27" s="26">
        <f t="shared" si="50"/>
        <v>0.23856795785734092</v>
      </c>
      <c r="AQ27" s="26">
        <f t="shared" si="50"/>
        <v>0.26726122408693087</v>
      </c>
      <c r="AR27" s="26">
        <f t="shared" si="50"/>
        <v>0.21023549889283163</v>
      </c>
      <c r="AS27" s="26">
        <f t="shared" si="50"/>
        <v>0.30160177761168561</v>
      </c>
      <c r="AT27" s="26">
        <f t="shared" si="50"/>
        <v>0.24056201750347209</v>
      </c>
      <c r="AU27" s="26">
        <f t="shared" si="50"/>
        <v>0.28089045949173697</v>
      </c>
      <c r="AV27" s="26">
        <f t="shared" si="50"/>
        <v>0.21729151907725083</v>
      </c>
      <c r="AW27" s="26">
        <f t="shared" si="50"/>
        <v>0.30929970670064538</v>
      </c>
      <c r="AX27" s="26">
        <f t="shared" si="50"/>
        <v>0.255816050798024</v>
      </c>
      <c r="AY27" s="26">
        <f t="shared" si="50"/>
        <v>0.2865216750770242</v>
      </c>
      <c r="AZ27" s="26">
        <f t="shared" si="50"/>
        <v>0.21220012576400993</v>
      </c>
      <c r="BA27" s="26">
        <f t="shared" si="50"/>
        <v>0.31294331134532855</v>
      </c>
      <c r="BB27" s="26">
        <f t="shared" si="50"/>
        <v>0.26629655559642273</v>
      </c>
      <c r="BC27" s="26">
        <f t="shared" si="50"/>
        <v>0.30603007151132039</v>
      </c>
      <c r="BD27" s="26">
        <f t="shared" si="50"/>
        <v>0.21448660680771117</v>
      </c>
      <c r="BE27" s="26">
        <f t="shared" si="50"/>
        <v>0.33731577205407026</v>
      </c>
      <c r="BG27" s="28">
        <f>-BG16/BG7</f>
        <v>0.28028370332854435</v>
      </c>
      <c r="BH27" s="28">
        <f>-BH16/BH7</f>
        <v>0.31665934397081641</v>
      </c>
      <c r="BI27" s="28">
        <f>-BI16/BI7</f>
        <v>0.27440083004390703</v>
      </c>
    </row>
    <row r="28" spans="2:61" s="25" customFormat="1" ht="13.5" customHeight="1">
      <c r="B28" s="416" t="str">
        <f>B17</f>
        <v>Operating Profit</v>
      </c>
      <c r="C28" s="26">
        <f t="shared" ref="C28:O28" si="51">C17/C7</f>
        <v>0.13684048614081079</v>
      </c>
      <c r="D28" s="26">
        <f t="shared" si="51"/>
        <v>0.13862315168928435</v>
      </c>
      <c r="E28" s="26">
        <f t="shared" si="51"/>
        <v>0.1334745717150323</v>
      </c>
      <c r="F28" s="26">
        <f t="shared" si="51"/>
        <v>0.1246778961337419</v>
      </c>
      <c r="G28" s="26">
        <f t="shared" si="51"/>
        <v>0.12487843800295897</v>
      </c>
      <c r="H28" s="26">
        <f t="shared" si="51"/>
        <v>0.13291781083850376</v>
      </c>
      <c r="I28" s="26">
        <f t="shared" si="51"/>
        <v>3.3012189049340751E-2</v>
      </c>
      <c r="J28" s="26">
        <f t="shared" si="51"/>
        <v>0.1240437632472685</v>
      </c>
      <c r="K28" s="26">
        <f t="shared" si="51"/>
        <v>0.14494597966798636</v>
      </c>
      <c r="L28" s="26">
        <f t="shared" si="51"/>
        <v>0.15105639489500011</v>
      </c>
      <c r="M28" s="26">
        <f t="shared" si="51"/>
        <v>0.14826369398838496</v>
      </c>
      <c r="N28" s="26">
        <f t="shared" si="51"/>
        <v>0.12854761152403446</v>
      </c>
      <c r="O28" s="26">
        <f t="shared" si="51"/>
        <v>0.12716121464971394</v>
      </c>
      <c r="P28" s="39"/>
      <c r="Q28" s="26">
        <f t="shared" ref="Q28:BE28" si="52">Q17/Q7</f>
        <v>9.4202059401001501E-2</v>
      </c>
      <c r="R28" s="26">
        <f t="shared" si="52"/>
        <v>0.13013476491804851</v>
      </c>
      <c r="S28" s="26">
        <f t="shared" si="52"/>
        <v>9.929249233499679E-2</v>
      </c>
      <c r="T28" s="26">
        <f t="shared" si="52"/>
        <v>0.17807456253125198</v>
      </c>
      <c r="U28" s="26">
        <f t="shared" si="52"/>
        <v>9.3061177253320998E-2</v>
      </c>
      <c r="V28" s="26">
        <f t="shared" si="52"/>
        <v>0.12230631922258507</v>
      </c>
      <c r="W28" s="26">
        <f t="shared" si="52"/>
        <v>7.6929775285568852E-2</v>
      </c>
      <c r="X28" s="28">
        <f t="shared" si="52"/>
        <v>0.16994035933100701</v>
      </c>
      <c r="Y28" s="26">
        <f t="shared" si="52"/>
        <v>6.1230143113119036E-2</v>
      </c>
      <c r="Z28" s="26">
        <f t="shared" si="52"/>
        <v>0.12457554589721258</v>
      </c>
      <c r="AA28" s="26">
        <f t="shared" si="52"/>
        <v>9.9283529662512096E-2</v>
      </c>
      <c r="AB28" s="26">
        <f t="shared" si="52"/>
        <v>0.17377433154622696</v>
      </c>
      <c r="AC28" s="26">
        <f t="shared" si="52"/>
        <v>6.5294757613645588E-2</v>
      </c>
      <c r="AD28" s="26">
        <f t="shared" si="52"/>
        <v>0.12662693687634793</v>
      </c>
      <c r="AE28" s="26">
        <f t="shared" si="52"/>
        <v>0.10162547188628697</v>
      </c>
      <c r="AF28" s="26">
        <f t="shared" si="52"/>
        <v>0.19228858497227114</v>
      </c>
      <c r="AG28" s="26">
        <f t="shared" si="52"/>
        <v>4.9147745949861051E-2</v>
      </c>
      <c r="AH28" s="26">
        <f t="shared" si="52"/>
        <v>-0.20834991103141906</v>
      </c>
      <c r="AI28" s="26">
        <f t="shared" si="52"/>
        <v>-1.114643043058079E-2</v>
      </c>
      <c r="AJ28" s="26">
        <f t="shared" si="52"/>
        <v>0.12467888330497301</v>
      </c>
      <c r="AK28" s="26">
        <f t="shared" si="52"/>
        <v>3.9361677638116446E-2</v>
      </c>
      <c r="AL28" s="26">
        <f t="shared" si="52"/>
        <v>0.12818013735684972</v>
      </c>
      <c r="AM28" s="26">
        <f t="shared" si="52"/>
        <v>0.12478537999189347</v>
      </c>
      <c r="AN28" s="26">
        <f t="shared" si="52"/>
        <v>0.15949711309364051</v>
      </c>
      <c r="AO28" s="26">
        <f t="shared" si="52"/>
        <v>0.11387819959195812</v>
      </c>
      <c r="AP28" s="26">
        <f t="shared" si="52"/>
        <v>0.15344382780156107</v>
      </c>
      <c r="AQ28" s="26">
        <f t="shared" si="52"/>
        <v>0.12893568722564622</v>
      </c>
      <c r="AR28" s="26">
        <f t="shared" si="52"/>
        <v>0.164723743893462</v>
      </c>
      <c r="AS28" s="26">
        <f t="shared" si="52"/>
        <v>0.10342942987544956</v>
      </c>
      <c r="AT28" s="26">
        <f t="shared" si="52"/>
        <v>0.15504395831393902</v>
      </c>
      <c r="AU28" s="26">
        <f t="shared" si="52"/>
        <v>0.13542057262775364</v>
      </c>
      <c r="AV28" s="26">
        <f t="shared" si="52"/>
        <v>0.18362548130253745</v>
      </c>
      <c r="AW28" s="26">
        <f t="shared" si="52"/>
        <v>0.11057200567205373</v>
      </c>
      <c r="AX28" s="26">
        <f t="shared" si="52"/>
        <v>0.15067844505854169</v>
      </c>
      <c r="AY28" s="26">
        <f t="shared" si="52"/>
        <v>0.13125216926645714</v>
      </c>
      <c r="AZ28" s="26">
        <f t="shared" si="52"/>
        <v>0.17761263368133928</v>
      </c>
      <c r="BA28" s="26">
        <f t="shared" si="52"/>
        <v>8.8042235841322702E-2</v>
      </c>
      <c r="BB28" s="26">
        <f t="shared" si="52"/>
        <v>0.12596770276486968</v>
      </c>
      <c r="BC28" s="26">
        <f t="shared" si="52"/>
        <v>0.10046312982917589</v>
      </c>
      <c r="BD28" s="26">
        <f t="shared" si="52"/>
        <v>0.17075345108065007</v>
      </c>
      <c r="BE28" s="26">
        <f t="shared" si="52"/>
        <v>7.9470451662314187E-2</v>
      </c>
      <c r="BG28" s="28">
        <f>BG17/BG7</f>
        <v>0.12213522066367308</v>
      </c>
      <c r="BH28" s="28">
        <f>BH17/BH7</f>
        <v>7.704874710117067E-2</v>
      </c>
      <c r="BI28" s="28">
        <f>BI17/BI7</f>
        <v>0.12790548336150537</v>
      </c>
    </row>
    <row r="29" spans="2:61" s="25" customFormat="1" ht="13.5" customHeight="1">
      <c r="B29" s="416" t="s">
        <v>284</v>
      </c>
      <c r="C29" s="26">
        <f t="shared" ref="C29:O29" si="53">C18/C144</f>
        <v>3.4246303298261144E-2</v>
      </c>
      <c r="D29" s="26">
        <f t="shared" si="53"/>
        <v>3.0176906822486995E-2</v>
      </c>
      <c r="E29" s="26">
        <f t="shared" si="53"/>
        <v>4.2434395874284395E-2</v>
      </c>
      <c r="F29" s="26">
        <f t="shared" si="53"/>
        <v>-1.2823204075147738E-2</v>
      </c>
      <c r="G29" s="26">
        <f t="shared" si="53"/>
        <v>6.6093837108911702E-2</v>
      </c>
      <c r="H29" s="26">
        <f t="shared" si="53"/>
        <v>0</v>
      </c>
      <c r="I29" s="26">
        <f t="shared" si="53"/>
        <v>0</v>
      </c>
      <c r="J29" s="26">
        <f t="shared" si="53"/>
        <v>4.9346974448298039E-2</v>
      </c>
      <c r="K29" s="26">
        <f t="shared" si="53"/>
        <v>7.4389219494952197E-2</v>
      </c>
      <c r="L29" s="26">
        <f t="shared" si="53"/>
        <v>6.4259346225669353E-2</v>
      </c>
      <c r="M29" s="26">
        <f t="shared" si="53"/>
        <v>0.16960068106915596</v>
      </c>
      <c r="N29" s="26">
        <f t="shared" si="53"/>
        <v>5.6542705672465624E-2</v>
      </c>
      <c r="O29" s="26">
        <f t="shared" si="53"/>
        <v>4.1308846636404738E-2</v>
      </c>
      <c r="P29" s="39"/>
      <c r="Q29" s="26"/>
      <c r="R29" s="26"/>
      <c r="S29" s="26"/>
      <c r="T29" s="26">
        <f t="shared" ref="T29:BE29" si="54">SUM(Q18:T18)/T144</f>
        <v>4.2434395874284395E-2</v>
      </c>
      <c r="U29" s="26">
        <f t="shared" si="54"/>
        <v>5.2304777955367157E-2</v>
      </c>
      <c r="V29" s="26">
        <f t="shared" si="54"/>
        <v>0.18795293760437226</v>
      </c>
      <c r="W29" s="26">
        <f t="shared" si="54"/>
        <v>0.12081022645274565</v>
      </c>
      <c r="X29" s="28">
        <f t="shared" si="54"/>
        <v>-1.2823204075147738E-2</v>
      </c>
      <c r="Y29" s="26">
        <f t="shared" si="54"/>
        <v>-1.2387811752964627E-2</v>
      </c>
      <c r="Z29" s="26">
        <f t="shared" si="54"/>
        <v>-1.7202122759413176E-3</v>
      </c>
      <c r="AA29" s="26">
        <f t="shared" si="54"/>
        <v>8.4310239574051597E-4</v>
      </c>
      <c r="AB29" s="26">
        <f t="shared" si="54"/>
        <v>6.6093837108911702E-2</v>
      </c>
      <c r="AC29" s="26">
        <f t="shared" si="54"/>
        <v>8.986476392854327E-2</v>
      </c>
      <c r="AD29" s="26">
        <f t="shared" si="54"/>
        <v>7.6033022991855465E-2</v>
      </c>
      <c r="AE29" s="26">
        <f t="shared" si="54"/>
        <v>0.14860682283338233</v>
      </c>
      <c r="AF29" s="26">
        <f t="shared" si="54"/>
        <v>0</v>
      </c>
      <c r="AG29" s="26">
        <f t="shared" si="54"/>
        <v>2.2209031101597696E-2</v>
      </c>
      <c r="AH29" s="26">
        <f t="shared" si="54"/>
        <v>0.20413349290471991</v>
      </c>
      <c r="AI29" s="26">
        <f t="shared" si="54"/>
        <v>5.6852802934758487E-2</v>
      </c>
      <c r="AJ29" s="26">
        <f t="shared" si="54"/>
        <v>0</v>
      </c>
      <c r="AK29" s="26">
        <f t="shared" si="54"/>
        <v>-1.6512783445331043E-2</v>
      </c>
      <c r="AL29" s="26">
        <f t="shared" si="54"/>
        <v>-4.20159888371089E-2</v>
      </c>
      <c r="AM29" s="26">
        <f t="shared" si="54"/>
        <v>-2.1000714542854879E-2</v>
      </c>
      <c r="AN29" s="26">
        <f t="shared" si="54"/>
        <v>4.9346974448298039E-2</v>
      </c>
      <c r="AO29" s="26">
        <f t="shared" si="54"/>
        <v>8.7877824443862371E-2</v>
      </c>
      <c r="AP29" s="26">
        <f t="shared" si="54"/>
        <v>9.6835083795097712E-2</v>
      </c>
      <c r="AQ29" s="26">
        <f t="shared" si="54"/>
        <v>0.14687528200912592</v>
      </c>
      <c r="AR29" s="26">
        <f t="shared" si="54"/>
        <v>7.4389219494952197E-2</v>
      </c>
      <c r="AS29" s="26">
        <f t="shared" si="54"/>
        <v>9.8310405787198379E-2</v>
      </c>
      <c r="AT29" s="26">
        <f t="shared" si="54"/>
        <v>0.10259183489293688</v>
      </c>
      <c r="AU29" s="26">
        <f t="shared" si="54"/>
        <v>0.11442217814513017</v>
      </c>
      <c r="AV29" s="26">
        <f t="shared" si="54"/>
        <v>6.4259346225669339E-2</v>
      </c>
      <c r="AW29" s="26">
        <f t="shared" si="54"/>
        <v>8.2252194124309549E-2</v>
      </c>
      <c r="AX29" s="26">
        <f t="shared" si="54"/>
        <v>0.14919251853341231</v>
      </c>
      <c r="AY29" s="26">
        <f t="shared" si="54"/>
        <v>0.21561956780032276</v>
      </c>
      <c r="AZ29" s="26">
        <f t="shared" si="54"/>
        <v>0.16960068106915596</v>
      </c>
      <c r="BA29" s="26">
        <f t="shared" si="54"/>
        <v>0.1183728232527916</v>
      </c>
      <c r="BB29" s="26">
        <f t="shared" si="54"/>
        <v>0.30256346432681441</v>
      </c>
      <c r="BC29" s="26">
        <f t="shared" si="54"/>
        <v>0.18449972575282408</v>
      </c>
      <c r="BD29" s="26">
        <f t="shared" si="54"/>
        <v>5.6542705672465624E-2</v>
      </c>
      <c r="BE29" s="26">
        <f t="shared" si="54"/>
        <v>5.0623752090173585E-2</v>
      </c>
      <c r="BG29" s="28"/>
      <c r="BH29" s="28"/>
      <c r="BI29" s="28"/>
    </row>
    <row r="30" spans="2:61" s="25" customFormat="1" ht="13.5" customHeight="1">
      <c r="B30" s="416" t="s">
        <v>285</v>
      </c>
      <c r="C30" s="26">
        <f t="shared" ref="C30:O30" si="55">-C19/C147</f>
        <v>9.3629148899497139E-2</v>
      </c>
      <c r="D30" s="26">
        <f t="shared" si="55"/>
        <v>8.0699749845098617E-2</v>
      </c>
      <c r="E30" s="26">
        <f t="shared" si="55"/>
        <v>4.3969405033248581E-2</v>
      </c>
      <c r="F30" s="26">
        <f t="shared" si="55"/>
        <v>7.650229650024723E-2</v>
      </c>
      <c r="G30" s="26">
        <f t="shared" si="55"/>
        <v>8.8292794598503435E-2</v>
      </c>
      <c r="H30" s="26">
        <f t="shared" si="55"/>
        <v>6.1208455610487052E-2</v>
      </c>
      <c r="I30" s="26">
        <f t="shared" si="55"/>
        <v>6.5048104511099186E-2</v>
      </c>
      <c r="J30" s="26">
        <f t="shared" si="55"/>
        <v>0.10234187253396017</v>
      </c>
      <c r="K30" s="26">
        <f t="shared" si="55"/>
        <v>0.10602334999001403</v>
      </c>
      <c r="L30" s="26">
        <f t="shared" si="55"/>
        <v>0.12237959132297924</v>
      </c>
      <c r="M30" s="26">
        <f t="shared" si="55"/>
        <v>0.10450915179937313</v>
      </c>
      <c r="N30" s="26">
        <f t="shared" si="55"/>
        <v>0.15583621539625564</v>
      </c>
      <c r="O30" s="26">
        <f t="shared" si="55"/>
        <v>8.0508537156734908E-2</v>
      </c>
      <c r="P30" s="39"/>
      <c r="Q30" s="26"/>
      <c r="R30" s="26"/>
      <c r="S30" s="26"/>
      <c r="T30" s="26">
        <f t="shared" ref="T30:BE30" si="56">-SUM(Q19:T19)/T147</f>
        <v>4.3969405033248581E-2</v>
      </c>
      <c r="U30" s="26">
        <f t="shared" si="56"/>
        <v>8.1313205967839863E-2</v>
      </c>
      <c r="V30" s="26">
        <f t="shared" si="56"/>
        <v>9.7863214910255195E-2</v>
      </c>
      <c r="W30" s="26">
        <f t="shared" si="56"/>
        <v>9.6821742375518161E-2</v>
      </c>
      <c r="X30" s="28">
        <f t="shared" si="56"/>
        <v>7.650229650024723E-2</v>
      </c>
      <c r="Y30" s="26">
        <f t="shared" si="56"/>
        <v>6.0935780107563953E-2</v>
      </c>
      <c r="Z30" s="26">
        <f t="shared" si="56"/>
        <v>6.3488891478779924E-2</v>
      </c>
      <c r="AA30" s="26">
        <f t="shared" si="56"/>
        <v>6.6026190443568347E-2</v>
      </c>
      <c r="AB30" s="26">
        <f t="shared" si="56"/>
        <v>8.8292794598503435E-2</v>
      </c>
      <c r="AC30" s="26">
        <f t="shared" si="56"/>
        <v>6.8411999741800691E-2</v>
      </c>
      <c r="AD30" s="26">
        <f t="shared" si="56"/>
        <v>7.4009827922289703E-2</v>
      </c>
      <c r="AE30" s="26">
        <f t="shared" si="56"/>
        <v>7.8703103991308004E-2</v>
      </c>
      <c r="AF30" s="26">
        <f t="shared" si="56"/>
        <v>6.1208455610487052E-2</v>
      </c>
      <c r="AG30" s="26">
        <f t="shared" si="56"/>
        <v>5.787094858977955E-2</v>
      </c>
      <c r="AH30" s="26">
        <f t="shared" si="56"/>
        <v>7.2934274502020807E-2</v>
      </c>
      <c r="AI30" s="26">
        <f t="shared" si="56"/>
        <v>7.0966254674454346E-2</v>
      </c>
      <c r="AJ30" s="26">
        <f t="shared" si="56"/>
        <v>6.5048104511099186E-2</v>
      </c>
      <c r="AK30" s="26">
        <f t="shared" si="56"/>
        <v>6.5182118625307969E-2</v>
      </c>
      <c r="AL30" s="26">
        <f t="shared" si="56"/>
        <v>5.3376964957102861E-2</v>
      </c>
      <c r="AM30" s="26">
        <f t="shared" si="56"/>
        <v>6.8188904551092291E-2</v>
      </c>
      <c r="AN30" s="26">
        <f t="shared" si="56"/>
        <v>0.10234187253396017</v>
      </c>
      <c r="AO30" s="26">
        <f t="shared" si="56"/>
        <v>0.11482605168670869</v>
      </c>
      <c r="AP30" s="26">
        <f t="shared" si="56"/>
        <v>0.11244053886466504</v>
      </c>
      <c r="AQ30" s="26">
        <f t="shared" si="56"/>
        <v>0.10855094927682958</v>
      </c>
      <c r="AR30" s="26">
        <f t="shared" si="56"/>
        <v>0.10602334999001403</v>
      </c>
      <c r="AS30" s="26">
        <f t="shared" si="56"/>
        <v>0.11400619836792152</v>
      </c>
      <c r="AT30" s="26">
        <f t="shared" si="56"/>
        <v>0.1246892227774857</v>
      </c>
      <c r="AU30" s="26">
        <f t="shared" si="56"/>
        <v>0.11853758613779801</v>
      </c>
      <c r="AV30" s="26">
        <f t="shared" si="56"/>
        <v>0.12237959132297924</v>
      </c>
      <c r="AW30" s="26">
        <f t="shared" si="56"/>
        <v>0.11646455855710108</v>
      </c>
      <c r="AX30" s="26">
        <f t="shared" si="56"/>
        <v>0.10406761072816451</v>
      </c>
      <c r="AY30" s="26">
        <f t="shared" si="56"/>
        <v>0.10165123447873957</v>
      </c>
      <c r="AZ30" s="26">
        <f t="shared" si="56"/>
        <v>0.10450915179937313</v>
      </c>
      <c r="BA30" s="26">
        <f t="shared" si="56"/>
        <v>7.4004621729054018E-2</v>
      </c>
      <c r="BB30" s="26">
        <f t="shared" si="56"/>
        <v>0.10187084176618864</v>
      </c>
      <c r="BC30" s="26">
        <f t="shared" si="56"/>
        <v>0.10830165336383914</v>
      </c>
      <c r="BD30" s="26">
        <f t="shared" si="56"/>
        <v>0.15583621539625564</v>
      </c>
      <c r="BE30" s="26">
        <f t="shared" si="56"/>
        <v>0.12696002907430942</v>
      </c>
      <c r="BG30" s="28"/>
      <c r="BH30" s="28"/>
      <c r="BI30" s="28"/>
    </row>
    <row r="31" spans="2:61" s="25" customFormat="1" ht="13.5" customHeight="1">
      <c r="B31" s="416" t="str">
        <f>B20</f>
        <v>Share of profit (loss) of associates and joint ventures accounted for 
using equity method</v>
      </c>
      <c r="C31" s="26">
        <f t="shared" ref="C31:O31" si="57">C20/C7</f>
        <v>6.1055053237457583E-3</v>
      </c>
      <c r="D31" s="26">
        <f t="shared" si="57"/>
        <v>7.6598517985338377E-3</v>
      </c>
      <c r="E31" s="26">
        <f t="shared" si="57"/>
        <v>7.1252594145911913E-3</v>
      </c>
      <c r="F31" s="26">
        <f t="shared" si="57"/>
        <v>5.1406961376610702E-3</v>
      </c>
      <c r="G31" s="26">
        <f t="shared" si="57"/>
        <v>4.6221356174550397E-3</v>
      </c>
      <c r="H31" s="26">
        <f t="shared" si="57"/>
        <v>6.4478776072469758E-5</v>
      </c>
      <c r="I31" s="26">
        <f t="shared" si="57"/>
        <v>3.0266946675615407E-3</v>
      </c>
      <c r="J31" s="26">
        <f t="shared" si="57"/>
        <v>4.8820268875267589E-3</v>
      </c>
      <c r="K31" s="26">
        <f t="shared" si="57"/>
        <v>2.1411693168786072E-3</v>
      </c>
      <c r="L31" s="26">
        <f t="shared" si="57"/>
        <v>2.5902535640515618E-3</v>
      </c>
      <c r="M31" s="26">
        <f t="shared" si="57"/>
        <v>4.0413712081885139E-4</v>
      </c>
      <c r="N31" s="26">
        <f t="shared" si="57"/>
        <v>7.1657257541075014E-4</v>
      </c>
      <c r="O31" s="26">
        <f t="shared" si="57"/>
        <v>3.9840007073810036E-4</v>
      </c>
      <c r="P31" s="39"/>
      <c r="Q31" s="26">
        <f t="shared" ref="Q31:BE31" si="58">Q20/Q7</f>
        <v>9.6388162138398344E-3</v>
      </c>
      <c r="R31" s="26">
        <f t="shared" si="58"/>
        <v>8.081159553970825E-3</v>
      </c>
      <c r="S31" s="26">
        <f t="shared" si="58"/>
        <v>7.3374908589168043E-3</v>
      </c>
      <c r="T31" s="26">
        <f t="shared" si="58"/>
        <v>4.9782298744662414E-3</v>
      </c>
      <c r="U31" s="26">
        <f t="shared" si="58"/>
        <v>1.2215355398096905E-2</v>
      </c>
      <c r="V31" s="26">
        <f t="shared" si="58"/>
        <v>1.5280790630929715E-3</v>
      </c>
      <c r="W31" s="26">
        <f t="shared" si="58"/>
        <v>4.49040942696333E-3</v>
      </c>
      <c r="X31" s="28">
        <f t="shared" si="58"/>
        <v>4.6810866209010798E-3</v>
      </c>
      <c r="Y31" s="26">
        <f t="shared" si="58"/>
        <v>6.867599325701277E-3</v>
      </c>
      <c r="Z31" s="26">
        <f t="shared" si="58"/>
        <v>4.9368151703039591E-3</v>
      </c>
      <c r="AA31" s="26">
        <f t="shared" si="58"/>
        <v>3.2469534187080391E-3</v>
      </c>
      <c r="AB31" s="26">
        <f t="shared" si="58"/>
        <v>4.0687982900913851E-3</v>
      </c>
      <c r="AC31" s="26">
        <f t="shared" si="58"/>
        <v>4.4729627822222397E-3</v>
      </c>
      <c r="AD31" s="26">
        <f t="shared" si="58"/>
        <v>7.3352762207433021E-3</v>
      </c>
      <c r="AE31" s="26">
        <f t="shared" si="58"/>
        <v>5.8595619172959225E-3</v>
      </c>
      <c r="AF31" s="26">
        <f t="shared" si="58"/>
        <v>-1.0829366537076652E-2</v>
      </c>
      <c r="AG31" s="26">
        <f t="shared" si="58"/>
        <v>6.8778114752248926E-3</v>
      </c>
      <c r="AH31" s="26">
        <f t="shared" si="58"/>
        <v>-2.0160221431706857E-2</v>
      </c>
      <c r="AI31" s="26">
        <f t="shared" si="58"/>
        <v>-3.0743289814399557E-3</v>
      </c>
      <c r="AJ31" s="26">
        <f t="shared" si="58"/>
        <v>1.1589295468813706E-2</v>
      </c>
      <c r="AK31" s="26">
        <f t="shared" si="58"/>
        <v>1.9731373760530895E-2</v>
      </c>
      <c r="AL31" s="26">
        <f t="shared" si="58"/>
        <v>3.9260113074155245E-3</v>
      </c>
      <c r="AM31" s="26">
        <f t="shared" si="58"/>
        <v>-1.4108863040914758E-3</v>
      </c>
      <c r="AN31" s="26">
        <f t="shared" si="58"/>
        <v>2.3181038537208043E-3</v>
      </c>
      <c r="AO31" s="26">
        <f t="shared" si="58"/>
        <v>3.3284036284034115E-3</v>
      </c>
      <c r="AP31" s="26">
        <f t="shared" si="58"/>
        <v>3.6328776650485671E-3</v>
      </c>
      <c r="AQ31" s="26">
        <f t="shared" si="58"/>
        <v>2.9809246679268421E-3</v>
      </c>
      <c r="AR31" s="26">
        <f t="shared" si="58"/>
        <v>2.4314236431824366E-5</v>
      </c>
      <c r="AS31" s="26">
        <f t="shared" si="58"/>
        <v>2.1040199885492251E-3</v>
      </c>
      <c r="AT31" s="26">
        <f t="shared" si="58"/>
        <v>2.5919613139098745E-3</v>
      </c>
      <c r="AU31" s="26">
        <f t="shared" si="58"/>
        <v>6.2384191013945683E-3</v>
      </c>
      <c r="AV31" s="26">
        <f t="shared" si="58"/>
        <v>6.5271069635511911E-4</v>
      </c>
      <c r="AW31" s="26">
        <f t="shared" si="58"/>
        <v>3.1163010943407242E-3</v>
      </c>
      <c r="AX31" s="26">
        <f t="shared" si="58"/>
        <v>3.6745657546743515E-4</v>
      </c>
      <c r="AY31" s="26">
        <f t="shared" si="58"/>
        <v>-1.4484755993960741E-4</v>
      </c>
      <c r="AZ31" s="26">
        <f t="shared" si="58"/>
        <v>-7.1880508580184001E-4</v>
      </c>
      <c r="BA31" s="26">
        <f t="shared" si="58"/>
        <v>3.0086278374918804E-3</v>
      </c>
      <c r="BB31" s="26">
        <f t="shared" si="58"/>
        <v>-1.1967433056767035E-3</v>
      </c>
      <c r="BC31" s="26">
        <f t="shared" si="58"/>
        <v>2.5142347157679011E-2</v>
      </c>
      <c r="BD31" s="26">
        <f t="shared" si="58"/>
        <v>-1.407481171293443E-2</v>
      </c>
      <c r="BE31" s="26">
        <f t="shared" si="58"/>
        <v>-5.7198030157792413E-4</v>
      </c>
      <c r="BG31" s="28">
        <f>BG20/BG7</f>
        <v>1.5259409629758114E-3</v>
      </c>
      <c r="BH31" s="28">
        <f>BH20/BH7</f>
        <v>4.4973711188879446E-3</v>
      </c>
      <c r="BI31" s="28">
        <f>BI20/BI7</f>
        <v>7.3245377432183114E-3</v>
      </c>
    </row>
    <row r="32" spans="2:61" s="25" customFormat="1" ht="13.5" customHeight="1">
      <c r="B32" s="416" t="str">
        <f>B21</f>
        <v>Profit before tax</v>
      </c>
      <c r="C32" s="26">
        <f t="shared" ref="C32:O32" si="59">C21/C7</f>
        <v>0.13004646303711567</v>
      </c>
      <c r="D32" s="26">
        <f t="shared" si="59"/>
        <v>0.1366597567089809</v>
      </c>
      <c r="E32" s="26">
        <f t="shared" si="59"/>
        <v>0.13802123655297344</v>
      </c>
      <c r="F32" s="26">
        <f t="shared" si="59"/>
        <v>0.10539296374961624</v>
      </c>
      <c r="G32" s="26">
        <f t="shared" si="59"/>
        <v>0.11621026994028993</v>
      </c>
      <c r="H32" s="26">
        <f t="shared" si="59"/>
        <v>0.1130680542906026</v>
      </c>
      <c r="I32" s="26">
        <f t="shared" si="59"/>
        <v>7.7516291757777816E-3</v>
      </c>
      <c r="J32" s="26">
        <f t="shared" si="59"/>
        <v>0.10851668336404642</v>
      </c>
      <c r="K32" s="26">
        <f t="shared" si="59"/>
        <v>0.13175971058272248</v>
      </c>
      <c r="L32" s="26">
        <f t="shared" si="59"/>
        <v>0.13775740302941411</v>
      </c>
      <c r="M32" s="26">
        <f t="shared" si="59"/>
        <v>0.1495231758661458</v>
      </c>
      <c r="N32" s="26">
        <f t="shared" si="59"/>
        <v>0.10236983315563371</v>
      </c>
      <c r="O32" s="26">
        <f t="shared" si="59"/>
        <v>0.10629847482093903</v>
      </c>
      <c r="P32" s="39"/>
      <c r="Q32" s="26">
        <f t="shared" ref="Q32:BE32" si="60">Q21/Q7</f>
        <v>9.4148978814400763E-2</v>
      </c>
      <c r="R32" s="26">
        <f t="shared" si="60"/>
        <v>0.12973002131811587</v>
      </c>
      <c r="S32" s="26">
        <f t="shared" si="60"/>
        <v>0.10089739043954112</v>
      </c>
      <c r="T32" s="26">
        <f t="shared" si="60"/>
        <v>0.19032702404443108</v>
      </c>
      <c r="U32" s="26">
        <f t="shared" si="60"/>
        <v>4.2216861332495387E-2</v>
      </c>
      <c r="V32" s="26">
        <f t="shared" si="60"/>
        <v>0.10361422100054958</v>
      </c>
      <c r="W32" s="26">
        <f t="shared" si="60"/>
        <v>6.1586410105268434E-2</v>
      </c>
      <c r="X32" s="28">
        <f t="shared" si="60"/>
        <v>0.1624933852502751</v>
      </c>
      <c r="Y32" s="26">
        <f t="shared" si="60"/>
        <v>4.9003946340160781E-2</v>
      </c>
      <c r="Z32" s="26">
        <f t="shared" si="60"/>
        <v>0.11538557122495437</v>
      </c>
      <c r="AA32" s="26">
        <f t="shared" si="60"/>
        <v>8.6697298010209631E-2</v>
      </c>
      <c r="AB32" s="26">
        <f t="shared" si="60"/>
        <v>0.16968298943397248</v>
      </c>
      <c r="AC32" s="26">
        <f t="shared" si="60"/>
        <v>4.5180895812101211E-2</v>
      </c>
      <c r="AD32" s="26">
        <f t="shared" si="60"/>
        <v>0.11398588721803564</v>
      </c>
      <c r="AE32" s="26">
        <f t="shared" si="60"/>
        <v>8.3778688810360144E-2</v>
      </c>
      <c r="AF32" s="26">
        <f t="shared" si="60"/>
        <v>0.16635084587677251</v>
      </c>
      <c r="AG32" s="26">
        <f t="shared" si="60"/>
        <v>3.7926148072721641E-2</v>
      </c>
      <c r="AH32" s="26">
        <f t="shared" si="60"/>
        <v>-0.27551344185427351</v>
      </c>
      <c r="AI32" s="26">
        <f t="shared" si="60"/>
        <v>-4.7387136196043754E-2</v>
      </c>
      <c r="AJ32" s="26">
        <f t="shared" si="60"/>
        <v>0.11084859330043639</v>
      </c>
      <c r="AK32" s="26">
        <f t="shared" si="60"/>
        <v>2.7086220544099138E-2</v>
      </c>
      <c r="AL32" s="26">
        <f t="shared" si="60"/>
        <v>0.11033753030674848</v>
      </c>
      <c r="AM32" s="26">
        <f t="shared" si="60"/>
        <v>9.986101008928068E-2</v>
      </c>
      <c r="AN32" s="26">
        <f t="shared" si="60"/>
        <v>0.1493710658733301</v>
      </c>
      <c r="AO32" s="26">
        <f t="shared" si="60"/>
        <v>9.1860063777088427E-2</v>
      </c>
      <c r="AP32" s="26">
        <f t="shared" si="60"/>
        <v>0.14842806189820534</v>
      </c>
      <c r="AQ32" s="26">
        <f t="shared" si="60"/>
        <v>0.1120434917108767</v>
      </c>
      <c r="AR32" s="26">
        <f t="shared" si="60"/>
        <v>0.15277353413093517</v>
      </c>
      <c r="AS32" s="26">
        <f t="shared" si="60"/>
        <v>7.8196122334307824E-2</v>
      </c>
      <c r="AT32" s="26">
        <f t="shared" si="60"/>
        <v>0.13778607787441682</v>
      </c>
      <c r="AU32" s="26">
        <f t="shared" si="60"/>
        <v>0.1307636698516568</v>
      </c>
      <c r="AV32" s="26">
        <f t="shared" si="60"/>
        <v>0.17432410797747722</v>
      </c>
      <c r="AW32" s="26">
        <f t="shared" si="60"/>
        <v>9.4821627272727957E-2</v>
      </c>
      <c r="AX32" s="26">
        <f t="shared" si="60"/>
        <v>0.16676837208696851</v>
      </c>
      <c r="AY32" s="26">
        <f t="shared" si="60"/>
        <v>0.13423039230108408</v>
      </c>
      <c r="AZ32" s="26">
        <f t="shared" si="60"/>
        <v>0.17684503305168031</v>
      </c>
      <c r="BA32" s="26">
        <f t="shared" si="60"/>
        <v>6.8156452337635162E-2</v>
      </c>
      <c r="BB32" s="26">
        <f t="shared" si="60"/>
        <v>8.1377445962099559E-2</v>
      </c>
      <c r="BC32" s="26">
        <f t="shared" si="60"/>
        <v>0.10360204021060256</v>
      </c>
      <c r="BD32" s="26">
        <f t="shared" si="60"/>
        <v>0.13627762794418258</v>
      </c>
      <c r="BE32" s="26">
        <f t="shared" si="60"/>
        <v>5.6924392033687009E-2</v>
      </c>
      <c r="BG32" s="28">
        <f>BG21/BG7</f>
        <v>0.10346927657093871</v>
      </c>
      <c r="BH32" s="28">
        <f>BH21/BH7</f>
        <v>6.1681594383629051E-2</v>
      </c>
      <c r="BI32" s="28">
        <f>BI21/BI7</f>
        <v>0.11528293956767081</v>
      </c>
    </row>
    <row r="33" spans="2:61" s="25" customFormat="1" ht="13.5" customHeight="1">
      <c r="B33" s="443" t="s">
        <v>286</v>
      </c>
      <c r="C33" s="26">
        <f t="shared" ref="C33:O33" si="61">C22/C21</f>
        <v>-0.26484575166121599</v>
      </c>
      <c r="D33" s="26">
        <f t="shared" si="61"/>
        <v>-0.26155404460894077</v>
      </c>
      <c r="E33" s="26">
        <f t="shared" si="61"/>
        <v>-0.2686387173399245</v>
      </c>
      <c r="F33" s="26">
        <f t="shared" si="61"/>
        <v>-0.23216953951236893</v>
      </c>
      <c r="G33" s="26">
        <f t="shared" si="61"/>
        <v>-0.25640134014537952</v>
      </c>
      <c r="H33" s="26">
        <f t="shared" si="61"/>
        <v>-0.28205923620519274</v>
      </c>
      <c r="I33" s="26">
        <f t="shared" si="61"/>
        <v>0.427103116970171</v>
      </c>
      <c r="J33" s="26">
        <f t="shared" si="61"/>
        <v>-0.21418842406208191</v>
      </c>
      <c r="K33" s="26">
        <f t="shared" si="61"/>
        <v>-0.24992993923640744</v>
      </c>
      <c r="L33" s="26">
        <f t="shared" si="61"/>
        <v>-0.27771400862770623</v>
      </c>
      <c r="M33" s="26">
        <f t="shared" si="61"/>
        <v>-0.27875933361755867</v>
      </c>
      <c r="N33" s="26">
        <f t="shared" si="61"/>
        <v>-0.268135317558861</v>
      </c>
      <c r="O33" s="26">
        <f t="shared" si="61"/>
        <v>-0.26580457647921402</v>
      </c>
      <c r="P33" s="39"/>
      <c r="Q33" s="26">
        <f t="shared" ref="Q33:BE33" si="62">Q22/Q21</f>
        <v>-0.2286975923845018</v>
      </c>
      <c r="R33" s="26">
        <f t="shared" si="62"/>
        <v>-0.26391222785461049</v>
      </c>
      <c r="S33" s="26">
        <f t="shared" si="62"/>
        <v>-0.27275235686364657</v>
      </c>
      <c r="T33" s="26">
        <f t="shared" si="62"/>
        <v>-0.28019000442434888</v>
      </c>
      <c r="U33" s="26">
        <f t="shared" si="62"/>
        <v>-8.7305456117873714E-2</v>
      </c>
      <c r="V33" s="26">
        <f t="shared" si="62"/>
        <v>-0.29117960886480193</v>
      </c>
      <c r="W33" s="26">
        <f t="shared" si="62"/>
        <v>-0.24507614931841146</v>
      </c>
      <c r="X33" s="28">
        <f t="shared" si="62"/>
        <v>-0.22138679467887967</v>
      </c>
      <c r="Y33" s="26">
        <f t="shared" si="62"/>
        <v>-0.1936367741367431</v>
      </c>
      <c r="Z33" s="26">
        <f t="shared" si="62"/>
        <v>-0.27757977724674687</v>
      </c>
      <c r="AA33" s="26">
        <f t="shared" si="62"/>
        <v>-0.24390422831855266</v>
      </c>
      <c r="AB33" s="26">
        <f t="shared" si="62"/>
        <v>-0.26001072122786151</v>
      </c>
      <c r="AC33" s="26">
        <f t="shared" si="62"/>
        <v>-0.22495701345434591</v>
      </c>
      <c r="AD33" s="26">
        <f t="shared" si="62"/>
        <v>-0.25234150183782739</v>
      </c>
      <c r="AE33" s="26">
        <f t="shared" si="62"/>
        <v>-0.25666650696693366</v>
      </c>
      <c r="AF33" s="26">
        <f t="shared" si="62"/>
        <v>-0.31223782407118467</v>
      </c>
      <c r="AG33" s="26">
        <f t="shared" si="62"/>
        <v>-0.19109215956526349</v>
      </c>
      <c r="AH33" s="26">
        <f t="shared" si="62"/>
        <v>-0.29140950496716417</v>
      </c>
      <c r="AI33" s="26">
        <f t="shared" si="62"/>
        <v>-0.31099652719786591</v>
      </c>
      <c r="AJ33" s="26">
        <f t="shared" si="62"/>
        <v>-0.1924599795273276</v>
      </c>
      <c r="AK33" s="26">
        <f t="shared" si="62"/>
        <v>-8.7730056923531949E-4</v>
      </c>
      <c r="AL33" s="26">
        <f t="shared" si="62"/>
        <v>-0.27070405784105761</v>
      </c>
      <c r="AM33" s="26">
        <f t="shared" si="62"/>
        <v>-0.28423023789126167</v>
      </c>
      <c r="AN33" s="26">
        <f t="shared" si="62"/>
        <v>-0.17730835099594167</v>
      </c>
      <c r="AO33" s="26">
        <f t="shared" si="62"/>
        <v>-0.24547875671422059</v>
      </c>
      <c r="AP33" s="26">
        <f t="shared" si="62"/>
        <v>-0.29144177543972521</v>
      </c>
      <c r="AQ33" s="26">
        <f t="shared" si="62"/>
        <v>-0.27706740086483589</v>
      </c>
      <c r="AR33" s="26">
        <f t="shared" si="62"/>
        <v>-0.21213582807091647</v>
      </c>
      <c r="AS33" s="26">
        <f t="shared" si="62"/>
        <v>-0.26949509665428761</v>
      </c>
      <c r="AT33" s="26">
        <f t="shared" si="62"/>
        <v>-0.28252784418845422</v>
      </c>
      <c r="AU33" s="26">
        <f t="shared" si="62"/>
        <v>-0.27179935573953345</v>
      </c>
      <c r="AV33" s="26">
        <f t="shared" si="62"/>
        <v>-0.27977472514205426</v>
      </c>
      <c r="AW33" s="26">
        <f t="shared" si="62"/>
        <v>-0.26222617932855408</v>
      </c>
      <c r="AX33" s="26">
        <f t="shared" si="62"/>
        <v>-0.28483059916843823</v>
      </c>
      <c r="AY33" s="26">
        <f t="shared" si="62"/>
        <v>-0.28959047871546251</v>
      </c>
      <c r="AZ33" s="26">
        <f t="shared" si="62"/>
        <v>-0.27461393352156493</v>
      </c>
      <c r="BA33" s="26">
        <f t="shared" si="62"/>
        <v>-0.25326604760704702</v>
      </c>
      <c r="BB33" s="26">
        <f t="shared" si="62"/>
        <v>-0.28156988856699905</v>
      </c>
      <c r="BC33" s="26">
        <f t="shared" si="62"/>
        <v>-0.20524988296573568</v>
      </c>
      <c r="BD33" s="26">
        <f t="shared" si="62"/>
        <v>-0.29573299550948917</v>
      </c>
      <c r="BE33" s="26">
        <f t="shared" si="62"/>
        <v>-0.25760857625130923</v>
      </c>
      <c r="BG33" s="28">
        <f>BG22/BG21</f>
        <v>-0.29117951488639027</v>
      </c>
      <c r="BH33" s="28">
        <f>BH22/BH21</f>
        <v>-0.24643547013161582</v>
      </c>
      <c r="BI33" s="28">
        <f>BI22/BI21</f>
        <v>-0.26183589639217458</v>
      </c>
    </row>
    <row r="34" spans="2:61" s="25" customFormat="1" ht="13.5" customHeight="1">
      <c r="B34" s="1"/>
      <c r="C34" s="48"/>
      <c r="D34" s="48"/>
      <c r="E34" s="48"/>
      <c r="F34" s="48"/>
      <c r="G34" s="48"/>
      <c r="H34" s="48"/>
      <c r="I34" s="48"/>
      <c r="J34" s="48"/>
      <c r="K34" s="48"/>
      <c r="L34" s="48"/>
      <c r="M34" s="48"/>
      <c r="N34" s="48"/>
      <c r="O34" s="48"/>
      <c r="P34" s="39"/>
      <c r="Q34" s="48"/>
      <c r="R34" s="48"/>
      <c r="S34" s="48"/>
      <c r="T34" s="48"/>
      <c r="U34" s="48"/>
      <c r="V34" s="48"/>
      <c r="X34" s="404"/>
      <c r="Z34" s="48"/>
      <c r="BG34" s="28"/>
      <c r="BH34" s="28"/>
    </row>
    <row r="35" spans="2:61" s="25" customFormat="1" ht="13.5" customHeight="1">
      <c r="B35" s="19" t="s">
        <v>287</v>
      </c>
      <c r="C35" s="26">
        <f t="shared" ref="C35:O35" si="63">-C67/C7</f>
        <v>5.3315092379429253E-2</v>
      </c>
      <c r="D35" s="26">
        <f t="shared" si="63"/>
        <v>4.5766795703003772E-2</v>
      </c>
      <c r="E35" s="26">
        <f t="shared" si="63"/>
        <v>7.0262426094320179E-2</v>
      </c>
      <c r="F35" s="26">
        <f t="shared" si="63"/>
        <v>6.0294653082573098E-2</v>
      </c>
      <c r="G35" s="26">
        <f t="shared" si="63"/>
        <v>5.5747532970345008E-2</v>
      </c>
      <c r="H35" s="26">
        <f t="shared" si="63"/>
        <v>5.5749902829444475E-2</v>
      </c>
      <c r="I35" s="26">
        <f t="shared" si="63"/>
        <v>3.3303687025049253E-2</v>
      </c>
      <c r="J35" s="26">
        <f t="shared" si="63"/>
        <v>3.3312371665793719E-2</v>
      </c>
      <c r="K35" s="26">
        <f t="shared" si="63"/>
        <v>4.1266173321793123E-2</v>
      </c>
      <c r="L35" s="26">
        <f t="shared" si="63"/>
        <v>3.8956047626586575E-2</v>
      </c>
      <c r="M35" s="26">
        <f t="shared" si="63"/>
        <v>4.565952156910133E-2</v>
      </c>
      <c r="N35" s="26">
        <f t="shared" si="63"/>
        <v>3.8555382216446048E-2</v>
      </c>
      <c r="O35" s="26">
        <f t="shared" si="63"/>
        <v>3.4777739312474167E-2</v>
      </c>
      <c r="P35" s="39"/>
      <c r="Q35" s="26">
        <f t="shared" ref="Q35:BE35" si="64">-Q67/Q7</f>
        <v>5.7068861712234062E-2</v>
      </c>
      <c r="R35" s="26">
        <f t="shared" si="64"/>
        <v>5.9403628074027437E-2</v>
      </c>
      <c r="S35" s="26">
        <f t="shared" si="64"/>
        <v>0.10298388660986478</v>
      </c>
      <c r="T35" s="26">
        <f t="shared" si="64"/>
        <v>6.4689315799858163E-2</v>
      </c>
      <c r="U35" s="26">
        <f t="shared" si="64"/>
        <v>6.1995300128851814E-2</v>
      </c>
      <c r="V35" s="26">
        <f t="shared" si="64"/>
        <v>4.6106995029880533E-2</v>
      </c>
      <c r="W35" s="26">
        <f t="shared" si="64"/>
        <v>5.4312622183126498E-2</v>
      </c>
      <c r="X35" s="28">
        <f t="shared" si="64"/>
        <v>7.2664921231022611E-2</v>
      </c>
      <c r="Y35" s="26">
        <f t="shared" si="64"/>
        <v>5.5521024650316199E-2</v>
      </c>
      <c r="Z35" s="26">
        <f t="shared" si="64"/>
        <v>6.5921719985731167E-2</v>
      </c>
      <c r="AA35" s="26">
        <f t="shared" si="64"/>
        <v>7.0895572021345526E-2</v>
      </c>
      <c r="AB35" s="26">
        <f t="shared" si="64"/>
        <v>3.9851340540179338E-2</v>
      </c>
      <c r="AC35" s="26">
        <f t="shared" si="64"/>
        <v>5.6942186112369592E-2</v>
      </c>
      <c r="AD35" s="26">
        <f t="shared" si="64"/>
        <v>4.6542374026716168E-2</v>
      </c>
      <c r="AE35" s="26">
        <f t="shared" si="64"/>
        <v>7.0667495660833871E-2</v>
      </c>
      <c r="AF35" s="26">
        <f t="shared" si="64"/>
        <v>5.2726031633601518E-2</v>
      </c>
      <c r="AG35" s="26">
        <f t="shared" si="64"/>
        <v>3.187793214843096E-2</v>
      </c>
      <c r="AH35" s="26">
        <f t="shared" si="64"/>
        <v>6.9145869750865591E-2</v>
      </c>
      <c r="AI35" s="26">
        <f t="shared" si="64"/>
        <v>3.1261177140279553E-2</v>
      </c>
      <c r="AJ35" s="26">
        <f t="shared" si="64"/>
        <v>2.4055841632082142E-2</v>
      </c>
      <c r="AK35" s="26">
        <f t="shared" si="64"/>
        <v>4.2645119995472561E-2</v>
      </c>
      <c r="AL35" s="26">
        <f t="shared" si="64"/>
        <v>2.425672076425061E-2</v>
      </c>
      <c r="AM35" s="26">
        <f t="shared" si="64"/>
        <v>2.9025670326513334E-2</v>
      </c>
      <c r="AN35" s="26">
        <f t="shared" si="64"/>
        <v>3.7549686839370357E-2</v>
      </c>
      <c r="AO35" s="26">
        <f t="shared" si="64"/>
        <v>3.2177069956637411E-2</v>
      </c>
      <c r="AP35" s="26">
        <f t="shared" si="64"/>
        <v>3.4259167015192597E-2</v>
      </c>
      <c r="AQ35" s="26">
        <f t="shared" si="64"/>
        <v>4.966410332442632E-2</v>
      </c>
      <c r="AR35" s="26">
        <f t="shared" si="64"/>
        <v>4.5567680909078923E-2</v>
      </c>
      <c r="AS35" s="26">
        <f t="shared" si="64"/>
        <v>2.8819140840537976E-2</v>
      </c>
      <c r="AT35" s="26">
        <f t="shared" si="64"/>
        <v>4.5620801254456819E-2</v>
      </c>
      <c r="AU35" s="26">
        <f t="shared" si="64"/>
        <v>5.6204090806642647E-2</v>
      </c>
      <c r="AV35" s="26">
        <f t="shared" si="64"/>
        <v>2.9473032593066103E-2</v>
      </c>
      <c r="AW35" s="26">
        <f t="shared" si="64"/>
        <v>6.1020525714693831E-2</v>
      </c>
      <c r="AX35" s="26">
        <f t="shared" si="64"/>
        <v>3.291409719058918E-2</v>
      </c>
      <c r="AY35" s="26">
        <f t="shared" si="64"/>
        <v>5.1250284576275285E-2</v>
      </c>
      <c r="AZ35" s="26">
        <f t="shared" si="64"/>
        <v>4.2674424290899599E-2</v>
      </c>
      <c r="BA35" s="26">
        <f t="shared" si="64"/>
        <v>4.2067371342694101E-2</v>
      </c>
      <c r="BB35" s="26">
        <f t="shared" si="64"/>
        <v>3.1703533479206347E-2</v>
      </c>
      <c r="BC35" s="26">
        <f t="shared" si="64"/>
        <v>3.7773266604664672E-2</v>
      </c>
      <c r="BD35" s="26">
        <f t="shared" si="64"/>
        <v>4.189582157637143E-2</v>
      </c>
      <c r="BE35" s="26">
        <f t="shared" si="64"/>
        <v>1.9207203332061582E-2</v>
      </c>
      <c r="BG35" s="39">
        <f>-BG67/BG7</f>
        <v>4.6042481763612919E-2</v>
      </c>
      <c r="BH35" s="39">
        <f>-BH67/BH7</f>
        <v>5.4396825583597402E-2</v>
      </c>
      <c r="BI35" s="39">
        <f>-BI67/BI7</f>
        <v>5.2904771489715396E-2</v>
      </c>
    </row>
    <row r="36" spans="2:61" s="25" customFormat="1" ht="13.5" customHeight="1">
      <c r="B36" s="19" t="s">
        <v>288</v>
      </c>
      <c r="C36" s="26">
        <f t="shared" ref="C36:O36" si="65">C40/C7</f>
        <v>2.3521900996149793E-2</v>
      </c>
      <c r="D36" s="26">
        <f t="shared" si="65"/>
        <v>2.4263467004533069E-2</v>
      </c>
      <c r="E36" s="26">
        <f t="shared" si="65"/>
        <v>2.6328958171248997E-2</v>
      </c>
      <c r="F36" s="26">
        <f t="shared" si="65"/>
        <v>2.552863988531753E-2</v>
      </c>
      <c r="G36" s="26">
        <f t="shared" si="65"/>
        <v>2.4431188131226952E-2</v>
      </c>
      <c r="H36" s="26">
        <f t="shared" si="65"/>
        <v>3.2623737007240625E-2</v>
      </c>
      <c r="I36" s="26">
        <f t="shared" si="65"/>
        <v>4.4981982723159189E-2</v>
      </c>
      <c r="J36" s="26">
        <f t="shared" si="65"/>
        <v>3.4269247399545885E-2</v>
      </c>
      <c r="K36" s="26">
        <f t="shared" si="65"/>
        <v>2.9375536686948388E-2</v>
      </c>
      <c r="L36" s="26">
        <f t="shared" si="65"/>
        <v>2.7480281644486407E-2</v>
      </c>
      <c r="M36" s="26">
        <f t="shared" si="65"/>
        <v>2.6546243969994936E-2</v>
      </c>
      <c r="N36" s="26">
        <f t="shared" si="65"/>
        <v>2.7695130932708499E-2</v>
      </c>
      <c r="O36" s="26">
        <f t="shared" si="65"/>
        <v>2.831602214102092E-2</v>
      </c>
      <c r="P36" s="39"/>
      <c r="Q36" s="26">
        <f t="shared" ref="Q36:BE36" si="66">Q40/Q7</f>
        <v>3.1220135620112777E-2</v>
      </c>
      <c r="R36" s="26">
        <f t="shared" si="66"/>
        <v>2.427003880251238E-2</v>
      </c>
      <c r="S36" s="26">
        <f t="shared" si="66"/>
        <v>2.9807993838778992E-2</v>
      </c>
      <c r="T36" s="26">
        <f t="shared" si="66"/>
        <v>2.2956335519777795E-2</v>
      </c>
      <c r="U36" s="26">
        <f t="shared" si="66"/>
        <v>3.242020121414145E-2</v>
      </c>
      <c r="V36" s="26">
        <f t="shared" si="66"/>
        <v>2.6942333993458762E-2</v>
      </c>
      <c r="W36" s="26">
        <f t="shared" si="66"/>
        <v>3.0697961556429461E-2</v>
      </c>
      <c r="X36" s="28">
        <f t="shared" si="66"/>
        <v>1.8243722747584692E-2</v>
      </c>
      <c r="Y36" s="26">
        <f t="shared" si="66"/>
        <v>3.1883201568307422E-2</v>
      </c>
      <c r="Z36" s="26">
        <f t="shared" si="66"/>
        <v>2.4696762245365461E-2</v>
      </c>
      <c r="AA36" s="26">
        <f t="shared" si="66"/>
        <v>2.8026041417864935E-2</v>
      </c>
      <c r="AB36" s="26">
        <f t="shared" si="66"/>
        <v>1.8189764968359209E-2</v>
      </c>
      <c r="AC36" s="26">
        <f t="shared" si="66"/>
        <v>4.2209793381803265E-2</v>
      </c>
      <c r="AD36" s="26">
        <f t="shared" si="66"/>
        <v>3.2458753599451981E-2</v>
      </c>
      <c r="AE36" s="26">
        <f t="shared" si="66"/>
        <v>3.9158198286466016E-2</v>
      </c>
      <c r="AF36" s="26">
        <f t="shared" si="66"/>
        <v>2.370559562507021E-2</v>
      </c>
      <c r="AG36" s="26">
        <f t="shared" si="66"/>
        <v>4.6957031470561857E-2</v>
      </c>
      <c r="AH36" s="26">
        <f t="shared" si="66"/>
        <v>8.3675697977318525E-2</v>
      </c>
      <c r="AI36" s="26">
        <f t="shared" si="66"/>
        <v>4.8064499228816789E-2</v>
      </c>
      <c r="AJ36" s="26">
        <f t="shared" si="66"/>
        <v>2.9981786026178806E-2</v>
      </c>
      <c r="AK36" s="26">
        <f t="shared" si="66"/>
        <v>4.9742914721758631E-2</v>
      </c>
      <c r="AL36" s="26">
        <f t="shared" si="66"/>
        <v>3.3414545598303411E-2</v>
      </c>
      <c r="AM36" s="26">
        <f t="shared" si="66"/>
        <v>3.9586000521726644E-2</v>
      </c>
      <c r="AN36" s="26">
        <f t="shared" si="66"/>
        <v>2.4762046255065423E-2</v>
      </c>
      <c r="AO36" s="26">
        <f t="shared" si="66"/>
        <v>3.8977178742996568E-2</v>
      </c>
      <c r="AP36" s="26">
        <f t="shared" si="66"/>
        <v>2.9440651124759753E-2</v>
      </c>
      <c r="AQ36" s="26">
        <f t="shared" si="66"/>
        <v>3.3692179873823391E-2</v>
      </c>
      <c r="AR36" s="26">
        <f t="shared" si="66"/>
        <v>2.1830242750107302E-2</v>
      </c>
      <c r="AS36" s="26">
        <f t="shared" si="66"/>
        <v>3.469015166820115E-2</v>
      </c>
      <c r="AT36" s="26">
        <f t="shared" si="66"/>
        <v>2.7835089025120871E-2</v>
      </c>
      <c r="AU36" s="26">
        <f t="shared" si="66"/>
        <v>3.2091074545047282E-2</v>
      </c>
      <c r="AV36" s="26">
        <f t="shared" si="66"/>
        <v>2.053667908944283E-2</v>
      </c>
      <c r="AW36" s="26">
        <f t="shared" si="66"/>
        <v>3.2932695392660853E-2</v>
      </c>
      <c r="AX36" s="26">
        <f t="shared" si="66"/>
        <v>2.7031327037022185E-2</v>
      </c>
      <c r="AY36" s="26">
        <f t="shared" si="66"/>
        <v>3.1442342756748037E-2</v>
      </c>
      <c r="AZ36" s="26">
        <f t="shared" si="66"/>
        <v>1.9722266808405605E-2</v>
      </c>
      <c r="BA36" s="26">
        <f t="shared" si="66"/>
        <v>3.2403146948939476E-2</v>
      </c>
      <c r="BB36" s="26">
        <f t="shared" si="66"/>
        <v>2.6893077326029011E-2</v>
      </c>
      <c r="BC36" s="26">
        <f t="shared" si="66"/>
        <v>3.240941301926447E-2</v>
      </c>
      <c r="BD36" s="26">
        <f t="shared" si="66"/>
        <v>2.2694506849130155E-2</v>
      </c>
      <c r="BE36" s="26">
        <f t="shared" si="66"/>
        <v>3.3777706850869955E-2</v>
      </c>
      <c r="BG36" s="39">
        <f>BG40/BG7</f>
        <v>2.0458175011476114E-2</v>
      </c>
      <c r="BH36" s="39">
        <f>BH40/BH7</f>
        <v>3.7888346168217159E-2</v>
      </c>
      <c r="BI36" s="39">
        <f>BI40/BI7</f>
        <v>3.2411515596459939E-2</v>
      </c>
    </row>
    <row r="37" spans="2:61" s="25" customFormat="1" ht="13.5" customHeight="1">
      <c r="C37" s="48"/>
      <c r="D37" s="48"/>
      <c r="E37" s="48"/>
      <c r="F37" s="48"/>
      <c r="G37" s="48"/>
      <c r="H37" s="48"/>
      <c r="I37" s="48"/>
      <c r="J37" s="48"/>
      <c r="K37" s="48"/>
      <c r="L37" s="48"/>
      <c r="M37" s="48"/>
      <c r="N37" s="48"/>
      <c r="BG37" s="39"/>
    </row>
    <row r="38" spans="2:61" ht="13.5" customHeight="1">
      <c r="B38" s="14" t="s">
        <v>289</v>
      </c>
      <c r="C38" s="33">
        <f t="shared" ref="C38:N38" si="67">C3</f>
        <v>41975</v>
      </c>
      <c r="D38" s="33">
        <f t="shared" si="67"/>
        <v>42341</v>
      </c>
      <c r="E38" s="33">
        <f t="shared" si="67"/>
        <v>42708</v>
      </c>
      <c r="F38" s="33">
        <f t="shared" si="67"/>
        <v>43100</v>
      </c>
      <c r="G38" s="33">
        <f t="shared" si="67"/>
        <v>43465</v>
      </c>
      <c r="H38" s="33">
        <f t="shared" si="67"/>
        <v>43830</v>
      </c>
      <c r="I38" s="33">
        <f t="shared" si="67"/>
        <v>44196</v>
      </c>
      <c r="J38" s="33">
        <f t="shared" si="67"/>
        <v>44561</v>
      </c>
      <c r="K38" s="33">
        <f t="shared" si="67"/>
        <v>44926</v>
      </c>
      <c r="L38" s="33">
        <f t="shared" si="67"/>
        <v>45291</v>
      </c>
      <c r="M38" s="33">
        <f t="shared" si="67"/>
        <v>45657</v>
      </c>
      <c r="N38" s="33">
        <f t="shared" si="67"/>
        <v>46022</v>
      </c>
      <c r="O38" s="240" t="s">
        <v>255</v>
      </c>
      <c r="P38" s="39"/>
      <c r="Q38" s="33">
        <f t="shared" ref="Q38:BE38" si="68">Q3</f>
        <v>42437</v>
      </c>
      <c r="R38" s="33">
        <f t="shared" si="68"/>
        <v>42527</v>
      </c>
      <c r="S38" s="33">
        <f t="shared" si="68"/>
        <v>42622</v>
      </c>
      <c r="T38" s="33">
        <f t="shared" si="68"/>
        <v>42714</v>
      </c>
      <c r="U38" s="33">
        <f t="shared" si="68"/>
        <v>42801</v>
      </c>
      <c r="V38" s="33">
        <f t="shared" si="68"/>
        <v>42892</v>
      </c>
      <c r="W38" s="33">
        <f t="shared" si="68"/>
        <v>42987</v>
      </c>
      <c r="X38" s="33">
        <f t="shared" si="68"/>
        <v>43100</v>
      </c>
      <c r="Y38" s="33">
        <f t="shared" si="68"/>
        <v>43190</v>
      </c>
      <c r="Z38" s="33">
        <f t="shared" si="68"/>
        <v>43281</v>
      </c>
      <c r="AA38" s="33">
        <f t="shared" si="68"/>
        <v>43373</v>
      </c>
      <c r="AB38" s="33">
        <f t="shared" si="68"/>
        <v>43465</v>
      </c>
      <c r="AC38" s="33">
        <f t="shared" si="68"/>
        <v>43555</v>
      </c>
      <c r="AD38" s="33">
        <f t="shared" si="68"/>
        <v>43646</v>
      </c>
      <c r="AE38" s="33">
        <f t="shared" si="68"/>
        <v>43738</v>
      </c>
      <c r="AF38" s="33">
        <f t="shared" si="68"/>
        <v>43830</v>
      </c>
      <c r="AG38" s="33">
        <f t="shared" si="68"/>
        <v>43921</v>
      </c>
      <c r="AH38" s="33">
        <f t="shared" si="68"/>
        <v>44012</v>
      </c>
      <c r="AI38" s="33">
        <f t="shared" si="68"/>
        <v>44104</v>
      </c>
      <c r="AJ38" s="33">
        <f t="shared" si="68"/>
        <v>44196</v>
      </c>
      <c r="AK38" s="33">
        <f t="shared" si="68"/>
        <v>44286</v>
      </c>
      <c r="AL38" s="33">
        <f t="shared" si="68"/>
        <v>44377</v>
      </c>
      <c r="AM38" s="33">
        <f t="shared" si="68"/>
        <v>44469</v>
      </c>
      <c r="AN38" s="33">
        <f t="shared" si="68"/>
        <v>44561</v>
      </c>
      <c r="AO38" s="33">
        <f t="shared" si="68"/>
        <v>44651</v>
      </c>
      <c r="AP38" s="33">
        <f t="shared" si="68"/>
        <v>44742</v>
      </c>
      <c r="AQ38" s="33">
        <f t="shared" si="68"/>
        <v>44834</v>
      </c>
      <c r="AR38" s="33">
        <f t="shared" si="68"/>
        <v>44926</v>
      </c>
      <c r="AS38" s="33">
        <f t="shared" si="68"/>
        <v>45016</v>
      </c>
      <c r="AT38" s="33">
        <f t="shared" si="68"/>
        <v>45107</v>
      </c>
      <c r="AU38" s="33">
        <f t="shared" si="68"/>
        <v>45199</v>
      </c>
      <c r="AV38" s="33">
        <f t="shared" si="68"/>
        <v>45291</v>
      </c>
      <c r="AW38" s="33">
        <f t="shared" si="68"/>
        <v>45382</v>
      </c>
      <c r="AX38" s="33">
        <f t="shared" si="68"/>
        <v>45473</v>
      </c>
      <c r="AY38" s="33">
        <f t="shared" si="68"/>
        <v>45536</v>
      </c>
      <c r="AZ38" s="33">
        <f t="shared" si="68"/>
        <v>45657</v>
      </c>
      <c r="BA38" s="33">
        <f t="shared" si="68"/>
        <v>45747</v>
      </c>
      <c r="BB38" s="33">
        <f t="shared" si="68"/>
        <v>45838</v>
      </c>
      <c r="BC38" s="33">
        <f t="shared" si="68"/>
        <v>45901</v>
      </c>
      <c r="BD38" s="33">
        <f t="shared" si="68"/>
        <v>46022</v>
      </c>
      <c r="BE38" s="33">
        <f t="shared" si="68"/>
        <v>46112</v>
      </c>
      <c r="BG38" s="11">
        <f>BG3</f>
        <v>42892</v>
      </c>
      <c r="BH38" s="11">
        <f>BH3</f>
        <v>42987</v>
      </c>
      <c r="BI38" s="11">
        <f>BI3</f>
        <v>43646</v>
      </c>
    </row>
    <row r="39" spans="2:61" s="5" customFormat="1" ht="13.5" customHeight="1">
      <c r="B39" s="13" t="s">
        <v>290</v>
      </c>
      <c r="C39" s="8">
        <f t="shared" ref="C39:O39" si="69">C17</f>
        <v>11113.307000000004</v>
      </c>
      <c r="D39" s="8">
        <f t="shared" si="69"/>
        <v>12655.307999999997</v>
      </c>
      <c r="E39" s="8">
        <f t="shared" si="69"/>
        <v>13406.390999999996</v>
      </c>
      <c r="F39" s="8">
        <f t="shared" si="69"/>
        <v>15231.684000000001</v>
      </c>
      <c r="G39" s="8">
        <f t="shared" si="69"/>
        <v>16925.36799999998</v>
      </c>
      <c r="H39" s="8">
        <f t="shared" si="69"/>
        <v>19171.202000000012</v>
      </c>
      <c r="I39" s="8">
        <f t="shared" si="69"/>
        <v>3812</v>
      </c>
      <c r="J39" s="8">
        <f t="shared" si="69"/>
        <v>18733.30000000001</v>
      </c>
      <c r="K39" s="8">
        <f t="shared" si="69"/>
        <v>25515.380000000005</v>
      </c>
      <c r="L39" s="8">
        <f t="shared" si="69"/>
        <v>29605.787999999986</v>
      </c>
      <c r="M39" s="8">
        <f t="shared" si="69"/>
        <v>31854.13900000001</v>
      </c>
      <c r="N39" s="8">
        <f t="shared" si="69"/>
        <v>29454.962000000014</v>
      </c>
      <c r="O39" s="8">
        <f t="shared" si="69"/>
        <v>21948.392000000036</v>
      </c>
      <c r="P39" s="39"/>
      <c r="Q39" s="8">
        <f t="shared" ref="Q39:BE39" si="70">Q17</f>
        <v>1797.7699999999986</v>
      </c>
      <c r="R39" s="8">
        <f t="shared" si="70"/>
        <v>3160.2589999999982</v>
      </c>
      <c r="S39" s="8">
        <f t="shared" si="70"/>
        <v>2161.3110000000015</v>
      </c>
      <c r="T39" s="8">
        <f t="shared" si="70"/>
        <v>6287.0509999999977</v>
      </c>
      <c r="U39" s="8">
        <f t="shared" si="70"/>
        <v>1921.8650000000016</v>
      </c>
      <c r="V39" s="8">
        <f t="shared" si="70"/>
        <v>3657.3139999999967</v>
      </c>
      <c r="W39" s="8">
        <f t="shared" si="70"/>
        <v>2082.2939999999999</v>
      </c>
      <c r="X39" s="123">
        <f t="shared" si="70"/>
        <v>7570.2110000000102</v>
      </c>
      <c r="Y39" s="8">
        <f t="shared" si="70"/>
        <v>1546.8199999999997</v>
      </c>
      <c r="Z39" s="8">
        <f t="shared" si="70"/>
        <v>4065.3220000000001</v>
      </c>
      <c r="AA39" s="8">
        <f t="shared" si="70"/>
        <v>2903.4809999999998</v>
      </c>
      <c r="AB39" s="8">
        <f t="shared" si="70"/>
        <v>8409.7449999999735</v>
      </c>
      <c r="AC39" s="8">
        <f t="shared" si="70"/>
        <v>1793.5989999999983</v>
      </c>
      <c r="AD39" s="8">
        <f t="shared" si="70"/>
        <v>4515.9490000000005</v>
      </c>
      <c r="AE39" s="8">
        <f t="shared" si="70"/>
        <v>3063.5780000000013</v>
      </c>
      <c r="AF39" s="8">
        <f t="shared" si="70"/>
        <v>9798.0760000000046</v>
      </c>
      <c r="AG39" s="8">
        <f t="shared" si="70"/>
        <v>1313.476999999999</v>
      </c>
      <c r="AH39" s="8">
        <f t="shared" si="70"/>
        <v>-3072.3729999999996</v>
      </c>
      <c r="AI39" s="8">
        <f t="shared" si="70"/>
        <v>-299.9860000000026</v>
      </c>
      <c r="AJ39" s="8">
        <f t="shared" si="70"/>
        <v>5870.8820000000014</v>
      </c>
      <c r="AK39" s="8">
        <f t="shared" si="70"/>
        <v>1007.1180000000004</v>
      </c>
      <c r="AL39" s="8">
        <f t="shared" si="70"/>
        <v>4811.6059999999961</v>
      </c>
      <c r="AM39" s="8">
        <f t="shared" si="70"/>
        <v>3971.784999999998</v>
      </c>
      <c r="AN39" s="8">
        <f t="shared" si="70"/>
        <v>8942.7910000000102</v>
      </c>
      <c r="AO39" s="8">
        <f t="shared" si="70"/>
        <v>3672.1949999999997</v>
      </c>
      <c r="AP39" s="8">
        <f t="shared" si="70"/>
        <v>6530.5999999999985</v>
      </c>
      <c r="AQ39" s="8">
        <f t="shared" si="70"/>
        <v>4906.514000000001</v>
      </c>
      <c r="AR39" s="8">
        <f t="shared" si="70"/>
        <v>10406.070999999993</v>
      </c>
      <c r="AS39" s="8">
        <f t="shared" si="70"/>
        <v>3885.7930000000015</v>
      </c>
      <c r="AT39" s="8">
        <f t="shared" si="70"/>
        <v>7378.0969999999961</v>
      </c>
      <c r="AU39" s="8">
        <f t="shared" si="70"/>
        <v>5647.2749999999978</v>
      </c>
      <c r="AV39" s="8">
        <f t="shared" si="70"/>
        <v>12694.622999999981</v>
      </c>
      <c r="AW39" s="8">
        <f t="shared" si="70"/>
        <v>4557.8160000000007</v>
      </c>
      <c r="AX39" s="8">
        <f t="shared" si="70"/>
        <v>7871.059999999994</v>
      </c>
      <c r="AY39" s="8">
        <f t="shared" si="70"/>
        <v>6044.8600000000024</v>
      </c>
      <c r="AZ39" s="8">
        <f t="shared" si="70"/>
        <v>13380.403000000011</v>
      </c>
      <c r="BA39" s="8">
        <f t="shared" si="70"/>
        <v>4008.3339999999989</v>
      </c>
      <c r="BB39" s="8">
        <f t="shared" si="70"/>
        <v>7107.5970000000052</v>
      </c>
      <c r="BC39" s="8">
        <f t="shared" si="70"/>
        <v>4828.4489999999987</v>
      </c>
      <c r="BD39" s="8">
        <f t="shared" si="70"/>
        <v>13510.582000000039</v>
      </c>
      <c r="BE39" s="8">
        <f t="shared" si="70"/>
        <v>3609.3610000000008</v>
      </c>
      <c r="BG39" s="8">
        <f>BG17</f>
        <v>3657.3149999999987</v>
      </c>
      <c r="BH39" s="8">
        <f>BH17</f>
        <v>2082.2859999999964</v>
      </c>
      <c r="BI39" s="8">
        <f>BI17</f>
        <v>4568.2340000000004</v>
      </c>
    </row>
    <row r="40" spans="2:61" ht="13.5" customHeight="1">
      <c r="B40" s="7" t="s">
        <v>291</v>
      </c>
      <c r="C40" s="69">
        <v>1910.298</v>
      </c>
      <c r="D40" s="69">
        <v>2215.0819999999999</v>
      </c>
      <c r="E40" s="69">
        <v>2644.5210000000002</v>
      </c>
      <c r="F40" s="69">
        <v>3118.79</v>
      </c>
      <c r="G40" s="69">
        <v>3311.2750000000001</v>
      </c>
      <c r="H40" s="69">
        <v>4705.4359999999997</v>
      </c>
      <c r="I40" s="69">
        <v>5194.1819999999998</v>
      </c>
      <c r="J40" s="69">
        <v>5175.3999999999996</v>
      </c>
      <c r="K40" s="69">
        <v>5171.085</v>
      </c>
      <c r="L40" s="69">
        <f>5385.905</f>
        <v>5385.9049999999997</v>
      </c>
      <c r="M40" s="69">
        <v>5703.4040000000005</v>
      </c>
      <c r="N40" s="69">
        <v>6345.9679999999998</v>
      </c>
      <c r="O40" s="6">
        <f>SUM(BC40:BE40)</f>
        <v>4887.4269999999997</v>
      </c>
      <c r="P40" s="39"/>
      <c r="Q40" s="69">
        <v>595.81100000000004</v>
      </c>
      <c r="R40" s="69">
        <f>1185.197-Q40</f>
        <v>589.38599999999985</v>
      </c>
      <c r="S40" s="69">
        <f>1834.031-R40-Q40</f>
        <v>648.83399999999995</v>
      </c>
      <c r="T40" s="6">
        <f>E40-SUM(Q40:S40)</f>
        <v>810.49000000000024</v>
      </c>
      <c r="U40" s="69">
        <v>669.53</v>
      </c>
      <c r="V40" s="69">
        <f>1475.184-U40</f>
        <v>805.654</v>
      </c>
      <c r="W40" s="69">
        <f>2306.1-V40-U40</f>
        <v>830.91599999999994</v>
      </c>
      <c r="X40" s="6">
        <f>F40-W40-V40-U40</f>
        <v>812.68999999999983</v>
      </c>
      <c r="Y40" s="69">
        <v>805.44600000000003</v>
      </c>
      <c r="Z40" s="69">
        <f>1611.385-Y40</f>
        <v>805.93899999999996</v>
      </c>
      <c r="AA40" s="69">
        <f>2430.988-Z40-Y40</f>
        <v>819.60299999999995</v>
      </c>
      <c r="AB40" s="6">
        <f>G40-Y40-Z40-AA40</f>
        <v>880.28700000000038</v>
      </c>
      <c r="AC40" s="69">
        <v>1159.472</v>
      </c>
      <c r="AD40" s="69">
        <f>2317.062-AC40</f>
        <v>1157.5899999999999</v>
      </c>
      <c r="AE40" s="69">
        <f>3497.516-AD40-AC40</f>
        <v>1180.4540000000004</v>
      </c>
      <c r="AF40" s="6">
        <f>H40-AE40-AD40-AC40</f>
        <v>1207.9199999999989</v>
      </c>
      <c r="AG40" s="69">
        <v>1254.93</v>
      </c>
      <c r="AH40" s="69">
        <v>1233.9000000000001</v>
      </c>
      <c r="AI40" s="69">
        <f>3782.399-AH40-AG40</f>
        <v>1293.5689999999997</v>
      </c>
      <c r="AJ40" s="6">
        <f>I40-AI40-AH40-AG40</f>
        <v>1411.7830000000001</v>
      </c>
      <c r="AK40" s="69">
        <v>1272.7349999999999</v>
      </c>
      <c r="AL40" s="69">
        <v>1254.31</v>
      </c>
      <c r="AM40" s="69">
        <f>3787.025-AL40-AK40</f>
        <v>1259.9800000000002</v>
      </c>
      <c r="AN40" s="6">
        <f>J40-AM40-AL40-AK40</f>
        <v>1388.3749999999993</v>
      </c>
      <c r="AO40" s="69">
        <v>1256.885</v>
      </c>
      <c r="AP40" s="69">
        <v>1253</v>
      </c>
      <c r="AQ40" s="69">
        <f>3792.006-AP40-AO40</f>
        <v>1282.1209999999999</v>
      </c>
      <c r="AR40" s="6">
        <f>K40-AQ40-AP40-AO40</f>
        <v>1379.079</v>
      </c>
      <c r="AS40" s="69">
        <v>1303.2919999999999</v>
      </c>
      <c r="AT40" s="69">
        <f>2627.884-AS40</f>
        <v>1324.5920000000001</v>
      </c>
      <c r="AU40" s="69">
        <f>3966.138-AT40-AS40</f>
        <v>1338.2539999999999</v>
      </c>
      <c r="AV40" s="6">
        <f>L40-AU40-AT40-AS40</f>
        <v>1419.7669999999998</v>
      </c>
      <c r="AW40" s="69">
        <v>1357.4970000000001</v>
      </c>
      <c r="AX40" s="69">
        <f>2769.545-AW40</f>
        <v>1412.048</v>
      </c>
      <c r="AY40" s="69">
        <f>4217.632-AW40-AX40</f>
        <v>1448.0869999999993</v>
      </c>
      <c r="AZ40" s="6">
        <f>M40-AY40-AX40-AW40</f>
        <v>1485.7720000000011</v>
      </c>
      <c r="BA40" s="69">
        <v>1475.231</v>
      </c>
      <c r="BB40" s="69">
        <f>2992.645-BA40</f>
        <v>1517.414</v>
      </c>
      <c r="BC40" s="69">
        <f>4550.303-BA40-BB40</f>
        <v>1557.6580000000001</v>
      </c>
      <c r="BD40" s="6">
        <f>N40-BC40-BB40-BA40</f>
        <v>1795.6649999999997</v>
      </c>
      <c r="BE40" s="69">
        <v>1534.104</v>
      </c>
      <c r="BG40" s="69">
        <f>1282.146-U40</f>
        <v>612.61599999999999</v>
      </c>
      <c r="BH40" s="69">
        <f>2306.1-BG40-U40</f>
        <v>1023.954</v>
      </c>
      <c r="BI40" s="69">
        <v>1157.5999999999999</v>
      </c>
    </row>
    <row r="41" spans="2:61" s="5" customFormat="1" ht="13.5" customHeight="1">
      <c r="B41" s="5" t="s">
        <v>289</v>
      </c>
      <c r="C41" s="8">
        <f t="shared" ref="C41:W41" si="71">SUM(C39+C40)</f>
        <v>13023.605000000005</v>
      </c>
      <c r="D41" s="8">
        <f t="shared" si="71"/>
        <v>14870.389999999998</v>
      </c>
      <c r="E41" s="8">
        <f t="shared" si="71"/>
        <v>16050.911999999997</v>
      </c>
      <c r="F41" s="8">
        <f t="shared" ref="F41:K41" si="72">SUM(F39+F40)</f>
        <v>18350.474000000002</v>
      </c>
      <c r="G41" s="8">
        <f t="shared" si="72"/>
        <v>20236.642999999982</v>
      </c>
      <c r="H41" s="8">
        <f t="shared" si="72"/>
        <v>23876.638000000014</v>
      </c>
      <c r="I41" s="8">
        <f t="shared" si="72"/>
        <v>9006.1820000000007</v>
      </c>
      <c r="J41" s="8">
        <f t="shared" si="72"/>
        <v>23908.700000000012</v>
      </c>
      <c r="K41" s="8">
        <f t="shared" si="72"/>
        <v>30686.465000000004</v>
      </c>
      <c r="L41" s="8">
        <f t="shared" ref="L41:M41" si="73">SUM(L39+L40)</f>
        <v>34991.692999999985</v>
      </c>
      <c r="M41" s="8">
        <f t="shared" si="73"/>
        <v>37557.543000000012</v>
      </c>
      <c r="N41" s="8">
        <f t="shared" ref="N41" si="74">SUM(N39+N40)</f>
        <v>35800.930000000015</v>
      </c>
      <c r="O41" s="8">
        <f>SUM(O39+O40)</f>
        <v>26835.819000000036</v>
      </c>
      <c r="P41" s="8"/>
      <c r="Q41" s="8">
        <f t="shared" si="71"/>
        <v>2393.5809999999988</v>
      </c>
      <c r="R41" s="8">
        <f t="shared" si="71"/>
        <v>3749.6449999999982</v>
      </c>
      <c r="S41" s="8">
        <f t="shared" si="71"/>
        <v>2810.1450000000013</v>
      </c>
      <c r="T41" s="8">
        <f t="shared" si="71"/>
        <v>7097.5409999999974</v>
      </c>
      <c r="U41" s="8">
        <f t="shared" si="71"/>
        <v>2591.3950000000013</v>
      </c>
      <c r="V41" s="8">
        <f t="shared" si="71"/>
        <v>4462.9679999999971</v>
      </c>
      <c r="W41" s="8">
        <f t="shared" si="71"/>
        <v>2913.21</v>
      </c>
      <c r="X41" s="8">
        <f t="shared" ref="X41:AC41" si="75">SUM(X39+X40)</f>
        <v>8382.9010000000108</v>
      </c>
      <c r="Y41" s="8">
        <f t="shared" si="75"/>
        <v>2352.2659999999996</v>
      </c>
      <c r="Z41" s="8">
        <f t="shared" si="75"/>
        <v>4871.2610000000004</v>
      </c>
      <c r="AA41" s="8">
        <f t="shared" si="75"/>
        <v>3723.0839999999998</v>
      </c>
      <c r="AB41" s="8">
        <f t="shared" si="75"/>
        <v>9290.0319999999738</v>
      </c>
      <c r="AC41" s="8">
        <f t="shared" si="75"/>
        <v>2953.0709999999981</v>
      </c>
      <c r="AD41" s="8">
        <f t="shared" ref="AD41:AI41" si="76">SUM(AD39+AD40)</f>
        <v>5673.5390000000007</v>
      </c>
      <c r="AE41" s="8">
        <f t="shared" si="76"/>
        <v>4244.032000000002</v>
      </c>
      <c r="AF41" s="8">
        <f t="shared" si="76"/>
        <v>11005.996000000003</v>
      </c>
      <c r="AG41" s="8">
        <f t="shared" si="76"/>
        <v>2568.4069999999992</v>
      </c>
      <c r="AH41" s="8">
        <f t="shared" si="76"/>
        <v>-1838.4729999999995</v>
      </c>
      <c r="AI41" s="8">
        <f t="shared" si="76"/>
        <v>993.58299999999713</v>
      </c>
      <c r="AJ41" s="8">
        <f t="shared" ref="AJ41:AO41" si="77">SUM(AJ39+AJ40)</f>
        <v>7282.6650000000018</v>
      </c>
      <c r="AK41" s="8">
        <f t="shared" si="77"/>
        <v>2279.8530000000001</v>
      </c>
      <c r="AL41" s="8">
        <f t="shared" si="77"/>
        <v>6065.9159999999956</v>
      </c>
      <c r="AM41" s="8">
        <f t="shared" si="77"/>
        <v>5231.7649999999985</v>
      </c>
      <c r="AN41" s="8">
        <f t="shared" si="77"/>
        <v>10331.16600000001</v>
      </c>
      <c r="AO41" s="8">
        <f t="shared" si="77"/>
        <v>4929.08</v>
      </c>
      <c r="AP41" s="8">
        <f t="shared" ref="AP41:AS41" si="78">SUM(AP39+AP40)</f>
        <v>7783.5999999999985</v>
      </c>
      <c r="AQ41" s="8">
        <f t="shared" si="78"/>
        <v>6188.6350000000011</v>
      </c>
      <c r="AR41" s="8">
        <f t="shared" si="78"/>
        <v>11785.149999999992</v>
      </c>
      <c r="AS41" s="8">
        <f t="shared" si="78"/>
        <v>5189.0850000000009</v>
      </c>
      <c r="AT41" s="8">
        <f t="shared" ref="AT41:AW41" si="79">SUM(AT39+AT40)</f>
        <v>8702.6889999999967</v>
      </c>
      <c r="AU41" s="8">
        <f t="shared" si="79"/>
        <v>6985.5289999999977</v>
      </c>
      <c r="AV41" s="8">
        <f t="shared" si="79"/>
        <v>14114.389999999981</v>
      </c>
      <c r="AW41" s="8">
        <f t="shared" si="79"/>
        <v>5915.313000000001</v>
      </c>
      <c r="AX41" s="8">
        <f>SUM(AX39+AX40)</f>
        <v>9283.1079999999947</v>
      </c>
      <c r="AY41" s="8">
        <f>SUM(AY39+AY40)</f>
        <v>7492.9470000000019</v>
      </c>
      <c r="AZ41" s="8">
        <f t="shared" ref="AZ41:BA41" si="80">SUM(AZ39+AZ40)</f>
        <v>14866.175000000012</v>
      </c>
      <c r="BA41" s="8">
        <f t="shared" si="80"/>
        <v>5483.5649999999987</v>
      </c>
      <c r="BB41" s="8">
        <f>SUM(BB39+BB40)</f>
        <v>8625.0110000000059</v>
      </c>
      <c r="BC41" s="8">
        <f>SUM(BC39+BC40)</f>
        <v>6386.1069999999991</v>
      </c>
      <c r="BD41" s="8">
        <f t="shared" ref="BD41:BE41" si="81">SUM(BD39+BD40)</f>
        <v>15306.247000000038</v>
      </c>
      <c r="BE41" s="8">
        <f t="shared" si="81"/>
        <v>5143.4650000000011</v>
      </c>
      <c r="BG41" s="8">
        <f>SUM(BG39+BG40)</f>
        <v>4269.9309999999987</v>
      </c>
      <c r="BH41" s="8">
        <f>SUM(BH39+BH40)</f>
        <v>3106.2399999999961</v>
      </c>
      <c r="BI41" s="8">
        <f>SUM(BI39+BI40)</f>
        <v>5725.8340000000007</v>
      </c>
    </row>
    <row r="42" spans="2:61" s="25" customFormat="1" ht="13.5" customHeight="1">
      <c r="B42" s="17" t="s">
        <v>292</v>
      </c>
      <c r="C42" s="100">
        <f>C41/12536-1</f>
        <v>3.8896378430121725E-2</v>
      </c>
      <c r="D42" s="18">
        <f t="shared" ref="D42:N42" si="82">+D41/C41-1</f>
        <v>0.14180290326679845</v>
      </c>
      <c r="E42" s="18">
        <f t="shared" si="82"/>
        <v>7.9387426960557228E-2</v>
      </c>
      <c r="F42" s="18">
        <f t="shared" si="82"/>
        <v>0.14326675020086133</v>
      </c>
      <c r="G42" s="18">
        <f t="shared" si="82"/>
        <v>0.10278584629475951</v>
      </c>
      <c r="H42" s="18">
        <f t="shared" si="82"/>
        <v>0.17987148362502792</v>
      </c>
      <c r="I42" s="18">
        <f t="shared" si="82"/>
        <v>-0.62280359571561139</v>
      </c>
      <c r="J42" s="18">
        <f t="shared" si="82"/>
        <v>1.6546987391549504</v>
      </c>
      <c r="K42" s="18">
        <f t="shared" si="82"/>
        <v>0.28348530033000485</v>
      </c>
      <c r="L42" s="18">
        <f t="shared" si="82"/>
        <v>0.14029729393724488</v>
      </c>
      <c r="M42" s="18">
        <f t="shared" si="82"/>
        <v>7.3327403735510277E-2</v>
      </c>
      <c r="N42" s="18">
        <f t="shared" si="82"/>
        <v>-4.6771243795154516E-2</v>
      </c>
      <c r="O42" s="18"/>
      <c r="P42" s="176"/>
      <c r="Q42" s="18"/>
      <c r="R42" s="18"/>
      <c r="S42" s="18"/>
      <c r="T42" s="18"/>
      <c r="U42" s="18">
        <f t="shared" ref="U42:W42" si="83">+U41/Q41-1</f>
        <v>8.2643537026740654E-2</v>
      </c>
      <c r="V42" s="18">
        <f t="shared" si="83"/>
        <v>0.190237475814377</v>
      </c>
      <c r="W42" s="18">
        <f t="shared" si="83"/>
        <v>3.667604340701236E-2</v>
      </c>
      <c r="X42" s="46">
        <f>+X41/T41-1</f>
        <v>0.18109934130708272</v>
      </c>
      <c r="Y42" s="18">
        <f>+Y41/U41-1</f>
        <v>-9.2278097318240437E-2</v>
      </c>
      <c r="Z42" s="18">
        <f>+Z41/V41-1</f>
        <v>9.1484635336843922E-2</v>
      </c>
      <c r="AA42" s="18">
        <f>AA41/BH41-1</f>
        <v>0.19858220871536147</v>
      </c>
      <c r="AB42" s="18">
        <f>AB41/X41-1</f>
        <v>0.10821206167172459</v>
      </c>
      <c r="AC42" s="18">
        <f>+AC41/Y41-1</f>
        <v>0.25541541645375077</v>
      </c>
      <c r="AD42" s="18">
        <f>+AD41/Z41-1</f>
        <v>0.16469616388857022</v>
      </c>
      <c r="AE42" s="18">
        <f>+AE41/AA41-1</f>
        <v>0.13992378361594904</v>
      </c>
      <c r="AF42" s="18">
        <f>+AF41/AB41-1</f>
        <v>0.1847102356590411</v>
      </c>
      <c r="AG42" s="18">
        <f>+AG41/AC41-1</f>
        <v>-0.13025897447098267</v>
      </c>
      <c r="AH42" s="18">
        <f>+AH41/BI41-1</f>
        <v>-1.3210838805316394</v>
      </c>
      <c r="AI42" s="18">
        <f t="shared" ref="AI42:AW42" si="84">+AI41/AE41-1</f>
        <v>-0.76588701498952017</v>
      </c>
      <c r="AJ42" s="18">
        <f t="shared" si="84"/>
        <v>-0.33830023198263925</v>
      </c>
      <c r="AK42" s="18">
        <f t="shared" si="84"/>
        <v>-0.11234745895023623</v>
      </c>
      <c r="AL42" s="18">
        <f t="shared" si="84"/>
        <v>-4.2994316478947461</v>
      </c>
      <c r="AM42" s="18">
        <f t="shared" si="84"/>
        <v>4.2655540604056368</v>
      </c>
      <c r="AN42" s="18">
        <f t="shared" si="84"/>
        <v>0.4185969009970949</v>
      </c>
      <c r="AO42" s="18">
        <f t="shared" si="84"/>
        <v>1.1620165861570899</v>
      </c>
      <c r="AP42" s="18">
        <f t="shared" si="84"/>
        <v>0.28316976364328217</v>
      </c>
      <c r="AQ42" s="18">
        <f t="shared" si="84"/>
        <v>0.18289621189025174</v>
      </c>
      <c r="AR42" s="18">
        <f t="shared" si="84"/>
        <v>0.14073764761886332</v>
      </c>
      <c r="AS42" s="18">
        <f t="shared" si="84"/>
        <v>5.2749194575864244E-2</v>
      </c>
      <c r="AT42" s="18">
        <f t="shared" si="84"/>
        <v>0.11808019425458638</v>
      </c>
      <c r="AU42" s="18">
        <f t="shared" si="84"/>
        <v>0.12876732914447153</v>
      </c>
      <c r="AV42" s="18">
        <f t="shared" si="84"/>
        <v>0.19764194770537413</v>
      </c>
      <c r="AW42" s="18">
        <f t="shared" si="84"/>
        <v>0.13995299749377788</v>
      </c>
      <c r="AX42" s="18">
        <f>+AX41/AT41-1</f>
        <v>6.6694213707969796E-2</v>
      </c>
      <c r="AY42" s="18">
        <f>+AY41/AU41-1</f>
        <v>7.2638450144578037E-2</v>
      </c>
      <c r="AZ42" s="18">
        <f t="shared" ref="AZ42:BA42" si="85">+AZ41/AV41-1</f>
        <v>5.3263725885428492E-2</v>
      </c>
      <c r="BA42" s="18">
        <f t="shared" si="85"/>
        <v>-7.2988191833636251E-2</v>
      </c>
      <c r="BB42" s="18">
        <f>+BB41/AX41-1</f>
        <v>-7.0891882330787137E-2</v>
      </c>
      <c r="BC42" s="18">
        <f>+BC41/AY41-1</f>
        <v>-0.14771758027916149</v>
      </c>
      <c r="BD42" s="18">
        <f t="shared" ref="BD42:BE42" si="86">+BD41/AZ41-1</f>
        <v>2.9602234603052002E-2</v>
      </c>
      <c r="BE42" s="18">
        <f t="shared" si="86"/>
        <v>-6.2021695739906013E-2</v>
      </c>
      <c r="BG42" s="46">
        <f>+BG41/R41-1</f>
        <v>0.13875606890785686</v>
      </c>
      <c r="BH42" s="46">
        <f>+BH41/S41-1</f>
        <v>0.10536644906223502</v>
      </c>
      <c r="BI42" s="46">
        <f>+BI41/Z41-1</f>
        <v>0.17543157716246371</v>
      </c>
    </row>
    <row r="43" spans="2:61" s="25" customFormat="1" ht="13.5" customHeight="1">
      <c r="B43" s="17" t="s">
        <v>293</v>
      </c>
      <c r="C43" s="18">
        <f t="shared" ref="C43:O43" si="87">C41/C7</f>
        <v>0.16036238713696058</v>
      </c>
      <c r="D43" s="18">
        <f t="shared" si="87"/>
        <v>0.1628866186938174</v>
      </c>
      <c r="E43" s="18">
        <f t="shared" si="87"/>
        <v>0.1598035298862813</v>
      </c>
      <c r="F43" s="18">
        <f t="shared" si="87"/>
        <v>0.15020653601905945</v>
      </c>
      <c r="G43" s="18">
        <f t="shared" si="87"/>
        <v>0.14930962613418594</v>
      </c>
      <c r="H43" s="18">
        <f t="shared" si="87"/>
        <v>0.1655415478457444</v>
      </c>
      <c r="I43" s="18">
        <f t="shared" si="87"/>
        <v>7.7994171772499954E-2</v>
      </c>
      <c r="J43" s="18">
        <f t="shared" si="87"/>
        <v>0.15831301064681438</v>
      </c>
      <c r="K43" s="18">
        <f t="shared" si="87"/>
        <v>0.17432151635493476</v>
      </c>
      <c r="L43" s="18">
        <f t="shared" si="87"/>
        <v>0.17853667653948652</v>
      </c>
      <c r="M43" s="18">
        <f t="shared" si="87"/>
        <v>0.1748099379583799</v>
      </c>
      <c r="N43" s="18">
        <f t="shared" si="87"/>
        <v>0.15624274245674294</v>
      </c>
      <c r="O43" s="18">
        <f t="shared" si="87"/>
        <v>0.15547723679073486</v>
      </c>
      <c r="P43" s="176"/>
      <c r="Q43" s="18">
        <f t="shared" ref="Q43:BE43" si="88">Q41/Q7</f>
        <v>0.12542219502111429</v>
      </c>
      <c r="R43" s="18">
        <f t="shared" si="88"/>
        <v>0.1544048037205609</v>
      </c>
      <c r="S43" s="18">
        <f t="shared" si="88"/>
        <v>0.12910048617377579</v>
      </c>
      <c r="T43" s="18">
        <f t="shared" si="88"/>
        <v>0.20103089805102975</v>
      </c>
      <c r="U43" s="18">
        <f t="shared" si="88"/>
        <v>0.12548137846746243</v>
      </c>
      <c r="V43" s="18">
        <f t="shared" si="88"/>
        <v>0.14924865321604386</v>
      </c>
      <c r="W43" s="18">
        <f t="shared" si="88"/>
        <v>0.10762773684199832</v>
      </c>
      <c r="X43" s="46">
        <f t="shared" si="88"/>
        <v>0.18818408207859172</v>
      </c>
      <c r="Y43" s="18">
        <f t="shared" si="88"/>
        <v>9.3113344681426458E-2</v>
      </c>
      <c r="Z43" s="18">
        <f t="shared" si="88"/>
        <v>0.14927230814257805</v>
      </c>
      <c r="AA43" s="18">
        <f t="shared" si="88"/>
        <v>0.12730957108037702</v>
      </c>
      <c r="AB43" s="18">
        <f t="shared" si="88"/>
        <v>0.19196409651458615</v>
      </c>
      <c r="AC43" s="18">
        <f t="shared" si="88"/>
        <v>0.10750455099544885</v>
      </c>
      <c r="AD43" s="18">
        <f t="shared" si="88"/>
        <v>0.15908569047579993</v>
      </c>
      <c r="AE43" s="18">
        <f t="shared" si="88"/>
        <v>0.14078367017275301</v>
      </c>
      <c r="AF43" s="18">
        <f t="shared" si="88"/>
        <v>0.21599418059734132</v>
      </c>
      <c r="AG43" s="18">
        <f t="shared" si="88"/>
        <v>9.6104777420422921E-2</v>
      </c>
      <c r="AH43" s="18">
        <f t="shared" si="88"/>
        <v>-0.12467421305410055</v>
      </c>
      <c r="AI43" s="18">
        <f t="shared" si="88"/>
        <v>3.6918068798236003E-2</v>
      </c>
      <c r="AJ43" s="18">
        <f t="shared" si="88"/>
        <v>0.15466066933115183</v>
      </c>
      <c r="AK43" s="18">
        <f t="shared" si="88"/>
        <v>8.9104592359875071E-2</v>
      </c>
      <c r="AL43" s="18">
        <f t="shared" si="88"/>
        <v>0.16159468295515311</v>
      </c>
      <c r="AM43" s="18">
        <f t="shared" si="88"/>
        <v>0.16437138051362013</v>
      </c>
      <c r="AN43" s="18">
        <f t="shared" si="88"/>
        <v>0.18425915934870593</v>
      </c>
      <c r="AO43" s="18">
        <f t="shared" si="88"/>
        <v>0.15285537833495469</v>
      </c>
      <c r="AP43" s="18">
        <f t="shared" si="88"/>
        <v>0.18288447892632081</v>
      </c>
      <c r="AQ43" s="18">
        <f t="shared" si="88"/>
        <v>0.16262786709946961</v>
      </c>
      <c r="AR43" s="18">
        <f t="shared" si="88"/>
        <v>0.18655398664356931</v>
      </c>
      <c r="AS43" s="18">
        <f t="shared" si="88"/>
        <v>0.1381195815436507</v>
      </c>
      <c r="AT43" s="18">
        <f t="shared" si="88"/>
        <v>0.18287904733905988</v>
      </c>
      <c r="AU43" s="18">
        <f t="shared" si="88"/>
        <v>0.16751164717280093</v>
      </c>
      <c r="AV43" s="18">
        <f t="shared" si="88"/>
        <v>0.20416216039198029</v>
      </c>
      <c r="AW43" s="18">
        <f t="shared" si="88"/>
        <v>0.14350470106471461</v>
      </c>
      <c r="AX43" s="18">
        <f t="shared" si="88"/>
        <v>0.17770977209556388</v>
      </c>
      <c r="AY43" s="18">
        <f t="shared" si="88"/>
        <v>0.16269451202320517</v>
      </c>
      <c r="AZ43" s="18">
        <f t="shared" si="88"/>
        <v>0.19733490048974489</v>
      </c>
      <c r="BA43" s="18">
        <f t="shared" si="88"/>
        <v>0.12044538279026216</v>
      </c>
      <c r="BB43" s="18">
        <f t="shared" si="88"/>
        <v>0.15286078009089871</v>
      </c>
      <c r="BC43" s="18">
        <f t="shared" si="88"/>
        <v>0.13287254284844038</v>
      </c>
      <c r="BD43" s="18">
        <f t="shared" si="88"/>
        <v>0.19344795792978023</v>
      </c>
      <c r="BE43" s="18">
        <f t="shared" si="88"/>
        <v>0.11324815851318415</v>
      </c>
      <c r="BG43" s="46">
        <f>BG41/BG7</f>
        <v>0.1425933956751492</v>
      </c>
      <c r="BH43" s="46">
        <f>BH41/BH7</f>
        <v>0.11493709326938782</v>
      </c>
      <c r="BI43" s="46">
        <f>BI41/BI7</f>
        <v>0.16031699895796531</v>
      </c>
    </row>
    <row r="44" spans="2:61" s="25" customFormat="1" ht="13.5" customHeight="1">
      <c r="B44" s="52"/>
      <c r="C44" s="53"/>
      <c r="D44" s="53"/>
      <c r="E44" s="53"/>
      <c r="F44" s="53"/>
      <c r="G44" s="53"/>
      <c r="H44" s="53"/>
      <c r="I44" s="53"/>
      <c r="J44" s="53"/>
      <c r="K44" s="53"/>
      <c r="L44" s="53"/>
      <c r="M44" s="53"/>
      <c r="N44" s="53"/>
      <c r="O44" s="53"/>
      <c r="P44" s="176"/>
      <c r="Q44" s="53"/>
      <c r="R44" s="53"/>
      <c r="S44" s="53"/>
      <c r="T44" s="53"/>
      <c r="U44" s="53"/>
      <c r="V44" s="53"/>
      <c r="W44" s="53"/>
      <c r="X44" s="176"/>
      <c r="Y44" s="53"/>
      <c r="Z44" s="53"/>
      <c r="AA44" s="53"/>
      <c r="AB44" s="53"/>
      <c r="AC44" s="53"/>
      <c r="AD44" s="53"/>
      <c r="AE44" s="53"/>
      <c r="AF44" s="53"/>
      <c r="AG44" s="53"/>
      <c r="AH44" s="53"/>
      <c r="AI44" s="53"/>
      <c r="AJ44" s="53"/>
      <c r="AK44" s="53"/>
      <c r="AL44" s="53"/>
      <c r="AM44" s="53"/>
      <c r="AN44" s="53"/>
      <c r="AO44" s="53"/>
      <c r="AP44" s="53"/>
      <c r="AQ44" s="53"/>
      <c r="AR44" s="53"/>
      <c r="AS44" s="53"/>
      <c r="AT44" s="53"/>
      <c r="AU44" s="53"/>
      <c r="AV44" s="53"/>
      <c r="AW44" s="53"/>
      <c r="AX44" s="53"/>
      <c r="AY44" s="53"/>
      <c r="AZ44" s="53"/>
      <c r="BA44" s="53"/>
      <c r="BB44" s="53"/>
      <c r="BC44" s="53"/>
      <c r="BD44" s="53"/>
      <c r="BE44" s="53"/>
      <c r="BG44" s="176"/>
      <c r="BH44" s="176"/>
      <c r="BI44" s="176"/>
    </row>
    <row r="45" spans="2:61" ht="13.5" customHeight="1">
      <c r="B45" s="405" t="s">
        <v>294</v>
      </c>
      <c r="C45" s="406">
        <f t="shared" ref="C45:V45" si="89">C46-C41</f>
        <v>-1.000000005660695E-3</v>
      </c>
      <c r="D45" s="406">
        <f t="shared" si="89"/>
        <v>-9.9999999838473741E-4</v>
      </c>
      <c r="E45" s="406">
        <f t="shared" si="89"/>
        <v>-9.9999999656574801E-4</v>
      </c>
      <c r="F45" s="406">
        <f t="shared" ref="F45:J45" si="90">F46-F41</f>
        <v>9.9999999656574801E-4</v>
      </c>
      <c r="G45" s="406">
        <f t="shared" si="90"/>
        <v>-9.9999998201383278E-4</v>
      </c>
      <c r="H45" s="406">
        <f t="shared" si="90"/>
        <v>-3.8000000015017577E-2</v>
      </c>
      <c r="I45" s="406">
        <f t="shared" si="90"/>
        <v>0.11799999999857391</v>
      </c>
      <c r="J45" s="406">
        <f t="shared" si="90"/>
        <v>0</v>
      </c>
      <c r="K45" s="406">
        <f t="shared" ref="K45:L45" si="91">K46-K41</f>
        <v>0.5349999999962165</v>
      </c>
      <c r="L45" s="406">
        <f t="shared" si="91"/>
        <v>7.0000000123400241E-3</v>
      </c>
      <c r="M45" s="406">
        <f t="shared" ref="M45:N45" si="92">M46-M41</f>
        <v>0.45699999998760177</v>
      </c>
      <c r="N45" s="406">
        <f t="shared" si="92"/>
        <v>1757.0699999999852</v>
      </c>
      <c r="O45" s="406">
        <f>O46-O41</f>
        <v>1756.1809999999641</v>
      </c>
      <c r="P45" s="176"/>
      <c r="Q45" s="406">
        <f t="shared" si="89"/>
        <v>1.0000000011132215E-3</v>
      </c>
      <c r="R45" s="406">
        <f t="shared" si="89"/>
        <v>56.338000000000648</v>
      </c>
      <c r="S45" s="406">
        <f t="shared" si="89"/>
        <v>-56.339000000001306</v>
      </c>
      <c r="T45" s="406">
        <f t="shared" si="89"/>
        <v>-9.9999999656574801E-4</v>
      </c>
      <c r="U45" s="406">
        <f t="shared" si="89"/>
        <v>9.9999999883948476E-4</v>
      </c>
      <c r="V45" s="406">
        <f t="shared" si="89"/>
        <v>-1.9999999967694748E-3</v>
      </c>
      <c r="W45" s="406">
        <f t="shared" ref="W45:AB45" si="93">W46-W41</f>
        <v>9.9999999974897946E-4</v>
      </c>
      <c r="X45" s="406">
        <f t="shared" si="93"/>
        <v>9.9999998747080099E-4</v>
      </c>
      <c r="Y45" s="406">
        <f t="shared" si="93"/>
        <v>3.4000000000560249E-2</v>
      </c>
      <c r="Z45" s="406">
        <f t="shared" si="93"/>
        <v>0</v>
      </c>
      <c r="AA45" s="406">
        <f t="shared" si="93"/>
        <v>1.0000000002037268E-3</v>
      </c>
      <c r="AB45" s="406">
        <f t="shared" si="93"/>
        <v>-3.5999999974592356E-2</v>
      </c>
      <c r="AC45" s="406">
        <f t="shared" ref="AC45:AH45" si="94">AC46-AC41</f>
        <v>2.9000000001815351E-2</v>
      </c>
      <c r="AD45" s="406">
        <f t="shared" si="94"/>
        <v>-3.9000000000669388E-2</v>
      </c>
      <c r="AE45" s="406">
        <f t="shared" si="94"/>
        <v>-3.2000000001971785E-2</v>
      </c>
      <c r="AF45" s="406">
        <f t="shared" si="94"/>
        <v>3.999999995357939E-3</v>
      </c>
      <c r="AG45" s="406">
        <f t="shared" si="94"/>
        <v>-6.9999999991523509E-3</v>
      </c>
      <c r="AH45" s="406">
        <f t="shared" si="94"/>
        <v>-2.7000000000498403E-2</v>
      </c>
      <c r="AI45" s="406">
        <f t="shared" ref="AI45:AN45" si="95">AI46-AI41</f>
        <v>0.41700000000287218</v>
      </c>
      <c r="AJ45" s="406">
        <f t="shared" si="95"/>
        <v>-0.26500000000214641</v>
      </c>
      <c r="AK45" s="406">
        <f t="shared" si="95"/>
        <v>4.7000000000025466E-2</v>
      </c>
      <c r="AL45" s="406">
        <f t="shared" si="95"/>
        <v>8.4000000004380126E-2</v>
      </c>
      <c r="AM45" s="406">
        <f t="shared" si="95"/>
        <v>0.23500000000149157</v>
      </c>
      <c r="AN45" s="406">
        <f t="shared" si="95"/>
        <v>-0.3660000000090804</v>
      </c>
      <c r="AO45" s="406">
        <f>AO46-AO41</f>
        <v>2.0000000000436557E-2</v>
      </c>
      <c r="AP45" s="406">
        <f>AP46-AP41</f>
        <v>0.10000000000127329</v>
      </c>
      <c r="AQ45" s="406">
        <f>AQ46-AQ41</f>
        <v>0.36499999999887223</v>
      </c>
      <c r="AR45" s="406">
        <f t="shared" ref="AR45" si="96">AR46-AR41</f>
        <v>5.0000000006548362E-2</v>
      </c>
      <c r="AS45" s="406">
        <f>AS46-AS41</f>
        <v>1.4999999999417923E-2</v>
      </c>
      <c r="AT45" s="406">
        <f>AT46-AT41</f>
        <v>0.31100000000333239</v>
      </c>
      <c r="AU45" s="406">
        <f>AU46-AU41</f>
        <v>0.47100000000227737</v>
      </c>
      <c r="AV45" s="406">
        <f t="shared" ref="AV45" si="97">AV46-AV41</f>
        <v>-0.78999999998450221</v>
      </c>
      <c r="AW45" s="406">
        <f>AW46-AW41</f>
        <v>-0.31300000000101136</v>
      </c>
      <c r="AX45" s="406">
        <f>AX46-AX41</f>
        <v>-0.10799999999471765</v>
      </c>
      <c r="AY45" s="406">
        <f>AY46-AY41</f>
        <v>5.2999999998064595E-2</v>
      </c>
      <c r="AZ45" s="406">
        <f t="shared" ref="AZ45" si="98">AZ46-AZ41</f>
        <v>0.82499999998799467</v>
      </c>
      <c r="BA45" s="406">
        <f>BA46-BA41</f>
        <v>0.43500000000130967</v>
      </c>
      <c r="BB45" s="406">
        <f>BB46-BB41</f>
        <v>-1.1000000005878974E-2</v>
      </c>
      <c r="BC45" s="406">
        <f>BC46-BC41</f>
        <v>-0.1069999999990614</v>
      </c>
      <c r="BD45" s="406">
        <f t="shared" ref="BD45" si="99">BD46-BD41</f>
        <v>1756.7529999999624</v>
      </c>
      <c r="BE45" s="406">
        <f>BE46-BE41</f>
        <v>-0.46500000000105501</v>
      </c>
      <c r="BG45" s="371">
        <f>BG46-BG41</f>
        <v>175.02500000000146</v>
      </c>
      <c r="BH45" s="371">
        <f>BH46-BH41</f>
        <v>-143.67899999999599</v>
      </c>
      <c r="BI45" s="372">
        <f>BI46-BI41</f>
        <v>-3.4000000000560249E-2</v>
      </c>
    </row>
    <row r="46" spans="2:61" s="5" customFormat="1" ht="13.5" customHeight="1">
      <c r="B46" s="5" t="s">
        <v>295</v>
      </c>
      <c r="C46" s="74">
        <v>13023.603999999999</v>
      </c>
      <c r="D46" s="74">
        <v>14870.388999999999</v>
      </c>
      <c r="E46" s="74">
        <v>16050.911</v>
      </c>
      <c r="F46" s="74">
        <v>18350.474999999999</v>
      </c>
      <c r="G46" s="74">
        <v>20236.642</v>
      </c>
      <c r="H46" s="74">
        <v>23876.6</v>
      </c>
      <c r="I46" s="74">
        <v>9006.2999999999993</v>
      </c>
      <c r="J46" s="74">
        <v>23908.7</v>
      </c>
      <c r="K46" s="74">
        <v>30687</v>
      </c>
      <c r="L46" s="74">
        <f>34991.7</f>
        <v>34991.699999999997</v>
      </c>
      <c r="M46" s="74">
        <v>37558</v>
      </c>
      <c r="N46" s="74">
        <v>37558</v>
      </c>
      <c r="O46" s="8">
        <f>SUM(BC46:BE46)</f>
        <v>28592</v>
      </c>
      <c r="P46" s="176"/>
      <c r="Q46" s="74">
        <v>2393.5819999999999</v>
      </c>
      <c r="R46" s="74">
        <f>8953.371-S46-Q46</f>
        <v>3805.9829999999988</v>
      </c>
      <c r="S46" s="75">
        <v>2753.806</v>
      </c>
      <c r="T46" s="84">
        <f>E46-SUM(Q46:S46)</f>
        <v>7097.5400000000009</v>
      </c>
      <c r="U46" s="76">
        <v>2591.3960000000002</v>
      </c>
      <c r="V46" s="76">
        <v>4462.9660000000003</v>
      </c>
      <c r="W46" s="77">
        <v>2913.2109999999998</v>
      </c>
      <c r="X46" s="8">
        <f>F46-W46-V46-U46</f>
        <v>8382.9019999999982</v>
      </c>
      <c r="Y46" s="77">
        <v>2352.3000000000002</v>
      </c>
      <c r="Z46" s="76">
        <v>4871.2610000000004</v>
      </c>
      <c r="AA46" s="77">
        <v>3723.085</v>
      </c>
      <c r="AB46" s="8">
        <f>G46-Y46-Z46-AA46</f>
        <v>9289.9959999999992</v>
      </c>
      <c r="AC46" s="77">
        <v>2953.1</v>
      </c>
      <c r="AD46" s="77">
        <v>5673.5</v>
      </c>
      <c r="AE46" s="77">
        <v>4244</v>
      </c>
      <c r="AF46" s="79">
        <f>H46-AE46-AD46-AC46</f>
        <v>11005.999999999998</v>
      </c>
      <c r="AG46" s="77">
        <v>2568.4</v>
      </c>
      <c r="AH46" s="77">
        <v>-1838.5</v>
      </c>
      <c r="AI46" s="77">
        <v>994</v>
      </c>
      <c r="AJ46" s="79">
        <f>I46-AI46-AH46-AG46</f>
        <v>7282.4</v>
      </c>
      <c r="AK46" s="77">
        <v>2279.9</v>
      </c>
      <c r="AL46" s="77">
        <v>6066</v>
      </c>
      <c r="AM46" s="77">
        <v>5232</v>
      </c>
      <c r="AN46" s="79">
        <f>J46-AM46-AL46-AK46</f>
        <v>10330.800000000001</v>
      </c>
      <c r="AO46" s="77">
        <v>4929.1000000000004</v>
      </c>
      <c r="AP46" s="77">
        <v>7783.7</v>
      </c>
      <c r="AQ46" s="77">
        <v>6189</v>
      </c>
      <c r="AR46" s="79">
        <f>K46-AQ46-AP46-AO46</f>
        <v>11785.199999999999</v>
      </c>
      <c r="AS46" s="77">
        <v>5189.1000000000004</v>
      </c>
      <c r="AT46" s="77">
        <v>8703</v>
      </c>
      <c r="AU46" s="77">
        <v>6986</v>
      </c>
      <c r="AV46" s="79">
        <f>L46-AU46-AT46-AS46</f>
        <v>14113.599999999997</v>
      </c>
      <c r="AW46" s="77">
        <v>5915</v>
      </c>
      <c r="AX46" s="77">
        <v>9283</v>
      </c>
      <c r="AY46" s="77">
        <v>7493</v>
      </c>
      <c r="AZ46" s="79">
        <f>M46-AY46-AX46-AW46</f>
        <v>14867</v>
      </c>
      <c r="BA46" s="77">
        <v>5484</v>
      </c>
      <c r="BB46" s="77">
        <v>8625</v>
      </c>
      <c r="BC46" s="77">
        <v>6386</v>
      </c>
      <c r="BD46" s="8">
        <f>N46-BC46-BB46-BA46</f>
        <v>17063</v>
      </c>
      <c r="BE46" s="77">
        <v>5143</v>
      </c>
      <c r="BG46" s="373">
        <v>4444.9560000000001</v>
      </c>
      <c r="BH46" s="77">
        <v>2962.5610000000001</v>
      </c>
      <c r="BI46" s="77">
        <v>5725.8</v>
      </c>
    </row>
    <row r="47" spans="2:61" s="25" customFormat="1" ht="13.5" customHeight="1">
      <c r="B47" s="17" t="s">
        <v>292</v>
      </c>
      <c r="C47" s="60">
        <f>C46/12536.327-1</f>
        <v>3.886919988605908E-2</v>
      </c>
      <c r="D47" s="18">
        <f t="shared" ref="D47:N47" si="100">+D46/C46-1</f>
        <v>0.14180291415494506</v>
      </c>
      <c r="E47" s="18">
        <f t="shared" si="100"/>
        <v>7.9387432299182104E-2</v>
      </c>
      <c r="F47" s="18">
        <f t="shared" si="100"/>
        <v>0.14326688373015073</v>
      </c>
      <c r="G47" s="18">
        <f t="shared" si="100"/>
        <v>0.10278573170449268</v>
      </c>
      <c r="H47" s="18">
        <f t="shared" si="100"/>
        <v>0.17986966414684802</v>
      </c>
      <c r="I47" s="18">
        <f t="shared" si="100"/>
        <v>-0.62279805332417515</v>
      </c>
      <c r="J47" s="18">
        <f t="shared" si="100"/>
        <v>1.6546639574520059</v>
      </c>
      <c r="K47" s="18">
        <f t="shared" si="100"/>
        <v>0.28350767712171709</v>
      </c>
      <c r="L47" s="18">
        <f t="shared" si="100"/>
        <v>0.14027764199824011</v>
      </c>
      <c r="M47" s="18">
        <f t="shared" si="100"/>
        <v>7.3340249259110202E-2</v>
      </c>
      <c r="N47" s="18">
        <f t="shared" si="100"/>
        <v>0</v>
      </c>
      <c r="O47" s="18"/>
      <c r="P47" s="176"/>
      <c r="Q47" s="18"/>
      <c r="R47" s="19"/>
      <c r="S47" s="19"/>
      <c r="T47" s="19"/>
      <c r="U47" s="18">
        <f t="shared" ref="U47:W47" si="101">+U46/Q46-1</f>
        <v>8.2643502499601063E-2</v>
      </c>
      <c r="V47" s="18">
        <f t="shared" si="101"/>
        <v>0.17261847990387813</v>
      </c>
      <c r="W47" s="18">
        <f t="shared" si="101"/>
        <v>5.788534123318767E-2</v>
      </c>
      <c r="X47" s="32">
        <f>+X46/T46-1</f>
        <v>0.18109964861064509</v>
      </c>
      <c r="Y47" s="18">
        <f>+Y46/U46-1</f>
        <v>-9.2265327259901553E-2</v>
      </c>
      <c r="Z47" s="18">
        <f>+Z46/V46-1</f>
        <v>9.1485124466554213E-2</v>
      </c>
      <c r="AA47" s="18">
        <f>AA46/BH46-1</f>
        <v>0.25671167614776524</v>
      </c>
      <c r="AB47" s="18">
        <f>AB46/X46-1</f>
        <v>0.10820763501708619</v>
      </c>
      <c r="AC47" s="18">
        <f>+AC46/Y46-1</f>
        <v>0.255409599115759</v>
      </c>
      <c r="AD47" s="18">
        <f>+AD46/Z46-1</f>
        <v>0.16468815774806544</v>
      </c>
      <c r="AE47" s="18">
        <f>+AE46/AA46-1</f>
        <v>0.13991488241606076</v>
      </c>
      <c r="AF47" s="18">
        <f>+AF46/AB46-1</f>
        <v>0.1847152571432753</v>
      </c>
      <c r="AG47" s="18">
        <f>+AG46/AC46-1</f>
        <v>-0.13026988588263178</v>
      </c>
      <c r="AH47" s="18">
        <f>+AH46/BI46-1</f>
        <v>-1.321090502637186</v>
      </c>
      <c r="AI47" s="18">
        <f t="shared" ref="AI47:AW47" si="102">+AI46/AE46-1</f>
        <v>-0.76578699340245049</v>
      </c>
      <c r="AJ47" s="18">
        <f t="shared" si="102"/>
        <v>-0.33832455024532071</v>
      </c>
      <c r="AK47" s="18">
        <f t="shared" si="102"/>
        <v>-0.11232674038311785</v>
      </c>
      <c r="AL47" s="18">
        <f t="shared" si="102"/>
        <v>-4.2994288822409574</v>
      </c>
      <c r="AM47" s="18">
        <f t="shared" si="102"/>
        <v>4.2635814889336014</v>
      </c>
      <c r="AN47" s="18">
        <f t="shared" si="102"/>
        <v>0.41859826430847002</v>
      </c>
      <c r="AO47" s="18">
        <f t="shared" si="102"/>
        <v>1.1619807886310802</v>
      </c>
      <c r="AP47" s="18">
        <f t="shared" si="102"/>
        <v>0.28316848005275297</v>
      </c>
      <c r="AQ47" s="18">
        <f>+AQ46/AM46-1</f>
        <v>0.18291284403669716</v>
      </c>
      <c r="AR47" s="18">
        <f t="shared" si="102"/>
        <v>0.14078290161458917</v>
      </c>
      <c r="AS47" s="18">
        <f t="shared" si="102"/>
        <v>5.2747966160150872E-2</v>
      </c>
      <c r="AT47" s="18">
        <f t="shared" si="102"/>
        <v>0.11810578516643755</v>
      </c>
      <c r="AU47" s="18">
        <f>+AU46/AQ46-1</f>
        <v>0.1287768621748262</v>
      </c>
      <c r="AV47" s="18">
        <f t="shared" si="102"/>
        <v>0.19756983335030354</v>
      </c>
      <c r="AW47" s="18">
        <f t="shared" si="102"/>
        <v>0.13988938351544578</v>
      </c>
      <c r="AX47" s="18">
        <f>+AX46/AT46-1</f>
        <v>6.6643686085257947E-2</v>
      </c>
      <c r="AY47" s="18">
        <f>+AY46/AU46-1</f>
        <v>7.2573718866304038E-2</v>
      </c>
      <c r="AZ47" s="18">
        <f t="shared" ref="AZ47:BA47" si="103">+AZ46/AV46-1</f>
        <v>5.3381135925632206E-2</v>
      </c>
      <c r="BA47" s="18">
        <f t="shared" si="103"/>
        <v>-7.2865595942519068E-2</v>
      </c>
      <c r="BB47" s="18">
        <f>+BB46/AX46-1</f>
        <v>-7.0882257890768074E-2</v>
      </c>
      <c r="BC47" s="18">
        <f>+BC46/AY46-1</f>
        <v>-0.14773788869611637</v>
      </c>
      <c r="BD47" s="18">
        <f t="shared" ref="BD47:BE47" si="104">+BD46/AZ46-1</f>
        <v>0.14770969260778899</v>
      </c>
      <c r="BE47" s="18">
        <f t="shared" si="104"/>
        <v>-6.2180889861415012E-2</v>
      </c>
      <c r="BG47" s="46">
        <f>+BG46/R46-1</f>
        <v>0.16788645666572899</v>
      </c>
      <c r="BH47" s="46">
        <f>+BH46/S46-1</f>
        <v>7.5805993595772669E-2</v>
      </c>
      <c r="BI47" s="46">
        <f>+BI46/Z46-1</f>
        <v>0.17542459745022887</v>
      </c>
    </row>
    <row r="48" spans="2:61" s="25" customFormat="1" ht="13.5" customHeight="1">
      <c r="B48" s="17" t="s">
        <v>293</v>
      </c>
      <c r="C48" s="18">
        <f t="shared" ref="C48:O48" si="105">C46/C7</f>
        <v>0.16036237482375024</v>
      </c>
      <c r="D48" s="18">
        <f t="shared" si="105"/>
        <v>0.16288660774006178</v>
      </c>
      <c r="E48" s="18">
        <f t="shared" si="105"/>
        <v>0.15980351993024083</v>
      </c>
      <c r="F48" s="18">
        <f t="shared" si="105"/>
        <v>0.15020654420449026</v>
      </c>
      <c r="G48" s="18">
        <f t="shared" si="105"/>
        <v>0.14930961875600451</v>
      </c>
      <c r="H48" s="18">
        <f t="shared" si="105"/>
        <v>0.16554128438407864</v>
      </c>
      <c r="I48" s="18">
        <f t="shared" si="105"/>
        <v>7.7995193660828327E-2</v>
      </c>
      <c r="J48" s="18">
        <f t="shared" si="105"/>
        <v>0.15831301064681433</v>
      </c>
      <c r="K48" s="18">
        <f t="shared" si="105"/>
        <v>0.17432455554538073</v>
      </c>
      <c r="L48" s="18">
        <f t="shared" si="105"/>
        <v>0.17853671225529877</v>
      </c>
      <c r="M48" s="18">
        <f t="shared" si="105"/>
        <v>0.17481206504485211</v>
      </c>
      <c r="N48" s="18">
        <f t="shared" si="105"/>
        <v>0.16391096324007084</v>
      </c>
      <c r="O48" s="18">
        <f t="shared" si="105"/>
        <v>0.16565192790727518</v>
      </c>
      <c r="P48" s="176"/>
      <c r="Q48" s="18">
        <f t="shared" ref="Q48:BE48" si="106">Q46/Q7</f>
        <v>0.12542224742050881</v>
      </c>
      <c r="R48" s="18">
        <f t="shared" si="106"/>
        <v>0.15672471876105382</v>
      </c>
      <c r="S48" s="18">
        <f t="shared" si="106"/>
        <v>0.12651222389885952</v>
      </c>
      <c r="T48" s="18">
        <f t="shared" si="106"/>
        <v>0.20103086972700918</v>
      </c>
      <c r="U48" s="18">
        <f t="shared" si="106"/>
        <v>0.1254814268897903</v>
      </c>
      <c r="V48" s="18">
        <f t="shared" si="106"/>
        <v>0.14924858633290555</v>
      </c>
      <c r="W48" s="18">
        <f t="shared" si="106"/>
        <v>0.10762777378672143</v>
      </c>
      <c r="X48" s="46">
        <f t="shared" si="106"/>
        <v>0.18818410452715453</v>
      </c>
      <c r="Y48" s="18">
        <f t="shared" si="106"/>
        <v>9.3114690555455681E-2</v>
      </c>
      <c r="Z48" s="18">
        <f t="shared" si="106"/>
        <v>0.14927230814257805</v>
      </c>
      <c r="AA48" s="18">
        <f t="shared" si="106"/>
        <v>0.12730960527503155</v>
      </c>
      <c r="AB48" s="18">
        <f t="shared" si="106"/>
        <v>0.19196335263044564</v>
      </c>
      <c r="AC48" s="18">
        <f t="shared" si="106"/>
        <v>0.10750560672082052</v>
      </c>
      <c r="AD48" s="18">
        <f t="shared" si="106"/>
        <v>0.15908459691815829</v>
      </c>
      <c r="AE48" s="18">
        <f t="shared" si="106"/>
        <v>0.14078260866392228</v>
      </c>
      <c r="AF48" s="18">
        <f t="shared" si="106"/>
        <v>0.21599425909788969</v>
      </c>
      <c r="AG48" s="18">
        <f t="shared" si="106"/>
        <v>9.6104515494084192E-2</v>
      </c>
      <c r="AH48" s="18">
        <f t="shared" si="106"/>
        <v>-0.12467604403217449</v>
      </c>
      <c r="AI48" s="18">
        <f t="shared" si="106"/>
        <v>3.6933563059600147E-2</v>
      </c>
      <c r="AJ48" s="18">
        <f t="shared" si="106"/>
        <v>0.15465504157299281</v>
      </c>
      <c r="AK48" s="18">
        <f t="shared" si="106"/>
        <v>8.9106429283501681E-2</v>
      </c>
      <c r="AL48" s="18">
        <f t="shared" si="106"/>
        <v>0.16159692069688394</v>
      </c>
      <c r="AM48" s="18">
        <f t="shared" si="106"/>
        <v>0.16437876373408605</v>
      </c>
      <c r="AN48" s="18">
        <f t="shared" si="106"/>
        <v>0.18425263163902406</v>
      </c>
      <c r="AO48" s="18">
        <f t="shared" si="106"/>
        <v>0.15285599855365001</v>
      </c>
      <c r="AP48" s="18">
        <f t="shared" si="106"/>
        <v>0.18288682853933957</v>
      </c>
      <c r="AQ48" s="18">
        <f t="shared" si="106"/>
        <v>0.16263745874148616</v>
      </c>
      <c r="AR48" s="18">
        <f t="shared" si="106"/>
        <v>0.18655477812261992</v>
      </c>
      <c r="AS48" s="18">
        <f t="shared" si="106"/>
        <v>0.13811998080358248</v>
      </c>
      <c r="AT48" s="18">
        <f t="shared" si="106"/>
        <v>0.18288558271952943</v>
      </c>
      <c r="AU48" s="18">
        <f t="shared" si="106"/>
        <v>0.16752294166256954</v>
      </c>
      <c r="AV48" s="18">
        <f t="shared" si="106"/>
        <v>0.20415073318140253</v>
      </c>
      <c r="AW48" s="18">
        <f t="shared" si="106"/>
        <v>0.14349710772663876</v>
      </c>
      <c r="AX48" s="18">
        <f t="shared" si="106"/>
        <v>0.1777077046139203</v>
      </c>
      <c r="AY48" s="18">
        <f t="shared" si="106"/>
        <v>0.16269566281329309</v>
      </c>
      <c r="AZ48" s="18">
        <f t="shared" si="106"/>
        <v>0.19734585161152987</v>
      </c>
      <c r="BA48" s="18">
        <f t="shared" si="106"/>
        <v>0.12045493747622174</v>
      </c>
      <c r="BB48" s="18">
        <f t="shared" si="106"/>
        <v>0.15286058513826828</v>
      </c>
      <c r="BC48" s="18">
        <f t="shared" si="106"/>
        <v>0.13287031655281384</v>
      </c>
      <c r="BD48" s="18">
        <f t="shared" si="106"/>
        <v>0.21565067558075024</v>
      </c>
      <c r="BE48" s="18">
        <f t="shared" si="106"/>
        <v>0.11323792020229669</v>
      </c>
      <c r="BG48" s="46">
        <f>BG46/BG7</f>
        <v>0.14843831660666851</v>
      </c>
      <c r="BH48" s="46">
        <f>BH46/BH7</f>
        <v>0.10962068287487486</v>
      </c>
      <c r="BI48" s="46">
        <f>BI46/BI7</f>
        <v>0.16031604699568966</v>
      </c>
    </row>
    <row r="49" spans="2:61" s="5" customFormat="1" ht="13.5" customHeight="1">
      <c r="B49" s="5" t="s">
        <v>296</v>
      </c>
      <c r="C49" s="4">
        <v>778.71</v>
      </c>
      <c r="D49" s="4">
        <v>940.56899999999996</v>
      </c>
      <c r="E49" s="4">
        <v>1172.568</v>
      </c>
      <c r="F49" s="4">
        <v>2051.0360000000001</v>
      </c>
      <c r="G49" s="4">
        <v>2135.7399999999998</v>
      </c>
      <c r="H49" s="4">
        <v>370.94499999999999</v>
      </c>
      <c r="I49" s="4">
        <v>97.19</v>
      </c>
      <c r="J49" s="4">
        <v>179.41499999999999</v>
      </c>
      <c r="K49" s="4">
        <v>226.90199999999999</v>
      </c>
      <c r="L49" s="4">
        <v>164.708</v>
      </c>
      <c r="M49" s="69">
        <v>0</v>
      </c>
      <c r="N49" s="69">
        <v>0</v>
      </c>
      <c r="O49" s="6">
        <f>SUM(BB49:BE49)</f>
        <v>0</v>
      </c>
      <c r="P49" s="176"/>
      <c r="Q49" s="69">
        <v>265.43200000000002</v>
      </c>
      <c r="R49" s="69">
        <f>589.632-Q49</f>
        <v>324.19999999999993</v>
      </c>
      <c r="S49" s="69">
        <f>817.95-R49-Q49</f>
        <v>228.3180000000001</v>
      </c>
      <c r="T49" s="6">
        <f>E49-SUM(Q49:S49)</f>
        <v>354.61799999999994</v>
      </c>
      <c r="U49" s="69">
        <v>530.01499999999999</v>
      </c>
      <c r="V49" s="69">
        <f>1027.373-U49</f>
        <v>497.35800000000006</v>
      </c>
      <c r="W49" s="69">
        <f>1574.611-V49-U49</f>
        <v>547.23800000000017</v>
      </c>
      <c r="X49" s="6">
        <f>F49-W49-V49-U49</f>
        <v>476.42499999999973</v>
      </c>
      <c r="Y49" s="69">
        <v>634.91999999999996</v>
      </c>
      <c r="Z49" s="69">
        <f>1176.745-Y49</f>
        <v>541.82499999999993</v>
      </c>
      <c r="AA49" s="69">
        <f>1625.434-Z49-Y49</f>
        <v>448.68899999999996</v>
      </c>
      <c r="AB49" s="6">
        <f>G49-Y49-Z49-AA49</f>
        <v>510.30599999999981</v>
      </c>
      <c r="AC49" s="69">
        <v>104.955</v>
      </c>
      <c r="AD49" s="69">
        <f>268.21-AC49</f>
        <v>163.255</v>
      </c>
      <c r="AE49" s="69">
        <f>370.685-AD49-AC49</f>
        <v>102.47500000000001</v>
      </c>
      <c r="AF49" s="6">
        <f>H49-AE49-AD49-AC49</f>
        <v>0.25999999999997669</v>
      </c>
      <c r="AG49" s="69">
        <v>94.037000000000006</v>
      </c>
      <c r="AH49" s="69">
        <f>197.746-AG49</f>
        <v>103.709</v>
      </c>
      <c r="AI49" s="69">
        <f>192.965-AH49-AG49</f>
        <v>-4.7810000000000059</v>
      </c>
      <c r="AJ49" s="6">
        <f>I49-AI49-AH49-AG49</f>
        <v>-95.775000000000006</v>
      </c>
      <c r="AK49" s="69">
        <v>24.998000000000001</v>
      </c>
      <c r="AL49" s="69">
        <f>31.582-AK49</f>
        <v>6.5839999999999996</v>
      </c>
      <c r="AM49" s="69">
        <f>62.902-AL49-AK49</f>
        <v>31.319999999999997</v>
      </c>
      <c r="AN49" s="6">
        <f>J49-AM49-AL49-AK49</f>
        <v>116.51299999999999</v>
      </c>
      <c r="AO49" s="69">
        <v>37.741999999999997</v>
      </c>
      <c r="AP49" s="193">
        <v>94.322000000000003</v>
      </c>
      <c r="AQ49" s="69">
        <f>129.402-AP49-AO49</f>
        <v>-2.6620000000000132</v>
      </c>
      <c r="AR49" s="6">
        <f>K49-AQ49-AP49-AO49</f>
        <v>97.5</v>
      </c>
      <c r="AS49" s="69">
        <v>15.156000000000001</v>
      </c>
      <c r="AT49" s="193">
        <f>42.051-AS49</f>
        <v>26.895000000000003</v>
      </c>
      <c r="AU49" s="69">
        <f>58.865-AT49-AS49</f>
        <v>16.814</v>
      </c>
      <c r="AV49" s="6">
        <f>L49-AU49-AT49-AS49</f>
        <v>105.84299999999999</v>
      </c>
      <c r="AW49" s="69">
        <v>0</v>
      </c>
      <c r="AX49" s="69">
        <v>0</v>
      </c>
      <c r="AY49" s="69">
        <v>0</v>
      </c>
      <c r="AZ49" s="6">
        <f>M49-AY49-AX49-AW49</f>
        <v>0</v>
      </c>
      <c r="BA49" s="69">
        <v>0</v>
      </c>
      <c r="BB49" s="69">
        <v>0</v>
      </c>
      <c r="BC49" s="69">
        <v>0</v>
      </c>
      <c r="BD49" s="6">
        <f>N49-BC49-BB49-BA49</f>
        <v>0</v>
      </c>
      <c r="BE49" s="69">
        <v>0</v>
      </c>
      <c r="BG49" s="69">
        <f>1027.373-U49</f>
        <v>497.35800000000006</v>
      </c>
      <c r="BH49" s="69">
        <f>1574.611-BG49-U49</f>
        <v>547.23800000000017</v>
      </c>
      <c r="BI49" s="69">
        <f>268.21-AC49</f>
        <v>163.255</v>
      </c>
    </row>
    <row r="50" spans="2:61" s="25" customFormat="1" ht="13.5" customHeight="1">
      <c r="B50" s="5" t="s">
        <v>297</v>
      </c>
      <c r="C50" s="8">
        <f t="shared" ref="C50:I50" si="107">C46+C49</f>
        <v>13802.313999999998</v>
      </c>
      <c r="D50" s="8">
        <f t="shared" si="107"/>
        <v>15810.957999999999</v>
      </c>
      <c r="E50" s="8">
        <f t="shared" si="107"/>
        <v>17223.478999999999</v>
      </c>
      <c r="F50" s="8">
        <f t="shared" si="107"/>
        <v>20401.510999999999</v>
      </c>
      <c r="G50" s="8">
        <f t="shared" si="107"/>
        <v>22372.381999999998</v>
      </c>
      <c r="H50" s="8">
        <f t="shared" si="107"/>
        <v>24247.544999999998</v>
      </c>
      <c r="I50" s="8">
        <f t="shared" si="107"/>
        <v>9103.49</v>
      </c>
      <c r="J50" s="8">
        <f>J46+J49</f>
        <v>24088.115000000002</v>
      </c>
      <c r="K50" s="8">
        <f>K46+K49</f>
        <v>30913.901999999998</v>
      </c>
      <c r="L50" s="8">
        <f>L46+L49</f>
        <v>35156.407999999996</v>
      </c>
      <c r="M50" s="8">
        <f>M46+M49</f>
        <v>37558</v>
      </c>
      <c r="N50" s="8">
        <f>N46+N49</f>
        <v>37558</v>
      </c>
      <c r="O50" s="8">
        <f>SUM(BC50:BE50)</f>
        <v>28592</v>
      </c>
      <c r="P50" s="8"/>
      <c r="Q50" s="8">
        <f t="shared" ref="Q50:W50" si="108">Q46+Q49</f>
        <v>2659.0140000000001</v>
      </c>
      <c r="R50" s="8">
        <f t="shared" si="108"/>
        <v>4130.1829999999991</v>
      </c>
      <c r="S50" s="8">
        <f t="shared" si="108"/>
        <v>2982.1240000000003</v>
      </c>
      <c r="T50" s="8">
        <f t="shared" si="108"/>
        <v>7452.1580000000013</v>
      </c>
      <c r="U50" s="8">
        <f t="shared" si="108"/>
        <v>3121.4110000000001</v>
      </c>
      <c r="V50" s="8">
        <f t="shared" si="108"/>
        <v>4960.3240000000005</v>
      </c>
      <c r="W50" s="8">
        <f t="shared" si="108"/>
        <v>3460.4490000000001</v>
      </c>
      <c r="X50" s="8">
        <f t="shared" ref="X50:AC50" si="109">X46+X49</f>
        <v>8859.3269999999975</v>
      </c>
      <c r="Y50" s="8">
        <f t="shared" si="109"/>
        <v>2987.2200000000003</v>
      </c>
      <c r="Z50" s="8">
        <f t="shared" si="109"/>
        <v>5413.0860000000002</v>
      </c>
      <c r="AA50" s="8">
        <f t="shared" si="109"/>
        <v>4171.7740000000003</v>
      </c>
      <c r="AB50" s="8">
        <f t="shared" si="109"/>
        <v>9800.3019999999997</v>
      </c>
      <c r="AC50" s="8">
        <f t="shared" si="109"/>
        <v>3058.0549999999998</v>
      </c>
      <c r="AD50" s="8">
        <f t="shared" ref="AD50:AI50" si="110">AD46+AD49</f>
        <v>5836.7550000000001</v>
      </c>
      <c r="AE50" s="8">
        <f t="shared" si="110"/>
        <v>4346.4750000000004</v>
      </c>
      <c r="AF50" s="8">
        <f t="shared" si="110"/>
        <v>11006.259999999998</v>
      </c>
      <c r="AG50" s="8">
        <f t="shared" si="110"/>
        <v>2662.4369999999999</v>
      </c>
      <c r="AH50" s="8">
        <f t="shared" si="110"/>
        <v>-1734.7909999999999</v>
      </c>
      <c r="AI50" s="8">
        <f t="shared" si="110"/>
        <v>989.21900000000005</v>
      </c>
      <c r="AJ50" s="8">
        <f t="shared" ref="AJ50:AO50" si="111">AJ46+AJ49</f>
        <v>7186.625</v>
      </c>
      <c r="AK50" s="8">
        <f t="shared" si="111"/>
        <v>2304.8980000000001</v>
      </c>
      <c r="AL50" s="8">
        <f t="shared" si="111"/>
        <v>6072.5839999999998</v>
      </c>
      <c r="AM50" s="8">
        <f t="shared" si="111"/>
        <v>5263.32</v>
      </c>
      <c r="AN50" s="8">
        <f t="shared" si="111"/>
        <v>10447.313000000002</v>
      </c>
      <c r="AO50" s="8">
        <f t="shared" si="111"/>
        <v>4966.8420000000006</v>
      </c>
      <c r="AP50" s="8">
        <f t="shared" ref="AP50:AS50" si="112">AP46+AP49</f>
        <v>7878.0219999999999</v>
      </c>
      <c r="AQ50" s="8">
        <f t="shared" si="112"/>
        <v>6186.3379999999997</v>
      </c>
      <c r="AR50" s="8">
        <f t="shared" si="112"/>
        <v>11882.699999999999</v>
      </c>
      <c r="AS50" s="8">
        <f t="shared" si="112"/>
        <v>5204.2560000000003</v>
      </c>
      <c r="AT50" s="8">
        <f t="shared" ref="AT50:AW50" si="113">AT46+AT49</f>
        <v>8729.8950000000004</v>
      </c>
      <c r="AU50" s="8">
        <f t="shared" si="113"/>
        <v>7002.8140000000003</v>
      </c>
      <c r="AV50" s="8">
        <f t="shared" si="113"/>
        <v>14219.442999999997</v>
      </c>
      <c r="AW50" s="8">
        <f t="shared" si="113"/>
        <v>5915</v>
      </c>
      <c r="AX50" s="8">
        <f t="shared" ref="AX50:BA50" si="114">AX46+AX49</f>
        <v>9283</v>
      </c>
      <c r="AY50" s="8">
        <f t="shared" si="114"/>
        <v>7493</v>
      </c>
      <c r="AZ50" s="8">
        <f t="shared" si="114"/>
        <v>14867</v>
      </c>
      <c r="BA50" s="8">
        <f t="shared" si="114"/>
        <v>5484</v>
      </c>
      <c r="BB50" s="8">
        <f t="shared" ref="BB50:BE50" si="115">BB46+BB49</f>
        <v>8625</v>
      </c>
      <c r="BC50" s="8">
        <f t="shared" si="115"/>
        <v>6386</v>
      </c>
      <c r="BD50" s="8">
        <f t="shared" si="115"/>
        <v>17063</v>
      </c>
      <c r="BE50" s="8">
        <f t="shared" si="115"/>
        <v>5143</v>
      </c>
      <c r="BG50" s="8">
        <f>BG46+BG49</f>
        <v>4942.3140000000003</v>
      </c>
      <c r="BH50" s="8">
        <f>BH46+BH49</f>
        <v>3509.7990000000004</v>
      </c>
      <c r="BI50" s="8">
        <f>BI46+BI49</f>
        <v>5889.0550000000003</v>
      </c>
    </row>
    <row r="51" spans="2:61" s="25" customFormat="1" ht="13.5" customHeight="1">
      <c r="B51" s="17" t="s">
        <v>298</v>
      </c>
      <c r="C51" s="18">
        <f t="shared" ref="C51:O51" si="116">C49/C7</f>
        <v>9.5884199872018957E-3</v>
      </c>
      <c r="D51" s="18">
        <f t="shared" si="116"/>
        <v>1.0302763011476174E-2</v>
      </c>
      <c r="E51" s="18">
        <f t="shared" si="116"/>
        <v>1.167413449352268E-2</v>
      </c>
      <c r="F51" s="18">
        <f t="shared" si="116"/>
        <v>1.6788613351916008E-2</v>
      </c>
      <c r="G51" s="18">
        <f t="shared" si="116"/>
        <v>1.5757877476013513E-2</v>
      </c>
      <c r="H51" s="18">
        <f t="shared" si="116"/>
        <v>2.5718365150755153E-3</v>
      </c>
      <c r="I51" s="18">
        <f t="shared" si="116"/>
        <v>8.4167225962891593E-4</v>
      </c>
      <c r="J51" s="18">
        <f t="shared" si="116"/>
        <v>1.188008080957902E-3</v>
      </c>
      <c r="K51" s="18">
        <f t="shared" si="116"/>
        <v>1.2889689543571538E-3</v>
      </c>
      <c r="L51" s="18">
        <f t="shared" si="116"/>
        <v>8.403828565672932E-4</v>
      </c>
      <c r="M51" s="18">
        <f t="shared" si="116"/>
        <v>0</v>
      </c>
      <c r="N51" s="18">
        <f t="shared" si="116"/>
        <v>0</v>
      </c>
      <c r="O51" s="18">
        <f t="shared" si="116"/>
        <v>0</v>
      </c>
      <c r="P51" s="176"/>
      <c r="Q51" s="18">
        <f t="shared" ref="Q51:BE51" si="117">Q49/Q7</f>
        <v>1.3908476073650495E-2</v>
      </c>
      <c r="R51" s="18">
        <f t="shared" si="117"/>
        <v>1.3350073771305246E-2</v>
      </c>
      <c r="S51" s="18">
        <f t="shared" si="117"/>
        <v>1.0489125935574191E-2</v>
      </c>
      <c r="T51" s="18">
        <f t="shared" si="117"/>
        <v>1.0044207564994705E-2</v>
      </c>
      <c r="U51" s="18">
        <f t="shared" si="117"/>
        <v>2.5664560133994263E-2</v>
      </c>
      <c r="V51" s="18">
        <f t="shared" si="117"/>
        <v>1.6632431974915617E-2</v>
      </c>
      <c r="W51" s="18">
        <f t="shared" si="117"/>
        <v>2.0217556391039952E-2</v>
      </c>
      <c r="X51" s="46">
        <f t="shared" si="117"/>
        <v>1.0695056675999501E-2</v>
      </c>
      <c r="Y51" s="18">
        <f t="shared" si="117"/>
        <v>2.5133009959388646E-2</v>
      </c>
      <c r="Z51" s="18">
        <f t="shared" si="117"/>
        <v>1.6603394554172386E-2</v>
      </c>
      <c r="AA51" s="18">
        <f t="shared" si="117"/>
        <v>1.5342765336071731E-2</v>
      </c>
      <c r="AB51" s="18">
        <f t="shared" si="117"/>
        <v>1.0544681679887933E-2</v>
      </c>
      <c r="AC51" s="18">
        <f t="shared" si="117"/>
        <v>3.8208157371520499E-3</v>
      </c>
      <c r="AD51" s="18">
        <f t="shared" si="117"/>
        <v>4.5776603278177364E-3</v>
      </c>
      <c r="AE51" s="18">
        <f t="shared" si="117"/>
        <v>3.3993161693768705E-3</v>
      </c>
      <c r="AF51" s="18">
        <f t="shared" si="117"/>
        <v>5.1025356501404959E-6</v>
      </c>
      <c r="AG51" s="18">
        <f t="shared" si="117"/>
        <v>3.5186810167875701E-3</v>
      </c>
      <c r="AH51" s="18">
        <f t="shared" si="117"/>
        <v>7.0329224098628143E-3</v>
      </c>
      <c r="AI51" s="18">
        <f t="shared" si="117"/>
        <v>-1.7764523640638683E-4</v>
      </c>
      <c r="AJ51" s="18">
        <f t="shared" si="117"/>
        <v>-2.0339567459427372E-3</v>
      </c>
      <c r="AK51" s="18">
        <f t="shared" si="117"/>
        <v>9.7700886847185186E-4</v>
      </c>
      <c r="AL51" s="18">
        <f t="shared" si="117"/>
        <v>1.753963280363145E-4</v>
      </c>
      <c r="AM51" s="18">
        <f t="shared" si="117"/>
        <v>9.8401048932560673E-4</v>
      </c>
      <c r="AN51" s="18">
        <f t="shared" si="117"/>
        <v>2.0780410878303329E-3</v>
      </c>
      <c r="AO51" s="18">
        <f t="shared" si="117"/>
        <v>1.1704146999273414E-3</v>
      </c>
      <c r="AP51" s="18">
        <f t="shared" si="117"/>
        <v>2.2162019915319951E-3</v>
      </c>
      <c r="AQ51" s="18">
        <f t="shared" si="117"/>
        <v>-6.995329054287257E-5</v>
      </c>
      <c r="AR51" s="18">
        <f t="shared" si="117"/>
        <v>1.5433841485045178E-3</v>
      </c>
      <c r="AS51" s="18">
        <f t="shared" si="117"/>
        <v>4.0341223508105376E-4</v>
      </c>
      <c r="AT51" s="18">
        <f t="shared" si="117"/>
        <v>5.6517381905569857E-4</v>
      </c>
      <c r="AU51" s="18">
        <f t="shared" si="117"/>
        <v>4.031964988712345E-4</v>
      </c>
      <c r="AV51" s="18">
        <f t="shared" si="117"/>
        <v>1.5310003154488713E-3</v>
      </c>
      <c r="AW51" s="18">
        <f t="shared" si="117"/>
        <v>0</v>
      </c>
      <c r="AX51" s="18">
        <f t="shared" si="117"/>
        <v>0</v>
      </c>
      <c r="AY51" s="18">
        <f t="shared" si="117"/>
        <v>0</v>
      </c>
      <c r="AZ51" s="18">
        <f t="shared" si="117"/>
        <v>0</v>
      </c>
      <c r="BA51" s="18">
        <f t="shared" si="117"/>
        <v>0</v>
      </c>
      <c r="BB51" s="18">
        <f t="shared" si="117"/>
        <v>0</v>
      </c>
      <c r="BC51" s="18">
        <f t="shared" si="117"/>
        <v>0</v>
      </c>
      <c r="BD51" s="18">
        <f t="shared" si="117"/>
        <v>0</v>
      </c>
      <c r="BE51" s="18">
        <f t="shared" si="117"/>
        <v>0</v>
      </c>
      <c r="BG51" s="46">
        <f>BG49/BG7</f>
        <v>1.6609159746656534E-2</v>
      </c>
      <c r="BH51" s="46">
        <f>BH49/BH7</f>
        <v>2.0248900615069457E-2</v>
      </c>
      <c r="BI51" s="46">
        <f>BI49/BI7</f>
        <v>4.5709588620422145E-3</v>
      </c>
    </row>
    <row r="52" spans="2:61" s="5" customFormat="1" ht="13.5" hidden="1" customHeight="1" outlineLevel="1">
      <c r="B52" s="5" t="s">
        <v>299</v>
      </c>
      <c r="C52" s="86"/>
      <c r="D52" s="86"/>
      <c r="E52" s="86"/>
      <c r="F52" s="86"/>
      <c r="G52" s="86"/>
      <c r="H52" s="86"/>
      <c r="I52" s="86"/>
      <c r="J52" s="86"/>
      <c r="K52" s="86"/>
      <c r="L52" s="86"/>
      <c r="M52" s="86"/>
      <c r="N52" s="86"/>
      <c r="O52" s="86"/>
      <c r="P52" s="324"/>
      <c r="Q52" s="87"/>
      <c r="R52" s="87"/>
      <c r="S52" s="87"/>
      <c r="T52" s="87"/>
      <c r="U52" s="88"/>
      <c r="V52" s="88"/>
      <c r="W52" s="89"/>
      <c r="X52" s="89"/>
      <c r="Y52" s="89"/>
      <c r="Z52" s="88"/>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G52" s="88"/>
      <c r="BH52" s="89"/>
      <c r="BI52" s="89"/>
    </row>
    <row r="53" spans="2:61" s="5" customFormat="1" ht="13.5" hidden="1" customHeight="1" outlineLevel="1">
      <c r="B53" s="5" t="s">
        <v>300</v>
      </c>
      <c r="C53" s="87"/>
      <c r="D53" s="87"/>
      <c r="E53" s="87"/>
      <c r="F53" s="87"/>
      <c r="G53" s="87"/>
      <c r="H53" s="87"/>
      <c r="I53" s="87"/>
      <c r="J53" s="87"/>
      <c r="K53" s="87"/>
      <c r="L53" s="87"/>
      <c r="M53" s="87"/>
      <c r="N53" s="87"/>
      <c r="O53" s="87"/>
      <c r="P53" s="34"/>
      <c r="Q53" s="87"/>
      <c r="R53" s="87"/>
      <c r="S53" s="87"/>
      <c r="T53" s="87"/>
      <c r="U53" s="88"/>
      <c r="V53" s="88"/>
      <c r="W53" s="89"/>
      <c r="X53" s="89"/>
      <c r="Y53" s="89"/>
      <c r="Z53" s="88"/>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G53" s="88"/>
      <c r="BH53" s="89"/>
      <c r="BI53" s="89"/>
    </row>
    <row r="54" spans="2:61" s="5" customFormat="1" ht="13.5" hidden="1" customHeight="1" outlineLevel="1">
      <c r="C54" s="87"/>
      <c r="D54" s="87"/>
      <c r="E54" s="87"/>
      <c r="F54" s="34"/>
      <c r="G54" s="34"/>
      <c r="H54" s="34"/>
      <c r="I54" s="34"/>
      <c r="J54" s="34"/>
      <c r="K54" s="34"/>
      <c r="L54" s="34"/>
      <c r="M54" s="34"/>
      <c r="N54" s="34"/>
      <c r="O54" s="34"/>
      <c r="P54" s="34"/>
      <c r="Q54" s="34"/>
      <c r="R54" s="34"/>
      <c r="S54" s="34"/>
      <c r="T54" s="34"/>
      <c r="U54" s="8"/>
      <c r="V54" s="8"/>
      <c r="Z54" s="8"/>
      <c r="BG54" s="8"/>
    </row>
    <row r="55" spans="2:61" s="5" customFormat="1" ht="13.5" hidden="1" customHeight="1" outlineLevel="1">
      <c r="C55" s="87"/>
      <c r="D55" s="87"/>
      <c r="E55" s="87"/>
      <c r="F55" s="34"/>
      <c r="G55" s="34"/>
      <c r="H55" s="34"/>
      <c r="I55" s="34"/>
      <c r="J55" s="34"/>
      <c r="K55" s="34"/>
      <c r="L55" s="34"/>
      <c r="M55" s="34"/>
      <c r="N55" s="34"/>
      <c r="O55" s="34"/>
      <c r="P55" s="34"/>
      <c r="Q55" s="34"/>
      <c r="R55" s="34"/>
      <c r="S55" s="34"/>
      <c r="T55" s="34"/>
      <c r="U55" s="8"/>
      <c r="V55" s="8"/>
      <c r="Z55" s="8"/>
      <c r="BG55" s="8"/>
    </row>
    <row r="56" spans="2:61" s="5" customFormat="1" ht="13.5" hidden="1" customHeight="1" outlineLevel="1">
      <c r="B56" s="147" t="s">
        <v>301</v>
      </c>
      <c r="C56" s="148">
        <f>C46</f>
        <v>13023.603999999999</v>
      </c>
      <c r="D56" s="148">
        <f>D46</f>
        <v>14870.388999999999</v>
      </c>
      <c r="E56" s="148">
        <f>E46</f>
        <v>16050.911</v>
      </c>
      <c r="F56" s="148">
        <f>F46</f>
        <v>18350.474999999999</v>
      </c>
      <c r="G56" s="148">
        <f>G46</f>
        <v>20236.642</v>
      </c>
      <c r="H56" s="152">
        <v>22204.6</v>
      </c>
      <c r="I56" s="152">
        <f t="shared" ref="I56:O56" si="118">I46</f>
        <v>9006.2999999999993</v>
      </c>
      <c r="J56" s="152">
        <f t="shared" si="118"/>
        <v>23908.7</v>
      </c>
      <c r="K56" s="152">
        <f t="shared" si="118"/>
        <v>30687</v>
      </c>
      <c r="L56" s="152">
        <f t="shared" si="118"/>
        <v>34991.699999999997</v>
      </c>
      <c r="M56" s="152">
        <f t="shared" si="118"/>
        <v>37558</v>
      </c>
      <c r="N56" s="152">
        <f t="shared" ref="N56" si="119">N46</f>
        <v>37558</v>
      </c>
      <c r="O56" s="159">
        <f t="shared" si="118"/>
        <v>28592</v>
      </c>
      <c r="P56" s="8"/>
      <c r="Q56" s="149">
        <v>2393.5819999999999</v>
      </c>
      <c r="R56" s="149">
        <f>8953.371-S56-Q56</f>
        <v>3805.9829999999988</v>
      </c>
      <c r="S56" s="150">
        <v>2753.806</v>
      </c>
      <c r="T56" s="151">
        <f>E56-SUM(Q56:S56)</f>
        <v>7097.5400000000009</v>
      </c>
      <c r="U56" s="148">
        <f t="shared" ref="U56:AB56" si="120">U46</f>
        <v>2591.3960000000002</v>
      </c>
      <c r="V56" s="148">
        <f t="shared" si="120"/>
        <v>4462.9660000000003</v>
      </c>
      <c r="W56" s="148">
        <f t="shared" si="120"/>
        <v>2913.2109999999998</v>
      </c>
      <c r="X56" s="148">
        <f t="shared" si="120"/>
        <v>8382.9019999999982</v>
      </c>
      <c r="Y56" s="148">
        <f t="shared" si="120"/>
        <v>2352.3000000000002</v>
      </c>
      <c r="Z56" s="148">
        <f t="shared" si="120"/>
        <v>4871.2610000000004</v>
      </c>
      <c r="AA56" s="148">
        <f t="shared" si="120"/>
        <v>3723.085</v>
      </c>
      <c r="AB56" s="148">
        <f t="shared" si="120"/>
        <v>9289.9959999999992</v>
      </c>
      <c r="AC56" s="152">
        <v>2505.8000000000002</v>
      </c>
      <c r="AD56" s="152">
        <v>5212.3999999999996</v>
      </c>
      <c r="AE56" s="152">
        <v>3759.8</v>
      </c>
      <c r="AF56" s="157">
        <f>H56-AE56-AD56-AC56</f>
        <v>10726.599999999999</v>
      </c>
      <c r="AG56" s="159"/>
      <c r="AH56" s="159"/>
      <c r="AI56" s="159"/>
      <c r="AJ56" s="163"/>
      <c r="AK56" s="159"/>
      <c r="AL56" s="159"/>
      <c r="AM56" s="159"/>
      <c r="AN56" s="163"/>
      <c r="AO56" s="159"/>
      <c r="AP56" s="159"/>
      <c r="AQ56" s="159"/>
      <c r="AR56" s="163"/>
      <c r="AS56" s="159"/>
      <c r="AT56" s="159"/>
      <c r="AU56" s="159"/>
      <c r="AV56" s="163"/>
      <c r="AW56" s="159"/>
      <c r="AX56" s="159"/>
      <c r="AY56" s="159"/>
      <c r="AZ56" s="163"/>
      <c r="BA56" s="159"/>
      <c r="BB56" s="159"/>
      <c r="BC56" s="159"/>
      <c r="BD56" s="163"/>
      <c r="BE56" s="159"/>
      <c r="BG56" s="145">
        <f>+BG46</f>
        <v>4444.9560000000001</v>
      </c>
      <c r="BH56" s="145">
        <f>+BH46</f>
        <v>2962.5610000000001</v>
      </c>
      <c r="BI56" s="374"/>
    </row>
    <row r="57" spans="2:61" s="25" customFormat="1" ht="13.5" hidden="1" customHeight="1" outlineLevel="1">
      <c r="B57" s="17" t="s">
        <v>292</v>
      </c>
      <c r="C57" s="26">
        <f>C47</f>
        <v>3.886919988605908E-2</v>
      </c>
      <c r="D57" s="18">
        <f t="shared" ref="D57:N57" si="121">+D56/C56-1</f>
        <v>0.14180291415494506</v>
      </c>
      <c r="E57" s="18">
        <f t="shared" si="121"/>
        <v>7.9387432299182104E-2</v>
      </c>
      <c r="F57" s="18">
        <f t="shared" si="121"/>
        <v>0.14326688373015073</v>
      </c>
      <c r="G57" s="18">
        <f t="shared" si="121"/>
        <v>0.10278573170449268</v>
      </c>
      <c r="H57" s="18">
        <f t="shared" si="121"/>
        <v>9.7247260686827319E-2</v>
      </c>
      <c r="I57" s="18">
        <f t="shared" si="121"/>
        <v>-0.59439485512011025</v>
      </c>
      <c r="J57" s="18">
        <f t="shared" si="121"/>
        <v>1.6546639574520059</v>
      </c>
      <c r="K57" s="18">
        <f t="shared" si="121"/>
        <v>0.28350767712171709</v>
      </c>
      <c r="L57" s="18">
        <f t="shared" si="121"/>
        <v>0.14027764199824011</v>
      </c>
      <c r="M57" s="18">
        <f t="shared" si="121"/>
        <v>7.3340249259110202E-2</v>
      </c>
      <c r="N57" s="18">
        <f t="shared" si="121"/>
        <v>0</v>
      </c>
      <c r="O57" s="18"/>
      <c r="P57" s="176"/>
      <c r="Q57" s="18"/>
      <c r="R57" s="19"/>
      <c r="S57" s="19"/>
      <c r="T57" s="19"/>
      <c r="U57" s="18">
        <f t="shared" ref="U57:W57" si="122">+U56/Q56-1</f>
        <v>8.2643502499601063E-2</v>
      </c>
      <c r="V57" s="18">
        <f t="shared" si="122"/>
        <v>0.17261847990387813</v>
      </c>
      <c r="W57" s="18">
        <f t="shared" si="122"/>
        <v>5.788534123318767E-2</v>
      </c>
      <c r="X57" s="32">
        <f>+X56/T56-1</f>
        <v>0.18109964861064509</v>
      </c>
      <c r="Y57" s="18">
        <f>+Y56/U56-1</f>
        <v>-9.2265327259901553E-2</v>
      </c>
      <c r="Z57" s="18">
        <f>+Z56/V56-1</f>
        <v>9.1485124466554213E-2</v>
      </c>
      <c r="AA57" s="18">
        <f>AA56/BH56-1</f>
        <v>0.25671167614776524</v>
      </c>
      <c r="AB57" s="18">
        <f>AB56/X56-1</f>
        <v>0.10820763501708619</v>
      </c>
      <c r="AC57" s="18">
        <f>+AC56/Y56-1</f>
        <v>6.5255282064362596E-2</v>
      </c>
      <c r="AD57" s="18">
        <f>+AD56/Z56-1</f>
        <v>7.0030942706621468E-2</v>
      </c>
      <c r="AE57" s="18">
        <f>+AE56/AA56-1</f>
        <v>9.8614455485168673E-3</v>
      </c>
      <c r="AF57" s="18">
        <f>+AF56/AB56-1</f>
        <v>0.15463989435517522</v>
      </c>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G57" s="46">
        <f>+BG56/R56-1</f>
        <v>0.16788645666572899</v>
      </c>
      <c r="BH57" s="46">
        <f>+BH56/S56-1</f>
        <v>7.5805993595772669E-2</v>
      </c>
      <c r="BI57" s="375"/>
    </row>
    <row r="58" spans="2:61" s="25" customFormat="1" ht="13.5" hidden="1" customHeight="1" outlineLevel="1">
      <c r="B58" s="17" t="s">
        <v>293</v>
      </c>
      <c r="C58" s="18">
        <f t="shared" ref="C58:O58" si="123">C56/C7</f>
        <v>0.16036237482375024</v>
      </c>
      <c r="D58" s="18">
        <f t="shared" si="123"/>
        <v>0.16288660774006178</v>
      </c>
      <c r="E58" s="18">
        <f t="shared" si="123"/>
        <v>0.15980351993024083</v>
      </c>
      <c r="F58" s="18">
        <f t="shared" si="123"/>
        <v>0.15020654420449026</v>
      </c>
      <c r="G58" s="18">
        <f t="shared" si="123"/>
        <v>0.14930961875600451</v>
      </c>
      <c r="H58" s="18">
        <f t="shared" si="123"/>
        <v>0.15394897109449052</v>
      </c>
      <c r="I58" s="18">
        <f t="shared" si="123"/>
        <v>7.7995193660828327E-2</v>
      </c>
      <c r="J58" s="18">
        <f t="shared" si="123"/>
        <v>0.15831301064681433</v>
      </c>
      <c r="K58" s="18">
        <f t="shared" si="123"/>
        <v>0.17432455554538073</v>
      </c>
      <c r="L58" s="18">
        <f t="shared" si="123"/>
        <v>0.17853671225529877</v>
      </c>
      <c r="M58" s="18">
        <f t="shared" si="123"/>
        <v>0.17481206504485211</v>
      </c>
      <c r="N58" s="18">
        <f t="shared" si="123"/>
        <v>0.16391096324007084</v>
      </c>
      <c r="O58" s="18">
        <f t="shared" si="123"/>
        <v>0.16565192790727518</v>
      </c>
      <c r="P58" s="176"/>
      <c r="Q58" s="18">
        <f t="shared" ref="Q58:AF58" si="124">Q56/Q7</f>
        <v>0.12542224742050881</v>
      </c>
      <c r="R58" s="18">
        <f t="shared" si="124"/>
        <v>0.15672471876105382</v>
      </c>
      <c r="S58" s="18">
        <f t="shared" si="124"/>
        <v>0.12651222389885952</v>
      </c>
      <c r="T58" s="18">
        <f t="shared" si="124"/>
        <v>0.20103086972700918</v>
      </c>
      <c r="U58" s="18">
        <f t="shared" si="124"/>
        <v>0.1254814268897903</v>
      </c>
      <c r="V58" s="18">
        <f t="shared" si="124"/>
        <v>0.14924858633290555</v>
      </c>
      <c r="W58" s="18">
        <f t="shared" si="124"/>
        <v>0.10762777378672143</v>
      </c>
      <c r="X58" s="18">
        <f t="shared" si="124"/>
        <v>0.18818410452715453</v>
      </c>
      <c r="Y58" s="18">
        <f t="shared" si="124"/>
        <v>9.3114690555455681E-2</v>
      </c>
      <c r="Z58" s="18">
        <f t="shared" si="124"/>
        <v>0.14927230814257805</v>
      </c>
      <c r="AA58" s="18">
        <f t="shared" si="124"/>
        <v>0.12730960527503155</v>
      </c>
      <c r="AB58" s="18">
        <f t="shared" si="124"/>
        <v>0.19196335263044564</v>
      </c>
      <c r="AC58" s="18">
        <f t="shared" si="124"/>
        <v>9.1221952971803216E-2</v>
      </c>
      <c r="AD58" s="18">
        <f t="shared" si="124"/>
        <v>0.14615538080130575</v>
      </c>
      <c r="AE58" s="18">
        <f t="shared" si="124"/>
        <v>0.12472065317026745</v>
      </c>
      <c r="AF58" s="18">
        <f t="shared" si="124"/>
        <v>0.21051099578769977</v>
      </c>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G58" s="46">
        <f>BG56/BG16</f>
        <v>-0.52960024019902197</v>
      </c>
      <c r="BH58" s="46">
        <f>BH56/BH16</f>
        <v>-0.34617858263793277</v>
      </c>
      <c r="BI58" s="375"/>
    </row>
    <row r="59" spans="2:61" s="25" customFormat="1" ht="13.5" customHeight="1" collapsed="1">
      <c r="B59" s="52"/>
      <c r="C59" s="53"/>
      <c r="D59" s="53"/>
      <c r="E59" s="53"/>
      <c r="F59" s="53"/>
      <c r="G59" s="53"/>
      <c r="H59" s="53"/>
      <c r="I59" s="53"/>
      <c r="J59" s="53"/>
      <c r="K59" s="53"/>
      <c r="L59" s="53"/>
      <c r="M59" s="53"/>
      <c r="BG59" s="46"/>
      <c r="BH59" s="46"/>
      <c r="BI59" s="46"/>
    </row>
    <row r="60" spans="2:61" ht="13.5" customHeight="1">
      <c r="B60" s="14" t="s">
        <v>302</v>
      </c>
      <c r="C60" s="33">
        <f>C38</f>
        <v>41975</v>
      </c>
      <c r="D60" s="33">
        <f>D38</f>
        <v>42341</v>
      </c>
      <c r="E60" s="33">
        <f>E38</f>
        <v>42708</v>
      </c>
      <c r="F60" s="33">
        <f>F38</f>
        <v>43100</v>
      </c>
      <c r="G60" s="33">
        <f t="shared" ref="G60:N60" si="125">G3</f>
        <v>43465</v>
      </c>
      <c r="H60" s="33">
        <f t="shared" si="125"/>
        <v>43830</v>
      </c>
      <c r="I60" s="33">
        <f t="shared" si="125"/>
        <v>44196</v>
      </c>
      <c r="J60" s="33">
        <f t="shared" si="125"/>
        <v>44561</v>
      </c>
      <c r="K60" s="33">
        <f t="shared" si="125"/>
        <v>44926</v>
      </c>
      <c r="L60" s="33">
        <f t="shared" si="125"/>
        <v>45291</v>
      </c>
      <c r="M60" s="33">
        <f t="shared" si="125"/>
        <v>45657</v>
      </c>
      <c r="N60" s="33">
        <f t="shared" si="125"/>
        <v>46022</v>
      </c>
      <c r="O60" s="240" t="str">
        <f t="shared" ref="O60" si="126">O38</f>
        <v>LTM</v>
      </c>
      <c r="P60" s="44"/>
      <c r="Q60" s="33">
        <f t="shared" ref="Q60:AA60" si="127">Q38</f>
        <v>42437</v>
      </c>
      <c r="R60" s="33">
        <f t="shared" si="127"/>
        <v>42527</v>
      </c>
      <c r="S60" s="33">
        <f t="shared" si="127"/>
        <v>42622</v>
      </c>
      <c r="T60" s="33">
        <f t="shared" si="127"/>
        <v>42714</v>
      </c>
      <c r="U60" s="33">
        <f t="shared" si="127"/>
        <v>42801</v>
      </c>
      <c r="V60" s="33">
        <f t="shared" si="127"/>
        <v>42892</v>
      </c>
      <c r="W60" s="33">
        <f t="shared" si="127"/>
        <v>42987</v>
      </c>
      <c r="X60" s="33">
        <f t="shared" si="127"/>
        <v>43100</v>
      </c>
      <c r="Y60" s="33">
        <f t="shared" si="127"/>
        <v>43190</v>
      </c>
      <c r="Z60" s="33">
        <f t="shared" si="127"/>
        <v>43281</v>
      </c>
      <c r="AA60" s="33">
        <f t="shared" si="127"/>
        <v>43373</v>
      </c>
      <c r="AB60" s="33">
        <f>AB3</f>
        <v>43465</v>
      </c>
      <c r="AC60" s="33">
        <f t="shared" ref="AC60:AH60" si="128">AC38</f>
        <v>43555</v>
      </c>
      <c r="AD60" s="33">
        <f t="shared" si="128"/>
        <v>43646</v>
      </c>
      <c r="AE60" s="33">
        <f t="shared" si="128"/>
        <v>43738</v>
      </c>
      <c r="AF60" s="33">
        <f t="shared" si="128"/>
        <v>43830</v>
      </c>
      <c r="AG60" s="33">
        <f t="shared" si="128"/>
        <v>43921</v>
      </c>
      <c r="AH60" s="33">
        <f t="shared" si="128"/>
        <v>44012</v>
      </c>
      <c r="AI60" s="33">
        <f t="shared" ref="AI60:AN60" si="129">AI38</f>
        <v>44104</v>
      </c>
      <c r="AJ60" s="33">
        <f t="shared" si="129"/>
        <v>44196</v>
      </c>
      <c r="AK60" s="33">
        <f t="shared" si="129"/>
        <v>44286</v>
      </c>
      <c r="AL60" s="33">
        <f t="shared" si="129"/>
        <v>44377</v>
      </c>
      <c r="AM60" s="33">
        <f t="shared" si="129"/>
        <v>44469</v>
      </c>
      <c r="AN60" s="33">
        <f t="shared" si="129"/>
        <v>44561</v>
      </c>
      <c r="AO60" s="33">
        <f>AO38</f>
        <v>44651</v>
      </c>
      <c r="AP60" s="33">
        <f>AP38</f>
        <v>44742</v>
      </c>
      <c r="AQ60" s="33">
        <f>AQ38</f>
        <v>44834</v>
      </c>
      <c r="AR60" s="33">
        <f t="shared" ref="AR60" si="130">AR38</f>
        <v>44926</v>
      </c>
      <c r="AS60" s="33">
        <f>AS38</f>
        <v>45016</v>
      </c>
      <c r="AT60" s="33">
        <f>AT38</f>
        <v>45107</v>
      </c>
      <c r="AU60" s="33">
        <f>AU38</f>
        <v>45199</v>
      </c>
      <c r="AV60" s="33">
        <f t="shared" ref="AV60" si="131">AV38</f>
        <v>45291</v>
      </c>
      <c r="AW60" s="33">
        <f>AW38</f>
        <v>45382</v>
      </c>
      <c r="AX60" s="33">
        <f>AX38</f>
        <v>45473</v>
      </c>
      <c r="AY60" s="33">
        <f>AY38</f>
        <v>45536</v>
      </c>
      <c r="AZ60" s="33">
        <f t="shared" ref="AZ60" si="132">AZ38</f>
        <v>45657</v>
      </c>
      <c r="BA60" s="33">
        <f>BA38</f>
        <v>45747</v>
      </c>
      <c r="BB60" s="33">
        <f>BB38</f>
        <v>45838</v>
      </c>
      <c r="BC60" s="33">
        <f>BC38</f>
        <v>45901</v>
      </c>
      <c r="BD60" s="33">
        <f t="shared" ref="BD60" si="133">BD38</f>
        <v>46022</v>
      </c>
      <c r="BE60" s="33">
        <f>BE38</f>
        <v>46112</v>
      </c>
      <c r="BG60" s="11">
        <f>BG38</f>
        <v>42892</v>
      </c>
      <c r="BH60" s="11">
        <f>BH3</f>
        <v>42987</v>
      </c>
      <c r="BI60" s="11">
        <f>BI38</f>
        <v>43646</v>
      </c>
    </row>
    <row r="61" spans="2:61" s="5" customFormat="1" ht="13.5" customHeight="1">
      <c r="B61" s="5" t="s">
        <v>303</v>
      </c>
      <c r="C61" s="8">
        <f t="shared" ref="C61:G61" si="134">C46</f>
        <v>13023.603999999999</v>
      </c>
      <c r="D61" s="8">
        <f t="shared" si="134"/>
        <v>14870.388999999999</v>
      </c>
      <c r="E61" s="8">
        <f t="shared" si="134"/>
        <v>16050.911</v>
      </c>
      <c r="F61" s="8">
        <f t="shared" si="134"/>
        <v>18350.474999999999</v>
      </c>
      <c r="G61" s="8">
        <f t="shared" si="134"/>
        <v>20236.642</v>
      </c>
      <c r="H61" s="8">
        <f t="shared" ref="H61:L61" si="135">H46</f>
        <v>23876.6</v>
      </c>
      <c r="I61" s="8">
        <f t="shared" si="135"/>
        <v>9006.2999999999993</v>
      </c>
      <c r="J61" s="8">
        <f t="shared" si="135"/>
        <v>23908.7</v>
      </c>
      <c r="K61" s="8">
        <f t="shared" si="135"/>
        <v>30687</v>
      </c>
      <c r="L61" s="8">
        <f t="shared" si="135"/>
        <v>34991.699999999997</v>
      </c>
      <c r="M61" s="8">
        <f t="shared" ref="M61:N61" si="136">M46</f>
        <v>37558</v>
      </c>
      <c r="N61" s="8">
        <f t="shared" si="136"/>
        <v>37558</v>
      </c>
      <c r="O61" s="8">
        <f>O46</f>
        <v>28592</v>
      </c>
      <c r="P61" s="8"/>
      <c r="Q61" s="8">
        <f t="shared" ref="Q61:AE61" si="137">Q46</f>
        <v>2393.5819999999999</v>
      </c>
      <c r="R61" s="8">
        <f t="shared" si="137"/>
        <v>3805.9829999999988</v>
      </c>
      <c r="S61" s="8">
        <f t="shared" si="137"/>
        <v>2753.806</v>
      </c>
      <c r="T61" s="8">
        <f t="shared" si="137"/>
        <v>7097.5400000000009</v>
      </c>
      <c r="U61" s="8">
        <f t="shared" si="137"/>
        <v>2591.3960000000002</v>
      </c>
      <c r="V61" s="8">
        <f t="shared" si="137"/>
        <v>4462.9660000000003</v>
      </c>
      <c r="W61" s="8">
        <f t="shared" si="137"/>
        <v>2913.2109999999998</v>
      </c>
      <c r="X61" s="8">
        <f t="shared" si="137"/>
        <v>8382.9019999999982</v>
      </c>
      <c r="Y61" s="8">
        <f t="shared" si="137"/>
        <v>2352.3000000000002</v>
      </c>
      <c r="Z61" s="8">
        <f t="shared" si="137"/>
        <v>4871.2610000000004</v>
      </c>
      <c r="AA61" s="8">
        <f t="shared" si="137"/>
        <v>3723.085</v>
      </c>
      <c r="AB61" s="8">
        <f t="shared" si="137"/>
        <v>9289.9959999999992</v>
      </c>
      <c r="AC61" s="8">
        <f t="shared" si="137"/>
        <v>2953.1</v>
      </c>
      <c r="AD61" s="8">
        <f t="shared" si="137"/>
        <v>5673.5</v>
      </c>
      <c r="AE61" s="8">
        <f t="shared" si="137"/>
        <v>4244</v>
      </c>
      <c r="AF61" s="8">
        <f t="shared" ref="AF61:AK61" si="138">AF46</f>
        <v>11005.999999999998</v>
      </c>
      <c r="AG61" s="8">
        <f t="shared" si="138"/>
        <v>2568.4</v>
      </c>
      <c r="AH61" s="8">
        <f t="shared" si="138"/>
        <v>-1838.5</v>
      </c>
      <c r="AI61" s="8">
        <f t="shared" si="138"/>
        <v>994</v>
      </c>
      <c r="AJ61" s="8">
        <f t="shared" si="138"/>
        <v>7282.4</v>
      </c>
      <c r="AK61" s="8">
        <f t="shared" si="138"/>
        <v>2279.9</v>
      </c>
      <c r="AL61" s="8">
        <f t="shared" ref="AL61:AQ61" si="139">AL46</f>
        <v>6066</v>
      </c>
      <c r="AM61" s="8">
        <f t="shared" si="139"/>
        <v>5232</v>
      </c>
      <c r="AN61" s="8">
        <f t="shared" si="139"/>
        <v>10330.800000000001</v>
      </c>
      <c r="AO61" s="8">
        <f t="shared" si="139"/>
        <v>4929.1000000000004</v>
      </c>
      <c r="AP61" s="8">
        <f t="shared" si="139"/>
        <v>7783.7</v>
      </c>
      <c r="AQ61" s="8">
        <f t="shared" si="139"/>
        <v>6189</v>
      </c>
      <c r="AR61" s="8">
        <f t="shared" ref="AR61:AU61" si="140">AR46</f>
        <v>11785.199999999999</v>
      </c>
      <c r="AS61" s="8">
        <f t="shared" si="140"/>
        <v>5189.1000000000004</v>
      </c>
      <c r="AT61" s="8">
        <f t="shared" si="140"/>
        <v>8703</v>
      </c>
      <c r="AU61" s="8">
        <f t="shared" si="140"/>
        <v>6986</v>
      </c>
      <c r="AV61" s="8">
        <f t="shared" ref="AV61:AW61" si="141">AV46</f>
        <v>14113.599999999997</v>
      </c>
      <c r="AW61" s="8">
        <f t="shared" si="141"/>
        <v>5915</v>
      </c>
      <c r="AX61" s="8">
        <f>AX46</f>
        <v>9283</v>
      </c>
      <c r="AY61" s="8">
        <f>AY46</f>
        <v>7493</v>
      </c>
      <c r="AZ61" s="8">
        <f t="shared" ref="AZ61:BA61" si="142">AZ46</f>
        <v>14867</v>
      </c>
      <c r="BA61" s="8">
        <f t="shared" si="142"/>
        <v>5484</v>
      </c>
      <c r="BB61" s="8">
        <f>BB46</f>
        <v>8625</v>
      </c>
      <c r="BC61" s="8">
        <f>BC46</f>
        <v>6386</v>
      </c>
      <c r="BD61" s="8">
        <f t="shared" ref="BD61:BE61" si="143">BD46</f>
        <v>17063</v>
      </c>
      <c r="BE61" s="8">
        <f t="shared" si="143"/>
        <v>5143</v>
      </c>
      <c r="BF61" s="131"/>
      <c r="BG61" s="8">
        <f>BG46</f>
        <v>4444.9560000000001</v>
      </c>
      <c r="BH61" s="8">
        <f>BH46</f>
        <v>2962.5610000000001</v>
      </c>
      <c r="BI61" s="8">
        <f>BI46</f>
        <v>5725.8</v>
      </c>
    </row>
    <row r="62" spans="2:61" ht="13.5" customHeight="1">
      <c r="B62" s="7" t="s">
        <v>304</v>
      </c>
      <c r="C62" s="69">
        <f>-2648.8-332.495-1866.35+1495.613-362.343</f>
        <v>-3714.375</v>
      </c>
      <c r="D62" s="69">
        <f>-2095.467-2046.555-773.845+2260.755-2817.516</f>
        <v>-5472.6280000000006</v>
      </c>
      <c r="E62" s="69">
        <f>-2277.52-1719.232-2397.388+3896.176-2939.001</f>
        <v>-5436.9650000000001</v>
      </c>
      <c r="F62" s="69">
        <f>-89.587-2585.927+228.794+2041.506-3851.658</f>
        <v>-4256.8720000000003</v>
      </c>
      <c r="G62" s="69">
        <f>-2186.796-1766.53+977.138+1158.506-5487.232</f>
        <v>-7304.9139999999998</v>
      </c>
      <c r="H62" s="69">
        <f>-2667.3202-1952.39-668.992-1024.069-2005.324</f>
        <v>-8318.0952000000016</v>
      </c>
      <c r="I62" s="69">
        <f>1865.42+5406.877-476.628+1709.55-3605.797</f>
        <v>4899.4220000000005</v>
      </c>
      <c r="J62" s="69">
        <f>-1645.307-5614.63+1362.163+5198.171-3193.319</f>
        <v>-3892.9219999999991</v>
      </c>
      <c r="K62" s="69">
        <f>-5020.368-7973.022+215.778+3619.968-1739.978</f>
        <v>-10897.621999999999</v>
      </c>
      <c r="L62" s="69">
        <f>-97.914-10541.437-718.481+4648.011-2453.609</f>
        <v>-9163.43</v>
      </c>
      <c r="M62" s="69">
        <f>-6800.659-7197.828-1368.092+384.403-2521.006</f>
        <v>-17503.182000000001</v>
      </c>
      <c r="N62" s="69">
        <f>-2210.91-6997.349-1393.225+1090.115-3632.137</f>
        <v>-13143.506000000001</v>
      </c>
      <c r="O62" s="6">
        <f>SUM(BC62:BE62)</f>
        <v>5034.248999999998</v>
      </c>
      <c r="P62" s="6"/>
      <c r="Q62" s="69">
        <f>-1546.431+3532.131-811.58-2928.361-2541.493</f>
        <v>-4295.7340000000004</v>
      </c>
      <c r="R62" s="69">
        <f>-1928.269+2047.218-1315.711-1308.47-2621.579-Q62</f>
        <v>-831.07699999999932</v>
      </c>
      <c r="S62" s="69">
        <f>-4289.19+3335.306-2128.419+955-3401.962-R62-Q62</f>
        <v>-402.45399999999972</v>
      </c>
      <c r="T62" s="6">
        <f>E62-SUM(Q62:S62)</f>
        <v>92.299999999999272</v>
      </c>
      <c r="U62" s="69">
        <f>-304.602+4511.362+183.072-6618.526-3165.033</f>
        <v>-5393.726999999999</v>
      </c>
      <c r="V62" s="69">
        <f>-843.325+2351.825-246.134-3657.473-3038.878-U62</f>
        <v>-40.25800000000163</v>
      </c>
      <c r="W62" s="69">
        <f>-3607.187+3221.496-61.336-2218.424-4584.458-V62-U62</f>
        <v>-1815.9239999999991</v>
      </c>
      <c r="X62" s="6">
        <f>F62-W62-V62-U62</f>
        <v>2993.0369999999994</v>
      </c>
      <c r="Y62" s="69">
        <f>-1206.191+5101.994-859.652-5776.804-2213.003</f>
        <v>-4953.6560000000009</v>
      </c>
      <c r="Z62" s="69">
        <f>-2148.557+3701.626-277.332-2903.041-2622.772-Y62</f>
        <v>703.58000000000175</v>
      </c>
      <c r="AA62" s="69">
        <f>-5129.301+4966.719-441.118-2981.419-4675.716-Z62-Y62</f>
        <v>-4010.7590000000018</v>
      </c>
      <c r="AB62" s="6">
        <f>G62-Y62-Z62-AA62</f>
        <v>955.92100000000119</v>
      </c>
      <c r="AC62" s="69">
        <f>-804.468+5073.91-746.75-6705.951-1628.078</f>
        <v>-4811.3369999999995</v>
      </c>
      <c r="AD62" s="69">
        <f>-2293.838+2683.903-1076.456-2159.984-2415.95-AC62</f>
        <v>-450.98800000000028</v>
      </c>
      <c r="AE62" s="69">
        <f>-7603.333+4469.514-1690.826-3148.705-3888.338-AD62-AC62</f>
        <v>-6599.3630000000012</v>
      </c>
      <c r="AF62" s="6">
        <f>H62-AE62-AD62-AC62</f>
        <v>3543.5927999999994</v>
      </c>
      <c r="AG62" s="69">
        <f>-3261.648+6922.601-1156.698-4968.816-2489.174</f>
        <v>-4953.7350000000006</v>
      </c>
      <c r="AH62" s="69">
        <f>-2469.277+10797.848-1673.65-14183.273-2861.554-AG62</f>
        <v>-5436.1709999999985</v>
      </c>
      <c r="AI62" s="69">
        <f>-3568.077+12829.966-938.464-4868.843-3818.67-AH62-AG62</f>
        <v>10025.817999999999</v>
      </c>
      <c r="AJ62" s="6">
        <f>I62-AI62-AH62-AG62</f>
        <v>5263.51</v>
      </c>
      <c r="AK62" s="69">
        <f>-756.023+5141.249-959.001-8212.652-2574.301</f>
        <v>-7360.728000000001</v>
      </c>
      <c r="AL62" s="69">
        <f>-1109.132+827.248-425.243-1592.958-2299.081-AK62</f>
        <v>2761.5620000000008</v>
      </c>
      <c r="AM62" s="69">
        <f>-5811.891+2234.904-225.126-1259.76-3588.226-AL62-AK62</f>
        <v>-4050.9329999999991</v>
      </c>
      <c r="AN62" s="6">
        <f>J62-AM62-AL62-AK62</f>
        <v>4757.1769999999997</v>
      </c>
      <c r="AO62" s="69">
        <f>-2795.93+5483.47-817.875-8234.82-2121.492</f>
        <v>-8486.646999999999</v>
      </c>
      <c r="AP62" s="69">
        <f>-5699.345+1292.183-594.879-2531.119-2170.359-AO62</f>
        <v>-1216.8720000000012</v>
      </c>
      <c r="AQ62" s="69">
        <f>-11197.464+2065.683-1072.56-3302.502-3324.944-AP62-AO62</f>
        <v>-7128.268</v>
      </c>
      <c r="AR62" s="6">
        <f>K62-AQ62-AP62-AO62</f>
        <v>5934.1650000000009</v>
      </c>
      <c r="AS62" s="69">
        <f>-3143.652+5891.504-1280.372-7211.233-2417.235</f>
        <v>-8160.9880000000012</v>
      </c>
      <c r="AT62" s="69">
        <f>-2874.705+420.357-1200.751-5408.938-3142.564-AS62</f>
        <v>-4045.6129999999994</v>
      </c>
      <c r="AU62" s="69">
        <f>-6877.411+1954.611-1209.974-5651.292-4829.935-AT62-AS62</f>
        <v>-4407.3999999999996</v>
      </c>
      <c r="AV62" s="6">
        <f>L62-AU62-AT62-AS62</f>
        <v>7450.5709999999999</v>
      </c>
      <c r="AW62" s="69">
        <f>-4437.665+7632.806-1813.694-8536.681-671.436</f>
        <v>-7826.67</v>
      </c>
      <c r="AX62" s="69">
        <f>-5376.192+2585.862-666.004-5343.398-2449.595-AW62</f>
        <v>-3422.6569999999992</v>
      </c>
      <c r="AY62" s="69">
        <f>-13782.623+5257.921-1306.788-5781.443-4381.537-AW62-AX62</f>
        <v>-8745.1430000000018</v>
      </c>
      <c r="AZ62" s="6">
        <f>M62-AY62-AX62-AW62</f>
        <v>2491.2880000000005</v>
      </c>
      <c r="BA62" s="69">
        <f>-4625.475+8445.144-1144.91-9219.51-2020.489</f>
        <v>-8565.24</v>
      </c>
      <c r="BB62" s="69">
        <f>-6169.514+2714.737-7847.455-5376.504-3719.126-BA62</f>
        <v>-11832.622000000001</v>
      </c>
      <c r="BC62" s="69">
        <f>-13641.834+6094.629-4246.768-2923.847-5596.806-BA62-BB62</f>
        <v>83.236000000000786</v>
      </c>
      <c r="BD62" s="6">
        <f>N62-BC62-BB62-BA62</f>
        <v>7171.119999999999</v>
      </c>
      <c r="BE62" s="69">
        <f>-6352.211+10901.871+367.865-5362.982-1774.65</f>
        <v>-2220.1070000000013</v>
      </c>
      <c r="BG62" s="69">
        <f>-843.325+2351.825-246.134-3657.473-2845.839-U62</f>
        <v>152.78099999999904</v>
      </c>
      <c r="BH62" s="69">
        <f>-3607.187+3221.496-61.337-2218.424-4584.458-V62-U62</f>
        <v>-1815.9249999999993</v>
      </c>
      <c r="BI62" s="69">
        <f>-2293.838+2683.902-1137.784-2159.984-2468.236-AC62</f>
        <v>-564.60300000000097</v>
      </c>
    </row>
    <row r="63" spans="2:61" ht="13.5" customHeight="1">
      <c r="B63" s="7" t="s">
        <v>305</v>
      </c>
      <c r="C63" s="4">
        <v>-2834.674</v>
      </c>
      <c r="D63" s="4">
        <v>-4645.2030000000004</v>
      </c>
      <c r="E63" s="4">
        <v>-3678.1729999999998</v>
      </c>
      <c r="F63" s="4">
        <v>-4438.2079999999996</v>
      </c>
      <c r="G63" s="4">
        <v>-3704.181</v>
      </c>
      <c r="H63" s="4">
        <v>-4199.8879999999999</v>
      </c>
      <c r="I63" s="4">
        <v>-3955.6770000000001</v>
      </c>
      <c r="J63" s="4">
        <v>-1693.951</v>
      </c>
      <c r="K63" s="4">
        <v>-7956.6670000000004</v>
      </c>
      <c r="L63" s="4">
        <v>-8848.98</v>
      </c>
      <c r="M63" s="4">
        <v>-8949.0669999999991</v>
      </c>
      <c r="N63" s="4">
        <v>-9708.0709999999999</v>
      </c>
      <c r="O63" s="6">
        <f>SUM(BC63:BE63)</f>
        <v>-6238.1489999999994</v>
      </c>
      <c r="P63" s="6"/>
      <c r="Q63" s="4">
        <v>-1061.348</v>
      </c>
      <c r="R63" s="4">
        <f>-1759.327-Q63</f>
        <v>-697.97900000000004</v>
      </c>
      <c r="S63" s="4">
        <f>-2629.973-R63-Q63</f>
        <v>-870.64599999999996</v>
      </c>
      <c r="T63" s="6">
        <f>E63-SUM(Q63:S63)</f>
        <v>-1048.1999999999998</v>
      </c>
      <c r="U63" s="4">
        <f>-1748.656</f>
        <v>-1748.6559999999999</v>
      </c>
      <c r="V63" s="4">
        <f>-2234.384-U63</f>
        <v>-485.72800000000007</v>
      </c>
      <c r="W63" s="4">
        <f>-3489.556-V63-U63</f>
        <v>-1255.172</v>
      </c>
      <c r="X63" s="6">
        <f>F63-W63-V63-U63</f>
        <v>-948.65199999999959</v>
      </c>
      <c r="Y63" s="4">
        <v>-1982.1369999999999</v>
      </c>
      <c r="Z63" s="4">
        <f>-2353.635-Y63</f>
        <v>-371.49800000000027</v>
      </c>
      <c r="AA63" s="4">
        <f>-3645.385-Z63-Y63</f>
        <v>-1291.7499999999998</v>
      </c>
      <c r="AB63" s="6">
        <f>G63-Y63-Z63-AA63</f>
        <v>-58.796000000000049</v>
      </c>
      <c r="AC63" s="4">
        <v>-922.84900000000005</v>
      </c>
      <c r="AD63" s="4">
        <f>-1829.034-AC63</f>
        <v>-906.18500000000006</v>
      </c>
      <c r="AE63" s="4">
        <f>-2987.709-AD63-AC63</f>
        <v>-1158.6749999999997</v>
      </c>
      <c r="AF63" s="6">
        <f>H63-AE63-AD63-AC63</f>
        <v>-1212.1790000000001</v>
      </c>
      <c r="AG63" s="4">
        <v>-1860.9860000000001</v>
      </c>
      <c r="AH63" s="4">
        <f>2599.967-AG63</f>
        <v>4460.9530000000004</v>
      </c>
      <c r="AI63" s="4">
        <f>-3357.641-AH63-AG63</f>
        <v>-5957.6080000000011</v>
      </c>
      <c r="AJ63" s="6">
        <f>I63-AI63-AH63-AG63</f>
        <v>-598.03599999999938</v>
      </c>
      <c r="AK63" s="4">
        <v>-656.32399999999996</v>
      </c>
      <c r="AL63" s="4">
        <f>-991.252-AK63</f>
        <v>-334.928</v>
      </c>
      <c r="AM63" s="4">
        <f>-1424.475-AL63-AK63</f>
        <v>-433.22300000000007</v>
      </c>
      <c r="AN63" s="6">
        <f>J63-AM63-AL63-AK63</f>
        <v>-269.47600000000011</v>
      </c>
      <c r="AO63" s="4">
        <v>-3312.8580000000002</v>
      </c>
      <c r="AP63" s="4">
        <f>-5065.103-AO63</f>
        <v>-1752.2449999999999</v>
      </c>
      <c r="AQ63" s="4">
        <f>-6023.098-AP63-AO63</f>
        <v>-957.99499999999989</v>
      </c>
      <c r="AR63" s="6">
        <f>K63-AQ63-AP63-AO63</f>
        <v>-1933.5690000000004</v>
      </c>
      <c r="AS63" s="4">
        <v>-1708.7909999999999</v>
      </c>
      <c r="AT63" s="4">
        <f>-5094.16-AS63</f>
        <v>-3385.3689999999997</v>
      </c>
      <c r="AU63" s="4">
        <f>-6952.565-AT63-AS63</f>
        <v>-1858.405</v>
      </c>
      <c r="AV63" s="6">
        <f>L63-AU63-AT63-AS63</f>
        <v>-1896.4150000000002</v>
      </c>
      <c r="AW63" s="4">
        <v>-1589.672</v>
      </c>
      <c r="AX63" s="4">
        <f>-4894.491-AW63</f>
        <v>-3304.819</v>
      </c>
      <c r="AY63" s="4">
        <f>-6758.611-AW63-AX63</f>
        <v>-1864.1200000000003</v>
      </c>
      <c r="AZ63" s="6">
        <f>M63-AY63-AX63-AW63</f>
        <v>-2190.4559999999983</v>
      </c>
      <c r="BA63" s="4">
        <v>-3482.462</v>
      </c>
      <c r="BB63" s="4">
        <f>-5338.135-BA63</f>
        <v>-1855.6730000000002</v>
      </c>
      <c r="BC63" s="4">
        <f>-7471.227-BA63-BB63</f>
        <v>-2133.0919999999996</v>
      </c>
      <c r="BD63" s="6">
        <f t="shared" ref="BD63:BD65" si="144">N63-BC63-BB63-BA63</f>
        <v>-2236.8440000000005</v>
      </c>
      <c r="BE63" s="4">
        <v>-1868.213</v>
      </c>
      <c r="BG63" s="4">
        <f>-2234.384-U63</f>
        <v>-485.72800000000007</v>
      </c>
      <c r="BH63" s="4">
        <f>-3489.556-V63-U63</f>
        <v>-1255.172</v>
      </c>
      <c r="BI63" s="4">
        <f>1829.034-AC63</f>
        <v>2751.8830000000003</v>
      </c>
    </row>
    <row r="64" spans="2:61" ht="13.5" customHeight="1">
      <c r="B64" s="7" t="s">
        <v>306</v>
      </c>
      <c r="C64" s="4">
        <v>-1164.789</v>
      </c>
      <c r="D64" s="4">
        <v>-973.36099999999999</v>
      </c>
      <c r="E64" s="4">
        <v>-1020.24</v>
      </c>
      <c r="F64" s="4">
        <v>-2645.9459999999999</v>
      </c>
      <c r="G64" s="4">
        <v>-2744.6370000000002</v>
      </c>
      <c r="H64" s="4">
        <v>-2549.259</v>
      </c>
      <c r="I64" s="4">
        <v>-2961.22</v>
      </c>
      <c r="J64" s="4">
        <v>-3594.5990000000002</v>
      </c>
      <c r="K64" s="4">
        <v>-2885.15</v>
      </c>
      <c r="L64" s="4">
        <f>-2813.277</f>
        <v>-2813.277</v>
      </c>
      <c r="M64" s="4">
        <v>-2760.2779999999998</v>
      </c>
      <c r="N64" s="4">
        <v>-2384.527</v>
      </c>
      <c r="O64" s="6">
        <f>SUM(BC64:BE64)</f>
        <v>-2871.375</v>
      </c>
      <c r="P64" s="6"/>
      <c r="Q64" s="4">
        <v>-176.946</v>
      </c>
      <c r="R64" s="4">
        <f>-491.049-Q64</f>
        <v>-314.10299999999995</v>
      </c>
      <c r="S64" s="4">
        <f>-667.568-R64-Q64</f>
        <v>-176.51900000000003</v>
      </c>
      <c r="T64" s="6">
        <f>E64-SUM(Q64:S64)</f>
        <v>-352.67200000000003</v>
      </c>
      <c r="U64" s="4">
        <v>-201.52199999999999</v>
      </c>
      <c r="V64" s="4">
        <f>-1170.505-U64</f>
        <v>-968.98300000000017</v>
      </c>
      <c r="W64" s="4">
        <f>-1456.597-V64-U64</f>
        <v>-286.09199999999981</v>
      </c>
      <c r="X64" s="6">
        <f>F64-W64-V64-U64</f>
        <v>-1189.3490000000002</v>
      </c>
      <c r="Y64" s="4">
        <v>-408.59899999999999</v>
      </c>
      <c r="Z64" s="4">
        <f>-1424.666-Y64</f>
        <v>-1016.067</v>
      </c>
      <c r="AA64" s="4">
        <f>-1700.517-Z64-Y64</f>
        <v>-275.85100000000006</v>
      </c>
      <c r="AB64" s="6">
        <f>G64-Y64-Z64-AA64</f>
        <v>-1044.1199999999999</v>
      </c>
      <c r="AC64" s="4">
        <v>-296.23200000000003</v>
      </c>
      <c r="AD64" s="4">
        <f>-1272.989-AC64</f>
        <v>-976.75700000000006</v>
      </c>
      <c r="AE64" s="4">
        <f>-1571.318-AD64-AC64</f>
        <v>-298.32899999999989</v>
      </c>
      <c r="AF64" s="6">
        <f>H64-AE64-AD64-AC64</f>
        <v>-977.94100000000026</v>
      </c>
      <c r="AG64" s="4">
        <v>-307.40100000000001</v>
      </c>
      <c r="AH64" s="4">
        <f>-1539.249-AG64</f>
        <v>-1231.848</v>
      </c>
      <c r="AI64" s="4">
        <f>-1867.892-AH64-AG64</f>
        <v>-328.64300000000009</v>
      </c>
      <c r="AJ64" s="6">
        <f>I64-AI64-AH64-AG64</f>
        <v>-1093.3279999999997</v>
      </c>
      <c r="AK64" s="4">
        <v>-492.44799999999998</v>
      </c>
      <c r="AL64" s="4">
        <f>-1543.255-AK64</f>
        <v>-1050.8070000000002</v>
      </c>
      <c r="AM64" s="4">
        <f>-2577.019-AL64-AK64</f>
        <v>-1033.7639999999997</v>
      </c>
      <c r="AN64" s="6">
        <f>J64-AM64-AL64-AK64</f>
        <v>-1017.5800000000003</v>
      </c>
      <c r="AO64" s="4">
        <v>-506.34800000000001</v>
      </c>
      <c r="AP64" s="4">
        <f>-1477.281-AO64</f>
        <v>-970.93299999999999</v>
      </c>
      <c r="AQ64" s="4">
        <f>-1903.526-AP64-AO64</f>
        <v>-426.24500000000006</v>
      </c>
      <c r="AR64" s="6">
        <f>K64-AQ64-AP64-AO64</f>
        <v>-981.62400000000025</v>
      </c>
      <c r="AS64" s="4">
        <v>-440.13600000000002</v>
      </c>
      <c r="AT64" s="4">
        <f>-1423.348-AS64</f>
        <v>-983.21199999999999</v>
      </c>
      <c r="AU64" s="4">
        <f>-1845.88-AT64-AS64</f>
        <v>-422.5320000000001</v>
      </c>
      <c r="AV64" s="6">
        <f>L64-AU64-AT64-AS64</f>
        <v>-967.39699999999993</v>
      </c>
      <c r="AW64" s="4">
        <v>-423.99299999999999</v>
      </c>
      <c r="AX64" s="4">
        <f>-1394.645-AW64</f>
        <v>-970.65200000000004</v>
      </c>
      <c r="AY64" s="4">
        <f>-1803.214-AW64-AX64</f>
        <v>-408.56899999999996</v>
      </c>
      <c r="AZ64" s="6">
        <f>M64-AY64-AX64-AW64</f>
        <v>-957.06399999999985</v>
      </c>
      <c r="BA64" s="4">
        <v>-422.57</v>
      </c>
      <c r="BB64" s="4">
        <f>-1210.167-BA64</f>
        <v>-787.59699999999998</v>
      </c>
      <c r="BC64" s="4">
        <f>-2602.255-BA64-BB64</f>
        <v>-1392.088</v>
      </c>
      <c r="BD64" s="6">
        <f t="shared" si="144"/>
        <v>217.72799999999989</v>
      </c>
      <c r="BE64" s="4">
        <v>-1697.0150000000001</v>
      </c>
      <c r="BG64" s="4">
        <f>-1170.505-U64</f>
        <v>-968.98300000000017</v>
      </c>
      <c r="BH64" s="4">
        <f>-1456.597-V64-U64</f>
        <v>-286.09199999999981</v>
      </c>
      <c r="BI64" s="4">
        <f>-1272.989-AC64</f>
        <v>-976.75700000000006</v>
      </c>
    </row>
    <row r="65" spans="2:62" ht="13.5" customHeight="1">
      <c r="B65" s="7" t="s">
        <v>307</v>
      </c>
      <c r="C65" s="4">
        <v>4168.6469999999999</v>
      </c>
      <c r="D65" s="4">
        <v>4442.7290000000003</v>
      </c>
      <c r="E65" s="4">
        <v>4780.9449999999997</v>
      </c>
      <c r="F65" s="4">
        <v>5672.9129999999996</v>
      </c>
      <c r="G65" s="4">
        <v>6659.0829999999996</v>
      </c>
      <c r="H65" s="4">
        <v>7746.5990000000002</v>
      </c>
      <c r="I65" s="4">
        <v>7211.4219999999996</v>
      </c>
      <c r="J65" s="4">
        <v>6297.6090000000004</v>
      </c>
      <c r="K65" s="4">
        <v>7794.1009999999997</v>
      </c>
      <c r="L65" s="4">
        <v>9710.2009999999991</v>
      </c>
      <c r="M65" s="4">
        <v>11443.929</v>
      </c>
      <c r="N65" s="4">
        <v>12886.689</v>
      </c>
      <c r="O65" s="6">
        <f>SUM(BC65:BE65)</f>
        <v>9891.2759999999998</v>
      </c>
      <c r="P65" s="6"/>
      <c r="Q65" s="4">
        <v>1132.8969999999999</v>
      </c>
      <c r="R65" s="4">
        <f>2293.608-Q65</f>
        <v>1160.7110000000002</v>
      </c>
      <c r="S65" s="4">
        <f>3445.609-R65-Q65</f>
        <v>1152.0009999999997</v>
      </c>
      <c r="T65" s="6">
        <f>E65-SUM(Q65:S65)</f>
        <v>1335.3359999999998</v>
      </c>
      <c r="U65" s="4">
        <v>1270.575</v>
      </c>
      <c r="V65" s="4">
        <f>2598.868-U65</f>
        <v>1328.2929999999999</v>
      </c>
      <c r="W65" s="4">
        <f>4016.01-V65-U65</f>
        <v>1417.1420000000005</v>
      </c>
      <c r="X65" s="6">
        <f>F65-W65-V65-U65</f>
        <v>1656.9029999999991</v>
      </c>
      <c r="Y65" s="4">
        <v>1586.6010000000001</v>
      </c>
      <c r="Z65" s="4">
        <f>3236.76-Y65</f>
        <v>1650.1590000000001</v>
      </c>
      <c r="AA65" s="4">
        <f>4888.598-Z65-Y65</f>
        <v>1651.8379999999997</v>
      </c>
      <c r="AB65" s="6">
        <f>G65-Y65-Z65-AA65</f>
        <v>1770.4850000000001</v>
      </c>
      <c r="AC65" s="4">
        <v>1809.117</v>
      </c>
      <c r="AD65" s="4">
        <f>3749.322-AC65</f>
        <v>1940.2050000000002</v>
      </c>
      <c r="AE65" s="4">
        <f>5667.379-AD65-AC65</f>
        <v>1918.057</v>
      </c>
      <c r="AF65" s="6">
        <f>H65-AE65-AD65-AC65</f>
        <v>2079.2200000000003</v>
      </c>
      <c r="AG65" s="4">
        <v>1937.327</v>
      </c>
      <c r="AH65" s="4">
        <f>3932.288-AG65</f>
        <v>1994.961</v>
      </c>
      <c r="AI65" s="4">
        <f>5357.865-AH65-AG65</f>
        <v>1425.5769999999995</v>
      </c>
      <c r="AJ65" s="6">
        <f>I65-AI65-AH65-AG65</f>
        <v>1853.557</v>
      </c>
      <c r="AK65" s="4">
        <v>1482.35</v>
      </c>
      <c r="AL65" s="4">
        <f>2956.454-AK65</f>
        <v>1474.1040000000003</v>
      </c>
      <c r="AM65" s="4">
        <f>4614.337-AL65-AK65</f>
        <v>1657.8830000000003</v>
      </c>
      <c r="AN65" s="6">
        <f>J65-AM65-AL65-AK65</f>
        <v>1683.2720000000004</v>
      </c>
      <c r="AO65" s="4">
        <v>1717.9949999999999</v>
      </c>
      <c r="AP65" s="4">
        <f>3611.617-AO65</f>
        <v>1893.6220000000003</v>
      </c>
      <c r="AQ65" s="4">
        <f>5614.56-AP65-AO65</f>
        <v>2002.9430000000002</v>
      </c>
      <c r="AR65" s="6">
        <f>K65-AQ65-AP65-AO65</f>
        <v>2179.5409999999993</v>
      </c>
      <c r="AS65" s="4">
        <v>2198.2150000000001</v>
      </c>
      <c r="AT65" s="4">
        <f>4512.262-AS65</f>
        <v>2314.0469999999996</v>
      </c>
      <c r="AU65" s="4">
        <f>6939.207-AT65-AS65</f>
        <v>2426.9450000000006</v>
      </c>
      <c r="AV65" s="6">
        <f>L65-AU65-AT65-AS65</f>
        <v>2770.9939999999988</v>
      </c>
      <c r="AW65" s="4">
        <v>2605.3409999999999</v>
      </c>
      <c r="AX65" s="4">
        <f>5413.723-AW65</f>
        <v>2808.3820000000001</v>
      </c>
      <c r="AY65" s="4">
        <f>8348.419-AW65-AX65</f>
        <v>2934.6959999999995</v>
      </c>
      <c r="AZ65" s="6">
        <f>M65-AY65-AX65-AW65</f>
        <v>3095.5100000000007</v>
      </c>
      <c r="BA65" s="4">
        <v>3186.29</v>
      </c>
      <c r="BB65" s="4">
        <f>6212.716-BA65</f>
        <v>3026.4260000000004</v>
      </c>
      <c r="BC65" s="4">
        <f>9462.564-BA65-BB65</f>
        <v>3249.848</v>
      </c>
      <c r="BD65" s="6">
        <f t="shared" si="144"/>
        <v>3424.125</v>
      </c>
      <c r="BE65" s="4">
        <v>3217.3029999999999</v>
      </c>
      <c r="BG65" s="4">
        <f>2598.868-U65</f>
        <v>1328.2929999999999</v>
      </c>
      <c r="BH65" s="4">
        <f>4016.01-V65-U65</f>
        <v>1417.1420000000005</v>
      </c>
      <c r="BI65" s="4">
        <f>3749.322-AC65</f>
        <v>1940.2050000000002</v>
      </c>
    </row>
    <row r="66" spans="2:62" s="5" customFormat="1" ht="13.5" customHeight="1">
      <c r="B66" s="5" t="s">
        <v>308</v>
      </c>
      <c r="C66" s="31">
        <f t="shared" ref="C66:G66" si="145">SUM(C61:C65)</f>
        <v>9478.4130000000005</v>
      </c>
      <c r="D66" s="31">
        <f t="shared" si="145"/>
        <v>8221.9259999999995</v>
      </c>
      <c r="E66" s="31">
        <f t="shared" si="145"/>
        <v>10696.477999999999</v>
      </c>
      <c r="F66" s="31">
        <f t="shared" si="145"/>
        <v>12682.362000000001</v>
      </c>
      <c r="G66" s="31">
        <f t="shared" si="145"/>
        <v>13141.992999999999</v>
      </c>
      <c r="H66" s="31">
        <f t="shared" ref="H66:O66" si="146">SUM(H61:H65)</f>
        <v>16555.956799999996</v>
      </c>
      <c r="I66" s="31">
        <f t="shared" si="146"/>
        <v>14200.246999999999</v>
      </c>
      <c r="J66" s="31">
        <f t="shared" si="146"/>
        <v>21024.837</v>
      </c>
      <c r="K66" s="31">
        <f t="shared" si="146"/>
        <v>16741.662</v>
      </c>
      <c r="L66" s="31">
        <f t="shared" si="146"/>
        <v>23876.213999999996</v>
      </c>
      <c r="M66" s="31">
        <f t="shared" ref="M66:N66" si="147">SUM(M61:M65)</f>
        <v>19789.402000000002</v>
      </c>
      <c r="N66" s="31">
        <f t="shared" si="147"/>
        <v>25208.584999999999</v>
      </c>
      <c r="O66" s="31">
        <f t="shared" si="146"/>
        <v>34408.000999999997</v>
      </c>
      <c r="P66" s="31"/>
      <c r="Q66" s="31">
        <f t="shared" ref="Q66:X66" si="148">SUM(Q61:Q65)</f>
        <v>-2007.5490000000004</v>
      </c>
      <c r="R66" s="31">
        <f t="shared" si="148"/>
        <v>3123.5349999999999</v>
      </c>
      <c r="S66" s="31">
        <f t="shared" si="148"/>
        <v>2456.1880000000001</v>
      </c>
      <c r="T66" s="31">
        <f t="shared" si="148"/>
        <v>7124.3040000000001</v>
      </c>
      <c r="U66" s="31">
        <f t="shared" si="148"/>
        <v>-3481.9339999999993</v>
      </c>
      <c r="V66" s="31">
        <f t="shared" si="148"/>
        <v>4296.2899999999981</v>
      </c>
      <c r="W66" s="31">
        <f t="shared" si="148"/>
        <v>973.16500000000133</v>
      </c>
      <c r="X66" s="31">
        <f t="shared" si="148"/>
        <v>10894.840999999997</v>
      </c>
      <c r="Y66" s="31">
        <f t="shared" ref="Y66:AD66" si="149">SUM(Y61:Y65)</f>
        <v>-3405.4910000000004</v>
      </c>
      <c r="Z66" s="31">
        <f t="shared" si="149"/>
        <v>5837.4350000000013</v>
      </c>
      <c r="AA66" s="31">
        <f t="shared" si="149"/>
        <v>-203.43700000000194</v>
      </c>
      <c r="AB66" s="31">
        <f t="shared" si="149"/>
        <v>10913.486000000001</v>
      </c>
      <c r="AC66" s="31">
        <f t="shared" si="149"/>
        <v>-1268.2009999999998</v>
      </c>
      <c r="AD66" s="31">
        <f t="shared" si="149"/>
        <v>5279.7749999999996</v>
      </c>
      <c r="AE66" s="31">
        <f t="shared" ref="AE66:AJ66" si="150">SUM(AE61:AE65)</f>
        <v>-1894.3100000000006</v>
      </c>
      <c r="AF66" s="31">
        <f t="shared" si="150"/>
        <v>14438.692799999997</v>
      </c>
      <c r="AG66" s="31">
        <f t="shared" si="150"/>
        <v>-2616.3950000000004</v>
      </c>
      <c r="AH66" s="31">
        <f t="shared" si="150"/>
        <v>-2050.6049999999977</v>
      </c>
      <c r="AI66" s="31">
        <f t="shared" si="150"/>
        <v>6159.1439999999975</v>
      </c>
      <c r="AJ66" s="31">
        <f t="shared" si="150"/>
        <v>12708.103000000001</v>
      </c>
      <c r="AK66" s="31">
        <f t="shared" ref="AK66:AP66" si="151">SUM(AK61:AK65)</f>
        <v>-4747.2500000000018</v>
      </c>
      <c r="AL66" s="31">
        <f t="shared" si="151"/>
        <v>8915.9310000000005</v>
      </c>
      <c r="AM66" s="31">
        <f t="shared" si="151"/>
        <v>1371.9630000000016</v>
      </c>
      <c r="AN66" s="31">
        <f t="shared" si="151"/>
        <v>15484.193000000001</v>
      </c>
      <c r="AO66" s="31">
        <f t="shared" si="151"/>
        <v>-5658.7579999999989</v>
      </c>
      <c r="AP66" s="31">
        <f t="shared" si="151"/>
        <v>5737.271999999999</v>
      </c>
      <c r="AQ66" s="31">
        <f>SUM(AQ61:AQ65)</f>
        <v>-320.5649999999996</v>
      </c>
      <c r="AR66" s="31">
        <f t="shared" ref="AR66:AT66" si="152">SUM(AR61:AR65)</f>
        <v>16983.712999999996</v>
      </c>
      <c r="AS66" s="31">
        <f t="shared" si="152"/>
        <v>-2922.6000000000013</v>
      </c>
      <c r="AT66" s="31">
        <f t="shared" si="152"/>
        <v>2602.8530000000005</v>
      </c>
      <c r="AU66" s="31">
        <f>SUM(AU61:AU65)</f>
        <v>2724.6080000000011</v>
      </c>
      <c r="AV66" s="31">
        <f t="shared" ref="AV66:AY66" si="153">SUM(AV61:AV65)</f>
        <v>21471.352999999992</v>
      </c>
      <c r="AW66" s="31">
        <f t="shared" si="153"/>
        <v>-1319.9940000000001</v>
      </c>
      <c r="AX66" s="31">
        <f t="shared" si="153"/>
        <v>4393.2540000000008</v>
      </c>
      <c r="AY66" s="31">
        <f t="shared" si="153"/>
        <v>-590.1360000000027</v>
      </c>
      <c r="AZ66" s="31">
        <f t="shared" ref="AZ66:BC66" si="154">SUM(AZ61:AZ65)</f>
        <v>17306.278000000002</v>
      </c>
      <c r="BA66" s="31">
        <f t="shared" si="154"/>
        <v>-3799.9819999999991</v>
      </c>
      <c r="BB66" s="31">
        <f t="shared" si="154"/>
        <v>-2824.4660000000013</v>
      </c>
      <c r="BC66" s="31">
        <f t="shared" si="154"/>
        <v>6193.9040000000014</v>
      </c>
      <c r="BD66" s="31">
        <f t="shared" ref="BD66:BE66" si="155">SUM(BD61:BD65)</f>
        <v>25639.128999999997</v>
      </c>
      <c r="BE66" s="31">
        <f t="shared" si="155"/>
        <v>2574.9679999999985</v>
      </c>
      <c r="BG66" s="31">
        <f>SUM(BG61:BG65)</f>
        <v>4471.3189999999986</v>
      </c>
      <c r="BH66" s="31">
        <f>SUM(BH61:BH65)</f>
        <v>1022.5140000000015</v>
      </c>
      <c r="BI66" s="31">
        <f>SUM(BI61:BI65)</f>
        <v>8876.5280000000002</v>
      </c>
    </row>
    <row r="67" spans="2:62" ht="13.5" customHeight="1">
      <c r="B67" s="7" t="s">
        <v>309</v>
      </c>
      <c r="C67" s="4">
        <f>-2679.676-1650.234</f>
        <v>-4329.91</v>
      </c>
      <c r="D67" s="4">
        <v>-4178.183</v>
      </c>
      <c r="E67" s="4">
        <v>-7057.2659999999996</v>
      </c>
      <c r="F67" s="4">
        <v>-7366.0940000000001</v>
      </c>
      <c r="G67" s="4">
        <v>-7555.7280000000001</v>
      </c>
      <c r="H67" s="4">
        <v>-8041.0039999999999</v>
      </c>
      <c r="I67" s="4">
        <v>-3845.66</v>
      </c>
      <c r="J67" s="4">
        <f>-5084.034+53.143</f>
        <v>-5030.8909999999996</v>
      </c>
      <c r="K67" s="4">
        <f>-7339.176+74.938</f>
        <v>-7264.2380000000003</v>
      </c>
      <c r="L67" s="4">
        <f>180.934-7815.993</f>
        <v>-7635.0590000000002</v>
      </c>
      <c r="M67" s="4">
        <f>440.97-10250.821</f>
        <v>-9809.8510000000006</v>
      </c>
      <c r="N67" s="4">
        <f>224.151-9058.6</f>
        <v>-8834.4490000000005</v>
      </c>
      <c r="O67" s="6">
        <f>SUM(BC67:BE67)</f>
        <v>-6002.7380000000012</v>
      </c>
      <c r="P67" s="6"/>
      <c r="Q67" s="4">
        <v>-1089.1130000000001</v>
      </c>
      <c r="R67" s="4">
        <f>-2531.701-Q67</f>
        <v>-1442.588</v>
      </c>
      <c r="S67" s="4">
        <f>-4773.363-R67-Q67</f>
        <v>-2241.6620000000003</v>
      </c>
      <c r="T67" s="6">
        <f>E67-SUM(Q67:S67)</f>
        <v>-2283.9029999999993</v>
      </c>
      <c r="U67" s="4">
        <v>-1280.3040000000001</v>
      </c>
      <c r="V67" s="4">
        <f>-2659.037-U67</f>
        <v>-1378.7329999999997</v>
      </c>
      <c r="W67" s="4">
        <f>-4129.142-V67-U67</f>
        <v>-1470.105</v>
      </c>
      <c r="X67" s="6">
        <f>F67-W67-V67-U67</f>
        <v>-3236.9519999999993</v>
      </c>
      <c r="Y67" s="4">
        <v>-1402.5940000000001</v>
      </c>
      <c r="Z67" s="4">
        <f>-3553.843-Y67</f>
        <v>-2151.2489999999998</v>
      </c>
      <c r="AA67" s="4">
        <f>-5627.137-Z67-Y67</f>
        <v>-2073.2939999999999</v>
      </c>
      <c r="AB67" s="6">
        <f>G67-Y67-Z67-AA67</f>
        <v>-1928.5910000000003</v>
      </c>
      <c r="AC67" s="4">
        <v>-1564.16</v>
      </c>
      <c r="AD67" s="4">
        <f>-3224.02-AC67</f>
        <v>-1659.86</v>
      </c>
      <c r="AE67" s="4">
        <f>-5354.346-AD67-AC67</f>
        <v>-2130.326</v>
      </c>
      <c r="AF67" s="6">
        <f>H67-AE67-AD67-AC67</f>
        <v>-2686.6580000000004</v>
      </c>
      <c r="AG67" s="4">
        <f>-855.261+3.321</f>
        <v>-851.93999999999994</v>
      </c>
      <c r="AH67" s="4">
        <f>-1871.58-AG67</f>
        <v>-1019.64</v>
      </c>
      <c r="AI67" s="4">
        <f>-2712.918-AH67-AG67</f>
        <v>-841.33800000000031</v>
      </c>
      <c r="AJ67" s="6">
        <f>I67-AI67-AH67-AG67</f>
        <v>-1132.7419999999997</v>
      </c>
      <c r="AK67" s="4">
        <f>-1092.37+1.241</f>
        <v>-1091.1289999999999</v>
      </c>
      <c r="AL67" s="4">
        <f>-2014.665+12.991-AK67</f>
        <v>-910.54500000000007</v>
      </c>
      <c r="AM67" s="4">
        <f>-2949.249+23.719-AL67-AK67</f>
        <v>-923.85599999999977</v>
      </c>
      <c r="AN67" s="6">
        <f>J67-AM67-AL67-AK67</f>
        <v>-2105.3609999999999</v>
      </c>
      <c r="AO67" s="4">
        <f>-1046.758+9.154</f>
        <v>-1037.604</v>
      </c>
      <c r="AP67" s="4">
        <f>-2511.17+15.489-AO67</f>
        <v>-1458.077</v>
      </c>
      <c r="AQ67" s="4">
        <f>-4454.123+68.526-AP67-AO67</f>
        <v>-1889.9159999999995</v>
      </c>
      <c r="AR67" s="6">
        <f>K67-AQ67-AP67-AO67</f>
        <v>-2878.6410000000005</v>
      </c>
      <c r="AS67" s="4">
        <f>-1060.522-22.199</f>
        <v>-1082.721</v>
      </c>
      <c r="AT67" s="4">
        <f>-3271.888+18.204-AS67</f>
        <v>-2170.9629999999997</v>
      </c>
      <c r="AU67" s="4">
        <f>-5625.005+27.512-AT67-AS67</f>
        <v>-2343.8090000000007</v>
      </c>
      <c r="AV67" s="6">
        <f>L67-AU67-AT67-AS67</f>
        <v>-2037.5660000000003</v>
      </c>
      <c r="AW67" s="4">
        <f>-2750.471+235.184</f>
        <v>-2515.2869999999998</v>
      </c>
      <c r="AX67" s="4">
        <f>-4615.243+380.607-AW67</f>
        <v>-1719.3490000000006</v>
      </c>
      <c r="AY67" s="4">
        <f>-7021.451+426.467-AW67-AX67</f>
        <v>-2360.348</v>
      </c>
      <c r="AZ67" s="6">
        <f>M67-AY67-AX67-AW67</f>
        <v>-3214.8670000000006</v>
      </c>
      <c r="BA67" s="4">
        <f>-1926.007+10.789</f>
        <v>-1915.2180000000001</v>
      </c>
      <c r="BB67" s="4">
        <f>-3719.081+15.024-BA67</f>
        <v>-1788.8390000000002</v>
      </c>
      <c r="BC67" s="4">
        <f>-5620.63+101.118-BA67-BB67</f>
        <v>-1815.4549999999997</v>
      </c>
      <c r="BD67" s="6">
        <f t="shared" ref="BD67:BD70" si="156">N67-BC67-BB67-BA67</f>
        <v>-3314.9370000000008</v>
      </c>
      <c r="BE67" s="4">
        <f>-879.616+7.27</f>
        <v>-872.346</v>
      </c>
      <c r="BF67" s="6"/>
      <c r="BG67" s="4">
        <f>-2659.037-U67</f>
        <v>-1378.7329999999997</v>
      </c>
      <c r="BH67" s="4">
        <f>-4129.142-V67-U67</f>
        <v>-1470.105</v>
      </c>
      <c r="BI67" s="4">
        <f>-3453.691-AC67</f>
        <v>-1889.5309999999997</v>
      </c>
    </row>
    <row r="68" spans="2:62" ht="13.5" customHeight="1">
      <c r="B68" s="7" t="s">
        <v>310</v>
      </c>
      <c r="C68" s="4">
        <v>-640.42700000000002</v>
      </c>
      <c r="D68" s="4">
        <v>-694.89400000000001</v>
      </c>
      <c r="E68" s="4">
        <v>-900.94200000000001</v>
      </c>
      <c r="F68" s="4">
        <v>-1051.704</v>
      </c>
      <c r="G68" s="4">
        <v>-1036.731</v>
      </c>
      <c r="H68" s="4">
        <v>-689.47</v>
      </c>
      <c r="I68" s="4">
        <v>-668.50300000000004</v>
      </c>
      <c r="J68" s="4">
        <v>-891.41200000000003</v>
      </c>
      <c r="K68" s="4">
        <v>-532.25699999999995</v>
      </c>
      <c r="L68" s="4">
        <f>-803.255</f>
        <v>-803.255</v>
      </c>
      <c r="M68" s="4">
        <v>-1472.7149999999999</v>
      </c>
      <c r="N68" s="4">
        <v>-1593.9639999999999</v>
      </c>
      <c r="O68" s="6">
        <f>SUM(BC68:BE68)</f>
        <v>-1162.5380000000002</v>
      </c>
      <c r="P68" s="6"/>
      <c r="Q68" s="4">
        <v>-122.402</v>
      </c>
      <c r="R68" s="4">
        <f>-383.157-Q68</f>
        <v>-260.755</v>
      </c>
      <c r="S68" s="4">
        <f>-591.445-R68-Q68</f>
        <v>-208.28800000000007</v>
      </c>
      <c r="T68" s="6">
        <f>E68-SUM(Q68:S68)</f>
        <v>-309.49699999999996</v>
      </c>
      <c r="U68" s="4">
        <v>-142.05600000000001</v>
      </c>
      <c r="V68" s="4">
        <f>-95.795-U68</f>
        <v>46.26100000000001</v>
      </c>
      <c r="W68" s="4">
        <f>-369.718-V68-U68</f>
        <v>-273.923</v>
      </c>
      <c r="X68" s="6">
        <f>F68-W68-V68-U68</f>
        <v>-681.98599999999988</v>
      </c>
      <c r="Y68" s="4">
        <v>-174.732</v>
      </c>
      <c r="Z68" s="4">
        <f>-389.724-Y68</f>
        <v>-214.99199999999999</v>
      </c>
      <c r="AA68" s="4">
        <f>-630.749-Z68-Y68</f>
        <v>-241.02500000000006</v>
      </c>
      <c r="AB68" s="6">
        <f>G68-Y68-Z68-AA68</f>
        <v>-405.98199999999997</v>
      </c>
      <c r="AC68" s="4">
        <v>-44.73</v>
      </c>
      <c r="AD68" s="4">
        <f>-178.618-AC68</f>
        <v>-133.88800000000001</v>
      </c>
      <c r="AE68" s="4">
        <f>-294.23-AD68-AC68</f>
        <v>-115.61200000000002</v>
      </c>
      <c r="AF68" s="6">
        <f>H68-AE68-AD68-AC68</f>
        <v>-395.2399999999999</v>
      </c>
      <c r="AG68" s="4">
        <v>-27.826000000000001</v>
      </c>
      <c r="AH68" s="4">
        <f>-105.511-AG68</f>
        <v>-77.685000000000002</v>
      </c>
      <c r="AI68" s="4">
        <f>-222.143-AH68-AG68</f>
        <v>-116.63200000000001</v>
      </c>
      <c r="AJ68" s="6">
        <f>I68-AI68-AH68-AG68</f>
        <v>-446.36000000000007</v>
      </c>
      <c r="AK68" s="4">
        <v>-35.110999999999997</v>
      </c>
      <c r="AL68" s="4">
        <f>-162.101-AK68</f>
        <v>-126.99000000000001</v>
      </c>
      <c r="AM68" s="4">
        <f>-436.721-AL68-AK68</f>
        <v>-274.62</v>
      </c>
      <c r="AN68" s="6">
        <f>J68-AM68-AL68-AK68</f>
        <v>-454.69100000000003</v>
      </c>
      <c r="AO68" s="4">
        <v>-44.838999999999999</v>
      </c>
      <c r="AP68" s="4">
        <f>-156.981-AO68</f>
        <v>-112.142</v>
      </c>
      <c r="AQ68" s="4">
        <f>-252.914-AP68-AO68</f>
        <v>-95.932999999999993</v>
      </c>
      <c r="AR68" s="6">
        <f>K68-AQ68-AP68-AO68</f>
        <v>-279.34299999999996</v>
      </c>
      <c r="AS68" s="4">
        <v>-53.487000000000002</v>
      </c>
      <c r="AT68" s="4">
        <f>-156.819-AS68</f>
        <v>-103.33199999999999</v>
      </c>
      <c r="AU68" s="4">
        <f>-301.73-AT68-AS68</f>
        <v>-144.91100000000003</v>
      </c>
      <c r="AV68" s="6">
        <f>L68-AU68-AT68-AS68</f>
        <v>-501.52499999999992</v>
      </c>
      <c r="AW68" s="4">
        <v>-180.69200000000001</v>
      </c>
      <c r="AX68" s="4">
        <f>-525.191-AW68</f>
        <v>-344.49900000000002</v>
      </c>
      <c r="AY68" s="4">
        <f>-837.862-AW68-AX68</f>
        <v>-312.67099999999994</v>
      </c>
      <c r="AZ68" s="6">
        <f>M68-AY68-AX68-AW68</f>
        <v>-634.85299999999984</v>
      </c>
      <c r="BA68" s="4">
        <v>-177.65899999999999</v>
      </c>
      <c r="BB68" s="4">
        <f>-503.798-BA68</f>
        <v>-326.13900000000001</v>
      </c>
      <c r="BC68" s="4">
        <f>-892.507-BA68-BB68</f>
        <v>-388.70899999999995</v>
      </c>
      <c r="BD68" s="6">
        <f t="shared" si="156"/>
        <v>-701.45700000000011</v>
      </c>
      <c r="BE68" s="4">
        <v>-72.372</v>
      </c>
      <c r="BF68" s="6"/>
      <c r="BG68" s="4">
        <f>-95.795-U68</f>
        <v>46.26100000000001</v>
      </c>
      <c r="BH68" s="4">
        <f>-369.718-V68-U68</f>
        <v>-273.923</v>
      </c>
      <c r="BI68" s="4">
        <f>-165.986-AC68</f>
        <v>-121.256</v>
      </c>
    </row>
    <row r="69" spans="2:62" ht="13.5" customHeight="1">
      <c r="B69" s="7" t="s">
        <v>311</v>
      </c>
      <c r="C69" s="4">
        <f>43.729+96.196+201.761</f>
        <v>341.68600000000004</v>
      </c>
      <c r="D69" s="4">
        <v>294.31200000000001</v>
      </c>
      <c r="E69" s="4">
        <v>209.61500000000001</v>
      </c>
      <c r="F69" s="4">
        <f>-17532.851-119.409+815.193</f>
        <v>-16837.066999999999</v>
      </c>
      <c r="G69" s="4">
        <f>-57.065+68.076</f>
        <v>11.010999999999996</v>
      </c>
      <c r="H69" s="4">
        <f>-319.546+98.025</f>
        <v>-221.52099999999999</v>
      </c>
      <c r="I69" s="4">
        <f>-129.672+52.296</f>
        <v>-77.376000000000005</v>
      </c>
      <c r="J69" s="4">
        <f>-236.169</f>
        <v>-236.16900000000001</v>
      </c>
      <c r="K69" s="4">
        <f>-1088.768</f>
        <v>-1088.768</v>
      </c>
      <c r="L69" s="4">
        <f>-736.772</f>
        <v>-736.77200000000005</v>
      </c>
      <c r="M69" s="4">
        <v>-277.30900000000003</v>
      </c>
      <c r="N69" s="4">
        <f>-24017.398+7455.762</f>
        <v>-16561.636000000002</v>
      </c>
      <c r="O69" s="6">
        <f>SUM(BC69:BE69)</f>
        <v>-16561.636000000002</v>
      </c>
      <c r="P69" s="6"/>
      <c r="Q69" s="4">
        <v>3.24</v>
      </c>
      <c r="R69" s="4">
        <f>82.909-Q69</f>
        <v>79.669000000000011</v>
      </c>
      <c r="S69" s="4">
        <f>89.092-R69-Q69</f>
        <v>6.1829999999999874</v>
      </c>
      <c r="T69" s="6">
        <f>E69-SUM(Q69:S69)</f>
        <v>120.52300000000001</v>
      </c>
      <c r="U69" s="4">
        <v>2.6179999999999999</v>
      </c>
      <c r="V69" s="4">
        <f>-17636.135+32.621-U69</f>
        <v>-17606.131999999998</v>
      </c>
      <c r="W69" s="4">
        <f>-18038.006+35.148-V69-U69</f>
        <v>-399.34400000000238</v>
      </c>
      <c r="X69" s="6">
        <f>F69-W69-V69-U69</f>
        <v>1165.7909999999997</v>
      </c>
      <c r="Y69" s="4">
        <v>2.2000000000000002</v>
      </c>
      <c r="Z69" s="4">
        <f>9.757-Y69</f>
        <v>7.5569999999999995</v>
      </c>
      <c r="AA69" s="4">
        <f>38.572-57.065-Z69-Y69</f>
        <v>-28.249999999999993</v>
      </c>
      <c r="AB69" s="6">
        <f>G69-Y69-Z69-AA69</f>
        <v>29.503999999999991</v>
      </c>
      <c r="AC69" s="4">
        <v>2.3450000000000002</v>
      </c>
      <c r="AD69" s="4">
        <f>7.324-AC69</f>
        <v>4.9789999999999992</v>
      </c>
      <c r="AE69" s="4">
        <f>93.212-AD69-AC69</f>
        <v>85.888000000000005</v>
      </c>
      <c r="AF69" s="6">
        <f>H69-AE69-AD69-AC69</f>
        <v>-314.733</v>
      </c>
      <c r="AG69" s="4">
        <v>0</v>
      </c>
      <c r="AH69" s="4">
        <f>39.935-AG69</f>
        <v>39.935000000000002</v>
      </c>
      <c r="AI69" s="4">
        <f>47.034-AH69-AG69</f>
        <v>7.0989999999999966</v>
      </c>
      <c r="AJ69" s="6">
        <f>I69-AI69-AH69-AG69</f>
        <v>-124.41</v>
      </c>
      <c r="AK69" s="4">
        <v>0</v>
      </c>
      <c r="AL69" s="4">
        <f>0-AK69</f>
        <v>0</v>
      </c>
      <c r="AM69" s="4">
        <f>-AL69-AK69</f>
        <v>0</v>
      </c>
      <c r="AN69" s="6">
        <f>J69-AM69-AL69-AK69</f>
        <v>-236.16900000000001</v>
      </c>
      <c r="AO69" s="4">
        <v>0</v>
      </c>
      <c r="AP69" s="4">
        <f>0-AO69</f>
        <v>0</v>
      </c>
      <c r="AQ69" s="4">
        <f>0-AP69-AO69</f>
        <v>0</v>
      </c>
      <c r="AR69" s="6">
        <f>K69-AQ69-AP69-AO69</f>
        <v>-1088.768</v>
      </c>
      <c r="AS69" s="4">
        <v>0</v>
      </c>
      <c r="AT69" s="4">
        <f>0-AS69</f>
        <v>0</v>
      </c>
      <c r="AU69" s="4">
        <f>0-AT69-AS69</f>
        <v>0</v>
      </c>
      <c r="AV69" s="6">
        <f>L69-AU69-AT69-AS69</f>
        <v>-736.77200000000005</v>
      </c>
      <c r="AW69" s="4">
        <v>0</v>
      </c>
      <c r="AX69" s="4">
        <f>0-AW69</f>
        <v>0</v>
      </c>
      <c r="AY69" s="4">
        <f>0-AW69-AX69</f>
        <v>0</v>
      </c>
      <c r="AZ69" s="6">
        <f>M69-AY69-AX69-AW69</f>
        <v>-277.30900000000003</v>
      </c>
      <c r="BA69" s="4">
        <v>0</v>
      </c>
      <c r="BB69" s="4">
        <f>0-BA69</f>
        <v>0</v>
      </c>
      <c r="BC69" s="4">
        <f>0-BA69-BB69</f>
        <v>0</v>
      </c>
      <c r="BD69" s="6">
        <f t="shared" si="156"/>
        <v>-16561.636000000002</v>
      </c>
      <c r="BE69" s="4">
        <v>0</v>
      </c>
      <c r="BF69" s="6"/>
      <c r="BG69" s="4">
        <f>-17636.135+32.621-U69</f>
        <v>-17606.131999999998</v>
      </c>
      <c r="BH69" s="4">
        <f>-18038.006+160.934-V69-U69</f>
        <v>-273.55800000000232</v>
      </c>
      <c r="BI69" s="4">
        <f>7.324-AC69</f>
        <v>4.9789999999999992</v>
      </c>
    </row>
    <row r="70" spans="2:62" ht="13.5" customHeight="1">
      <c r="B70" s="7" t="s">
        <v>312</v>
      </c>
      <c r="C70" s="4">
        <v>0</v>
      </c>
      <c r="D70" s="4">
        <v>0</v>
      </c>
      <c r="E70" s="4">
        <v>0</v>
      </c>
      <c r="F70" s="4">
        <v>0</v>
      </c>
      <c r="G70" s="4">
        <v>0</v>
      </c>
      <c r="H70" s="4">
        <v>0</v>
      </c>
      <c r="I70" s="4">
        <v>0</v>
      </c>
      <c r="J70" s="4">
        <v>0</v>
      </c>
      <c r="K70" s="4">
        <v>0</v>
      </c>
      <c r="L70" s="4">
        <v>0</v>
      </c>
      <c r="M70" s="4">
        <v>0</v>
      </c>
      <c r="N70" s="4">
        <v>0</v>
      </c>
      <c r="O70" s="6">
        <f>SUM(BC70:BE70)</f>
        <v>0</v>
      </c>
      <c r="P70" s="6"/>
      <c r="Q70" s="4">
        <v>0</v>
      </c>
      <c r="R70" s="4">
        <f>0-Q70</f>
        <v>0</v>
      </c>
      <c r="S70" s="4">
        <f>0-R70-Q70</f>
        <v>0</v>
      </c>
      <c r="T70" s="6">
        <f>E70-SUM(Q70:S70)</f>
        <v>0</v>
      </c>
      <c r="U70" s="4">
        <v>0</v>
      </c>
      <c r="V70" s="4">
        <f>0-U70</f>
        <v>0</v>
      </c>
      <c r="W70" s="4">
        <f>0-V70-U70</f>
        <v>0</v>
      </c>
      <c r="X70" s="6">
        <f>F70-W70-V70-U70</f>
        <v>0</v>
      </c>
      <c r="Y70" s="4">
        <v>0</v>
      </c>
      <c r="Z70" s="4">
        <f>0-Y70</f>
        <v>0</v>
      </c>
      <c r="AA70" s="4">
        <f>0-Z70-Y70</f>
        <v>0</v>
      </c>
      <c r="AB70" s="6">
        <f>G70-Y70-Z70-AA70</f>
        <v>0</v>
      </c>
      <c r="AC70" s="4">
        <v>0</v>
      </c>
      <c r="AD70" s="4">
        <f>-AC70</f>
        <v>0</v>
      </c>
      <c r="AE70" s="4">
        <f>-AD70-AC70</f>
        <v>0</v>
      </c>
      <c r="AF70" s="6">
        <f>H70-AE70-AD70-AC70</f>
        <v>0</v>
      </c>
      <c r="AG70" s="4">
        <v>0</v>
      </c>
      <c r="AH70" s="4">
        <f>0-AG70</f>
        <v>0</v>
      </c>
      <c r="AI70" s="4">
        <f>-AH70-AG70</f>
        <v>0</v>
      </c>
      <c r="AJ70" s="6">
        <f>I70-AI70-AH70-AG70</f>
        <v>0</v>
      </c>
      <c r="AK70" s="4">
        <v>0</v>
      </c>
      <c r="AL70" s="4">
        <f>0-AK70</f>
        <v>0</v>
      </c>
      <c r="AM70" s="4">
        <f>-AL70-AK70</f>
        <v>0</v>
      </c>
      <c r="AN70" s="6">
        <f>J70-AM70-AL70-AK70</f>
        <v>0</v>
      </c>
      <c r="AO70" s="4">
        <v>0</v>
      </c>
      <c r="AP70" s="4">
        <f>0-AO70</f>
        <v>0</v>
      </c>
      <c r="AQ70" s="4">
        <f>0-AP70-AO70</f>
        <v>0</v>
      </c>
      <c r="AR70" s="6">
        <f>K70-AQ70-AP70-AO70</f>
        <v>0</v>
      </c>
      <c r="AS70" s="4">
        <v>0</v>
      </c>
      <c r="AT70" s="4">
        <f>0-AS70</f>
        <v>0</v>
      </c>
      <c r="AU70" s="4">
        <f>0-AT70-AS70</f>
        <v>0</v>
      </c>
      <c r="AV70" s="6">
        <f>L70-AU70-AT70-AS70</f>
        <v>0</v>
      </c>
      <c r="AW70" s="4">
        <v>0</v>
      </c>
      <c r="AX70" s="4">
        <f>0-AW70</f>
        <v>0</v>
      </c>
      <c r="AY70" s="4">
        <f>0-AW70-AX70</f>
        <v>0</v>
      </c>
      <c r="AZ70" s="6">
        <f>M70-AY70-AX70-AW70</f>
        <v>0</v>
      </c>
      <c r="BA70" s="4">
        <v>0</v>
      </c>
      <c r="BB70" s="4">
        <f>0-BA70</f>
        <v>0</v>
      </c>
      <c r="BC70" s="4">
        <f>0-BA70-BB70</f>
        <v>0</v>
      </c>
      <c r="BD70" s="6">
        <f t="shared" si="156"/>
        <v>0</v>
      </c>
      <c r="BE70" s="4">
        <v>0</v>
      </c>
      <c r="BF70" s="6"/>
      <c r="BG70" s="4">
        <f>0-U70</f>
        <v>0</v>
      </c>
      <c r="BH70" s="4">
        <f>0-V70</f>
        <v>0</v>
      </c>
      <c r="BI70" s="4">
        <f>0-AC70</f>
        <v>0</v>
      </c>
    </row>
    <row r="71" spans="2:62" s="5" customFormat="1" ht="13.5" customHeight="1">
      <c r="B71" s="13" t="s">
        <v>313</v>
      </c>
      <c r="C71" s="8">
        <f t="shared" ref="C71:X71" si="157">SUM(C66:C70)</f>
        <v>4849.7620000000006</v>
      </c>
      <c r="D71" s="8">
        <f t="shared" si="157"/>
        <v>3643.1609999999991</v>
      </c>
      <c r="E71" s="8">
        <f t="shared" si="157"/>
        <v>2947.8849999999993</v>
      </c>
      <c r="F71" s="8">
        <f t="shared" ref="F71:J71" si="158">SUM(F66:F70)</f>
        <v>-12572.502999999997</v>
      </c>
      <c r="G71" s="8">
        <f t="shared" si="158"/>
        <v>4560.5449999999992</v>
      </c>
      <c r="H71" s="8">
        <f t="shared" si="158"/>
        <v>7603.9617999999955</v>
      </c>
      <c r="I71" s="8">
        <f t="shared" si="158"/>
        <v>9608.7079999999987</v>
      </c>
      <c r="J71" s="8">
        <f t="shared" si="158"/>
        <v>14866.365</v>
      </c>
      <c r="K71" s="8">
        <f t="shared" ref="K71:L71" si="159">SUM(K66:K70)</f>
        <v>7856.3989999999994</v>
      </c>
      <c r="L71" s="8">
        <f t="shared" si="159"/>
        <v>14701.127999999995</v>
      </c>
      <c r="M71" s="8">
        <f t="shared" ref="M71:N71" si="160">SUM(M66:M70)</f>
        <v>8229.5270000000019</v>
      </c>
      <c r="N71" s="8">
        <f t="shared" si="160"/>
        <v>-1781.4640000000036</v>
      </c>
      <c r="O71" s="8">
        <f>SUM(O66:O70)</f>
        <v>10681.088999999993</v>
      </c>
      <c r="P71" s="8"/>
      <c r="Q71" s="8">
        <f t="shared" si="157"/>
        <v>-3215.8240000000005</v>
      </c>
      <c r="R71" s="8">
        <f t="shared" si="157"/>
        <v>1499.8610000000001</v>
      </c>
      <c r="S71" s="8">
        <f t="shared" si="157"/>
        <v>12.42099999999976</v>
      </c>
      <c r="T71" s="8">
        <f t="shared" si="157"/>
        <v>4651.4270000000006</v>
      </c>
      <c r="U71" s="8">
        <f t="shared" si="157"/>
        <v>-4901.6759999999986</v>
      </c>
      <c r="V71" s="8">
        <f t="shared" si="157"/>
        <v>-14642.313999999998</v>
      </c>
      <c r="W71" s="8">
        <f t="shared" si="157"/>
        <v>-1170.207000000001</v>
      </c>
      <c r="X71" s="8">
        <f t="shared" si="157"/>
        <v>8141.6939999999977</v>
      </c>
      <c r="Y71" s="8">
        <f t="shared" ref="Y71:AD71" si="161">SUM(Y66:Y70)</f>
        <v>-4980.6170000000011</v>
      </c>
      <c r="Z71" s="8">
        <f t="shared" si="161"/>
        <v>3478.7510000000011</v>
      </c>
      <c r="AA71" s="8">
        <f t="shared" si="161"/>
        <v>-2546.0060000000017</v>
      </c>
      <c r="AB71" s="8">
        <f t="shared" si="161"/>
        <v>8608.4170000000013</v>
      </c>
      <c r="AC71" s="8">
        <f t="shared" si="161"/>
        <v>-2874.7460000000001</v>
      </c>
      <c r="AD71" s="8">
        <f t="shared" si="161"/>
        <v>3491.0059999999999</v>
      </c>
      <c r="AE71" s="8">
        <f t="shared" ref="AE71:AJ71" si="162">SUM(AE66:AE70)</f>
        <v>-4054.3600000000006</v>
      </c>
      <c r="AF71" s="8">
        <f t="shared" si="162"/>
        <v>11042.061799999998</v>
      </c>
      <c r="AG71" s="8">
        <f t="shared" si="162"/>
        <v>-3496.1610000000005</v>
      </c>
      <c r="AH71" s="8">
        <f t="shared" si="162"/>
        <v>-3107.9949999999976</v>
      </c>
      <c r="AI71" s="8">
        <f t="shared" si="162"/>
        <v>5208.2729999999974</v>
      </c>
      <c r="AJ71" s="8">
        <f t="shared" si="162"/>
        <v>11004.591</v>
      </c>
      <c r="AK71" s="8">
        <f t="shared" ref="AK71:AQ71" si="163">SUM(AK66:AK70)</f>
        <v>-5873.4900000000016</v>
      </c>
      <c r="AL71" s="8">
        <f t="shared" si="163"/>
        <v>7878.3960000000006</v>
      </c>
      <c r="AM71" s="8">
        <f t="shared" si="163"/>
        <v>173.48700000000179</v>
      </c>
      <c r="AN71" s="8">
        <f t="shared" si="163"/>
        <v>12687.972000000002</v>
      </c>
      <c r="AO71" s="8">
        <f t="shared" si="163"/>
        <v>-6741.2009999999991</v>
      </c>
      <c r="AP71" s="8">
        <f t="shared" si="163"/>
        <v>4167.052999999999</v>
      </c>
      <c r="AQ71" s="8">
        <f t="shared" si="163"/>
        <v>-2306.4139999999989</v>
      </c>
      <c r="AR71" s="8">
        <f t="shared" ref="AR71:AU71" si="164">SUM(AR66:AR70)</f>
        <v>12736.960999999996</v>
      </c>
      <c r="AS71" s="8">
        <f t="shared" si="164"/>
        <v>-4058.8080000000014</v>
      </c>
      <c r="AT71" s="8">
        <f t="shared" si="164"/>
        <v>328.55800000000079</v>
      </c>
      <c r="AU71" s="8">
        <f t="shared" si="164"/>
        <v>235.8880000000004</v>
      </c>
      <c r="AV71" s="8">
        <f t="shared" ref="AV71:AY71" si="165">SUM(AV66:AV70)</f>
        <v>18195.489999999991</v>
      </c>
      <c r="AW71" s="8">
        <f t="shared" si="165"/>
        <v>-4015.973</v>
      </c>
      <c r="AX71" s="8">
        <f t="shared" si="165"/>
        <v>2329.4059999999999</v>
      </c>
      <c r="AY71" s="8">
        <f t="shared" si="165"/>
        <v>-3263.1550000000025</v>
      </c>
      <c r="AZ71" s="8">
        <f t="shared" ref="AZ71:BC71" si="166">SUM(AZ66:AZ70)</f>
        <v>13179.249000000003</v>
      </c>
      <c r="BA71" s="8">
        <f t="shared" si="166"/>
        <v>-5892.8589999999986</v>
      </c>
      <c r="BB71" s="8">
        <f t="shared" si="166"/>
        <v>-4939.4440000000013</v>
      </c>
      <c r="BC71" s="8">
        <f t="shared" si="166"/>
        <v>3989.7400000000016</v>
      </c>
      <c r="BD71" s="8">
        <f t="shared" ref="BD71:BE71" si="167">SUM(BD66:BD70)</f>
        <v>5061.0989999999947</v>
      </c>
      <c r="BE71" s="8">
        <f t="shared" si="167"/>
        <v>1630.2499999999984</v>
      </c>
      <c r="BG71" s="8">
        <f>SUM(BG66:BG70)</f>
        <v>-14467.285</v>
      </c>
      <c r="BH71" s="8">
        <f>SUM(BH66:BH70)</f>
        <v>-995.0720000000008</v>
      </c>
      <c r="BI71" s="8">
        <f>SUM(BI66:BI70)</f>
        <v>6870.72</v>
      </c>
    </row>
    <row r="72" spans="2:62" ht="13.5" customHeight="1">
      <c r="B72" s="7" t="s">
        <v>314</v>
      </c>
      <c r="C72" s="6"/>
      <c r="D72" s="6"/>
      <c r="E72" s="6"/>
      <c r="F72" s="6"/>
      <c r="G72" s="6"/>
      <c r="H72" s="6"/>
      <c r="I72" s="6"/>
      <c r="J72" s="4">
        <f>9.888+80.081</f>
        <v>89.969000000000008</v>
      </c>
      <c r="K72" s="4">
        <f>58.957-5943.333</f>
        <v>-5884.3759999999993</v>
      </c>
      <c r="L72" s="4">
        <f>405.482</f>
        <v>405.48200000000003</v>
      </c>
      <c r="M72" s="4">
        <f>1952.97+157.032</f>
        <v>2110.002</v>
      </c>
      <c r="N72" s="4">
        <f>275.508</f>
        <v>275.50799999999998</v>
      </c>
      <c r="O72" s="6">
        <f t="shared" ref="O72:O77" si="168">SUM(BC72:BE72)</f>
        <v>15922.340000000002</v>
      </c>
      <c r="P72" s="6"/>
      <c r="Q72" s="6"/>
      <c r="R72" s="6"/>
      <c r="S72" s="6"/>
      <c r="T72" s="6"/>
      <c r="U72" s="6"/>
      <c r="V72" s="6"/>
      <c r="W72" s="6"/>
      <c r="X72" s="6"/>
      <c r="Y72" s="6"/>
      <c r="Z72" s="6"/>
      <c r="AA72" s="6"/>
      <c r="AB72" s="6"/>
      <c r="AC72" s="6"/>
      <c r="AD72" s="6"/>
      <c r="AE72" s="6"/>
      <c r="AF72" s="6"/>
      <c r="AG72" s="6"/>
      <c r="AH72" s="6"/>
      <c r="AI72" s="6"/>
      <c r="AJ72" s="6"/>
      <c r="AK72" s="6">
        <v>0</v>
      </c>
      <c r="AL72" s="4">
        <f>9.888-15.89779</f>
        <v>-6.0097900000000006</v>
      </c>
      <c r="AM72" s="4">
        <f>9.888-121.992-AL72-AK72</f>
        <v>-106.09421</v>
      </c>
      <c r="AN72" s="6">
        <f>J72-AM72-AL72-AK72</f>
        <v>202.07300000000004</v>
      </c>
      <c r="AO72" s="4">
        <f>-9.205</f>
        <v>-9.2050000000000001</v>
      </c>
      <c r="AP72" s="4">
        <f>-9.205-AO72</f>
        <v>0</v>
      </c>
      <c r="AQ72" s="4">
        <f>-9.205-5943.34-AP72-AO72</f>
        <v>-5943.34</v>
      </c>
      <c r="AR72" s="6">
        <f>K72-AQ72-AP72-AO72</f>
        <v>68.16900000000085</v>
      </c>
      <c r="AS72" s="4">
        <f>-56.084</f>
        <v>-56.084000000000003</v>
      </c>
      <c r="AT72" s="4">
        <f>-114.291831-AS72</f>
        <v>-58.207830999999999</v>
      </c>
      <c r="AU72" s="4">
        <f>-128.264-AT72-AS72</f>
        <v>-13.972169000000008</v>
      </c>
      <c r="AV72" s="6">
        <f>L72-AU72-AT72-AS72</f>
        <v>533.74600000000009</v>
      </c>
      <c r="AW72" s="4">
        <v>-87.869</v>
      </c>
      <c r="AX72" s="4">
        <f>-560.795-AW72</f>
        <v>-472.92599999999993</v>
      </c>
      <c r="AY72" s="4">
        <f>-578.132+157.032-AW72-AX72</f>
        <v>139.69500000000005</v>
      </c>
      <c r="AZ72" s="6">
        <f t="shared" ref="AZ72:AZ77" si="169">M72-AY72-AX72-AW72</f>
        <v>2531.1019999999999</v>
      </c>
      <c r="BA72" s="4">
        <f>13.537+275.508</f>
        <v>289.04499999999996</v>
      </c>
      <c r="BB72" s="4">
        <f>-24411.347+7455.762+275.508-BA72</f>
        <v>-16969.121999999999</v>
      </c>
      <c r="BC72" s="4">
        <f>7455.762-24559.265+275.508-BA72-BB72</f>
        <v>-147.91799999999785</v>
      </c>
      <c r="BD72" s="6">
        <f t="shared" ref="BD72:BD77" si="170">N72-BC72-BB72-BA72</f>
        <v>17103.503000000001</v>
      </c>
      <c r="BE72" s="4">
        <f>14.691-1215.411+167.475</f>
        <v>-1033.2450000000001</v>
      </c>
      <c r="BF72" s="6"/>
      <c r="BG72" s="6"/>
      <c r="BH72" s="6"/>
      <c r="BI72" s="6"/>
    </row>
    <row r="73" spans="2:62" ht="13.5" customHeight="1">
      <c r="B73" s="7" t="s">
        <v>315</v>
      </c>
      <c r="C73" s="4">
        <v>0</v>
      </c>
      <c r="D73" s="4">
        <v>0</v>
      </c>
      <c r="E73" s="4">
        <v>0</v>
      </c>
      <c r="F73" s="4">
        <v>0</v>
      </c>
      <c r="G73" s="4">
        <v>-79.134</v>
      </c>
      <c r="H73" s="4">
        <v>-451.10700000000003</v>
      </c>
      <c r="I73" s="4">
        <v>-20.294</v>
      </c>
      <c r="J73" s="4">
        <v>206.92</v>
      </c>
      <c r="K73" s="4">
        <v>-7.415</v>
      </c>
      <c r="L73" s="4">
        <f>-22.204</f>
        <v>-22.204000000000001</v>
      </c>
      <c r="M73" s="4">
        <v>-3.8740000000000001</v>
      </c>
      <c r="N73" s="4">
        <v>-424.44200000000001</v>
      </c>
      <c r="O73" s="6">
        <f t="shared" si="168"/>
        <v>-455.61800000000005</v>
      </c>
      <c r="P73" s="6"/>
      <c r="Q73" s="4">
        <v>0</v>
      </c>
      <c r="R73" s="4">
        <f>0-Q73</f>
        <v>0</v>
      </c>
      <c r="S73" s="4">
        <f>0-R73-Q73</f>
        <v>0</v>
      </c>
      <c r="T73" s="6">
        <f>E73-SUM(Q73:S73)</f>
        <v>0</v>
      </c>
      <c r="U73" s="4">
        <v>0</v>
      </c>
      <c r="V73" s="4">
        <f>0-U73</f>
        <v>0</v>
      </c>
      <c r="W73" s="4">
        <f>0-V73-U73</f>
        <v>0</v>
      </c>
      <c r="X73" s="6">
        <f>F73-W73-V73-U73</f>
        <v>0</v>
      </c>
      <c r="Y73" s="4">
        <v>0</v>
      </c>
      <c r="Z73" s="4">
        <f>0-Y73</f>
        <v>0</v>
      </c>
      <c r="AA73" s="4">
        <f>0-Z73-Y73</f>
        <v>0</v>
      </c>
      <c r="AB73" s="6">
        <f>G73-Y73-Z73-AA73</f>
        <v>-79.134</v>
      </c>
      <c r="AC73" s="4">
        <v>-43.368000000000002</v>
      </c>
      <c r="AD73" s="4">
        <f>-222.382-AC73</f>
        <v>-179.01400000000001</v>
      </c>
      <c r="AE73" s="4">
        <f>-388.3-AD73-AC73</f>
        <v>-165.91800000000001</v>
      </c>
      <c r="AF73" s="6">
        <f>H73-AE73-AD73-AC73</f>
        <v>-62.807000000000009</v>
      </c>
      <c r="AG73" s="4">
        <v>-527.69500000000005</v>
      </c>
      <c r="AH73" s="4">
        <f>-442.883-AG73</f>
        <v>84.812000000000069</v>
      </c>
      <c r="AI73" s="4">
        <f>-332.052-AH73-AG73</f>
        <v>110.83099999999996</v>
      </c>
      <c r="AJ73" s="6">
        <f>I73-AI73-AH73-AG73</f>
        <v>311.75800000000004</v>
      </c>
      <c r="AK73" s="4">
        <v>206.92</v>
      </c>
      <c r="AL73" s="4">
        <f>206.92-AK73</f>
        <v>0</v>
      </c>
      <c r="AM73" s="4">
        <f>206.92-AL73-AK73</f>
        <v>0</v>
      </c>
      <c r="AN73" s="6">
        <f>J73-AM73-AL73-AK73</f>
        <v>0</v>
      </c>
      <c r="AO73" s="4">
        <v>0</v>
      </c>
      <c r="AP73" s="4">
        <v>-20.628</v>
      </c>
      <c r="AQ73" s="4">
        <f>-10.455-AP73-AO73</f>
        <v>10.173</v>
      </c>
      <c r="AR73" s="6">
        <f>K73-AQ73-AP73-AO73</f>
        <v>3.0399999999999991</v>
      </c>
      <c r="AS73" s="4">
        <v>-22.884</v>
      </c>
      <c r="AT73" s="4">
        <f>15.048-AS73</f>
        <v>37.932000000000002</v>
      </c>
      <c r="AU73" s="4">
        <f>3.454-AT73-AS73</f>
        <v>-11.594000000000001</v>
      </c>
      <c r="AV73" s="6">
        <f>L73-AU73-AT73-AS73</f>
        <v>-25.658000000000001</v>
      </c>
      <c r="AW73" s="4">
        <v>0.46300000000000002</v>
      </c>
      <c r="AX73" s="4">
        <f>4.777-AW73</f>
        <v>4.3140000000000001</v>
      </c>
      <c r="AY73" s="4">
        <f>1.095-AW73-AX73</f>
        <v>-3.6820000000000004</v>
      </c>
      <c r="AZ73" s="6">
        <f t="shared" si="169"/>
        <v>-4.9690000000000003</v>
      </c>
      <c r="BA73" s="4">
        <v>-3.4119999999999999</v>
      </c>
      <c r="BB73" s="4">
        <f>-3.482-BA73</f>
        <v>-7.0000000000000284E-2</v>
      </c>
      <c r="BC73" s="4">
        <f>-21.721-BA73-BB73</f>
        <v>-18.239000000000001</v>
      </c>
      <c r="BD73" s="6">
        <f t="shared" si="170"/>
        <v>-402.72100000000006</v>
      </c>
      <c r="BE73" s="4">
        <v>-34.658000000000001</v>
      </c>
      <c r="BG73" s="4">
        <f>0-U73</f>
        <v>0</v>
      </c>
      <c r="BH73" s="4">
        <v>0</v>
      </c>
      <c r="BI73" s="4">
        <f>-222.382-AC73</f>
        <v>-179.01400000000001</v>
      </c>
    </row>
    <row r="74" spans="2:62" ht="13.5" customHeight="1">
      <c r="B74" s="7" t="s">
        <v>316</v>
      </c>
      <c r="C74" s="4">
        <v>0</v>
      </c>
      <c r="D74" s="4">
        <f>-1087.062+154.946</f>
        <v>-932.11599999999987</v>
      </c>
      <c r="E74" s="4">
        <f>-1288.365+175.896</f>
        <v>-1112.4690000000001</v>
      </c>
      <c r="F74" s="4">
        <f>-1288.291+120.102</f>
        <v>-1168.1889999999999</v>
      </c>
      <c r="G74" s="4">
        <f>-1288.36+211.611</f>
        <v>-1076.7489999999998</v>
      </c>
      <c r="H74" s="4">
        <f>-1474.398+213.147</f>
        <v>-1261.251</v>
      </c>
      <c r="I74" s="4">
        <f>0+0</f>
        <v>0</v>
      </c>
      <c r="J74" s="4">
        <v>-3018.3980000000001</v>
      </c>
      <c r="K74" s="4">
        <v>-3287.7289999999998</v>
      </c>
      <c r="L74" s="4">
        <f>-3502.229</f>
        <v>-3502.2289999999998</v>
      </c>
      <c r="M74" s="4">
        <f>-3958.247+578.892</f>
        <v>-3379.3549999999996</v>
      </c>
      <c r="N74" s="4">
        <f>-3958.365+342.345</f>
        <v>-3616.0199999999995</v>
      </c>
      <c r="O74" s="6">
        <f t="shared" si="168"/>
        <v>-1422.7539999999995</v>
      </c>
      <c r="P74" s="6"/>
      <c r="Q74" s="4">
        <v>0</v>
      </c>
      <c r="R74" s="4">
        <f>-778.392-Q74</f>
        <v>-778.39200000000005</v>
      </c>
      <c r="S74" s="4">
        <f>-778.392-R74-Q74</f>
        <v>0</v>
      </c>
      <c r="T74" s="6">
        <f>E74-SUM(Q74:S74)</f>
        <v>-334.077</v>
      </c>
      <c r="U74" s="4">
        <v>0</v>
      </c>
      <c r="V74" s="4">
        <f>-778.397-U74</f>
        <v>-778.39700000000005</v>
      </c>
      <c r="W74" s="4">
        <f>-778.397-V74-U74</f>
        <v>0</v>
      </c>
      <c r="X74" s="6">
        <f>F74-W74-V74-U74</f>
        <v>-389.7919999999998</v>
      </c>
      <c r="Y74" s="4">
        <v>0</v>
      </c>
      <c r="Z74" s="4">
        <f>-778.383-Y74</f>
        <v>-778.38300000000004</v>
      </c>
      <c r="AA74" s="4">
        <f>-778.383+211.611-Z74-Y74</f>
        <v>211.61099999999999</v>
      </c>
      <c r="AB74" s="6">
        <f>G74-Y74-Z74-AA74</f>
        <v>-509.97699999999975</v>
      </c>
      <c r="AC74" s="4">
        <v>0</v>
      </c>
      <c r="AD74" s="4">
        <f>-885.352-AC74</f>
        <v>-885.35199999999998</v>
      </c>
      <c r="AE74" s="4">
        <f>-885.352+213.147-AD74-AC74</f>
        <v>213.14700000000005</v>
      </c>
      <c r="AF74" s="6">
        <f>H74-AE74-AD74-AC74</f>
        <v>-589.04600000000016</v>
      </c>
      <c r="AG74" s="4">
        <v>0</v>
      </c>
      <c r="AH74" s="4">
        <f>0-AG74</f>
        <v>0</v>
      </c>
      <c r="AI74" s="4">
        <f>0+0-AH74-AG74</f>
        <v>0</v>
      </c>
      <c r="AJ74" s="6">
        <f>I74-AI74-AH74-AG74</f>
        <v>0</v>
      </c>
      <c r="AK74" s="4">
        <v>-2011.8720000000001</v>
      </c>
      <c r="AL74" s="4">
        <f>-2011.872-AK74</f>
        <v>0</v>
      </c>
      <c r="AM74" s="4">
        <f>-2011.872+80.081-AL74-AK74</f>
        <v>80.080999999999904</v>
      </c>
      <c r="AN74" s="6">
        <f>J74-AM74-AL74-AK74</f>
        <v>-1086.6070000000002</v>
      </c>
      <c r="AO74" s="4">
        <v>-1006.524</v>
      </c>
      <c r="AP74" s="4">
        <f>-2375.3-AO74</f>
        <v>-1368.7760000000003</v>
      </c>
      <c r="AQ74" s="4">
        <f>-2375.3-AP74-AO74</f>
        <v>0</v>
      </c>
      <c r="AR74" s="6">
        <f>K74-AQ74-AP74-AO74</f>
        <v>-912.42899999999952</v>
      </c>
      <c r="AS74" s="4">
        <v>54.197000000000003</v>
      </c>
      <c r="AT74" s="4">
        <f>301.459-2106.566-AS74</f>
        <v>-1859.3039999999996</v>
      </c>
      <c r="AU74" s="4">
        <f>-2106.575+353.489-AT74-AS74</f>
        <v>52.020999999999844</v>
      </c>
      <c r="AV74" s="6">
        <f>L74-AU74-AT74-AS74</f>
        <v>-1749.143</v>
      </c>
      <c r="AW74" s="4">
        <v>134.46799999999999</v>
      </c>
      <c r="AX74" s="4">
        <f>185.41-2374.751-AW74</f>
        <v>-2323.8090000000002</v>
      </c>
      <c r="AY74" s="4">
        <f>-2374.767+518.59-AW74-AX74</f>
        <v>333.16400000000044</v>
      </c>
      <c r="AZ74" s="6">
        <f t="shared" si="169"/>
        <v>-1523.1780000000001</v>
      </c>
      <c r="BA74" s="4">
        <v>60.204999999999998</v>
      </c>
      <c r="BB74" s="4">
        <f>182.018-2375.284-BA74</f>
        <v>-2253.471</v>
      </c>
      <c r="BC74" s="4">
        <f>-2375.307+182.173-BA74-BB74</f>
        <v>0.13200000000006185</v>
      </c>
      <c r="BD74" s="6">
        <f t="shared" si="170"/>
        <v>-1422.8859999999995</v>
      </c>
      <c r="BE74" s="4">
        <v>0</v>
      </c>
      <c r="BG74" s="4">
        <f>-778.397-U74</f>
        <v>-778.39700000000005</v>
      </c>
      <c r="BH74" s="4">
        <f>-778.397-BG74-U74</f>
        <v>0</v>
      </c>
      <c r="BI74" s="4">
        <f>-885.352-AC74</f>
        <v>-885.35199999999998</v>
      </c>
    </row>
    <row r="75" spans="2:62" ht="13">
      <c r="B75" s="7" t="s">
        <v>317</v>
      </c>
      <c r="C75" s="4">
        <v>0</v>
      </c>
      <c r="D75" s="4">
        <v>0</v>
      </c>
      <c r="E75" s="4">
        <v>0</v>
      </c>
      <c r="F75" s="4">
        <v>0</v>
      </c>
      <c r="G75" s="4">
        <v>0</v>
      </c>
      <c r="H75" s="4">
        <v>0</v>
      </c>
      <c r="I75" s="4">
        <v>0</v>
      </c>
      <c r="J75" s="4">
        <v>0</v>
      </c>
      <c r="K75" s="4">
        <v>0</v>
      </c>
      <c r="L75" s="4">
        <v>0</v>
      </c>
      <c r="M75" s="4">
        <v>0</v>
      </c>
      <c r="N75" s="4">
        <v>0</v>
      </c>
      <c r="O75" s="6">
        <f t="shared" si="168"/>
        <v>0</v>
      </c>
      <c r="P75" s="6"/>
      <c r="Q75" s="4">
        <v>0</v>
      </c>
      <c r="R75" s="4">
        <f>0-Q75</f>
        <v>0</v>
      </c>
      <c r="S75" s="4">
        <f>0-R75-Q75</f>
        <v>0</v>
      </c>
      <c r="T75" s="6">
        <f>E75-SUM(Q75:S75)</f>
        <v>0</v>
      </c>
      <c r="U75" s="4">
        <v>0</v>
      </c>
      <c r="V75" s="4">
        <f>0-U75</f>
        <v>0</v>
      </c>
      <c r="W75" s="4">
        <f>0-V75-U75</f>
        <v>0</v>
      </c>
      <c r="X75" s="6">
        <f>F75-W75-V75-U75</f>
        <v>0</v>
      </c>
      <c r="Y75" s="4">
        <v>0</v>
      </c>
      <c r="Z75" s="4">
        <f>0-Y75</f>
        <v>0</v>
      </c>
      <c r="AA75" s="4">
        <v>0</v>
      </c>
      <c r="AB75" s="6">
        <f>G75-Y75-Z75-AA75</f>
        <v>0</v>
      </c>
      <c r="AC75" s="4">
        <v>0</v>
      </c>
      <c r="AD75" s="4">
        <f>-AC75</f>
        <v>0</v>
      </c>
      <c r="AE75" s="4">
        <f>-AD75-AC75</f>
        <v>0</v>
      </c>
      <c r="AF75" s="6">
        <f>H75-AE75-AD75-AC75</f>
        <v>0</v>
      </c>
      <c r="AG75" s="4">
        <v>0</v>
      </c>
      <c r="AH75" s="4">
        <f>0-AG75</f>
        <v>0</v>
      </c>
      <c r="AI75" s="4">
        <f>-AH75-AG75</f>
        <v>0</v>
      </c>
      <c r="AJ75" s="6">
        <f>I75-AI75-AH75-AG75</f>
        <v>0</v>
      </c>
      <c r="AK75" s="4">
        <v>0</v>
      </c>
      <c r="AL75" s="4">
        <f>0-AK75</f>
        <v>0</v>
      </c>
      <c r="AM75" s="4">
        <f>-AL75-AK75</f>
        <v>0</v>
      </c>
      <c r="AN75" s="6">
        <f>J75-AM75-AL75-AK75</f>
        <v>0</v>
      </c>
      <c r="AO75" s="4">
        <v>0</v>
      </c>
      <c r="AP75" s="4">
        <f>0-AO75</f>
        <v>0</v>
      </c>
      <c r="AQ75" s="4">
        <f>0-AP75-AO75</f>
        <v>0</v>
      </c>
      <c r="AR75" s="6">
        <f>K75-AQ75-AP75-AO75</f>
        <v>0</v>
      </c>
      <c r="AS75" s="4">
        <v>0</v>
      </c>
      <c r="AT75" s="4">
        <f>0-AS75</f>
        <v>0</v>
      </c>
      <c r="AU75" s="4">
        <f>0-AT75-AS75</f>
        <v>0</v>
      </c>
      <c r="AV75" s="6">
        <f>L75-AU75-AT75-AS75</f>
        <v>0</v>
      </c>
      <c r="AW75" s="4">
        <v>0</v>
      </c>
      <c r="AX75" s="4">
        <f>0-AW75</f>
        <v>0</v>
      </c>
      <c r="AY75" s="4">
        <f>0-AW75-AX75</f>
        <v>0</v>
      </c>
      <c r="AZ75" s="6">
        <f t="shared" si="169"/>
        <v>0</v>
      </c>
      <c r="BA75" s="4">
        <v>0</v>
      </c>
      <c r="BB75" s="4">
        <f>0-BA75</f>
        <v>0</v>
      </c>
      <c r="BC75" s="4">
        <f>0-BA75-BB75</f>
        <v>0</v>
      </c>
      <c r="BD75" s="6">
        <f t="shared" si="170"/>
        <v>0</v>
      </c>
      <c r="BE75" s="4">
        <v>0</v>
      </c>
      <c r="BG75" s="4">
        <f>0-U75</f>
        <v>0</v>
      </c>
      <c r="BH75" s="4">
        <f>0-BG75-U75</f>
        <v>0</v>
      </c>
      <c r="BI75" s="4">
        <f>0-AC75</f>
        <v>0</v>
      </c>
      <c r="BJ75" s="158"/>
    </row>
    <row r="76" spans="2:62" ht="13.5" customHeight="1">
      <c r="B76" s="7" t="s">
        <v>318</v>
      </c>
      <c r="C76" s="4">
        <f>-4000+4422.42-2011.128</f>
        <v>-1588.7079999999999</v>
      </c>
      <c r="D76" s="4">
        <v>0</v>
      </c>
      <c r="E76" s="4">
        <f>14546.163</f>
        <v>14546.163</v>
      </c>
      <c r="F76" s="4">
        <f>10000-3350</f>
        <v>6650</v>
      </c>
      <c r="G76" s="4">
        <v>-5671.4560000000001</v>
      </c>
      <c r="H76" s="4">
        <f>5000-1888.108</f>
        <v>3111.8919999999998</v>
      </c>
      <c r="I76" s="4">
        <f>8500-6500-1888.048</f>
        <v>111.952</v>
      </c>
      <c r="J76" s="4">
        <f>-5102.565-2128.709</f>
        <v>-7231.2739999999994</v>
      </c>
      <c r="K76" s="4">
        <f>-3400-2236.195</f>
        <v>-5636.1949999999997</v>
      </c>
      <c r="L76" s="4">
        <f>-2510.924</f>
        <v>-2510.924</v>
      </c>
      <c r="M76" s="4">
        <f>-5900.91-2745.67</f>
        <v>-8646.58</v>
      </c>
      <c r="N76" s="4">
        <f>20543-3002.86</f>
        <v>17540.14</v>
      </c>
      <c r="O76" s="6">
        <f t="shared" si="168"/>
        <v>-2413.2150000000001</v>
      </c>
      <c r="P76" s="6"/>
      <c r="Q76" s="4">
        <v>0</v>
      </c>
      <c r="R76" s="4">
        <f>0-Q76</f>
        <v>0</v>
      </c>
      <c r="S76" s="4">
        <f>645-R76-Q76</f>
        <v>645</v>
      </c>
      <c r="T76" s="6">
        <f>E76-SUM(Q76:S76)</f>
        <v>13901.163</v>
      </c>
      <c r="U76" s="4">
        <f>5000-2100</f>
        <v>2900</v>
      </c>
      <c r="V76" s="4">
        <f>5000-2100-U76</f>
        <v>0</v>
      </c>
      <c r="W76" s="4">
        <f>10000-2100-V76-U76</f>
        <v>5000</v>
      </c>
      <c r="X76" s="6">
        <f>F76-W76-V76-U76</f>
        <v>-1250</v>
      </c>
      <c r="Y76" s="4">
        <v>-1406.25</v>
      </c>
      <c r="Z76" s="4">
        <f>-4671.456-Y76</f>
        <v>-3265.2060000000001</v>
      </c>
      <c r="AA76" s="4">
        <f>-5671.456-Z76-Y76</f>
        <v>-1000</v>
      </c>
      <c r="AB76" s="6">
        <f>G76-Y76-Z76-AA76</f>
        <v>0</v>
      </c>
      <c r="AC76" s="4">
        <v>-447.27600000000001</v>
      </c>
      <c r="AD76" s="4">
        <f>-908.393-AC76</f>
        <v>-461.11700000000002</v>
      </c>
      <c r="AE76" s="4">
        <f>-1392.616-AD76-AC76</f>
        <v>-484.22300000000001</v>
      </c>
      <c r="AF76" s="6">
        <f>H76-AE76-AD76-AC76</f>
        <v>4504.5079999999998</v>
      </c>
      <c r="AG76" s="4">
        <v>-521.92999999999995</v>
      </c>
      <c r="AH76" s="4">
        <f>3500-3000-887.247-AG76</f>
        <v>134.68299999999999</v>
      </c>
      <c r="AI76" s="4">
        <f>-1388.945+8500-3000-AH76-AG76</f>
        <v>4498.3020000000006</v>
      </c>
      <c r="AJ76" s="6">
        <f>I76-AI76-AH76-AG76</f>
        <v>-3999.1030000000005</v>
      </c>
      <c r="AK76" s="4">
        <v>-517.58000000000004</v>
      </c>
      <c r="AL76" s="4">
        <f>-1054.216-AK76</f>
        <v>-536.63599999999985</v>
      </c>
      <c r="AM76" s="4">
        <f>-4536.134-1590.806-AL76-AK76</f>
        <v>-5072.7240000000011</v>
      </c>
      <c r="AN76" s="6">
        <f>J76-AM76-AL76-AK76</f>
        <v>-1104.3339999999985</v>
      </c>
      <c r="AO76" s="4">
        <f>-544.991-1900</f>
        <v>-2444.991</v>
      </c>
      <c r="AP76" s="4">
        <f>-1078.18-1900-AO76</f>
        <v>-533.18900000000031</v>
      </c>
      <c r="AQ76" s="4">
        <f>-3400-1637.562-AP76-AO76</f>
        <v>-2059.3819999999996</v>
      </c>
      <c r="AR76" s="6">
        <f>K76-AQ76-AP76-AO76</f>
        <v>-598.63299999999981</v>
      </c>
      <c r="AS76" s="4">
        <f>-612.996</f>
        <v>-612.99599999999998</v>
      </c>
      <c r="AT76" s="4">
        <f>-1232.933-AS76</f>
        <v>-619.93700000000001</v>
      </c>
      <c r="AU76" s="4">
        <f>-1861.472-AT76-AS76</f>
        <v>-628.53899999999987</v>
      </c>
      <c r="AV76" s="6">
        <f>L76-AU76-AT76-AS76</f>
        <v>-649.45200000000034</v>
      </c>
      <c r="AW76" s="4">
        <f>-663.109</f>
        <v>-663.10900000000004</v>
      </c>
      <c r="AX76" s="4">
        <f>-1328.049-AW76</f>
        <v>-664.93999999999994</v>
      </c>
      <c r="AY76" s="4">
        <f>-2002.723-AW76-AX76</f>
        <v>-674.67400000000009</v>
      </c>
      <c r="AZ76" s="6">
        <f t="shared" si="169"/>
        <v>-6643.857</v>
      </c>
      <c r="BA76" s="4">
        <f>20543-725.007</f>
        <v>19817.992999999999</v>
      </c>
      <c r="BB76" s="4">
        <f>-1470.633+20543-BA76</f>
        <v>-745.6260000000002</v>
      </c>
      <c r="BC76" s="4">
        <f>20543-2216.856-BA76-BB76</f>
        <v>-746.22299999999814</v>
      </c>
      <c r="BD76" s="6">
        <f t="shared" si="170"/>
        <v>-786.00400000000081</v>
      </c>
      <c r="BE76" s="4">
        <f>8649.4-8855.798-674.59</f>
        <v>-880.98800000000108</v>
      </c>
      <c r="BG76" s="4">
        <f>5000-2100-U76</f>
        <v>0</v>
      </c>
      <c r="BH76" s="4">
        <f>10000-2100-BG76-U76</f>
        <v>5000</v>
      </c>
      <c r="BI76" s="4">
        <f>-908.393-AC76</f>
        <v>-461.11700000000002</v>
      </c>
      <c r="BJ76" s="322"/>
    </row>
    <row r="77" spans="2:62" ht="13.5" customHeight="1">
      <c r="B77" s="7" t="s">
        <v>319</v>
      </c>
      <c r="C77" s="4">
        <v>0</v>
      </c>
      <c r="D77" s="4">
        <v>0</v>
      </c>
      <c r="E77" s="4">
        <v>0</v>
      </c>
      <c r="F77" s="4">
        <v>0</v>
      </c>
      <c r="G77" s="4">
        <v>0</v>
      </c>
      <c r="H77" s="4">
        <v>0</v>
      </c>
      <c r="I77" s="4">
        <v>0</v>
      </c>
      <c r="J77" s="4">
        <v>0</v>
      </c>
      <c r="K77" s="4">
        <v>0</v>
      </c>
      <c r="L77" s="4">
        <v>0</v>
      </c>
      <c r="M77" s="4">
        <v>0</v>
      </c>
      <c r="N77" s="4">
        <v>0</v>
      </c>
      <c r="O77" s="6">
        <f t="shared" si="168"/>
        <v>694.50699999999995</v>
      </c>
      <c r="P77" s="6"/>
      <c r="Q77" s="4"/>
      <c r="R77" s="4"/>
      <c r="S77" s="4"/>
      <c r="T77" s="6"/>
      <c r="U77" s="4"/>
      <c r="V77" s="4"/>
      <c r="W77" s="4"/>
      <c r="X77" s="6"/>
      <c r="Y77" s="4"/>
      <c r="Z77" s="4"/>
      <c r="AA77" s="4"/>
      <c r="AB77" s="6"/>
      <c r="AC77" s="4"/>
      <c r="AD77" s="4"/>
      <c r="AE77" s="4"/>
      <c r="AF77" s="6"/>
      <c r="AG77" s="4"/>
      <c r="AH77" s="4"/>
      <c r="AI77" s="4"/>
      <c r="AJ77" s="6"/>
      <c r="AK77" s="4"/>
      <c r="AL77" s="4"/>
      <c r="AM77" s="4"/>
      <c r="AN77" s="6"/>
      <c r="AO77" s="4"/>
      <c r="AP77" s="4"/>
      <c r="AQ77" s="4"/>
      <c r="AR77" s="6"/>
      <c r="AS77" s="4"/>
      <c r="AT77" s="4"/>
      <c r="AU77" s="4"/>
      <c r="AV77" s="6"/>
      <c r="AW77" s="4"/>
      <c r="AX77" s="4"/>
      <c r="AY77" s="4"/>
      <c r="AZ77" s="6">
        <f t="shared" si="169"/>
        <v>0</v>
      </c>
      <c r="BA77" s="4">
        <v>0</v>
      </c>
      <c r="BB77" s="4">
        <f>-694.507-BA77</f>
        <v>-694.50699999999995</v>
      </c>
      <c r="BC77" s="4">
        <f>0-BA77-BB77</f>
        <v>694.50699999999995</v>
      </c>
      <c r="BD77" s="6">
        <f t="shared" si="170"/>
        <v>0</v>
      </c>
      <c r="BE77" s="4">
        <v>0</v>
      </c>
      <c r="BG77" s="4"/>
      <c r="BH77" s="4"/>
      <c r="BI77" s="4"/>
      <c r="BJ77" s="322"/>
    </row>
    <row r="78" spans="2:62" s="5" customFormat="1" ht="13.5" customHeight="1">
      <c r="B78" s="13" t="s">
        <v>320</v>
      </c>
      <c r="C78" s="8">
        <f>SUM(C71:C77)</f>
        <v>3261.054000000001</v>
      </c>
      <c r="D78" s="8">
        <f t="shared" ref="D78:BE78" si="171">SUM(D71:D77)</f>
        <v>2711.0449999999992</v>
      </c>
      <c r="E78" s="8">
        <f t="shared" si="171"/>
        <v>16381.579</v>
      </c>
      <c r="F78" s="8">
        <f t="shared" si="171"/>
        <v>-7090.6919999999973</v>
      </c>
      <c r="G78" s="8">
        <f t="shared" si="171"/>
        <v>-2266.7940000000008</v>
      </c>
      <c r="H78" s="8">
        <f t="shared" si="171"/>
        <v>9003.4957999999951</v>
      </c>
      <c r="I78" s="8">
        <f t="shared" si="171"/>
        <v>9700.3659999999982</v>
      </c>
      <c r="J78" s="8">
        <f t="shared" si="171"/>
        <v>4913.5820000000003</v>
      </c>
      <c r="K78" s="8">
        <f t="shared" si="171"/>
        <v>-6959.3159999999989</v>
      </c>
      <c r="L78" s="8">
        <f t="shared" si="171"/>
        <v>9071.252999999997</v>
      </c>
      <c r="M78" s="8">
        <f t="shared" si="171"/>
        <v>-1690.279999999997</v>
      </c>
      <c r="N78" s="8">
        <f t="shared" si="171"/>
        <v>11993.721999999996</v>
      </c>
      <c r="O78" s="8">
        <f t="shared" si="171"/>
        <v>23006.348999999998</v>
      </c>
      <c r="P78" s="6"/>
      <c r="Q78" s="8">
        <f t="shared" si="171"/>
        <v>-3215.8240000000005</v>
      </c>
      <c r="R78" s="8">
        <f t="shared" si="171"/>
        <v>721.46900000000005</v>
      </c>
      <c r="S78" s="8">
        <f t="shared" si="171"/>
        <v>657.42099999999971</v>
      </c>
      <c r="T78" s="8">
        <f t="shared" si="171"/>
        <v>18218.512999999999</v>
      </c>
      <c r="U78" s="8">
        <f t="shared" si="171"/>
        <v>-2001.6759999999986</v>
      </c>
      <c r="V78" s="8">
        <f t="shared" si="171"/>
        <v>-15420.710999999999</v>
      </c>
      <c r="W78" s="8">
        <f t="shared" si="171"/>
        <v>3829.7929999999988</v>
      </c>
      <c r="X78" s="8">
        <f t="shared" si="171"/>
        <v>6501.9019999999982</v>
      </c>
      <c r="Y78" s="8">
        <f t="shared" si="171"/>
        <v>-6386.8670000000011</v>
      </c>
      <c r="Z78" s="8">
        <f t="shared" si="171"/>
        <v>-564.83799999999883</v>
      </c>
      <c r="AA78" s="8">
        <f t="shared" si="171"/>
        <v>-3334.3950000000018</v>
      </c>
      <c r="AB78" s="8">
        <f t="shared" si="171"/>
        <v>8019.3060000000014</v>
      </c>
      <c r="AC78" s="8">
        <f t="shared" si="171"/>
        <v>-3365.39</v>
      </c>
      <c r="AD78" s="8">
        <f t="shared" si="171"/>
        <v>1965.5229999999999</v>
      </c>
      <c r="AE78" s="8">
        <f t="shared" si="171"/>
        <v>-4491.3540000000003</v>
      </c>
      <c r="AF78" s="8">
        <f t="shared" si="171"/>
        <v>14894.716799999997</v>
      </c>
      <c r="AG78" s="8">
        <f t="shared" si="171"/>
        <v>-4545.786000000001</v>
      </c>
      <c r="AH78" s="8">
        <f t="shared" si="171"/>
        <v>-2888.4999999999977</v>
      </c>
      <c r="AI78" s="8">
        <f t="shared" si="171"/>
        <v>9817.405999999999</v>
      </c>
      <c r="AJ78" s="8">
        <f t="shared" si="171"/>
        <v>7317.2459999999992</v>
      </c>
      <c r="AK78" s="8">
        <f t="shared" si="171"/>
        <v>-8196.0220000000027</v>
      </c>
      <c r="AL78" s="8">
        <f t="shared" si="171"/>
        <v>7335.7502100000011</v>
      </c>
      <c r="AM78" s="8">
        <f t="shared" si="171"/>
        <v>-4925.2502099999992</v>
      </c>
      <c r="AN78" s="8">
        <f t="shared" si="171"/>
        <v>10699.104000000003</v>
      </c>
      <c r="AO78" s="8">
        <f t="shared" si="171"/>
        <v>-10201.920999999998</v>
      </c>
      <c r="AP78" s="8">
        <f t="shared" si="171"/>
        <v>2244.4599999999987</v>
      </c>
      <c r="AQ78" s="8">
        <f t="shared" si="171"/>
        <v>-10298.962999999998</v>
      </c>
      <c r="AR78" s="8">
        <f t="shared" si="171"/>
        <v>11297.107999999998</v>
      </c>
      <c r="AS78" s="8">
        <f t="shared" si="171"/>
        <v>-4696.5750000000016</v>
      </c>
      <c r="AT78" s="8">
        <f t="shared" si="171"/>
        <v>-2170.958830999999</v>
      </c>
      <c r="AU78" s="8">
        <f t="shared" si="171"/>
        <v>-366.1961689999996</v>
      </c>
      <c r="AV78" s="8">
        <f t="shared" si="171"/>
        <v>16304.982999999989</v>
      </c>
      <c r="AW78" s="8">
        <f t="shared" si="171"/>
        <v>-4632.0200000000004</v>
      </c>
      <c r="AX78" s="8">
        <f t="shared" si="171"/>
        <v>-1127.9549999999999</v>
      </c>
      <c r="AY78" s="8">
        <f t="shared" si="171"/>
        <v>-3468.6520000000019</v>
      </c>
      <c r="AZ78" s="8">
        <f t="shared" si="171"/>
        <v>7538.3470000000034</v>
      </c>
      <c r="BA78" s="8">
        <f t="shared" si="171"/>
        <v>14270.972</v>
      </c>
      <c r="BB78" s="8">
        <f t="shared" si="171"/>
        <v>-25602.240000000002</v>
      </c>
      <c r="BC78" s="8">
        <f t="shared" si="171"/>
        <v>3771.9990000000057</v>
      </c>
      <c r="BD78" s="8">
        <f t="shared" si="171"/>
        <v>19552.990999999995</v>
      </c>
      <c r="BE78" s="8">
        <f t="shared" si="171"/>
        <v>-318.6410000000028</v>
      </c>
      <c r="BG78" s="8">
        <f>SUM(BG71:BG76)</f>
        <v>-15245.682000000001</v>
      </c>
      <c r="BH78" s="8">
        <f>SUM(BH71:BH76)</f>
        <v>4004.927999999999</v>
      </c>
      <c r="BI78" s="8">
        <f>SUM(BI71:BI76)</f>
        <v>5345.2370000000001</v>
      </c>
    </row>
    <row r="79" spans="2:62" ht="13.5" customHeight="1">
      <c r="B79" s="7" t="s">
        <v>321</v>
      </c>
      <c r="C79" s="4">
        <v>-44.94</v>
      </c>
      <c r="D79" s="4">
        <v>0</v>
      </c>
      <c r="E79" s="4">
        <v>0</v>
      </c>
      <c r="F79" s="4">
        <v>0</v>
      </c>
      <c r="G79" s="4">
        <v>0</v>
      </c>
      <c r="H79" s="4">
        <v>0</v>
      </c>
      <c r="I79" s="4">
        <v>0</v>
      </c>
      <c r="J79" s="4">
        <v>0</v>
      </c>
      <c r="K79" s="4">
        <v>0</v>
      </c>
      <c r="L79" s="4">
        <v>0</v>
      </c>
      <c r="M79" s="4">
        <v>0</v>
      </c>
      <c r="N79" s="4">
        <v>0</v>
      </c>
      <c r="O79" s="6">
        <f>SUM(BC79:BE79)</f>
        <v>0</v>
      </c>
      <c r="P79" s="6"/>
      <c r="Q79" s="4">
        <v>0</v>
      </c>
      <c r="R79" s="69">
        <f>0-Q79</f>
        <v>0</v>
      </c>
      <c r="S79" s="4">
        <f>0-R79-Q79</f>
        <v>0</v>
      </c>
      <c r="T79" s="6">
        <f>E79-SUM(Q79:S79)</f>
        <v>0</v>
      </c>
      <c r="U79" s="4">
        <v>0</v>
      </c>
      <c r="V79" s="4">
        <f>0-U79</f>
        <v>0</v>
      </c>
      <c r="W79" s="4">
        <f>0-V79-U79</f>
        <v>0</v>
      </c>
      <c r="X79" s="6">
        <f>F79-W79-V79-U79</f>
        <v>0</v>
      </c>
      <c r="Y79" s="4">
        <v>0</v>
      </c>
      <c r="Z79" s="4">
        <f>0-Y79</f>
        <v>0</v>
      </c>
      <c r="AA79" s="4">
        <f>0-Z79-Y79</f>
        <v>0</v>
      </c>
      <c r="AB79" s="6">
        <f>G79-Y79-Z79-AA79</f>
        <v>0</v>
      </c>
      <c r="AC79" s="4">
        <v>0</v>
      </c>
      <c r="AD79" s="4">
        <f>0-AC79</f>
        <v>0</v>
      </c>
      <c r="AE79" s="4">
        <f>-AD79-AC79</f>
        <v>0</v>
      </c>
      <c r="AF79" s="6">
        <f>H79-AE79-AD79-AC79</f>
        <v>0</v>
      </c>
      <c r="AG79" s="4">
        <v>0</v>
      </c>
      <c r="AH79" s="4">
        <f>0-AG79</f>
        <v>0</v>
      </c>
      <c r="AI79" s="4">
        <f>-AH79-AG79</f>
        <v>0</v>
      </c>
      <c r="AJ79" s="6">
        <f>I79-AI79-AH79-AG79</f>
        <v>0</v>
      </c>
      <c r="AK79" s="4">
        <v>0</v>
      </c>
      <c r="AL79" s="4">
        <f>0-AK79</f>
        <v>0</v>
      </c>
      <c r="AM79" s="4">
        <f>-AL79-AK79</f>
        <v>0</v>
      </c>
      <c r="AN79" s="6">
        <f>J79-AM79-AL79-AK79</f>
        <v>0</v>
      </c>
      <c r="AO79" s="4">
        <v>0</v>
      </c>
      <c r="AP79" s="4">
        <f>0-AO79</f>
        <v>0</v>
      </c>
      <c r="AQ79" s="4">
        <f>0-AP79-AO79</f>
        <v>0</v>
      </c>
      <c r="AR79" s="6">
        <f>K79-AQ79-AP79-AO79</f>
        <v>0</v>
      </c>
      <c r="AS79" s="4">
        <v>0</v>
      </c>
      <c r="AT79" s="4">
        <f>0-AS79</f>
        <v>0</v>
      </c>
      <c r="AU79" s="4">
        <f>0-AT79-AS79</f>
        <v>0</v>
      </c>
      <c r="AV79" s="6">
        <f>L79-AU79-AT79-AS79</f>
        <v>0</v>
      </c>
      <c r="AW79" s="4">
        <v>0</v>
      </c>
      <c r="AX79" s="4">
        <f>0-AW79</f>
        <v>0</v>
      </c>
      <c r="AY79" s="4">
        <f>0-AW79-AX79</f>
        <v>0</v>
      </c>
      <c r="AZ79" s="6">
        <f>M79-AY79-AX79-AW79</f>
        <v>0</v>
      </c>
      <c r="BA79" s="4">
        <v>0</v>
      </c>
      <c r="BB79" s="4">
        <f>0-BA79</f>
        <v>0</v>
      </c>
      <c r="BC79" s="4">
        <f>0-BA79-BB79</f>
        <v>0</v>
      </c>
      <c r="BD79" s="6">
        <f>N79-BC79-BB79-BA79</f>
        <v>0</v>
      </c>
      <c r="BE79" s="4">
        <v>0</v>
      </c>
      <c r="BG79" s="4">
        <f>0-U79</f>
        <v>0</v>
      </c>
      <c r="BH79" s="4">
        <f>0-BG79-U79</f>
        <v>0</v>
      </c>
      <c r="BI79" s="4">
        <f>0-AC79</f>
        <v>0</v>
      </c>
    </row>
    <row r="80" spans="2:62" ht="13.5" customHeight="1">
      <c r="B80" s="7" t="s">
        <v>322</v>
      </c>
      <c r="C80" s="4">
        <v>0</v>
      </c>
      <c r="D80" s="4">
        <v>0</v>
      </c>
      <c r="E80" s="4">
        <v>0</v>
      </c>
      <c r="F80" s="4">
        <v>0</v>
      </c>
      <c r="G80" s="4">
        <v>0</v>
      </c>
      <c r="H80" s="4">
        <v>0</v>
      </c>
      <c r="I80" s="4">
        <v>0</v>
      </c>
      <c r="J80" s="4">
        <v>0</v>
      </c>
      <c r="K80" s="4">
        <v>0</v>
      </c>
      <c r="L80" s="4">
        <v>0</v>
      </c>
      <c r="M80" s="4">
        <v>0</v>
      </c>
      <c r="N80" s="4">
        <v>0</v>
      </c>
      <c r="O80" s="6">
        <f>SUM(BC80:BE80)</f>
        <v>0</v>
      </c>
      <c r="P80" s="6"/>
      <c r="Q80" s="4"/>
      <c r="R80" s="30"/>
      <c r="S80" s="30"/>
      <c r="T80" s="30"/>
      <c r="U80" s="4"/>
      <c r="V80" s="4"/>
      <c r="X80" s="6">
        <f>F80-W80-V80-U80</f>
        <v>0</v>
      </c>
      <c r="Y80" s="4">
        <v>0</v>
      </c>
      <c r="Z80" s="4"/>
      <c r="AB80" s="6">
        <f>G80-Y80-Z80-AA80</f>
        <v>0</v>
      </c>
      <c r="AC80" s="4">
        <v>0</v>
      </c>
      <c r="AD80" s="6">
        <f>-AC80</f>
        <v>0</v>
      </c>
      <c r="AE80" s="4">
        <f>-AD80-AC80</f>
        <v>0</v>
      </c>
      <c r="AF80" s="6">
        <f>H80-AE80-AD80-AC80</f>
        <v>0</v>
      </c>
      <c r="AG80" s="4">
        <v>0</v>
      </c>
      <c r="AH80" s="4">
        <f>0-AG80</f>
        <v>0</v>
      </c>
      <c r="AI80" s="4">
        <f>-AH80-AG80</f>
        <v>0</v>
      </c>
      <c r="AJ80" s="6">
        <f>I80-AI80-AH80-AG80</f>
        <v>0</v>
      </c>
      <c r="AK80" s="4">
        <v>0</v>
      </c>
      <c r="AL80" s="4">
        <f>0-AK80</f>
        <v>0</v>
      </c>
      <c r="AM80" s="4">
        <f>-AL80-AK80</f>
        <v>0</v>
      </c>
      <c r="AN80" s="6">
        <f>J80-AM80-AL80-AK80</f>
        <v>0</v>
      </c>
      <c r="AO80" s="4">
        <v>0</v>
      </c>
      <c r="AP80" s="4">
        <f>0-AO80</f>
        <v>0</v>
      </c>
      <c r="AQ80" s="4">
        <f>0-AP80-AO80</f>
        <v>0</v>
      </c>
      <c r="AR80" s="6">
        <f>K80-AQ80-AP80-AO80</f>
        <v>0</v>
      </c>
      <c r="AS80" s="4">
        <v>0</v>
      </c>
      <c r="AT80" s="4">
        <f>0-AS80</f>
        <v>0</v>
      </c>
      <c r="AU80" s="4">
        <f>0-AT80-AS80</f>
        <v>0</v>
      </c>
      <c r="AV80" s="6">
        <f>L80-AU80-AT80-AS80</f>
        <v>0</v>
      </c>
      <c r="AW80" s="4">
        <v>0</v>
      </c>
      <c r="AX80" s="4">
        <f>0-AW80</f>
        <v>0</v>
      </c>
      <c r="AY80" s="4">
        <f>0-AW80-AX80</f>
        <v>0</v>
      </c>
      <c r="AZ80" s="6">
        <f>M80-AY80-AX80-AW80</f>
        <v>0</v>
      </c>
      <c r="BA80" s="4">
        <v>0</v>
      </c>
      <c r="BB80" s="4">
        <f>0-BA80</f>
        <v>0</v>
      </c>
      <c r="BC80" s="4">
        <f>0-BA80-BB80</f>
        <v>0</v>
      </c>
      <c r="BD80" s="6">
        <f>N80-BC80-BB80-BA80</f>
        <v>0</v>
      </c>
      <c r="BE80" s="4">
        <v>0</v>
      </c>
      <c r="BG80" s="4"/>
      <c r="BI80" s="6">
        <f>0-AC80</f>
        <v>0</v>
      </c>
    </row>
    <row r="81" spans="2:63" ht="13.5" customHeight="1">
      <c r="B81" s="7" t="s">
        <v>323</v>
      </c>
      <c r="C81" s="69">
        <f>4273.408-C78</f>
        <v>1012.3539999999994</v>
      </c>
      <c r="D81" s="69">
        <f>2691.752-D78</f>
        <v>-19.292999999999211</v>
      </c>
      <c r="E81" s="69">
        <f>16991.011-E78</f>
        <v>609.43199999999888</v>
      </c>
      <c r="F81" s="69">
        <f>-8939.152-F78</f>
        <v>-1848.4600000000028</v>
      </c>
      <c r="G81" s="69">
        <f>-3099.58-G78</f>
        <v>-832.78599999999915</v>
      </c>
      <c r="H81" s="69">
        <f>5099.299-H78</f>
        <v>-3904.1967999999952</v>
      </c>
      <c r="I81" s="69">
        <f>7561.138-I78</f>
        <v>-2139.2279999999982</v>
      </c>
      <c r="J81" s="69">
        <f>6298.937-J78</f>
        <v>1385.3549999999996</v>
      </c>
      <c r="K81" s="69">
        <f>-7978.619-K78</f>
        <v>-1019.3030000000008</v>
      </c>
      <c r="L81" s="69">
        <f>5290.912-L78</f>
        <v>-3780.3409999999967</v>
      </c>
      <c r="M81" s="69">
        <f>-5078.987-M78</f>
        <v>-3388.7070000000031</v>
      </c>
      <c r="N81" s="69">
        <f>536.919-N78</f>
        <v>-11456.802999999996</v>
      </c>
      <c r="O81" s="6">
        <f>SUM(BC81:BE81)</f>
        <v>-9162.1889999999948</v>
      </c>
      <c r="P81" s="325"/>
      <c r="Q81" s="4">
        <f>-3203.008-Q78</f>
        <v>12.816000000000713</v>
      </c>
      <c r="R81" s="4">
        <f>-3002.26-R78-Q81-Q78</f>
        <v>-520.72100000000046</v>
      </c>
      <c r="S81" s="4">
        <f>-3230.982-S78-R81-R78-Q78-Q81</f>
        <v>-886.14299999999957</v>
      </c>
      <c r="T81" s="6">
        <f>E81-SUM(Q81:S81)</f>
        <v>2003.4799999999982</v>
      </c>
      <c r="U81" s="4">
        <f>-2829.501-U78</f>
        <v>-827.82500000000164</v>
      </c>
      <c r="V81" s="4">
        <f>-18987.23-V78-U81-U78</f>
        <v>-737.01800000000003</v>
      </c>
      <c r="W81" s="4">
        <f>-14914.346-W78-V81-V78-U78-U81</f>
        <v>243.09100000000035</v>
      </c>
      <c r="X81" s="6">
        <f>F81-W81-V81-U81</f>
        <v>-526.70800000000145</v>
      </c>
      <c r="Y81" s="4">
        <f>-5985.901-Y78</f>
        <v>400.96600000000126</v>
      </c>
      <c r="Z81" s="4">
        <f>-7473.418-Z78-Y81-Y78</f>
        <v>-922.679000000001</v>
      </c>
      <c r="AA81" s="4">
        <f>-10664.273-AA78-Z81-Z78-Y78-Y81</f>
        <v>143.54000000000269</v>
      </c>
      <c r="AB81" s="6">
        <f>G81-Y81-Z81-AA81</f>
        <v>-454.6130000000021</v>
      </c>
      <c r="AC81" s="4">
        <f>-4003.13-AC78</f>
        <v>-637.74000000000024</v>
      </c>
      <c r="AD81" s="4">
        <f>-2582.402-AD78-AC81-AC78</f>
        <v>-544.79500000000007</v>
      </c>
      <c r="AE81" s="4">
        <f>-7972.853-AE78-AD81-AD78-AC78-AC81</f>
        <v>-899.09699999999975</v>
      </c>
      <c r="AF81" s="6">
        <f>H81-AE81-AD81-AC81</f>
        <v>-1822.5647999999951</v>
      </c>
      <c r="AG81" s="4">
        <f>-4473.756-AG78</f>
        <v>72.030000000000655</v>
      </c>
      <c r="AH81" s="4">
        <f>-13180.185-AH78-AG81-AG78</f>
        <v>-5817.929000000001</v>
      </c>
      <c r="AI81" s="4">
        <f>1014.929-AI78-AH81-AH78-AG78-AG81</f>
        <v>4377.7080000000005</v>
      </c>
      <c r="AJ81" s="6">
        <f>I81-AI81-AH81-AG81</f>
        <v>-771.03699999999844</v>
      </c>
      <c r="AK81" s="4">
        <f>-8318.635-AK78</f>
        <v>-122.61299999999756</v>
      </c>
      <c r="AL81" s="4">
        <f>-1290.56-AL78-AK81-AK78</f>
        <v>-307.67521000000124</v>
      </c>
      <c r="AM81" s="4">
        <f>-5831.867-AM78-AL81-AL78-AK78-AK81</f>
        <v>383.94320999999945</v>
      </c>
      <c r="AN81" s="6">
        <f>J81-AM81-AL81-AK81</f>
        <v>1431.6999999999989</v>
      </c>
      <c r="AO81" s="4">
        <f>-10851.984-AO78</f>
        <v>-650.06300000000192</v>
      </c>
      <c r="AP81" s="4">
        <f>-8937.946-AP78-AO81-AO78</f>
        <v>-330.42199999999866</v>
      </c>
      <c r="AQ81" s="4">
        <f>-19308.243-AQ78-AP81-AP78-AO78-AO81</f>
        <v>-71.334000000000742</v>
      </c>
      <c r="AR81" s="6">
        <f>K81-AQ81-AP81-AO81</f>
        <v>32.516000000000531</v>
      </c>
      <c r="AS81" s="4">
        <f>-5977.128-AS78</f>
        <v>-1280.5529999999981</v>
      </c>
      <c r="AT81" s="4">
        <f>-8715.016-AT78-AS81-AS78</f>
        <v>-566.92916900000091</v>
      </c>
      <c r="AU81" s="4">
        <f>-9631.727-AU78-AT81-AT78-AS78-AS81</f>
        <v>-550.51483100000223</v>
      </c>
      <c r="AV81" s="6">
        <f>L81-AU81-AT81-AS81</f>
        <v>-1382.3439999999955</v>
      </c>
      <c r="AW81" s="4">
        <f>-6520.541-AW78</f>
        <v>-1888.5209999999997</v>
      </c>
      <c r="AX81" s="4">
        <f>-7575.696-AX78-AW81-AW78</f>
        <v>72.800000000000182</v>
      </c>
      <c r="AY81" s="4">
        <f>-11648.661-AY78-AX81-AX78-AW78-AW81</f>
        <v>-604.31299999999737</v>
      </c>
      <c r="AZ81" s="6">
        <f>M81-AY81-AX81-AW81</f>
        <v>-968.67300000000614</v>
      </c>
      <c r="BA81" s="4">
        <f>11842.673-BA78</f>
        <v>-2428.2989999999991</v>
      </c>
      <c r="BB81" s="4">
        <f>-15769.209-BB78-BA81-BA78</f>
        <v>-2009.6419999999998</v>
      </c>
      <c r="BC81" s="4">
        <f>-14622.332-BC78-BB81-BB78-BA78-BA81</f>
        <v>-2625.1220000000048</v>
      </c>
      <c r="BD81" s="6">
        <f>N81-BC81-BB81-BA81</f>
        <v>-4393.7399999999925</v>
      </c>
      <c r="BE81" s="4">
        <f>-2461.968-BE78</f>
        <v>-2143.326999999997</v>
      </c>
      <c r="BG81" s="4">
        <f>-18987.23-BG78-U81-U78</f>
        <v>-912.04699999999866</v>
      </c>
      <c r="BH81" s="4">
        <f>-14914.346-BH78-BG81-BG78-U78-U81</f>
        <v>67.95600000000195</v>
      </c>
      <c r="BI81" s="4">
        <f>-2582.402-BI78-AC81-AC78</f>
        <v>-3924.5089999999996</v>
      </c>
    </row>
    <row r="82" spans="2:63" ht="13.5" customHeight="1">
      <c r="B82" s="13" t="s">
        <v>324</v>
      </c>
      <c r="C82" s="8">
        <f t="shared" ref="C82:J82" si="172">SUM(C78:C81)</f>
        <v>4228.4680000000008</v>
      </c>
      <c r="D82" s="8">
        <f t="shared" si="172"/>
        <v>2691.752</v>
      </c>
      <c r="E82" s="8">
        <f t="shared" si="172"/>
        <v>16991.010999999999</v>
      </c>
      <c r="F82" s="8">
        <f t="shared" si="172"/>
        <v>-8939.152</v>
      </c>
      <c r="G82" s="8">
        <f t="shared" si="172"/>
        <v>-3099.58</v>
      </c>
      <c r="H82" s="8">
        <f t="shared" si="172"/>
        <v>5099.299</v>
      </c>
      <c r="I82" s="8">
        <f t="shared" si="172"/>
        <v>7561.1379999999999</v>
      </c>
      <c r="J82" s="8">
        <f t="shared" si="172"/>
        <v>6298.9369999999999</v>
      </c>
      <c r="K82" s="8">
        <f t="shared" ref="K82" si="173">SUM(K78:K81)</f>
        <v>-7978.6189999999997</v>
      </c>
      <c r="L82" s="8">
        <f t="shared" ref="L82:M82" si="174">SUM(L78:L81)</f>
        <v>5290.9120000000003</v>
      </c>
      <c r="M82" s="8">
        <f t="shared" si="174"/>
        <v>-5078.9870000000001</v>
      </c>
      <c r="N82" s="8">
        <f t="shared" ref="N82" si="175">SUM(N78:N81)</f>
        <v>536.91899999999987</v>
      </c>
      <c r="O82" s="8">
        <f>SUM(O78:O81)</f>
        <v>13844.160000000003</v>
      </c>
      <c r="P82" s="8"/>
      <c r="Q82" s="8">
        <f t="shared" ref="Q82:W82" si="176">SUM(Q78:Q81)</f>
        <v>-3203.0079999999998</v>
      </c>
      <c r="R82" s="8">
        <f t="shared" si="176"/>
        <v>200.74799999999959</v>
      </c>
      <c r="S82" s="8">
        <f t="shared" si="176"/>
        <v>-228.72199999999987</v>
      </c>
      <c r="T82" s="8">
        <f t="shared" si="176"/>
        <v>20221.992999999999</v>
      </c>
      <c r="U82" s="8">
        <f t="shared" si="176"/>
        <v>-2829.5010000000002</v>
      </c>
      <c r="V82" s="8">
        <f t="shared" si="176"/>
        <v>-16157.728999999999</v>
      </c>
      <c r="W82" s="8">
        <f t="shared" si="176"/>
        <v>4072.8839999999991</v>
      </c>
      <c r="X82" s="8">
        <f t="shared" ref="X82:AC82" si="177">SUM(X78:X81)</f>
        <v>5975.1939999999968</v>
      </c>
      <c r="Y82" s="8">
        <f t="shared" si="177"/>
        <v>-5985.9009999999998</v>
      </c>
      <c r="Z82" s="8">
        <f t="shared" si="177"/>
        <v>-1487.5169999999998</v>
      </c>
      <c r="AA82" s="8">
        <f t="shared" si="177"/>
        <v>-3190.8549999999991</v>
      </c>
      <c r="AB82" s="8">
        <f t="shared" si="177"/>
        <v>7564.6929999999993</v>
      </c>
      <c r="AC82" s="8">
        <f t="shared" si="177"/>
        <v>-4003.13</v>
      </c>
      <c r="AD82" s="8">
        <f t="shared" ref="AD82:AI82" si="178">SUM(AD78:AD81)</f>
        <v>1420.7279999999998</v>
      </c>
      <c r="AE82" s="8">
        <f t="shared" si="178"/>
        <v>-5390.451</v>
      </c>
      <c r="AF82" s="8">
        <f t="shared" si="178"/>
        <v>13072.152000000002</v>
      </c>
      <c r="AG82" s="8">
        <f t="shared" si="178"/>
        <v>-4473.7560000000003</v>
      </c>
      <c r="AH82" s="8">
        <f t="shared" si="178"/>
        <v>-8706.4289999999983</v>
      </c>
      <c r="AI82" s="8">
        <f t="shared" si="178"/>
        <v>14195.114</v>
      </c>
      <c r="AJ82" s="8">
        <f t="shared" ref="AJ82:AO82" si="179">SUM(AJ78:AJ81)</f>
        <v>6546.2090000000007</v>
      </c>
      <c r="AK82" s="8">
        <f t="shared" si="179"/>
        <v>-8318.6350000000002</v>
      </c>
      <c r="AL82" s="8">
        <f t="shared" si="179"/>
        <v>7028.0749999999998</v>
      </c>
      <c r="AM82" s="8">
        <f t="shared" si="179"/>
        <v>-4541.3069999999998</v>
      </c>
      <c r="AN82" s="8">
        <f t="shared" si="179"/>
        <v>12130.804000000002</v>
      </c>
      <c r="AO82" s="8">
        <f t="shared" si="179"/>
        <v>-10851.984</v>
      </c>
      <c r="AP82" s="8">
        <f t="shared" ref="AP82" si="180">SUM(AP78:AP81)</f>
        <v>1914.038</v>
      </c>
      <c r="AQ82" s="8">
        <f>SUM(AQ78:AQ81)</f>
        <v>-10370.296999999999</v>
      </c>
      <c r="AR82" s="8">
        <f t="shared" ref="AR82:AT82" si="181">SUM(AR78:AR81)</f>
        <v>11329.624</v>
      </c>
      <c r="AS82" s="8">
        <f t="shared" si="181"/>
        <v>-5977.1279999999997</v>
      </c>
      <c r="AT82" s="8">
        <f t="shared" si="181"/>
        <v>-2737.8879999999999</v>
      </c>
      <c r="AU82" s="8">
        <f>SUM(AU78:AU81)</f>
        <v>-916.71100000000183</v>
      </c>
      <c r="AV82" s="8">
        <f t="shared" ref="AV82:AW82" si="182">SUM(AV78:AV81)</f>
        <v>14922.638999999994</v>
      </c>
      <c r="AW82" s="8">
        <f t="shared" si="182"/>
        <v>-6520.5410000000002</v>
      </c>
      <c r="AX82" s="8">
        <f>SUM(AX78:AX81)</f>
        <v>-1055.1549999999997</v>
      </c>
      <c r="AY82" s="8">
        <f>SUM(AY78:AY81)</f>
        <v>-4072.9649999999992</v>
      </c>
      <c r="AZ82" s="8">
        <f t="shared" ref="AZ82:BA82" si="183">SUM(AZ78:AZ81)</f>
        <v>6569.6739999999972</v>
      </c>
      <c r="BA82" s="8">
        <f t="shared" si="183"/>
        <v>11842.673000000001</v>
      </c>
      <c r="BB82" s="8">
        <f>SUM(BB78:BB81)</f>
        <v>-27611.882000000001</v>
      </c>
      <c r="BC82" s="8">
        <f>SUM(BC78:BC81)</f>
        <v>1146.8770000000009</v>
      </c>
      <c r="BD82" s="8">
        <f t="shared" ref="BD82:BE82" si="184">SUM(BD78:BD81)</f>
        <v>15159.251000000002</v>
      </c>
      <c r="BE82" s="8">
        <f t="shared" si="184"/>
        <v>-2461.9679999999998</v>
      </c>
      <c r="BG82" s="8">
        <f>SUM(BG78:BG81)</f>
        <v>-16157.728999999999</v>
      </c>
      <c r="BH82" s="8">
        <f>SUM(BH78:BH81)</f>
        <v>4072.8840000000009</v>
      </c>
      <c r="BI82" s="8">
        <f>SUM(BI78:BI81)</f>
        <v>1420.7280000000005</v>
      </c>
    </row>
    <row r="83" spans="2:63" s="5" customFormat="1" ht="13.5" customHeight="1">
      <c r="B83" s="13" t="s">
        <v>325</v>
      </c>
      <c r="C83" s="24">
        <f>1663+C82</f>
        <v>5891.4680000000008</v>
      </c>
      <c r="D83" s="8">
        <f t="shared" ref="D83:I83" si="185">+C83+D82</f>
        <v>8583.2200000000012</v>
      </c>
      <c r="E83" s="8">
        <f t="shared" si="185"/>
        <v>25574.231</v>
      </c>
      <c r="F83" s="8">
        <f t="shared" si="185"/>
        <v>16635.078999999998</v>
      </c>
      <c r="G83" s="8">
        <f t="shared" si="185"/>
        <v>13535.498999999998</v>
      </c>
      <c r="H83" s="8">
        <f t="shared" si="185"/>
        <v>18634.797999999999</v>
      </c>
      <c r="I83" s="8">
        <f t="shared" si="185"/>
        <v>26195.935999999998</v>
      </c>
      <c r="J83" s="8">
        <f>+I83+J82</f>
        <v>32494.873</v>
      </c>
      <c r="K83" s="8">
        <f>+J83+K82</f>
        <v>24516.254000000001</v>
      </c>
      <c r="L83" s="8">
        <f>+K83+L82</f>
        <v>29807.166000000001</v>
      </c>
      <c r="M83" s="8">
        <f>+L83+M82</f>
        <v>24728.179</v>
      </c>
      <c r="N83" s="8">
        <f>+M83+N82</f>
        <v>25265.097999999998</v>
      </c>
      <c r="O83" s="8">
        <f>BB83+O82</f>
        <v>22803.129999999986</v>
      </c>
      <c r="P83" s="8"/>
      <c r="Q83" s="8">
        <f>D83+Q82</f>
        <v>5380.2120000000014</v>
      </c>
      <c r="R83" s="8">
        <f t="shared" ref="R83:W83" si="186">Q83+R82</f>
        <v>5580.9600000000009</v>
      </c>
      <c r="S83" s="8">
        <f t="shared" si="186"/>
        <v>5352.2380000000012</v>
      </c>
      <c r="T83" s="8">
        <f t="shared" si="186"/>
        <v>25574.231</v>
      </c>
      <c r="U83" s="8">
        <f t="shared" si="186"/>
        <v>22744.73</v>
      </c>
      <c r="V83" s="8">
        <f t="shared" si="186"/>
        <v>6587.0010000000002</v>
      </c>
      <c r="W83" s="8">
        <f t="shared" si="186"/>
        <v>10659.884999999998</v>
      </c>
      <c r="X83" s="8">
        <f>W83+X82</f>
        <v>16635.078999999994</v>
      </c>
      <c r="Y83" s="8">
        <f>X83+Y82</f>
        <v>10649.177999999994</v>
      </c>
      <c r="Z83" s="8">
        <f t="shared" ref="Z83:AO83" si="187">Y83+Z82</f>
        <v>9161.6609999999946</v>
      </c>
      <c r="AA83" s="8">
        <f t="shared" si="187"/>
        <v>5970.805999999995</v>
      </c>
      <c r="AB83" s="8">
        <f t="shared" si="187"/>
        <v>13535.498999999994</v>
      </c>
      <c r="AC83" s="8">
        <f t="shared" si="187"/>
        <v>9532.3689999999951</v>
      </c>
      <c r="AD83" s="8">
        <f t="shared" si="187"/>
        <v>10953.096999999994</v>
      </c>
      <c r="AE83" s="8">
        <f t="shared" si="187"/>
        <v>5562.6459999999943</v>
      </c>
      <c r="AF83" s="8">
        <f t="shared" si="187"/>
        <v>18634.797999999995</v>
      </c>
      <c r="AG83" s="8">
        <f t="shared" si="187"/>
        <v>14161.041999999994</v>
      </c>
      <c r="AH83" s="8">
        <f t="shared" si="187"/>
        <v>5454.6129999999957</v>
      </c>
      <c r="AI83" s="8">
        <f t="shared" si="187"/>
        <v>19649.726999999995</v>
      </c>
      <c r="AJ83" s="8">
        <f>AI83+AJ82</f>
        <v>26195.935999999994</v>
      </c>
      <c r="AK83" s="8">
        <f t="shared" si="187"/>
        <v>17877.300999999992</v>
      </c>
      <c r="AL83" s="8">
        <f t="shared" si="187"/>
        <v>24905.375999999993</v>
      </c>
      <c r="AM83" s="8">
        <f t="shared" si="187"/>
        <v>20364.068999999992</v>
      </c>
      <c r="AN83" s="8">
        <f>AM83+AN82</f>
        <v>32494.872999999992</v>
      </c>
      <c r="AO83" s="8">
        <f t="shared" si="187"/>
        <v>21642.888999999992</v>
      </c>
      <c r="AP83" s="8">
        <f>AO83+AP82</f>
        <v>23556.926999999992</v>
      </c>
      <c r="AQ83" s="8">
        <f>AP83+AQ82</f>
        <v>13186.629999999994</v>
      </c>
      <c r="AR83" s="8">
        <f>AQ83+AR82</f>
        <v>24516.253999999994</v>
      </c>
      <c r="AS83" s="8">
        <f t="shared" ref="AS83" si="188">AR83+AS82</f>
        <v>18539.125999999993</v>
      </c>
      <c r="AT83" s="8">
        <f>AS83+AT82</f>
        <v>15801.237999999994</v>
      </c>
      <c r="AU83" s="8">
        <f>AT83+AU82</f>
        <v>14884.526999999993</v>
      </c>
      <c r="AV83" s="8">
        <f>AU83+AV82</f>
        <v>29807.165999999987</v>
      </c>
      <c r="AW83" s="8">
        <f t="shared" ref="AW83" si="189">AV83+AW82</f>
        <v>23286.624999999985</v>
      </c>
      <c r="AX83" s="8">
        <f>AW83+AX82</f>
        <v>22231.469999999987</v>
      </c>
      <c r="AY83" s="8">
        <f>AX83+AY82</f>
        <v>18158.504999999986</v>
      </c>
      <c r="AZ83" s="8">
        <f>AY83+AZ82</f>
        <v>24728.178999999982</v>
      </c>
      <c r="BA83" s="8">
        <f t="shared" ref="BA83" si="190">AZ83+BA82</f>
        <v>36570.851999999984</v>
      </c>
      <c r="BB83" s="8">
        <f>BA83+BB82</f>
        <v>8958.969999999983</v>
      </c>
      <c r="BC83" s="8">
        <f>BB83+BC82</f>
        <v>10105.846999999983</v>
      </c>
      <c r="BD83" s="8">
        <f>BC83+BD82</f>
        <v>25265.097999999984</v>
      </c>
      <c r="BE83" s="8">
        <f t="shared" ref="BE83" si="191">BD83+BE82</f>
        <v>22803.129999999983</v>
      </c>
      <c r="BG83" s="8">
        <f>U83+BG82</f>
        <v>6587.0010000000002</v>
      </c>
      <c r="BH83" s="8">
        <f>BG83+BH82</f>
        <v>10659.885000000002</v>
      </c>
      <c r="BI83" s="8">
        <f>AC83+BI82</f>
        <v>10953.096999999996</v>
      </c>
    </row>
    <row r="84" spans="2:63" ht="11.25" customHeight="1">
      <c r="C84" s="42"/>
      <c r="D84" s="42"/>
      <c r="E84" s="42"/>
      <c r="F84" s="42"/>
      <c r="G84" s="42"/>
      <c r="H84" s="42"/>
      <c r="I84" s="42"/>
      <c r="J84" s="42"/>
      <c r="K84" s="42"/>
      <c r="L84" s="42"/>
      <c r="M84" s="42"/>
      <c r="N84" s="42"/>
      <c r="O84" s="42"/>
      <c r="P84" s="325"/>
      <c r="Q84" s="42"/>
      <c r="U84" s="42"/>
      <c r="V84" s="42"/>
      <c r="X84" s="110"/>
      <c r="Z84" s="42"/>
      <c r="BG84" s="325"/>
      <c r="BI84" s="6"/>
    </row>
    <row r="85" spans="2:63" s="412" customFormat="1" ht="11.25" customHeight="1">
      <c r="B85" s="80" t="s">
        <v>326</v>
      </c>
      <c r="C85" s="407">
        <f t="shared" ref="C85:O85" si="192">C83-C144</f>
        <v>0</v>
      </c>
      <c r="D85" s="408">
        <f t="shared" si="192"/>
        <v>1.0000000020227162E-3</v>
      </c>
      <c r="E85" s="408">
        <f t="shared" si="192"/>
        <v>1.0000000002037268E-3</v>
      </c>
      <c r="F85" s="408">
        <f t="shared" si="192"/>
        <v>9.9999999656574801E-4</v>
      </c>
      <c r="G85" s="409">
        <f t="shared" si="192"/>
        <v>9.9999999838473741E-4</v>
      </c>
      <c r="H85" s="409">
        <f t="shared" si="192"/>
        <v>0</v>
      </c>
      <c r="I85" s="409">
        <f t="shared" si="192"/>
        <v>3.5999999996420229E-2</v>
      </c>
      <c r="J85" s="409">
        <f t="shared" si="192"/>
        <v>-2.7000000001862645E-2</v>
      </c>
      <c r="K85" s="409">
        <f t="shared" si="192"/>
        <v>0</v>
      </c>
      <c r="L85" s="409">
        <f t="shared" si="192"/>
        <v>0</v>
      </c>
      <c r="M85" s="409">
        <f t="shared" si="192"/>
        <v>0</v>
      </c>
      <c r="N85" s="409">
        <f t="shared" ref="N85" si="193">N83-N144</f>
        <v>0</v>
      </c>
      <c r="O85" s="409">
        <f t="shared" si="192"/>
        <v>0</v>
      </c>
      <c r="P85" s="410"/>
      <c r="Q85" s="407">
        <f t="shared" ref="Q85:BA85" si="194">Q83-Q144</f>
        <v>0</v>
      </c>
      <c r="R85" s="407">
        <f t="shared" si="194"/>
        <v>0</v>
      </c>
      <c r="S85" s="407">
        <f t="shared" si="194"/>
        <v>0</v>
      </c>
      <c r="T85" s="407">
        <f t="shared" si="194"/>
        <v>1.0000000002037268E-3</v>
      </c>
      <c r="U85" s="407">
        <f t="shared" si="194"/>
        <v>1.0000000002037268E-3</v>
      </c>
      <c r="V85" s="407">
        <f t="shared" si="194"/>
        <v>1.0000000002037268E-3</v>
      </c>
      <c r="W85" s="407">
        <f t="shared" si="194"/>
        <v>9.9999999838473741E-4</v>
      </c>
      <c r="X85" s="411">
        <f t="shared" si="194"/>
        <v>9.999999929277692E-4</v>
      </c>
      <c r="Y85" s="409">
        <f t="shared" si="194"/>
        <v>9.999999947467586E-4</v>
      </c>
      <c r="Z85" s="409">
        <f t="shared" si="194"/>
        <v>9.999999947467586E-4</v>
      </c>
      <c r="AA85" s="409">
        <f t="shared" si="194"/>
        <v>9.999999947467586E-4</v>
      </c>
      <c r="AB85" s="409">
        <f t="shared" si="194"/>
        <v>9.999999947467586E-4</v>
      </c>
      <c r="AC85" s="409">
        <f t="shared" si="194"/>
        <v>9.999999947467586E-4</v>
      </c>
      <c r="AD85" s="409">
        <f t="shared" si="194"/>
        <v>9.999999947467586E-4</v>
      </c>
      <c r="AE85" s="409">
        <f t="shared" si="194"/>
        <v>9.999999938372639E-4</v>
      </c>
      <c r="AF85" s="409">
        <f t="shared" si="194"/>
        <v>0</v>
      </c>
      <c r="AG85" s="409">
        <f t="shared" si="194"/>
        <v>9.999999947467586E-4</v>
      </c>
      <c r="AH85" s="409">
        <f t="shared" si="194"/>
        <v>9.999999956562533E-4</v>
      </c>
      <c r="AI85" s="409">
        <f t="shared" si="194"/>
        <v>9.9999999656574801E-4</v>
      </c>
      <c r="AJ85" s="409">
        <f t="shared" si="194"/>
        <v>3.599999999278225E-2</v>
      </c>
      <c r="AK85" s="409">
        <f t="shared" si="194"/>
        <v>0</v>
      </c>
      <c r="AL85" s="409">
        <f t="shared" si="194"/>
        <v>0</v>
      </c>
      <c r="AM85" s="409">
        <f t="shared" si="194"/>
        <v>0</v>
      </c>
      <c r="AN85" s="409">
        <f t="shared" si="194"/>
        <v>-2.7000000009138603E-2</v>
      </c>
      <c r="AO85" s="409">
        <f t="shared" si="194"/>
        <v>0</v>
      </c>
      <c r="AP85" s="409">
        <f t="shared" si="194"/>
        <v>0</v>
      </c>
      <c r="AQ85" s="409">
        <f t="shared" si="194"/>
        <v>0</v>
      </c>
      <c r="AR85" s="409">
        <f t="shared" si="194"/>
        <v>0</v>
      </c>
      <c r="AS85" s="409">
        <f t="shared" si="194"/>
        <v>0</v>
      </c>
      <c r="AT85" s="409">
        <f t="shared" si="194"/>
        <v>0</v>
      </c>
      <c r="AU85" s="409">
        <f t="shared" si="194"/>
        <v>0</v>
      </c>
      <c r="AV85" s="409">
        <f t="shared" si="194"/>
        <v>0</v>
      </c>
      <c r="AW85" s="409">
        <f t="shared" si="194"/>
        <v>0</v>
      </c>
      <c r="AX85" s="409">
        <f t="shared" si="194"/>
        <v>0</v>
      </c>
      <c r="AY85" s="409">
        <f t="shared" si="194"/>
        <v>0</v>
      </c>
      <c r="AZ85" s="409">
        <f t="shared" si="194"/>
        <v>0</v>
      </c>
      <c r="BA85" s="409">
        <f t="shared" si="194"/>
        <v>0</v>
      </c>
      <c r="BB85" s="409">
        <f t="shared" ref="BB85:BE85" si="195">BB83-BB144</f>
        <v>-1.6370904631912708E-11</v>
      </c>
      <c r="BC85" s="409">
        <f t="shared" si="195"/>
        <v>-1.6370904631912708E-11</v>
      </c>
      <c r="BD85" s="409">
        <f t="shared" si="195"/>
        <v>0</v>
      </c>
      <c r="BE85" s="409">
        <f t="shared" si="195"/>
        <v>0</v>
      </c>
      <c r="BF85" s="1"/>
      <c r="BG85" s="325"/>
      <c r="BH85" s="1"/>
      <c r="BI85" s="6"/>
      <c r="BJ85" s="1"/>
      <c r="BK85" s="1"/>
    </row>
    <row r="86" spans="2:63" s="412" customFormat="1" ht="11.25" customHeight="1">
      <c r="B86" s="80" t="s">
        <v>327</v>
      </c>
      <c r="C86" s="408">
        <f>(11655.556)-SUM(C61:C63)-C65-C81</f>
        <v>1.8189894035458565E-12</v>
      </c>
      <c r="D86" s="408">
        <f>9175.994-SUM(D61:D63)-D65-D81</f>
        <v>1.3642420526593924E-12</v>
      </c>
      <c r="E86" s="408">
        <f>12326.148-SUM(E61:E63)-E65-E81</f>
        <v>-1.9999999994979589E-3</v>
      </c>
      <c r="F86" s="408">
        <f>13479.848-SUM(F61:F63)-F65-F81</f>
        <v>2.7284841053187847E-12</v>
      </c>
      <c r="G86" s="407">
        <f>15053.844-SUM(G61:G63)-G65-G81</f>
        <v>0</v>
      </c>
      <c r="H86" s="407">
        <f>15201.019-SUM(H61:H63)-H65-H81</f>
        <v>0</v>
      </c>
      <c r="I86" s="407">
        <f>15022.239-SUM(I61:I63)-I65-I81</f>
        <v>0</v>
      </c>
      <c r="J86" s="407">
        <f>26004.791-SUM(J61:J63)-J65-J81</f>
        <v>0</v>
      </c>
      <c r="K86" s="407">
        <f>18607.509-SUM(K61:K63)-K65-K81</f>
        <v>0</v>
      </c>
      <c r="L86" s="407">
        <f>22909.15-SUM(L61:L63)-L65-L81</f>
        <v>0</v>
      </c>
      <c r="M86" s="407">
        <f>19160.973-SUM(M61:M63)-M65-M81</f>
        <v>4.5474735088646412E-12</v>
      </c>
      <c r="N86" s="407">
        <f>16136.309-SUM(N61:N63)-N65-N81</f>
        <v>0</v>
      </c>
      <c r="O86" s="407"/>
      <c r="P86" s="414"/>
      <c r="Q86" s="407">
        <f>-1817.787-SUM(Q61:Q63)-Q65-Q81</f>
        <v>-2.2737367544323206E-13</v>
      </c>
      <c r="R86" s="407">
        <f>(1099.13-(-1817.787))-SUM(R61:R63)-R65-R81</f>
        <v>9.0949470177292824E-13</v>
      </c>
      <c r="S86" s="407">
        <f>(2845.694-1099.13)-SUM(S61:S63)-S65-S81</f>
        <v>0</v>
      </c>
      <c r="T86" s="407">
        <f>E86-SUM(Q86:S86)</f>
        <v>-2.00000000018008E-3</v>
      </c>
      <c r="U86" s="407">
        <f>-4108.237-SUM(U61:U63)-U65-U81</f>
        <v>0</v>
      </c>
      <c r="V86" s="407">
        <f>(420.018-(-4108.237))-SUM(V61:V63)-V65-V81</f>
        <v>1.5916157281026244E-12</v>
      </c>
      <c r="W86" s="407">
        <f>(1922.366-420.018)-SUM(W61:W63)-W65-W81</f>
        <v>-1.5916157281026244E-12</v>
      </c>
      <c r="X86" s="414">
        <f>F86-W86-V86-U86</f>
        <v>2.7284841053187847E-12</v>
      </c>
      <c r="Y86" s="409">
        <f>-2595.926-SUM(Y61:Y63)-Y65-Y81</f>
        <v>-9.0949470177292824E-13</v>
      </c>
      <c r="Z86" s="409">
        <f>(3334.897-(-2595.926))-SUM(Z61:Z63)-Z65-Z81</f>
        <v>0</v>
      </c>
      <c r="AA86" s="409">
        <f>(3550.851-3334.897)-SUM(AA61:AA63)-AA65-AA81</f>
        <v>-6.8212102632969618E-13</v>
      </c>
      <c r="AB86" s="410">
        <f>G86-AA86-Z86-Y86</f>
        <v>1.5916157281026244E-12</v>
      </c>
      <c r="AC86" s="409">
        <f>-1609.709-SUM(AC61:AC63)-AC65-AC81</f>
        <v>0</v>
      </c>
      <c r="AD86" s="409">
        <f>(4102.028-(-1609.709))-SUM(AD61:AD63)-AD65-AD81</f>
        <v>0</v>
      </c>
      <c r="AE86" s="409">
        <f>1606.95-SUM(AE61:AE63)-AE65-AE81-AD65-AD61-AD62-AD63-AD81-AC81-AC65-AC63-AC62-AC61</f>
        <v>0</v>
      </c>
      <c r="AF86" s="409">
        <f>15201.019-SUM(AF61:AF63)-AF65-AF81-AE65-AE61-AE62-AE63-AE81-AD81-AD65-AD63-AD62-AD61-AC81-AC65-AC63-AC62-AC61</f>
        <v>0</v>
      </c>
      <c r="AG86" s="409">
        <f>-2236.964-SUM(AG61:AG63)-AG65-AG81</f>
        <v>2.2737367544323206E-13</v>
      </c>
      <c r="AH86" s="409">
        <f>(-8873.65-SUM(AH61:AH63)-SUM(AG61:AG63)-AG65-AG81-AH65-AH81)</f>
        <v>-9.0949470177292824E-13</v>
      </c>
      <c r="AI86" s="409">
        <f>1991.845-SUM(AI61:AI63)-AI65-AI81-AH65-AH61-AH62-AH63-AH81-AG81-AG65-AG63-AG62-AG61</f>
        <v>0</v>
      </c>
      <c r="AJ86" s="409">
        <f>15022.239-SUM(AJ61:AJ63)-AJ65-AJ81-AI65-AI61-AI62-AI63-AI81-AH81-AH65-AH63-AH62-AH61-AG81-AG65-AG63-AG62-AG61</f>
        <v>-4.0927261579781771E-12</v>
      </c>
      <c r="AK86" s="409">
        <f>-4377.415-SUM(AK61:AK63)-AK65-AK81</f>
        <v>-1.3642420526593924E-12</v>
      </c>
      <c r="AL86" s="409">
        <f>5281.648-SUM(AL61:AL63)-SUM(AK61:AK63)-AK65-AK81-AL65-AL81</f>
        <v>2.0999999787818524E-4</v>
      </c>
      <c r="AM86" s="409">
        <f>8071.318-SUM(AM61:AM63)-AM65-AM81-AL65-AL61-AL62-AL63-AL81-AK81-AK65-AK63-AK62-AK61</f>
        <v>0</v>
      </c>
      <c r="AN86" s="409">
        <f>26004.791-SUM(AN61:AN63)-AN65-AN81-AM65-AM61-AM62-AM63-AM81-AL81-AL65-AL63-AL62-AL61-AK81-AK65-AK63-AK62-AK61</f>
        <v>0</v>
      </c>
      <c r="AO86" s="409">
        <f>-5802.473-SUM(AO61:AO63)-AO65-AO81</f>
        <v>9.0949470177292824E-13</v>
      </c>
      <c r="AP86" s="409">
        <f>575.31-SUM(AP61:AP63)-SUM(AO61:AO63)-AO65-AO81-AP65-AP81</f>
        <v>0</v>
      </c>
      <c r="AQ86" s="409">
        <f>609.656-SUM(AQ61:AQ63)-AQ65-AQ81-AP65-AP61-AP62-AP63-AP81-AO81-AO65-AO63-AO62-AO61</f>
        <v>0</v>
      </c>
      <c r="AR86" s="409">
        <f>18607.509-SUM(AR61:AR63)-AR65-AR81-AQ65-AQ61-AQ62-AQ63-AQ81-AP81-AP65-AP63-AP62-AP61-AO81-AO65-AO63-AO62-AO61</f>
        <v>0</v>
      </c>
      <c r="AS86" s="409">
        <f>-3763.017-SUM(AS61:AS63)-AS65-AS81</f>
        <v>0</v>
      </c>
      <c r="AT86" s="408">
        <f>-743.881-SUM(AT61:AT63)-SUM(AS61:AS63)-AS65-AS81-AT65-AT81</f>
        <v>1.6899999945962918E-4</v>
      </c>
      <c r="AU86" s="415">
        <f>1852.744-SUM(AU61:AU63)-AU65-AU81-AT65-AT61-AT62-AT63-AT81-AS81-AS65-AS63-AS62-AS61</f>
        <v>0</v>
      </c>
      <c r="AV86" s="409">
        <f>22909.15-SUM(AV61:AV63)-AV65-AV81-AU65-AU61-AU62-AU63-AU81-AT81-AT65-AT63-AT62-AT61-AS81-AS65-AS63-AS62-AS61</f>
        <v>0</v>
      </c>
      <c r="AW86" s="409">
        <f>-2784.522-SUM(AW61:AW63)-AW65-AW81</f>
        <v>0</v>
      </c>
      <c r="AX86" s="408">
        <f>2652.184-SUM(AX61:AX63)-SUM(AW61:AW63)-AW65-AW81-AX65-AX81</f>
        <v>-9.0949470177292824E-13</v>
      </c>
      <c r="AY86" s="415">
        <f>1866.304-SUM(AY61:AY63)-AY65-AY81-AX65-AX61-AX62-AX63-AX81-AW81-AW65-AW63-AW62-AW61</f>
        <v>0</v>
      </c>
      <c r="AZ86" s="409">
        <f>19160.973-SUM(AZ61:AZ63)-AZ65-AZ81-AY65-AY61-AY62-AY63-AY81-AX81-AX65-AX63-AX62-AX61-AW81-AW65-AW63-AW62-AW61</f>
        <v>0</v>
      </c>
      <c r="BA86" s="409">
        <f>-5805.711-SUM(BA61:BA63)-BA65-BA81</f>
        <v>0</v>
      </c>
      <c r="BB86" s="408">
        <f>-9852.222-SUM(BB61:BB63)-SUM(BA61:BA63)-BA65-BA81-BB65-BB81</f>
        <v>0</v>
      </c>
      <c r="BC86" s="415">
        <f>-4891.352-SUM(BC61:BC63)-BC65-BC81-BB65-BB61-BB62-BB63-BB81-BA81-BA65-BA63-BA62-BA61</f>
        <v>0</v>
      </c>
      <c r="BD86" s="409">
        <f>16136.309-SUM(BD61:BD63)-BD65-BD81-BC65-BC61-BC62-BC63-BC81-BB81-BB65-BB63-BB62-BB61-BA81-BA65-BA63-BA62-BA61</f>
        <v>0</v>
      </c>
      <c r="BE86" s="409">
        <f>2128.656-SUM(BE61:BE63)-BE65-BE81</f>
        <v>0</v>
      </c>
      <c r="BF86" s="1"/>
      <c r="BG86" s="325"/>
      <c r="BH86" s="1"/>
      <c r="BI86" s="6"/>
      <c r="BJ86" s="1"/>
      <c r="BK86" s="1"/>
    </row>
    <row r="87" spans="2:63" ht="11.25" customHeight="1">
      <c r="C87" s="42"/>
      <c r="D87" s="42"/>
      <c r="E87" s="42"/>
      <c r="F87" s="42"/>
      <c r="G87" s="42"/>
      <c r="H87" s="42"/>
      <c r="I87" s="42"/>
      <c r="J87" s="42"/>
      <c r="K87" s="42"/>
      <c r="L87" s="42"/>
      <c r="M87" s="42"/>
      <c r="N87" s="42"/>
      <c r="O87" s="42"/>
      <c r="P87" s="325"/>
      <c r="Q87" s="42"/>
      <c r="U87" s="42"/>
      <c r="V87" s="42"/>
      <c r="X87" s="110"/>
      <c r="Z87" s="42"/>
      <c r="BG87" s="325"/>
    </row>
    <row r="88" spans="2:63" ht="13.5" customHeight="1">
      <c r="B88" s="14" t="s">
        <v>328</v>
      </c>
      <c r="C88" s="33">
        <f>C60</f>
        <v>41975</v>
      </c>
      <c r="D88" s="33">
        <f t="shared" ref="D88:Z88" si="196">D60</f>
        <v>42341</v>
      </c>
      <c r="E88" s="33">
        <f t="shared" si="196"/>
        <v>42708</v>
      </c>
      <c r="F88" s="33">
        <f t="shared" si="196"/>
        <v>43100</v>
      </c>
      <c r="G88" s="33">
        <f t="shared" ref="G88:N88" si="197">G3</f>
        <v>43465</v>
      </c>
      <c r="H88" s="33">
        <f t="shared" si="197"/>
        <v>43830</v>
      </c>
      <c r="I88" s="33">
        <f t="shared" si="197"/>
        <v>44196</v>
      </c>
      <c r="J88" s="33">
        <f t="shared" si="197"/>
        <v>44561</v>
      </c>
      <c r="K88" s="33">
        <f t="shared" si="197"/>
        <v>44926</v>
      </c>
      <c r="L88" s="33">
        <f t="shared" si="197"/>
        <v>45291</v>
      </c>
      <c r="M88" s="33">
        <f t="shared" si="197"/>
        <v>45657</v>
      </c>
      <c r="N88" s="33">
        <f t="shared" si="197"/>
        <v>46022</v>
      </c>
      <c r="O88" s="240" t="str">
        <f t="shared" ref="O88" si="198">O60</f>
        <v>LTM</v>
      </c>
      <c r="P88" s="44"/>
      <c r="Q88" s="33">
        <f t="shared" si="196"/>
        <v>42437</v>
      </c>
      <c r="R88" s="33">
        <f t="shared" si="196"/>
        <v>42527</v>
      </c>
      <c r="S88" s="33">
        <f t="shared" si="196"/>
        <v>42622</v>
      </c>
      <c r="T88" s="33">
        <f t="shared" si="196"/>
        <v>42714</v>
      </c>
      <c r="U88" s="33">
        <f t="shared" si="196"/>
        <v>42801</v>
      </c>
      <c r="V88" s="33">
        <f t="shared" si="196"/>
        <v>42892</v>
      </c>
      <c r="W88" s="33">
        <f t="shared" si="196"/>
        <v>42987</v>
      </c>
      <c r="X88" s="33">
        <f t="shared" si="196"/>
        <v>43100</v>
      </c>
      <c r="Y88" s="33">
        <f t="shared" si="196"/>
        <v>43190</v>
      </c>
      <c r="Z88" s="33">
        <f t="shared" si="196"/>
        <v>43281</v>
      </c>
      <c r="AA88" s="33">
        <f t="shared" ref="AA88:AF88" si="199">AA60</f>
        <v>43373</v>
      </c>
      <c r="AB88" s="33">
        <f t="shared" si="199"/>
        <v>43465</v>
      </c>
      <c r="AC88" s="33">
        <f t="shared" si="199"/>
        <v>43555</v>
      </c>
      <c r="AD88" s="33">
        <f t="shared" si="199"/>
        <v>43646</v>
      </c>
      <c r="AE88" s="33">
        <f t="shared" si="199"/>
        <v>43738</v>
      </c>
      <c r="AF88" s="33">
        <f t="shared" si="199"/>
        <v>43830</v>
      </c>
      <c r="AG88" s="33">
        <f t="shared" ref="AG88:AL88" si="200">AG60</f>
        <v>43921</v>
      </c>
      <c r="AH88" s="33">
        <f t="shared" si="200"/>
        <v>44012</v>
      </c>
      <c r="AI88" s="33">
        <f t="shared" si="200"/>
        <v>44104</v>
      </c>
      <c r="AJ88" s="33">
        <f t="shared" si="200"/>
        <v>44196</v>
      </c>
      <c r="AK88" s="33">
        <f t="shared" si="200"/>
        <v>44286</v>
      </c>
      <c r="AL88" s="33">
        <f t="shared" si="200"/>
        <v>44377</v>
      </c>
      <c r="AM88" s="33">
        <f t="shared" ref="AM88:AR88" si="201">AM60</f>
        <v>44469</v>
      </c>
      <c r="AN88" s="33">
        <f t="shared" si="201"/>
        <v>44561</v>
      </c>
      <c r="AO88" s="33">
        <f t="shared" si="201"/>
        <v>44651</v>
      </c>
      <c r="AP88" s="33">
        <f t="shared" si="201"/>
        <v>44742</v>
      </c>
      <c r="AQ88" s="33">
        <f t="shared" si="201"/>
        <v>44834</v>
      </c>
      <c r="AR88" s="33">
        <f t="shared" si="201"/>
        <v>44926</v>
      </c>
      <c r="AS88" s="33">
        <f t="shared" ref="AS88:AV88" si="202">AS60</f>
        <v>45016</v>
      </c>
      <c r="AT88" s="33">
        <f t="shared" si="202"/>
        <v>45107</v>
      </c>
      <c r="AU88" s="33">
        <f t="shared" si="202"/>
        <v>45199</v>
      </c>
      <c r="AV88" s="33">
        <f t="shared" si="202"/>
        <v>45291</v>
      </c>
      <c r="AW88" s="33">
        <f t="shared" ref="AW88:AZ88" si="203">AW60</f>
        <v>45382</v>
      </c>
      <c r="AX88" s="33">
        <f t="shared" si="203"/>
        <v>45473</v>
      </c>
      <c r="AY88" s="33">
        <f t="shared" si="203"/>
        <v>45536</v>
      </c>
      <c r="AZ88" s="33">
        <f t="shared" si="203"/>
        <v>45657</v>
      </c>
      <c r="BA88" s="33">
        <f t="shared" ref="BA88:BD88" si="204">BA60</f>
        <v>45747</v>
      </c>
      <c r="BB88" s="33">
        <f t="shared" si="204"/>
        <v>45838</v>
      </c>
      <c r="BC88" s="33">
        <f t="shared" si="204"/>
        <v>45901</v>
      </c>
      <c r="BD88" s="33">
        <f t="shared" si="204"/>
        <v>46022</v>
      </c>
      <c r="BE88" s="33">
        <f t="shared" ref="BE88" si="205">BE60</f>
        <v>46112</v>
      </c>
      <c r="BG88" s="376"/>
      <c r="BH88" s="376"/>
      <c r="BI88" s="376"/>
    </row>
    <row r="89" spans="2:63" ht="13.5" customHeight="1">
      <c r="B89" s="1" t="str">
        <f t="shared" ref="B89:O89" si="206">+B7</f>
        <v>Revenues</v>
      </c>
      <c r="C89" s="6">
        <f t="shared" si="206"/>
        <v>81213.589000000007</v>
      </c>
      <c r="D89" s="6">
        <f t="shared" si="206"/>
        <v>91292.888999999996</v>
      </c>
      <c r="E89" s="6">
        <f t="shared" si="206"/>
        <v>100441.53599999999</v>
      </c>
      <c r="F89" s="6">
        <f t="shared" si="206"/>
        <v>122168.27899999999</v>
      </c>
      <c r="G89" s="6">
        <f t="shared" si="206"/>
        <v>135534.75099999999</v>
      </c>
      <c r="H89" s="6">
        <f t="shared" si="206"/>
        <v>144233.50700000001</v>
      </c>
      <c r="I89" s="6">
        <f t="shared" si="206"/>
        <v>115472.5</v>
      </c>
      <c r="J89" s="6">
        <f t="shared" si="206"/>
        <v>151021.70000000001</v>
      </c>
      <c r="K89" s="6">
        <f t="shared" si="206"/>
        <v>176033.72</v>
      </c>
      <c r="L89" s="6">
        <f t="shared" si="206"/>
        <v>195991.62299999999</v>
      </c>
      <c r="M89" s="6">
        <f t="shared" si="206"/>
        <v>214847.87100000001</v>
      </c>
      <c r="N89" s="6">
        <f t="shared" si="206"/>
        <v>229136.595</v>
      </c>
      <c r="O89" s="6">
        <f t="shared" si="206"/>
        <v>172602.88100000002</v>
      </c>
      <c r="P89" s="6"/>
      <c r="Q89" s="30"/>
      <c r="R89" s="30"/>
      <c r="S89" s="30"/>
      <c r="T89" s="6">
        <f>E89</f>
        <v>100441.53599999999</v>
      </c>
      <c r="U89" s="6">
        <f>E7+U7-Q7</f>
        <v>102008.976</v>
      </c>
      <c r="V89" s="6">
        <f>E7+U7+V7-Q7-R7</f>
        <v>107627.36899999999</v>
      </c>
      <c r="W89" s="6">
        <f>E7+U7+V7+W7-Q7-R7-S7</f>
        <v>112927.71999999997</v>
      </c>
      <c r="X89" s="6">
        <f t="shared" ref="X89:X99" si="207">F89</f>
        <v>122168.27899999999</v>
      </c>
      <c r="Y89" s="6">
        <f>F7+Y7-U7</f>
        <v>126779.04300000001</v>
      </c>
      <c r="Z89" s="6">
        <f t="shared" ref="Z89:BE89" si="208">SUM(W7:Z7)</f>
        <v>129509.527</v>
      </c>
      <c r="AA89" s="6">
        <f t="shared" si="208"/>
        <v>131686.399</v>
      </c>
      <c r="AB89" s="6">
        <f t="shared" si="208"/>
        <v>135534.75099999999</v>
      </c>
      <c r="AC89" s="6">
        <f t="shared" si="208"/>
        <v>137741.62199999997</v>
      </c>
      <c r="AD89" s="6">
        <f t="shared" si="208"/>
        <v>140771.65</v>
      </c>
      <c r="AE89" s="6">
        <f t="shared" si="208"/>
        <v>141673.08199999999</v>
      </c>
      <c r="AF89" s="6">
        <f t="shared" si="208"/>
        <v>144233.50699999998</v>
      </c>
      <c r="AG89" s="6">
        <f t="shared" si="208"/>
        <v>143489.31300000002</v>
      </c>
      <c r="AH89" s="6">
        <f t="shared" si="208"/>
        <v>122572.11500000001</v>
      </c>
      <c r="AI89" s="6">
        <f t="shared" si="208"/>
        <v>119339.53600000001</v>
      </c>
      <c r="AJ89" s="6">
        <f t="shared" si="208"/>
        <v>115472.5</v>
      </c>
      <c r="AK89" s="6">
        <f t="shared" si="208"/>
        <v>114333.686</v>
      </c>
      <c r="AL89" s="6">
        <f t="shared" si="208"/>
        <v>137125.31299999999</v>
      </c>
      <c r="AM89" s="6">
        <f t="shared" si="208"/>
        <v>142041.052</v>
      </c>
      <c r="AN89" s="6">
        <f t="shared" si="208"/>
        <v>151021.70000000001</v>
      </c>
      <c r="AO89" s="6">
        <f t="shared" si="208"/>
        <v>157682.133</v>
      </c>
      <c r="AP89" s="6">
        <f t="shared" si="208"/>
        <v>162704.489</v>
      </c>
      <c r="AQ89" s="6">
        <f t="shared" si="208"/>
        <v>168929.524</v>
      </c>
      <c r="AR89" s="6">
        <f t="shared" si="208"/>
        <v>176033.71999999997</v>
      </c>
      <c r="AS89" s="6">
        <f t="shared" si="208"/>
        <v>181356.53999999998</v>
      </c>
      <c r="AT89" s="6">
        <f t="shared" si="208"/>
        <v>186383.47</v>
      </c>
      <c r="AU89" s="6">
        <f t="shared" si="208"/>
        <v>190031.25699999998</v>
      </c>
      <c r="AV89" s="6">
        <f t="shared" si="208"/>
        <v>195991.62299999999</v>
      </c>
      <c r="AW89" s="6">
        <f t="shared" si="208"/>
        <v>199642.45599999998</v>
      </c>
      <c r="AX89" s="6">
        <f t="shared" si="208"/>
        <v>204292.79099999997</v>
      </c>
      <c r="AY89" s="6">
        <f t="shared" si="208"/>
        <v>208646.35499999998</v>
      </c>
      <c r="AZ89" s="6">
        <f t="shared" si="208"/>
        <v>214847.87100000001</v>
      </c>
      <c r="BA89" s="6">
        <f t="shared" si="208"/>
        <v>219154.92700000003</v>
      </c>
      <c r="BB89" s="6">
        <f t="shared" si="208"/>
        <v>223341.42500000005</v>
      </c>
      <c r="BC89" s="6">
        <f t="shared" si="208"/>
        <v>225348.01100000006</v>
      </c>
      <c r="BD89" s="6">
        <f t="shared" si="208"/>
        <v>229136.595</v>
      </c>
      <c r="BE89" s="6">
        <f t="shared" si="208"/>
        <v>229026.84400000004</v>
      </c>
      <c r="BF89" s="6"/>
      <c r="BG89" s="161"/>
      <c r="BH89" s="161"/>
      <c r="BI89" s="161"/>
    </row>
    <row r="90" spans="2:63" ht="13.5" customHeight="1">
      <c r="B90" s="1" t="s">
        <v>290</v>
      </c>
      <c r="C90" s="6">
        <f t="shared" ref="C90:O90" si="209">C17</f>
        <v>11113.307000000004</v>
      </c>
      <c r="D90" s="6">
        <f t="shared" si="209"/>
        <v>12655.307999999997</v>
      </c>
      <c r="E90" s="6">
        <f t="shared" si="209"/>
        <v>13406.390999999996</v>
      </c>
      <c r="F90" s="6">
        <f t="shared" si="209"/>
        <v>15231.684000000001</v>
      </c>
      <c r="G90" s="6">
        <f t="shared" si="209"/>
        <v>16925.36799999998</v>
      </c>
      <c r="H90" s="6">
        <f t="shared" si="209"/>
        <v>19171.202000000012</v>
      </c>
      <c r="I90" s="6">
        <f t="shared" si="209"/>
        <v>3812</v>
      </c>
      <c r="J90" s="6">
        <f t="shared" si="209"/>
        <v>18733.30000000001</v>
      </c>
      <c r="K90" s="6">
        <f t="shared" si="209"/>
        <v>25515.380000000005</v>
      </c>
      <c r="L90" s="6">
        <f t="shared" si="209"/>
        <v>29605.787999999986</v>
      </c>
      <c r="M90" s="6">
        <f t="shared" si="209"/>
        <v>31854.13900000001</v>
      </c>
      <c r="N90" s="6">
        <f t="shared" si="209"/>
        <v>29454.962000000014</v>
      </c>
      <c r="O90" s="6">
        <f t="shared" si="209"/>
        <v>21948.392000000036</v>
      </c>
      <c r="P90" s="6"/>
      <c r="Q90" s="30"/>
      <c r="R90" s="30"/>
      <c r="S90" s="30"/>
      <c r="T90" s="6">
        <f>E90</f>
        <v>13406.390999999996</v>
      </c>
      <c r="U90" s="6">
        <f>E17+U17-Q17</f>
        <v>13530.485999999999</v>
      </c>
      <c r="V90" s="6">
        <f>E17+U17+V17-Q17-R17</f>
        <v>14027.540999999997</v>
      </c>
      <c r="W90" s="6">
        <f>E17+U17+V17+W17-Q17-R17-S17</f>
        <v>13948.523999999998</v>
      </c>
      <c r="X90" s="6">
        <f t="shared" si="207"/>
        <v>15231.684000000001</v>
      </c>
      <c r="Y90" s="6">
        <f>F17+Y17-U17</f>
        <v>14856.638999999999</v>
      </c>
      <c r="Z90" s="6">
        <f t="shared" ref="Z90:BE90" si="210">SUM(W17:Z17)</f>
        <v>15264.64700000001</v>
      </c>
      <c r="AA90" s="6">
        <f t="shared" si="210"/>
        <v>16085.83400000001</v>
      </c>
      <c r="AB90" s="6">
        <f t="shared" si="210"/>
        <v>16925.367999999973</v>
      </c>
      <c r="AC90" s="6">
        <f t="shared" si="210"/>
        <v>17172.146999999972</v>
      </c>
      <c r="AD90" s="6">
        <f t="shared" si="210"/>
        <v>17622.773999999972</v>
      </c>
      <c r="AE90" s="6">
        <f t="shared" si="210"/>
        <v>17782.870999999974</v>
      </c>
      <c r="AF90" s="6">
        <f t="shared" si="210"/>
        <v>19171.202000000005</v>
      </c>
      <c r="AG90" s="6">
        <f t="shared" si="210"/>
        <v>18691.080000000005</v>
      </c>
      <c r="AH90" s="6">
        <f t="shared" si="210"/>
        <v>11102.758000000005</v>
      </c>
      <c r="AI90" s="6">
        <f t="shared" si="210"/>
        <v>7739.1940000000013</v>
      </c>
      <c r="AJ90" s="6">
        <f t="shared" si="210"/>
        <v>3811.9999999999982</v>
      </c>
      <c r="AK90" s="6">
        <f t="shared" si="210"/>
        <v>3505.6409999999996</v>
      </c>
      <c r="AL90" s="6">
        <f t="shared" si="210"/>
        <v>11389.619999999995</v>
      </c>
      <c r="AM90" s="6">
        <f t="shared" si="210"/>
        <v>15661.390999999996</v>
      </c>
      <c r="AN90" s="6">
        <f t="shared" si="210"/>
        <v>18733.300000000003</v>
      </c>
      <c r="AO90" s="6">
        <f t="shared" si="210"/>
        <v>21398.377000000004</v>
      </c>
      <c r="AP90" s="6">
        <f t="shared" si="210"/>
        <v>23117.371000000006</v>
      </c>
      <c r="AQ90" s="6">
        <f t="shared" si="210"/>
        <v>24052.100000000013</v>
      </c>
      <c r="AR90" s="6">
        <f t="shared" si="210"/>
        <v>25515.37999999999</v>
      </c>
      <c r="AS90" s="6">
        <f t="shared" si="210"/>
        <v>25728.977999999992</v>
      </c>
      <c r="AT90" s="6">
        <f t="shared" si="210"/>
        <v>26576.474999999991</v>
      </c>
      <c r="AU90" s="6">
        <f t="shared" si="210"/>
        <v>27317.235999999986</v>
      </c>
      <c r="AV90" s="6">
        <f t="shared" si="210"/>
        <v>29605.787999999975</v>
      </c>
      <c r="AW90" s="6">
        <f t="shared" si="210"/>
        <v>30277.810999999972</v>
      </c>
      <c r="AX90" s="6">
        <f t="shared" si="210"/>
        <v>30770.773999999972</v>
      </c>
      <c r="AY90" s="6">
        <f t="shared" si="210"/>
        <v>31168.358999999982</v>
      </c>
      <c r="AZ90" s="6">
        <f t="shared" si="210"/>
        <v>31854.13900000001</v>
      </c>
      <c r="BA90" s="6">
        <f t="shared" si="210"/>
        <v>31304.657000000007</v>
      </c>
      <c r="BB90" s="6">
        <f t="shared" si="210"/>
        <v>30541.194000000018</v>
      </c>
      <c r="BC90" s="6">
        <f t="shared" si="210"/>
        <v>29324.78300000001</v>
      </c>
      <c r="BD90" s="6">
        <f t="shared" si="210"/>
        <v>29454.962000000043</v>
      </c>
      <c r="BE90" s="6">
        <f t="shared" si="210"/>
        <v>29055.989000000041</v>
      </c>
      <c r="BF90" s="6"/>
      <c r="BG90" s="161"/>
      <c r="BH90" s="161"/>
      <c r="BI90" s="161"/>
    </row>
    <row r="91" spans="2:63" ht="13.5" customHeight="1">
      <c r="B91" s="1" t="s">
        <v>329</v>
      </c>
      <c r="C91" s="6">
        <f t="shared" ref="C91:G91" si="211">C41</f>
        <v>13023.605000000005</v>
      </c>
      <c r="D91" s="6">
        <f t="shared" si="211"/>
        <v>14870.389999999998</v>
      </c>
      <c r="E91" s="6">
        <f t="shared" si="211"/>
        <v>16050.911999999997</v>
      </c>
      <c r="F91" s="6">
        <f t="shared" si="211"/>
        <v>18350.474000000002</v>
      </c>
      <c r="G91" s="6">
        <f t="shared" si="211"/>
        <v>20236.642999999982</v>
      </c>
      <c r="H91" s="6">
        <f t="shared" ref="H91:M91" si="212">H41</f>
        <v>23876.638000000014</v>
      </c>
      <c r="I91" s="6">
        <f t="shared" si="212"/>
        <v>9006.1820000000007</v>
      </c>
      <c r="J91" s="6">
        <f t="shared" si="212"/>
        <v>23908.700000000012</v>
      </c>
      <c r="K91" s="6">
        <f t="shared" si="212"/>
        <v>30686.465000000004</v>
      </c>
      <c r="L91" s="6">
        <f t="shared" si="212"/>
        <v>34991.692999999985</v>
      </c>
      <c r="M91" s="6">
        <f t="shared" si="212"/>
        <v>37557.543000000012</v>
      </c>
      <c r="N91" s="6">
        <f t="shared" ref="N91" si="213">N41</f>
        <v>35800.930000000015</v>
      </c>
      <c r="O91" s="6">
        <f t="shared" ref="O91" si="214">O41</f>
        <v>26835.819000000036</v>
      </c>
      <c r="P91" s="6"/>
      <c r="Q91" s="6"/>
      <c r="R91" s="6"/>
      <c r="S91" s="6"/>
      <c r="T91" s="6">
        <f>E91</f>
        <v>16050.911999999997</v>
      </c>
      <c r="U91" s="6">
        <f>E41+U41-Q41</f>
        <v>16248.725999999999</v>
      </c>
      <c r="V91" s="6">
        <f>E41+U41+V41-Q41-R41</f>
        <v>16962.048999999999</v>
      </c>
      <c r="W91" s="6">
        <f>E41+U41+V41+W41-Q41-R41-S41</f>
        <v>17065.113999999998</v>
      </c>
      <c r="X91" s="6">
        <f t="shared" si="207"/>
        <v>18350.474000000002</v>
      </c>
      <c r="Y91" s="6">
        <f>F41+Y41-U41</f>
        <v>18111.345000000001</v>
      </c>
      <c r="Z91" s="6">
        <f>SUM(W41:Z41)</f>
        <v>18519.638000000014</v>
      </c>
      <c r="AA91" s="6">
        <f>SUM(X41:AA41)</f>
        <v>19329.51200000001</v>
      </c>
      <c r="AB91" s="6">
        <f t="shared" ref="AB91:BE91" si="215">SUM(Y41:AB41)</f>
        <v>20236.642999999975</v>
      </c>
      <c r="AC91" s="6">
        <f t="shared" si="215"/>
        <v>20837.447999999975</v>
      </c>
      <c r="AD91" s="6">
        <f t="shared" si="215"/>
        <v>21639.725999999973</v>
      </c>
      <c r="AE91" s="6">
        <f t="shared" si="215"/>
        <v>22160.673999999974</v>
      </c>
      <c r="AF91" s="6">
        <f t="shared" si="215"/>
        <v>23876.638000000003</v>
      </c>
      <c r="AG91" s="6">
        <f t="shared" si="215"/>
        <v>23491.974000000006</v>
      </c>
      <c r="AH91" s="6">
        <f t="shared" si="215"/>
        <v>15979.962000000005</v>
      </c>
      <c r="AI91" s="6">
        <f t="shared" si="215"/>
        <v>12729.512999999999</v>
      </c>
      <c r="AJ91" s="6">
        <f t="shared" si="215"/>
        <v>9006.1819999999989</v>
      </c>
      <c r="AK91" s="6">
        <f t="shared" si="215"/>
        <v>8717.6280000000006</v>
      </c>
      <c r="AL91" s="6">
        <f t="shared" si="215"/>
        <v>16622.016999999993</v>
      </c>
      <c r="AM91" s="6">
        <f t="shared" si="215"/>
        <v>20860.198999999997</v>
      </c>
      <c r="AN91" s="6">
        <f t="shared" si="215"/>
        <v>23908.700000000004</v>
      </c>
      <c r="AO91" s="6">
        <f t="shared" si="215"/>
        <v>26557.927000000003</v>
      </c>
      <c r="AP91" s="6">
        <f t="shared" si="215"/>
        <v>28275.611000000004</v>
      </c>
      <c r="AQ91" s="6">
        <f t="shared" si="215"/>
        <v>29232.481000000011</v>
      </c>
      <c r="AR91" s="6">
        <f t="shared" si="215"/>
        <v>30686.464999999989</v>
      </c>
      <c r="AS91" s="6">
        <f t="shared" si="215"/>
        <v>30946.469999999994</v>
      </c>
      <c r="AT91" s="6">
        <f t="shared" si="215"/>
        <v>31865.558999999994</v>
      </c>
      <c r="AU91" s="6">
        <f t="shared" si="215"/>
        <v>32662.45299999999</v>
      </c>
      <c r="AV91" s="6">
        <f t="shared" si="215"/>
        <v>34991.692999999977</v>
      </c>
      <c r="AW91" s="6">
        <f t="shared" si="215"/>
        <v>35717.920999999973</v>
      </c>
      <c r="AX91" s="6">
        <f t="shared" si="215"/>
        <v>36298.339999999975</v>
      </c>
      <c r="AY91" s="6">
        <f t="shared" si="215"/>
        <v>36805.75799999998</v>
      </c>
      <c r="AZ91" s="6">
        <f t="shared" si="215"/>
        <v>37557.543000000005</v>
      </c>
      <c r="BA91" s="6">
        <f t="shared" si="215"/>
        <v>37125.795000000013</v>
      </c>
      <c r="BB91" s="6">
        <f t="shared" si="215"/>
        <v>36467.698000000019</v>
      </c>
      <c r="BC91" s="6">
        <f t="shared" si="215"/>
        <v>35360.858000000015</v>
      </c>
      <c r="BD91" s="6">
        <f t="shared" si="215"/>
        <v>35800.930000000044</v>
      </c>
      <c r="BE91" s="6">
        <f t="shared" si="215"/>
        <v>35460.830000000045</v>
      </c>
      <c r="BF91" s="6"/>
      <c r="BG91" s="161"/>
      <c r="BH91" s="161"/>
      <c r="BI91" s="161"/>
    </row>
    <row r="92" spans="2:63" s="5" customFormat="1" ht="13.5" customHeight="1">
      <c r="B92" s="1" t="s">
        <v>330</v>
      </c>
      <c r="C92" s="6">
        <f t="shared" ref="C92:G92" si="216">+C46</f>
        <v>13023.603999999999</v>
      </c>
      <c r="D92" s="6">
        <f t="shared" si="216"/>
        <v>14870.388999999999</v>
      </c>
      <c r="E92" s="6">
        <f t="shared" si="216"/>
        <v>16050.911</v>
      </c>
      <c r="F92" s="6">
        <f t="shared" si="216"/>
        <v>18350.474999999999</v>
      </c>
      <c r="G92" s="6">
        <f t="shared" si="216"/>
        <v>20236.642</v>
      </c>
      <c r="H92" s="6">
        <f t="shared" ref="H92:M92" si="217">+H46</f>
        <v>23876.6</v>
      </c>
      <c r="I92" s="6">
        <f t="shared" si="217"/>
        <v>9006.2999999999993</v>
      </c>
      <c r="J92" s="6">
        <f t="shared" si="217"/>
        <v>23908.7</v>
      </c>
      <c r="K92" s="6">
        <f t="shared" si="217"/>
        <v>30687</v>
      </c>
      <c r="L92" s="6">
        <f t="shared" si="217"/>
        <v>34991.699999999997</v>
      </c>
      <c r="M92" s="6">
        <f t="shared" si="217"/>
        <v>37558</v>
      </c>
      <c r="N92" s="6">
        <f t="shared" ref="N92" si="218">+N46</f>
        <v>37558</v>
      </c>
      <c r="O92" s="6">
        <f t="shared" ref="O92" si="219">+O46</f>
        <v>28592</v>
      </c>
      <c r="P92" s="6"/>
      <c r="Q92" s="30"/>
      <c r="R92" s="30"/>
      <c r="S92" s="30"/>
      <c r="T92" s="6">
        <f>E92</f>
        <v>16050.911</v>
      </c>
      <c r="U92" s="6">
        <f>E46+U46-Q46</f>
        <v>16248.725</v>
      </c>
      <c r="V92" s="6">
        <f>E46+U46+V46-Q46-R46</f>
        <v>16905.708000000002</v>
      </c>
      <c r="W92" s="6">
        <f>E46+U46+V46+W46-Q46-R46-S46</f>
        <v>17065.113000000001</v>
      </c>
      <c r="X92" s="6">
        <f t="shared" si="207"/>
        <v>18350.474999999999</v>
      </c>
      <c r="Y92" s="6">
        <f>F46+Y46-U46</f>
        <v>18111.378999999997</v>
      </c>
      <c r="Z92" s="6">
        <f>SUM(W46:Z46)</f>
        <v>18519.673999999999</v>
      </c>
      <c r="AA92" s="6">
        <f>SUM(X46:AA46)</f>
        <v>19329.547999999999</v>
      </c>
      <c r="AB92" s="6">
        <f t="shared" ref="AB92:BE92" si="220">SUM(Y46:AB46)</f>
        <v>20236.642</v>
      </c>
      <c r="AC92" s="6">
        <f t="shared" si="220"/>
        <v>20837.441999999999</v>
      </c>
      <c r="AD92" s="6">
        <f t="shared" si="220"/>
        <v>21639.680999999997</v>
      </c>
      <c r="AE92" s="6">
        <f t="shared" si="220"/>
        <v>22160.595999999998</v>
      </c>
      <c r="AF92" s="6">
        <f t="shared" si="220"/>
        <v>23876.6</v>
      </c>
      <c r="AG92" s="6">
        <f t="shared" si="220"/>
        <v>23491.9</v>
      </c>
      <c r="AH92" s="6">
        <f t="shared" si="220"/>
        <v>15979.899999999998</v>
      </c>
      <c r="AI92" s="6">
        <f t="shared" si="220"/>
        <v>12729.899999999998</v>
      </c>
      <c r="AJ92" s="6">
        <f t="shared" si="220"/>
        <v>9006.2999999999993</v>
      </c>
      <c r="AK92" s="6">
        <f t="shared" si="220"/>
        <v>8717.7999999999993</v>
      </c>
      <c r="AL92" s="6">
        <f t="shared" si="220"/>
        <v>16622.3</v>
      </c>
      <c r="AM92" s="6">
        <f t="shared" si="220"/>
        <v>20860.3</v>
      </c>
      <c r="AN92" s="6">
        <f t="shared" si="220"/>
        <v>23908.7</v>
      </c>
      <c r="AO92" s="6">
        <f t="shared" si="220"/>
        <v>26557.9</v>
      </c>
      <c r="AP92" s="6">
        <f t="shared" si="220"/>
        <v>28275.600000000002</v>
      </c>
      <c r="AQ92" s="6">
        <f t="shared" si="220"/>
        <v>29232.600000000002</v>
      </c>
      <c r="AR92" s="6">
        <f t="shared" si="220"/>
        <v>30687</v>
      </c>
      <c r="AS92" s="6">
        <f t="shared" si="220"/>
        <v>30947</v>
      </c>
      <c r="AT92" s="6">
        <f t="shared" si="220"/>
        <v>31866.299999999996</v>
      </c>
      <c r="AU92" s="6">
        <f t="shared" si="220"/>
        <v>32663.3</v>
      </c>
      <c r="AV92" s="6">
        <f t="shared" si="220"/>
        <v>34991.699999999997</v>
      </c>
      <c r="AW92" s="6">
        <f t="shared" si="220"/>
        <v>35717.599999999999</v>
      </c>
      <c r="AX92" s="6">
        <f t="shared" si="220"/>
        <v>36297.599999999999</v>
      </c>
      <c r="AY92" s="6">
        <f t="shared" si="220"/>
        <v>36804.6</v>
      </c>
      <c r="AZ92" s="6">
        <f t="shared" si="220"/>
        <v>37558</v>
      </c>
      <c r="BA92" s="6">
        <f t="shared" si="220"/>
        <v>37127</v>
      </c>
      <c r="BB92" s="6">
        <f t="shared" si="220"/>
        <v>36469</v>
      </c>
      <c r="BC92" s="6">
        <f t="shared" si="220"/>
        <v>35362</v>
      </c>
      <c r="BD92" s="6">
        <f t="shared" si="220"/>
        <v>37558</v>
      </c>
      <c r="BE92" s="6">
        <f t="shared" si="220"/>
        <v>37217</v>
      </c>
      <c r="BF92" s="6"/>
      <c r="BG92" s="161"/>
      <c r="BH92" s="161"/>
      <c r="BI92" s="161"/>
    </row>
    <row r="93" spans="2:63" s="5" customFormat="1" ht="13.5" hidden="1" customHeight="1">
      <c r="B93" s="416" t="s">
        <v>331</v>
      </c>
      <c r="C93" s="417">
        <f t="shared" ref="C93:I93" si="221">C56</f>
        <v>13023.603999999999</v>
      </c>
      <c r="D93" s="417">
        <f t="shared" si="221"/>
        <v>14870.388999999999</v>
      </c>
      <c r="E93" s="417">
        <f t="shared" si="221"/>
        <v>16050.911</v>
      </c>
      <c r="F93" s="417">
        <f t="shared" si="221"/>
        <v>18350.474999999999</v>
      </c>
      <c r="G93" s="417">
        <f t="shared" si="221"/>
        <v>20236.642</v>
      </c>
      <c r="H93" s="417">
        <f t="shared" si="221"/>
        <v>22204.6</v>
      </c>
      <c r="I93" s="417">
        <f t="shared" si="221"/>
        <v>9006.2999999999993</v>
      </c>
      <c r="J93" s="417">
        <f t="shared" ref="J93:O93" si="222">J56</f>
        <v>23908.7</v>
      </c>
      <c r="K93" s="417">
        <f t="shared" si="222"/>
        <v>30687</v>
      </c>
      <c r="L93" s="417">
        <f t="shared" si="222"/>
        <v>34991.699999999997</v>
      </c>
      <c r="M93" s="417">
        <f t="shared" si="222"/>
        <v>37558</v>
      </c>
      <c r="N93" s="417">
        <f t="shared" si="222"/>
        <v>37558</v>
      </c>
      <c r="O93" s="417">
        <f t="shared" si="222"/>
        <v>28592</v>
      </c>
      <c r="P93" s="6"/>
      <c r="Q93" s="154"/>
      <c r="R93" s="154"/>
      <c r="S93" s="154"/>
      <c r="T93" s="153"/>
      <c r="U93" s="153">
        <f>E56+U56-Q56</f>
        <v>16248.725</v>
      </c>
      <c r="V93" s="153">
        <f>E56+U56+V56-Q56-R56</f>
        <v>16905.708000000002</v>
      </c>
      <c r="W93" s="153">
        <f>E56+U56+V56+W56-Q56-R56-S56</f>
        <v>17065.113000000001</v>
      </c>
      <c r="X93" s="153">
        <f t="shared" si="207"/>
        <v>18350.474999999999</v>
      </c>
      <c r="Y93" s="153">
        <f>F56+Y56-U56</f>
        <v>18111.378999999997</v>
      </c>
      <c r="Z93" s="153">
        <f>SUM(W56:Z56)</f>
        <v>18519.673999999999</v>
      </c>
      <c r="AA93" s="153">
        <f>SUM(X56:AA56)</f>
        <v>19329.547999999999</v>
      </c>
      <c r="AB93" s="153">
        <f t="shared" ref="AB93:AF93" si="223">SUM(Y56:AB56)</f>
        <v>20236.642</v>
      </c>
      <c r="AC93" s="153">
        <f t="shared" si="223"/>
        <v>20390.142</v>
      </c>
      <c r="AD93" s="153">
        <f t="shared" si="223"/>
        <v>20731.280999999995</v>
      </c>
      <c r="AE93" s="153">
        <f t="shared" si="223"/>
        <v>20767.995999999996</v>
      </c>
      <c r="AF93" s="153">
        <f t="shared" si="223"/>
        <v>22204.6</v>
      </c>
      <c r="AG93" s="161"/>
      <c r="AH93" s="161"/>
      <c r="AI93" s="161"/>
      <c r="AJ93" s="161"/>
      <c r="AK93" s="161"/>
      <c r="AL93" s="161"/>
      <c r="AM93" s="161"/>
      <c r="AN93" s="161"/>
      <c r="AO93" s="161"/>
      <c r="AP93" s="161"/>
      <c r="AQ93" s="161"/>
      <c r="AR93" s="161"/>
      <c r="AS93" s="161"/>
      <c r="AT93" s="161"/>
      <c r="AU93" s="161"/>
      <c r="AV93" s="161"/>
      <c r="AW93" s="417"/>
      <c r="AX93" s="417"/>
      <c r="AY93" s="417"/>
      <c r="AZ93" s="417"/>
      <c r="BA93" s="417"/>
      <c r="BB93" s="417"/>
      <c r="BC93" s="417"/>
      <c r="BD93" s="417"/>
      <c r="BE93" s="417"/>
      <c r="BF93" s="6"/>
      <c r="BG93" s="161"/>
      <c r="BH93" s="161"/>
      <c r="BI93" s="161"/>
    </row>
    <row r="94" spans="2:63" s="5" customFormat="1" ht="13.5" customHeight="1">
      <c r="B94" s="1" t="s">
        <v>332</v>
      </c>
      <c r="C94" s="6">
        <f t="shared" ref="C94:G94" si="224">C50</f>
        <v>13802.313999999998</v>
      </c>
      <c r="D94" s="6">
        <f t="shared" si="224"/>
        <v>15810.957999999999</v>
      </c>
      <c r="E94" s="6">
        <f t="shared" si="224"/>
        <v>17223.478999999999</v>
      </c>
      <c r="F94" s="6">
        <f t="shared" si="224"/>
        <v>20401.510999999999</v>
      </c>
      <c r="G94" s="6">
        <f t="shared" si="224"/>
        <v>22372.381999999998</v>
      </c>
      <c r="H94" s="6">
        <f t="shared" ref="H94:M94" si="225">H50</f>
        <v>24247.544999999998</v>
      </c>
      <c r="I94" s="6">
        <f t="shared" si="225"/>
        <v>9103.49</v>
      </c>
      <c r="J94" s="6">
        <f t="shared" si="225"/>
        <v>24088.115000000002</v>
      </c>
      <c r="K94" s="6">
        <f t="shared" si="225"/>
        <v>30913.901999999998</v>
      </c>
      <c r="L94" s="6">
        <f t="shared" si="225"/>
        <v>35156.407999999996</v>
      </c>
      <c r="M94" s="6">
        <f t="shared" si="225"/>
        <v>37558</v>
      </c>
      <c r="N94" s="6">
        <f t="shared" ref="N94" si="226">N50</f>
        <v>37558</v>
      </c>
      <c r="O94" s="6">
        <f t="shared" ref="O94" si="227">O50</f>
        <v>28592</v>
      </c>
      <c r="P94" s="6"/>
      <c r="Q94" s="6"/>
      <c r="R94" s="6"/>
      <c r="S94" s="6"/>
      <c r="T94" s="6">
        <f t="shared" ref="T94:T99" si="228">E94</f>
        <v>17223.478999999999</v>
      </c>
      <c r="U94" s="6">
        <f>E50+U50-Q50</f>
        <v>17685.876</v>
      </c>
      <c r="V94" s="6">
        <f>E50+U50+V50-Q50-R50</f>
        <v>18516.017</v>
      </c>
      <c r="W94" s="6">
        <f>E50+U50+V50+W50-Q50-R50-S50</f>
        <v>18994.342000000001</v>
      </c>
      <c r="X94" s="6">
        <f t="shared" si="207"/>
        <v>20401.510999999999</v>
      </c>
      <c r="Y94" s="6">
        <f>F50+Y50-U50</f>
        <v>20267.32</v>
      </c>
      <c r="Z94" s="6">
        <f>SUM(W50:Z50)</f>
        <v>20720.081999999999</v>
      </c>
      <c r="AA94" s="6">
        <f>SUM(X50:AA50)</f>
        <v>21431.406999999999</v>
      </c>
      <c r="AB94" s="6">
        <f t="shared" ref="AB94:BE94" si="229">SUM(Y50:AB50)</f>
        <v>22372.382000000001</v>
      </c>
      <c r="AC94" s="6">
        <f t="shared" si="229"/>
        <v>22443.217000000001</v>
      </c>
      <c r="AD94" s="6">
        <f t="shared" si="229"/>
        <v>22866.886000000002</v>
      </c>
      <c r="AE94" s="6">
        <f t="shared" si="229"/>
        <v>23041.587</v>
      </c>
      <c r="AF94" s="6">
        <f t="shared" si="229"/>
        <v>24247.544999999998</v>
      </c>
      <c r="AG94" s="6">
        <f t="shared" si="229"/>
        <v>23851.926999999996</v>
      </c>
      <c r="AH94" s="6">
        <f t="shared" si="229"/>
        <v>16280.380999999999</v>
      </c>
      <c r="AI94" s="6">
        <f t="shared" si="229"/>
        <v>12923.125</v>
      </c>
      <c r="AJ94" s="6">
        <f t="shared" si="229"/>
        <v>9103.49</v>
      </c>
      <c r="AK94" s="6">
        <f t="shared" si="229"/>
        <v>8745.9510000000009</v>
      </c>
      <c r="AL94" s="6">
        <f t="shared" si="229"/>
        <v>16553.326000000001</v>
      </c>
      <c r="AM94" s="6">
        <f t="shared" si="229"/>
        <v>20827.427</v>
      </c>
      <c r="AN94" s="6">
        <f t="shared" si="229"/>
        <v>24088.115000000002</v>
      </c>
      <c r="AO94" s="6">
        <f t="shared" si="229"/>
        <v>26750.059000000001</v>
      </c>
      <c r="AP94" s="6">
        <f t="shared" si="229"/>
        <v>28555.497000000003</v>
      </c>
      <c r="AQ94" s="6">
        <f t="shared" si="229"/>
        <v>29478.515000000003</v>
      </c>
      <c r="AR94" s="6">
        <f t="shared" si="229"/>
        <v>30913.902000000002</v>
      </c>
      <c r="AS94" s="6">
        <f t="shared" si="229"/>
        <v>31151.315999999999</v>
      </c>
      <c r="AT94" s="6">
        <f t="shared" si="229"/>
        <v>32003.189000000002</v>
      </c>
      <c r="AU94" s="6">
        <f t="shared" si="229"/>
        <v>32819.665000000001</v>
      </c>
      <c r="AV94" s="6">
        <f>SUM(AS50:AV50)</f>
        <v>35156.408000000003</v>
      </c>
      <c r="AW94" s="6">
        <f t="shared" si="229"/>
        <v>35867.152000000002</v>
      </c>
      <c r="AX94" s="6">
        <f t="shared" si="229"/>
        <v>36420.256999999998</v>
      </c>
      <c r="AY94" s="6">
        <f t="shared" si="229"/>
        <v>36910.442999999999</v>
      </c>
      <c r="AZ94" s="6">
        <f>SUM(AW50:AZ50)</f>
        <v>37558</v>
      </c>
      <c r="BA94" s="6">
        <f t="shared" si="229"/>
        <v>37127</v>
      </c>
      <c r="BB94" s="6">
        <f t="shared" si="229"/>
        <v>36469</v>
      </c>
      <c r="BC94" s="6">
        <f t="shared" si="229"/>
        <v>35362</v>
      </c>
      <c r="BD94" s="6">
        <f>SUM(BA50:BD50)</f>
        <v>37558</v>
      </c>
      <c r="BE94" s="6">
        <f t="shared" si="229"/>
        <v>37217</v>
      </c>
      <c r="BF94" s="6"/>
      <c r="BG94" s="161"/>
      <c r="BH94" s="161"/>
      <c r="BI94" s="161"/>
    </row>
    <row r="95" spans="2:63" s="5" customFormat="1" ht="13.5" customHeight="1">
      <c r="B95" s="1" t="s">
        <v>333</v>
      </c>
      <c r="C95" s="6">
        <f t="shared" ref="C95:G95" si="230">C49</f>
        <v>778.71</v>
      </c>
      <c r="D95" s="6">
        <f t="shared" si="230"/>
        <v>940.56899999999996</v>
      </c>
      <c r="E95" s="6">
        <f t="shared" si="230"/>
        <v>1172.568</v>
      </c>
      <c r="F95" s="6">
        <f t="shared" si="230"/>
        <v>2051.0360000000001</v>
      </c>
      <c r="G95" s="6">
        <f t="shared" si="230"/>
        <v>2135.7399999999998</v>
      </c>
      <c r="H95" s="6">
        <f t="shared" ref="H95:L95" si="231">H49</f>
        <v>370.94499999999999</v>
      </c>
      <c r="I95" s="6">
        <f t="shared" si="231"/>
        <v>97.19</v>
      </c>
      <c r="J95" s="6">
        <f t="shared" si="231"/>
        <v>179.41499999999999</v>
      </c>
      <c r="K95" s="6">
        <f t="shared" si="231"/>
        <v>226.90199999999999</v>
      </c>
      <c r="L95" s="6">
        <f t="shared" si="231"/>
        <v>164.708</v>
      </c>
      <c r="M95" s="6">
        <f t="shared" ref="M95:N95" si="232">M49</f>
        <v>0</v>
      </c>
      <c r="N95" s="6">
        <f t="shared" si="232"/>
        <v>0</v>
      </c>
      <c r="O95" s="6">
        <f t="shared" ref="O95" si="233">O49</f>
        <v>0</v>
      </c>
      <c r="P95" s="6"/>
      <c r="Q95" s="6"/>
      <c r="R95" s="6"/>
      <c r="S95" s="6"/>
      <c r="T95" s="6">
        <f t="shared" si="228"/>
        <v>1172.568</v>
      </c>
      <c r="U95" s="6">
        <f>E49+U49-Q49</f>
        <v>1437.1510000000001</v>
      </c>
      <c r="V95" s="6">
        <f>E49+U49+V49-Q49-R49</f>
        <v>1610.3090000000002</v>
      </c>
      <c r="W95" s="6">
        <f>E49+U49+V49+W49-Q49-R49-S49</f>
        <v>1929.2290000000003</v>
      </c>
      <c r="X95" s="6">
        <f t="shared" si="207"/>
        <v>2051.0360000000001</v>
      </c>
      <c r="Y95" s="6">
        <f>F49+Y49-U49</f>
        <v>2155.9410000000003</v>
      </c>
      <c r="Z95" s="6">
        <f>SUM(W49:Z49)</f>
        <v>2200.4079999999999</v>
      </c>
      <c r="AA95" s="6">
        <f>SUM(X49:AA49)</f>
        <v>2101.8589999999995</v>
      </c>
      <c r="AB95" s="6">
        <f t="shared" ref="AB95:BE95" si="234">SUM(Y49:AB49)</f>
        <v>2135.7399999999998</v>
      </c>
      <c r="AC95" s="6">
        <f t="shared" si="234"/>
        <v>1605.7749999999996</v>
      </c>
      <c r="AD95" s="6">
        <f t="shared" si="234"/>
        <v>1227.2049999999999</v>
      </c>
      <c r="AE95" s="6">
        <f t="shared" si="234"/>
        <v>880.99099999999987</v>
      </c>
      <c r="AF95" s="6">
        <f t="shared" si="234"/>
        <v>370.94499999999999</v>
      </c>
      <c r="AG95" s="6">
        <f t="shared" si="234"/>
        <v>360.02700000000004</v>
      </c>
      <c r="AH95" s="6">
        <f t="shared" si="234"/>
        <v>300.48099999999999</v>
      </c>
      <c r="AI95" s="6">
        <f t="shared" si="234"/>
        <v>193.22499999999997</v>
      </c>
      <c r="AJ95" s="6">
        <f t="shared" si="234"/>
        <v>97.19</v>
      </c>
      <c r="AK95" s="6">
        <f t="shared" si="234"/>
        <v>28.150999999999993</v>
      </c>
      <c r="AL95" s="6">
        <f t="shared" si="234"/>
        <v>-68.974000000000004</v>
      </c>
      <c r="AM95" s="6">
        <f t="shared" si="234"/>
        <v>-32.873000000000005</v>
      </c>
      <c r="AN95" s="6">
        <f t="shared" si="234"/>
        <v>179.41499999999999</v>
      </c>
      <c r="AO95" s="6">
        <f t="shared" si="234"/>
        <v>192.15899999999996</v>
      </c>
      <c r="AP95" s="6">
        <f t="shared" si="234"/>
        <v>279.89699999999999</v>
      </c>
      <c r="AQ95" s="6">
        <f t="shared" si="234"/>
        <v>245.91499999999999</v>
      </c>
      <c r="AR95" s="6">
        <f t="shared" si="234"/>
        <v>226.90199999999999</v>
      </c>
      <c r="AS95" s="6">
        <f t="shared" si="234"/>
        <v>204.316</v>
      </c>
      <c r="AT95" s="6">
        <f t="shared" si="234"/>
        <v>136.88900000000001</v>
      </c>
      <c r="AU95" s="6">
        <f t="shared" si="234"/>
        <v>156.36500000000001</v>
      </c>
      <c r="AV95" s="6">
        <f t="shared" si="234"/>
        <v>164.708</v>
      </c>
      <c r="AW95" s="6">
        <f t="shared" si="234"/>
        <v>149.55199999999999</v>
      </c>
      <c r="AX95" s="6">
        <f t="shared" si="234"/>
        <v>122.65699999999998</v>
      </c>
      <c r="AY95" s="6">
        <f t="shared" si="234"/>
        <v>105.84299999999999</v>
      </c>
      <c r="AZ95" s="6">
        <f t="shared" si="234"/>
        <v>0</v>
      </c>
      <c r="BA95" s="6">
        <f t="shared" si="234"/>
        <v>0</v>
      </c>
      <c r="BB95" s="6">
        <f t="shared" si="234"/>
        <v>0</v>
      </c>
      <c r="BC95" s="6">
        <f t="shared" si="234"/>
        <v>0</v>
      </c>
      <c r="BD95" s="6">
        <f t="shared" si="234"/>
        <v>0</v>
      </c>
      <c r="BE95" s="6">
        <f t="shared" si="234"/>
        <v>0</v>
      </c>
      <c r="BF95" s="6"/>
      <c r="BG95" s="161"/>
      <c r="BH95" s="161"/>
      <c r="BI95" s="161"/>
    </row>
    <row r="96" spans="2:63" ht="13.5" customHeight="1">
      <c r="B96" s="1" t="s">
        <v>306</v>
      </c>
      <c r="C96" s="6">
        <f t="shared" ref="C96:G96" si="235">-C64</f>
        <v>1164.789</v>
      </c>
      <c r="D96" s="6">
        <f t="shared" si="235"/>
        <v>973.36099999999999</v>
      </c>
      <c r="E96" s="6">
        <f t="shared" si="235"/>
        <v>1020.24</v>
      </c>
      <c r="F96" s="6">
        <f t="shared" si="235"/>
        <v>2645.9459999999999</v>
      </c>
      <c r="G96" s="6">
        <f t="shared" si="235"/>
        <v>2744.6370000000002</v>
      </c>
      <c r="H96" s="6">
        <f t="shared" ref="H96:M96" si="236">-H64</f>
        <v>2549.259</v>
      </c>
      <c r="I96" s="6">
        <f t="shared" si="236"/>
        <v>2961.22</v>
      </c>
      <c r="J96" s="6">
        <f t="shared" si="236"/>
        <v>3594.5990000000002</v>
      </c>
      <c r="K96" s="6">
        <f t="shared" si="236"/>
        <v>2885.15</v>
      </c>
      <c r="L96" s="6">
        <f t="shared" si="236"/>
        <v>2813.277</v>
      </c>
      <c r="M96" s="6">
        <f t="shared" si="236"/>
        <v>2760.2779999999998</v>
      </c>
      <c r="N96" s="6">
        <f t="shared" ref="N96" si="237">-N64</f>
        <v>2384.527</v>
      </c>
      <c r="O96" s="6">
        <f t="shared" ref="O96" si="238">-O64</f>
        <v>2871.375</v>
      </c>
      <c r="P96" s="6"/>
      <c r="Q96" s="30"/>
      <c r="R96" s="30"/>
      <c r="S96" s="30"/>
      <c r="T96" s="6">
        <f t="shared" si="228"/>
        <v>1020.24</v>
      </c>
      <c r="U96" s="6">
        <f>-(E64+U64-Q64)</f>
        <v>1044.816</v>
      </c>
      <c r="V96" s="6">
        <f>-(E64+U64+V64-Q64-R64)</f>
        <v>1699.6959999999999</v>
      </c>
      <c r="W96" s="6">
        <f>-(E64+U64+V64+W64-Q64-R64-S64)</f>
        <v>1809.2689999999996</v>
      </c>
      <c r="X96" s="6">
        <f t="shared" si="207"/>
        <v>2645.9459999999999</v>
      </c>
      <c r="Y96" s="6">
        <f>-(F64+Y64-U64)</f>
        <v>2853.0230000000001</v>
      </c>
      <c r="Z96" s="6">
        <f>-SUM(W64:Z64)</f>
        <v>2900.107</v>
      </c>
      <c r="AA96" s="6">
        <f>-SUM(X64:AA64)</f>
        <v>2889.8660000000004</v>
      </c>
      <c r="AB96" s="6">
        <f t="shared" ref="AB96:BE96" si="239">-SUM(Y64:AB64)</f>
        <v>2744.6369999999997</v>
      </c>
      <c r="AC96" s="6">
        <f t="shared" si="239"/>
        <v>2632.27</v>
      </c>
      <c r="AD96" s="6">
        <f t="shared" si="239"/>
        <v>2592.96</v>
      </c>
      <c r="AE96" s="6">
        <f t="shared" si="239"/>
        <v>2615.4379999999996</v>
      </c>
      <c r="AF96" s="6">
        <f t="shared" si="239"/>
        <v>2549.259</v>
      </c>
      <c r="AG96" s="6">
        <f t="shared" si="239"/>
        <v>2560.4279999999999</v>
      </c>
      <c r="AH96" s="6">
        <f t="shared" si="239"/>
        <v>2815.5190000000002</v>
      </c>
      <c r="AI96" s="6">
        <f t="shared" si="239"/>
        <v>2845.8330000000005</v>
      </c>
      <c r="AJ96" s="6">
        <f t="shared" si="239"/>
        <v>2961.22</v>
      </c>
      <c r="AK96" s="6">
        <f t="shared" si="239"/>
        <v>3146.2669999999994</v>
      </c>
      <c r="AL96" s="6">
        <f t="shared" si="239"/>
        <v>2965.2260000000001</v>
      </c>
      <c r="AM96" s="6">
        <f t="shared" si="239"/>
        <v>3670.3469999999998</v>
      </c>
      <c r="AN96" s="6">
        <f t="shared" si="239"/>
        <v>3594.5990000000002</v>
      </c>
      <c r="AO96" s="6">
        <f t="shared" si="239"/>
        <v>3608.4990000000003</v>
      </c>
      <c r="AP96" s="6">
        <f t="shared" si="239"/>
        <v>3528.625</v>
      </c>
      <c r="AQ96" s="6">
        <f t="shared" si="239"/>
        <v>2921.1060000000002</v>
      </c>
      <c r="AR96" s="6">
        <f t="shared" si="239"/>
        <v>2885.1500000000005</v>
      </c>
      <c r="AS96" s="6">
        <f t="shared" si="239"/>
        <v>2818.9380000000006</v>
      </c>
      <c r="AT96" s="6">
        <f t="shared" si="239"/>
        <v>2831.2170000000006</v>
      </c>
      <c r="AU96" s="6">
        <f t="shared" si="239"/>
        <v>2827.5040000000004</v>
      </c>
      <c r="AV96" s="6">
        <f t="shared" si="239"/>
        <v>2813.277</v>
      </c>
      <c r="AW96" s="6">
        <f t="shared" si="239"/>
        <v>2797.134</v>
      </c>
      <c r="AX96" s="6">
        <f t="shared" si="239"/>
        <v>2784.5740000000001</v>
      </c>
      <c r="AY96" s="6">
        <f t="shared" si="239"/>
        <v>2770.6109999999999</v>
      </c>
      <c r="AZ96" s="6">
        <f t="shared" si="239"/>
        <v>2760.2779999999998</v>
      </c>
      <c r="BA96" s="6">
        <f t="shared" si="239"/>
        <v>2758.855</v>
      </c>
      <c r="BB96" s="6">
        <f t="shared" si="239"/>
        <v>2575.7999999999997</v>
      </c>
      <c r="BC96" s="6">
        <f t="shared" si="239"/>
        <v>3559.3189999999995</v>
      </c>
      <c r="BD96" s="6">
        <f t="shared" si="239"/>
        <v>2384.527</v>
      </c>
      <c r="BE96" s="6">
        <f t="shared" si="239"/>
        <v>3658.9720000000002</v>
      </c>
      <c r="BF96" s="6"/>
      <c r="BG96" s="161"/>
      <c r="BH96" s="161"/>
      <c r="BI96" s="161"/>
    </row>
    <row r="97" spans="2:61" ht="13.5" customHeight="1">
      <c r="B97" s="1" t="s">
        <v>334</v>
      </c>
      <c r="C97" s="6">
        <f t="shared" ref="C97:O97" si="240">+C23</f>
        <v>7764.3610000000044</v>
      </c>
      <c r="D97" s="6">
        <f t="shared" si="240"/>
        <v>9212.8989999999976</v>
      </c>
      <c r="E97" s="6">
        <f t="shared" si="240"/>
        <v>10138.908999999996</v>
      </c>
      <c r="F97" s="6">
        <f t="shared" si="240"/>
        <v>9886.3370000000014</v>
      </c>
      <c r="G97" s="6">
        <f t="shared" si="240"/>
        <v>11712.07299999998</v>
      </c>
      <c r="H97" s="6">
        <f t="shared" si="240"/>
        <v>11708.323000000011</v>
      </c>
      <c r="I97" s="6">
        <f t="shared" si="240"/>
        <v>1277.3999999999999</v>
      </c>
      <c r="J97" s="6">
        <f t="shared" si="240"/>
        <v>12878.17400000001</v>
      </c>
      <c r="K97" s="6">
        <f t="shared" si="240"/>
        <v>17397.239000000005</v>
      </c>
      <c r="L97" s="6">
        <f t="shared" si="240"/>
        <v>19501.213999999989</v>
      </c>
      <c r="M97" s="6">
        <f t="shared" si="240"/>
        <v>23169.666000000008</v>
      </c>
      <c r="N97" s="6">
        <f t="shared" si="240"/>
        <v>17167.112000000016</v>
      </c>
      <c r="O97" s="6">
        <f t="shared" si="240"/>
        <v>13470.594000000037</v>
      </c>
      <c r="P97" s="6"/>
      <c r="Q97" s="30"/>
      <c r="R97" s="30"/>
      <c r="S97" s="30"/>
      <c r="T97" s="6">
        <f t="shared" si="228"/>
        <v>10138.908999999996</v>
      </c>
      <c r="U97" s="6">
        <f>E23+U23-Q23</f>
        <v>9548.7959999999985</v>
      </c>
      <c r="V97" s="6">
        <f>E23+U23+V23-Q23-R23</f>
        <v>9425.9879999999957</v>
      </c>
      <c r="W97" s="6">
        <f>E23+U23+V23+W23-Q23-R23-S23</f>
        <v>9087.2229999999945</v>
      </c>
      <c r="X97" s="6">
        <f t="shared" si="207"/>
        <v>9886.3370000000014</v>
      </c>
      <c r="Y97" s="6">
        <f>F23+Y23-U23</f>
        <v>10088.85</v>
      </c>
      <c r="Z97" s="6">
        <f t="shared" ref="Z97:BE97" si="241">SUM(W23:Z23)</f>
        <v>10612.882000000009</v>
      </c>
      <c r="AA97" s="6">
        <f t="shared" si="241"/>
        <v>11271.442000000008</v>
      </c>
      <c r="AB97" s="6">
        <f t="shared" si="241"/>
        <v>11712.072999999973</v>
      </c>
      <c r="AC97" s="6">
        <f t="shared" si="241"/>
        <v>11675.724999999971</v>
      </c>
      <c r="AD97" s="6">
        <f t="shared" si="241"/>
        <v>11994.833999999973</v>
      </c>
      <c r="AE97" s="6">
        <f t="shared" si="241"/>
        <v>11955.167999999976</v>
      </c>
      <c r="AF97" s="6">
        <f t="shared" si="241"/>
        <v>11708.323000000006</v>
      </c>
      <c r="AG97" s="6">
        <f t="shared" si="241"/>
        <v>11566.320000000007</v>
      </c>
      <c r="AH97" s="6">
        <f t="shared" si="241"/>
        <v>5648.1460000000061</v>
      </c>
      <c r="AI97" s="6">
        <f t="shared" si="241"/>
        <v>2892.0900000000011</v>
      </c>
      <c r="AJ97" s="6">
        <f t="shared" si="241"/>
        <v>1277.3999999999978</v>
      </c>
      <c r="AK97" s="6">
        <f t="shared" si="241"/>
        <v>1149.9349999999995</v>
      </c>
      <c r="AL97" s="6">
        <f t="shared" si="241"/>
        <v>7049.4049999999952</v>
      </c>
      <c r="AM97" s="6">
        <f t="shared" si="241"/>
        <v>10203.169999999996</v>
      </c>
      <c r="AN97" s="6">
        <f t="shared" si="241"/>
        <v>12878.174000000005</v>
      </c>
      <c r="AO97" s="6">
        <f t="shared" si="241"/>
        <v>14420.777000000002</v>
      </c>
      <c r="AP97" s="6">
        <f t="shared" si="241"/>
        <v>15876.208000000006</v>
      </c>
      <c r="AQ97" s="6">
        <f t="shared" si="241"/>
        <v>16683.523000000008</v>
      </c>
      <c r="AR97" s="6">
        <f t="shared" si="241"/>
        <v>17397.238999999994</v>
      </c>
      <c r="AS97" s="6">
        <f t="shared" si="241"/>
        <v>17308.278999999995</v>
      </c>
      <c r="AT97" s="6">
        <f t="shared" si="241"/>
        <v>17536.578999999991</v>
      </c>
      <c r="AU97" s="6">
        <f t="shared" si="241"/>
        <v>18425.143999999989</v>
      </c>
      <c r="AV97" s="6">
        <f t="shared" si="241"/>
        <v>19501.213999999978</v>
      </c>
      <c r="AW97" s="6">
        <f t="shared" si="241"/>
        <v>20238.791999999979</v>
      </c>
      <c r="AX97" s="6">
        <f t="shared" si="241"/>
        <v>21764.677999999974</v>
      </c>
      <c r="AY97" s="6">
        <f t="shared" si="241"/>
        <v>22185.513999999981</v>
      </c>
      <c r="AZ97" s="6">
        <f t="shared" si="241"/>
        <v>23169.666000000005</v>
      </c>
      <c r="BA97" s="6">
        <f t="shared" si="241"/>
        <v>22603.123000000003</v>
      </c>
      <c r="BB97" s="6">
        <f t="shared" si="241"/>
        <v>19671.655000000013</v>
      </c>
      <c r="BC97" s="6">
        <f t="shared" si="241"/>
        <v>19237.195000000011</v>
      </c>
      <c r="BD97" s="6">
        <f t="shared" si="241"/>
        <v>17167.112000000041</v>
      </c>
      <c r="BE97" s="6">
        <f t="shared" si="241"/>
        <v>16769.365000000042</v>
      </c>
      <c r="BF97" s="6"/>
      <c r="BG97" s="161"/>
      <c r="BH97" s="161"/>
      <c r="BI97" s="161"/>
    </row>
    <row r="98" spans="2:61" ht="13.5" customHeight="1">
      <c r="B98" s="1" t="s">
        <v>309</v>
      </c>
      <c r="C98" s="6">
        <f t="shared" ref="C98:G98" si="242">-C67</f>
        <v>4329.91</v>
      </c>
      <c r="D98" s="6">
        <f t="shared" si="242"/>
        <v>4178.183</v>
      </c>
      <c r="E98" s="6">
        <f t="shared" si="242"/>
        <v>7057.2659999999996</v>
      </c>
      <c r="F98" s="6">
        <f t="shared" si="242"/>
        <v>7366.0940000000001</v>
      </c>
      <c r="G98" s="6">
        <f t="shared" si="242"/>
        <v>7555.7280000000001</v>
      </c>
      <c r="H98" s="6">
        <f t="shared" ref="H98:M98" si="243">-H67</f>
        <v>8041.0039999999999</v>
      </c>
      <c r="I98" s="6">
        <f t="shared" si="243"/>
        <v>3845.66</v>
      </c>
      <c r="J98" s="6">
        <f t="shared" si="243"/>
        <v>5030.8909999999996</v>
      </c>
      <c r="K98" s="6">
        <f t="shared" si="243"/>
        <v>7264.2380000000003</v>
      </c>
      <c r="L98" s="6">
        <f t="shared" si="243"/>
        <v>7635.0590000000002</v>
      </c>
      <c r="M98" s="6">
        <f t="shared" si="243"/>
        <v>9809.8510000000006</v>
      </c>
      <c r="N98" s="6">
        <f t="shared" ref="N98" si="244">-N67</f>
        <v>8834.4490000000005</v>
      </c>
      <c r="O98" s="6">
        <f t="shared" ref="O98" si="245">-O67</f>
        <v>6002.7380000000012</v>
      </c>
      <c r="P98" s="6"/>
      <c r="Q98" s="30"/>
      <c r="R98" s="30"/>
      <c r="S98" s="30"/>
      <c r="T98" s="6">
        <f t="shared" si="228"/>
        <v>7057.2659999999996</v>
      </c>
      <c r="U98" s="6">
        <f>-(E67+U67-Q67)</f>
        <v>7248.4569999999994</v>
      </c>
      <c r="V98" s="6">
        <f>-(E67+U67+V67-Q67-R67)</f>
        <v>7184.6020000000008</v>
      </c>
      <c r="W98" s="6">
        <f>-(E67+U67+V67+W67-Q67-R67-S67)</f>
        <v>6413.0450000000001</v>
      </c>
      <c r="X98" s="6">
        <f t="shared" si="207"/>
        <v>7366.0940000000001</v>
      </c>
      <c r="Y98" s="6">
        <f>-(F67+Y67-U67)</f>
        <v>7488.384</v>
      </c>
      <c r="Z98" s="6">
        <f>-SUM(W67:Z67)</f>
        <v>8260.8999999999978</v>
      </c>
      <c r="AA98" s="6">
        <f>-SUM(X67:AA67)</f>
        <v>8864.0889999999999</v>
      </c>
      <c r="AB98" s="6">
        <f t="shared" ref="AB98:BE98" si="246">-SUM(Y67:AB67)</f>
        <v>7555.7280000000001</v>
      </c>
      <c r="AC98" s="6">
        <f t="shared" si="246"/>
        <v>7717.2939999999999</v>
      </c>
      <c r="AD98" s="6">
        <f t="shared" si="246"/>
        <v>7225.9049999999997</v>
      </c>
      <c r="AE98" s="6">
        <f t="shared" si="246"/>
        <v>7282.9369999999999</v>
      </c>
      <c r="AF98" s="6">
        <f t="shared" si="246"/>
        <v>8041.0039999999999</v>
      </c>
      <c r="AG98" s="6">
        <f t="shared" si="246"/>
        <v>7328.7839999999997</v>
      </c>
      <c r="AH98" s="6">
        <f t="shared" si="246"/>
        <v>6688.5640000000003</v>
      </c>
      <c r="AI98" s="6">
        <f t="shared" si="246"/>
        <v>5399.5760000000009</v>
      </c>
      <c r="AJ98" s="6">
        <f t="shared" si="246"/>
        <v>3845.66</v>
      </c>
      <c r="AK98" s="6">
        <f t="shared" si="246"/>
        <v>4084.8490000000002</v>
      </c>
      <c r="AL98" s="6">
        <f t="shared" si="246"/>
        <v>3975.7539999999999</v>
      </c>
      <c r="AM98" s="6">
        <f t="shared" si="246"/>
        <v>4058.2719999999995</v>
      </c>
      <c r="AN98" s="6">
        <f t="shared" si="246"/>
        <v>5030.8909999999996</v>
      </c>
      <c r="AO98" s="6">
        <f t="shared" si="246"/>
        <v>4977.366</v>
      </c>
      <c r="AP98" s="6">
        <f t="shared" si="246"/>
        <v>5524.8980000000001</v>
      </c>
      <c r="AQ98" s="6">
        <f t="shared" si="246"/>
        <v>6490.9579999999996</v>
      </c>
      <c r="AR98" s="6">
        <f t="shared" si="246"/>
        <v>7264.2380000000003</v>
      </c>
      <c r="AS98" s="6">
        <f t="shared" si="246"/>
        <v>7309.3549999999996</v>
      </c>
      <c r="AT98" s="6">
        <f t="shared" si="246"/>
        <v>8022.241</v>
      </c>
      <c r="AU98" s="6">
        <f t="shared" si="246"/>
        <v>8476.1340000000018</v>
      </c>
      <c r="AV98" s="6">
        <f t="shared" si="246"/>
        <v>7635.0590000000011</v>
      </c>
      <c r="AW98" s="6">
        <f t="shared" si="246"/>
        <v>9067.6250000000018</v>
      </c>
      <c r="AX98" s="6">
        <f t="shared" si="246"/>
        <v>8616.0110000000004</v>
      </c>
      <c r="AY98" s="6">
        <f>-SUM(AV67:AY67)</f>
        <v>8632.5500000000011</v>
      </c>
      <c r="AZ98" s="6">
        <f t="shared" si="246"/>
        <v>9809.8510000000006</v>
      </c>
      <c r="BA98" s="6">
        <f t="shared" si="246"/>
        <v>9209.7820000000011</v>
      </c>
      <c r="BB98" s="6">
        <f t="shared" si="246"/>
        <v>9279.2720000000008</v>
      </c>
      <c r="BC98" s="6">
        <f>-SUM(AZ67:BC67)</f>
        <v>8734.3790000000008</v>
      </c>
      <c r="BD98" s="6">
        <f t="shared" si="246"/>
        <v>8834.4490000000005</v>
      </c>
      <c r="BE98" s="6">
        <f t="shared" si="246"/>
        <v>7791.5770000000011</v>
      </c>
      <c r="BF98" s="6"/>
      <c r="BG98" s="161"/>
      <c r="BH98" s="161"/>
      <c r="BI98" s="161"/>
    </row>
    <row r="99" spans="2:61" ht="13.5" customHeight="1">
      <c r="B99" s="1" t="s">
        <v>313</v>
      </c>
      <c r="C99" s="6">
        <f t="shared" ref="C99:G99" si="247">+C71</f>
        <v>4849.7620000000006</v>
      </c>
      <c r="D99" s="6">
        <f t="shared" si="247"/>
        <v>3643.1609999999991</v>
      </c>
      <c r="E99" s="6">
        <f t="shared" si="247"/>
        <v>2947.8849999999993</v>
      </c>
      <c r="F99" s="6">
        <f t="shared" si="247"/>
        <v>-12572.502999999997</v>
      </c>
      <c r="G99" s="6">
        <f t="shared" si="247"/>
        <v>4560.5449999999992</v>
      </c>
      <c r="H99" s="6">
        <f t="shared" ref="H99:O99" si="248">+H71</f>
        <v>7603.9617999999955</v>
      </c>
      <c r="I99" s="6">
        <f t="shared" si="248"/>
        <v>9608.7079999999987</v>
      </c>
      <c r="J99" s="6">
        <f t="shared" si="248"/>
        <v>14866.365</v>
      </c>
      <c r="K99" s="6">
        <f t="shared" si="248"/>
        <v>7856.3989999999994</v>
      </c>
      <c r="L99" s="6">
        <f t="shared" si="248"/>
        <v>14701.127999999995</v>
      </c>
      <c r="M99" s="6">
        <f t="shared" ref="M99:N99" si="249">+M71</f>
        <v>8229.5270000000019</v>
      </c>
      <c r="N99" s="6">
        <f t="shared" si="249"/>
        <v>-1781.4640000000036</v>
      </c>
      <c r="O99" s="6">
        <f t="shared" si="248"/>
        <v>10681.088999999993</v>
      </c>
      <c r="P99" s="6"/>
      <c r="Q99" s="30"/>
      <c r="R99" s="30"/>
      <c r="S99" s="30"/>
      <c r="T99" s="6">
        <f t="shared" si="228"/>
        <v>2947.8849999999993</v>
      </c>
      <c r="U99" s="6">
        <f>(E71+U71-Q71)</f>
        <v>1262.0330000000013</v>
      </c>
      <c r="V99" s="6">
        <f>(E71+U71+V71-Q71-R71)</f>
        <v>-14880.141999999996</v>
      </c>
      <c r="W99" s="6">
        <f>(E71+U71+V71+W71-Q71-R71-S71)</f>
        <v>-16062.769999999999</v>
      </c>
      <c r="X99" s="6">
        <f t="shared" si="207"/>
        <v>-12572.502999999997</v>
      </c>
      <c r="Y99" s="6">
        <f>(F71+Y71-U71)</f>
        <v>-12651.444</v>
      </c>
      <c r="Z99" s="6">
        <f>SUM(W71:Z71)</f>
        <v>5469.6209999999965</v>
      </c>
      <c r="AA99" s="6">
        <f>SUM(X71:AA71)</f>
        <v>4093.821999999996</v>
      </c>
      <c r="AB99" s="6">
        <f t="shared" ref="AB99:BE99" si="250">SUM(Y71:AB71)</f>
        <v>4560.5450000000001</v>
      </c>
      <c r="AC99" s="6">
        <f t="shared" si="250"/>
        <v>6666.4160000000002</v>
      </c>
      <c r="AD99" s="6">
        <f t="shared" si="250"/>
        <v>6678.6710000000003</v>
      </c>
      <c r="AE99" s="6">
        <f t="shared" si="250"/>
        <v>5170.3170000000009</v>
      </c>
      <c r="AF99" s="6">
        <f t="shared" si="250"/>
        <v>7603.9617999999973</v>
      </c>
      <c r="AG99" s="6">
        <f t="shared" si="250"/>
        <v>6982.5467999999964</v>
      </c>
      <c r="AH99" s="6">
        <f t="shared" si="250"/>
        <v>383.54579999999896</v>
      </c>
      <c r="AI99" s="6">
        <f t="shared" si="250"/>
        <v>9646.1787999999979</v>
      </c>
      <c r="AJ99" s="6">
        <f t="shared" si="250"/>
        <v>9608.7079999999987</v>
      </c>
      <c r="AK99" s="6">
        <f t="shared" si="250"/>
        <v>7231.378999999999</v>
      </c>
      <c r="AL99" s="6">
        <f t="shared" si="250"/>
        <v>18217.769999999997</v>
      </c>
      <c r="AM99" s="6">
        <f t="shared" si="250"/>
        <v>13182.984</v>
      </c>
      <c r="AN99" s="6">
        <f t="shared" si="250"/>
        <v>14866.365000000002</v>
      </c>
      <c r="AO99" s="6">
        <f t="shared" si="250"/>
        <v>13998.654000000004</v>
      </c>
      <c r="AP99" s="6">
        <f t="shared" si="250"/>
        <v>10287.311000000002</v>
      </c>
      <c r="AQ99" s="6">
        <f t="shared" si="250"/>
        <v>7807.4100000000017</v>
      </c>
      <c r="AR99" s="6">
        <f t="shared" si="250"/>
        <v>7856.3989999999967</v>
      </c>
      <c r="AS99" s="6">
        <f t="shared" si="250"/>
        <v>10538.791999999994</v>
      </c>
      <c r="AT99" s="6">
        <f t="shared" si="250"/>
        <v>6700.2969999999968</v>
      </c>
      <c r="AU99" s="6">
        <f t="shared" si="250"/>
        <v>9242.5989999999965</v>
      </c>
      <c r="AV99" s="6">
        <f t="shared" si="250"/>
        <v>14701.12799999999</v>
      </c>
      <c r="AW99" s="6">
        <f t="shared" si="250"/>
        <v>14743.962999999991</v>
      </c>
      <c r="AX99" s="6">
        <f t="shared" si="250"/>
        <v>16744.810999999991</v>
      </c>
      <c r="AY99" s="6">
        <f>SUM(AV71:AY71)</f>
        <v>13245.767999999989</v>
      </c>
      <c r="AZ99" s="6">
        <f t="shared" si="250"/>
        <v>8229.5270000000019</v>
      </c>
      <c r="BA99" s="6">
        <f t="shared" si="250"/>
        <v>6352.6410000000014</v>
      </c>
      <c r="BB99" s="6">
        <f t="shared" si="250"/>
        <v>-916.20899999999892</v>
      </c>
      <c r="BC99" s="6">
        <f>SUM(AZ71:BC71)</f>
        <v>6336.6860000000052</v>
      </c>
      <c r="BD99" s="6">
        <f t="shared" si="250"/>
        <v>-1781.4640000000036</v>
      </c>
      <c r="BE99" s="6">
        <f t="shared" si="250"/>
        <v>5741.6449999999932</v>
      </c>
      <c r="BF99" s="6"/>
      <c r="BG99" s="161"/>
      <c r="BH99" s="161"/>
      <c r="BI99" s="161"/>
    </row>
    <row r="100" spans="2:61" ht="13.5" customHeight="1">
      <c r="C100" s="6"/>
      <c r="D100" s="6"/>
      <c r="E100" s="6"/>
      <c r="F100" s="6"/>
      <c r="G100" s="6"/>
      <c r="H100" s="6"/>
      <c r="I100" s="6"/>
      <c r="J100" s="6"/>
      <c r="K100" s="6"/>
      <c r="L100" s="6"/>
      <c r="M100" s="6"/>
      <c r="N100" s="6"/>
      <c r="O100" s="6"/>
      <c r="P100" s="6"/>
      <c r="Q100" s="6"/>
      <c r="X100" s="6"/>
      <c r="BF100" s="6"/>
      <c r="BG100" s="138"/>
      <c r="BH100" s="138"/>
      <c r="BI100" s="138"/>
    </row>
    <row r="101" spans="2:61" ht="13.5" customHeight="1">
      <c r="B101" s="14" t="s">
        <v>335</v>
      </c>
      <c r="C101" s="33">
        <f>C88</f>
        <v>41975</v>
      </c>
      <c r="D101" s="33">
        <f t="shared" ref="D101:Z101" si="251">D88</f>
        <v>42341</v>
      </c>
      <c r="E101" s="33">
        <f t="shared" si="251"/>
        <v>42708</v>
      </c>
      <c r="F101" s="33">
        <f t="shared" si="251"/>
        <v>43100</v>
      </c>
      <c r="G101" s="33">
        <f t="shared" ref="G101:N101" si="252">G3</f>
        <v>43465</v>
      </c>
      <c r="H101" s="33">
        <f t="shared" si="252"/>
        <v>43830</v>
      </c>
      <c r="I101" s="33">
        <f t="shared" si="252"/>
        <v>44196</v>
      </c>
      <c r="J101" s="33">
        <f t="shared" si="252"/>
        <v>44561</v>
      </c>
      <c r="K101" s="33">
        <f t="shared" si="252"/>
        <v>44926</v>
      </c>
      <c r="L101" s="33">
        <f t="shared" si="252"/>
        <v>45291</v>
      </c>
      <c r="M101" s="33">
        <f t="shared" si="252"/>
        <v>45657</v>
      </c>
      <c r="N101" s="33">
        <f t="shared" si="252"/>
        <v>46022</v>
      </c>
      <c r="O101" s="240" t="str">
        <f t="shared" ref="O101" si="253">O88</f>
        <v>LTM</v>
      </c>
      <c r="P101" s="44"/>
      <c r="Q101" s="33">
        <f t="shared" si="251"/>
        <v>42437</v>
      </c>
      <c r="R101" s="33">
        <f t="shared" si="251"/>
        <v>42527</v>
      </c>
      <c r="S101" s="33">
        <f t="shared" si="251"/>
        <v>42622</v>
      </c>
      <c r="T101" s="33">
        <f t="shared" si="251"/>
        <v>42714</v>
      </c>
      <c r="U101" s="33">
        <f t="shared" si="251"/>
        <v>42801</v>
      </c>
      <c r="V101" s="33">
        <f t="shared" si="251"/>
        <v>42892</v>
      </c>
      <c r="W101" s="33">
        <f t="shared" si="251"/>
        <v>42987</v>
      </c>
      <c r="X101" s="33">
        <f t="shared" si="251"/>
        <v>43100</v>
      </c>
      <c r="Y101" s="33">
        <f t="shared" si="251"/>
        <v>43190</v>
      </c>
      <c r="Z101" s="33">
        <f t="shared" si="251"/>
        <v>43281</v>
      </c>
      <c r="AA101" s="33">
        <f>AA88</f>
        <v>43373</v>
      </c>
      <c r="AB101" s="33">
        <f>AB3</f>
        <v>43465</v>
      </c>
      <c r="AC101" s="33">
        <f t="shared" ref="AC101:AH101" si="254">AC88</f>
        <v>43555</v>
      </c>
      <c r="AD101" s="33">
        <f t="shared" si="254"/>
        <v>43646</v>
      </c>
      <c r="AE101" s="33">
        <f t="shared" si="254"/>
        <v>43738</v>
      </c>
      <c r="AF101" s="33">
        <f t="shared" si="254"/>
        <v>43830</v>
      </c>
      <c r="AG101" s="33">
        <f t="shared" si="254"/>
        <v>43921</v>
      </c>
      <c r="AH101" s="33">
        <f t="shared" si="254"/>
        <v>44012</v>
      </c>
      <c r="AI101" s="33">
        <f t="shared" ref="AI101:AN101" si="255">AI88</f>
        <v>44104</v>
      </c>
      <c r="AJ101" s="33">
        <f t="shared" si="255"/>
        <v>44196</v>
      </c>
      <c r="AK101" s="33">
        <f t="shared" si="255"/>
        <v>44286</v>
      </c>
      <c r="AL101" s="33">
        <f t="shared" si="255"/>
        <v>44377</v>
      </c>
      <c r="AM101" s="33">
        <f t="shared" si="255"/>
        <v>44469</v>
      </c>
      <c r="AN101" s="33">
        <f t="shared" si="255"/>
        <v>44561</v>
      </c>
      <c r="AO101" s="33">
        <f>AO88</f>
        <v>44651</v>
      </c>
      <c r="AP101" s="33">
        <f>AP88</f>
        <v>44742</v>
      </c>
      <c r="AQ101" s="33">
        <f>AQ88</f>
        <v>44834</v>
      </c>
      <c r="AR101" s="33">
        <f t="shared" ref="AR101" si="256">AR88</f>
        <v>44926</v>
      </c>
      <c r="AS101" s="33">
        <f>AS88</f>
        <v>45016</v>
      </c>
      <c r="AT101" s="33">
        <f>AT88</f>
        <v>45107</v>
      </c>
      <c r="AU101" s="33">
        <f>AU88</f>
        <v>45199</v>
      </c>
      <c r="AV101" s="33">
        <f t="shared" ref="AV101" si="257">AV88</f>
        <v>45291</v>
      </c>
      <c r="AW101" s="33">
        <f>AW88</f>
        <v>45382</v>
      </c>
      <c r="AX101" s="33">
        <f>AX88</f>
        <v>45473</v>
      </c>
      <c r="AY101" s="33">
        <f>AY88</f>
        <v>45536</v>
      </c>
      <c r="AZ101" s="33">
        <f t="shared" ref="AZ101" si="258">AZ88</f>
        <v>45657</v>
      </c>
      <c r="BA101" s="33">
        <f>BA88</f>
        <v>45747</v>
      </c>
      <c r="BB101" s="33">
        <f>BB88</f>
        <v>45838</v>
      </c>
      <c r="BC101" s="33">
        <f>BC88</f>
        <v>45901</v>
      </c>
      <c r="BD101" s="33">
        <f t="shared" ref="BD101" si="259">BD88</f>
        <v>46022</v>
      </c>
      <c r="BE101" s="33">
        <f>BE88</f>
        <v>46112</v>
      </c>
      <c r="BF101" s="6"/>
      <c r="BG101" s="138"/>
      <c r="BH101" s="376"/>
      <c r="BI101" s="376"/>
    </row>
    <row r="102" spans="2:61" ht="13.5" customHeight="1">
      <c r="C102" s="104"/>
      <c r="D102" s="104"/>
      <c r="E102" s="104"/>
      <c r="F102" s="104"/>
      <c r="G102" s="104"/>
      <c r="H102" s="104"/>
      <c r="I102" s="104"/>
      <c r="J102" s="104"/>
      <c r="K102" s="104"/>
      <c r="L102" s="104"/>
      <c r="M102" s="104"/>
    </row>
    <row r="103" spans="2:61" s="5" customFormat="1" ht="13.5" customHeight="1">
      <c r="B103" s="1" t="s">
        <v>336</v>
      </c>
      <c r="C103" s="4">
        <f>30390.287+15641.205</f>
        <v>46031.491999999998</v>
      </c>
      <c r="D103" s="4">
        <f>31924.823+16305.027</f>
        <v>48229.85</v>
      </c>
      <c r="E103" s="4">
        <f>35463.509+17594.019</f>
        <v>53057.527999999998</v>
      </c>
      <c r="F103" s="4">
        <f>43855.877+18922.292</f>
        <v>62778.169000000002</v>
      </c>
      <c r="G103" s="4">
        <f>47115.104+20668.307</f>
        <v>67783.410999999993</v>
      </c>
      <c r="H103" s="4">
        <f>50255.601+22346.084+11833.953</f>
        <v>84435.637999999992</v>
      </c>
      <c r="I103" s="4">
        <f>50684.9+11658+22129</f>
        <v>84471.9</v>
      </c>
      <c r="J103" s="4">
        <f>52573.6+11513.5+22431.1</f>
        <v>86518.2</v>
      </c>
      <c r="K103" s="4">
        <f>55552.887+12353.928+23507.742</f>
        <v>91414.557000000001</v>
      </c>
      <c r="L103" s="4">
        <f>59407.918+12537.638+22886.294</f>
        <v>94831.85</v>
      </c>
      <c r="M103" s="4">
        <f>64025.406+24857.941+12880.41</f>
        <v>101763.75700000001</v>
      </c>
      <c r="N103" s="4">
        <f>67291.876+26664.479+12930.894</f>
        <v>106887.24900000001</v>
      </c>
      <c r="O103" s="6">
        <f>BE103</f>
        <v>106336.996</v>
      </c>
      <c r="P103" s="6"/>
      <c r="Q103" s="6">
        <f t="shared" ref="Q103:W103" si="260">BH103</f>
        <v>0</v>
      </c>
      <c r="R103" s="6">
        <f t="shared" si="260"/>
        <v>0</v>
      </c>
      <c r="S103" s="6">
        <f t="shared" si="260"/>
        <v>0</v>
      </c>
      <c r="T103" s="6">
        <f t="shared" si="260"/>
        <v>0</v>
      </c>
      <c r="U103" s="6">
        <f t="shared" si="260"/>
        <v>0</v>
      </c>
      <c r="V103" s="6">
        <f t="shared" si="260"/>
        <v>0</v>
      </c>
      <c r="W103" s="6">
        <f t="shared" si="260"/>
        <v>0</v>
      </c>
      <c r="X103" s="6">
        <f>F103</f>
        <v>62778.169000000002</v>
      </c>
      <c r="Y103" s="63">
        <f>44449.176+19094.495</f>
        <v>63543.671000000002</v>
      </c>
      <c r="Z103" s="4">
        <f>45225.971+19741.78</f>
        <v>64967.750999999997</v>
      </c>
      <c r="AA103" s="4">
        <f>46352.924+20034.258</f>
        <v>66387.182000000001</v>
      </c>
      <c r="AB103" s="6">
        <f>G103</f>
        <v>67783.410999999993</v>
      </c>
      <c r="AC103" s="63">
        <f>47330.1+21081.341+11323.365</f>
        <v>79734.805999999997</v>
      </c>
      <c r="AD103" s="63">
        <f>48379.799+21332.507+11329.069</f>
        <v>81041.375</v>
      </c>
      <c r="AE103" s="63">
        <f>49599.458+21516.809+11326.864</f>
        <v>82443.130999999994</v>
      </c>
      <c r="AF103" s="72">
        <f>H103</f>
        <v>84435.637999999992</v>
      </c>
      <c r="AG103" s="63">
        <f>49902.736+22484.674+11710.389</f>
        <v>84097.798999999999</v>
      </c>
      <c r="AH103" s="81">
        <f>50157.635+22530.822+11402.845</f>
        <v>84091.301999999996</v>
      </c>
      <c r="AI103" s="63">
        <f>50686.187+22177.532+11437.927</f>
        <v>84301.645999999993</v>
      </c>
      <c r="AJ103" s="72">
        <f>I103</f>
        <v>84471.9</v>
      </c>
      <c r="AK103" s="4">
        <f>50956.95+11509.387+22252.526</f>
        <v>84718.862999999998</v>
      </c>
      <c r="AL103" s="81">
        <f>51128.609+22318.442+11462.704</f>
        <v>84909.75499999999</v>
      </c>
      <c r="AM103" s="63">
        <f>51335.517+22359.964+11399.051</f>
        <v>85094.532000000007</v>
      </c>
      <c r="AN103" s="72">
        <f>J103</f>
        <v>86518.2</v>
      </c>
      <c r="AO103" s="4">
        <f>52400.572+22942.405+11394.906+22883.896</f>
        <v>109621.77900000001</v>
      </c>
      <c r="AP103" s="4">
        <f>53205.122+11453.153+8881.85</f>
        <v>73540.125</v>
      </c>
      <c r="AQ103" s="63">
        <f>54286.078+22785.758+11451.696</f>
        <v>88523.532000000007</v>
      </c>
      <c r="AR103" s="72">
        <f>K103</f>
        <v>91414.557000000001</v>
      </c>
      <c r="AS103" s="4">
        <f>54957.96+24413.816+12250.558</f>
        <v>91622.334000000003</v>
      </c>
      <c r="AT103" s="4">
        <f>56363.945+24468.227+12345.475</f>
        <v>93177.646999999997</v>
      </c>
      <c r="AU103" s="63">
        <f>57994.422+24415.791+12151.427</f>
        <v>94561.64</v>
      </c>
      <c r="AV103" s="72">
        <f>L103</f>
        <v>94831.85</v>
      </c>
      <c r="AW103" s="4">
        <f>59828.967+12570.12+24326.981</f>
        <v>96726.067999999999</v>
      </c>
      <c r="AX103" s="4">
        <f>60780.107+24410.675+12524.289</f>
        <v>97715.071000000011</v>
      </c>
      <c r="AY103" s="4">
        <f>62109.807+24647.306+12459.42</f>
        <v>99216.532999999996</v>
      </c>
      <c r="AZ103" s="72">
        <f>M103</f>
        <v>101763.75700000001</v>
      </c>
      <c r="BA103" s="4">
        <f>65043.412+24912.547+12715.933</f>
        <v>102671.89200000001</v>
      </c>
      <c r="BB103" s="4">
        <f>65949.923+24892.125+12810.299</f>
        <v>103652.34699999999</v>
      </c>
      <c r="BC103" s="4">
        <f>66792.25+24963.82+12461.272</f>
        <v>104217.342</v>
      </c>
      <c r="BD103" s="72">
        <f>N103</f>
        <v>106887.24900000001</v>
      </c>
      <c r="BE103" s="4">
        <f>67281.631+26615.271+12440.094</f>
        <v>106336.996</v>
      </c>
      <c r="BF103" s="6"/>
      <c r="BG103" s="137"/>
      <c r="BH103" s="137"/>
      <c r="BI103" s="137"/>
    </row>
    <row r="104" spans="2:61" s="5" customFormat="1" ht="13.5" customHeight="1">
      <c r="B104" s="1" t="s">
        <v>337</v>
      </c>
      <c r="C104" s="105">
        <v>441.61599999999999</v>
      </c>
      <c r="D104" s="105">
        <v>526.40499999999997</v>
      </c>
      <c r="E104" s="105">
        <v>787.23099999999999</v>
      </c>
      <c r="F104" s="105">
        <v>1494.0309999999999</v>
      </c>
      <c r="G104" s="105">
        <v>1652.1859999999999</v>
      </c>
      <c r="H104" s="105">
        <v>2469.8470000000002</v>
      </c>
      <c r="I104" s="105">
        <v>2729.902</v>
      </c>
      <c r="J104" s="105">
        <v>2739.0459999999998</v>
      </c>
      <c r="K104" s="105">
        <v>3084.54</v>
      </c>
      <c r="L104" s="105">
        <f>3650.54</f>
        <v>3650.54</v>
      </c>
      <c r="M104" s="105">
        <v>3782.529</v>
      </c>
      <c r="N104" s="105">
        <v>4591.0410000000002</v>
      </c>
      <c r="O104" s="6">
        <f>BE104</f>
        <v>4441.3680000000004</v>
      </c>
      <c r="P104" s="6"/>
      <c r="Q104" s="63">
        <v>550.08399999999995</v>
      </c>
      <c r="R104" s="63">
        <v>577.60799999999995</v>
      </c>
      <c r="S104" s="63">
        <v>605.69000000000005</v>
      </c>
      <c r="T104" s="72">
        <f>+E104</f>
        <v>787.23099999999999</v>
      </c>
      <c r="U104" s="71">
        <v>813.64499999999998</v>
      </c>
      <c r="V104" s="71">
        <v>928.25800000000004</v>
      </c>
      <c r="W104" s="63">
        <v>961.94799999999998</v>
      </c>
      <c r="X104" s="6">
        <f>F104</f>
        <v>1494.0309999999999</v>
      </c>
      <c r="Y104" s="63">
        <v>1612.162</v>
      </c>
      <c r="Z104" s="105">
        <v>1684.7919999999999</v>
      </c>
      <c r="AA104" s="105">
        <v>1783.93</v>
      </c>
      <c r="AB104" s="6">
        <f>G104</f>
        <v>1652.1859999999999</v>
      </c>
      <c r="AC104" s="63">
        <v>1724.4670000000001</v>
      </c>
      <c r="AD104" s="63">
        <v>1813.9110000000001</v>
      </c>
      <c r="AE104" s="63">
        <v>1882.4929999999999</v>
      </c>
      <c r="AF104" s="72">
        <f>H104</f>
        <v>2469.8470000000002</v>
      </c>
      <c r="AG104" s="63">
        <v>2528.069</v>
      </c>
      <c r="AH104" s="63">
        <v>2573.2109999999998</v>
      </c>
      <c r="AI104" s="63">
        <v>2650.2959999999998</v>
      </c>
      <c r="AJ104" s="72">
        <f>I104</f>
        <v>2729.902</v>
      </c>
      <c r="AK104" s="105">
        <v>2748.1550000000002</v>
      </c>
      <c r="AL104" s="105">
        <v>2805.5149999999999</v>
      </c>
      <c r="AM104" s="63">
        <v>2833.4250000000002</v>
      </c>
      <c r="AN104" s="72">
        <f>J104</f>
        <v>2739.0459999999998</v>
      </c>
      <c r="AO104" s="105">
        <v>2812.5529999999999</v>
      </c>
      <c r="AP104" s="105">
        <v>2838.6970000000001</v>
      </c>
      <c r="AQ104" s="63">
        <v>2875.154</v>
      </c>
      <c r="AR104" s="72">
        <f>K104</f>
        <v>3084.54</v>
      </c>
      <c r="AS104" s="105">
        <v>3137.4870000000001</v>
      </c>
      <c r="AT104" s="105">
        <v>3211.3429999999998</v>
      </c>
      <c r="AU104" s="63">
        <v>3283.1239999999998</v>
      </c>
      <c r="AV104" s="72">
        <f>L104</f>
        <v>3650.54</v>
      </c>
      <c r="AW104" s="105">
        <f>3747.176</f>
        <v>3747.1759999999999</v>
      </c>
      <c r="AX104" s="105">
        <v>3611.3130000000001</v>
      </c>
      <c r="AY104" s="105">
        <v>3683.3209999999999</v>
      </c>
      <c r="AZ104" s="72">
        <f t="shared" ref="AZ104:AZ107" si="261">M104</f>
        <v>3782.529</v>
      </c>
      <c r="BA104" s="105">
        <v>3713.6819999999998</v>
      </c>
      <c r="BB104" s="105">
        <v>3799.799</v>
      </c>
      <c r="BC104" s="105">
        <v>3818.7379999999998</v>
      </c>
      <c r="BD104" s="72">
        <f t="shared" ref="BD104:BD107" si="262">N104</f>
        <v>4591.0410000000002</v>
      </c>
      <c r="BE104" s="105">
        <v>4441.3680000000004</v>
      </c>
      <c r="BF104" s="6"/>
      <c r="BG104" s="378"/>
      <c r="BH104" s="137"/>
      <c r="BI104" s="137"/>
    </row>
    <row r="105" spans="2:61" s="5" customFormat="1" ht="13.5" customHeight="1">
      <c r="B105" s="7" t="s">
        <v>338</v>
      </c>
      <c r="C105" s="4">
        <v>11754.464</v>
      </c>
      <c r="D105" s="4">
        <v>13849.931</v>
      </c>
      <c r="E105" s="4">
        <v>16127.450999999999</v>
      </c>
      <c r="F105" s="4">
        <v>18486.422999999999</v>
      </c>
      <c r="G105" s="4">
        <v>20673.219000000001</v>
      </c>
      <c r="H105" s="4">
        <v>23340.420999999998</v>
      </c>
      <c r="I105" s="4">
        <v>21475</v>
      </c>
      <c r="J105" s="4">
        <v>23120.3</v>
      </c>
      <c r="K105" s="4">
        <v>28140.675999999999</v>
      </c>
      <c r="L105" s="4">
        <v>28238.59</v>
      </c>
      <c r="M105" s="4">
        <v>35039.249000000003</v>
      </c>
      <c r="N105" s="4">
        <v>37250.159</v>
      </c>
      <c r="O105" s="6">
        <f>BE105</f>
        <v>43602.37</v>
      </c>
      <c r="P105" s="6"/>
      <c r="Q105" s="63">
        <v>15396.361999999999</v>
      </c>
      <c r="R105" s="63">
        <v>15778.2</v>
      </c>
      <c r="S105" s="63">
        <v>18139.120999999999</v>
      </c>
      <c r="T105" s="72">
        <f>+E105</f>
        <v>16127.450999999999</v>
      </c>
      <c r="U105" s="63">
        <v>16432.053</v>
      </c>
      <c r="V105" s="63">
        <v>19240.161</v>
      </c>
      <c r="W105" s="63">
        <v>22004.023000000001</v>
      </c>
      <c r="X105" s="6">
        <f>F105</f>
        <v>18486.422999999999</v>
      </c>
      <c r="Y105" s="63">
        <v>19692.614000000001</v>
      </c>
      <c r="Z105" s="4">
        <v>20634.98</v>
      </c>
      <c r="AA105" s="4">
        <v>23615.723999999998</v>
      </c>
      <c r="AB105" s="6">
        <f>G105</f>
        <v>20673.219000000001</v>
      </c>
      <c r="AC105" s="63">
        <v>21477.687000000002</v>
      </c>
      <c r="AD105" s="63">
        <v>22967.057000000001</v>
      </c>
      <c r="AE105" s="63">
        <v>28276.552</v>
      </c>
      <c r="AF105" s="72">
        <f>H105</f>
        <v>23340.420999999998</v>
      </c>
      <c r="AG105" s="63">
        <v>26602.069</v>
      </c>
      <c r="AH105" s="63">
        <v>25809.698</v>
      </c>
      <c r="AI105" s="63">
        <v>26908.498</v>
      </c>
      <c r="AJ105" s="72">
        <f>I105</f>
        <v>21475</v>
      </c>
      <c r="AK105" s="4">
        <v>22231.024000000001</v>
      </c>
      <c r="AL105" s="4">
        <v>22584.133000000002</v>
      </c>
      <c r="AM105" s="63">
        <v>27286.892</v>
      </c>
      <c r="AN105" s="72">
        <f>J105</f>
        <v>23120.3</v>
      </c>
      <c r="AO105" s="4">
        <v>25916.238000000001</v>
      </c>
      <c r="AP105" s="4">
        <v>28789.652999999998</v>
      </c>
      <c r="AQ105" s="63">
        <v>34317.771999999997</v>
      </c>
      <c r="AR105" s="72">
        <f>K105</f>
        <v>28140.675999999999</v>
      </c>
      <c r="AS105" s="4">
        <v>31284.328000000001</v>
      </c>
      <c r="AT105" s="4">
        <v>31015.381000000001</v>
      </c>
      <c r="AU105" s="63">
        <v>35018.087</v>
      </c>
      <c r="AV105" s="72">
        <f>L105</f>
        <v>28238.59</v>
      </c>
      <c r="AW105" s="4">
        <v>32676.255000000001</v>
      </c>
      <c r="AX105" s="4">
        <v>33614.781999999999</v>
      </c>
      <c r="AY105" s="4">
        <v>42021.213000000003</v>
      </c>
      <c r="AZ105" s="72">
        <f t="shared" si="261"/>
        <v>35039.249000000003</v>
      </c>
      <c r="BA105" s="4">
        <v>39664.724000000002</v>
      </c>
      <c r="BB105" s="4">
        <v>41208.762999999999</v>
      </c>
      <c r="BC105" s="4">
        <v>48681.082999999999</v>
      </c>
      <c r="BD105" s="72">
        <f t="shared" si="262"/>
        <v>37250.159</v>
      </c>
      <c r="BE105" s="4">
        <v>43602.37</v>
      </c>
      <c r="BF105" s="6"/>
      <c r="BG105" s="137"/>
      <c r="BH105" s="137"/>
      <c r="BI105" s="137"/>
    </row>
    <row r="106" spans="2:61" s="5" customFormat="1" ht="13.5" customHeight="1">
      <c r="B106" s="7" t="s">
        <v>339</v>
      </c>
      <c r="C106" s="4">
        <f>21049.7+1817.713+208.08</f>
        <v>23075.493000000002</v>
      </c>
      <c r="D106" s="4">
        <v>25334.237000000001</v>
      </c>
      <c r="E106" s="4">
        <v>27901.791000000001</v>
      </c>
      <c r="F106" s="4">
        <v>30577.132000000001</v>
      </c>
      <c r="G106" s="4">
        <v>31697.420999999998</v>
      </c>
      <c r="H106" s="4">
        <v>33274.035000000003</v>
      </c>
      <c r="I106" s="4">
        <v>30738.699000000001</v>
      </c>
      <c r="J106" s="4">
        <v>32494.873</v>
      </c>
      <c r="K106" s="4">
        <v>41116.137000000002</v>
      </c>
      <c r="L106" s="4">
        <v>50730.180999999997</v>
      </c>
      <c r="M106" s="4">
        <v>57525.722999999998</v>
      </c>
      <c r="N106" s="4">
        <v>63614.232000000004</v>
      </c>
      <c r="O106" s="6">
        <f>BE106</f>
        <v>54031.158000000003</v>
      </c>
      <c r="P106" s="6"/>
      <c r="Q106" s="63">
        <v>23013.606</v>
      </c>
      <c r="R106" s="63">
        <v>24293.473000000002</v>
      </c>
      <c r="S106" s="63">
        <v>38268.6</v>
      </c>
      <c r="T106" s="72">
        <f>+E106</f>
        <v>27901.791000000001</v>
      </c>
      <c r="U106" s="63">
        <v>24135.501</v>
      </c>
      <c r="V106" s="63">
        <v>25210.634999999998</v>
      </c>
      <c r="W106" s="63">
        <v>25145.072</v>
      </c>
      <c r="X106" s="6">
        <f>F106</f>
        <v>30577.132000000001</v>
      </c>
      <c r="Y106" s="63">
        <v>26958.788</v>
      </c>
      <c r="Z106" s="4">
        <v>27390.63</v>
      </c>
      <c r="AA106" s="4">
        <v>26568.365000000002</v>
      </c>
      <c r="AB106" s="6">
        <f>G106</f>
        <v>31697.420999999998</v>
      </c>
      <c r="AC106" s="63">
        <v>26947.909</v>
      </c>
      <c r="AD106" s="63">
        <v>29200.393</v>
      </c>
      <c r="AE106" s="63">
        <v>28151.266</v>
      </c>
      <c r="AF106" s="72">
        <f>H106</f>
        <v>33274.035000000003</v>
      </c>
      <c r="AG106" s="63">
        <v>28747.675999999999</v>
      </c>
      <c r="AH106" s="63">
        <v>26063.675999999999</v>
      </c>
      <c r="AI106" s="63">
        <v>23359.88</v>
      </c>
      <c r="AJ106" s="72">
        <f>I106</f>
        <v>30738.699000000001</v>
      </c>
      <c r="AK106" s="4">
        <v>27822.923999999999</v>
      </c>
      <c r="AL106" s="4">
        <v>31507.111000000001</v>
      </c>
      <c r="AM106" s="63">
        <v>29772.101999999999</v>
      </c>
      <c r="AN106" s="72">
        <f>J106</f>
        <v>32494.873</v>
      </c>
      <c r="AO106" s="4">
        <v>31192.449000000001</v>
      </c>
      <c r="AP106" s="4">
        <v>34057.784</v>
      </c>
      <c r="AQ106" s="63">
        <v>33085.171999999999</v>
      </c>
      <c r="AR106" s="72">
        <f>K106</f>
        <v>41116.137000000002</v>
      </c>
      <c r="AS106" s="4">
        <v>36552.28</v>
      </c>
      <c r="AT106" s="4">
        <v>40583.993999999999</v>
      </c>
      <c r="AU106" s="63">
        <v>38900.275999999998</v>
      </c>
      <c r="AV106" s="72">
        <f>L106</f>
        <v>50730.180999999997</v>
      </c>
      <c r="AW106" s="4">
        <v>44710.345000000001</v>
      </c>
      <c r="AX106" s="4">
        <v>48516.989000000001</v>
      </c>
      <c r="AY106" s="4">
        <v>45871.627999999997</v>
      </c>
      <c r="AZ106" s="72">
        <f t="shared" si="261"/>
        <v>57525.722999999998</v>
      </c>
      <c r="BA106" s="4">
        <v>50593.786999999997</v>
      </c>
      <c r="BB106" s="4">
        <v>62081.093000000001</v>
      </c>
      <c r="BC106" s="4">
        <v>55014.624000000003</v>
      </c>
      <c r="BD106" s="72">
        <f t="shared" si="262"/>
        <v>63614.232000000004</v>
      </c>
      <c r="BE106" s="4">
        <v>54031.158000000003</v>
      </c>
      <c r="BF106" s="6"/>
      <c r="BG106" s="137"/>
      <c r="BH106" s="137"/>
      <c r="BI106" s="137"/>
    </row>
    <row r="107" spans="2:61" s="5" customFormat="1" ht="13.5" customHeight="1">
      <c r="B107" s="7" t="s">
        <v>340</v>
      </c>
      <c r="C107" s="4">
        <v>12949.986999999999</v>
      </c>
      <c r="D107" s="4">
        <v>17219.2</v>
      </c>
      <c r="E107" s="4">
        <v>21287.155999999999</v>
      </c>
      <c r="F107" s="4">
        <v>25039.704000000002</v>
      </c>
      <c r="G107" s="4">
        <v>26261.484</v>
      </c>
      <c r="H107" s="4">
        <v>25494.773000000001</v>
      </c>
      <c r="I107" s="4">
        <v>29051.295999999998</v>
      </c>
      <c r="J107" s="4">
        <v>33460.928</v>
      </c>
      <c r="K107" s="4">
        <v>36743.767</v>
      </c>
      <c r="L107" s="4">
        <v>41297.572999999997</v>
      </c>
      <c r="M107" s="4">
        <v>42090.805</v>
      </c>
      <c r="N107" s="4">
        <v>43431.932999999997</v>
      </c>
      <c r="O107" s="6">
        <f>BE107</f>
        <v>38167.413</v>
      </c>
      <c r="P107" s="6"/>
      <c r="Q107" s="63">
        <v>15577.272999999999</v>
      </c>
      <c r="R107" s="63">
        <v>16368.517</v>
      </c>
      <c r="S107" s="63">
        <v>17586.184000000001</v>
      </c>
      <c r="T107" s="72">
        <f>+E107</f>
        <v>21287.155999999999</v>
      </c>
      <c r="U107" s="63">
        <v>15981.673000000001</v>
      </c>
      <c r="V107" s="63">
        <v>19534.714</v>
      </c>
      <c r="W107" s="63">
        <v>20882.858</v>
      </c>
      <c r="X107" s="6">
        <f>F107</f>
        <v>25039.704000000002</v>
      </c>
      <c r="Y107" s="63">
        <v>20575.351999999999</v>
      </c>
      <c r="Z107" s="4">
        <v>22520.131000000001</v>
      </c>
      <c r="AA107" s="4">
        <v>22387.205999999998</v>
      </c>
      <c r="AB107" s="6">
        <f>G107</f>
        <v>26261.484</v>
      </c>
      <c r="AC107" s="63">
        <v>21199.628000000001</v>
      </c>
      <c r="AD107" s="63">
        <v>24670.172999999999</v>
      </c>
      <c r="AE107" s="63">
        <v>23632.621999999999</v>
      </c>
      <c r="AF107" s="72">
        <f>H107</f>
        <v>25494.773000000001</v>
      </c>
      <c r="AG107" s="63">
        <v>22536.16</v>
      </c>
      <c r="AH107" s="63">
        <v>13169.677</v>
      </c>
      <c r="AI107" s="63">
        <v>22257.647000000001</v>
      </c>
      <c r="AJ107" s="72">
        <f>I107</f>
        <v>29051.295999999998</v>
      </c>
      <c r="AK107" s="4">
        <v>20708.441999999999</v>
      </c>
      <c r="AL107" s="4">
        <v>27192.995999999999</v>
      </c>
      <c r="AM107" s="63">
        <v>27602.991999999998</v>
      </c>
      <c r="AN107" s="72">
        <f>J107</f>
        <v>33460.928</v>
      </c>
      <c r="AO107" s="4">
        <v>26807.194</v>
      </c>
      <c r="AP107" s="4">
        <v>31089.34</v>
      </c>
      <c r="AQ107" s="63">
        <v>30289.348999999998</v>
      </c>
      <c r="AR107" s="72">
        <f>K107</f>
        <v>36743.767</v>
      </c>
      <c r="AS107" s="4">
        <v>33410.843000000001</v>
      </c>
      <c r="AT107" s="4">
        <v>32486.108</v>
      </c>
      <c r="AU107" s="63">
        <v>32057.154999999999</v>
      </c>
      <c r="AV107" s="72">
        <f>L107</f>
        <v>41297.572999999997</v>
      </c>
      <c r="AW107" s="4">
        <v>36684.025000000001</v>
      </c>
      <c r="AX107" s="4">
        <v>37438.428</v>
      </c>
      <c r="AY107" s="4">
        <v>36914.114000000001</v>
      </c>
      <c r="AZ107" s="72">
        <f t="shared" si="261"/>
        <v>42090.805</v>
      </c>
      <c r="BA107" s="4">
        <v>36748.118999999999</v>
      </c>
      <c r="BB107" s="4">
        <v>37991.83</v>
      </c>
      <c r="BC107" s="4">
        <v>40484.267999999996</v>
      </c>
      <c r="BD107" s="72">
        <f t="shared" si="262"/>
        <v>43431.932999999997</v>
      </c>
      <c r="BE107" s="4">
        <v>38167.413</v>
      </c>
      <c r="BF107" s="6"/>
      <c r="BG107" s="137"/>
      <c r="BH107" s="137"/>
      <c r="BI107" s="137"/>
    </row>
    <row r="108" spans="2:61" s="5" customFormat="1" ht="13.5" customHeight="1">
      <c r="B108" s="1" t="s">
        <v>341</v>
      </c>
      <c r="C108" s="8">
        <f t="shared" ref="C108:V108" si="263">C105+C106-C107</f>
        <v>21879.97</v>
      </c>
      <c r="D108" s="8">
        <f t="shared" si="263"/>
        <v>21964.968000000004</v>
      </c>
      <c r="E108" s="79">
        <f t="shared" si="263"/>
        <v>22742.085999999999</v>
      </c>
      <c r="F108" s="79">
        <f t="shared" ref="F108:J108" si="264">F105+F106-F107</f>
        <v>24023.850999999999</v>
      </c>
      <c r="G108" s="79">
        <f t="shared" si="264"/>
        <v>26109.155999999999</v>
      </c>
      <c r="H108" s="79">
        <f t="shared" si="264"/>
        <v>31119.683000000005</v>
      </c>
      <c r="I108" s="79">
        <f t="shared" si="264"/>
        <v>23162.403000000002</v>
      </c>
      <c r="J108" s="79">
        <f t="shared" si="264"/>
        <v>22154.244999999995</v>
      </c>
      <c r="K108" s="79">
        <f t="shared" ref="K108:L108" si="265">K105+K106-K107</f>
        <v>32513.045999999995</v>
      </c>
      <c r="L108" s="79">
        <f t="shared" si="265"/>
        <v>37671.197999999997</v>
      </c>
      <c r="M108" s="79">
        <f t="shared" ref="M108:N108" si="266">M105+M106-M107</f>
        <v>50474.167000000009</v>
      </c>
      <c r="N108" s="79">
        <f t="shared" si="266"/>
        <v>57432.458000000006</v>
      </c>
      <c r="O108" s="79">
        <f>O105+O106-O107</f>
        <v>59466.115000000005</v>
      </c>
      <c r="P108" s="79"/>
      <c r="Q108" s="79">
        <f t="shared" si="263"/>
        <v>22832.695</v>
      </c>
      <c r="R108" s="79">
        <f t="shared" si="263"/>
        <v>23703.156000000003</v>
      </c>
      <c r="S108" s="79">
        <f t="shared" si="263"/>
        <v>38821.536999999997</v>
      </c>
      <c r="T108" s="79">
        <f t="shared" si="263"/>
        <v>22742.085999999999</v>
      </c>
      <c r="U108" s="79">
        <f t="shared" si="263"/>
        <v>24585.881000000001</v>
      </c>
      <c r="V108" s="79">
        <f t="shared" si="263"/>
        <v>24916.082000000002</v>
      </c>
      <c r="W108" s="79">
        <f t="shared" ref="W108:AB108" si="267">W105+W106-W107</f>
        <v>26266.237000000001</v>
      </c>
      <c r="X108" s="112">
        <f t="shared" si="267"/>
        <v>24023.850999999999</v>
      </c>
      <c r="Y108" s="79">
        <f t="shared" si="267"/>
        <v>26076.050000000003</v>
      </c>
      <c r="Z108" s="79">
        <f t="shared" si="267"/>
        <v>25505.478999999999</v>
      </c>
      <c r="AA108" s="79">
        <f t="shared" si="267"/>
        <v>27796.883000000002</v>
      </c>
      <c r="AB108" s="79">
        <f t="shared" si="267"/>
        <v>26109.155999999999</v>
      </c>
      <c r="AC108" s="79">
        <f t="shared" ref="AC108:AH108" si="268">AC105+AC106-AC107</f>
        <v>27225.968000000004</v>
      </c>
      <c r="AD108" s="79">
        <f t="shared" si="268"/>
        <v>27497.276999999998</v>
      </c>
      <c r="AE108" s="79">
        <f t="shared" si="268"/>
        <v>32795.195999999996</v>
      </c>
      <c r="AF108" s="79">
        <f t="shared" si="268"/>
        <v>31119.683000000005</v>
      </c>
      <c r="AG108" s="79">
        <f t="shared" si="268"/>
        <v>32813.584999999992</v>
      </c>
      <c r="AH108" s="79">
        <f t="shared" si="268"/>
        <v>38703.697</v>
      </c>
      <c r="AI108" s="79">
        <f t="shared" ref="AI108:AN108" si="269">AI105+AI106-AI107</f>
        <v>28010.730999999996</v>
      </c>
      <c r="AJ108" s="79">
        <f t="shared" si="269"/>
        <v>23162.403000000002</v>
      </c>
      <c r="AK108" s="79">
        <f t="shared" si="269"/>
        <v>29345.506000000005</v>
      </c>
      <c r="AL108" s="79">
        <f t="shared" si="269"/>
        <v>26898.248000000007</v>
      </c>
      <c r="AM108" s="79">
        <f t="shared" si="269"/>
        <v>29456.002</v>
      </c>
      <c r="AN108" s="79">
        <f t="shared" si="269"/>
        <v>22154.244999999995</v>
      </c>
      <c r="AO108" s="79">
        <f>AO105+AO106-AO107</f>
        <v>30301.493000000006</v>
      </c>
      <c r="AP108" s="79">
        <f>AP105+AP106-AP107</f>
        <v>31758.096999999998</v>
      </c>
      <c r="AQ108" s="79">
        <f>AQ105+AQ106-AQ107</f>
        <v>37113.594999999987</v>
      </c>
      <c r="AR108" s="79">
        <f t="shared" ref="AR108" si="270">AR105+AR106-AR107</f>
        <v>32513.045999999995</v>
      </c>
      <c r="AS108" s="79">
        <f>AS105+AS106-AS107</f>
        <v>34425.765000000007</v>
      </c>
      <c r="AT108" s="79">
        <f>AT105+AT106-AT107</f>
        <v>39113.267</v>
      </c>
      <c r="AU108" s="79">
        <f>AU105+AU106-AU107</f>
        <v>41861.207999999999</v>
      </c>
      <c r="AV108" s="79">
        <f t="shared" ref="AV108" si="271">AV105+AV106-AV107</f>
        <v>37671.197999999997</v>
      </c>
      <c r="AW108" s="79">
        <f>AW105+AW106-AW107</f>
        <v>40702.575000000004</v>
      </c>
      <c r="AX108" s="79">
        <f>AX105+AX106-AX107</f>
        <v>44693.343000000008</v>
      </c>
      <c r="AY108" s="79">
        <f>AY105+AY106-AY107</f>
        <v>50978.726999999999</v>
      </c>
      <c r="AZ108" s="79">
        <f t="shared" ref="AZ108" si="272">AZ105+AZ106-AZ107</f>
        <v>50474.167000000009</v>
      </c>
      <c r="BA108" s="79">
        <f>BA105+BA106-BA107</f>
        <v>53510.392</v>
      </c>
      <c r="BB108" s="79">
        <f>BB105+BB106-BB107</f>
        <v>65298.025999999998</v>
      </c>
      <c r="BC108" s="79">
        <f>BC105+BC106-BC107</f>
        <v>63211.438999999998</v>
      </c>
      <c r="BD108" s="79">
        <f t="shared" ref="BD108" si="273">BD105+BD106-BD107</f>
        <v>57432.458000000006</v>
      </c>
      <c r="BE108" s="79">
        <f>BE105+BE106-BE107</f>
        <v>59466.115000000005</v>
      </c>
      <c r="BF108" s="6"/>
      <c r="BG108" s="163"/>
      <c r="BH108" s="163"/>
      <c r="BI108" s="163"/>
    </row>
    <row r="109" spans="2:61" s="25" customFormat="1" ht="13.5" customHeight="1">
      <c r="B109" s="20" t="s">
        <v>342</v>
      </c>
      <c r="C109" s="32">
        <f t="shared" ref="C109:G109" si="274">+C108/C89</f>
        <v>0.26941267181284156</v>
      </c>
      <c r="D109" s="32">
        <f t="shared" si="274"/>
        <v>0.24059889264759718</v>
      </c>
      <c r="E109" s="32">
        <f t="shared" si="274"/>
        <v>0.22642112920296242</v>
      </c>
      <c r="F109" s="32">
        <f t="shared" si="274"/>
        <v>0.19664557114699144</v>
      </c>
      <c r="G109" s="32">
        <f t="shared" si="274"/>
        <v>0.19263809323706213</v>
      </c>
      <c r="H109" s="32">
        <f t="shared" ref="H109:L109" si="275">+H108/H89</f>
        <v>0.21575903995733808</v>
      </c>
      <c r="I109" s="32">
        <f t="shared" si="275"/>
        <v>0.20058804477256492</v>
      </c>
      <c r="J109" s="32">
        <f t="shared" si="275"/>
        <v>0.14669577285913213</v>
      </c>
      <c r="K109" s="32">
        <f t="shared" si="275"/>
        <v>0.1846978294840329</v>
      </c>
      <c r="L109" s="32">
        <f t="shared" si="275"/>
        <v>0.19220820473536257</v>
      </c>
      <c r="M109" s="32">
        <f t="shared" ref="M109:N109" si="276">+M108/M89</f>
        <v>0.23492979830365648</v>
      </c>
      <c r="N109" s="32">
        <f t="shared" si="276"/>
        <v>0.25064725257002274</v>
      </c>
      <c r="O109" s="32">
        <f t="shared" ref="O109" si="277">+O108/O89</f>
        <v>0.34452562237359174</v>
      </c>
      <c r="P109" s="239"/>
      <c r="Q109" s="32"/>
      <c r="R109" s="32"/>
      <c r="S109" s="32"/>
      <c r="T109" s="32">
        <f t="shared" ref="T109:Y109" si="278">+T108/T89</f>
        <v>0.22642112920296242</v>
      </c>
      <c r="U109" s="32">
        <f t="shared" si="278"/>
        <v>0.24101683953772854</v>
      </c>
      <c r="V109" s="32">
        <f t="shared" si="278"/>
        <v>0.23150321550645733</v>
      </c>
      <c r="W109" s="32">
        <f t="shared" si="278"/>
        <v>0.23259335263299399</v>
      </c>
      <c r="X109" s="32">
        <f t="shared" si="278"/>
        <v>0.19664557114699144</v>
      </c>
      <c r="Y109" s="32">
        <f t="shared" si="278"/>
        <v>0.20568107616966316</v>
      </c>
      <c r="Z109" s="32">
        <f t="shared" ref="Z109:AE109" si="279">+Z108/Z89</f>
        <v>0.19693901746703157</v>
      </c>
      <c r="AA109" s="32">
        <f t="shared" si="279"/>
        <v>0.21108393282133867</v>
      </c>
      <c r="AB109" s="32">
        <f t="shared" si="279"/>
        <v>0.19263809323706213</v>
      </c>
      <c r="AC109" s="32">
        <f t="shared" si="279"/>
        <v>0.19765970230842794</v>
      </c>
      <c r="AD109" s="32">
        <f t="shared" si="279"/>
        <v>0.19533249059736105</v>
      </c>
      <c r="AE109" s="32">
        <f t="shared" si="279"/>
        <v>0.2314850184454941</v>
      </c>
      <c r="AF109" s="32">
        <f t="shared" ref="AF109:AK109" si="280">+AF108/AF89</f>
        <v>0.21575903995733811</v>
      </c>
      <c r="AG109" s="32">
        <f t="shared" si="280"/>
        <v>0.22868312847800717</v>
      </c>
      <c r="AH109" s="32">
        <f t="shared" si="280"/>
        <v>0.31576265939443077</v>
      </c>
      <c r="AI109" s="32">
        <f t="shared" si="280"/>
        <v>0.23471459617540322</v>
      </c>
      <c r="AJ109" s="32">
        <f t="shared" si="280"/>
        <v>0.20058804477256492</v>
      </c>
      <c r="AK109" s="32">
        <f t="shared" si="280"/>
        <v>0.25666544153925036</v>
      </c>
      <c r="AL109" s="32">
        <f t="shared" ref="AL109:AQ109" si="281">+AL108/AL89</f>
        <v>0.19615815206926826</v>
      </c>
      <c r="AM109" s="32">
        <f t="shared" si="281"/>
        <v>0.20737668149627617</v>
      </c>
      <c r="AN109" s="32">
        <f t="shared" si="281"/>
        <v>0.14669577285913213</v>
      </c>
      <c r="AO109" s="32">
        <f t="shared" si="281"/>
        <v>0.19216820842980356</v>
      </c>
      <c r="AP109" s="32">
        <f t="shared" si="281"/>
        <v>0.19518881866867235</v>
      </c>
      <c r="AQ109" s="32">
        <f t="shared" si="281"/>
        <v>0.21969868925931493</v>
      </c>
      <c r="AR109" s="32">
        <f t="shared" ref="AR109:AU109" si="282">+AR108/AR89</f>
        <v>0.18469782948403293</v>
      </c>
      <c r="AS109" s="32">
        <f t="shared" si="282"/>
        <v>0.18982367550682214</v>
      </c>
      <c r="AT109" s="32">
        <f t="shared" si="282"/>
        <v>0.20985373327366424</v>
      </c>
      <c r="AU109" s="32">
        <f t="shared" si="282"/>
        <v>0.22028590801775311</v>
      </c>
      <c r="AV109" s="32">
        <f t="shared" ref="AV109:AW109" si="283">+AV108/AV89</f>
        <v>0.19220820473536257</v>
      </c>
      <c r="AW109" s="32">
        <f t="shared" si="283"/>
        <v>0.20387735061724552</v>
      </c>
      <c r="AX109" s="32">
        <f>+AX108/AX89</f>
        <v>0.21877102359426875</v>
      </c>
      <c r="AY109" s="32">
        <f>+AY108/AY89</f>
        <v>0.24433078162328789</v>
      </c>
      <c r="AZ109" s="32">
        <f t="shared" ref="AZ109:BA109" si="284">+AZ108/AZ89</f>
        <v>0.23492979830365648</v>
      </c>
      <c r="BA109" s="32">
        <f t="shared" si="284"/>
        <v>0.24416695865569107</v>
      </c>
      <c r="BB109" s="32">
        <f>+BB108/BB89</f>
        <v>0.29236862798739638</v>
      </c>
      <c r="BC109" s="32">
        <f>+BC108/BC89</f>
        <v>0.28050586610236372</v>
      </c>
      <c r="BD109" s="32">
        <f t="shared" ref="BD109:BE109" si="285">+BD108/BD89</f>
        <v>0.25064725257002274</v>
      </c>
      <c r="BE109" s="32">
        <f t="shared" si="285"/>
        <v>0.25964692156348274</v>
      </c>
      <c r="BG109" s="379"/>
      <c r="BH109" s="379"/>
      <c r="BI109" s="379"/>
    </row>
    <row r="110" spans="2:61" s="25" customFormat="1" ht="13.5" customHeight="1">
      <c r="B110" s="256"/>
      <c r="C110" s="239"/>
      <c r="D110" s="239"/>
      <c r="E110" s="239"/>
      <c r="F110" s="239"/>
      <c r="G110" s="239"/>
      <c r="H110" s="239"/>
      <c r="I110" s="239"/>
      <c r="J110" s="239"/>
      <c r="K110" s="239"/>
      <c r="L110" s="239"/>
      <c r="M110" s="239"/>
      <c r="N110" s="239"/>
      <c r="O110" s="239"/>
      <c r="P110" s="239"/>
      <c r="Q110" s="239"/>
      <c r="R110" s="239"/>
      <c r="S110" s="239"/>
      <c r="T110" s="239"/>
      <c r="U110" s="239"/>
      <c r="V110" s="239"/>
      <c r="W110" s="239"/>
      <c r="X110" s="239"/>
      <c r="Y110" s="239"/>
      <c r="Z110" s="239"/>
      <c r="AA110" s="239"/>
      <c r="AB110" s="239"/>
      <c r="AC110" s="239"/>
      <c r="AD110" s="239"/>
      <c r="AE110" s="239"/>
      <c r="AF110" s="239"/>
      <c r="AG110" s="239"/>
      <c r="AH110" s="239"/>
      <c r="AI110" s="239"/>
      <c r="AJ110" s="239"/>
      <c r="AK110" s="239"/>
      <c r="AL110" s="239"/>
      <c r="AM110" s="239"/>
      <c r="AN110" s="239"/>
      <c r="AO110" s="239"/>
      <c r="AP110" s="239"/>
      <c r="AQ110" s="239"/>
      <c r="AR110" s="239"/>
      <c r="AS110" s="239"/>
      <c r="AT110" s="239"/>
      <c r="AU110" s="239"/>
      <c r="AV110" s="239"/>
      <c r="AW110" s="239"/>
      <c r="AX110" s="239"/>
      <c r="AY110" s="239"/>
      <c r="AZ110" s="239"/>
      <c r="BA110" s="239"/>
      <c r="BB110" s="239"/>
      <c r="BC110" s="239"/>
      <c r="BD110" s="239"/>
      <c r="BE110" s="239"/>
      <c r="BG110" s="239"/>
      <c r="BH110" s="239"/>
      <c r="BI110" s="239"/>
    </row>
    <row r="111" spans="2:61" s="25" customFormat="1" ht="13.5" customHeight="1">
      <c r="B111" s="25" t="s">
        <v>343</v>
      </c>
      <c r="C111" s="418">
        <f t="shared" ref="C111:O111" si="286">(C105/-C13)*365</f>
        <v>89.023173671074673</v>
      </c>
      <c r="D111" s="418">
        <f t="shared" si="286"/>
        <v>93.358069412912997</v>
      </c>
      <c r="E111" s="418">
        <f t="shared" si="286"/>
        <v>97.932698042580355</v>
      </c>
      <c r="F111" s="418">
        <f t="shared" si="286"/>
        <v>91.94407208683954</v>
      </c>
      <c r="G111" s="418">
        <f t="shared" si="286"/>
        <v>92.448471299737264</v>
      </c>
      <c r="H111" s="418">
        <f t="shared" si="286"/>
        <v>98.11053155311302</v>
      </c>
      <c r="I111" s="418">
        <f t="shared" si="286"/>
        <v>106.50038383412931</v>
      </c>
      <c r="J111" s="418">
        <f t="shared" si="286"/>
        <v>89.823124566925273</v>
      </c>
      <c r="K111" s="418">
        <f t="shared" si="286"/>
        <v>95.479046761048451</v>
      </c>
      <c r="L111" s="418">
        <f t="shared" si="286"/>
        <v>88.191637532308036</v>
      </c>
      <c r="M111" s="418">
        <f t="shared" si="286"/>
        <v>100.15194912582905</v>
      </c>
      <c r="N111" s="418">
        <f t="shared" si="286"/>
        <v>98.005996085226357</v>
      </c>
      <c r="O111" s="418">
        <f t="shared" si="286"/>
        <v>153.53670283796313</v>
      </c>
      <c r="P111" s="239"/>
      <c r="Q111" s="239"/>
      <c r="R111" s="239"/>
      <c r="S111" s="239"/>
      <c r="T111" s="418">
        <f t="shared" ref="T111:BE111" si="287">(T105/-T13)*(365/4)</f>
        <v>68.86056625809104</v>
      </c>
      <c r="U111" s="418">
        <f t="shared" si="287"/>
        <v>126.42457889946841</v>
      </c>
      <c r="V111" s="418">
        <f t="shared" si="287"/>
        <v>98.036899137786193</v>
      </c>
      <c r="W111" s="418">
        <f t="shared" si="287"/>
        <v>122.64310818913161</v>
      </c>
      <c r="X111" s="418">
        <f t="shared" si="287"/>
        <v>61.909924950342116</v>
      </c>
      <c r="Y111" s="418">
        <f t="shared" si="287"/>
        <v>120.04541324171066</v>
      </c>
      <c r="Z111" s="418">
        <f t="shared" si="287"/>
        <v>96.348327959560905</v>
      </c>
      <c r="AA111" s="418">
        <f t="shared" si="287"/>
        <v>123.39098386014288</v>
      </c>
      <c r="AB111" s="418">
        <f t="shared" si="287"/>
        <v>63.634909044302383</v>
      </c>
      <c r="AC111" s="418">
        <f t="shared" si="287"/>
        <v>119.43338696800318</v>
      </c>
      <c r="AD111" s="418">
        <f t="shared" si="287"/>
        <v>98.174883536590187</v>
      </c>
      <c r="AE111" s="418">
        <f t="shared" si="287"/>
        <v>145.1121175674364</v>
      </c>
      <c r="AF111" s="418">
        <f t="shared" si="287"/>
        <v>68.054454220327344</v>
      </c>
      <c r="AG111" s="418">
        <f t="shared" si="287"/>
        <v>152.50618403823435</v>
      </c>
      <c r="AH111" s="418">
        <f t="shared" si="287"/>
        <v>249.19399540366587</v>
      </c>
      <c r="AI111" s="418">
        <f t="shared" si="287"/>
        <v>144.93782812291556</v>
      </c>
      <c r="AJ111" s="418">
        <f t="shared" si="287"/>
        <v>62.625948995802041</v>
      </c>
      <c r="AK111" s="418">
        <f t="shared" si="287"/>
        <v>125.98873705010432</v>
      </c>
      <c r="AL111" s="418">
        <f t="shared" si="287"/>
        <v>86.786979719797287</v>
      </c>
      <c r="AM111" s="418">
        <f t="shared" si="287"/>
        <v>130.4142864288537</v>
      </c>
      <c r="AN111" s="418">
        <f t="shared" si="287"/>
        <v>60.258926221404188</v>
      </c>
      <c r="AO111" s="418">
        <f t="shared" si="287"/>
        <v>122.92533860445559</v>
      </c>
      <c r="AP111" s="418">
        <f t="shared" si="287"/>
        <v>101.52441195736607</v>
      </c>
      <c r="AQ111" s="418">
        <f t="shared" si="287"/>
        <v>136.28771945599229</v>
      </c>
      <c r="AR111" s="418">
        <f t="shared" si="287"/>
        <v>65.032205271914705</v>
      </c>
      <c r="AS111" s="418">
        <f t="shared" si="287"/>
        <v>127.71149426963721</v>
      </c>
      <c r="AT111" s="418">
        <f t="shared" si="287"/>
        <v>98.401182817150939</v>
      </c>
      <c r="AU111" s="418">
        <f t="shared" si="287"/>
        <v>131.27726337393614</v>
      </c>
      <c r="AV111" s="418">
        <f t="shared" si="287"/>
        <v>62.215991211144988</v>
      </c>
      <c r="AW111" s="418">
        <f t="shared" si="287"/>
        <v>124.68939157667097</v>
      </c>
      <c r="AX111" s="418">
        <f t="shared" si="287"/>
        <v>98.936451139289602</v>
      </c>
      <c r="AY111" s="418">
        <f t="shared" si="287"/>
        <v>142.99800852028088</v>
      </c>
      <c r="AZ111" s="418">
        <f t="shared" si="287"/>
        <v>69.555135433325319</v>
      </c>
      <c r="BA111" s="418">
        <f t="shared" si="287"/>
        <v>132.71718734931653</v>
      </c>
      <c r="BB111" s="418">
        <f t="shared" si="287"/>
        <v>109.65895091021197</v>
      </c>
      <c r="BC111" s="418">
        <f t="shared" si="287"/>
        <v>155.72791240791213</v>
      </c>
      <c r="BD111" s="418">
        <f t="shared" si="287"/>
        <v>69.879674793446938</v>
      </c>
      <c r="BE111" s="418">
        <f t="shared" si="287"/>
        <v>150.20713234248703</v>
      </c>
      <c r="BG111" s="239"/>
      <c r="BH111" s="239"/>
      <c r="BI111" s="239"/>
    </row>
    <row r="112" spans="2:61" s="25" customFormat="1" ht="13.5" customHeight="1">
      <c r="B112" s="25" t="s">
        <v>344</v>
      </c>
      <c r="C112" s="418">
        <f t="shared" ref="C112:O112" si="288">(C106/C7)*365</f>
        <v>103.70869024148163</v>
      </c>
      <c r="D112" s="418">
        <f t="shared" si="288"/>
        <v>101.2893403450076</v>
      </c>
      <c r="E112" s="418">
        <f t="shared" si="288"/>
        <v>101.39384681452901</v>
      </c>
      <c r="F112" s="418">
        <f t="shared" si="288"/>
        <v>91.354754862348514</v>
      </c>
      <c r="G112" s="418">
        <f t="shared" si="288"/>
        <v>85.362304351007367</v>
      </c>
      <c r="H112" s="418">
        <f t="shared" si="288"/>
        <v>84.203892892932288</v>
      </c>
      <c r="I112" s="418">
        <f t="shared" si="288"/>
        <v>97.162745545476199</v>
      </c>
      <c r="J112" s="418">
        <f t="shared" si="288"/>
        <v>78.535923281223816</v>
      </c>
      <c r="K112" s="418">
        <f t="shared" si="288"/>
        <v>85.252927706123586</v>
      </c>
      <c r="L112" s="418">
        <f t="shared" si="288"/>
        <v>94.476058627260812</v>
      </c>
      <c r="M112" s="418">
        <f t="shared" si="288"/>
        <v>97.729099186651936</v>
      </c>
      <c r="N112" s="418">
        <f t="shared" si="288"/>
        <v>101.33341939553567</v>
      </c>
      <c r="O112" s="418">
        <f t="shared" si="288"/>
        <v>114.25865290162798</v>
      </c>
      <c r="P112" s="239"/>
      <c r="Q112" s="239"/>
      <c r="R112" s="239"/>
      <c r="S112" s="239"/>
      <c r="T112" s="418">
        <f t="shared" ref="T112:BE112" si="289">(T106/T7)*(365/4)</f>
        <v>72.114045104360159</v>
      </c>
      <c r="U112" s="418">
        <f t="shared" si="289"/>
        <v>106.64361439024425</v>
      </c>
      <c r="V112" s="418">
        <f t="shared" si="289"/>
        <v>76.931341540652426</v>
      </c>
      <c r="W112" s="418">
        <f t="shared" si="289"/>
        <v>84.769217213359283</v>
      </c>
      <c r="X112" s="418">
        <f t="shared" si="289"/>
        <v>62.635156793448139</v>
      </c>
      <c r="Y112" s="418">
        <f t="shared" si="289"/>
        <v>97.377525067497558</v>
      </c>
      <c r="Z112" s="418">
        <f t="shared" si="289"/>
        <v>76.590118809916973</v>
      </c>
      <c r="AA112" s="418">
        <f t="shared" si="289"/>
        <v>82.900265656561146</v>
      </c>
      <c r="AB112" s="418">
        <f t="shared" si="289"/>
        <v>59.766744511731304</v>
      </c>
      <c r="AC112" s="418">
        <f t="shared" si="289"/>
        <v>89.518110377179738</v>
      </c>
      <c r="AD112" s="418">
        <f t="shared" si="289"/>
        <v>74.713424422478894</v>
      </c>
      <c r="AE112" s="418">
        <f t="shared" si="289"/>
        <v>85.212721642629177</v>
      </c>
      <c r="AF112" s="418">
        <f t="shared" si="289"/>
        <v>59.586934308857032</v>
      </c>
      <c r="AG112" s="418">
        <f t="shared" si="289"/>
        <v>98.155976274113542</v>
      </c>
      <c r="AH112" s="418">
        <f t="shared" si="289"/>
        <v>161.28275034878436</v>
      </c>
      <c r="AI112" s="418">
        <f t="shared" si="289"/>
        <v>79.202392953046456</v>
      </c>
      <c r="AJ112" s="418">
        <f t="shared" si="289"/>
        <v>59.567298956622139</v>
      </c>
      <c r="AK112" s="418">
        <f t="shared" si="289"/>
        <v>99.226776898238768</v>
      </c>
      <c r="AL112" s="418">
        <f t="shared" si="289"/>
        <v>76.590010836797134</v>
      </c>
      <c r="AM112" s="418">
        <f t="shared" si="289"/>
        <v>85.35330571443356</v>
      </c>
      <c r="AN112" s="418">
        <f t="shared" si="289"/>
        <v>52.884385544547413</v>
      </c>
      <c r="AO112" s="418">
        <f t="shared" si="289"/>
        <v>88.266763852351986</v>
      </c>
      <c r="AP112" s="418">
        <f t="shared" si="289"/>
        <v>73.020634066569244</v>
      </c>
      <c r="AQ112" s="418">
        <f t="shared" si="289"/>
        <v>79.335281470282567</v>
      </c>
      <c r="AR112" s="418">
        <f t="shared" si="289"/>
        <v>59.390173959338817</v>
      </c>
      <c r="AS112" s="418">
        <f t="shared" si="289"/>
        <v>88.779319985807632</v>
      </c>
      <c r="AT112" s="418">
        <f t="shared" si="289"/>
        <v>77.821239744863789</v>
      </c>
      <c r="AU112" s="418">
        <f t="shared" si="289"/>
        <v>85.119931414870322</v>
      </c>
      <c r="AV112" s="418">
        <f t="shared" si="289"/>
        <v>66.95953425481396</v>
      </c>
      <c r="AW112" s="418">
        <f t="shared" si="289"/>
        <v>98.975862021575125</v>
      </c>
      <c r="AX112" s="418">
        <f t="shared" si="289"/>
        <v>84.750958842470638</v>
      </c>
      <c r="AY112" s="418">
        <f t="shared" si="289"/>
        <v>90.886058536349154</v>
      </c>
      <c r="AZ112" s="418">
        <f t="shared" si="289"/>
        <v>69.678632544838379</v>
      </c>
      <c r="BA112" s="418">
        <f t="shared" si="289"/>
        <v>101.40449850319804</v>
      </c>
      <c r="BB112" s="418">
        <f t="shared" si="289"/>
        <v>100.39882764438222</v>
      </c>
      <c r="BC112" s="418">
        <f t="shared" si="289"/>
        <v>104.45039283818592</v>
      </c>
      <c r="BD112" s="418">
        <f t="shared" si="289"/>
        <v>73.363931008365512</v>
      </c>
      <c r="BE112" s="418">
        <f t="shared" si="289"/>
        <v>108.55566909805634</v>
      </c>
      <c r="BG112" s="239"/>
      <c r="BH112" s="239"/>
      <c r="BI112" s="239"/>
    </row>
    <row r="113" spans="2:61" s="25" customFormat="1" ht="13.5" customHeight="1">
      <c r="B113" s="25" t="s">
        <v>345</v>
      </c>
      <c r="C113" s="418">
        <f t="shared" ref="C113:O113" si="290">(C107/-C13)*365</f>
        <v>98.077542433169171</v>
      </c>
      <c r="D113" s="418">
        <f t="shared" si="290"/>
        <v>116.06926192158154</v>
      </c>
      <c r="E113" s="418">
        <f t="shared" si="290"/>
        <v>129.26460732903809</v>
      </c>
      <c r="F113" s="418">
        <f t="shared" si="290"/>
        <v>124.53746999130793</v>
      </c>
      <c r="G113" s="418">
        <f t="shared" si="290"/>
        <v>117.43860740131998</v>
      </c>
      <c r="H113" s="418">
        <f t="shared" si="290"/>
        <v>107.16626451836298</v>
      </c>
      <c r="I113" s="418">
        <f t="shared" si="290"/>
        <v>144.07330267189315</v>
      </c>
      <c r="J113" s="418">
        <f t="shared" si="290"/>
        <v>129.99680384203137</v>
      </c>
      <c r="K113" s="418">
        <f t="shared" si="290"/>
        <v>124.6686414914151</v>
      </c>
      <c r="L113" s="418">
        <f t="shared" si="290"/>
        <v>128.97600726452811</v>
      </c>
      <c r="M113" s="418">
        <f t="shared" si="290"/>
        <v>120.30726346404258</v>
      </c>
      <c r="N113" s="418">
        <f t="shared" si="290"/>
        <v>114.27038084781901</v>
      </c>
      <c r="O113" s="418">
        <f t="shared" si="290"/>
        <v>134.39862897073738</v>
      </c>
      <c r="P113" s="239"/>
      <c r="Q113" s="239"/>
      <c r="R113" s="239"/>
      <c r="S113" s="239"/>
      <c r="T113" s="418">
        <f t="shared" ref="T113:BE113" si="291">(T107/-T13)*(365/4)</f>
        <v>90.891339008521584</v>
      </c>
      <c r="U113" s="418">
        <f t="shared" si="291"/>
        <v>122.95945486142263</v>
      </c>
      <c r="V113" s="418">
        <f t="shared" si="291"/>
        <v>99.537773415903303</v>
      </c>
      <c r="W113" s="418">
        <f t="shared" si="291"/>
        <v>116.39410724994572</v>
      </c>
      <c r="X113" s="418">
        <f t="shared" si="291"/>
        <v>83.856471066294517</v>
      </c>
      <c r="Y113" s="418">
        <f t="shared" si="291"/>
        <v>125.42654994576431</v>
      </c>
      <c r="Z113" s="418">
        <f t="shared" si="291"/>
        <v>105.15042744312204</v>
      </c>
      <c r="AA113" s="418">
        <f t="shared" si="291"/>
        <v>116.9720383850901</v>
      </c>
      <c r="AB113" s="418">
        <f t="shared" si="291"/>
        <v>80.836329635380068</v>
      </c>
      <c r="AC113" s="418">
        <f t="shared" si="291"/>
        <v>117.88715304872983</v>
      </c>
      <c r="AD113" s="418">
        <f t="shared" si="291"/>
        <v>105.45501589962228</v>
      </c>
      <c r="AE113" s="418">
        <f t="shared" si="291"/>
        <v>121.2799856959499</v>
      </c>
      <c r="AF113" s="418">
        <f t="shared" si="291"/>
        <v>74.3359711457706</v>
      </c>
      <c r="AG113" s="418">
        <f t="shared" si="291"/>
        <v>129.19685925463526</v>
      </c>
      <c r="AH113" s="418">
        <f t="shared" si="291"/>
        <v>127.15392600896624</v>
      </c>
      <c r="AI113" s="418">
        <f t="shared" si="291"/>
        <v>119.88684821079671</v>
      </c>
      <c r="AJ113" s="418">
        <f t="shared" si="291"/>
        <v>84.720138838554035</v>
      </c>
      <c r="AK113" s="418">
        <f t="shared" si="291"/>
        <v>117.35988651963743</v>
      </c>
      <c r="AL113" s="418">
        <f t="shared" si="291"/>
        <v>104.498055886074</v>
      </c>
      <c r="AM113" s="418">
        <f t="shared" si="291"/>
        <v>131.92504683132682</v>
      </c>
      <c r="AN113" s="418">
        <f t="shared" si="291"/>
        <v>87.209923385583991</v>
      </c>
      <c r="AO113" s="418">
        <f t="shared" si="291"/>
        <v>127.1513018010303</v>
      </c>
      <c r="AP113" s="418">
        <f t="shared" si="291"/>
        <v>109.63407449345149</v>
      </c>
      <c r="AQ113" s="418">
        <f t="shared" si="291"/>
        <v>120.28946107039351</v>
      </c>
      <c r="AR113" s="418">
        <f t="shared" si="291"/>
        <v>84.913674355491878</v>
      </c>
      <c r="AS113" s="418">
        <f t="shared" si="291"/>
        <v>136.39253124881725</v>
      </c>
      <c r="AT113" s="418">
        <f t="shared" si="291"/>
        <v>103.06729594344526</v>
      </c>
      <c r="AU113" s="418">
        <f t="shared" si="291"/>
        <v>120.1771981420371</v>
      </c>
      <c r="AV113" s="418">
        <f t="shared" si="291"/>
        <v>90.987880018429337</v>
      </c>
      <c r="AW113" s="418">
        <f t="shared" si="291"/>
        <v>139.98264972021389</v>
      </c>
      <c r="AX113" s="418">
        <f t="shared" si="291"/>
        <v>110.19036811108316</v>
      </c>
      <c r="AY113" s="418">
        <f t="shared" si="291"/>
        <v>125.6185724169985</v>
      </c>
      <c r="AZ113" s="418">
        <f t="shared" si="291"/>
        <v>83.552922103800995</v>
      </c>
      <c r="BA113" s="418">
        <f t="shared" si="291"/>
        <v>122.95829901798832</v>
      </c>
      <c r="BB113" s="418">
        <f t="shared" si="291"/>
        <v>101.09850230056938</v>
      </c>
      <c r="BC113" s="418">
        <f t="shared" si="291"/>
        <v>129.50678482240093</v>
      </c>
      <c r="BD113" s="418">
        <f t="shared" si="291"/>
        <v>81.476413394390505</v>
      </c>
      <c r="BE113" s="418">
        <f t="shared" si="291"/>
        <v>131.48408344916479</v>
      </c>
      <c r="BG113" s="239"/>
      <c r="BH113" s="239"/>
      <c r="BI113" s="239"/>
    </row>
    <row r="114" spans="2:61" ht="13.5" customHeight="1">
      <c r="C114" s="30"/>
      <c r="D114" s="30"/>
      <c r="E114" s="30"/>
      <c r="F114" s="30"/>
      <c r="G114" s="30"/>
      <c r="H114" s="30"/>
      <c r="I114" s="30"/>
      <c r="J114" s="30"/>
      <c r="K114" s="30"/>
      <c r="L114" s="30"/>
      <c r="M114" s="30"/>
      <c r="N114" s="30"/>
      <c r="O114" s="30"/>
      <c r="P114" s="30"/>
      <c r="Q114" s="30"/>
      <c r="U114" s="30"/>
      <c r="V114" s="30"/>
      <c r="X114" s="4"/>
      <c r="Z114" s="30"/>
      <c r="BG114" s="380"/>
      <c r="BH114" s="138"/>
      <c r="BI114" s="138"/>
    </row>
    <row r="115" spans="2:61" ht="13.5" customHeight="1">
      <c r="B115" s="5" t="s">
        <v>346</v>
      </c>
      <c r="C115" s="30"/>
      <c r="D115" s="30"/>
      <c r="E115" s="30"/>
      <c r="F115" s="30"/>
      <c r="G115" s="30"/>
      <c r="H115" s="30"/>
      <c r="I115" s="30"/>
      <c r="J115" s="30"/>
      <c r="K115" s="30"/>
      <c r="L115" s="30"/>
      <c r="M115" s="30"/>
      <c r="BG115" s="380"/>
      <c r="BH115" s="138"/>
      <c r="BI115" s="138"/>
    </row>
    <row r="116" spans="2:61" ht="13.5" customHeight="1">
      <c r="B116" s="1" t="s">
        <v>347</v>
      </c>
      <c r="C116" s="69">
        <v>13343.9</v>
      </c>
      <c r="D116" s="69">
        <v>14096.066000000001</v>
      </c>
      <c r="E116" s="69">
        <v>30571.826000000001</v>
      </c>
      <c r="F116" s="69">
        <v>36217.500999999997</v>
      </c>
      <c r="G116" s="69">
        <v>30533.759999999998</v>
      </c>
      <c r="H116" s="69">
        <f>(32434.687-727.277)+10298.476+1920.637+3000</f>
        <v>46926.523000000008</v>
      </c>
      <c r="I116" s="69">
        <f>(37870.364-66.229)+10437.714+1973.296+0</f>
        <v>50215.145000000004</v>
      </c>
      <c r="J116" s="69">
        <f>(29825.109+3400-0)+10555.645+2004.445</f>
        <v>45785.199000000001</v>
      </c>
      <c r="K116" s="69">
        <f>29030.916+11394.267+2224.771</f>
        <v>42649.954000000005</v>
      </c>
      <c r="L116" s="69">
        <f>5068.05+21906.594+11776.558+2346.729</f>
        <v>41097.931000000004</v>
      </c>
      <c r="M116" s="69">
        <f>23585.972+12108.52+2676.76</f>
        <v>38371.252</v>
      </c>
      <c r="N116" s="69">
        <f>2659.728+33699.269+12352.639</f>
        <v>48711.635999999999</v>
      </c>
      <c r="O116" s="6">
        <f>BE116</f>
        <v>57282.186000000002</v>
      </c>
      <c r="P116" s="6"/>
      <c r="Q116" s="63">
        <v>14092.556</v>
      </c>
      <c r="R116" s="63">
        <v>14460.835999999999</v>
      </c>
      <c r="S116" s="63">
        <v>29912.936000000002</v>
      </c>
      <c r="T116" s="72">
        <f>+E116</f>
        <v>30571.826000000001</v>
      </c>
      <c r="U116" s="70">
        <v>31556.731400000001</v>
      </c>
      <c r="V116" s="70">
        <v>30787.186000000002</v>
      </c>
      <c r="W116" s="63">
        <v>35888.406000000003</v>
      </c>
      <c r="X116" s="6">
        <f>F116</f>
        <v>36217.500999999997</v>
      </c>
      <c r="Y116" s="63">
        <v>33349.650999999998</v>
      </c>
      <c r="Z116" s="70">
        <v>31575.759999999998</v>
      </c>
      <c r="AA116" s="63">
        <v>29559.255000000001</v>
      </c>
      <c r="AB116" s="6">
        <f>G116</f>
        <v>30533.759999999998</v>
      </c>
      <c r="AC116" s="63">
        <f>30246.795+9717.753+1708.682</f>
        <v>41673.229999999996</v>
      </c>
      <c r="AD116" s="63">
        <f>3000+27069.135+1750.606+9776.64</f>
        <v>41596.380999999994</v>
      </c>
      <c r="AE116" s="63">
        <f>3000+27621.225+1783.665+9829.861</f>
        <v>42234.751000000004</v>
      </c>
      <c r="AF116" s="72">
        <f>H116</f>
        <v>46926.523000000008</v>
      </c>
      <c r="AG116" s="63">
        <f>(4046.304-1046.304)+(36597.808-38.873)+1917.688+10278.689</f>
        <v>51755.311999999998</v>
      </c>
      <c r="AH116" s="63">
        <f>+(36221.809-78.044)+10275.804+1836.509+3500</f>
        <v>51756.078000000001</v>
      </c>
      <c r="AI116" s="63">
        <f>(40219.071-68.081)+2080.315+10019.587+3500</f>
        <v>55750.892000000007</v>
      </c>
      <c r="AJ116" s="72">
        <f>I116</f>
        <v>50215.145000000004</v>
      </c>
      <c r="AK116" s="69">
        <f>(2945.815-1045.815)+(36508.878-46.878)+1986.772+10377.149</f>
        <v>50725.920999999995</v>
      </c>
      <c r="AL116" s="63">
        <f>+(2630.087-730.087)+(35924.134-22.624)+2010.801+10382.169</f>
        <v>50194.479999999996</v>
      </c>
      <c r="AM116" s="63">
        <f>(4899.203-982.186)+(29966.551-16.712)+2004.741+10379.168</f>
        <v>46250.764999999999</v>
      </c>
      <c r="AN116" s="72">
        <f>J116</f>
        <v>45785.199000000001</v>
      </c>
      <c r="AO116" s="69">
        <f>+(2422.309-922.309)+(29381.631-0)+2012.056+10498.513</f>
        <v>43392.2</v>
      </c>
      <c r="AP116" s="69">
        <f>+(2151.898-651.898)+(29558.943-0)+2000.491+10632.13</f>
        <v>43691.563999999998</v>
      </c>
      <c r="AQ116" s="69">
        <f>+(924.357-924.357)+(29526.24-0)+2066.969+10563.935</f>
        <v>42157.144</v>
      </c>
      <c r="AR116" s="72">
        <f>K116</f>
        <v>42649.954000000005</v>
      </c>
      <c r="AS116" s="69">
        <f>+(933.146-933.146)+(27890.315-0)+2244.655+11357.888</f>
        <v>41492.858</v>
      </c>
      <c r="AT116" s="69">
        <f>2285.961+27167.908+11491.458</f>
        <v>40945.326999999997</v>
      </c>
      <c r="AU116" s="69">
        <f>27553.718+11387.798+2273.985</f>
        <v>41215.501000000004</v>
      </c>
      <c r="AV116" s="72">
        <f>L116</f>
        <v>41097.931000000004</v>
      </c>
      <c r="AW116" s="69">
        <f>5003.4+21799.356+11821.495+2419.789</f>
        <v>41044.04</v>
      </c>
      <c r="AX116" s="69">
        <f>5513.19+22644.967+11824.866+2447.758</f>
        <v>42430.781000000003</v>
      </c>
      <c r="AY116" s="69">
        <f>5888.7+23267.842+11786.87+2499.661</f>
        <v>43443.073000000004</v>
      </c>
      <c r="AZ116" s="72">
        <f>M116</f>
        <v>38371.252</v>
      </c>
      <c r="BA116" s="69">
        <f>44896.59+12027.664+2664.7</f>
        <v>59588.953999999998</v>
      </c>
      <c r="BB116" s="69">
        <f>44645.344+12160.607+2693.469</f>
        <v>59499.42</v>
      </c>
      <c r="BC116" s="69">
        <f>2605.131+44702.084+11939.212</f>
        <v>59246.427000000003</v>
      </c>
      <c r="BD116" s="72">
        <f t="shared" ref="BD116" si="292">N116</f>
        <v>48711.635999999999</v>
      </c>
      <c r="BE116" s="69">
        <f>42730.163+12030.958+2521.065</f>
        <v>57282.186000000002</v>
      </c>
      <c r="BG116" s="137"/>
      <c r="BH116" s="137"/>
      <c r="BI116" s="137"/>
    </row>
    <row r="117" spans="2:61" ht="13.5" customHeight="1">
      <c r="C117" s="30"/>
      <c r="D117" s="30"/>
      <c r="E117" s="30"/>
      <c r="F117" s="30"/>
      <c r="G117" s="30"/>
      <c r="H117" s="30"/>
      <c r="I117" s="30"/>
      <c r="J117" s="30"/>
      <c r="K117" s="30"/>
      <c r="L117" s="30"/>
      <c r="M117" s="30"/>
      <c r="N117" s="30"/>
      <c r="O117" s="30"/>
      <c r="P117" s="6"/>
      <c r="Q117" s="30"/>
      <c r="U117" s="30"/>
      <c r="V117" s="30"/>
      <c r="X117" s="4"/>
      <c r="Z117" s="30"/>
      <c r="AI117" s="122"/>
      <c r="AK117" s="30"/>
      <c r="AM117" s="122"/>
      <c r="AO117" s="30"/>
      <c r="AP117" s="30"/>
      <c r="AQ117" s="122"/>
      <c r="AS117" s="30"/>
      <c r="AT117" s="30"/>
      <c r="AU117" s="122"/>
      <c r="AW117" s="30"/>
      <c r="AX117" s="30"/>
      <c r="AY117" s="30"/>
      <c r="BA117" s="30"/>
      <c r="BB117" s="30"/>
      <c r="BC117" s="30"/>
      <c r="BE117" s="30"/>
      <c r="BF117" s="146"/>
      <c r="BG117" s="380"/>
      <c r="BH117" s="138"/>
      <c r="BI117" s="138"/>
    </row>
    <row r="118" spans="2:61" ht="13.5" customHeight="1">
      <c r="B118" s="5" t="s">
        <v>348</v>
      </c>
      <c r="C118" s="30"/>
      <c r="D118" s="30"/>
      <c r="E118" s="30"/>
      <c r="F118" s="30"/>
      <c r="G118" s="30"/>
      <c r="H118" s="30"/>
      <c r="I118" s="30"/>
      <c r="J118" s="30"/>
      <c r="K118" s="30"/>
      <c r="L118" s="30"/>
      <c r="M118" s="30"/>
      <c r="BF118" s="146"/>
      <c r="BG118" s="380"/>
      <c r="BH118" s="138"/>
      <c r="BI118" s="138"/>
    </row>
    <row r="119" spans="2:61" ht="13.5" customHeight="1">
      <c r="B119" s="1" t="s">
        <v>349</v>
      </c>
      <c r="C119" s="4"/>
      <c r="D119" s="4"/>
      <c r="E119" s="4"/>
      <c r="F119" s="4"/>
      <c r="G119" s="4"/>
      <c r="H119" s="4">
        <v>1920.6369999999999</v>
      </c>
      <c r="I119" s="69">
        <v>1973.296</v>
      </c>
      <c r="J119" s="69">
        <v>2004.4449999999999</v>
      </c>
      <c r="K119" s="69">
        <v>2224.7710000000002</v>
      </c>
      <c r="L119" s="69">
        <f>2346.729</f>
        <v>2346.7289999999998</v>
      </c>
      <c r="M119" s="69">
        <v>2676.76</v>
      </c>
      <c r="N119" s="69">
        <v>2659.7280000000001</v>
      </c>
      <c r="O119" s="6">
        <f>BE119</f>
        <v>2521.0650000000001</v>
      </c>
      <c r="P119" s="6"/>
      <c r="Q119" s="4"/>
      <c r="R119" s="4"/>
      <c r="S119" s="4"/>
      <c r="T119" s="4"/>
      <c r="U119" s="4"/>
      <c r="V119" s="4"/>
      <c r="W119" s="4"/>
      <c r="X119" s="30"/>
      <c r="Y119" s="4"/>
      <c r="Z119" s="4"/>
      <c r="AA119" s="4"/>
      <c r="AB119" s="4"/>
      <c r="AC119" s="4">
        <v>1708.682</v>
      </c>
      <c r="AD119" s="4">
        <v>1750.606</v>
      </c>
      <c r="AE119" s="4">
        <v>1783.665</v>
      </c>
      <c r="AF119" s="72">
        <f t="shared" ref="AF119:AF131" si="293">H119</f>
        <v>1920.6369999999999</v>
      </c>
      <c r="AG119" s="4">
        <v>1917.6880000000001</v>
      </c>
      <c r="AH119" s="4">
        <v>1836.509</v>
      </c>
      <c r="AI119" s="4">
        <v>2080.3150000000001</v>
      </c>
      <c r="AJ119" s="72">
        <f t="shared" ref="AJ119:AJ131" si="294">I119</f>
        <v>1973.296</v>
      </c>
      <c r="AK119" s="69">
        <v>1986.7719999999999</v>
      </c>
      <c r="AL119" s="4">
        <v>2010.8009999999999</v>
      </c>
      <c r="AM119" s="4">
        <v>2004.741</v>
      </c>
      <c r="AN119" s="72">
        <f t="shared" ref="AN119:AN136" si="295">J119</f>
        <v>2004.4449999999999</v>
      </c>
      <c r="AO119" s="69">
        <v>2012.056</v>
      </c>
      <c r="AP119" s="69">
        <v>2000.491</v>
      </c>
      <c r="AQ119" s="4">
        <v>2066.9690000000001</v>
      </c>
      <c r="AR119" s="72">
        <f t="shared" ref="AR119:AR136" si="296">K119</f>
        <v>2224.7710000000002</v>
      </c>
      <c r="AS119" s="69">
        <v>2244.6550000000002</v>
      </c>
      <c r="AT119" s="69">
        <v>2285.9609999999998</v>
      </c>
      <c r="AU119" s="4">
        <v>2273.9850000000001</v>
      </c>
      <c r="AV119" s="72">
        <f t="shared" ref="AV119:AV136" si="297">L119</f>
        <v>2346.7289999999998</v>
      </c>
      <c r="AW119" s="69">
        <f>2419.789</f>
        <v>2419.7890000000002</v>
      </c>
      <c r="AX119" s="69">
        <v>2447.7579999999998</v>
      </c>
      <c r="AY119" s="69">
        <v>2499.6610000000001</v>
      </c>
      <c r="AZ119" s="72">
        <f t="shared" ref="AZ119:AZ140" si="298">M119</f>
        <v>2676.76</v>
      </c>
      <c r="BA119" s="69">
        <v>2664.7</v>
      </c>
      <c r="BB119" s="69">
        <v>2693.4690000000001</v>
      </c>
      <c r="BC119" s="69">
        <v>2605.1309999999999</v>
      </c>
      <c r="BD119" s="72">
        <f>N119</f>
        <v>2659.7280000000001</v>
      </c>
      <c r="BE119" s="69">
        <v>2521.0650000000001</v>
      </c>
      <c r="BF119" s="146"/>
      <c r="BG119" s="380"/>
      <c r="BH119" s="138"/>
      <c r="BI119" s="138"/>
    </row>
    <row r="120" spans="2:61" ht="13.5" customHeight="1">
      <c r="B120" s="1" t="s">
        <v>350</v>
      </c>
      <c r="C120" s="4"/>
      <c r="D120" s="4"/>
      <c r="E120" s="4"/>
      <c r="F120" s="4"/>
      <c r="G120" s="4"/>
      <c r="H120" s="4">
        <v>10298.476000000001</v>
      </c>
      <c r="I120" s="4">
        <v>10437.714</v>
      </c>
      <c r="J120" s="4">
        <v>10555.645</v>
      </c>
      <c r="K120" s="4">
        <v>11394.267</v>
      </c>
      <c r="L120" s="4">
        <f>11776.558</f>
        <v>11776.558000000001</v>
      </c>
      <c r="M120" s="4">
        <v>12108.52</v>
      </c>
      <c r="N120" s="4">
        <v>12352.638999999999</v>
      </c>
      <c r="O120" s="6">
        <f>BE120</f>
        <v>12030.958000000001</v>
      </c>
      <c r="P120" s="6"/>
      <c r="Q120" s="4"/>
      <c r="R120" s="4"/>
      <c r="S120" s="4"/>
      <c r="T120" s="4"/>
      <c r="U120" s="4"/>
      <c r="V120" s="4"/>
      <c r="W120" s="4"/>
      <c r="X120" s="30"/>
      <c r="Y120" s="4"/>
      <c r="Z120" s="4"/>
      <c r="AA120" s="4"/>
      <c r="AB120" s="4"/>
      <c r="AC120" s="4">
        <v>9717.7530000000006</v>
      </c>
      <c r="AD120" s="4">
        <v>9776.64</v>
      </c>
      <c r="AE120" s="4">
        <v>9829.8610000000008</v>
      </c>
      <c r="AF120" s="72">
        <f t="shared" si="293"/>
        <v>10298.476000000001</v>
      </c>
      <c r="AG120" s="4">
        <v>10278.689</v>
      </c>
      <c r="AH120" s="4">
        <v>10275.804</v>
      </c>
      <c r="AI120" s="4">
        <v>10019.587</v>
      </c>
      <c r="AJ120" s="72">
        <f t="shared" si="294"/>
        <v>10437.714</v>
      </c>
      <c r="AK120" s="4">
        <v>10377.148999999999</v>
      </c>
      <c r="AL120" s="4">
        <v>10382.169</v>
      </c>
      <c r="AM120" s="4">
        <v>10379.168</v>
      </c>
      <c r="AN120" s="72">
        <f t="shared" si="295"/>
        <v>10555.645</v>
      </c>
      <c r="AO120" s="4">
        <v>10498.513000000001</v>
      </c>
      <c r="AP120" s="4">
        <v>10632.13</v>
      </c>
      <c r="AQ120" s="4">
        <v>10563.934999999999</v>
      </c>
      <c r="AR120" s="72">
        <f t="shared" si="296"/>
        <v>11394.267</v>
      </c>
      <c r="AS120" s="4">
        <v>11357.888000000001</v>
      </c>
      <c r="AT120" s="4">
        <v>11491.458000000001</v>
      </c>
      <c r="AU120" s="4">
        <v>11387.798000000001</v>
      </c>
      <c r="AV120" s="72">
        <f t="shared" si="297"/>
        <v>11776.558000000001</v>
      </c>
      <c r="AW120" s="4">
        <v>11821.495000000001</v>
      </c>
      <c r="AX120" s="4">
        <v>11824.866</v>
      </c>
      <c r="AY120" s="4">
        <v>11786.87</v>
      </c>
      <c r="AZ120" s="72">
        <f t="shared" si="298"/>
        <v>12108.52</v>
      </c>
      <c r="BA120" s="4">
        <v>12027.664000000001</v>
      </c>
      <c r="BB120" s="4">
        <v>12160.607</v>
      </c>
      <c r="BC120" s="4">
        <v>11939.212</v>
      </c>
      <c r="BD120" s="72">
        <f t="shared" ref="BD120:BD140" si="299">N120</f>
        <v>12352.638999999999</v>
      </c>
      <c r="BE120" s="4">
        <v>12030.958000000001</v>
      </c>
      <c r="BF120" s="146"/>
      <c r="BG120" s="380"/>
      <c r="BH120" s="138"/>
      <c r="BI120" s="138"/>
    </row>
    <row r="121" spans="2:61" ht="13.5" customHeight="1">
      <c r="B121" s="1" t="s">
        <v>244</v>
      </c>
      <c r="C121" s="69">
        <v>921</v>
      </c>
      <c r="D121" s="69">
        <v>921.45600000000002</v>
      </c>
      <c r="E121" s="69">
        <v>921.45600000000002</v>
      </c>
      <c r="F121" s="69">
        <v>921.45600000000002</v>
      </c>
      <c r="G121" s="69">
        <v>0</v>
      </c>
      <c r="H121" s="69">
        <v>0</v>
      </c>
      <c r="I121" s="69">
        <v>0</v>
      </c>
      <c r="J121" s="69">
        <v>0</v>
      </c>
      <c r="K121" s="69">
        <v>0</v>
      </c>
      <c r="L121" s="69">
        <v>0</v>
      </c>
      <c r="M121" s="69">
        <v>0</v>
      </c>
      <c r="N121" s="69">
        <v>0</v>
      </c>
      <c r="O121" s="6">
        <f>BE121</f>
        <v>0</v>
      </c>
      <c r="P121" s="6"/>
      <c r="Q121" s="69">
        <v>921.45600000000002</v>
      </c>
      <c r="R121" s="69">
        <v>921.45600000000002</v>
      </c>
      <c r="S121" s="69">
        <v>921.45600000000002</v>
      </c>
      <c r="T121" s="72">
        <f t="shared" ref="T121:T130" si="300">E121</f>
        <v>921.45600000000002</v>
      </c>
      <c r="U121" s="69">
        <v>921.45600000000002</v>
      </c>
      <c r="V121" s="69">
        <v>921.45600000000002</v>
      </c>
      <c r="W121" s="69">
        <v>921.45600000000002</v>
      </c>
      <c r="X121" s="6">
        <f t="shared" ref="X121:X130" si="301">F121</f>
        <v>921.45600000000002</v>
      </c>
      <c r="Y121" s="69">
        <v>921.45600000000002</v>
      </c>
      <c r="Z121" s="69">
        <v>0</v>
      </c>
      <c r="AA121" s="69">
        <v>0</v>
      </c>
      <c r="AB121" s="6">
        <f t="shared" ref="AB121:AB130" si="302">G121</f>
        <v>0</v>
      </c>
      <c r="AC121" s="69">
        <v>0</v>
      </c>
      <c r="AD121" s="69">
        <v>0</v>
      </c>
      <c r="AE121" s="69">
        <v>0</v>
      </c>
      <c r="AF121" s="72">
        <f t="shared" si="293"/>
        <v>0</v>
      </c>
      <c r="AG121" s="69"/>
      <c r="AH121" s="69"/>
      <c r="AI121" s="69">
        <v>0</v>
      </c>
      <c r="AJ121" s="72">
        <f t="shared" si="294"/>
        <v>0</v>
      </c>
      <c r="AK121" s="69">
        <v>0</v>
      </c>
      <c r="AL121" s="69"/>
      <c r="AM121" s="69"/>
      <c r="AN121" s="72">
        <f t="shared" si="295"/>
        <v>0</v>
      </c>
      <c r="AO121" s="69">
        <v>0</v>
      </c>
      <c r="AP121" s="69">
        <v>0</v>
      </c>
      <c r="AQ121" s="69">
        <v>0</v>
      </c>
      <c r="AR121" s="72">
        <f t="shared" si="296"/>
        <v>0</v>
      </c>
      <c r="AS121" s="69">
        <v>0</v>
      </c>
      <c r="AT121" s="69">
        <v>0</v>
      </c>
      <c r="AU121" s="69">
        <v>0</v>
      </c>
      <c r="AV121" s="72">
        <f t="shared" si="297"/>
        <v>0</v>
      </c>
      <c r="AW121" s="69">
        <v>0</v>
      </c>
      <c r="AX121" s="69">
        <v>0</v>
      </c>
      <c r="AY121" s="69">
        <v>0</v>
      </c>
      <c r="AZ121" s="72">
        <f t="shared" si="298"/>
        <v>0</v>
      </c>
      <c r="BA121" s="69">
        <v>0</v>
      </c>
      <c r="BB121" s="69">
        <v>0</v>
      </c>
      <c r="BC121" s="69">
        <v>0</v>
      </c>
      <c r="BD121" s="72">
        <f t="shared" si="299"/>
        <v>0</v>
      </c>
      <c r="BE121" s="69">
        <v>0</v>
      </c>
      <c r="BF121" s="146"/>
      <c r="BG121" s="381"/>
      <c r="BH121" s="381"/>
      <c r="BI121" s="381"/>
    </row>
    <row r="122" spans="2:61" ht="13.5" customHeight="1">
      <c r="B122" s="1" t="s">
        <v>351</v>
      </c>
      <c r="C122" s="69">
        <v>2100</v>
      </c>
      <c r="D122" s="69">
        <v>2100</v>
      </c>
      <c r="E122" s="69">
        <v>2100</v>
      </c>
      <c r="F122" s="69">
        <v>0</v>
      </c>
      <c r="G122" s="69">
        <v>0</v>
      </c>
      <c r="H122" s="69">
        <v>0</v>
      </c>
      <c r="I122" s="69">
        <v>0</v>
      </c>
      <c r="J122" s="69">
        <v>0</v>
      </c>
      <c r="K122" s="69">
        <v>0</v>
      </c>
      <c r="L122" s="69">
        <v>0</v>
      </c>
      <c r="M122" s="69">
        <v>0</v>
      </c>
      <c r="N122" s="69">
        <v>0</v>
      </c>
      <c r="O122" s="6">
        <f>BE122</f>
        <v>0</v>
      </c>
      <c r="P122" s="6"/>
      <c r="Q122" s="69">
        <v>2100</v>
      </c>
      <c r="R122" s="69">
        <v>2100</v>
      </c>
      <c r="S122" s="69">
        <v>2100</v>
      </c>
      <c r="T122" s="72">
        <f t="shared" si="300"/>
        <v>2100</v>
      </c>
      <c r="U122" s="69">
        <v>0</v>
      </c>
      <c r="V122" s="69">
        <v>0</v>
      </c>
      <c r="W122" s="69">
        <v>0</v>
      </c>
      <c r="X122" s="6">
        <f t="shared" si="301"/>
        <v>0</v>
      </c>
      <c r="Y122" s="69">
        <v>0</v>
      </c>
      <c r="Z122" s="69">
        <v>0</v>
      </c>
      <c r="AA122" s="69">
        <v>0</v>
      </c>
      <c r="AB122" s="6">
        <f t="shared" si="302"/>
        <v>0</v>
      </c>
      <c r="AC122" s="69">
        <v>0</v>
      </c>
      <c r="AD122" s="69">
        <v>0</v>
      </c>
      <c r="AE122" s="69">
        <v>0</v>
      </c>
      <c r="AF122" s="72">
        <f t="shared" si="293"/>
        <v>0</v>
      </c>
      <c r="AG122" s="69"/>
      <c r="AH122" s="69"/>
      <c r="AI122" s="69">
        <v>0</v>
      </c>
      <c r="AJ122" s="72">
        <f t="shared" si="294"/>
        <v>0</v>
      </c>
      <c r="AK122" s="69">
        <v>0</v>
      </c>
      <c r="AL122" s="69"/>
      <c r="AM122" s="69"/>
      <c r="AN122" s="72">
        <f t="shared" si="295"/>
        <v>0</v>
      </c>
      <c r="AO122" s="69">
        <v>0</v>
      </c>
      <c r="AP122" s="69">
        <v>0</v>
      </c>
      <c r="AQ122" s="69">
        <v>0</v>
      </c>
      <c r="AR122" s="72">
        <f t="shared" si="296"/>
        <v>0</v>
      </c>
      <c r="AS122" s="69">
        <v>0</v>
      </c>
      <c r="AT122" s="69">
        <v>0</v>
      </c>
      <c r="AU122" s="69">
        <v>0</v>
      </c>
      <c r="AV122" s="72">
        <f t="shared" si="297"/>
        <v>0</v>
      </c>
      <c r="AW122" s="69">
        <v>0</v>
      </c>
      <c r="AX122" s="69">
        <v>0</v>
      </c>
      <c r="AY122" s="69">
        <v>0</v>
      </c>
      <c r="AZ122" s="72">
        <f t="shared" si="298"/>
        <v>0</v>
      </c>
      <c r="BA122" s="69">
        <v>0</v>
      </c>
      <c r="BB122" s="69">
        <v>0</v>
      </c>
      <c r="BC122" s="69">
        <v>0</v>
      </c>
      <c r="BD122" s="72">
        <f t="shared" si="299"/>
        <v>0</v>
      </c>
      <c r="BE122" s="69">
        <v>0</v>
      </c>
      <c r="BF122" s="146"/>
      <c r="BG122" s="381"/>
      <c r="BH122" s="381"/>
      <c r="BI122" s="381"/>
    </row>
    <row r="123" spans="2:61" ht="13.5" customHeight="1">
      <c r="B123" s="1" t="s">
        <v>245</v>
      </c>
      <c r="C123" s="69">
        <v>1000</v>
      </c>
      <c r="D123" s="69">
        <v>1000</v>
      </c>
      <c r="E123" s="69">
        <v>1000</v>
      </c>
      <c r="F123" s="69">
        <v>1000</v>
      </c>
      <c r="G123" s="69">
        <v>0</v>
      </c>
      <c r="H123" s="69">
        <v>0</v>
      </c>
      <c r="I123" s="69">
        <v>0</v>
      </c>
      <c r="J123" s="69">
        <v>0</v>
      </c>
      <c r="K123" s="69">
        <v>0</v>
      </c>
      <c r="L123" s="69">
        <v>0</v>
      </c>
      <c r="M123" s="69">
        <v>0</v>
      </c>
      <c r="N123" s="69">
        <v>0</v>
      </c>
      <c r="O123" s="6">
        <f>BE123</f>
        <v>0</v>
      </c>
      <c r="P123" s="6"/>
      <c r="Q123" s="69">
        <v>1000</v>
      </c>
      <c r="R123" s="69">
        <v>1000</v>
      </c>
      <c r="S123" s="69">
        <v>1000</v>
      </c>
      <c r="T123" s="72">
        <f t="shared" si="300"/>
        <v>1000</v>
      </c>
      <c r="U123" s="69">
        <v>1000</v>
      </c>
      <c r="V123" s="69">
        <v>1000</v>
      </c>
      <c r="W123" s="69">
        <v>1000</v>
      </c>
      <c r="X123" s="6">
        <f t="shared" si="301"/>
        <v>1000</v>
      </c>
      <c r="Y123" s="69">
        <v>1000</v>
      </c>
      <c r="Z123" s="69">
        <v>1000</v>
      </c>
      <c r="AA123" s="69">
        <v>0</v>
      </c>
      <c r="AB123" s="6">
        <f t="shared" si="302"/>
        <v>0</v>
      </c>
      <c r="AC123" s="69">
        <v>0</v>
      </c>
      <c r="AD123" s="69">
        <v>0</v>
      </c>
      <c r="AE123" s="69">
        <v>0</v>
      </c>
      <c r="AF123" s="72">
        <f t="shared" si="293"/>
        <v>0</v>
      </c>
      <c r="AG123" s="69"/>
      <c r="AH123" s="69"/>
      <c r="AI123" s="69">
        <v>0</v>
      </c>
      <c r="AJ123" s="72">
        <f t="shared" si="294"/>
        <v>0</v>
      </c>
      <c r="AK123" s="69">
        <v>0</v>
      </c>
      <c r="AL123" s="69"/>
      <c r="AM123" s="69"/>
      <c r="AN123" s="72">
        <f t="shared" si="295"/>
        <v>0</v>
      </c>
      <c r="AO123" s="69">
        <v>0</v>
      </c>
      <c r="AP123" s="69">
        <v>0</v>
      </c>
      <c r="AQ123" s="69">
        <v>0</v>
      </c>
      <c r="AR123" s="72">
        <f t="shared" si="296"/>
        <v>0</v>
      </c>
      <c r="AS123" s="69">
        <v>0</v>
      </c>
      <c r="AT123" s="69">
        <v>0</v>
      </c>
      <c r="AU123" s="69">
        <v>0</v>
      </c>
      <c r="AV123" s="72">
        <f t="shared" si="297"/>
        <v>0</v>
      </c>
      <c r="AW123" s="69">
        <v>0</v>
      </c>
      <c r="AX123" s="69">
        <v>0</v>
      </c>
      <c r="AY123" s="69">
        <v>0</v>
      </c>
      <c r="AZ123" s="72">
        <f t="shared" si="298"/>
        <v>0</v>
      </c>
      <c r="BA123" s="69">
        <v>0</v>
      </c>
      <c r="BB123" s="69">
        <v>0</v>
      </c>
      <c r="BC123" s="69">
        <v>0</v>
      </c>
      <c r="BD123" s="72">
        <f t="shared" si="299"/>
        <v>0</v>
      </c>
      <c r="BE123" s="69">
        <v>0</v>
      </c>
      <c r="BF123" s="146"/>
      <c r="BG123" s="381"/>
      <c r="BH123" s="381"/>
      <c r="BI123" s="381"/>
    </row>
    <row r="124" spans="2:61" ht="13.5" customHeight="1">
      <c r="B124" s="1" t="s">
        <v>135</v>
      </c>
      <c r="C124" s="69">
        <v>750</v>
      </c>
      <c r="D124" s="69">
        <v>750</v>
      </c>
      <c r="E124" s="69">
        <v>750</v>
      </c>
      <c r="F124" s="69">
        <v>750</v>
      </c>
      <c r="G124" s="69">
        <v>750</v>
      </c>
      <c r="H124" s="69">
        <v>750</v>
      </c>
      <c r="I124" s="69">
        <v>0</v>
      </c>
      <c r="J124" s="69">
        <v>0</v>
      </c>
      <c r="K124" s="69">
        <v>0</v>
      </c>
      <c r="L124" s="69">
        <v>0</v>
      </c>
      <c r="M124" s="69">
        <v>0</v>
      </c>
      <c r="N124" s="69">
        <v>0</v>
      </c>
      <c r="O124" s="6">
        <f>BE124</f>
        <v>0</v>
      </c>
      <c r="P124" s="6"/>
      <c r="Q124" s="69">
        <v>750</v>
      </c>
      <c r="R124" s="69">
        <v>750</v>
      </c>
      <c r="S124" s="69">
        <v>750</v>
      </c>
      <c r="T124" s="72">
        <f t="shared" si="300"/>
        <v>750</v>
      </c>
      <c r="U124" s="69">
        <v>750</v>
      </c>
      <c r="V124" s="69">
        <v>750</v>
      </c>
      <c r="W124" s="69">
        <v>750</v>
      </c>
      <c r="X124" s="6">
        <f t="shared" si="301"/>
        <v>750</v>
      </c>
      <c r="Y124" s="69">
        <v>750</v>
      </c>
      <c r="Z124" s="69">
        <v>750</v>
      </c>
      <c r="AA124" s="69">
        <v>750</v>
      </c>
      <c r="AB124" s="6">
        <f t="shared" si="302"/>
        <v>750</v>
      </c>
      <c r="AC124" s="69">
        <v>750</v>
      </c>
      <c r="AD124" s="69">
        <v>750</v>
      </c>
      <c r="AE124" s="69">
        <v>750</v>
      </c>
      <c r="AF124" s="72">
        <f t="shared" si="293"/>
        <v>750</v>
      </c>
      <c r="AG124" s="69">
        <v>750</v>
      </c>
      <c r="AH124" s="69"/>
      <c r="AI124" s="69">
        <v>0</v>
      </c>
      <c r="AJ124" s="72">
        <f t="shared" si="294"/>
        <v>0</v>
      </c>
      <c r="AK124" s="69">
        <v>0</v>
      </c>
      <c r="AL124" s="69"/>
      <c r="AM124" s="69"/>
      <c r="AN124" s="72">
        <f t="shared" si="295"/>
        <v>0</v>
      </c>
      <c r="AO124" s="69">
        <v>0</v>
      </c>
      <c r="AP124" s="69">
        <v>0</v>
      </c>
      <c r="AQ124" s="69">
        <v>0</v>
      </c>
      <c r="AR124" s="72">
        <f t="shared" si="296"/>
        <v>0</v>
      </c>
      <c r="AS124" s="69">
        <v>0</v>
      </c>
      <c r="AT124" s="69">
        <v>0</v>
      </c>
      <c r="AU124" s="69">
        <v>0</v>
      </c>
      <c r="AV124" s="72">
        <f t="shared" si="297"/>
        <v>0</v>
      </c>
      <c r="AW124" s="69">
        <v>0</v>
      </c>
      <c r="AX124" s="69">
        <v>0</v>
      </c>
      <c r="AY124" s="69">
        <v>0</v>
      </c>
      <c r="AZ124" s="72">
        <f t="shared" si="298"/>
        <v>0</v>
      </c>
      <c r="BA124" s="69">
        <v>0</v>
      </c>
      <c r="BB124" s="69">
        <v>0</v>
      </c>
      <c r="BC124" s="69">
        <v>0</v>
      </c>
      <c r="BD124" s="72">
        <f t="shared" si="299"/>
        <v>0</v>
      </c>
      <c r="BE124" s="69">
        <v>0</v>
      </c>
      <c r="BF124" s="146"/>
      <c r="BG124" s="381"/>
      <c r="BH124" s="381"/>
      <c r="BI124" s="381"/>
    </row>
    <row r="125" spans="2:61" ht="13.5" customHeight="1">
      <c r="B125" s="1" t="s">
        <v>136</v>
      </c>
      <c r="C125" s="69">
        <v>2250</v>
      </c>
      <c r="D125" s="69">
        <v>2250</v>
      </c>
      <c r="E125" s="69">
        <v>2250</v>
      </c>
      <c r="F125" s="69">
        <v>2250</v>
      </c>
      <c r="G125" s="69">
        <v>2250</v>
      </c>
      <c r="H125" s="69">
        <v>2250</v>
      </c>
      <c r="I125" s="69">
        <v>0</v>
      </c>
      <c r="J125" s="69">
        <v>0</v>
      </c>
      <c r="K125" s="69">
        <v>0</v>
      </c>
      <c r="L125" s="69">
        <v>0</v>
      </c>
      <c r="M125" s="69">
        <v>0</v>
      </c>
      <c r="N125" s="69">
        <v>0</v>
      </c>
      <c r="O125" s="6">
        <f>BE125</f>
        <v>0</v>
      </c>
      <c r="P125" s="6"/>
      <c r="Q125" s="69">
        <v>2250</v>
      </c>
      <c r="R125" s="69">
        <v>2250</v>
      </c>
      <c r="S125" s="69">
        <v>2250</v>
      </c>
      <c r="T125" s="72">
        <f t="shared" si="300"/>
        <v>2250</v>
      </c>
      <c r="U125" s="69">
        <v>2250</v>
      </c>
      <c r="V125" s="69">
        <v>2250</v>
      </c>
      <c r="W125" s="69">
        <v>2250</v>
      </c>
      <c r="X125" s="6">
        <f t="shared" si="301"/>
        <v>2250</v>
      </c>
      <c r="Y125" s="69">
        <v>2250</v>
      </c>
      <c r="Z125" s="69">
        <v>2250</v>
      </c>
      <c r="AA125" s="69">
        <v>2250</v>
      </c>
      <c r="AB125" s="6">
        <f t="shared" si="302"/>
        <v>2250</v>
      </c>
      <c r="AC125" s="69">
        <v>2250</v>
      </c>
      <c r="AD125" s="69">
        <v>2250</v>
      </c>
      <c r="AE125" s="69">
        <v>2250</v>
      </c>
      <c r="AF125" s="72">
        <f t="shared" si="293"/>
        <v>2250</v>
      </c>
      <c r="AG125" s="69">
        <v>2250</v>
      </c>
      <c r="AH125" s="69"/>
      <c r="AI125" s="69">
        <v>0</v>
      </c>
      <c r="AJ125" s="72">
        <f t="shared" si="294"/>
        <v>0</v>
      </c>
      <c r="AK125" s="69">
        <v>0</v>
      </c>
      <c r="AL125" s="69"/>
      <c r="AM125" s="69"/>
      <c r="AN125" s="72">
        <f t="shared" si="295"/>
        <v>0</v>
      </c>
      <c r="AO125" s="69">
        <v>0</v>
      </c>
      <c r="AP125" s="69">
        <v>0</v>
      </c>
      <c r="AQ125" s="69">
        <v>0</v>
      </c>
      <c r="AR125" s="72">
        <f t="shared" si="296"/>
        <v>0</v>
      </c>
      <c r="AS125" s="69">
        <v>0</v>
      </c>
      <c r="AT125" s="69">
        <v>0</v>
      </c>
      <c r="AU125" s="69">
        <v>0</v>
      </c>
      <c r="AV125" s="72">
        <f t="shared" si="297"/>
        <v>0</v>
      </c>
      <c r="AW125" s="69">
        <v>0</v>
      </c>
      <c r="AX125" s="69">
        <v>0</v>
      </c>
      <c r="AY125" s="69">
        <v>0</v>
      </c>
      <c r="AZ125" s="72">
        <f t="shared" si="298"/>
        <v>0</v>
      </c>
      <c r="BA125" s="69">
        <v>0</v>
      </c>
      <c r="BB125" s="69">
        <v>0</v>
      </c>
      <c r="BC125" s="69">
        <v>0</v>
      </c>
      <c r="BD125" s="72">
        <f t="shared" si="299"/>
        <v>0</v>
      </c>
      <c r="BE125" s="69">
        <v>0</v>
      </c>
      <c r="BF125" s="146"/>
      <c r="BG125" s="381"/>
      <c r="BH125" s="381"/>
      <c r="BI125" s="381"/>
    </row>
    <row r="126" spans="2:61" ht="13.5" customHeight="1">
      <c r="B126" s="1" t="s">
        <v>137</v>
      </c>
      <c r="C126" s="69">
        <v>0</v>
      </c>
      <c r="D126" s="69">
        <v>0</v>
      </c>
      <c r="E126" s="69">
        <v>0</v>
      </c>
      <c r="F126" s="69">
        <v>1500</v>
      </c>
      <c r="G126" s="69">
        <v>1500</v>
      </c>
      <c r="H126" s="69">
        <v>1500</v>
      </c>
      <c r="I126" s="69">
        <v>1500</v>
      </c>
      <c r="J126" s="69">
        <v>1500</v>
      </c>
      <c r="K126" s="69">
        <v>0</v>
      </c>
      <c r="L126" s="69">
        <v>0</v>
      </c>
      <c r="M126" s="69">
        <v>0</v>
      </c>
      <c r="N126" s="69">
        <v>0</v>
      </c>
      <c r="O126" s="6">
        <f>BE126</f>
        <v>0</v>
      </c>
      <c r="P126" s="6"/>
      <c r="Q126" s="69">
        <v>0</v>
      </c>
      <c r="R126" s="69">
        <v>0</v>
      </c>
      <c r="S126" s="69">
        <v>0</v>
      </c>
      <c r="T126" s="72">
        <f t="shared" si="300"/>
        <v>0</v>
      </c>
      <c r="U126" s="69">
        <v>1500</v>
      </c>
      <c r="V126" s="69">
        <v>1500</v>
      </c>
      <c r="W126" s="69">
        <v>1500</v>
      </c>
      <c r="X126" s="6">
        <f t="shared" si="301"/>
        <v>1500</v>
      </c>
      <c r="Y126" s="69">
        <v>1500</v>
      </c>
      <c r="Z126" s="69">
        <v>1500</v>
      </c>
      <c r="AA126" s="69">
        <v>1500</v>
      </c>
      <c r="AB126" s="6">
        <f t="shared" si="302"/>
        <v>1500</v>
      </c>
      <c r="AC126" s="69">
        <v>1500</v>
      </c>
      <c r="AD126" s="69">
        <v>1500</v>
      </c>
      <c r="AE126" s="69">
        <v>1500</v>
      </c>
      <c r="AF126" s="72">
        <f t="shared" si="293"/>
        <v>1500</v>
      </c>
      <c r="AG126" s="69">
        <v>1500</v>
      </c>
      <c r="AH126" s="69">
        <v>1500</v>
      </c>
      <c r="AI126" s="69">
        <v>1500</v>
      </c>
      <c r="AJ126" s="72">
        <f t="shared" si="294"/>
        <v>1500</v>
      </c>
      <c r="AK126" s="69">
        <v>1500</v>
      </c>
      <c r="AL126" s="69">
        <v>1500</v>
      </c>
      <c r="AM126" s="69">
        <v>1500</v>
      </c>
      <c r="AN126" s="72">
        <f t="shared" si="295"/>
        <v>1500</v>
      </c>
      <c r="AO126" s="69">
        <v>1500</v>
      </c>
      <c r="AP126" s="69">
        <v>1500</v>
      </c>
      <c r="AQ126" s="69">
        <v>0</v>
      </c>
      <c r="AR126" s="72">
        <f t="shared" si="296"/>
        <v>0</v>
      </c>
      <c r="AS126" s="69">
        <v>0</v>
      </c>
      <c r="AT126" s="69">
        <v>0</v>
      </c>
      <c r="AU126" s="69">
        <v>0</v>
      </c>
      <c r="AV126" s="72">
        <f t="shared" si="297"/>
        <v>0</v>
      </c>
      <c r="AW126" s="69">
        <v>0</v>
      </c>
      <c r="AX126" s="69">
        <v>0</v>
      </c>
      <c r="AY126" s="69">
        <v>0</v>
      </c>
      <c r="AZ126" s="72">
        <f t="shared" si="298"/>
        <v>0</v>
      </c>
      <c r="BA126" s="69">
        <v>0</v>
      </c>
      <c r="BB126" s="69">
        <v>0</v>
      </c>
      <c r="BC126" s="69">
        <v>0</v>
      </c>
      <c r="BD126" s="72">
        <f t="shared" si="299"/>
        <v>0</v>
      </c>
      <c r="BE126" s="69">
        <v>0</v>
      </c>
      <c r="BF126" s="146"/>
      <c r="BG126" s="381"/>
      <c r="BH126" s="381"/>
      <c r="BI126" s="381"/>
    </row>
    <row r="127" spans="2:61" ht="13.5" customHeight="1">
      <c r="B127" s="1" t="s">
        <v>138</v>
      </c>
      <c r="C127" s="69">
        <v>1900</v>
      </c>
      <c r="D127" s="69">
        <v>1900</v>
      </c>
      <c r="E127" s="69">
        <v>1900</v>
      </c>
      <c r="F127" s="69">
        <v>1900</v>
      </c>
      <c r="G127" s="69">
        <v>1900</v>
      </c>
      <c r="H127" s="69">
        <v>1900</v>
      </c>
      <c r="I127" s="69">
        <v>1900</v>
      </c>
      <c r="J127" s="69">
        <v>1900</v>
      </c>
      <c r="K127" s="69">
        <v>0</v>
      </c>
      <c r="L127" s="69">
        <v>0</v>
      </c>
      <c r="M127" s="69">
        <v>0</v>
      </c>
      <c r="N127" s="69">
        <v>0</v>
      </c>
      <c r="O127" s="6">
        <f>BE127</f>
        <v>0</v>
      </c>
      <c r="P127" s="6"/>
      <c r="Q127" s="69">
        <v>1900</v>
      </c>
      <c r="R127" s="69">
        <v>1900</v>
      </c>
      <c r="S127" s="69">
        <v>1900</v>
      </c>
      <c r="T127" s="72">
        <f t="shared" si="300"/>
        <v>1900</v>
      </c>
      <c r="U127" s="69">
        <v>1900</v>
      </c>
      <c r="V127" s="69">
        <v>1900</v>
      </c>
      <c r="W127" s="69">
        <v>1900</v>
      </c>
      <c r="X127" s="6">
        <f t="shared" si="301"/>
        <v>1900</v>
      </c>
      <c r="Y127" s="69">
        <v>1900</v>
      </c>
      <c r="Z127" s="69">
        <v>1900</v>
      </c>
      <c r="AA127" s="69">
        <v>1900</v>
      </c>
      <c r="AB127" s="6">
        <f t="shared" si="302"/>
        <v>1900</v>
      </c>
      <c r="AC127" s="69">
        <v>1900</v>
      </c>
      <c r="AD127" s="69">
        <v>1900</v>
      </c>
      <c r="AE127" s="69">
        <v>1900</v>
      </c>
      <c r="AF127" s="72">
        <f t="shared" si="293"/>
        <v>1900</v>
      </c>
      <c r="AG127" s="69">
        <v>1900</v>
      </c>
      <c r="AH127" s="69">
        <v>1900</v>
      </c>
      <c r="AI127" s="69">
        <v>1900</v>
      </c>
      <c r="AJ127" s="72">
        <f t="shared" si="294"/>
        <v>1900</v>
      </c>
      <c r="AK127" s="69">
        <v>1900</v>
      </c>
      <c r="AL127" s="69">
        <v>1900</v>
      </c>
      <c r="AM127" s="69">
        <v>1900</v>
      </c>
      <c r="AN127" s="72">
        <f t="shared" si="295"/>
        <v>1900</v>
      </c>
      <c r="AO127" s="69">
        <v>0</v>
      </c>
      <c r="AP127" s="69">
        <v>0</v>
      </c>
      <c r="AQ127" s="69">
        <v>0</v>
      </c>
      <c r="AR127" s="72">
        <f t="shared" si="296"/>
        <v>0</v>
      </c>
      <c r="AS127" s="69">
        <v>0</v>
      </c>
      <c r="AT127" s="69">
        <v>0</v>
      </c>
      <c r="AU127" s="69">
        <v>0</v>
      </c>
      <c r="AV127" s="72">
        <f t="shared" si="297"/>
        <v>0</v>
      </c>
      <c r="AW127" s="69">
        <v>0</v>
      </c>
      <c r="AX127" s="69">
        <v>0</v>
      </c>
      <c r="AY127" s="69">
        <v>0</v>
      </c>
      <c r="AZ127" s="72">
        <f t="shared" si="298"/>
        <v>0</v>
      </c>
      <c r="BA127" s="69">
        <v>0</v>
      </c>
      <c r="BB127" s="69">
        <v>0</v>
      </c>
      <c r="BC127" s="69">
        <v>0</v>
      </c>
      <c r="BD127" s="72">
        <f t="shared" si="299"/>
        <v>0</v>
      </c>
      <c r="BE127" s="69">
        <v>0</v>
      </c>
      <c r="BF127" s="146"/>
      <c r="BG127" s="381"/>
      <c r="BH127" s="381"/>
      <c r="BI127" s="381"/>
    </row>
    <row r="128" spans="2:61" ht="13.5" customHeight="1">
      <c r="B128" s="1" t="s">
        <v>13</v>
      </c>
      <c r="C128" s="69">
        <v>4422</v>
      </c>
      <c r="D128" s="69">
        <v>5175</v>
      </c>
      <c r="E128" s="69">
        <v>6185.82</v>
      </c>
      <c r="F128" s="69">
        <v>5898.87</v>
      </c>
      <c r="G128" s="69">
        <v>5895.36</v>
      </c>
      <c r="H128" s="69">
        <v>5659.26</v>
      </c>
      <c r="I128" s="69">
        <v>5972.61</v>
      </c>
      <c r="J128" s="69">
        <v>6140.16</v>
      </c>
      <c r="K128" s="69">
        <v>5841.45</v>
      </c>
      <c r="L128" s="69">
        <f>5068.05</f>
        <v>5068.05</v>
      </c>
      <c r="M128" s="69">
        <v>0</v>
      </c>
      <c r="N128" s="69">
        <v>0</v>
      </c>
      <c r="O128" s="6">
        <f>BE128</f>
        <v>0</v>
      </c>
      <c r="P128" s="6"/>
      <c r="Q128" s="69">
        <v>5171.1000000000004</v>
      </c>
      <c r="R128" s="69">
        <v>5539</v>
      </c>
      <c r="S128" s="69">
        <v>5813.28</v>
      </c>
      <c r="T128" s="72">
        <f t="shared" si="300"/>
        <v>6185.82</v>
      </c>
      <c r="U128" s="69">
        <v>5638.65</v>
      </c>
      <c r="V128" s="69">
        <v>5418.78</v>
      </c>
      <c r="W128" s="69">
        <v>5447.7</v>
      </c>
      <c r="X128" s="6">
        <f t="shared" si="301"/>
        <v>5898.87</v>
      </c>
      <c r="Y128" s="69">
        <v>5481.27</v>
      </c>
      <c r="Z128" s="69">
        <v>5907.36</v>
      </c>
      <c r="AA128" s="69">
        <v>5616.93</v>
      </c>
      <c r="AB128" s="6">
        <f t="shared" si="302"/>
        <v>5895.36</v>
      </c>
      <c r="AC128" s="69">
        <v>5813.37</v>
      </c>
      <c r="AD128" s="69">
        <v>5762.61</v>
      </c>
      <c r="AE128" s="69">
        <v>5920.35</v>
      </c>
      <c r="AF128" s="72">
        <f t="shared" si="293"/>
        <v>5659.26</v>
      </c>
      <c r="AG128" s="69">
        <v>7045.41</v>
      </c>
      <c r="AH128" s="69">
        <v>6926.79</v>
      </c>
      <c r="AI128" s="69">
        <v>6643.14</v>
      </c>
      <c r="AJ128" s="72">
        <f t="shared" si="294"/>
        <v>5972.61</v>
      </c>
      <c r="AK128" s="69">
        <v>6132</v>
      </c>
      <c r="AL128" s="69">
        <v>5971.86</v>
      </c>
      <c r="AM128" s="69">
        <v>6168.6890000000003</v>
      </c>
      <c r="AN128" s="72">
        <f t="shared" si="295"/>
        <v>6140.16</v>
      </c>
      <c r="AO128" s="69">
        <v>5973.36</v>
      </c>
      <c r="AP128" s="69">
        <v>6040.05</v>
      </c>
      <c r="AQ128" s="69">
        <v>6027.75</v>
      </c>
      <c r="AR128" s="72">
        <f t="shared" si="296"/>
        <v>5841.45</v>
      </c>
      <c r="AS128" s="69">
        <v>5412.45</v>
      </c>
      <c r="AT128" s="69">
        <v>5140.74</v>
      </c>
      <c r="AU128" s="69">
        <v>5285.85</v>
      </c>
      <c r="AV128" s="72">
        <f t="shared" si="297"/>
        <v>5068.05</v>
      </c>
      <c r="AW128" s="69">
        <v>5003.3999999999996</v>
      </c>
      <c r="AX128" s="69">
        <v>5513.19</v>
      </c>
      <c r="AY128" s="69">
        <v>5888.7</v>
      </c>
      <c r="AZ128" s="72">
        <f t="shared" si="298"/>
        <v>0</v>
      </c>
      <c r="BA128" s="69">
        <v>0</v>
      </c>
      <c r="BB128" s="69">
        <v>0</v>
      </c>
      <c r="BC128" s="69">
        <v>0</v>
      </c>
      <c r="BD128" s="72">
        <f t="shared" si="299"/>
        <v>0</v>
      </c>
      <c r="BE128" s="69">
        <v>0</v>
      </c>
      <c r="BF128" s="146"/>
      <c r="BG128" s="381"/>
      <c r="BH128" s="381"/>
      <c r="BI128" s="381"/>
    </row>
    <row r="129" spans="2:61" ht="13.5" customHeight="1">
      <c r="B129" s="1" t="s">
        <v>15</v>
      </c>
      <c r="C129" s="69">
        <v>0</v>
      </c>
      <c r="D129" s="69">
        <v>0</v>
      </c>
      <c r="E129" s="69">
        <v>15464.55</v>
      </c>
      <c r="F129" s="69">
        <v>14747.174999999999</v>
      </c>
      <c r="G129" s="69">
        <v>14738.4</v>
      </c>
      <c r="H129" s="69">
        <v>14148.15</v>
      </c>
      <c r="I129" s="69">
        <v>14931.525</v>
      </c>
      <c r="J129" s="69">
        <v>10184.949000000001</v>
      </c>
      <c r="K129" s="69">
        <v>9689.4660000000003</v>
      </c>
      <c r="L129" s="69">
        <f>8406.594</f>
        <v>8406.5939999999991</v>
      </c>
      <c r="M129" s="69">
        <v>10085.972</v>
      </c>
      <c r="N129" s="69">
        <v>8940.643</v>
      </c>
      <c r="O129" s="6">
        <f>BE129</f>
        <v>0</v>
      </c>
      <c r="P129" s="6"/>
      <c r="Q129" s="69">
        <v>0</v>
      </c>
      <c r="R129" s="69">
        <v>0</v>
      </c>
      <c r="S129" s="69">
        <v>14533.2</v>
      </c>
      <c r="T129" s="72">
        <f t="shared" si="300"/>
        <v>15464.55</v>
      </c>
      <c r="U129" s="69">
        <v>14096.625</v>
      </c>
      <c r="V129" s="69">
        <v>13546.95</v>
      </c>
      <c r="W129" s="69">
        <v>13619.25</v>
      </c>
      <c r="X129" s="6">
        <f t="shared" si="301"/>
        <v>14747.174999999999</v>
      </c>
      <c r="Y129" s="69">
        <v>13703.174999999999</v>
      </c>
      <c r="Z129" s="69">
        <v>14768.4</v>
      </c>
      <c r="AA129" s="69">
        <v>14042.325000000001</v>
      </c>
      <c r="AB129" s="6">
        <f t="shared" si="302"/>
        <v>14738.4</v>
      </c>
      <c r="AC129" s="69">
        <v>14533.424999999999</v>
      </c>
      <c r="AD129" s="69">
        <v>14406.525</v>
      </c>
      <c r="AE129" s="69">
        <v>14800.875</v>
      </c>
      <c r="AF129" s="72">
        <f t="shared" si="293"/>
        <v>14148.15</v>
      </c>
      <c r="AG129" s="69">
        <v>17613.525000000001</v>
      </c>
      <c r="AH129" s="69">
        <v>17316.974999999999</v>
      </c>
      <c r="AI129" s="69">
        <v>16607.849999999999</v>
      </c>
      <c r="AJ129" s="72">
        <f t="shared" si="294"/>
        <v>14931.525</v>
      </c>
      <c r="AK129" s="69">
        <v>15330</v>
      </c>
      <c r="AL129" s="69">
        <v>14929.65</v>
      </c>
      <c r="AM129" s="69">
        <v>10281.15</v>
      </c>
      <c r="AN129" s="72">
        <f t="shared" si="295"/>
        <v>10184.949000000001</v>
      </c>
      <c r="AO129" s="69">
        <v>9908.2710000000006</v>
      </c>
      <c r="AP129" s="69">
        <v>10018.893</v>
      </c>
      <c r="AQ129" s="69">
        <v>9998.49</v>
      </c>
      <c r="AR129" s="72">
        <f t="shared" si="296"/>
        <v>9689.4660000000003</v>
      </c>
      <c r="AS129" s="69">
        <v>8977.8649999999998</v>
      </c>
      <c r="AT129" s="69">
        <v>8527.1679999999997</v>
      </c>
      <c r="AU129" s="69">
        <v>8767.8680000000004</v>
      </c>
      <c r="AV129" s="72">
        <f t="shared" si="297"/>
        <v>8406.5939999999991</v>
      </c>
      <c r="AW129" s="69">
        <v>8299.3559999999998</v>
      </c>
      <c r="AX129" s="69">
        <v>9144.9670000000006</v>
      </c>
      <c r="AY129" s="69">
        <v>9767.8420000000006</v>
      </c>
      <c r="AZ129" s="72">
        <f t="shared" si="298"/>
        <v>10085.972</v>
      </c>
      <c r="BA129" s="69">
        <v>10110.804</v>
      </c>
      <c r="BB129" s="69">
        <v>9401.4920000000002</v>
      </c>
      <c r="BC129" s="69">
        <v>9147.5550000000003</v>
      </c>
      <c r="BD129" s="72">
        <f t="shared" si="299"/>
        <v>8940.643</v>
      </c>
      <c r="BE129" s="69">
        <v>0</v>
      </c>
      <c r="BF129" s="146"/>
      <c r="BG129" s="381"/>
      <c r="BH129" s="381"/>
      <c r="BI129" s="381"/>
    </row>
    <row r="130" spans="2:61" ht="13.5" customHeight="1">
      <c r="B130" s="1" t="s">
        <v>19</v>
      </c>
      <c r="C130" s="69">
        <v>0</v>
      </c>
      <c r="D130" s="69">
        <v>0</v>
      </c>
      <c r="E130" s="69">
        <v>0</v>
      </c>
      <c r="F130" s="69">
        <v>3500</v>
      </c>
      <c r="G130" s="69">
        <v>3500</v>
      </c>
      <c r="H130" s="69">
        <v>3500</v>
      </c>
      <c r="I130" s="69">
        <v>3500</v>
      </c>
      <c r="J130" s="69">
        <v>3500</v>
      </c>
      <c r="K130" s="69">
        <v>3500</v>
      </c>
      <c r="L130" s="69">
        <v>3500</v>
      </c>
      <c r="M130" s="69">
        <v>3500</v>
      </c>
      <c r="N130" s="69">
        <v>3500</v>
      </c>
      <c r="O130" s="6">
        <f>BE130</f>
        <v>3500</v>
      </c>
      <c r="P130" s="6"/>
      <c r="Q130" s="69">
        <v>0</v>
      </c>
      <c r="R130" s="69">
        <v>0</v>
      </c>
      <c r="S130" s="69">
        <v>0</v>
      </c>
      <c r="T130" s="72">
        <f t="shared" si="300"/>
        <v>0</v>
      </c>
      <c r="U130" s="69">
        <v>3500</v>
      </c>
      <c r="V130" s="69">
        <v>3500</v>
      </c>
      <c r="W130" s="69">
        <v>3500</v>
      </c>
      <c r="X130" s="6">
        <f t="shared" si="301"/>
        <v>3500</v>
      </c>
      <c r="Y130" s="69">
        <v>3500</v>
      </c>
      <c r="Z130" s="69">
        <v>3500</v>
      </c>
      <c r="AA130" s="69">
        <v>3500</v>
      </c>
      <c r="AB130" s="6">
        <f t="shared" si="302"/>
        <v>3500</v>
      </c>
      <c r="AC130" s="69">
        <v>3500</v>
      </c>
      <c r="AD130" s="69">
        <v>3500</v>
      </c>
      <c r="AE130" s="69">
        <v>3500</v>
      </c>
      <c r="AF130" s="72">
        <f t="shared" si="293"/>
        <v>3500</v>
      </c>
      <c r="AG130" s="69">
        <v>3500</v>
      </c>
      <c r="AH130" s="69">
        <v>3500</v>
      </c>
      <c r="AI130" s="69">
        <v>3500</v>
      </c>
      <c r="AJ130" s="72">
        <f t="shared" si="294"/>
        <v>3500</v>
      </c>
      <c r="AK130" s="69">
        <v>3500</v>
      </c>
      <c r="AL130" s="69">
        <v>3500</v>
      </c>
      <c r="AM130" s="69">
        <v>3500</v>
      </c>
      <c r="AN130" s="72">
        <f t="shared" si="295"/>
        <v>3500</v>
      </c>
      <c r="AO130" s="69">
        <v>3500</v>
      </c>
      <c r="AP130" s="69">
        <v>3500</v>
      </c>
      <c r="AQ130" s="69">
        <v>3500</v>
      </c>
      <c r="AR130" s="72">
        <f t="shared" si="296"/>
        <v>3500</v>
      </c>
      <c r="AS130" s="69">
        <v>3500</v>
      </c>
      <c r="AT130" s="69">
        <v>3500</v>
      </c>
      <c r="AU130" s="69">
        <v>3500</v>
      </c>
      <c r="AV130" s="72">
        <f t="shared" si="297"/>
        <v>3500</v>
      </c>
      <c r="AW130" s="69">
        <v>3500</v>
      </c>
      <c r="AX130" s="69">
        <v>3500</v>
      </c>
      <c r="AY130" s="69">
        <v>3500</v>
      </c>
      <c r="AZ130" s="72">
        <f t="shared" si="298"/>
        <v>3500</v>
      </c>
      <c r="BA130" s="69">
        <v>3500</v>
      </c>
      <c r="BB130" s="69">
        <v>3500</v>
      </c>
      <c r="BC130" s="69">
        <v>3500</v>
      </c>
      <c r="BD130" s="72">
        <f t="shared" si="299"/>
        <v>3500</v>
      </c>
      <c r="BE130" s="69">
        <v>3500</v>
      </c>
      <c r="BF130" s="146"/>
      <c r="BG130" s="381"/>
      <c r="BH130" s="381"/>
      <c r="BI130" s="381"/>
    </row>
    <row r="131" spans="2:61" ht="13.5" customHeight="1">
      <c r="B131" s="1" t="s">
        <v>21</v>
      </c>
      <c r="C131" s="69"/>
      <c r="D131" s="69"/>
      <c r="E131" s="69"/>
      <c r="F131" s="69"/>
      <c r="G131" s="69"/>
      <c r="H131" s="69">
        <v>5000</v>
      </c>
      <c r="I131" s="69">
        <v>5000</v>
      </c>
      <c r="J131" s="69">
        <v>5000</v>
      </c>
      <c r="K131" s="69">
        <v>5000</v>
      </c>
      <c r="L131" s="69">
        <v>5000</v>
      </c>
      <c r="M131" s="69">
        <v>5000</v>
      </c>
      <c r="N131" s="69">
        <v>5000</v>
      </c>
      <c r="O131" s="6">
        <f>BE131</f>
        <v>5000</v>
      </c>
      <c r="P131" s="6"/>
      <c r="Q131" s="69"/>
      <c r="R131" s="69"/>
      <c r="S131" s="69"/>
      <c r="T131" s="72"/>
      <c r="U131" s="69"/>
      <c r="V131" s="69"/>
      <c r="W131" s="69"/>
      <c r="X131" s="6"/>
      <c r="Y131" s="69"/>
      <c r="Z131" s="69"/>
      <c r="AA131" s="69"/>
      <c r="AB131" s="6"/>
      <c r="AC131" s="69"/>
      <c r="AD131" s="69"/>
      <c r="AE131" s="69"/>
      <c r="AF131" s="72">
        <f t="shared" si="293"/>
        <v>5000</v>
      </c>
      <c r="AG131" s="69">
        <v>5000</v>
      </c>
      <c r="AH131" s="69">
        <v>5000</v>
      </c>
      <c r="AI131" s="69">
        <v>5000</v>
      </c>
      <c r="AJ131" s="72">
        <f t="shared" si="294"/>
        <v>5000</v>
      </c>
      <c r="AK131" s="69">
        <v>5000</v>
      </c>
      <c r="AL131" s="69">
        <v>5000</v>
      </c>
      <c r="AM131" s="69">
        <v>5000</v>
      </c>
      <c r="AN131" s="72">
        <f t="shared" si="295"/>
        <v>5000</v>
      </c>
      <c r="AO131" s="69">
        <v>5000</v>
      </c>
      <c r="AP131" s="69">
        <v>5000</v>
      </c>
      <c r="AQ131" s="69">
        <v>5000</v>
      </c>
      <c r="AR131" s="72">
        <f t="shared" si="296"/>
        <v>5000</v>
      </c>
      <c r="AS131" s="69">
        <v>5000</v>
      </c>
      <c r="AT131" s="69">
        <v>5000</v>
      </c>
      <c r="AU131" s="69">
        <v>5000</v>
      </c>
      <c r="AV131" s="72">
        <f t="shared" si="297"/>
        <v>5000</v>
      </c>
      <c r="AW131" s="69">
        <v>5000</v>
      </c>
      <c r="AX131" s="69">
        <v>5000</v>
      </c>
      <c r="AY131" s="69">
        <v>5000</v>
      </c>
      <c r="AZ131" s="72">
        <f t="shared" si="298"/>
        <v>5000</v>
      </c>
      <c r="BA131" s="69">
        <v>5000</v>
      </c>
      <c r="BB131" s="69">
        <v>5000</v>
      </c>
      <c r="BC131" s="69">
        <v>5000</v>
      </c>
      <c r="BD131" s="72">
        <f t="shared" si="299"/>
        <v>5000</v>
      </c>
      <c r="BE131" s="69">
        <v>5000</v>
      </c>
      <c r="BF131" s="146"/>
      <c r="BG131" s="381"/>
      <c r="BH131" s="381"/>
      <c r="BI131" s="381"/>
    </row>
    <row r="132" spans="2:61" ht="13.5" customHeight="1">
      <c r="B132" s="1" t="s">
        <v>23</v>
      </c>
      <c r="C132" s="69"/>
      <c r="D132" s="69"/>
      <c r="E132" s="69"/>
      <c r="F132" s="69"/>
      <c r="G132" s="69"/>
      <c r="H132" s="69"/>
      <c r="I132" s="69">
        <v>5000</v>
      </c>
      <c r="J132" s="69">
        <v>5000</v>
      </c>
      <c r="K132" s="69">
        <v>5000</v>
      </c>
      <c r="L132" s="69">
        <v>5000</v>
      </c>
      <c r="M132" s="69">
        <v>5000</v>
      </c>
      <c r="N132" s="69">
        <v>5000</v>
      </c>
      <c r="O132" s="6">
        <f>BE132</f>
        <v>5000</v>
      </c>
      <c r="P132" s="6"/>
      <c r="Q132" s="69"/>
      <c r="R132" s="69"/>
      <c r="S132" s="69"/>
      <c r="T132" s="72"/>
      <c r="U132" s="69"/>
      <c r="V132" s="69"/>
      <c r="W132" s="69"/>
      <c r="X132" s="6"/>
      <c r="Y132" s="69"/>
      <c r="Z132" s="69"/>
      <c r="AA132" s="69"/>
      <c r="AB132" s="6"/>
      <c r="AC132" s="69"/>
      <c r="AD132" s="69"/>
      <c r="AE132" s="69"/>
      <c r="AF132" s="72"/>
      <c r="AG132" s="69"/>
      <c r="AH132" s="69"/>
      <c r="AI132" s="69">
        <v>5000</v>
      </c>
      <c r="AJ132" s="72"/>
      <c r="AK132" s="69">
        <v>5000</v>
      </c>
      <c r="AL132" s="69">
        <v>5000</v>
      </c>
      <c r="AM132" s="69">
        <v>5000</v>
      </c>
      <c r="AN132" s="72">
        <f t="shared" si="295"/>
        <v>5000</v>
      </c>
      <c r="AO132" s="69">
        <v>5000</v>
      </c>
      <c r="AP132" s="69">
        <v>5000</v>
      </c>
      <c r="AQ132" s="69">
        <v>5000</v>
      </c>
      <c r="AR132" s="72">
        <f t="shared" si="296"/>
        <v>5000</v>
      </c>
      <c r="AS132" s="69">
        <v>5000</v>
      </c>
      <c r="AT132" s="69">
        <v>5000</v>
      </c>
      <c r="AU132" s="69">
        <v>5000</v>
      </c>
      <c r="AV132" s="72">
        <f t="shared" si="297"/>
        <v>5000</v>
      </c>
      <c r="AW132" s="69">
        <v>5000</v>
      </c>
      <c r="AX132" s="69">
        <v>5000</v>
      </c>
      <c r="AY132" s="69">
        <v>5000</v>
      </c>
      <c r="AZ132" s="72">
        <f t="shared" si="298"/>
        <v>5000</v>
      </c>
      <c r="BA132" s="69">
        <v>5000</v>
      </c>
      <c r="BB132" s="69">
        <v>5000</v>
      </c>
      <c r="BC132" s="69">
        <v>5000</v>
      </c>
      <c r="BD132" s="72">
        <f t="shared" si="299"/>
        <v>5000</v>
      </c>
      <c r="BE132" s="69">
        <v>5000</v>
      </c>
      <c r="BF132" s="146"/>
      <c r="BG132" s="381"/>
      <c r="BH132" s="381"/>
      <c r="BI132" s="381"/>
    </row>
    <row r="133" spans="2:61" ht="13.5" customHeight="1">
      <c r="B133" s="1" t="s">
        <v>24</v>
      </c>
      <c r="C133" s="69"/>
      <c r="D133" s="69"/>
      <c r="E133" s="69"/>
      <c r="F133" s="69"/>
      <c r="G133" s="69"/>
      <c r="H133" s="69"/>
      <c r="I133" s="69"/>
      <c r="J133" s="69"/>
      <c r="K133" s="69"/>
      <c r="L133" s="69"/>
      <c r="M133" s="69"/>
      <c r="N133" s="69">
        <v>8983.35</v>
      </c>
      <c r="O133" s="6">
        <f>BE133</f>
        <v>9033.35</v>
      </c>
      <c r="P133" s="6"/>
      <c r="Q133" s="69"/>
      <c r="R133" s="69"/>
      <c r="S133" s="69"/>
      <c r="T133" s="72"/>
      <c r="U133" s="69"/>
      <c r="V133" s="69"/>
      <c r="W133" s="69"/>
      <c r="X133" s="6"/>
      <c r="Y133" s="69"/>
      <c r="Z133" s="69"/>
      <c r="AA133" s="69"/>
      <c r="AB133" s="6"/>
      <c r="AC133" s="69"/>
      <c r="AD133" s="69"/>
      <c r="AE133" s="69"/>
      <c r="AF133" s="72"/>
      <c r="AG133" s="69"/>
      <c r="AH133" s="69"/>
      <c r="AI133" s="69"/>
      <c r="AJ133" s="72"/>
      <c r="AK133" s="69"/>
      <c r="AL133" s="69"/>
      <c r="AM133" s="69"/>
      <c r="AN133" s="72"/>
      <c r="AO133" s="69"/>
      <c r="AP133" s="69"/>
      <c r="AQ133" s="69"/>
      <c r="AR133" s="72"/>
      <c r="AS133" s="69"/>
      <c r="AT133" s="69"/>
      <c r="AU133" s="69"/>
      <c r="AV133" s="72"/>
      <c r="AW133" s="69"/>
      <c r="AX133" s="69"/>
      <c r="AY133" s="69"/>
      <c r="AZ133" s="72">
        <f t="shared" si="298"/>
        <v>0</v>
      </c>
      <c r="BA133" s="69">
        <v>10159.1</v>
      </c>
      <c r="BB133" s="69">
        <v>9446.4</v>
      </c>
      <c r="BC133" s="69">
        <v>9191.25</v>
      </c>
      <c r="BD133" s="72">
        <f t="shared" si="299"/>
        <v>8983.35</v>
      </c>
      <c r="BE133" s="69">
        <v>9033.35</v>
      </c>
      <c r="BF133" s="69"/>
      <c r="BG133" s="381"/>
      <c r="BH133" s="381"/>
      <c r="BI133" s="381"/>
    </row>
    <row r="134" spans="2:61" ht="13.5" customHeight="1">
      <c r="B134" s="1" t="s">
        <v>352</v>
      </c>
      <c r="C134" s="69"/>
      <c r="D134" s="69"/>
      <c r="E134" s="69"/>
      <c r="F134" s="69"/>
      <c r="G134" s="69"/>
      <c r="H134" s="69"/>
      <c r="I134" s="69"/>
      <c r="J134" s="69"/>
      <c r="K134" s="69"/>
      <c r="L134" s="69"/>
      <c r="M134" s="69"/>
      <c r="N134" s="69">
        <v>8983.35</v>
      </c>
      <c r="O134" s="6">
        <f>BE134</f>
        <v>9033.35</v>
      </c>
      <c r="P134" s="6"/>
      <c r="Q134" s="69"/>
      <c r="R134" s="69"/>
      <c r="S134" s="69"/>
      <c r="T134" s="72"/>
      <c r="U134" s="69"/>
      <c r="V134" s="69"/>
      <c r="W134" s="69"/>
      <c r="X134" s="6"/>
      <c r="Y134" s="69"/>
      <c r="Z134" s="69"/>
      <c r="AA134" s="69"/>
      <c r="AB134" s="6"/>
      <c r="AC134" s="69"/>
      <c r="AD134" s="69"/>
      <c r="AE134" s="69"/>
      <c r="AF134" s="72"/>
      <c r="AG134" s="69"/>
      <c r="AH134" s="69"/>
      <c r="AI134" s="69"/>
      <c r="AJ134" s="72"/>
      <c r="AK134" s="69"/>
      <c r="AL134" s="69"/>
      <c r="AM134" s="69"/>
      <c r="AN134" s="72"/>
      <c r="AO134" s="69"/>
      <c r="AP134" s="69"/>
      <c r="AQ134" s="69"/>
      <c r="AR134" s="72"/>
      <c r="AS134" s="69"/>
      <c r="AT134" s="69"/>
      <c r="AU134" s="69"/>
      <c r="AV134" s="72"/>
      <c r="AW134" s="69"/>
      <c r="AX134" s="69"/>
      <c r="AY134" s="69"/>
      <c r="AZ134" s="72">
        <f t="shared" si="298"/>
        <v>0</v>
      </c>
      <c r="BA134" s="69">
        <v>10159.1</v>
      </c>
      <c r="BB134" s="69">
        <v>9446.4</v>
      </c>
      <c r="BC134" s="69">
        <v>9191.25</v>
      </c>
      <c r="BD134" s="72">
        <f t="shared" si="299"/>
        <v>8983.35</v>
      </c>
      <c r="BE134" s="69">
        <v>9033.35</v>
      </c>
      <c r="BF134" s="146"/>
      <c r="BG134" s="381"/>
      <c r="BH134" s="381"/>
      <c r="BI134" s="381"/>
    </row>
    <row r="135" spans="2:61" ht="13.5" customHeight="1">
      <c r="B135" s="1" t="s">
        <v>27</v>
      </c>
      <c r="C135" s="69"/>
      <c r="D135" s="69"/>
      <c r="E135" s="69"/>
      <c r="F135" s="69"/>
      <c r="G135" s="69"/>
      <c r="H135" s="69"/>
      <c r="I135" s="69"/>
      <c r="J135" s="69"/>
      <c r="K135" s="69"/>
      <c r="L135" s="69"/>
      <c r="M135" s="69"/>
      <c r="N135" s="69"/>
      <c r="O135" s="6">
        <f>BE135</f>
        <v>9033.35</v>
      </c>
      <c r="P135" s="6"/>
      <c r="Q135" s="69"/>
      <c r="R135" s="69"/>
      <c r="S135" s="69"/>
      <c r="T135" s="72"/>
      <c r="U135" s="69"/>
      <c r="V135" s="69"/>
      <c r="W135" s="69"/>
      <c r="X135" s="6"/>
      <c r="Y135" s="69"/>
      <c r="Z135" s="69"/>
      <c r="AA135" s="69"/>
      <c r="AB135" s="6"/>
      <c r="AC135" s="69"/>
      <c r="AD135" s="69"/>
      <c r="AE135" s="69"/>
      <c r="AF135" s="72"/>
      <c r="AG135" s="69"/>
      <c r="AH135" s="69"/>
      <c r="AI135" s="69"/>
      <c r="AJ135" s="72"/>
      <c r="AK135" s="69"/>
      <c r="AL135" s="69"/>
      <c r="AM135" s="69"/>
      <c r="AN135" s="72"/>
      <c r="AO135" s="69"/>
      <c r="AP135" s="69"/>
      <c r="AQ135" s="69"/>
      <c r="AR135" s="72"/>
      <c r="AS135" s="69"/>
      <c r="AT135" s="69"/>
      <c r="AU135" s="69"/>
      <c r="AV135" s="72"/>
      <c r="AW135" s="69"/>
      <c r="AX135" s="69"/>
      <c r="AY135" s="69"/>
      <c r="AZ135" s="72"/>
      <c r="BA135" s="69"/>
      <c r="BB135" s="69"/>
      <c r="BC135" s="69"/>
      <c r="BD135" s="72"/>
      <c r="BE135" s="69">
        <v>9033.35</v>
      </c>
      <c r="BF135" s="146"/>
      <c r="BG135" s="381"/>
      <c r="BH135" s="381"/>
      <c r="BI135" s="381"/>
    </row>
    <row r="136" spans="2:61" ht="13.5" customHeight="1">
      <c r="B136" s="1" t="s">
        <v>353</v>
      </c>
      <c r="C136" s="69"/>
      <c r="D136" s="69"/>
      <c r="E136" s="69"/>
      <c r="F136" s="69"/>
      <c r="G136" s="69"/>
      <c r="H136" s="69"/>
      <c r="I136" s="69"/>
      <c r="J136" s="69"/>
      <c r="K136" s="69"/>
      <c r="L136" s="69"/>
      <c r="M136" s="69"/>
      <c r="N136" s="69"/>
      <c r="O136" s="6">
        <f>BE136</f>
        <v>0</v>
      </c>
      <c r="P136" s="6"/>
      <c r="Q136" s="69"/>
      <c r="R136" s="69"/>
      <c r="S136" s="69"/>
      <c r="T136" s="72"/>
      <c r="U136" s="69"/>
      <c r="V136" s="69"/>
      <c r="W136" s="69"/>
      <c r="X136" s="6"/>
      <c r="Y136" s="69"/>
      <c r="Z136" s="69"/>
      <c r="AA136" s="69"/>
      <c r="AB136" s="6"/>
      <c r="AC136" s="69"/>
      <c r="AD136" s="69"/>
      <c r="AE136" s="69"/>
      <c r="AF136" s="72"/>
      <c r="AG136" s="69"/>
      <c r="AH136" s="69">
        <v>1000</v>
      </c>
      <c r="AI136" s="69">
        <v>1000</v>
      </c>
      <c r="AJ136" s="72"/>
      <c r="AK136" s="69"/>
      <c r="AL136" s="69"/>
      <c r="AM136" s="69">
        <v>517.01700000000005</v>
      </c>
      <c r="AN136" s="72">
        <f t="shared" si="295"/>
        <v>0</v>
      </c>
      <c r="AO136" s="69"/>
      <c r="AP136" s="69"/>
      <c r="AQ136" s="69"/>
      <c r="AR136" s="72">
        <f t="shared" si="296"/>
        <v>0</v>
      </c>
      <c r="AS136" s="69"/>
      <c r="AT136" s="69"/>
      <c r="AU136" s="69"/>
      <c r="AV136" s="72">
        <f t="shared" si="297"/>
        <v>0</v>
      </c>
      <c r="AW136" s="69"/>
      <c r="AX136" s="69"/>
      <c r="AY136" s="69"/>
      <c r="AZ136" s="72">
        <f t="shared" si="298"/>
        <v>0</v>
      </c>
      <c r="BA136" s="69"/>
      <c r="BB136" s="69"/>
      <c r="BC136" s="69"/>
      <c r="BD136" s="72">
        <f t="shared" si="299"/>
        <v>0</v>
      </c>
      <c r="BE136" s="69"/>
      <c r="BF136" s="146"/>
      <c r="BG136" s="381"/>
      <c r="BH136" s="381"/>
      <c r="BI136" s="381"/>
    </row>
    <row r="137" spans="2:61" ht="13.5" customHeight="1">
      <c r="B137" s="1" t="s">
        <v>140</v>
      </c>
      <c r="C137" s="69"/>
      <c r="D137" s="69"/>
      <c r="E137" s="69"/>
      <c r="F137" s="69"/>
      <c r="G137" s="69"/>
      <c r="H137" s="69"/>
      <c r="I137" s="69"/>
      <c r="J137" s="69"/>
      <c r="K137" s="69"/>
      <c r="L137" s="69"/>
      <c r="M137" s="69"/>
      <c r="N137" s="69"/>
      <c r="O137" s="6">
        <f>BE137</f>
        <v>0</v>
      </c>
      <c r="P137" s="6"/>
      <c r="Q137" s="69"/>
      <c r="R137" s="69"/>
      <c r="S137" s="69"/>
      <c r="T137" s="72"/>
      <c r="U137" s="69"/>
      <c r="V137" s="69"/>
      <c r="W137" s="69"/>
      <c r="X137" s="6"/>
      <c r="Y137" s="69"/>
      <c r="Z137" s="69"/>
      <c r="AA137" s="69"/>
      <c r="AB137" s="6"/>
      <c r="AC137" s="69"/>
      <c r="AD137" s="69"/>
      <c r="AE137" s="69"/>
      <c r="AF137" s="72"/>
      <c r="AG137" s="69"/>
      <c r="AH137" s="69">
        <v>1500</v>
      </c>
      <c r="AI137" s="69">
        <v>1500</v>
      </c>
      <c r="AJ137" s="72"/>
      <c r="AK137" s="69"/>
      <c r="AL137" s="69"/>
      <c r="AM137" s="69"/>
      <c r="AN137" s="72"/>
      <c r="AO137" s="69"/>
      <c r="AP137" s="69"/>
      <c r="AQ137" s="69"/>
      <c r="AR137" s="72"/>
      <c r="AS137" s="69"/>
      <c r="AT137" s="69"/>
      <c r="AU137" s="69"/>
      <c r="AV137" s="72"/>
      <c r="AW137" s="69"/>
      <c r="AX137" s="69"/>
      <c r="AY137" s="69"/>
      <c r="AZ137" s="72">
        <f t="shared" si="298"/>
        <v>0</v>
      </c>
      <c r="BA137" s="69"/>
      <c r="BB137" s="69"/>
      <c r="BC137" s="69"/>
      <c r="BD137" s="72">
        <f t="shared" si="299"/>
        <v>0</v>
      </c>
      <c r="BE137" s="69"/>
      <c r="BF137" s="146"/>
      <c r="BG137" s="381"/>
      <c r="BH137" s="381"/>
      <c r="BI137" s="381"/>
    </row>
    <row r="138" spans="2:61" ht="13.5" customHeight="1">
      <c r="B138" s="1" t="s">
        <v>141</v>
      </c>
      <c r="C138" s="69"/>
      <c r="D138" s="69"/>
      <c r="E138" s="69"/>
      <c r="F138" s="69"/>
      <c r="G138" s="69"/>
      <c r="H138" s="69"/>
      <c r="I138" s="69"/>
      <c r="J138" s="69"/>
      <c r="K138" s="69"/>
      <c r="L138" s="69"/>
      <c r="M138" s="69"/>
      <c r="N138" s="69"/>
      <c r="O138" s="6">
        <f>BE138</f>
        <v>0</v>
      </c>
      <c r="P138" s="6"/>
      <c r="Q138" s="69"/>
      <c r="R138" s="69"/>
      <c r="S138" s="69"/>
      <c r="T138" s="72"/>
      <c r="U138" s="69"/>
      <c r="V138" s="69"/>
      <c r="W138" s="69"/>
      <c r="X138" s="6"/>
      <c r="Y138" s="69"/>
      <c r="Z138" s="69"/>
      <c r="AA138" s="69"/>
      <c r="AB138" s="6"/>
      <c r="AC138" s="69"/>
      <c r="AD138" s="69"/>
      <c r="AE138" s="69"/>
      <c r="AF138" s="72"/>
      <c r="AG138" s="69"/>
      <c r="AH138" s="69">
        <v>1000</v>
      </c>
      <c r="AI138" s="69">
        <v>1000</v>
      </c>
      <c r="AJ138" s="72"/>
      <c r="AK138" s="69"/>
      <c r="AL138" s="69"/>
      <c r="AM138" s="69"/>
      <c r="AN138" s="72"/>
      <c r="AO138" s="69"/>
      <c r="AP138" s="69"/>
      <c r="AQ138" s="69"/>
      <c r="AR138" s="72"/>
      <c r="AS138" s="69"/>
      <c r="AT138" s="69"/>
      <c r="AU138" s="69"/>
      <c r="AV138" s="72"/>
      <c r="AW138" s="69"/>
      <c r="AX138" s="69"/>
      <c r="AY138" s="69"/>
      <c r="AZ138" s="72">
        <f t="shared" si="298"/>
        <v>0</v>
      </c>
      <c r="BA138" s="69"/>
      <c r="BB138" s="69"/>
      <c r="BC138" s="69"/>
      <c r="BD138" s="72">
        <f t="shared" si="299"/>
        <v>0</v>
      </c>
      <c r="BE138" s="69"/>
      <c r="BF138" s="146"/>
      <c r="BG138" s="381"/>
      <c r="BH138" s="381"/>
      <c r="BI138" s="381"/>
    </row>
    <row r="139" spans="2:61" ht="13.5" customHeight="1">
      <c r="C139" s="69">
        <v>0</v>
      </c>
      <c r="D139" s="69">
        <v>0</v>
      </c>
      <c r="E139" s="69">
        <v>0</v>
      </c>
      <c r="F139" s="69">
        <v>3750</v>
      </c>
      <c r="G139" s="69">
        <v>0</v>
      </c>
      <c r="H139" s="69">
        <v>0</v>
      </c>
      <c r="I139" s="69">
        <v>0</v>
      </c>
      <c r="J139" s="69">
        <v>0</v>
      </c>
      <c r="K139" s="69">
        <v>0</v>
      </c>
      <c r="L139" s="69">
        <v>0</v>
      </c>
      <c r="M139" s="69">
        <v>0</v>
      </c>
      <c r="N139" s="69">
        <v>0</v>
      </c>
      <c r="O139" s="6">
        <f>BE139</f>
        <v>0</v>
      </c>
      <c r="P139" s="6"/>
      <c r="Q139" s="69">
        <v>0</v>
      </c>
      <c r="R139" s="69">
        <v>0</v>
      </c>
      <c r="S139" s="69">
        <v>0</v>
      </c>
      <c r="T139" s="72">
        <f>E139</f>
        <v>0</v>
      </c>
      <c r="U139" s="69">
        <v>0</v>
      </c>
      <c r="V139" s="69">
        <v>0</v>
      </c>
      <c r="W139" s="69">
        <v>5000</v>
      </c>
      <c r="X139" s="6">
        <f>F139</f>
        <v>3750</v>
      </c>
      <c r="Y139" s="69">
        <f>156250*15/1000</f>
        <v>2343.75</v>
      </c>
      <c r="Z139" s="69">
        <v>0</v>
      </c>
      <c r="AA139" s="69">
        <v>0</v>
      </c>
      <c r="AB139" s="6">
        <f>G139</f>
        <v>0</v>
      </c>
      <c r="AC139" s="69">
        <v>0</v>
      </c>
      <c r="AD139" s="69">
        <v>0</v>
      </c>
      <c r="AE139" s="69">
        <v>0</v>
      </c>
      <c r="AF139" s="72">
        <f>H139</f>
        <v>0</v>
      </c>
      <c r="AG139" s="69">
        <v>0</v>
      </c>
      <c r="AH139" s="69">
        <v>0</v>
      </c>
      <c r="AI139" s="69">
        <v>0</v>
      </c>
      <c r="AJ139" s="72">
        <f>I139</f>
        <v>0</v>
      </c>
      <c r="AK139" s="69">
        <v>0</v>
      </c>
      <c r="AL139" s="69">
        <v>0</v>
      </c>
      <c r="AM139" s="69"/>
      <c r="AN139" s="72">
        <f>J139</f>
        <v>0</v>
      </c>
      <c r="AO139" s="69">
        <v>0</v>
      </c>
      <c r="AP139" s="69">
        <v>0</v>
      </c>
      <c r="AQ139" s="69">
        <v>0</v>
      </c>
      <c r="AR139" s="72">
        <f>K139</f>
        <v>0</v>
      </c>
      <c r="AS139" s="69">
        <v>0</v>
      </c>
      <c r="AT139" s="69">
        <v>0</v>
      </c>
      <c r="AU139" s="69">
        <v>0</v>
      </c>
      <c r="AV139" s="72">
        <f>L139</f>
        <v>0</v>
      </c>
      <c r="AW139" s="69">
        <v>0</v>
      </c>
      <c r="AX139" s="69">
        <v>0</v>
      </c>
      <c r="AY139" s="69">
        <v>0</v>
      </c>
      <c r="AZ139" s="72">
        <f t="shared" si="298"/>
        <v>0</v>
      </c>
      <c r="BA139" s="69">
        <v>0</v>
      </c>
      <c r="BB139" s="69">
        <v>0</v>
      </c>
      <c r="BC139" s="69">
        <v>0</v>
      </c>
      <c r="BD139" s="72">
        <f t="shared" si="299"/>
        <v>0</v>
      </c>
      <c r="BE139" s="69">
        <v>0</v>
      </c>
      <c r="BF139" s="146"/>
      <c r="BG139" s="381"/>
      <c r="BH139" s="381"/>
      <c r="BI139" s="381"/>
    </row>
    <row r="140" spans="2:61" ht="13.5" customHeight="1">
      <c r="B140" s="1" t="s">
        <v>354</v>
      </c>
      <c r="C140" s="69">
        <v>0</v>
      </c>
      <c r="D140" s="69">
        <v>0</v>
      </c>
      <c r="E140" s="69">
        <v>0</v>
      </c>
      <c r="F140" s="69">
        <v>0</v>
      </c>
      <c r="G140" s="69">
        <v>0</v>
      </c>
      <c r="H140" s="69">
        <v>0</v>
      </c>
      <c r="I140" s="69">
        <v>0</v>
      </c>
      <c r="J140" s="69">
        <v>0</v>
      </c>
      <c r="K140" s="69">
        <v>0</v>
      </c>
      <c r="L140" s="69">
        <v>0</v>
      </c>
      <c r="M140" s="69">
        <v>0</v>
      </c>
      <c r="N140" s="69">
        <v>0</v>
      </c>
      <c r="O140" s="6">
        <f>BE140</f>
        <v>0</v>
      </c>
      <c r="P140" s="6"/>
      <c r="Q140" s="69">
        <v>0</v>
      </c>
      <c r="R140" s="69">
        <v>0</v>
      </c>
      <c r="S140" s="69">
        <v>645</v>
      </c>
      <c r="T140" s="72">
        <f>E140</f>
        <v>0</v>
      </c>
      <c r="U140" s="69">
        <v>0</v>
      </c>
      <c r="V140" s="69">
        <v>0</v>
      </c>
      <c r="W140" s="69">
        <v>0</v>
      </c>
      <c r="X140" s="6">
        <f>F140</f>
        <v>0</v>
      </c>
      <c r="Y140" s="69">
        <v>0</v>
      </c>
      <c r="Z140" s="69">
        <v>0</v>
      </c>
      <c r="AA140" s="69">
        <v>0</v>
      </c>
      <c r="AB140" s="6">
        <f>G140</f>
        <v>0</v>
      </c>
      <c r="AC140" s="69">
        <v>0</v>
      </c>
      <c r="AD140" s="69">
        <v>0</v>
      </c>
      <c r="AE140" s="69">
        <v>0</v>
      </c>
      <c r="AF140" s="72">
        <f>H140</f>
        <v>0</v>
      </c>
      <c r="AG140" s="69">
        <v>0</v>
      </c>
      <c r="AH140" s="69">
        <v>0</v>
      </c>
      <c r="AI140" s="69">
        <v>0</v>
      </c>
      <c r="AJ140" s="72">
        <f>I140</f>
        <v>0</v>
      </c>
      <c r="AK140" s="69">
        <v>0</v>
      </c>
      <c r="AL140" s="69">
        <v>0</v>
      </c>
      <c r="AM140" s="69"/>
      <c r="AN140" s="72">
        <f>J140</f>
        <v>0</v>
      </c>
      <c r="AO140" s="69">
        <v>0</v>
      </c>
      <c r="AP140" s="69">
        <v>0</v>
      </c>
      <c r="AQ140" s="69">
        <v>0</v>
      </c>
      <c r="AR140" s="72">
        <f>K140</f>
        <v>0</v>
      </c>
      <c r="AS140" s="69">
        <v>0</v>
      </c>
      <c r="AT140" s="69">
        <v>0</v>
      </c>
      <c r="AU140" s="69">
        <v>0</v>
      </c>
      <c r="AV140" s="72">
        <f>L140</f>
        <v>0</v>
      </c>
      <c r="AW140" s="69">
        <v>0</v>
      </c>
      <c r="AX140" s="69">
        <v>0</v>
      </c>
      <c r="AY140" s="69">
        <v>0</v>
      </c>
      <c r="AZ140" s="72">
        <f t="shared" si="298"/>
        <v>0</v>
      </c>
      <c r="BA140" s="69">
        <v>0</v>
      </c>
      <c r="BB140" s="69">
        <v>0</v>
      </c>
      <c r="BC140" s="69">
        <v>0</v>
      </c>
      <c r="BD140" s="72">
        <f t="shared" si="299"/>
        <v>0</v>
      </c>
      <c r="BE140" s="69">
        <v>0</v>
      </c>
      <c r="BF140" s="146"/>
      <c r="BG140" s="381"/>
      <c r="BH140" s="381"/>
      <c r="BI140" s="381"/>
    </row>
    <row r="141" spans="2:61" ht="13.5" customHeight="1">
      <c r="B141" s="5" t="s">
        <v>355</v>
      </c>
      <c r="C141" s="8">
        <f t="shared" ref="C141:O141" si="303">SUM(C119:C140)</f>
        <v>13343</v>
      </c>
      <c r="D141" s="8">
        <f t="shared" si="303"/>
        <v>14096.456</v>
      </c>
      <c r="E141" s="8">
        <f t="shared" si="303"/>
        <v>30571.826000000001</v>
      </c>
      <c r="F141" s="8">
        <f t="shared" si="303"/>
        <v>36217.501000000004</v>
      </c>
      <c r="G141" s="8">
        <f t="shared" si="303"/>
        <v>30533.760000000002</v>
      </c>
      <c r="H141" s="8">
        <f t="shared" si="303"/>
        <v>46926.523000000001</v>
      </c>
      <c r="I141" s="8">
        <f t="shared" si="303"/>
        <v>50215.144999999997</v>
      </c>
      <c r="J141" s="8">
        <f t="shared" si="303"/>
        <v>45785.199000000001</v>
      </c>
      <c r="K141" s="8">
        <f t="shared" si="303"/>
        <v>42649.953999999998</v>
      </c>
      <c r="L141" s="8">
        <f t="shared" si="303"/>
        <v>41097.930999999997</v>
      </c>
      <c r="M141" s="8">
        <f t="shared" si="303"/>
        <v>38371.252</v>
      </c>
      <c r="N141" s="8">
        <f t="shared" si="303"/>
        <v>55419.709999999992</v>
      </c>
      <c r="O141" s="8">
        <f t="shared" si="303"/>
        <v>55152.072999999997</v>
      </c>
      <c r="P141" s="8"/>
      <c r="Q141" s="8">
        <f t="shared" ref="Q141:AI141" si="304">SUM(Q119:Q140)</f>
        <v>14092.556</v>
      </c>
      <c r="R141" s="8">
        <f t="shared" si="304"/>
        <v>14460.456</v>
      </c>
      <c r="S141" s="8">
        <f t="shared" si="304"/>
        <v>29912.936000000002</v>
      </c>
      <c r="T141" s="8">
        <f t="shared" si="304"/>
        <v>30571.826000000001</v>
      </c>
      <c r="U141" s="8">
        <f t="shared" si="304"/>
        <v>31556.731</v>
      </c>
      <c r="V141" s="8">
        <f t="shared" si="304"/>
        <v>30787.186000000002</v>
      </c>
      <c r="W141" s="8">
        <f t="shared" si="304"/>
        <v>35888.406000000003</v>
      </c>
      <c r="X141" s="8">
        <f t="shared" si="304"/>
        <v>36217.501000000004</v>
      </c>
      <c r="Y141" s="8">
        <f t="shared" si="304"/>
        <v>33349.650999999998</v>
      </c>
      <c r="Z141" s="8">
        <f t="shared" si="304"/>
        <v>31575.760000000002</v>
      </c>
      <c r="AA141" s="8">
        <f t="shared" si="304"/>
        <v>29559.255000000001</v>
      </c>
      <c r="AB141" s="8">
        <f t="shared" si="304"/>
        <v>30533.760000000002</v>
      </c>
      <c r="AC141" s="8">
        <f t="shared" si="304"/>
        <v>41673.229999999996</v>
      </c>
      <c r="AD141" s="8">
        <f t="shared" si="304"/>
        <v>41596.381000000001</v>
      </c>
      <c r="AE141" s="8">
        <f t="shared" si="304"/>
        <v>42234.751000000004</v>
      </c>
      <c r="AF141" s="8">
        <f t="shared" si="304"/>
        <v>46926.523000000001</v>
      </c>
      <c r="AG141" s="8">
        <f t="shared" si="304"/>
        <v>51755.312000000005</v>
      </c>
      <c r="AH141" s="8">
        <f t="shared" si="304"/>
        <v>51756.077999999994</v>
      </c>
      <c r="AI141" s="8">
        <f t="shared" si="304"/>
        <v>55750.892</v>
      </c>
      <c r="AJ141" s="8">
        <f>I141</f>
        <v>50215.144999999997</v>
      </c>
      <c r="AK141" s="8">
        <f>SUM(AK119:AK140)</f>
        <v>50725.921000000002</v>
      </c>
      <c r="AL141" s="8">
        <f>SUM(AL119:AL140)</f>
        <v>50194.479999999996</v>
      </c>
      <c r="AM141" s="8">
        <f>SUM(AM119:AM140)</f>
        <v>46250.764999999999</v>
      </c>
      <c r="AN141" s="8">
        <f>J141</f>
        <v>45785.199000000001</v>
      </c>
      <c r="AO141" s="8">
        <f>SUM(AO119:AO140)</f>
        <v>43392.2</v>
      </c>
      <c r="AP141" s="8">
        <f>SUM(AP119:AP140)</f>
        <v>43691.563999999998</v>
      </c>
      <c r="AQ141" s="8">
        <f>SUM(AQ119:AQ140)</f>
        <v>42157.144</v>
      </c>
      <c r="AR141" s="8">
        <f>K141</f>
        <v>42649.953999999998</v>
      </c>
      <c r="AS141" s="8">
        <f>SUM(AS119:AS140)</f>
        <v>41492.858</v>
      </c>
      <c r="AT141" s="8">
        <f>SUM(AT119:AT140)</f>
        <v>40945.326999999997</v>
      </c>
      <c r="AU141" s="8">
        <f>SUM(AU119:AU140)</f>
        <v>41215.501000000004</v>
      </c>
      <c r="AV141" s="8">
        <f>L141</f>
        <v>41097.930999999997</v>
      </c>
      <c r="AW141" s="8">
        <f>SUM(AW119:AW140)</f>
        <v>41044.04</v>
      </c>
      <c r="AX141" s="8">
        <f>SUM(AX119:AX140)</f>
        <v>42430.781000000003</v>
      </c>
      <c r="AY141" s="8">
        <f>SUM(AY119:AY140)</f>
        <v>43443.073000000004</v>
      </c>
      <c r="AZ141" s="8">
        <f>SUM(AZ119:AZ140)</f>
        <v>38371.252</v>
      </c>
      <c r="BA141" s="8">
        <f>SUM(BA119:BA140)</f>
        <v>58621.368000000002</v>
      </c>
      <c r="BB141" s="8">
        <f t="shared" ref="BB141" si="305">SUM(BB119:BB140)</f>
        <v>56648.368000000002</v>
      </c>
      <c r="BC141" s="8">
        <f>SUM(BC119:BC140)</f>
        <v>55574.398000000001</v>
      </c>
      <c r="BD141" s="8">
        <f>SUM(BD119:BD140)</f>
        <v>55419.709999999992</v>
      </c>
      <c r="BE141" s="8">
        <f>SUM(BE119:BE140)</f>
        <v>55152.072999999997</v>
      </c>
      <c r="BF141" s="146"/>
      <c r="BG141" s="159"/>
      <c r="BH141" s="159"/>
      <c r="BI141" s="159"/>
    </row>
    <row r="142" spans="2:61" s="448" customFormat="1" ht="13.5" customHeight="1">
      <c r="B142" s="444" t="s">
        <v>34</v>
      </c>
      <c r="C142" s="445">
        <f t="shared" ref="C142:M142" si="306">C141-C116</f>
        <v>-0.8999999999996362</v>
      </c>
      <c r="D142" s="445">
        <f t="shared" si="306"/>
        <v>0.38999999999941792</v>
      </c>
      <c r="E142" s="445">
        <f t="shared" si="306"/>
        <v>0</v>
      </c>
      <c r="F142" s="445">
        <f t="shared" si="306"/>
        <v>0</v>
      </c>
      <c r="G142" s="445">
        <f t="shared" si="306"/>
        <v>0</v>
      </c>
      <c r="H142" s="445">
        <f t="shared" si="306"/>
        <v>0</v>
      </c>
      <c r="I142" s="445">
        <f t="shared" si="306"/>
        <v>0</v>
      </c>
      <c r="J142" s="445">
        <f t="shared" si="306"/>
        <v>0</v>
      </c>
      <c r="K142" s="445">
        <f t="shared" si="306"/>
        <v>0</v>
      </c>
      <c r="L142" s="445">
        <f>L141-L116</f>
        <v>0</v>
      </c>
      <c r="M142" s="445">
        <f t="shared" si="306"/>
        <v>0</v>
      </c>
      <c r="N142" s="446">
        <f>N141-N116-8940.643+2232.569</f>
        <v>-6.8212102632969618E-12</v>
      </c>
      <c r="O142" s="445">
        <f>O141-O116+3086.983</f>
        <v>956.86999999999534</v>
      </c>
      <c r="P142" s="445"/>
      <c r="Q142" s="445">
        <f t="shared" ref="Q142:AZ142" si="307">Q141-Q116</f>
        <v>0</v>
      </c>
      <c r="R142" s="445">
        <f t="shared" si="307"/>
        <v>-0.37999999999919964</v>
      </c>
      <c r="S142" s="445">
        <f t="shared" si="307"/>
        <v>0</v>
      </c>
      <c r="T142" s="409">
        <f t="shared" si="307"/>
        <v>0</v>
      </c>
      <c r="U142" s="445">
        <f t="shared" si="307"/>
        <v>-4.0000000080908649E-4</v>
      </c>
      <c r="V142" s="445">
        <f t="shared" si="307"/>
        <v>0</v>
      </c>
      <c r="W142" s="445">
        <f t="shared" si="307"/>
        <v>0</v>
      </c>
      <c r="X142" s="447">
        <f t="shared" si="307"/>
        <v>0</v>
      </c>
      <c r="Y142" s="445">
        <f t="shared" si="307"/>
        <v>0</v>
      </c>
      <c r="Z142" s="445">
        <f t="shared" si="307"/>
        <v>0</v>
      </c>
      <c r="AA142" s="445">
        <f t="shared" si="307"/>
        <v>0</v>
      </c>
      <c r="AB142" s="445">
        <f t="shared" si="307"/>
        <v>0</v>
      </c>
      <c r="AC142" s="445">
        <f t="shared" si="307"/>
        <v>0</v>
      </c>
      <c r="AD142" s="445">
        <f t="shared" si="307"/>
        <v>0</v>
      </c>
      <c r="AE142" s="445">
        <f t="shared" si="307"/>
        <v>0</v>
      </c>
      <c r="AF142" s="445">
        <f t="shared" si="307"/>
        <v>0</v>
      </c>
      <c r="AG142" s="445">
        <f t="shared" si="307"/>
        <v>0</v>
      </c>
      <c r="AH142" s="445">
        <f t="shared" si="307"/>
        <v>0</v>
      </c>
      <c r="AI142" s="445">
        <f t="shared" si="307"/>
        <v>0</v>
      </c>
      <c r="AJ142" s="445">
        <f t="shared" si="307"/>
        <v>0</v>
      </c>
      <c r="AK142" s="445">
        <f t="shared" si="307"/>
        <v>0</v>
      </c>
      <c r="AL142" s="445">
        <f t="shared" si="307"/>
        <v>0</v>
      </c>
      <c r="AM142" s="445">
        <f t="shared" si="307"/>
        <v>0</v>
      </c>
      <c r="AN142" s="445">
        <f t="shared" si="307"/>
        <v>0</v>
      </c>
      <c r="AO142" s="445">
        <f t="shared" si="307"/>
        <v>0</v>
      </c>
      <c r="AP142" s="445">
        <f t="shared" si="307"/>
        <v>0</v>
      </c>
      <c r="AQ142" s="445">
        <f t="shared" si="307"/>
        <v>0</v>
      </c>
      <c r="AR142" s="445">
        <f t="shared" si="307"/>
        <v>0</v>
      </c>
      <c r="AS142" s="445">
        <f t="shared" si="307"/>
        <v>0</v>
      </c>
      <c r="AT142" s="445">
        <f t="shared" si="307"/>
        <v>0</v>
      </c>
      <c r="AU142" s="445">
        <f t="shared" si="307"/>
        <v>0</v>
      </c>
      <c r="AV142" s="445">
        <f t="shared" si="307"/>
        <v>0</v>
      </c>
      <c r="AW142" s="445">
        <f t="shared" si="307"/>
        <v>0</v>
      </c>
      <c r="AX142" s="445">
        <f t="shared" si="307"/>
        <v>0</v>
      </c>
      <c r="AY142" s="445">
        <f t="shared" si="307"/>
        <v>0</v>
      </c>
      <c r="AZ142" s="445">
        <f t="shared" si="307"/>
        <v>0</v>
      </c>
      <c r="BA142" s="445">
        <f>BA141-BA116+967.586</f>
        <v>4.3200998334214091E-12</v>
      </c>
      <c r="BB142" s="445">
        <f>BB141-BB116+2851.052</f>
        <v>4.0927261579781771E-12</v>
      </c>
      <c r="BC142" s="445">
        <f>BC141-BC116+3672.029</f>
        <v>0</v>
      </c>
      <c r="BD142" s="445">
        <f>BD141-BD116-8940.643+2232.569</f>
        <v>-6.8212102632969618E-12</v>
      </c>
      <c r="BE142" s="445">
        <f>BE141-BE116+2130.113</f>
        <v>-5.0022208597511053E-12</v>
      </c>
      <c r="BG142" s="449"/>
      <c r="BH142" s="449"/>
      <c r="BI142" s="449"/>
    </row>
    <row r="143" spans="2:61" ht="13.5" customHeight="1">
      <c r="C143" s="30"/>
      <c r="D143" s="30"/>
      <c r="E143" s="30"/>
      <c r="F143" s="30"/>
      <c r="G143" s="30"/>
      <c r="H143" s="30"/>
      <c r="I143" s="30"/>
      <c r="J143" s="30"/>
      <c r="K143" s="30"/>
      <c r="L143" s="30"/>
      <c r="M143" s="30"/>
      <c r="BF143" s="146"/>
      <c r="BG143" s="380"/>
      <c r="BH143" s="138"/>
      <c r="BI143" s="138"/>
    </row>
    <row r="144" spans="2:61" ht="13.5" customHeight="1">
      <c r="B144" s="7" t="s">
        <v>356</v>
      </c>
      <c r="C144" s="4">
        <v>5891.4679999999998</v>
      </c>
      <c r="D144" s="4">
        <v>8583.2189999999991</v>
      </c>
      <c r="E144" s="4">
        <v>25574.23</v>
      </c>
      <c r="F144" s="4">
        <v>16635.078000000001</v>
      </c>
      <c r="G144" s="4">
        <v>13535.498</v>
      </c>
      <c r="H144" s="4">
        <v>18634.797999999999</v>
      </c>
      <c r="I144" s="4">
        <v>26195.9</v>
      </c>
      <c r="J144" s="4">
        <v>32494.9</v>
      </c>
      <c r="K144" s="4">
        <v>24516.254000000001</v>
      </c>
      <c r="L144" s="4">
        <f>29807.166</f>
        <v>29807.166000000001</v>
      </c>
      <c r="M144" s="4">
        <v>24728.179</v>
      </c>
      <c r="N144" s="4">
        <v>25265.098000000002</v>
      </c>
      <c r="O144" s="6">
        <f>BE144</f>
        <v>22803.13</v>
      </c>
      <c r="P144" s="99"/>
      <c r="Q144" s="4">
        <f>Q83</f>
        <v>5380.2120000000014</v>
      </c>
      <c r="R144" s="4">
        <f>R83</f>
        <v>5580.9600000000009</v>
      </c>
      <c r="S144" s="4">
        <f>S83</f>
        <v>5352.2380000000012</v>
      </c>
      <c r="T144" s="4">
        <v>25574.23</v>
      </c>
      <c r="U144" s="4">
        <v>22744.728999999999</v>
      </c>
      <c r="V144" s="4">
        <v>6587</v>
      </c>
      <c r="W144" s="4">
        <v>10659.884</v>
      </c>
      <c r="X144" s="6">
        <f>F144</f>
        <v>16635.078000000001</v>
      </c>
      <c r="Y144" s="4">
        <v>10649.177</v>
      </c>
      <c r="Z144" s="4">
        <v>9161.66</v>
      </c>
      <c r="AA144" s="4">
        <v>5970.8050000000003</v>
      </c>
      <c r="AB144" s="6">
        <f>G144</f>
        <v>13535.498</v>
      </c>
      <c r="AC144" s="4">
        <v>9532.3680000000004</v>
      </c>
      <c r="AD144" s="4">
        <v>10953.096</v>
      </c>
      <c r="AE144" s="4">
        <v>5562.6450000000004</v>
      </c>
      <c r="AF144" s="72">
        <f>H144</f>
        <v>18634.797999999999</v>
      </c>
      <c r="AG144" s="4">
        <v>14161.040999999999</v>
      </c>
      <c r="AH144" s="4">
        <v>5454.6120000000001</v>
      </c>
      <c r="AI144" s="4">
        <v>19649.725999999999</v>
      </c>
      <c r="AJ144" s="72">
        <f>I144</f>
        <v>26195.9</v>
      </c>
      <c r="AK144" s="4">
        <v>17877.300999999999</v>
      </c>
      <c r="AL144" s="4">
        <v>24905.376</v>
      </c>
      <c r="AM144" s="4">
        <v>20364.069</v>
      </c>
      <c r="AN144" s="72">
        <f>J144</f>
        <v>32494.9</v>
      </c>
      <c r="AO144" s="4">
        <v>21642.888999999999</v>
      </c>
      <c r="AP144" s="4">
        <v>23556.927</v>
      </c>
      <c r="AQ144" s="4">
        <v>13186.63</v>
      </c>
      <c r="AR144" s="72">
        <f>K144</f>
        <v>24516.254000000001</v>
      </c>
      <c r="AS144" s="4">
        <v>18539.126</v>
      </c>
      <c r="AT144" s="4">
        <v>15801.237999999999</v>
      </c>
      <c r="AU144" s="4">
        <v>14884.527</v>
      </c>
      <c r="AV144" s="72">
        <f>L144</f>
        <v>29807.166000000001</v>
      </c>
      <c r="AW144" s="4">
        <v>23286.625</v>
      </c>
      <c r="AX144" s="4">
        <v>22231.47</v>
      </c>
      <c r="AY144" s="4">
        <v>18158.505000000001</v>
      </c>
      <c r="AZ144" s="72">
        <f>M144</f>
        <v>24728.179</v>
      </c>
      <c r="BA144" s="4">
        <v>36570.851999999999</v>
      </c>
      <c r="BB144" s="4">
        <v>8958.9699999999993</v>
      </c>
      <c r="BC144" s="4">
        <v>10105.847</v>
      </c>
      <c r="BD144" s="72">
        <f t="shared" ref="BD144" si="308">N144</f>
        <v>25265.098000000002</v>
      </c>
      <c r="BE144" s="4">
        <v>22803.13</v>
      </c>
      <c r="BF144" s="146"/>
      <c r="BG144" s="377"/>
      <c r="BH144" s="377"/>
      <c r="BI144" s="377"/>
    </row>
    <row r="145" spans="2:62" ht="13.5" customHeight="1">
      <c r="B145" s="7"/>
      <c r="C145" s="4"/>
      <c r="D145" s="4"/>
      <c r="E145" s="4"/>
      <c r="F145" s="4"/>
      <c r="G145" s="4"/>
      <c r="H145" s="4"/>
      <c r="I145" s="4"/>
      <c r="J145" s="4"/>
      <c r="K145" s="4"/>
      <c r="L145" s="4"/>
      <c r="M145" s="4"/>
      <c r="N145" s="4"/>
      <c r="O145" s="4"/>
      <c r="P145" s="99"/>
      <c r="Q145" s="4"/>
      <c r="R145" s="4"/>
      <c r="S145" s="4"/>
      <c r="T145" s="4"/>
      <c r="U145" s="4"/>
      <c r="V145" s="4"/>
      <c r="W145" s="4"/>
      <c r="X145" s="30"/>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146"/>
      <c r="BG145" s="377"/>
      <c r="BH145" s="377"/>
      <c r="BI145" s="377"/>
    </row>
    <row r="146" spans="2:62" ht="13.5" customHeight="1">
      <c r="B146" s="5" t="s">
        <v>30</v>
      </c>
      <c r="C146" s="8">
        <f t="shared" ref="C146:V146" si="309">+C147-C144</f>
        <v>7452.4319999999998</v>
      </c>
      <c r="D146" s="8">
        <f t="shared" si="309"/>
        <v>5512.8470000000016</v>
      </c>
      <c r="E146" s="8">
        <f t="shared" si="309"/>
        <v>4997.5960000000014</v>
      </c>
      <c r="F146" s="8">
        <f t="shared" ref="F146:J146" si="310">+F147-F144</f>
        <v>19582.422999999995</v>
      </c>
      <c r="G146" s="8">
        <f t="shared" si="310"/>
        <v>16998.261999999999</v>
      </c>
      <c r="H146" s="8">
        <f t="shared" si="310"/>
        <v>28291.725000000009</v>
      </c>
      <c r="I146" s="8">
        <f t="shared" si="310"/>
        <v>24019.245000000003</v>
      </c>
      <c r="J146" s="8">
        <f t="shared" si="310"/>
        <v>13290.298999999999</v>
      </c>
      <c r="K146" s="8">
        <f t="shared" ref="K146:L146" si="311">+K147-K144</f>
        <v>18133.700000000004</v>
      </c>
      <c r="L146" s="8">
        <f t="shared" si="311"/>
        <v>11290.765000000003</v>
      </c>
      <c r="M146" s="8">
        <f t="shared" ref="M146:N146" si="312">+M147-M144</f>
        <v>13643.073</v>
      </c>
      <c r="N146" s="8">
        <f t="shared" si="312"/>
        <v>23446.537999999997</v>
      </c>
      <c r="O146" s="8">
        <f>+O147-O144</f>
        <v>34479.055999999997</v>
      </c>
      <c r="P146" s="99"/>
      <c r="Q146" s="8">
        <f t="shared" si="309"/>
        <v>8712.3439999999991</v>
      </c>
      <c r="R146" s="8">
        <f t="shared" si="309"/>
        <v>8879.8759999999984</v>
      </c>
      <c r="S146" s="8">
        <f t="shared" si="309"/>
        <v>24560.698</v>
      </c>
      <c r="T146" s="8">
        <f t="shared" si="309"/>
        <v>4997.5960000000014</v>
      </c>
      <c r="U146" s="8">
        <f t="shared" si="309"/>
        <v>8812.0024000000012</v>
      </c>
      <c r="V146" s="8">
        <f t="shared" si="309"/>
        <v>24200.186000000002</v>
      </c>
      <c r="W146" s="8">
        <f t="shared" ref="W146:AB146" si="313">+W147-W144</f>
        <v>25228.522000000004</v>
      </c>
      <c r="X146" s="8">
        <f t="shared" si="313"/>
        <v>19582.422999999995</v>
      </c>
      <c r="Y146" s="8">
        <f t="shared" si="313"/>
        <v>22700.473999999998</v>
      </c>
      <c r="Z146" s="8">
        <f t="shared" si="313"/>
        <v>22414.1</v>
      </c>
      <c r="AA146" s="8">
        <f t="shared" si="313"/>
        <v>23588.45</v>
      </c>
      <c r="AB146" s="8">
        <f t="shared" si="313"/>
        <v>16998.261999999999</v>
      </c>
      <c r="AC146" s="8">
        <f t="shared" ref="AC146:AI146" si="314">+AC147-AC144</f>
        <v>32140.861999999994</v>
      </c>
      <c r="AD146" s="8">
        <f t="shared" si="314"/>
        <v>30643.284999999996</v>
      </c>
      <c r="AE146" s="8">
        <f t="shared" si="314"/>
        <v>36672.106</v>
      </c>
      <c r="AF146" s="8">
        <f t="shared" si="314"/>
        <v>28291.725000000009</v>
      </c>
      <c r="AG146" s="8">
        <f t="shared" si="314"/>
        <v>37594.271000000001</v>
      </c>
      <c r="AH146" s="8">
        <f t="shared" si="314"/>
        <v>46301.466</v>
      </c>
      <c r="AI146" s="8">
        <f t="shared" si="314"/>
        <v>36101.166000000012</v>
      </c>
      <c r="AJ146" s="8">
        <f t="shared" ref="AJ146:AO146" si="315">+AJ147-AJ144</f>
        <v>24019.245000000003</v>
      </c>
      <c r="AK146" s="8">
        <f t="shared" si="315"/>
        <v>32848.619999999995</v>
      </c>
      <c r="AL146" s="8">
        <f t="shared" si="315"/>
        <v>25289.103999999996</v>
      </c>
      <c r="AM146" s="8">
        <f t="shared" si="315"/>
        <v>25886.696</v>
      </c>
      <c r="AN146" s="8">
        <f t="shared" si="315"/>
        <v>13290.298999999999</v>
      </c>
      <c r="AO146" s="8">
        <f t="shared" si="315"/>
        <v>21749.310999999998</v>
      </c>
      <c r="AP146" s="8">
        <f t="shared" ref="AP146:AS146" si="316">+AP147-AP144</f>
        <v>20134.636999999999</v>
      </c>
      <c r="AQ146" s="8">
        <f t="shared" si="316"/>
        <v>28970.514000000003</v>
      </c>
      <c r="AR146" s="8">
        <f t="shared" si="316"/>
        <v>18133.700000000004</v>
      </c>
      <c r="AS146" s="8">
        <f t="shared" si="316"/>
        <v>22953.732</v>
      </c>
      <c r="AT146" s="8">
        <f t="shared" ref="AT146:AW146" si="317">+AT147-AT144</f>
        <v>25144.089</v>
      </c>
      <c r="AU146" s="8">
        <f t="shared" si="317"/>
        <v>26330.974000000002</v>
      </c>
      <c r="AV146" s="8">
        <f t="shared" si="317"/>
        <v>11290.765000000003</v>
      </c>
      <c r="AW146" s="8">
        <f t="shared" si="317"/>
        <v>17757.415000000001</v>
      </c>
      <c r="AX146" s="8">
        <f t="shared" ref="AX146" si="318">+AX147-AX144</f>
        <v>20199.311000000002</v>
      </c>
      <c r="AY146" s="8">
        <f>+AY147-AY144</f>
        <v>25284.568000000003</v>
      </c>
      <c r="AZ146" s="8">
        <f t="shared" ref="AZ146:BB146" si="319">+AZ147-AZ144</f>
        <v>13643.073</v>
      </c>
      <c r="BA146" s="8">
        <f t="shared" si="319"/>
        <v>23018.101999999999</v>
      </c>
      <c r="BB146" s="8">
        <f t="shared" si="319"/>
        <v>50540.45</v>
      </c>
      <c r="BC146" s="8">
        <f>+BC147-BC144</f>
        <v>49140.58</v>
      </c>
      <c r="BD146" s="8">
        <f t="shared" ref="BD146:BE146" si="320">+BD147-BD144</f>
        <v>23446.537999999997</v>
      </c>
      <c r="BE146" s="8">
        <f t="shared" si="320"/>
        <v>34479.055999999997</v>
      </c>
      <c r="BF146" s="146"/>
      <c r="BG146" s="159"/>
      <c r="BH146" s="159"/>
      <c r="BI146" s="159"/>
    </row>
    <row r="147" spans="2:62" s="5" customFormat="1" ht="13.5" customHeight="1">
      <c r="B147" s="5" t="s">
        <v>357</v>
      </c>
      <c r="C147" s="8">
        <f t="shared" ref="C147:O147" si="321">C116</f>
        <v>13343.9</v>
      </c>
      <c r="D147" s="8">
        <f t="shared" si="321"/>
        <v>14096.066000000001</v>
      </c>
      <c r="E147" s="8">
        <f t="shared" si="321"/>
        <v>30571.826000000001</v>
      </c>
      <c r="F147" s="8">
        <f t="shared" si="321"/>
        <v>36217.500999999997</v>
      </c>
      <c r="G147" s="8">
        <f t="shared" si="321"/>
        <v>30533.759999999998</v>
      </c>
      <c r="H147" s="8">
        <f t="shared" si="321"/>
        <v>46926.523000000008</v>
      </c>
      <c r="I147" s="8">
        <f t="shared" si="321"/>
        <v>50215.145000000004</v>
      </c>
      <c r="J147" s="8">
        <f t="shared" si="321"/>
        <v>45785.199000000001</v>
      </c>
      <c r="K147" s="8">
        <f t="shared" si="321"/>
        <v>42649.954000000005</v>
      </c>
      <c r="L147" s="8">
        <f t="shared" si="321"/>
        <v>41097.931000000004</v>
      </c>
      <c r="M147" s="8">
        <f t="shared" si="321"/>
        <v>38371.252</v>
      </c>
      <c r="N147" s="8">
        <f t="shared" ref="N147" si="322">N116</f>
        <v>48711.635999999999</v>
      </c>
      <c r="O147" s="8">
        <f t="shared" si="321"/>
        <v>57282.186000000002</v>
      </c>
      <c r="P147" s="8"/>
      <c r="Q147" s="8">
        <f t="shared" ref="Q147:BB147" si="323">Q116</f>
        <v>14092.556</v>
      </c>
      <c r="R147" s="8">
        <f t="shared" si="323"/>
        <v>14460.835999999999</v>
      </c>
      <c r="S147" s="8">
        <f t="shared" si="323"/>
        <v>29912.936000000002</v>
      </c>
      <c r="T147" s="8">
        <f t="shared" si="323"/>
        <v>30571.826000000001</v>
      </c>
      <c r="U147" s="8">
        <f t="shared" si="323"/>
        <v>31556.731400000001</v>
      </c>
      <c r="V147" s="8">
        <f t="shared" si="323"/>
        <v>30787.186000000002</v>
      </c>
      <c r="W147" s="8">
        <f t="shared" si="323"/>
        <v>35888.406000000003</v>
      </c>
      <c r="X147" s="8">
        <f t="shared" si="323"/>
        <v>36217.500999999997</v>
      </c>
      <c r="Y147" s="8">
        <f t="shared" si="323"/>
        <v>33349.650999999998</v>
      </c>
      <c r="Z147" s="8">
        <f t="shared" si="323"/>
        <v>31575.759999999998</v>
      </c>
      <c r="AA147" s="8">
        <f t="shared" si="323"/>
        <v>29559.255000000001</v>
      </c>
      <c r="AB147" s="8">
        <f t="shared" si="323"/>
        <v>30533.759999999998</v>
      </c>
      <c r="AC147" s="8">
        <f t="shared" si="323"/>
        <v>41673.229999999996</v>
      </c>
      <c r="AD147" s="8">
        <f t="shared" si="323"/>
        <v>41596.380999999994</v>
      </c>
      <c r="AE147" s="8">
        <f t="shared" si="323"/>
        <v>42234.751000000004</v>
      </c>
      <c r="AF147" s="8">
        <f t="shared" si="323"/>
        <v>46926.523000000008</v>
      </c>
      <c r="AG147" s="8">
        <f t="shared" si="323"/>
        <v>51755.311999999998</v>
      </c>
      <c r="AH147" s="8">
        <f t="shared" si="323"/>
        <v>51756.078000000001</v>
      </c>
      <c r="AI147" s="8">
        <f t="shared" si="323"/>
        <v>55750.892000000007</v>
      </c>
      <c r="AJ147" s="8">
        <f t="shared" si="323"/>
        <v>50215.145000000004</v>
      </c>
      <c r="AK147" s="8">
        <f t="shared" si="323"/>
        <v>50725.920999999995</v>
      </c>
      <c r="AL147" s="8">
        <f t="shared" si="323"/>
        <v>50194.479999999996</v>
      </c>
      <c r="AM147" s="8">
        <f t="shared" si="323"/>
        <v>46250.764999999999</v>
      </c>
      <c r="AN147" s="8">
        <f t="shared" si="323"/>
        <v>45785.199000000001</v>
      </c>
      <c r="AO147" s="8">
        <f t="shared" si="323"/>
        <v>43392.2</v>
      </c>
      <c r="AP147" s="8">
        <f t="shared" si="323"/>
        <v>43691.563999999998</v>
      </c>
      <c r="AQ147" s="8">
        <f t="shared" si="323"/>
        <v>42157.144</v>
      </c>
      <c r="AR147" s="8">
        <f t="shared" si="323"/>
        <v>42649.954000000005</v>
      </c>
      <c r="AS147" s="8">
        <f t="shared" si="323"/>
        <v>41492.858</v>
      </c>
      <c r="AT147" s="8">
        <f t="shared" si="323"/>
        <v>40945.326999999997</v>
      </c>
      <c r="AU147" s="8">
        <f t="shared" si="323"/>
        <v>41215.501000000004</v>
      </c>
      <c r="AV147" s="8">
        <f t="shared" si="323"/>
        <v>41097.931000000004</v>
      </c>
      <c r="AW147" s="8">
        <f t="shared" si="323"/>
        <v>41044.04</v>
      </c>
      <c r="AX147" s="8">
        <f t="shared" si="323"/>
        <v>42430.781000000003</v>
      </c>
      <c r="AY147" s="8">
        <f t="shared" si="323"/>
        <v>43443.073000000004</v>
      </c>
      <c r="AZ147" s="8">
        <f t="shared" si="323"/>
        <v>38371.252</v>
      </c>
      <c r="BA147" s="8">
        <f t="shared" si="323"/>
        <v>59588.953999999998</v>
      </c>
      <c r="BB147" s="8">
        <f t="shared" si="323"/>
        <v>59499.42</v>
      </c>
      <c r="BC147" s="8">
        <f t="shared" ref="BC147:BE147" si="324">BC116</f>
        <v>59246.427000000003</v>
      </c>
      <c r="BD147" s="8">
        <f t="shared" si="324"/>
        <v>48711.635999999999</v>
      </c>
      <c r="BE147" s="8">
        <f t="shared" si="324"/>
        <v>57282.186000000002</v>
      </c>
      <c r="BF147" s="146"/>
      <c r="BG147" s="159"/>
      <c r="BH147" s="159"/>
      <c r="BI147" s="159"/>
    </row>
    <row r="148" spans="2:62" ht="13.5" customHeight="1">
      <c r="B148" s="5"/>
      <c r="C148" s="24"/>
      <c r="D148" s="24"/>
      <c r="E148" s="24"/>
      <c r="F148" s="24"/>
      <c r="G148" s="24"/>
      <c r="H148" s="24"/>
      <c r="I148" s="24"/>
      <c r="J148" s="24"/>
      <c r="K148" s="24"/>
      <c r="L148" s="24"/>
      <c r="M148" s="24"/>
      <c r="N148" s="24"/>
      <c r="O148" s="24"/>
      <c r="P148" s="24"/>
      <c r="Q148" s="24"/>
      <c r="R148" s="24"/>
      <c r="S148" s="24"/>
      <c r="T148" s="24"/>
      <c r="U148" s="24"/>
      <c r="V148" s="24"/>
      <c r="W148" s="24"/>
      <c r="X148" s="3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146"/>
      <c r="BG148" s="382"/>
      <c r="BH148" s="382"/>
      <c r="BI148" s="382"/>
    </row>
    <row r="149" spans="2:62" ht="13.5" customHeight="1">
      <c r="B149" s="1" t="s">
        <v>358</v>
      </c>
      <c r="C149" s="6">
        <f t="shared" ref="C149:M149" si="325">C49*8</f>
        <v>6229.68</v>
      </c>
      <c r="D149" s="6">
        <f t="shared" si="325"/>
        <v>7524.5519999999997</v>
      </c>
      <c r="E149" s="6">
        <f t="shared" si="325"/>
        <v>9380.5439999999999</v>
      </c>
      <c r="F149" s="6">
        <f t="shared" si="325"/>
        <v>16408.288</v>
      </c>
      <c r="G149" s="6">
        <f t="shared" si="325"/>
        <v>17085.919999999998</v>
      </c>
      <c r="H149" s="6">
        <f t="shared" si="325"/>
        <v>2967.56</v>
      </c>
      <c r="I149" s="6">
        <f t="shared" si="325"/>
        <v>777.52</v>
      </c>
      <c r="J149" s="6">
        <f t="shared" si="325"/>
        <v>1435.32</v>
      </c>
      <c r="K149" s="6">
        <f t="shared" si="325"/>
        <v>1815.2159999999999</v>
      </c>
      <c r="L149" s="6">
        <f>L49*8</f>
        <v>1317.664</v>
      </c>
      <c r="M149" s="6">
        <f t="shared" si="325"/>
        <v>0</v>
      </c>
      <c r="N149" s="6">
        <f t="shared" ref="N149" si="326">N49*8</f>
        <v>0</v>
      </c>
      <c r="O149" s="6">
        <f>BE149</f>
        <v>0</v>
      </c>
      <c r="P149" s="6"/>
      <c r="Q149" s="6">
        <f>Q49*8*4</f>
        <v>8493.8240000000005</v>
      </c>
      <c r="R149" s="6">
        <f>R49*8*4</f>
        <v>10374.399999999998</v>
      </c>
      <c r="S149" s="6">
        <f>S49*8*4</f>
        <v>7306.1760000000031</v>
      </c>
      <c r="T149" s="6">
        <f t="shared" ref="T149:BA149" si="327">T95*8</f>
        <v>9380.5439999999999</v>
      </c>
      <c r="U149" s="6">
        <f t="shared" si="327"/>
        <v>11497.208000000001</v>
      </c>
      <c r="V149" s="6">
        <f t="shared" si="327"/>
        <v>12882.472000000002</v>
      </c>
      <c r="W149" s="6">
        <f t="shared" si="327"/>
        <v>15433.832000000002</v>
      </c>
      <c r="X149" s="6">
        <f t="shared" si="327"/>
        <v>16408.288</v>
      </c>
      <c r="Y149" s="6">
        <f t="shared" si="327"/>
        <v>17247.528000000002</v>
      </c>
      <c r="Z149" s="6">
        <f t="shared" si="327"/>
        <v>17603.263999999999</v>
      </c>
      <c r="AA149" s="6">
        <f t="shared" si="327"/>
        <v>16814.871999999996</v>
      </c>
      <c r="AB149" s="6">
        <f t="shared" si="327"/>
        <v>17085.919999999998</v>
      </c>
      <c r="AC149" s="6">
        <f t="shared" si="327"/>
        <v>12846.199999999997</v>
      </c>
      <c r="AD149" s="6">
        <f t="shared" si="327"/>
        <v>9817.64</v>
      </c>
      <c r="AE149" s="6">
        <f t="shared" si="327"/>
        <v>7047.927999999999</v>
      </c>
      <c r="AF149" s="6">
        <f t="shared" si="327"/>
        <v>2967.56</v>
      </c>
      <c r="AG149" s="6">
        <f t="shared" si="327"/>
        <v>2880.2160000000003</v>
      </c>
      <c r="AH149" s="6">
        <f t="shared" si="327"/>
        <v>2403.848</v>
      </c>
      <c r="AI149" s="6">
        <f t="shared" si="327"/>
        <v>1545.7999999999997</v>
      </c>
      <c r="AJ149" s="6">
        <f t="shared" si="327"/>
        <v>777.52</v>
      </c>
      <c r="AK149" s="6">
        <f t="shared" si="327"/>
        <v>225.20799999999994</v>
      </c>
      <c r="AL149" s="6">
        <f t="shared" si="327"/>
        <v>-551.79200000000003</v>
      </c>
      <c r="AM149" s="6">
        <f t="shared" si="327"/>
        <v>-262.98400000000004</v>
      </c>
      <c r="AN149" s="6">
        <f t="shared" si="327"/>
        <v>1435.32</v>
      </c>
      <c r="AO149" s="6">
        <f t="shared" si="327"/>
        <v>1537.2719999999997</v>
      </c>
      <c r="AP149" s="6">
        <f t="shared" si="327"/>
        <v>2239.1759999999999</v>
      </c>
      <c r="AQ149" s="6">
        <f t="shared" si="327"/>
        <v>1967.32</v>
      </c>
      <c r="AR149" s="6">
        <f t="shared" si="327"/>
        <v>1815.2159999999999</v>
      </c>
      <c r="AS149" s="6">
        <f t="shared" si="327"/>
        <v>1634.528</v>
      </c>
      <c r="AT149" s="6">
        <f t="shared" si="327"/>
        <v>1095.1120000000001</v>
      </c>
      <c r="AU149" s="6">
        <f t="shared" si="327"/>
        <v>1250.92</v>
      </c>
      <c r="AV149" s="6">
        <f t="shared" si="327"/>
        <v>1317.664</v>
      </c>
      <c r="AW149" s="6">
        <f t="shared" si="327"/>
        <v>1196.4159999999999</v>
      </c>
      <c r="AX149" s="6">
        <f t="shared" si="327"/>
        <v>981.25599999999986</v>
      </c>
      <c r="AY149" s="6">
        <f t="shared" si="327"/>
        <v>846.74399999999991</v>
      </c>
      <c r="AZ149" s="6">
        <f t="shared" si="327"/>
        <v>0</v>
      </c>
      <c r="BA149" s="6">
        <f t="shared" si="327"/>
        <v>0</v>
      </c>
      <c r="BB149" s="6">
        <f t="shared" ref="BB149" si="328">BB49*8</f>
        <v>0</v>
      </c>
      <c r="BC149" s="6">
        <f t="shared" ref="BC149:BE149" si="329">BC95*8</f>
        <v>0</v>
      </c>
      <c r="BD149" s="6">
        <f t="shared" si="329"/>
        <v>0</v>
      </c>
      <c r="BE149" s="6">
        <f t="shared" si="329"/>
        <v>0</v>
      </c>
      <c r="BF149" s="146"/>
      <c r="BG149" s="382"/>
      <c r="BH149" s="382"/>
      <c r="BI149" s="382"/>
    </row>
    <row r="150" spans="2:62" ht="13.5" customHeight="1">
      <c r="B150" s="5" t="s">
        <v>359</v>
      </c>
      <c r="C150" s="8">
        <f t="shared" ref="C150:AB150" si="330">C149</f>
        <v>6229.68</v>
      </c>
      <c r="D150" s="8">
        <f t="shared" si="330"/>
        <v>7524.5519999999997</v>
      </c>
      <c r="E150" s="8">
        <f t="shared" si="330"/>
        <v>9380.5439999999999</v>
      </c>
      <c r="F150" s="8">
        <f t="shared" si="330"/>
        <v>16408.288</v>
      </c>
      <c r="G150" s="8">
        <f t="shared" si="330"/>
        <v>17085.919999999998</v>
      </c>
      <c r="H150" s="8">
        <f t="shared" ref="H150:L150" si="331">H149</f>
        <v>2967.56</v>
      </c>
      <c r="I150" s="8">
        <f t="shared" si="331"/>
        <v>777.52</v>
      </c>
      <c r="J150" s="8">
        <f t="shared" si="331"/>
        <v>1435.32</v>
      </c>
      <c r="K150" s="8">
        <f t="shared" si="331"/>
        <v>1815.2159999999999</v>
      </c>
      <c r="L150" s="8">
        <f t="shared" si="331"/>
        <v>1317.664</v>
      </c>
      <c r="M150" s="8">
        <f t="shared" ref="M150:N150" si="332">M149</f>
        <v>0</v>
      </c>
      <c r="N150" s="8">
        <f t="shared" si="332"/>
        <v>0</v>
      </c>
      <c r="O150" s="8">
        <f t="shared" ref="O150" si="333">O149</f>
        <v>0</v>
      </c>
      <c r="P150" s="8"/>
      <c r="Q150" s="8">
        <f t="shared" si="330"/>
        <v>8493.8240000000005</v>
      </c>
      <c r="R150" s="8">
        <f t="shared" si="330"/>
        <v>10374.399999999998</v>
      </c>
      <c r="S150" s="8">
        <f t="shared" si="330"/>
        <v>7306.1760000000031</v>
      </c>
      <c r="T150" s="8">
        <f t="shared" si="330"/>
        <v>9380.5439999999999</v>
      </c>
      <c r="U150" s="8">
        <f t="shared" si="330"/>
        <v>11497.208000000001</v>
      </c>
      <c r="V150" s="8">
        <f t="shared" si="330"/>
        <v>12882.472000000002</v>
      </c>
      <c r="W150" s="8">
        <f t="shared" si="330"/>
        <v>15433.832000000002</v>
      </c>
      <c r="X150" s="8">
        <f t="shared" si="330"/>
        <v>16408.288</v>
      </c>
      <c r="Y150" s="8">
        <f t="shared" si="330"/>
        <v>17247.528000000002</v>
      </c>
      <c r="Z150" s="8">
        <f t="shared" si="330"/>
        <v>17603.263999999999</v>
      </c>
      <c r="AA150" s="8">
        <f t="shared" si="330"/>
        <v>16814.871999999996</v>
      </c>
      <c r="AB150" s="8">
        <f t="shared" si="330"/>
        <v>17085.919999999998</v>
      </c>
      <c r="AC150" s="8">
        <f t="shared" ref="AC150:AI150" si="334">AC149</f>
        <v>12846.199999999997</v>
      </c>
      <c r="AD150" s="8">
        <f t="shared" si="334"/>
        <v>9817.64</v>
      </c>
      <c r="AE150" s="8">
        <f t="shared" si="334"/>
        <v>7047.927999999999</v>
      </c>
      <c r="AF150" s="8">
        <f t="shared" si="334"/>
        <v>2967.56</v>
      </c>
      <c r="AG150" s="8">
        <f t="shared" si="334"/>
        <v>2880.2160000000003</v>
      </c>
      <c r="AH150" s="8">
        <f t="shared" si="334"/>
        <v>2403.848</v>
      </c>
      <c r="AI150" s="8">
        <f t="shared" si="334"/>
        <v>1545.7999999999997</v>
      </c>
      <c r="AJ150" s="8">
        <f t="shared" ref="AJ150:AO150" si="335">AJ149</f>
        <v>777.52</v>
      </c>
      <c r="AK150" s="8">
        <f t="shared" si="335"/>
        <v>225.20799999999994</v>
      </c>
      <c r="AL150" s="8">
        <f t="shared" si="335"/>
        <v>-551.79200000000003</v>
      </c>
      <c r="AM150" s="8">
        <f t="shared" si="335"/>
        <v>-262.98400000000004</v>
      </c>
      <c r="AN150" s="8">
        <f t="shared" si="335"/>
        <v>1435.32</v>
      </c>
      <c r="AO150" s="8">
        <f t="shared" si="335"/>
        <v>1537.2719999999997</v>
      </c>
      <c r="AP150" s="8">
        <f t="shared" ref="AP150:AS150" si="336">AP149</f>
        <v>2239.1759999999999</v>
      </c>
      <c r="AQ150" s="8">
        <f t="shared" si="336"/>
        <v>1967.32</v>
      </c>
      <c r="AR150" s="8">
        <f t="shared" si="336"/>
        <v>1815.2159999999999</v>
      </c>
      <c r="AS150" s="8">
        <f t="shared" si="336"/>
        <v>1634.528</v>
      </c>
      <c r="AT150" s="8">
        <f t="shared" ref="AT150:AW150" si="337">AT149</f>
        <v>1095.1120000000001</v>
      </c>
      <c r="AU150" s="8">
        <f t="shared" si="337"/>
        <v>1250.92</v>
      </c>
      <c r="AV150" s="8">
        <f t="shared" si="337"/>
        <v>1317.664</v>
      </c>
      <c r="AW150" s="8">
        <f t="shared" si="337"/>
        <v>1196.4159999999999</v>
      </c>
      <c r="AX150" s="8">
        <f>AX149</f>
        <v>981.25599999999986</v>
      </c>
      <c r="AY150" s="8">
        <f>AY149</f>
        <v>846.74399999999991</v>
      </c>
      <c r="AZ150" s="8">
        <f t="shared" ref="AZ150:BB150" si="338">AZ149</f>
        <v>0</v>
      </c>
      <c r="BA150" s="8">
        <f t="shared" si="338"/>
        <v>0</v>
      </c>
      <c r="BB150" s="8">
        <f t="shared" si="338"/>
        <v>0</v>
      </c>
      <c r="BC150" s="8">
        <f>BC149</f>
        <v>0</v>
      </c>
      <c r="BD150" s="8">
        <f t="shared" ref="BD150:BE150" si="339">BD149</f>
        <v>0</v>
      </c>
      <c r="BE150" s="8">
        <f t="shared" si="339"/>
        <v>0</v>
      </c>
      <c r="BF150" s="146"/>
      <c r="BG150" s="159"/>
      <c r="BH150" s="159"/>
      <c r="BI150" s="159"/>
    </row>
    <row r="151" spans="2:62" ht="13.5" customHeight="1">
      <c r="B151" s="5"/>
      <c r="C151" s="24"/>
      <c r="D151" s="24"/>
      <c r="E151" s="24"/>
      <c r="F151" s="24"/>
      <c r="G151" s="24"/>
      <c r="H151" s="24"/>
      <c r="I151" s="24"/>
      <c r="J151" s="24"/>
      <c r="K151" s="24"/>
      <c r="L151" s="24"/>
      <c r="M151" s="24"/>
      <c r="N151" s="24"/>
      <c r="O151" s="24"/>
      <c r="P151" s="24"/>
      <c r="Q151" s="24"/>
      <c r="R151" s="24"/>
      <c r="S151" s="24"/>
      <c r="T151" s="24"/>
      <c r="U151" s="24"/>
      <c r="V151" s="24"/>
      <c r="W151" s="24"/>
      <c r="X151" s="8"/>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146"/>
      <c r="BG151" s="382"/>
      <c r="BH151" s="382"/>
      <c r="BI151" s="382"/>
    </row>
    <row r="152" spans="2:62" ht="13.5" customHeight="1">
      <c r="B152" s="5" t="s">
        <v>360</v>
      </c>
      <c r="C152" s="8">
        <f t="shared" ref="C152:H152" si="340">C150+C146</f>
        <v>13682.112000000001</v>
      </c>
      <c r="D152" s="8">
        <f t="shared" si="340"/>
        <v>13037.399000000001</v>
      </c>
      <c r="E152" s="8">
        <f t="shared" si="340"/>
        <v>14378.140000000001</v>
      </c>
      <c r="F152" s="8">
        <f t="shared" si="340"/>
        <v>35990.710999999996</v>
      </c>
      <c r="G152" s="8">
        <f t="shared" si="340"/>
        <v>34084.182000000001</v>
      </c>
      <c r="H152" s="8">
        <f t="shared" si="340"/>
        <v>31259.285000000011</v>
      </c>
      <c r="I152" s="8">
        <f t="shared" ref="I152:O152" si="341">I150+I146</f>
        <v>24796.765000000003</v>
      </c>
      <c r="J152" s="8">
        <f t="shared" si="341"/>
        <v>14725.618999999999</v>
      </c>
      <c r="K152" s="8">
        <f t="shared" si="341"/>
        <v>19948.916000000005</v>
      </c>
      <c r="L152" s="8">
        <f t="shared" si="341"/>
        <v>12608.429000000004</v>
      </c>
      <c r="M152" s="8">
        <f t="shared" si="341"/>
        <v>13643.073</v>
      </c>
      <c r="N152" s="8">
        <f t="shared" ref="N152" si="342">N150+N146</f>
        <v>23446.537999999997</v>
      </c>
      <c r="O152" s="8">
        <f t="shared" si="341"/>
        <v>34479.055999999997</v>
      </c>
      <c r="P152" s="8"/>
      <c r="Q152" s="8">
        <f t="shared" ref="Q152:AB152" si="343">Q150+Q146</f>
        <v>17206.167999999998</v>
      </c>
      <c r="R152" s="8">
        <f t="shared" si="343"/>
        <v>19254.275999999998</v>
      </c>
      <c r="S152" s="8">
        <f t="shared" si="343"/>
        <v>31866.874000000003</v>
      </c>
      <c r="T152" s="8">
        <f t="shared" si="343"/>
        <v>14378.140000000001</v>
      </c>
      <c r="U152" s="8">
        <f t="shared" si="343"/>
        <v>20309.210400000004</v>
      </c>
      <c r="V152" s="8">
        <f t="shared" si="343"/>
        <v>37082.658000000003</v>
      </c>
      <c r="W152" s="8">
        <f t="shared" si="343"/>
        <v>40662.354000000007</v>
      </c>
      <c r="X152" s="8">
        <f t="shared" si="343"/>
        <v>35990.710999999996</v>
      </c>
      <c r="Y152" s="8">
        <f t="shared" si="343"/>
        <v>39948.002</v>
      </c>
      <c r="Z152" s="8">
        <f t="shared" si="343"/>
        <v>40017.364000000001</v>
      </c>
      <c r="AA152" s="8">
        <f t="shared" si="343"/>
        <v>40403.322</v>
      </c>
      <c r="AB152" s="8">
        <f t="shared" si="343"/>
        <v>34084.182000000001</v>
      </c>
      <c r="AC152" s="8">
        <f t="shared" ref="AC152:AH152" si="344">AC150+AC146</f>
        <v>44987.061999999991</v>
      </c>
      <c r="AD152" s="8">
        <f t="shared" si="344"/>
        <v>40460.924999999996</v>
      </c>
      <c r="AE152" s="8">
        <f t="shared" si="344"/>
        <v>43720.034</v>
      </c>
      <c r="AF152" s="8">
        <f t="shared" si="344"/>
        <v>31259.285000000011</v>
      </c>
      <c r="AG152" s="8">
        <f t="shared" si="344"/>
        <v>40474.487000000001</v>
      </c>
      <c r="AH152" s="8">
        <f t="shared" si="344"/>
        <v>48705.313999999998</v>
      </c>
      <c r="AI152" s="8">
        <f t="shared" ref="AI152:AN152" si="345">AI150+AI146</f>
        <v>37646.966000000015</v>
      </c>
      <c r="AJ152" s="8">
        <f t="shared" si="345"/>
        <v>24796.765000000003</v>
      </c>
      <c r="AK152" s="8">
        <f t="shared" si="345"/>
        <v>33073.827999999994</v>
      </c>
      <c r="AL152" s="8">
        <f t="shared" si="345"/>
        <v>24737.311999999994</v>
      </c>
      <c r="AM152" s="8">
        <f t="shared" si="345"/>
        <v>25623.712</v>
      </c>
      <c r="AN152" s="8">
        <f t="shared" si="345"/>
        <v>14725.618999999999</v>
      </c>
      <c r="AO152" s="8">
        <f>AO150+AO146</f>
        <v>23286.582999999999</v>
      </c>
      <c r="AP152" s="8">
        <f>AP150+AP146</f>
        <v>22373.812999999998</v>
      </c>
      <c r="AQ152" s="8">
        <f>AQ150+AQ146</f>
        <v>30937.834000000003</v>
      </c>
      <c r="AR152" s="8">
        <f t="shared" ref="AR152" si="346">AR150+AR146</f>
        <v>19948.916000000005</v>
      </c>
      <c r="AS152" s="8">
        <f>AS150+AS146</f>
        <v>24588.26</v>
      </c>
      <c r="AT152" s="8">
        <f>AT150+AT146</f>
        <v>26239.201000000001</v>
      </c>
      <c r="AU152" s="8">
        <f>AU150+AU146</f>
        <v>27581.894</v>
      </c>
      <c r="AV152" s="8">
        <f t="shared" ref="AV152" si="347">AV150+AV146</f>
        <v>12608.429000000004</v>
      </c>
      <c r="AW152" s="8">
        <f>AW150+AW146</f>
        <v>18953.831000000002</v>
      </c>
      <c r="AX152" s="8">
        <f>AX150+AX146</f>
        <v>21180.567000000003</v>
      </c>
      <c r="AY152" s="8">
        <f>AY150+AY146</f>
        <v>26131.312000000002</v>
      </c>
      <c r="AZ152" s="8">
        <f t="shared" ref="AZ152" si="348">AZ150+AZ146</f>
        <v>13643.073</v>
      </c>
      <c r="BA152" s="8">
        <f>BA150+BA146</f>
        <v>23018.101999999999</v>
      </c>
      <c r="BB152" s="8">
        <f t="shared" ref="BB152" si="349">BB150+BB146</f>
        <v>50540.45</v>
      </c>
      <c r="BC152" s="8">
        <f>BC150+BC146</f>
        <v>49140.58</v>
      </c>
      <c r="BD152" s="8">
        <f t="shared" ref="BD152" si="350">BD150+BD146</f>
        <v>23446.537999999997</v>
      </c>
      <c r="BE152" s="8">
        <f>BE150+BE146</f>
        <v>34479.055999999997</v>
      </c>
      <c r="BF152" s="146"/>
      <c r="BG152" s="159"/>
      <c r="BH152" s="159"/>
      <c r="BI152" s="159"/>
    </row>
    <row r="153" spans="2:62" ht="13.5" customHeight="1">
      <c r="B153" s="5" t="s">
        <v>361</v>
      </c>
      <c r="C153" s="8">
        <f t="shared" ref="C153:H153" si="351">C147+C150</f>
        <v>19573.580000000002</v>
      </c>
      <c r="D153" s="8">
        <f t="shared" si="351"/>
        <v>21620.618000000002</v>
      </c>
      <c r="E153" s="8">
        <f t="shared" si="351"/>
        <v>39952.370000000003</v>
      </c>
      <c r="F153" s="8">
        <f t="shared" si="351"/>
        <v>52625.788999999997</v>
      </c>
      <c r="G153" s="8">
        <f t="shared" si="351"/>
        <v>47619.679999999993</v>
      </c>
      <c r="H153" s="8">
        <f t="shared" si="351"/>
        <v>49894.083000000006</v>
      </c>
      <c r="I153" s="8">
        <f t="shared" ref="I153:O153" si="352">I147+I150</f>
        <v>50992.665000000001</v>
      </c>
      <c r="J153" s="8">
        <f t="shared" si="352"/>
        <v>47220.519</v>
      </c>
      <c r="K153" s="8">
        <f t="shared" si="352"/>
        <v>44465.170000000006</v>
      </c>
      <c r="L153" s="8">
        <f t="shared" si="352"/>
        <v>42415.595000000001</v>
      </c>
      <c r="M153" s="8">
        <f t="shared" si="352"/>
        <v>38371.252</v>
      </c>
      <c r="N153" s="8">
        <f t="shared" ref="N153" si="353">N147+N150</f>
        <v>48711.635999999999</v>
      </c>
      <c r="O153" s="8">
        <f t="shared" si="352"/>
        <v>57282.186000000002</v>
      </c>
      <c r="P153" s="8"/>
      <c r="Q153" s="8">
        <f t="shared" ref="Q153:AB153" si="354">Q147+Q150</f>
        <v>22586.38</v>
      </c>
      <c r="R153" s="8">
        <f t="shared" si="354"/>
        <v>24835.235999999997</v>
      </c>
      <c r="S153" s="8">
        <f t="shared" si="354"/>
        <v>37219.112000000008</v>
      </c>
      <c r="T153" s="8">
        <f t="shared" si="354"/>
        <v>39952.370000000003</v>
      </c>
      <c r="U153" s="8">
        <f t="shared" si="354"/>
        <v>43053.939400000003</v>
      </c>
      <c r="V153" s="8">
        <f t="shared" si="354"/>
        <v>43669.658000000003</v>
      </c>
      <c r="W153" s="8">
        <f t="shared" si="354"/>
        <v>51322.238000000005</v>
      </c>
      <c r="X153" s="8">
        <f t="shared" si="354"/>
        <v>52625.788999999997</v>
      </c>
      <c r="Y153" s="8">
        <f t="shared" si="354"/>
        <v>50597.179000000004</v>
      </c>
      <c r="Z153" s="8">
        <f t="shared" si="354"/>
        <v>49179.023999999998</v>
      </c>
      <c r="AA153" s="8">
        <f t="shared" si="354"/>
        <v>46374.126999999993</v>
      </c>
      <c r="AB153" s="8">
        <f t="shared" si="354"/>
        <v>47619.679999999993</v>
      </c>
      <c r="AC153" s="8">
        <f t="shared" ref="AC153:AH153" si="355">AC147+AC150</f>
        <v>54519.429999999993</v>
      </c>
      <c r="AD153" s="8">
        <f t="shared" si="355"/>
        <v>51414.020999999993</v>
      </c>
      <c r="AE153" s="8">
        <f t="shared" si="355"/>
        <v>49282.679000000004</v>
      </c>
      <c r="AF153" s="8">
        <f t="shared" si="355"/>
        <v>49894.083000000006</v>
      </c>
      <c r="AG153" s="8">
        <f t="shared" si="355"/>
        <v>54635.527999999998</v>
      </c>
      <c r="AH153" s="8">
        <f t="shared" si="355"/>
        <v>54159.925999999999</v>
      </c>
      <c r="AI153" s="8">
        <f t="shared" ref="AI153:AN153" si="356">AI147+AI150</f>
        <v>57296.69200000001</v>
      </c>
      <c r="AJ153" s="8">
        <f t="shared" si="356"/>
        <v>50992.665000000001</v>
      </c>
      <c r="AK153" s="8">
        <f t="shared" si="356"/>
        <v>50951.128999999994</v>
      </c>
      <c r="AL153" s="8">
        <f t="shared" si="356"/>
        <v>49642.687999999995</v>
      </c>
      <c r="AM153" s="8">
        <f t="shared" si="356"/>
        <v>45987.781000000003</v>
      </c>
      <c r="AN153" s="8">
        <f t="shared" si="356"/>
        <v>47220.519</v>
      </c>
      <c r="AO153" s="8">
        <f>AO147+AO150</f>
        <v>44929.471999999994</v>
      </c>
      <c r="AP153" s="8">
        <f>AP147+AP150</f>
        <v>45930.74</v>
      </c>
      <c r="AQ153" s="8">
        <f>AQ147+AQ150</f>
        <v>44124.464</v>
      </c>
      <c r="AR153" s="8">
        <f t="shared" ref="AR153" si="357">AR147+AR150</f>
        <v>44465.170000000006</v>
      </c>
      <c r="AS153" s="8">
        <f>AS147+AS150</f>
        <v>43127.385999999999</v>
      </c>
      <c r="AT153" s="8">
        <f>AT147+AT150</f>
        <v>42040.438999999998</v>
      </c>
      <c r="AU153" s="8">
        <f>AU147+AU150</f>
        <v>42466.421000000002</v>
      </c>
      <c r="AV153" s="8">
        <f t="shared" ref="AV153" si="358">AV147+AV150</f>
        <v>42415.595000000001</v>
      </c>
      <c r="AW153" s="8">
        <f>AW147+AW150</f>
        <v>42240.455999999998</v>
      </c>
      <c r="AX153" s="8">
        <f>AX147+AX150</f>
        <v>43412.037000000004</v>
      </c>
      <c r="AY153" s="8">
        <f>AY147+AY150</f>
        <v>44289.817000000003</v>
      </c>
      <c r="AZ153" s="8">
        <f t="shared" ref="AZ153" si="359">AZ147+AZ150</f>
        <v>38371.252</v>
      </c>
      <c r="BA153" s="8">
        <f>BA147+BA150</f>
        <v>59588.953999999998</v>
      </c>
      <c r="BB153" s="8">
        <f t="shared" ref="BB153" si="360">BB147+BB150</f>
        <v>59499.42</v>
      </c>
      <c r="BC153" s="8">
        <f>BC147+BC150</f>
        <v>59246.427000000003</v>
      </c>
      <c r="BD153" s="8">
        <f t="shared" ref="BD153" si="361">BD147+BD150</f>
        <v>48711.635999999999</v>
      </c>
      <c r="BE153" s="8">
        <f>BE147+BE150</f>
        <v>57282.186000000002</v>
      </c>
      <c r="BF153" s="146"/>
      <c r="BG153" s="159"/>
      <c r="BH153" s="159"/>
      <c r="BI153" s="159"/>
    </row>
    <row r="154" spans="2:62" ht="13.5" customHeight="1">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row>
    <row r="155" spans="2:62" ht="13.5" customHeight="1">
      <c r="B155" s="5" t="s">
        <v>362</v>
      </c>
      <c r="C155" s="70">
        <v>198443.7</v>
      </c>
      <c r="D155" s="70">
        <v>282008.8</v>
      </c>
      <c r="E155" s="70">
        <v>200725.4</v>
      </c>
      <c r="F155" s="70">
        <v>166835</v>
      </c>
      <c r="G155" s="70">
        <v>169344.9</v>
      </c>
      <c r="H155" s="70">
        <v>126059.1</v>
      </c>
      <c r="I155" s="70">
        <v>95951</v>
      </c>
      <c r="J155" s="70">
        <v>130408.2</v>
      </c>
      <c r="K155" s="63">
        <v>157448</v>
      </c>
      <c r="L155" s="63">
        <v>167515.9</v>
      </c>
      <c r="M155" s="63">
        <v>138500</v>
      </c>
      <c r="N155" s="63">
        <v>139643.76999999999</v>
      </c>
      <c r="O155" s="6">
        <f>BE155</f>
        <v>139556.79999999999</v>
      </c>
      <c r="P155" s="8"/>
      <c r="Q155" s="70">
        <v>274157</v>
      </c>
      <c r="R155" s="63">
        <v>259070.7</v>
      </c>
      <c r="S155" s="63">
        <v>272787.90000000002</v>
      </c>
      <c r="T155" s="72">
        <f>+E155</f>
        <v>200725.4</v>
      </c>
      <c r="U155" s="70">
        <v>196148.5</v>
      </c>
      <c r="V155" s="70">
        <v>192162.2</v>
      </c>
      <c r="W155" s="63">
        <v>197302.8</v>
      </c>
      <c r="X155" s="111">
        <f>F155</f>
        <v>166835</v>
      </c>
      <c r="Y155" s="63">
        <v>181867.6</v>
      </c>
      <c r="Z155" s="63">
        <v>171049.5</v>
      </c>
      <c r="AA155" s="63">
        <v>188498</v>
      </c>
      <c r="AB155" s="6">
        <f>G155</f>
        <v>169344.9</v>
      </c>
      <c r="AC155" s="63">
        <v>166603.70000000001</v>
      </c>
      <c r="AD155" s="63">
        <v>143440.5</v>
      </c>
      <c r="AE155" s="63">
        <v>145131.70000000001</v>
      </c>
      <c r="AF155" s="72">
        <f>H155</f>
        <v>126059.1</v>
      </c>
      <c r="AG155" s="63">
        <v>90174</v>
      </c>
      <c r="AH155" s="63">
        <v>85270.26</v>
      </c>
      <c r="AI155" s="63">
        <v>83396</v>
      </c>
      <c r="AJ155" s="72">
        <f>I155</f>
        <v>95951</v>
      </c>
      <c r="AK155" s="63">
        <v>96141.5</v>
      </c>
      <c r="AL155" s="63">
        <v>129912</v>
      </c>
      <c r="AM155" s="63">
        <v>116566</v>
      </c>
      <c r="AN155" s="72">
        <f>J155</f>
        <v>130408.2</v>
      </c>
      <c r="AO155" s="63">
        <v>164725</v>
      </c>
      <c r="AP155" s="63">
        <v>151207</v>
      </c>
      <c r="AQ155" s="72">
        <f>K155</f>
        <v>157448</v>
      </c>
      <c r="AR155" s="72">
        <f>K155</f>
        <v>157448</v>
      </c>
      <c r="AS155" s="63">
        <v>152560</v>
      </c>
      <c r="AT155" s="63">
        <v>150320</v>
      </c>
      <c r="AU155" s="63">
        <v>134582</v>
      </c>
      <c r="AV155" s="72">
        <f>L155</f>
        <v>167515.9</v>
      </c>
      <c r="AW155" s="63">
        <v>199512.9</v>
      </c>
      <c r="AX155" s="63">
        <v>183881</v>
      </c>
      <c r="AY155" s="63">
        <v>154880</v>
      </c>
      <c r="AZ155" s="72">
        <f>M155</f>
        <v>138500</v>
      </c>
      <c r="BA155" s="63">
        <v>138127.29</v>
      </c>
      <c r="BB155" s="63">
        <v>135861.92000000001</v>
      </c>
      <c r="BC155" s="63">
        <v>134129.70000000001</v>
      </c>
      <c r="BD155" s="72">
        <f t="shared" ref="BD155:BD156" si="362">N155</f>
        <v>139643.76999999999</v>
      </c>
      <c r="BE155" s="63">
        <v>139556.79999999999</v>
      </c>
      <c r="BF155" s="146"/>
      <c r="BG155" s="137"/>
      <c r="BH155" s="137"/>
      <c r="BI155" s="137"/>
    </row>
    <row r="156" spans="2:62" ht="13" outlineLevel="1">
      <c r="B156" s="1" t="s">
        <v>363</v>
      </c>
      <c r="C156" s="83">
        <v>62666.421000000002</v>
      </c>
      <c r="D156" s="83">
        <v>70859.452000000005</v>
      </c>
      <c r="E156" s="83">
        <v>81335.497000000003</v>
      </c>
      <c r="F156" s="83">
        <v>90082.376999999993</v>
      </c>
      <c r="G156" s="83">
        <v>101203.69500000001</v>
      </c>
      <c r="H156" s="83">
        <v>109074.541</v>
      </c>
      <c r="I156" s="83">
        <v>107820</v>
      </c>
      <c r="J156" s="83">
        <v>119887.5</v>
      </c>
      <c r="K156" s="83">
        <v>132454.516</v>
      </c>
      <c r="L156" s="83">
        <f>147499.719</f>
        <v>147499.71900000001</v>
      </c>
      <c r="M156" s="83">
        <v>169713.88500000001</v>
      </c>
      <c r="N156" s="83">
        <v>179369.48300000001</v>
      </c>
      <c r="O156" s="6">
        <f>BE156</f>
        <v>180306.93799999999</v>
      </c>
      <c r="P156" s="8"/>
      <c r="Q156" s="83">
        <v>71086.135999999999</v>
      </c>
      <c r="R156" s="63">
        <v>73520.764999999999</v>
      </c>
      <c r="S156" s="63">
        <v>74942.468999999997</v>
      </c>
      <c r="T156" s="72">
        <f>+E156</f>
        <v>81335.497000000003</v>
      </c>
      <c r="U156" s="70">
        <v>79982.381999999998</v>
      </c>
      <c r="V156" s="70">
        <v>82135.395999999993</v>
      </c>
      <c r="W156" s="63">
        <v>81537.726999999999</v>
      </c>
      <c r="X156" s="111">
        <f>F156</f>
        <v>90082.376999999993</v>
      </c>
      <c r="Y156" s="63">
        <v>88285.006999999998</v>
      </c>
      <c r="Z156" s="70">
        <v>92090.070999999996</v>
      </c>
      <c r="AA156" s="63">
        <v>93431.843999999997</v>
      </c>
      <c r="AB156" s="6">
        <f>G156</f>
        <v>101203.69500000001</v>
      </c>
      <c r="AC156" s="63">
        <v>99720.441000000006</v>
      </c>
      <c r="AD156" s="63">
        <v>101918.406</v>
      </c>
      <c r="AE156" s="63">
        <v>103477.16</v>
      </c>
      <c r="AF156" s="72">
        <f>H156</f>
        <v>109074.541</v>
      </c>
      <c r="AG156" s="63">
        <v>109073.88</v>
      </c>
      <c r="AH156" s="63">
        <v>105057.80899999999</v>
      </c>
      <c r="AI156" s="63">
        <v>105227.955</v>
      </c>
      <c r="AJ156" s="72">
        <f>I156</f>
        <v>107820</v>
      </c>
      <c r="AK156" s="63">
        <v>107226.265</v>
      </c>
      <c r="AL156" s="63">
        <v>110506.22100000001</v>
      </c>
      <c r="AM156" s="63">
        <v>112564.478</v>
      </c>
      <c r="AN156" s="72">
        <f>J156</f>
        <v>119887.5</v>
      </c>
      <c r="AO156" s="63">
        <v>118804.755</v>
      </c>
      <c r="AP156" s="63">
        <v>123199.13800000001</v>
      </c>
      <c r="AQ156" s="63">
        <v>125395.887</v>
      </c>
      <c r="AR156" s="72">
        <f>K156</f>
        <v>132454.516</v>
      </c>
      <c r="AS156" s="63">
        <v>130424.83</v>
      </c>
      <c r="AT156" s="63">
        <v>135620.00399999999</v>
      </c>
      <c r="AU156" s="63">
        <v>138175.44699999999</v>
      </c>
      <c r="AV156" s="72">
        <f>L156</f>
        <v>147499.71900000001</v>
      </c>
      <c r="AW156" s="83">
        <f>146330.509</f>
        <v>146330.50899999999</v>
      </c>
      <c r="AX156" s="63">
        <v>153245.27499999999</v>
      </c>
      <c r="AY156" s="63">
        <v>158955.02100000001</v>
      </c>
      <c r="AZ156" s="72">
        <f>M156</f>
        <v>169713.88500000001</v>
      </c>
      <c r="BA156" s="83">
        <v>166992.15400000001</v>
      </c>
      <c r="BB156" s="83">
        <v>169456.22500000001</v>
      </c>
      <c r="BC156" s="63">
        <v>172633.261</v>
      </c>
      <c r="BD156" s="72">
        <f t="shared" si="362"/>
        <v>179369.48300000001</v>
      </c>
      <c r="BE156" s="83">
        <v>180306.93799999999</v>
      </c>
      <c r="BF156" s="146"/>
      <c r="BG156" s="137"/>
      <c r="BH156" s="137"/>
      <c r="BI156" s="137"/>
    </row>
    <row r="157" spans="2:62" s="5" customFormat="1" ht="13" outlineLevel="1">
      <c r="B157" s="5" t="s">
        <v>364</v>
      </c>
      <c r="C157" s="84">
        <f t="shared" ref="C157:G157" si="363">C147+C156</f>
        <v>76010.320999999996</v>
      </c>
      <c r="D157" s="79">
        <f t="shared" si="363"/>
        <v>84955.518000000011</v>
      </c>
      <c r="E157" s="79">
        <f t="shared" si="363"/>
        <v>111907.323</v>
      </c>
      <c r="F157" s="79">
        <f t="shared" si="363"/>
        <v>126299.878</v>
      </c>
      <c r="G157" s="79">
        <f t="shared" si="363"/>
        <v>131737.45500000002</v>
      </c>
      <c r="H157" s="79">
        <f t="shared" ref="H157:L157" si="364">H147+H156</f>
        <v>156001.06400000001</v>
      </c>
      <c r="I157" s="79">
        <f t="shared" si="364"/>
        <v>158035.14500000002</v>
      </c>
      <c r="J157" s="79">
        <f t="shared" si="364"/>
        <v>165672.69899999999</v>
      </c>
      <c r="K157" s="79">
        <f t="shared" si="364"/>
        <v>175104.47</v>
      </c>
      <c r="L157" s="79">
        <f t="shared" si="364"/>
        <v>188597.65000000002</v>
      </c>
      <c r="M157" s="79">
        <f t="shared" ref="M157:N157" si="365">M147+M156</f>
        <v>208085.13700000002</v>
      </c>
      <c r="N157" s="79">
        <f t="shared" si="365"/>
        <v>228081.11900000001</v>
      </c>
      <c r="O157" s="79">
        <f>O147+O156</f>
        <v>237589.12400000001</v>
      </c>
      <c r="P157" s="79"/>
      <c r="Q157" s="79">
        <f t="shared" ref="Q157:AC157" si="366">Q147+Q156</f>
        <v>85178.691999999995</v>
      </c>
      <c r="R157" s="79">
        <f t="shared" si="366"/>
        <v>87981.600999999995</v>
      </c>
      <c r="S157" s="79">
        <f t="shared" si="366"/>
        <v>104855.405</v>
      </c>
      <c r="T157" s="79">
        <f t="shared" si="366"/>
        <v>111907.323</v>
      </c>
      <c r="U157" s="79">
        <f t="shared" si="366"/>
        <v>111539.1134</v>
      </c>
      <c r="V157" s="79">
        <f t="shared" si="366"/>
        <v>112922.58199999999</v>
      </c>
      <c r="W157" s="79">
        <f t="shared" si="366"/>
        <v>117426.133</v>
      </c>
      <c r="X157" s="112">
        <f t="shared" si="366"/>
        <v>126299.878</v>
      </c>
      <c r="Y157" s="79">
        <f t="shared" si="366"/>
        <v>121634.658</v>
      </c>
      <c r="Z157" s="79">
        <f t="shared" si="366"/>
        <v>123665.83099999999</v>
      </c>
      <c r="AA157" s="79">
        <f t="shared" si="366"/>
        <v>122991.099</v>
      </c>
      <c r="AB157" s="79">
        <f t="shared" si="366"/>
        <v>131737.45500000002</v>
      </c>
      <c r="AC157" s="79">
        <f t="shared" si="366"/>
        <v>141393.671</v>
      </c>
      <c r="AD157" s="79">
        <f t="shared" ref="AD157:AI157" si="367">AD147+AD156</f>
        <v>143514.78700000001</v>
      </c>
      <c r="AE157" s="79">
        <f t="shared" si="367"/>
        <v>145711.91100000002</v>
      </c>
      <c r="AF157" s="79">
        <f t="shared" si="367"/>
        <v>156001.06400000001</v>
      </c>
      <c r="AG157" s="79">
        <f t="shared" si="367"/>
        <v>160829.19200000001</v>
      </c>
      <c r="AH157" s="79">
        <f t="shared" si="367"/>
        <v>156813.88699999999</v>
      </c>
      <c r="AI157" s="79">
        <f t="shared" si="367"/>
        <v>160978.84700000001</v>
      </c>
      <c r="AJ157" s="79">
        <f t="shared" ref="AJ157:AO157" si="368">AJ147+AJ156</f>
        <v>158035.14500000002</v>
      </c>
      <c r="AK157" s="79">
        <f t="shared" si="368"/>
        <v>157952.18599999999</v>
      </c>
      <c r="AL157" s="79">
        <f t="shared" si="368"/>
        <v>160700.701</v>
      </c>
      <c r="AM157" s="79">
        <f t="shared" si="368"/>
        <v>158815.24300000002</v>
      </c>
      <c r="AN157" s="79">
        <f t="shared" si="368"/>
        <v>165672.69899999999</v>
      </c>
      <c r="AO157" s="79">
        <f t="shared" si="368"/>
        <v>162196.95500000002</v>
      </c>
      <c r="AP157" s="79">
        <f t="shared" ref="AP157:AS157" si="369">AP147+AP156</f>
        <v>166890.70199999999</v>
      </c>
      <c r="AQ157" s="79">
        <f t="shared" si="369"/>
        <v>167553.03100000002</v>
      </c>
      <c r="AR157" s="79">
        <f t="shared" si="369"/>
        <v>175104.47</v>
      </c>
      <c r="AS157" s="79">
        <f t="shared" si="369"/>
        <v>171917.68799999999</v>
      </c>
      <c r="AT157" s="79">
        <f t="shared" ref="AT157:AW157" si="370">AT147+AT156</f>
        <v>176565.33099999998</v>
      </c>
      <c r="AU157" s="79">
        <f t="shared" si="370"/>
        <v>179390.94799999997</v>
      </c>
      <c r="AV157" s="79">
        <f t="shared" si="370"/>
        <v>188597.65000000002</v>
      </c>
      <c r="AW157" s="79">
        <f t="shared" si="370"/>
        <v>187374.549</v>
      </c>
      <c r="AX157" s="79">
        <f t="shared" ref="AX157:BB157" si="371">AX147+AX156</f>
        <v>195676.05599999998</v>
      </c>
      <c r="AY157" s="79">
        <f t="shared" si="371"/>
        <v>202398.09400000001</v>
      </c>
      <c r="AZ157" s="79">
        <f t="shared" si="371"/>
        <v>208085.13700000002</v>
      </c>
      <c r="BA157" s="79">
        <f t="shared" si="371"/>
        <v>226581.10800000001</v>
      </c>
      <c r="BB157" s="79">
        <f t="shared" si="371"/>
        <v>228955.64500000002</v>
      </c>
      <c r="BC157" s="79">
        <f t="shared" ref="BC157:BE157" si="372">BC147+BC156</f>
        <v>231879.68799999999</v>
      </c>
      <c r="BD157" s="79">
        <f t="shared" si="372"/>
        <v>228081.11900000001</v>
      </c>
      <c r="BE157" s="79">
        <f t="shared" si="372"/>
        <v>237589.12400000001</v>
      </c>
      <c r="BF157" s="146"/>
      <c r="BG157" s="163"/>
      <c r="BH157" s="163"/>
      <c r="BI157" s="163"/>
    </row>
    <row r="158" spans="2:62" s="5" customFormat="1" ht="13" outlineLevel="1">
      <c r="B158" s="5" t="s">
        <v>365</v>
      </c>
      <c r="C158" s="84">
        <f t="shared" ref="C158:G158" si="373">C146+C155</f>
        <v>205896.13200000001</v>
      </c>
      <c r="D158" s="84">
        <f t="shared" si="373"/>
        <v>287521.647</v>
      </c>
      <c r="E158" s="84">
        <f t="shared" si="373"/>
        <v>205722.99599999998</v>
      </c>
      <c r="F158" s="84">
        <f t="shared" si="373"/>
        <v>186417.42300000001</v>
      </c>
      <c r="G158" s="84">
        <f t="shared" si="373"/>
        <v>186343.16199999998</v>
      </c>
      <c r="H158" s="84">
        <f t="shared" ref="H158:L158" si="374">H146+H155</f>
        <v>154350.82500000001</v>
      </c>
      <c r="I158" s="84">
        <f t="shared" si="374"/>
        <v>119970.245</v>
      </c>
      <c r="J158" s="84">
        <f t="shared" si="374"/>
        <v>143698.49900000001</v>
      </c>
      <c r="K158" s="84">
        <f t="shared" si="374"/>
        <v>175581.7</v>
      </c>
      <c r="L158" s="84">
        <f t="shared" si="374"/>
        <v>178806.66500000001</v>
      </c>
      <c r="M158" s="84">
        <f t="shared" ref="M158:N158" si="375">M146+M155</f>
        <v>152143.073</v>
      </c>
      <c r="N158" s="84">
        <f t="shared" si="375"/>
        <v>163090.30799999999</v>
      </c>
      <c r="O158" s="84">
        <f>O146+O155</f>
        <v>174035.85599999997</v>
      </c>
      <c r="P158" s="79"/>
      <c r="Q158" s="84">
        <f t="shared" ref="Q158:AC158" si="376">Q146+Q155</f>
        <v>282869.34399999998</v>
      </c>
      <c r="R158" s="84">
        <f t="shared" si="376"/>
        <v>267950.576</v>
      </c>
      <c r="S158" s="84">
        <f t="shared" si="376"/>
        <v>297348.598</v>
      </c>
      <c r="T158" s="84">
        <f t="shared" si="376"/>
        <v>205722.99599999998</v>
      </c>
      <c r="U158" s="84">
        <f t="shared" si="376"/>
        <v>204960.5024</v>
      </c>
      <c r="V158" s="84">
        <f t="shared" si="376"/>
        <v>216362.386</v>
      </c>
      <c r="W158" s="84">
        <f t="shared" si="376"/>
        <v>222531.32199999999</v>
      </c>
      <c r="X158" s="112">
        <f t="shared" si="376"/>
        <v>186417.42300000001</v>
      </c>
      <c r="Y158" s="84">
        <f t="shared" si="376"/>
        <v>204568.07399999999</v>
      </c>
      <c r="Z158" s="84">
        <f t="shared" si="376"/>
        <v>193463.6</v>
      </c>
      <c r="AA158" s="84">
        <f t="shared" si="376"/>
        <v>212086.45</v>
      </c>
      <c r="AB158" s="84">
        <f t="shared" si="376"/>
        <v>186343.16199999998</v>
      </c>
      <c r="AC158" s="84">
        <f t="shared" si="376"/>
        <v>198744.56200000001</v>
      </c>
      <c r="AD158" s="84">
        <f t="shared" ref="AD158:AI158" si="377">AD146+AD155</f>
        <v>174083.785</v>
      </c>
      <c r="AE158" s="84">
        <f t="shared" si="377"/>
        <v>181803.80600000001</v>
      </c>
      <c r="AF158" s="84">
        <f t="shared" si="377"/>
        <v>154350.82500000001</v>
      </c>
      <c r="AG158" s="84">
        <f t="shared" si="377"/>
        <v>127768.27100000001</v>
      </c>
      <c r="AH158" s="84">
        <f t="shared" si="377"/>
        <v>131571.726</v>
      </c>
      <c r="AI158" s="84">
        <f t="shared" si="377"/>
        <v>119497.16600000001</v>
      </c>
      <c r="AJ158" s="84">
        <f t="shared" ref="AJ158:AO158" si="378">AJ146+AJ155</f>
        <v>119970.245</v>
      </c>
      <c r="AK158" s="84">
        <f t="shared" si="378"/>
        <v>128990.12</v>
      </c>
      <c r="AL158" s="84">
        <f t="shared" si="378"/>
        <v>155201.10399999999</v>
      </c>
      <c r="AM158" s="84">
        <f t="shared" si="378"/>
        <v>142452.696</v>
      </c>
      <c r="AN158" s="84">
        <f t="shared" si="378"/>
        <v>143698.49900000001</v>
      </c>
      <c r="AO158" s="84">
        <f t="shared" si="378"/>
        <v>186474.31099999999</v>
      </c>
      <c r="AP158" s="84">
        <f t="shared" ref="AP158:AS158" si="379">AP146+AP155</f>
        <v>171341.63699999999</v>
      </c>
      <c r="AQ158" s="84">
        <f t="shared" si="379"/>
        <v>186418.514</v>
      </c>
      <c r="AR158" s="84">
        <f t="shared" si="379"/>
        <v>175581.7</v>
      </c>
      <c r="AS158" s="84">
        <f t="shared" si="379"/>
        <v>175513.73199999999</v>
      </c>
      <c r="AT158" s="84">
        <f t="shared" ref="AT158:AW158" si="380">AT146+AT155</f>
        <v>175464.08900000001</v>
      </c>
      <c r="AU158" s="84">
        <f t="shared" si="380"/>
        <v>160912.97399999999</v>
      </c>
      <c r="AV158" s="84">
        <f t="shared" si="380"/>
        <v>178806.66500000001</v>
      </c>
      <c r="AW158" s="84">
        <f t="shared" si="380"/>
        <v>217270.315</v>
      </c>
      <c r="AX158" s="84">
        <f t="shared" ref="AX158:BB158" si="381">AX146+AX155</f>
        <v>204080.31099999999</v>
      </c>
      <c r="AY158" s="84">
        <f t="shared" si="381"/>
        <v>180164.568</v>
      </c>
      <c r="AZ158" s="84">
        <f t="shared" si="381"/>
        <v>152143.073</v>
      </c>
      <c r="BA158" s="84">
        <f t="shared" si="381"/>
        <v>161145.39199999999</v>
      </c>
      <c r="BB158" s="84">
        <f t="shared" si="381"/>
        <v>186402.37</v>
      </c>
      <c r="BC158" s="84">
        <f t="shared" ref="BC158:BE158" si="382">BC146+BC155</f>
        <v>183270.28000000003</v>
      </c>
      <c r="BD158" s="84">
        <f t="shared" si="382"/>
        <v>163090.30799999999</v>
      </c>
      <c r="BE158" s="84">
        <f t="shared" si="382"/>
        <v>174035.85599999997</v>
      </c>
      <c r="BF158" s="146"/>
      <c r="BG158" s="163"/>
      <c r="BH158" s="163"/>
      <c r="BI158" s="163"/>
    </row>
    <row r="159" spans="2:62" ht="13.5" customHeight="1">
      <c r="X159" s="106"/>
      <c r="BF159" s="146"/>
      <c r="BG159" s="138"/>
      <c r="BH159" s="138"/>
      <c r="BI159" s="138"/>
    </row>
    <row r="160" spans="2:62" ht="13.5" customHeight="1">
      <c r="B160" s="14" t="s">
        <v>366</v>
      </c>
      <c r="C160" s="33">
        <f>C101</f>
        <v>41975</v>
      </c>
      <c r="D160" s="33">
        <f>D101</f>
        <v>42341</v>
      </c>
      <c r="E160" s="33">
        <f>E101</f>
        <v>42708</v>
      </c>
      <c r="F160" s="33">
        <f>F101</f>
        <v>43100</v>
      </c>
      <c r="G160" s="33">
        <f t="shared" ref="G160:N160" si="383">G3</f>
        <v>43465</v>
      </c>
      <c r="H160" s="33">
        <f t="shared" si="383"/>
        <v>43830</v>
      </c>
      <c r="I160" s="33">
        <f t="shared" si="383"/>
        <v>44196</v>
      </c>
      <c r="J160" s="33">
        <f t="shared" si="383"/>
        <v>44561</v>
      </c>
      <c r="K160" s="33">
        <f t="shared" si="383"/>
        <v>44926</v>
      </c>
      <c r="L160" s="33">
        <f t="shared" si="383"/>
        <v>45291</v>
      </c>
      <c r="M160" s="33">
        <f t="shared" si="383"/>
        <v>45657</v>
      </c>
      <c r="N160" s="33">
        <f t="shared" si="383"/>
        <v>46022</v>
      </c>
      <c r="O160" s="240" t="str">
        <f>O101</f>
        <v>LTM</v>
      </c>
      <c r="P160" s="44"/>
      <c r="Q160" s="33">
        <f t="shared" ref="Q160:AA160" si="384">Q101</f>
        <v>42437</v>
      </c>
      <c r="R160" s="33">
        <f t="shared" si="384"/>
        <v>42527</v>
      </c>
      <c r="S160" s="33">
        <f t="shared" si="384"/>
        <v>42622</v>
      </c>
      <c r="T160" s="33">
        <f t="shared" si="384"/>
        <v>42714</v>
      </c>
      <c r="U160" s="33">
        <f t="shared" si="384"/>
        <v>42801</v>
      </c>
      <c r="V160" s="33">
        <f t="shared" si="384"/>
        <v>42892</v>
      </c>
      <c r="W160" s="33">
        <f t="shared" si="384"/>
        <v>42987</v>
      </c>
      <c r="X160" s="33">
        <f t="shared" si="384"/>
        <v>43100</v>
      </c>
      <c r="Y160" s="33">
        <f t="shared" si="384"/>
        <v>43190</v>
      </c>
      <c r="Z160" s="33">
        <f t="shared" si="384"/>
        <v>43281</v>
      </c>
      <c r="AA160" s="33">
        <f t="shared" si="384"/>
        <v>43373</v>
      </c>
      <c r="AB160" s="33">
        <f>AB3</f>
        <v>43465</v>
      </c>
      <c r="AC160" s="33">
        <f t="shared" ref="AC160:BA160" si="385">AC101</f>
        <v>43555</v>
      </c>
      <c r="AD160" s="33">
        <f t="shared" si="385"/>
        <v>43646</v>
      </c>
      <c r="AE160" s="33">
        <f t="shared" si="385"/>
        <v>43738</v>
      </c>
      <c r="AF160" s="33">
        <f t="shared" si="385"/>
        <v>43830</v>
      </c>
      <c r="AG160" s="33">
        <f t="shared" si="385"/>
        <v>43921</v>
      </c>
      <c r="AH160" s="33">
        <f t="shared" si="385"/>
        <v>44012</v>
      </c>
      <c r="AI160" s="33">
        <f t="shared" si="385"/>
        <v>44104</v>
      </c>
      <c r="AJ160" s="33">
        <f t="shared" si="385"/>
        <v>44196</v>
      </c>
      <c r="AK160" s="33">
        <f t="shared" si="385"/>
        <v>44286</v>
      </c>
      <c r="AL160" s="33">
        <f t="shared" si="385"/>
        <v>44377</v>
      </c>
      <c r="AM160" s="33">
        <f t="shared" si="385"/>
        <v>44469</v>
      </c>
      <c r="AN160" s="33">
        <f t="shared" si="385"/>
        <v>44561</v>
      </c>
      <c r="AO160" s="33">
        <f t="shared" si="385"/>
        <v>44651</v>
      </c>
      <c r="AP160" s="33">
        <f t="shared" si="385"/>
        <v>44742</v>
      </c>
      <c r="AQ160" s="33">
        <f t="shared" si="385"/>
        <v>44834</v>
      </c>
      <c r="AR160" s="33">
        <f t="shared" si="385"/>
        <v>44926</v>
      </c>
      <c r="AS160" s="33">
        <f t="shared" si="385"/>
        <v>45016</v>
      </c>
      <c r="AT160" s="33">
        <f t="shared" si="385"/>
        <v>45107</v>
      </c>
      <c r="AU160" s="33">
        <f t="shared" si="385"/>
        <v>45199</v>
      </c>
      <c r="AV160" s="33">
        <f t="shared" si="385"/>
        <v>45291</v>
      </c>
      <c r="AW160" s="33">
        <f t="shared" si="385"/>
        <v>45382</v>
      </c>
      <c r="AX160" s="33">
        <f t="shared" si="385"/>
        <v>45473</v>
      </c>
      <c r="AY160" s="33">
        <f t="shared" si="385"/>
        <v>45536</v>
      </c>
      <c r="AZ160" s="33">
        <f t="shared" si="385"/>
        <v>45657</v>
      </c>
      <c r="BA160" s="33">
        <f t="shared" si="385"/>
        <v>45747</v>
      </c>
      <c r="BB160" s="33">
        <f t="shared" ref="BB160:BE160" si="386">BB101</f>
        <v>45838</v>
      </c>
      <c r="BC160" s="33">
        <f t="shared" si="386"/>
        <v>45901</v>
      </c>
      <c r="BD160" s="33">
        <f t="shared" si="386"/>
        <v>46022</v>
      </c>
      <c r="BE160" s="33">
        <f t="shared" si="386"/>
        <v>46112</v>
      </c>
      <c r="BF160" s="146"/>
      <c r="BG160" s="138"/>
      <c r="BH160" s="376"/>
      <c r="BI160" s="376"/>
    </row>
    <row r="161" spans="2:61" ht="13.5" customHeight="1">
      <c r="B161" s="5"/>
      <c r="BF161" s="146"/>
      <c r="BG161" s="138"/>
      <c r="BH161" s="138"/>
      <c r="BI161" s="138"/>
    </row>
    <row r="162" spans="2:61" s="5" customFormat="1" ht="13.5" customHeight="1">
      <c r="B162" s="5" t="s">
        <v>367</v>
      </c>
      <c r="C162" s="419">
        <f t="shared" ref="C162:O162" si="387">+C146/C92</f>
        <v>0.57222501544119431</v>
      </c>
      <c r="D162" s="419">
        <f t="shared" si="387"/>
        <v>0.37072648200393427</v>
      </c>
      <c r="E162" s="419">
        <f t="shared" si="387"/>
        <v>0.31135902504225471</v>
      </c>
      <c r="F162" s="419">
        <f t="shared" si="387"/>
        <v>1.0671343929789281</v>
      </c>
      <c r="G162" s="419">
        <f t="shared" si="387"/>
        <v>0.83997443844685293</v>
      </c>
      <c r="H162" s="419">
        <f t="shared" si="387"/>
        <v>1.1849143094075376</v>
      </c>
      <c r="I162" s="419">
        <f t="shared" si="387"/>
        <v>2.6669381432996908</v>
      </c>
      <c r="J162" s="419">
        <f t="shared" si="387"/>
        <v>0.55587710749643426</v>
      </c>
      <c r="K162" s="419">
        <f t="shared" si="387"/>
        <v>0.59092449571479799</v>
      </c>
      <c r="L162" s="419">
        <f t="shared" si="387"/>
        <v>0.32266980455365141</v>
      </c>
      <c r="M162" s="419">
        <f t="shared" si="387"/>
        <v>0.36325344800042603</v>
      </c>
      <c r="N162" s="419">
        <f t="shared" ref="N162" si="388">+N146/N92</f>
        <v>0.62427546727727767</v>
      </c>
      <c r="O162" s="419">
        <f t="shared" si="387"/>
        <v>1.2058987129266927</v>
      </c>
      <c r="P162" s="419"/>
      <c r="Q162" s="419"/>
      <c r="R162" s="419"/>
      <c r="S162" s="419"/>
      <c r="T162" s="419">
        <f t="shared" ref="T162:BA162" si="389">+T146/T92</f>
        <v>0.31135902504225471</v>
      </c>
      <c r="U162" s="419">
        <f t="shared" si="389"/>
        <v>0.54231962200111095</v>
      </c>
      <c r="V162" s="419">
        <f t="shared" si="389"/>
        <v>1.4314801840893028</v>
      </c>
      <c r="W162" s="419">
        <f t="shared" si="389"/>
        <v>1.4783682944261782</v>
      </c>
      <c r="X162" s="419">
        <f t="shared" si="389"/>
        <v>1.0671343929789281</v>
      </c>
      <c r="Y162" s="419">
        <f t="shared" si="389"/>
        <v>1.2533818656216074</v>
      </c>
      <c r="Z162" s="419">
        <f t="shared" si="389"/>
        <v>1.2102858830020442</v>
      </c>
      <c r="AA162" s="419">
        <f t="shared" si="389"/>
        <v>1.2203311738070648</v>
      </c>
      <c r="AB162" s="419">
        <f t="shared" si="389"/>
        <v>0.83997443844685293</v>
      </c>
      <c r="AC162" s="419">
        <f t="shared" si="389"/>
        <v>1.5424571787650325</v>
      </c>
      <c r="AD162" s="419">
        <f t="shared" si="389"/>
        <v>1.4160691647903683</v>
      </c>
      <c r="AE162" s="419">
        <f t="shared" si="389"/>
        <v>1.6548339223367459</v>
      </c>
      <c r="AF162" s="419">
        <f t="shared" si="389"/>
        <v>1.1849143094075376</v>
      </c>
      <c r="AG162" s="419">
        <f t="shared" si="389"/>
        <v>1.6003078082232598</v>
      </c>
      <c r="AH162" s="419">
        <f t="shared" si="389"/>
        <v>2.8974815862427179</v>
      </c>
      <c r="AI162" s="419">
        <f t="shared" si="389"/>
        <v>2.8359347677515157</v>
      </c>
      <c r="AJ162" s="419">
        <f t="shared" si="389"/>
        <v>2.6669381432996908</v>
      </c>
      <c r="AK162" s="419">
        <f t="shared" si="389"/>
        <v>3.7679942187249074</v>
      </c>
      <c r="AL162" s="419">
        <f t="shared" si="389"/>
        <v>1.52139619667555</v>
      </c>
      <c r="AM162" s="419">
        <f t="shared" si="389"/>
        <v>1.2409551156982401</v>
      </c>
      <c r="AN162" s="419">
        <f t="shared" si="389"/>
        <v>0.55587710749643426</v>
      </c>
      <c r="AO162" s="419">
        <f t="shared" si="389"/>
        <v>0.81893941162516604</v>
      </c>
      <c r="AP162" s="419">
        <f t="shared" si="389"/>
        <v>0.7120852254240404</v>
      </c>
      <c r="AQ162" s="419">
        <f t="shared" si="389"/>
        <v>0.99103446152583075</v>
      </c>
      <c r="AR162" s="419">
        <f t="shared" si="389"/>
        <v>0.59092449571479799</v>
      </c>
      <c r="AS162" s="419">
        <f t="shared" si="389"/>
        <v>0.74171105438330043</v>
      </c>
      <c r="AT162" s="419">
        <f t="shared" si="389"/>
        <v>0.78904952881257018</v>
      </c>
      <c r="AU162" s="419">
        <f t="shared" si="389"/>
        <v>0.80613330557537055</v>
      </c>
      <c r="AV162" s="419">
        <f t="shared" si="389"/>
        <v>0.32266980455365141</v>
      </c>
      <c r="AW162" s="419">
        <f t="shared" si="389"/>
        <v>0.49716148341433919</v>
      </c>
      <c r="AX162" s="419">
        <f t="shared" si="389"/>
        <v>0.55649164132063833</v>
      </c>
      <c r="AY162" s="419">
        <f t="shared" si="389"/>
        <v>0.68699477782668483</v>
      </c>
      <c r="AZ162" s="419">
        <f t="shared" si="389"/>
        <v>0.36325344800042603</v>
      </c>
      <c r="BA162" s="419">
        <f t="shared" si="389"/>
        <v>0.61998281574056613</v>
      </c>
      <c r="BB162" s="419">
        <f t="shared" ref="BB162:BE162" si="390">+BB146/BB92</f>
        <v>1.3858468836546107</v>
      </c>
      <c r="BC162" s="419">
        <f t="shared" si="390"/>
        <v>1.3896436853119167</v>
      </c>
      <c r="BD162" s="419">
        <f t="shared" si="390"/>
        <v>0.62427546727727767</v>
      </c>
      <c r="BE162" s="419">
        <f t="shared" si="390"/>
        <v>0.92643297417846671</v>
      </c>
      <c r="BF162" s="117"/>
      <c r="BG162" s="383"/>
      <c r="BH162" s="383"/>
      <c r="BI162" s="383"/>
    </row>
    <row r="163" spans="2:61" ht="13.5" customHeight="1">
      <c r="B163" s="1" t="s">
        <v>368</v>
      </c>
      <c r="C163" s="27">
        <f t="shared" ref="C163:O163" si="391">+C147/C92</f>
        <v>1.0245934996180781</v>
      </c>
      <c r="D163" s="27">
        <f t="shared" si="391"/>
        <v>0.94792853098866492</v>
      </c>
      <c r="E163" s="27">
        <f t="shared" si="391"/>
        <v>1.9046785568744353</v>
      </c>
      <c r="F163" s="27">
        <f t="shared" si="391"/>
        <v>1.9736546874127237</v>
      </c>
      <c r="G163" s="27">
        <f t="shared" si="391"/>
        <v>1.5088353097317233</v>
      </c>
      <c r="H163" s="27">
        <f t="shared" si="391"/>
        <v>1.9653771056180533</v>
      </c>
      <c r="I163" s="27">
        <f t="shared" si="391"/>
        <v>5.5755576651899235</v>
      </c>
      <c r="J163" s="27">
        <f t="shared" si="391"/>
        <v>1.9150016102924876</v>
      </c>
      <c r="K163" s="27">
        <f t="shared" si="391"/>
        <v>1.3898378466451593</v>
      </c>
      <c r="L163" s="27">
        <f t="shared" si="391"/>
        <v>1.1745051255011905</v>
      </c>
      <c r="M163" s="27">
        <f t="shared" si="391"/>
        <v>1.0216532296714416</v>
      </c>
      <c r="N163" s="27">
        <f t="shared" ref="N163" si="392">+N147/N92</f>
        <v>1.2969709782203525</v>
      </c>
      <c r="O163" s="27">
        <f t="shared" si="391"/>
        <v>2.0034340374930051</v>
      </c>
      <c r="P163" s="27"/>
      <c r="Q163" s="27"/>
      <c r="R163" s="27"/>
      <c r="S163" s="27"/>
      <c r="T163" s="27">
        <f t="shared" ref="T163:BA163" si="393">+T147/T92</f>
        <v>1.9046785568744353</v>
      </c>
      <c r="U163" s="27">
        <f t="shared" si="393"/>
        <v>1.9421050820910564</v>
      </c>
      <c r="V163" s="27">
        <f t="shared" si="393"/>
        <v>1.8211118990106772</v>
      </c>
      <c r="W163" s="27">
        <f t="shared" si="393"/>
        <v>2.1030277385212743</v>
      </c>
      <c r="X163" s="27">
        <f t="shared" si="393"/>
        <v>1.9736546874127237</v>
      </c>
      <c r="Y163" s="27">
        <f t="shared" si="393"/>
        <v>1.841364536626394</v>
      </c>
      <c r="Z163" s="27">
        <f t="shared" si="393"/>
        <v>1.7049846557774182</v>
      </c>
      <c r="AA163" s="27">
        <f t="shared" si="393"/>
        <v>1.529226394740322</v>
      </c>
      <c r="AB163" s="27">
        <f t="shared" si="393"/>
        <v>1.5088353097317233</v>
      </c>
      <c r="AC163" s="27">
        <f t="shared" si="393"/>
        <v>1.9999206236542852</v>
      </c>
      <c r="AD163" s="27">
        <f t="shared" si="393"/>
        <v>1.9222270882828634</v>
      </c>
      <c r="AE163" s="27">
        <f t="shared" si="393"/>
        <v>1.9058490574892484</v>
      </c>
      <c r="AF163" s="27">
        <f t="shared" si="393"/>
        <v>1.9653771056180533</v>
      </c>
      <c r="AG163" s="27">
        <f t="shared" si="393"/>
        <v>2.2031130730166564</v>
      </c>
      <c r="AH163" s="27">
        <f t="shared" si="393"/>
        <v>3.2388236472068042</v>
      </c>
      <c r="AI163" s="27">
        <f t="shared" si="393"/>
        <v>4.3795231698599375</v>
      </c>
      <c r="AJ163" s="27">
        <f t="shared" si="393"/>
        <v>5.5755576651899235</v>
      </c>
      <c r="AK163" s="27">
        <f t="shared" si="393"/>
        <v>5.8186607859781132</v>
      </c>
      <c r="AL163" s="27">
        <f t="shared" si="393"/>
        <v>3.0197072607280582</v>
      </c>
      <c r="AM163" s="27">
        <f t="shared" si="393"/>
        <v>2.2171668192691381</v>
      </c>
      <c r="AN163" s="27">
        <f t="shared" si="393"/>
        <v>1.9150016102924876</v>
      </c>
      <c r="AO163" s="27">
        <f t="shared" si="393"/>
        <v>1.6338716540087881</v>
      </c>
      <c r="AP163" s="27">
        <f t="shared" si="393"/>
        <v>1.5452037799374725</v>
      </c>
      <c r="AQ163" s="27">
        <f t="shared" si="393"/>
        <v>1.4421277614717813</v>
      </c>
      <c r="AR163" s="27">
        <f t="shared" si="393"/>
        <v>1.3898378466451593</v>
      </c>
      <c r="AS163" s="27">
        <f t="shared" si="393"/>
        <v>1.3407715772126538</v>
      </c>
      <c r="AT163" s="27">
        <f t="shared" si="393"/>
        <v>1.2849099832738662</v>
      </c>
      <c r="AU163" s="27">
        <f t="shared" si="393"/>
        <v>1.2618290558516747</v>
      </c>
      <c r="AV163" s="27">
        <f t="shared" si="393"/>
        <v>1.1745051255011905</v>
      </c>
      <c r="AW163" s="27">
        <f t="shared" si="393"/>
        <v>1.1491264810625574</v>
      </c>
      <c r="AX163" s="27">
        <f t="shared" si="393"/>
        <v>1.1689693257956451</v>
      </c>
      <c r="AY163" s="27">
        <f t="shared" si="393"/>
        <v>1.1803707417007658</v>
      </c>
      <c r="AZ163" s="27">
        <f t="shared" si="393"/>
        <v>1.0216532296714416</v>
      </c>
      <c r="BA163" s="27">
        <f t="shared" si="393"/>
        <v>1.6050032052145338</v>
      </c>
      <c r="BB163" s="27">
        <f t="shared" ref="BB163:BE163" si="394">+BB147/BB92</f>
        <v>1.6315067591653185</v>
      </c>
      <c r="BC163" s="27">
        <f t="shared" si="394"/>
        <v>1.6754263616311296</v>
      </c>
      <c r="BD163" s="27">
        <f t="shared" si="394"/>
        <v>1.2969709782203525</v>
      </c>
      <c r="BE163" s="27">
        <f t="shared" si="394"/>
        <v>1.5391403390923504</v>
      </c>
      <c r="BF163" s="146"/>
      <c r="BG163" s="384"/>
      <c r="BH163" s="384"/>
      <c r="BI163" s="384"/>
    </row>
    <row r="164" spans="2:61" ht="13.5" customHeight="1">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c r="AO164" s="27"/>
      <c r="AP164" s="27"/>
      <c r="AQ164" s="27"/>
      <c r="AR164" s="27"/>
      <c r="AS164" s="27"/>
      <c r="AT164" s="27"/>
      <c r="AU164" s="27"/>
      <c r="AV164" s="27"/>
      <c r="AW164" s="27"/>
      <c r="AX164" s="27"/>
      <c r="AY164" s="27"/>
      <c r="AZ164" s="27"/>
      <c r="BA164" s="27"/>
      <c r="BB164" s="27"/>
      <c r="BC164" s="27"/>
      <c r="BD164" s="27"/>
      <c r="BE164" s="27"/>
      <c r="BF164" s="146"/>
      <c r="BG164" s="384"/>
      <c r="BH164" s="384"/>
      <c r="BI164" s="384"/>
    </row>
    <row r="165" spans="2:61" ht="13.5" customHeight="1">
      <c r="B165" s="1" t="s">
        <v>369</v>
      </c>
      <c r="C165" s="419">
        <f t="shared" ref="C165:O165" si="395">C152/C94</f>
        <v>0.99129117045156356</v>
      </c>
      <c r="D165" s="419">
        <f t="shared" si="395"/>
        <v>0.82457995271380791</v>
      </c>
      <c r="E165" s="419">
        <f t="shared" si="395"/>
        <v>0.83479882316458842</v>
      </c>
      <c r="F165" s="419">
        <f t="shared" si="395"/>
        <v>1.7641198732780135</v>
      </c>
      <c r="G165" s="419">
        <f t="shared" si="395"/>
        <v>1.5234936539166908</v>
      </c>
      <c r="H165" s="419">
        <f t="shared" si="395"/>
        <v>1.2891731925850642</v>
      </c>
      <c r="I165" s="419">
        <f t="shared" si="395"/>
        <v>2.7238745799687818</v>
      </c>
      <c r="J165" s="419">
        <f t="shared" si="395"/>
        <v>0.61132301136888456</v>
      </c>
      <c r="K165" s="419">
        <f t="shared" si="395"/>
        <v>0.64530566215808038</v>
      </c>
      <c r="L165" s="419">
        <f t="shared" si="395"/>
        <v>0.35863814642269498</v>
      </c>
      <c r="M165" s="419">
        <f t="shared" si="395"/>
        <v>0.36325344800042603</v>
      </c>
      <c r="N165" s="419">
        <f t="shared" ref="N165" si="396">N152/N94</f>
        <v>0.62427546727727767</v>
      </c>
      <c r="O165" s="419">
        <f t="shared" si="395"/>
        <v>1.2058987129266927</v>
      </c>
      <c r="P165" s="419"/>
      <c r="Q165" s="419"/>
      <c r="R165" s="419"/>
      <c r="S165" s="419"/>
      <c r="T165" s="419">
        <f t="shared" ref="T165:BA165" si="397">T152/T94</f>
        <v>0.83479882316458842</v>
      </c>
      <c r="U165" s="419">
        <f t="shared" si="397"/>
        <v>1.1483293448399166</v>
      </c>
      <c r="V165" s="419">
        <f t="shared" si="397"/>
        <v>2.0027340653230121</v>
      </c>
      <c r="W165" s="419">
        <f t="shared" si="397"/>
        <v>2.1407613909447352</v>
      </c>
      <c r="X165" s="419">
        <f t="shared" si="397"/>
        <v>1.7641198732780135</v>
      </c>
      <c r="Y165" s="419">
        <f t="shared" si="397"/>
        <v>1.9710549791486986</v>
      </c>
      <c r="Z165" s="419">
        <f t="shared" si="397"/>
        <v>1.9313323180863862</v>
      </c>
      <c r="AA165" s="419">
        <f t="shared" si="397"/>
        <v>1.8852388926214692</v>
      </c>
      <c r="AB165" s="419">
        <f t="shared" si="397"/>
        <v>1.5234936539166906</v>
      </c>
      <c r="AC165" s="419">
        <f t="shared" si="397"/>
        <v>2.0044836709461031</v>
      </c>
      <c r="AD165" s="419">
        <f t="shared" si="397"/>
        <v>1.7694112350934006</v>
      </c>
      <c r="AE165" s="419">
        <f t="shared" si="397"/>
        <v>1.8974402240609556</v>
      </c>
      <c r="AF165" s="419">
        <f t="shared" si="397"/>
        <v>1.2891731925850642</v>
      </c>
      <c r="AG165" s="419">
        <f t="shared" si="397"/>
        <v>1.6969063757406271</v>
      </c>
      <c r="AH165" s="419">
        <f t="shared" si="397"/>
        <v>2.9916568905850545</v>
      </c>
      <c r="AI165" s="419">
        <f t="shared" si="397"/>
        <v>2.9131472457319738</v>
      </c>
      <c r="AJ165" s="419">
        <f t="shared" si="397"/>
        <v>2.7238745799687818</v>
      </c>
      <c r="AK165" s="419">
        <f t="shared" si="397"/>
        <v>3.7816159729227836</v>
      </c>
      <c r="AL165" s="419">
        <f t="shared" si="397"/>
        <v>1.4944013064202319</v>
      </c>
      <c r="AM165" s="419">
        <f t="shared" si="397"/>
        <v>1.2302869672763708</v>
      </c>
      <c r="AN165" s="419">
        <f t="shared" si="397"/>
        <v>0.61132301136888456</v>
      </c>
      <c r="AO165" s="419">
        <f t="shared" si="397"/>
        <v>0.87052454725426953</v>
      </c>
      <c r="AP165" s="419">
        <f t="shared" si="397"/>
        <v>0.78352034986468611</v>
      </c>
      <c r="AQ165" s="419">
        <f t="shared" si="397"/>
        <v>1.0495044950534314</v>
      </c>
      <c r="AR165" s="419">
        <f t="shared" si="397"/>
        <v>0.64530566215808027</v>
      </c>
      <c r="AS165" s="419">
        <f t="shared" si="397"/>
        <v>0.78931689434886154</v>
      </c>
      <c r="AT165" s="419">
        <f t="shared" si="397"/>
        <v>0.81989332375595447</v>
      </c>
      <c r="AU165" s="419">
        <f t="shared" si="397"/>
        <v>0.84040754224639402</v>
      </c>
      <c r="AV165" s="419">
        <f t="shared" si="397"/>
        <v>0.35863814642269493</v>
      </c>
      <c r="AW165" s="419">
        <f t="shared" si="397"/>
        <v>0.52844538646391548</v>
      </c>
      <c r="AX165" s="419">
        <f t="shared" si="397"/>
        <v>0.58156006422469797</v>
      </c>
      <c r="AY165" s="419">
        <f t="shared" si="397"/>
        <v>0.70796527692718292</v>
      </c>
      <c r="AZ165" s="419">
        <f t="shared" si="397"/>
        <v>0.36325344800042603</v>
      </c>
      <c r="BA165" s="419">
        <f t="shared" si="397"/>
        <v>0.61998281574056613</v>
      </c>
      <c r="BB165" s="419">
        <f t="shared" ref="BB165:BE165" si="398">BB152/BB94</f>
        <v>1.3858468836546107</v>
      </c>
      <c r="BC165" s="419">
        <f t="shared" si="398"/>
        <v>1.3896436853119167</v>
      </c>
      <c r="BD165" s="419">
        <f t="shared" si="398"/>
        <v>0.62427546727727767</v>
      </c>
      <c r="BE165" s="419">
        <f t="shared" si="398"/>
        <v>0.92643297417846671</v>
      </c>
      <c r="BF165" s="146"/>
      <c r="BG165" s="384"/>
      <c r="BH165" s="384"/>
      <c r="BI165" s="384"/>
    </row>
    <row r="166" spans="2:61" ht="13.5" customHeight="1">
      <c r="B166" s="1" t="s">
        <v>370</v>
      </c>
      <c r="C166" s="27">
        <f t="shared" ref="C166:O166" si="399">C153/C94</f>
        <v>1.4181375673673273</v>
      </c>
      <c r="D166" s="27">
        <f t="shared" si="399"/>
        <v>1.3674451605019762</v>
      </c>
      <c r="E166" s="27">
        <f t="shared" si="399"/>
        <v>2.3196457579795582</v>
      </c>
      <c r="F166" s="27">
        <f t="shared" si="399"/>
        <v>2.5795044788594335</v>
      </c>
      <c r="G166" s="27">
        <f t="shared" si="399"/>
        <v>2.1285029014791541</v>
      </c>
      <c r="H166" s="27">
        <f t="shared" si="399"/>
        <v>2.0576962739939244</v>
      </c>
      <c r="I166" s="27">
        <f t="shared" si="399"/>
        <v>5.6014413153636688</v>
      </c>
      <c r="J166" s="27">
        <f t="shared" si="399"/>
        <v>1.9603243757346724</v>
      </c>
      <c r="K166" s="27">
        <f t="shared" si="399"/>
        <v>1.4383551452029577</v>
      </c>
      <c r="L166" s="27">
        <f t="shared" si="399"/>
        <v>1.2064826133545841</v>
      </c>
      <c r="M166" s="27">
        <f t="shared" si="399"/>
        <v>1.0216532296714416</v>
      </c>
      <c r="N166" s="27">
        <f t="shared" ref="N166" si="400">N153/N94</f>
        <v>1.2969709782203525</v>
      </c>
      <c r="O166" s="27">
        <f t="shared" si="399"/>
        <v>2.0034340374930051</v>
      </c>
      <c r="P166" s="27"/>
      <c r="Q166" s="27"/>
      <c r="R166" s="27"/>
      <c r="S166" s="27"/>
      <c r="T166" s="27">
        <f t="shared" ref="T166:BA166" si="401">T153/T94</f>
        <v>2.3196457579795582</v>
      </c>
      <c r="U166" s="27">
        <f t="shared" si="401"/>
        <v>2.4343684983429719</v>
      </c>
      <c r="V166" s="27">
        <f t="shared" si="401"/>
        <v>2.3584801202115986</v>
      </c>
      <c r="W166" s="27">
        <f t="shared" si="401"/>
        <v>2.701975040777933</v>
      </c>
      <c r="X166" s="27">
        <f t="shared" si="401"/>
        <v>2.5795044788594335</v>
      </c>
      <c r="Y166" s="27">
        <f t="shared" si="401"/>
        <v>2.4964908532553887</v>
      </c>
      <c r="Z166" s="27">
        <f t="shared" si="401"/>
        <v>2.3734956261273483</v>
      </c>
      <c r="AA166" s="27">
        <f t="shared" si="401"/>
        <v>2.1638395929861254</v>
      </c>
      <c r="AB166" s="27">
        <f t="shared" si="401"/>
        <v>2.1285029014791537</v>
      </c>
      <c r="AC166" s="27">
        <f t="shared" si="401"/>
        <v>2.4292163641246258</v>
      </c>
      <c r="AD166" s="27">
        <f t="shared" si="401"/>
        <v>2.2484050080102724</v>
      </c>
      <c r="AE166" s="27">
        <f t="shared" si="401"/>
        <v>2.1388578399569442</v>
      </c>
      <c r="AF166" s="27">
        <f t="shared" si="401"/>
        <v>2.0576962739939244</v>
      </c>
      <c r="AG166" s="27">
        <f t="shared" si="401"/>
        <v>2.2906127458800292</v>
      </c>
      <c r="AH166" s="27">
        <f t="shared" si="401"/>
        <v>3.3266989267634464</v>
      </c>
      <c r="AI166" s="27">
        <f t="shared" si="401"/>
        <v>4.4336561009817679</v>
      </c>
      <c r="AJ166" s="27">
        <f t="shared" si="401"/>
        <v>5.6014413153636688</v>
      </c>
      <c r="AK166" s="27">
        <f t="shared" si="401"/>
        <v>5.8256819641454642</v>
      </c>
      <c r="AL166" s="27">
        <f t="shared" si="401"/>
        <v>2.9989554969194705</v>
      </c>
      <c r="AM166" s="27">
        <f t="shared" si="401"/>
        <v>2.2080394760236106</v>
      </c>
      <c r="AN166" s="27">
        <f t="shared" si="401"/>
        <v>1.9603243757346724</v>
      </c>
      <c r="AO166" s="27">
        <f t="shared" si="401"/>
        <v>1.679602725362213</v>
      </c>
      <c r="AP166" s="27">
        <f t="shared" si="401"/>
        <v>1.6084727924714457</v>
      </c>
      <c r="AQ166" s="27">
        <f t="shared" si="401"/>
        <v>1.4968346946920492</v>
      </c>
      <c r="AR166" s="27">
        <f t="shared" si="401"/>
        <v>1.4383551452029577</v>
      </c>
      <c r="AS166" s="27">
        <f t="shared" si="401"/>
        <v>1.3844482846246366</v>
      </c>
      <c r="AT166" s="27">
        <f t="shared" si="401"/>
        <v>1.3136328070305743</v>
      </c>
      <c r="AU166" s="27">
        <f t="shared" si="401"/>
        <v>1.2939321897405107</v>
      </c>
      <c r="AV166" s="27">
        <f t="shared" si="401"/>
        <v>1.2064826133545838</v>
      </c>
      <c r="AW166" s="27">
        <f t="shared" si="401"/>
        <v>1.1776919449863206</v>
      </c>
      <c r="AX166" s="27">
        <f t="shared" si="401"/>
        <v>1.1919750319169908</v>
      </c>
      <c r="AY166" s="27">
        <f t="shared" si="401"/>
        <v>1.1999264544183337</v>
      </c>
      <c r="AZ166" s="27">
        <f t="shared" si="401"/>
        <v>1.0216532296714416</v>
      </c>
      <c r="BA166" s="27">
        <f t="shared" si="401"/>
        <v>1.6050032052145338</v>
      </c>
      <c r="BB166" s="27">
        <f t="shared" ref="BB166:BE166" si="402">BB153/BB94</f>
        <v>1.6315067591653185</v>
      </c>
      <c r="BC166" s="27">
        <f t="shared" si="402"/>
        <v>1.6754263616311296</v>
      </c>
      <c r="BD166" s="27">
        <f t="shared" si="402"/>
        <v>1.2969709782203525</v>
      </c>
      <c r="BE166" s="27">
        <f t="shared" si="402"/>
        <v>1.5391403390923504</v>
      </c>
      <c r="BF166" s="146"/>
      <c r="BG166" s="384"/>
      <c r="BH166" s="384"/>
      <c r="BI166" s="384"/>
    </row>
    <row r="167" spans="2:61" ht="13.5" customHeight="1">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c r="AO167" s="27"/>
      <c r="AP167" s="27"/>
      <c r="AQ167" s="27"/>
      <c r="AR167" s="27"/>
      <c r="AS167" s="27"/>
      <c r="AT167" s="27"/>
      <c r="AU167" s="27"/>
      <c r="AV167" s="27"/>
      <c r="AW167" s="27"/>
      <c r="AX167" s="27"/>
      <c r="AY167" s="27"/>
      <c r="AZ167" s="27"/>
      <c r="BA167" s="27"/>
      <c r="BB167" s="27"/>
      <c r="BC167" s="27"/>
      <c r="BD167" s="27"/>
      <c r="BE167" s="27"/>
      <c r="BF167" s="146"/>
      <c r="BG167" s="384"/>
      <c r="BH167" s="384"/>
      <c r="BI167" s="384"/>
    </row>
    <row r="168" spans="2:61" s="5" customFormat="1" ht="13.5" customHeight="1">
      <c r="B168" s="5" t="s">
        <v>371</v>
      </c>
      <c r="C168" s="419">
        <f t="shared" ref="C168:O168" si="403">+(C91-C98)/C96</f>
        <v>7.4637509454502107</v>
      </c>
      <c r="D168" s="419">
        <f t="shared" si="403"/>
        <v>10.984831937996281</v>
      </c>
      <c r="E168" s="419">
        <f t="shared" si="403"/>
        <v>8.8152258292166525</v>
      </c>
      <c r="F168" s="419">
        <f t="shared" si="403"/>
        <v>4.1513999151910133</v>
      </c>
      <c r="G168" s="419">
        <f t="shared" si="403"/>
        <v>4.6202521499200007</v>
      </c>
      <c r="H168" s="419">
        <f t="shared" si="403"/>
        <v>6.2118576417696332</v>
      </c>
      <c r="I168" s="419">
        <f t="shared" si="403"/>
        <v>1.7427013190509322</v>
      </c>
      <c r="J168" s="419">
        <f t="shared" si="403"/>
        <v>5.2517148644396805</v>
      </c>
      <c r="K168" s="419">
        <f t="shared" si="403"/>
        <v>8.1182007867875168</v>
      </c>
      <c r="L168" s="419">
        <f t="shared" si="403"/>
        <v>9.7241167506790056</v>
      </c>
      <c r="M168" s="419">
        <f t="shared" si="403"/>
        <v>10.052499059877306</v>
      </c>
      <c r="N168" s="419">
        <f t="shared" ref="N168" si="404">+(N91-N98)/N96</f>
        <v>11.308943450839523</v>
      </c>
      <c r="O168" s="419">
        <f t="shared" si="403"/>
        <v>7.2554372034304242</v>
      </c>
      <c r="P168" s="419"/>
      <c r="Q168" s="419"/>
      <c r="R168" s="419"/>
      <c r="S168" s="419"/>
      <c r="T168" s="419">
        <f t="shared" ref="T168:BA168" si="405">+(T91-T98)/T96</f>
        <v>8.8152258292166525</v>
      </c>
      <c r="U168" s="419">
        <f t="shared" si="405"/>
        <v>8.6142143688458059</v>
      </c>
      <c r="V168" s="419">
        <f t="shared" si="405"/>
        <v>5.7524680884111037</v>
      </c>
      <c r="W168" s="419">
        <f t="shared" si="405"/>
        <v>5.8874987633126974</v>
      </c>
      <c r="X168" s="419">
        <f t="shared" si="405"/>
        <v>4.1513999151910133</v>
      </c>
      <c r="Y168" s="419">
        <f t="shared" si="405"/>
        <v>3.7234053142929451</v>
      </c>
      <c r="Z168" s="419">
        <f t="shared" si="405"/>
        <v>3.5373653454855343</v>
      </c>
      <c r="AA168" s="419">
        <f t="shared" si="405"/>
        <v>3.6214215468814155</v>
      </c>
      <c r="AB168" s="419">
        <f t="shared" si="405"/>
        <v>4.6202521499199989</v>
      </c>
      <c r="AC168" s="419">
        <f t="shared" si="405"/>
        <v>4.9843496297872081</v>
      </c>
      <c r="AD168" s="419">
        <f t="shared" si="405"/>
        <v>5.5588289059607456</v>
      </c>
      <c r="AE168" s="419">
        <f t="shared" si="405"/>
        <v>5.6884303890973431</v>
      </c>
      <c r="AF168" s="419">
        <f t="shared" si="405"/>
        <v>6.2118576417696287</v>
      </c>
      <c r="AG168" s="419">
        <f t="shared" si="405"/>
        <v>6.3126906907751383</v>
      </c>
      <c r="AH168" s="419">
        <f t="shared" si="405"/>
        <v>3.3000658137984522</v>
      </c>
      <c r="AI168" s="419">
        <f t="shared" si="405"/>
        <v>2.575673625261917</v>
      </c>
      <c r="AJ168" s="419">
        <f t="shared" si="405"/>
        <v>1.7427013190509315</v>
      </c>
      <c r="AK168" s="419">
        <f t="shared" si="405"/>
        <v>1.4724684840797051</v>
      </c>
      <c r="AL168" s="419">
        <f t="shared" si="405"/>
        <v>4.2648563718246066</v>
      </c>
      <c r="AM168" s="419">
        <f t="shared" si="405"/>
        <v>4.5777489158382023</v>
      </c>
      <c r="AN168" s="419">
        <f t="shared" si="405"/>
        <v>5.2517148644396787</v>
      </c>
      <c r="AO168" s="419">
        <f t="shared" si="405"/>
        <v>5.9804813580383422</v>
      </c>
      <c r="AP168" s="419">
        <f t="shared" si="405"/>
        <v>6.4474725991002169</v>
      </c>
      <c r="AQ168" s="419">
        <f t="shared" si="405"/>
        <v>7.7852440137400043</v>
      </c>
      <c r="AR168" s="419">
        <f t="shared" si="405"/>
        <v>8.1182007867875097</v>
      </c>
      <c r="AS168" s="419">
        <f t="shared" si="405"/>
        <v>8.3851134718110121</v>
      </c>
      <c r="AT168" s="419">
        <f t="shared" si="405"/>
        <v>8.4215791301055294</v>
      </c>
      <c r="AU168" s="419">
        <f t="shared" si="405"/>
        <v>8.5539468732847013</v>
      </c>
      <c r="AV168" s="419">
        <f t="shared" si="405"/>
        <v>9.7241167506790038</v>
      </c>
      <c r="AW168" s="419">
        <f t="shared" si="405"/>
        <v>9.5277151541542064</v>
      </c>
      <c r="AX168" s="419">
        <f t="shared" si="405"/>
        <v>9.9413156195525687</v>
      </c>
      <c r="AY168" s="419">
        <f t="shared" si="405"/>
        <v>10.168590249587538</v>
      </c>
      <c r="AZ168" s="419">
        <f t="shared" si="405"/>
        <v>10.052499059877304</v>
      </c>
      <c r="BA168" s="419">
        <f t="shared" si="405"/>
        <v>10.118695255821713</v>
      </c>
      <c r="BB168" s="419">
        <f t="shared" ref="BB168:BE168" si="406">+(BB91-BB98)/BB96</f>
        <v>10.555332712167102</v>
      </c>
      <c r="BC168" s="419">
        <f t="shared" si="406"/>
        <v>7.4807790479021454</v>
      </c>
      <c r="BD168" s="419">
        <f t="shared" si="406"/>
        <v>11.308943450839534</v>
      </c>
      <c r="BE168" s="419">
        <f t="shared" si="406"/>
        <v>7.5620291710349363</v>
      </c>
      <c r="BF168" s="146"/>
      <c r="BG168" s="383"/>
      <c r="BH168" s="383"/>
      <c r="BI168" s="383"/>
    </row>
    <row r="169" spans="2:61" ht="13.5" customHeight="1">
      <c r="B169" s="1" t="s">
        <v>372</v>
      </c>
      <c r="C169" s="27">
        <f t="shared" ref="C169:O169" si="407">+C91/C96</f>
        <v>11.181085157912726</v>
      </c>
      <c r="D169" s="27">
        <f t="shared" si="407"/>
        <v>15.277363691374523</v>
      </c>
      <c r="E169" s="27">
        <f t="shared" si="407"/>
        <v>15.732486473770875</v>
      </c>
      <c r="F169" s="27">
        <f t="shared" si="407"/>
        <v>6.9353168961120151</v>
      </c>
      <c r="G169" s="27">
        <f t="shared" si="407"/>
        <v>7.3731582719317634</v>
      </c>
      <c r="H169" s="27">
        <f t="shared" si="407"/>
        <v>9.3661091321046683</v>
      </c>
      <c r="I169" s="27">
        <f t="shared" si="407"/>
        <v>3.0413755141461971</v>
      </c>
      <c r="J169" s="27">
        <f t="shared" si="407"/>
        <v>6.6512843296289823</v>
      </c>
      <c r="K169" s="27">
        <f t="shared" si="407"/>
        <v>10.636003327383326</v>
      </c>
      <c r="L169" s="27">
        <f t="shared" si="407"/>
        <v>12.438054624553496</v>
      </c>
      <c r="M169" s="27">
        <f t="shared" si="407"/>
        <v>13.606434931554</v>
      </c>
      <c r="N169" s="27">
        <f t="shared" ref="N169" si="408">+N91/N96</f>
        <v>15.013849706881077</v>
      </c>
      <c r="O169" s="27">
        <f t="shared" si="407"/>
        <v>9.3459819772757076</v>
      </c>
      <c r="P169" s="27"/>
      <c r="Q169" s="27"/>
      <c r="R169" s="27"/>
      <c r="S169" s="27"/>
      <c r="T169" s="27">
        <f t="shared" ref="T169:BA169" si="409">+T91/T96</f>
        <v>15.732486473770875</v>
      </c>
      <c r="U169" s="27">
        <f t="shared" si="409"/>
        <v>15.551758395736664</v>
      </c>
      <c r="V169" s="27">
        <f t="shared" si="409"/>
        <v>9.979460444691286</v>
      </c>
      <c r="W169" s="27">
        <f t="shared" si="409"/>
        <v>9.4320490761738593</v>
      </c>
      <c r="X169" s="27">
        <f t="shared" si="409"/>
        <v>6.9353168961120151</v>
      </c>
      <c r="Y169" s="27">
        <f t="shared" si="409"/>
        <v>6.3481244280189824</v>
      </c>
      <c r="Z169" s="27">
        <f t="shared" si="409"/>
        <v>6.3858464532515571</v>
      </c>
      <c r="AA169" s="27">
        <f t="shared" si="409"/>
        <v>6.6887225912897019</v>
      </c>
      <c r="AB169" s="27">
        <f t="shared" si="409"/>
        <v>7.3731582719317625</v>
      </c>
      <c r="AC169" s="27">
        <f t="shared" si="409"/>
        <v>7.9161514586269552</v>
      </c>
      <c r="AD169" s="27">
        <f t="shared" si="409"/>
        <v>8.3455687708256097</v>
      </c>
      <c r="AE169" s="27">
        <f t="shared" si="409"/>
        <v>8.4730259329412423</v>
      </c>
      <c r="AF169" s="27">
        <f t="shared" si="409"/>
        <v>9.366109132104663</v>
      </c>
      <c r="AG169" s="27">
        <f t="shared" si="409"/>
        <v>9.1750183953620272</v>
      </c>
      <c r="AH169" s="27">
        <f t="shared" si="409"/>
        <v>5.675671874350698</v>
      </c>
      <c r="AI169" s="27">
        <f t="shared" si="409"/>
        <v>4.4730358387157629</v>
      </c>
      <c r="AJ169" s="27">
        <f t="shared" si="409"/>
        <v>3.0413755141461962</v>
      </c>
      <c r="AK169" s="27">
        <f t="shared" si="409"/>
        <v>2.7707845519785836</v>
      </c>
      <c r="AL169" s="27">
        <f t="shared" si="409"/>
        <v>5.6056492827190887</v>
      </c>
      <c r="AM169" s="27">
        <f t="shared" si="409"/>
        <v>5.6834405575276667</v>
      </c>
      <c r="AN169" s="27">
        <f t="shared" si="409"/>
        <v>6.6512843296289805</v>
      </c>
      <c r="AO169" s="27">
        <f t="shared" si="409"/>
        <v>7.3598266204313765</v>
      </c>
      <c r="AP169" s="27">
        <f t="shared" si="409"/>
        <v>8.0132093945942131</v>
      </c>
      <c r="AQ169" s="27">
        <f t="shared" si="409"/>
        <v>10.007333181336113</v>
      </c>
      <c r="AR169" s="27">
        <f t="shared" si="409"/>
        <v>10.636003327383319</v>
      </c>
      <c r="AS169" s="27">
        <f t="shared" si="409"/>
        <v>10.978059822528905</v>
      </c>
      <c r="AT169" s="27">
        <f t="shared" si="409"/>
        <v>11.255074761136285</v>
      </c>
      <c r="AU169" s="27">
        <f t="shared" si="409"/>
        <v>11.551691173558016</v>
      </c>
      <c r="AV169" s="27">
        <f t="shared" si="409"/>
        <v>12.438054624553493</v>
      </c>
      <c r="AW169" s="27">
        <f t="shared" si="409"/>
        <v>12.769470822634872</v>
      </c>
      <c r="AX169" s="27">
        <f t="shared" si="409"/>
        <v>13.03550920176658</v>
      </c>
      <c r="AY169" s="27">
        <f t="shared" si="409"/>
        <v>13.284347026702768</v>
      </c>
      <c r="AZ169" s="27">
        <f t="shared" si="409"/>
        <v>13.606434931553999</v>
      </c>
      <c r="BA169" s="27">
        <f t="shared" si="409"/>
        <v>13.456957687156452</v>
      </c>
      <c r="BB169" s="27">
        <f t="shared" ref="BB169:BE169" si="410">+BB91/BB96</f>
        <v>14.157814271294363</v>
      </c>
      <c r="BC169" s="27">
        <f t="shared" si="410"/>
        <v>9.9347257157900213</v>
      </c>
      <c r="BD169" s="27">
        <f t="shared" si="410"/>
        <v>15.013849706881089</v>
      </c>
      <c r="BE169" s="27">
        <f t="shared" si="410"/>
        <v>9.6914734521062318</v>
      </c>
      <c r="BF169" s="146"/>
      <c r="BG169" s="384"/>
      <c r="BH169" s="384"/>
      <c r="BI169" s="384"/>
    </row>
    <row r="170" spans="2:61" ht="13.5" customHeight="1">
      <c r="C170" s="9"/>
      <c r="D170" s="9"/>
      <c r="E170" s="9"/>
      <c r="F170" s="9"/>
      <c r="G170" s="9"/>
      <c r="H170" s="9"/>
      <c r="I170" s="9"/>
      <c r="J170" s="9"/>
      <c r="K170" s="9"/>
      <c r="L170" s="9"/>
      <c r="M170" s="9"/>
      <c r="N170" s="9"/>
      <c r="O170" s="9"/>
      <c r="P170" s="9"/>
      <c r="Q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146"/>
      <c r="BG170" s="385"/>
      <c r="BH170" s="385"/>
      <c r="BI170" s="385"/>
    </row>
    <row r="171" spans="2:61" s="5" customFormat="1" ht="13.5" customHeight="1">
      <c r="B171" s="16" t="s">
        <v>373</v>
      </c>
      <c r="C171" s="133">
        <f t="shared" ref="C171:G171" si="411">C146/C156</f>
        <v>0.11892225343457861</v>
      </c>
      <c r="D171" s="133">
        <f t="shared" si="411"/>
        <v>7.779974081651099E-2</v>
      </c>
      <c r="E171" s="133">
        <f t="shared" si="411"/>
        <v>6.1444217891728152E-2</v>
      </c>
      <c r="F171" s="133">
        <f t="shared" si="411"/>
        <v>0.21738350665413722</v>
      </c>
      <c r="G171" s="133">
        <f t="shared" si="411"/>
        <v>0.16796088324640712</v>
      </c>
      <c r="H171" s="133">
        <f t="shared" ref="H171:L171" si="412">H146/H156</f>
        <v>0.25937973005084669</v>
      </c>
      <c r="I171" s="133">
        <f t="shared" si="412"/>
        <v>0.22277170283806347</v>
      </c>
      <c r="J171" s="133">
        <f t="shared" si="412"/>
        <v>0.11085641956000417</v>
      </c>
      <c r="K171" s="133">
        <f t="shared" si="412"/>
        <v>0.13690510937354528</v>
      </c>
      <c r="L171" s="133">
        <f t="shared" si="412"/>
        <v>7.654770515189932E-2</v>
      </c>
      <c r="M171" s="133">
        <f t="shared" ref="M171:N171" si="413">M146/M156</f>
        <v>8.0388667079302312E-2</v>
      </c>
      <c r="N171" s="133">
        <f t="shared" si="413"/>
        <v>0.13071642738692621</v>
      </c>
      <c r="O171" s="133">
        <f t="shared" ref="O171" si="414">O146/O156</f>
        <v>0.19122423342356354</v>
      </c>
      <c r="P171" s="326"/>
      <c r="Q171" s="133">
        <f t="shared" ref="Q171:AC171" si="415">Q146/Q156</f>
        <v>0.12256038223824683</v>
      </c>
      <c r="R171" s="134">
        <f t="shared" si="415"/>
        <v>0.12078051690566602</v>
      </c>
      <c r="S171" s="134">
        <f t="shared" si="415"/>
        <v>0.32772736644158335</v>
      </c>
      <c r="T171" s="133">
        <f t="shared" si="415"/>
        <v>6.1444217891728152E-2</v>
      </c>
      <c r="U171" s="133">
        <f t="shared" si="415"/>
        <v>0.11017429313370539</v>
      </c>
      <c r="V171" s="133">
        <f t="shared" si="415"/>
        <v>0.29463772232862923</v>
      </c>
      <c r="W171" s="133">
        <f t="shared" si="415"/>
        <v>0.30940918919655441</v>
      </c>
      <c r="X171" s="135">
        <f t="shared" si="415"/>
        <v>0.21738350665413722</v>
      </c>
      <c r="Y171" s="133">
        <f t="shared" si="415"/>
        <v>0.25712716996216584</v>
      </c>
      <c r="Z171" s="133">
        <f t="shared" si="415"/>
        <v>0.24339323182843456</v>
      </c>
      <c r="AA171" s="133">
        <f t="shared" si="415"/>
        <v>0.25246692123511982</v>
      </c>
      <c r="AB171" s="133">
        <f t="shared" si="415"/>
        <v>0.16796088324640712</v>
      </c>
      <c r="AC171" s="133">
        <f t="shared" si="415"/>
        <v>0.32230966567827346</v>
      </c>
      <c r="AD171" s="133">
        <f t="shared" ref="AD171:AI171" si="416">AD146/AD156</f>
        <v>0.30066487696049715</v>
      </c>
      <c r="AE171" s="133">
        <f t="shared" si="416"/>
        <v>0.35439807199965673</v>
      </c>
      <c r="AF171" s="133">
        <f t="shared" si="416"/>
        <v>0.25937973005084669</v>
      </c>
      <c r="AG171" s="133">
        <f t="shared" si="416"/>
        <v>0.34466795350087481</v>
      </c>
      <c r="AH171" s="133">
        <f t="shared" si="416"/>
        <v>0.44072369717895032</v>
      </c>
      <c r="AI171" s="133">
        <f t="shared" si="416"/>
        <v>0.34307581098577855</v>
      </c>
      <c r="AJ171" s="133">
        <f t="shared" ref="AJ171:AO171" si="417">AJ146/AJ156</f>
        <v>0.22277170283806347</v>
      </c>
      <c r="AK171" s="133">
        <f t="shared" si="417"/>
        <v>0.30634863575636057</v>
      </c>
      <c r="AL171" s="133">
        <f t="shared" si="417"/>
        <v>0.22884778586356685</v>
      </c>
      <c r="AM171" s="133">
        <f t="shared" si="417"/>
        <v>0.22997215871244922</v>
      </c>
      <c r="AN171" s="133">
        <f t="shared" si="417"/>
        <v>0.11085641956000417</v>
      </c>
      <c r="AO171" s="133">
        <f t="shared" si="417"/>
        <v>0.18306768108734367</v>
      </c>
      <c r="AP171" s="133">
        <f t="shared" ref="AP171:AS171" si="418">AP146/AP156</f>
        <v>0.16343163862071824</v>
      </c>
      <c r="AQ171" s="133">
        <f t="shared" si="418"/>
        <v>0.23103241017785536</v>
      </c>
      <c r="AR171" s="133">
        <f t="shared" si="418"/>
        <v>0.13690510937354528</v>
      </c>
      <c r="AS171" s="133">
        <f t="shared" si="418"/>
        <v>0.1759920407793516</v>
      </c>
      <c r="AT171" s="133">
        <f t="shared" ref="AT171:AW171" si="419">AT146/AT156</f>
        <v>0.18540103420141474</v>
      </c>
      <c r="AU171" s="133">
        <f t="shared" si="419"/>
        <v>0.19056188759787407</v>
      </c>
      <c r="AV171" s="133">
        <f t="shared" si="419"/>
        <v>7.654770515189932E-2</v>
      </c>
      <c r="AW171" s="133">
        <f t="shared" si="419"/>
        <v>0.12135141961407379</v>
      </c>
      <c r="AX171" s="133">
        <f t="shared" ref="AX171:BA171" si="420">AX146/AX156</f>
        <v>0.13181033477214879</v>
      </c>
      <c r="AY171" s="133">
        <f t="shared" si="420"/>
        <v>0.1590674383289849</v>
      </c>
      <c r="AZ171" s="133">
        <f t="shared" si="420"/>
        <v>8.0388667079302312E-2</v>
      </c>
      <c r="BA171" s="133">
        <f t="shared" si="420"/>
        <v>0.13783942208446509</v>
      </c>
      <c r="BB171" s="133">
        <f t="shared" ref="BB171:BE171" si="421">BB146/BB156</f>
        <v>0.29825077243400172</v>
      </c>
      <c r="BC171" s="133">
        <f t="shared" si="421"/>
        <v>0.28465302523596542</v>
      </c>
      <c r="BD171" s="133">
        <f t="shared" si="421"/>
        <v>0.13071642738692621</v>
      </c>
      <c r="BE171" s="133">
        <f t="shared" si="421"/>
        <v>0.19122423342356354</v>
      </c>
      <c r="BF171" s="146"/>
      <c r="BG171" s="164"/>
      <c r="BH171" s="164"/>
      <c r="BI171" s="164"/>
    </row>
    <row r="172" spans="2:61" s="5" customFormat="1" ht="13.5" customHeight="1">
      <c r="C172" s="29"/>
      <c r="D172" s="29"/>
      <c r="E172" s="29"/>
      <c r="F172" s="29"/>
      <c r="G172" s="29"/>
      <c r="H172" s="29"/>
      <c r="I172" s="29"/>
      <c r="J172" s="29"/>
      <c r="K172" s="29"/>
      <c r="L172" s="29"/>
      <c r="M172" s="29"/>
      <c r="N172" s="29"/>
      <c r="O172" s="29"/>
      <c r="P172" s="29"/>
      <c r="Q172" s="29"/>
      <c r="U172" s="29"/>
      <c r="V172" s="29"/>
      <c r="X172" s="29"/>
      <c r="Z172" s="29"/>
      <c r="BF172" s="146"/>
      <c r="BG172" s="386"/>
      <c r="BH172" s="387"/>
      <c r="BI172" s="387"/>
    </row>
    <row r="173" spans="2:61" s="5" customFormat="1" ht="13.5" customHeight="1">
      <c r="C173" s="29"/>
      <c r="D173" s="29"/>
      <c r="E173" s="29"/>
      <c r="F173" s="29"/>
      <c r="G173" s="29"/>
      <c r="H173" s="29"/>
      <c r="I173" s="29"/>
      <c r="J173" s="29"/>
      <c r="K173" s="29"/>
      <c r="L173" s="29"/>
      <c r="M173" s="29"/>
      <c r="N173" s="29"/>
      <c r="O173" s="29"/>
      <c r="P173" s="29"/>
      <c r="Q173" s="29"/>
      <c r="U173" s="29"/>
      <c r="V173" s="29"/>
      <c r="X173" s="29"/>
      <c r="Z173" s="29"/>
      <c r="BF173" s="146"/>
      <c r="BG173" s="386"/>
      <c r="BH173" s="387"/>
      <c r="BI173" s="387"/>
    </row>
    <row r="174" spans="2:61" ht="13.5" customHeight="1">
      <c r="B174" s="14" t="s">
        <v>374</v>
      </c>
      <c r="C174" s="85">
        <f t="shared" ref="C174:AC174" si="422">C267</f>
        <v>41975</v>
      </c>
      <c r="D174" s="85">
        <f t="shared" si="422"/>
        <v>42341</v>
      </c>
      <c r="E174" s="85">
        <f t="shared" si="422"/>
        <v>42708</v>
      </c>
      <c r="F174" s="85">
        <f t="shared" si="422"/>
        <v>43100</v>
      </c>
      <c r="G174" s="85">
        <f t="shared" si="422"/>
        <v>43465</v>
      </c>
      <c r="H174" s="85">
        <f t="shared" ref="H174:M174" si="423">H267</f>
        <v>43830</v>
      </c>
      <c r="I174" s="85">
        <f t="shared" si="423"/>
        <v>44196</v>
      </c>
      <c r="J174" s="85">
        <f t="shared" si="423"/>
        <v>44561</v>
      </c>
      <c r="K174" s="85">
        <f t="shared" si="423"/>
        <v>44926</v>
      </c>
      <c r="L174" s="85">
        <f t="shared" si="423"/>
        <v>45291</v>
      </c>
      <c r="M174" s="85">
        <f t="shared" si="423"/>
        <v>45657</v>
      </c>
      <c r="N174" s="85">
        <f t="shared" ref="N174" si="424">N267</f>
        <v>46022</v>
      </c>
      <c r="O174" s="85" t="str">
        <f t="shared" ref="O174" si="425">O267</f>
        <v>LTM</v>
      </c>
      <c r="P174" s="327"/>
      <c r="Q174" s="85">
        <f t="shared" si="422"/>
        <v>42437</v>
      </c>
      <c r="R174" s="85">
        <f t="shared" si="422"/>
        <v>42527</v>
      </c>
      <c r="S174" s="85">
        <f t="shared" si="422"/>
        <v>42622</v>
      </c>
      <c r="T174" s="85">
        <f t="shared" si="422"/>
        <v>42714</v>
      </c>
      <c r="U174" s="85">
        <f t="shared" si="422"/>
        <v>42801</v>
      </c>
      <c r="V174" s="85">
        <f t="shared" si="422"/>
        <v>42892</v>
      </c>
      <c r="W174" s="85">
        <f t="shared" si="422"/>
        <v>42987</v>
      </c>
      <c r="X174" s="85">
        <f t="shared" si="422"/>
        <v>43100</v>
      </c>
      <c r="Y174" s="85">
        <f t="shared" si="422"/>
        <v>43190</v>
      </c>
      <c r="Z174" s="85">
        <f t="shared" si="422"/>
        <v>43281</v>
      </c>
      <c r="AA174" s="85">
        <f t="shared" si="422"/>
        <v>43373</v>
      </c>
      <c r="AB174" s="85">
        <f t="shared" si="422"/>
        <v>43465</v>
      </c>
      <c r="AC174" s="85">
        <f t="shared" si="422"/>
        <v>43555</v>
      </c>
      <c r="AD174" s="85">
        <f t="shared" ref="AD174:AI174" si="426">AD267</f>
        <v>43646</v>
      </c>
      <c r="AE174" s="85">
        <f t="shared" si="426"/>
        <v>43738</v>
      </c>
      <c r="AF174" s="85">
        <f t="shared" si="426"/>
        <v>43830</v>
      </c>
      <c r="AG174" s="85">
        <f t="shared" si="426"/>
        <v>43921</v>
      </c>
      <c r="AH174" s="85">
        <f t="shared" si="426"/>
        <v>44012</v>
      </c>
      <c r="AI174" s="85">
        <f t="shared" si="426"/>
        <v>44104</v>
      </c>
      <c r="AJ174" s="85">
        <f t="shared" ref="AJ174:AO174" si="427">AJ267</f>
        <v>44196</v>
      </c>
      <c r="AK174" s="85">
        <f t="shared" si="427"/>
        <v>44286</v>
      </c>
      <c r="AL174" s="85">
        <f t="shared" si="427"/>
        <v>44377</v>
      </c>
      <c r="AM174" s="85">
        <f t="shared" si="427"/>
        <v>44469</v>
      </c>
      <c r="AN174" s="85">
        <f t="shared" si="427"/>
        <v>44561</v>
      </c>
      <c r="AO174" s="85">
        <f t="shared" si="427"/>
        <v>44651</v>
      </c>
      <c r="AP174" s="85">
        <f t="shared" ref="AP174" si="428">AP267</f>
        <v>44742</v>
      </c>
      <c r="AQ174" s="85">
        <f t="shared" ref="AQ174:AT174" si="429">AQ267</f>
        <v>44834</v>
      </c>
      <c r="AR174" s="85">
        <f t="shared" si="429"/>
        <v>44926</v>
      </c>
      <c r="AS174" s="85">
        <f t="shared" si="429"/>
        <v>45016</v>
      </c>
      <c r="AT174" s="85">
        <f t="shared" si="429"/>
        <v>45107</v>
      </c>
      <c r="AU174" s="85">
        <f t="shared" ref="AU174:AY174" si="430">AU267</f>
        <v>45199</v>
      </c>
      <c r="AV174" s="85">
        <f t="shared" si="430"/>
        <v>45291</v>
      </c>
      <c r="AW174" s="85">
        <f t="shared" si="430"/>
        <v>45382</v>
      </c>
      <c r="AX174" s="85">
        <f t="shared" si="430"/>
        <v>45473</v>
      </c>
      <c r="AY174" s="85">
        <f t="shared" si="430"/>
        <v>45536</v>
      </c>
      <c r="AZ174" s="85">
        <f t="shared" ref="AZ174:BC174" si="431">AZ267</f>
        <v>45657</v>
      </c>
      <c r="BA174" s="85">
        <f t="shared" si="431"/>
        <v>45747</v>
      </c>
      <c r="BB174" s="85">
        <f t="shared" si="431"/>
        <v>45838</v>
      </c>
      <c r="BC174" s="85">
        <f t="shared" si="431"/>
        <v>45901</v>
      </c>
      <c r="BD174" s="85">
        <f t="shared" ref="BD174:BE174" si="432">BD267</f>
        <v>46022</v>
      </c>
      <c r="BE174" s="85">
        <f t="shared" si="432"/>
        <v>46112</v>
      </c>
      <c r="BF174" s="146"/>
      <c r="BG174" s="388"/>
      <c r="BH174" s="388"/>
      <c r="BI174" s="388"/>
    </row>
    <row r="175" spans="2:61" ht="13.5" customHeight="1">
      <c r="B175" s="1" t="str">
        <f t="shared" ref="B175:O175" si="433">B89</f>
        <v>Revenues</v>
      </c>
      <c r="C175" s="22">
        <f t="shared" si="433"/>
        <v>81213.589000000007</v>
      </c>
      <c r="D175" s="22">
        <f t="shared" si="433"/>
        <v>91292.888999999996</v>
      </c>
      <c r="E175" s="22">
        <f t="shared" si="433"/>
        <v>100441.53599999999</v>
      </c>
      <c r="F175" s="22">
        <f t="shared" si="433"/>
        <v>122168.27899999999</v>
      </c>
      <c r="G175" s="22">
        <f t="shared" si="433"/>
        <v>135534.75099999999</v>
      </c>
      <c r="H175" s="22">
        <f t="shared" si="433"/>
        <v>144233.50700000001</v>
      </c>
      <c r="I175" s="22">
        <f t="shared" si="433"/>
        <v>115472.5</v>
      </c>
      <c r="J175" s="22">
        <f t="shared" si="433"/>
        <v>151021.70000000001</v>
      </c>
      <c r="K175" s="22">
        <f t="shared" si="433"/>
        <v>176033.72</v>
      </c>
      <c r="L175" s="22">
        <f t="shared" si="433"/>
        <v>195991.62299999999</v>
      </c>
      <c r="M175" s="22">
        <f t="shared" si="433"/>
        <v>214847.87100000001</v>
      </c>
      <c r="N175" s="22">
        <f t="shared" ref="N175" si="434">N89</f>
        <v>229136.595</v>
      </c>
      <c r="O175" s="22">
        <f t="shared" si="433"/>
        <v>172602.88100000002</v>
      </c>
      <c r="P175" s="22"/>
      <c r="Q175" s="22"/>
      <c r="R175" s="22"/>
      <c r="S175" s="22"/>
      <c r="T175" s="22">
        <f t="shared" ref="T175:BA175" si="435">T89</f>
        <v>100441.53599999999</v>
      </c>
      <c r="U175" s="22">
        <f t="shared" si="435"/>
        <v>102008.976</v>
      </c>
      <c r="V175" s="22">
        <f t="shared" si="435"/>
        <v>107627.36899999999</v>
      </c>
      <c r="W175" s="22">
        <f t="shared" si="435"/>
        <v>112927.71999999997</v>
      </c>
      <c r="X175" s="22">
        <f t="shared" si="435"/>
        <v>122168.27899999999</v>
      </c>
      <c r="Y175" s="22">
        <f t="shared" si="435"/>
        <v>126779.04300000001</v>
      </c>
      <c r="Z175" s="22">
        <f t="shared" si="435"/>
        <v>129509.527</v>
      </c>
      <c r="AA175" s="22">
        <f t="shared" si="435"/>
        <v>131686.399</v>
      </c>
      <c r="AB175" s="22">
        <f t="shared" si="435"/>
        <v>135534.75099999999</v>
      </c>
      <c r="AC175" s="22">
        <f t="shared" si="435"/>
        <v>137741.62199999997</v>
      </c>
      <c r="AD175" s="22">
        <f t="shared" si="435"/>
        <v>140771.65</v>
      </c>
      <c r="AE175" s="22">
        <f t="shared" si="435"/>
        <v>141673.08199999999</v>
      </c>
      <c r="AF175" s="22">
        <f t="shared" si="435"/>
        <v>144233.50699999998</v>
      </c>
      <c r="AG175" s="22">
        <f t="shared" si="435"/>
        <v>143489.31300000002</v>
      </c>
      <c r="AH175" s="22">
        <f t="shared" si="435"/>
        <v>122572.11500000001</v>
      </c>
      <c r="AI175" s="22">
        <f t="shared" si="435"/>
        <v>119339.53600000001</v>
      </c>
      <c r="AJ175" s="22">
        <f t="shared" si="435"/>
        <v>115472.5</v>
      </c>
      <c r="AK175" s="22">
        <f t="shared" si="435"/>
        <v>114333.686</v>
      </c>
      <c r="AL175" s="22">
        <f t="shared" si="435"/>
        <v>137125.31299999999</v>
      </c>
      <c r="AM175" s="22">
        <f t="shared" si="435"/>
        <v>142041.052</v>
      </c>
      <c r="AN175" s="22">
        <f t="shared" si="435"/>
        <v>151021.70000000001</v>
      </c>
      <c r="AO175" s="22">
        <f t="shared" si="435"/>
        <v>157682.133</v>
      </c>
      <c r="AP175" s="22">
        <f t="shared" si="435"/>
        <v>162704.489</v>
      </c>
      <c r="AQ175" s="22">
        <f t="shared" si="435"/>
        <v>168929.524</v>
      </c>
      <c r="AR175" s="22">
        <f t="shared" si="435"/>
        <v>176033.71999999997</v>
      </c>
      <c r="AS175" s="22">
        <f t="shared" si="435"/>
        <v>181356.53999999998</v>
      </c>
      <c r="AT175" s="22">
        <f t="shared" si="435"/>
        <v>186383.47</v>
      </c>
      <c r="AU175" s="22">
        <f t="shared" si="435"/>
        <v>190031.25699999998</v>
      </c>
      <c r="AV175" s="22">
        <f t="shared" si="435"/>
        <v>195991.62299999999</v>
      </c>
      <c r="AW175" s="22">
        <f t="shared" si="435"/>
        <v>199642.45599999998</v>
      </c>
      <c r="AX175" s="22">
        <f t="shared" si="435"/>
        <v>204292.79099999997</v>
      </c>
      <c r="AY175" s="22">
        <f t="shared" si="435"/>
        <v>208646.35499999998</v>
      </c>
      <c r="AZ175" s="22">
        <f t="shared" si="435"/>
        <v>214847.87100000001</v>
      </c>
      <c r="BA175" s="22">
        <f t="shared" si="435"/>
        <v>219154.92700000003</v>
      </c>
      <c r="BB175" s="22">
        <f t="shared" ref="BB175:BE175" si="436">BB89</f>
        <v>223341.42500000005</v>
      </c>
      <c r="BC175" s="22">
        <f t="shared" si="436"/>
        <v>225348.01100000006</v>
      </c>
      <c r="BD175" s="22">
        <f t="shared" si="436"/>
        <v>229136.595</v>
      </c>
      <c r="BE175" s="22">
        <f t="shared" si="436"/>
        <v>229026.84400000004</v>
      </c>
      <c r="BF175" s="146"/>
      <c r="BG175" s="389"/>
      <c r="BH175" s="389"/>
      <c r="BI175" s="389"/>
    </row>
    <row r="176" spans="2:61" ht="13.5" customHeight="1">
      <c r="B176" s="1" t="str">
        <f t="shared" ref="B176:O176" si="437">B92</f>
        <v>Adjusted EBITDA</v>
      </c>
      <c r="C176" s="22">
        <f t="shared" si="437"/>
        <v>13023.603999999999</v>
      </c>
      <c r="D176" s="22">
        <f t="shared" si="437"/>
        <v>14870.388999999999</v>
      </c>
      <c r="E176" s="22">
        <f t="shared" si="437"/>
        <v>16050.911</v>
      </c>
      <c r="F176" s="22">
        <f t="shared" si="437"/>
        <v>18350.474999999999</v>
      </c>
      <c r="G176" s="22">
        <f t="shared" si="437"/>
        <v>20236.642</v>
      </c>
      <c r="H176" s="22">
        <f t="shared" si="437"/>
        <v>23876.6</v>
      </c>
      <c r="I176" s="22">
        <f t="shared" si="437"/>
        <v>9006.2999999999993</v>
      </c>
      <c r="J176" s="22">
        <f t="shared" si="437"/>
        <v>23908.7</v>
      </c>
      <c r="K176" s="22">
        <f t="shared" si="437"/>
        <v>30687</v>
      </c>
      <c r="L176" s="22">
        <f t="shared" si="437"/>
        <v>34991.699999999997</v>
      </c>
      <c r="M176" s="22">
        <f t="shared" si="437"/>
        <v>37558</v>
      </c>
      <c r="N176" s="22">
        <f t="shared" ref="N176" si="438">N92</f>
        <v>37558</v>
      </c>
      <c r="O176" s="22">
        <f t="shared" si="437"/>
        <v>28592</v>
      </c>
      <c r="P176" s="22"/>
      <c r="Q176" s="22"/>
      <c r="R176" s="22"/>
      <c r="S176" s="22"/>
      <c r="T176" s="22">
        <f t="shared" ref="T176:BA176" si="439">T92</f>
        <v>16050.911</v>
      </c>
      <c r="U176" s="22">
        <f t="shared" si="439"/>
        <v>16248.725</v>
      </c>
      <c r="V176" s="22">
        <f t="shared" si="439"/>
        <v>16905.708000000002</v>
      </c>
      <c r="W176" s="22">
        <f t="shared" si="439"/>
        <v>17065.113000000001</v>
      </c>
      <c r="X176" s="22">
        <f t="shared" si="439"/>
        <v>18350.474999999999</v>
      </c>
      <c r="Y176" s="22">
        <f t="shared" si="439"/>
        <v>18111.378999999997</v>
      </c>
      <c r="Z176" s="22">
        <f t="shared" si="439"/>
        <v>18519.673999999999</v>
      </c>
      <c r="AA176" s="22">
        <f t="shared" si="439"/>
        <v>19329.547999999999</v>
      </c>
      <c r="AB176" s="22">
        <f t="shared" si="439"/>
        <v>20236.642</v>
      </c>
      <c r="AC176" s="22">
        <f t="shared" si="439"/>
        <v>20837.441999999999</v>
      </c>
      <c r="AD176" s="22">
        <f t="shared" si="439"/>
        <v>21639.680999999997</v>
      </c>
      <c r="AE176" s="22">
        <f t="shared" si="439"/>
        <v>22160.595999999998</v>
      </c>
      <c r="AF176" s="22">
        <f t="shared" si="439"/>
        <v>23876.6</v>
      </c>
      <c r="AG176" s="22">
        <f t="shared" si="439"/>
        <v>23491.9</v>
      </c>
      <c r="AH176" s="22">
        <f t="shared" si="439"/>
        <v>15979.899999999998</v>
      </c>
      <c r="AI176" s="22">
        <f t="shared" si="439"/>
        <v>12729.899999999998</v>
      </c>
      <c r="AJ176" s="22">
        <f t="shared" si="439"/>
        <v>9006.2999999999993</v>
      </c>
      <c r="AK176" s="22">
        <f t="shared" si="439"/>
        <v>8717.7999999999993</v>
      </c>
      <c r="AL176" s="22">
        <f t="shared" si="439"/>
        <v>16622.3</v>
      </c>
      <c r="AM176" s="22">
        <f t="shared" si="439"/>
        <v>20860.3</v>
      </c>
      <c r="AN176" s="22">
        <f t="shared" si="439"/>
        <v>23908.7</v>
      </c>
      <c r="AO176" s="22">
        <f t="shared" si="439"/>
        <v>26557.9</v>
      </c>
      <c r="AP176" s="22">
        <f t="shared" si="439"/>
        <v>28275.600000000002</v>
      </c>
      <c r="AQ176" s="22">
        <f t="shared" si="439"/>
        <v>29232.600000000002</v>
      </c>
      <c r="AR176" s="22">
        <f t="shared" si="439"/>
        <v>30687</v>
      </c>
      <c r="AS176" s="22">
        <f t="shared" si="439"/>
        <v>30947</v>
      </c>
      <c r="AT176" s="22">
        <f t="shared" si="439"/>
        <v>31866.299999999996</v>
      </c>
      <c r="AU176" s="22">
        <f t="shared" si="439"/>
        <v>32663.3</v>
      </c>
      <c r="AV176" s="22">
        <f t="shared" si="439"/>
        <v>34991.699999999997</v>
      </c>
      <c r="AW176" s="22">
        <f t="shared" si="439"/>
        <v>35717.599999999999</v>
      </c>
      <c r="AX176" s="22">
        <f t="shared" si="439"/>
        <v>36297.599999999999</v>
      </c>
      <c r="AY176" s="22">
        <f t="shared" si="439"/>
        <v>36804.6</v>
      </c>
      <c r="AZ176" s="22">
        <f t="shared" si="439"/>
        <v>37558</v>
      </c>
      <c r="BA176" s="22">
        <f t="shared" si="439"/>
        <v>37127</v>
      </c>
      <c r="BB176" s="22">
        <f t="shared" ref="BB176:BE176" si="440">BB92</f>
        <v>36469</v>
      </c>
      <c r="BC176" s="22">
        <f t="shared" si="440"/>
        <v>35362</v>
      </c>
      <c r="BD176" s="22">
        <f t="shared" si="440"/>
        <v>37558</v>
      </c>
      <c r="BE176" s="22">
        <f t="shared" si="440"/>
        <v>37217</v>
      </c>
      <c r="BF176" s="146"/>
      <c r="BG176" s="389"/>
      <c r="BH176" s="389"/>
      <c r="BI176" s="389"/>
    </row>
    <row r="177" spans="2:63" ht="13.5" customHeight="1">
      <c r="B177" s="1" t="str">
        <f t="shared" ref="B177:O177" si="441">B94</f>
        <v>Adjusted EBITDAR</v>
      </c>
      <c r="C177" s="22">
        <f t="shared" si="441"/>
        <v>13802.313999999998</v>
      </c>
      <c r="D177" s="22">
        <f t="shared" si="441"/>
        <v>15810.957999999999</v>
      </c>
      <c r="E177" s="22">
        <f t="shared" si="441"/>
        <v>17223.478999999999</v>
      </c>
      <c r="F177" s="22">
        <f t="shared" si="441"/>
        <v>20401.510999999999</v>
      </c>
      <c r="G177" s="22">
        <f t="shared" si="441"/>
        <v>22372.381999999998</v>
      </c>
      <c r="H177" s="22">
        <f t="shared" si="441"/>
        <v>24247.544999999998</v>
      </c>
      <c r="I177" s="22">
        <f t="shared" si="441"/>
        <v>9103.49</v>
      </c>
      <c r="J177" s="22">
        <f t="shared" si="441"/>
        <v>24088.115000000002</v>
      </c>
      <c r="K177" s="22">
        <f t="shared" si="441"/>
        <v>30913.901999999998</v>
      </c>
      <c r="L177" s="22">
        <f t="shared" si="441"/>
        <v>35156.407999999996</v>
      </c>
      <c r="M177" s="22">
        <f t="shared" si="441"/>
        <v>37558</v>
      </c>
      <c r="N177" s="22">
        <f t="shared" ref="N177" si="442">N94</f>
        <v>37558</v>
      </c>
      <c r="O177" s="22">
        <f t="shared" si="441"/>
        <v>28592</v>
      </c>
      <c r="P177" s="22"/>
      <c r="Q177" s="22"/>
      <c r="R177" s="22"/>
      <c r="S177" s="22"/>
      <c r="T177" s="22">
        <f t="shared" ref="T177:BA177" si="443">T94</f>
        <v>17223.478999999999</v>
      </c>
      <c r="U177" s="22">
        <f t="shared" si="443"/>
        <v>17685.876</v>
      </c>
      <c r="V177" s="22">
        <f t="shared" si="443"/>
        <v>18516.017</v>
      </c>
      <c r="W177" s="22">
        <f t="shared" si="443"/>
        <v>18994.342000000001</v>
      </c>
      <c r="X177" s="22">
        <f t="shared" si="443"/>
        <v>20401.510999999999</v>
      </c>
      <c r="Y177" s="22">
        <f t="shared" si="443"/>
        <v>20267.32</v>
      </c>
      <c r="Z177" s="22">
        <f t="shared" si="443"/>
        <v>20720.081999999999</v>
      </c>
      <c r="AA177" s="22">
        <f t="shared" si="443"/>
        <v>21431.406999999999</v>
      </c>
      <c r="AB177" s="22">
        <f t="shared" si="443"/>
        <v>22372.382000000001</v>
      </c>
      <c r="AC177" s="22">
        <f t="shared" si="443"/>
        <v>22443.217000000001</v>
      </c>
      <c r="AD177" s="22">
        <f t="shared" si="443"/>
        <v>22866.886000000002</v>
      </c>
      <c r="AE177" s="22">
        <f t="shared" si="443"/>
        <v>23041.587</v>
      </c>
      <c r="AF177" s="22">
        <f t="shared" si="443"/>
        <v>24247.544999999998</v>
      </c>
      <c r="AG177" s="22">
        <f t="shared" si="443"/>
        <v>23851.926999999996</v>
      </c>
      <c r="AH177" s="22">
        <f t="shared" si="443"/>
        <v>16280.380999999999</v>
      </c>
      <c r="AI177" s="22">
        <f t="shared" si="443"/>
        <v>12923.125</v>
      </c>
      <c r="AJ177" s="22">
        <f t="shared" si="443"/>
        <v>9103.49</v>
      </c>
      <c r="AK177" s="22">
        <f t="shared" si="443"/>
        <v>8745.9510000000009</v>
      </c>
      <c r="AL177" s="22">
        <f t="shared" si="443"/>
        <v>16553.326000000001</v>
      </c>
      <c r="AM177" s="22">
        <f t="shared" si="443"/>
        <v>20827.427</v>
      </c>
      <c r="AN177" s="22">
        <f t="shared" si="443"/>
        <v>24088.115000000002</v>
      </c>
      <c r="AO177" s="22">
        <f t="shared" si="443"/>
        <v>26750.059000000001</v>
      </c>
      <c r="AP177" s="22">
        <f t="shared" si="443"/>
        <v>28555.497000000003</v>
      </c>
      <c r="AQ177" s="22">
        <f t="shared" si="443"/>
        <v>29478.515000000003</v>
      </c>
      <c r="AR177" s="22">
        <f t="shared" si="443"/>
        <v>30913.902000000002</v>
      </c>
      <c r="AS177" s="22">
        <f t="shared" si="443"/>
        <v>31151.315999999999</v>
      </c>
      <c r="AT177" s="22">
        <f t="shared" si="443"/>
        <v>32003.189000000002</v>
      </c>
      <c r="AU177" s="22">
        <f t="shared" si="443"/>
        <v>32819.665000000001</v>
      </c>
      <c r="AV177" s="22">
        <f t="shared" si="443"/>
        <v>35156.408000000003</v>
      </c>
      <c r="AW177" s="22">
        <f t="shared" si="443"/>
        <v>35867.152000000002</v>
      </c>
      <c r="AX177" s="22">
        <f t="shared" si="443"/>
        <v>36420.256999999998</v>
      </c>
      <c r="AY177" s="22">
        <f t="shared" si="443"/>
        <v>36910.442999999999</v>
      </c>
      <c r="AZ177" s="22">
        <f t="shared" si="443"/>
        <v>37558</v>
      </c>
      <c r="BA177" s="22">
        <f t="shared" si="443"/>
        <v>37127</v>
      </c>
      <c r="BB177" s="22">
        <f t="shared" ref="BB177:BE177" si="444">BB94</f>
        <v>36469</v>
      </c>
      <c r="BC177" s="22">
        <f t="shared" si="444"/>
        <v>35362</v>
      </c>
      <c r="BD177" s="22">
        <f t="shared" si="444"/>
        <v>37558</v>
      </c>
      <c r="BE177" s="22">
        <f t="shared" si="444"/>
        <v>37217</v>
      </c>
      <c r="BF177" s="146"/>
      <c r="BG177" s="389"/>
      <c r="BH177" s="389"/>
      <c r="BI177" s="389"/>
    </row>
    <row r="178" spans="2:63" ht="13.5" customHeight="1">
      <c r="B178" s="1" t="s">
        <v>375</v>
      </c>
      <c r="C178" s="41">
        <f t="shared" ref="C178:G178" si="445">C176/C175</f>
        <v>0.16036237482375024</v>
      </c>
      <c r="D178" s="41">
        <f t="shared" si="445"/>
        <v>0.16288660774006178</v>
      </c>
      <c r="E178" s="41">
        <f t="shared" si="445"/>
        <v>0.15980351993024083</v>
      </c>
      <c r="F178" s="41">
        <f t="shared" si="445"/>
        <v>0.15020654420449026</v>
      </c>
      <c r="G178" s="41">
        <f t="shared" si="445"/>
        <v>0.14930961875600451</v>
      </c>
      <c r="H178" s="41">
        <f t="shared" ref="H178:L178" si="446">H176/H175</f>
        <v>0.16554128438407864</v>
      </c>
      <c r="I178" s="41">
        <f t="shared" si="446"/>
        <v>7.7995193660828327E-2</v>
      </c>
      <c r="J178" s="41">
        <f t="shared" si="446"/>
        <v>0.15831301064681433</v>
      </c>
      <c r="K178" s="41">
        <f t="shared" si="446"/>
        <v>0.17432455554538073</v>
      </c>
      <c r="L178" s="41">
        <f t="shared" si="446"/>
        <v>0.17853671225529877</v>
      </c>
      <c r="M178" s="41">
        <f t="shared" ref="M178:N178" si="447">M176/M175</f>
        <v>0.17481206504485211</v>
      </c>
      <c r="N178" s="41">
        <f t="shared" si="447"/>
        <v>0.16391096324007084</v>
      </c>
      <c r="O178" s="41">
        <f t="shared" ref="O178" si="448">O176/O175</f>
        <v>0.16565192790727518</v>
      </c>
      <c r="P178" s="325"/>
      <c r="Q178" s="41"/>
      <c r="R178" s="41"/>
      <c r="S178" s="41"/>
      <c r="T178" s="41">
        <f t="shared" ref="T178:Y178" si="449">T176/T175</f>
        <v>0.15980351993024083</v>
      </c>
      <c r="U178" s="41">
        <f t="shared" si="449"/>
        <v>0.15928720821587308</v>
      </c>
      <c r="V178" s="41">
        <f t="shared" si="449"/>
        <v>0.15707629162615694</v>
      </c>
      <c r="W178" s="41">
        <f t="shared" si="449"/>
        <v>0.15111535945293153</v>
      </c>
      <c r="X178" s="118">
        <f t="shared" si="449"/>
        <v>0.15020654420449026</v>
      </c>
      <c r="Y178" s="41">
        <f t="shared" si="449"/>
        <v>0.1428578302172544</v>
      </c>
      <c r="Z178" s="41">
        <f t="shared" ref="Z178:AE178" si="450">Z176/Z175</f>
        <v>0.14299854558190148</v>
      </c>
      <c r="AA178" s="41">
        <f t="shared" si="450"/>
        <v>0.14678469566169849</v>
      </c>
      <c r="AB178" s="41">
        <f t="shared" si="450"/>
        <v>0.14930961875600451</v>
      </c>
      <c r="AC178" s="41">
        <f t="shared" si="450"/>
        <v>0.15127919722043059</v>
      </c>
      <c r="AD178" s="41">
        <f t="shared" si="450"/>
        <v>0.15372186800396243</v>
      </c>
      <c r="AE178" s="41">
        <f t="shared" si="450"/>
        <v>0.15642065300732286</v>
      </c>
      <c r="AF178" s="41">
        <f t="shared" ref="AF178:AK178" si="451">AF176/AF175</f>
        <v>0.16554128438407867</v>
      </c>
      <c r="AG178" s="41">
        <f t="shared" si="451"/>
        <v>0.16371881298226021</v>
      </c>
      <c r="AH178" s="41">
        <f t="shared" si="451"/>
        <v>0.1303714144118342</v>
      </c>
      <c r="AI178" s="41">
        <f t="shared" si="451"/>
        <v>0.10666959522953061</v>
      </c>
      <c r="AJ178" s="41">
        <f t="shared" si="451"/>
        <v>7.7995193660828327E-2</v>
      </c>
      <c r="AK178" s="41">
        <f t="shared" si="451"/>
        <v>7.6248744398916685E-2</v>
      </c>
      <c r="AL178" s="41">
        <f t="shared" ref="AL178:AQ178" si="452">AL176/AL175</f>
        <v>0.12121977799970454</v>
      </c>
      <c r="AM178" s="41">
        <f t="shared" si="452"/>
        <v>0.14686106380006253</v>
      </c>
      <c r="AN178" s="41">
        <f t="shared" si="452"/>
        <v>0.15831301064681433</v>
      </c>
      <c r="AO178" s="41">
        <f t="shared" si="452"/>
        <v>0.16842681852864078</v>
      </c>
      <c r="AP178" s="41">
        <f t="shared" si="452"/>
        <v>0.17378500233020616</v>
      </c>
      <c r="AQ178" s="41">
        <f t="shared" si="452"/>
        <v>0.17304612780416051</v>
      </c>
      <c r="AR178" s="41">
        <f t="shared" ref="AR178:AU178" si="453">AR176/AR175</f>
        <v>0.17432455554538076</v>
      </c>
      <c r="AS178" s="41">
        <f t="shared" si="453"/>
        <v>0.17064176455946944</v>
      </c>
      <c r="AT178" s="41">
        <f t="shared" si="453"/>
        <v>0.17097170687937077</v>
      </c>
      <c r="AU178" s="41">
        <f t="shared" si="453"/>
        <v>0.17188382856405565</v>
      </c>
      <c r="AV178" s="41">
        <f t="shared" ref="AV178:AX178" si="454">AV176/AV175</f>
        <v>0.17853671225529877</v>
      </c>
      <c r="AW178" s="41">
        <f t="shared" si="454"/>
        <v>0.17890783711857364</v>
      </c>
      <c r="AX178" s="41">
        <f t="shared" si="454"/>
        <v>0.17767440457553885</v>
      </c>
      <c r="AY178" s="41">
        <f t="shared" ref="AY178:BB178" si="455">AY176/AY175</f>
        <v>0.17639704273769843</v>
      </c>
      <c r="AZ178" s="41">
        <f t="shared" si="455"/>
        <v>0.17481206504485211</v>
      </c>
      <c r="BA178" s="41">
        <f t="shared" si="455"/>
        <v>0.16940983489730074</v>
      </c>
      <c r="BB178" s="41">
        <f t="shared" si="455"/>
        <v>0.16328811370304452</v>
      </c>
      <c r="BC178" s="41">
        <f t="shared" ref="BC178:BE178" si="456">BC176/BC175</f>
        <v>0.15692173116185165</v>
      </c>
      <c r="BD178" s="41">
        <f t="shared" si="456"/>
        <v>0.16391096324007084</v>
      </c>
      <c r="BE178" s="41">
        <f t="shared" si="456"/>
        <v>0.16250060189450977</v>
      </c>
      <c r="BF178" s="146"/>
      <c r="BG178" s="165"/>
      <c r="BH178" s="165"/>
      <c r="BI178" s="165"/>
    </row>
    <row r="179" spans="2:63" ht="13.5" customHeight="1">
      <c r="B179" s="1" t="str">
        <f t="shared" ref="B179:O179" si="457">B95</f>
        <v xml:space="preserve">LTM RENT </v>
      </c>
      <c r="C179" s="22">
        <f t="shared" si="457"/>
        <v>778.71</v>
      </c>
      <c r="D179" s="22">
        <f t="shared" si="457"/>
        <v>940.56899999999996</v>
      </c>
      <c r="E179" s="22">
        <f t="shared" si="457"/>
        <v>1172.568</v>
      </c>
      <c r="F179" s="22">
        <f t="shared" si="457"/>
        <v>2051.0360000000001</v>
      </c>
      <c r="G179" s="22">
        <f t="shared" si="457"/>
        <v>2135.7399999999998</v>
      </c>
      <c r="H179" s="22">
        <f t="shared" si="457"/>
        <v>370.94499999999999</v>
      </c>
      <c r="I179" s="22">
        <f t="shared" si="457"/>
        <v>97.19</v>
      </c>
      <c r="J179" s="22">
        <f t="shared" si="457"/>
        <v>179.41499999999999</v>
      </c>
      <c r="K179" s="22">
        <f t="shared" si="457"/>
        <v>226.90199999999999</v>
      </c>
      <c r="L179" s="22">
        <f t="shared" si="457"/>
        <v>164.708</v>
      </c>
      <c r="M179" s="22">
        <f t="shared" si="457"/>
        <v>0</v>
      </c>
      <c r="N179" s="22">
        <f t="shared" ref="N179" si="458">N95</f>
        <v>0</v>
      </c>
      <c r="O179" s="22">
        <f t="shared" si="457"/>
        <v>0</v>
      </c>
      <c r="P179" s="22"/>
      <c r="Q179" s="22"/>
      <c r="R179" s="22"/>
      <c r="S179" s="22"/>
      <c r="T179" s="22">
        <f t="shared" ref="T179:BA179" si="459">T95</f>
        <v>1172.568</v>
      </c>
      <c r="U179" s="22">
        <f t="shared" si="459"/>
        <v>1437.1510000000001</v>
      </c>
      <c r="V179" s="22">
        <f t="shared" si="459"/>
        <v>1610.3090000000002</v>
      </c>
      <c r="W179" s="22">
        <f t="shared" si="459"/>
        <v>1929.2290000000003</v>
      </c>
      <c r="X179" s="22">
        <f t="shared" si="459"/>
        <v>2051.0360000000001</v>
      </c>
      <c r="Y179" s="22">
        <f t="shared" si="459"/>
        <v>2155.9410000000003</v>
      </c>
      <c r="Z179" s="22">
        <f t="shared" si="459"/>
        <v>2200.4079999999999</v>
      </c>
      <c r="AA179" s="22">
        <f t="shared" si="459"/>
        <v>2101.8589999999995</v>
      </c>
      <c r="AB179" s="22">
        <f t="shared" si="459"/>
        <v>2135.7399999999998</v>
      </c>
      <c r="AC179" s="22">
        <f t="shared" si="459"/>
        <v>1605.7749999999996</v>
      </c>
      <c r="AD179" s="22">
        <f t="shared" si="459"/>
        <v>1227.2049999999999</v>
      </c>
      <c r="AE179" s="22">
        <f t="shared" si="459"/>
        <v>880.99099999999987</v>
      </c>
      <c r="AF179" s="22">
        <f t="shared" si="459"/>
        <v>370.94499999999999</v>
      </c>
      <c r="AG179" s="22">
        <f t="shared" si="459"/>
        <v>360.02700000000004</v>
      </c>
      <c r="AH179" s="22">
        <f t="shared" si="459"/>
        <v>300.48099999999999</v>
      </c>
      <c r="AI179" s="22">
        <f t="shared" si="459"/>
        <v>193.22499999999997</v>
      </c>
      <c r="AJ179" s="22">
        <f t="shared" si="459"/>
        <v>97.19</v>
      </c>
      <c r="AK179" s="22">
        <f t="shared" si="459"/>
        <v>28.150999999999993</v>
      </c>
      <c r="AL179" s="22">
        <f t="shared" si="459"/>
        <v>-68.974000000000004</v>
      </c>
      <c r="AM179" s="22">
        <f t="shared" si="459"/>
        <v>-32.873000000000005</v>
      </c>
      <c r="AN179" s="22">
        <f t="shared" si="459"/>
        <v>179.41499999999999</v>
      </c>
      <c r="AO179" s="22">
        <f t="shared" si="459"/>
        <v>192.15899999999996</v>
      </c>
      <c r="AP179" s="22">
        <f t="shared" si="459"/>
        <v>279.89699999999999</v>
      </c>
      <c r="AQ179" s="22">
        <f t="shared" si="459"/>
        <v>245.91499999999999</v>
      </c>
      <c r="AR179" s="22">
        <f t="shared" si="459"/>
        <v>226.90199999999999</v>
      </c>
      <c r="AS179" s="22">
        <f t="shared" si="459"/>
        <v>204.316</v>
      </c>
      <c r="AT179" s="22">
        <f t="shared" si="459"/>
        <v>136.88900000000001</v>
      </c>
      <c r="AU179" s="22">
        <f t="shared" si="459"/>
        <v>156.36500000000001</v>
      </c>
      <c r="AV179" s="22">
        <f t="shared" si="459"/>
        <v>164.708</v>
      </c>
      <c r="AW179" s="22">
        <f t="shared" si="459"/>
        <v>149.55199999999999</v>
      </c>
      <c r="AX179" s="22">
        <f t="shared" si="459"/>
        <v>122.65699999999998</v>
      </c>
      <c r="AY179" s="22">
        <f t="shared" si="459"/>
        <v>105.84299999999999</v>
      </c>
      <c r="AZ179" s="22">
        <f t="shared" si="459"/>
        <v>0</v>
      </c>
      <c r="BA179" s="22">
        <f t="shared" si="459"/>
        <v>0</v>
      </c>
      <c r="BB179" s="22">
        <f t="shared" ref="BB179:BE179" si="460">BB95</f>
        <v>0</v>
      </c>
      <c r="BC179" s="22">
        <f t="shared" si="460"/>
        <v>0</v>
      </c>
      <c r="BD179" s="22">
        <f t="shared" si="460"/>
        <v>0</v>
      </c>
      <c r="BE179" s="22">
        <f t="shared" si="460"/>
        <v>0</v>
      </c>
      <c r="BF179" s="146"/>
      <c r="BG179" s="389"/>
      <c r="BH179" s="389"/>
      <c r="BI179" s="389"/>
    </row>
    <row r="180" spans="2:63" ht="13.5" customHeight="1">
      <c r="B180" s="1" t="str">
        <f t="shared" ref="B180:O180" si="461">B96</f>
        <v>Cash interest paid</v>
      </c>
      <c r="C180" s="22">
        <f t="shared" si="461"/>
        <v>1164.789</v>
      </c>
      <c r="D180" s="22">
        <f t="shared" si="461"/>
        <v>973.36099999999999</v>
      </c>
      <c r="E180" s="22">
        <f t="shared" si="461"/>
        <v>1020.24</v>
      </c>
      <c r="F180" s="22">
        <f t="shared" si="461"/>
        <v>2645.9459999999999</v>
      </c>
      <c r="G180" s="22">
        <f t="shared" si="461"/>
        <v>2744.6370000000002</v>
      </c>
      <c r="H180" s="22">
        <f t="shared" si="461"/>
        <v>2549.259</v>
      </c>
      <c r="I180" s="22">
        <f t="shared" si="461"/>
        <v>2961.22</v>
      </c>
      <c r="J180" s="22">
        <f t="shared" si="461"/>
        <v>3594.5990000000002</v>
      </c>
      <c r="K180" s="22">
        <f t="shared" si="461"/>
        <v>2885.15</v>
      </c>
      <c r="L180" s="22">
        <f t="shared" si="461"/>
        <v>2813.277</v>
      </c>
      <c r="M180" s="22">
        <f t="shared" si="461"/>
        <v>2760.2779999999998</v>
      </c>
      <c r="N180" s="22">
        <f t="shared" ref="N180" si="462">N96</f>
        <v>2384.527</v>
      </c>
      <c r="O180" s="22">
        <f t="shared" si="461"/>
        <v>2871.375</v>
      </c>
      <c r="P180" s="22"/>
      <c r="Q180" s="22"/>
      <c r="R180" s="22"/>
      <c r="S180" s="22"/>
      <c r="T180" s="22">
        <f t="shared" ref="T180:BA180" si="463">T96</f>
        <v>1020.24</v>
      </c>
      <c r="U180" s="22">
        <f t="shared" si="463"/>
        <v>1044.816</v>
      </c>
      <c r="V180" s="22">
        <f t="shared" si="463"/>
        <v>1699.6959999999999</v>
      </c>
      <c r="W180" s="22">
        <f t="shared" si="463"/>
        <v>1809.2689999999996</v>
      </c>
      <c r="X180" s="22">
        <f t="shared" si="463"/>
        <v>2645.9459999999999</v>
      </c>
      <c r="Y180" s="22">
        <f t="shared" si="463"/>
        <v>2853.0230000000001</v>
      </c>
      <c r="Z180" s="22">
        <f t="shared" si="463"/>
        <v>2900.107</v>
      </c>
      <c r="AA180" s="22">
        <f t="shared" si="463"/>
        <v>2889.8660000000004</v>
      </c>
      <c r="AB180" s="22">
        <f t="shared" si="463"/>
        <v>2744.6369999999997</v>
      </c>
      <c r="AC180" s="22">
        <f t="shared" si="463"/>
        <v>2632.27</v>
      </c>
      <c r="AD180" s="22">
        <f t="shared" si="463"/>
        <v>2592.96</v>
      </c>
      <c r="AE180" s="22">
        <f t="shared" si="463"/>
        <v>2615.4379999999996</v>
      </c>
      <c r="AF180" s="22">
        <f t="shared" si="463"/>
        <v>2549.259</v>
      </c>
      <c r="AG180" s="22">
        <f t="shared" si="463"/>
        <v>2560.4279999999999</v>
      </c>
      <c r="AH180" s="22">
        <f t="shared" si="463"/>
        <v>2815.5190000000002</v>
      </c>
      <c r="AI180" s="22">
        <f t="shared" si="463"/>
        <v>2845.8330000000005</v>
      </c>
      <c r="AJ180" s="22">
        <f t="shared" si="463"/>
        <v>2961.22</v>
      </c>
      <c r="AK180" s="22">
        <f t="shared" si="463"/>
        <v>3146.2669999999994</v>
      </c>
      <c r="AL180" s="22">
        <f t="shared" si="463"/>
        <v>2965.2260000000001</v>
      </c>
      <c r="AM180" s="22">
        <f t="shared" si="463"/>
        <v>3670.3469999999998</v>
      </c>
      <c r="AN180" s="22">
        <f t="shared" si="463"/>
        <v>3594.5990000000002</v>
      </c>
      <c r="AO180" s="22">
        <f t="shared" si="463"/>
        <v>3608.4990000000003</v>
      </c>
      <c r="AP180" s="22">
        <f t="shared" si="463"/>
        <v>3528.625</v>
      </c>
      <c r="AQ180" s="22">
        <f t="shared" si="463"/>
        <v>2921.1060000000002</v>
      </c>
      <c r="AR180" s="22">
        <f t="shared" si="463"/>
        <v>2885.1500000000005</v>
      </c>
      <c r="AS180" s="22">
        <f t="shared" si="463"/>
        <v>2818.9380000000006</v>
      </c>
      <c r="AT180" s="22">
        <f t="shared" si="463"/>
        <v>2831.2170000000006</v>
      </c>
      <c r="AU180" s="22">
        <f t="shared" si="463"/>
        <v>2827.5040000000004</v>
      </c>
      <c r="AV180" s="22">
        <f t="shared" si="463"/>
        <v>2813.277</v>
      </c>
      <c r="AW180" s="22">
        <f t="shared" si="463"/>
        <v>2797.134</v>
      </c>
      <c r="AX180" s="22">
        <f t="shared" si="463"/>
        <v>2784.5740000000001</v>
      </c>
      <c r="AY180" s="22">
        <f t="shared" si="463"/>
        <v>2770.6109999999999</v>
      </c>
      <c r="AZ180" s="22">
        <f t="shared" si="463"/>
        <v>2760.2779999999998</v>
      </c>
      <c r="BA180" s="22">
        <f t="shared" si="463"/>
        <v>2758.855</v>
      </c>
      <c r="BB180" s="22">
        <f t="shared" ref="BB180:BE180" si="464">BB96</f>
        <v>2575.7999999999997</v>
      </c>
      <c r="BC180" s="22">
        <f t="shared" si="464"/>
        <v>3559.3189999999995</v>
      </c>
      <c r="BD180" s="22">
        <f t="shared" si="464"/>
        <v>2384.527</v>
      </c>
      <c r="BE180" s="22">
        <f t="shared" si="464"/>
        <v>3658.9720000000002</v>
      </c>
      <c r="BF180" s="146"/>
      <c r="BG180" s="389"/>
      <c r="BH180" s="389"/>
      <c r="BI180" s="389"/>
    </row>
    <row r="181" spans="2:63" ht="13.5" customHeight="1">
      <c r="B181" s="1" t="str">
        <f t="shared" ref="B181:O181" si="465">B98</f>
        <v>Capex</v>
      </c>
      <c r="C181" s="22">
        <f t="shared" si="465"/>
        <v>4329.91</v>
      </c>
      <c r="D181" s="22">
        <f t="shared" si="465"/>
        <v>4178.183</v>
      </c>
      <c r="E181" s="22">
        <f t="shared" si="465"/>
        <v>7057.2659999999996</v>
      </c>
      <c r="F181" s="22">
        <f t="shared" si="465"/>
        <v>7366.0940000000001</v>
      </c>
      <c r="G181" s="22">
        <f t="shared" si="465"/>
        <v>7555.7280000000001</v>
      </c>
      <c r="H181" s="22">
        <f t="shared" si="465"/>
        <v>8041.0039999999999</v>
      </c>
      <c r="I181" s="22">
        <f t="shared" si="465"/>
        <v>3845.66</v>
      </c>
      <c r="J181" s="22">
        <f t="shared" si="465"/>
        <v>5030.8909999999996</v>
      </c>
      <c r="K181" s="22">
        <f t="shared" si="465"/>
        <v>7264.2380000000003</v>
      </c>
      <c r="L181" s="22">
        <f t="shared" si="465"/>
        <v>7635.0590000000002</v>
      </c>
      <c r="M181" s="22">
        <f t="shared" si="465"/>
        <v>9809.8510000000006</v>
      </c>
      <c r="N181" s="22">
        <f t="shared" ref="N181" si="466">N98</f>
        <v>8834.4490000000005</v>
      </c>
      <c r="O181" s="22">
        <f t="shared" si="465"/>
        <v>6002.7380000000012</v>
      </c>
      <c r="P181" s="22"/>
      <c r="Q181" s="22"/>
      <c r="R181" s="22"/>
      <c r="S181" s="22"/>
      <c r="T181" s="22">
        <f t="shared" ref="T181:BA181" si="467">T98</f>
        <v>7057.2659999999996</v>
      </c>
      <c r="U181" s="22">
        <f t="shared" si="467"/>
        <v>7248.4569999999994</v>
      </c>
      <c r="V181" s="22">
        <f t="shared" si="467"/>
        <v>7184.6020000000008</v>
      </c>
      <c r="W181" s="22">
        <f t="shared" si="467"/>
        <v>6413.0450000000001</v>
      </c>
      <c r="X181" s="22">
        <f t="shared" si="467"/>
        <v>7366.0940000000001</v>
      </c>
      <c r="Y181" s="22">
        <f t="shared" si="467"/>
        <v>7488.384</v>
      </c>
      <c r="Z181" s="22">
        <f t="shared" si="467"/>
        <v>8260.8999999999978</v>
      </c>
      <c r="AA181" s="22">
        <f t="shared" si="467"/>
        <v>8864.0889999999999</v>
      </c>
      <c r="AB181" s="22">
        <f t="shared" si="467"/>
        <v>7555.7280000000001</v>
      </c>
      <c r="AC181" s="22">
        <f t="shared" si="467"/>
        <v>7717.2939999999999</v>
      </c>
      <c r="AD181" s="22">
        <f t="shared" si="467"/>
        <v>7225.9049999999997</v>
      </c>
      <c r="AE181" s="22">
        <f t="shared" si="467"/>
        <v>7282.9369999999999</v>
      </c>
      <c r="AF181" s="22">
        <f t="shared" si="467"/>
        <v>8041.0039999999999</v>
      </c>
      <c r="AG181" s="22">
        <f t="shared" si="467"/>
        <v>7328.7839999999997</v>
      </c>
      <c r="AH181" s="22">
        <f t="shared" si="467"/>
        <v>6688.5640000000003</v>
      </c>
      <c r="AI181" s="22">
        <f t="shared" si="467"/>
        <v>5399.5760000000009</v>
      </c>
      <c r="AJ181" s="22">
        <f t="shared" si="467"/>
        <v>3845.66</v>
      </c>
      <c r="AK181" s="22">
        <f t="shared" si="467"/>
        <v>4084.8490000000002</v>
      </c>
      <c r="AL181" s="22">
        <f t="shared" si="467"/>
        <v>3975.7539999999999</v>
      </c>
      <c r="AM181" s="22">
        <f t="shared" si="467"/>
        <v>4058.2719999999995</v>
      </c>
      <c r="AN181" s="22">
        <f t="shared" si="467"/>
        <v>5030.8909999999996</v>
      </c>
      <c r="AO181" s="22">
        <f t="shared" si="467"/>
        <v>4977.366</v>
      </c>
      <c r="AP181" s="22">
        <f t="shared" si="467"/>
        <v>5524.8980000000001</v>
      </c>
      <c r="AQ181" s="22">
        <f t="shared" si="467"/>
        <v>6490.9579999999996</v>
      </c>
      <c r="AR181" s="22">
        <f t="shared" si="467"/>
        <v>7264.2380000000003</v>
      </c>
      <c r="AS181" s="22">
        <f t="shared" si="467"/>
        <v>7309.3549999999996</v>
      </c>
      <c r="AT181" s="22">
        <f t="shared" si="467"/>
        <v>8022.241</v>
      </c>
      <c r="AU181" s="22">
        <f t="shared" si="467"/>
        <v>8476.1340000000018</v>
      </c>
      <c r="AV181" s="22">
        <f t="shared" si="467"/>
        <v>7635.0590000000011</v>
      </c>
      <c r="AW181" s="22">
        <f t="shared" si="467"/>
        <v>9067.6250000000018</v>
      </c>
      <c r="AX181" s="22">
        <f t="shared" si="467"/>
        <v>8616.0110000000004</v>
      </c>
      <c r="AY181" s="22">
        <f t="shared" si="467"/>
        <v>8632.5500000000011</v>
      </c>
      <c r="AZ181" s="22">
        <f t="shared" si="467"/>
        <v>9809.8510000000006</v>
      </c>
      <c r="BA181" s="22">
        <f t="shared" si="467"/>
        <v>9209.7820000000011</v>
      </c>
      <c r="BB181" s="22">
        <f t="shared" ref="BB181:BE181" si="468">BB98</f>
        <v>9279.2720000000008</v>
      </c>
      <c r="BC181" s="22">
        <f t="shared" si="468"/>
        <v>8734.3790000000008</v>
      </c>
      <c r="BD181" s="22">
        <f t="shared" si="468"/>
        <v>8834.4490000000005</v>
      </c>
      <c r="BE181" s="22">
        <f t="shared" si="468"/>
        <v>7791.5770000000011</v>
      </c>
      <c r="BF181" s="146"/>
      <c r="BG181" s="389"/>
      <c r="BH181" s="389"/>
      <c r="BI181" s="389"/>
    </row>
    <row r="182" spans="2:63" ht="13.5" customHeight="1">
      <c r="B182" s="1" t="str">
        <f t="shared" ref="B182:O182" si="469">B99</f>
        <v xml:space="preserve">Free cash flow </v>
      </c>
      <c r="C182" s="22">
        <f t="shared" si="469"/>
        <v>4849.7620000000006</v>
      </c>
      <c r="D182" s="22">
        <f t="shared" si="469"/>
        <v>3643.1609999999991</v>
      </c>
      <c r="E182" s="22">
        <f t="shared" si="469"/>
        <v>2947.8849999999993</v>
      </c>
      <c r="F182" s="22">
        <f t="shared" si="469"/>
        <v>-12572.502999999997</v>
      </c>
      <c r="G182" s="22">
        <f t="shared" si="469"/>
        <v>4560.5449999999992</v>
      </c>
      <c r="H182" s="22">
        <f t="shared" si="469"/>
        <v>7603.9617999999955</v>
      </c>
      <c r="I182" s="22">
        <f t="shared" si="469"/>
        <v>9608.7079999999987</v>
      </c>
      <c r="J182" s="22">
        <f t="shared" si="469"/>
        <v>14866.365</v>
      </c>
      <c r="K182" s="22">
        <f t="shared" si="469"/>
        <v>7856.3989999999994</v>
      </c>
      <c r="L182" s="22">
        <f t="shared" si="469"/>
        <v>14701.127999999995</v>
      </c>
      <c r="M182" s="22">
        <f t="shared" si="469"/>
        <v>8229.5270000000019</v>
      </c>
      <c r="N182" s="22">
        <f t="shared" ref="N182" si="470">N99</f>
        <v>-1781.4640000000036</v>
      </c>
      <c r="O182" s="22">
        <f t="shared" si="469"/>
        <v>10681.088999999993</v>
      </c>
      <c r="P182" s="22"/>
      <c r="Q182" s="22"/>
      <c r="R182" s="22"/>
      <c r="S182" s="22"/>
      <c r="T182" s="22">
        <f t="shared" ref="T182:BA182" si="471">T99</f>
        <v>2947.8849999999993</v>
      </c>
      <c r="U182" s="22">
        <f t="shared" si="471"/>
        <v>1262.0330000000013</v>
      </c>
      <c r="V182" s="22">
        <f t="shared" si="471"/>
        <v>-14880.141999999996</v>
      </c>
      <c r="W182" s="22">
        <f t="shared" si="471"/>
        <v>-16062.769999999999</v>
      </c>
      <c r="X182" s="22">
        <f t="shared" si="471"/>
        <v>-12572.502999999997</v>
      </c>
      <c r="Y182" s="22">
        <f t="shared" si="471"/>
        <v>-12651.444</v>
      </c>
      <c r="Z182" s="22">
        <f t="shared" si="471"/>
        <v>5469.6209999999965</v>
      </c>
      <c r="AA182" s="22">
        <f t="shared" si="471"/>
        <v>4093.821999999996</v>
      </c>
      <c r="AB182" s="22">
        <f t="shared" si="471"/>
        <v>4560.5450000000001</v>
      </c>
      <c r="AC182" s="22">
        <f t="shared" si="471"/>
        <v>6666.4160000000002</v>
      </c>
      <c r="AD182" s="22">
        <f t="shared" si="471"/>
        <v>6678.6710000000003</v>
      </c>
      <c r="AE182" s="22">
        <f t="shared" si="471"/>
        <v>5170.3170000000009</v>
      </c>
      <c r="AF182" s="22">
        <f t="shared" si="471"/>
        <v>7603.9617999999973</v>
      </c>
      <c r="AG182" s="22">
        <f t="shared" si="471"/>
        <v>6982.5467999999964</v>
      </c>
      <c r="AH182" s="22">
        <f t="shared" si="471"/>
        <v>383.54579999999896</v>
      </c>
      <c r="AI182" s="22">
        <f t="shared" si="471"/>
        <v>9646.1787999999979</v>
      </c>
      <c r="AJ182" s="22">
        <f t="shared" si="471"/>
        <v>9608.7079999999987</v>
      </c>
      <c r="AK182" s="22">
        <f t="shared" si="471"/>
        <v>7231.378999999999</v>
      </c>
      <c r="AL182" s="22">
        <f t="shared" si="471"/>
        <v>18217.769999999997</v>
      </c>
      <c r="AM182" s="22">
        <f t="shared" si="471"/>
        <v>13182.984</v>
      </c>
      <c r="AN182" s="22">
        <f t="shared" si="471"/>
        <v>14866.365000000002</v>
      </c>
      <c r="AO182" s="22">
        <f t="shared" si="471"/>
        <v>13998.654000000004</v>
      </c>
      <c r="AP182" s="22">
        <f t="shared" si="471"/>
        <v>10287.311000000002</v>
      </c>
      <c r="AQ182" s="22">
        <f t="shared" si="471"/>
        <v>7807.4100000000017</v>
      </c>
      <c r="AR182" s="22">
        <f t="shared" si="471"/>
        <v>7856.3989999999967</v>
      </c>
      <c r="AS182" s="22">
        <f t="shared" si="471"/>
        <v>10538.791999999994</v>
      </c>
      <c r="AT182" s="22">
        <f t="shared" si="471"/>
        <v>6700.2969999999968</v>
      </c>
      <c r="AU182" s="22">
        <f t="shared" si="471"/>
        <v>9242.5989999999965</v>
      </c>
      <c r="AV182" s="22">
        <f t="shared" si="471"/>
        <v>14701.12799999999</v>
      </c>
      <c r="AW182" s="22">
        <f t="shared" si="471"/>
        <v>14743.962999999991</v>
      </c>
      <c r="AX182" s="22">
        <f t="shared" si="471"/>
        <v>16744.810999999991</v>
      </c>
      <c r="AY182" s="22">
        <f t="shared" si="471"/>
        <v>13245.767999999989</v>
      </c>
      <c r="AZ182" s="22">
        <f t="shared" si="471"/>
        <v>8229.5270000000019</v>
      </c>
      <c r="BA182" s="22">
        <f t="shared" si="471"/>
        <v>6352.6410000000014</v>
      </c>
      <c r="BB182" s="22">
        <f t="shared" ref="BB182:BE182" si="472">BB99</f>
        <v>-916.20899999999892</v>
      </c>
      <c r="BC182" s="22">
        <f t="shared" si="472"/>
        <v>6336.6860000000052</v>
      </c>
      <c r="BD182" s="22">
        <f t="shared" si="472"/>
        <v>-1781.4640000000036</v>
      </c>
      <c r="BE182" s="22">
        <f t="shared" si="472"/>
        <v>5741.6449999999932</v>
      </c>
      <c r="BF182" s="146"/>
      <c r="BG182" s="389"/>
      <c r="BH182" s="389"/>
      <c r="BI182" s="389"/>
    </row>
    <row r="183" spans="2:63" ht="13.5" customHeight="1">
      <c r="B183" s="1" t="s">
        <v>16</v>
      </c>
      <c r="C183" s="22">
        <f t="shared" ref="C183:G183" si="473">C144</f>
        <v>5891.4679999999998</v>
      </c>
      <c r="D183" s="22">
        <f t="shared" si="473"/>
        <v>8583.2189999999991</v>
      </c>
      <c r="E183" s="22">
        <f t="shared" si="473"/>
        <v>25574.23</v>
      </c>
      <c r="F183" s="22">
        <f t="shared" si="473"/>
        <v>16635.078000000001</v>
      </c>
      <c r="G183" s="22">
        <f t="shared" si="473"/>
        <v>13535.498</v>
      </c>
      <c r="H183" s="22">
        <f t="shared" ref="H183:L183" si="474">H144</f>
        <v>18634.797999999999</v>
      </c>
      <c r="I183" s="22">
        <f t="shared" si="474"/>
        <v>26195.9</v>
      </c>
      <c r="J183" s="22">
        <f t="shared" si="474"/>
        <v>32494.9</v>
      </c>
      <c r="K183" s="22">
        <f t="shared" si="474"/>
        <v>24516.254000000001</v>
      </c>
      <c r="L183" s="22">
        <f t="shared" si="474"/>
        <v>29807.166000000001</v>
      </c>
      <c r="M183" s="22">
        <f t="shared" ref="M183:N183" si="475">M144</f>
        <v>24728.179</v>
      </c>
      <c r="N183" s="22">
        <f t="shared" si="475"/>
        <v>25265.098000000002</v>
      </c>
      <c r="O183" s="22">
        <f t="shared" ref="O183" si="476">O144</f>
        <v>22803.13</v>
      </c>
      <c r="P183" s="22"/>
      <c r="Q183" s="22"/>
      <c r="R183" s="22"/>
      <c r="S183" s="22"/>
      <c r="T183" s="22">
        <f t="shared" ref="T183:AC183" si="477">T144</f>
        <v>25574.23</v>
      </c>
      <c r="U183" s="22">
        <f t="shared" si="477"/>
        <v>22744.728999999999</v>
      </c>
      <c r="V183" s="22">
        <f t="shared" si="477"/>
        <v>6587</v>
      </c>
      <c r="W183" s="22">
        <f t="shared" si="477"/>
        <v>10659.884</v>
      </c>
      <c r="X183" s="22">
        <f t="shared" si="477"/>
        <v>16635.078000000001</v>
      </c>
      <c r="Y183" s="22">
        <f t="shared" si="477"/>
        <v>10649.177</v>
      </c>
      <c r="Z183" s="22">
        <f t="shared" si="477"/>
        <v>9161.66</v>
      </c>
      <c r="AA183" s="22">
        <f t="shared" si="477"/>
        <v>5970.8050000000003</v>
      </c>
      <c r="AB183" s="22">
        <f t="shared" si="477"/>
        <v>13535.498</v>
      </c>
      <c r="AC183" s="22">
        <f t="shared" si="477"/>
        <v>9532.3680000000004</v>
      </c>
      <c r="AD183" s="22">
        <f t="shared" ref="AD183:AI183" si="478">AD144</f>
        <v>10953.096</v>
      </c>
      <c r="AE183" s="22">
        <f t="shared" si="478"/>
        <v>5562.6450000000004</v>
      </c>
      <c r="AF183" s="22">
        <f t="shared" si="478"/>
        <v>18634.797999999999</v>
      </c>
      <c r="AG183" s="22">
        <f t="shared" si="478"/>
        <v>14161.040999999999</v>
      </c>
      <c r="AH183" s="22">
        <f t="shared" si="478"/>
        <v>5454.6120000000001</v>
      </c>
      <c r="AI183" s="22">
        <f t="shared" si="478"/>
        <v>19649.725999999999</v>
      </c>
      <c r="AJ183" s="22">
        <f t="shared" ref="AJ183:AO183" si="479">AJ144</f>
        <v>26195.9</v>
      </c>
      <c r="AK183" s="22">
        <f t="shared" si="479"/>
        <v>17877.300999999999</v>
      </c>
      <c r="AL183" s="22">
        <f t="shared" si="479"/>
        <v>24905.376</v>
      </c>
      <c r="AM183" s="22">
        <f t="shared" si="479"/>
        <v>20364.069</v>
      </c>
      <c r="AN183" s="22">
        <f t="shared" si="479"/>
        <v>32494.9</v>
      </c>
      <c r="AO183" s="22">
        <f t="shared" si="479"/>
        <v>21642.888999999999</v>
      </c>
      <c r="AP183" s="22">
        <f t="shared" ref="AP183:AS183" si="480">AP144</f>
        <v>23556.927</v>
      </c>
      <c r="AQ183" s="22">
        <f t="shared" si="480"/>
        <v>13186.63</v>
      </c>
      <c r="AR183" s="22">
        <f t="shared" si="480"/>
        <v>24516.254000000001</v>
      </c>
      <c r="AS183" s="22">
        <f t="shared" si="480"/>
        <v>18539.126</v>
      </c>
      <c r="AT183" s="22">
        <f t="shared" ref="AT183:AW183" si="481">AT144</f>
        <v>15801.237999999999</v>
      </c>
      <c r="AU183" s="22">
        <f t="shared" si="481"/>
        <v>14884.527</v>
      </c>
      <c r="AV183" s="22">
        <f t="shared" si="481"/>
        <v>29807.166000000001</v>
      </c>
      <c r="AW183" s="22">
        <f t="shared" si="481"/>
        <v>23286.625</v>
      </c>
      <c r="AX183" s="22">
        <f t="shared" ref="AX183:BA183" si="482">AX144</f>
        <v>22231.47</v>
      </c>
      <c r="AY183" s="22">
        <f t="shared" si="482"/>
        <v>18158.505000000001</v>
      </c>
      <c r="AZ183" s="22">
        <f t="shared" si="482"/>
        <v>24728.179</v>
      </c>
      <c r="BA183" s="22">
        <f t="shared" si="482"/>
        <v>36570.851999999999</v>
      </c>
      <c r="BB183" s="22">
        <f t="shared" ref="BB183:BE183" si="483">BB144</f>
        <v>8958.9699999999993</v>
      </c>
      <c r="BC183" s="22">
        <f t="shared" si="483"/>
        <v>10105.847</v>
      </c>
      <c r="BD183" s="22">
        <f t="shared" si="483"/>
        <v>25265.098000000002</v>
      </c>
      <c r="BE183" s="22">
        <f t="shared" si="483"/>
        <v>22803.13</v>
      </c>
      <c r="BF183" s="146"/>
      <c r="BG183" s="389"/>
      <c r="BH183" s="389"/>
      <c r="BI183" s="389"/>
    </row>
    <row r="184" spans="2:63" ht="13.5" customHeight="1">
      <c r="B184" s="1" t="s">
        <v>355</v>
      </c>
      <c r="C184" s="22">
        <f t="shared" ref="C184:I184" si="484">C147</f>
        <v>13343.9</v>
      </c>
      <c r="D184" s="22">
        <f t="shared" si="484"/>
        <v>14096.066000000001</v>
      </c>
      <c r="E184" s="22">
        <f t="shared" si="484"/>
        <v>30571.826000000001</v>
      </c>
      <c r="F184" s="22">
        <f t="shared" si="484"/>
        <v>36217.500999999997</v>
      </c>
      <c r="G184" s="22">
        <f t="shared" si="484"/>
        <v>30533.759999999998</v>
      </c>
      <c r="H184" s="22">
        <f t="shared" si="484"/>
        <v>46926.523000000008</v>
      </c>
      <c r="I184" s="22">
        <f t="shared" si="484"/>
        <v>50215.145000000004</v>
      </c>
      <c r="J184" s="22">
        <f t="shared" ref="J184:O184" si="485">J147</f>
        <v>45785.199000000001</v>
      </c>
      <c r="K184" s="22">
        <f t="shared" si="485"/>
        <v>42649.954000000005</v>
      </c>
      <c r="L184" s="22">
        <f t="shared" si="485"/>
        <v>41097.931000000004</v>
      </c>
      <c r="M184" s="22">
        <f t="shared" si="485"/>
        <v>38371.252</v>
      </c>
      <c r="N184" s="22">
        <f t="shared" si="485"/>
        <v>48711.635999999999</v>
      </c>
      <c r="O184" s="22">
        <f t="shared" si="485"/>
        <v>57282.186000000002</v>
      </c>
      <c r="P184" s="22"/>
      <c r="Q184" s="22"/>
      <c r="R184" s="22"/>
      <c r="S184" s="22"/>
      <c r="T184" s="22">
        <f t="shared" ref="T184:AC184" si="486">T147</f>
        <v>30571.826000000001</v>
      </c>
      <c r="U184" s="22">
        <f t="shared" si="486"/>
        <v>31556.731400000001</v>
      </c>
      <c r="V184" s="22">
        <f t="shared" si="486"/>
        <v>30787.186000000002</v>
      </c>
      <c r="W184" s="22">
        <f t="shared" si="486"/>
        <v>35888.406000000003</v>
      </c>
      <c r="X184" s="22">
        <f t="shared" si="486"/>
        <v>36217.500999999997</v>
      </c>
      <c r="Y184" s="22">
        <f t="shared" si="486"/>
        <v>33349.650999999998</v>
      </c>
      <c r="Z184" s="22">
        <f t="shared" si="486"/>
        <v>31575.759999999998</v>
      </c>
      <c r="AA184" s="22">
        <f t="shared" si="486"/>
        <v>29559.255000000001</v>
      </c>
      <c r="AB184" s="22">
        <f t="shared" si="486"/>
        <v>30533.759999999998</v>
      </c>
      <c r="AC184" s="22">
        <f t="shared" si="486"/>
        <v>41673.229999999996</v>
      </c>
      <c r="AD184" s="22">
        <f t="shared" ref="AD184:AJ184" si="487">AD147</f>
        <v>41596.380999999994</v>
      </c>
      <c r="AE184" s="22">
        <f t="shared" si="487"/>
        <v>42234.751000000004</v>
      </c>
      <c r="AF184" s="22">
        <f t="shared" si="487"/>
        <v>46926.523000000008</v>
      </c>
      <c r="AG184" s="22">
        <f t="shared" si="487"/>
        <v>51755.311999999998</v>
      </c>
      <c r="AH184" s="22">
        <f t="shared" si="487"/>
        <v>51756.078000000001</v>
      </c>
      <c r="AI184" s="22">
        <f t="shared" si="487"/>
        <v>55750.892000000007</v>
      </c>
      <c r="AJ184" s="22">
        <f t="shared" si="487"/>
        <v>50215.145000000004</v>
      </c>
      <c r="AK184" s="22">
        <f t="shared" ref="AK184:AP184" si="488">AK147</f>
        <v>50725.920999999995</v>
      </c>
      <c r="AL184" s="22">
        <f t="shared" si="488"/>
        <v>50194.479999999996</v>
      </c>
      <c r="AM184" s="22">
        <f t="shared" si="488"/>
        <v>46250.764999999999</v>
      </c>
      <c r="AN184" s="22">
        <f t="shared" si="488"/>
        <v>45785.199000000001</v>
      </c>
      <c r="AO184" s="22">
        <f t="shared" si="488"/>
        <v>43392.2</v>
      </c>
      <c r="AP184" s="22">
        <f t="shared" si="488"/>
        <v>43691.563999999998</v>
      </c>
      <c r="AQ184" s="22">
        <f t="shared" ref="AQ184:AT184" si="489">AQ147</f>
        <v>42157.144</v>
      </c>
      <c r="AR184" s="22">
        <f t="shared" si="489"/>
        <v>42649.954000000005</v>
      </c>
      <c r="AS184" s="22">
        <f t="shared" si="489"/>
        <v>41492.858</v>
      </c>
      <c r="AT184" s="22">
        <f t="shared" si="489"/>
        <v>40945.326999999997</v>
      </c>
      <c r="AU184" s="22">
        <f t="shared" ref="AU184:AX184" si="490">AU147</f>
        <v>41215.501000000004</v>
      </c>
      <c r="AV184" s="22">
        <f t="shared" si="490"/>
        <v>41097.931000000004</v>
      </c>
      <c r="AW184" s="22">
        <f t="shared" si="490"/>
        <v>41044.04</v>
      </c>
      <c r="AX184" s="22">
        <f t="shared" si="490"/>
        <v>42430.781000000003</v>
      </c>
      <c r="AY184" s="22">
        <f t="shared" ref="AY184:BB184" si="491">AY147</f>
        <v>43443.073000000004</v>
      </c>
      <c r="AZ184" s="22">
        <f t="shared" si="491"/>
        <v>38371.252</v>
      </c>
      <c r="BA184" s="22">
        <f t="shared" si="491"/>
        <v>59588.953999999998</v>
      </c>
      <c r="BB184" s="22">
        <f t="shared" si="491"/>
        <v>59499.42</v>
      </c>
      <c r="BC184" s="22">
        <f t="shared" ref="BC184:BE184" si="492">BC147</f>
        <v>59246.427000000003</v>
      </c>
      <c r="BD184" s="22">
        <f t="shared" si="492"/>
        <v>48711.635999999999</v>
      </c>
      <c r="BE184" s="22">
        <f t="shared" si="492"/>
        <v>57282.186000000002</v>
      </c>
      <c r="BF184" s="146"/>
      <c r="BG184" s="389"/>
      <c r="BH184" s="389"/>
      <c r="BI184" s="389"/>
    </row>
    <row r="185" spans="2:63" ht="13.5" customHeight="1">
      <c r="B185" s="1" t="s">
        <v>376</v>
      </c>
      <c r="C185" s="22">
        <f t="shared" ref="C185:I185" si="493">C153</f>
        <v>19573.580000000002</v>
      </c>
      <c r="D185" s="22">
        <f t="shared" si="493"/>
        <v>21620.618000000002</v>
      </c>
      <c r="E185" s="22">
        <f t="shared" si="493"/>
        <v>39952.370000000003</v>
      </c>
      <c r="F185" s="22">
        <f t="shared" si="493"/>
        <v>52625.788999999997</v>
      </c>
      <c r="G185" s="22">
        <f t="shared" si="493"/>
        <v>47619.679999999993</v>
      </c>
      <c r="H185" s="22">
        <f t="shared" si="493"/>
        <v>49894.083000000006</v>
      </c>
      <c r="I185" s="22">
        <f t="shared" si="493"/>
        <v>50992.665000000001</v>
      </c>
      <c r="J185" s="22">
        <f t="shared" ref="J185:O185" si="494">J153</f>
        <v>47220.519</v>
      </c>
      <c r="K185" s="22">
        <f t="shared" si="494"/>
        <v>44465.170000000006</v>
      </c>
      <c r="L185" s="22">
        <f t="shared" si="494"/>
        <v>42415.595000000001</v>
      </c>
      <c r="M185" s="22">
        <f t="shared" si="494"/>
        <v>38371.252</v>
      </c>
      <c r="N185" s="22">
        <f t="shared" si="494"/>
        <v>48711.635999999999</v>
      </c>
      <c r="O185" s="22">
        <f t="shared" si="494"/>
        <v>57282.186000000002</v>
      </c>
      <c r="P185" s="22"/>
      <c r="Q185" s="22"/>
      <c r="R185" s="22"/>
      <c r="S185" s="22"/>
      <c r="T185" s="22">
        <f t="shared" ref="T185:AB185" si="495">T153</f>
        <v>39952.370000000003</v>
      </c>
      <c r="U185" s="22">
        <f t="shared" si="495"/>
        <v>43053.939400000003</v>
      </c>
      <c r="V185" s="22">
        <f t="shared" si="495"/>
        <v>43669.658000000003</v>
      </c>
      <c r="W185" s="22">
        <f t="shared" si="495"/>
        <v>51322.238000000005</v>
      </c>
      <c r="X185" s="22">
        <f t="shared" si="495"/>
        <v>52625.788999999997</v>
      </c>
      <c r="Y185" s="22">
        <f t="shared" si="495"/>
        <v>50597.179000000004</v>
      </c>
      <c r="Z185" s="22">
        <f t="shared" si="495"/>
        <v>49179.023999999998</v>
      </c>
      <c r="AA185" s="22">
        <f t="shared" si="495"/>
        <v>46374.126999999993</v>
      </c>
      <c r="AB185" s="22">
        <f t="shared" si="495"/>
        <v>47619.679999999993</v>
      </c>
      <c r="AC185" s="22">
        <f t="shared" ref="AC185:AH185" si="496">AC153</f>
        <v>54519.429999999993</v>
      </c>
      <c r="AD185" s="22">
        <f t="shared" si="496"/>
        <v>51414.020999999993</v>
      </c>
      <c r="AE185" s="22">
        <f t="shared" si="496"/>
        <v>49282.679000000004</v>
      </c>
      <c r="AF185" s="22">
        <f t="shared" si="496"/>
        <v>49894.083000000006</v>
      </c>
      <c r="AG185" s="22">
        <f t="shared" si="496"/>
        <v>54635.527999999998</v>
      </c>
      <c r="AH185" s="22">
        <f t="shared" si="496"/>
        <v>54159.925999999999</v>
      </c>
      <c r="AI185" s="22">
        <f t="shared" ref="AI185:AN185" si="497">AI153</f>
        <v>57296.69200000001</v>
      </c>
      <c r="AJ185" s="22">
        <f t="shared" si="497"/>
        <v>50992.665000000001</v>
      </c>
      <c r="AK185" s="22">
        <f t="shared" si="497"/>
        <v>50951.128999999994</v>
      </c>
      <c r="AL185" s="22">
        <f t="shared" si="497"/>
        <v>49642.687999999995</v>
      </c>
      <c r="AM185" s="22">
        <f t="shared" si="497"/>
        <v>45987.781000000003</v>
      </c>
      <c r="AN185" s="22">
        <f t="shared" si="497"/>
        <v>47220.519</v>
      </c>
      <c r="AO185" s="22">
        <f>AO153</f>
        <v>44929.471999999994</v>
      </c>
      <c r="AP185" s="22">
        <f>AP153</f>
        <v>45930.74</v>
      </c>
      <c r="AQ185" s="22">
        <f>AQ153</f>
        <v>44124.464</v>
      </c>
      <c r="AR185" s="22">
        <f t="shared" ref="AR185" si="498">AR153</f>
        <v>44465.170000000006</v>
      </c>
      <c r="AS185" s="22">
        <f>AS153</f>
        <v>43127.385999999999</v>
      </c>
      <c r="AT185" s="22">
        <f>AT153</f>
        <v>42040.438999999998</v>
      </c>
      <c r="AU185" s="22">
        <f>AU153</f>
        <v>42466.421000000002</v>
      </c>
      <c r="AV185" s="22">
        <f t="shared" ref="AV185" si="499">AV153</f>
        <v>42415.595000000001</v>
      </c>
      <c r="AW185" s="22">
        <f>AW153</f>
        <v>42240.455999999998</v>
      </c>
      <c r="AX185" s="22">
        <f>AX153</f>
        <v>43412.037000000004</v>
      </c>
      <c r="AY185" s="22">
        <f>AY153</f>
        <v>44289.817000000003</v>
      </c>
      <c r="AZ185" s="22">
        <f t="shared" ref="AZ185" si="500">AZ153</f>
        <v>38371.252</v>
      </c>
      <c r="BA185" s="22">
        <f>BA153</f>
        <v>59588.953999999998</v>
      </c>
      <c r="BB185" s="22">
        <f>BB153</f>
        <v>59499.42</v>
      </c>
      <c r="BC185" s="22">
        <f>BC153</f>
        <v>59246.427000000003</v>
      </c>
      <c r="BD185" s="22">
        <f t="shared" ref="BD185" si="501">BD153</f>
        <v>48711.635999999999</v>
      </c>
      <c r="BE185" s="22">
        <f>BE153</f>
        <v>57282.186000000002</v>
      </c>
      <c r="BF185" s="146"/>
      <c r="BG185" s="389"/>
      <c r="BH185" s="389"/>
      <c r="BI185" s="389"/>
    </row>
    <row r="186" spans="2:63" s="5" customFormat="1" ht="13.5" customHeight="1">
      <c r="B186" s="5" t="s">
        <v>377</v>
      </c>
      <c r="C186" s="484">
        <f t="shared" ref="C186:I186" si="502">C146</f>
        <v>7452.4319999999998</v>
      </c>
      <c r="D186" s="484">
        <f t="shared" si="502"/>
        <v>5512.8470000000016</v>
      </c>
      <c r="E186" s="484">
        <f t="shared" si="502"/>
        <v>4997.5960000000014</v>
      </c>
      <c r="F186" s="484">
        <f t="shared" si="502"/>
        <v>19582.422999999995</v>
      </c>
      <c r="G186" s="484">
        <f t="shared" si="502"/>
        <v>16998.261999999999</v>
      </c>
      <c r="H186" s="484">
        <f t="shared" si="502"/>
        <v>28291.725000000009</v>
      </c>
      <c r="I186" s="484">
        <f t="shared" si="502"/>
        <v>24019.245000000003</v>
      </c>
      <c r="J186" s="484">
        <f t="shared" ref="J186:O186" si="503">J146</f>
        <v>13290.298999999999</v>
      </c>
      <c r="K186" s="484">
        <f t="shared" si="503"/>
        <v>18133.700000000004</v>
      </c>
      <c r="L186" s="484">
        <f t="shared" si="503"/>
        <v>11290.765000000003</v>
      </c>
      <c r="M186" s="484">
        <f t="shared" si="503"/>
        <v>13643.073</v>
      </c>
      <c r="N186" s="484">
        <f t="shared" si="503"/>
        <v>23446.537999999997</v>
      </c>
      <c r="O186" s="484">
        <f t="shared" si="503"/>
        <v>34479.055999999997</v>
      </c>
      <c r="P186" s="484"/>
      <c r="Q186" s="484"/>
      <c r="R186" s="484"/>
      <c r="S186" s="484"/>
      <c r="T186" s="484">
        <f t="shared" ref="T186:AB186" si="504">T146</f>
        <v>4997.5960000000014</v>
      </c>
      <c r="U186" s="484">
        <f t="shared" si="504"/>
        <v>8812.0024000000012</v>
      </c>
      <c r="V186" s="484">
        <f t="shared" si="504"/>
        <v>24200.186000000002</v>
      </c>
      <c r="W186" s="484">
        <f t="shared" si="504"/>
        <v>25228.522000000004</v>
      </c>
      <c r="X186" s="484">
        <f t="shared" si="504"/>
        <v>19582.422999999995</v>
      </c>
      <c r="Y186" s="484">
        <f t="shared" si="504"/>
        <v>22700.473999999998</v>
      </c>
      <c r="Z186" s="484">
        <f t="shared" si="504"/>
        <v>22414.1</v>
      </c>
      <c r="AA186" s="484">
        <f t="shared" si="504"/>
        <v>23588.45</v>
      </c>
      <c r="AB186" s="484">
        <f t="shared" si="504"/>
        <v>16998.261999999999</v>
      </c>
      <c r="AC186" s="484">
        <f t="shared" ref="AC186:AH186" si="505">AC146</f>
        <v>32140.861999999994</v>
      </c>
      <c r="AD186" s="484">
        <f t="shared" si="505"/>
        <v>30643.284999999996</v>
      </c>
      <c r="AE186" s="484">
        <f t="shared" si="505"/>
        <v>36672.106</v>
      </c>
      <c r="AF186" s="484">
        <f t="shared" si="505"/>
        <v>28291.725000000009</v>
      </c>
      <c r="AG186" s="484">
        <f t="shared" si="505"/>
        <v>37594.271000000001</v>
      </c>
      <c r="AH186" s="484">
        <f t="shared" si="505"/>
        <v>46301.466</v>
      </c>
      <c r="AI186" s="484">
        <f t="shared" ref="AI186:AN186" si="506">AI146</f>
        <v>36101.166000000012</v>
      </c>
      <c r="AJ186" s="484">
        <f t="shared" si="506"/>
        <v>24019.245000000003</v>
      </c>
      <c r="AK186" s="484">
        <f t="shared" si="506"/>
        <v>32848.619999999995</v>
      </c>
      <c r="AL186" s="484">
        <f t="shared" si="506"/>
        <v>25289.103999999996</v>
      </c>
      <c r="AM186" s="484">
        <f t="shared" si="506"/>
        <v>25886.696</v>
      </c>
      <c r="AN186" s="484">
        <f t="shared" si="506"/>
        <v>13290.298999999999</v>
      </c>
      <c r="AO186" s="484">
        <f>AO146</f>
        <v>21749.310999999998</v>
      </c>
      <c r="AP186" s="484">
        <f>AP146</f>
        <v>20134.636999999999</v>
      </c>
      <c r="AQ186" s="484">
        <f>AQ146</f>
        <v>28970.514000000003</v>
      </c>
      <c r="AR186" s="484">
        <f t="shared" ref="AR186" si="507">AR146</f>
        <v>18133.700000000004</v>
      </c>
      <c r="AS186" s="484">
        <f>AS146</f>
        <v>22953.732</v>
      </c>
      <c r="AT186" s="484">
        <f>AT146</f>
        <v>25144.089</v>
      </c>
      <c r="AU186" s="484">
        <f>AU146</f>
        <v>26330.974000000002</v>
      </c>
      <c r="AV186" s="484">
        <f t="shared" ref="AV186" si="508">AV146</f>
        <v>11290.765000000003</v>
      </c>
      <c r="AW186" s="484">
        <f>AW146</f>
        <v>17757.415000000001</v>
      </c>
      <c r="AX186" s="484">
        <f>AX146</f>
        <v>20199.311000000002</v>
      </c>
      <c r="AY186" s="484">
        <f>AY146</f>
        <v>25284.568000000003</v>
      </c>
      <c r="AZ186" s="484">
        <f t="shared" ref="AZ186" si="509">AZ146</f>
        <v>13643.073</v>
      </c>
      <c r="BA186" s="484">
        <f>BA146</f>
        <v>23018.101999999999</v>
      </c>
      <c r="BB186" s="484">
        <f>BB146</f>
        <v>50540.45</v>
      </c>
      <c r="BC186" s="484">
        <f>BC146</f>
        <v>49140.58</v>
      </c>
      <c r="BD186" s="484">
        <f t="shared" ref="BD186" si="510">BD146</f>
        <v>23446.537999999997</v>
      </c>
      <c r="BE186" s="484">
        <f>BE146</f>
        <v>34479.055999999997</v>
      </c>
      <c r="BF186" s="485"/>
      <c r="BG186" s="486"/>
      <c r="BH186" s="486"/>
      <c r="BI186" s="486"/>
    </row>
    <row r="187" spans="2:63" ht="13.5" customHeight="1">
      <c r="B187" s="1" t="s">
        <v>378</v>
      </c>
      <c r="C187" s="22">
        <f t="shared" ref="C187:I187" si="511">C152</f>
        <v>13682.112000000001</v>
      </c>
      <c r="D187" s="22">
        <f t="shared" si="511"/>
        <v>13037.399000000001</v>
      </c>
      <c r="E187" s="22">
        <f t="shared" si="511"/>
        <v>14378.140000000001</v>
      </c>
      <c r="F187" s="22">
        <f t="shared" si="511"/>
        <v>35990.710999999996</v>
      </c>
      <c r="G187" s="22">
        <f t="shared" si="511"/>
        <v>34084.182000000001</v>
      </c>
      <c r="H187" s="22">
        <f t="shared" si="511"/>
        <v>31259.285000000011</v>
      </c>
      <c r="I187" s="22">
        <f t="shared" si="511"/>
        <v>24796.765000000003</v>
      </c>
      <c r="J187" s="22">
        <f t="shared" ref="J187:O187" si="512">J152</f>
        <v>14725.618999999999</v>
      </c>
      <c r="K187" s="22">
        <f t="shared" si="512"/>
        <v>19948.916000000005</v>
      </c>
      <c r="L187" s="22">
        <f t="shared" si="512"/>
        <v>12608.429000000004</v>
      </c>
      <c r="M187" s="22">
        <f t="shared" si="512"/>
        <v>13643.073</v>
      </c>
      <c r="N187" s="22">
        <f t="shared" si="512"/>
        <v>23446.537999999997</v>
      </c>
      <c r="O187" s="22">
        <f t="shared" si="512"/>
        <v>34479.055999999997</v>
      </c>
      <c r="P187" s="22"/>
      <c r="Q187" s="22"/>
      <c r="R187" s="22"/>
      <c r="S187" s="22"/>
      <c r="T187" s="22">
        <f t="shared" ref="T187:AB187" si="513">T152</f>
        <v>14378.140000000001</v>
      </c>
      <c r="U187" s="22">
        <f t="shared" si="513"/>
        <v>20309.210400000004</v>
      </c>
      <c r="V187" s="22">
        <f t="shared" si="513"/>
        <v>37082.658000000003</v>
      </c>
      <c r="W187" s="22">
        <f t="shared" si="513"/>
        <v>40662.354000000007</v>
      </c>
      <c r="X187" s="22">
        <f t="shared" si="513"/>
        <v>35990.710999999996</v>
      </c>
      <c r="Y187" s="22">
        <f t="shared" si="513"/>
        <v>39948.002</v>
      </c>
      <c r="Z187" s="22">
        <f t="shared" si="513"/>
        <v>40017.364000000001</v>
      </c>
      <c r="AA187" s="22">
        <f t="shared" si="513"/>
        <v>40403.322</v>
      </c>
      <c r="AB187" s="22">
        <f t="shared" si="513"/>
        <v>34084.182000000001</v>
      </c>
      <c r="AC187" s="22">
        <f t="shared" ref="AC187:AH187" si="514">AC152</f>
        <v>44987.061999999991</v>
      </c>
      <c r="AD187" s="22">
        <f t="shared" si="514"/>
        <v>40460.924999999996</v>
      </c>
      <c r="AE187" s="22">
        <f t="shared" si="514"/>
        <v>43720.034</v>
      </c>
      <c r="AF187" s="22">
        <f t="shared" si="514"/>
        <v>31259.285000000011</v>
      </c>
      <c r="AG187" s="22">
        <f t="shared" si="514"/>
        <v>40474.487000000001</v>
      </c>
      <c r="AH187" s="22">
        <f t="shared" si="514"/>
        <v>48705.313999999998</v>
      </c>
      <c r="AI187" s="22">
        <f t="shared" ref="AI187:AN187" si="515">AI152</f>
        <v>37646.966000000015</v>
      </c>
      <c r="AJ187" s="22">
        <f t="shared" si="515"/>
        <v>24796.765000000003</v>
      </c>
      <c r="AK187" s="22">
        <f t="shared" si="515"/>
        <v>33073.827999999994</v>
      </c>
      <c r="AL187" s="22">
        <f t="shared" si="515"/>
        <v>24737.311999999994</v>
      </c>
      <c r="AM187" s="22">
        <f t="shared" si="515"/>
        <v>25623.712</v>
      </c>
      <c r="AN187" s="22">
        <f t="shared" si="515"/>
        <v>14725.618999999999</v>
      </c>
      <c r="AO187" s="22">
        <f>AO152</f>
        <v>23286.582999999999</v>
      </c>
      <c r="AP187" s="22">
        <f>AP152</f>
        <v>22373.812999999998</v>
      </c>
      <c r="AQ187" s="22">
        <f>AQ152</f>
        <v>30937.834000000003</v>
      </c>
      <c r="AR187" s="22">
        <f t="shared" ref="AR187" si="516">AR152</f>
        <v>19948.916000000005</v>
      </c>
      <c r="AS187" s="22">
        <f>AS152</f>
        <v>24588.26</v>
      </c>
      <c r="AT187" s="22">
        <f>AT152</f>
        <v>26239.201000000001</v>
      </c>
      <c r="AU187" s="22">
        <f>AU152</f>
        <v>27581.894</v>
      </c>
      <c r="AV187" s="22">
        <f t="shared" ref="AV187" si="517">AV152</f>
        <v>12608.429000000004</v>
      </c>
      <c r="AW187" s="22">
        <f>AW152</f>
        <v>18953.831000000002</v>
      </c>
      <c r="AX187" s="22">
        <f>AX152</f>
        <v>21180.567000000003</v>
      </c>
      <c r="AY187" s="22">
        <f>AY152</f>
        <v>26131.312000000002</v>
      </c>
      <c r="AZ187" s="22">
        <f t="shared" ref="AZ187" si="518">AZ152</f>
        <v>13643.073</v>
      </c>
      <c r="BA187" s="22">
        <f>BA152</f>
        <v>23018.101999999999</v>
      </c>
      <c r="BB187" s="22">
        <f>BB152</f>
        <v>50540.45</v>
      </c>
      <c r="BC187" s="22">
        <f>BC152</f>
        <v>49140.58</v>
      </c>
      <c r="BD187" s="22">
        <f t="shared" ref="BD187" si="519">BD152</f>
        <v>23446.537999999997</v>
      </c>
      <c r="BE187" s="22">
        <f>BE152</f>
        <v>34479.055999999997</v>
      </c>
      <c r="BF187" s="146"/>
      <c r="BG187" s="389"/>
      <c r="BH187" s="389"/>
      <c r="BI187" s="389"/>
    </row>
    <row r="188" spans="2:63" ht="13.5" customHeight="1">
      <c r="B188" s="1" t="s">
        <v>379</v>
      </c>
      <c r="C188" s="36">
        <f t="shared" ref="C188:H188" si="520">C163</f>
        <v>1.0245934996180781</v>
      </c>
      <c r="D188" s="36">
        <f t="shared" si="520"/>
        <v>0.94792853098866492</v>
      </c>
      <c r="E188" s="36">
        <f t="shared" si="520"/>
        <v>1.9046785568744353</v>
      </c>
      <c r="F188" s="36">
        <f t="shared" si="520"/>
        <v>1.9736546874127237</v>
      </c>
      <c r="G188" s="36">
        <f t="shared" si="520"/>
        <v>1.5088353097317233</v>
      </c>
      <c r="H188" s="36">
        <f t="shared" si="520"/>
        <v>1.9653771056180533</v>
      </c>
      <c r="I188" s="36">
        <f t="shared" ref="I188:O188" si="521">I163</f>
        <v>5.5755576651899235</v>
      </c>
      <c r="J188" s="36">
        <f t="shared" si="521"/>
        <v>1.9150016102924876</v>
      </c>
      <c r="K188" s="36">
        <f t="shared" si="521"/>
        <v>1.3898378466451593</v>
      </c>
      <c r="L188" s="36">
        <f t="shared" si="521"/>
        <v>1.1745051255011905</v>
      </c>
      <c r="M188" s="36">
        <f t="shared" si="521"/>
        <v>1.0216532296714416</v>
      </c>
      <c r="N188" s="36">
        <f t="shared" ref="N188" si="522">N163</f>
        <v>1.2969709782203525</v>
      </c>
      <c r="O188" s="36">
        <f t="shared" si="521"/>
        <v>2.0034340374930051</v>
      </c>
      <c r="P188" s="36"/>
      <c r="Q188" s="36"/>
      <c r="R188" s="36"/>
      <c r="S188" s="36"/>
      <c r="T188" s="36">
        <f t="shared" ref="T188:AB188" si="523">T163</f>
        <v>1.9046785568744353</v>
      </c>
      <c r="U188" s="36">
        <f t="shared" si="523"/>
        <v>1.9421050820910564</v>
      </c>
      <c r="V188" s="36">
        <f t="shared" si="523"/>
        <v>1.8211118990106772</v>
      </c>
      <c r="W188" s="36">
        <f t="shared" si="523"/>
        <v>2.1030277385212743</v>
      </c>
      <c r="X188" s="36">
        <f t="shared" si="523"/>
        <v>1.9736546874127237</v>
      </c>
      <c r="Y188" s="36">
        <f t="shared" si="523"/>
        <v>1.841364536626394</v>
      </c>
      <c r="Z188" s="36">
        <f t="shared" si="523"/>
        <v>1.7049846557774182</v>
      </c>
      <c r="AA188" s="36">
        <f t="shared" si="523"/>
        <v>1.529226394740322</v>
      </c>
      <c r="AB188" s="36">
        <f t="shared" si="523"/>
        <v>1.5088353097317233</v>
      </c>
      <c r="AC188" s="36">
        <f t="shared" ref="AC188:AH188" si="524">AC163</f>
        <v>1.9999206236542852</v>
      </c>
      <c r="AD188" s="36">
        <f t="shared" si="524"/>
        <v>1.9222270882828634</v>
      </c>
      <c r="AE188" s="36">
        <f t="shared" si="524"/>
        <v>1.9058490574892484</v>
      </c>
      <c r="AF188" s="36">
        <f t="shared" si="524"/>
        <v>1.9653771056180533</v>
      </c>
      <c r="AG188" s="36">
        <f t="shared" si="524"/>
        <v>2.2031130730166564</v>
      </c>
      <c r="AH188" s="36">
        <f t="shared" si="524"/>
        <v>3.2388236472068042</v>
      </c>
      <c r="AI188" s="36">
        <f t="shared" ref="AI188:AN188" si="525">AI163</f>
        <v>4.3795231698599375</v>
      </c>
      <c r="AJ188" s="36">
        <f t="shared" si="525"/>
        <v>5.5755576651899235</v>
      </c>
      <c r="AK188" s="36">
        <f t="shared" si="525"/>
        <v>5.8186607859781132</v>
      </c>
      <c r="AL188" s="36">
        <f t="shared" si="525"/>
        <v>3.0197072607280582</v>
      </c>
      <c r="AM188" s="36">
        <f t="shared" si="525"/>
        <v>2.2171668192691381</v>
      </c>
      <c r="AN188" s="36">
        <f t="shared" si="525"/>
        <v>1.9150016102924876</v>
      </c>
      <c r="AO188" s="36">
        <f>AO163</f>
        <v>1.6338716540087881</v>
      </c>
      <c r="AP188" s="36">
        <f>AP163</f>
        <v>1.5452037799374725</v>
      </c>
      <c r="AQ188" s="36">
        <f>AQ163</f>
        <v>1.4421277614717813</v>
      </c>
      <c r="AR188" s="36">
        <f t="shared" ref="AR188" si="526">AR163</f>
        <v>1.3898378466451593</v>
      </c>
      <c r="AS188" s="36">
        <f>AS163</f>
        <v>1.3407715772126538</v>
      </c>
      <c r="AT188" s="36">
        <f>AT163</f>
        <v>1.2849099832738662</v>
      </c>
      <c r="AU188" s="36">
        <f>AU163</f>
        <v>1.2618290558516747</v>
      </c>
      <c r="AV188" s="36">
        <f t="shared" ref="AV188" si="527">AV163</f>
        <v>1.1745051255011905</v>
      </c>
      <c r="AW188" s="36">
        <f>AW163</f>
        <v>1.1491264810625574</v>
      </c>
      <c r="AX188" s="36">
        <f>AX163</f>
        <v>1.1689693257956451</v>
      </c>
      <c r="AY188" s="36">
        <f>AY163</f>
        <v>1.1803707417007658</v>
      </c>
      <c r="AZ188" s="36">
        <f t="shared" ref="AZ188" si="528">AZ163</f>
        <v>1.0216532296714416</v>
      </c>
      <c r="BA188" s="36">
        <f>BA163</f>
        <v>1.6050032052145338</v>
      </c>
      <c r="BB188" s="36">
        <f>BB163</f>
        <v>1.6315067591653185</v>
      </c>
      <c r="BC188" s="36">
        <f>BC163</f>
        <v>1.6754263616311296</v>
      </c>
      <c r="BD188" s="36">
        <f t="shared" ref="BD188" si="529">BD163</f>
        <v>1.2969709782203525</v>
      </c>
      <c r="BE188" s="36">
        <f>BE163</f>
        <v>1.5391403390923504</v>
      </c>
      <c r="BF188" s="146"/>
      <c r="BG188" s="390"/>
      <c r="BH188" s="390"/>
      <c r="BI188" s="390"/>
    </row>
    <row r="189" spans="2:63" ht="13.5" customHeight="1">
      <c r="B189" s="5" t="s">
        <v>380</v>
      </c>
      <c r="C189" s="35">
        <f t="shared" ref="C189:H189" si="530">C162</f>
        <v>0.57222501544119431</v>
      </c>
      <c r="D189" s="35">
        <f t="shared" si="530"/>
        <v>0.37072648200393427</v>
      </c>
      <c r="E189" s="35">
        <f t="shared" si="530"/>
        <v>0.31135902504225471</v>
      </c>
      <c r="F189" s="35">
        <f t="shared" si="530"/>
        <v>1.0671343929789281</v>
      </c>
      <c r="G189" s="35">
        <f t="shared" si="530"/>
        <v>0.83997443844685293</v>
      </c>
      <c r="H189" s="35">
        <f t="shared" si="530"/>
        <v>1.1849143094075376</v>
      </c>
      <c r="I189" s="35">
        <f t="shared" ref="I189:O189" si="531">I162</f>
        <v>2.6669381432996908</v>
      </c>
      <c r="J189" s="35">
        <f t="shared" si="531"/>
        <v>0.55587710749643426</v>
      </c>
      <c r="K189" s="35">
        <f t="shared" si="531"/>
        <v>0.59092449571479799</v>
      </c>
      <c r="L189" s="35">
        <f t="shared" si="531"/>
        <v>0.32266980455365141</v>
      </c>
      <c r="M189" s="35">
        <f t="shared" si="531"/>
        <v>0.36325344800042603</v>
      </c>
      <c r="N189" s="35">
        <f t="shared" ref="N189" si="532">N162</f>
        <v>0.62427546727727767</v>
      </c>
      <c r="O189" s="35">
        <f t="shared" si="531"/>
        <v>1.2058987129266927</v>
      </c>
      <c r="P189" s="35"/>
      <c r="Q189" s="35"/>
      <c r="R189" s="35"/>
      <c r="S189" s="35"/>
      <c r="T189" s="35">
        <f t="shared" ref="T189:AB189" si="533">T162</f>
        <v>0.31135902504225471</v>
      </c>
      <c r="U189" s="35">
        <f t="shared" si="533"/>
        <v>0.54231962200111095</v>
      </c>
      <c r="V189" s="35">
        <f t="shared" si="533"/>
        <v>1.4314801840893028</v>
      </c>
      <c r="W189" s="35">
        <f t="shared" si="533"/>
        <v>1.4783682944261782</v>
      </c>
      <c r="X189" s="35">
        <f t="shared" si="533"/>
        <v>1.0671343929789281</v>
      </c>
      <c r="Y189" s="35">
        <f t="shared" si="533"/>
        <v>1.2533818656216074</v>
      </c>
      <c r="Z189" s="35">
        <f t="shared" si="533"/>
        <v>1.2102858830020442</v>
      </c>
      <c r="AA189" s="35">
        <f t="shared" si="533"/>
        <v>1.2203311738070648</v>
      </c>
      <c r="AB189" s="35">
        <f t="shared" si="533"/>
        <v>0.83997443844685293</v>
      </c>
      <c r="AC189" s="35">
        <f t="shared" ref="AC189:AH189" si="534">AC162</f>
        <v>1.5424571787650325</v>
      </c>
      <c r="AD189" s="35">
        <f t="shared" si="534"/>
        <v>1.4160691647903683</v>
      </c>
      <c r="AE189" s="35">
        <f t="shared" si="534"/>
        <v>1.6548339223367459</v>
      </c>
      <c r="AF189" s="35">
        <f t="shared" si="534"/>
        <v>1.1849143094075376</v>
      </c>
      <c r="AG189" s="35">
        <f t="shared" si="534"/>
        <v>1.6003078082232598</v>
      </c>
      <c r="AH189" s="35">
        <f t="shared" si="534"/>
        <v>2.8974815862427179</v>
      </c>
      <c r="AI189" s="35">
        <f t="shared" ref="AI189:AN189" si="535">AI162</f>
        <v>2.8359347677515157</v>
      </c>
      <c r="AJ189" s="35">
        <f t="shared" si="535"/>
        <v>2.6669381432996908</v>
      </c>
      <c r="AK189" s="35">
        <f t="shared" si="535"/>
        <v>3.7679942187249074</v>
      </c>
      <c r="AL189" s="35">
        <f t="shared" si="535"/>
        <v>1.52139619667555</v>
      </c>
      <c r="AM189" s="35">
        <f t="shared" si="535"/>
        <v>1.2409551156982401</v>
      </c>
      <c r="AN189" s="35">
        <f t="shared" si="535"/>
        <v>0.55587710749643426</v>
      </c>
      <c r="AO189" s="35">
        <f>AO162</f>
        <v>0.81893941162516604</v>
      </c>
      <c r="AP189" s="35">
        <f>AP162</f>
        <v>0.7120852254240404</v>
      </c>
      <c r="AQ189" s="35">
        <f>AQ162</f>
        <v>0.99103446152583075</v>
      </c>
      <c r="AR189" s="35">
        <f t="shared" ref="AR189" si="536">AR162</f>
        <v>0.59092449571479799</v>
      </c>
      <c r="AS189" s="35">
        <f>AS162</f>
        <v>0.74171105438330043</v>
      </c>
      <c r="AT189" s="35">
        <f>AT162</f>
        <v>0.78904952881257018</v>
      </c>
      <c r="AU189" s="35">
        <f>AU162</f>
        <v>0.80613330557537055</v>
      </c>
      <c r="AV189" s="35">
        <f t="shared" ref="AV189" si="537">AV162</f>
        <v>0.32266980455365141</v>
      </c>
      <c r="AW189" s="35">
        <f>AW162</f>
        <v>0.49716148341433919</v>
      </c>
      <c r="AX189" s="35">
        <f>AX162</f>
        <v>0.55649164132063833</v>
      </c>
      <c r="AY189" s="35">
        <f>AY162</f>
        <v>0.68699477782668483</v>
      </c>
      <c r="AZ189" s="35">
        <f t="shared" ref="AZ189" si="538">AZ162</f>
        <v>0.36325344800042603</v>
      </c>
      <c r="BA189" s="35">
        <f>BA162</f>
        <v>0.61998281574056613</v>
      </c>
      <c r="BB189" s="35">
        <f>BB162</f>
        <v>1.3858468836546107</v>
      </c>
      <c r="BC189" s="35">
        <f>BC162</f>
        <v>1.3896436853119167</v>
      </c>
      <c r="BD189" s="35">
        <f t="shared" ref="BD189" si="539">BD162</f>
        <v>0.62427546727727767</v>
      </c>
      <c r="BE189" s="35">
        <f>BE162</f>
        <v>0.92643297417846671</v>
      </c>
      <c r="BF189" s="146"/>
      <c r="BG189" s="391"/>
      <c r="BH189" s="391"/>
      <c r="BI189" s="391"/>
    </row>
    <row r="190" spans="2:63" ht="13.5" customHeight="1">
      <c r="B190" s="1" t="s">
        <v>381</v>
      </c>
      <c r="C190" s="36">
        <f t="shared" ref="C190:H190" si="540">C166</f>
        <v>1.4181375673673273</v>
      </c>
      <c r="D190" s="36">
        <f t="shared" si="540"/>
        <v>1.3674451605019762</v>
      </c>
      <c r="E190" s="36">
        <f t="shared" si="540"/>
        <v>2.3196457579795582</v>
      </c>
      <c r="F190" s="36">
        <f t="shared" si="540"/>
        <v>2.5795044788594335</v>
      </c>
      <c r="G190" s="36">
        <f t="shared" si="540"/>
        <v>2.1285029014791541</v>
      </c>
      <c r="H190" s="36">
        <f t="shared" si="540"/>
        <v>2.0576962739939244</v>
      </c>
      <c r="I190" s="36">
        <f t="shared" ref="I190:O190" si="541">I166</f>
        <v>5.6014413153636688</v>
      </c>
      <c r="J190" s="36">
        <f t="shared" si="541"/>
        <v>1.9603243757346724</v>
      </c>
      <c r="K190" s="36">
        <f t="shared" si="541"/>
        <v>1.4383551452029577</v>
      </c>
      <c r="L190" s="36">
        <f t="shared" si="541"/>
        <v>1.2064826133545841</v>
      </c>
      <c r="M190" s="36">
        <f t="shared" si="541"/>
        <v>1.0216532296714416</v>
      </c>
      <c r="N190" s="36">
        <f t="shared" ref="N190" si="542">N166</f>
        <v>1.2969709782203525</v>
      </c>
      <c r="O190" s="36">
        <f t="shared" si="541"/>
        <v>2.0034340374930051</v>
      </c>
      <c r="P190" s="36"/>
      <c r="Q190" s="36"/>
      <c r="R190" s="36"/>
      <c r="S190" s="36"/>
      <c r="T190" s="36">
        <f t="shared" ref="T190:AB190" si="543">T166</f>
        <v>2.3196457579795582</v>
      </c>
      <c r="U190" s="36">
        <f t="shared" si="543"/>
        <v>2.4343684983429719</v>
      </c>
      <c r="V190" s="36">
        <f t="shared" si="543"/>
        <v>2.3584801202115986</v>
      </c>
      <c r="W190" s="36">
        <f t="shared" si="543"/>
        <v>2.701975040777933</v>
      </c>
      <c r="X190" s="36">
        <f t="shared" si="543"/>
        <v>2.5795044788594335</v>
      </c>
      <c r="Y190" s="36">
        <f t="shared" si="543"/>
        <v>2.4964908532553887</v>
      </c>
      <c r="Z190" s="36">
        <f t="shared" si="543"/>
        <v>2.3734956261273483</v>
      </c>
      <c r="AA190" s="36">
        <f t="shared" si="543"/>
        <v>2.1638395929861254</v>
      </c>
      <c r="AB190" s="36">
        <f t="shared" si="543"/>
        <v>2.1285029014791537</v>
      </c>
      <c r="AC190" s="36">
        <f t="shared" ref="AC190:AH190" si="544">AC166</f>
        <v>2.4292163641246258</v>
      </c>
      <c r="AD190" s="36">
        <f t="shared" si="544"/>
        <v>2.2484050080102724</v>
      </c>
      <c r="AE190" s="36">
        <f t="shared" si="544"/>
        <v>2.1388578399569442</v>
      </c>
      <c r="AF190" s="36">
        <f t="shared" si="544"/>
        <v>2.0576962739939244</v>
      </c>
      <c r="AG190" s="36">
        <f t="shared" si="544"/>
        <v>2.2906127458800292</v>
      </c>
      <c r="AH190" s="36">
        <f t="shared" si="544"/>
        <v>3.3266989267634464</v>
      </c>
      <c r="AI190" s="36">
        <f t="shared" ref="AI190:AN190" si="545">AI166</f>
        <v>4.4336561009817679</v>
      </c>
      <c r="AJ190" s="36">
        <f t="shared" si="545"/>
        <v>5.6014413153636688</v>
      </c>
      <c r="AK190" s="36">
        <f t="shared" si="545"/>
        <v>5.8256819641454642</v>
      </c>
      <c r="AL190" s="36">
        <f t="shared" si="545"/>
        <v>2.9989554969194705</v>
      </c>
      <c r="AM190" s="36">
        <f t="shared" si="545"/>
        <v>2.2080394760236106</v>
      </c>
      <c r="AN190" s="36">
        <f t="shared" si="545"/>
        <v>1.9603243757346724</v>
      </c>
      <c r="AO190" s="36">
        <f>AO166</f>
        <v>1.679602725362213</v>
      </c>
      <c r="AP190" s="36">
        <f>AP166</f>
        <v>1.6084727924714457</v>
      </c>
      <c r="AQ190" s="36">
        <f>AQ166</f>
        <v>1.4968346946920492</v>
      </c>
      <c r="AR190" s="36">
        <f t="shared" ref="AR190" si="546">AR166</f>
        <v>1.4383551452029577</v>
      </c>
      <c r="AS190" s="36">
        <f>AS166</f>
        <v>1.3844482846246366</v>
      </c>
      <c r="AT190" s="36">
        <f>AT166</f>
        <v>1.3136328070305743</v>
      </c>
      <c r="AU190" s="36">
        <f>AU166</f>
        <v>1.2939321897405107</v>
      </c>
      <c r="AV190" s="36">
        <f t="shared" ref="AV190" si="547">AV166</f>
        <v>1.2064826133545838</v>
      </c>
      <c r="AW190" s="36">
        <f>AW166</f>
        <v>1.1776919449863206</v>
      </c>
      <c r="AX190" s="36">
        <f>AX166</f>
        <v>1.1919750319169908</v>
      </c>
      <c r="AY190" s="36">
        <f>AY166</f>
        <v>1.1999264544183337</v>
      </c>
      <c r="AZ190" s="36">
        <f t="shared" ref="AZ190" si="548">AZ166</f>
        <v>1.0216532296714416</v>
      </c>
      <c r="BA190" s="36">
        <f>BA166</f>
        <v>1.6050032052145338</v>
      </c>
      <c r="BB190" s="36">
        <f>BB166</f>
        <v>1.6315067591653185</v>
      </c>
      <c r="BC190" s="36">
        <f>BC166</f>
        <v>1.6754263616311296</v>
      </c>
      <c r="BD190" s="36">
        <f t="shared" ref="BD190" si="549">BD166</f>
        <v>1.2969709782203525</v>
      </c>
      <c r="BE190" s="36">
        <f>BE166</f>
        <v>1.5391403390923504</v>
      </c>
      <c r="BF190" s="146"/>
      <c r="BG190" s="390"/>
      <c r="BH190" s="390"/>
      <c r="BI190" s="390"/>
    </row>
    <row r="191" spans="2:63" ht="13.5" customHeight="1">
      <c r="B191" s="5" t="s">
        <v>382</v>
      </c>
      <c r="C191" s="35">
        <f t="shared" ref="C191:H191" si="550">C165</f>
        <v>0.99129117045156356</v>
      </c>
      <c r="D191" s="35">
        <f t="shared" si="550"/>
        <v>0.82457995271380791</v>
      </c>
      <c r="E191" s="35">
        <f t="shared" si="550"/>
        <v>0.83479882316458842</v>
      </c>
      <c r="F191" s="35">
        <f t="shared" si="550"/>
        <v>1.7641198732780135</v>
      </c>
      <c r="G191" s="35">
        <f t="shared" si="550"/>
        <v>1.5234936539166908</v>
      </c>
      <c r="H191" s="35">
        <f t="shared" si="550"/>
        <v>1.2891731925850642</v>
      </c>
      <c r="I191" s="35">
        <f t="shared" ref="I191:O191" si="551">I165</f>
        <v>2.7238745799687818</v>
      </c>
      <c r="J191" s="35">
        <f t="shared" si="551"/>
        <v>0.61132301136888456</v>
      </c>
      <c r="K191" s="35">
        <f t="shared" si="551"/>
        <v>0.64530566215808038</v>
      </c>
      <c r="L191" s="35">
        <f>L165</f>
        <v>0.35863814642269498</v>
      </c>
      <c r="M191" s="35">
        <f t="shared" si="551"/>
        <v>0.36325344800042603</v>
      </c>
      <c r="N191" s="35">
        <f t="shared" ref="N191" si="552">N165</f>
        <v>0.62427546727727767</v>
      </c>
      <c r="O191" s="35">
        <f t="shared" si="551"/>
        <v>1.2058987129266927</v>
      </c>
      <c r="P191" s="35"/>
      <c r="Q191" s="35"/>
      <c r="R191" s="35"/>
      <c r="S191" s="35"/>
      <c r="T191" s="35">
        <f t="shared" ref="T191:AB191" si="553">T165</f>
        <v>0.83479882316458842</v>
      </c>
      <c r="U191" s="35">
        <f t="shared" si="553"/>
        <v>1.1483293448399166</v>
      </c>
      <c r="V191" s="35">
        <f t="shared" si="553"/>
        <v>2.0027340653230121</v>
      </c>
      <c r="W191" s="35">
        <f t="shared" si="553"/>
        <v>2.1407613909447352</v>
      </c>
      <c r="X191" s="35">
        <f t="shared" si="553"/>
        <v>1.7641198732780135</v>
      </c>
      <c r="Y191" s="35">
        <f t="shared" si="553"/>
        <v>1.9710549791486986</v>
      </c>
      <c r="Z191" s="35">
        <f t="shared" si="553"/>
        <v>1.9313323180863862</v>
      </c>
      <c r="AA191" s="35">
        <f t="shared" si="553"/>
        <v>1.8852388926214692</v>
      </c>
      <c r="AB191" s="35">
        <f t="shared" si="553"/>
        <v>1.5234936539166906</v>
      </c>
      <c r="AC191" s="35">
        <f t="shared" ref="AC191:AH191" si="554">AC165</f>
        <v>2.0044836709461031</v>
      </c>
      <c r="AD191" s="35">
        <f t="shared" si="554"/>
        <v>1.7694112350934006</v>
      </c>
      <c r="AE191" s="35">
        <f t="shared" si="554"/>
        <v>1.8974402240609556</v>
      </c>
      <c r="AF191" s="35">
        <f t="shared" si="554"/>
        <v>1.2891731925850642</v>
      </c>
      <c r="AG191" s="35">
        <f t="shared" si="554"/>
        <v>1.6969063757406271</v>
      </c>
      <c r="AH191" s="35">
        <f t="shared" si="554"/>
        <v>2.9916568905850545</v>
      </c>
      <c r="AI191" s="35">
        <f t="shared" ref="AI191:AN191" si="555">AI165</f>
        <v>2.9131472457319738</v>
      </c>
      <c r="AJ191" s="35">
        <f t="shared" si="555"/>
        <v>2.7238745799687818</v>
      </c>
      <c r="AK191" s="35">
        <f t="shared" si="555"/>
        <v>3.7816159729227836</v>
      </c>
      <c r="AL191" s="35">
        <f t="shared" si="555"/>
        <v>1.4944013064202319</v>
      </c>
      <c r="AM191" s="35">
        <f t="shared" si="555"/>
        <v>1.2302869672763708</v>
      </c>
      <c r="AN191" s="35">
        <f t="shared" si="555"/>
        <v>0.61132301136888456</v>
      </c>
      <c r="AO191" s="35">
        <f>AO165</f>
        <v>0.87052454725426953</v>
      </c>
      <c r="AP191" s="35">
        <f>AP165</f>
        <v>0.78352034986468611</v>
      </c>
      <c r="AQ191" s="35">
        <f>AQ165</f>
        <v>1.0495044950534314</v>
      </c>
      <c r="AR191" s="35">
        <f t="shared" ref="AR191" si="556">AR165</f>
        <v>0.64530566215808027</v>
      </c>
      <c r="AS191" s="35">
        <f>AS165</f>
        <v>0.78931689434886154</v>
      </c>
      <c r="AT191" s="35">
        <f>AT165</f>
        <v>0.81989332375595447</v>
      </c>
      <c r="AU191" s="35">
        <f>AU165</f>
        <v>0.84040754224639402</v>
      </c>
      <c r="AV191" s="35">
        <f t="shared" ref="AV191" si="557">AV165</f>
        <v>0.35863814642269493</v>
      </c>
      <c r="AW191" s="35">
        <f>AW165</f>
        <v>0.52844538646391548</v>
      </c>
      <c r="AX191" s="35">
        <f>AX165</f>
        <v>0.58156006422469797</v>
      </c>
      <c r="AY191" s="35">
        <f>AY165</f>
        <v>0.70796527692718292</v>
      </c>
      <c r="AZ191" s="35">
        <f t="shared" ref="AZ191" si="558">AZ165</f>
        <v>0.36325344800042603</v>
      </c>
      <c r="BA191" s="35">
        <f>BA165</f>
        <v>0.61998281574056613</v>
      </c>
      <c r="BB191" s="35">
        <f>BB165</f>
        <v>1.3858468836546107</v>
      </c>
      <c r="BC191" s="35">
        <f>BC165</f>
        <v>1.3896436853119167</v>
      </c>
      <c r="BD191" s="35">
        <f t="shared" ref="BD191" si="559">BD165</f>
        <v>0.62427546727727767</v>
      </c>
      <c r="BE191" s="35">
        <f>BE165</f>
        <v>0.92643297417846671</v>
      </c>
      <c r="BF191" s="146"/>
      <c r="BG191" s="391"/>
      <c r="BH191" s="391"/>
      <c r="BI191" s="391"/>
    </row>
    <row r="192" spans="2:63" ht="13.5" customHeight="1">
      <c r="B192" s="5"/>
      <c r="C192" s="35"/>
      <c r="D192" s="35"/>
      <c r="E192" s="35"/>
      <c r="F192" s="35"/>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35"/>
      <c r="AS192" s="35"/>
      <c r="AT192" s="35"/>
      <c r="AU192" s="35"/>
      <c r="AV192" s="35"/>
      <c r="AW192" s="35"/>
      <c r="AX192" s="35"/>
      <c r="AY192" s="35"/>
      <c r="AZ192" s="35"/>
      <c r="BA192" s="35"/>
      <c r="BB192" s="35"/>
      <c r="BC192" s="35"/>
      <c r="BD192" s="35"/>
      <c r="BE192" s="35"/>
      <c r="BF192" s="35"/>
      <c r="BG192" s="35"/>
      <c r="BH192" s="35"/>
      <c r="BI192" s="35"/>
      <c r="BJ192" s="35"/>
      <c r="BK192" s="35"/>
    </row>
    <row r="193" spans="2:61" ht="13.5" customHeight="1">
      <c r="B193" s="14" t="s">
        <v>383</v>
      </c>
      <c r="C193" s="33"/>
      <c r="D193" s="33"/>
      <c r="E193" s="33"/>
      <c r="F193" s="33"/>
      <c r="G193" s="33"/>
      <c r="H193" s="33"/>
      <c r="I193" s="33"/>
      <c r="J193" s="33"/>
      <c r="K193" s="33"/>
      <c r="L193" s="33"/>
      <c r="M193" s="33"/>
      <c r="N193" s="33"/>
      <c r="O193" s="33"/>
      <c r="P193" s="44"/>
      <c r="Q193" s="33"/>
      <c r="R193" s="15"/>
      <c r="S193" s="15"/>
      <c r="T193" s="15"/>
      <c r="U193" s="33"/>
      <c r="V193" s="33"/>
      <c r="W193" s="15"/>
      <c r="X193" s="33"/>
      <c r="Y193" s="15"/>
      <c r="Z193" s="33"/>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261"/>
      <c r="AZ193" s="15"/>
      <c r="BA193" s="15"/>
      <c r="BB193" s="15"/>
      <c r="BC193" s="261"/>
      <c r="BD193" s="15"/>
      <c r="BE193" s="15"/>
      <c r="BF193" s="146"/>
      <c r="BG193" s="138"/>
      <c r="BH193" s="138"/>
      <c r="BI193" s="138"/>
    </row>
    <row r="194" spans="2:61" s="2" customFormat="1" ht="13.5" customHeight="1">
      <c r="B194" s="58" t="s">
        <v>384</v>
      </c>
      <c r="C194" s="97">
        <f t="shared" ref="C194:O194" si="560">C3</f>
        <v>41975</v>
      </c>
      <c r="D194" s="97">
        <f t="shared" si="560"/>
        <v>42341</v>
      </c>
      <c r="E194" s="97">
        <f t="shared" si="560"/>
        <v>42708</v>
      </c>
      <c r="F194" s="97">
        <f t="shared" si="560"/>
        <v>43100</v>
      </c>
      <c r="G194" s="97">
        <f t="shared" si="560"/>
        <v>43465</v>
      </c>
      <c r="H194" s="97">
        <f t="shared" si="560"/>
        <v>43830</v>
      </c>
      <c r="I194" s="97">
        <f t="shared" si="560"/>
        <v>44196</v>
      </c>
      <c r="J194" s="97">
        <f t="shared" si="560"/>
        <v>44561</v>
      </c>
      <c r="K194" s="97">
        <f t="shared" si="560"/>
        <v>44926</v>
      </c>
      <c r="L194" s="97">
        <f t="shared" si="560"/>
        <v>45291</v>
      </c>
      <c r="M194" s="97">
        <f t="shared" si="560"/>
        <v>45657</v>
      </c>
      <c r="N194" s="97">
        <f t="shared" si="560"/>
        <v>46022</v>
      </c>
      <c r="O194" s="97">
        <f t="shared" si="560"/>
        <v>46112</v>
      </c>
      <c r="P194" s="327"/>
      <c r="Q194" s="97">
        <f t="shared" ref="Q194:BE194" si="561">Q3</f>
        <v>42437</v>
      </c>
      <c r="R194" s="97">
        <f t="shared" si="561"/>
        <v>42527</v>
      </c>
      <c r="S194" s="97">
        <f t="shared" si="561"/>
        <v>42622</v>
      </c>
      <c r="T194" s="97">
        <f t="shared" si="561"/>
        <v>42714</v>
      </c>
      <c r="U194" s="97">
        <f t="shared" si="561"/>
        <v>42801</v>
      </c>
      <c r="V194" s="97">
        <f t="shared" si="561"/>
        <v>42892</v>
      </c>
      <c r="W194" s="97">
        <f t="shared" si="561"/>
        <v>42987</v>
      </c>
      <c r="X194" s="97">
        <f t="shared" si="561"/>
        <v>43100</v>
      </c>
      <c r="Y194" s="97">
        <f t="shared" si="561"/>
        <v>43190</v>
      </c>
      <c r="Z194" s="97">
        <f t="shared" si="561"/>
        <v>43281</v>
      </c>
      <c r="AA194" s="97">
        <f t="shared" si="561"/>
        <v>43373</v>
      </c>
      <c r="AB194" s="97">
        <f t="shared" si="561"/>
        <v>43465</v>
      </c>
      <c r="AC194" s="97">
        <f t="shared" si="561"/>
        <v>43555</v>
      </c>
      <c r="AD194" s="97">
        <f t="shared" si="561"/>
        <v>43646</v>
      </c>
      <c r="AE194" s="97">
        <f t="shared" si="561"/>
        <v>43738</v>
      </c>
      <c r="AF194" s="97">
        <f t="shared" si="561"/>
        <v>43830</v>
      </c>
      <c r="AG194" s="97">
        <f t="shared" si="561"/>
        <v>43921</v>
      </c>
      <c r="AH194" s="97">
        <f t="shared" si="561"/>
        <v>44012</v>
      </c>
      <c r="AI194" s="97">
        <f t="shared" si="561"/>
        <v>44104</v>
      </c>
      <c r="AJ194" s="97">
        <f t="shared" si="561"/>
        <v>44196</v>
      </c>
      <c r="AK194" s="97">
        <f t="shared" si="561"/>
        <v>44286</v>
      </c>
      <c r="AL194" s="97">
        <f t="shared" si="561"/>
        <v>44377</v>
      </c>
      <c r="AM194" s="97">
        <f t="shared" si="561"/>
        <v>44469</v>
      </c>
      <c r="AN194" s="97">
        <f t="shared" si="561"/>
        <v>44561</v>
      </c>
      <c r="AO194" s="97">
        <f t="shared" si="561"/>
        <v>44651</v>
      </c>
      <c r="AP194" s="97">
        <f t="shared" si="561"/>
        <v>44742</v>
      </c>
      <c r="AQ194" s="97">
        <f t="shared" si="561"/>
        <v>44834</v>
      </c>
      <c r="AR194" s="97">
        <f t="shared" si="561"/>
        <v>44926</v>
      </c>
      <c r="AS194" s="97">
        <f t="shared" si="561"/>
        <v>45016</v>
      </c>
      <c r="AT194" s="97">
        <f t="shared" si="561"/>
        <v>45107</v>
      </c>
      <c r="AU194" s="97">
        <f t="shared" si="561"/>
        <v>45199</v>
      </c>
      <c r="AV194" s="97">
        <f t="shared" si="561"/>
        <v>45291</v>
      </c>
      <c r="AW194" s="97">
        <f t="shared" si="561"/>
        <v>45382</v>
      </c>
      <c r="AX194" s="97">
        <f t="shared" si="561"/>
        <v>45473</v>
      </c>
      <c r="AY194" s="97">
        <f t="shared" si="561"/>
        <v>45536</v>
      </c>
      <c r="AZ194" s="97">
        <f t="shared" si="561"/>
        <v>45657</v>
      </c>
      <c r="BA194" s="97">
        <f t="shared" si="561"/>
        <v>45747</v>
      </c>
      <c r="BB194" s="97">
        <f t="shared" si="561"/>
        <v>45838</v>
      </c>
      <c r="BC194" s="97">
        <f t="shared" si="561"/>
        <v>45901</v>
      </c>
      <c r="BD194" s="97">
        <f t="shared" si="561"/>
        <v>46022</v>
      </c>
      <c r="BE194" s="97">
        <f t="shared" si="561"/>
        <v>46112</v>
      </c>
      <c r="BF194" s="146"/>
      <c r="BG194" s="388"/>
      <c r="BH194" s="388"/>
      <c r="BI194" s="388"/>
    </row>
    <row r="195" spans="2:61" s="5" customFormat="1" ht="13.5" customHeight="1">
      <c r="B195" s="10"/>
      <c r="C195" s="12" t="s">
        <v>257</v>
      </c>
      <c r="D195" s="12" t="s">
        <v>257</v>
      </c>
      <c r="E195" s="12" t="s">
        <v>257</v>
      </c>
      <c r="F195" s="12" t="s">
        <v>257</v>
      </c>
      <c r="G195" s="12" t="s">
        <v>257</v>
      </c>
      <c r="H195" s="12" t="s">
        <v>257</v>
      </c>
      <c r="I195" s="12" t="s">
        <v>257</v>
      </c>
      <c r="J195" s="12" t="s">
        <v>257</v>
      </c>
      <c r="K195" s="12" t="s">
        <v>257</v>
      </c>
      <c r="L195" s="12" t="s">
        <v>257</v>
      </c>
      <c r="M195" s="12" t="s">
        <v>257</v>
      </c>
      <c r="N195" s="12" t="s">
        <v>257</v>
      </c>
      <c r="O195" s="12" t="s">
        <v>257</v>
      </c>
      <c r="P195" s="175"/>
      <c r="Q195" s="12" t="s">
        <v>257</v>
      </c>
      <c r="R195" s="12" t="s">
        <v>257</v>
      </c>
      <c r="S195" s="12" t="s">
        <v>257</v>
      </c>
      <c r="T195" s="12" t="s">
        <v>257</v>
      </c>
      <c r="U195" s="12" t="s">
        <v>257</v>
      </c>
      <c r="V195" s="12" t="s">
        <v>257</v>
      </c>
      <c r="W195" s="12" t="s">
        <v>257</v>
      </c>
      <c r="X195" s="124" t="s">
        <v>257</v>
      </c>
      <c r="Y195" s="12" t="s">
        <v>257</v>
      </c>
      <c r="Z195" s="12" t="s">
        <v>257</v>
      </c>
      <c r="AA195" s="12" t="s">
        <v>257</v>
      </c>
      <c r="AB195" s="12" t="s">
        <v>257</v>
      </c>
      <c r="AC195" s="12" t="s">
        <v>257</v>
      </c>
      <c r="AD195" s="12" t="s">
        <v>257</v>
      </c>
      <c r="AE195" s="12" t="s">
        <v>257</v>
      </c>
      <c r="AF195" s="12" t="s">
        <v>257</v>
      </c>
      <c r="AG195" s="12" t="s">
        <v>257</v>
      </c>
      <c r="AH195" s="12" t="s">
        <v>257</v>
      </c>
      <c r="AI195" s="12" t="s">
        <v>257</v>
      </c>
      <c r="AJ195" s="12" t="s">
        <v>257</v>
      </c>
      <c r="AK195" s="12" t="s">
        <v>257</v>
      </c>
      <c r="AL195" s="12" t="s">
        <v>257</v>
      </c>
      <c r="AM195" s="12" t="s">
        <v>257</v>
      </c>
      <c r="AN195" s="12" t="s">
        <v>257</v>
      </c>
      <c r="AO195" s="12" t="s">
        <v>257</v>
      </c>
      <c r="AP195" s="12" t="s">
        <v>257</v>
      </c>
      <c r="AQ195" s="12" t="s">
        <v>257</v>
      </c>
      <c r="AR195" s="12" t="s">
        <v>257</v>
      </c>
      <c r="AS195" s="12" t="s">
        <v>257</v>
      </c>
      <c r="AT195" s="12" t="s">
        <v>257</v>
      </c>
      <c r="AU195" s="12" t="s">
        <v>257</v>
      </c>
      <c r="AV195" s="12" t="s">
        <v>257</v>
      </c>
      <c r="AW195" s="12" t="s">
        <v>257</v>
      </c>
      <c r="AX195" s="12" t="s">
        <v>257</v>
      </c>
      <c r="AY195" s="12" t="s">
        <v>257</v>
      </c>
      <c r="AZ195" s="12" t="s">
        <v>257</v>
      </c>
      <c r="BA195" s="12" t="s">
        <v>257</v>
      </c>
      <c r="BB195" s="12" t="s">
        <v>257</v>
      </c>
      <c r="BC195" s="12" t="s">
        <v>257</v>
      </c>
      <c r="BD195" s="12" t="s">
        <v>257</v>
      </c>
      <c r="BE195" s="12" t="s">
        <v>257</v>
      </c>
      <c r="BF195" s="146"/>
      <c r="BG195" s="392"/>
      <c r="BH195" s="392"/>
      <c r="BI195" s="392"/>
    </row>
    <row r="196" spans="2:61" s="3" customFormat="1" ht="13.5" customHeight="1">
      <c r="C196" s="21" t="s">
        <v>259</v>
      </c>
      <c r="D196" s="21" t="s">
        <v>259</v>
      </c>
      <c r="E196" s="21" t="s">
        <v>259</v>
      </c>
      <c r="F196" s="21" t="s">
        <v>259</v>
      </c>
      <c r="G196" s="21" t="s">
        <v>259</v>
      </c>
      <c r="H196" s="21" t="s">
        <v>259</v>
      </c>
      <c r="I196" s="21" t="s">
        <v>259</v>
      </c>
      <c r="J196" s="21" t="s">
        <v>259</v>
      </c>
      <c r="K196" s="21" t="s">
        <v>259</v>
      </c>
      <c r="L196" s="21" t="s">
        <v>259</v>
      </c>
      <c r="M196" s="21" t="s">
        <v>259</v>
      </c>
      <c r="N196" s="21" t="s">
        <v>259</v>
      </c>
      <c r="O196" s="489" t="s">
        <v>255</v>
      </c>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146"/>
      <c r="BG196" s="166"/>
      <c r="BH196" s="166"/>
      <c r="BI196" s="166"/>
    </row>
    <row r="197" spans="2:61" s="5" customFormat="1" ht="13.5" customHeight="1">
      <c r="B197" s="5" t="str">
        <f t="shared" ref="B197:O197" si="562">B7</f>
        <v>Revenues</v>
      </c>
      <c r="C197" s="40">
        <f t="shared" si="562"/>
        <v>81213.589000000007</v>
      </c>
      <c r="D197" s="40">
        <f t="shared" si="562"/>
        <v>91292.888999999996</v>
      </c>
      <c r="E197" s="40">
        <f t="shared" si="562"/>
        <v>100441.53599999999</v>
      </c>
      <c r="F197" s="40">
        <f t="shared" si="562"/>
        <v>122168.27899999999</v>
      </c>
      <c r="G197" s="40">
        <f t="shared" si="562"/>
        <v>135534.75099999999</v>
      </c>
      <c r="H197" s="40">
        <f t="shared" si="562"/>
        <v>144233.50700000001</v>
      </c>
      <c r="I197" s="40">
        <f t="shared" si="562"/>
        <v>115472.5</v>
      </c>
      <c r="J197" s="40">
        <f t="shared" si="562"/>
        <v>151021.70000000001</v>
      </c>
      <c r="K197" s="40">
        <f t="shared" si="562"/>
        <v>176033.72</v>
      </c>
      <c r="L197" s="40">
        <f t="shared" si="562"/>
        <v>195991.62299999999</v>
      </c>
      <c r="M197" s="40">
        <f t="shared" si="562"/>
        <v>214847.87100000001</v>
      </c>
      <c r="N197" s="40">
        <f t="shared" si="562"/>
        <v>229136.595</v>
      </c>
      <c r="O197" s="40">
        <f t="shared" si="562"/>
        <v>172602.88100000002</v>
      </c>
      <c r="P197" s="40"/>
      <c r="Q197" s="40">
        <f t="shared" ref="Q197:BE197" si="563">Q7</f>
        <v>19084.189999999999</v>
      </c>
      <c r="R197" s="40">
        <f t="shared" si="563"/>
        <v>24284.51</v>
      </c>
      <c r="S197" s="40">
        <f t="shared" si="563"/>
        <v>21767.114000000001</v>
      </c>
      <c r="T197" s="40">
        <f t="shared" si="563"/>
        <v>35305.721999999994</v>
      </c>
      <c r="U197" s="40">
        <f t="shared" si="563"/>
        <v>20651.63</v>
      </c>
      <c r="V197" s="40">
        <f t="shared" si="563"/>
        <v>29902.902999999998</v>
      </c>
      <c r="W197" s="40">
        <f t="shared" si="563"/>
        <v>27067.465</v>
      </c>
      <c r="X197" s="40">
        <f t="shared" si="563"/>
        <v>44546.281000000003</v>
      </c>
      <c r="Y197" s="40">
        <f t="shared" si="563"/>
        <v>25262.394</v>
      </c>
      <c r="Z197" s="40">
        <f t="shared" si="563"/>
        <v>32633.386999999999</v>
      </c>
      <c r="AA197" s="40">
        <f t="shared" si="563"/>
        <v>29244.337</v>
      </c>
      <c r="AB197" s="40">
        <f t="shared" si="563"/>
        <v>48394.632999999987</v>
      </c>
      <c r="AC197" s="40">
        <f t="shared" si="563"/>
        <v>27469.264999999999</v>
      </c>
      <c r="AD197" s="40">
        <f t="shared" si="563"/>
        <v>35663.415000000001</v>
      </c>
      <c r="AE197" s="40">
        <f t="shared" si="563"/>
        <v>30145.769</v>
      </c>
      <c r="AF197" s="40">
        <f t="shared" si="563"/>
        <v>50955.058000000005</v>
      </c>
      <c r="AG197" s="40">
        <f t="shared" si="563"/>
        <v>26725.071</v>
      </c>
      <c r="AH197" s="40">
        <f t="shared" si="563"/>
        <v>14746.217000000001</v>
      </c>
      <c r="AI197" s="40">
        <f t="shared" si="563"/>
        <v>26913.19</v>
      </c>
      <c r="AJ197" s="40">
        <f t="shared" si="563"/>
        <v>47088.021999999997</v>
      </c>
      <c r="AK197" s="40">
        <f t="shared" si="563"/>
        <v>25586.257000000001</v>
      </c>
      <c r="AL197" s="40">
        <f t="shared" si="563"/>
        <v>37537.843999999997</v>
      </c>
      <c r="AM197" s="40">
        <f t="shared" si="563"/>
        <v>31828.929</v>
      </c>
      <c r="AN197" s="40">
        <f t="shared" si="563"/>
        <v>56068.670000000013</v>
      </c>
      <c r="AO197" s="40">
        <f t="shared" si="563"/>
        <v>32246.69</v>
      </c>
      <c r="AP197" s="40">
        <f t="shared" si="563"/>
        <v>42560.2</v>
      </c>
      <c r="AQ197" s="40">
        <f t="shared" si="563"/>
        <v>38053.964</v>
      </c>
      <c r="AR197" s="40">
        <f t="shared" si="563"/>
        <v>63172.865999999995</v>
      </c>
      <c r="AS197" s="40">
        <f t="shared" si="563"/>
        <v>37569.51</v>
      </c>
      <c r="AT197" s="40">
        <f t="shared" si="563"/>
        <v>47587.13</v>
      </c>
      <c r="AU197" s="40">
        <f t="shared" si="563"/>
        <v>41701.750999999997</v>
      </c>
      <c r="AV197" s="40">
        <f t="shared" si="563"/>
        <v>69133.231999999989</v>
      </c>
      <c r="AW197" s="40">
        <f t="shared" si="563"/>
        <v>41220.343000000001</v>
      </c>
      <c r="AX197" s="40">
        <f t="shared" si="563"/>
        <v>52237.464999999997</v>
      </c>
      <c r="AY197" s="40">
        <f t="shared" si="563"/>
        <v>46055.315000000002</v>
      </c>
      <c r="AZ197" s="40">
        <f t="shared" si="563"/>
        <v>75334.748000000021</v>
      </c>
      <c r="BA197" s="40">
        <f t="shared" si="563"/>
        <v>45527.398999999998</v>
      </c>
      <c r="BB197" s="40">
        <f t="shared" si="563"/>
        <v>56423.963000000003</v>
      </c>
      <c r="BC197" s="40">
        <f t="shared" si="563"/>
        <v>48061.900999999998</v>
      </c>
      <c r="BD197" s="40">
        <f t="shared" si="563"/>
        <v>79123.332000000024</v>
      </c>
      <c r="BE197" s="40">
        <f t="shared" si="563"/>
        <v>45417.648000000001</v>
      </c>
      <c r="BF197" s="146"/>
      <c r="BG197" s="393"/>
      <c r="BH197" s="393"/>
      <c r="BI197" s="393"/>
    </row>
    <row r="198" spans="2:61" s="25" customFormat="1" ht="13.5" customHeight="1">
      <c r="B198" s="19" t="str">
        <f t="shared" ref="B198:N198" si="564">B8</f>
        <v xml:space="preserve">% y-o-ygrowth </v>
      </c>
      <c r="C198" s="56">
        <f t="shared" si="564"/>
        <v>9.5919336236619968E-2</v>
      </c>
      <c r="D198" s="56">
        <f t="shared" si="564"/>
        <v>0.1241085405054565</v>
      </c>
      <c r="E198" s="56">
        <f t="shared" si="564"/>
        <v>0.10021204389752625</v>
      </c>
      <c r="F198" s="56">
        <f t="shared" si="564"/>
        <v>0.21631233317658549</v>
      </c>
      <c r="G198" s="56">
        <f t="shared" si="564"/>
        <v>0.10941033228437314</v>
      </c>
      <c r="H198" s="56">
        <f t="shared" si="564"/>
        <v>6.4181001077723732E-2</v>
      </c>
      <c r="I198" s="56">
        <f t="shared" si="564"/>
        <v>-0.19940586343782107</v>
      </c>
      <c r="J198" s="56">
        <f t="shared" si="564"/>
        <v>0.30785858104743569</v>
      </c>
      <c r="K198" s="56">
        <f t="shared" si="564"/>
        <v>0.16561871572098563</v>
      </c>
      <c r="L198" s="56">
        <f t="shared" si="564"/>
        <v>0.11337545442998076</v>
      </c>
      <c r="M198" s="56">
        <f t="shared" si="564"/>
        <v>9.6209458911414858E-2</v>
      </c>
      <c r="N198" s="56">
        <f t="shared" si="564"/>
        <v>6.6506239663878253E-2</v>
      </c>
      <c r="O198" s="56"/>
      <c r="P198" s="114"/>
      <c r="Q198" s="56">
        <f t="shared" ref="Q198:BE198" si="565">Q8</f>
        <v>0.12371426852075706</v>
      </c>
      <c r="R198" s="56">
        <f t="shared" si="565"/>
        <v>0.10048762759127916</v>
      </c>
      <c r="S198" s="56">
        <f t="shared" si="565"/>
        <v>0.10926388213520166</v>
      </c>
      <c r="T198" s="56">
        <f t="shared" si="565"/>
        <v>8.2333599019006609E-2</v>
      </c>
      <c r="U198" s="56">
        <f t="shared" si="565"/>
        <v>8.2132906872128375E-2</v>
      </c>
      <c r="V198" s="56">
        <f t="shared" si="565"/>
        <v>0.23135706670630785</v>
      </c>
      <c r="W198" s="37">
        <f t="shared" si="565"/>
        <v>0.24350269861222751</v>
      </c>
      <c r="X198" s="113">
        <f t="shared" si="565"/>
        <v>0.26172978419758719</v>
      </c>
      <c r="Y198" s="37">
        <f t="shared" si="565"/>
        <v>0.22326392638256642</v>
      </c>
      <c r="Z198" s="56">
        <f t="shared" si="565"/>
        <v>9.1311669639566384E-2</v>
      </c>
      <c r="AA198" s="56">
        <f t="shared" si="565"/>
        <v>8.2098965105855681E-2</v>
      </c>
      <c r="AB198" s="56">
        <f t="shared" si="565"/>
        <v>8.6389972711750751E-2</v>
      </c>
      <c r="AC198" s="56">
        <f t="shared" si="565"/>
        <v>8.7357951902737208E-2</v>
      </c>
      <c r="AD198" s="56">
        <f t="shared" si="565"/>
        <v>9.285055210481219E-2</v>
      </c>
      <c r="AE198" s="56">
        <f t="shared" si="565"/>
        <v>3.0824155801514763E-2</v>
      </c>
      <c r="AF198" s="56">
        <f t="shared" si="565"/>
        <v>5.2907209772621311E-2</v>
      </c>
      <c r="AG198" s="56">
        <f t="shared" si="565"/>
        <v>-2.7091878868983232E-2</v>
      </c>
      <c r="AH198" s="56">
        <f t="shared" si="565"/>
        <v>-0.58712228551806955</v>
      </c>
      <c r="AI198" s="56">
        <f t="shared" si="565"/>
        <v>-0.10723159857026709</v>
      </c>
      <c r="AJ198" s="56">
        <f t="shared" si="565"/>
        <v>-7.5891111732225069E-2</v>
      </c>
      <c r="AK198" s="56">
        <f t="shared" si="565"/>
        <v>-4.2612197363292248E-2</v>
      </c>
      <c r="AL198" s="56">
        <f t="shared" si="565"/>
        <v>1.5455914557611621</v>
      </c>
      <c r="AM198" s="56">
        <f t="shared" si="565"/>
        <v>0.18265166633907026</v>
      </c>
      <c r="AN198" s="56">
        <f t="shared" si="565"/>
        <v>0.19072043416901252</v>
      </c>
      <c r="AO198" s="56">
        <f t="shared" si="565"/>
        <v>0.26031290938725404</v>
      </c>
      <c r="AP198" s="56">
        <f t="shared" si="565"/>
        <v>0.13379447152052748</v>
      </c>
      <c r="AQ198" s="56">
        <f t="shared" si="565"/>
        <v>0.19557789707595874</v>
      </c>
      <c r="AR198" s="56">
        <f t="shared" si="565"/>
        <v>0.12670527051916847</v>
      </c>
      <c r="AS198" s="56">
        <f t="shared" si="565"/>
        <v>0.16506562378960465</v>
      </c>
      <c r="AT198" s="56">
        <f t="shared" si="565"/>
        <v>0.11811340172273632</v>
      </c>
      <c r="AU198" s="56">
        <f t="shared" si="565"/>
        <v>9.5858265908907558E-2</v>
      </c>
      <c r="AV198" s="56">
        <f t="shared" si="565"/>
        <v>9.4350096448054144E-2</v>
      </c>
      <c r="AW198" s="56">
        <f t="shared" si="565"/>
        <v>9.7175422303884096E-2</v>
      </c>
      <c r="AX198" s="56">
        <f t="shared" si="565"/>
        <v>9.7722535483858675E-2</v>
      </c>
      <c r="AY198" s="56">
        <f t="shared" si="565"/>
        <v>0.10439763068941654</v>
      </c>
      <c r="AZ198" s="56">
        <f t="shared" si="565"/>
        <v>8.9703834474280431E-2</v>
      </c>
      <c r="BA198" s="56">
        <f t="shared" si="565"/>
        <v>0.10448860165962226</v>
      </c>
      <c r="BB198" s="56">
        <f t="shared" si="565"/>
        <v>8.0143590428823686E-2</v>
      </c>
      <c r="BC198" s="56">
        <f t="shared" si="565"/>
        <v>4.356904300839104E-2</v>
      </c>
      <c r="BD198" s="56">
        <f t="shared" si="565"/>
        <v>5.0289993669322408E-2</v>
      </c>
      <c r="BE198" s="56">
        <f t="shared" si="565"/>
        <v>-2.4106582499913154E-3</v>
      </c>
      <c r="BF198" s="146"/>
      <c r="BG198" s="168"/>
      <c r="BH198" s="167"/>
      <c r="BI198" s="167"/>
    </row>
    <row r="199" spans="2:61" s="25" customFormat="1" ht="13.5" customHeight="1">
      <c r="B199" s="25" t="s">
        <v>385</v>
      </c>
      <c r="C199" s="8">
        <f t="shared" ref="C199:N199" si="566">C12</f>
        <v>6.2E-2</v>
      </c>
      <c r="D199" s="57">
        <f t="shared" si="566"/>
        <v>9.8000000000000004E-2</v>
      </c>
      <c r="E199" s="57">
        <f t="shared" si="566"/>
        <v>7.5999999999999998E-2</v>
      </c>
      <c r="F199" s="57">
        <f t="shared" si="566"/>
        <v>5.8000000000000003E-2</v>
      </c>
      <c r="G199" s="57">
        <f t="shared" si="566"/>
        <v>7.0999999999999994E-2</v>
      </c>
      <c r="H199" s="57">
        <f t="shared" si="566"/>
        <v>3.3000000000000002E-2</v>
      </c>
      <c r="I199" s="57">
        <f t="shared" si="566"/>
        <v>-0.217</v>
      </c>
      <c r="J199" s="57">
        <f t="shared" si="566"/>
        <v>0.35499999999999998</v>
      </c>
      <c r="K199" s="57">
        <f t="shared" si="566"/>
        <v>0.154</v>
      </c>
      <c r="L199" s="57">
        <f t="shared" si="566"/>
        <v>8.1000000000000003E-2</v>
      </c>
      <c r="M199" s="57">
        <f t="shared" si="566"/>
        <v>0</v>
      </c>
      <c r="N199" s="57">
        <f t="shared" si="566"/>
        <v>0</v>
      </c>
      <c r="O199" s="57"/>
      <c r="P199" s="114"/>
      <c r="Q199" s="57">
        <f t="shared" ref="Q199:BE199" si="567">Q12</f>
        <v>9.5000000000000001E-2</v>
      </c>
      <c r="R199" s="57">
        <f t="shared" si="567"/>
        <v>8.6999999999999994E-2</v>
      </c>
      <c r="S199" s="57">
        <f t="shared" si="567"/>
        <v>7.6999999999999999E-2</v>
      </c>
      <c r="T199" s="57">
        <f t="shared" si="567"/>
        <v>5.8000000000000003E-2</v>
      </c>
      <c r="U199" s="57">
        <f t="shared" si="567"/>
        <v>4.1000000000000002E-2</v>
      </c>
      <c r="V199" s="57">
        <f t="shared" si="567"/>
        <v>6.0999999999999999E-2</v>
      </c>
      <c r="W199" s="57">
        <f t="shared" si="567"/>
        <v>5.0999999999999997E-2</v>
      </c>
      <c r="X199" s="57">
        <f t="shared" si="567"/>
        <v>6.8000000000000005E-2</v>
      </c>
      <c r="Y199" s="57">
        <f t="shared" si="567"/>
        <v>5.8999999999999997E-2</v>
      </c>
      <c r="Z199" s="57">
        <f t="shared" si="567"/>
        <v>7.9000000000000001E-2</v>
      </c>
      <c r="AA199" s="57">
        <f t="shared" si="567"/>
        <v>7.0000000000000007E-2</v>
      </c>
      <c r="AB199" s="57">
        <f t="shared" si="567"/>
        <v>6.5000000000000002E-2</v>
      </c>
      <c r="AC199" s="57">
        <f t="shared" si="567"/>
        <v>4.1000000000000002E-2</v>
      </c>
      <c r="AD199" s="57">
        <f t="shared" si="567"/>
        <v>6.8000000000000005E-2</v>
      </c>
      <c r="AE199" s="57">
        <f t="shared" si="567"/>
        <v>-5.0000000000000001E-3</v>
      </c>
      <c r="AF199" s="57">
        <f t="shared" si="567"/>
        <v>2.8000000000000001E-2</v>
      </c>
      <c r="AG199" s="57">
        <f t="shared" si="567"/>
        <v>-0.05</v>
      </c>
      <c r="AH199" s="57">
        <f t="shared" si="567"/>
        <v>-0.63500000000000001</v>
      </c>
      <c r="AI199" s="57">
        <f t="shared" si="567"/>
        <v>-0.13300000000000001</v>
      </c>
      <c r="AJ199" s="57">
        <f t="shared" si="567"/>
        <v>-6.6000000000000003E-2</v>
      </c>
      <c r="AK199" s="57">
        <f t="shared" si="567"/>
        <v>-1.4999999999999999E-2</v>
      </c>
      <c r="AL199" s="57">
        <f t="shared" si="567"/>
        <v>1.921</v>
      </c>
      <c r="AM199" s="57">
        <f t="shared" si="567"/>
        <v>0.22700000000000001</v>
      </c>
      <c r="AN199" s="57">
        <f t="shared" si="567"/>
        <v>-6.6000000000000003E-2</v>
      </c>
      <c r="AO199" s="57">
        <f t="shared" si="567"/>
        <v>0.27200000000000002</v>
      </c>
      <c r="AP199" s="57">
        <f t="shared" si="567"/>
        <v>0.129</v>
      </c>
      <c r="AQ199" s="57">
        <f t="shared" si="567"/>
        <v>0.189</v>
      </c>
      <c r="AR199" s="57">
        <f t="shared" si="567"/>
        <v>0.10100000000000001</v>
      </c>
      <c r="AS199" s="57">
        <f t="shared" si="567"/>
        <v>0.13500000000000001</v>
      </c>
      <c r="AT199" s="57">
        <f t="shared" si="567"/>
        <v>8.4000000000000005E-2</v>
      </c>
      <c r="AU199" s="57">
        <f t="shared" si="567"/>
        <v>5.6000000000000001E-2</v>
      </c>
      <c r="AV199" s="57">
        <f t="shared" si="567"/>
        <v>6.9000000000000006E-2</v>
      </c>
      <c r="AW199" s="57">
        <f t="shared" si="567"/>
        <v>6.7000000000000004E-2</v>
      </c>
      <c r="AX199" s="57">
        <f t="shared" si="567"/>
        <v>0</v>
      </c>
      <c r="AY199" s="57">
        <f t="shared" si="567"/>
        <v>0</v>
      </c>
      <c r="AZ199" s="57">
        <f t="shared" si="567"/>
        <v>0</v>
      </c>
      <c r="BA199" s="57">
        <f t="shared" si="567"/>
        <v>0</v>
      </c>
      <c r="BB199" s="57">
        <f t="shared" si="567"/>
        <v>0</v>
      </c>
      <c r="BC199" s="57">
        <f t="shared" si="567"/>
        <v>0</v>
      </c>
      <c r="BD199" s="57">
        <f t="shared" si="567"/>
        <v>0</v>
      </c>
      <c r="BE199" s="57">
        <f t="shared" si="567"/>
        <v>0</v>
      </c>
      <c r="BF199" s="146"/>
      <c r="BG199" s="168"/>
      <c r="BH199" s="168"/>
      <c r="BI199" s="168"/>
    </row>
    <row r="200" spans="2:61" s="5" customFormat="1" ht="13.5" hidden="1" customHeight="1" outlineLevel="1" thickBot="1">
      <c r="B200" s="23"/>
      <c r="C200" s="8"/>
      <c r="D200" s="49"/>
      <c r="E200" s="49"/>
      <c r="F200" s="49"/>
      <c r="G200" s="49"/>
      <c r="H200" s="49"/>
      <c r="I200" s="49"/>
      <c r="J200" s="49"/>
      <c r="K200" s="49"/>
      <c r="L200" s="49"/>
      <c r="M200" s="49"/>
      <c r="N200" s="49"/>
      <c r="O200" s="49"/>
      <c r="P200" s="8"/>
      <c r="Q200" s="49"/>
      <c r="R200" s="49"/>
      <c r="S200" s="49"/>
      <c r="T200" s="49"/>
      <c r="U200" s="49"/>
      <c r="V200" s="49"/>
      <c r="W200" s="49"/>
      <c r="X200" s="49"/>
      <c r="Y200" s="49"/>
      <c r="Z200" s="49"/>
      <c r="AA200" s="49"/>
      <c r="AB200" s="49"/>
      <c r="AC200" s="49"/>
      <c r="AD200" s="49"/>
      <c r="AE200" s="49"/>
      <c r="AF200" s="49"/>
      <c r="AG200" s="49"/>
      <c r="AH200" s="49"/>
      <c r="AI200" s="49"/>
      <c r="AJ200" s="49"/>
      <c r="AK200" s="49"/>
      <c r="AL200" s="49"/>
      <c r="AM200" s="49"/>
      <c r="AN200" s="49"/>
      <c r="AO200" s="49"/>
      <c r="AP200" s="49"/>
      <c r="AQ200" s="49"/>
      <c r="AR200" s="49"/>
      <c r="AS200" s="49"/>
      <c r="AT200" s="49"/>
      <c r="AU200" s="49"/>
      <c r="AV200" s="49"/>
      <c r="AW200" s="49"/>
      <c r="AX200" s="49"/>
      <c r="AY200" s="49"/>
      <c r="AZ200" s="49"/>
      <c r="BA200" s="49"/>
      <c r="BB200" s="49"/>
      <c r="BC200" s="49"/>
      <c r="BD200" s="49"/>
      <c r="BE200" s="49"/>
      <c r="BF200" s="146"/>
      <c r="BG200" s="159"/>
      <c r="BH200" s="159"/>
      <c r="BI200" s="159"/>
    </row>
    <row r="201" spans="2:61" s="25" customFormat="1" ht="13.5" hidden="1" customHeight="1" outlineLevel="1" thickTop="1">
      <c r="B201" s="19"/>
      <c r="C201" s="37"/>
      <c r="D201" s="37"/>
      <c r="E201" s="37"/>
      <c r="F201" s="37"/>
      <c r="G201" s="37"/>
      <c r="H201" s="37"/>
      <c r="I201" s="37"/>
      <c r="J201" s="37"/>
      <c r="K201" s="37"/>
      <c r="L201" s="37"/>
      <c r="M201" s="37"/>
      <c r="N201" s="37"/>
      <c r="O201" s="37"/>
      <c r="P201" s="328"/>
      <c r="Q201" s="37"/>
      <c r="R201" s="37"/>
      <c r="S201" s="37"/>
      <c r="T201" s="37"/>
      <c r="U201" s="37"/>
      <c r="V201" s="37"/>
      <c r="W201" s="37"/>
      <c r="X201" s="113"/>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146"/>
      <c r="BG201" s="167"/>
      <c r="BH201" s="167"/>
      <c r="BI201" s="167"/>
    </row>
    <row r="202" spans="2:61" s="25" customFormat="1" ht="13.5" hidden="1" customHeight="1" outlineLevel="1">
      <c r="B202" s="19"/>
      <c r="C202" s="37"/>
      <c r="D202" s="37"/>
      <c r="E202" s="37"/>
      <c r="F202" s="37"/>
      <c r="G202" s="37"/>
      <c r="H202" s="37"/>
      <c r="I202" s="37"/>
      <c r="J202" s="37"/>
      <c r="K202" s="37"/>
      <c r="L202" s="37"/>
      <c r="M202" s="37"/>
      <c r="N202" s="37"/>
      <c r="O202" s="37"/>
      <c r="P202" s="328"/>
      <c r="Q202" s="37"/>
      <c r="R202" s="37"/>
      <c r="S202" s="37"/>
      <c r="T202" s="37"/>
      <c r="U202" s="37"/>
      <c r="V202" s="37"/>
      <c r="W202" s="37"/>
      <c r="X202" s="113"/>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146"/>
      <c r="BG202" s="167"/>
      <c r="BH202" s="167"/>
      <c r="BI202" s="167"/>
    </row>
    <row r="203" spans="2:61" ht="13.5" customHeight="1" collapsed="1">
      <c r="C203" s="38"/>
      <c r="R203" s="38"/>
      <c r="S203" s="38"/>
      <c r="T203" s="38"/>
      <c r="W203" s="38"/>
      <c r="X203" s="38"/>
      <c r="Y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146"/>
      <c r="BG203" s="138"/>
      <c r="BH203" s="394"/>
      <c r="BI203" s="394"/>
    </row>
    <row r="204" spans="2:61" s="5" customFormat="1" ht="13.5" customHeight="1" thickBot="1">
      <c r="B204" s="23" t="str">
        <f t="shared" ref="B204:O204" si="568">B46</f>
        <v xml:space="preserve">Adj. EBITDA </v>
      </c>
      <c r="C204" s="49">
        <f t="shared" si="568"/>
        <v>13023.603999999999</v>
      </c>
      <c r="D204" s="49">
        <f t="shared" si="568"/>
        <v>14870.388999999999</v>
      </c>
      <c r="E204" s="49">
        <f t="shared" si="568"/>
        <v>16050.911</v>
      </c>
      <c r="F204" s="49">
        <f t="shared" si="568"/>
        <v>18350.474999999999</v>
      </c>
      <c r="G204" s="49">
        <f t="shared" si="568"/>
        <v>20236.642</v>
      </c>
      <c r="H204" s="49">
        <f t="shared" si="568"/>
        <v>23876.6</v>
      </c>
      <c r="I204" s="49">
        <f t="shared" si="568"/>
        <v>9006.2999999999993</v>
      </c>
      <c r="J204" s="49">
        <f t="shared" si="568"/>
        <v>23908.7</v>
      </c>
      <c r="K204" s="49">
        <f t="shared" si="568"/>
        <v>30687</v>
      </c>
      <c r="L204" s="49">
        <f t="shared" si="568"/>
        <v>34991.699999999997</v>
      </c>
      <c r="M204" s="49">
        <f t="shared" si="568"/>
        <v>37558</v>
      </c>
      <c r="N204" s="49">
        <f t="shared" ref="N204" si="569">N46</f>
        <v>37558</v>
      </c>
      <c r="O204" s="49">
        <f t="shared" si="568"/>
        <v>28592</v>
      </c>
      <c r="P204" s="8"/>
      <c r="Q204" s="51">
        <f t="shared" ref="Q204:BA204" si="570">Q46</f>
        <v>2393.5819999999999</v>
      </c>
      <c r="R204" s="51">
        <f t="shared" si="570"/>
        <v>3805.9829999999988</v>
      </c>
      <c r="S204" s="51">
        <f t="shared" si="570"/>
        <v>2753.806</v>
      </c>
      <c r="T204" s="51">
        <f t="shared" si="570"/>
        <v>7097.5400000000009</v>
      </c>
      <c r="U204" s="155">
        <f t="shared" si="570"/>
        <v>2591.3960000000002</v>
      </c>
      <c r="V204" s="155">
        <f t="shared" si="570"/>
        <v>4462.9660000000003</v>
      </c>
      <c r="W204" s="155">
        <f t="shared" si="570"/>
        <v>2913.2109999999998</v>
      </c>
      <c r="X204" s="155">
        <f t="shared" si="570"/>
        <v>8382.9019999999982</v>
      </c>
      <c r="Y204" s="155">
        <f t="shared" si="570"/>
        <v>2352.3000000000002</v>
      </c>
      <c r="Z204" s="155">
        <f t="shared" si="570"/>
        <v>4871.2610000000004</v>
      </c>
      <c r="AA204" s="155">
        <f t="shared" si="570"/>
        <v>3723.085</v>
      </c>
      <c r="AB204" s="155">
        <f t="shared" si="570"/>
        <v>9289.9959999999992</v>
      </c>
      <c r="AC204" s="155">
        <f t="shared" si="570"/>
        <v>2953.1</v>
      </c>
      <c r="AD204" s="155">
        <f t="shared" si="570"/>
        <v>5673.5</v>
      </c>
      <c r="AE204" s="155">
        <f t="shared" si="570"/>
        <v>4244</v>
      </c>
      <c r="AF204" s="155">
        <f t="shared" si="570"/>
        <v>11005.999999999998</v>
      </c>
      <c r="AG204" s="155">
        <f t="shared" si="570"/>
        <v>2568.4</v>
      </c>
      <c r="AH204" s="155">
        <f t="shared" si="570"/>
        <v>-1838.5</v>
      </c>
      <c r="AI204" s="155">
        <f t="shared" si="570"/>
        <v>994</v>
      </c>
      <c r="AJ204" s="155">
        <f t="shared" si="570"/>
        <v>7282.4</v>
      </c>
      <c r="AK204" s="155">
        <f t="shared" si="570"/>
        <v>2279.9</v>
      </c>
      <c r="AL204" s="155">
        <f t="shared" si="570"/>
        <v>6066</v>
      </c>
      <c r="AM204" s="155">
        <f t="shared" si="570"/>
        <v>5232</v>
      </c>
      <c r="AN204" s="155">
        <f t="shared" si="570"/>
        <v>10330.800000000001</v>
      </c>
      <c r="AO204" s="155">
        <f t="shared" si="570"/>
        <v>4929.1000000000004</v>
      </c>
      <c r="AP204" s="155">
        <f t="shared" si="570"/>
        <v>7783.7</v>
      </c>
      <c r="AQ204" s="155">
        <f t="shared" si="570"/>
        <v>6189</v>
      </c>
      <c r="AR204" s="155">
        <f t="shared" si="570"/>
        <v>11785.199999999999</v>
      </c>
      <c r="AS204" s="155">
        <f t="shared" si="570"/>
        <v>5189.1000000000004</v>
      </c>
      <c r="AT204" s="155">
        <f t="shared" si="570"/>
        <v>8703</v>
      </c>
      <c r="AU204" s="155">
        <f t="shared" si="570"/>
        <v>6986</v>
      </c>
      <c r="AV204" s="155">
        <f t="shared" si="570"/>
        <v>14113.599999999997</v>
      </c>
      <c r="AW204" s="155">
        <f t="shared" si="570"/>
        <v>5915</v>
      </c>
      <c r="AX204" s="155">
        <f t="shared" si="570"/>
        <v>9283</v>
      </c>
      <c r="AY204" s="155">
        <f t="shared" si="570"/>
        <v>7493</v>
      </c>
      <c r="AZ204" s="155">
        <f t="shared" si="570"/>
        <v>14867</v>
      </c>
      <c r="BA204" s="155">
        <f t="shared" si="570"/>
        <v>5484</v>
      </c>
      <c r="BB204" s="155">
        <f t="shared" ref="BB204:BE204" si="571">BB46</f>
        <v>8625</v>
      </c>
      <c r="BC204" s="155">
        <f t="shared" si="571"/>
        <v>6386</v>
      </c>
      <c r="BD204" s="155">
        <f t="shared" si="571"/>
        <v>17063</v>
      </c>
      <c r="BE204" s="155">
        <f t="shared" si="571"/>
        <v>5143</v>
      </c>
      <c r="BF204" s="146"/>
      <c r="BG204" s="395"/>
      <c r="BH204" s="395"/>
      <c r="BI204" s="395"/>
    </row>
    <row r="205" spans="2:61" s="25" customFormat="1" ht="13.5" customHeight="1" thickTop="1">
      <c r="B205" s="19" t="str">
        <f>B47</f>
        <v xml:space="preserve">% growth </v>
      </c>
      <c r="C205" s="8"/>
      <c r="D205" s="56">
        <f t="shared" ref="D205:M205" si="572">D47</f>
        <v>0.14180291415494506</v>
      </c>
      <c r="E205" s="56">
        <f t="shared" si="572"/>
        <v>7.9387432299182104E-2</v>
      </c>
      <c r="F205" s="56">
        <f t="shared" si="572"/>
        <v>0.14326688373015073</v>
      </c>
      <c r="G205" s="56">
        <f t="shared" si="572"/>
        <v>0.10278573170449268</v>
      </c>
      <c r="H205" s="56">
        <f t="shared" si="572"/>
        <v>0.17986966414684802</v>
      </c>
      <c r="I205" s="56">
        <f t="shared" si="572"/>
        <v>-0.62279805332417515</v>
      </c>
      <c r="J205" s="56">
        <f t="shared" si="572"/>
        <v>1.6546639574520059</v>
      </c>
      <c r="K205" s="56">
        <f t="shared" si="572"/>
        <v>0.28350767712171709</v>
      </c>
      <c r="L205" s="56">
        <f t="shared" si="572"/>
        <v>0.14027764199824011</v>
      </c>
      <c r="M205" s="56">
        <f t="shared" si="572"/>
        <v>7.3340249259110202E-2</v>
      </c>
      <c r="N205" s="56">
        <f t="shared" ref="N205" si="573">N47</f>
        <v>0</v>
      </c>
      <c r="O205" s="56"/>
      <c r="P205" s="114"/>
      <c r="Q205" s="56"/>
      <c r="R205" s="56"/>
      <c r="S205" s="56"/>
      <c r="T205" s="56"/>
      <c r="U205" s="56">
        <f t="shared" ref="U205:BA205" si="574">U47</f>
        <v>8.2643502499601063E-2</v>
      </c>
      <c r="V205" s="56">
        <f t="shared" si="574"/>
        <v>0.17261847990387813</v>
      </c>
      <c r="W205" s="56">
        <f t="shared" si="574"/>
        <v>5.788534123318767E-2</v>
      </c>
      <c r="X205" s="115">
        <f t="shared" si="574"/>
        <v>0.18109964861064509</v>
      </c>
      <c r="Y205" s="56">
        <f t="shared" si="574"/>
        <v>-9.2265327259901553E-2</v>
      </c>
      <c r="Z205" s="56">
        <f t="shared" si="574"/>
        <v>9.1485124466554213E-2</v>
      </c>
      <c r="AA205" s="56">
        <f t="shared" si="574"/>
        <v>0.25671167614776524</v>
      </c>
      <c r="AB205" s="56">
        <f t="shared" si="574"/>
        <v>0.10820763501708619</v>
      </c>
      <c r="AC205" s="56">
        <f t="shared" si="574"/>
        <v>0.255409599115759</v>
      </c>
      <c r="AD205" s="56">
        <f t="shared" si="574"/>
        <v>0.16468815774806544</v>
      </c>
      <c r="AE205" s="56">
        <f t="shared" si="574"/>
        <v>0.13991488241606076</v>
      </c>
      <c r="AF205" s="56">
        <f t="shared" si="574"/>
        <v>0.1847152571432753</v>
      </c>
      <c r="AG205" s="56">
        <f t="shared" si="574"/>
        <v>-0.13026988588263178</v>
      </c>
      <c r="AH205" s="56">
        <f t="shared" si="574"/>
        <v>-1.321090502637186</v>
      </c>
      <c r="AI205" s="56">
        <f t="shared" si="574"/>
        <v>-0.76578699340245049</v>
      </c>
      <c r="AJ205" s="56">
        <f t="shared" si="574"/>
        <v>-0.33832455024532071</v>
      </c>
      <c r="AK205" s="56">
        <f t="shared" si="574"/>
        <v>-0.11232674038311785</v>
      </c>
      <c r="AL205" s="56">
        <f t="shared" si="574"/>
        <v>-4.2994288822409574</v>
      </c>
      <c r="AM205" s="56">
        <f t="shared" si="574"/>
        <v>4.2635814889336014</v>
      </c>
      <c r="AN205" s="56">
        <f t="shared" si="574"/>
        <v>0.41859826430847002</v>
      </c>
      <c r="AO205" s="56">
        <f t="shared" si="574"/>
        <v>1.1619807886310802</v>
      </c>
      <c r="AP205" s="56">
        <f t="shared" si="574"/>
        <v>0.28316848005275297</v>
      </c>
      <c r="AQ205" s="56">
        <f t="shared" si="574"/>
        <v>0.18291284403669716</v>
      </c>
      <c r="AR205" s="56">
        <f t="shared" si="574"/>
        <v>0.14078290161458917</v>
      </c>
      <c r="AS205" s="56">
        <f t="shared" si="574"/>
        <v>5.2747966160150872E-2</v>
      </c>
      <c r="AT205" s="56">
        <f t="shared" si="574"/>
        <v>0.11810578516643755</v>
      </c>
      <c r="AU205" s="56">
        <f t="shared" si="574"/>
        <v>0.1287768621748262</v>
      </c>
      <c r="AV205" s="56">
        <f t="shared" si="574"/>
        <v>0.19756983335030354</v>
      </c>
      <c r="AW205" s="56">
        <f t="shared" si="574"/>
        <v>0.13988938351544578</v>
      </c>
      <c r="AX205" s="56">
        <f t="shared" si="574"/>
        <v>6.6643686085257947E-2</v>
      </c>
      <c r="AY205" s="56">
        <f t="shared" si="574"/>
        <v>7.2573718866304038E-2</v>
      </c>
      <c r="AZ205" s="56">
        <f t="shared" si="574"/>
        <v>5.3381135925632206E-2</v>
      </c>
      <c r="BA205" s="56">
        <f t="shared" si="574"/>
        <v>-7.2865595942519068E-2</v>
      </c>
      <c r="BB205" s="56">
        <f t="shared" ref="BB205:BE205" si="575">BB47</f>
        <v>-7.0882257890768074E-2</v>
      </c>
      <c r="BC205" s="56">
        <f t="shared" si="575"/>
        <v>-0.14773788869611637</v>
      </c>
      <c r="BD205" s="56">
        <f t="shared" si="575"/>
        <v>0.14770969260778899</v>
      </c>
      <c r="BE205" s="56">
        <f t="shared" si="575"/>
        <v>-6.2180889861415012E-2</v>
      </c>
      <c r="BG205" s="168"/>
      <c r="BH205" s="168"/>
      <c r="BI205" s="168"/>
    </row>
    <row r="206" spans="2:61" s="25" customFormat="1" ht="13.5" customHeight="1">
      <c r="B206" s="19" t="str">
        <f>B48</f>
        <v>% margin</v>
      </c>
      <c r="C206" s="8">
        <f>C48</f>
        <v>0.16036237482375024</v>
      </c>
      <c r="D206" s="56">
        <f t="shared" ref="D206:M206" si="576">D48</f>
        <v>0.16288660774006178</v>
      </c>
      <c r="E206" s="56">
        <f t="shared" si="576"/>
        <v>0.15980351993024083</v>
      </c>
      <c r="F206" s="56">
        <f t="shared" si="576"/>
        <v>0.15020654420449026</v>
      </c>
      <c r="G206" s="56">
        <f t="shared" si="576"/>
        <v>0.14930961875600451</v>
      </c>
      <c r="H206" s="56">
        <f t="shared" si="576"/>
        <v>0.16554128438407864</v>
      </c>
      <c r="I206" s="56">
        <f t="shared" si="576"/>
        <v>7.7995193660828327E-2</v>
      </c>
      <c r="J206" s="56">
        <f t="shared" si="576"/>
        <v>0.15831301064681433</v>
      </c>
      <c r="K206" s="56">
        <f t="shared" si="576"/>
        <v>0.17432455554538073</v>
      </c>
      <c r="L206" s="56">
        <f t="shared" si="576"/>
        <v>0.17853671225529877</v>
      </c>
      <c r="M206" s="56">
        <f t="shared" si="576"/>
        <v>0.17481206504485211</v>
      </c>
      <c r="N206" s="56">
        <f t="shared" ref="N206" si="577">N48</f>
        <v>0.16391096324007084</v>
      </c>
      <c r="O206" s="56">
        <f>O48</f>
        <v>0.16565192790727518</v>
      </c>
      <c r="P206" s="114"/>
      <c r="Q206" s="56">
        <f>Q48</f>
        <v>0.12542224742050881</v>
      </c>
      <c r="R206" s="56">
        <f>R48</f>
        <v>0.15672471876105382</v>
      </c>
      <c r="S206" s="56">
        <f>S48</f>
        <v>0.12651222389885952</v>
      </c>
      <c r="T206" s="56">
        <f>T48</f>
        <v>0.20103086972700918</v>
      </c>
      <c r="U206" s="56">
        <f t="shared" ref="U206:BA206" si="578">U48</f>
        <v>0.1254814268897903</v>
      </c>
      <c r="V206" s="56">
        <f t="shared" si="578"/>
        <v>0.14924858633290555</v>
      </c>
      <c r="W206" s="56">
        <f t="shared" si="578"/>
        <v>0.10762777378672143</v>
      </c>
      <c r="X206" s="115">
        <f t="shared" si="578"/>
        <v>0.18818410452715453</v>
      </c>
      <c r="Y206" s="56">
        <f t="shared" si="578"/>
        <v>9.3114690555455681E-2</v>
      </c>
      <c r="Z206" s="56">
        <f t="shared" si="578"/>
        <v>0.14927230814257805</v>
      </c>
      <c r="AA206" s="56">
        <f t="shared" si="578"/>
        <v>0.12730960527503155</v>
      </c>
      <c r="AB206" s="56">
        <f t="shared" si="578"/>
        <v>0.19196335263044564</v>
      </c>
      <c r="AC206" s="56">
        <f t="shared" si="578"/>
        <v>0.10750560672082052</v>
      </c>
      <c r="AD206" s="56">
        <f t="shared" si="578"/>
        <v>0.15908459691815829</v>
      </c>
      <c r="AE206" s="56">
        <f t="shared" si="578"/>
        <v>0.14078260866392228</v>
      </c>
      <c r="AF206" s="56">
        <f t="shared" si="578"/>
        <v>0.21599425909788969</v>
      </c>
      <c r="AG206" s="56">
        <f t="shared" si="578"/>
        <v>9.6104515494084192E-2</v>
      </c>
      <c r="AH206" s="56">
        <f t="shared" si="578"/>
        <v>-0.12467604403217449</v>
      </c>
      <c r="AI206" s="56">
        <f t="shared" si="578"/>
        <v>3.6933563059600147E-2</v>
      </c>
      <c r="AJ206" s="56">
        <f t="shared" si="578"/>
        <v>0.15465504157299281</v>
      </c>
      <c r="AK206" s="56">
        <f t="shared" si="578"/>
        <v>8.9106429283501681E-2</v>
      </c>
      <c r="AL206" s="56">
        <f t="shared" si="578"/>
        <v>0.16159692069688394</v>
      </c>
      <c r="AM206" s="56">
        <f t="shared" si="578"/>
        <v>0.16437876373408605</v>
      </c>
      <c r="AN206" s="56">
        <f t="shared" si="578"/>
        <v>0.18425263163902406</v>
      </c>
      <c r="AO206" s="56">
        <f t="shared" si="578"/>
        <v>0.15285599855365001</v>
      </c>
      <c r="AP206" s="56">
        <f t="shared" si="578"/>
        <v>0.18288682853933957</v>
      </c>
      <c r="AQ206" s="56">
        <f t="shared" si="578"/>
        <v>0.16263745874148616</v>
      </c>
      <c r="AR206" s="56">
        <f t="shared" si="578"/>
        <v>0.18655477812261992</v>
      </c>
      <c r="AS206" s="56">
        <f t="shared" si="578"/>
        <v>0.13811998080358248</v>
      </c>
      <c r="AT206" s="56">
        <f t="shared" si="578"/>
        <v>0.18288558271952943</v>
      </c>
      <c r="AU206" s="56">
        <f t="shared" si="578"/>
        <v>0.16752294166256954</v>
      </c>
      <c r="AV206" s="56">
        <f t="shared" si="578"/>
        <v>0.20415073318140253</v>
      </c>
      <c r="AW206" s="56">
        <f t="shared" si="578"/>
        <v>0.14349710772663876</v>
      </c>
      <c r="AX206" s="56">
        <f t="shared" si="578"/>
        <v>0.1777077046139203</v>
      </c>
      <c r="AY206" s="56">
        <f t="shared" si="578"/>
        <v>0.16269566281329309</v>
      </c>
      <c r="AZ206" s="56">
        <f t="shared" si="578"/>
        <v>0.19734585161152987</v>
      </c>
      <c r="BA206" s="56">
        <f t="shared" si="578"/>
        <v>0.12045493747622174</v>
      </c>
      <c r="BB206" s="56">
        <f t="shared" ref="BB206:BE206" si="579">BB48</f>
        <v>0.15286058513826828</v>
      </c>
      <c r="BC206" s="56">
        <f t="shared" si="579"/>
        <v>0.13287031655281384</v>
      </c>
      <c r="BD206" s="56">
        <f t="shared" si="579"/>
        <v>0.21565067558075024</v>
      </c>
      <c r="BE206" s="56">
        <f t="shared" si="579"/>
        <v>0.11323792020229669</v>
      </c>
      <c r="BG206" s="168"/>
      <c r="BH206" s="168"/>
      <c r="BI206" s="168"/>
    </row>
    <row r="207" spans="2:61" ht="13.5" customHeight="1">
      <c r="C207" s="38"/>
      <c r="R207" s="38"/>
      <c r="S207" s="38"/>
      <c r="T207" s="38"/>
      <c r="W207" s="38"/>
      <c r="X207" s="38"/>
      <c r="Y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G207" s="138"/>
      <c r="BH207" s="394"/>
      <c r="BI207" s="394"/>
    </row>
    <row r="208" spans="2:61" s="5" customFormat="1" ht="13.5" customHeight="1">
      <c r="B208" s="5" t="str">
        <f t="shared" ref="B208:O208" si="580">B61</f>
        <v xml:space="preserve">Adjusted EBITDA </v>
      </c>
      <c r="C208" s="84">
        <f t="shared" si="580"/>
        <v>13023.603999999999</v>
      </c>
      <c r="D208" s="84">
        <f t="shared" si="580"/>
        <v>14870.388999999999</v>
      </c>
      <c r="E208" s="84">
        <f t="shared" si="580"/>
        <v>16050.911</v>
      </c>
      <c r="F208" s="84">
        <f t="shared" si="580"/>
        <v>18350.474999999999</v>
      </c>
      <c r="G208" s="84">
        <f t="shared" si="580"/>
        <v>20236.642</v>
      </c>
      <c r="H208" s="84">
        <f t="shared" si="580"/>
        <v>23876.6</v>
      </c>
      <c r="I208" s="84">
        <f t="shared" si="580"/>
        <v>9006.2999999999993</v>
      </c>
      <c r="J208" s="84">
        <f t="shared" si="580"/>
        <v>23908.7</v>
      </c>
      <c r="K208" s="84">
        <f t="shared" si="580"/>
        <v>30687</v>
      </c>
      <c r="L208" s="84">
        <f t="shared" si="580"/>
        <v>34991.699999999997</v>
      </c>
      <c r="M208" s="84">
        <f t="shared" si="580"/>
        <v>37558</v>
      </c>
      <c r="N208" s="84">
        <f t="shared" ref="N208" si="581">N61</f>
        <v>37558</v>
      </c>
      <c r="O208" s="84">
        <f t="shared" si="580"/>
        <v>28592</v>
      </c>
      <c r="P208" s="79"/>
      <c r="Q208" s="84">
        <f t="shared" ref="Q208:BA208" si="582">Q61</f>
        <v>2393.5819999999999</v>
      </c>
      <c r="R208" s="84">
        <f t="shared" si="582"/>
        <v>3805.9829999999988</v>
      </c>
      <c r="S208" s="84">
        <f t="shared" si="582"/>
        <v>2753.806</v>
      </c>
      <c r="T208" s="84">
        <f t="shared" si="582"/>
        <v>7097.5400000000009</v>
      </c>
      <c r="U208" s="84">
        <f t="shared" si="582"/>
        <v>2591.3960000000002</v>
      </c>
      <c r="V208" s="84">
        <f t="shared" si="582"/>
        <v>4462.9660000000003</v>
      </c>
      <c r="W208" s="84">
        <f t="shared" si="582"/>
        <v>2913.2109999999998</v>
      </c>
      <c r="X208" s="79">
        <f t="shared" si="582"/>
        <v>8382.9019999999982</v>
      </c>
      <c r="Y208" s="84">
        <f t="shared" si="582"/>
        <v>2352.3000000000002</v>
      </c>
      <c r="Z208" s="84">
        <f t="shared" si="582"/>
        <v>4871.2610000000004</v>
      </c>
      <c r="AA208" s="84">
        <f t="shared" si="582"/>
        <v>3723.085</v>
      </c>
      <c r="AB208" s="84">
        <f t="shared" si="582"/>
        <v>9289.9959999999992</v>
      </c>
      <c r="AC208" s="84">
        <f t="shared" si="582"/>
        <v>2953.1</v>
      </c>
      <c r="AD208" s="84">
        <f t="shared" si="582"/>
        <v>5673.5</v>
      </c>
      <c r="AE208" s="84">
        <f t="shared" si="582"/>
        <v>4244</v>
      </c>
      <c r="AF208" s="84">
        <f t="shared" si="582"/>
        <v>11005.999999999998</v>
      </c>
      <c r="AG208" s="84">
        <f t="shared" si="582"/>
        <v>2568.4</v>
      </c>
      <c r="AH208" s="84">
        <f t="shared" si="582"/>
        <v>-1838.5</v>
      </c>
      <c r="AI208" s="84">
        <f t="shared" si="582"/>
        <v>994</v>
      </c>
      <c r="AJ208" s="84">
        <f t="shared" si="582"/>
        <v>7282.4</v>
      </c>
      <c r="AK208" s="84">
        <f t="shared" si="582"/>
        <v>2279.9</v>
      </c>
      <c r="AL208" s="84">
        <f t="shared" si="582"/>
        <v>6066</v>
      </c>
      <c r="AM208" s="84">
        <f t="shared" si="582"/>
        <v>5232</v>
      </c>
      <c r="AN208" s="84">
        <f t="shared" si="582"/>
        <v>10330.800000000001</v>
      </c>
      <c r="AO208" s="84">
        <f t="shared" si="582"/>
        <v>4929.1000000000004</v>
      </c>
      <c r="AP208" s="84">
        <f t="shared" si="582"/>
        <v>7783.7</v>
      </c>
      <c r="AQ208" s="84">
        <f t="shared" si="582"/>
        <v>6189</v>
      </c>
      <c r="AR208" s="84">
        <f t="shared" si="582"/>
        <v>11785.199999999999</v>
      </c>
      <c r="AS208" s="84">
        <f t="shared" si="582"/>
        <v>5189.1000000000004</v>
      </c>
      <c r="AT208" s="84">
        <f t="shared" si="582"/>
        <v>8703</v>
      </c>
      <c r="AU208" s="84">
        <f t="shared" si="582"/>
        <v>6986</v>
      </c>
      <c r="AV208" s="84">
        <f t="shared" si="582"/>
        <v>14113.599999999997</v>
      </c>
      <c r="AW208" s="84">
        <f t="shared" si="582"/>
        <v>5915</v>
      </c>
      <c r="AX208" s="84">
        <f t="shared" si="582"/>
        <v>9283</v>
      </c>
      <c r="AY208" s="84">
        <f t="shared" si="582"/>
        <v>7493</v>
      </c>
      <c r="AZ208" s="84">
        <f t="shared" si="582"/>
        <v>14867</v>
      </c>
      <c r="BA208" s="84">
        <f t="shared" si="582"/>
        <v>5484</v>
      </c>
      <c r="BB208" s="84">
        <f t="shared" ref="BB208:BE208" si="583">BB61</f>
        <v>8625</v>
      </c>
      <c r="BC208" s="84">
        <f t="shared" si="583"/>
        <v>6386</v>
      </c>
      <c r="BD208" s="84">
        <f t="shared" si="583"/>
        <v>17063</v>
      </c>
      <c r="BE208" s="84">
        <f t="shared" si="583"/>
        <v>5143</v>
      </c>
      <c r="BG208" s="163"/>
      <c r="BH208" s="163"/>
      <c r="BI208" s="163"/>
    </row>
    <row r="209" spans="2:61" ht="13.5" customHeight="1">
      <c r="B209" s="1" t="str">
        <f t="shared" ref="B209:O209" si="584">B62</f>
        <v>Working Capital</v>
      </c>
      <c r="C209" s="95">
        <f t="shared" si="584"/>
        <v>-3714.375</v>
      </c>
      <c r="D209" s="95">
        <f t="shared" si="584"/>
        <v>-5472.6280000000006</v>
      </c>
      <c r="E209" s="90">
        <f t="shared" si="584"/>
        <v>-5436.9650000000001</v>
      </c>
      <c r="F209" s="90">
        <f t="shared" si="584"/>
        <v>-4256.8720000000003</v>
      </c>
      <c r="G209" s="90">
        <f t="shared" si="584"/>
        <v>-7304.9139999999998</v>
      </c>
      <c r="H209" s="90">
        <f t="shared" si="584"/>
        <v>-8318.0952000000016</v>
      </c>
      <c r="I209" s="90">
        <f t="shared" si="584"/>
        <v>4899.4220000000005</v>
      </c>
      <c r="J209" s="90">
        <f t="shared" si="584"/>
        <v>-3892.9219999999991</v>
      </c>
      <c r="K209" s="90">
        <f t="shared" si="584"/>
        <v>-10897.621999999999</v>
      </c>
      <c r="L209" s="90">
        <f t="shared" si="584"/>
        <v>-9163.43</v>
      </c>
      <c r="M209" s="90">
        <f t="shared" si="584"/>
        <v>-17503.182000000001</v>
      </c>
      <c r="N209" s="90">
        <f t="shared" ref="N209" si="585">N62</f>
        <v>-13143.506000000001</v>
      </c>
      <c r="O209" s="90">
        <f t="shared" si="584"/>
        <v>5034.248999999998</v>
      </c>
      <c r="P209" s="329"/>
      <c r="Q209" s="90">
        <f t="shared" ref="Q209:BA209" si="586">Q62</f>
        <v>-4295.7340000000004</v>
      </c>
      <c r="R209" s="90">
        <f t="shared" si="586"/>
        <v>-831.07699999999932</v>
      </c>
      <c r="S209" s="90">
        <f t="shared" si="586"/>
        <v>-402.45399999999972</v>
      </c>
      <c r="T209" s="90">
        <f t="shared" si="586"/>
        <v>92.299999999999272</v>
      </c>
      <c r="U209" s="90">
        <f t="shared" si="586"/>
        <v>-5393.726999999999</v>
      </c>
      <c r="V209" s="90">
        <f t="shared" si="586"/>
        <v>-40.25800000000163</v>
      </c>
      <c r="W209" s="90">
        <f t="shared" si="586"/>
        <v>-1815.9239999999991</v>
      </c>
      <c r="X209" s="116">
        <f t="shared" si="586"/>
        <v>2993.0369999999994</v>
      </c>
      <c r="Y209" s="90">
        <f t="shared" si="586"/>
        <v>-4953.6560000000009</v>
      </c>
      <c r="Z209" s="90">
        <f t="shared" si="586"/>
        <v>703.58000000000175</v>
      </c>
      <c r="AA209" s="90">
        <f t="shared" si="586"/>
        <v>-4010.7590000000018</v>
      </c>
      <c r="AB209" s="90">
        <f t="shared" si="586"/>
        <v>955.92100000000119</v>
      </c>
      <c r="AC209" s="90">
        <f t="shared" si="586"/>
        <v>-4811.3369999999995</v>
      </c>
      <c r="AD209" s="90">
        <f t="shared" si="586"/>
        <v>-450.98800000000028</v>
      </c>
      <c r="AE209" s="90">
        <f t="shared" si="586"/>
        <v>-6599.3630000000012</v>
      </c>
      <c r="AF209" s="90">
        <f t="shared" si="586"/>
        <v>3543.5927999999994</v>
      </c>
      <c r="AG209" s="90">
        <f t="shared" si="586"/>
        <v>-4953.7350000000006</v>
      </c>
      <c r="AH209" s="90">
        <f t="shared" si="586"/>
        <v>-5436.1709999999985</v>
      </c>
      <c r="AI209" s="90">
        <f t="shared" si="586"/>
        <v>10025.817999999999</v>
      </c>
      <c r="AJ209" s="90">
        <f t="shared" si="586"/>
        <v>5263.51</v>
      </c>
      <c r="AK209" s="90">
        <f t="shared" si="586"/>
        <v>-7360.728000000001</v>
      </c>
      <c r="AL209" s="90">
        <f t="shared" si="586"/>
        <v>2761.5620000000008</v>
      </c>
      <c r="AM209" s="90">
        <f t="shared" si="586"/>
        <v>-4050.9329999999991</v>
      </c>
      <c r="AN209" s="90">
        <f t="shared" si="586"/>
        <v>4757.1769999999997</v>
      </c>
      <c r="AO209" s="90">
        <f t="shared" si="586"/>
        <v>-8486.646999999999</v>
      </c>
      <c r="AP209" s="90">
        <f t="shared" si="586"/>
        <v>-1216.8720000000012</v>
      </c>
      <c r="AQ209" s="90">
        <f t="shared" si="586"/>
        <v>-7128.268</v>
      </c>
      <c r="AR209" s="90">
        <f t="shared" si="586"/>
        <v>5934.1650000000009</v>
      </c>
      <c r="AS209" s="90">
        <f t="shared" si="586"/>
        <v>-8160.9880000000012</v>
      </c>
      <c r="AT209" s="90">
        <f t="shared" si="586"/>
        <v>-4045.6129999999994</v>
      </c>
      <c r="AU209" s="90">
        <f t="shared" si="586"/>
        <v>-4407.3999999999996</v>
      </c>
      <c r="AV209" s="90">
        <f t="shared" si="586"/>
        <v>7450.5709999999999</v>
      </c>
      <c r="AW209" s="90">
        <f t="shared" si="586"/>
        <v>-7826.67</v>
      </c>
      <c r="AX209" s="90">
        <f t="shared" si="586"/>
        <v>-3422.6569999999992</v>
      </c>
      <c r="AY209" s="90">
        <f t="shared" si="586"/>
        <v>-8745.1430000000018</v>
      </c>
      <c r="AZ209" s="90">
        <f t="shared" si="586"/>
        <v>2491.2880000000005</v>
      </c>
      <c r="BA209" s="90">
        <f t="shared" si="586"/>
        <v>-8565.24</v>
      </c>
      <c r="BB209" s="90">
        <f t="shared" ref="BB209:BE209" si="587">BB62</f>
        <v>-11832.622000000001</v>
      </c>
      <c r="BC209" s="90">
        <f t="shared" si="587"/>
        <v>83.236000000000786</v>
      </c>
      <c r="BD209" s="90">
        <f t="shared" si="587"/>
        <v>7171.119999999999</v>
      </c>
      <c r="BE209" s="90">
        <f t="shared" si="587"/>
        <v>-2220.1070000000013</v>
      </c>
      <c r="BG209" s="169"/>
      <c r="BH209" s="169"/>
      <c r="BI209" s="169"/>
    </row>
    <row r="210" spans="2:61" ht="13.5" customHeight="1">
      <c r="B210" s="1" t="str">
        <f t="shared" ref="B210:O210" si="588">B63</f>
        <v>Taxes</v>
      </c>
      <c r="C210" s="95">
        <f t="shared" si="588"/>
        <v>-2834.674</v>
      </c>
      <c r="D210" s="95">
        <f t="shared" si="588"/>
        <v>-4645.2030000000004</v>
      </c>
      <c r="E210" s="90">
        <f t="shared" si="588"/>
        <v>-3678.1729999999998</v>
      </c>
      <c r="F210" s="90">
        <f t="shared" si="588"/>
        <v>-4438.2079999999996</v>
      </c>
      <c r="G210" s="90">
        <f t="shared" si="588"/>
        <v>-3704.181</v>
      </c>
      <c r="H210" s="90">
        <f t="shared" si="588"/>
        <v>-4199.8879999999999</v>
      </c>
      <c r="I210" s="90">
        <f t="shared" si="588"/>
        <v>-3955.6770000000001</v>
      </c>
      <c r="J210" s="90">
        <f t="shared" si="588"/>
        <v>-1693.951</v>
      </c>
      <c r="K210" s="90">
        <f t="shared" si="588"/>
        <v>-7956.6670000000004</v>
      </c>
      <c r="L210" s="90">
        <f t="shared" si="588"/>
        <v>-8848.98</v>
      </c>
      <c r="M210" s="90">
        <f t="shared" si="588"/>
        <v>-8949.0669999999991</v>
      </c>
      <c r="N210" s="90">
        <f t="shared" ref="N210" si="589">N63</f>
        <v>-9708.0709999999999</v>
      </c>
      <c r="O210" s="90">
        <f t="shared" si="588"/>
        <v>-6238.1489999999994</v>
      </c>
      <c r="P210" s="329"/>
      <c r="Q210" s="90">
        <f t="shared" ref="Q210:BA210" si="590">Q63</f>
        <v>-1061.348</v>
      </c>
      <c r="R210" s="90">
        <f t="shared" si="590"/>
        <v>-697.97900000000004</v>
      </c>
      <c r="S210" s="90">
        <f t="shared" si="590"/>
        <v>-870.64599999999996</v>
      </c>
      <c r="T210" s="90">
        <f t="shared" si="590"/>
        <v>-1048.1999999999998</v>
      </c>
      <c r="U210" s="90">
        <f t="shared" si="590"/>
        <v>-1748.6559999999999</v>
      </c>
      <c r="V210" s="90">
        <f t="shared" si="590"/>
        <v>-485.72800000000007</v>
      </c>
      <c r="W210" s="90">
        <f t="shared" si="590"/>
        <v>-1255.172</v>
      </c>
      <c r="X210" s="116">
        <f t="shared" si="590"/>
        <v>-948.65199999999959</v>
      </c>
      <c r="Y210" s="90">
        <f t="shared" si="590"/>
        <v>-1982.1369999999999</v>
      </c>
      <c r="Z210" s="90">
        <f t="shared" si="590"/>
        <v>-371.49800000000027</v>
      </c>
      <c r="AA210" s="90">
        <f t="shared" si="590"/>
        <v>-1291.7499999999998</v>
      </c>
      <c r="AB210" s="90">
        <f t="shared" si="590"/>
        <v>-58.796000000000049</v>
      </c>
      <c r="AC210" s="90">
        <f t="shared" si="590"/>
        <v>-922.84900000000005</v>
      </c>
      <c r="AD210" s="90">
        <f t="shared" si="590"/>
        <v>-906.18500000000006</v>
      </c>
      <c r="AE210" s="90">
        <f t="shared" si="590"/>
        <v>-1158.6749999999997</v>
      </c>
      <c r="AF210" s="90">
        <f t="shared" si="590"/>
        <v>-1212.1790000000001</v>
      </c>
      <c r="AG210" s="90">
        <f t="shared" si="590"/>
        <v>-1860.9860000000001</v>
      </c>
      <c r="AH210" s="90">
        <f t="shared" si="590"/>
        <v>4460.9530000000004</v>
      </c>
      <c r="AI210" s="90">
        <f t="shared" si="590"/>
        <v>-5957.6080000000011</v>
      </c>
      <c r="AJ210" s="90">
        <f t="shared" si="590"/>
        <v>-598.03599999999938</v>
      </c>
      <c r="AK210" s="90">
        <f t="shared" si="590"/>
        <v>-656.32399999999996</v>
      </c>
      <c r="AL210" s="90">
        <f t="shared" si="590"/>
        <v>-334.928</v>
      </c>
      <c r="AM210" s="90">
        <f t="shared" si="590"/>
        <v>-433.22300000000007</v>
      </c>
      <c r="AN210" s="90">
        <f t="shared" si="590"/>
        <v>-269.47600000000011</v>
      </c>
      <c r="AO210" s="90">
        <f t="shared" si="590"/>
        <v>-3312.8580000000002</v>
      </c>
      <c r="AP210" s="90">
        <f t="shared" si="590"/>
        <v>-1752.2449999999999</v>
      </c>
      <c r="AQ210" s="90">
        <f t="shared" si="590"/>
        <v>-957.99499999999989</v>
      </c>
      <c r="AR210" s="90">
        <f t="shared" si="590"/>
        <v>-1933.5690000000004</v>
      </c>
      <c r="AS210" s="90">
        <f t="shared" si="590"/>
        <v>-1708.7909999999999</v>
      </c>
      <c r="AT210" s="90">
        <f t="shared" si="590"/>
        <v>-3385.3689999999997</v>
      </c>
      <c r="AU210" s="90">
        <f t="shared" si="590"/>
        <v>-1858.405</v>
      </c>
      <c r="AV210" s="90">
        <f t="shared" si="590"/>
        <v>-1896.4150000000002</v>
      </c>
      <c r="AW210" s="90">
        <f t="shared" si="590"/>
        <v>-1589.672</v>
      </c>
      <c r="AX210" s="90">
        <f t="shared" si="590"/>
        <v>-3304.819</v>
      </c>
      <c r="AY210" s="90">
        <f t="shared" si="590"/>
        <v>-1864.1200000000003</v>
      </c>
      <c r="AZ210" s="90">
        <f t="shared" si="590"/>
        <v>-2190.4559999999983</v>
      </c>
      <c r="BA210" s="90">
        <f t="shared" si="590"/>
        <v>-3482.462</v>
      </c>
      <c r="BB210" s="90">
        <f t="shared" ref="BB210:BE210" si="591">BB63</f>
        <v>-1855.6730000000002</v>
      </c>
      <c r="BC210" s="90">
        <f t="shared" si="591"/>
        <v>-2133.0919999999996</v>
      </c>
      <c r="BD210" s="90">
        <f t="shared" si="591"/>
        <v>-2236.8440000000005</v>
      </c>
      <c r="BE210" s="90">
        <f t="shared" si="591"/>
        <v>-1868.213</v>
      </c>
      <c r="BG210" s="169"/>
      <c r="BH210" s="169"/>
      <c r="BI210" s="169"/>
    </row>
    <row r="211" spans="2:61" ht="13.5" customHeight="1">
      <c r="B211" s="1" t="str">
        <f t="shared" ref="B211:O211" si="592">B64</f>
        <v>Cash interest paid</v>
      </c>
      <c r="C211" s="95">
        <f t="shared" si="592"/>
        <v>-1164.789</v>
      </c>
      <c r="D211" s="95">
        <f t="shared" si="592"/>
        <v>-973.36099999999999</v>
      </c>
      <c r="E211" s="90">
        <f t="shared" si="592"/>
        <v>-1020.24</v>
      </c>
      <c r="F211" s="90">
        <f t="shared" si="592"/>
        <v>-2645.9459999999999</v>
      </c>
      <c r="G211" s="90">
        <f t="shared" si="592"/>
        <v>-2744.6370000000002</v>
      </c>
      <c r="H211" s="90">
        <f t="shared" si="592"/>
        <v>-2549.259</v>
      </c>
      <c r="I211" s="90">
        <f t="shared" si="592"/>
        <v>-2961.22</v>
      </c>
      <c r="J211" s="90">
        <f t="shared" si="592"/>
        <v>-3594.5990000000002</v>
      </c>
      <c r="K211" s="90">
        <f t="shared" si="592"/>
        <v>-2885.15</v>
      </c>
      <c r="L211" s="90">
        <f t="shared" si="592"/>
        <v>-2813.277</v>
      </c>
      <c r="M211" s="90">
        <f t="shared" si="592"/>
        <v>-2760.2779999999998</v>
      </c>
      <c r="N211" s="90">
        <f t="shared" ref="N211" si="593">N64</f>
        <v>-2384.527</v>
      </c>
      <c r="O211" s="90">
        <f t="shared" si="592"/>
        <v>-2871.375</v>
      </c>
      <c r="P211" s="329"/>
      <c r="Q211" s="90">
        <f t="shared" ref="Q211:BA211" si="594">Q64</f>
        <v>-176.946</v>
      </c>
      <c r="R211" s="90">
        <f t="shared" si="594"/>
        <v>-314.10299999999995</v>
      </c>
      <c r="S211" s="90">
        <f t="shared" si="594"/>
        <v>-176.51900000000003</v>
      </c>
      <c r="T211" s="90">
        <f t="shared" si="594"/>
        <v>-352.67200000000003</v>
      </c>
      <c r="U211" s="90">
        <f t="shared" si="594"/>
        <v>-201.52199999999999</v>
      </c>
      <c r="V211" s="90">
        <f t="shared" si="594"/>
        <v>-968.98300000000017</v>
      </c>
      <c r="W211" s="90">
        <f t="shared" si="594"/>
        <v>-286.09199999999981</v>
      </c>
      <c r="X211" s="116">
        <f t="shared" si="594"/>
        <v>-1189.3490000000002</v>
      </c>
      <c r="Y211" s="90">
        <f t="shared" si="594"/>
        <v>-408.59899999999999</v>
      </c>
      <c r="Z211" s="90">
        <f t="shared" si="594"/>
        <v>-1016.067</v>
      </c>
      <c r="AA211" s="90">
        <f t="shared" si="594"/>
        <v>-275.85100000000006</v>
      </c>
      <c r="AB211" s="90">
        <f t="shared" si="594"/>
        <v>-1044.1199999999999</v>
      </c>
      <c r="AC211" s="90">
        <f t="shared" si="594"/>
        <v>-296.23200000000003</v>
      </c>
      <c r="AD211" s="90">
        <f t="shared" si="594"/>
        <v>-976.75700000000006</v>
      </c>
      <c r="AE211" s="90">
        <f t="shared" si="594"/>
        <v>-298.32899999999989</v>
      </c>
      <c r="AF211" s="90">
        <f t="shared" si="594"/>
        <v>-977.94100000000026</v>
      </c>
      <c r="AG211" s="90">
        <f t="shared" si="594"/>
        <v>-307.40100000000001</v>
      </c>
      <c r="AH211" s="90">
        <f t="shared" si="594"/>
        <v>-1231.848</v>
      </c>
      <c r="AI211" s="90">
        <f t="shared" si="594"/>
        <v>-328.64300000000009</v>
      </c>
      <c r="AJ211" s="90">
        <f t="shared" si="594"/>
        <v>-1093.3279999999997</v>
      </c>
      <c r="AK211" s="90">
        <f t="shared" si="594"/>
        <v>-492.44799999999998</v>
      </c>
      <c r="AL211" s="90">
        <f t="shared" si="594"/>
        <v>-1050.8070000000002</v>
      </c>
      <c r="AM211" s="90">
        <f t="shared" si="594"/>
        <v>-1033.7639999999997</v>
      </c>
      <c r="AN211" s="90">
        <f t="shared" si="594"/>
        <v>-1017.5800000000003</v>
      </c>
      <c r="AO211" s="90">
        <f t="shared" si="594"/>
        <v>-506.34800000000001</v>
      </c>
      <c r="AP211" s="90">
        <f t="shared" si="594"/>
        <v>-970.93299999999999</v>
      </c>
      <c r="AQ211" s="90">
        <f t="shared" si="594"/>
        <v>-426.24500000000006</v>
      </c>
      <c r="AR211" s="90">
        <f t="shared" si="594"/>
        <v>-981.62400000000025</v>
      </c>
      <c r="AS211" s="90">
        <f t="shared" si="594"/>
        <v>-440.13600000000002</v>
      </c>
      <c r="AT211" s="90">
        <f t="shared" si="594"/>
        <v>-983.21199999999999</v>
      </c>
      <c r="AU211" s="90">
        <f t="shared" si="594"/>
        <v>-422.5320000000001</v>
      </c>
      <c r="AV211" s="90">
        <f t="shared" si="594"/>
        <v>-967.39699999999993</v>
      </c>
      <c r="AW211" s="90">
        <f t="shared" si="594"/>
        <v>-423.99299999999999</v>
      </c>
      <c r="AX211" s="90">
        <f t="shared" si="594"/>
        <v>-970.65200000000004</v>
      </c>
      <c r="AY211" s="90">
        <f t="shared" si="594"/>
        <v>-408.56899999999996</v>
      </c>
      <c r="AZ211" s="90">
        <f t="shared" si="594"/>
        <v>-957.06399999999985</v>
      </c>
      <c r="BA211" s="90">
        <f t="shared" si="594"/>
        <v>-422.57</v>
      </c>
      <c r="BB211" s="90">
        <f t="shared" ref="BB211:BE211" si="595">BB64</f>
        <v>-787.59699999999998</v>
      </c>
      <c r="BC211" s="90">
        <f t="shared" si="595"/>
        <v>-1392.088</v>
      </c>
      <c r="BD211" s="90">
        <f t="shared" si="595"/>
        <v>217.72799999999989</v>
      </c>
      <c r="BE211" s="90">
        <f t="shared" si="595"/>
        <v>-1697.0150000000001</v>
      </c>
      <c r="BG211" s="169"/>
      <c r="BH211" s="169"/>
      <c r="BI211" s="169"/>
    </row>
    <row r="212" spans="2:61" ht="13.5" customHeight="1">
      <c r="B212" s="1" t="str">
        <f t="shared" ref="B212:O212" si="596">B65</f>
        <v>Deposits interest received</v>
      </c>
      <c r="C212" s="95">
        <f t="shared" si="596"/>
        <v>4168.6469999999999</v>
      </c>
      <c r="D212" s="95">
        <f t="shared" si="596"/>
        <v>4442.7290000000003</v>
      </c>
      <c r="E212" s="90">
        <f t="shared" si="596"/>
        <v>4780.9449999999997</v>
      </c>
      <c r="F212" s="90">
        <f t="shared" si="596"/>
        <v>5672.9129999999996</v>
      </c>
      <c r="G212" s="90">
        <f t="shared" si="596"/>
        <v>6659.0829999999996</v>
      </c>
      <c r="H212" s="90">
        <f t="shared" si="596"/>
        <v>7746.5990000000002</v>
      </c>
      <c r="I212" s="90">
        <f t="shared" si="596"/>
        <v>7211.4219999999996</v>
      </c>
      <c r="J212" s="90">
        <f t="shared" si="596"/>
        <v>6297.6090000000004</v>
      </c>
      <c r="K212" s="90">
        <f t="shared" si="596"/>
        <v>7794.1009999999997</v>
      </c>
      <c r="L212" s="90">
        <f t="shared" si="596"/>
        <v>9710.2009999999991</v>
      </c>
      <c r="M212" s="90">
        <f t="shared" si="596"/>
        <v>11443.929</v>
      </c>
      <c r="N212" s="90">
        <f t="shared" ref="N212" si="597">N65</f>
        <v>12886.689</v>
      </c>
      <c r="O212" s="90">
        <f t="shared" si="596"/>
        <v>9891.2759999999998</v>
      </c>
      <c r="P212" s="329"/>
      <c r="Q212" s="90">
        <f t="shared" ref="Q212:BA212" si="598">Q65</f>
        <v>1132.8969999999999</v>
      </c>
      <c r="R212" s="90">
        <f t="shared" si="598"/>
        <v>1160.7110000000002</v>
      </c>
      <c r="S212" s="90">
        <f t="shared" si="598"/>
        <v>1152.0009999999997</v>
      </c>
      <c r="T212" s="90">
        <f t="shared" si="598"/>
        <v>1335.3359999999998</v>
      </c>
      <c r="U212" s="90">
        <f t="shared" si="598"/>
        <v>1270.575</v>
      </c>
      <c r="V212" s="90">
        <f t="shared" si="598"/>
        <v>1328.2929999999999</v>
      </c>
      <c r="W212" s="90">
        <f t="shared" si="598"/>
        <v>1417.1420000000005</v>
      </c>
      <c r="X212" s="116">
        <f t="shared" si="598"/>
        <v>1656.9029999999991</v>
      </c>
      <c r="Y212" s="90">
        <f t="shared" si="598"/>
        <v>1586.6010000000001</v>
      </c>
      <c r="Z212" s="90">
        <f t="shared" si="598"/>
        <v>1650.1590000000001</v>
      </c>
      <c r="AA212" s="90">
        <f t="shared" si="598"/>
        <v>1651.8379999999997</v>
      </c>
      <c r="AB212" s="90">
        <f t="shared" si="598"/>
        <v>1770.4850000000001</v>
      </c>
      <c r="AC212" s="90">
        <f t="shared" si="598"/>
        <v>1809.117</v>
      </c>
      <c r="AD212" s="90">
        <f t="shared" si="598"/>
        <v>1940.2050000000002</v>
      </c>
      <c r="AE212" s="90">
        <f t="shared" si="598"/>
        <v>1918.057</v>
      </c>
      <c r="AF212" s="90">
        <f t="shared" si="598"/>
        <v>2079.2200000000003</v>
      </c>
      <c r="AG212" s="90">
        <f t="shared" si="598"/>
        <v>1937.327</v>
      </c>
      <c r="AH212" s="90">
        <f t="shared" si="598"/>
        <v>1994.961</v>
      </c>
      <c r="AI212" s="90">
        <f t="shared" si="598"/>
        <v>1425.5769999999995</v>
      </c>
      <c r="AJ212" s="90">
        <f t="shared" si="598"/>
        <v>1853.557</v>
      </c>
      <c r="AK212" s="90">
        <f t="shared" si="598"/>
        <v>1482.35</v>
      </c>
      <c r="AL212" s="90">
        <f t="shared" si="598"/>
        <v>1474.1040000000003</v>
      </c>
      <c r="AM212" s="90">
        <f t="shared" si="598"/>
        <v>1657.8830000000003</v>
      </c>
      <c r="AN212" s="90">
        <f t="shared" si="598"/>
        <v>1683.2720000000004</v>
      </c>
      <c r="AO212" s="90">
        <f t="shared" si="598"/>
        <v>1717.9949999999999</v>
      </c>
      <c r="AP212" s="90">
        <f t="shared" si="598"/>
        <v>1893.6220000000003</v>
      </c>
      <c r="AQ212" s="90">
        <f t="shared" si="598"/>
        <v>2002.9430000000002</v>
      </c>
      <c r="AR212" s="90">
        <f t="shared" si="598"/>
        <v>2179.5409999999993</v>
      </c>
      <c r="AS212" s="90">
        <f t="shared" si="598"/>
        <v>2198.2150000000001</v>
      </c>
      <c r="AT212" s="90">
        <f t="shared" si="598"/>
        <v>2314.0469999999996</v>
      </c>
      <c r="AU212" s="90">
        <f t="shared" si="598"/>
        <v>2426.9450000000006</v>
      </c>
      <c r="AV212" s="90">
        <f t="shared" si="598"/>
        <v>2770.9939999999988</v>
      </c>
      <c r="AW212" s="90">
        <f t="shared" si="598"/>
        <v>2605.3409999999999</v>
      </c>
      <c r="AX212" s="90">
        <f t="shared" si="598"/>
        <v>2808.3820000000001</v>
      </c>
      <c r="AY212" s="90">
        <f t="shared" si="598"/>
        <v>2934.6959999999995</v>
      </c>
      <c r="AZ212" s="90">
        <f t="shared" si="598"/>
        <v>3095.5100000000007</v>
      </c>
      <c r="BA212" s="90">
        <f t="shared" si="598"/>
        <v>3186.29</v>
      </c>
      <c r="BB212" s="90">
        <f t="shared" ref="BB212:BE212" si="599">BB65</f>
        <v>3026.4260000000004</v>
      </c>
      <c r="BC212" s="90">
        <f t="shared" si="599"/>
        <v>3249.848</v>
      </c>
      <c r="BD212" s="90">
        <f t="shared" si="599"/>
        <v>3424.125</v>
      </c>
      <c r="BE212" s="90">
        <f t="shared" si="599"/>
        <v>3217.3029999999999</v>
      </c>
      <c r="BG212" s="169"/>
      <c r="BH212" s="169"/>
      <c r="BI212" s="169"/>
    </row>
    <row r="213" spans="2:61" s="5" customFormat="1" ht="13.5" customHeight="1" thickBot="1">
      <c r="B213" s="23" t="str">
        <f t="shared" ref="B213:O213" si="600">B66</f>
        <v xml:space="preserve">Net cash from operations </v>
      </c>
      <c r="C213" s="91">
        <f t="shared" si="600"/>
        <v>9478.4130000000005</v>
      </c>
      <c r="D213" s="91">
        <f t="shared" si="600"/>
        <v>8221.9259999999995</v>
      </c>
      <c r="E213" s="91">
        <f t="shared" si="600"/>
        <v>10696.477999999999</v>
      </c>
      <c r="F213" s="91">
        <f t="shared" si="600"/>
        <v>12682.362000000001</v>
      </c>
      <c r="G213" s="91">
        <f t="shared" si="600"/>
        <v>13141.992999999999</v>
      </c>
      <c r="H213" s="91">
        <f t="shared" si="600"/>
        <v>16555.956799999996</v>
      </c>
      <c r="I213" s="91">
        <f t="shared" si="600"/>
        <v>14200.246999999999</v>
      </c>
      <c r="J213" s="91">
        <f t="shared" si="600"/>
        <v>21024.837</v>
      </c>
      <c r="K213" s="91">
        <f t="shared" si="600"/>
        <v>16741.662</v>
      </c>
      <c r="L213" s="91">
        <f t="shared" si="600"/>
        <v>23876.213999999996</v>
      </c>
      <c r="M213" s="91">
        <f t="shared" si="600"/>
        <v>19789.402000000002</v>
      </c>
      <c r="N213" s="91">
        <f t="shared" ref="N213" si="601">N66</f>
        <v>25208.584999999999</v>
      </c>
      <c r="O213" s="91">
        <f t="shared" si="600"/>
        <v>34408.000999999997</v>
      </c>
      <c r="P213" s="330"/>
      <c r="Q213" s="91">
        <f t="shared" ref="Q213:BA213" si="602">Q66</f>
        <v>-2007.5490000000004</v>
      </c>
      <c r="R213" s="91">
        <f t="shared" si="602"/>
        <v>3123.5349999999999</v>
      </c>
      <c r="S213" s="91">
        <f t="shared" si="602"/>
        <v>2456.1880000000001</v>
      </c>
      <c r="T213" s="91">
        <f t="shared" si="602"/>
        <v>7124.3040000000001</v>
      </c>
      <c r="U213" s="91">
        <f t="shared" si="602"/>
        <v>-3481.9339999999993</v>
      </c>
      <c r="V213" s="91">
        <f t="shared" si="602"/>
        <v>4296.2899999999981</v>
      </c>
      <c r="W213" s="91">
        <f t="shared" si="602"/>
        <v>973.16500000000133</v>
      </c>
      <c r="X213" s="91">
        <f t="shared" si="602"/>
        <v>10894.840999999997</v>
      </c>
      <c r="Y213" s="91">
        <f t="shared" si="602"/>
        <v>-3405.4910000000004</v>
      </c>
      <c r="Z213" s="91">
        <f t="shared" si="602"/>
        <v>5837.4350000000013</v>
      </c>
      <c r="AA213" s="91">
        <f t="shared" si="602"/>
        <v>-203.43700000000194</v>
      </c>
      <c r="AB213" s="91">
        <f t="shared" si="602"/>
        <v>10913.486000000001</v>
      </c>
      <c r="AC213" s="91">
        <f t="shared" si="602"/>
        <v>-1268.2009999999998</v>
      </c>
      <c r="AD213" s="91">
        <f t="shared" si="602"/>
        <v>5279.7749999999996</v>
      </c>
      <c r="AE213" s="91">
        <f t="shared" si="602"/>
        <v>-1894.3100000000006</v>
      </c>
      <c r="AF213" s="91">
        <f t="shared" si="602"/>
        <v>14438.692799999997</v>
      </c>
      <c r="AG213" s="91">
        <f t="shared" si="602"/>
        <v>-2616.3950000000004</v>
      </c>
      <c r="AH213" s="91">
        <f t="shared" si="602"/>
        <v>-2050.6049999999977</v>
      </c>
      <c r="AI213" s="91">
        <f t="shared" si="602"/>
        <v>6159.1439999999975</v>
      </c>
      <c r="AJ213" s="91">
        <f t="shared" si="602"/>
        <v>12708.103000000001</v>
      </c>
      <c r="AK213" s="91">
        <f t="shared" si="602"/>
        <v>-4747.2500000000018</v>
      </c>
      <c r="AL213" s="91">
        <f t="shared" si="602"/>
        <v>8915.9310000000005</v>
      </c>
      <c r="AM213" s="91">
        <f t="shared" si="602"/>
        <v>1371.9630000000016</v>
      </c>
      <c r="AN213" s="91">
        <f t="shared" si="602"/>
        <v>15484.193000000001</v>
      </c>
      <c r="AO213" s="91">
        <f t="shared" si="602"/>
        <v>-5658.7579999999989</v>
      </c>
      <c r="AP213" s="91">
        <f t="shared" si="602"/>
        <v>5737.271999999999</v>
      </c>
      <c r="AQ213" s="91">
        <f t="shared" si="602"/>
        <v>-320.5649999999996</v>
      </c>
      <c r="AR213" s="91">
        <f t="shared" si="602"/>
        <v>16983.712999999996</v>
      </c>
      <c r="AS213" s="91">
        <f t="shared" si="602"/>
        <v>-2922.6000000000013</v>
      </c>
      <c r="AT213" s="91">
        <f t="shared" si="602"/>
        <v>2602.8530000000005</v>
      </c>
      <c r="AU213" s="91">
        <f t="shared" si="602"/>
        <v>2724.6080000000011</v>
      </c>
      <c r="AV213" s="91">
        <f t="shared" si="602"/>
        <v>21471.352999999992</v>
      </c>
      <c r="AW213" s="91">
        <f t="shared" si="602"/>
        <v>-1319.9940000000001</v>
      </c>
      <c r="AX213" s="91">
        <f t="shared" si="602"/>
        <v>4393.2540000000008</v>
      </c>
      <c r="AY213" s="91">
        <f t="shared" si="602"/>
        <v>-590.1360000000027</v>
      </c>
      <c r="AZ213" s="91">
        <f t="shared" si="602"/>
        <v>17306.278000000002</v>
      </c>
      <c r="BA213" s="91">
        <f t="shared" si="602"/>
        <v>-3799.9819999999991</v>
      </c>
      <c r="BB213" s="91">
        <f t="shared" ref="BB213:BE213" si="603">BB66</f>
        <v>-2824.4660000000013</v>
      </c>
      <c r="BC213" s="91">
        <f t="shared" si="603"/>
        <v>6193.9040000000014</v>
      </c>
      <c r="BD213" s="91">
        <f t="shared" si="603"/>
        <v>25639.128999999997</v>
      </c>
      <c r="BE213" s="91">
        <f t="shared" si="603"/>
        <v>2574.9679999999985</v>
      </c>
      <c r="BG213" s="170"/>
      <c r="BH213" s="170"/>
      <c r="BI213" s="170"/>
    </row>
    <row r="214" spans="2:61" s="5" customFormat="1" ht="13.5" customHeight="1" thickTop="1">
      <c r="B214" s="1" t="str">
        <f t="shared" ref="B214:O214" si="604">B67</f>
        <v>Capex</v>
      </c>
      <c r="C214" s="92">
        <f t="shared" si="604"/>
        <v>-4329.91</v>
      </c>
      <c r="D214" s="92">
        <f t="shared" si="604"/>
        <v>-4178.183</v>
      </c>
      <c r="E214" s="92">
        <f t="shared" si="604"/>
        <v>-7057.2659999999996</v>
      </c>
      <c r="F214" s="92">
        <f t="shared" si="604"/>
        <v>-7366.0940000000001</v>
      </c>
      <c r="G214" s="92">
        <f t="shared" si="604"/>
        <v>-7555.7280000000001</v>
      </c>
      <c r="H214" s="92">
        <f t="shared" si="604"/>
        <v>-8041.0039999999999</v>
      </c>
      <c r="I214" s="92">
        <f t="shared" si="604"/>
        <v>-3845.66</v>
      </c>
      <c r="J214" s="92">
        <f t="shared" si="604"/>
        <v>-5030.8909999999996</v>
      </c>
      <c r="K214" s="92">
        <f t="shared" si="604"/>
        <v>-7264.2380000000003</v>
      </c>
      <c r="L214" s="92">
        <f t="shared" si="604"/>
        <v>-7635.0590000000002</v>
      </c>
      <c r="M214" s="92">
        <f t="shared" si="604"/>
        <v>-9809.8510000000006</v>
      </c>
      <c r="N214" s="92">
        <f t="shared" ref="N214" si="605">N67</f>
        <v>-8834.4490000000005</v>
      </c>
      <c r="O214" s="92">
        <f t="shared" si="604"/>
        <v>-6002.7380000000012</v>
      </c>
      <c r="P214" s="72"/>
      <c r="Q214" s="92">
        <f t="shared" ref="Q214:BA214" si="606">Q67</f>
        <v>-1089.1130000000001</v>
      </c>
      <c r="R214" s="92">
        <f t="shared" si="606"/>
        <v>-1442.588</v>
      </c>
      <c r="S214" s="92">
        <f t="shared" si="606"/>
        <v>-2241.6620000000003</v>
      </c>
      <c r="T214" s="92">
        <f t="shared" si="606"/>
        <v>-2283.9029999999993</v>
      </c>
      <c r="U214" s="92">
        <f t="shared" si="606"/>
        <v>-1280.3040000000001</v>
      </c>
      <c r="V214" s="92">
        <f t="shared" si="606"/>
        <v>-1378.7329999999997</v>
      </c>
      <c r="W214" s="92">
        <f t="shared" si="606"/>
        <v>-1470.105</v>
      </c>
      <c r="X214" s="92">
        <f t="shared" si="606"/>
        <v>-3236.9519999999993</v>
      </c>
      <c r="Y214" s="92">
        <f t="shared" si="606"/>
        <v>-1402.5940000000001</v>
      </c>
      <c r="Z214" s="92">
        <f t="shared" si="606"/>
        <v>-2151.2489999999998</v>
      </c>
      <c r="AA214" s="92">
        <f t="shared" si="606"/>
        <v>-2073.2939999999999</v>
      </c>
      <c r="AB214" s="92">
        <f t="shared" si="606"/>
        <v>-1928.5910000000003</v>
      </c>
      <c r="AC214" s="92">
        <f t="shared" si="606"/>
        <v>-1564.16</v>
      </c>
      <c r="AD214" s="92">
        <f t="shared" si="606"/>
        <v>-1659.86</v>
      </c>
      <c r="AE214" s="92">
        <f t="shared" si="606"/>
        <v>-2130.326</v>
      </c>
      <c r="AF214" s="92">
        <f t="shared" si="606"/>
        <v>-2686.6580000000004</v>
      </c>
      <c r="AG214" s="92">
        <f t="shared" si="606"/>
        <v>-851.93999999999994</v>
      </c>
      <c r="AH214" s="92">
        <f t="shared" si="606"/>
        <v>-1019.64</v>
      </c>
      <c r="AI214" s="92">
        <f t="shared" si="606"/>
        <v>-841.33800000000031</v>
      </c>
      <c r="AJ214" s="92">
        <f t="shared" si="606"/>
        <v>-1132.7419999999997</v>
      </c>
      <c r="AK214" s="92">
        <f t="shared" si="606"/>
        <v>-1091.1289999999999</v>
      </c>
      <c r="AL214" s="92">
        <f t="shared" si="606"/>
        <v>-910.54500000000007</v>
      </c>
      <c r="AM214" s="92">
        <f t="shared" si="606"/>
        <v>-923.85599999999977</v>
      </c>
      <c r="AN214" s="92">
        <f t="shared" si="606"/>
        <v>-2105.3609999999999</v>
      </c>
      <c r="AO214" s="92">
        <f t="shared" si="606"/>
        <v>-1037.604</v>
      </c>
      <c r="AP214" s="92">
        <f t="shared" si="606"/>
        <v>-1458.077</v>
      </c>
      <c r="AQ214" s="92">
        <f t="shared" si="606"/>
        <v>-1889.9159999999995</v>
      </c>
      <c r="AR214" s="92">
        <f t="shared" si="606"/>
        <v>-2878.6410000000005</v>
      </c>
      <c r="AS214" s="92">
        <f t="shared" si="606"/>
        <v>-1082.721</v>
      </c>
      <c r="AT214" s="92">
        <f t="shared" si="606"/>
        <v>-2170.9629999999997</v>
      </c>
      <c r="AU214" s="92">
        <f t="shared" si="606"/>
        <v>-2343.8090000000007</v>
      </c>
      <c r="AV214" s="92">
        <f t="shared" si="606"/>
        <v>-2037.5660000000003</v>
      </c>
      <c r="AW214" s="92">
        <f t="shared" si="606"/>
        <v>-2515.2869999999998</v>
      </c>
      <c r="AX214" s="92">
        <f t="shared" si="606"/>
        <v>-1719.3490000000006</v>
      </c>
      <c r="AY214" s="92">
        <f t="shared" si="606"/>
        <v>-2360.348</v>
      </c>
      <c r="AZ214" s="92">
        <f t="shared" si="606"/>
        <v>-3214.8670000000006</v>
      </c>
      <c r="BA214" s="92">
        <f t="shared" si="606"/>
        <v>-1915.2180000000001</v>
      </c>
      <c r="BB214" s="92">
        <f t="shared" ref="BB214:BE214" si="607">BB67</f>
        <v>-1788.8390000000002</v>
      </c>
      <c r="BC214" s="92">
        <f t="shared" si="607"/>
        <v>-1815.4549999999997</v>
      </c>
      <c r="BD214" s="92">
        <f t="shared" si="607"/>
        <v>-3314.9370000000008</v>
      </c>
      <c r="BE214" s="92">
        <f t="shared" si="607"/>
        <v>-872.346</v>
      </c>
      <c r="BG214" s="171"/>
      <c r="BH214" s="171"/>
      <c r="BI214" s="171"/>
    </row>
    <row r="215" spans="2:61" ht="13.5" customHeight="1">
      <c r="B215" s="1" t="str">
        <f t="shared" ref="B215:O215" si="608">B68</f>
        <v>Net Payment for acquisition  of intangible assets</v>
      </c>
      <c r="C215" s="92">
        <f t="shared" si="608"/>
        <v>-640.42700000000002</v>
      </c>
      <c r="D215" s="92">
        <f t="shared" si="608"/>
        <v>-694.89400000000001</v>
      </c>
      <c r="E215" s="92">
        <f t="shared" si="608"/>
        <v>-900.94200000000001</v>
      </c>
      <c r="F215" s="92">
        <f t="shared" si="608"/>
        <v>-1051.704</v>
      </c>
      <c r="G215" s="92">
        <f t="shared" si="608"/>
        <v>-1036.731</v>
      </c>
      <c r="H215" s="92">
        <f t="shared" si="608"/>
        <v>-689.47</v>
      </c>
      <c r="I215" s="92">
        <f t="shared" si="608"/>
        <v>-668.50300000000004</v>
      </c>
      <c r="J215" s="92">
        <f t="shared" si="608"/>
        <v>-891.41200000000003</v>
      </c>
      <c r="K215" s="92">
        <f t="shared" si="608"/>
        <v>-532.25699999999995</v>
      </c>
      <c r="L215" s="92">
        <f t="shared" si="608"/>
        <v>-803.255</v>
      </c>
      <c r="M215" s="92">
        <f t="shared" si="608"/>
        <v>-1472.7149999999999</v>
      </c>
      <c r="N215" s="92">
        <f t="shared" ref="N215" si="609">N68</f>
        <v>-1593.9639999999999</v>
      </c>
      <c r="O215" s="92">
        <f t="shared" si="608"/>
        <v>-1162.5380000000002</v>
      </c>
      <c r="P215" s="72"/>
      <c r="Q215" s="92">
        <f t="shared" ref="Q215:BA215" si="610">Q68</f>
        <v>-122.402</v>
      </c>
      <c r="R215" s="92">
        <f t="shared" si="610"/>
        <v>-260.755</v>
      </c>
      <c r="S215" s="92">
        <f t="shared" si="610"/>
        <v>-208.28800000000007</v>
      </c>
      <c r="T215" s="92">
        <f t="shared" si="610"/>
        <v>-309.49699999999996</v>
      </c>
      <c r="U215" s="92">
        <f t="shared" si="610"/>
        <v>-142.05600000000001</v>
      </c>
      <c r="V215" s="92">
        <f t="shared" si="610"/>
        <v>46.26100000000001</v>
      </c>
      <c r="W215" s="92">
        <f t="shared" si="610"/>
        <v>-273.923</v>
      </c>
      <c r="X215" s="92">
        <f t="shared" si="610"/>
        <v>-681.98599999999988</v>
      </c>
      <c r="Y215" s="92">
        <f t="shared" si="610"/>
        <v>-174.732</v>
      </c>
      <c r="Z215" s="92">
        <f t="shared" si="610"/>
        <v>-214.99199999999999</v>
      </c>
      <c r="AA215" s="92">
        <f t="shared" si="610"/>
        <v>-241.02500000000006</v>
      </c>
      <c r="AB215" s="92">
        <f t="shared" si="610"/>
        <v>-405.98199999999997</v>
      </c>
      <c r="AC215" s="92">
        <f t="shared" si="610"/>
        <v>-44.73</v>
      </c>
      <c r="AD215" s="92">
        <f t="shared" si="610"/>
        <v>-133.88800000000001</v>
      </c>
      <c r="AE215" s="92">
        <f t="shared" si="610"/>
        <v>-115.61200000000002</v>
      </c>
      <c r="AF215" s="92">
        <f t="shared" si="610"/>
        <v>-395.2399999999999</v>
      </c>
      <c r="AG215" s="92">
        <f t="shared" si="610"/>
        <v>-27.826000000000001</v>
      </c>
      <c r="AH215" s="92">
        <f t="shared" si="610"/>
        <v>-77.685000000000002</v>
      </c>
      <c r="AI215" s="92">
        <f t="shared" si="610"/>
        <v>-116.63200000000001</v>
      </c>
      <c r="AJ215" s="92">
        <f t="shared" si="610"/>
        <v>-446.36000000000007</v>
      </c>
      <c r="AK215" s="92">
        <f t="shared" si="610"/>
        <v>-35.110999999999997</v>
      </c>
      <c r="AL215" s="92">
        <f t="shared" si="610"/>
        <v>-126.99000000000001</v>
      </c>
      <c r="AM215" s="92">
        <f t="shared" si="610"/>
        <v>-274.62</v>
      </c>
      <c r="AN215" s="92">
        <f t="shared" si="610"/>
        <v>-454.69100000000003</v>
      </c>
      <c r="AO215" s="92">
        <f t="shared" si="610"/>
        <v>-44.838999999999999</v>
      </c>
      <c r="AP215" s="92">
        <f t="shared" si="610"/>
        <v>-112.142</v>
      </c>
      <c r="AQ215" s="92">
        <f t="shared" si="610"/>
        <v>-95.932999999999993</v>
      </c>
      <c r="AR215" s="92">
        <f t="shared" si="610"/>
        <v>-279.34299999999996</v>
      </c>
      <c r="AS215" s="92">
        <f t="shared" si="610"/>
        <v>-53.487000000000002</v>
      </c>
      <c r="AT215" s="92">
        <f t="shared" si="610"/>
        <v>-103.33199999999999</v>
      </c>
      <c r="AU215" s="92">
        <f t="shared" si="610"/>
        <v>-144.91100000000003</v>
      </c>
      <c r="AV215" s="92">
        <f t="shared" si="610"/>
        <v>-501.52499999999992</v>
      </c>
      <c r="AW215" s="92">
        <f t="shared" si="610"/>
        <v>-180.69200000000001</v>
      </c>
      <c r="AX215" s="92">
        <f t="shared" si="610"/>
        <v>-344.49900000000002</v>
      </c>
      <c r="AY215" s="92">
        <f t="shared" si="610"/>
        <v>-312.67099999999994</v>
      </c>
      <c r="AZ215" s="92">
        <f t="shared" si="610"/>
        <v>-634.85299999999984</v>
      </c>
      <c r="BA215" s="92">
        <f t="shared" si="610"/>
        <v>-177.65899999999999</v>
      </c>
      <c r="BB215" s="92">
        <f t="shared" ref="BB215:BE215" si="611">BB68</f>
        <v>-326.13900000000001</v>
      </c>
      <c r="BC215" s="92">
        <f t="shared" si="611"/>
        <v>-388.70899999999995</v>
      </c>
      <c r="BD215" s="92">
        <f t="shared" si="611"/>
        <v>-701.45700000000011</v>
      </c>
      <c r="BE215" s="92">
        <f t="shared" si="611"/>
        <v>-72.372</v>
      </c>
      <c r="BG215" s="171"/>
      <c r="BH215" s="171"/>
      <c r="BI215" s="171"/>
    </row>
    <row r="216" spans="2:61" ht="13.5" customHeight="1">
      <c r="B216" s="1" t="str">
        <f t="shared" ref="B216:O216" si="612">B69</f>
        <v>Disposals/ Acquisition, of subsidiaries</v>
      </c>
      <c r="C216" s="92">
        <f t="shared" si="612"/>
        <v>341.68600000000004</v>
      </c>
      <c r="D216" s="92">
        <f t="shared" si="612"/>
        <v>294.31200000000001</v>
      </c>
      <c r="E216" s="92">
        <f t="shared" si="612"/>
        <v>209.61500000000001</v>
      </c>
      <c r="F216" s="92">
        <f t="shared" si="612"/>
        <v>-16837.066999999999</v>
      </c>
      <c r="G216" s="92">
        <f t="shared" si="612"/>
        <v>11.010999999999996</v>
      </c>
      <c r="H216" s="92">
        <f t="shared" si="612"/>
        <v>-221.52099999999999</v>
      </c>
      <c r="I216" s="92">
        <f t="shared" si="612"/>
        <v>-77.376000000000005</v>
      </c>
      <c r="J216" s="92">
        <f t="shared" si="612"/>
        <v>-236.16900000000001</v>
      </c>
      <c r="K216" s="92">
        <f t="shared" si="612"/>
        <v>-1088.768</v>
      </c>
      <c r="L216" s="92">
        <f t="shared" si="612"/>
        <v>-736.77200000000005</v>
      </c>
      <c r="M216" s="92">
        <f t="shared" si="612"/>
        <v>-277.30900000000003</v>
      </c>
      <c r="N216" s="92">
        <f t="shared" ref="N216" si="613">N69</f>
        <v>-16561.636000000002</v>
      </c>
      <c r="O216" s="92">
        <f t="shared" si="612"/>
        <v>-16561.636000000002</v>
      </c>
      <c r="P216" s="72"/>
      <c r="Q216" s="92">
        <f t="shared" ref="Q216:BA216" si="614">Q69</f>
        <v>3.24</v>
      </c>
      <c r="R216" s="92">
        <f t="shared" si="614"/>
        <v>79.669000000000011</v>
      </c>
      <c r="S216" s="92">
        <f t="shared" si="614"/>
        <v>6.1829999999999874</v>
      </c>
      <c r="T216" s="92">
        <f t="shared" si="614"/>
        <v>120.52300000000001</v>
      </c>
      <c r="U216" s="92">
        <f t="shared" si="614"/>
        <v>2.6179999999999999</v>
      </c>
      <c r="V216" s="92">
        <f t="shared" si="614"/>
        <v>-17606.131999999998</v>
      </c>
      <c r="W216" s="92">
        <f t="shared" si="614"/>
        <v>-399.34400000000238</v>
      </c>
      <c r="X216" s="92">
        <f t="shared" si="614"/>
        <v>1165.7909999999997</v>
      </c>
      <c r="Y216" s="92">
        <f t="shared" si="614"/>
        <v>2.2000000000000002</v>
      </c>
      <c r="Z216" s="92">
        <f t="shared" si="614"/>
        <v>7.5569999999999995</v>
      </c>
      <c r="AA216" s="92">
        <f t="shared" si="614"/>
        <v>-28.249999999999993</v>
      </c>
      <c r="AB216" s="92">
        <f t="shared" si="614"/>
        <v>29.503999999999991</v>
      </c>
      <c r="AC216" s="92">
        <f t="shared" si="614"/>
        <v>2.3450000000000002</v>
      </c>
      <c r="AD216" s="92">
        <f t="shared" si="614"/>
        <v>4.9789999999999992</v>
      </c>
      <c r="AE216" s="92">
        <f t="shared" si="614"/>
        <v>85.888000000000005</v>
      </c>
      <c r="AF216" s="92">
        <f t="shared" si="614"/>
        <v>-314.733</v>
      </c>
      <c r="AG216" s="92">
        <f t="shared" si="614"/>
        <v>0</v>
      </c>
      <c r="AH216" s="92">
        <f t="shared" si="614"/>
        <v>39.935000000000002</v>
      </c>
      <c r="AI216" s="92">
        <f t="shared" si="614"/>
        <v>7.0989999999999966</v>
      </c>
      <c r="AJ216" s="92">
        <f t="shared" si="614"/>
        <v>-124.41</v>
      </c>
      <c r="AK216" s="92">
        <f t="shared" si="614"/>
        <v>0</v>
      </c>
      <c r="AL216" s="92">
        <f t="shared" si="614"/>
        <v>0</v>
      </c>
      <c r="AM216" s="92">
        <f t="shared" si="614"/>
        <v>0</v>
      </c>
      <c r="AN216" s="92">
        <f t="shared" si="614"/>
        <v>-236.16900000000001</v>
      </c>
      <c r="AO216" s="92">
        <f t="shared" si="614"/>
        <v>0</v>
      </c>
      <c r="AP216" s="92">
        <f t="shared" si="614"/>
        <v>0</v>
      </c>
      <c r="AQ216" s="92">
        <f t="shared" si="614"/>
        <v>0</v>
      </c>
      <c r="AR216" s="92">
        <f t="shared" si="614"/>
        <v>-1088.768</v>
      </c>
      <c r="AS216" s="92">
        <f t="shared" si="614"/>
        <v>0</v>
      </c>
      <c r="AT216" s="92">
        <f t="shared" si="614"/>
        <v>0</v>
      </c>
      <c r="AU216" s="92">
        <f t="shared" si="614"/>
        <v>0</v>
      </c>
      <c r="AV216" s="92">
        <f t="shared" si="614"/>
        <v>-736.77200000000005</v>
      </c>
      <c r="AW216" s="92">
        <f t="shared" si="614"/>
        <v>0</v>
      </c>
      <c r="AX216" s="92">
        <f t="shared" si="614"/>
        <v>0</v>
      </c>
      <c r="AY216" s="92">
        <f t="shared" si="614"/>
        <v>0</v>
      </c>
      <c r="AZ216" s="92">
        <f t="shared" si="614"/>
        <v>-277.30900000000003</v>
      </c>
      <c r="BA216" s="92">
        <f t="shared" si="614"/>
        <v>0</v>
      </c>
      <c r="BB216" s="92">
        <f t="shared" ref="BB216:BE216" si="615">BB69</f>
        <v>0</v>
      </c>
      <c r="BC216" s="92">
        <f t="shared" si="615"/>
        <v>0</v>
      </c>
      <c r="BD216" s="92">
        <f t="shared" si="615"/>
        <v>-16561.636000000002</v>
      </c>
      <c r="BE216" s="92">
        <f t="shared" si="615"/>
        <v>0</v>
      </c>
      <c r="BG216" s="171"/>
      <c r="BH216" s="171"/>
      <c r="BI216" s="171"/>
    </row>
    <row r="217" spans="2:61" ht="13.5" customHeight="1">
      <c r="B217" s="1" t="str">
        <f t="shared" ref="B217:O217" si="616">B70</f>
        <v>Disposed Cash from discontinued operations</v>
      </c>
      <c r="C217" s="92">
        <f t="shared" si="616"/>
        <v>0</v>
      </c>
      <c r="D217" s="92">
        <f t="shared" si="616"/>
        <v>0</v>
      </c>
      <c r="E217" s="92">
        <f t="shared" si="616"/>
        <v>0</v>
      </c>
      <c r="F217" s="92">
        <f t="shared" si="616"/>
        <v>0</v>
      </c>
      <c r="G217" s="92">
        <f t="shared" si="616"/>
        <v>0</v>
      </c>
      <c r="H217" s="92">
        <f t="shared" si="616"/>
        <v>0</v>
      </c>
      <c r="I217" s="92">
        <f t="shared" si="616"/>
        <v>0</v>
      </c>
      <c r="J217" s="92">
        <f t="shared" si="616"/>
        <v>0</v>
      </c>
      <c r="K217" s="92">
        <f t="shared" si="616"/>
        <v>0</v>
      </c>
      <c r="L217" s="92">
        <f t="shared" si="616"/>
        <v>0</v>
      </c>
      <c r="M217" s="92">
        <f t="shared" si="616"/>
        <v>0</v>
      </c>
      <c r="N217" s="92">
        <f t="shared" ref="N217" si="617">N70</f>
        <v>0</v>
      </c>
      <c r="O217" s="92">
        <f t="shared" si="616"/>
        <v>0</v>
      </c>
      <c r="P217" s="72"/>
      <c r="Q217" s="92">
        <f t="shared" ref="Q217:BA217" si="618">Q70</f>
        <v>0</v>
      </c>
      <c r="R217" s="92">
        <f t="shared" si="618"/>
        <v>0</v>
      </c>
      <c r="S217" s="92">
        <f t="shared" si="618"/>
        <v>0</v>
      </c>
      <c r="T217" s="92">
        <f t="shared" si="618"/>
        <v>0</v>
      </c>
      <c r="U217" s="92">
        <f t="shared" si="618"/>
        <v>0</v>
      </c>
      <c r="V217" s="92">
        <f t="shared" si="618"/>
        <v>0</v>
      </c>
      <c r="W217" s="92">
        <f t="shared" si="618"/>
        <v>0</v>
      </c>
      <c r="X217" s="92">
        <f t="shared" si="618"/>
        <v>0</v>
      </c>
      <c r="Y217" s="92">
        <f t="shared" si="618"/>
        <v>0</v>
      </c>
      <c r="Z217" s="92">
        <f t="shared" si="618"/>
        <v>0</v>
      </c>
      <c r="AA217" s="92">
        <f t="shared" si="618"/>
        <v>0</v>
      </c>
      <c r="AB217" s="92">
        <f t="shared" si="618"/>
        <v>0</v>
      </c>
      <c r="AC217" s="92">
        <f t="shared" si="618"/>
        <v>0</v>
      </c>
      <c r="AD217" s="92">
        <f t="shared" si="618"/>
        <v>0</v>
      </c>
      <c r="AE217" s="92">
        <f t="shared" si="618"/>
        <v>0</v>
      </c>
      <c r="AF217" s="92">
        <f t="shared" si="618"/>
        <v>0</v>
      </c>
      <c r="AG217" s="92">
        <f t="shared" si="618"/>
        <v>0</v>
      </c>
      <c r="AH217" s="92">
        <f t="shared" si="618"/>
        <v>0</v>
      </c>
      <c r="AI217" s="92">
        <f t="shared" si="618"/>
        <v>0</v>
      </c>
      <c r="AJ217" s="92">
        <f t="shared" si="618"/>
        <v>0</v>
      </c>
      <c r="AK217" s="92">
        <f t="shared" si="618"/>
        <v>0</v>
      </c>
      <c r="AL217" s="92">
        <f t="shared" si="618"/>
        <v>0</v>
      </c>
      <c r="AM217" s="92">
        <f t="shared" si="618"/>
        <v>0</v>
      </c>
      <c r="AN217" s="92">
        <f t="shared" si="618"/>
        <v>0</v>
      </c>
      <c r="AO217" s="92">
        <f t="shared" si="618"/>
        <v>0</v>
      </c>
      <c r="AP217" s="92">
        <f t="shared" si="618"/>
        <v>0</v>
      </c>
      <c r="AQ217" s="92">
        <f t="shared" si="618"/>
        <v>0</v>
      </c>
      <c r="AR217" s="92">
        <f t="shared" si="618"/>
        <v>0</v>
      </c>
      <c r="AS217" s="92">
        <f t="shared" si="618"/>
        <v>0</v>
      </c>
      <c r="AT217" s="92">
        <f t="shared" si="618"/>
        <v>0</v>
      </c>
      <c r="AU217" s="92">
        <f t="shared" si="618"/>
        <v>0</v>
      </c>
      <c r="AV217" s="92">
        <f t="shared" si="618"/>
        <v>0</v>
      </c>
      <c r="AW217" s="92">
        <f t="shared" si="618"/>
        <v>0</v>
      </c>
      <c r="AX217" s="92">
        <f t="shared" si="618"/>
        <v>0</v>
      </c>
      <c r="AY217" s="92">
        <f t="shared" si="618"/>
        <v>0</v>
      </c>
      <c r="AZ217" s="92">
        <f t="shared" si="618"/>
        <v>0</v>
      </c>
      <c r="BA217" s="92">
        <f t="shared" si="618"/>
        <v>0</v>
      </c>
      <c r="BB217" s="92">
        <f t="shared" ref="BB217:BE217" si="619">BB70</f>
        <v>0</v>
      </c>
      <c r="BC217" s="92">
        <f t="shared" si="619"/>
        <v>0</v>
      </c>
      <c r="BD217" s="92">
        <f t="shared" si="619"/>
        <v>0</v>
      </c>
      <c r="BE217" s="92">
        <f t="shared" si="619"/>
        <v>0</v>
      </c>
      <c r="BG217" s="171"/>
      <c r="BH217" s="171"/>
      <c r="BI217" s="171"/>
    </row>
    <row r="218" spans="2:61" ht="13.5" customHeight="1" thickBot="1">
      <c r="B218" s="54" t="str">
        <f t="shared" ref="B218:O218" si="620">B71</f>
        <v xml:space="preserve">Free cash flow </v>
      </c>
      <c r="C218" s="94">
        <f t="shared" si="620"/>
        <v>4849.7620000000006</v>
      </c>
      <c r="D218" s="94">
        <f t="shared" si="620"/>
        <v>3643.1609999999991</v>
      </c>
      <c r="E218" s="94">
        <f t="shared" si="620"/>
        <v>2947.8849999999993</v>
      </c>
      <c r="F218" s="94">
        <f t="shared" si="620"/>
        <v>-12572.502999999997</v>
      </c>
      <c r="G218" s="94">
        <f t="shared" si="620"/>
        <v>4560.5449999999992</v>
      </c>
      <c r="H218" s="94">
        <f t="shared" si="620"/>
        <v>7603.9617999999955</v>
      </c>
      <c r="I218" s="94">
        <f t="shared" si="620"/>
        <v>9608.7079999999987</v>
      </c>
      <c r="J218" s="94">
        <f t="shared" si="620"/>
        <v>14866.365</v>
      </c>
      <c r="K218" s="94">
        <f t="shared" si="620"/>
        <v>7856.3989999999994</v>
      </c>
      <c r="L218" s="94">
        <f t="shared" si="620"/>
        <v>14701.127999999995</v>
      </c>
      <c r="M218" s="94">
        <f t="shared" si="620"/>
        <v>8229.5270000000019</v>
      </c>
      <c r="N218" s="94">
        <f t="shared" ref="N218" si="621">N71</f>
        <v>-1781.4640000000036</v>
      </c>
      <c r="O218" s="94">
        <f t="shared" si="620"/>
        <v>10681.088999999993</v>
      </c>
      <c r="P218" s="79"/>
      <c r="Q218" s="94">
        <f t="shared" ref="Q218:BA218" si="622">Q71</f>
        <v>-3215.8240000000005</v>
      </c>
      <c r="R218" s="94">
        <f t="shared" si="622"/>
        <v>1499.8610000000001</v>
      </c>
      <c r="S218" s="94">
        <f t="shared" si="622"/>
        <v>12.42099999999976</v>
      </c>
      <c r="T218" s="94">
        <f t="shared" si="622"/>
        <v>4651.4270000000006</v>
      </c>
      <c r="U218" s="94">
        <f t="shared" si="622"/>
        <v>-4901.6759999999986</v>
      </c>
      <c r="V218" s="94">
        <f t="shared" si="622"/>
        <v>-14642.313999999998</v>
      </c>
      <c r="W218" s="94">
        <f t="shared" si="622"/>
        <v>-1170.207000000001</v>
      </c>
      <c r="X218" s="94">
        <f t="shared" si="622"/>
        <v>8141.6939999999977</v>
      </c>
      <c r="Y218" s="94">
        <f t="shared" si="622"/>
        <v>-4980.6170000000011</v>
      </c>
      <c r="Z218" s="94">
        <f t="shared" si="622"/>
        <v>3478.7510000000011</v>
      </c>
      <c r="AA218" s="94">
        <f t="shared" si="622"/>
        <v>-2546.0060000000017</v>
      </c>
      <c r="AB218" s="94">
        <f t="shared" si="622"/>
        <v>8608.4170000000013</v>
      </c>
      <c r="AC218" s="94">
        <f t="shared" si="622"/>
        <v>-2874.7460000000001</v>
      </c>
      <c r="AD218" s="94">
        <f t="shared" si="622"/>
        <v>3491.0059999999999</v>
      </c>
      <c r="AE218" s="94">
        <f t="shared" si="622"/>
        <v>-4054.3600000000006</v>
      </c>
      <c r="AF218" s="94">
        <f t="shared" si="622"/>
        <v>11042.061799999998</v>
      </c>
      <c r="AG218" s="94">
        <f t="shared" si="622"/>
        <v>-3496.1610000000005</v>
      </c>
      <c r="AH218" s="94">
        <f t="shared" si="622"/>
        <v>-3107.9949999999976</v>
      </c>
      <c r="AI218" s="94">
        <f t="shared" si="622"/>
        <v>5208.2729999999974</v>
      </c>
      <c r="AJ218" s="94">
        <f t="shared" si="622"/>
        <v>11004.591</v>
      </c>
      <c r="AK218" s="94">
        <f t="shared" si="622"/>
        <v>-5873.4900000000016</v>
      </c>
      <c r="AL218" s="94">
        <f t="shared" si="622"/>
        <v>7878.3960000000006</v>
      </c>
      <c r="AM218" s="94">
        <f t="shared" si="622"/>
        <v>173.48700000000179</v>
      </c>
      <c r="AN218" s="94">
        <f t="shared" si="622"/>
        <v>12687.972000000002</v>
      </c>
      <c r="AO218" s="94">
        <f t="shared" si="622"/>
        <v>-6741.2009999999991</v>
      </c>
      <c r="AP218" s="94">
        <f t="shared" si="622"/>
        <v>4167.052999999999</v>
      </c>
      <c r="AQ218" s="94">
        <f t="shared" si="622"/>
        <v>-2306.4139999999989</v>
      </c>
      <c r="AR218" s="94">
        <f t="shared" si="622"/>
        <v>12736.960999999996</v>
      </c>
      <c r="AS218" s="94">
        <f t="shared" si="622"/>
        <v>-4058.8080000000014</v>
      </c>
      <c r="AT218" s="94">
        <f t="shared" si="622"/>
        <v>328.55800000000079</v>
      </c>
      <c r="AU218" s="94">
        <f t="shared" si="622"/>
        <v>235.8880000000004</v>
      </c>
      <c r="AV218" s="94">
        <f t="shared" si="622"/>
        <v>18195.489999999991</v>
      </c>
      <c r="AW218" s="94">
        <f t="shared" si="622"/>
        <v>-4015.973</v>
      </c>
      <c r="AX218" s="94">
        <f t="shared" si="622"/>
        <v>2329.4059999999999</v>
      </c>
      <c r="AY218" s="94">
        <f t="shared" si="622"/>
        <v>-3263.1550000000025</v>
      </c>
      <c r="AZ218" s="94">
        <f t="shared" si="622"/>
        <v>13179.249000000003</v>
      </c>
      <c r="BA218" s="94">
        <f t="shared" si="622"/>
        <v>-5892.8589999999986</v>
      </c>
      <c r="BB218" s="94">
        <f t="shared" ref="BB218:BE218" si="623">BB71</f>
        <v>-4939.4440000000013</v>
      </c>
      <c r="BC218" s="94">
        <f t="shared" si="623"/>
        <v>3989.7400000000016</v>
      </c>
      <c r="BD218" s="94">
        <f t="shared" si="623"/>
        <v>5061.0989999999947</v>
      </c>
      <c r="BE218" s="94">
        <f t="shared" si="623"/>
        <v>1630.2499999999984</v>
      </c>
      <c r="BG218" s="163"/>
      <c r="BH218" s="163"/>
      <c r="BI218" s="163"/>
    </row>
    <row r="219" spans="2:61" ht="13.5" customHeight="1" thickTop="1">
      <c r="B219" s="1" t="str">
        <f t="shared" ref="B219:O219" si="624">B73</f>
        <v>Equity Issuance/Buyback</v>
      </c>
      <c r="C219" s="95">
        <f t="shared" si="624"/>
        <v>0</v>
      </c>
      <c r="D219" s="95">
        <f t="shared" si="624"/>
        <v>0</v>
      </c>
      <c r="E219" s="95">
        <f t="shared" si="624"/>
        <v>0</v>
      </c>
      <c r="F219" s="95">
        <f t="shared" si="624"/>
        <v>0</v>
      </c>
      <c r="G219" s="95">
        <f t="shared" si="624"/>
        <v>-79.134</v>
      </c>
      <c r="H219" s="95">
        <f t="shared" si="624"/>
        <v>-451.10700000000003</v>
      </c>
      <c r="I219" s="95">
        <f t="shared" si="624"/>
        <v>-20.294</v>
      </c>
      <c r="J219" s="95">
        <f t="shared" si="624"/>
        <v>206.92</v>
      </c>
      <c r="K219" s="95">
        <f t="shared" si="624"/>
        <v>-7.415</v>
      </c>
      <c r="L219" s="95">
        <f t="shared" si="624"/>
        <v>-22.204000000000001</v>
      </c>
      <c r="M219" s="95">
        <f t="shared" si="624"/>
        <v>-3.8740000000000001</v>
      </c>
      <c r="N219" s="95">
        <f t="shared" ref="N219" si="625">N73</f>
        <v>-424.44200000000001</v>
      </c>
      <c r="O219" s="95">
        <f t="shared" si="624"/>
        <v>-455.61800000000005</v>
      </c>
      <c r="P219" s="72"/>
      <c r="Q219" s="95">
        <f t="shared" ref="Q219:BA219" si="626">Q73</f>
        <v>0</v>
      </c>
      <c r="R219" s="95">
        <f t="shared" si="626"/>
        <v>0</v>
      </c>
      <c r="S219" s="95">
        <f t="shared" si="626"/>
        <v>0</v>
      </c>
      <c r="T219" s="95">
        <f t="shared" si="626"/>
        <v>0</v>
      </c>
      <c r="U219" s="95">
        <f t="shared" si="626"/>
        <v>0</v>
      </c>
      <c r="V219" s="95">
        <f t="shared" si="626"/>
        <v>0</v>
      </c>
      <c r="W219" s="95">
        <f t="shared" si="626"/>
        <v>0</v>
      </c>
      <c r="X219" s="92">
        <f t="shared" si="626"/>
        <v>0</v>
      </c>
      <c r="Y219" s="95">
        <f t="shared" si="626"/>
        <v>0</v>
      </c>
      <c r="Z219" s="95">
        <f t="shared" si="626"/>
        <v>0</v>
      </c>
      <c r="AA219" s="95">
        <f t="shared" si="626"/>
        <v>0</v>
      </c>
      <c r="AB219" s="95">
        <f t="shared" si="626"/>
        <v>-79.134</v>
      </c>
      <c r="AC219" s="95">
        <f t="shared" si="626"/>
        <v>-43.368000000000002</v>
      </c>
      <c r="AD219" s="95">
        <f t="shared" si="626"/>
        <v>-179.01400000000001</v>
      </c>
      <c r="AE219" s="95">
        <f t="shared" si="626"/>
        <v>-165.91800000000001</v>
      </c>
      <c r="AF219" s="95">
        <f t="shared" si="626"/>
        <v>-62.807000000000009</v>
      </c>
      <c r="AG219" s="95">
        <f t="shared" si="626"/>
        <v>-527.69500000000005</v>
      </c>
      <c r="AH219" s="95">
        <f t="shared" si="626"/>
        <v>84.812000000000069</v>
      </c>
      <c r="AI219" s="95">
        <f t="shared" si="626"/>
        <v>110.83099999999996</v>
      </c>
      <c r="AJ219" s="95">
        <f t="shared" si="626"/>
        <v>311.75800000000004</v>
      </c>
      <c r="AK219" s="95">
        <f t="shared" si="626"/>
        <v>206.92</v>
      </c>
      <c r="AL219" s="95">
        <f t="shared" si="626"/>
        <v>0</v>
      </c>
      <c r="AM219" s="95">
        <f t="shared" si="626"/>
        <v>0</v>
      </c>
      <c r="AN219" s="95">
        <f t="shared" si="626"/>
        <v>0</v>
      </c>
      <c r="AO219" s="95">
        <f t="shared" si="626"/>
        <v>0</v>
      </c>
      <c r="AP219" s="95">
        <f t="shared" si="626"/>
        <v>-20.628</v>
      </c>
      <c r="AQ219" s="95">
        <f t="shared" si="626"/>
        <v>10.173</v>
      </c>
      <c r="AR219" s="95">
        <f t="shared" si="626"/>
        <v>3.0399999999999991</v>
      </c>
      <c r="AS219" s="95">
        <f t="shared" si="626"/>
        <v>-22.884</v>
      </c>
      <c r="AT219" s="95">
        <f t="shared" si="626"/>
        <v>37.932000000000002</v>
      </c>
      <c r="AU219" s="95">
        <f t="shared" si="626"/>
        <v>-11.594000000000001</v>
      </c>
      <c r="AV219" s="95">
        <f t="shared" si="626"/>
        <v>-25.658000000000001</v>
      </c>
      <c r="AW219" s="95">
        <f t="shared" si="626"/>
        <v>0.46300000000000002</v>
      </c>
      <c r="AX219" s="95">
        <f t="shared" si="626"/>
        <v>4.3140000000000001</v>
      </c>
      <c r="AY219" s="95">
        <f t="shared" si="626"/>
        <v>-3.6820000000000004</v>
      </c>
      <c r="AZ219" s="95">
        <f t="shared" si="626"/>
        <v>-4.9690000000000003</v>
      </c>
      <c r="BA219" s="95">
        <f t="shared" si="626"/>
        <v>-3.4119999999999999</v>
      </c>
      <c r="BB219" s="95">
        <f t="shared" ref="BB219:BE219" si="627">BB73</f>
        <v>-7.0000000000000284E-2</v>
      </c>
      <c r="BC219" s="95">
        <f t="shared" si="627"/>
        <v>-18.239000000000001</v>
      </c>
      <c r="BD219" s="95">
        <f t="shared" si="627"/>
        <v>-402.72100000000006</v>
      </c>
      <c r="BE219" s="95">
        <f t="shared" si="627"/>
        <v>-34.658000000000001</v>
      </c>
      <c r="BG219" s="171"/>
      <c r="BH219" s="171"/>
      <c r="BI219" s="171"/>
    </row>
    <row r="220" spans="2:61" s="5" customFormat="1" ht="13.5" customHeight="1">
      <c r="B220" s="1" t="str">
        <f t="shared" ref="B220:O220" si="628">B74</f>
        <v xml:space="preserve">Dividends received  / Dividends Paid </v>
      </c>
      <c r="C220" s="95">
        <f t="shared" si="628"/>
        <v>0</v>
      </c>
      <c r="D220" s="95">
        <f t="shared" si="628"/>
        <v>-932.11599999999987</v>
      </c>
      <c r="E220" s="95">
        <f t="shared" si="628"/>
        <v>-1112.4690000000001</v>
      </c>
      <c r="F220" s="95">
        <f t="shared" si="628"/>
        <v>-1168.1889999999999</v>
      </c>
      <c r="G220" s="95">
        <f t="shared" si="628"/>
        <v>-1076.7489999999998</v>
      </c>
      <c r="H220" s="95">
        <f t="shared" si="628"/>
        <v>-1261.251</v>
      </c>
      <c r="I220" s="95">
        <f t="shared" si="628"/>
        <v>0</v>
      </c>
      <c r="J220" s="95">
        <f t="shared" si="628"/>
        <v>-3018.3980000000001</v>
      </c>
      <c r="K220" s="95">
        <f t="shared" si="628"/>
        <v>-3287.7289999999998</v>
      </c>
      <c r="L220" s="95">
        <f t="shared" si="628"/>
        <v>-3502.2289999999998</v>
      </c>
      <c r="M220" s="95">
        <f t="shared" si="628"/>
        <v>-3379.3549999999996</v>
      </c>
      <c r="N220" s="95">
        <f t="shared" ref="N220" si="629">N74</f>
        <v>-3616.0199999999995</v>
      </c>
      <c r="O220" s="95">
        <f t="shared" si="628"/>
        <v>-1422.7539999999995</v>
      </c>
      <c r="P220" s="72"/>
      <c r="Q220" s="95">
        <f t="shared" ref="Q220:BA220" si="630">Q74</f>
        <v>0</v>
      </c>
      <c r="R220" s="95">
        <f t="shared" si="630"/>
        <v>-778.39200000000005</v>
      </c>
      <c r="S220" s="95">
        <f t="shared" si="630"/>
        <v>0</v>
      </c>
      <c r="T220" s="95">
        <f t="shared" si="630"/>
        <v>-334.077</v>
      </c>
      <c r="U220" s="95">
        <f t="shared" si="630"/>
        <v>0</v>
      </c>
      <c r="V220" s="95">
        <f t="shared" si="630"/>
        <v>-778.39700000000005</v>
      </c>
      <c r="W220" s="95">
        <f t="shared" si="630"/>
        <v>0</v>
      </c>
      <c r="X220" s="92">
        <f t="shared" si="630"/>
        <v>-389.7919999999998</v>
      </c>
      <c r="Y220" s="95">
        <f t="shared" si="630"/>
        <v>0</v>
      </c>
      <c r="Z220" s="95">
        <f t="shared" si="630"/>
        <v>-778.38300000000004</v>
      </c>
      <c r="AA220" s="95">
        <f t="shared" si="630"/>
        <v>211.61099999999999</v>
      </c>
      <c r="AB220" s="95">
        <f t="shared" si="630"/>
        <v>-509.97699999999975</v>
      </c>
      <c r="AC220" s="95">
        <f t="shared" si="630"/>
        <v>0</v>
      </c>
      <c r="AD220" s="95">
        <f t="shared" si="630"/>
        <v>-885.35199999999998</v>
      </c>
      <c r="AE220" s="95">
        <f t="shared" si="630"/>
        <v>213.14700000000005</v>
      </c>
      <c r="AF220" s="95">
        <f t="shared" si="630"/>
        <v>-589.04600000000016</v>
      </c>
      <c r="AG220" s="95">
        <f t="shared" si="630"/>
        <v>0</v>
      </c>
      <c r="AH220" s="95">
        <f t="shared" si="630"/>
        <v>0</v>
      </c>
      <c r="AI220" s="95">
        <f t="shared" si="630"/>
        <v>0</v>
      </c>
      <c r="AJ220" s="95">
        <f t="shared" si="630"/>
        <v>0</v>
      </c>
      <c r="AK220" s="95">
        <f t="shared" si="630"/>
        <v>-2011.8720000000001</v>
      </c>
      <c r="AL220" s="95">
        <f t="shared" si="630"/>
        <v>0</v>
      </c>
      <c r="AM220" s="95">
        <f t="shared" si="630"/>
        <v>80.080999999999904</v>
      </c>
      <c r="AN220" s="95">
        <f t="shared" si="630"/>
        <v>-1086.6070000000002</v>
      </c>
      <c r="AO220" s="95">
        <f t="shared" si="630"/>
        <v>-1006.524</v>
      </c>
      <c r="AP220" s="95">
        <f t="shared" si="630"/>
        <v>-1368.7760000000003</v>
      </c>
      <c r="AQ220" s="95">
        <f t="shared" si="630"/>
        <v>0</v>
      </c>
      <c r="AR220" s="95">
        <f t="shared" si="630"/>
        <v>-912.42899999999952</v>
      </c>
      <c r="AS220" s="95">
        <f t="shared" si="630"/>
        <v>54.197000000000003</v>
      </c>
      <c r="AT220" s="95">
        <f t="shared" si="630"/>
        <v>-1859.3039999999996</v>
      </c>
      <c r="AU220" s="95">
        <f t="shared" si="630"/>
        <v>52.020999999999844</v>
      </c>
      <c r="AV220" s="95">
        <f t="shared" si="630"/>
        <v>-1749.143</v>
      </c>
      <c r="AW220" s="95">
        <f t="shared" si="630"/>
        <v>134.46799999999999</v>
      </c>
      <c r="AX220" s="95">
        <f t="shared" si="630"/>
        <v>-2323.8090000000002</v>
      </c>
      <c r="AY220" s="95">
        <f t="shared" si="630"/>
        <v>333.16400000000044</v>
      </c>
      <c r="AZ220" s="95">
        <f t="shared" si="630"/>
        <v>-1523.1780000000001</v>
      </c>
      <c r="BA220" s="95">
        <f t="shared" si="630"/>
        <v>60.204999999999998</v>
      </c>
      <c r="BB220" s="95">
        <f t="shared" ref="BB220:BE220" si="631">BB74</f>
        <v>-2253.471</v>
      </c>
      <c r="BC220" s="95">
        <f t="shared" si="631"/>
        <v>0.13200000000006185</v>
      </c>
      <c r="BD220" s="95">
        <f t="shared" si="631"/>
        <v>-1422.8859999999995</v>
      </c>
      <c r="BE220" s="95">
        <f t="shared" si="631"/>
        <v>0</v>
      </c>
      <c r="BG220" s="171"/>
      <c r="BH220" s="171"/>
      <c r="BI220" s="171"/>
    </row>
    <row r="221" spans="2:61" ht="13.5" customHeight="1">
      <c r="B221" s="1" t="str">
        <f t="shared" ref="B221:O221" si="632">B75</f>
        <v>Acquisition of bonds</v>
      </c>
      <c r="C221" s="95">
        <f t="shared" si="632"/>
        <v>0</v>
      </c>
      <c r="D221" s="95">
        <f t="shared" si="632"/>
        <v>0</v>
      </c>
      <c r="E221" s="95">
        <f t="shared" si="632"/>
        <v>0</v>
      </c>
      <c r="F221" s="95">
        <f t="shared" si="632"/>
        <v>0</v>
      </c>
      <c r="G221" s="95">
        <f t="shared" si="632"/>
        <v>0</v>
      </c>
      <c r="H221" s="95">
        <f t="shared" si="632"/>
        <v>0</v>
      </c>
      <c r="I221" s="95">
        <f t="shared" si="632"/>
        <v>0</v>
      </c>
      <c r="J221" s="95">
        <f t="shared" si="632"/>
        <v>0</v>
      </c>
      <c r="K221" s="95">
        <f t="shared" si="632"/>
        <v>0</v>
      </c>
      <c r="L221" s="95">
        <f t="shared" si="632"/>
        <v>0</v>
      </c>
      <c r="M221" s="95">
        <f t="shared" si="632"/>
        <v>0</v>
      </c>
      <c r="N221" s="95">
        <f t="shared" ref="N221" si="633">N75</f>
        <v>0</v>
      </c>
      <c r="O221" s="95">
        <f t="shared" si="632"/>
        <v>0</v>
      </c>
      <c r="P221" s="72"/>
      <c r="Q221" s="95">
        <f t="shared" ref="Q221:BA221" si="634">Q75</f>
        <v>0</v>
      </c>
      <c r="R221" s="95">
        <f t="shared" si="634"/>
        <v>0</v>
      </c>
      <c r="S221" s="95">
        <f t="shared" si="634"/>
        <v>0</v>
      </c>
      <c r="T221" s="95">
        <f t="shared" si="634"/>
        <v>0</v>
      </c>
      <c r="U221" s="95">
        <f t="shared" si="634"/>
        <v>0</v>
      </c>
      <c r="V221" s="95">
        <f t="shared" si="634"/>
        <v>0</v>
      </c>
      <c r="W221" s="95">
        <f t="shared" si="634"/>
        <v>0</v>
      </c>
      <c r="X221" s="92">
        <f t="shared" si="634"/>
        <v>0</v>
      </c>
      <c r="Y221" s="95">
        <f t="shared" si="634"/>
        <v>0</v>
      </c>
      <c r="Z221" s="95">
        <f t="shared" si="634"/>
        <v>0</v>
      </c>
      <c r="AA221" s="95">
        <f t="shared" si="634"/>
        <v>0</v>
      </c>
      <c r="AB221" s="95">
        <f t="shared" si="634"/>
        <v>0</v>
      </c>
      <c r="AC221" s="95">
        <f t="shared" si="634"/>
        <v>0</v>
      </c>
      <c r="AD221" s="95">
        <f t="shared" si="634"/>
        <v>0</v>
      </c>
      <c r="AE221" s="95">
        <f t="shared" si="634"/>
        <v>0</v>
      </c>
      <c r="AF221" s="95">
        <f t="shared" si="634"/>
        <v>0</v>
      </c>
      <c r="AG221" s="95">
        <f t="shared" si="634"/>
        <v>0</v>
      </c>
      <c r="AH221" s="95">
        <f t="shared" si="634"/>
        <v>0</v>
      </c>
      <c r="AI221" s="95">
        <f t="shared" si="634"/>
        <v>0</v>
      </c>
      <c r="AJ221" s="95">
        <f t="shared" si="634"/>
        <v>0</v>
      </c>
      <c r="AK221" s="95">
        <f t="shared" si="634"/>
        <v>0</v>
      </c>
      <c r="AL221" s="95">
        <f t="shared" si="634"/>
        <v>0</v>
      </c>
      <c r="AM221" s="95">
        <f t="shared" si="634"/>
        <v>0</v>
      </c>
      <c r="AN221" s="95">
        <f t="shared" si="634"/>
        <v>0</v>
      </c>
      <c r="AO221" s="95">
        <f t="shared" si="634"/>
        <v>0</v>
      </c>
      <c r="AP221" s="95">
        <f t="shared" si="634"/>
        <v>0</v>
      </c>
      <c r="AQ221" s="95">
        <f t="shared" si="634"/>
        <v>0</v>
      </c>
      <c r="AR221" s="95">
        <f t="shared" si="634"/>
        <v>0</v>
      </c>
      <c r="AS221" s="95">
        <f t="shared" si="634"/>
        <v>0</v>
      </c>
      <c r="AT221" s="95">
        <f t="shared" si="634"/>
        <v>0</v>
      </c>
      <c r="AU221" s="95">
        <f t="shared" si="634"/>
        <v>0</v>
      </c>
      <c r="AV221" s="95">
        <f t="shared" si="634"/>
        <v>0</v>
      </c>
      <c r="AW221" s="95">
        <f t="shared" si="634"/>
        <v>0</v>
      </c>
      <c r="AX221" s="95">
        <f t="shared" si="634"/>
        <v>0</v>
      </c>
      <c r="AY221" s="95">
        <f t="shared" si="634"/>
        <v>0</v>
      </c>
      <c r="AZ221" s="95">
        <f t="shared" si="634"/>
        <v>0</v>
      </c>
      <c r="BA221" s="95">
        <f t="shared" si="634"/>
        <v>0</v>
      </c>
      <c r="BB221" s="95">
        <f t="shared" ref="BB221:BE221" si="635">BB75</f>
        <v>0</v>
      </c>
      <c r="BC221" s="95">
        <f t="shared" si="635"/>
        <v>0</v>
      </c>
      <c r="BD221" s="95">
        <f t="shared" si="635"/>
        <v>0</v>
      </c>
      <c r="BE221" s="95">
        <f t="shared" si="635"/>
        <v>0</v>
      </c>
      <c r="BG221" s="171"/>
      <c r="BH221" s="171"/>
      <c r="BI221" s="171"/>
    </row>
    <row r="222" spans="2:61" ht="13.5" customHeight="1" thickBot="1">
      <c r="B222" s="43" t="str">
        <f t="shared" ref="B222:O222" si="636">B76</f>
        <v>Change in debt /Finance Costs</v>
      </c>
      <c r="C222" s="95">
        <f t="shared" si="636"/>
        <v>-1588.7079999999999</v>
      </c>
      <c r="D222" s="93">
        <f t="shared" si="636"/>
        <v>0</v>
      </c>
      <c r="E222" s="93">
        <f t="shared" si="636"/>
        <v>14546.163</v>
      </c>
      <c r="F222" s="93">
        <f t="shared" si="636"/>
        <v>6650</v>
      </c>
      <c r="G222" s="93">
        <f t="shared" si="636"/>
        <v>-5671.4560000000001</v>
      </c>
      <c r="H222" s="93">
        <f t="shared" si="636"/>
        <v>3111.8919999999998</v>
      </c>
      <c r="I222" s="93">
        <f t="shared" si="636"/>
        <v>111.952</v>
      </c>
      <c r="J222" s="93">
        <f t="shared" si="636"/>
        <v>-7231.2739999999994</v>
      </c>
      <c r="K222" s="93">
        <f t="shared" si="636"/>
        <v>-5636.1949999999997</v>
      </c>
      <c r="L222" s="93">
        <f t="shared" si="636"/>
        <v>-2510.924</v>
      </c>
      <c r="M222" s="93">
        <f t="shared" si="636"/>
        <v>-8646.58</v>
      </c>
      <c r="N222" s="93">
        <f t="shared" ref="N222" si="637">N76</f>
        <v>17540.14</v>
      </c>
      <c r="O222" s="93">
        <f t="shared" si="636"/>
        <v>-2413.2150000000001</v>
      </c>
      <c r="P222" s="72"/>
      <c r="Q222" s="93">
        <f t="shared" ref="Q222:BA222" si="638">Q76</f>
        <v>0</v>
      </c>
      <c r="R222" s="93">
        <f t="shared" si="638"/>
        <v>0</v>
      </c>
      <c r="S222" s="93">
        <f t="shared" si="638"/>
        <v>645</v>
      </c>
      <c r="T222" s="93">
        <f t="shared" si="638"/>
        <v>13901.163</v>
      </c>
      <c r="U222" s="93">
        <f t="shared" si="638"/>
        <v>2900</v>
      </c>
      <c r="V222" s="93">
        <f t="shared" si="638"/>
        <v>0</v>
      </c>
      <c r="W222" s="93">
        <f t="shared" si="638"/>
        <v>5000</v>
      </c>
      <c r="X222" s="93">
        <f t="shared" si="638"/>
        <v>-1250</v>
      </c>
      <c r="Y222" s="93">
        <f t="shared" si="638"/>
        <v>-1406.25</v>
      </c>
      <c r="Z222" s="93">
        <f t="shared" si="638"/>
        <v>-3265.2060000000001</v>
      </c>
      <c r="AA222" s="93">
        <f t="shared" si="638"/>
        <v>-1000</v>
      </c>
      <c r="AB222" s="93">
        <f t="shared" si="638"/>
        <v>0</v>
      </c>
      <c r="AC222" s="93">
        <f t="shared" si="638"/>
        <v>-447.27600000000001</v>
      </c>
      <c r="AD222" s="93">
        <f t="shared" si="638"/>
        <v>-461.11700000000002</v>
      </c>
      <c r="AE222" s="93">
        <f t="shared" si="638"/>
        <v>-484.22300000000001</v>
      </c>
      <c r="AF222" s="93">
        <f t="shared" si="638"/>
        <v>4504.5079999999998</v>
      </c>
      <c r="AG222" s="93">
        <f t="shared" si="638"/>
        <v>-521.92999999999995</v>
      </c>
      <c r="AH222" s="93">
        <f t="shared" si="638"/>
        <v>134.68299999999999</v>
      </c>
      <c r="AI222" s="93">
        <f t="shared" si="638"/>
        <v>4498.3020000000006</v>
      </c>
      <c r="AJ222" s="93">
        <f t="shared" si="638"/>
        <v>-3999.1030000000005</v>
      </c>
      <c r="AK222" s="93">
        <f t="shared" si="638"/>
        <v>-517.58000000000004</v>
      </c>
      <c r="AL222" s="93">
        <f t="shared" si="638"/>
        <v>-536.63599999999985</v>
      </c>
      <c r="AM222" s="93">
        <f t="shared" si="638"/>
        <v>-5072.7240000000011</v>
      </c>
      <c r="AN222" s="93">
        <f t="shared" si="638"/>
        <v>-1104.3339999999985</v>
      </c>
      <c r="AO222" s="93">
        <f t="shared" si="638"/>
        <v>-2444.991</v>
      </c>
      <c r="AP222" s="93">
        <f t="shared" si="638"/>
        <v>-533.18900000000031</v>
      </c>
      <c r="AQ222" s="93">
        <f t="shared" si="638"/>
        <v>-2059.3819999999996</v>
      </c>
      <c r="AR222" s="93">
        <f t="shared" si="638"/>
        <v>-598.63299999999981</v>
      </c>
      <c r="AS222" s="93">
        <f t="shared" si="638"/>
        <v>-612.99599999999998</v>
      </c>
      <c r="AT222" s="93">
        <f t="shared" si="638"/>
        <v>-619.93700000000001</v>
      </c>
      <c r="AU222" s="93">
        <f t="shared" si="638"/>
        <v>-628.53899999999987</v>
      </c>
      <c r="AV222" s="93">
        <f t="shared" si="638"/>
        <v>-649.45200000000034</v>
      </c>
      <c r="AW222" s="93">
        <f t="shared" si="638"/>
        <v>-663.10900000000004</v>
      </c>
      <c r="AX222" s="93">
        <f t="shared" si="638"/>
        <v>-664.93999999999994</v>
      </c>
      <c r="AY222" s="93">
        <f t="shared" si="638"/>
        <v>-674.67400000000009</v>
      </c>
      <c r="AZ222" s="93">
        <f t="shared" si="638"/>
        <v>-6643.857</v>
      </c>
      <c r="BA222" s="93">
        <f t="shared" si="638"/>
        <v>19817.992999999999</v>
      </c>
      <c r="BB222" s="93">
        <f t="shared" ref="BB222:BE222" si="639">BB76</f>
        <v>-745.6260000000002</v>
      </c>
      <c r="BC222" s="93">
        <f t="shared" si="639"/>
        <v>-746.22299999999814</v>
      </c>
      <c r="BD222" s="93">
        <f t="shared" si="639"/>
        <v>-786.00400000000081</v>
      </c>
      <c r="BE222" s="93">
        <f t="shared" si="639"/>
        <v>-880.98800000000108</v>
      </c>
      <c r="BG222" s="171"/>
      <c r="BH222" s="171"/>
      <c r="BI222" s="171"/>
    </row>
    <row r="223" spans="2:61" ht="13.5" customHeight="1" thickTop="1" thickBot="1">
      <c r="B223" s="59" t="str">
        <f t="shared" ref="B223:O223" si="640">B78</f>
        <v>Cash flow after financing activities</v>
      </c>
      <c r="C223" s="96">
        <f t="shared" si="640"/>
        <v>3261.054000000001</v>
      </c>
      <c r="D223" s="94">
        <f t="shared" si="640"/>
        <v>2711.0449999999992</v>
      </c>
      <c r="E223" s="94">
        <f t="shared" si="640"/>
        <v>16381.579</v>
      </c>
      <c r="F223" s="94">
        <f t="shared" si="640"/>
        <v>-7090.6919999999973</v>
      </c>
      <c r="G223" s="94">
        <f t="shared" si="640"/>
        <v>-2266.7940000000008</v>
      </c>
      <c r="H223" s="94">
        <f t="shared" si="640"/>
        <v>9003.4957999999951</v>
      </c>
      <c r="I223" s="94">
        <f t="shared" si="640"/>
        <v>9700.3659999999982</v>
      </c>
      <c r="J223" s="94">
        <f t="shared" si="640"/>
        <v>4913.5820000000003</v>
      </c>
      <c r="K223" s="94">
        <f t="shared" si="640"/>
        <v>-6959.3159999999989</v>
      </c>
      <c r="L223" s="94">
        <f t="shared" si="640"/>
        <v>9071.252999999997</v>
      </c>
      <c r="M223" s="94">
        <f t="shared" si="640"/>
        <v>-1690.279999999997</v>
      </c>
      <c r="N223" s="94">
        <f t="shared" ref="N223" si="641">N78</f>
        <v>11993.721999999996</v>
      </c>
      <c r="O223" s="94">
        <f t="shared" si="640"/>
        <v>23006.348999999998</v>
      </c>
      <c r="P223" s="79"/>
      <c r="Q223" s="94">
        <f t="shared" ref="Q223:BA223" si="642">Q78</f>
        <v>-3215.8240000000005</v>
      </c>
      <c r="R223" s="94">
        <f t="shared" si="642"/>
        <v>721.46900000000005</v>
      </c>
      <c r="S223" s="94">
        <f t="shared" si="642"/>
        <v>657.42099999999971</v>
      </c>
      <c r="T223" s="94">
        <f t="shared" si="642"/>
        <v>18218.512999999999</v>
      </c>
      <c r="U223" s="94">
        <f t="shared" si="642"/>
        <v>-2001.6759999999986</v>
      </c>
      <c r="V223" s="94">
        <f t="shared" si="642"/>
        <v>-15420.710999999999</v>
      </c>
      <c r="W223" s="94">
        <f t="shared" si="642"/>
        <v>3829.7929999999988</v>
      </c>
      <c r="X223" s="94">
        <f t="shared" si="642"/>
        <v>6501.9019999999982</v>
      </c>
      <c r="Y223" s="94">
        <f t="shared" si="642"/>
        <v>-6386.8670000000011</v>
      </c>
      <c r="Z223" s="94">
        <f t="shared" si="642"/>
        <v>-564.83799999999883</v>
      </c>
      <c r="AA223" s="94">
        <f t="shared" si="642"/>
        <v>-3334.3950000000018</v>
      </c>
      <c r="AB223" s="94">
        <f t="shared" si="642"/>
        <v>8019.3060000000014</v>
      </c>
      <c r="AC223" s="94">
        <f t="shared" si="642"/>
        <v>-3365.39</v>
      </c>
      <c r="AD223" s="94">
        <f t="shared" si="642"/>
        <v>1965.5229999999999</v>
      </c>
      <c r="AE223" s="94">
        <f t="shared" si="642"/>
        <v>-4491.3540000000003</v>
      </c>
      <c r="AF223" s="94">
        <f t="shared" si="642"/>
        <v>14894.716799999997</v>
      </c>
      <c r="AG223" s="94">
        <f t="shared" si="642"/>
        <v>-4545.786000000001</v>
      </c>
      <c r="AH223" s="94">
        <f t="shared" si="642"/>
        <v>-2888.4999999999977</v>
      </c>
      <c r="AI223" s="94">
        <f t="shared" si="642"/>
        <v>9817.405999999999</v>
      </c>
      <c r="AJ223" s="94">
        <f t="shared" si="642"/>
        <v>7317.2459999999992</v>
      </c>
      <c r="AK223" s="94">
        <f t="shared" si="642"/>
        <v>-8196.0220000000027</v>
      </c>
      <c r="AL223" s="94">
        <f t="shared" si="642"/>
        <v>7335.7502100000011</v>
      </c>
      <c r="AM223" s="94">
        <f t="shared" si="642"/>
        <v>-4925.2502099999992</v>
      </c>
      <c r="AN223" s="94">
        <f t="shared" si="642"/>
        <v>10699.104000000003</v>
      </c>
      <c r="AO223" s="94">
        <f t="shared" si="642"/>
        <v>-10201.920999999998</v>
      </c>
      <c r="AP223" s="94">
        <f t="shared" si="642"/>
        <v>2244.4599999999987</v>
      </c>
      <c r="AQ223" s="94">
        <f t="shared" si="642"/>
        <v>-10298.962999999998</v>
      </c>
      <c r="AR223" s="94">
        <f t="shared" si="642"/>
        <v>11297.107999999998</v>
      </c>
      <c r="AS223" s="94">
        <f t="shared" si="642"/>
        <v>-4696.5750000000016</v>
      </c>
      <c r="AT223" s="94">
        <f t="shared" si="642"/>
        <v>-2170.958830999999</v>
      </c>
      <c r="AU223" s="94">
        <f t="shared" si="642"/>
        <v>-366.1961689999996</v>
      </c>
      <c r="AV223" s="94">
        <f t="shared" si="642"/>
        <v>16304.982999999989</v>
      </c>
      <c r="AW223" s="94">
        <f t="shared" si="642"/>
        <v>-4632.0200000000004</v>
      </c>
      <c r="AX223" s="94">
        <f t="shared" si="642"/>
        <v>-1127.9549999999999</v>
      </c>
      <c r="AY223" s="94">
        <f t="shared" si="642"/>
        <v>-3468.6520000000019</v>
      </c>
      <c r="AZ223" s="94">
        <f t="shared" si="642"/>
        <v>7538.3470000000034</v>
      </c>
      <c r="BA223" s="94">
        <f t="shared" si="642"/>
        <v>14270.972</v>
      </c>
      <c r="BB223" s="94">
        <f t="shared" ref="BB223:BE223" si="643">BB78</f>
        <v>-25602.240000000002</v>
      </c>
      <c r="BC223" s="94">
        <f t="shared" si="643"/>
        <v>3771.9990000000057</v>
      </c>
      <c r="BD223" s="94">
        <f t="shared" si="643"/>
        <v>19552.990999999995</v>
      </c>
      <c r="BE223" s="94">
        <f t="shared" si="643"/>
        <v>-318.6410000000028</v>
      </c>
      <c r="BG223" s="163"/>
      <c r="BH223" s="163"/>
      <c r="BI223" s="163"/>
    </row>
    <row r="224" spans="2:61" s="5" customFormat="1" ht="13.5" customHeight="1" thickTop="1">
      <c r="B224" s="1" t="str">
        <f t="shared" ref="B224:O224" si="644">B79</f>
        <v xml:space="preserve">FX </v>
      </c>
      <c r="C224" s="92">
        <f t="shared" si="644"/>
        <v>-44.94</v>
      </c>
      <c r="D224" s="92">
        <f t="shared" si="644"/>
        <v>0</v>
      </c>
      <c r="E224" s="92">
        <f t="shared" si="644"/>
        <v>0</v>
      </c>
      <c r="F224" s="92">
        <f t="shared" si="644"/>
        <v>0</v>
      </c>
      <c r="G224" s="92">
        <f t="shared" si="644"/>
        <v>0</v>
      </c>
      <c r="H224" s="92">
        <f t="shared" si="644"/>
        <v>0</v>
      </c>
      <c r="I224" s="92">
        <f t="shared" si="644"/>
        <v>0</v>
      </c>
      <c r="J224" s="92">
        <f t="shared" si="644"/>
        <v>0</v>
      </c>
      <c r="K224" s="92">
        <f t="shared" si="644"/>
        <v>0</v>
      </c>
      <c r="L224" s="92">
        <f t="shared" si="644"/>
        <v>0</v>
      </c>
      <c r="M224" s="92">
        <f t="shared" si="644"/>
        <v>0</v>
      </c>
      <c r="N224" s="92">
        <f t="shared" ref="N224" si="645">N79</f>
        <v>0</v>
      </c>
      <c r="O224" s="92">
        <f t="shared" si="644"/>
        <v>0</v>
      </c>
      <c r="P224" s="72"/>
      <c r="Q224" s="92">
        <f t="shared" ref="Q224:BA224" si="646">Q79</f>
        <v>0</v>
      </c>
      <c r="R224" s="92">
        <f t="shared" si="646"/>
        <v>0</v>
      </c>
      <c r="S224" s="92">
        <f t="shared" si="646"/>
        <v>0</v>
      </c>
      <c r="T224" s="92">
        <f t="shared" si="646"/>
        <v>0</v>
      </c>
      <c r="U224" s="92">
        <f t="shared" si="646"/>
        <v>0</v>
      </c>
      <c r="V224" s="92">
        <f t="shared" si="646"/>
        <v>0</v>
      </c>
      <c r="W224" s="92">
        <f t="shared" si="646"/>
        <v>0</v>
      </c>
      <c r="X224" s="92">
        <f t="shared" si="646"/>
        <v>0</v>
      </c>
      <c r="Y224" s="92">
        <f t="shared" si="646"/>
        <v>0</v>
      </c>
      <c r="Z224" s="92">
        <f t="shared" si="646"/>
        <v>0</v>
      </c>
      <c r="AA224" s="92">
        <f t="shared" si="646"/>
        <v>0</v>
      </c>
      <c r="AB224" s="92">
        <f t="shared" si="646"/>
        <v>0</v>
      </c>
      <c r="AC224" s="92">
        <f t="shared" si="646"/>
        <v>0</v>
      </c>
      <c r="AD224" s="92">
        <f t="shared" si="646"/>
        <v>0</v>
      </c>
      <c r="AE224" s="92">
        <f t="shared" si="646"/>
        <v>0</v>
      </c>
      <c r="AF224" s="92">
        <f t="shared" si="646"/>
        <v>0</v>
      </c>
      <c r="AG224" s="92">
        <f t="shared" si="646"/>
        <v>0</v>
      </c>
      <c r="AH224" s="92">
        <f t="shared" si="646"/>
        <v>0</v>
      </c>
      <c r="AI224" s="92">
        <f t="shared" si="646"/>
        <v>0</v>
      </c>
      <c r="AJ224" s="92">
        <f t="shared" si="646"/>
        <v>0</v>
      </c>
      <c r="AK224" s="92">
        <f t="shared" si="646"/>
        <v>0</v>
      </c>
      <c r="AL224" s="92">
        <f t="shared" si="646"/>
        <v>0</v>
      </c>
      <c r="AM224" s="92">
        <f t="shared" si="646"/>
        <v>0</v>
      </c>
      <c r="AN224" s="92">
        <f t="shared" si="646"/>
        <v>0</v>
      </c>
      <c r="AO224" s="92">
        <f t="shared" si="646"/>
        <v>0</v>
      </c>
      <c r="AP224" s="92">
        <f t="shared" si="646"/>
        <v>0</v>
      </c>
      <c r="AQ224" s="92">
        <f t="shared" si="646"/>
        <v>0</v>
      </c>
      <c r="AR224" s="92">
        <f t="shared" si="646"/>
        <v>0</v>
      </c>
      <c r="AS224" s="92">
        <f t="shared" si="646"/>
        <v>0</v>
      </c>
      <c r="AT224" s="92">
        <f t="shared" si="646"/>
        <v>0</v>
      </c>
      <c r="AU224" s="92">
        <f t="shared" si="646"/>
        <v>0</v>
      </c>
      <c r="AV224" s="92">
        <f t="shared" si="646"/>
        <v>0</v>
      </c>
      <c r="AW224" s="92">
        <f t="shared" si="646"/>
        <v>0</v>
      </c>
      <c r="AX224" s="92">
        <f t="shared" si="646"/>
        <v>0</v>
      </c>
      <c r="AY224" s="92">
        <f t="shared" si="646"/>
        <v>0</v>
      </c>
      <c r="AZ224" s="92">
        <f t="shared" si="646"/>
        <v>0</v>
      </c>
      <c r="BA224" s="92">
        <f t="shared" si="646"/>
        <v>0</v>
      </c>
      <c r="BB224" s="92">
        <f t="shared" ref="BB224:BE224" si="647">BB79</f>
        <v>0</v>
      </c>
      <c r="BC224" s="92">
        <f t="shared" si="647"/>
        <v>0</v>
      </c>
      <c r="BD224" s="92">
        <f t="shared" si="647"/>
        <v>0</v>
      </c>
      <c r="BE224" s="92">
        <f t="shared" si="647"/>
        <v>0</v>
      </c>
      <c r="BG224" s="171"/>
      <c r="BH224" s="171"/>
      <c r="BI224" s="171"/>
    </row>
    <row r="225" spans="2:61" s="5" customFormat="1" ht="13.5" customHeight="1">
      <c r="B225" s="1" t="str">
        <f t="shared" ref="B225:O225" si="648">B80</f>
        <v>Hyperinflation effect</v>
      </c>
      <c r="C225" s="92">
        <f t="shared" si="648"/>
        <v>0</v>
      </c>
      <c r="D225" s="92">
        <f t="shared" si="648"/>
        <v>0</v>
      </c>
      <c r="E225" s="92">
        <f t="shared" si="648"/>
        <v>0</v>
      </c>
      <c r="F225" s="92">
        <f t="shared" si="648"/>
        <v>0</v>
      </c>
      <c r="G225" s="92">
        <f t="shared" si="648"/>
        <v>0</v>
      </c>
      <c r="H225" s="92">
        <f t="shared" si="648"/>
        <v>0</v>
      </c>
      <c r="I225" s="92">
        <f t="shared" si="648"/>
        <v>0</v>
      </c>
      <c r="J225" s="92">
        <f t="shared" si="648"/>
        <v>0</v>
      </c>
      <c r="K225" s="92">
        <f t="shared" si="648"/>
        <v>0</v>
      </c>
      <c r="L225" s="92">
        <f t="shared" si="648"/>
        <v>0</v>
      </c>
      <c r="M225" s="92">
        <f t="shared" si="648"/>
        <v>0</v>
      </c>
      <c r="N225" s="92">
        <f t="shared" ref="N225" si="649">N80</f>
        <v>0</v>
      </c>
      <c r="O225" s="92">
        <f t="shared" si="648"/>
        <v>0</v>
      </c>
      <c r="P225" s="72"/>
      <c r="Q225" s="92">
        <f t="shared" ref="Q225:BA225" si="650">Q80</f>
        <v>0</v>
      </c>
      <c r="R225" s="92">
        <f t="shared" si="650"/>
        <v>0</v>
      </c>
      <c r="S225" s="92">
        <f t="shared" si="650"/>
        <v>0</v>
      </c>
      <c r="T225" s="92">
        <f t="shared" si="650"/>
        <v>0</v>
      </c>
      <c r="U225" s="92">
        <f t="shared" si="650"/>
        <v>0</v>
      </c>
      <c r="V225" s="92">
        <f t="shared" si="650"/>
        <v>0</v>
      </c>
      <c r="W225" s="92">
        <f t="shared" si="650"/>
        <v>0</v>
      </c>
      <c r="X225" s="92">
        <f t="shared" si="650"/>
        <v>0</v>
      </c>
      <c r="Y225" s="92">
        <f t="shared" si="650"/>
        <v>0</v>
      </c>
      <c r="Z225" s="92">
        <f t="shared" si="650"/>
        <v>0</v>
      </c>
      <c r="AA225" s="92">
        <f t="shared" si="650"/>
        <v>0</v>
      </c>
      <c r="AB225" s="92">
        <f t="shared" si="650"/>
        <v>0</v>
      </c>
      <c r="AC225" s="92">
        <f t="shared" si="650"/>
        <v>0</v>
      </c>
      <c r="AD225" s="92">
        <f t="shared" si="650"/>
        <v>0</v>
      </c>
      <c r="AE225" s="92">
        <f t="shared" si="650"/>
        <v>0</v>
      </c>
      <c r="AF225" s="92">
        <f t="shared" si="650"/>
        <v>0</v>
      </c>
      <c r="AG225" s="92">
        <f t="shared" si="650"/>
        <v>0</v>
      </c>
      <c r="AH225" s="92">
        <f t="shared" si="650"/>
        <v>0</v>
      </c>
      <c r="AI225" s="92">
        <f t="shared" si="650"/>
        <v>0</v>
      </c>
      <c r="AJ225" s="92">
        <f t="shared" si="650"/>
        <v>0</v>
      </c>
      <c r="AK225" s="92">
        <f t="shared" si="650"/>
        <v>0</v>
      </c>
      <c r="AL225" s="92">
        <f t="shared" si="650"/>
        <v>0</v>
      </c>
      <c r="AM225" s="92">
        <f t="shared" si="650"/>
        <v>0</v>
      </c>
      <c r="AN225" s="92">
        <f t="shared" si="650"/>
        <v>0</v>
      </c>
      <c r="AO225" s="92">
        <f t="shared" si="650"/>
        <v>0</v>
      </c>
      <c r="AP225" s="92">
        <f t="shared" si="650"/>
        <v>0</v>
      </c>
      <c r="AQ225" s="92">
        <f t="shared" si="650"/>
        <v>0</v>
      </c>
      <c r="AR225" s="92">
        <f t="shared" si="650"/>
        <v>0</v>
      </c>
      <c r="AS225" s="92">
        <f t="shared" si="650"/>
        <v>0</v>
      </c>
      <c r="AT225" s="92">
        <f t="shared" si="650"/>
        <v>0</v>
      </c>
      <c r="AU225" s="92">
        <f t="shared" si="650"/>
        <v>0</v>
      </c>
      <c r="AV225" s="92">
        <f t="shared" si="650"/>
        <v>0</v>
      </c>
      <c r="AW225" s="92">
        <f t="shared" si="650"/>
        <v>0</v>
      </c>
      <c r="AX225" s="92">
        <f t="shared" si="650"/>
        <v>0</v>
      </c>
      <c r="AY225" s="92">
        <f t="shared" si="650"/>
        <v>0</v>
      </c>
      <c r="AZ225" s="92">
        <f t="shared" si="650"/>
        <v>0</v>
      </c>
      <c r="BA225" s="92">
        <f t="shared" si="650"/>
        <v>0</v>
      </c>
      <c r="BB225" s="92">
        <f t="shared" ref="BB225:BE225" si="651">BB80</f>
        <v>0</v>
      </c>
      <c r="BC225" s="92">
        <f t="shared" si="651"/>
        <v>0</v>
      </c>
      <c r="BD225" s="92">
        <f t="shared" si="651"/>
        <v>0</v>
      </c>
      <c r="BE225" s="92">
        <f t="shared" si="651"/>
        <v>0</v>
      </c>
      <c r="BG225" s="171"/>
      <c r="BH225" s="171"/>
      <c r="BI225" s="171"/>
    </row>
    <row r="226" spans="2:61" ht="13.5" customHeight="1">
      <c r="B226" s="1" t="str">
        <f t="shared" ref="B226:O226" si="652">B81</f>
        <v>Balancing figure</v>
      </c>
      <c r="C226" s="92">
        <f t="shared" si="652"/>
        <v>1012.3539999999994</v>
      </c>
      <c r="D226" s="92">
        <f t="shared" si="652"/>
        <v>-19.292999999999211</v>
      </c>
      <c r="E226" s="92">
        <f t="shared" si="652"/>
        <v>609.43199999999888</v>
      </c>
      <c r="F226" s="92">
        <f t="shared" si="652"/>
        <v>-1848.4600000000028</v>
      </c>
      <c r="G226" s="92">
        <f t="shared" si="652"/>
        <v>-832.78599999999915</v>
      </c>
      <c r="H226" s="92">
        <f t="shared" si="652"/>
        <v>-3904.1967999999952</v>
      </c>
      <c r="I226" s="92">
        <f t="shared" si="652"/>
        <v>-2139.2279999999982</v>
      </c>
      <c r="J226" s="92">
        <f t="shared" si="652"/>
        <v>1385.3549999999996</v>
      </c>
      <c r="K226" s="92">
        <f t="shared" si="652"/>
        <v>-1019.3030000000008</v>
      </c>
      <c r="L226" s="92">
        <f t="shared" si="652"/>
        <v>-3780.3409999999967</v>
      </c>
      <c r="M226" s="92">
        <f t="shared" si="652"/>
        <v>-3388.7070000000031</v>
      </c>
      <c r="N226" s="92">
        <f t="shared" ref="N226" si="653">N81</f>
        <v>-11456.802999999996</v>
      </c>
      <c r="O226" s="92">
        <f t="shared" si="652"/>
        <v>-9162.1889999999948</v>
      </c>
      <c r="P226" s="72"/>
      <c r="Q226" s="92">
        <f t="shared" ref="Q226:BA226" si="654">Q81</f>
        <v>12.816000000000713</v>
      </c>
      <c r="R226" s="92">
        <f t="shared" si="654"/>
        <v>-520.72100000000046</v>
      </c>
      <c r="S226" s="92">
        <f t="shared" si="654"/>
        <v>-886.14299999999957</v>
      </c>
      <c r="T226" s="92">
        <f t="shared" si="654"/>
        <v>2003.4799999999982</v>
      </c>
      <c r="U226" s="92">
        <f t="shared" si="654"/>
        <v>-827.82500000000164</v>
      </c>
      <c r="V226" s="92">
        <f t="shared" si="654"/>
        <v>-737.01800000000003</v>
      </c>
      <c r="W226" s="92">
        <f t="shared" si="654"/>
        <v>243.09100000000035</v>
      </c>
      <c r="X226" s="92">
        <f t="shared" si="654"/>
        <v>-526.70800000000145</v>
      </c>
      <c r="Y226" s="92">
        <f t="shared" si="654"/>
        <v>400.96600000000126</v>
      </c>
      <c r="Z226" s="92">
        <f t="shared" si="654"/>
        <v>-922.679000000001</v>
      </c>
      <c r="AA226" s="92">
        <f t="shared" si="654"/>
        <v>143.54000000000269</v>
      </c>
      <c r="AB226" s="92">
        <f t="shared" si="654"/>
        <v>-454.6130000000021</v>
      </c>
      <c r="AC226" s="92">
        <f t="shared" si="654"/>
        <v>-637.74000000000024</v>
      </c>
      <c r="AD226" s="92">
        <f t="shared" si="654"/>
        <v>-544.79500000000007</v>
      </c>
      <c r="AE226" s="92">
        <f t="shared" si="654"/>
        <v>-899.09699999999975</v>
      </c>
      <c r="AF226" s="92">
        <f t="shared" si="654"/>
        <v>-1822.5647999999951</v>
      </c>
      <c r="AG226" s="92">
        <f t="shared" si="654"/>
        <v>72.030000000000655</v>
      </c>
      <c r="AH226" s="92">
        <f t="shared" si="654"/>
        <v>-5817.929000000001</v>
      </c>
      <c r="AI226" s="92">
        <f t="shared" si="654"/>
        <v>4377.7080000000005</v>
      </c>
      <c r="AJ226" s="92">
        <f t="shared" si="654"/>
        <v>-771.03699999999844</v>
      </c>
      <c r="AK226" s="92">
        <f t="shared" si="654"/>
        <v>-122.61299999999756</v>
      </c>
      <c r="AL226" s="92">
        <f t="shared" si="654"/>
        <v>-307.67521000000124</v>
      </c>
      <c r="AM226" s="92">
        <f t="shared" si="654"/>
        <v>383.94320999999945</v>
      </c>
      <c r="AN226" s="92">
        <f t="shared" si="654"/>
        <v>1431.6999999999989</v>
      </c>
      <c r="AO226" s="92">
        <f t="shared" si="654"/>
        <v>-650.06300000000192</v>
      </c>
      <c r="AP226" s="92">
        <f t="shared" si="654"/>
        <v>-330.42199999999866</v>
      </c>
      <c r="AQ226" s="92">
        <f t="shared" si="654"/>
        <v>-71.334000000000742</v>
      </c>
      <c r="AR226" s="92">
        <f t="shared" si="654"/>
        <v>32.516000000000531</v>
      </c>
      <c r="AS226" s="92">
        <f t="shared" si="654"/>
        <v>-1280.5529999999981</v>
      </c>
      <c r="AT226" s="92">
        <f t="shared" si="654"/>
        <v>-566.92916900000091</v>
      </c>
      <c r="AU226" s="92">
        <f t="shared" si="654"/>
        <v>-550.51483100000223</v>
      </c>
      <c r="AV226" s="92">
        <f t="shared" si="654"/>
        <v>-1382.3439999999955</v>
      </c>
      <c r="AW226" s="92">
        <f t="shared" si="654"/>
        <v>-1888.5209999999997</v>
      </c>
      <c r="AX226" s="92">
        <f t="shared" si="654"/>
        <v>72.800000000000182</v>
      </c>
      <c r="AY226" s="92">
        <f t="shared" si="654"/>
        <v>-604.31299999999737</v>
      </c>
      <c r="AZ226" s="92">
        <f t="shared" si="654"/>
        <v>-968.67300000000614</v>
      </c>
      <c r="BA226" s="92">
        <f t="shared" si="654"/>
        <v>-2428.2989999999991</v>
      </c>
      <c r="BB226" s="92">
        <f t="shared" ref="BB226:BE226" si="655">BB81</f>
        <v>-2009.6419999999998</v>
      </c>
      <c r="BC226" s="92">
        <f t="shared" si="655"/>
        <v>-2625.1220000000048</v>
      </c>
      <c r="BD226" s="92">
        <f t="shared" si="655"/>
        <v>-4393.7399999999925</v>
      </c>
      <c r="BE226" s="92">
        <f t="shared" si="655"/>
        <v>-2143.326999999997</v>
      </c>
      <c r="BG226" s="171"/>
      <c r="BH226" s="171"/>
      <c r="BI226" s="171"/>
    </row>
    <row r="227" spans="2:61" s="5" customFormat="1" ht="13.5" customHeight="1" thickBot="1">
      <c r="B227" s="54" t="str">
        <f t="shared" ref="B227:O227" si="656">B82</f>
        <v xml:space="preserve">Net change in cash </v>
      </c>
      <c r="C227" s="94">
        <f t="shared" si="656"/>
        <v>4228.4680000000008</v>
      </c>
      <c r="D227" s="94">
        <f t="shared" si="656"/>
        <v>2691.752</v>
      </c>
      <c r="E227" s="94">
        <f t="shared" si="656"/>
        <v>16991.010999999999</v>
      </c>
      <c r="F227" s="94">
        <f t="shared" si="656"/>
        <v>-8939.152</v>
      </c>
      <c r="G227" s="94">
        <f t="shared" si="656"/>
        <v>-3099.58</v>
      </c>
      <c r="H227" s="94">
        <f t="shared" si="656"/>
        <v>5099.299</v>
      </c>
      <c r="I227" s="94">
        <f t="shared" si="656"/>
        <v>7561.1379999999999</v>
      </c>
      <c r="J227" s="94">
        <f t="shared" si="656"/>
        <v>6298.9369999999999</v>
      </c>
      <c r="K227" s="94">
        <f t="shared" si="656"/>
        <v>-7978.6189999999997</v>
      </c>
      <c r="L227" s="94">
        <f t="shared" si="656"/>
        <v>5290.9120000000003</v>
      </c>
      <c r="M227" s="94">
        <f t="shared" si="656"/>
        <v>-5078.9870000000001</v>
      </c>
      <c r="N227" s="94">
        <f t="shared" ref="N227" si="657">N82</f>
        <v>536.91899999999987</v>
      </c>
      <c r="O227" s="94">
        <f t="shared" si="656"/>
        <v>13844.160000000003</v>
      </c>
      <c r="P227" s="79"/>
      <c r="Q227" s="94">
        <f t="shared" ref="Q227:BA227" si="658">Q82</f>
        <v>-3203.0079999999998</v>
      </c>
      <c r="R227" s="94">
        <f t="shared" si="658"/>
        <v>200.74799999999959</v>
      </c>
      <c r="S227" s="94">
        <f t="shared" si="658"/>
        <v>-228.72199999999987</v>
      </c>
      <c r="T227" s="94">
        <f t="shared" si="658"/>
        <v>20221.992999999999</v>
      </c>
      <c r="U227" s="94">
        <f t="shared" si="658"/>
        <v>-2829.5010000000002</v>
      </c>
      <c r="V227" s="94">
        <f t="shared" si="658"/>
        <v>-16157.728999999999</v>
      </c>
      <c r="W227" s="94">
        <f t="shared" si="658"/>
        <v>4072.8839999999991</v>
      </c>
      <c r="X227" s="94">
        <f t="shared" si="658"/>
        <v>5975.1939999999968</v>
      </c>
      <c r="Y227" s="94">
        <f t="shared" si="658"/>
        <v>-5985.9009999999998</v>
      </c>
      <c r="Z227" s="94">
        <f t="shared" si="658"/>
        <v>-1487.5169999999998</v>
      </c>
      <c r="AA227" s="94">
        <f t="shared" si="658"/>
        <v>-3190.8549999999991</v>
      </c>
      <c r="AB227" s="94">
        <f t="shared" si="658"/>
        <v>7564.6929999999993</v>
      </c>
      <c r="AC227" s="94">
        <f t="shared" si="658"/>
        <v>-4003.13</v>
      </c>
      <c r="AD227" s="94">
        <f t="shared" si="658"/>
        <v>1420.7279999999998</v>
      </c>
      <c r="AE227" s="94">
        <f t="shared" si="658"/>
        <v>-5390.451</v>
      </c>
      <c r="AF227" s="94">
        <f t="shared" si="658"/>
        <v>13072.152000000002</v>
      </c>
      <c r="AG227" s="94">
        <f t="shared" si="658"/>
        <v>-4473.7560000000003</v>
      </c>
      <c r="AH227" s="94">
        <f t="shared" si="658"/>
        <v>-8706.4289999999983</v>
      </c>
      <c r="AI227" s="94">
        <f t="shared" si="658"/>
        <v>14195.114</v>
      </c>
      <c r="AJ227" s="94">
        <f t="shared" si="658"/>
        <v>6546.2090000000007</v>
      </c>
      <c r="AK227" s="94">
        <f t="shared" si="658"/>
        <v>-8318.6350000000002</v>
      </c>
      <c r="AL227" s="94">
        <f t="shared" si="658"/>
        <v>7028.0749999999998</v>
      </c>
      <c r="AM227" s="94">
        <f t="shared" si="658"/>
        <v>-4541.3069999999998</v>
      </c>
      <c r="AN227" s="94">
        <f t="shared" si="658"/>
        <v>12130.804000000002</v>
      </c>
      <c r="AO227" s="94">
        <f t="shared" si="658"/>
        <v>-10851.984</v>
      </c>
      <c r="AP227" s="94">
        <f t="shared" si="658"/>
        <v>1914.038</v>
      </c>
      <c r="AQ227" s="94">
        <f t="shared" si="658"/>
        <v>-10370.296999999999</v>
      </c>
      <c r="AR227" s="94">
        <f t="shared" si="658"/>
        <v>11329.624</v>
      </c>
      <c r="AS227" s="94">
        <f t="shared" si="658"/>
        <v>-5977.1279999999997</v>
      </c>
      <c r="AT227" s="94">
        <f t="shared" si="658"/>
        <v>-2737.8879999999999</v>
      </c>
      <c r="AU227" s="94">
        <f t="shared" si="658"/>
        <v>-916.71100000000183</v>
      </c>
      <c r="AV227" s="94">
        <f t="shared" si="658"/>
        <v>14922.638999999994</v>
      </c>
      <c r="AW227" s="94">
        <f t="shared" si="658"/>
        <v>-6520.5410000000002</v>
      </c>
      <c r="AX227" s="94">
        <f t="shared" si="658"/>
        <v>-1055.1549999999997</v>
      </c>
      <c r="AY227" s="94">
        <f t="shared" si="658"/>
        <v>-4072.9649999999992</v>
      </c>
      <c r="AZ227" s="94">
        <f t="shared" si="658"/>
        <v>6569.6739999999972</v>
      </c>
      <c r="BA227" s="94">
        <f t="shared" si="658"/>
        <v>11842.673000000001</v>
      </c>
      <c r="BB227" s="94">
        <f t="shared" ref="BB227:BE227" si="659">BB82</f>
        <v>-27611.882000000001</v>
      </c>
      <c r="BC227" s="94">
        <f t="shared" si="659"/>
        <v>1146.8770000000009</v>
      </c>
      <c r="BD227" s="94">
        <f t="shared" si="659"/>
        <v>15159.251000000002</v>
      </c>
      <c r="BE227" s="94">
        <f t="shared" si="659"/>
        <v>-2461.9679999999998</v>
      </c>
      <c r="BG227" s="163"/>
      <c r="BH227" s="163"/>
      <c r="BI227" s="163"/>
    </row>
    <row r="228" spans="2:61" ht="13.5" customHeight="1" thickTop="1">
      <c r="B228" s="1" t="str">
        <f t="shared" ref="B228:O228" si="660">B83</f>
        <v>Cash and cash equivalents</v>
      </c>
      <c r="C228" s="95">
        <f t="shared" si="660"/>
        <v>5891.4680000000008</v>
      </c>
      <c r="D228" s="95">
        <f t="shared" si="660"/>
        <v>8583.2200000000012</v>
      </c>
      <c r="E228" s="95">
        <f t="shared" si="660"/>
        <v>25574.231</v>
      </c>
      <c r="F228" s="95">
        <f t="shared" si="660"/>
        <v>16635.078999999998</v>
      </c>
      <c r="G228" s="95">
        <f t="shared" si="660"/>
        <v>13535.498999999998</v>
      </c>
      <c r="H228" s="95">
        <f t="shared" si="660"/>
        <v>18634.797999999999</v>
      </c>
      <c r="I228" s="95">
        <f t="shared" si="660"/>
        <v>26195.935999999998</v>
      </c>
      <c r="J228" s="95">
        <f t="shared" si="660"/>
        <v>32494.873</v>
      </c>
      <c r="K228" s="95">
        <f t="shared" si="660"/>
        <v>24516.254000000001</v>
      </c>
      <c r="L228" s="95">
        <f t="shared" si="660"/>
        <v>29807.166000000001</v>
      </c>
      <c r="M228" s="95">
        <f t="shared" si="660"/>
        <v>24728.179</v>
      </c>
      <c r="N228" s="95">
        <f t="shared" ref="N228" si="661">N83</f>
        <v>25265.097999999998</v>
      </c>
      <c r="O228" s="95">
        <f t="shared" si="660"/>
        <v>22803.129999999986</v>
      </c>
      <c r="P228" s="72"/>
      <c r="Q228" s="95">
        <f t="shared" ref="Q228:BA228" si="662">Q83</f>
        <v>5380.2120000000014</v>
      </c>
      <c r="R228" s="95">
        <f t="shared" si="662"/>
        <v>5580.9600000000009</v>
      </c>
      <c r="S228" s="95">
        <f t="shared" si="662"/>
        <v>5352.2380000000012</v>
      </c>
      <c r="T228" s="95">
        <f t="shared" si="662"/>
        <v>25574.231</v>
      </c>
      <c r="U228" s="95">
        <f t="shared" si="662"/>
        <v>22744.73</v>
      </c>
      <c r="V228" s="95">
        <f t="shared" si="662"/>
        <v>6587.0010000000002</v>
      </c>
      <c r="W228" s="95">
        <f t="shared" si="662"/>
        <v>10659.884999999998</v>
      </c>
      <c r="X228" s="92">
        <f t="shared" si="662"/>
        <v>16635.078999999994</v>
      </c>
      <c r="Y228" s="95">
        <f t="shared" si="662"/>
        <v>10649.177999999994</v>
      </c>
      <c r="Z228" s="95">
        <f t="shared" si="662"/>
        <v>9161.6609999999946</v>
      </c>
      <c r="AA228" s="95">
        <f t="shared" si="662"/>
        <v>5970.805999999995</v>
      </c>
      <c r="AB228" s="95">
        <f t="shared" si="662"/>
        <v>13535.498999999994</v>
      </c>
      <c r="AC228" s="95">
        <f t="shared" si="662"/>
        <v>9532.3689999999951</v>
      </c>
      <c r="AD228" s="95">
        <f t="shared" si="662"/>
        <v>10953.096999999994</v>
      </c>
      <c r="AE228" s="95">
        <f t="shared" si="662"/>
        <v>5562.6459999999943</v>
      </c>
      <c r="AF228" s="95">
        <f t="shared" si="662"/>
        <v>18634.797999999995</v>
      </c>
      <c r="AG228" s="95">
        <f t="shared" si="662"/>
        <v>14161.041999999994</v>
      </c>
      <c r="AH228" s="95">
        <f t="shared" si="662"/>
        <v>5454.6129999999957</v>
      </c>
      <c r="AI228" s="95">
        <f t="shared" si="662"/>
        <v>19649.726999999995</v>
      </c>
      <c r="AJ228" s="95">
        <f t="shared" si="662"/>
        <v>26195.935999999994</v>
      </c>
      <c r="AK228" s="95">
        <f t="shared" si="662"/>
        <v>17877.300999999992</v>
      </c>
      <c r="AL228" s="95">
        <f t="shared" si="662"/>
        <v>24905.375999999993</v>
      </c>
      <c r="AM228" s="95">
        <f t="shared" si="662"/>
        <v>20364.068999999992</v>
      </c>
      <c r="AN228" s="95">
        <f t="shared" si="662"/>
        <v>32494.872999999992</v>
      </c>
      <c r="AO228" s="95">
        <f t="shared" si="662"/>
        <v>21642.888999999992</v>
      </c>
      <c r="AP228" s="95">
        <f t="shared" si="662"/>
        <v>23556.926999999992</v>
      </c>
      <c r="AQ228" s="95">
        <f t="shared" si="662"/>
        <v>13186.629999999994</v>
      </c>
      <c r="AR228" s="95">
        <f t="shared" si="662"/>
        <v>24516.253999999994</v>
      </c>
      <c r="AS228" s="95">
        <f t="shared" si="662"/>
        <v>18539.125999999993</v>
      </c>
      <c r="AT228" s="95">
        <f t="shared" si="662"/>
        <v>15801.237999999994</v>
      </c>
      <c r="AU228" s="95">
        <f t="shared" si="662"/>
        <v>14884.526999999993</v>
      </c>
      <c r="AV228" s="95">
        <f t="shared" si="662"/>
        <v>29807.165999999987</v>
      </c>
      <c r="AW228" s="95">
        <f t="shared" si="662"/>
        <v>23286.624999999985</v>
      </c>
      <c r="AX228" s="95">
        <f t="shared" si="662"/>
        <v>22231.469999999987</v>
      </c>
      <c r="AY228" s="95">
        <f t="shared" si="662"/>
        <v>18158.504999999986</v>
      </c>
      <c r="AZ228" s="95">
        <f t="shared" si="662"/>
        <v>24728.178999999982</v>
      </c>
      <c r="BA228" s="95">
        <f t="shared" si="662"/>
        <v>36570.851999999984</v>
      </c>
      <c r="BB228" s="95">
        <f t="shared" ref="BB228:BE228" si="663">BB83</f>
        <v>8958.969999999983</v>
      </c>
      <c r="BC228" s="95">
        <f t="shared" si="663"/>
        <v>10105.846999999983</v>
      </c>
      <c r="BD228" s="95">
        <f t="shared" si="663"/>
        <v>25265.097999999984</v>
      </c>
      <c r="BE228" s="95">
        <f t="shared" si="663"/>
        <v>22803.129999999983</v>
      </c>
      <c r="BG228" s="396"/>
      <c r="BH228" s="396"/>
      <c r="BI228" s="396"/>
    </row>
    <row r="229" spans="2:61" s="5" customFormat="1" ht="13.5" customHeight="1">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36"/>
      <c r="BD229" s="36"/>
      <c r="BE229" s="36"/>
      <c r="BG229" s="390"/>
      <c r="BH229" s="390"/>
      <c r="BI229" s="390"/>
    </row>
    <row r="230" spans="2:61" s="5" customFormat="1" ht="13.5" customHeight="1">
      <c r="B230" s="1" t="s">
        <v>14</v>
      </c>
      <c r="C230" s="6">
        <f t="shared" ref="C230:AC230" si="664">C147</f>
        <v>13343.9</v>
      </c>
      <c r="D230" s="6">
        <f t="shared" si="664"/>
        <v>14096.066000000001</v>
      </c>
      <c r="E230" s="6">
        <f t="shared" si="664"/>
        <v>30571.826000000001</v>
      </c>
      <c r="F230" s="6">
        <f t="shared" si="664"/>
        <v>36217.500999999997</v>
      </c>
      <c r="G230" s="6">
        <f t="shared" si="664"/>
        <v>30533.759999999998</v>
      </c>
      <c r="H230" s="6">
        <f t="shared" ref="H230:L230" si="665">H147</f>
        <v>46926.523000000008</v>
      </c>
      <c r="I230" s="6">
        <f t="shared" si="665"/>
        <v>50215.145000000004</v>
      </c>
      <c r="J230" s="6">
        <f t="shared" si="665"/>
        <v>45785.199000000001</v>
      </c>
      <c r="K230" s="6">
        <f t="shared" si="665"/>
        <v>42649.954000000005</v>
      </c>
      <c r="L230" s="6">
        <f t="shared" si="665"/>
        <v>41097.931000000004</v>
      </c>
      <c r="M230" s="6">
        <f t="shared" ref="M230:N230" si="666">M147</f>
        <v>38371.252</v>
      </c>
      <c r="N230" s="6">
        <f t="shared" si="666"/>
        <v>48711.635999999999</v>
      </c>
      <c r="O230" s="6">
        <f t="shared" ref="O230" si="667">O147</f>
        <v>57282.186000000002</v>
      </c>
      <c r="P230" s="6"/>
      <c r="Q230" s="6">
        <f t="shared" si="664"/>
        <v>14092.556</v>
      </c>
      <c r="R230" s="6">
        <f t="shared" si="664"/>
        <v>14460.835999999999</v>
      </c>
      <c r="S230" s="6">
        <f t="shared" si="664"/>
        <v>29912.936000000002</v>
      </c>
      <c r="T230" s="6">
        <f t="shared" si="664"/>
        <v>30571.826000000001</v>
      </c>
      <c r="U230" s="6">
        <f t="shared" si="664"/>
        <v>31556.731400000001</v>
      </c>
      <c r="V230" s="6">
        <f t="shared" si="664"/>
        <v>30787.186000000002</v>
      </c>
      <c r="W230" s="6">
        <f t="shared" si="664"/>
        <v>35888.406000000003</v>
      </c>
      <c r="X230" s="6">
        <f t="shared" si="664"/>
        <v>36217.500999999997</v>
      </c>
      <c r="Y230" s="6">
        <f t="shared" si="664"/>
        <v>33349.650999999998</v>
      </c>
      <c r="Z230" s="6">
        <f t="shared" si="664"/>
        <v>31575.759999999998</v>
      </c>
      <c r="AA230" s="6">
        <f t="shared" si="664"/>
        <v>29559.255000000001</v>
      </c>
      <c r="AB230" s="6">
        <f t="shared" si="664"/>
        <v>30533.759999999998</v>
      </c>
      <c r="AC230" s="6">
        <f t="shared" si="664"/>
        <v>41673.229999999996</v>
      </c>
      <c r="AD230" s="6">
        <f t="shared" ref="AD230:AI230" si="668">AD147</f>
        <v>41596.380999999994</v>
      </c>
      <c r="AE230" s="6">
        <f t="shared" si="668"/>
        <v>42234.751000000004</v>
      </c>
      <c r="AF230" s="6">
        <f t="shared" si="668"/>
        <v>46926.523000000008</v>
      </c>
      <c r="AG230" s="6">
        <f t="shared" si="668"/>
        <v>51755.311999999998</v>
      </c>
      <c r="AH230" s="6">
        <f t="shared" si="668"/>
        <v>51756.078000000001</v>
      </c>
      <c r="AI230" s="6">
        <f t="shared" si="668"/>
        <v>55750.892000000007</v>
      </c>
      <c r="AJ230" s="6">
        <f t="shared" ref="AJ230:AO230" si="669">AJ147</f>
        <v>50215.145000000004</v>
      </c>
      <c r="AK230" s="6">
        <f t="shared" si="669"/>
        <v>50725.920999999995</v>
      </c>
      <c r="AL230" s="6">
        <f t="shared" si="669"/>
        <v>50194.479999999996</v>
      </c>
      <c r="AM230" s="6">
        <f t="shared" si="669"/>
        <v>46250.764999999999</v>
      </c>
      <c r="AN230" s="6">
        <f t="shared" si="669"/>
        <v>45785.199000000001</v>
      </c>
      <c r="AO230" s="6">
        <f t="shared" si="669"/>
        <v>43392.2</v>
      </c>
      <c r="AP230" s="6">
        <f t="shared" ref="AP230:AS230" si="670">AP147</f>
        <v>43691.563999999998</v>
      </c>
      <c r="AQ230" s="6">
        <f t="shared" si="670"/>
        <v>42157.144</v>
      </c>
      <c r="AR230" s="6">
        <f t="shared" si="670"/>
        <v>42649.954000000005</v>
      </c>
      <c r="AS230" s="6">
        <f t="shared" si="670"/>
        <v>41492.858</v>
      </c>
      <c r="AT230" s="6">
        <f t="shared" ref="AT230:AW230" si="671">AT147</f>
        <v>40945.326999999997</v>
      </c>
      <c r="AU230" s="6">
        <f t="shared" si="671"/>
        <v>41215.501000000004</v>
      </c>
      <c r="AV230" s="6">
        <f t="shared" si="671"/>
        <v>41097.931000000004</v>
      </c>
      <c r="AW230" s="6">
        <f t="shared" si="671"/>
        <v>41044.04</v>
      </c>
      <c r="AX230" s="6">
        <f t="shared" ref="AX230:BA230" si="672">AX147</f>
        <v>42430.781000000003</v>
      </c>
      <c r="AY230" s="6">
        <f t="shared" si="672"/>
        <v>43443.073000000004</v>
      </c>
      <c r="AZ230" s="6">
        <f t="shared" si="672"/>
        <v>38371.252</v>
      </c>
      <c r="BA230" s="6">
        <f t="shared" si="672"/>
        <v>59588.953999999998</v>
      </c>
      <c r="BB230" s="6">
        <f t="shared" ref="BB230:BE230" si="673">BB147</f>
        <v>59499.42</v>
      </c>
      <c r="BC230" s="6">
        <f t="shared" si="673"/>
        <v>59246.427000000003</v>
      </c>
      <c r="BD230" s="6">
        <f t="shared" si="673"/>
        <v>48711.635999999999</v>
      </c>
      <c r="BE230" s="6">
        <f t="shared" si="673"/>
        <v>57282.186000000002</v>
      </c>
      <c r="BG230" s="390"/>
      <c r="BH230" s="390"/>
      <c r="BI230" s="390"/>
    </row>
    <row r="231" spans="2:61" s="5" customFormat="1" ht="13.5" customHeight="1">
      <c r="B231" s="5" t="s">
        <v>377</v>
      </c>
      <c r="C231" s="8">
        <f t="shared" ref="C231:AC231" si="674">C146</f>
        <v>7452.4319999999998</v>
      </c>
      <c r="D231" s="8">
        <f t="shared" si="674"/>
        <v>5512.8470000000016</v>
      </c>
      <c r="E231" s="8">
        <f t="shared" si="674"/>
        <v>4997.5960000000014</v>
      </c>
      <c r="F231" s="8">
        <f t="shared" si="674"/>
        <v>19582.422999999995</v>
      </c>
      <c r="G231" s="8">
        <f t="shared" si="674"/>
        <v>16998.261999999999</v>
      </c>
      <c r="H231" s="8">
        <f t="shared" ref="H231:L231" si="675">H146</f>
        <v>28291.725000000009</v>
      </c>
      <c r="I231" s="8">
        <f t="shared" si="675"/>
        <v>24019.245000000003</v>
      </c>
      <c r="J231" s="8">
        <f t="shared" si="675"/>
        <v>13290.298999999999</v>
      </c>
      <c r="K231" s="8">
        <f t="shared" si="675"/>
        <v>18133.700000000004</v>
      </c>
      <c r="L231" s="8">
        <f t="shared" si="675"/>
        <v>11290.765000000003</v>
      </c>
      <c r="M231" s="8">
        <f t="shared" ref="M231:N231" si="676">M146</f>
        <v>13643.073</v>
      </c>
      <c r="N231" s="8">
        <f t="shared" si="676"/>
        <v>23446.537999999997</v>
      </c>
      <c r="O231" s="8">
        <f t="shared" ref="O231" si="677">O146</f>
        <v>34479.055999999997</v>
      </c>
      <c r="P231" s="8"/>
      <c r="Q231" s="8">
        <f t="shared" si="674"/>
        <v>8712.3439999999991</v>
      </c>
      <c r="R231" s="8">
        <f t="shared" si="674"/>
        <v>8879.8759999999984</v>
      </c>
      <c r="S231" s="8">
        <f t="shared" si="674"/>
        <v>24560.698</v>
      </c>
      <c r="T231" s="8">
        <f t="shared" si="674"/>
        <v>4997.5960000000014</v>
      </c>
      <c r="U231" s="8">
        <f t="shared" si="674"/>
        <v>8812.0024000000012</v>
      </c>
      <c r="V231" s="8">
        <f t="shared" si="674"/>
        <v>24200.186000000002</v>
      </c>
      <c r="W231" s="8">
        <f t="shared" si="674"/>
        <v>25228.522000000004</v>
      </c>
      <c r="X231" s="8">
        <f t="shared" si="674"/>
        <v>19582.422999999995</v>
      </c>
      <c r="Y231" s="8">
        <f t="shared" si="674"/>
        <v>22700.473999999998</v>
      </c>
      <c r="Z231" s="8">
        <f t="shared" si="674"/>
        <v>22414.1</v>
      </c>
      <c r="AA231" s="8">
        <f t="shared" si="674"/>
        <v>23588.45</v>
      </c>
      <c r="AB231" s="8">
        <f t="shared" si="674"/>
        <v>16998.261999999999</v>
      </c>
      <c r="AC231" s="8">
        <f t="shared" si="674"/>
        <v>32140.861999999994</v>
      </c>
      <c r="AD231" s="8">
        <f t="shared" ref="AD231:AI231" si="678">AD146</f>
        <v>30643.284999999996</v>
      </c>
      <c r="AE231" s="8">
        <f t="shared" si="678"/>
        <v>36672.106</v>
      </c>
      <c r="AF231" s="8">
        <f t="shared" si="678"/>
        <v>28291.725000000009</v>
      </c>
      <c r="AG231" s="8">
        <f t="shared" si="678"/>
        <v>37594.271000000001</v>
      </c>
      <c r="AH231" s="8">
        <f t="shared" si="678"/>
        <v>46301.466</v>
      </c>
      <c r="AI231" s="8">
        <f t="shared" si="678"/>
        <v>36101.166000000012</v>
      </c>
      <c r="AJ231" s="8">
        <f t="shared" ref="AJ231:AO231" si="679">AJ146</f>
        <v>24019.245000000003</v>
      </c>
      <c r="AK231" s="8">
        <f t="shared" si="679"/>
        <v>32848.619999999995</v>
      </c>
      <c r="AL231" s="8">
        <f t="shared" si="679"/>
        <v>25289.103999999996</v>
      </c>
      <c r="AM231" s="8">
        <f t="shared" si="679"/>
        <v>25886.696</v>
      </c>
      <c r="AN231" s="8">
        <f t="shared" si="679"/>
        <v>13290.298999999999</v>
      </c>
      <c r="AO231" s="8">
        <f t="shared" si="679"/>
        <v>21749.310999999998</v>
      </c>
      <c r="AP231" s="8">
        <f t="shared" ref="AP231:AS231" si="680">AP146</f>
        <v>20134.636999999999</v>
      </c>
      <c r="AQ231" s="8">
        <f t="shared" si="680"/>
        <v>28970.514000000003</v>
      </c>
      <c r="AR231" s="8">
        <f t="shared" si="680"/>
        <v>18133.700000000004</v>
      </c>
      <c r="AS231" s="8">
        <f t="shared" si="680"/>
        <v>22953.732</v>
      </c>
      <c r="AT231" s="8">
        <f t="shared" ref="AT231:AW231" si="681">AT146</f>
        <v>25144.089</v>
      </c>
      <c r="AU231" s="8">
        <f t="shared" si="681"/>
        <v>26330.974000000002</v>
      </c>
      <c r="AV231" s="8">
        <f t="shared" si="681"/>
        <v>11290.765000000003</v>
      </c>
      <c r="AW231" s="8">
        <f t="shared" si="681"/>
        <v>17757.415000000001</v>
      </c>
      <c r="AX231" s="8">
        <f t="shared" ref="AX231:BA231" si="682">AX146</f>
        <v>20199.311000000002</v>
      </c>
      <c r="AY231" s="8">
        <f t="shared" si="682"/>
        <v>25284.568000000003</v>
      </c>
      <c r="AZ231" s="8">
        <f t="shared" si="682"/>
        <v>13643.073</v>
      </c>
      <c r="BA231" s="8">
        <f t="shared" si="682"/>
        <v>23018.101999999999</v>
      </c>
      <c r="BB231" s="8">
        <f t="shared" ref="BB231:BE231" si="683">BB146</f>
        <v>50540.45</v>
      </c>
      <c r="BC231" s="8">
        <f t="shared" si="683"/>
        <v>49140.58</v>
      </c>
      <c r="BD231" s="8">
        <f t="shared" si="683"/>
        <v>23446.537999999997</v>
      </c>
      <c r="BE231" s="8">
        <f t="shared" si="683"/>
        <v>34479.055999999997</v>
      </c>
      <c r="BG231" s="390"/>
      <c r="BH231" s="390"/>
      <c r="BI231" s="390"/>
    </row>
    <row r="232" spans="2:61" s="5" customFormat="1" ht="13.5" customHeight="1">
      <c r="C232" s="36"/>
      <c r="D232" s="36"/>
      <c r="E232" s="36"/>
      <c r="F232" s="36"/>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G232" s="390"/>
      <c r="BH232" s="390"/>
      <c r="BI232" s="390"/>
    </row>
    <row r="233" spans="2:61" ht="13">
      <c r="B233" s="5" t="str">
        <f t="shared" ref="B233:O233" si="684">+B162</f>
        <v>Total Net Leverage</v>
      </c>
      <c r="C233" s="35">
        <f t="shared" si="684"/>
        <v>0.57222501544119431</v>
      </c>
      <c r="D233" s="35">
        <f t="shared" si="684"/>
        <v>0.37072648200393427</v>
      </c>
      <c r="E233" s="35">
        <f t="shared" si="684"/>
        <v>0.31135902504225471</v>
      </c>
      <c r="F233" s="35">
        <f t="shared" si="684"/>
        <v>1.0671343929789281</v>
      </c>
      <c r="G233" s="35">
        <f t="shared" si="684"/>
        <v>0.83997443844685293</v>
      </c>
      <c r="H233" s="35">
        <f t="shared" si="684"/>
        <v>1.1849143094075376</v>
      </c>
      <c r="I233" s="35">
        <f t="shared" si="684"/>
        <v>2.6669381432996908</v>
      </c>
      <c r="J233" s="35">
        <f t="shared" si="684"/>
        <v>0.55587710749643426</v>
      </c>
      <c r="K233" s="35">
        <f t="shared" si="684"/>
        <v>0.59092449571479799</v>
      </c>
      <c r="L233" s="35">
        <f t="shared" si="684"/>
        <v>0.32266980455365141</v>
      </c>
      <c r="M233" s="35">
        <f t="shared" si="684"/>
        <v>0.36325344800042603</v>
      </c>
      <c r="N233" s="35">
        <f t="shared" si="684"/>
        <v>0.62427546727727767</v>
      </c>
      <c r="O233" s="35">
        <f t="shared" si="684"/>
        <v>1.2058987129266927</v>
      </c>
      <c r="P233" s="35"/>
      <c r="Q233" s="35"/>
      <c r="R233" s="35"/>
      <c r="S233" s="35"/>
      <c r="T233" s="35"/>
      <c r="U233" s="35"/>
      <c r="V233" s="35">
        <f t="shared" ref="V233:BD233" si="685">+V162</f>
        <v>1.4314801840893028</v>
      </c>
      <c r="W233" s="35">
        <f t="shared" si="685"/>
        <v>1.4783682944261782</v>
      </c>
      <c r="X233" s="35">
        <f t="shared" si="685"/>
        <v>1.0671343929789281</v>
      </c>
      <c r="Y233" s="35">
        <f t="shared" si="685"/>
        <v>1.2533818656216074</v>
      </c>
      <c r="Z233" s="35">
        <f t="shared" si="685"/>
        <v>1.2102858830020442</v>
      </c>
      <c r="AA233" s="35">
        <f t="shared" si="685"/>
        <v>1.2203311738070648</v>
      </c>
      <c r="AB233" s="35">
        <f t="shared" si="685"/>
        <v>0.83997443844685293</v>
      </c>
      <c r="AC233" s="35">
        <f t="shared" si="685"/>
        <v>1.5424571787650325</v>
      </c>
      <c r="AD233" s="35">
        <f t="shared" si="685"/>
        <v>1.4160691647903683</v>
      </c>
      <c r="AE233" s="35">
        <f t="shared" si="685"/>
        <v>1.6548339223367459</v>
      </c>
      <c r="AF233" s="35">
        <f t="shared" si="685"/>
        <v>1.1849143094075376</v>
      </c>
      <c r="AG233" s="35">
        <f t="shared" si="685"/>
        <v>1.6003078082232598</v>
      </c>
      <c r="AH233" s="35">
        <f t="shared" si="685"/>
        <v>2.8974815862427179</v>
      </c>
      <c r="AI233" s="35">
        <f t="shared" si="685"/>
        <v>2.8359347677515157</v>
      </c>
      <c r="AJ233" s="35">
        <f t="shared" si="685"/>
        <v>2.6669381432996908</v>
      </c>
      <c r="AK233" s="35">
        <f t="shared" si="685"/>
        <v>3.7679942187249074</v>
      </c>
      <c r="AL233" s="35">
        <f t="shared" si="685"/>
        <v>1.52139619667555</v>
      </c>
      <c r="AM233" s="35">
        <f t="shared" si="685"/>
        <v>1.2409551156982401</v>
      </c>
      <c r="AN233" s="35">
        <f t="shared" si="685"/>
        <v>0.55587710749643426</v>
      </c>
      <c r="AO233" s="35">
        <f t="shared" si="685"/>
        <v>0.81893941162516604</v>
      </c>
      <c r="AP233" s="35">
        <f t="shared" si="685"/>
        <v>0.7120852254240404</v>
      </c>
      <c r="AQ233" s="35">
        <f t="shared" si="685"/>
        <v>0.99103446152583075</v>
      </c>
      <c r="AR233" s="35">
        <f t="shared" si="685"/>
        <v>0.59092449571479799</v>
      </c>
      <c r="AS233" s="35">
        <f t="shared" si="685"/>
        <v>0.74171105438330043</v>
      </c>
      <c r="AT233" s="35">
        <f t="shared" si="685"/>
        <v>0.78904952881257018</v>
      </c>
      <c r="AU233" s="35">
        <f t="shared" si="685"/>
        <v>0.80613330557537055</v>
      </c>
      <c r="AV233" s="35">
        <f t="shared" si="685"/>
        <v>0.32266980455365141</v>
      </c>
      <c r="AW233" s="35">
        <f t="shared" si="685"/>
        <v>0.49716148341433919</v>
      </c>
      <c r="AX233" s="35">
        <f t="shared" si="685"/>
        <v>0.55649164132063833</v>
      </c>
      <c r="AY233" s="35">
        <f t="shared" si="685"/>
        <v>0.68699477782668483</v>
      </c>
      <c r="AZ233" s="35">
        <f t="shared" si="685"/>
        <v>0.36325344800042603</v>
      </c>
      <c r="BA233" s="35">
        <f t="shared" si="685"/>
        <v>0.61998281574056613</v>
      </c>
      <c r="BB233" s="35">
        <f t="shared" si="685"/>
        <v>1.3858468836546107</v>
      </c>
      <c r="BC233" s="35">
        <f t="shared" si="685"/>
        <v>1.3896436853119167</v>
      </c>
      <c r="BD233" s="35">
        <f t="shared" si="685"/>
        <v>0.62427546727727767</v>
      </c>
      <c r="BE233" s="35">
        <f t="shared" ref="BE233" si="686">+BE162</f>
        <v>0.92643297417846671</v>
      </c>
      <c r="BG233" s="391"/>
      <c r="BH233" s="391"/>
      <c r="BI233" s="391"/>
    </row>
    <row r="234" spans="2:61" ht="13">
      <c r="B234" s="1" t="str">
        <f t="shared" ref="B234:G234" si="687">+B163</f>
        <v xml:space="preserve">Total Gross Leverage </v>
      </c>
      <c r="C234" s="36">
        <f t="shared" si="687"/>
        <v>1.0245934996180781</v>
      </c>
      <c r="D234" s="36">
        <f t="shared" si="687"/>
        <v>0.94792853098866492</v>
      </c>
      <c r="E234" s="36">
        <f t="shared" si="687"/>
        <v>1.9046785568744353</v>
      </c>
      <c r="F234" s="36">
        <f t="shared" si="687"/>
        <v>1.9736546874127237</v>
      </c>
      <c r="G234" s="36">
        <f t="shared" si="687"/>
        <v>1.5088353097317233</v>
      </c>
      <c r="H234" s="36">
        <f t="shared" ref="H234:L234" si="688">+H163</f>
        <v>1.9653771056180533</v>
      </c>
      <c r="I234" s="36">
        <f t="shared" si="688"/>
        <v>5.5755576651899235</v>
      </c>
      <c r="J234" s="36">
        <f t="shared" si="688"/>
        <v>1.9150016102924876</v>
      </c>
      <c r="K234" s="36">
        <f t="shared" si="688"/>
        <v>1.3898378466451593</v>
      </c>
      <c r="L234" s="36">
        <f t="shared" si="688"/>
        <v>1.1745051255011905</v>
      </c>
      <c r="M234" s="36">
        <f t="shared" ref="M234:N234" si="689">+M163</f>
        <v>1.0216532296714416</v>
      </c>
      <c r="N234" s="36">
        <f t="shared" si="689"/>
        <v>1.2969709782203525</v>
      </c>
      <c r="O234" s="36">
        <f t="shared" ref="O234" si="690">+O163</f>
        <v>2.0034340374930051</v>
      </c>
      <c r="P234" s="36"/>
      <c r="Q234" s="36"/>
      <c r="R234" s="36"/>
      <c r="S234" s="36"/>
      <c r="T234" s="36"/>
      <c r="U234" s="36"/>
      <c r="V234" s="36">
        <f t="shared" ref="V234:AD234" si="691">+V163</f>
        <v>1.8211118990106772</v>
      </c>
      <c r="W234" s="36">
        <f t="shared" si="691"/>
        <v>2.1030277385212743</v>
      </c>
      <c r="X234" s="36">
        <f t="shared" si="691"/>
        <v>1.9736546874127237</v>
      </c>
      <c r="Y234" s="36">
        <f t="shared" si="691"/>
        <v>1.841364536626394</v>
      </c>
      <c r="Z234" s="36">
        <f t="shared" si="691"/>
        <v>1.7049846557774182</v>
      </c>
      <c r="AA234" s="36">
        <f t="shared" si="691"/>
        <v>1.529226394740322</v>
      </c>
      <c r="AB234" s="36">
        <f t="shared" si="691"/>
        <v>1.5088353097317233</v>
      </c>
      <c r="AC234" s="36">
        <f t="shared" si="691"/>
        <v>1.9999206236542852</v>
      </c>
      <c r="AD234" s="36">
        <f t="shared" si="691"/>
        <v>1.9222270882828634</v>
      </c>
      <c r="AE234" s="36">
        <f t="shared" ref="AE234:AJ234" si="692">+AE163</f>
        <v>1.9058490574892484</v>
      </c>
      <c r="AF234" s="36">
        <f t="shared" si="692"/>
        <v>1.9653771056180533</v>
      </c>
      <c r="AG234" s="36">
        <f t="shared" si="692"/>
        <v>2.2031130730166564</v>
      </c>
      <c r="AH234" s="36">
        <f t="shared" si="692"/>
        <v>3.2388236472068042</v>
      </c>
      <c r="AI234" s="36">
        <f t="shared" si="692"/>
        <v>4.3795231698599375</v>
      </c>
      <c r="AJ234" s="36">
        <f t="shared" si="692"/>
        <v>5.5755576651899235</v>
      </c>
      <c r="AK234" s="36">
        <f t="shared" ref="AK234:AP234" si="693">+AK163</f>
        <v>5.8186607859781132</v>
      </c>
      <c r="AL234" s="36">
        <f t="shared" si="693"/>
        <v>3.0197072607280582</v>
      </c>
      <c r="AM234" s="36">
        <f t="shared" si="693"/>
        <v>2.2171668192691381</v>
      </c>
      <c r="AN234" s="36">
        <f t="shared" si="693"/>
        <v>1.9150016102924876</v>
      </c>
      <c r="AO234" s="36">
        <f t="shared" si="693"/>
        <v>1.6338716540087881</v>
      </c>
      <c r="AP234" s="36">
        <f t="shared" si="693"/>
        <v>1.5452037799374725</v>
      </c>
      <c r="AQ234" s="36">
        <f t="shared" ref="AQ234:AT234" si="694">+AQ163</f>
        <v>1.4421277614717813</v>
      </c>
      <c r="AR234" s="36">
        <f t="shared" si="694"/>
        <v>1.3898378466451593</v>
      </c>
      <c r="AS234" s="36">
        <f t="shared" si="694"/>
        <v>1.3407715772126538</v>
      </c>
      <c r="AT234" s="36">
        <f t="shared" si="694"/>
        <v>1.2849099832738662</v>
      </c>
      <c r="AU234" s="36">
        <f t="shared" ref="AU234:AX234" si="695">+AU163</f>
        <v>1.2618290558516747</v>
      </c>
      <c r="AV234" s="36">
        <f t="shared" si="695"/>
        <v>1.1745051255011905</v>
      </c>
      <c r="AW234" s="36">
        <f t="shared" si="695"/>
        <v>1.1491264810625574</v>
      </c>
      <c r="AX234" s="36">
        <f t="shared" si="695"/>
        <v>1.1689693257956451</v>
      </c>
      <c r="AY234" s="36">
        <f t="shared" ref="AY234:BB234" si="696">+AY163</f>
        <v>1.1803707417007658</v>
      </c>
      <c r="AZ234" s="36">
        <f t="shared" si="696"/>
        <v>1.0216532296714416</v>
      </c>
      <c r="BA234" s="36">
        <f t="shared" si="696"/>
        <v>1.6050032052145338</v>
      </c>
      <c r="BB234" s="36">
        <f t="shared" si="696"/>
        <v>1.6315067591653185</v>
      </c>
      <c r="BC234" s="36">
        <f t="shared" ref="BC234:BE234" si="697">+BC163</f>
        <v>1.6754263616311296</v>
      </c>
      <c r="BD234" s="36">
        <f t="shared" si="697"/>
        <v>1.2969709782203525</v>
      </c>
      <c r="BE234" s="36">
        <f t="shared" si="697"/>
        <v>1.5391403390923504</v>
      </c>
      <c r="BG234" s="397"/>
      <c r="BH234" s="397"/>
      <c r="BI234" s="397"/>
    </row>
    <row r="235" spans="2:61" ht="13">
      <c r="C235" s="125"/>
      <c r="D235" s="125"/>
      <c r="E235" s="125"/>
      <c r="F235" s="125"/>
      <c r="G235" s="125"/>
      <c r="H235" s="125"/>
      <c r="I235" s="125"/>
      <c r="J235" s="125"/>
      <c r="K235" s="125"/>
      <c r="L235" s="125"/>
      <c r="M235" s="125"/>
      <c r="N235" s="125"/>
      <c r="O235" s="125"/>
      <c r="P235" s="125"/>
      <c r="Q235" s="125"/>
      <c r="R235" s="125"/>
      <c r="S235" s="125"/>
      <c r="T235" s="125"/>
      <c r="U235" s="125"/>
      <c r="V235" s="125"/>
      <c r="W235" s="125"/>
      <c r="X235" s="125"/>
      <c r="Y235" s="125"/>
      <c r="Z235" s="125"/>
      <c r="AA235" s="125"/>
      <c r="AB235" s="125"/>
      <c r="AC235" s="125"/>
      <c r="AD235" s="125"/>
      <c r="AE235" s="125"/>
      <c r="AF235" s="125"/>
      <c r="AG235" s="125"/>
      <c r="AH235" s="125"/>
      <c r="AI235" s="125"/>
      <c r="AJ235" s="125"/>
      <c r="AK235" s="125"/>
      <c r="AL235" s="125"/>
      <c r="AM235" s="125"/>
      <c r="AN235" s="125"/>
      <c r="AO235" s="125"/>
      <c r="AP235" s="125"/>
      <c r="AQ235" s="125"/>
      <c r="AR235" s="125"/>
      <c r="AS235" s="125"/>
      <c r="AT235" s="125"/>
      <c r="AU235" s="125"/>
      <c r="AV235" s="125"/>
      <c r="AW235" s="125"/>
      <c r="AX235" s="125"/>
      <c r="AY235" s="125"/>
      <c r="AZ235" s="125"/>
      <c r="BA235" s="125"/>
      <c r="BB235" s="125"/>
      <c r="BC235" s="125"/>
      <c r="BD235" s="125"/>
      <c r="BE235" s="125"/>
      <c r="BG235" s="391"/>
      <c r="BH235" s="391"/>
      <c r="BI235" s="391"/>
    </row>
    <row r="236" spans="2:61" s="5" customFormat="1" ht="13">
      <c r="B236" s="5" t="str">
        <f t="shared" ref="B236:O236" si="698">+B165</f>
        <v>Lease adjusted net leverage</v>
      </c>
      <c r="C236" s="35">
        <f t="shared" si="698"/>
        <v>0.99129117045156356</v>
      </c>
      <c r="D236" s="35">
        <f t="shared" si="698"/>
        <v>0.82457995271380791</v>
      </c>
      <c r="E236" s="35">
        <f t="shared" si="698"/>
        <v>0.83479882316458842</v>
      </c>
      <c r="F236" s="35">
        <f t="shared" si="698"/>
        <v>1.7641198732780135</v>
      </c>
      <c r="G236" s="35">
        <f t="shared" si="698"/>
        <v>1.5234936539166908</v>
      </c>
      <c r="H236" s="35">
        <f t="shared" si="698"/>
        <v>1.2891731925850642</v>
      </c>
      <c r="I236" s="35">
        <f t="shared" si="698"/>
        <v>2.7238745799687818</v>
      </c>
      <c r="J236" s="35">
        <f t="shared" si="698"/>
        <v>0.61132301136888456</v>
      </c>
      <c r="K236" s="35">
        <f t="shared" si="698"/>
        <v>0.64530566215808038</v>
      </c>
      <c r="L236" s="35">
        <f t="shared" si="698"/>
        <v>0.35863814642269498</v>
      </c>
      <c r="M236" s="35">
        <f t="shared" si="698"/>
        <v>0.36325344800042603</v>
      </c>
      <c r="N236" s="35">
        <f t="shared" si="698"/>
        <v>0.62427546727727767</v>
      </c>
      <c r="O236" s="35">
        <f t="shared" si="698"/>
        <v>1.2058987129266927</v>
      </c>
      <c r="P236" s="35"/>
      <c r="Q236" s="35"/>
      <c r="R236" s="35"/>
      <c r="S236" s="35"/>
      <c r="T236" s="35"/>
      <c r="U236" s="35"/>
      <c r="V236" s="35">
        <f t="shared" ref="V236:BD236" si="699">+V165</f>
        <v>2.0027340653230121</v>
      </c>
      <c r="W236" s="35">
        <f t="shared" si="699"/>
        <v>2.1407613909447352</v>
      </c>
      <c r="X236" s="35">
        <f t="shared" si="699"/>
        <v>1.7641198732780135</v>
      </c>
      <c r="Y236" s="35">
        <f t="shared" si="699"/>
        <v>1.9710549791486986</v>
      </c>
      <c r="Z236" s="35">
        <f t="shared" si="699"/>
        <v>1.9313323180863862</v>
      </c>
      <c r="AA236" s="35">
        <f t="shared" si="699"/>
        <v>1.8852388926214692</v>
      </c>
      <c r="AB236" s="35">
        <f t="shared" si="699"/>
        <v>1.5234936539166906</v>
      </c>
      <c r="AC236" s="35">
        <f t="shared" si="699"/>
        <v>2.0044836709461031</v>
      </c>
      <c r="AD236" s="35">
        <f t="shared" si="699"/>
        <v>1.7694112350934006</v>
      </c>
      <c r="AE236" s="35">
        <f t="shared" si="699"/>
        <v>1.8974402240609556</v>
      </c>
      <c r="AF236" s="35">
        <f t="shared" si="699"/>
        <v>1.2891731925850642</v>
      </c>
      <c r="AG236" s="35">
        <f t="shared" si="699"/>
        <v>1.6969063757406271</v>
      </c>
      <c r="AH236" s="35">
        <f t="shared" si="699"/>
        <v>2.9916568905850545</v>
      </c>
      <c r="AI236" s="35">
        <f t="shared" si="699"/>
        <v>2.9131472457319738</v>
      </c>
      <c r="AJ236" s="35">
        <f t="shared" si="699"/>
        <v>2.7238745799687818</v>
      </c>
      <c r="AK236" s="35">
        <f t="shared" si="699"/>
        <v>3.7816159729227836</v>
      </c>
      <c r="AL236" s="35">
        <f t="shared" si="699"/>
        <v>1.4944013064202319</v>
      </c>
      <c r="AM236" s="35">
        <f t="shared" si="699"/>
        <v>1.2302869672763708</v>
      </c>
      <c r="AN236" s="35">
        <f t="shared" si="699"/>
        <v>0.61132301136888456</v>
      </c>
      <c r="AO236" s="35">
        <f t="shared" si="699"/>
        <v>0.87052454725426953</v>
      </c>
      <c r="AP236" s="35">
        <f t="shared" si="699"/>
        <v>0.78352034986468611</v>
      </c>
      <c r="AQ236" s="35">
        <f t="shared" si="699"/>
        <v>1.0495044950534314</v>
      </c>
      <c r="AR236" s="35">
        <f t="shared" si="699"/>
        <v>0.64530566215808027</v>
      </c>
      <c r="AS236" s="35">
        <f t="shared" si="699"/>
        <v>0.78931689434886154</v>
      </c>
      <c r="AT236" s="35">
        <f t="shared" si="699"/>
        <v>0.81989332375595447</v>
      </c>
      <c r="AU236" s="35">
        <f t="shared" si="699"/>
        <v>0.84040754224639402</v>
      </c>
      <c r="AV236" s="35">
        <f t="shared" si="699"/>
        <v>0.35863814642269493</v>
      </c>
      <c r="AW236" s="35">
        <f t="shared" si="699"/>
        <v>0.52844538646391548</v>
      </c>
      <c r="AX236" s="35">
        <f t="shared" si="699"/>
        <v>0.58156006422469797</v>
      </c>
      <c r="AY236" s="35">
        <f t="shared" si="699"/>
        <v>0.70796527692718292</v>
      </c>
      <c r="AZ236" s="35">
        <f t="shared" si="699"/>
        <v>0.36325344800042603</v>
      </c>
      <c r="BA236" s="35">
        <f t="shared" si="699"/>
        <v>0.61998281574056613</v>
      </c>
      <c r="BB236" s="35">
        <f t="shared" si="699"/>
        <v>1.3858468836546107</v>
      </c>
      <c r="BC236" s="35">
        <f t="shared" si="699"/>
        <v>1.3896436853119167</v>
      </c>
      <c r="BD236" s="35">
        <f t="shared" si="699"/>
        <v>0.62427546727727767</v>
      </c>
      <c r="BE236" s="35">
        <f t="shared" ref="BE236" si="700">+BE165</f>
        <v>0.92643297417846671</v>
      </c>
      <c r="BG236" s="391"/>
      <c r="BH236" s="391"/>
      <c r="BI236" s="391"/>
    </row>
    <row r="237" spans="2:61" ht="13">
      <c r="B237" s="1" t="str">
        <f t="shared" ref="B237:O237" si="701">+B166</f>
        <v>Lease adjusted gross leverage</v>
      </c>
      <c r="C237" s="36">
        <f t="shared" si="701"/>
        <v>1.4181375673673273</v>
      </c>
      <c r="D237" s="36">
        <f t="shared" si="701"/>
        <v>1.3674451605019762</v>
      </c>
      <c r="E237" s="36">
        <f t="shared" si="701"/>
        <v>2.3196457579795582</v>
      </c>
      <c r="F237" s="36">
        <f t="shared" si="701"/>
        <v>2.5795044788594335</v>
      </c>
      <c r="G237" s="36">
        <f t="shared" si="701"/>
        <v>2.1285029014791541</v>
      </c>
      <c r="H237" s="36">
        <f t="shared" si="701"/>
        <v>2.0576962739939244</v>
      </c>
      <c r="I237" s="36">
        <f t="shared" si="701"/>
        <v>5.6014413153636688</v>
      </c>
      <c r="J237" s="36">
        <f t="shared" si="701"/>
        <v>1.9603243757346724</v>
      </c>
      <c r="K237" s="36">
        <f t="shared" si="701"/>
        <v>1.4383551452029577</v>
      </c>
      <c r="L237" s="36">
        <f t="shared" si="701"/>
        <v>1.2064826133545841</v>
      </c>
      <c r="M237" s="36">
        <f t="shared" si="701"/>
        <v>1.0216532296714416</v>
      </c>
      <c r="N237" s="36">
        <f t="shared" si="701"/>
        <v>1.2969709782203525</v>
      </c>
      <c r="O237" s="36">
        <f t="shared" si="701"/>
        <v>2.0034340374930051</v>
      </c>
      <c r="P237" s="36"/>
      <c r="Q237" s="36"/>
      <c r="R237" s="36"/>
      <c r="S237" s="36"/>
      <c r="T237" s="36"/>
      <c r="U237" s="36"/>
      <c r="V237" s="36">
        <f t="shared" ref="V237:BD237" si="702">+V166</f>
        <v>2.3584801202115986</v>
      </c>
      <c r="W237" s="36">
        <f t="shared" si="702"/>
        <v>2.701975040777933</v>
      </c>
      <c r="X237" s="36">
        <f t="shared" si="702"/>
        <v>2.5795044788594335</v>
      </c>
      <c r="Y237" s="36">
        <f t="shared" si="702"/>
        <v>2.4964908532553887</v>
      </c>
      <c r="Z237" s="36">
        <f t="shared" si="702"/>
        <v>2.3734956261273483</v>
      </c>
      <c r="AA237" s="36">
        <f t="shared" si="702"/>
        <v>2.1638395929861254</v>
      </c>
      <c r="AB237" s="36">
        <f t="shared" si="702"/>
        <v>2.1285029014791537</v>
      </c>
      <c r="AC237" s="36">
        <f t="shared" si="702"/>
        <v>2.4292163641246258</v>
      </c>
      <c r="AD237" s="36">
        <f t="shared" si="702"/>
        <v>2.2484050080102724</v>
      </c>
      <c r="AE237" s="36">
        <f t="shared" si="702"/>
        <v>2.1388578399569442</v>
      </c>
      <c r="AF237" s="36">
        <f t="shared" si="702"/>
        <v>2.0576962739939244</v>
      </c>
      <c r="AG237" s="36">
        <f t="shared" si="702"/>
        <v>2.2906127458800292</v>
      </c>
      <c r="AH237" s="36">
        <f t="shared" si="702"/>
        <v>3.3266989267634464</v>
      </c>
      <c r="AI237" s="36">
        <f t="shared" si="702"/>
        <v>4.4336561009817679</v>
      </c>
      <c r="AJ237" s="36">
        <f t="shared" si="702"/>
        <v>5.6014413153636688</v>
      </c>
      <c r="AK237" s="36">
        <f t="shared" si="702"/>
        <v>5.8256819641454642</v>
      </c>
      <c r="AL237" s="36">
        <f t="shared" si="702"/>
        <v>2.9989554969194705</v>
      </c>
      <c r="AM237" s="36">
        <f t="shared" si="702"/>
        <v>2.2080394760236106</v>
      </c>
      <c r="AN237" s="36">
        <f t="shared" si="702"/>
        <v>1.9603243757346724</v>
      </c>
      <c r="AO237" s="36">
        <f t="shared" si="702"/>
        <v>1.679602725362213</v>
      </c>
      <c r="AP237" s="36">
        <f t="shared" si="702"/>
        <v>1.6084727924714457</v>
      </c>
      <c r="AQ237" s="36">
        <f t="shared" si="702"/>
        <v>1.4968346946920492</v>
      </c>
      <c r="AR237" s="36">
        <f t="shared" si="702"/>
        <v>1.4383551452029577</v>
      </c>
      <c r="AS237" s="36">
        <f t="shared" si="702"/>
        <v>1.3844482846246366</v>
      </c>
      <c r="AT237" s="36">
        <f t="shared" si="702"/>
        <v>1.3136328070305743</v>
      </c>
      <c r="AU237" s="36">
        <f t="shared" si="702"/>
        <v>1.2939321897405107</v>
      </c>
      <c r="AV237" s="36">
        <f t="shared" si="702"/>
        <v>1.2064826133545838</v>
      </c>
      <c r="AW237" s="36">
        <f t="shared" si="702"/>
        <v>1.1776919449863206</v>
      </c>
      <c r="AX237" s="36">
        <f t="shared" si="702"/>
        <v>1.1919750319169908</v>
      </c>
      <c r="AY237" s="36">
        <f t="shared" si="702"/>
        <v>1.1999264544183337</v>
      </c>
      <c r="AZ237" s="36">
        <f t="shared" si="702"/>
        <v>1.0216532296714416</v>
      </c>
      <c r="BA237" s="36">
        <f t="shared" si="702"/>
        <v>1.6050032052145338</v>
      </c>
      <c r="BB237" s="36">
        <f t="shared" si="702"/>
        <v>1.6315067591653185</v>
      </c>
      <c r="BC237" s="36">
        <f t="shared" si="702"/>
        <v>1.6754263616311296</v>
      </c>
      <c r="BD237" s="36">
        <f t="shared" si="702"/>
        <v>1.2969709782203525</v>
      </c>
      <c r="BE237" s="36">
        <f t="shared" ref="BE237" si="703">+BE166</f>
        <v>1.5391403390923504</v>
      </c>
      <c r="BG237" s="397"/>
      <c r="BH237" s="397"/>
      <c r="BI237" s="397"/>
    </row>
    <row r="238" spans="2:61" ht="13">
      <c r="C238" s="35"/>
      <c r="D238" s="35"/>
      <c r="E238" s="35"/>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5"/>
      <c r="AP238" s="35"/>
      <c r="AQ238" s="35"/>
      <c r="AR238" s="35"/>
      <c r="AS238" s="35"/>
      <c r="AT238" s="35"/>
      <c r="AU238" s="35"/>
      <c r="AV238" s="35"/>
      <c r="AW238" s="35"/>
      <c r="AX238" s="35"/>
      <c r="AY238" s="35"/>
      <c r="AZ238" s="35"/>
      <c r="BA238" s="35"/>
      <c r="BB238" s="35"/>
      <c r="BC238" s="35"/>
      <c r="BD238" s="35"/>
      <c r="BE238" s="35"/>
      <c r="BG238" s="391"/>
      <c r="BH238" s="391"/>
      <c r="BI238" s="391"/>
    </row>
    <row r="239" spans="2:61" s="5" customFormat="1" ht="13">
      <c r="B239" s="5" t="str">
        <f t="shared" ref="B239:O239" si="704">+B168</f>
        <v>EBITDA - Capex / Interest</v>
      </c>
      <c r="C239" s="35">
        <f t="shared" si="704"/>
        <v>7.4637509454502107</v>
      </c>
      <c r="D239" s="35">
        <f t="shared" si="704"/>
        <v>10.984831937996281</v>
      </c>
      <c r="E239" s="35">
        <f t="shared" si="704"/>
        <v>8.8152258292166525</v>
      </c>
      <c r="F239" s="35">
        <f t="shared" si="704"/>
        <v>4.1513999151910133</v>
      </c>
      <c r="G239" s="35">
        <f t="shared" si="704"/>
        <v>4.6202521499200007</v>
      </c>
      <c r="H239" s="35">
        <f t="shared" si="704"/>
        <v>6.2118576417696332</v>
      </c>
      <c r="I239" s="35">
        <f t="shared" si="704"/>
        <v>1.7427013190509322</v>
      </c>
      <c r="J239" s="35">
        <f t="shared" si="704"/>
        <v>5.2517148644396805</v>
      </c>
      <c r="K239" s="35">
        <f t="shared" si="704"/>
        <v>8.1182007867875168</v>
      </c>
      <c r="L239" s="35">
        <f t="shared" si="704"/>
        <v>9.7241167506790056</v>
      </c>
      <c r="M239" s="35">
        <f t="shared" si="704"/>
        <v>10.052499059877306</v>
      </c>
      <c r="N239" s="35">
        <f t="shared" si="704"/>
        <v>11.308943450839523</v>
      </c>
      <c r="O239" s="35">
        <f t="shared" si="704"/>
        <v>7.2554372034304242</v>
      </c>
      <c r="P239" s="35"/>
      <c r="Q239" s="35"/>
      <c r="R239" s="35"/>
      <c r="S239" s="35"/>
      <c r="T239" s="35"/>
      <c r="U239" s="35"/>
      <c r="V239" s="35">
        <f t="shared" ref="V239:BD239" si="705">+V168</f>
        <v>5.7524680884111037</v>
      </c>
      <c r="W239" s="35">
        <f t="shared" si="705"/>
        <v>5.8874987633126974</v>
      </c>
      <c r="X239" s="35">
        <f t="shared" si="705"/>
        <v>4.1513999151910133</v>
      </c>
      <c r="Y239" s="35">
        <f t="shared" si="705"/>
        <v>3.7234053142929451</v>
      </c>
      <c r="Z239" s="35">
        <f t="shared" si="705"/>
        <v>3.5373653454855343</v>
      </c>
      <c r="AA239" s="35">
        <f t="shared" si="705"/>
        <v>3.6214215468814155</v>
      </c>
      <c r="AB239" s="35">
        <f t="shared" si="705"/>
        <v>4.6202521499199989</v>
      </c>
      <c r="AC239" s="35">
        <f t="shared" si="705"/>
        <v>4.9843496297872081</v>
      </c>
      <c r="AD239" s="35">
        <f t="shared" si="705"/>
        <v>5.5588289059607456</v>
      </c>
      <c r="AE239" s="35">
        <f t="shared" si="705"/>
        <v>5.6884303890973431</v>
      </c>
      <c r="AF239" s="35">
        <f t="shared" si="705"/>
        <v>6.2118576417696287</v>
      </c>
      <c r="AG239" s="35">
        <f t="shared" si="705"/>
        <v>6.3126906907751383</v>
      </c>
      <c r="AH239" s="35">
        <f t="shared" si="705"/>
        <v>3.3000658137984522</v>
      </c>
      <c r="AI239" s="35">
        <f t="shared" si="705"/>
        <v>2.575673625261917</v>
      </c>
      <c r="AJ239" s="35">
        <f t="shared" si="705"/>
        <v>1.7427013190509315</v>
      </c>
      <c r="AK239" s="35">
        <f t="shared" si="705"/>
        <v>1.4724684840797051</v>
      </c>
      <c r="AL239" s="35">
        <f t="shared" si="705"/>
        <v>4.2648563718246066</v>
      </c>
      <c r="AM239" s="35">
        <f t="shared" si="705"/>
        <v>4.5777489158382023</v>
      </c>
      <c r="AN239" s="35">
        <f t="shared" si="705"/>
        <v>5.2517148644396787</v>
      </c>
      <c r="AO239" s="35">
        <f t="shared" si="705"/>
        <v>5.9804813580383422</v>
      </c>
      <c r="AP239" s="35">
        <f t="shared" si="705"/>
        <v>6.4474725991002169</v>
      </c>
      <c r="AQ239" s="35">
        <f t="shared" si="705"/>
        <v>7.7852440137400043</v>
      </c>
      <c r="AR239" s="35">
        <f t="shared" si="705"/>
        <v>8.1182007867875097</v>
      </c>
      <c r="AS239" s="35">
        <f t="shared" si="705"/>
        <v>8.3851134718110121</v>
      </c>
      <c r="AT239" s="35">
        <f t="shared" si="705"/>
        <v>8.4215791301055294</v>
      </c>
      <c r="AU239" s="35">
        <f t="shared" si="705"/>
        <v>8.5539468732847013</v>
      </c>
      <c r="AV239" s="35">
        <f t="shared" si="705"/>
        <v>9.7241167506790038</v>
      </c>
      <c r="AW239" s="35">
        <f t="shared" si="705"/>
        <v>9.5277151541542064</v>
      </c>
      <c r="AX239" s="35">
        <f t="shared" si="705"/>
        <v>9.9413156195525687</v>
      </c>
      <c r="AY239" s="35">
        <f t="shared" si="705"/>
        <v>10.168590249587538</v>
      </c>
      <c r="AZ239" s="35">
        <f t="shared" si="705"/>
        <v>10.052499059877304</v>
      </c>
      <c r="BA239" s="35">
        <f t="shared" si="705"/>
        <v>10.118695255821713</v>
      </c>
      <c r="BB239" s="35">
        <f t="shared" si="705"/>
        <v>10.555332712167102</v>
      </c>
      <c r="BC239" s="35">
        <f t="shared" si="705"/>
        <v>7.4807790479021454</v>
      </c>
      <c r="BD239" s="35">
        <f t="shared" si="705"/>
        <v>11.308943450839534</v>
      </c>
      <c r="BE239" s="35">
        <f t="shared" ref="BE239" si="706">+BE168</f>
        <v>7.5620291710349363</v>
      </c>
      <c r="BG239" s="391"/>
      <c r="BH239" s="391"/>
      <c r="BI239" s="391"/>
    </row>
    <row r="240" spans="2:61" ht="13.5" customHeight="1">
      <c r="B240" s="144" t="str">
        <f t="shared" ref="B240:O240" si="707">+B169</f>
        <v>EBITDA/Interest</v>
      </c>
      <c r="C240" s="136">
        <f t="shared" si="707"/>
        <v>11.181085157912726</v>
      </c>
      <c r="D240" s="136">
        <f t="shared" si="707"/>
        <v>15.277363691374523</v>
      </c>
      <c r="E240" s="136">
        <f t="shared" si="707"/>
        <v>15.732486473770875</v>
      </c>
      <c r="F240" s="136">
        <f t="shared" si="707"/>
        <v>6.9353168961120151</v>
      </c>
      <c r="G240" s="136">
        <f t="shared" si="707"/>
        <v>7.3731582719317634</v>
      </c>
      <c r="H240" s="136">
        <f t="shared" si="707"/>
        <v>9.3661091321046683</v>
      </c>
      <c r="I240" s="136">
        <f t="shared" si="707"/>
        <v>3.0413755141461971</v>
      </c>
      <c r="J240" s="136">
        <f t="shared" si="707"/>
        <v>6.6512843296289823</v>
      </c>
      <c r="K240" s="136">
        <f t="shared" si="707"/>
        <v>10.636003327383326</v>
      </c>
      <c r="L240" s="136">
        <f t="shared" si="707"/>
        <v>12.438054624553496</v>
      </c>
      <c r="M240" s="136">
        <f t="shared" si="707"/>
        <v>13.606434931554</v>
      </c>
      <c r="N240" s="136">
        <f t="shared" si="707"/>
        <v>15.013849706881077</v>
      </c>
      <c r="O240" s="136">
        <f t="shared" si="707"/>
        <v>9.3459819772757076</v>
      </c>
      <c r="P240" s="36"/>
      <c r="Q240" s="136"/>
      <c r="R240" s="136"/>
      <c r="S240" s="136"/>
      <c r="T240" s="136"/>
      <c r="U240" s="136"/>
      <c r="V240" s="136">
        <f t="shared" ref="V240:BD240" si="708">+V169</f>
        <v>9.979460444691286</v>
      </c>
      <c r="W240" s="136">
        <f t="shared" si="708"/>
        <v>9.4320490761738593</v>
      </c>
      <c r="X240" s="136">
        <f t="shared" si="708"/>
        <v>6.9353168961120151</v>
      </c>
      <c r="Y240" s="136">
        <f t="shared" si="708"/>
        <v>6.3481244280189824</v>
      </c>
      <c r="Z240" s="136">
        <f t="shared" si="708"/>
        <v>6.3858464532515571</v>
      </c>
      <c r="AA240" s="136">
        <f t="shared" si="708"/>
        <v>6.6887225912897019</v>
      </c>
      <c r="AB240" s="136">
        <f t="shared" si="708"/>
        <v>7.3731582719317625</v>
      </c>
      <c r="AC240" s="136">
        <f t="shared" si="708"/>
        <v>7.9161514586269552</v>
      </c>
      <c r="AD240" s="136">
        <f t="shared" si="708"/>
        <v>8.3455687708256097</v>
      </c>
      <c r="AE240" s="136">
        <f t="shared" si="708"/>
        <v>8.4730259329412423</v>
      </c>
      <c r="AF240" s="136">
        <f t="shared" si="708"/>
        <v>9.366109132104663</v>
      </c>
      <c r="AG240" s="136">
        <f t="shared" si="708"/>
        <v>9.1750183953620272</v>
      </c>
      <c r="AH240" s="136">
        <f t="shared" si="708"/>
        <v>5.675671874350698</v>
      </c>
      <c r="AI240" s="136">
        <f t="shared" si="708"/>
        <v>4.4730358387157629</v>
      </c>
      <c r="AJ240" s="136">
        <f t="shared" si="708"/>
        <v>3.0413755141461962</v>
      </c>
      <c r="AK240" s="136">
        <f t="shared" si="708"/>
        <v>2.7707845519785836</v>
      </c>
      <c r="AL240" s="136">
        <f t="shared" si="708"/>
        <v>5.6056492827190887</v>
      </c>
      <c r="AM240" s="136">
        <f t="shared" si="708"/>
        <v>5.6834405575276667</v>
      </c>
      <c r="AN240" s="136">
        <f t="shared" si="708"/>
        <v>6.6512843296289805</v>
      </c>
      <c r="AO240" s="136">
        <f t="shared" si="708"/>
        <v>7.3598266204313765</v>
      </c>
      <c r="AP240" s="136">
        <f t="shared" si="708"/>
        <v>8.0132093945942131</v>
      </c>
      <c r="AQ240" s="136">
        <f t="shared" si="708"/>
        <v>10.007333181336113</v>
      </c>
      <c r="AR240" s="136">
        <f t="shared" si="708"/>
        <v>10.636003327383319</v>
      </c>
      <c r="AS240" s="136">
        <f t="shared" si="708"/>
        <v>10.978059822528905</v>
      </c>
      <c r="AT240" s="136">
        <f t="shared" si="708"/>
        <v>11.255074761136285</v>
      </c>
      <c r="AU240" s="136">
        <f t="shared" si="708"/>
        <v>11.551691173558016</v>
      </c>
      <c r="AV240" s="136">
        <f t="shared" si="708"/>
        <v>12.438054624553493</v>
      </c>
      <c r="AW240" s="136">
        <f t="shared" si="708"/>
        <v>12.769470822634872</v>
      </c>
      <c r="AX240" s="136">
        <f t="shared" si="708"/>
        <v>13.03550920176658</v>
      </c>
      <c r="AY240" s="136">
        <f t="shared" si="708"/>
        <v>13.284347026702768</v>
      </c>
      <c r="AZ240" s="136">
        <f t="shared" si="708"/>
        <v>13.606434931553999</v>
      </c>
      <c r="BA240" s="136">
        <f t="shared" si="708"/>
        <v>13.456957687156452</v>
      </c>
      <c r="BB240" s="136">
        <f t="shared" si="708"/>
        <v>14.157814271294363</v>
      </c>
      <c r="BC240" s="136">
        <f t="shared" si="708"/>
        <v>9.9347257157900213</v>
      </c>
      <c r="BD240" s="136">
        <f t="shared" si="708"/>
        <v>15.013849706881089</v>
      </c>
      <c r="BE240" s="136">
        <f t="shared" ref="BE240" si="709">+BE169</f>
        <v>9.6914734521062318</v>
      </c>
      <c r="BG240" s="398"/>
      <c r="BH240" s="398"/>
      <c r="BI240" s="398"/>
    </row>
    <row r="241" spans="2:61" s="5" customFormat="1" ht="13.5" customHeight="1">
      <c r="C241" s="29"/>
      <c r="D241" s="29"/>
      <c r="E241" s="29"/>
      <c r="F241" s="29"/>
      <c r="G241" s="29"/>
      <c r="H241" s="29"/>
      <c r="I241" s="29"/>
      <c r="J241" s="29"/>
      <c r="K241" s="29"/>
      <c r="L241" s="29"/>
      <c r="M241" s="29"/>
      <c r="N241" s="29"/>
      <c r="O241" s="29"/>
      <c r="P241" s="29"/>
      <c r="Q241" s="29"/>
      <c r="U241" s="29"/>
      <c r="V241" s="29"/>
      <c r="X241" s="29"/>
      <c r="Z241" s="29"/>
      <c r="BG241" s="386"/>
      <c r="BH241" s="387"/>
      <c r="BI241" s="387"/>
    </row>
    <row r="242" spans="2:61" s="5" customFormat="1" ht="13.5" customHeight="1">
      <c r="C242" s="29"/>
      <c r="D242" s="29"/>
      <c r="E242" s="29"/>
      <c r="F242" s="29"/>
      <c r="G242" s="29"/>
      <c r="H242" s="29"/>
      <c r="I242" s="29"/>
      <c r="J242" s="29"/>
      <c r="K242" s="29"/>
      <c r="L242" s="29"/>
      <c r="M242" s="29"/>
      <c r="N242" s="29"/>
      <c r="O242" s="29"/>
      <c r="P242" s="29"/>
      <c r="Q242" s="29"/>
      <c r="U242" s="29"/>
      <c r="V242" s="29"/>
      <c r="X242" s="29"/>
      <c r="Z242" s="29"/>
      <c r="BG242" s="386"/>
      <c r="BH242" s="387"/>
      <c r="BI242" s="387"/>
    </row>
    <row r="243" spans="2:61" s="5" customFormat="1" ht="13.5" customHeight="1">
      <c r="B243" s="420" t="s">
        <v>386</v>
      </c>
      <c r="C243" s="421">
        <v>7.5187387080589349E-2</v>
      </c>
      <c r="D243" s="421">
        <v>6.3042251242532987E-2</v>
      </c>
      <c r="E243" s="421">
        <v>5.3596993206301506E-2</v>
      </c>
      <c r="F243" s="421">
        <v>5.3030000000000001E-2</v>
      </c>
      <c r="G243" s="421">
        <v>5.2060000000000002E-2</v>
      </c>
      <c r="H243" s="421">
        <f>AVERAGE(AC243:AF243)</f>
        <v>5.1992499999999997E-2</v>
      </c>
      <c r="I243" s="421">
        <f>AVERAGE(AG243:AJ243)</f>
        <v>4.7945178270042195E-2</v>
      </c>
      <c r="J243" s="421">
        <f>AVERAGE(AK243:AN243)</f>
        <v>4.8966374725472751E-2</v>
      </c>
      <c r="K243" s="421">
        <f>AVERAGE(AO243:AR243)</f>
        <v>4.9931453704199831E-2</v>
      </c>
      <c r="L243" s="421">
        <f>AVERAGE(AS243:AV243)</f>
        <v>5.6411249999999996E-2</v>
      </c>
      <c r="M243" s="421">
        <f>AVERAGE(AW243:AZ243)</f>
        <v>5.4519169644705587E-2</v>
      </c>
      <c r="N243" s="421">
        <f>AVERAGE(BA243:BD243)</f>
        <v>5.2035344028857698E-2</v>
      </c>
      <c r="O243" s="421">
        <f>AVERAGE(BC243:BE243)</f>
        <v>5.508182524575167E-2</v>
      </c>
      <c r="P243" s="422"/>
      <c r="Q243" s="421">
        <v>5.5500000000000001E-2</v>
      </c>
      <c r="R243" s="421">
        <v>5.5280000000000003E-2</v>
      </c>
      <c r="S243" s="421">
        <v>5.3330000000000002E-2</v>
      </c>
      <c r="T243" s="421">
        <f>1/19.83</f>
        <v>5.0428643469490678E-2</v>
      </c>
      <c r="U243" s="421">
        <v>4.9369999999999997E-2</v>
      </c>
      <c r="V243" s="421">
        <v>5.3929999999999999E-2</v>
      </c>
      <c r="W243" s="421">
        <v>5.6129999999999999E-2</v>
      </c>
      <c r="X243" s="421">
        <v>5.2690000000000001E-2</v>
      </c>
      <c r="Y243" s="423">
        <v>5.339E-2</v>
      </c>
      <c r="Z243" s="423">
        <v>5.2200000000000003E-2</v>
      </c>
      <c r="AA243" s="423">
        <v>5.3429999999999998E-2</v>
      </c>
      <c r="AB243" s="423">
        <v>5.0450000000000002E-2</v>
      </c>
      <c r="AC243" s="423">
        <v>5.2200000000000003E-2</v>
      </c>
      <c r="AD243" s="423">
        <v>5.2339999999999998E-2</v>
      </c>
      <c r="AE243" s="423">
        <v>5.1459999999999999E-2</v>
      </c>
      <c r="AF243" s="423">
        <v>5.1970000000000002E-2</v>
      </c>
      <c r="AG243" s="424">
        <f>AVERAGE(AF244:AG244)</f>
        <v>4.751204641350211E-2</v>
      </c>
      <c r="AH243" s="424">
        <v>5.0040000000000001E-2</v>
      </c>
      <c r="AI243" s="424">
        <v>4.526666666666667E-2</v>
      </c>
      <c r="AJ243" s="424">
        <v>4.8961999999999999E-2</v>
      </c>
      <c r="AK243" s="424">
        <v>4.8470000000000006E-2</v>
      </c>
      <c r="AL243" s="424">
        <f>1/19.8179</f>
        <v>5.0459433138728117E-2</v>
      </c>
      <c r="AM243" s="424">
        <f>1/20.5175</f>
        <v>4.8738881442670898E-2</v>
      </c>
      <c r="AN243" s="424">
        <f>1/20.7481</f>
        <v>4.8197184320491998E-2</v>
      </c>
      <c r="AO243" s="424">
        <f>AVERAGE(AN244:AO244)</f>
        <v>4.9505314816799317E-2</v>
      </c>
      <c r="AP243" s="424">
        <f>AVERAGE(AO244:AP244)</f>
        <v>5.0020499999999996E-2</v>
      </c>
      <c r="AQ243" s="424">
        <v>4.9390000000000003E-2</v>
      </c>
      <c r="AR243" s="424">
        <f>0.05081</f>
        <v>5.0810000000000001E-2</v>
      </c>
      <c r="AS243" s="424">
        <f>AVERAGE(AR244:AS244)</f>
        <v>5.3370000000000001E-2</v>
      </c>
      <c r="AT243" s="424">
        <f>AVERAGE(AS244:AT244)</f>
        <v>5.7305000000000002E-2</v>
      </c>
      <c r="AU243" s="424">
        <v>5.8549999999999998E-2</v>
      </c>
      <c r="AV243" s="424">
        <f>0.05642</f>
        <v>5.6419999999999998E-2</v>
      </c>
      <c r="AW243" s="424">
        <f>AVERAGE(0.0586,0.0585,0.0596)</f>
        <v>5.8900000000000008E-2</v>
      </c>
      <c r="AX243" s="424">
        <f>AVERAGE(AW244:AX244)</f>
        <v>5.7055000000000002E-2</v>
      </c>
      <c r="AY243" s="424">
        <v>5.2830000000000002E-2</v>
      </c>
      <c r="AZ243" s="487">
        <f>1/20.2874</f>
        <v>4.9291678578822322E-2</v>
      </c>
      <c r="BA243" s="487">
        <v>4.8575715884474797E-2</v>
      </c>
      <c r="BB243" s="487">
        <v>5.1248017080330929E-2</v>
      </c>
      <c r="BC243" s="487">
        <v>5.3679999999999999E-2</v>
      </c>
      <c r="BD243" s="487">
        <f>1/18.3024</f>
        <v>5.4637643150625061E-2</v>
      </c>
      <c r="BE243" s="487">
        <f>1/17.5661</f>
        <v>5.6927832586629937E-2</v>
      </c>
      <c r="BG243" s="399"/>
      <c r="BH243" s="399"/>
      <c r="BI243" s="399"/>
    </row>
    <row r="244" spans="2:61" s="5" customFormat="1" ht="13.5" customHeight="1">
      <c r="B244" s="420" t="s">
        <v>387</v>
      </c>
      <c r="C244" s="421">
        <f>300/C128</f>
        <v>6.7842605156037988E-2</v>
      </c>
      <c r="D244" s="421">
        <f>300/D128</f>
        <v>5.7971014492753624E-2</v>
      </c>
      <c r="E244" s="421">
        <f>300/E128</f>
        <v>4.8498016431127972E-2</v>
      </c>
      <c r="F244" s="421">
        <f>1/19.6629</f>
        <v>5.0857198073529335E-2</v>
      </c>
      <c r="G244" s="421">
        <v>5.0900000000000001E-2</v>
      </c>
      <c r="H244" s="421">
        <f>AF244</f>
        <v>5.2830000000000002E-2</v>
      </c>
      <c r="I244" s="421">
        <f>AJ244</f>
        <v>5.0215000000000003E-2</v>
      </c>
      <c r="J244" s="421">
        <f>AN244</f>
        <v>4.8710629633598644E-2</v>
      </c>
      <c r="K244" s="421">
        <f>AR244</f>
        <v>5.126E-2</v>
      </c>
      <c r="L244" s="421">
        <f>AV244</f>
        <v>5.8860000000000003E-2</v>
      </c>
      <c r="M244" s="421">
        <f>AZ244</f>
        <v>4.8031431768949598E-2</v>
      </c>
      <c r="N244" s="421">
        <f>BD244</f>
        <v>5.5525325100778469E-2</v>
      </c>
      <c r="O244" s="421">
        <f>BE244</f>
        <v>5.5744467361614362E-2</v>
      </c>
      <c r="P244" s="422"/>
      <c r="Q244" s="421">
        <f t="shared" ref="Q244:W244" si="710">300/Q128</f>
        <v>5.8014735742878687E-2</v>
      </c>
      <c r="R244" s="421">
        <f t="shared" si="710"/>
        <v>5.4161400974905217E-2</v>
      </c>
      <c r="S244" s="421">
        <f t="shared" si="710"/>
        <v>5.1605978036495748E-2</v>
      </c>
      <c r="T244" s="421">
        <f t="shared" si="710"/>
        <v>4.8498016431127972E-2</v>
      </c>
      <c r="U244" s="421">
        <f t="shared" si="710"/>
        <v>5.320422441541859E-2</v>
      </c>
      <c r="V244" s="421">
        <f t="shared" si="710"/>
        <v>5.5363015291264826E-2</v>
      </c>
      <c r="W244" s="421">
        <f t="shared" si="710"/>
        <v>5.5069111735227716E-2</v>
      </c>
      <c r="X244" s="421">
        <f>F244</f>
        <v>5.0857198073529335E-2</v>
      </c>
      <c r="Y244" s="421">
        <v>5.4989999999999997E-2</v>
      </c>
      <c r="Z244" s="421">
        <v>5.2609999999999997E-2</v>
      </c>
      <c r="AA244" s="421">
        <v>5.1830000000000001E-2</v>
      </c>
      <c r="AB244" s="421">
        <v>5.0900000000000001E-2</v>
      </c>
      <c r="AC244" s="421">
        <v>5.1470000000000002E-2</v>
      </c>
      <c r="AD244" s="421">
        <v>5.203E-2</v>
      </c>
      <c r="AE244" s="421">
        <v>5.067E-2</v>
      </c>
      <c r="AF244" s="421">
        <v>5.2830000000000002E-2</v>
      </c>
      <c r="AG244" s="421">
        <f>1/23.7</f>
        <v>4.2194092827004218E-2</v>
      </c>
      <c r="AH244" s="421">
        <v>4.2243000000000003E-2</v>
      </c>
      <c r="AI244" s="421">
        <v>4.5220000000000003E-2</v>
      </c>
      <c r="AJ244" s="421">
        <v>5.0215000000000003E-2</v>
      </c>
      <c r="AK244" s="421">
        <v>4.8910000000000002E-2</v>
      </c>
      <c r="AL244" s="421">
        <f>AVERAGE(AK243:AL243)</f>
        <v>4.9464716569364062E-2</v>
      </c>
      <c r="AM244" s="421">
        <f>AVERAGE(AL243:AM243)</f>
        <v>4.9599157290699511E-2</v>
      </c>
      <c r="AN244" s="421">
        <f>1/20.5294</f>
        <v>4.8710629633598644E-2</v>
      </c>
      <c r="AO244" s="421">
        <v>5.0299999999999997E-2</v>
      </c>
      <c r="AP244" s="421">
        <v>4.9741E-2</v>
      </c>
      <c r="AQ244" s="421">
        <v>4.9549999999999997E-2</v>
      </c>
      <c r="AR244" s="421">
        <f>0.05126</f>
        <v>5.126E-2</v>
      </c>
      <c r="AS244" s="421">
        <v>5.5480000000000002E-2</v>
      </c>
      <c r="AT244" s="421">
        <v>5.9130000000000002E-2</v>
      </c>
      <c r="AU244" s="421">
        <v>5.7340000000000002E-2</v>
      </c>
      <c r="AV244" s="421">
        <f>0.05886</f>
        <v>5.8860000000000003E-2</v>
      </c>
      <c r="AW244" s="421">
        <v>5.96E-2</v>
      </c>
      <c r="AX244" s="421">
        <v>5.4510000000000003E-2</v>
      </c>
      <c r="AY244" s="424">
        <v>5.0810000000000001E-2</v>
      </c>
      <c r="AZ244" s="488">
        <f>1/20.8197</f>
        <v>4.8031431768949598E-2</v>
      </c>
      <c r="BA244" s="488">
        <v>4.9119999999999997E-2</v>
      </c>
      <c r="BB244" s="488">
        <f>1/18.735</f>
        <v>5.3376034160661862E-2</v>
      </c>
      <c r="BC244" s="487">
        <v>5.4609999999999999E-2</v>
      </c>
      <c r="BD244" s="488">
        <f>1/18.0098</f>
        <v>5.5525325100778469E-2</v>
      </c>
      <c r="BE244" s="488">
        <f>1/17.939</f>
        <v>5.5744467361614362E-2</v>
      </c>
      <c r="BF244" s="132"/>
      <c r="BG244" s="399"/>
      <c r="BH244" s="399"/>
      <c r="BI244" s="399"/>
    </row>
    <row r="245" spans="2:61" s="5" customFormat="1" ht="13.5" customHeight="1">
      <c r="B245" s="416" t="s">
        <v>388</v>
      </c>
      <c r="C245" s="450">
        <f t="shared" ref="C245:K245" si="711">1/C244</f>
        <v>14.74</v>
      </c>
      <c r="D245" s="450">
        <f t="shared" si="711"/>
        <v>17.25</v>
      </c>
      <c r="E245" s="450">
        <f t="shared" si="711"/>
        <v>20.619399999999999</v>
      </c>
      <c r="F245" s="450">
        <f t="shared" si="711"/>
        <v>19.6629</v>
      </c>
      <c r="G245" s="450">
        <f t="shared" si="711"/>
        <v>19.646365422396855</v>
      </c>
      <c r="H245" s="450">
        <f t="shared" si="711"/>
        <v>18.928639030853681</v>
      </c>
      <c r="I245" s="450">
        <f t="shared" si="711"/>
        <v>19.914368216668326</v>
      </c>
      <c r="J245" s="450">
        <f t="shared" si="711"/>
        <v>20.529399999999999</v>
      </c>
      <c r="K245" s="450">
        <f t="shared" si="711"/>
        <v>19.508388607101054</v>
      </c>
      <c r="L245" s="450">
        <f>1/L244</f>
        <v>16.989466530750935</v>
      </c>
      <c r="M245" s="450">
        <f t="shared" ref="M245:O245" si="712">1/M244</f>
        <v>20.819700000000001</v>
      </c>
      <c r="N245" s="450">
        <f t="shared" si="712"/>
        <v>18.009799999999998</v>
      </c>
      <c r="O245" s="450">
        <f t="shared" si="712"/>
        <v>17.939</v>
      </c>
      <c r="P245" s="422"/>
      <c r="Q245" s="450"/>
      <c r="R245" s="450"/>
      <c r="S245" s="450"/>
      <c r="T245" s="450"/>
      <c r="U245" s="450"/>
      <c r="V245" s="450"/>
      <c r="W245" s="450"/>
      <c r="X245" s="450"/>
      <c r="Y245" s="450"/>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f>1/AW244</f>
        <v>16.778523489932887</v>
      </c>
      <c r="AX245" s="450">
        <f t="shared" ref="AX245:BD245" si="713">1/AX244</f>
        <v>18.345257750871397</v>
      </c>
      <c r="AY245" s="450">
        <f t="shared" si="713"/>
        <v>19.681165124975397</v>
      </c>
      <c r="AZ245" s="450">
        <f t="shared" si="713"/>
        <v>20.819700000000001</v>
      </c>
      <c r="BA245" s="450">
        <f t="shared" si="713"/>
        <v>20.358306188925084</v>
      </c>
      <c r="BB245" s="450">
        <f t="shared" si="713"/>
        <v>18.734999999999999</v>
      </c>
      <c r="BC245" s="450">
        <f t="shared" si="713"/>
        <v>18.311664530305805</v>
      </c>
      <c r="BD245" s="450">
        <f t="shared" si="713"/>
        <v>18.009799999999998</v>
      </c>
      <c r="BE245" s="450">
        <f t="shared" ref="BE245" si="714">1/BE244</f>
        <v>17.939</v>
      </c>
      <c r="BF245" s="132"/>
      <c r="BG245" s="196"/>
      <c r="BH245" s="196"/>
      <c r="BI245" s="196"/>
    </row>
    <row r="246" spans="2:61" s="5" customFormat="1" ht="13.5" customHeight="1">
      <c r="C246" s="132"/>
      <c r="D246" s="132"/>
      <c r="E246" s="132"/>
      <c r="F246" s="132"/>
      <c r="G246" s="132"/>
      <c r="H246" s="132"/>
      <c r="I246" s="132"/>
      <c r="J246" s="132"/>
      <c r="K246" s="132"/>
      <c r="L246" s="132"/>
      <c r="M246" s="132"/>
      <c r="N246" s="132"/>
      <c r="O246" s="132"/>
      <c r="P246" s="422"/>
      <c r="Q246" s="132"/>
      <c r="R246" s="132"/>
      <c r="S246" s="132"/>
      <c r="T246" s="132"/>
      <c r="U246" s="132"/>
      <c r="V246" s="132"/>
      <c r="W246" s="132"/>
      <c r="X246" s="132"/>
      <c r="Y246" s="132"/>
      <c r="Z246" s="132"/>
      <c r="AA246" s="132"/>
      <c r="AB246" s="132"/>
      <c r="AC246" s="132"/>
      <c r="AD246" s="132"/>
      <c r="AE246" s="132"/>
      <c r="AF246" s="132"/>
      <c r="AG246" s="132"/>
      <c r="AH246" s="132"/>
      <c r="AI246" s="132"/>
      <c r="AJ246" s="132"/>
      <c r="AK246" s="132"/>
      <c r="AL246" s="132"/>
      <c r="AM246" s="132"/>
      <c r="AN246" s="132"/>
      <c r="AO246" s="132"/>
      <c r="AP246" s="132"/>
      <c r="AQ246" s="132"/>
      <c r="AR246" s="132"/>
      <c r="AS246" s="132"/>
      <c r="AT246" s="132"/>
      <c r="AU246" s="132"/>
      <c r="AV246" s="132"/>
      <c r="AW246" s="132"/>
      <c r="AX246" s="132"/>
      <c r="AY246" s="132"/>
      <c r="AZ246" s="132"/>
      <c r="BA246" s="132"/>
      <c r="BB246" s="132"/>
      <c r="BC246" s="132"/>
      <c r="BD246" s="132"/>
      <c r="BE246" s="132"/>
      <c r="BF246" s="132"/>
      <c r="BG246" s="399"/>
      <c r="BH246" s="399"/>
      <c r="BI246" s="399"/>
    </row>
    <row r="247" spans="2:61" ht="13.5" customHeight="1">
      <c r="B247" s="14" t="s">
        <v>389</v>
      </c>
      <c r="C247" s="85">
        <f t="shared" ref="C247:O247" si="715">C174</f>
        <v>41975</v>
      </c>
      <c r="D247" s="85">
        <f t="shared" si="715"/>
        <v>42341</v>
      </c>
      <c r="E247" s="85">
        <f t="shared" si="715"/>
        <v>42708</v>
      </c>
      <c r="F247" s="85">
        <f t="shared" si="715"/>
        <v>43100</v>
      </c>
      <c r="G247" s="85">
        <f t="shared" si="715"/>
        <v>43465</v>
      </c>
      <c r="H247" s="85">
        <f t="shared" si="715"/>
        <v>43830</v>
      </c>
      <c r="I247" s="85">
        <f t="shared" si="715"/>
        <v>44196</v>
      </c>
      <c r="J247" s="85">
        <f t="shared" si="715"/>
        <v>44561</v>
      </c>
      <c r="K247" s="85">
        <f t="shared" si="715"/>
        <v>44926</v>
      </c>
      <c r="L247" s="85">
        <f t="shared" si="715"/>
        <v>45291</v>
      </c>
      <c r="M247" s="85">
        <f t="shared" si="715"/>
        <v>45657</v>
      </c>
      <c r="N247" s="85">
        <f t="shared" si="715"/>
        <v>46022</v>
      </c>
      <c r="O247" s="85" t="str">
        <f t="shared" si="715"/>
        <v>LTM</v>
      </c>
      <c r="P247" s="327"/>
      <c r="Q247" s="85">
        <f t="shared" ref="Q247:BD247" si="716">Q174</f>
        <v>42437</v>
      </c>
      <c r="R247" s="85">
        <f t="shared" si="716"/>
        <v>42527</v>
      </c>
      <c r="S247" s="85">
        <f t="shared" si="716"/>
        <v>42622</v>
      </c>
      <c r="T247" s="85">
        <f t="shared" si="716"/>
        <v>42714</v>
      </c>
      <c r="U247" s="85">
        <f t="shared" si="716"/>
        <v>42801</v>
      </c>
      <c r="V247" s="85">
        <f t="shared" si="716"/>
        <v>42892</v>
      </c>
      <c r="W247" s="85">
        <f t="shared" si="716"/>
        <v>42987</v>
      </c>
      <c r="X247" s="85">
        <f t="shared" si="716"/>
        <v>43100</v>
      </c>
      <c r="Y247" s="85">
        <f t="shared" si="716"/>
        <v>43190</v>
      </c>
      <c r="Z247" s="85">
        <f t="shared" si="716"/>
        <v>43281</v>
      </c>
      <c r="AA247" s="85">
        <f t="shared" si="716"/>
        <v>43373</v>
      </c>
      <c r="AB247" s="85">
        <f t="shared" si="716"/>
        <v>43465</v>
      </c>
      <c r="AC247" s="85">
        <f t="shared" si="716"/>
        <v>43555</v>
      </c>
      <c r="AD247" s="85">
        <f t="shared" si="716"/>
        <v>43646</v>
      </c>
      <c r="AE247" s="85">
        <f t="shared" si="716"/>
        <v>43738</v>
      </c>
      <c r="AF247" s="85">
        <f t="shared" si="716"/>
        <v>43830</v>
      </c>
      <c r="AG247" s="85">
        <f t="shared" si="716"/>
        <v>43921</v>
      </c>
      <c r="AH247" s="85">
        <f t="shared" si="716"/>
        <v>44012</v>
      </c>
      <c r="AI247" s="85">
        <f t="shared" si="716"/>
        <v>44104</v>
      </c>
      <c r="AJ247" s="85">
        <f t="shared" si="716"/>
        <v>44196</v>
      </c>
      <c r="AK247" s="85">
        <f t="shared" si="716"/>
        <v>44286</v>
      </c>
      <c r="AL247" s="85">
        <f t="shared" si="716"/>
        <v>44377</v>
      </c>
      <c r="AM247" s="85">
        <f t="shared" si="716"/>
        <v>44469</v>
      </c>
      <c r="AN247" s="85">
        <f t="shared" si="716"/>
        <v>44561</v>
      </c>
      <c r="AO247" s="85">
        <f t="shared" si="716"/>
        <v>44651</v>
      </c>
      <c r="AP247" s="85">
        <f t="shared" si="716"/>
        <v>44742</v>
      </c>
      <c r="AQ247" s="85">
        <f t="shared" si="716"/>
        <v>44834</v>
      </c>
      <c r="AR247" s="85">
        <f t="shared" si="716"/>
        <v>44926</v>
      </c>
      <c r="AS247" s="85">
        <f t="shared" si="716"/>
        <v>45016</v>
      </c>
      <c r="AT247" s="85">
        <f t="shared" si="716"/>
        <v>45107</v>
      </c>
      <c r="AU247" s="85">
        <f t="shared" si="716"/>
        <v>45199</v>
      </c>
      <c r="AV247" s="85">
        <f t="shared" si="716"/>
        <v>45291</v>
      </c>
      <c r="AW247" s="85">
        <f t="shared" si="716"/>
        <v>45382</v>
      </c>
      <c r="AX247" s="85">
        <f t="shared" si="716"/>
        <v>45473</v>
      </c>
      <c r="AY247" s="85">
        <f t="shared" si="716"/>
        <v>45536</v>
      </c>
      <c r="AZ247" s="85">
        <f t="shared" si="716"/>
        <v>45657</v>
      </c>
      <c r="BA247" s="85">
        <f t="shared" si="716"/>
        <v>45747</v>
      </c>
      <c r="BB247" s="85">
        <f t="shared" si="716"/>
        <v>45838</v>
      </c>
      <c r="BC247" s="85">
        <f t="shared" si="716"/>
        <v>45901</v>
      </c>
      <c r="BD247" s="85">
        <f t="shared" si="716"/>
        <v>46022</v>
      </c>
      <c r="BE247" s="85">
        <f t="shared" ref="BE247" si="717">BE174</f>
        <v>46112</v>
      </c>
      <c r="BG247" s="388"/>
      <c r="BH247" s="388"/>
      <c r="BI247" s="388"/>
    </row>
    <row r="248" spans="2:61" ht="13.5" customHeight="1">
      <c r="B248" s="1" t="s">
        <v>265</v>
      </c>
      <c r="C248" s="22">
        <f t="shared" ref="C248:O248" si="718">C175*C$243</f>
        <v>6106.2375523468936</v>
      </c>
      <c r="D248" s="22">
        <f t="shared" si="718"/>
        <v>5755.3092449946762</v>
      </c>
      <c r="E248" s="22">
        <f t="shared" si="718"/>
        <v>5383.3643226224876</v>
      </c>
      <c r="F248" s="22">
        <f t="shared" si="718"/>
        <v>6478.5838353700001</v>
      </c>
      <c r="G248" s="22">
        <f t="shared" si="718"/>
        <v>7055.9391370599997</v>
      </c>
      <c r="H248" s="22">
        <f t="shared" si="718"/>
        <v>7499.0606126974999</v>
      </c>
      <c r="I248" s="22">
        <f t="shared" si="718"/>
        <v>5536.3495977874472</v>
      </c>
      <c r="J248" s="22">
        <f t="shared" si="718"/>
        <v>7394.9851538779285</v>
      </c>
      <c r="K248" s="22">
        <f t="shared" si="718"/>
        <v>8789.6195405580766</v>
      </c>
      <c r="L248" s="22">
        <f t="shared" si="718"/>
        <v>11056.132442958749</v>
      </c>
      <c r="M248" s="22">
        <f t="shared" si="718"/>
        <v>11713.327526852823</v>
      </c>
      <c r="N248" s="22">
        <f t="shared" si="718"/>
        <v>11923.201550426034</v>
      </c>
      <c r="O248" s="22">
        <f t="shared" si="718"/>
        <v>9507.2817281552725</v>
      </c>
      <c r="P248" s="22"/>
      <c r="Q248" s="22"/>
      <c r="R248" s="22"/>
      <c r="S248" s="22"/>
      <c r="T248" s="22">
        <f t="shared" ref="T248:AC250" si="719">T175*AVERAGE(Q$243:T$243)</f>
        <v>5387.1477203580034</v>
      </c>
      <c r="U248" s="22">
        <f t="shared" si="719"/>
        <v>5314.8880774679583</v>
      </c>
      <c r="V248" s="22">
        <f t="shared" si="719"/>
        <v>5571.2942563325778</v>
      </c>
      <c r="W248" s="22">
        <f t="shared" si="719"/>
        <v>5924.7145323256163</v>
      </c>
      <c r="X248" s="22">
        <f t="shared" si="719"/>
        <v>6478.583835370001</v>
      </c>
      <c r="Y248" s="22">
        <f t="shared" si="719"/>
        <v>6850.5055885050006</v>
      </c>
      <c r="Z248" s="22">
        <f t="shared" si="719"/>
        <v>6942.0344210174999</v>
      </c>
      <c r="AA248" s="22">
        <f t="shared" si="719"/>
        <v>6969.8318830725002</v>
      </c>
      <c r="AB248" s="22">
        <f t="shared" si="719"/>
        <v>7097.6160729924995</v>
      </c>
      <c r="AC248" s="22">
        <f t="shared" si="719"/>
        <v>7172.2062575399987</v>
      </c>
      <c r="AD248" s="22">
        <f t="shared" ref="AD248:AM250" si="720">AD175*AVERAGE(AA$243:AD$243)</f>
        <v>7334.9068232499994</v>
      </c>
      <c r="AE248" s="22">
        <f t="shared" si="720"/>
        <v>7312.101944725001</v>
      </c>
      <c r="AF248" s="22">
        <f t="shared" si="720"/>
        <v>7499.060612697499</v>
      </c>
      <c r="AG248" s="22">
        <f t="shared" si="720"/>
        <v>7292.2002962768847</v>
      </c>
      <c r="AH248" s="22">
        <f t="shared" si="720"/>
        <v>6158.6986264827801</v>
      </c>
      <c r="AI248" s="22">
        <f t="shared" si="720"/>
        <v>5811.498659256119</v>
      </c>
      <c r="AJ248" s="22">
        <f t="shared" si="720"/>
        <v>5536.3495977874472</v>
      </c>
      <c r="AK248" s="22">
        <f t="shared" si="720"/>
        <v>5509.1305486813344</v>
      </c>
      <c r="AL248" s="22">
        <f t="shared" si="720"/>
        <v>6621.7162235749993</v>
      </c>
      <c r="AM248" s="22">
        <f t="shared" si="720"/>
        <v>6982.394184558214</v>
      </c>
      <c r="AN248" s="22">
        <f t="shared" ref="AN248:AW250" si="721">AN175*AVERAGE(AK$243:AN$243)</f>
        <v>7394.9851538779285</v>
      </c>
      <c r="AO248" s="22">
        <f t="shared" si="721"/>
        <v>7761.9350741496883</v>
      </c>
      <c r="AP248" s="22">
        <f t="shared" si="721"/>
        <v>7991.3074719354436</v>
      </c>
      <c r="AQ248" s="22">
        <f t="shared" si="721"/>
        <v>8324.5512796187577</v>
      </c>
      <c r="AR248" s="22">
        <f t="shared" si="721"/>
        <v>8789.6195405580747</v>
      </c>
      <c r="AS248" s="22">
        <f t="shared" si="721"/>
        <v>9230.6171642174995</v>
      </c>
      <c r="AT248" s="22">
        <f t="shared" si="721"/>
        <v>9825.9035590625008</v>
      </c>
      <c r="AU248" s="22">
        <f t="shared" si="721"/>
        <v>10453.381908498748</v>
      </c>
      <c r="AV248" s="22">
        <f t="shared" si="721"/>
        <v>11056.132442958749</v>
      </c>
      <c r="AW248" s="22">
        <f t="shared" si="721"/>
        <v>11538.08619145</v>
      </c>
      <c r="AX248" s="22">
        <f t="shared" ref="AX248:BE250" si="722">AX175*AVERAGE(AU$243:AX$243)</f>
        <v>11794.078190418748</v>
      </c>
      <c r="AY248" s="22">
        <f t="shared" si="722"/>
        <v>11747.050594443748</v>
      </c>
      <c r="AZ248" s="22">
        <f t="shared" si="722"/>
        <v>11713.327526852823</v>
      </c>
      <c r="BA248" s="22">
        <f t="shared" si="722"/>
        <v>11382.490210669774</v>
      </c>
      <c r="BB248" s="22">
        <f t="shared" si="722"/>
        <v>11275.693996591337</v>
      </c>
      <c r="BC248" s="22">
        <f t="shared" si="722"/>
        <v>11424.88565782076</v>
      </c>
      <c r="BD248" s="22">
        <f t="shared" si="722"/>
        <v>11923.201550426034</v>
      </c>
      <c r="BE248" s="22">
        <f t="shared" si="722"/>
        <v>12395.705351637094</v>
      </c>
      <c r="BG248" s="389"/>
      <c r="BH248" s="389"/>
      <c r="BI248" s="389"/>
    </row>
    <row r="249" spans="2:61" ht="13.5" customHeight="1">
      <c r="B249" s="1" t="s">
        <v>330</v>
      </c>
      <c r="C249" s="22">
        <f t="shared" ref="C249:O249" si="723">C176*C$243</f>
        <v>979.21075513231176</v>
      </c>
      <c r="D249" s="22">
        <f t="shared" si="723"/>
        <v>937.46279941219882</v>
      </c>
      <c r="E249" s="22">
        <f t="shared" si="723"/>
        <v>860.28056782195017</v>
      </c>
      <c r="F249" s="22">
        <f t="shared" si="723"/>
        <v>973.12568924999994</v>
      </c>
      <c r="G249" s="22">
        <f t="shared" si="723"/>
        <v>1053.5195825200001</v>
      </c>
      <c r="H249" s="22">
        <f t="shared" si="723"/>
        <v>1241.4041255</v>
      </c>
      <c r="I249" s="22">
        <f t="shared" si="723"/>
        <v>431.80865905348099</v>
      </c>
      <c r="J249" s="22">
        <f t="shared" si="723"/>
        <v>1170.7223633989104</v>
      </c>
      <c r="K249" s="22">
        <f t="shared" si="723"/>
        <v>1532.2465198207801</v>
      </c>
      <c r="L249" s="22">
        <f t="shared" si="723"/>
        <v>1973.9255366249997</v>
      </c>
      <c r="M249" s="22">
        <f t="shared" si="723"/>
        <v>2047.6309735158525</v>
      </c>
      <c r="N249" s="22">
        <f t="shared" si="723"/>
        <v>1954.3434510358375</v>
      </c>
      <c r="O249" s="22">
        <f t="shared" si="723"/>
        <v>1574.8995474265319</v>
      </c>
      <c r="P249" s="22"/>
      <c r="Q249" s="22"/>
      <c r="R249" s="22"/>
      <c r="S249" s="22"/>
      <c r="T249" s="22">
        <f t="shared" si="719"/>
        <v>860.88516809738155</v>
      </c>
      <c r="U249" s="22">
        <f t="shared" si="719"/>
        <v>846.59368383970013</v>
      </c>
      <c r="V249" s="22">
        <f t="shared" si="719"/>
        <v>875.11824134282926</v>
      </c>
      <c r="W249" s="22">
        <f t="shared" si="719"/>
        <v>895.31536620839267</v>
      </c>
      <c r="X249" s="22">
        <f t="shared" si="719"/>
        <v>973.12568925000005</v>
      </c>
      <c r="Y249" s="22">
        <f t="shared" si="719"/>
        <v>978.64836426499983</v>
      </c>
      <c r="Z249" s="22">
        <f t="shared" si="719"/>
        <v>992.70082558499985</v>
      </c>
      <c r="AA249" s="22">
        <f t="shared" si="719"/>
        <v>1023.06465177</v>
      </c>
      <c r="AB249" s="22">
        <f t="shared" si="719"/>
        <v>1059.742349935</v>
      </c>
      <c r="AC249" s="22">
        <f t="shared" si="719"/>
        <v>1085.00560494</v>
      </c>
      <c r="AD249" s="22">
        <f t="shared" si="720"/>
        <v>1127.5355785049999</v>
      </c>
      <c r="AE249" s="22">
        <f t="shared" si="720"/>
        <v>1143.7637610500001</v>
      </c>
      <c r="AF249" s="22">
        <f t="shared" si="720"/>
        <v>1241.4041255</v>
      </c>
      <c r="AG249" s="22">
        <f t="shared" si="720"/>
        <v>1193.8703765353378</v>
      </c>
      <c r="AH249" s="22">
        <f t="shared" si="720"/>
        <v>802.91825087078053</v>
      </c>
      <c r="AI249" s="22">
        <f t="shared" si="720"/>
        <v>619.91020965981011</v>
      </c>
      <c r="AJ249" s="22">
        <f t="shared" si="720"/>
        <v>431.80865905348099</v>
      </c>
      <c r="AK249" s="22">
        <f t="shared" si="720"/>
        <v>420.06428706666668</v>
      </c>
      <c r="AL249" s="22">
        <f t="shared" si="720"/>
        <v>802.68297059880342</v>
      </c>
      <c r="AM249" s="22">
        <f t="shared" si="720"/>
        <v>1025.4418378155895</v>
      </c>
      <c r="AN249" s="22">
        <f t="shared" si="721"/>
        <v>1170.7223633989104</v>
      </c>
      <c r="AO249" s="22">
        <f t="shared" si="721"/>
        <v>1307.3180301649015</v>
      </c>
      <c r="AP249" s="22">
        <f t="shared" si="721"/>
        <v>1388.7693876316948</v>
      </c>
      <c r="AQ249" s="22">
        <f t="shared" si="721"/>
        <v>1440.5313646451955</v>
      </c>
      <c r="AR249" s="22">
        <f t="shared" si="721"/>
        <v>1532.2465198207801</v>
      </c>
      <c r="AS249" s="22">
        <f t="shared" si="721"/>
        <v>1575.128800875</v>
      </c>
      <c r="AT249" s="22">
        <f t="shared" si="721"/>
        <v>1679.9515031249998</v>
      </c>
      <c r="AU249" s="22">
        <f t="shared" si="721"/>
        <v>1796.7673038749997</v>
      </c>
      <c r="AV249" s="22">
        <f t="shared" si="721"/>
        <v>1973.9255366249997</v>
      </c>
      <c r="AW249" s="22">
        <f t="shared" si="721"/>
        <v>2064.2540450000001</v>
      </c>
      <c r="AX249" s="22">
        <f t="shared" si="722"/>
        <v>2095.5058199999999</v>
      </c>
      <c r="AY249" s="22">
        <f t="shared" si="722"/>
        <v>2072.1449857499997</v>
      </c>
      <c r="AZ249" s="22">
        <f t="shared" si="722"/>
        <v>2047.6309735158525</v>
      </c>
      <c r="BA249" s="22">
        <f t="shared" si="722"/>
        <v>1928.3057873097082</v>
      </c>
      <c r="BB249" s="22">
        <f t="shared" si="722"/>
        <v>1841.1868033961427</v>
      </c>
      <c r="BC249" s="22">
        <f t="shared" si="722"/>
        <v>1792.812835751444</v>
      </c>
      <c r="BD249" s="22">
        <f t="shared" si="722"/>
        <v>1954.3434510358375</v>
      </c>
      <c r="BE249" s="22">
        <f t="shared" si="722"/>
        <v>2014.3095805480236</v>
      </c>
      <c r="BG249" s="389"/>
      <c r="BH249" s="389"/>
      <c r="BI249" s="389"/>
    </row>
    <row r="250" spans="2:61" ht="13.5" customHeight="1">
      <c r="B250" s="1" t="s">
        <v>332</v>
      </c>
      <c r="C250" s="22">
        <f t="shared" ref="C250:O250" si="724">C177*C$243</f>
        <v>1037.7599253258375</v>
      </c>
      <c r="D250" s="22">
        <f t="shared" si="724"/>
        <v>996.75838662113676</v>
      </c>
      <c r="E250" s="22">
        <f t="shared" si="724"/>
        <v>923.12668695187665</v>
      </c>
      <c r="F250" s="22">
        <f t="shared" si="724"/>
        <v>1081.8921283299999</v>
      </c>
      <c r="G250" s="22">
        <f t="shared" si="724"/>
        <v>1164.7062069199999</v>
      </c>
      <c r="H250" s="22">
        <f t="shared" si="724"/>
        <v>1260.6904834124998</v>
      </c>
      <c r="I250" s="22">
        <f t="shared" si="724"/>
        <v>436.46845092954641</v>
      </c>
      <c r="J250" s="22">
        <f t="shared" si="724"/>
        <v>1179.5076655202811</v>
      </c>
      <c r="K250" s="22">
        <f t="shared" si="724"/>
        <v>1543.5760665291705</v>
      </c>
      <c r="L250" s="22">
        <f t="shared" si="724"/>
        <v>1983.2169207899997</v>
      </c>
      <c r="M250" s="22">
        <f t="shared" si="724"/>
        <v>2047.6309735158525</v>
      </c>
      <c r="N250" s="22">
        <f t="shared" si="724"/>
        <v>1954.3434510358375</v>
      </c>
      <c r="O250" s="22">
        <f t="shared" si="724"/>
        <v>1574.8995474265319</v>
      </c>
      <c r="P250" s="22"/>
      <c r="Q250" s="22"/>
      <c r="R250" s="22"/>
      <c r="S250" s="22"/>
      <c r="T250" s="22">
        <f t="shared" si="719"/>
        <v>923.77545512131496</v>
      </c>
      <c r="U250" s="22">
        <f t="shared" si="719"/>
        <v>921.4723564324056</v>
      </c>
      <c r="V250" s="22">
        <f t="shared" si="719"/>
        <v>958.47534061950705</v>
      </c>
      <c r="W250" s="22">
        <f t="shared" si="719"/>
        <v>996.53171142889312</v>
      </c>
      <c r="X250" s="22">
        <f t="shared" si="719"/>
        <v>1081.8921283300001</v>
      </c>
      <c r="Y250" s="22">
        <f t="shared" si="719"/>
        <v>1095.1446361999999</v>
      </c>
      <c r="Z250" s="22">
        <f t="shared" si="719"/>
        <v>1110.6481954049998</v>
      </c>
      <c r="AA250" s="22">
        <f t="shared" si="719"/>
        <v>1134.3107939925001</v>
      </c>
      <c r="AB250" s="22">
        <f t="shared" si="719"/>
        <v>1171.5857143850001</v>
      </c>
      <c r="AC250" s="22">
        <f t="shared" si="719"/>
        <v>1168.61830919</v>
      </c>
      <c r="AD250" s="22">
        <f t="shared" si="720"/>
        <v>1191.4790950300001</v>
      </c>
      <c r="AE250" s="22">
        <f t="shared" si="720"/>
        <v>1189.2339090375001</v>
      </c>
      <c r="AF250" s="22">
        <f t="shared" si="720"/>
        <v>1260.6904834124998</v>
      </c>
      <c r="AG250" s="22">
        <f t="shared" si="720"/>
        <v>1212.1671328663658</v>
      </c>
      <c r="AH250" s="22">
        <f t="shared" si="720"/>
        <v>818.01607244287447</v>
      </c>
      <c r="AI250" s="22">
        <f t="shared" si="720"/>
        <v>629.31972193103911</v>
      </c>
      <c r="AJ250" s="22">
        <f t="shared" si="720"/>
        <v>436.46845092954641</v>
      </c>
      <c r="AK250" s="22">
        <f t="shared" si="720"/>
        <v>421.4207336180001</v>
      </c>
      <c r="AL250" s="22">
        <f t="shared" si="720"/>
        <v>799.35224890480913</v>
      </c>
      <c r="AM250" s="22">
        <f t="shared" si="720"/>
        <v>1023.8258807327809</v>
      </c>
      <c r="AN250" s="22">
        <f t="shared" si="721"/>
        <v>1179.5076655202811</v>
      </c>
      <c r="AO250" s="22">
        <f t="shared" si="721"/>
        <v>1316.7770960307441</v>
      </c>
      <c r="AP250" s="22">
        <f t="shared" si="721"/>
        <v>1402.5166603788673</v>
      </c>
      <c r="AQ250" s="22">
        <f t="shared" si="721"/>
        <v>1452.6496254409074</v>
      </c>
      <c r="AR250" s="22">
        <f t="shared" si="721"/>
        <v>1543.5760665291707</v>
      </c>
      <c r="AS250" s="22">
        <f t="shared" si="721"/>
        <v>1585.5280000245</v>
      </c>
      <c r="AT250" s="22">
        <f t="shared" si="721"/>
        <v>1687.1681200937501</v>
      </c>
      <c r="AU250" s="22">
        <f t="shared" si="721"/>
        <v>1805.3687470687498</v>
      </c>
      <c r="AV250" s="22">
        <f t="shared" si="721"/>
        <v>1983.2169207900001</v>
      </c>
      <c r="AW250" s="22">
        <f t="shared" si="721"/>
        <v>2072.8972159000004</v>
      </c>
      <c r="AX250" s="22">
        <f t="shared" si="722"/>
        <v>2102.5869619312498</v>
      </c>
      <c r="AY250" s="22">
        <f t="shared" si="722"/>
        <v>2078.1040789537496</v>
      </c>
      <c r="AZ250" s="22">
        <f t="shared" si="722"/>
        <v>2047.6309735158525</v>
      </c>
      <c r="BA250" s="22">
        <f t="shared" si="722"/>
        <v>1928.3057873097082</v>
      </c>
      <c r="BB250" s="22">
        <f t="shared" si="722"/>
        <v>1841.1868033961427</v>
      </c>
      <c r="BC250" s="22">
        <f t="shared" si="722"/>
        <v>1792.812835751444</v>
      </c>
      <c r="BD250" s="22">
        <f t="shared" si="722"/>
        <v>1954.3434510358375</v>
      </c>
      <c r="BE250" s="22">
        <f t="shared" si="722"/>
        <v>2014.3095805480236</v>
      </c>
      <c r="BG250" s="389"/>
      <c r="BH250" s="389"/>
      <c r="BI250" s="389"/>
    </row>
    <row r="251" spans="2:61" ht="13.5" customHeight="1">
      <c r="B251" s="1" t="s">
        <v>375</v>
      </c>
      <c r="C251" s="41">
        <f t="shared" ref="C251:F251" si="725">C249/C248</f>
        <v>0.16036237482375024</v>
      </c>
      <c r="D251" s="41">
        <f t="shared" si="725"/>
        <v>0.16288660774006175</v>
      </c>
      <c r="E251" s="41">
        <f t="shared" si="725"/>
        <v>0.15980351993024083</v>
      </c>
      <c r="F251" s="41">
        <f t="shared" si="725"/>
        <v>0.15020654420449026</v>
      </c>
      <c r="G251" s="41">
        <f t="shared" ref="G251:K251" si="726">G249/G248</f>
        <v>0.14930961875600451</v>
      </c>
      <c r="H251" s="41">
        <f t="shared" si="726"/>
        <v>0.16554128438407867</v>
      </c>
      <c r="I251" s="41">
        <f t="shared" si="726"/>
        <v>7.7995193660828327E-2</v>
      </c>
      <c r="J251" s="41">
        <f t="shared" si="726"/>
        <v>0.15831301064681433</v>
      </c>
      <c r="K251" s="41">
        <f t="shared" si="726"/>
        <v>0.1743245555453807</v>
      </c>
      <c r="L251" s="41">
        <f t="shared" ref="L251:M251" si="727">L249/L248</f>
        <v>0.17853671225529877</v>
      </c>
      <c r="M251" s="41">
        <f t="shared" si="727"/>
        <v>0.17481206504485211</v>
      </c>
      <c r="N251" s="41">
        <f t="shared" ref="N251" si="728">N249/N248</f>
        <v>0.16391096324007084</v>
      </c>
      <c r="O251" s="41">
        <f t="shared" ref="O251" si="729">O249/O248</f>
        <v>0.16565192790727518</v>
      </c>
      <c r="P251" s="325"/>
      <c r="Q251" s="41"/>
      <c r="R251" s="41"/>
      <c r="S251" s="41"/>
      <c r="T251" s="41">
        <f>T249/T248</f>
        <v>0.15980351993024081</v>
      </c>
      <c r="U251" s="41">
        <f t="shared" ref="U251:AB251" si="730">U249/U248</f>
        <v>0.15928720821587311</v>
      </c>
      <c r="V251" s="41">
        <f t="shared" si="730"/>
        <v>0.15707629162615697</v>
      </c>
      <c r="W251" s="41">
        <f t="shared" si="730"/>
        <v>0.15111535945293153</v>
      </c>
      <c r="X251" s="41">
        <f t="shared" si="730"/>
        <v>0.15020654420449026</v>
      </c>
      <c r="Y251" s="41">
        <f t="shared" si="730"/>
        <v>0.1428578302172544</v>
      </c>
      <c r="Z251" s="41">
        <f t="shared" si="730"/>
        <v>0.14299854558190145</v>
      </c>
      <c r="AA251" s="41">
        <f t="shared" si="730"/>
        <v>0.14678469566169849</v>
      </c>
      <c r="AB251" s="42">
        <f t="shared" si="730"/>
        <v>0.14930961875600451</v>
      </c>
      <c r="AC251" s="41">
        <f t="shared" ref="AC251:AH251" si="731">AC249/AC248</f>
        <v>0.15127919722043062</v>
      </c>
      <c r="AD251" s="41">
        <f t="shared" si="731"/>
        <v>0.15372186800396245</v>
      </c>
      <c r="AE251" s="41">
        <f t="shared" si="731"/>
        <v>0.15642065300732286</v>
      </c>
      <c r="AF251" s="41">
        <f t="shared" si="731"/>
        <v>0.16554128438407867</v>
      </c>
      <c r="AG251" s="41">
        <f t="shared" si="731"/>
        <v>0.16371881298226021</v>
      </c>
      <c r="AH251" s="41">
        <f t="shared" si="731"/>
        <v>0.1303714144118342</v>
      </c>
      <c r="AI251" s="41">
        <f t="shared" ref="AI251:AN251" si="732">AI249/AI248</f>
        <v>0.10666959522953062</v>
      </c>
      <c r="AJ251" s="41">
        <f t="shared" si="732"/>
        <v>7.7995193660828327E-2</v>
      </c>
      <c r="AK251" s="41">
        <f t="shared" si="732"/>
        <v>7.6248744398916685E-2</v>
      </c>
      <c r="AL251" s="41">
        <f t="shared" si="732"/>
        <v>0.12121977799970456</v>
      </c>
      <c r="AM251" s="41">
        <f t="shared" si="732"/>
        <v>0.14686106380006253</v>
      </c>
      <c r="AN251" s="41">
        <f t="shared" si="732"/>
        <v>0.15831301064681433</v>
      </c>
      <c r="AO251" s="41">
        <f>AO249/AO248</f>
        <v>0.16842681852864078</v>
      </c>
      <c r="AP251" s="41">
        <f>AP249/AP248</f>
        <v>0.17378500233020613</v>
      </c>
      <c r="AQ251" s="41">
        <f>AQ249/AQ248</f>
        <v>0.17304612780416051</v>
      </c>
      <c r="AR251" s="41">
        <f t="shared" ref="AR251" si="733">AR249/AR248</f>
        <v>0.17432455554538076</v>
      </c>
      <c r="AS251" s="41">
        <f>AS249/AS248</f>
        <v>0.17064176455946944</v>
      </c>
      <c r="AT251" s="41">
        <f>AT249/AT248</f>
        <v>0.17097170687937077</v>
      </c>
      <c r="AU251" s="41">
        <f>AU249/AU248</f>
        <v>0.17188382856405565</v>
      </c>
      <c r="AV251" s="41">
        <f t="shared" ref="AV251" si="734">AV249/AV248</f>
        <v>0.17853671225529877</v>
      </c>
      <c r="AW251" s="41">
        <f>AW249/AW248</f>
        <v>0.17890783711857364</v>
      </c>
      <c r="AX251" s="41">
        <f>AX249/AX248</f>
        <v>0.17767440457553885</v>
      </c>
      <c r="AY251" s="41">
        <f>AY249/AY248</f>
        <v>0.17639704273769843</v>
      </c>
      <c r="AZ251" s="41">
        <f t="shared" ref="AZ251" si="735">AZ249/AZ248</f>
        <v>0.17481206504485211</v>
      </c>
      <c r="BA251" s="41">
        <f>BA249/BA248</f>
        <v>0.16940983489730074</v>
      </c>
      <c r="BB251" s="41">
        <f>BB249/BB248</f>
        <v>0.16328811370304452</v>
      </c>
      <c r="BC251" s="41">
        <f>BC249/BC248</f>
        <v>0.15692173116185165</v>
      </c>
      <c r="BD251" s="41">
        <f t="shared" ref="BD251" si="736">BD249/BD248</f>
        <v>0.16391096324007084</v>
      </c>
      <c r="BE251" s="41">
        <f>BE249/BE248</f>
        <v>0.16250060189450977</v>
      </c>
      <c r="BG251" s="165"/>
      <c r="BH251" s="165"/>
      <c r="BI251" s="165"/>
    </row>
    <row r="252" spans="2:61" ht="13.5" customHeight="1">
      <c r="B252" s="1" t="s">
        <v>333</v>
      </c>
      <c r="C252" s="22">
        <f t="shared" ref="C252:O252" si="737">C179*C$243</f>
        <v>58.549170193525732</v>
      </c>
      <c r="D252" s="22">
        <f t="shared" si="737"/>
        <v>59.295587208938009</v>
      </c>
      <c r="E252" s="22">
        <f t="shared" si="737"/>
        <v>62.846119129926542</v>
      </c>
      <c r="F252" s="22">
        <f t="shared" si="737"/>
        <v>108.76643908</v>
      </c>
      <c r="G252" s="22">
        <f t="shared" si="737"/>
        <v>111.1866244</v>
      </c>
      <c r="H252" s="22">
        <f t="shared" si="737"/>
        <v>19.286357912499998</v>
      </c>
      <c r="I252" s="22">
        <f t="shared" si="737"/>
        <v>4.6597918760654009</v>
      </c>
      <c r="J252" s="22">
        <f t="shared" si="737"/>
        <v>8.7853021213706928</v>
      </c>
      <c r="K252" s="22">
        <f t="shared" si="737"/>
        <v>11.32954670839035</v>
      </c>
      <c r="L252" s="22">
        <f t="shared" si="737"/>
        <v>9.2913841649999984</v>
      </c>
      <c r="M252" s="22">
        <f t="shared" si="737"/>
        <v>0</v>
      </c>
      <c r="N252" s="22">
        <f t="shared" si="737"/>
        <v>0</v>
      </c>
      <c r="O252" s="22">
        <f t="shared" si="737"/>
        <v>0</v>
      </c>
      <c r="P252" s="22"/>
      <c r="Q252" s="22"/>
      <c r="R252" s="22"/>
      <c r="S252" s="22"/>
      <c r="T252" s="22">
        <f t="shared" ref="T252:AC255" si="738">T179*AVERAGE(Q$243:T$243)</f>
        <v>62.890287023933439</v>
      </c>
      <c r="U252" s="22">
        <f t="shared" si="738"/>
        <v>74.878672592705513</v>
      </c>
      <c r="V252" s="22">
        <f t="shared" si="738"/>
        <v>83.357099276678028</v>
      </c>
      <c r="W252" s="22">
        <f t="shared" si="738"/>
        <v>101.21634522050053</v>
      </c>
      <c r="X252" s="22">
        <f t="shared" si="738"/>
        <v>108.76643908000001</v>
      </c>
      <c r="Y252" s="22">
        <f t="shared" si="738"/>
        <v>116.49627193500001</v>
      </c>
      <c r="Z252" s="22">
        <f t="shared" si="738"/>
        <v>117.94736981999999</v>
      </c>
      <c r="AA252" s="22">
        <f t="shared" si="738"/>
        <v>111.24614222249998</v>
      </c>
      <c r="AB252" s="22">
        <f t="shared" si="738"/>
        <v>111.84336444999998</v>
      </c>
      <c r="AC252" s="22">
        <f t="shared" si="738"/>
        <v>83.612704249999979</v>
      </c>
      <c r="AD252" s="22">
        <f t="shared" ref="AD252:AM255" si="739">AD179*AVERAGE(AA$243:AD$243)</f>
        <v>63.943516524999993</v>
      </c>
      <c r="AE252" s="22">
        <f t="shared" si="739"/>
        <v>45.470147987499999</v>
      </c>
      <c r="AF252" s="22">
        <f t="shared" si="739"/>
        <v>19.286357912499998</v>
      </c>
      <c r="AG252" s="22">
        <f t="shared" si="739"/>
        <v>18.296756331028483</v>
      </c>
      <c r="AH252" s="22">
        <f t="shared" si="739"/>
        <v>15.097821572093883</v>
      </c>
      <c r="AI252" s="22">
        <f t="shared" si="739"/>
        <v>9.4095122712289019</v>
      </c>
      <c r="AJ252" s="22">
        <f t="shared" si="739"/>
        <v>4.6597918760654009</v>
      </c>
      <c r="AK252" s="22">
        <f t="shared" si="739"/>
        <v>1.3564465513333333</v>
      </c>
      <c r="AL252" s="22">
        <f t="shared" si="739"/>
        <v>-3.3307216939943252</v>
      </c>
      <c r="AM252" s="22">
        <f t="shared" si="739"/>
        <v>-1.6159570828085827</v>
      </c>
      <c r="AN252" s="22">
        <f t="shared" ref="AN252:AW255" si="740">AN179*AVERAGE(AK$243:AN$243)</f>
        <v>8.7853021213706928</v>
      </c>
      <c r="AO252" s="22">
        <f t="shared" si="740"/>
        <v>9.4590658658424527</v>
      </c>
      <c r="AP252" s="22">
        <f t="shared" si="740"/>
        <v>13.747272747172419</v>
      </c>
      <c r="AQ252" s="22">
        <f t="shared" si="740"/>
        <v>12.118260795711747</v>
      </c>
      <c r="AR252" s="22">
        <f t="shared" si="740"/>
        <v>11.32954670839035</v>
      </c>
      <c r="AS252" s="22">
        <f t="shared" si="740"/>
        <v>10.399199149500001</v>
      </c>
      <c r="AT252" s="22">
        <f t="shared" si="740"/>
        <v>7.2166169687500004</v>
      </c>
      <c r="AU252" s="22">
        <f t="shared" si="740"/>
        <v>8.6014431937499989</v>
      </c>
      <c r="AV252" s="22">
        <f t="shared" si="740"/>
        <v>9.2913841649999984</v>
      </c>
      <c r="AW252" s="22">
        <f t="shared" si="740"/>
        <v>8.6431708999999994</v>
      </c>
      <c r="AX252" s="22">
        <f t="shared" ref="AX252:BE255" si="741">AX179*AVERAGE(AU$243:AX$243)</f>
        <v>7.0811419312499986</v>
      </c>
      <c r="AY252" s="22">
        <f t="shared" si="741"/>
        <v>5.9590932037499993</v>
      </c>
      <c r="AZ252" s="22">
        <f t="shared" si="741"/>
        <v>0</v>
      </c>
      <c r="BA252" s="22">
        <f t="shared" si="741"/>
        <v>0</v>
      </c>
      <c r="BB252" s="22">
        <f t="shared" si="741"/>
        <v>0</v>
      </c>
      <c r="BC252" s="22">
        <f t="shared" si="741"/>
        <v>0</v>
      </c>
      <c r="BD252" s="22">
        <f t="shared" si="741"/>
        <v>0</v>
      </c>
      <c r="BE252" s="22">
        <f t="shared" si="741"/>
        <v>0</v>
      </c>
      <c r="BG252" s="389"/>
      <c r="BH252" s="389"/>
      <c r="BI252" s="389"/>
    </row>
    <row r="253" spans="2:61" ht="13.5" customHeight="1">
      <c r="B253" s="1" t="s">
        <v>306</v>
      </c>
      <c r="C253" s="22">
        <f t="shared" ref="C253:O253" si="742">C180*C$243</f>
        <v>87.577441410212586</v>
      </c>
      <c r="D253" s="22">
        <f t="shared" si="742"/>
        <v>61.362868711683149</v>
      </c>
      <c r="E253" s="22">
        <f t="shared" si="742"/>
        <v>54.68179634879705</v>
      </c>
      <c r="F253" s="22">
        <f t="shared" si="742"/>
        <v>140.31451637999999</v>
      </c>
      <c r="G253" s="22">
        <f t="shared" si="742"/>
        <v>142.88580222000002</v>
      </c>
      <c r="H253" s="22">
        <f t="shared" si="742"/>
        <v>132.54234855749999</v>
      </c>
      <c r="I253" s="22">
        <f t="shared" si="742"/>
        <v>141.97622079681435</v>
      </c>
      <c r="J253" s="22">
        <f t="shared" si="742"/>
        <v>176.01448162180964</v>
      </c>
      <c r="K253" s="22">
        <f t="shared" si="742"/>
        <v>144.05973365467216</v>
      </c>
      <c r="L253" s="22">
        <f t="shared" si="742"/>
        <v>158.70047216624999</v>
      </c>
      <c r="M253" s="22">
        <f t="shared" si="742"/>
        <v>150.48806454854864</v>
      </c>
      <c r="N253" s="22">
        <f t="shared" si="742"/>
        <v>124.07968279109997</v>
      </c>
      <c r="O253" s="22">
        <f t="shared" si="742"/>
        <v>158.1605759650202</v>
      </c>
      <c r="P253" s="22"/>
      <c r="Q253" s="22"/>
      <c r="R253" s="22"/>
      <c r="S253" s="22"/>
      <c r="T253" s="22">
        <f t="shared" si="738"/>
        <v>54.720226403328297</v>
      </c>
      <c r="U253" s="22">
        <f t="shared" si="738"/>
        <v>54.437171308804849</v>
      </c>
      <c r="V253" s="22">
        <f t="shared" si="738"/>
        <v>87.98418701762985</v>
      </c>
      <c r="W253" s="22">
        <f t="shared" si="738"/>
        <v>94.922684502850458</v>
      </c>
      <c r="X253" s="22">
        <f t="shared" si="738"/>
        <v>140.31451638000001</v>
      </c>
      <c r="Y253" s="22">
        <f t="shared" si="738"/>
        <v>154.16309780500001</v>
      </c>
      <c r="Z253" s="22">
        <f t="shared" si="738"/>
        <v>155.45298546749999</v>
      </c>
      <c r="AA253" s="22">
        <f t="shared" si="738"/>
        <v>152.95338271500003</v>
      </c>
      <c r="AB253" s="22">
        <f t="shared" si="738"/>
        <v>143.72977809749997</v>
      </c>
      <c r="AC253" s="22">
        <f t="shared" si="738"/>
        <v>137.0622989</v>
      </c>
      <c r="AD253" s="22">
        <f t="shared" si="739"/>
        <v>135.1061808</v>
      </c>
      <c r="AE253" s="22">
        <f t="shared" si="739"/>
        <v>134.98929377499999</v>
      </c>
      <c r="AF253" s="22">
        <f t="shared" si="739"/>
        <v>132.54234855749999</v>
      </c>
      <c r="AG253" s="22">
        <f t="shared" si="739"/>
        <v>130.12226088360759</v>
      </c>
      <c r="AH253" s="22">
        <f t="shared" si="739"/>
        <v>141.46719258402427</v>
      </c>
      <c r="AI253" s="22">
        <f t="shared" si="739"/>
        <v>138.58403692776903</v>
      </c>
      <c r="AJ253" s="22">
        <f t="shared" si="739"/>
        <v>141.97622079681435</v>
      </c>
      <c r="AK253" s="22">
        <f t="shared" si="739"/>
        <v>151.60182663933332</v>
      </c>
      <c r="AL253" s="22">
        <f t="shared" si="739"/>
        <v>143.18935491338789</v>
      </c>
      <c r="AM253" s="22">
        <f t="shared" si="739"/>
        <v>180.42537130822353</v>
      </c>
      <c r="AN253" s="22">
        <f t="shared" si="740"/>
        <v>176.01448162180964</v>
      </c>
      <c r="AO253" s="22">
        <f t="shared" si="740"/>
        <v>177.62909735077011</v>
      </c>
      <c r="AP253" s="22">
        <f t="shared" si="740"/>
        <v>173.31007584036726</v>
      </c>
      <c r="AQ253" s="22">
        <f t="shared" si="740"/>
        <v>143.94699111448412</v>
      </c>
      <c r="AR253" s="22">
        <f t="shared" si="740"/>
        <v>144.05973365467216</v>
      </c>
      <c r="AS253" s="22">
        <f t="shared" si="740"/>
        <v>143.47724922225004</v>
      </c>
      <c r="AT253" s="22">
        <f t="shared" si="740"/>
        <v>149.25822121875004</v>
      </c>
      <c r="AU253" s="22">
        <f t="shared" si="740"/>
        <v>155.53746065999999</v>
      </c>
      <c r="AV253" s="22">
        <f t="shared" si="740"/>
        <v>158.70047216624999</v>
      </c>
      <c r="AW253" s="22">
        <f t="shared" si="740"/>
        <v>161.65686311250002</v>
      </c>
      <c r="AX253" s="22">
        <f t="shared" si="741"/>
        <v>160.75693773750001</v>
      </c>
      <c r="AY253" s="22">
        <f t="shared" si="741"/>
        <v>155.98886256374999</v>
      </c>
      <c r="AZ253" s="22">
        <f t="shared" si="741"/>
        <v>150.48806454854864</v>
      </c>
      <c r="BA253" s="22">
        <f t="shared" si="741"/>
        <v>143.28968305675991</v>
      </c>
      <c r="BB253" s="22">
        <f t="shared" si="741"/>
        <v>130.04274776351926</v>
      </c>
      <c r="BC253" s="22">
        <f t="shared" si="741"/>
        <v>180.45339035501365</v>
      </c>
      <c r="BD253" s="22">
        <f t="shared" si="741"/>
        <v>124.07968279109997</v>
      </c>
      <c r="BE253" s="22">
        <f t="shared" si="741"/>
        <v>198.03590710043699</v>
      </c>
      <c r="BG253" s="389"/>
      <c r="BH253" s="389"/>
      <c r="BI253" s="389"/>
    </row>
    <row r="254" spans="2:61" ht="13.5" customHeight="1">
      <c r="B254" s="1" t="s">
        <v>309</v>
      </c>
      <c r="C254" s="22">
        <f t="shared" ref="C254:O254" si="743">C181*C$243</f>
        <v>325.55461919411459</v>
      </c>
      <c r="D254" s="22">
        <f t="shared" si="743"/>
        <v>263.4020624232802</v>
      </c>
      <c r="E254" s="22">
        <f t="shared" si="743"/>
        <v>378.24823785706258</v>
      </c>
      <c r="F254" s="22">
        <f t="shared" si="743"/>
        <v>390.62396482000003</v>
      </c>
      <c r="G254" s="22">
        <f t="shared" si="743"/>
        <v>393.35119968000004</v>
      </c>
      <c r="H254" s="22">
        <f t="shared" si="743"/>
        <v>418.07190046999995</v>
      </c>
      <c r="I254" s="22">
        <f t="shared" si="743"/>
        <v>184.38085426597047</v>
      </c>
      <c r="J254" s="22">
        <f t="shared" si="743"/>
        <v>246.34449390900832</v>
      </c>
      <c r="K254" s="22">
        <f t="shared" si="743"/>
        <v>362.71396339328919</v>
      </c>
      <c r="L254" s="22">
        <f t="shared" si="743"/>
        <v>430.70322201375001</v>
      </c>
      <c r="M254" s="22">
        <f t="shared" si="743"/>
        <v>534.8249308582848</v>
      </c>
      <c r="N254" s="22">
        <f t="shared" si="743"/>
        <v>459.70359302039788</v>
      </c>
      <c r="O254" s="22">
        <f t="shared" si="743"/>
        <v>330.64176551203298</v>
      </c>
      <c r="P254" s="22"/>
      <c r="Q254" s="22"/>
      <c r="R254" s="22"/>
      <c r="S254" s="22"/>
      <c r="T254" s="22">
        <f t="shared" si="738"/>
        <v>378.51406856083969</v>
      </c>
      <c r="U254" s="22">
        <f t="shared" si="738"/>
        <v>377.66027265423349</v>
      </c>
      <c r="V254" s="22">
        <f t="shared" si="738"/>
        <v>371.90848599704748</v>
      </c>
      <c r="W254" s="22">
        <f t="shared" si="738"/>
        <v>336.45823105219995</v>
      </c>
      <c r="X254" s="22">
        <f t="shared" si="738"/>
        <v>390.62396482000008</v>
      </c>
      <c r="Y254" s="22">
        <f t="shared" si="738"/>
        <v>404.63482943999998</v>
      </c>
      <c r="Z254" s="22">
        <f t="shared" si="738"/>
        <v>442.80489224999985</v>
      </c>
      <c r="AA254" s="22">
        <f t="shared" si="738"/>
        <v>469.1540705475</v>
      </c>
      <c r="AB254" s="22">
        <f t="shared" si="738"/>
        <v>395.67458604000001</v>
      </c>
      <c r="AC254" s="22">
        <f t="shared" si="738"/>
        <v>401.83949858</v>
      </c>
      <c r="AD254" s="22">
        <f t="shared" si="739"/>
        <v>376.50578002499998</v>
      </c>
      <c r="AE254" s="22">
        <f t="shared" si="739"/>
        <v>375.89058591250006</v>
      </c>
      <c r="AF254" s="22">
        <f t="shared" si="739"/>
        <v>418.07190046999995</v>
      </c>
      <c r="AG254" s="22">
        <f t="shared" si="739"/>
        <v>372.45255231063288</v>
      </c>
      <c r="AH254" s="22">
        <f t="shared" si="739"/>
        <v>336.07032007191987</v>
      </c>
      <c r="AI254" s="22">
        <f t="shared" si="739"/>
        <v>262.94411505464143</v>
      </c>
      <c r="AJ254" s="22">
        <f t="shared" si="739"/>
        <v>184.38085426597047</v>
      </c>
      <c r="AK254" s="22">
        <f t="shared" si="739"/>
        <v>196.8270874486667</v>
      </c>
      <c r="AL254" s="22">
        <f t="shared" si="739"/>
        <v>191.98727198342436</v>
      </c>
      <c r="AM254" s="22">
        <f t="shared" si="739"/>
        <v>199.49482500422081</v>
      </c>
      <c r="AN254" s="22">
        <f t="shared" si="740"/>
        <v>246.34449390900832</v>
      </c>
      <c r="AO254" s="22">
        <f t="shared" si="740"/>
        <v>245.01185389393572</v>
      </c>
      <c r="AP254" s="22">
        <f t="shared" si="740"/>
        <v>271.357962773118</v>
      </c>
      <c r="AQ254" s="22">
        <f t="shared" si="740"/>
        <v>319.86304966354851</v>
      </c>
      <c r="AR254" s="22">
        <f t="shared" si="740"/>
        <v>362.71396339328919</v>
      </c>
      <c r="AS254" s="22">
        <f t="shared" si="740"/>
        <v>372.028809781875</v>
      </c>
      <c r="AT254" s="22">
        <f t="shared" si="740"/>
        <v>422.92251771874999</v>
      </c>
      <c r="AU254" s="22">
        <f t="shared" si="740"/>
        <v>466.26153617250009</v>
      </c>
      <c r="AV254" s="22">
        <f t="shared" si="740"/>
        <v>430.70322201375001</v>
      </c>
      <c r="AW254" s="22">
        <f t="shared" si="740"/>
        <v>524.05205234375012</v>
      </c>
      <c r="AX254" s="22">
        <f t="shared" si="741"/>
        <v>497.41308504375002</v>
      </c>
      <c r="AY254" s="22">
        <f t="shared" si="741"/>
        <v>486.02335568750004</v>
      </c>
      <c r="AZ254" s="22">
        <f t="shared" si="741"/>
        <v>534.8249308582848</v>
      </c>
      <c r="BA254" s="22">
        <f t="shared" si="741"/>
        <v>478.33856574624343</v>
      </c>
      <c r="BB254" s="22">
        <f t="shared" si="741"/>
        <v>468.47660071631617</v>
      </c>
      <c r="BC254" s="22">
        <f t="shared" si="741"/>
        <v>442.8229959707557</v>
      </c>
      <c r="BD254" s="22">
        <f t="shared" si="741"/>
        <v>459.70359302039788</v>
      </c>
      <c r="BE254" s="22">
        <f t="shared" si="741"/>
        <v>421.70642982179191</v>
      </c>
      <c r="BG254" s="389"/>
      <c r="BH254" s="389"/>
      <c r="BI254" s="389"/>
    </row>
    <row r="255" spans="2:61" ht="13.5" customHeight="1">
      <c r="B255" s="1" t="s">
        <v>313</v>
      </c>
      <c r="C255" s="22">
        <f t="shared" ref="C255:O255" si="744">C182*C$243</f>
        <v>364.64093274273318</v>
      </c>
      <c r="D255" s="22">
        <f t="shared" si="744"/>
        <v>229.67307107899768</v>
      </c>
      <c r="E255" s="22">
        <f t="shared" si="744"/>
        <v>157.99777231795807</v>
      </c>
      <c r="F255" s="22">
        <f t="shared" si="744"/>
        <v>-666.71983408999984</v>
      </c>
      <c r="G255" s="22">
        <f t="shared" si="744"/>
        <v>237.42197269999997</v>
      </c>
      <c r="H255" s="22">
        <f t="shared" si="744"/>
        <v>395.34898388649975</v>
      </c>
      <c r="I255" s="22">
        <f t="shared" si="744"/>
        <v>460.69121800478052</v>
      </c>
      <c r="J255" s="22">
        <f t="shared" si="744"/>
        <v>727.95199939565271</v>
      </c>
      <c r="K255" s="22">
        <f t="shared" si="744"/>
        <v>392.28142295022184</v>
      </c>
      <c r="L255" s="22">
        <f t="shared" si="744"/>
        <v>829.30900688999964</v>
      </c>
      <c r="M255" s="22">
        <f t="shared" si="744"/>
        <v>448.66697860868516</v>
      </c>
      <c r="N255" s="22">
        <f t="shared" si="744"/>
        <v>-92.699092115025138</v>
      </c>
      <c r="O255" s="22">
        <f t="shared" si="744"/>
        <v>588.33387773232005</v>
      </c>
      <c r="P255" s="22"/>
      <c r="Q255" s="22"/>
      <c r="R255" s="22"/>
      <c r="S255" s="22"/>
      <c r="T255" s="22">
        <f t="shared" si="738"/>
        <v>158.10881225101485</v>
      </c>
      <c r="U255" s="22">
        <f t="shared" si="738"/>
        <v>65.754646385933</v>
      </c>
      <c r="V255" s="22">
        <f t="shared" si="738"/>
        <v>-770.26550428834832</v>
      </c>
      <c r="W255" s="22">
        <f t="shared" si="738"/>
        <v>-842.72778064060765</v>
      </c>
      <c r="X255" s="22">
        <f t="shared" si="738"/>
        <v>-666.71983408999995</v>
      </c>
      <c r="Y255" s="22">
        <f t="shared" si="738"/>
        <v>-683.62077653999995</v>
      </c>
      <c r="Z255" s="22">
        <f t="shared" si="738"/>
        <v>293.18535965249981</v>
      </c>
      <c r="AA255" s="22">
        <f t="shared" si="738"/>
        <v>216.6757639049998</v>
      </c>
      <c r="AB255" s="22">
        <f t="shared" si="738"/>
        <v>238.82434028749998</v>
      </c>
      <c r="AC255" s="22">
        <f t="shared" si="738"/>
        <v>347.12028112000002</v>
      </c>
      <c r="AD255" s="22">
        <f t="shared" si="739"/>
        <v>347.992152455</v>
      </c>
      <c r="AE255" s="22">
        <f t="shared" si="739"/>
        <v>266.85298616250009</v>
      </c>
      <c r="AF255" s="22">
        <f t="shared" si="739"/>
        <v>395.34898388649987</v>
      </c>
      <c r="AG255" s="22">
        <f t="shared" si="739"/>
        <v>354.85660067051248</v>
      </c>
      <c r="AH255" s="22">
        <f t="shared" si="739"/>
        <v>19.2714549443259</v>
      </c>
      <c r="AI255" s="22">
        <f t="shared" si="739"/>
        <v>469.74168864830159</v>
      </c>
      <c r="AJ255" s="22">
        <f t="shared" si="739"/>
        <v>460.69121800478052</v>
      </c>
      <c r="AK255" s="22">
        <f t="shared" si="739"/>
        <v>348.44158665533337</v>
      </c>
      <c r="AL255" s="22">
        <f t="shared" si="739"/>
        <v>879.72745897293157</v>
      </c>
      <c r="AM255" s="22">
        <f t="shared" si="739"/>
        <v>648.04357276038752</v>
      </c>
      <c r="AN255" s="22">
        <f t="shared" si="740"/>
        <v>727.95199939565282</v>
      </c>
      <c r="AO255" s="22">
        <f t="shared" si="740"/>
        <v>689.08659089160005</v>
      </c>
      <c r="AP255" s="22">
        <f t="shared" si="740"/>
        <v>505.26611629273293</v>
      </c>
      <c r="AQ255" s="22">
        <f t="shared" si="740"/>
        <v>384.73550014861996</v>
      </c>
      <c r="AR255" s="22">
        <f t="shared" si="740"/>
        <v>392.28142295022167</v>
      </c>
      <c r="AS255" s="22">
        <f t="shared" si="740"/>
        <v>536.39948316899972</v>
      </c>
      <c r="AT255" s="22">
        <f t="shared" si="740"/>
        <v>353.23128246874984</v>
      </c>
      <c r="AU255" s="22">
        <f t="shared" si="740"/>
        <v>508.42381774124976</v>
      </c>
      <c r="AV255" s="22">
        <f t="shared" si="740"/>
        <v>829.30900688999941</v>
      </c>
      <c r="AW255" s="22">
        <f t="shared" si="740"/>
        <v>852.1089116312495</v>
      </c>
      <c r="AX255" s="22">
        <f t="shared" si="741"/>
        <v>966.69887004374937</v>
      </c>
      <c r="AY255" s="22">
        <f t="shared" si="741"/>
        <v>745.75329560999933</v>
      </c>
      <c r="AZ255" s="22">
        <f t="shared" si="741"/>
        <v>448.66697860868516</v>
      </c>
      <c r="BA255" s="22">
        <f t="shared" si="741"/>
        <v>329.94409472892863</v>
      </c>
      <c r="BB255" s="22">
        <f t="shared" si="741"/>
        <v>-46.256050891243923</v>
      </c>
      <c r="BC255" s="22">
        <f t="shared" si="741"/>
        <v>321.26271129818684</v>
      </c>
      <c r="BD255" s="22">
        <f t="shared" si="741"/>
        <v>-92.699092115025138</v>
      </c>
      <c r="BE255" s="22">
        <f t="shared" si="741"/>
        <v>310.7571951421566</v>
      </c>
      <c r="BG255" s="389"/>
      <c r="BH255" s="389"/>
      <c r="BI255" s="389"/>
    </row>
    <row r="256" spans="2:61" ht="13.5" customHeight="1">
      <c r="B256" s="1" t="s">
        <v>16</v>
      </c>
      <c r="C256" s="22">
        <f t="shared" ref="C256:O256" si="745">C183*C$244</f>
        <v>399.69253731343281</v>
      </c>
      <c r="D256" s="22">
        <f t="shared" si="745"/>
        <v>497.57791304347819</v>
      </c>
      <c r="E256" s="22">
        <f t="shared" si="745"/>
        <v>1240.2994267534459</v>
      </c>
      <c r="F256" s="22">
        <f t="shared" si="745"/>
        <v>846.01345681461032</v>
      </c>
      <c r="G256" s="22">
        <f t="shared" si="745"/>
        <v>688.95684819999997</v>
      </c>
      <c r="H256" s="22">
        <f t="shared" si="745"/>
        <v>984.47637834</v>
      </c>
      <c r="I256" s="22">
        <f t="shared" si="745"/>
        <v>1315.4271185000002</v>
      </c>
      <c r="J256" s="22">
        <f t="shared" si="745"/>
        <v>1582.8470388808246</v>
      </c>
      <c r="K256" s="22">
        <f t="shared" si="745"/>
        <v>1256.70318004</v>
      </c>
      <c r="L256" s="22">
        <f t="shared" si="745"/>
        <v>1754.44979076</v>
      </c>
      <c r="M256" s="22">
        <f t="shared" si="745"/>
        <v>1187.7298424088724</v>
      </c>
      <c r="N256" s="22">
        <f t="shared" si="745"/>
        <v>1402.8527801530281</v>
      </c>
      <c r="O256" s="22">
        <f t="shared" si="745"/>
        <v>1271.1483360276493</v>
      </c>
      <c r="P256" s="22"/>
      <c r="Q256" s="22"/>
      <c r="R256" s="22"/>
      <c r="S256" s="22"/>
      <c r="T256" s="22">
        <f t="shared" ref="T256:BD256" si="746">T183*T$244</f>
        <v>1240.2994267534459</v>
      </c>
      <c r="U256" s="22">
        <f t="shared" si="746"/>
        <v>1210.1156659838791</v>
      </c>
      <c r="V256" s="22">
        <f t="shared" si="746"/>
        <v>364.6761817235614</v>
      </c>
      <c r="W256" s="22">
        <f t="shared" si="746"/>
        <v>587.03034308056613</v>
      </c>
      <c r="X256" s="22">
        <f t="shared" si="746"/>
        <v>846.01345681461032</v>
      </c>
      <c r="Y256" s="22">
        <f t="shared" si="746"/>
        <v>585.59824322999998</v>
      </c>
      <c r="Z256" s="22">
        <f t="shared" si="746"/>
        <v>481.99493259999997</v>
      </c>
      <c r="AA256" s="22">
        <f t="shared" si="746"/>
        <v>309.46682315000004</v>
      </c>
      <c r="AB256" s="22">
        <f t="shared" si="746"/>
        <v>688.95684819999997</v>
      </c>
      <c r="AC256" s="22">
        <f t="shared" si="746"/>
        <v>490.63098096000004</v>
      </c>
      <c r="AD256" s="22">
        <f t="shared" si="746"/>
        <v>569.88958488000003</v>
      </c>
      <c r="AE256" s="22">
        <f t="shared" si="746"/>
        <v>281.85922214999999</v>
      </c>
      <c r="AF256" s="22">
        <f t="shared" si="746"/>
        <v>984.47637834</v>
      </c>
      <c r="AG256" s="22">
        <f t="shared" si="746"/>
        <v>597.51227848101257</v>
      </c>
      <c r="AH256" s="22">
        <f t="shared" si="746"/>
        <v>230.41917471600001</v>
      </c>
      <c r="AI256" s="22">
        <f t="shared" si="746"/>
        <v>888.56060972</v>
      </c>
      <c r="AJ256" s="22">
        <f t="shared" si="746"/>
        <v>1315.4271185000002</v>
      </c>
      <c r="AK256" s="22">
        <f t="shared" si="746"/>
        <v>874.37879191000002</v>
      </c>
      <c r="AL256" s="22">
        <f t="shared" si="746"/>
        <v>1231.937364893442</v>
      </c>
      <c r="AM256" s="22">
        <f t="shared" si="746"/>
        <v>1010.0406614096579</v>
      </c>
      <c r="AN256" s="22">
        <f t="shared" si="746"/>
        <v>1582.8470388808246</v>
      </c>
      <c r="AO256" s="22">
        <f t="shared" si="746"/>
        <v>1088.6373166999999</v>
      </c>
      <c r="AP256" s="22">
        <f t="shared" si="746"/>
        <v>1171.7451059069999</v>
      </c>
      <c r="AQ256" s="22">
        <f t="shared" si="746"/>
        <v>653.39751649999994</v>
      </c>
      <c r="AR256" s="22">
        <f t="shared" si="746"/>
        <v>1256.70318004</v>
      </c>
      <c r="AS256" s="22">
        <f t="shared" si="746"/>
        <v>1028.5507104800001</v>
      </c>
      <c r="AT256" s="22">
        <f t="shared" si="746"/>
        <v>934.32720294000001</v>
      </c>
      <c r="AU256" s="22">
        <f t="shared" si="746"/>
        <v>853.47877818000006</v>
      </c>
      <c r="AV256" s="22">
        <f t="shared" si="746"/>
        <v>1754.44979076</v>
      </c>
      <c r="AW256" s="22">
        <f t="shared" si="746"/>
        <v>1387.88285</v>
      </c>
      <c r="AX256" s="22">
        <f t="shared" si="746"/>
        <v>1211.8374297</v>
      </c>
      <c r="AY256" s="22">
        <f t="shared" si="746"/>
        <v>922.63363905000006</v>
      </c>
      <c r="AZ256" s="22">
        <f t="shared" si="746"/>
        <v>1187.7298424088724</v>
      </c>
      <c r="BA256" s="22">
        <f t="shared" si="746"/>
        <v>1796.3602502399999</v>
      </c>
      <c r="BB256" s="22">
        <f t="shared" si="746"/>
        <v>478.19428876434478</v>
      </c>
      <c r="BC256" s="22">
        <f t="shared" si="746"/>
        <v>551.88030466999999</v>
      </c>
      <c r="BD256" s="22">
        <f t="shared" si="746"/>
        <v>1402.8527801530281</v>
      </c>
      <c r="BE256" s="22">
        <f t="shared" ref="BE256" si="747">BE183*BE$244</f>
        <v>1271.1483360276493</v>
      </c>
      <c r="BG256" s="389"/>
      <c r="BH256" s="389"/>
      <c r="BI256" s="389"/>
    </row>
    <row r="257" spans="2:61" ht="13.5" customHeight="1">
      <c r="B257" s="1" t="s">
        <v>355</v>
      </c>
      <c r="C257" s="22">
        <f t="shared" ref="C257:O257" si="748">C184*C$244</f>
        <v>905.28493894165524</v>
      </c>
      <c r="D257" s="22">
        <f t="shared" si="748"/>
        <v>817.16324637681168</v>
      </c>
      <c r="E257" s="22">
        <f t="shared" si="748"/>
        <v>1482.6729196775855</v>
      </c>
      <c r="F257" s="22">
        <f t="shared" si="748"/>
        <v>1841.9206220852466</v>
      </c>
      <c r="G257" s="22">
        <f t="shared" si="748"/>
        <v>1554.1683839999998</v>
      </c>
      <c r="H257" s="22">
        <f t="shared" si="748"/>
        <v>2479.1282100900007</v>
      </c>
      <c r="I257" s="22">
        <f t="shared" si="748"/>
        <v>2521.5535061750002</v>
      </c>
      <c r="J257" s="22">
        <f t="shared" si="748"/>
        <v>2230.2258711896111</v>
      </c>
      <c r="K257" s="22">
        <f t="shared" si="748"/>
        <v>2186.2366420400003</v>
      </c>
      <c r="L257" s="22">
        <f t="shared" si="748"/>
        <v>2419.0242186600003</v>
      </c>
      <c r="M257" s="22">
        <f t="shared" si="748"/>
        <v>1843.0261723271708</v>
      </c>
      <c r="N257" s="22">
        <f t="shared" si="748"/>
        <v>2704.7294250907839</v>
      </c>
      <c r="O257" s="22">
        <f t="shared" si="748"/>
        <v>3193.1649478789232</v>
      </c>
      <c r="P257" s="22"/>
      <c r="Q257" s="22"/>
      <c r="R257" s="22"/>
      <c r="S257" s="22"/>
      <c r="T257" s="22">
        <f t="shared" ref="T257:BD257" si="749">T184*T$244</f>
        <v>1482.6729196775855</v>
      </c>
      <c r="U257" s="22">
        <f t="shared" si="749"/>
        <v>1678.9514192226866</v>
      </c>
      <c r="V257" s="22">
        <f t="shared" si="749"/>
        <v>1704.4714492930145</v>
      </c>
      <c r="W257" s="22">
        <f t="shared" si="749"/>
        <v>1976.3426400132169</v>
      </c>
      <c r="X257" s="22">
        <f t="shared" si="749"/>
        <v>1841.9206220852466</v>
      </c>
      <c r="Y257" s="22">
        <f t="shared" si="749"/>
        <v>1833.8973084899999</v>
      </c>
      <c r="Z257" s="22">
        <f t="shared" si="749"/>
        <v>1661.2007335999999</v>
      </c>
      <c r="AA257" s="22">
        <f t="shared" si="749"/>
        <v>1532.05618665</v>
      </c>
      <c r="AB257" s="22">
        <f t="shared" si="749"/>
        <v>1554.1683839999998</v>
      </c>
      <c r="AC257" s="22">
        <f t="shared" si="749"/>
        <v>2144.9211480999998</v>
      </c>
      <c r="AD257" s="22">
        <f t="shared" si="749"/>
        <v>2164.2597034299997</v>
      </c>
      <c r="AE257" s="22">
        <f t="shared" si="749"/>
        <v>2140.0348331700002</v>
      </c>
      <c r="AF257" s="22">
        <f t="shared" si="749"/>
        <v>2479.1282100900007</v>
      </c>
      <c r="AG257" s="22">
        <f t="shared" si="749"/>
        <v>2183.7684388185653</v>
      </c>
      <c r="AH257" s="22">
        <f t="shared" si="749"/>
        <v>2186.332002954</v>
      </c>
      <c r="AI257" s="22">
        <f t="shared" si="749"/>
        <v>2521.0553362400005</v>
      </c>
      <c r="AJ257" s="22">
        <f t="shared" si="749"/>
        <v>2521.5535061750002</v>
      </c>
      <c r="AK257" s="22">
        <f t="shared" si="749"/>
        <v>2481.0047961099999</v>
      </c>
      <c r="AL257" s="22">
        <f t="shared" si="749"/>
        <v>2482.8557265466129</v>
      </c>
      <c r="AM257" s="22">
        <f t="shared" si="749"/>
        <v>2293.9989680501799</v>
      </c>
      <c r="AN257" s="22">
        <f t="shared" si="749"/>
        <v>2230.2258711896111</v>
      </c>
      <c r="AO257" s="22">
        <f t="shared" si="749"/>
        <v>2182.6276599999997</v>
      </c>
      <c r="AP257" s="22">
        <f t="shared" si="749"/>
        <v>2173.2620849239997</v>
      </c>
      <c r="AQ257" s="22">
        <f t="shared" si="749"/>
        <v>2088.8864851999997</v>
      </c>
      <c r="AR257" s="22">
        <f t="shared" si="749"/>
        <v>2186.2366420400003</v>
      </c>
      <c r="AS257" s="22">
        <f t="shared" si="749"/>
        <v>2302.0237618400001</v>
      </c>
      <c r="AT257" s="22">
        <f t="shared" si="749"/>
        <v>2421.0971855100001</v>
      </c>
      <c r="AU257" s="22">
        <f t="shared" si="749"/>
        <v>2363.2968273400002</v>
      </c>
      <c r="AV257" s="22">
        <f t="shared" si="749"/>
        <v>2419.0242186600003</v>
      </c>
      <c r="AW257" s="22">
        <f t="shared" si="749"/>
        <v>2446.224784</v>
      </c>
      <c r="AX257" s="22">
        <f t="shared" si="749"/>
        <v>2312.9018723100003</v>
      </c>
      <c r="AY257" s="22">
        <f t="shared" si="749"/>
        <v>2207.3425391300002</v>
      </c>
      <c r="AZ257" s="22">
        <f t="shared" si="749"/>
        <v>1843.0261723271708</v>
      </c>
      <c r="BA257" s="22">
        <f t="shared" si="749"/>
        <v>2927.0094204799998</v>
      </c>
      <c r="BB257" s="22">
        <f t="shared" si="749"/>
        <v>3175.8430744595676</v>
      </c>
      <c r="BC257" s="22">
        <f t="shared" si="749"/>
        <v>3235.4473784700003</v>
      </c>
      <c r="BD257" s="22">
        <f t="shared" si="749"/>
        <v>2704.7294250907839</v>
      </c>
      <c r="BE257" s="22">
        <f t="shared" ref="BE257" si="750">BE184*BE$244</f>
        <v>3193.1649478789232</v>
      </c>
      <c r="BG257" s="389"/>
      <c r="BH257" s="389"/>
      <c r="BI257" s="389"/>
    </row>
    <row r="258" spans="2:61" ht="13.5" customHeight="1">
      <c r="B258" s="1" t="s">
        <v>376</v>
      </c>
      <c r="C258" s="22">
        <f t="shared" ref="C258:O258" si="751">C185*C$244</f>
        <v>1327.9226594301222</v>
      </c>
      <c r="D258" s="22">
        <f t="shared" si="751"/>
        <v>1253.3691594202901</v>
      </c>
      <c r="E258" s="22">
        <f t="shared" si="751"/>
        <v>1937.6106967225044</v>
      </c>
      <c r="F258" s="22">
        <f t="shared" si="751"/>
        <v>2676.4001749487611</v>
      </c>
      <c r="G258" s="22">
        <f t="shared" si="751"/>
        <v>2423.8417119999995</v>
      </c>
      <c r="H258" s="22">
        <f t="shared" si="751"/>
        <v>2635.9044048900005</v>
      </c>
      <c r="I258" s="22">
        <f t="shared" si="751"/>
        <v>2560.5966729750003</v>
      </c>
      <c r="J258" s="22">
        <f t="shared" si="751"/>
        <v>2300.141212115308</v>
      </c>
      <c r="K258" s="22">
        <f t="shared" si="751"/>
        <v>2279.2846142000003</v>
      </c>
      <c r="L258" s="22">
        <f t="shared" si="751"/>
        <v>2496.5819217000003</v>
      </c>
      <c r="M258" s="22">
        <f t="shared" si="751"/>
        <v>1843.0261723271708</v>
      </c>
      <c r="N258" s="22">
        <f t="shared" si="751"/>
        <v>2704.7294250907839</v>
      </c>
      <c r="O258" s="22">
        <f t="shared" si="751"/>
        <v>3193.1649478789232</v>
      </c>
      <c r="P258" s="22"/>
      <c r="Q258" s="22"/>
      <c r="R258" s="22"/>
      <c r="S258" s="22"/>
      <c r="T258" s="22">
        <f t="shared" ref="T258:BD258" si="752">T185*T$244</f>
        <v>1937.6106967225044</v>
      </c>
      <c r="U258" s="22">
        <f t="shared" si="752"/>
        <v>2290.6514538054325</v>
      </c>
      <c r="V258" s="22">
        <f t="shared" si="752"/>
        <v>2417.6839436183054</v>
      </c>
      <c r="W258" s="22">
        <f t="shared" si="752"/>
        <v>2826.2700589239503</v>
      </c>
      <c r="X258" s="22">
        <f t="shared" si="752"/>
        <v>2676.4001749487611</v>
      </c>
      <c r="Y258" s="22">
        <f t="shared" si="752"/>
        <v>2782.3388732100002</v>
      </c>
      <c r="Z258" s="22">
        <f t="shared" si="752"/>
        <v>2587.3084526399998</v>
      </c>
      <c r="AA258" s="22">
        <f t="shared" si="752"/>
        <v>2403.5710024099999</v>
      </c>
      <c r="AB258" s="22">
        <f t="shared" si="752"/>
        <v>2423.8417119999995</v>
      </c>
      <c r="AC258" s="22">
        <f t="shared" si="752"/>
        <v>2806.1150620999997</v>
      </c>
      <c r="AD258" s="22">
        <f t="shared" si="752"/>
        <v>2675.0715126299997</v>
      </c>
      <c r="AE258" s="22">
        <f t="shared" si="752"/>
        <v>2497.15334493</v>
      </c>
      <c r="AF258" s="22">
        <f t="shared" si="752"/>
        <v>2635.9044048900005</v>
      </c>
      <c r="AG258" s="22">
        <f t="shared" si="752"/>
        <v>2305.2965400843882</v>
      </c>
      <c r="AH258" s="22">
        <f t="shared" si="752"/>
        <v>2287.8777540179999</v>
      </c>
      <c r="AI258" s="22">
        <f t="shared" si="752"/>
        <v>2590.9564122400006</v>
      </c>
      <c r="AJ258" s="22">
        <f t="shared" si="752"/>
        <v>2560.5966729750003</v>
      </c>
      <c r="AK258" s="22">
        <f t="shared" si="752"/>
        <v>2492.0197193899999</v>
      </c>
      <c r="AL258" s="22">
        <f t="shared" si="752"/>
        <v>2455.5614916613704</v>
      </c>
      <c r="AM258" s="22">
        <f t="shared" si="752"/>
        <v>2280.9551832692428</v>
      </c>
      <c r="AN258" s="22">
        <f t="shared" si="752"/>
        <v>2300.141212115308</v>
      </c>
      <c r="AO258" s="22">
        <f t="shared" si="752"/>
        <v>2259.9524415999995</v>
      </c>
      <c r="AP258" s="22">
        <f t="shared" si="752"/>
        <v>2284.64093834</v>
      </c>
      <c r="AQ258" s="22">
        <f t="shared" si="752"/>
        <v>2186.3671912</v>
      </c>
      <c r="AR258" s="22">
        <f t="shared" si="752"/>
        <v>2279.2846142000003</v>
      </c>
      <c r="AS258" s="22">
        <f t="shared" si="752"/>
        <v>2392.7073752800002</v>
      </c>
      <c r="AT258" s="22">
        <f t="shared" si="752"/>
        <v>2485.8511580700001</v>
      </c>
      <c r="AU258" s="22">
        <f t="shared" si="752"/>
        <v>2435.0245801400001</v>
      </c>
      <c r="AV258" s="22">
        <f t="shared" si="752"/>
        <v>2496.5819217000003</v>
      </c>
      <c r="AW258" s="22">
        <f t="shared" si="752"/>
        <v>2517.5311775999999</v>
      </c>
      <c r="AX258" s="22">
        <f t="shared" si="752"/>
        <v>2366.3901368700003</v>
      </c>
      <c r="AY258" s="22">
        <f t="shared" si="752"/>
        <v>2250.36560177</v>
      </c>
      <c r="AZ258" s="22">
        <f t="shared" si="752"/>
        <v>1843.0261723271708</v>
      </c>
      <c r="BA258" s="22">
        <f t="shared" si="752"/>
        <v>2927.0094204799998</v>
      </c>
      <c r="BB258" s="22">
        <f t="shared" si="752"/>
        <v>3175.8430744595676</v>
      </c>
      <c r="BC258" s="22">
        <f t="shared" si="752"/>
        <v>3235.4473784700003</v>
      </c>
      <c r="BD258" s="22">
        <f t="shared" si="752"/>
        <v>2704.7294250907839</v>
      </c>
      <c r="BE258" s="22">
        <f t="shared" ref="BE258" si="753">BE185*BE$244</f>
        <v>3193.1649478789232</v>
      </c>
      <c r="BG258" s="389"/>
      <c r="BH258" s="389"/>
      <c r="BI258" s="389"/>
    </row>
    <row r="259" spans="2:61" ht="13.5" customHeight="1">
      <c r="B259" s="1" t="s">
        <v>377</v>
      </c>
      <c r="C259" s="22">
        <f t="shared" ref="C259:O259" si="754">C186*C$244</f>
        <v>505.59240162822249</v>
      </c>
      <c r="D259" s="22">
        <f t="shared" si="754"/>
        <v>319.58533333333344</v>
      </c>
      <c r="E259" s="22">
        <f t="shared" si="754"/>
        <v>242.3734929241395</v>
      </c>
      <c r="F259" s="22">
        <f t="shared" si="754"/>
        <v>995.90716527063626</v>
      </c>
      <c r="G259" s="22">
        <f t="shared" si="754"/>
        <v>865.21153579999998</v>
      </c>
      <c r="H259" s="22">
        <f t="shared" si="754"/>
        <v>1494.6518317500006</v>
      </c>
      <c r="I259" s="22">
        <f t="shared" si="754"/>
        <v>1206.1263876750002</v>
      </c>
      <c r="J259" s="22">
        <f t="shared" si="754"/>
        <v>647.3788323087864</v>
      </c>
      <c r="K259" s="22">
        <f t="shared" si="754"/>
        <v>929.53346200000021</v>
      </c>
      <c r="L259" s="22">
        <f t="shared" si="754"/>
        <v>664.57442790000016</v>
      </c>
      <c r="M259" s="22">
        <f t="shared" si="754"/>
        <v>655.29632991829851</v>
      </c>
      <c r="N259" s="22">
        <f t="shared" si="754"/>
        <v>1301.8766449377561</v>
      </c>
      <c r="O259" s="22">
        <f t="shared" si="754"/>
        <v>1922.0166118512736</v>
      </c>
      <c r="P259" s="22"/>
      <c r="Q259" s="22"/>
      <c r="R259" s="22"/>
      <c r="S259" s="22"/>
      <c r="T259" s="22">
        <f t="shared" ref="T259:BD259" si="755">T186*T$244</f>
        <v>242.3734929241395</v>
      </c>
      <c r="U259" s="22">
        <f t="shared" si="755"/>
        <v>468.83575323880729</v>
      </c>
      <c r="V259" s="22">
        <f t="shared" si="755"/>
        <v>1339.795267569453</v>
      </c>
      <c r="W259" s="22">
        <f t="shared" si="755"/>
        <v>1389.312296932651</v>
      </c>
      <c r="X259" s="22">
        <f t="shared" si="755"/>
        <v>995.90716527063626</v>
      </c>
      <c r="Y259" s="22">
        <f t="shared" si="755"/>
        <v>1248.2990652599999</v>
      </c>
      <c r="Z259" s="22">
        <f t="shared" si="755"/>
        <v>1179.2058009999998</v>
      </c>
      <c r="AA259" s="22">
        <f t="shared" si="755"/>
        <v>1222.5893635</v>
      </c>
      <c r="AB259" s="22">
        <f t="shared" si="755"/>
        <v>865.21153579999998</v>
      </c>
      <c r="AC259" s="22">
        <f t="shared" si="755"/>
        <v>1654.2901671399998</v>
      </c>
      <c r="AD259" s="22">
        <f t="shared" si="755"/>
        <v>1594.3701185499997</v>
      </c>
      <c r="AE259" s="22">
        <f t="shared" si="755"/>
        <v>1858.1756110199999</v>
      </c>
      <c r="AF259" s="22">
        <f t="shared" si="755"/>
        <v>1494.6518317500006</v>
      </c>
      <c r="AG259" s="22">
        <f t="shared" si="755"/>
        <v>1586.2561603375527</v>
      </c>
      <c r="AH259" s="22">
        <f t="shared" si="755"/>
        <v>1955.9128282380002</v>
      </c>
      <c r="AI259" s="22">
        <f t="shared" si="755"/>
        <v>1632.4947265200008</v>
      </c>
      <c r="AJ259" s="22">
        <f t="shared" si="755"/>
        <v>1206.1263876750002</v>
      </c>
      <c r="AK259" s="22">
        <f t="shared" si="755"/>
        <v>1606.6260041999999</v>
      </c>
      <c r="AL259" s="22">
        <f t="shared" si="755"/>
        <v>1250.9183616531707</v>
      </c>
      <c r="AM259" s="22">
        <f t="shared" si="755"/>
        <v>1283.9583066405219</v>
      </c>
      <c r="AN259" s="22">
        <f t="shared" si="755"/>
        <v>647.3788323087864</v>
      </c>
      <c r="AO259" s="22">
        <f t="shared" si="755"/>
        <v>1093.9903432999999</v>
      </c>
      <c r="AP259" s="22">
        <f t="shared" si="755"/>
        <v>1001.5169790169999</v>
      </c>
      <c r="AQ259" s="22">
        <f t="shared" si="755"/>
        <v>1435.4889687</v>
      </c>
      <c r="AR259" s="22">
        <f t="shared" si="755"/>
        <v>929.53346200000021</v>
      </c>
      <c r="AS259" s="22">
        <f t="shared" si="755"/>
        <v>1273.47305136</v>
      </c>
      <c r="AT259" s="22">
        <f t="shared" si="755"/>
        <v>1486.7699825700001</v>
      </c>
      <c r="AU259" s="22">
        <f t="shared" si="755"/>
        <v>1509.8180491600001</v>
      </c>
      <c r="AV259" s="22">
        <f t="shared" si="755"/>
        <v>664.57442790000016</v>
      </c>
      <c r="AW259" s="22">
        <f t="shared" si="755"/>
        <v>1058.341934</v>
      </c>
      <c r="AX259" s="22">
        <f t="shared" si="755"/>
        <v>1101.0644426100002</v>
      </c>
      <c r="AY259" s="22">
        <f t="shared" si="755"/>
        <v>1284.7089000800001</v>
      </c>
      <c r="AZ259" s="22">
        <f t="shared" si="755"/>
        <v>655.29632991829851</v>
      </c>
      <c r="BA259" s="22">
        <f t="shared" si="755"/>
        <v>1130.6491702399999</v>
      </c>
      <c r="BB259" s="22">
        <f t="shared" si="755"/>
        <v>2697.6487856952226</v>
      </c>
      <c r="BC259" s="22">
        <f t="shared" si="755"/>
        <v>2683.5670737999999</v>
      </c>
      <c r="BD259" s="22">
        <f t="shared" si="755"/>
        <v>1301.8766449377561</v>
      </c>
      <c r="BE259" s="22">
        <f t="shared" ref="BE259" si="756">BE186*BE$244</f>
        <v>1922.0166118512736</v>
      </c>
      <c r="BG259" s="389"/>
      <c r="BH259" s="389"/>
      <c r="BI259" s="389"/>
    </row>
    <row r="260" spans="2:61" ht="13.5" customHeight="1">
      <c r="B260" s="1" t="s">
        <v>378</v>
      </c>
      <c r="C260" s="22">
        <f t="shared" ref="C260:O260" si="757">C187*C$244</f>
        <v>928.23012211668924</v>
      </c>
      <c r="D260" s="22">
        <f t="shared" si="757"/>
        <v>755.79124637681173</v>
      </c>
      <c r="E260" s="22">
        <f t="shared" si="757"/>
        <v>697.31126996905834</v>
      </c>
      <c r="F260" s="22">
        <f t="shared" si="757"/>
        <v>1830.3867181341509</v>
      </c>
      <c r="G260" s="22">
        <f t="shared" si="757"/>
        <v>1734.8848638000002</v>
      </c>
      <c r="H260" s="22">
        <f t="shared" si="757"/>
        <v>1651.4280265500006</v>
      </c>
      <c r="I260" s="22">
        <f t="shared" si="757"/>
        <v>1245.1695544750003</v>
      </c>
      <c r="J260" s="22">
        <f t="shared" si="757"/>
        <v>717.2941732344832</v>
      </c>
      <c r="K260" s="22">
        <f t="shared" si="757"/>
        <v>1022.5814341600002</v>
      </c>
      <c r="L260" s="22">
        <f t="shared" si="757"/>
        <v>742.13213094000025</v>
      </c>
      <c r="M260" s="22">
        <f t="shared" si="757"/>
        <v>655.29632991829851</v>
      </c>
      <c r="N260" s="22">
        <f t="shared" si="757"/>
        <v>1301.8766449377561</v>
      </c>
      <c r="O260" s="22">
        <f t="shared" si="757"/>
        <v>1922.0166118512736</v>
      </c>
      <c r="P260" s="22"/>
      <c r="Q260" s="22"/>
      <c r="R260" s="22"/>
      <c r="S260" s="22"/>
      <c r="T260" s="22">
        <f t="shared" ref="T260:BD260" si="758">T187*T$244</f>
        <v>697.31126996905834</v>
      </c>
      <c r="U260" s="22">
        <f t="shared" si="758"/>
        <v>1080.5357878215534</v>
      </c>
      <c r="V260" s="22">
        <f t="shared" si="758"/>
        <v>2053.0077618947439</v>
      </c>
      <c r="W260" s="22">
        <f t="shared" si="758"/>
        <v>2239.2397158433841</v>
      </c>
      <c r="X260" s="22">
        <f t="shared" si="758"/>
        <v>1830.3867181341509</v>
      </c>
      <c r="Y260" s="22">
        <f t="shared" si="758"/>
        <v>2196.74062998</v>
      </c>
      <c r="Z260" s="22">
        <f t="shared" si="758"/>
        <v>2105.3135200399997</v>
      </c>
      <c r="AA260" s="22">
        <f t="shared" si="758"/>
        <v>2094.1041792599999</v>
      </c>
      <c r="AB260" s="22">
        <f t="shared" si="758"/>
        <v>1734.8848638000002</v>
      </c>
      <c r="AC260" s="22">
        <f t="shared" si="758"/>
        <v>2315.4840811399995</v>
      </c>
      <c r="AD260" s="22">
        <f t="shared" si="758"/>
        <v>2105.1819277499999</v>
      </c>
      <c r="AE260" s="22">
        <f t="shared" si="758"/>
        <v>2215.2941227800002</v>
      </c>
      <c r="AF260" s="22">
        <f t="shared" si="758"/>
        <v>1651.4280265500006</v>
      </c>
      <c r="AG260" s="22">
        <f t="shared" si="758"/>
        <v>1707.7842616033754</v>
      </c>
      <c r="AH260" s="22">
        <f t="shared" si="758"/>
        <v>2057.4585793020001</v>
      </c>
      <c r="AI260" s="22">
        <f t="shared" si="758"/>
        <v>1702.3958025200009</v>
      </c>
      <c r="AJ260" s="22">
        <f t="shared" si="758"/>
        <v>1245.1695544750003</v>
      </c>
      <c r="AK260" s="22">
        <f t="shared" si="758"/>
        <v>1617.6409274799998</v>
      </c>
      <c r="AL260" s="22">
        <f t="shared" si="758"/>
        <v>1223.6241267679281</v>
      </c>
      <c r="AM260" s="22">
        <f t="shared" si="758"/>
        <v>1270.9145218595845</v>
      </c>
      <c r="AN260" s="22">
        <f t="shared" si="758"/>
        <v>717.2941732344832</v>
      </c>
      <c r="AO260" s="22">
        <f t="shared" si="758"/>
        <v>1171.3151248999998</v>
      </c>
      <c r="AP260" s="22">
        <f t="shared" si="758"/>
        <v>1112.8958324329999</v>
      </c>
      <c r="AQ260" s="22">
        <f t="shared" si="758"/>
        <v>1532.9696747</v>
      </c>
      <c r="AR260" s="22">
        <f t="shared" si="758"/>
        <v>1022.5814341600002</v>
      </c>
      <c r="AS260" s="22">
        <f t="shared" si="758"/>
        <v>1364.1566648</v>
      </c>
      <c r="AT260" s="22">
        <f t="shared" si="758"/>
        <v>1551.5239551300001</v>
      </c>
      <c r="AU260" s="22">
        <f t="shared" si="758"/>
        <v>1581.5458019600001</v>
      </c>
      <c r="AV260" s="22">
        <f t="shared" si="758"/>
        <v>742.13213094000025</v>
      </c>
      <c r="AW260" s="22">
        <f t="shared" si="758"/>
        <v>1129.6483276000001</v>
      </c>
      <c r="AX260" s="22">
        <f t="shared" si="758"/>
        <v>1154.5527071700003</v>
      </c>
      <c r="AY260" s="22">
        <f t="shared" si="758"/>
        <v>1327.7319627200002</v>
      </c>
      <c r="AZ260" s="22">
        <f t="shared" si="758"/>
        <v>655.29632991829851</v>
      </c>
      <c r="BA260" s="22">
        <f t="shared" si="758"/>
        <v>1130.6491702399999</v>
      </c>
      <c r="BB260" s="22">
        <f t="shared" si="758"/>
        <v>2697.6487856952226</v>
      </c>
      <c r="BC260" s="22">
        <f t="shared" si="758"/>
        <v>2683.5670737999999</v>
      </c>
      <c r="BD260" s="22">
        <f t="shared" si="758"/>
        <v>1301.8766449377561</v>
      </c>
      <c r="BE260" s="22">
        <f t="shared" ref="BE260" si="759">BE187*BE$244</f>
        <v>1922.0166118512736</v>
      </c>
      <c r="BG260" s="389"/>
      <c r="BH260" s="389"/>
      <c r="BI260" s="389"/>
    </row>
    <row r="261" spans="2:61" ht="13.5" customHeight="1">
      <c r="B261" s="1" t="s">
        <v>379</v>
      </c>
      <c r="C261" s="36">
        <f t="shared" ref="C261:AA261" si="760">C257/C249</f>
        <v>0.92450469339394914</v>
      </c>
      <c r="D261" s="36">
        <f t="shared" si="760"/>
        <v>0.8716753847610631</v>
      </c>
      <c r="E261" s="36">
        <f t="shared" si="760"/>
        <v>1.7234760090320325</v>
      </c>
      <c r="F261" s="36">
        <f t="shared" si="760"/>
        <v>1.8927879948425139</v>
      </c>
      <c r="G261" s="36">
        <f t="shared" si="760"/>
        <v>1.475215468024293</v>
      </c>
      <c r="H261" s="36">
        <f t="shared" ref="H261:L261" si="761">H257/H249</f>
        <v>1.9970355818589558</v>
      </c>
      <c r="I261" s="36">
        <f t="shared" si="761"/>
        <v>5.8395158441292327</v>
      </c>
      <c r="J261" s="36">
        <f t="shared" si="761"/>
        <v>1.904999802613053</v>
      </c>
      <c r="K261" s="36">
        <f t="shared" si="761"/>
        <v>1.4268178219100895</v>
      </c>
      <c r="L261" s="36">
        <f t="shared" si="761"/>
        <v>1.2254890945866308</v>
      </c>
      <c r="M261" s="36">
        <f t="shared" ref="M261:N261" si="762">M257/M249</f>
        <v>0.9000773069781377</v>
      </c>
      <c r="N261" s="36">
        <f t="shared" si="762"/>
        <v>1.3839580876417747</v>
      </c>
      <c r="O261" s="36">
        <f t="shared" ref="O261" si="763">O257/O249</f>
        <v>2.0275356311434094</v>
      </c>
      <c r="P261" s="36"/>
      <c r="Q261" s="36"/>
      <c r="R261" s="36"/>
      <c r="S261" s="36"/>
      <c r="T261" s="36">
        <f t="shared" si="760"/>
        <v>1.722265610585904</v>
      </c>
      <c r="U261" s="36">
        <f t="shared" si="760"/>
        <v>1.9831844381449351</v>
      </c>
      <c r="V261" s="36">
        <f t="shared" si="760"/>
        <v>1.9477041715843797</v>
      </c>
      <c r="W261" s="36">
        <f t="shared" si="760"/>
        <v>2.2074262484546763</v>
      </c>
      <c r="X261" s="36">
        <f t="shared" si="760"/>
        <v>1.8927879948425137</v>
      </c>
      <c r="Y261" s="36">
        <f t="shared" si="760"/>
        <v>1.8739083162595616</v>
      </c>
      <c r="Z261" s="36">
        <f t="shared" si="760"/>
        <v>1.6734152836238978</v>
      </c>
      <c r="AA261" s="36">
        <f t="shared" si="760"/>
        <v>1.4975164902818174</v>
      </c>
      <c r="AB261" s="36">
        <f t="shared" ref="AB261:AG261" si="764">AB257/AB249</f>
        <v>1.4665530580101152</v>
      </c>
      <c r="AC261" s="36">
        <f t="shared" si="764"/>
        <v>1.9768756385536019</v>
      </c>
      <c r="AD261" s="36">
        <f t="shared" si="764"/>
        <v>1.9194602322878298</v>
      </c>
      <c r="AE261" s="36">
        <f t="shared" si="764"/>
        <v>1.8710461950686403</v>
      </c>
      <c r="AF261" s="36">
        <f t="shared" si="764"/>
        <v>1.9970355818589558</v>
      </c>
      <c r="AG261" s="36">
        <f t="shared" si="764"/>
        <v>1.8291503681965486</v>
      </c>
      <c r="AH261" s="36">
        <f t="shared" ref="AH261:AM261" si="765">AH257/AH249</f>
        <v>2.7229820726865781</v>
      </c>
      <c r="AI261" s="36">
        <f t="shared" si="765"/>
        <v>4.0668072520107179</v>
      </c>
      <c r="AJ261" s="36">
        <f t="shared" si="765"/>
        <v>5.8395158441292327</v>
      </c>
      <c r="AK261" s="36">
        <f t="shared" si="765"/>
        <v>5.9062502395407153</v>
      </c>
      <c r="AL261" s="36">
        <f t="shared" si="765"/>
        <v>3.0931959658922334</v>
      </c>
      <c r="AM261" s="36">
        <f t="shared" si="765"/>
        <v>2.2370834536426645</v>
      </c>
      <c r="AN261" s="36">
        <f t="shared" ref="AN261:AS261" si="766">AN257/AN249</f>
        <v>1.904999802613053</v>
      </c>
      <c r="AO261" s="36">
        <f t="shared" si="766"/>
        <v>1.6695460550824721</v>
      </c>
      <c r="AP261" s="36">
        <f t="shared" si="766"/>
        <v>1.564883345124795</v>
      </c>
      <c r="AQ261" s="36">
        <f t="shared" si="766"/>
        <v>1.4500805303288171</v>
      </c>
      <c r="AR261" s="36">
        <f t="shared" si="766"/>
        <v>1.4268178219100895</v>
      </c>
      <c r="AS261" s="36">
        <f t="shared" si="766"/>
        <v>1.4614828708364691</v>
      </c>
      <c r="AT261" s="36">
        <f t="shared" ref="AT261:AW261" si="767">AT257/AT249</f>
        <v>1.4411708796392881</v>
      </c>
      <c r="AU261" s="36">
        <f t="shared" si="767"/>
        <v>1.3153048935403011</v>
      </c>
      <c r="AV261" s="36">
        <f t="shared" si="767"/>
        <v>1.2254890945866308</v>
      </c>
      <c r="AW261" s="36">
        <f t="shared" si="767"/>
        <v>1.1850405670393152</v>
      </c>
      <c r="AX261" s="36">
        <f t="shared" ref="AX261:BA261" si="768">AX257/AX249</f>
        <v>1.1037439506180902</v>
      </c>
      <c r="AY261" s="36">
        <f t="shared" si="768"/>
        <v>1.0652452189927561</v>
      </c>
      <c r="AZ261" s="36">
        <f t="shared" si="768"/>
        <v>0.9000773069781377</v>
      </c>
      <c r="BA261" s="36">
        <f t="shared" si="768"/>
        <v>1.5179176662450624</v>
      </c>
      <c r="BB261" s="36">
        <f t="shared" ref="BB261:BE261" si="769">BB257/BB249</f>
        <v>1.7248891142395752</v>
      </c>
      <c r="BC261" s="36">
        <f t="shared" si="769"/>
        <v>1.804676603129008</v>
      </c>
      <c r="BD261" s="36">
        <f t="shared" si="769"/>
        <v>1.3839580876417747</v>
      </c>
      <c r="BE261" s="36">
        <f t="shared" si="769"/>
        <v>1.5852404112629868</v>
      </c>
      <c r="BG261" s="390"/>
      <c r="BH261" s="390"/>
      <c r="BI261" s="390"/>
    </row>
    <row r="262" spans="2:61" ht="13.5" customHeight="1">
      <c r="B262" s="5" t="s">
        <v>380</v>
      </c>
      <c r="C262" s="35">
        <f t="shared" ref="C262:AA262" si="770">C259/C249</f>
        <v>0.51632643838752201</v>
      </c>
      <c r="D262" s="35">
        <f t="shared" si="770"/>
        <v>0.34090454952849064</v>
      </c>
      <c r="E262" s="35">
        <f t="shared" si="770"/>
        <v>0.28173772835271438</v>
      </c>
      <c r="F262" s="35">
        <f t="shared" si="770"/>
        <v>1.0234106203055786</v>
      </c>
      <c r="G262" s="35">
        <f t="shared" si="770"/>
        <v>0.82125814285333865</v>
      </c>
      <c r="H262" s="35">
        <f t="shared" ref="H262:L262" si="771">H259/H249</f>
        <v>1.2040010187238586</v>
      </c>
      <c r="I262" s="35">
        <f t="shared" si="771"/>
        <v>2.7931963900835468</v>
      </c>
      <c r="J262" s="35">
        <f t="shared" si="771"/>
        <v>0.55297383269358402</v>
      </c>
      <c r="K262" s="35">
        <f t="shared" si="771"/>
        <v>0.60664746173397965</v>
      </c>
      <c r="L262" s="35">
        <f t="shared" si="771"/>
        <v>0.33667654405863939</v>
      </c>
      <c r="M262" s="35">
        <f t="shared" ref="M262:N262" si="772">M259/M249</f>
        <v>0.32002657626981112</v>
      </c>
      <c r="N262" s="35">
        <f t="shared" si="772"/>
        <v>0.6661452695265706</v>
      </c>
      <c r="O262" s="35">
        <f t="shared" ref="O262" si="773">O259/O249</f>
        <v>1.2204058442914338</v>
      </c>
      <c r="P262" s="35"/>
      <c r="Q262" s="35"/>
      <c r="R262" s="35"/>
      <c r="S262" s="35"/>
      <c r="T262" s="35">
        <f t="shared" si="770"/>
        <v>0.28153986374257373</v>
      </c>
      <c r="U262" s="35">
        <f t="shared" si="770"/>
        <v>0.55379075250410192</v>
      </c>
      <c r="V262" s="35">
        <f t="shared" si="770"/>
        <v>1.5309877046027494</v>
      </c>
      <c r="W262" s="35">
        <f t="shared" si="770"/>
        <v>1.5517574581751075</v>
      </c>
      <c r="X262" s="35">
        <f t="shared" si="770"/>
        <v>1.0234106203055786</v>
      </c>
      <c r="Y262" s="35">
        <f t="shared" si="770"/>
        <v>1.2755337982887422</v>
      </c>
      <c r="Z262" s="35">
        <f t="shared" si="770"/>
        <v>1.1878763174243281</v>
      </c>
      <c r="AA262" s="35">
        <f t="shared" si="770"/>
        <v>1.1950264935698864</v>
      </c>
      <c r="AB262" s="35">
        <f t="shared" ref="AB262:AG262" si="774">AB259/AB249</f>
        <v>0.81643574577638456</v>
      </c>
      <c r="AC262" s="35">
        <f t="shared" si="774"/>
        <v>1.5246835220095298</v>
      </c>
      <c r="AD262" s="35">
        <f t="shared" si="774"/>
        <v>1.4140308731224038</v>
      </c>
      <c r="AE262" s="35">
        <f t="shared" si="774"/>
        <v>1.624614867421708</v>
      </c>
      <c r="AF262" s="35">
        <f t="shared" si="774"/>
        <v>1.2040010187238586</v>
      </c>
      <c r="AG262" s="35">
        <f t="shared" si="774"/>
        <v>1.3286669905831276</v>
      </c>
      <c r="AH262" s="35">
        <f t="shared" ref="AH262:AM262" si="775">AH259/AH249</f>
        <v>2.4360049433635051</v>
      </c>
      <c r="AI262" s="35">
        <f t="shared" si="775"/>
        <v>2.633437393160325</v>
      </c>
      <c r="AJ262" s="35">
        <f t="shared" si="775"/>
        <v>2.7931963900835468</v>
      </c>
      <c r="AK262" s="35">
        <f t="shared" si="775"/>
        <v>3.8247145821873185</v>
      </c>
      <c r="AL262" s="35">
        <f t="shared" si="775"/>
        <v>1.5584214533914711</v>
      </c>
      <c r="AM262" s="35">
        <f t="shared" si="775"/>
        <v>1.2521025174627436</v>
      </c>
      <c r="AN262" s="35">
        <f t="shared" ref="AN262:AS262" si="776">AN259/AN249</f>
        <v>0.55297383269358402</v>
      </c>
      <c r="AO262" s="35">
        <f t="shared" si="776"/>
        <v>0.83682035897723139</v>
      </c>
      <c r="AP262" s="35">
        <f t="shared" si="776"/>
        <v>0.72115427365871976</v>
      </c>
      <c r="AQ262" s="35">
        <f t="shared" si="776"/>
        <v>0.99649962779780399</v>
      </c>
      <c r="AR262" s="35">
        <f t="shared" si="776"/>
        <v>0.60664746173397965</v>
      </c>
      <c r="AS262" s="35">
        <f t="shared" si="776"/>
        <v>0.80848820150617062</v>
      </c>
      <c r="AT262" s="35">
        <f t="shared" ref="AT262:AW262" si="777">AT259/AT249</f>
        <v>0.88500768016478526</v>
      </c>
      <c r="AU262" s="35">
        <f t="shared" si="777"/>
        <v>0.84029692988282334</v>
      </c>
      <c r="AV262" s="35">
        <f t="shared" si="777"/>
        <v>0.33667654405863939</v>
      </c>
      <c r="AW262" s="35">
        <f t="shared" si="777"/>
        <v>0.5126994599155551</v>
      </c>
      <c r="AX262" s="35">
        <f t="shared" ref="AX262:BA262" si="778">AX259/AX249</f>
        <v>0.52544088978478731</v>
      </c>
      <c r="AY262" s="35">
        <f t="shared" si="778"/>
        <v>0.61998986987631466</v>
      </c>
      <c r="AZ262" s="35">
        <f t="shared" si="778"/>
        <v>0.32002657626981112</v>
      </c>
      <c r="BA262" s="35">
        <f t="shared" si="778"/>
        <v>0.58634329559184406</v>
      </c>
      <c r="BB262" s="35">
        <f t="shared" ref="BB262:BE262" si="779">BB259/BB249</f>
        <v>1.4651684341422073</v>
      </c>
      <c r="BC262" s="35">
        <f t="shared" si="779"/>
        <v>1.4968473118250534</v>
      </c>
      <c r="BD262" s="35">
        <f t="shared" si="779"/>
        <v>0.6661452695265706</v>
      </c>
      <c r="BE262" s="35">
        <f t="shared" si="779"/>
        <v>0.95418133856482956</v>
      </c>
      <c r="BG262" s="391"/>
      <c r="BH262" s="391"/>
      <c r="BI262" s="391"/>
    </row>
    <row r="263" spans="2:61" ht="13.5" customHeight="1">
      <c r="B263" s="1" t="s">
        <v>381</v>
      </c>
      <c r="C263" s="36">
        <f t="shared" ref="C263:AB263" si="780">C258/C250</f>
        <v>1.2796048749070543</v>
      </c>
      <c r="D263" s="36">
        <f t="shared" si="780"/>
        <v>1.2574453109634982</v>
      </c>
      <c r="E263" s="36">
        <f t="shared" si="780"/>
        <v>2.0989650977596681</v>
      </c>
      <c r="F263" s="36">
        <f t="shared" si="780"/>
        <v>2.4738142600963657</v>
      </c>
      <c r="G263" s="36">
        <f t="shared" si="780"/>
        <v>2.0810756374431221</v>
      </c>
      <c r="H263" s="36">
        <f t="shared" ref="H263:L263" si="781">H258/H250</f>
        <v>2.0908418359397807</v>
      </c>
      <c r="I263" s="36">
        <f t="shared" si="781"/>
        <v>5.8666248786635098</v>
      </c>
      <c r="J263" s="36">
        <f t="shared" si="781"/>
        <v>1.9500858530671059</v>
      </c>
      <c r="K263" s="36">
        <f t="shared" si="781"/>
        <v>1.476626039768236</v>
      </c>
      <c r="L263" s="36">
        <f t="shared" si="781"/>
        <v>1.258854689836705</v>
      </c>
      <c r="M263" s="36">
        <f t="shared" ref="M263:N263" si="782">M258/M250</f>
        <v>0.9000773069781377</v>
      </c>
      <c r="N263" s="36">
        <f t="shared" si="782"/>
        <v>1.3839580876417747</v>
      </c>
      <c r="O263" s="36">
        <f t="shared" ref="O263" si="783">O258/O250</f>
        <v>2.0275356311434094</v>
      </c>
      <c r="P263" s="36"/>
      <c r="Q263" s="36"/>
      <c r="R263" s="36"/>
      <c r="S263" s="36"/>
      <c r="T263" s="36">
        <f t="shared" si="780"/>
        <v>2.0974909930552847</v>
      </c>
      <c r="U263" s="36">
        <f t="shared" si="780"/>
        <v>2.4858601973411045</v>
      </c>
      <c r="V263" s="36">
        <f t="shared" si="780"/>
        <v>2.5224268597830011</v>
      </c>
      <c r="W263" s="36">
        <f t="shared" si="780"/>
        <v>2.8361064946658416</v>
      </c>
      <c r="X263" s="36">
        <f t="shared" si="780"/>
        <v>2.4738142600963653</v>
      </c>
      <c r="Y263" s="36">
        <f t="shared" si="780"/>
        <v>2.5406131585178833</v>
      </c>
      <c r="Z263" s="36">
        <f t="shared" si="780"/>
        <v>2.3295481533614999</v>
      </c>
      <c r="AA263" s="36">
        <f t="shared" si="780"/>
        <v>2.118970404883489</v>
      </c>
      <c r="AB263" s="36">
        <f t="shared" si="780"/>
        <v>2.0688556391901258</v>
      </c>
      <c r="AC263" s="36">
        <f t="shared" ref="AC263:AH263" si="784">AC258/AC250</f>
        <v>2.4012246257248799</v>
      </c>
      <c r="AD263" s="36">
        <f t="shared" si="784"/>
        <v>2.245168651123203</v>
      </c>
      <c r="AE263" s="36">
        <f t="shared" si="784"/>
        <v>2.0997999854806171</v>
      </c>
      <c r="AF263" s="36">
        <f t="shared" si="784"/>
        <v>2.0908418359397807</v>
      </c>
      <c r="AG263" s="36">
        <f t="shared" si="784"/>
        <v>1.9017975967003333</v>
      </c>
      <c r="AH263" s="36">
        <f t="shared" si="784"/>
        <v>2.7968616156717045</v>
      </c>
      <c r="AI263" s="36">
        <f t="shared" ref="AI263:AN263" si="785">AI258/AI250</f>
        <v>4.1170748698130231</v>
      </c>
      <c r="AJ263" s="36">
        <f t="shared" si="785"/>
        <v>5.8666248786635098</v>
      </c>
      <c r="AK263" s="36">
        <f t="shared" si="785"/>
        <v>5.9133771088940046</v>
      </c>
      <c r="AL263" s="36">
        <f t="shared" si="785"/>
        <v>3.0719391795365936</v>
      </c>
      <c r="AM263" s="36">
        <f t="shared" si="785"/>
        <v>2.2278741201938548</v>
      </c>
      <c r="AN263" s="36">
        <f t="shared" si="785"/>
        <v>1.9500858530671059</v>
      </c>
      <c r="AO263" s="36">
        <f>AO258/AO250</f>
        <v>1.7162756311697223</v>
      </c>
      <c r="AP263" s="36">
        <f>AP258/AP250</f>
        <v>1.6289581456542848</v>
      </c>
      <c r="AQ263" s="36">
        <f>AQ258/AQ250</f>
        <v>1.5050891508242361</v>
      </c>
      <c r="AR263" s="36">
        <f t="shared" ref="AR263" si="786">AR258/AR250</f>
        <v>1.4766260397682358</v>
      </c>
      <c r="AS263" s="36">
        <f>AS258/AS250</f>
        <v>1.5090918452673352</v>
      </c>
      <c r="AT263" s="36">
        <f>AT258/AT250</f>
        <v>1.4733867529051403</v>
      </c>
      <c r="AU263" s="36">
        <f>AU258/AU250</f>
        <v>1.3487685460898657</v>
      </c>
      <c r="AV263" s="36">
        <f t="shared" ref="AV263" si="787">AV258/AV250</f>
        <v>1.2588546898367048</v>
      </c>
      <c r="AW263" s="36">
        <f>AW258/AW250</f>
        <v>1.2144987982469504</v>
      </c>
      <c r="AX263" s="36">
        <f>AX258/AX250</f>
        <v>1.1254659996067151</v>
      </c>
      <c r="AY263" s="36">
        <f>AY258/AY250</f>
        <v>1.0828935973712048</v>
      </c>
      <c r="AZ263" s="36">
        <f t="shared" ref="AZ263" si="788">AZ258/AZ250</f>
        <v>0.9000773069781377</v>
      </c>
      <c r="BA263" s="36">
        <f>BA258/BA250</f>
        <v>1.5179176662450624</v>
      </c>
      <c r="BB263" s="36">
        <f>BB258/BB250</f>
        <v>1.7248891142395752</v>
      </c>
      <c r="BC263" s="36">
        <f>BC258/BC250</f>
        <v>1.804676603129008</v>
      </c>
      <c r="BD263" s="36">
        <f t="shared" ref="BD263" si="789">BD258/BD250</f>
        <v>1.3839580876417747</v>
      </c>
      <c r="BE263" s="36">
        <f>BE258/BE250</f>
        <v>1.5852404112629868</v>
      </c>
      <c r="BG263" s="390"/>
      <c r="BH263" s="390"/>
      <c r="BI263" s="390"/>
    </row>
    <row r="264" spans="2:61" ht="13.5" customHeight="1">
      <c r="B264" s="5" t="s">
        <v>390</v>
      </c>
      <c r="C264" s="35">
        <f t="shared" ref="C264:AB264" si="790">C260/C250</f>
        <v>0.89445554743814382</v>
      </c>
      <c r="D264" s="35">
        <f t="shared" si="790"/>
        <v>0.75824919711870398</v>
      </c>
      <c r="E264" s="35">
        <f t="shared" si="790"/>
        <v>0.7553798192873713</v>
      </c>
      <c r="F264" s="35">
        <f t="shared" si="790"/>
        <v>1.691838465411077</v>
      </c>
      <c r="G264" s="35">
        <f t="shared" si="790"/>
        <v>1.4895471952431727</v>
      </c>
      <c r="H264" s="35">
        <f t="shared" ref="H264:L264" si="791">H260/H250</f>
        <v>1.3099393136369468</v>
      </c>
      <c r="I264" s="35">
        <f t="shared" si="791"/>
        <v>2.8528283128440646</v>
      </c>
      <c r="J264" s="35">
        <f t="shared" si="791"/>
        <v>0.60813014972487234</v>
      </c>
      <c r="K264" s="35">
        <f t="shared" si="791"/>
        <v>0.66247556977178323</v>
      </c>
      <c r="L264" s="35">
        <f t="shared" si="791"/>
        <v>0.3742062318853035</v>
      </c>
      <c r="M264" s="35">
        <f t="shared" ref="M264:N264" si="792">M260/M250</f>
        <v>0.32002657626981112</v>
      </c>
      <c r="N264" s="35">
        <f t="shared" si="792"/>
        <v>0.6661452695265706</v>
      </c>
      <c r="O264" s="35">
        <f t="shared" ref="O264" si="793">O260/O250</f>
        <v>1.2204058442914338</v>
      </c>
      <c r="P264" s="35"/>
      <c r="Q264" s="35"/>
      <c r="R264" s="35"/>
      <c r="S264" s="35"/>
      <c r="T264" s="35">
        <f t="shared" si="790"/>
        <v>0.75484931549462286</v>
      </c>
      <c r="U264" s="35">
        <f t="shared" si="790"/>
        <v>1.1726187771980285</v>
      </c>
      <c r="V264" s="35">
        <f t="shared" si="790"/>
        <v>2.1419515713025961</v>
      </c>
      <c r="W264" s="35">
        <f t="shared" si="790"/>
        <v>2.2470330749762235</v>
      </c>
      <c r="X264" s="35">
        <f t="shared" si="790"/>
        <v>1.6918384654110765</v>
      </c>
      <c r="Y264" s="35">
        <f t="shared" si="790"/>
        <v>2.0058908726452658</v>
      </c>
      <c r="Z264" s="35">
        <f t="shared" si="790"/>
        <v>1.8955719090438836</v>
      </c>
      <c r="AA264" s="35">
        <f t="shared" si="790"/>
        <v>1.846146744217481</v>
      </c>
      <c r="AB264" s="35">
        <f t="shared" si="790"/>
        <v>1.48080062986317</v>
      </c>
      <c r="AC264" s="35">
        <f t="shared" ref="AC264:AH264" si="794">AC260/AC250</f>
        <v>1.9813861060801985</v>
      </c>
      <c r="AD264" s="35">
        <f t="shared" si="794"/>
        <v>1.7668643424222175</v>
      </c>
      <c r="AE264" s="35">
        <f t="shared" si="794"/>
        <v>1.8627909160216733</v>
      </c>
      <c r="AF264" s="35">
        <f t="shared" si="794"/>
        <v>1.3099393136369468</v>
      </c>
      <c r="AG264" s="35">
        <f t="shared" si="794"/>
        <v>1.4088686413770701</v>
      </c>
      <c r="AH264" s="35">
        <f t="shared" si="794"/>
        <v>2.5151811176004504</v>
      </c>
      <c r="AI264" s="35">
        <f t="shared" ref="AI264:AN264" si="795">AI260/AI250</f>
        <v>2.7051365835100105</v>
      </c>
      <c r="AJ264" s="35">
        <f t="shared" si="795"/>
        <v>2.8528283128440646</v>
      </c>
      <c r="AK264" s="35">
        <f t="shared" si="795"/>
        <v>3.8385413873497791</v>
      </c>
      <c r="AL264" s="35">
        <f t="shared" si="795"/>
        <v>1.5307696055705267</v>
      </c>
      <c r="AM264" s="35">
        <f t="shared" si="795"/>
        <v>1.2413385379064215</v>
      </c>
      <c r="AN264" s="35">
        <f t="shared" si="795"/>
        <v>0.60813014972487234</v>
      </c>
      <c r="AO264" s="35">
        <f>AO260/AO250</f>
        <v>0.88953181858249142</v>
      </c>
      <c r="AP264" s="35">
        <f>AP260/AP250</f>
        <v>0.79349918890258953</v>
      </c>
      <c r="AQ264" s="35">
        <f>AQ260/AQ250</f>
        <v>1.0552921006224842</v>
      </c>
      <c r="AR264" s="35">
        <f t="shared" ref="AR264" si="796">AR260/AR250</f>
        <v>0.66247556977178312</v>
      </c>
      <c r="AS264" s="35">
        <f>AS260/AS250</f>
        <v>0.86038005306681475</v>
      </c>
      <c r="AT264" s="35">
        <f>AT260/AT250</f>
        <v>0.91960246086429565</v>
      </c>
      <c r="AU264" s="35">
        <f>AU260/AU250</f>
        <v>0.87602369572855665</v>
      </c>
      <c r="AV264" s="35">
        <f t="shared" ref="AV264" si="797">AV260/AV250</f>
        <v>0.37420623188530344</v>
      </c>
      <c r="AW264" s="35">
        <f>AW260/AW250</f>
        <v>0.54496109065858089</v>
      </c>
      <c r="AX264" s="35">
        <f>AX260/AX250</f>
        <v>0.5491105614530829</v>
      </c>
      <c r="AY264" s="35">
        <f>AY260/AY250</f>
        <v>0.63891504577021252</v>
      </c>
      <c r="AZ264" s="35">
        <f t="shared" ref="AZ264" si="798">AZ260/AZ250</f>
        <v>0.32002657626981112</v>
      </c>
      <c r="BA264" s="35">
        <f>BA260/BA250</f>
        <v>0.58634329559184406</v>
      </c>
      <c r="BB264" s="35">
        <f>BB260/BB250</f>
        <v>1.4651684341422073</v>
      </c>
      <c r="BC264" s="35">
        <f>BC260/BC250</f>
        <v>1.4968473118250534</v>
      </c>
      <c r="BD264" s="35">
        <f t="shared" ref="BD264" si="799">BD260/BD250</f>
        <v>0.6661452695265706</v>
      </c>
      <c r="BE264" s="35">
        <f>BE260/BE250</f>
        <v>0.95418133856482956</v>
      </c>
      <c r="BG264" s="391"/>
      <c r="BH264" s="391"/>
      <c r="BI264" s="391"/>
    </row>
    <row r="265" spans="2:61" ht="13.5" customHeight="1">
      <c r="BG265" s="138"/>
      <c r="BH265" s="138"/>
      <c r="BI265" s="138"/>
    </row>
    <row r="266" spans="2:61" ht="13.5" customHeight="1">
      <c r="B266" s="14" t="s">
        <v>383</v>
      </c>
      <c r="C266" s="33"/>
      <c r="D266" s="33"/>
      <c r="E266" s="33"/>
      <c r="F266" s="33"/>
      <c r="G266" s="33"/>
      <c r="H266" s="33"/>
      <c r="I266" s="33"/>
      <c r="J266" s="33"/>
      <c r="K266" s="33"/>
      <c r="L266" s="33"/>
      <c r="M266" s="33"/>
      <c r="N266" s="33"/>
      <c r="O266" s="33"/>
      <c r="P266" s="44"/>
      <c r="Q266" s="33"/>
      <c r="R266" s="15"/>
      <c r="S266" s="15"/>
      <c r="T266" s="15"/>
      <c r="U266" s="33"/>
      <c r="V266" s="33"/>
      <c r="W266" s="15"/>
      <c r="X266" s="33"/>
      <c r="Y266" s="15"/>
      <c r="Z266" s="33"/>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261"/>
      <c r="AZ266" s="15"/>
      <c r="BA266" s="15"/>
      <c r="BB266" s="15"/>
      <c r="BC266" s="261"/>
      <c r="BD266" s="15"/>
      <c r="BE266" s="15"/>
      <c r="BG266" s="138"/>
      <c r="BH266" s="138"/>
      <c r="BI266" s="138"/>
    </row>
    <row r="267" spans="2:61" s="2" customFormat="1" ht="13.5" customHeight="1">
      <c r="B267" s="58" t="s">
        <v>72</v>
      </c>
      <c r="C267" s="97">
        <f t="shared" ref="C267:O267" si="800">C160</f>
        <v>41975</v>
      </c>
      <c r="D267" s="97">
        <f t="shared" si="800"/>
        <v>42341</v>
      </c>
      <c r="E267" s="97">
        <f t="shared" si="800"/>
        <v>42708</v>
      </c>
      <c r="F267" s="97">
        <f t="shared" si="800"/>
        <v>43100</v>
      </c>
      <c r="G267" s="97">
        <f t="shared" si="800"/>
        <v>43465</v>
      </c>
      <c r="H267" s="97">
        <f t="shared" si="800"/>
        <v>43830</v>
      </c>
      <c r="I267" s="97">
        <f t="shared" si="800"/>
        <v>44196</v>
      </c>
      <c r="J267" s="97">
        <f t="shared" si="800"/>
        <v>44561</v>
      </c>
      <c r="K267" s="97">
        <f t="shared" si="800"/>
        <v>44926</v>
      </c>
      <c r="L267" s="97">
        <f t="shared" si="800"/>
        <v>45291</v>
      </c>
      <c r="M267" s="97">
        <f t="shared" si="800"/>
        <v>45657</v>
      </c>
      <c r="N267" s="97">
        <f t="shared" si="800"/>
        <v>46022</v>
      </c>
      <c r="O267" s="97" t="str">
        <f t="shared" si="800"/>
        <v>LTM</v>
      </c>
      <c r="P267" s="327"/>
      <c r="Q267" s="97">
        <f t="shared" ref="Q267:BD267" si="801">Q160</f>
        <v>42437</v>
      </c>
      <c r="R267" s="97">
        <f t="shared" si="801"/>
        <v>42527</v>
      </c>
      <c r="S267" s="97">
        <f t="shared" si="801"/>
        <v>42622</v>
      </c>
      <c r="T267" s="97">
        <f t="shared" si="801"/>
        <v>42714</v>
      </c>
      <c r="U267" s="97">
        <f t="shared" si="801"/>
        <v>42801</v>
      </c>
      <c r="V267" s="97">
        <f t="shared" si="801"/>
        <v>42892</v>
      </c>
      <c r="W267" s="97">
        <f t="shared" si="801"/>
        <v>42987</v>
      </c>
      <c r="X267" s="97">
        <f t="shared" si="801"/>
        <v>43100</v>
      </c>
      <c r="Y267" s="97">
        <f t="shared" si="801"/>
        <v>43190</v>
      </c>
      <c r="Z267" s="97">
        <f t="shared" si="801"/>
        <v>43281</v>
      </c>
      <c r="AA267" s="97">
        <f t="shared" si="801"/>
        <v>43373</v>
      </c>
      <c r="AB267" s="97">
        <f t="shared" si="801"/>
        <v>43465</v>
      </c>
      <c r="AC267" s="97">
        <f t="shared" si="801"/>
        <v>43555</v>
      </c>
      <c r="AD267" s="97">
        <f t="shared" si="801"/>
        <v>43646</v>
      </c>
      <c r="AE267" s="97">
        <f t="shared" si="801"/>
        <v>43738</v>
      </c>
      <c r="AF267" s="97">
        <f t="shared" si="801"/>
        <v>43830</v>
      </c>
      <c r="AG267" s="97">
        <f t="shared" si="801"/>
        <v>43921</v>
      </c>
      <c r="AH267" s="97">
        <f t="shared" si="801"/>
        <v>44012</v>
      </c>
      <c r="AI267" s="97">
        <f t="shared" si="801"/>
        <v>44104</v>
      </c>
      <c r="AJ267" s="97">
        <f t="shared" si="801"/>
        <v>44196</v>
      </c>
      <c r="AK267" s="97">
        <f t="shared" si="801"/>
        <v>44286</v>
      </c>
      <c r="AL267" s="97">
        <f t="shared" si="801"/>
        <v>44377</v>
      </c>
      <c r="AM267" s="97">
        <f t="shared" si="801"/>
        <v>44469</v>
      </c>
      <c r="AN267" s="97">
        <f t="shared" si="801"/>
        <v>44561</v>
      </c>
      <c r="AO267" s="97">
        <f t="shared" si="801"/>
        <v>44651</v>
      </c>
      <c r="AP267" s="97">
        <f t="shared" si="801"/>
        <v>44742</v>
      </c>
      <c r="AQ267" s="97">
        <f t="shared" si="801"/>
        <v>44834</v>
      </c>
      <c r="AR267" s="97">
        <f t="shared" si="801"/>
        <v>44926</v>
      </c>
      <c r="AS267" s="97">
        <f t="shared" si="801"/>
        <v>45016</v>
      </c>
      <c r="AT267" s="97">
        <f t="shared" si="801"/>
        <v>45107</v>
      </c>
      <c r="AU267" s="97">
        <f t="shared" si="801"/>
        <v>45199</v>
      </c>
      <c r="AV267" s="97">
        <f t="shared" si="801"/>
        <v>45291</v>
      </c>
      <c r="AW267" s="97">
        <f t="shared" si="801"/>
        <v>45382</v>
      </c>
      <c r="AX267" s="97">
        <f t="shared" si="801"/>
        <v>45473</v>
      </c>
      <c r="AY267" s="97">
        <f t="shared" si="801"/>
        <v>45536</v>
      </c>
      <c r="AZ267" s="97">
        <f t="shared" si="801"/>
        <v>45657</v>
      </c>
      <c r="BA267" s="97">
        <f t="shared" si="801"/>
        <v>45747</v>
      </c>
      <c r="BB267" s="97">
        <f t="shared" si="801"/>
        <v>45838</v>
      </c>
      <c r="BC267" s="97">
        <f t="shared" si="801"/>
        <v>45901</v>
      </c>
      <c r="BD267" s="97">
        <f t="shared" si="801"/>
        <v>46022</v>
      </c>
      <c r="BE267" s="97">
        <f t="shared" ref="BE267" si="802">BE160</f>
        <v>46112</v>
      </c>
      <c r="BG267" s="388"/>
      <c r="BH267" s="388"/>
      <c r="BI267" s="388"/>
    </row>
    <row r="268" spans="2:61" s="5" customFormat="1" ht="13.5" customHeight="1">
      <c r="B268" s="10"/>
      <c r="C268" s="12" t="s">
        <v>257</v>
      </c>
      <c r="D268" s="12" t="s">
        <v>257</v>
      </c>
      <c r="E268" s="12" t="str">
        <f t="shared" ref="E268:N268" si="803">E4</f>
        <v>Act</v>
      </c>
      <c r="F268" s="12" t="str">
        <f t="shared" si="803"/>
        <v>Act</v>
      </c>
      <c r="G268" s="12" t="str">
        <f t="shared" si="803"/>
        <v>Act</v>
      </c>
      <c r="H268" s="12" t="str">
        <f t="shared" si="803"/>
        <v>Act</v>
      </c>
      <c r="I268" s="12" t="str">
        <f t="shared" si="803"/>
        <v>Act</v>
      </c>
      <c r="J268" s="12" t="str">
        <f t="shared" si="803"/>
        <v>Act</v>
      </c>
      <c r="K268" s="12" t="str">
        <f t="shared" si="803"/>
        <v>Act</v>
      </c>
      <c r="L268" s="12" t="str">
        <f t="shared" si="803"/>
        <v>Act</v>
      </c>
      <c r="M268" s="12" t="str">
        <f t="shared" si="803"/>
        <v>Act</v>
      </c>
      <c r="N268" s="12" t="str">
        <f t="shared" si="803"/>
        <v>Act</v>
      </c>
      <c r="O268" s="12" t="s">
        <v>257</v>
      </c>
      <c r="P268" s="175"/>
      <c r="Q268" s="12" t="s">
        <v>257</v>
      </c>
      <c r="R268" s="12" t="s">
        <v>257</v>
      </c>
      <c r="S268" s="12" t="s">
        <v>257</v>
      </c>
      <c r="T268" s="12" t="s">
        <v>257</v>
      </c>
      <c r="U268" s="12" t="str">
        <f t="shared" ref="U268:BE268" si="804">U4</f>
        <v>Act</v>
      </c>
      <c r="V268" s="12" t="str">
        <f t="shared" si="804"/>
        <v>Act</v>
      </c>
      <c r="W268" s="12" t="str">
        <f t="shared" si="804"/>
        <v>Act</v>
      </c>
      <c r="X268" s="12" t="str">
        <f t="shared" si="804"/>
        <v>Act</v>
      </c>
      <c r="Y268" s="12" t="str">
        <f t="shared" si="804"/>
        <v>Act</v>
      </c>
      <c r="Z268" s="12" t="str">
        <f t="shared" si="804"/>
        <v>Act</v>
      </c>
      <c r="AA268" s="12" t="str">
        <f t="shared" si="804"/>
        <v>Act</v>
      </c>
      <c r="AB268" s="12" t="str">
        <f t="shared" si="804"/>
        <v>Act</v>
      </c>
      <c r="AC268" s="12" t="str">
        <f t="shared" si="804"/>
        <v>Act</v>
      </c>
      <c r="AD268" s="12" t="str">
        <f t="shared" si="804"/>
        <v>Act</v>
      </c>
      <c r="AE268" s="12" t="str">
        <f t="shared" si="804"/>
        <v>Act</v>
      </c>
      <c r="AF268" s="12" t="str">
        <f t="shared" si="804"/>
        <v>Act</v>
      </c>
      <c r="AG268" s="12" t="str">
        <f t="shared" si="804"/>
        <v>Act</v>
      </c>
      <c r="AH268" s="12" t="str">
        <f t="shared" si="804"/>
        <v>Act</v>
      </c>
      <c r="AI268" s="12" t="str">
        <f t="shared" si="804"/>
        <v>Act</v>
      </c>
      <c r="AJ268" s="12" t="str">
        <f t="shared" si="804"/>
        <v>Act</v>
      </c>
      <c r="AK268" s="12" t="str">
        <f t="shared" si="804"/>
        <v>Act</v>
      </c>
      <c r="AL268" s="12" t="str">
        <f t="shared" si="804"/>
        <v>Act</v>
      </c>
      <c r="AM268" s="12" t="str">
        <f t="shared" si="804"/>
        <v>Act</v>
      </c>
      <c r="AN268" s="12" t="str">
        <f t="shared" si="804"/>
        <v>Act</v>
      </c>
      <c r="AO268" s="12" t="str">
        <f t="shared" si="804"/>
        <v>Act</v>
      </c>
      <c r="AP268" s="12" t="str">
        <f t="shared" si="804"/>
        <v>Act</v>
      </c>
      <c r="AQ268" s="12" t="str">
        <f t="shared" si="804"/>
        <v>Act</v>
      </c>
      <c r="AR268" s="12" t="str">
        <f t="shared" si="804"/>
        <v>Act</v>
      </c>
      <c r="AS268" s="12" t="str">
        <f t="shared" si="804"/>
        <v>Act</v>
      </c>
      <c r="AT268" s="12" t="str">
        <f t="shared" si="804"/>
        <v>Act</v>
      </c>
      <c r="AU268" s="12" t="str">
        <f t="shared" si="804"/>
        <v>Act</v>
      </c>
      <c r="AV268" s="12" t="str">
        <f t="shared" si="804"/>
        <v>Act</v>
      </c>
      <c r="AW268" s="12" t="str">
        <f t="shared" si="804"/>
        <v>Act</v>
      </c>
      <c r="AX268" s="12" t="str">
        <f t="shared" si="804"/>
        <v>Act</v>
      </c>
      <c r="AY268" s="12" t="str">
        <f t="shared" si="804"/>
        <v>Act</v>
      </c>
      <c r="AZ268" s="12" t="str">
        <f t="shared" si="804"/>
        <v>Act</v>
      </c>
      <c r="BA268" s="12" t="str">
        <f t="shared" si="804"/>
        <v>Act</v>
      </c>
      <c r="BB268" s="12" t="str">
        <f t="shared" si="804"/>
        <v>Act</v>
      </c>
      <c r="BC268" s="12" t="str">
        <f t="shared" si="804"/>
        <v>Act</v>
      </c>
      <c r="BD268" s="12" t="str">
        <f t="shared" si="804"/>
        <v>Act</v>
      </c>
      <c r="BE268" s="12" t="str">
        <f t="shared" si="804"/>
        <v>Act</v>
      </c>
      <c r="BG268" s="392"/>
      <c r="BH268" s="392"/>
      <c r="BI268" s="392"/>
    </row>
    <row r="269" spans="2:61" s="3" customFormat="1" ht="13.5" customHeight="1">
      <c r="C269" s="21" t="s">
        <v>259</v>
      </c>
      <c r="D269" s="21" t="s">
        <v>259</v>
      </c>
      <c r="E269" s="21" t="str">
        <f t="shared" ref="E269:N269" si="805">E5</f>
        <v>FY</v>
      </c>
      <c r="F269" s="21" t="str">
        <f t="shared" si="805"/>
        <v>FY</v>
      </c>
      <c r="G269" s="21" t="str">
        <f t="shared" si="805"/>
        <v>FY</v>
      </c>
      <c r="H269" s="21" t="str">
        <f t="shared" si="805"/>
        <v>FY</v>
      </c>
      <c r="I269" s="21" t="str">
        <f t="shared" si="805"/>
        <v>FY</v>
      </c>
      <c r="J269" s="21" t="str">
        <f t="shared" si="805"/>
        <v>FY</v>
      </c>
      <c r="K269" s="21" t="str">
        <f t="shared" si="805"/>
        <v>FY</v>
      </c>
      <c r="L269" s="21" t="str">
        <f t="shared" si="805"/>
        <v>FY</v>
      </c>
      <c r="M269" s="21" t="str">
        <f t="shared" si="805"/>
        <v>FY</v>
      </c>
      <c r="N269" s="21" t="str">
        <f t="shared" si="805"/>
        <v>FY</v>
      </c>
      <c r="O269" s="21"/>
      <c r="P269" s="21"/>
      <c r="Q269" s="21" t="s">
        <v>260</v>
      </c>
      <c r="R269" s="21" t="s">
        <v>261</v>
      </c>
      <c r="S269" s="21" t="s">
        <v>262</v>
      </c>
      <c r="T269" s="21" t="s">
        <v>263</v>
      </c>
      <c r="U269" s="21" t="str">
        <f t="shared" ref="U269:BE269" si="806">U5</f>
        <v>Q1</v>
      </c>
      <c r="V269" s="21" t="str">
        <f t="shared" si="806"/>
        <v>Q2</v>
      </c>
      <c r="W269" s="21" t="str">
        <f t="shared" si="806"/>
        <v>Q3</v>
      </c>
      <c r="X269" s="21" t="str">
        <f t="shared" si="806"/>
        <v>Q4</v>
      </c>
      <c r="Y269" s="21" t="str">
        <f t="shared" si="806"/>
        <v>Q1</v>
      </c>
      <c r="Z269" s="21" t="str">
        <f t="shared" si="806"/>
        <v>Q2</v>
      </c>
      <c r="AA269" s="21" t="str">
        <f t="shared" si="806"/>
        <v>Q3</v>
      </c>
      <c r="AB269" s="21" t="str">
        <f t="shared" si="806"/>
        <v>Q4</v>
      </c>
      <c r="AC269" s="21" t="str">
        <f t="shared" si="806"/>
        <v>Q1</v>
      </c>
      <c r="AD269" s="21" t="str">
        <f t="shared" si="806"/>
        <v>Q2</v>
      </c>
      <c r="AE269" s="21" t="str">
        <f t="shared" si="806"/>
        <v>Q3</v>
      </c>
      <c r="AF269" s="21" t="str">
        <f t="shared" si="806"/>
        <v>Q4</v>
      </c>
      <c r="AG269" s="21" t="str">
        <f t="shared" si="806"/>
        <v>Q1</v>
      </c>
      <c r="AH269" s="21" t="str">
        <f t="shared" si="806"/>
        <v>Q2</v>
      </c>
      <c r="AI269" s="21" t="str">
        <f t="shared" si="806"/>
        <v>Q3</v>
      </c>
      <c r="AJ269" s="21" t="str">
        <f t="shared" si="806"/>
        <v>Q4</v>
      </c>
      <c r="AK269" s="21" t="str">
        <f t="shared" si="806"/>
        <v>Q1</v>
      </c>
      <c r="AL269" s="21" t="str">
        <f t="shared" si="806"/>
        <v>Q2</v>
      </c>
      <c r="AM269" s="21" t="str">
        <f t="shared" si="806"/>
        <v>Q3</v>
      </c>
      <c r="AN269" s="21" t="str">
        <f t="shared" si="806"/>
        <v>Q4</v>
      </c>
      <c r="AO269" s="21" t="str">
        <f t="shared" si="806"/>
        <v>Q1</v>
      </c>
      <c r="AP269" s="21" t="str">
        <f t="shared" si="806"/>
        <v>Q2</v>
      </c>
      <c r="AQ269" s="21" t="str">
        <f t="shared" si="806"/>
        <v>Q3</v>
      </c>
      <c r="AR269" s="21" t="str">
        <f t="shared" si="806"/>
        <v>Q4</v>
      </c>
      <c r="AS269" s="21" t="str">
        <f t="shared" si="806"/>
        <v>Q1</v>
      </c>
      <c r="AT269" s="21" t="str">
        <f t="shared" si="806"/>
        <v>Q2</v>
      </c>
      <c r="AU269" s="21" t="str">
        <f t="shared" si="806"/>
        <v>Q3</v>
      </c>
      <c r="AV269" s="21" t="str">
        <f t="shared" si="806"/>
        <v>Q4</v>
      </c>
      <c r="AW269" s="21" t="str">
        <f t="shared" si="806"/>
        <v>Q1</v>
      </c>
      <c r="AX269" s="21" t="str">
        <f t="shared" si="806"/>
        <v>Q2</v>
      </c>
      <c r="AY269" s="21" t="str">
        <f t="shared" si="806"/>
        <v>Q3</v>
      </c>
      <c r="AZ269" s="21" t="str">
        <f t="shared" si="806"/>
        <v>Q4</v>
      </c>
      <c r="BA269" s="21" t="str">
        <f t="shared" si="806"/>
        <v>Q1</v>
      </c>
      <c r="BB269" s="21" t="str">
        <f t="shared" si="806"/>
        <v>Q2</v>
      </c>
      <c r="BC269" s="21" t="str">
        <f t="shared" si="806"/>
        <v>Q3</v>
      </c>
      <c r="BD269" s="21" t="str">
        <f t="shared" si="806"/>
        <v>Q4</v>
      </c>
      <c r="BE269" s="21" t="str">
        <f t="shared" si="806"/>
        <v>Q1</v>
      </c>
      <c r="BG269" s="166"/>
      <c r="BH269" s="166"/>
      <c r="BI269" s="166"/>
    </row>
    <row r="270" spans="2:61" s="5" customFormat="1" ht="13.5" customHeight="1">
      <c r="B270" s="5" t="str">
        <f>+B7</f>
        <v>Revenues</v>
      </c>
      <c r="C270" s="40">
        <f t="shared" ref="C270:O270" si="807">C7*C$243</f>
        <v>6106.2375523468936</v>
      </c>
      <c r="D270" s="40">
        <f t="shared" si="807"/>
        <v>5755.3092449946762</v>
      </c>
      <c r="E270" s="40">
        <f t="shared" si="807"/>
        <v>5383.3643226224876</v>
      </c>
      <c r="F270" s="40">
        <f t="shared" si="807"/>
        <v>6478.5838353700001</v>
      </c>
      <c r="G270" s="40">
        <f t="shared" si="807"/>
        <v>7055.9391370599997</v>
      </c>
      <c r="H270" s="40">
        <f t="shared" si="807"/>
        <v>7499.0606126974999</v>
      </c>
      <c r="I270" s="40">
        <f t="shared" si="807"/>
        <v>5536.3495977874472</v>
      </c>
      <c r="J270" s="40">
        <f t="shared" si="807"/>
        <v>7394.9851538779285</v>
      </c>
      <c r="K270" s="40">
        <f t="shared" si="807"/>
        <v>8789.6195405580766</v>
      </c>
      <c r="L270" s="40">
        <f t="shared" si="807"/>
        <v>11056.132442958749</v>
      </c>
      <c r="M270" s="40">
        <f t="shared" si="807"/>
        <v>11713.327526852823</v>
      </c>
      <c r="N270" s="40">
        <f t="shared" si="807"/>
        <v>11923.201550426034</v>
      </c>
      <c r="O270" s="40">
        <f t="shared" si="807"/>
        <v>9507.2817281552725</v>
      </c>
      <c r="P270" s="40"/>
      <c r="Q270" s="40">
        <f t="shared" ref="Q270:BE270" si="808">Q7*Q$243</f>
        <v>1059.1725449999999</v>
      </c>
      <c r="R270" s="40">
        <f t="shared" si="808"/>
        <v>1342.4477128000001</v>
      </c>
      <c r="S270" s="40">
        <f t="shared" si="808"/>
        <v>1160.84018962</v>
      </c>
      <c r="T270" s="40">
        <f t="shared" si="808"/>
        <v>1780.4196671709531</v>
      </c>
      <c r="U270" s="40">
        <f t="shared" si="808"/>
        <v>1019.5709730999999</v>
      </c>
      <c r="V270" s="40">
        <f t="shared" si="808"/>
        <v>1612.6635587899998</v>
      </c>
      <c r="W270" s="40">
        <f t="shared" si="808"/>
        <v>1519.2968104500001</v>
      </c>
      <c r="X270" s="40">
        <f t="shared" si="808"/>
        <v>2347.14354589</v>
      </c>
      <c r="Y270" s="40">
        <f t="shared" si="808"/>
        <v>1348.7592156600001</v>
      </c>
      <c r="Z270" s="40">
        <f t="shared" si="808"/>
        <v>1703.4628014</v>
      </c>
      <c r="AA270" s="40">
        <f t="shared" si="808"/>
        <v>1562.5249259099999</v>
      </c>
      <c r="AB270" s="40">
        <f t="shared" si="808"/>
        <v>2441.5092348499993</v>
      </c>
      <c r="AC270" s="40">
        <f t="shared" si="808"/>
        <v>1433.8956330000001</v>
      </c>
      <c r="AD270" s="40">
        <f t="shared" si="808"/>
        <v>1866.6231410999999</v>
      </c>
      <c r="AE270" s="40">
        <f t="shared" si="808"/>
        <v>1551.3012727400001</v>
      </c>
      <c r="AF270" s="40">
        <f t="shared" si="808"/>
        <v>2648.1343642600004</v>
      </c>
      <c r="AG270" s="40">
        <f t="shared" si="808"/>
        <v>1269.7628137561392</v>
      </c>
      <c r="AH270" s="40">
        <f t="shared" si="808"/>
        <v>737.90069868</v>
      </c>
      <c r="AI270" s="40">
        <f t="shared" si="808"/>
        <v>1218.2704006666668</v>
      </c>
      <c r="AJ270" s="40">
        <f t="shared" si="808"/>
        <v>2305.5237331639996</v>
      </c>
      <c r="AK270" s="40">
        <f t="shared" si="808"/>
        <v>1240.1658767900003</v>
      </c>
      <c r="AL270" s="40">
        <f t="shared" si="808"/>
        <v>1894.1383294900063</v>
      </c>
      <c r="AM270" s="40">
        <f t="shared" si="808"/>
        <v>1551.3063969781895</v>
      </c>
      <c r="AN270" s="40">
        <f t="shared" si="808"/>
        <v>2702.3520225948405</v>
      </c>
      <c r="AO270" s="40">
        <f t="shared" si="808"/>
        <v>1596.3825402497343</v>
      </c>
      <c r="AP270" s="40">
        <f t="shared" si="808"/>
        <v>2128.8824840999996</v>
      </c>
      <c r="AQ270" s="40">
        <f t="shared" si="808"/>
        <v>1879.4852819600001</v>
      </c>
      <c r="AR270" s="40">
        <f t="shared" si="808"/>
        <v>3209.8133214599998</v>
      </c>
      <c r="AS270" s="40">
        <f t="shared" si="808"/>
        <v>2005.0847487000001</v>
      </c>
      <c r="AT270" s="40">
        <f t="shared" si="808"/>
        <v>2726.9804846500001</v>
      </c>
      <c r="AU270" s="40">
        <f t="shared" si="808"/>
        <v>2441.6375210499996</v>
      </c>
      <c r="AV270" s="40">
        <f t="shared" si="808"/>
        <v>3900.4969494399993</v>
      </c>
      <c r="AW270" s="40">
        <f t="shared" si="808"/>
        <v>2427.8782027000002</v>
      </c>
      <c r="AX270" s="40">
        <f t="shared" si="808"/>
        <v>2980.408565575</v>
      </c>
      <c r="AY270" s="40">
        <f t="shared" si="808"/>
        <v>2433.1022914500004</v>
      </c>
      <c r="AZ270" s="40">
        <f t="shared" si="808"/>
        <v>3713.3761842325789</v>
      </c>
      <c r="BA270" s="40">
        <f t="shared" si="808"/>
        <v>2211.5259987831218</v>
      </c>
      <c r="BB270" s="40">
        <f t="shared" si="808"/>
        <v>2891.6162195639604</v>
      </c>
      <c r="BC270" s="40">
        <f t="shared" si="808"/>
        <v>2579.9628456799996</v>
      </c>
      <c r="BD270" s="40">
        <f t="shared" si="808"/>
        <v>4323.1123787044344</v>
      </c>
      <c r="BE270" s="40">
        <f t="shared" si="808"/>
        <v>2585.5282618224878</v>
      </c>
      <c r="BG270" s="393"/>
      <c r="BH270" s="393"/>
      <c r="BI270" s="393"/>
    </row>
    <row r="271" spans="2:61" s="25" customFormat="1" ht="13.5" customHeight="1">
      <c r="B271" s="19" t="str">
        <f>+B8</f>
        <v xml:space="preserve">% y-o-ygrowth </v>
      </c>
      <c r="C271" s="56"/>
      <c r="D271" s="56">
        <f t="shared" ref="D271:N271" si="809">+D270/C270-1</f>
        <v>-5.7470464315188763E-2</v>
      </c>
      <c r="E271" s="56">
        <f t="shared" si="809"/>
        <v>-6.4626400865542499E-2</v>
      </c>
      <c r="F271" s="56">
        <f t="shared" si="809"/>
        <v>0.20344517798007389</v>
      </c>
      <c r="G271" s="56">
        <f t="shared" si="809"/>
        <v>8.9117516476041159E-2</v>
      </c>
      <c r="H271" s="56">
        <f t="shared" si="809"/>
        <v>6.2801204351393469E-2</v>
      </c>
      <c r="I271" s="56">
        <f t="shared" si="809"/>
        <v>-0.26172758379719807</v>
      </c>
      <c r="J271" s="56">
        <f t="shared" si="809"/>
        <v>0.33571499112578951</v>
      </c>
      <c r="K271" s="56">
        <f t="shared" si="809"/>
        <v>0.18859191163471123</v>
      </c>
      <c r="L271" s="56">
        <f t="shared" si="809"/>
        <v>0.25786245831713961</v>
      </c>
      <c r="M271" s="56">
        <f t="shared" si="809"/>
        <v>5.944167974512804E-2</v>
      </c>
      <c r="N271" s="56">
        <f t="shared" si="809"/>
        <v>1.7917540774991192E-2</v>
      </c>
      <c r="O271" s="56"/>
      <c r="P271" s="114"/>
      <c r="Q271" s="56"/>
      <c r="R271" s="56"/>
      <c r="S271" s="56"/>
      <c r="T271" s="56"/>
      <c r="U271" s="56">
        <f t="shared" ref="U271:BE271" si="810">U270/Q270-1</f>
        <v>-3.7389160139153721E-2</v>
      </c>
      <c r="V271" s="56">
        <f t="shared" si="810"/>
        <v>0.20128593718290833</v>
      </c>
      <c r="W271" s="56">
        <f t="shared" si="810"/>
        <v>0.30879067078763045</v>
      </c>
      <c r="X271" s="56">
        <f t="shared" si="810"/>
        <v>0.31830915439142426</v>
      </c>
      <c r="Y271" s="56">
        <f t="shared" si="810"/>
        <v>0.32286937471268451</v>
      </c>
      <c r="Z271" s="56">
        <f t="shared" si="810"/>
        <v>5.6303896814117849E-2</v>
      </c>
      <c r="AA271" s="56">
        <f t="shared" si="810"/>
        <v>2.8452712572466954E-2</v>
      </c>
      <c r="AB271" s="56">
        <f t="shared" si="810"/>
        <v>4.020448136852961E-2</v>
      </c>
      <c r="AC271" s="56">
        <f t="shared" si="810"/>
        <v>6.3122028269767538E-2</v>
      </c>
      <c r="AD271" s="56">
        <f t="shared" si="810"/>
        <v>9.578156891122358E-2</v>
      </c>
      <c r="AE271" s="56">
        <f t="shared" si="810"/>
        <v>-7.1830234410265037E-3</v>
      </c>
      <c r="AF271" s="56">
        <f t="shared" si="810"/>
        <v>8.4630083089853869E-2</v>
      </c>
      <c r="AG271" s="56">
        <f t="shared" si="810"/>
        <v>-0.11446636384578546</v>
      </c>
      <c r="AH271" s="56">
        <f t="shared" si="810"/>
        <v>-0.60468683665565426</v>
      </c>
      <c r="AI271" s="56">
        <f t="shared" si="810"/>
        <v>-0.21467839801685618</v>
      </c>
      <c r="AJ271" s="56">
        <f t="shared" si="810"/>
        <v>-0.1293781145397962</v>
      </c>
      <c r="AK271" s="56">
        <f t="shared" si="810"/>
        <v>-2.3309027989713238E-2</v>
      </c>
      <c r="AL271" s="56">
        <f t="shared" si="810"/>
        <v>1.5669284944144271</v>
      </c>
      <c r="AM271" s="56">
        <f t="shared" si="810"/>
        <v>0.27336787968358855</v>
      </c>
      <c r="AN271" s="56">
        <f t="shared" si="810"/>
        <v>0.17212066990360197</v>
      </c>
      <c r="AO271" s="56">
        <f t="shared" si="810"/>
        <v>0.28723307916014607</v>
      </c>
      <c r="AP271" s="56">
        <f t="shared" si="810"/>
        <v>0.12393189607920441</v>
      </c>
      <c r="AQ271" s="56">
        <f t="shared" si="810"/>
        <v>0.21155001076581303</v>
      </c>
      <c r="AR271" s="56">
        <f t="shared" si="810"/>
        <v>0.18778504599777746</v>
      </c>
      <c r="AS271" s="56">
        <f t="shared" si="810"/>
        <v>0.25601771389101335</v>
      </c>
      <c r="AT271" s="56">
        <f t="shared" si="810"/>
        <v>0.28094458243562981</v>
      </c>
      <c r="AU271" s="56">
        <f t="shared" si="810"/>
        <v>0.29909903763852053</v>
      </c>
      <c r="AV271" s="56">
        <f t="shared" si="810"/>
        <v>0.21517875303285194</v>
      </c>
      <c r="AW271" s="56">
        <f t="shared" si="810"/>
        <v>0.21086064031663443</v>
      </c>
      <c r="AX271" s="56">
        <f t="shared" si="810"/>
        <v>9.2933588029518566E-2</v>
      </c>
      <c r="AY271" s="56">
        <f t="shared" si="810"/>
        <v>-3.4956989014195416E-3</v>
      </c>
      <c r="AZ271" s="56">
        <f t="shared" si="810"/>
        <v>-4.7973570453448411E-2</v>
      </c>
      <c r="BA271" s="56">
        <f t="shared" si="810"/>
        <v>-8.9111638168783314E-2</v>
      </c>
      <c r="BB271" s="56">
        <f t="shared" si="810"/>
        <v>-2.9792004705874731E-2</v>
      </c>
      <c r="BC271" s="56">
        <f t="shared" si="810"/>
        <v>6.0359383469438255E-2</v>
      </c>
      <c r="BD271" s="56">
        <f t="shared" si="810"/>
        <v>0.16419995287869438</v>
      </c>
      <c r="BE271" s="56">
        <f t="shared" si="810"/>
        <v>0.16911501978505261</v>
      </c>
      <c r="BG271" s="168"/>
      <c r="BH271" s="167"/>
      <c r="BI271" s="167"/>
    </row>
    <row r="272" spans="2:61" s="25" customFormat="1" ht="13.5" customHeight="1">
      <c r="B272" s="25" t="s">
        <v>385</v>
      </c>
      <c r="C272" s="57">
        <f t="shared" ref="C272:N272" si="811">C12</f>
        <v>6.2E-2</v>
      </c>
      <c r="D272" s="57">
        <f t="shared" si="811"/>
        <v>9.8000000000000004E-2</v>
      </c>
      <c r="E272" s="57">
        <f t="shared" si="811"/>
        <v>7.5999999999999998E-2</v>
      </c>
      <c r="F272" s="57">
        <f t="shared" si="811"/>
        <v>5.8000000000000003E-2</v>
      </c>
      <c r="G272" s="57">
        <f t="shared" si="811"/>
        <v>7.0999999999999994E-2</v>
      </c>
      <c r="H272" s="57">
        <f t="shared" si="811"/>
        <v>3.3000000000000002E-2</v>
      </c>
      <c r="I272" s="57">
        <f t="shared" si="811"/>
        <v>-0.217</v>
      </c>
      <c r="J272" s="57">
        <f t="shared" si="811"/>
        <v>0.35499999999999998</v>
      </c>
      <c r="K272" s="57">
        <f t="shared" si="811"/>
        <v>0.154</v>
      </c>
      <c r="L272" s="57">
        <f t="shared" si="811"/>
        <v>8.1000000000000003E-2</v>
      </c>
      <c r="M272" s="57">
        <f t="shared" si="811"/>
        <v>0</v>
      </c>
      <c r="N272" s="57">
        <f t="shared" si="811"/>
        <v>0</v>
      </c>
      <c r="O272" s="57"/>
      <c r="P272" s="114"/>
      <c r="Q272" s="57">
        <f t="shared" ref="Q272:BE272" si="812">Q12</f>
        <v>9.5000000000000001E-2</v>
      </c>
      <c r="R272" s="57">
        <f t="shared" si="812"/>
        <v>8.6999999999999994E-2</v>
      </c>
      <c r="S272" s="57">
        <f t="shared" si="812"/>
        <v>7.6999999999999999E-2</v>
      </c>
      <c r="T272" s="57">
        <f t="shared" si="812"/>
        <v>5.8000000000000003E-2</v>
      </c>
      <c r="U272" s="57">
        <f t="shared" si="812"/>
        <v>4.1000000000000002E-2</v>
      </c>
      <c r="V272" s="57">
        <f t="shared" si="812"/>
        <v>6.0999999999999999E-2</v>
      </c>
      <c r="W272" s="57">
        <f t="shared" si="812"/>
        <v>5.0999999999999997E-2</v>
      </c>
      <c r="X272" s="114">
        <f t="shared" si="812"/>
        <v>6.8000000000000005E-2</v>
      </c>
      <c r="Y272" s="57">
        <f t="shared" si="812"/>
        <v>5.8999999999999997E-2</v>
      </c>
      <c r="Z272" s="57">
        <f t="shared" si="812"/>
        <v>7.9000000000000001E-2</v>
      </c>
      <c r="AA272" s="57">
        <f t="shared" si="812"/>
        <v>7.0000000000000007E-2</v>
      </c>
      <c r="AB272" s="57">
        <f t="shared" si="812"/>
        <v>6.5000000000000002E-2</v>
      </c>
      <c r="AC272" s="57">
        <f t="shared" si="812"/>
        <v>4.1000000000000002E-2</v>
      </c>
      <c r="AD272" s="57">
        <f t="shared" si="812"/>
        <v>6.8000000000000005E-2</v>
      </c>
      <c r="AE272" s="57">
        <f t="shared" si="812"/>
        <v>-5.0000000000000001E-3</v>
      </c>
      <c r="AF272" s="57">
        <f t="shared" si="812"/>
        <v>2.8000000000000001E-2</v>
      </c>
      <c r="AG272" s="57">
        <f t="shared" si="812"/>
        <v>-0.05</v>
      </c>
      <c r="AH272" s="57">
        <f t="shared" si="812"/>
        <v>-0.63500000000000001</v>
      </c>
      <c r="AI272" s="57">
        <f t="shared" si="812"/>
        <v>-0.13300000000000001</v>
      </c>
      <c r="AJ272" s="57">
        <f t="shared" si="812"/>
        <v>-6.6000000000000003E-2</v>
      </c>
      <c r="AK272" s="57">
        <f t="shared" si="812"/>
        <v>-1.4999999999999999E-2</v>
      </c>
      <c r="AL272" s="57">
        <f t="shared" si="812"/>
        <v>1.921</v>
      </c>
      <c r="AM272" s="57">
        <f t="shared" si="812"/>
        <v>0.22700000000000001</v>
      </c>
      <c r="AN272" s="57">
        <f t="shared" si="812"/>
        <v>-6.6000000000000003E-2</v>
      </c>
      <c r="AO272" s="57">
        <f t="shared" si="812"/>
        <v>0.27200000000000002</v>
      </c>
      <c r="AP272" s="57">
        <f t="shared" si="812"/>
        <v>0.129</v>
      </c>
      <c r="AQ272" s="57">
        <f t="shared" si="812"/>
        <v>0.189</v>
      </c>
      <c r="AR272" s="57">
        <f t="shared" si="812"/>
        <v>0.10100000000000001</v>
      </c>
      <c r="AS272" s="57">
        <f t="shared" si="812"/>
        <v>0.13500000000000001</v>
      </c>
      <c r="AT272" s="57">
        <f t="shared" si="812"/>
        <v>8.4000000000000005E-2</v>
      </c>
      <c r="AU272" s="57">
        <f t="shared" si="812"/>
        <v>5.6000000000000001E-2</v>
      </c>
      <c r="AV272" s="57">
        <f t="shared" si="812"/>
        <v>6.9000000000000006E-2</v>
      </c>
      <c r="AW272" s="57">
        <f t="shared" si="812"/>
        <v>6.7000000000000004E-2</v>
      </c>
      <c r="AX272" s="57">
        <f t="shared" si="812"/>
        <v>0</v>
      </c>
      <c r="AY272" s="57">
        <f t="shared" si="812"/>
        <v>0</v>
      </c>
      <c r="AZ272" s="57">
        <f t="shared" si="812"/>
        <v>0</v>
      </c>
      <c r="BA272" s="57">
        <f t="shared" si="812"/>
        <v>0</v>
      </c>
      <c r="BB272" s="57">
        <f t="shared" si="812"/>
        <v>0</v>
      </c>
      <c r="BC272" s="57">
        <f t="shared" si="812"/>
        <v>0</v>
      </c>
      <c r="BD272" s="57">
        <f t="shared" si="812"/>
        <v>0</v>
      </c>
      <c r="BE272" s="57">
        <f t="shared" si="812"/>
        <v>0</v>
      </c>
      <c r="BG272" s="168"/>
      <c r="BH272" s="168"/>
      <c r="BI272" s="168"/>
    </row>
    <row r="273" spans="2:61" ht="13.5" customHeight="1">
      <c r="C273" s="38"/>
      <c r="R273" s="38"/>
      <c r="S273" s="38"/>
      <c r="T273" s="38"/>
      <c r="W273" s="38"/>
      <c r="X273" s="38"/>
      <c r="Y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G273" s="138"/>
      <c r="BH273" s="394"/>
      <c r="BI273" s="394"/>
    </row>
    <row r="274" spans="2:61" s="5" customFormat="1" ht="13.5" customHeight="1" thickBot="1">
      <c r="B274" s="23" t="str">
        <f>B46</f>
        <v xml:space="preserve">Adj. EBITDA </v>
      </c>
      <c r="C274" s="49">
        <f t="shared" ref="C274:O274" si="813">C46*C$243</f>
        <v>979.21075513231176</v>
      </c>
      <c r="D274" s="49">
        <f t="shared" si="813"/>
        <v>937.46279941219882</v>
      </c>
      <c r="E274" s="49">
        <f t="shared" si="813"/>
        <v>860.28056782195017</v>
      </c>
      <c r="F274" s="49">
        <f t="shared" si="813"/>
        <v>973.12568924999994</v>
      </c>
      <c r="G274" s="49">
        <f t="shared" si="813"/>
        <v>1053.5195825200001</v>
      </c>
      <c r="H274" s="49">
        <f t="shared" si="813"/>
        <v>1241.4041255</v>
      </c>
      <c r="I274" s="49">
        <f t="shared" si="813"/>
        <v>431.80865905348099</v>
      </c>
      <c r="J274" s="49">
        <f t="shared" si="813"/>
        <v>1170.7223633989104</v>
      </c>
      <c r="K274" s="49">
        <f t="shared" si="813"/>
        <v>1532.2465198207801</v>
      </c>
      <c r="L274" s="49">
        <f t="shared" si="813"/>
        <v>1973.9255366249997</v>
      </c>
      <c r="M274" s="49">
        <f t="shared" si="813"/>
        <v>2047.6309735158525</v>
      </c>
      <c r="N274" s="49">
        <f t="shared" si="813"/>
        <v>1954.3434510358375</v>
      </c>
      <c r="O274" s="49">
        <f t="shared" si="813"/>
        <v>1574.8995474265319</v>
      </c>
      <c r="P274" s="8"/>
      <c r="Q274" s="51">
        <f t="shared" ref="Q274:BE274" si="814">Q46*Q$243</f>
        <v>132.84380099999998</v>
      </c>
      <c r="R274" s="51">
        <f t="shared" si="814"/>
        <v>210.39474023999995</v>
      </c>
      <c r="S274" s="51">
        <f t="shared" si="814"/>
        <v>146.86047397999999</v>
      </c>
      <c r="T274" s="51">
        <f t="shared" si="814"/>
        <v>357.9193141704489</v>
      </c>
      <c r="U274" s="51">
        <f t="shared" si="814"/>
        <v>127.93722052</v>
      </c>
      <c r="V274" s="51">
        <f t="shared" si="814"/>
        <v>240.68775638000002</v>
      </c>
      <c r="W274" s="51">
        <f t="shared" si="814"/>
        <v>163.51853342999999</v>
      </c>
      <c r="X274" s="51">
        <f t="shared" si="814"/>
        <v>441.69510637999991</v>
      </c>
      <c r="Y274" s="51">
        <f t="shared" si="814"/>
        <v>125.58929700000002</v>
      </c>
      <c r="Z274" s="51">
        <f t="shared" si="814"/>
        <v>254.27982420000004</v>
      </c>
      <c r="AA274" s="51">
        <f t="shared" si="814"/>
        <v>198.92443155000001</v>
      </c>
      <c r="AB274" s="51">
        <f t="shared" si="814"/>
        <v>468.68029819999998</v>
      </c>
      <c r="AC274" s="51">
        <f t="shared" si="814"/>
        <v>154.15182000000001</v>
      </c>
      <c r="AD274" s="51">
        <f t="shared" si="814"/>
        <v>296.95098999999999</v>
      </c>
      <c r="AE274" s="51">
        <f t="shared" si="814"/>
        <v>218.39624000000001</v>
      </c>
      <c r="AF274" s="51">
        <f t="shared" si="814"/>
        <v>571.98181999999997</v>
      </c>
      <c r="AG274" s="51">
        <f t="shared" si="814"/>
        <v>122.02994000843883</v>
      </c>
      <c r="AH274" s="51">
        <f t="shared" si="814"/>
        <v>-91.998540000000006</v>
      </c>
      <c r="AI274" s="51">
        <f t="shared" si="814"/>
        <v>44.995066666666673</v>
      </c>
      <c r="AJ274" s="51">
        <f t="shared" si="814"/>
        <v>356.56086879999998</v>
      </c>
      <c r="AK274" s="51">
        <f t="shared" si="814"/>
        <v>110.50675300000002</v>
      </c>
      <c r="AL274" s="51">
        <f t="shared" si="814"/>
        <v>306.08692141952474</v>
      </c>
      <c r="AM274" s="51">
        <f t="shared" si="814"/>
        <v>255.00182770805415</v>
      </c>
      <c r="AN274" s="51">
        <f t="shared" si="814"/>
        <v>497.91547177813879</v>
      </c>
      <c r="AO274" s="51">
        <f t="shared" si="814"/>
        <v>244.01664726348554</v>
      </c>
      <c r="AP274" s="51">
        <f t="shared" si="814"/>
        <v>389.34456584999998</v>
      </c>
      <c r="AQ274" s="51">
        <f t="shared" si="814"/>
        <v>305.67471</v>
      </c>
      <c r="AR274" s="51">
        <f t="shared" si="814"/>
        <v>598.80601200000001</v>
      </c>
      <c r="AS274" s="51">
        <f t="shared" si="814"/>
        <v>276.94226700000002</v>
      </c>
      <c r="AT274" s="51">
        <f t="shared" si="814"/>
        <v>498.725415</v>
      </c>
      <c r="AU274" s="51">
        <f t="shared" si="814"/>
        <v>409.03030000000001</v>
      </c>
      <c r="AV274" s="51">
        <f t="shared" si="814"/>
        <v>796.28931199999977</v>
      </c>
      <c r="AW274" s="51">
        <f t="shared" si="814"/>
        <v>348.39350000000007</v>
      </c>
      <c r="AX274" s="51">
        <f t="shared" si="814"/>
        <v>529.64156500000001</v>
      </c>
      <c r="AY274" s="51">
        <f t="shared" si="814"/>
        <v>395.85518999999999</v>
      </c>
      <c r="AZ274" s="51">
        <f t="shared" si="814"/>
        <v>732.81938543135141</v>
      </c>
      <c r="BA274" s="51">
        <f t="shared" si="814"/>
        <v>266.3892259104598</v>
      </c>
      <c r="BB274" s="51">
        <f t="shared" si="814"/>
        <v>442.01414731785428</v>
      </c>
      <c r="BC274" s="51">
        <f t="shared" si="814"/>
        <v>342.80047999999999</v>
      </c>
      <c r="BD274" s="51">
        <f t="shared" si="814"/>
        <v>932.28210507911535</v>
      </c>
      <c r="BE274" s="51">
        <f t="shared" si="814"/>
        <v>292.77984299303779</v>
      </c>
      <c r="BG274" s="395"/>
      <c r="BH274" s="395"/>
      <c r="BI274" s="400"/>
    </row>
    <row r="275" spans="2:61" s="25" customFormat="1" ht="13.5" customHeight="1" thickTop="1">
      <c r="B275" s="19" t="str">
        <f>B47</f>
        <v xml:space="preserve">% growth </v>
      </c>
      <c r="C275" s="56"/>
      <c r="D275" s="56">
        <f t="shared" ref="D275:N275" si="815">D47</f>
        <v>0.14180291415494506</v>
      </c>
      <c r="E275" s="56">
        <f t="shared" si="815"/>
        <v>7.9387432299182104E-2</v>
      </c>
      <c r="F275" s="56">
        <f t="shared" si="815"/>
        <v>0.14326688373015073</v>
      </c>
      <c r="G275" s="56">
        <f t="shared" si="815"/>
        <v>0.10278573170449268</v>
      </c>
      <c r="H275" s="56">
        <f t="shared" si="815"/>
        <v>0.17986966414684802</v>
      </c>
      <c r="I275" s="56">
        <f t="shared" si="815"/>
        <v>-0.62279805332417515</v>
      </c>
      <c r="J275" s="56">
        <f t="shared" si="815"/>
        <v>1.6546639574520059</v>
      </c>
      <c r="K275" s="56">
        <f t="shared" si="815"/>
        <v>0.28350767712171709</v>
      </c>
      <c r="L275" s="56">
        <f t="shared" si="815"/>
        <v>0.14027764199824011</v>
      </c>
      <c r="M275" s="56">
        <f t="shared" si="815"/>
        <v>7.3340249259110202E-2</v>
      </c>
      <c r="N275" s="56">
        <f t="shared" si="815"/>
        <v>0</v>
      </c>
      <c r="O275" s="56"/>
      <c r="P275" s="114"/>
      <c r="Q275" s="56"/>
      <c r="R275" s="56"/>
      <c r="S275" s="56"/>
      <c r="T275" s="56">
        <f t="shared" ref="T275:BE275" si="816">T47</f>
        <v>0</v>
      </c>
      <c r="U275" s="56">
        <f t="shared" si="816"/>
        <v>8.2643502499601063E-2</v>
      </c>
      <c r="V275" s="56">
        <f t="shared" si="816"/>
        <v>0.17261847990387813</v>
      </c>
      <c r="W275" s="56">
        <f t="shared" si="816"/>
        <v>5.788534123318767E-2</v>
      </c>
      <c r="X275" s="115">
        <f t="shared" si="816"/>
        <v>0.18109964861064509</v>
      </c>
      <c r="Y275" s="56">
        <f t="shared" si="816"/>
        <v>-9.2265327259901553E-2</v>
      </c>
      <c r="Z275" s="56">
        <f t="shared" si="816"/>
        <v>9.1485124466554213E-2</v>
      </c>
      <c r="AA275" s="56">
        <f t="shared" si="816"/>
        <v>0.25671167614776524</v>
      </c>
      <c r="AB275" s="57">
        <f t="shared" si="816"/>
        <v>0.10820763501708619</v>
      </c>
      <c r="AC275" s="56">
        <f t="shared" si="816"/>
        <v>0.255409599115759</v>
      </c>
      <c r="AD275" s="56">
        <f t="shared" si="816"/>
        <v>0.16468815774806544</v>
      </c>
      <c r="AE275" s="56">
        <f t="shared" si="816"/>
        <v>0.13991488241606076</v>
      </c>
      <c r="AF275" s="56">
        <f t="shared" si="816"/>
        <v>0.1847152571432753</v>
      </c>
      <c r="AG275" s="56">
        <f t="shared" si="816"/>
        <v>-0.13026988588263178</v>
      </c>
      <c r="AH275" s="56">
        <f t="shared" si="816"/>
        <v>-1.321090502637186</v>
      </c>
      <c r="AI275" s="56">
        <f t="shared" si="816"/>
        <v>-0.76578699340245049</v>
      </c>
      <c r="AJ275" s="56">
        <f t="shared" si="816"/>
        <v>-0.33832455024532071</v>
      </c>
      <c r="AK275" s="56">
        <f t="shared" si="816"/>
        <v>-0.11232674038311785</v>
      </c>
      <c r="AL275" s="56">
        <f t="shared" si="816"/>
        <v>-4.2994288822409574</v>
      </c>
      <c r="AM275" s="56">
        <f t="shared" si="816"/>
        <v>4.2635814889336014</v>
      </c>
      <c r="AN275" s="56">
        <f t="shared" si="816"/>
        <v>0.41859826430847002</v>
      </c>
      <c r="AO275" s="56">
        <f t="shared" si="816"/>
        <v>1.1619807886310802</v>
      </c>
      <c r="AP275" s="56">
        <f t="shared" si="816"/>
        <v>0.28316848005275297</v>
      </c>
      <c r="AQ275" s="56">
        <f t="shared" si="816"/>
        <v>0.18291284403669716</v>
      </c>
      <c r="AR275" s="56">
        <f t="shared" si="816"/>
        <v>0.14078290161458917</v>
      </c>
      <c r="AS275" s="56">
        <f t="shared" si="816"/>
        <v>5.2747966160150872E-2</v>
      </c>
      <c r="AT275" s="56">
        <f t="shared" si="816"/>
        <v>0.11810578516643755</v>
      </c>
      <c r="AU275" s="56">
        <f t="shared" si="816"/>
        <v>0.1287768621748262</v>
      </c>
      <c r="AV275" s="56">
        <f t="shared" si="816"/>
        <v>0.19756983335030354</v>
      </c>
      <c r="AW275" s="56">
        <f t="shared" si="816"/>
        <v>0.13988938351544578</v>
      </c>
      <c r="AX275" s="56">
        <f t="shared" si="816"/>
        <v>6.6643686085257947E-2</v>
      </c>
      <c r="AY275" s="56">
        <f t="shared" si="816"/>
        <v>7.2573718866304038E-2</v>
      </c>
      <c r="AZ275" s="56">
        <f t="shared" si="816"/>
        <v>5.3381135925632206E-2</v>
      </c>
      <c r="BA275" s="56">
        <f t="shared" si="816"/>
        <v>-7.2865595942519068E-2</v>
      </c>
      <c r="BB275" s="56">
        <f t="shared" si="816"/>
        <v>-7.0882257890768074E-2</v>
      </c>
      <c r="BC275" s="56">
        <f t="shared" si="816"/>
        <v>-0.14773788869611637</v>
      </c>
      <c r="BD275" s="56">
        <f t="shared" si="816"/>
        <v>0.14770969260778899</v>
      </c>
      <c r="BE275" s="56">
        <f t="shared" si="816"/>
        <v>-6.2180889861415012E-2</v>
      </c>
      <c r="BG275" s="168"/>
      <c r="BH275" s="168"/>
      <c r="BI275" s="400"/>
    </row>
    <row r="276" spans="2:61" s="25" customFormat="1" ht="13.5" customHeight="1">
      <c r="B276" s="19" t="str">
        <f>B48</f>
        <v>% margin</v>
      </c>
      <c r="C276" s="56">
        <f>C48</f>
        <v>0.16036237482375024</v>
      </c>
      <c r="D276" s="56">
        <f t="shared" ref="D276:N276" si="817">D48</f>
        <v>0.16288660774006178</v>
      </c>
      <c r="E276" s="56">
        <f t="shared" si="817"/>
        <v>0.15980351993024083</v>
      </c>
      <c r="F276" s="56">
        <f t="shared" si="817"/>
        <v>0.15020654420449026</v>
      </c>
      <c r="G276" s="56">
        <f t="shared" si="817"/>
        <v>0.14930961875600451</v>
      </c>
      <c r="H276" s="56">
        <f t="shared" si="817"/>
        <v>0.16554128438407864</v>
      </c>
      <c r="I276" s="56">
        <f t="shared" si="817"/>
        <v>7.7995193660828327E-2</v>
      </c>
      <c r="J276" s="56">
        <f t="shared" si="817"/>
        <v>0.15831301064681433</v>
      </c>
      <c r="K276" s="56">
        <f t="shared" si="817"/>
        <v>0.17432455554538073</v>
      </c>
      <c r="L276" s="56">
        <f t="shared" si="817"/>
        <v>0.17853671225529877</v>
      </c>
      <c r="M276" s="56">
        <f t="shared" si="817"/>
        <v>0.17481206504485211</v>
      </c>
      <c r="N276" s="56">
        <f t="shared" si="817"/>
        <v>0.16391096324007084</v>
      </c>
      <c r="O276" s="56">
        <f>O48</f>
        <v>0.16565192790727518</v>
      </c>
      <c r="P276" s="114"/>
      <c r="Q276" s="56">
        <f>Q48</f>
        <v>0.12542224742050881</v>
      </c>
      <c r="R276" s="56">
        <f>R48</f>
        <v>0.15672471876105382</v>
      </c>
      <c r="S276" s="56">
        <f>S48</f>
        <v>0.12651222389885952</v>
      </c>
      <c r="T276" s="56">
        <f t="shared" ref="T276:BE276" si="818">T48</f>
        <v>0.20103086972700918</v>
      </c>
      <c r="U276" s="56">
        <f t="shared" si="818"/>
        <v>0.1254814268897903</v>
      </c>
      <c r="V276" s="56">
        <f t="shared" si="818"/>
        <v>0.14924858633290555</v>
      </c>
      <c r="W276" s="56">
        <f t="shared" si="818"/>
        <v>0.10762777378672143</v>
      </c>
      <c r="X276" s="115">
        <f t="shared" si="818"/>
        <v>0.18818410452715453</v>
      </c>
      <c r="Y276" s="56">
        <f t="shared" si="818"/>
        <v>9.3114690555455681E-2</v>
      </c>
      <c r="Z276" s="56">
        <f t="shared" si="818"/>
        <v>0.14927230814257805</v>
      </c>
      <c r="AA276" s="56">
        <f t="shared" si="818"/>
        <v>0.12730960527503155</v>
      </c>
      <c r="AB276" s="57">
        <f t="shared" si="818"/>
        <v>0.19196335263044564</v>
      </c>
      <c r="AC276" s="56">
        <f t="shared" si="818"/>
        <v>0.10750560672082052</v>
      </c>
      <c r="AD276" s="56">
        <f t="shared" si="818"/>
        <v>0.15908459691815829</v>
      </c>
      <c r="AE276" s="56">
        <f t="shared" si="818"/>
        <v>0.14078260866392228</v>
      </c>
      <c r="AF276" s="56">
        <f t="shared" si="818"/>
        <v>0.21599425909788969</v>
      </c>
      <c r="AG276" s="56">
        <f t="shared" si="818"/>
        <v>9.6104515494084192E-2</v>
      </c>
      <c r="AH276" s="56">
        <f t="shared" si="818"/>
        <v>-0.12467604403217449</v>
      </c>
      <c r="AI276" s="56">
        <f t="shared" si="818"/>
        <v>3.6933563059600147E-2</v>
      </c>
      <c r="AJ276" s="56">
        <f t="shared" si="818"/>
        <v>0.15465504157299281</v>
      </c>
      <c r="AK276" s="56">
        <f t="shared" si="818"/>
        <v>8.9106429283501681E-2</v>
      </c>
      <c r="AL276" s="56">
        <f t="shared" si="818"/>
        <v>0.16159692069688394</v>
      </c>
      <c r="AM276" s="56">
        <f t="shared" si="818"/>
        <v>0.16437876373408605</v>
      </c>
      <c r="AN276" s="56">
        <f t="shared" si="818"/>
        <v>0.18425263163902406</v>
      </c>
      <c r="AO276" s="56">
        <f t="shared" si="818"/>
        <v>0.15285599855365001</v>
      </c>
      <c r="AP276" s="56">
        <f t="shared" si="818"/>
        <v>0.18288682853933957</v>
      </c>
      <c r="AQ276" s="56">
        <f t="shared" si="818"/>
        <v>0.16263745874148616</v>
      </c>
      <c r="AR276" s="56">
        <f t="shared" si="818"/>
        <v>0.18655477812261992</v>
      </c>
      <c r="AS276" s="56">
        <f t="shared" si="818"/>
        <v>0.13811998080358248</v>
      </c>
      <c r="AT276" s="56">
        <f t="shared" si="818"/>
        <v>0.18288558271952943</v>
      </c>
      <c r="AU276" s="56">
        <f t="shared" si="818"/>
        <v>0.16752294166256954</v>
      </c>
      <c r="AV276" s="56">
        <f t="shared" si="818"/>
        <v>0.20415073318140253</v>
      </c>
      <c r="AW276" s="56">
        <f t="shared" si="818"/>
        <v>0.14349710772663876</v>
      </c>
      <c r="AX276" s="56">
        <f t="shared" si="818"/>
        <v>0.1777077046139203</v>
      </c>
      <c r="AY276" s="56">
        <f t="shared" si="818"/>
        <v>0.16269566281329309</v>
      </c>
      <c r="AZ276" s="56">
        <f t="shared" si="818"/>
        <v>0.19734585161152987</v>
      </c>
      <c r="BA276" s="56">
        <f t="shared" si="818"/>
        <v>0.12045493747622174</v>
      </c>
      <c r="BB276" s="56">
        <f t="shared" si="818"/>
        <v>0.15286058513826828</v>
      </c>
      <c r="BC276" s="56">
        <f t="shared" si="818"/>
        <v>0.13287031655281384</v>
      </c>
      <c r="BD276" s="56">
        <f t="shared" si="818"/>
        <v>0.21565067558075024</v>
      </c>
      <c r="BE276" s="56">
        <f t="shared" si="818"/>
        <v>0.11323792020229669</v>
      </c>
      <c r="BG276" s="168"/>
      <c r="BH276" s="168"/>
      <c r="BI276" s="400"/>
    </row>
    <row r="277" spans="2:61" ht="13.5" customHeight="1">
      <c r="C277" s="38"/>
      <c r="R277" s="38"/>
      <c r="S277" s="38"/>
      <c r="T277" s="38"/>
      <c r="W277" s="38"/>
      <c r="X277" s="38"/>
      <c r="Y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G277" s="138"/>
      <c r="BH277" s="394"/>
      <c r="BI277" s="400"/>
    </row>
    <row r="278" spans="2:61" s="5" customFormat="1" ht="13.5" customHeight="1">
      <c r="B278" s="5" t="str">
        <f t="shared" ref="B278:B288" si="819">B61</f>
        <v xml:space="preserve">Adjusted EBITDA </v>
      </c>
      <c r="C278" s="84">
        <f t="shared" ref="C278:O278" si="820">C61*C$243</f>
        <v>979.21075513231176</v>
      </c>
      <c r="D278" s="84">
        <f t="shared" si="820"/>
        <v>937.46279941219882</v>
      </c>
      <c r="E278" s="84">
        <f t="shared" si="820"/>
        <v>860.28056782195017</v>
      </c>
      <c r="F278" s="84">
        <f t="shared" si="820"/>
        <v>973.12568924999994</v>
      </c>
      <c r="G278" s="84">
        <f t="shared" si="820"/>
        <v>1053.5195825200001</v>
      </c>
      <c r="H278" s="84">
        <f t="shared" si="820"/>
        <v>1241.4041255</v>
      </c>
      <c r="I278" s="84">
        <f t="shared" si="820"/>
        <v>431.80865905348099</v>
      </c>
      <c r="J278" s="84">
        <f t="shared" si="820"/>
        <v>1170.7223633989104</v>
      </c>
      <c r="K278" s="84">
        <f t="shared" si="820"/>
        <v>1532.2465198207801</v>
      </c>
      <c r="L278" s="84">
        <f t="shared" si="820"/>
        <v>1973.9255366249997</v>
      </c>
      <c r="M278" s="84">
        <f t="shared" si="820"/>
        <v>2047.6309735158525</v>
      </c>
      <c r="N278" s="84">
        <f t="shared" si="820"/>
        <v>1954.3434510358375</v>
      </c>
      <c r="O278" s="84">
        <f t="shared" si="820"/>
        <v>1574.8995474265319</v>
      </c>
      <c r="P278" s="79"/>
      <c r="Q278" s="84">
        <f t="shared" ref="Q278:BE278" si="821">Q61*Q$243</f>
        <v>132.84380099999998</v>
      </c>
      <c r="R278" s="84">
        <f t="shared" si="821"/>
        <v>210.39474023999995</v>
      </c>
      <c r="S278" s="84">
        <f t="shared" si="821"/>
        <v>146.86047397999999</v>
      </c>
      <c r="T278" s="84">
        <f t="shared" si="821"/>
        <v>357.9193141704489</v>
      </c>
      <c r="U278" s="84">
        <f t="shared" si="821"/>
        <v>127.93722052</v>
      </c>
      <c r="V278" s="84">
        <f t="shared" si="821"/>
        <v>240.68775638000002</v>
      </c>
      <c r="W278" s="84">
        <f t="shared" si="821"/>
        <v>163.51853342999999</v>
      </c>
      <c r="X278" s="79">
        <f t="shared" si="821"/>
        <v>441.69510637999991</v>
      </c>
      <c r="Y278" s="84">
        <f t="shared" si="821"/>
        <v>125.58929700000002</v>
      </c>
      <c r="Z278" s="84">
        <f t="shared" si="821"/>
        <v>254.27982420000004</v>
      </c>
      <c r="AA278" s="84">
        <f t="shared" si="821"/>
        <v>198.92443155000001</v>
      </c>
      <c r="AB278" s="84">
        <f t="shared" si="821"/>
        <v>468.68029819999998</v>
      </c>
      <c r="AC278" s="84">
        <f t="shared" si="821"/>
        <v>154.15182000000001</v>
      </c>
      <c r="AD278" s="84">
        <f t="shared" si="821"/>
        <v>296.95098999999999</v>
      </c>
      <c r="AE278" s="84">
        <f t="shared" si="821"/>
        <v>218.39624000000001</v>
      </c>
      <c r="AF278" s="84">
        <f t="shared" si="821"/>
        <v>571.98181999999997</v>
      </c>
      <c r="AG278" s="84">
        <f t="shared" si="821"/>
        <v>122.02994000843883</v>
      </c>
      <c r="AH278" s="84">
        <f t="shared" si="821"/>
        <v>-91.998540000000006</v>
      </c>
      <c r="AI278" s="84">
        <f t="shared" si="821"/>
        <v>44.995066666666673</v>
      </c>
      <c r="AJ278" s="84">
        <f t="shared" si="821"/>
        <v>356.56086879999998</v>
      </c>
      <c r="AK278" s="84">
        <f t="shared" si="821"/>
        <v>110.50675300000002</v>
      </c>
      <c r="AL278" s="84">
        <f t="shared" si="821"/>
        <v>306.08692141952474</v>
      </c>
      <c r="AM278" s="84">
        <f t="shared" si="821"/>
        <v>255.00182770805415</v>
      </c>
      <c r="AN278" s="84">
        <f t="shared" si="821"/>
        <v>497.91547177813879</v>
      </c>
      <c r="AO278" s="84">
        <f t="shared" si="821"/>
        <v>244.01664726348554</v>
      </c>
      <c r="AP278" s="84">
        <f t="shared" si="821"/>
        <v>389.34456584999998</v>
      </c>
      <c r="AQ278" s="84">
        <f t="shared" si="821"/>
        <v>305.67471</v>
      </c>
      <c r="AR278" s="84">
        <f t="shared" si="821"/>
        <v>598.80601200000001</v>
      </c>
      <c r="AS278" s="84">
        <f t="shared" si="821"/>
        <v>276.94226700000002</v>
      </c>
      <c r="AT278" s="84">
        <f t="shared" si="821"/>
        <v>498.725415</v>
      </c>
      <c r="AU278" s="84">
        <f t="shared" si="821"/>
        <v>409.03030000000001</v>
      </c>
      <c r="AV278" s="84">
        <f t="shared" si="821"/>
        <v>796.28931199999977</v>
      </c>
      <c r="AW278" s="84">
        <f t="shared" si="821"/>
        <v>348.39350000000007</v>
      </c>
      <c r="AX278" s="84">
        <f t="shared" si="821"/>
        <v>529.64156500000001</v>
      </c>
      <c r="AY278" s="84">
        <f t="shared" si="821"/>
        <v>395.85518999999999</v>
      </c>
      <c r="AZ278" s="84">
        <f t="shared" si="821"/>
        <v>732.81938543135141</v>
      </c>
      <c r="BA278" s="84">
        <f t="shared" si="821"/>
        <v>266.3892259104598</v>
      </c>
      <c r="BB278" s="84">
        <f t="shared" si="821"/>
        <v>442.01414731785428</v>
      </c>
      <c r="BC278" s="84">
        <f t="shared" si="821"/>
        <v>342.80047999999999</v>
      </c>
      <c r="BD278" s="84">
        <f t="shared" si="821"/>
        <v>932.28210507911535</v>
      </c>
      <c r="BE278" s="84">
        <f t="shared" si="821"/>
        <v>292.77984299303779</v>
      </c>
      <c r="BG278" s="163"/>
      <c r="BH278" s="163"/>
      <c r="BI278" s="400"/>
    </row>
    <row r="279" spans="2:61" ht="13.5" customHeight="1">
      <c r="B279" s="1" t="str">
        <f t="shared" si="819"/>
        <v>Working Capital</v>
      </c>
      <c r="C279" s="95">
        <f t="shared" ref="C279:O279" si="822">C62*C$243</f>
        <v>-279.27415088746409</v>
      </c>
      <c r="D279" s="95">
        <f t="shared" si="822"/>
        <v>-345.00678933292085</v>
      </c>
      <c r="E279" s="90">
        <f t="shared" si="822"/>
        <v>-291.40497616789906</v>
      </c>
      <c r="F279" s="90">
        <f t="shared" si="822"/>
        <v>-225.74192216000003</v>
      </c>
      <c r="G279" s="90">
        <f t="shared" si="822"/>
        <v>-380.29382284000002</v>
      </c>
      <c r="H279" s="90">
        <f t="shared" si="822"/>
        <v>-432.47856468600008</v>
      </c>
      <c r="I279" s="90">
        <f t="shared" si="822"/>
        <v>234.90366121016669</v>
      </c>
      <c r="J279" s="90">
        <f t="shared" si="822"/>
        <v>-190.62227742903679</v>
      </c>
      <c r="K279" s="90">
        <f t="shared" si="822"/>
        <v>-544.13410837886954</v>
      </c>
      <c r="L279" s="90">
        <f t="shared" si="822"/>
        <v>-516.9205405875</v>
      </c>
      <c r="M279" s="90">
        <f t="shared" si="822"/>
        <v>-954.25894878015731</v>
      </c>
      <c r="N279" s="90">
        <f t="shared" si="822"/>
        <v>-683.92685645535539</v>
      </c>
      <c r="O279" s="90">
        <f t="shared" si="822"/>
        <v>277.29562366159996</v>
      </c>
      <c r="P279" s="329"/>
      <c r="Q279" s="90">
        <f t="shared" ref="Q279:BE279" si="823">Q62*Q$243</f>
        <v>-238.41323700000004</v>
      </c>
      <c r="R279" s="90">
        <f t="shared" si="823"/>
        <v>-45.941936559999967</v>
      </c>
      <c r="S279" s="90">
        <f t="shared" si="823"/>
        <v>-21.462871819999986</v>
      </c>
      <c r="T279" s="90">
        <f t="shared" si="823"/>
        <v>4.6545637922339527</v>
      </c>
      <c r="U279" s="90">
        <f t="shared" si="823"/>
        <v>-266.28830198999992</v>
      </c>
      <c r="V279" s="90">
        <f t="shared" si="823"/>
        <v>-2.1711139400000881</v>
      </c>
      <c r="W279" s="90">
        <f t="shared" si="823"/>
        <v>-101.92781411999995</v>
      </c>
      <c r="X279" s="116">
        <f t="shared" si="823"/>
        <v>157.70311952999998</v>
      </c>
      <c r="Y279" s="90">
        <f t="shared" si="823"/>
        <v>-264.47569384000002</v>
      </c>
      <c r="Z279" s="90">
        <f t="shared" si="823"/>
        <v>36.726876000000097</v>
      </c>
      <c r="AA279" s="90">
        <f t="shared" si="823"/>
        <v>-214.29485337000008</v>
      </c>
      <c r="AB279" s="127">
        <f t="shared" si="823"/>
        <v>48.226214450000064</v>
      </c>
      <c r="AC279" s="90">
        <f t="shared" si="823"/>
        <v>-251.15179139999998</v>
      </c>
      <c r="AD279" s="90">
        <f t="shared" si="823"/>
        <v>-23.604711920000014</v>
      </c>
      <c r="AE279" s="90">
        <f t="shared" si="823"/>
        <v>-339.60321998000006</v>
      </c>
      <c r="AF279" s="90">
        <f t="shared" si="823"/>
        <v>184.16051781599998</v>
      </c>
      <c r="AG279" s="90">
        <f t="shared" si="823"/>
        <v>-235.36208724018991</v>
      </c>
      <c r="AH279" s="90">
        <f t="shared" si="823"/>
        <v>-272.02599683999995</v>
      </c>
      <c r="AI279" s="90">
        <f t="shared" si="823"/>
        <v>453.83536146666665</v>
      </c>
      <c r="AJ279" s="90">
        <f t="shared" si="823"/>
        <v>257.71197662000003</v>
      </c>
      <c r="AK279" s="90">
        <f t="shared" si="823"/>
        <v>-356.77448616000009</v>
      </c>
      <c r="AL279" s="90">
        <f t="shared" si="823"/>
        <v>139.34685309745234</v>
      </c>
      <c r="AM279" s="90">
        <f t="shared" si="823"/>
        <v>-197.43794321920311</v>
      </c>
      <c r="AN279" s="90">
        <f t="shared" si="823"/>
        <v>229.28253671420515</v>
      </c>
      <c r="AO279" s="90">
        <f t="shared" si="823"/>
        <v>-420.13413147404543</v>
      </c>
      <c r="AP279" s="90">
        <f t="shared" si="823"/>
        <v>-60.868545876000056</v>
      </c>
      <c r="AQ279" s="90">
        <f t="shared" si="823"/>
        <v>-352.06515652000002</v>
      </c>
      <c r="AR279" s="90">
        <f t="shared" si="823"/>
        <v>301.51492365000007</v>
      </c>
      <c r="AS279" s="90">
        <f t="shared" si="823"/>
        <v>-435.55192956000008</v>
      </c>
      <c r="AT279" s="90">
        <f t="shared" si="823"/>
        <v>-231.83385296499998</v>
      </c>
      <c r="AU279" s="90">
        <f t="shared" si="823"/>
        <v>-258.05327</v>
      </c>
      <c r="AV279" s="90">
        <f t="shared" si="823"/>
        <v>420.36121581999998</v>
      </c>
      <c r="AW279" s="90">
        <f t="shared" si="823"/>
        <v>-460.99086300000005</v>
      </c>
      <c r="AX279" s="90">
        <f t="shared" si="823"/>
        <v>-195.27969513499997</v>
      </c>
      <c r="AY279" s="90">
        <f t="shared" si="823"/>
        <v>-462.00590469000014</v>
      </c>
      <c r="AZ279" s="90">
        <f t="shared" si="823"/>
        <v>122.79976734327713</v>
      </c>
      <c r="BA279" s="90">
        <f t="shared" si="823"/>
        <v>-416.06266472233892</v>
      </c>
      <c r="BB279" s="90">
        <f t="shared" si="823"/>
        <v>-606.39841436109964</v>
      </c>
      <c r="BC279" s="90">
        <f t="shared" si="823"/>
        <v>4.4681084800000423</v>
      </c>
      <c r="BD279" s="90">
        <f t="shared" si="823"/>
        <v>391.81309555031032</v>
      </c>
      <c r="BE279" s="90">
        <f t="shared" si="823"/>
        <v>-126.3858796204053</v>
      </c>
      <c r="BG279" s="169"/>
      <c r="BH279" s="169"/>
      <c r="BI279" s="400"/>
    </row>
    <row r="280" spans="2:61" ht="13.5" customHeight="1">
      <c r="B280" s="1" t="str">
        <f t="shared" si="819"/>
        <v>Taxes</v>
      </c>
      <c r="C280" s="95">
        <f t="shared" ref="C280:O280" si="824">C63*C$243</f>
        <v>-213.13173128528254</v>
      </c>
      <c r="D280" s="95">
        <f t="shared" si="824"/>
        <v>-292.84405459856799</v>
      </c>
      <c r="E280" s="90">
        <f t="shared" si="824"/>
        <v>-197.13901329260162</v>
      </c>
      <c r="F280" s="90">
        <f t="shared" si="824"/>
        <v>-235.35817023999999</v>
      </c>
      <c r="G280" s="90">
        <f t="shared" si="824"/>
        <v>-192.83966286</v>
      </c>
      <c r="H280" s="90">
        <f t="shared" si="824"/>
        <v>-218.36267683999998</v>
      </c>
      <c r="I280" s="90">
        <f t="shared" si="824"/>
        <v>-189.6556389437057</v>
      </c>
      <c r="J280" s="90">
        <f t="shared" si="824"/>
        <v>-82.946639432589294</v>
      </c>
      <c r="K280" s="90">
        <f t="shared" si="824"/>
        <v>-397.28794995023458</v>
      </c>
      <c r="L280" s="90">
        <f t="shared" si="824"/>
        <v>-499.18202302499992</v>
      </c>
      <c r="M280" s="90">
        <f t="shared" si="824"/>
        <v>-487.89570193483644</v>
      </c>
      <c r="N280" s="90">
        <f t="shared" si="824"/>
        <v>-505.16281434157656</v>
      </c>
      <c r="O280" s="90">
        <f t="shared" si="824"/>
        <v>-343.60863307496049</v>
      </c>
      <c r="P280" s="329"/>
      <c r="Q280" s="90">
        <f t="shared" ref="Q280:BE280" si="825">Q63*Q$243</f>
        <v>-58.904814000000002</v>
      </c>
      <c r="R280" s="90">
        <f t="shared" si="825"/>
        <v>-38.584279120000005</v>
      </c>
      <c r="S280" s="90">
        <f t="shared" si="825"/>
        <v>-46.43155118</v>
      </c>
      <c r="T280" s="90">
        <f t="shared" si="825"/>
        <v>-52.859304084720122</v>
      </c>
      <c r="U280" s="90">
        <f t="shared" si="825"/>
        <v>-86.331146719999992</v>
      </c>
      <c r="V280" s="90">
        <f t="shared" si="825"/>
        <v>-26.195311040000004</v>
      </c>
      <c r="W280" s="90">
        <f t="shared" si="825"/>
        <v>-70.452804360000002</v>
      </c>
      <c r="X280" s="116">
        <f t="shared" si="825"/>
        <v>-49.984473879999982</v>
      </c>
      <c r="Y280" s="90">
        <f t="shared" si="825"/>
        <v>-105.82629442999999</v>
      </c>
      <c r="Z280" s="90">
        <f t="shared" si="825"/>
        <v>-19.392195600000015</v>
      </c>
      <c r="AA280" s="90">
        <f t="shared" si="825"/>
        <v>-69.018202499999987</v>
      </c>
      <c r="AB280" s="127">
        <f t="shared" si="825"/>
        <v>-2.9662582000000026</v>
      </c>
      <c r="AC280" s="90">
        <f t="shared" si="825"/>
        <v>-48.172717800000008</v>
      </c>
      <c r="AD280" s="90">
        <f t="shared" si="825"/>
        <v>-47.429722900000002</v>
      </c>
      <c r="AE280" s="90">
        <f t="shared" si="825"/>
        <v>-59.625415499999981</v>
      </c>
      <c r="AF280" s="90">
        <f t="shared" si="825"/>
        <v>-62.996942630000007</v>
      </c>
      <c r="AG280" s="90">
        <f t="shared" si="825"/>
        <v>-88.419253206877642</v>
      </c>
      <c r="AH280" s="90">
        <f t="shared" si="825"/>
        <v>223.22608812000001</v>
      </c>
      <c r="AI280" s="90">
        <f t="shared" si="825"/>
        <v>-269.68105546666675</v>
      </c>
      <c r="AJ280" s="90">
        <f t="shared" si="825"/>
        <v>-29.281038631999969</v>
      </c>
      <c r="AK280" s="90">
        <f t="shared" si="825"/>
        <v>-31.812024280000003</v>
      </c>
      <c r="AL280" s="90">
        <f t="shared" si="825"/>
        <v>-16.900277022287931</v>
      </c>
      <c r="AM280" s="90">
        <f t="shared" si="825"/>
        <v>-21.114804435238216</v>
      </c>
      <c r="AN280" s="90">
        <f t="shared" si="825"/>
        <v>-12.987984441948907</v>
      </c>
      <c r="AO280" s="90">
        <f t="shared" si="825"/>
        <v>-164.00407823335217</v>
      </c>
      <c r="AP280" s="90">
        <f t="shared" si="825"/>
        <v>-87.64817102249998</v>
      </c>
      <c r="AQ280" s="90">
        <f t="shared" si="825"/>
        <v>-47.315373049999998</v>
      </c>
      <c r="AR280" s="90">
        <f t="shared" si="825"/>
        <v>-98.244640890000028</v>
      </c>
      <c r="AS280" s="90">
        <f t="shared" si="825"/>
        <v>-91.198175669999998</v>
      </c>
      <c r="AT280" s="90">
        <f t="shared" si="825"/>
        <v>-193.99857054499998</v>
      </c>
      <c r="AU280" s="90">
        <f t="shared" si="825"/>
        <v>-108.80961275</v>
      </c>
      <c r="AV280" s="90">
        <f t="shared" si="825"/>
        <v>-106.99573430000001</v>
      </c>
      <c r="AW280" s="90">
        <f t="shared" si="825"/>
        <v>-93.631680800000012</v>
      </c>
      <c r="AX280" s="90">
        <f t="shared" si="825"/>
        <v>-188.556448045</v>
      </c>
      <c r="AY280" s="90">
        <f t="shared" si="825"/>
        <v>-98.481459600000022</v>
      </c>
      <c r="AZ280" s="90">
        <f t="shared" si="825"/>
        <v>-107.97125309305274</v>
      </c>
      <c r="BA280" s="90">
        <f t="shared" si="825"/>
        <v>-169.16308469047988</v>
      </c>
      <c r="BB280" s="90">
        <f t="shared" si="825"/>
        <v>-95.099561599508945</v>
      </c>
      <c r="BC280" s="90">
        <f t="shared" si="825"/>
        <v>-114.50437855999998</v>
      </c>
      <c r="BD280" s="90">
        <f t="shared" si="825"/>
        <v>-122.21588425561679</v>
      </c>
      <c r="BE280" s="90">
        <f t="shared" si="825"/>
        <v>-106.35331690016567</v>
      </c>
      <c r="BG280" s="169"/>
      <c r="BH280" s="169"/>
      <c r="BI280" s="400"/>
    </row>
    <row r="281" spans="2:61" ht="13.5" customHeight="1">
      <c r="B281" s="1" t="str">
        <f t="shared" si="819"/>
        <v>Cash interest paid</v>
      </c>
      <c r="C281" s="95">
        <f t="shared" ref="C281:O281" si="826">C64*C$243</f>
        <v>-87.577441410212586</v>
      </c>
      <c r="D281" s="95">
        <f t="shared" si="826"/>
        <v>-61.362868711683149</v>
      </c>
      <c r="E281" s="90">
        <f t="shared" si="826"/>
        <v>-54.68179634879705</v>
      </c>
      <c r="F281" s="90">
        <f t="shared" si="826"/>
        <v>-140.31451637999999</v>
      </c>
      <c r="G281" s="90">
        <f t="shared" si="826"/>
        <v>-142.88580222000002</v>
      </c>
      <c r="H281" s="90">
        <f t="shared" si="826"/>
        <v>-132.54234855749999</v>
      </c>
      <c r="I281" s="90">
        <f t="shared" si="826"/>
        <v>-141.97622079681435</v>
      </c>
      <c r="J281" s="90">
        <f t="shared" si="826"/>
        <v>-176.01448162180964</v>
      </c>
      <c r="K281" s="90">
        <f t="shared" si="826"/>
        <v>-144.05973365467216</v>
      </c>
      <c r="L281" s="90">
        <f t="shared" si="826"/>
        <v>-158.70047216624999</v>
      </c>
      <c r="M281" s="90">
        <f t="shared" si="826"/>
        <v>-150.48806454854864</v>
      </c>
      <c r="N281" s="90">
        <f t="shared" si="826"/>
        <v>-124.07968279109997</v>
      </c>
      <c r="O281" s="90">
        <f t="shared" si="826"/>
        <v>-158.1605759650202</v>
      </c>
      <c r="P281" s="329"/>
      <c r="Q281" s="90">
        <f t="shared" ref="Q281:BE281" si="827">Q64*Q$243</f>
        <v>-9.8205030000000004</v>
      </c>
      <c r="R281" s="90">
        <f t="shared" si="827"/>
        <v>-17.363613839999999</v>
      </c>
      <c r="S281" s="90">
        <f t="shared" si="827"/>
        <v>-9.4137582700000024</v>
      </c>
      <c r="T281" s="90">
        <f t="shared" si="827"/>
        <v>-17.784770549672217</v>
      </c>
      <c r="U281" s="90">
        <f t="shared" si="827"/>
        <v>-9.9491411399999983</v>
      </c>
      <c r="V281" s="90">
        <f t="shared" si="827"/>
        <v>-52.257253190000007</v>
      </c>
      <c r="W281" s="90">
        <f t="shared" si="827"/>
        <v>-16.058343959999988</v>
      </c>
      <c r="X281" s="116">
        <f t="shared" si="827"/>
        <v>-62.66679881000001</v>
      </c>
      <c r="Y281" s="90">
        <f t="shared" si="827"/>
        <v>-21.815100609999998</v>
      </c>
      <c r="Z281" s="90">
        <f t="shared" si="827"/>
        <v>-53.038697400000004</v>
      </c>
      <c r="AA281" s="90">
        <f t="shared" si="827"/>
        <v>-14.738718930000003</v>
      </c>
      <c r="AB281" s="127">
        <f t="shared" si="827"/>
        <v>-52.675853999999994</v>
      </c>
      <c r="AC281" s="90">
        <f t="shared" si="827"/>
        <v>-15.463310400000003</v>
      </c>
      <c r="AD281" s="90">
        <f t="shared" si="827"/>
        <v>-51.123461380000002</v>
      </c>
      <c r="AE281" s="90">
        <f t="shared" si="827"/>
        <v>-15.352010339999994</v>
      </c>
      <c r="AF281" s="90">
        <f t="shared" si="827"/>
        <v>-50.823593770000016</v>
      </c>
      <c r="AG281" s="90">
        <f t="shared" si="827"/>
        <v>-14.605250579556962</v>
      </c>
      <c r="AH281" s="90">
        <f t="shared" si="827"/>
        <v>-61.641673920000002</v>
      </c>
      <c r="AI281" s="90">
        <f t="shared" si="827"/>
        <v>-14.876573133333338</v>
      </c>
      <c r="AJ281" s="90">
        <f t="shared" si="827"/>
        <v>-53.53152553599999</v>
      </c>
      <c r="AK281" s="90">
        <f t="shared" si="827"/>
        <v>-23.868954560000002</v>
      </c>
      <c r="AL281" s="90">
        <f t="shared" si="827"/>
        <v>-53.023125558207489</v>
      </c>
      <c r="AM281" s="90">
        <f t="shared" si="827"/>
        <v>-50.38450103570122</v>
      </c>
      <c r="AN281" s="90">
        <f t="shared" si="827"/>
        <v>-49.044490820846264</v>
      </c>
      <c r="AO281" s="90">
        <f t="shared" si="827"/>
        <v>-25.066917146856703</v>
      </c>
      <c r="AP281" s="90">
        <f t="shared" si="827"/>
        <v>-48.566554126499994</v>
      </c>
      <c r="AQ281" s="90">
        <f t="shared" si="827"/>
        <v>-21.052240550000004</v>
      </c>
      <c r="AR281" s="90">
        <f t="shared" si="827"/>
        <v>-49.876315440000013</v>
      </c>
      <c r="AS281" s="90">
        <f t="shared" si="827"/>
        <v>-23.490058320000003</v>
      </c>
      <c r="AT281" s="90">
        <f t="shared" si="827"/>
        <v>-56.342963660000002</v>
      </c>
      <c r="AU281" s="90">
        <f t="shared" si="827"/>
        <v>-24.739248600000003</v>
      </c>
      <c r="AV281" s="90">
        <f t="shared" si="827"/>
        <v>-54.580538739999994</v>
      </c>
      <c r="AW281" s="90">
        <f t="shared" si="827"/>
        <v>-24.973187700000004</v>
      </c>
      <c r="AX281" s="90">
        <f t="shared" si="827"/>
        <v>-55.380549860000002</v>
      </c>
      <c r="AY281" s="90">
        <f t="shared" si="827"/>
        <v>-21.584700269999999</v>
      </c>
      <c r="AZ281" s="90">
        <f t="shared" si="827"/>
        <v>-47.175291067361997</v>
      </c>
      <c r="BA281" s="90">
        <f t="shared" si="827"/>
        <v>-20.526640261302514</v>
      </c>
      <c r="BB281" s="90">
        <f t="shared" si="827"/>
        <v>-40.362784508417398</v>
      </c>
      <c r="BC281" s="90">
        <f t="shared" si="827"/>
        <v>-74.727283839999998</v>
      </c>
      <c r="BD281" s="90">
        <f t="shared" si="827"/>
        <v>11.896144767899287</v>
      </c>
      <c r="BE281" s="90">
        <f t="shared" si="827"/>
        <v>-96.607385816999809</v>
      </c>
      <c r="BG281" s="169"/>
      <c r="BH281" s="169"/>
      <c r="BI281" s="400"/>
    </row>
    <row r="282" spans="2:61" ht="13.5" customHeight="1">
      <c r="B282" s="1" t="str">
        <f t="shared" si="819"/>
        <v>Deposits interest received</v>
      </c>
      <c r="C282" s="95">
        <f t="shared" ref="C282:O282" si="828">C65*C$243</f>
        <v>313.42967559133757</v>
      </c>
      <c r="D282" s="95">
        <f t="shared" si="828"/>
        <v>280.07963782048733</v>
      </c>
      <c r="E282" s="90">
        <f t="shared" si="828"/>
        <v>256.24427668470116</v>
      </c>
      <c r="F282" s="90">
        <f t="shared" si="828"/>
        <v>300.83457639</v>
      </c>
      <c r="G282" s="90">
        <f t="shared" si="828"/>
        <v>346.67186098000002</v>
      </c>
      <c r="H282" s="90">
        <f t="shared" si="828"/>
        <v>402.76504850750001</v>
      </c>
      <c r="I282" s="90">
        <f t="shared" si="828"/>
        <v>345.75291337050419</v>
      </c>
      <c r="J282" s="90">
        <f t="shared" si="828"/>
        <v>308.37108216850976</v>
      </c>
      <c r="K282" s="90">
        <f t="shared" si="828"/>
        <v>389.17079324735761</v>
      </c>
      <c r="L282" s="90">
        <f t="shared" si="828"/>
        <v>547.76457616124992</v>
      </c>
      <c r="M282" s="90">
        <f t="shared" si="828"/>
        <v>623.91350655296594</v>
      </c>
      <c r="N282" s="90">
        <f t="shared" si="828"/>
        <v>670.56329550789621</v>
      </c>
      <c r="O282" s="90">
        <f t="shared" si="828"/>
        <v>544.82953608949754</v>
      </c>
      <c r="P282" s="329"/>
      <c r="Q282" s="90">
        <f t="shared" ref="Q282:BE282" si="829">Q65*Q$243</f>
        <v>62.875783499999997</v>
      </c>
      <c r="R282" s="90">
        <f t="shared" si="829"/>
        <v>64.164104080000016</v>
      </c>
      <c r="S282" s="90">
        <f t="shared" si="829"/>
        <v>61.436213329999987</v>
      </c>
      <c r="T282" s="90">
        <f t="shared" si="829"/>
        <v>67.339183055975795</v>
      </c>
      <c r="U282" s="90">
        <f t="shared" si="829"/>
        <v>62.72828775</v>
      </c>
      <c r="V282" s="90">
        <f t="shared" si="829"/>
        <v>71.634841489999999</v>
      </c>
      <c r="W282" s="90">
        <f t="shared" si="829"/>
        <v>79.544180460000021</v>
      </c>
      <c r="X282" s="116">
        <f t="shared" si="829"/>
        <v>87.30221906999995</v>
      </c>
      <c r="Y282" s="90">
        <f t="shared" si="829"/>
        <v>84.708627390000004</v>
      </c>
      <c r="Z282" s="90">
        <f t="shared" si="829"/>
        <v>86.138299800000013</v>
      </c>
      <c r="AA282" s="90">
        <f t="shared" si="829"/>
        <v>88.257704339999989</v>
      </c>
      <c r="AB282" s="127">
        <f t="shared" si="829"/>
        <v>89.320968250000007</v>
      </c>
      <c r="AC282" s="90">
        <f t="shared" si="829"/>
        <v>94.435907400000005</v>
      </c>
      <c r="AD282" s="90">
        <f t="shared" si="829"/>
        <v>101.55032970000001</v>
      </c>
      <c r="AE282" s="90">
        <f t="shared" si="829"/>
        <v>98.703213219999995</v>
      </c>
      <c r="AF282" s="90">
        <f t="shared" si="829"/>
        <v>108.05706340000002</v>
      </c>
      <c r="AG282" s="90">
        <f t="shared" si="829"/>
        <v>92.0463703421308</v>
      </c>
      <c r="AH282" s="90">
        <f t="shared" si="829"/>
        <v>99.827848439999997</v>
      </c>
      <c r="AI282" s="90">
        <f t="shared" si="829"/>
        <v>64.531118866666645</v>
      </c>
      <c r="AJ282" s="90">
        <f t="shared" si="829"/>
        <v>90.753857834000002</v>
      </c>
      <c r="AK282" s="90">
        <f t="shared" si="829"/>
        <v>71.849504500000009</v>
      </c>
      <c r="AL282" s="90">
        <f t="shared" si="829"/>
        <v>74.382452227531687</v>
      </c>
      <c r="AM282" s="90">
        <f t="shared" si="829"/>
        <v>80.803362982819564</v>
      </c>
      <c r="AN282" s="90">
        <f t="shared" si="829"/>
        <v>81.128970845523227</v>
      </c>
      <c r="AO282" s="90">
        <f t="shared" si="829"/>
        <v>85.049883328687145</v>
      </c>
      <c r="AP282" s="90">
        <f t="shared" si="829"/>
        <v>94.719919251000007</v>
      </c>
      <c r="AQ282" s="90">
        <f t="shared" si="829"/>
        <v>98.925354770000013</v>
      </c>
      <c r="AR282" s="90">
        <f t="shared" si="829"/>
        <v>110.74247820999996</v>
      </c>
      <c r="AS282" s="90">
        <f t="shared" si="829"/>
        <v>117.31873455000002</v>
      </c>
      <c r="AT282" s="90">
        <f t="shared" si="829"/>
        <v>132.60646333499997</v>
      </c>
      <c r="AU282" s="90">
        <f t="shared" si="829"/>
        <v>142.09762975000004</v>
      </c>
      <c r="AV282" s="90">
        <f t="shared" si="829"/>
        <v>156.33948147999993</v>
      </c>
      <c r="AW282" s="90">
        <f t="shared" si="829"/>
        <v>153.45458490000001</v>
      </c>
      <c r="AX282" s="90">
        <f t="shared" si="829"/>
        <v>160.23223501000001</v>
      </c>
      <c r="AY282" s="90">
        <f t="shared" si="829"/>
        <v>155.03998967999999</v>
      </c>
      <c r="AZ282" s="90">
        <f t="shared" si="829"/>
        <v>152.58288395753033</v>
      </c>
      <c r="BA282" s="90">
        <f t="shared" si="829"/>
        <v>154.77631776554321</v>
      </c>
      <c r="BB282" s="90">
        <f t="shared" si="829"/>
        <v>155.09833134035765</v>
      </c>
      <c r="BC282" s="90">
        <f t="shared" si="829"/>
        <v>174.45184064</v>
      </c>
      <c r="BD282" s="90">
        <f t="shared" si="829"/>
        <v>187.08611985313402</v>
      </c>
      <c r="BE282" s="90">
        <f t="shared" si="829"/>
        <v>183.15408656446226</v>
      </c>
      <c r="BG282" s="169"/>
      <c r="BH282" s="169"/>
      <c r="BI282" s="400"/>
    </row>
    <row r="283" spans="2:61" s="5" customFormat="1" ht="13.5" customHeight="1" thickBot="1">
      <c r="B283" s="23" t="str">
        <f t="shared" si="819"/>
        <v xml:space="preserve">Net cash from operations </v>
      </c>
      <c r="C283" s="91">
        <f t="shared" ref="C283:O283" si="830">C66*C$243</f>
        <v>712.65710714069019</v>
      </c>
      <c r="D283" s="91">
        <f t="shared" si="830"/>
        <v>518.3287245895142</v>
      </c>
      <c r="E283" s="91">
        <f t="shared" si="830"/>
        <v>573.29905869735353</v>
      </c>
      <c r="F283" s="91">
        <f t="shared" si="830"/>
        <v>672.54565686000001</v>
      </c>
      <c r="G283" s="91">
        <f t="shared" si="830"/>
        <v>684.17215557999998</v>
      </c>
      <c r="H283" s="91">
        <f t="shared" si="830"/>
        <v>860.78558392399975</v>
      </c>
      <c r="I283" s="91">
        <f t="shared" si="830"/>
        <v>680.8333738936318</v>
      </c>
      <c r="J283" s="91">
        <f t="shared" si="830"/>
        <v>1029.5100470839843</v>
      </c>
      <c r="K283" s="91">
        <f t="shared" si="830"/>
        <v>835.93552108436154</v>
      </c>
      <c r="L283" s="91">
        <f t="shared" si="830"/>
        <v>1346.8870770074998</v>
      </c>
      <c r="M283" s="91">
        <f t="shared" si="830"/>
        <v>1078.9017648052761</v>
      </c>
      <c r="N283" s="91">
        <f t="shared" si="830"/>
        <v>1311.7373929557016</v>
      </c>
      <c r="O283" s="91">
        <f t="shared" si="830"/>
        <v>1895.2554981376486</v>
      </c>
      <c r="P283" s="330"/>
      <c r="Q283" s="91">
        <f t="shared" ref="Q283:BE283" si="831">Q66*Q$243</f>
        <v>-111.41896950000003</v>
      </c>
      <c r="R283" s="91">
        <f t="shared" si="831"/>
        <v>172.66901480000001</v>
      </c>
      <c r="S283" s="91">
        <f t="shared" si="831"/>
        <v>130.98850604</v>
      </c>
      <c r="T283" s="91">
        <f t="shared" si="831"/>
        <v>359.26898638426633</v>
      </c>
      <c r="U283" s="91">
        <f t="shared" si="831"/>
        <v>-171.90308157999996</v>
      </c>
      <c r="V283" s="91">
        <f t="shared" si="831"/>
        <v>231.69891969999989</v>
      </c>
      <c r="W283" s="91">
        <f t="shared" si="831"/>
        <v>54.623751450000071</v>
      </c>
      <c r="X283" s="91">
        <f t="shared" si="831"/>
        <v>574.04917228999989</v>
      </c>
      <c r="Y283" s="91">
        <f t="shared" si="831"/>
        <v>-181.81916449000002</v>
      </c>
      <c r="Z283" s="91">
        <f t="shared" si="831"/>
        <v>304.71410700000007</v>
      </c>
      <c r="AA283" s="91">
        <f t="shared" si="831"/>
        <v>-10.869638910000104</v>
      </c>
      <c r="AB283" s="91">
        <f t="shared" si="831"/>
        <v>550.5853687</v>
      </c>
      <c r="AC283" s="91">
        <f t="shared" si="831"/>
        <v>-66.2000922</v>
      </c>
      <c r="AD283" s="91">
        <f t="shared" si="831"/>
        <v>276.34342349999997</v>
      </c>
      <c r="AE283" s="91">
        <f t="shared" si="831"/>
        <v>-97.481192600000028</v>
      </c>
      <c r="AF283" s="91">
        <f t="shared" si="831"/>
        <v>750.37886481599992</v>
      </c>
      <c r="AG283" s="91">
        <f t="shared" si="831"/>
        <v>-124.31028067605487</v>
      </c>
      <c r="AH283" s="91">
        <f t="shared" si="831"/>
        <v>-102.61227419999989</v>
      </c>
      <c r="AI283" s="91">
        <f t="shared" si="831"/>
        <v>278.80391839999993</v>
      </c>
      <c r="AJ283" s="91">
        <f t="shared" si="831"/>
        <v>622.21413908600005</v>
      </c>
      <c r="AK283" s="91">
        <f t="shared" si="831"/>
        <v>-230.09920750000012</v>
      </c>
      <c r="AL283" s="91">
        <f t="shared" si="831"/>
        <v>449.89282416401335</v>
      </c>
      <c r="AM283" s="91">
        <f t="shared" si="831"/>
        <v>66.867942000731162</v>
      </c>
      <c r="AN283" s="91">
        <f t="shared" si="831"/>
        <v>746.29450407507204</v>
      </c>
      <c r="AO283" s="91">
        <f t="shared" si="831"/>
        <v>-280.13859626208159</v>
      </c>
      <c r="AP283" s="91">
        <f t="shared" si="831"/>
        <v>286.9812140759999</v>
      </c>
      <c r="AQ283" s="91">
        <f t="shared" si="831"/>
        <v>-15.832705349999982</v>
      </c>
      <c r="AR283" s="91">
        <f t="shared" si="831"/>
        <v>862.94245752999984</v>
      </c>
      <c r="AS283" s="91">
        <f t="shared" si="831"/>
        <v>-155.97916200000006</v>
      </c>
      <c r="AT283" s="91">
        <f t="shared" si="831"/>
        <v>149.15649116500003</v>
      </c>
      <c r="AU283" s="91">
        <f t="shared" si="831"/>
        <v>159.52579840000007</v>
      </c>
      <c r="AV283" s="91">
        <f t="shared" si="831"/>
        <v>1211.4137362599995</v>
      </c>
      <c r="AW283" s="91">
        <f t="shared" si="831"/>
        <v>-77.747646600000024</v>
      </c>
      <c r="AX283" s="91">
        <f t="shared" si="831"/>
        <v>250.65710697000006</v>
      </c>
      <c r="AY283" s="91">
        <f t="shared" si="831"/>
        <v>-31.176884880000145</v>
      </c>
      <c r="AZ283" s="91">
        <f t="shared" si="831"/>
        <v>853.05549257174414</v>
      </c>
      <c r="BA283" s="91">
        <f t="shared" si="831"/>
        <v>-184.58684599811826</v>
      </c>
      <c r="BB283" s="91">
        <f t="shared" si="831"/>
        <v>-144.74828181081403</v>
      </c>
      <c r="BC283" s="91">
        <f t="shared" si="831"/>
        <v>332.48876672000006</v>
      </c>
      <c r="BD283" s="91">
        <f t="shared" si="831"/>
        <v>1400.8615809948421</v>
      </c>
      <c r="BE283" s="91">
        <f t="shared" si="831"/>
        <v>146.58734721992923</v>
      </c>
      <c r="BG283" s="170"/>
      <c r="BH283" s="170"/>
      <c r="BI283" s="400"/>
    </row>
    <row r="284" spans="2:61" s="5" customFormat="1" ht="13.5" customHeight="1" thickTop="1">
      <c r="B284" s="1" t="str">
        <f t="shared" si="819"/>
        <v>Capex</v>
      </c>
      <c r="C284" s="92">
        <f t="shared" ref="C284:O284" si="832">C67*C$243</f>
        <v>-325.55461919411459</v>
      </c>
      <c r="D284" s="92">
        <f t="shared" si="832"/>
        <v>-263.4020624232802</v>
      </c>
      <c r="E284" s="92">
        <f t="shared" si="832"/>
        <v>-378.24823785706258</v>
      </c>
      <c r="F284" s="92">
        <f t="shared" si="832"/>
        <v>-390.62396482000003</v>
      </c>
      <c r="G284" s="92">
        <f t="shared" si="832"/>
        <v>-393.35119968000004</v>
      </c>
      <c r="H284" s="92">
        <f t="shared" si="832"/>
        <v>-418.07190046999995</v>
      </c>
      <c r="I284" s="92">
        <f t="shared" si="832"/>
        <v>-184.38085426597047</v>
      </c>
      <c r="J284" s="92">
        <f t="shared" si="832"/>
        <v>-246.34449390900832</v>
      </c>
      <c r="K284" s="92">
        <f t="shared" si="832"/>
        <v>-362.71396339328919</v>
      </c>
      <c r="L284" s="92">
        <f t="shared" si="832"/>
        <v>-430.70322201375001</v>
      </c>
      <c r="M284" s="92">
        <f t="shared" si="832"/>
        <v>-534.8249308582848</v>
      </c>
      <c r="N284" s="92">
        <f t="shared" si="832"/>
        <v>-459.70359302039788</v>
      </c>
      <c r="O284" s="92">
        <f t="shared" si="832"/>
        <v>-330.64176551203298</v>
      </c>
      <c r="P284" s="72"/>
      <c r="Q284" s="92">
        <f t="shared" ref="Q284:BE284" si="833">Q67*Q$243</f>
        <v>-60.445771500000006</v>
      </c>
      <c r="R284" s="92">
        <f t="shared" si="833"/>
        <v>-79.746264640000007</v>
      </c>
      <c r="S284" s="92">
        <f t="shared" si="833"/>
        <v>-119.54783446000002</v>
      </c>
      <c r="T284" s="92">
        <f t="shared" si="833"/>
        <v>-115.17413010590013</v>
      </c>
      <c r="U284" s="92">
        <f t="shared" si="833"/>
        <v>-63.208608480000002</v>
      </c>
      <c r="V284" s="92">
        <f t="shared" si="833"/>
        <v>-74.355070689999977</v>
      </c>
      <c r="W284" s="92">
        <f t="shared" si="833"/>
        <v>-82.516993650000003</v>
      </c>
      <c r="X284" s="92">
        <f t="shared" si="833"/>
        <v>-170.55500087999997</v>
      </c>
      <c r="Y284" s="92">
        <f t="shared" si="833"/>
        <v>-74.884493660000004</v>
      </c>
      <c r="Z284" s="92">
        <f t="shared" si="833"/>
        <v>-112.2951978</v>
      </c>
      <c r="AA284" s="92">
        <f t="shared" si="833"/>
        <v>-110.77609841999998</v>
      </c>
      <c r="AB284" s="72">
        <f t="shared" si="833"/>
        <v>-97.297415950000016</v>
      </c>
      <c r="AC284" s="92">
        <f t="shared" si="833"/>
        <v>-81.649152000000015</v>
      </c>
      <c r="AD284" s="92">
        <f t="shared" si="833"/>
        <v>-86.877072399999989</v>
      </c>
      <c r="AE284" s="92">
        <f t="shared" si="833"/>
        <v>-109.62657596</v>
      </c>
      <c r="AF284" s="92">
        <f t="shared" si="833"/>
        <v>-139.62561626000002</v>
      </c>
      <c r="AG284" s="92">
        <f t="shared" si="833"/>
        <v>-40.477412821518982</v>
      </c>
      <c r="AH284" s="92">
        <f t="shared" si="833"/>
        <v>-51.022785599999999</v>
      </c>
      <c r="AI284" s="92">
        <f t="shared" si="833"/>
        <v>-38.084566800000019</v>
      </c>
      <c r="AJ284" s="92">
        <f t="shared" si="833"/>
        <v>-55.461313803999985</v>
      </c>
      <c r="AK284" s="92">
        <f t="shared" si="833"/>
        <v>-52.887022630000004</v>
      </c>
      <c r="AL284" s="92">
        <f t="shared" si="833"/>
        <v>-45.945584547303199</v>
      </c>
      <c r="AM284" s="92">
        <f t="shared" si="833"/>
        <v>-45.027708054100152</v>
      </c>
      <c r="AN284" s="92">
        <f t="shared" si="833"/>
        <v>-101.47247217817535</v>
      </c>
      <c r="AO284" s="92">
        <f t="shared" si="833"/>
        <v>-51.366912675170241</v>
      </c>
      <c r="AP284" s="92">
        <f t="shared" si="833"/>
        <v>-72.933740578499993</v>
      </c>
      <c r="AQ284" s="92">
        <f t="shared" si="833"/>
        <v>-93.342951239999977</v>
      </c>
      <c r="AR284" s="92">
        <f t="shared" si="833"/>
        <v>-146.26374921000004</v>
      </c>
      <c r="AS284" s="92">
        <f t="shared" si="833"/>
        <v>-57.784819769999999</v>
      </c>
      <c r="AT284" s="92">
        <f t="shared" si="833"/>
        <v>-124.40703471499999</v>
      </c>
      <c r="AU284" s="92">
        <f t="shared" si="833"/>
        <v>-137.23001695000002</v>
      </c>
      <c r="AV284" s="92">
        <f t="shared" si="833"/>
        <v>-114.95947372000001</v>
      </c>
      <c r="AW284" s="92">
        <f t="shared" si="833"/>
        <v>-148.15040430000002</v>
      </c>
      <c r="AX284" s="92">
        <f t="shared" si="833"/>
        <v>-98.097457195000032</v>
      </c>
      <c r="AY284" s="92">
        <f t="shared" si="833"/>
        <v>-124.69718484000001</v>
      </c>
      <c r="AZ284" s="92">
        <f t="shared" si="833"/>
        <v>-158.46619083766282</v>
      </c>
      <c r="BA284" s="92">
        <f t="shared" si="833"/>
        <v>-93.033085424832052</v>
      </c>
      <c r="BB284" s="92">
        <f t="shared" si="833"/>
        <v>-91.674451625962107</v>
      </c>
      <c r="BC284" s="92">
        <f t="shared" si="833"/>
        <v>-97.453624399999981</v>
      </c>
      <c r="BD284" s="92">
        <f t="shared" si="833"/>
        <v>-181.12034487280363</v>
      </c>
      <c r="BE284" s="92">
        <f t="shared" si="833"/>
        <v>-49.660767045616282</v>
      </c>
      <c r="BG284" s="171"/>
      <c r="BH284" s="171"/>
      <c r="BI284" s="400"/>
    </row>
    <row r="285" spans="2:61" ht="13.5" customHeight="1">
      <c r="B285" s="1" t="str">
        <f t="shared" si="819"/>
        <v>Net Payment for acquisition  of intangible assets</v>
      </c>
      <c r="C285" s="92">
        <f t="shared" ref="C285:O285" si="834">C68*C$243</f>
        <v>-48.152032745860595</v>
      </c>
      <c r="D285" s="92">
        <f t="shared" si="834"/>
        <v>-43.807682134928719</v>
      </c>
      <c r="E285" s="92">
        <f t="shared" si="834"/>
        <v>-48.287782253271693</v>
      </c>
      <c r="F285" s="92">
        <f t="shared" si="834"/>
        <v>-55.771863119999999</v>
      </c>
      <c r="G285" s="92">
        <f t="shared" si="834"/>
        <v>-53.972215859999999</v>
      </c>
      <c r="H285" s="92">
        <f t="shared" si="834"/>
        <v>-35.847268974999999</v>
      </c>
      <c r="I285" s="92">
        <f t="shared" si="834"/>
        <v>-32.051495509058022</v>
      </c>
      <c r="J285" s="92">
        <f t="shared" si="834"/>
        <v>-43.64921402678312</v>
      </c>
      <c r="K285" s="92">
        <f t="shared" si="834"/>
        <v>-26.576365754236289</v>
      </c>
      <c r="L285" s="92">
        <f t="shared" si="834"/>
        <v>-45.312618618749994</v>
      </c>
      <c r="M285" s="92">
        <f t="shared" si="834"/>
        <v>-80.291198923302588</v>
      </c>
      <c r="N285" s="92">
        <f t="shared" si="834"/>
        <v>-82.942465109614133</v>
      </c>
      <c r="O285" s="92">
        <f t="shared" si="834"/>
        <v>-64.034714957545674</v>
      </c>
      <c r="P285" s="72"/>
      <c r="Q285" s="92">
        <f t="shared" ref="Q285:BE285" si="835">Q68*Q$243</f>
        <v>-6.7933110000000001</v>
      </c>
      <c r="R285" s="92">
        <f t="shared" si="835"/>
        <v>-14.414536400000001</v>
      </c>
      <c r="S285" s="92">
        <f t="shared" si="835"/>
        <v>-11.107999040000005</v>
      </c>
      <c r="T285" s="92">
        <f t="shared" si="835"/>
        <v>-15.607513867876953</v>
      </c>
      <c r="U285" s="92">
        <f t="shared" si="835"/>
        <v>-7.0133047199999998</v>
      </c>
      <c r="V285" s="92">
        <f t="shared" si="835"/>
        <v>2.4948557300000003</v>
      </c>
      <c r="W285" s="92">
        <f t="shared" si="835"/>
        <v>-15.37529799</v>
      </c>
      <c r="X285" s="92">
        <f t="shared" si="835"/>
        <v>-35.933842339999991</v>
      </c>
      <c r="Y285" s="92">
        <f t="shared" si="835"/>
        <v>-9.3289414799999992</v>
      </c>
      <c r="Z285" s="92">
        <f t="shared" si="835"/>
        <v>-11.2225824</v>
      </c>
      <c r="AA285" s="92">
        <f t="shared" si="835"/>
        <v>-12.877965750000003</v>
      </c>
      <c r="AB285" s="72">
        <f t="shared" si="835"/>
        <v>-20.481791899999997</v>
      </c>
      <c r="AC285" s="92">
        <f t="shared" si="835"/>
        <v>-2.3349060000000001</v>
      </c>
      <c r="AD285" s="92">
        <f t="shared" si="835"/>
        <v>-7.00769792</v>
      </c>
      <c r="AE285" s="92">
        <f t="shared" si="835"/>
        <v>-5.949393520000001</v>
      </c>
      <c r="AF285" s="92">
        <f t="shared" si="835"/>
        <v>-20.540622799999994</v>
      </c>
      <c r="AG285" s="92">
        <f t="shared" si="835"/>
        <v>-1.3220702035021097</v>
      </c>
      <c r="AH285" s="92">
        <f t="shared" si="835"/>
        <v>-3.8873574000000004</v>
      </c>
      <c r="AI285" s="92">
        <f t="shared" si="835"/>
        <v>-5.2795418666666674</v>
      </c>
      <c r="AJ285" s="92">
        <f t="shared" si="835"/>
        <v>-21.854678320000001</v>
      </c>
      <c r="AK285" s="92">
        <f t="shared" si="835"/>
        <v>-1.70183017</v>
      </c>
      <c r="AL285" s="92">
        <f t="shared" si="835"/>
        <v>-6.4078434142870844</v>
      </c>
      <c r="AM285" s="92">
        <f t="shared" si="835"/>
        <v>-13.384671621786282</v>
      </c>
      <c r="AN285" s="92">
        <f t="shared" si="835"/>
        <v>-21.91482593586883</v>
      </c>
      <c r="AO285" s="92">
        <f t="shared" si="835"/>
        <v>-2.2197688110704643</v>
      </c>
      <c r="AP285" s="92">
        <f t="shared" si="835"/>
        <v>-5.6093989109999995</v>
      </c>
      <c r="AQ285" s="92">
        <f t="shared" si="835"/>
        <v>-4.73813087</v>
      </c>
      <c r="AR285" s="92">
        <f t="shared" si="835"/>
        <v>-14.193417829999998</v>
      </c>
      <c r="AS285" s="92">
        <f t="shared" si="835"/>
        <v>-2.8546011900000003</v>
      </c>
      <c r="AT285" s="92">
        <f t="shared" si="835"/>
        <v>-5.9214402599999998</v>
      </c>
      <c r="AU285" s="92">
        <f t="shared" si="835"/>
        <v>-8.4845390500000022</v>
      </c>
      <c r="AV285" s="92">
        <f t="shared" si="835"/>
        <v>-28.296040499999993</v>
      </c>
      <c r="AW285" s="92">
        <f t="shared" si="835"/>
        <v>-10.642758800000001</v>
      </c>
      <c r="AX285" s="92">
        <f t="shared" si="835"/>
        <v>-19.655390445000002</v>
      </c>
      <c r="AY285" s="92">
        <f t="shared" si="835"/>
        <v>-16.518408929999996</v>
      </c>
      <c r="AZ285" s="92">
        <f t="shared" si="835"/>
        <v>-31.292970020801079</v>
      </c>
      <c r="BA285" s="92">
        <f t="shared" si="835"/>
        <v>-8.6299131083199079</v>
      </c>
      <c r="BB285" s="92">
        <f t="shared" si="835"/>
        <v>-16.71397704256205</v>
      </c>
      <c r="BC285" s="92">
        <f t="shared" si="835"/>
        <v>-20.865899119999998</v>
      </c>
      <c r="BD285" s="92">
        <f t="shared" si="835"/>
        <v>-38.325957251508008</v>
      </c>
      <c r="BE285" s="92">
        <f t="shared" si="835"/>
        <v>-4.1199810999595821</v>
      </c>
      <c r="BG285" s="171"/>
      <c r="BH285" s="171"/>
      <c r="BI285" s="400"/>
    </row>
    <row r="286" spans="2:61" ht="13.5" customHeight="1">
      <c r="B286" s="1" t="str">
        <f t="shared" si="819"/>
        <v>Disposals/ Acquisition, of subsidiaries</v>
      </c>
      <c r="C286" s="92">
        <f t="shared" ref="C286:O286" si="836">C69*C$243</f>
        <v>25.690477542018254</v>
      </c>
      <c r="D286" s="92">
        <f t="shared" si="836"/>
        <v>18.554091047692371</v>
      </c>
      <c r="E286" s="92">
        <f t="shared" si="836"/>
        <v>11.23473373093889</v>
      </c>
      <c r="F286" s="92">
        <f t="shared" si="836"/>
        <v>-892.86966300999995</v>
      </c>
      <c r="G286" s="92">
        <f t="shared" si="836"/>
        <v>0.57323265999999984</v>
      </c>
      <c r="H286" s="92">
        <f t="shared" si="836"/>
        <v>-11.517430592499998</v>
      </c>
      <c r="I286" s="92">
        <f t="shared" si="836"/>
        <v>-3.7098061138227849</v>
      </c>
      <c r="J286" s="92">
        <f t="shared" si="836"/>
        <v>-11.564339752540175</v>
      </c>
      <c r="K286" s="92">
        <f t="shared" si="836"/>
        <v>-54.363768986614247</v>
      </c>
      <c r="L286" s="92">
        <f t="shared" si="836"/>
        <v>-41.562229485000003</v>
      </c>
      <c r="M286" s="92">
        <f t="shared" si="836"/>
        <v>-15.118656415003663</v>
      </c>
      <c r="N286" s="92">
        <f t="shared" si="836"/>
        <v>-861.79042694071484</v>
      </c>
      <c r="O286" s="92">
        <f t="shared" si="836"/>
        <v>-912.24513993574988</v>
      </c>
      <c r="P286" s="72"/>
      <c r="Q286" s="92">
        <f t="shared" ref="Q286:BE286" si="837">Q69*Q$243</f>
        <v>0.17982000000000001</v>
      </c>
      <c r="R286" s="92">
        <f t="shared" si="837"/>
        <v>4.4041023200000007</v>
      </c>
      <c r="S286" s="92">
        <f t="shared" si="837"/>
        <v>0.32973938999999935</v>
      </c>
      <c r="T286" s="92">
        <f t="shared" si="837"/>
        <v>6.0778113968734253</v>
      </c>
      <c r="U286" s="92">
        <f t="shared" si="837"/>
        <v>0.12925065999999999</v>
      </c>
      <c r="V286" s="92">
        <f t="shared" si="837"/>
        <v>-949.49869875999991</v>
      </c>
      <c r="W286" s="92">
        <f t="shared" si="837"/>
        <v>-22.415178720000135</v>
      </c>
      <c r="X286" s="92">
        <f t="shared" si="837"/>
        <v>61.425527789999983</v>
      </c>
      <c r="Y286" s="92">
        <f t="shared" si="837"/>
        <v>0.11745800000000001</v>
      </c>
      <c r="Z286" s="92">
        <f t="shared" si="837"/>
        <v>0.39447539999999998</v>
      </c>
      <c r="AA286" s="92">
        <f t="shared" si="837"/>
        <v>-1.5093974999999995</v>
      </c>
      <c r="AB286" s="72">
        <f t="shared" si="837"/>
        <v>1.4884767999999995</v>
      </c>
      <c r="AC286" s="92">
        <f t="shared" si="837"/>
        <v>0.12240900000000002</v>
      </c>
      <c r="AD286" s="92">
        <f t="shared" si="837"/>
        <v>0.26060085999999993</v>
      </c>
      <c r="AE286" s="92">
        <f t="shared" si="837"/>
        <v>4.4197964800000005</v>
      </c>
      <c r="AF286" s="92">
        <f t="shared" si="837"/>
        <v>-16.356674010000003</v>
      </c>
      <c r="AG286" s="92">
        <f t="shared" si="837"/>
        <v>0</v>
      </c>
      <c r="AH286" s="92">
        <f t="shared" si="837"/>
        <v>1.9983474000000001</v>
      </c>
      <c r="AI286" s="92">
        <f t="shared" si="837"/>
        <v>0.32134806666666654</v>
      </c>
      <c r="AJ286" s="92">
        <f t="shared" si="837"/>
        <v>-6.0913624199999994</v>
      </c>
      <c r="AK286" s="92">
        <f t="shared" si="837"/>
        <v>0</v>
      </c>
      <c r="AL286" s="92">
        <f t="shared" si="837"/>
        <v>0</v>
      </c>
      <c r="AM286" s="92">
        <f t="shared" si="837"/>
        <v>0</v>
      </c>
      <c r="AN286" s="92">
        <f t="shared" si="837"/>
        <v>-11.382680823786275</v>
      </c>
      <c r="AO286" s="92">
        <f t="shared" si="837"/>
        <v>0</v>
      </c>
      <c r="AP286" s="92">
        <f t="shared" si="837"/>
        <v>0</v>
      </c>
      <c r="AQ286" s="92">
        <f t="shared" si="837"/>
        <v>0</v>
      </c>
      <c r="AR286" s="92">
        <f t="shared" si="837"/>
        <v>-55.320302080000005</v>
      </c>
      <c r="AS286" s="92">
        <f t="shared" si="837"/>
        <v>0</v>
      </c>
      <c r="AT286" s="92">
        <f t="shared" si="837"/>
        <v>0</v>
      </c>
      <c r="AU286" s="92">
        <f t="shared" si="837"/>
        <v>0</v>
      </c>
      <c r="AV286" s="92">
        <f t="shared" si="837"/>
        <v>-41.568676240000002</v>
      </c>
      <c r="AW286" s="92">
        <f t="shared" si="837"/>
        <v>0</v>
      </c>
      <c r="AX286" s="92">
        <f t="shared" si="837"/>
        <v>0</v>
      </c>
      <c r="AY286" s="92">
        <f t="shared" si="837"/>
        <v>0</v>
      </c>
      <c r="AZ286" s="92">
        <f t="shared" si="837"/>
        <v>-13.66902609501464</v>
      </c>
      <c r="BA286" s="92">
        <f t="shared" si="837"/>
        <v>0</v>
      </c>
      <c r="BB286" s="92">
        <f t="shared" si="837"/>
        <v>0</v>
      </c>
      <c r="BC286" s="92">
        <f t="shared" si="837"/>
        <v>0</v>
      </c>
      <c r="BD286" s="92">
        <f t="shared" si="837"/>
        <v>-904.88875775854558</v>
      </c>
      <c r="BE286" s="92">
        <f t="shared" si="837"/>
        <v>0</v>
      </c>
      <c r="BG286" s="171"/>
      <c r="BH286" s="171"/>
      <c r="BI286" s="400"/>
    </row>
    <row r="287" spans="2:61" ht="13.5" customHeight="1">
      <c r="B287" s="1" t="str">
        <f t="shared" si="819"/>
        <v>Disposed Cash from discontinued operations</v>
      </c>
      <c r="C287" s="92">
        <f t="shared" ref="C287:O287" si="838">C70*C$243</f>
        <v>0</v>
      </c>
      <c r="D287" s="92">
        <f t="shared" si="838"/>
        <v>0</v>
      </c>
      <c r="E287" s="92">
        <f t="shared" si="838"/>
        <v>0</v>
      </c>
      <c r="F287" s="92">
        <f t="shared" si="838"/>
        <v>0</v>
      </c>
      <c r="G287" s="92">
        <f t="shared" si="838"/>
        <v>0</v>
      </c>
      <c r="H287" s="92">
        <f t="shared" si="838"/>
        <v>0</v>
      </c>
      <c r="I287" s="92">
        <f t="shared" si="838"/>
        <v>0</v>
      </c>
      <c r="J287" s="92">
        <f t="shared" si="838"/>
        <v>0</v>
      </c>
      <c r="K287" s="92">
        <f t="shared" si="838"/>
        <v>0</v>
      </c>
      <c r="L287" s="92">
        <f t="shared" si="838"/>
        <v>0</v>
      </c>
      <c r="M287" s="92">
        <f t="shared" si="838"/>
        <v>0</v>
      </c>
      <c r="N287" s="92">
        <f t="shared" si="838"/>
        <v>0</v>
      </c>
      <c r="O287" s="92">
        <f t="shared" si="838"/>
        <v>0</v>
      </c>
      <c r="P287" s="72"/>
      <c r="Q287" s="92">
        <f t="shared" ref="Q287:BE287" si="839">Q70*Q$243</f>
        <v>0</v>
      </c>
      <c r="R287" s="92">
        <f t="shared" si="839"/>
        <v>0</v>
      </c>
      <c r="S287" s="92">
        <f t="shared" si="839"/>
        <v>0</v>
      </c>
      <c r="T287" s="92">
        <f t="shared" si="839"/>
        <v>0</v>
      </c>
      <c r="U287" s="92">
        <f t="shared" si="839"/>
        <v>0</v>
      </c>
      <c r="V287" s="92">
        <f t="shared" si="839"/>
        <v>0</v>
      </c>
      <c r="W287" s="92">
        <f t="shared" si="839"/>
        <v>0</v>
      </c>
      <c r="X287" s="92">
        <f t="shared" si="839"/>
        <v>0</v>
      </c>
      <c r="Y287" s="92">
        <f t="shared" si="839"/>
        <v>0</v>
      </c>
      <c r="Z287" s="92">
        <f t="shared" si="839"/>
        <v>0</v>
      </c>
      <c r="AA287" s="92">
        <f t="shared" si="839"/>
        <v>0</v>
      </c>
      <c r="AB287" s="72">
        <f t="shared" si="839"/>
        <v>0</v>
      </c>
      <c r="AC287" s="92">
        <f t="shared" si="839"/>
        <v>0</v>
      </c>
      <c r="AD287" s="92">
        <f t="shared" si="839"/>
        <v>0</v>
      </c>
      <c r="AE287" s="92">
        <f t="shared" si="839"/>
        <v>0</v>
      </c>
      <c r="AF287" s="92">
        <f t="shared" si="839"/>
        <v>0</v>
      </c>
      <c r="AG287" s="92">
        <f t="shared" si="839"/>
        <v>0</v>
      </c>
      <c r="AH287" s="92">
        <f t="shared" si="839"/>
        <v>0</v>
      </c>
      <c r="AI287" s="92">
        <f t="shared" si="839"/>
        <v>0</v>
      </c>
      <c r="AJ287" s="92">
        <f t="shared" si="839"/>
        <v>0</v>
      </c>
      <c r="AK287" s="92">
        <f t="shared" si="839"/>
        <v>0</v>
      </c>
      <c r="AL287" s="92">
        <f t="shared" si="839"/>
        <v>0</v>
      </c>
      <c r="AM287" s="92">
        <f t="shared" si="839"/>
        <v>0</v>
      </c>
      <c r="AN287" s="92">
        <f t="shared" si="839"/>
        <v>0</v>
      </c>
      <c r="AO287" s="92">
        <f t="shared" si="839"/>
        <v>0</v>
      </c>
      <c r="AP287" s="92">
        <f t="shared" si="839"/>
        <v>0</v>
      </c>
      <c r="AQ287" s="92">
        <f t="shared" si="839"/>
        <v>0</v>
      </c>
      <c r="AR287" s="92">
        <f t="shared" si="839"/>
        <v>0</v>
      </c>
      <c r="AS287" s="92">
        <f t="shared" si="839"/>
        <v>0</v>
      </c>
      <c r="AT287" s="92">
        <f t="shared" si="839"/>
        <v>0</v>
      </c>
      <c r="AU287" s="92">
        <f t="shared" si="839"/>
        <v>0</v>
      </c>
      <c r="AV287" s="92">
        <f t="shared" si="839"/>
        <v>0</v>
      </c>
      <c r="AW287" s="92">
        <f t="shared" si="839"/>
        <v>0</v>
      </c>
      <c r="AX287" s="92">
        <f t="shared" si="839"/>
        <v>0</v>
      </c>
      <c r="AY287" s="92">
        <f t="shared" si="839"/>
        <v>0</v>
      </c>
      <c r="AZ287" s="92">
        <f t="shared" si="839"/>
        <v>0</v>
      </c>
      <c r="BA287" s="92">
        <f t="shared" si="839"/>
        <v>0</v>
      </c>
      <c r="BB287" s="92">
        <f t="shared" si="839"/>
        <v>0</v>
      </c>
      <c r="BC287" s="92">
        <f t="shared" si="839"/>
        <v>0</v>
      </c>
      <c r="BD287" s="92">
        <f t="shared" si="839"/>
        <v>0</v>
      </c>
      <c r="BE287" s="92">
        <f t="shared" si="839"/>
        <v>0</v>
      </c>
      <c r="BG287" s="171"/>
      <c r="BH287" s="171"/>
      <c r="BI287" s="400"/>
    </row>
    <row r="288" spans="2:61" ht="13.5" customHeight="1" thickBot="1">
      <c r="B288" s="54" t="str">
        <f t="shared" si="819"/>
        <v xml:space="preserve">Free cash flow </v>
      </c>
      <c r="C288" s="94">
        <f t="shared" ref="C288:O288" si="840">C71*C$243</f>
        <v>364.64093274273318</v>
      </c>
      <c r="D288" s="94">
        <f t="shared" si="840"/>
        <v>229.67307107899768</v>
      </c>
      <c r="E288" s="94">
        <f t="shared" si="840"/>
        <v>157.99777231795807</v>
      </c>
      <c r="F288" s="94">
        <f t="shared" si="840"/>
        <v>-666.71983408999984</v>
      </c>
      <c r="G288" s="94">
        <f t="shared" si="840"/>
        <v>237.42197269999997</v>
      </c>
      <c r="H288" s="94">
        <f t="shared" si="840"/>
        <v>395.34898388649975</v>
      </c>
      <c r="I288" s="94">
        <f t="shared" si="840"/>
        <v>460.69121800478052</v>
      </c>
      <c r="J288" s="94">
        <f t="shared" si="840"/>
        <v>727.95199939565271</v>
      </c>
      <c r="K288" s="94">
        <f t="shared" si="840"/>
        <v>392.28142295022184</v>
      </c>
      <c r="L288" s="94">
        <f t="shared" si="840"/>
        <v>829.30900688999964</v>
      </c>
      <c r="M288" s="94">
        <f t="shared" si="840"/>
        <v>448.66697860868516</v>
      </c>
      <c r="N288" s="94">
        <f t="shared" si="840"/>
        <v>-92.699092115025138</v>
      </c>
      <c r="O288" s="94">
        <f t="shared" si="840"/>
        <v>588.33387773232005</v>
      </c>
      <c r="P288" s="79"/>
      <c r="Q288" s="94">
        <f t="shared" ref="Q288:BE288" si="841">Q71*Q$243</f>
        <v>-178.47823200000002</v>
      </c>
      <c r="R288" s="94">
        <f t="shared" si="841"/>
        <v>82.912316080000011</v>
      </c>
      <c r="S288" s="94">
        <f t="shared" si="841"/>
        <v>0.66241192999998721</v>
      </c>
      <c r="T288" s="94">
        <f t="shared" si="841"/>
        <v>234.56515380736263</v>
      </c>
      <c r="U288" s="94">
        <f t="shared" si="841"/>
        <v>-241.99574411999993</v>
      </c>
      <c r="V288" s="94">
        <f t="shared" si="841"/>
        <v>-789.65999401999989</v>
      </c>
      <c r="W288" s="94">
        <f t="shared" si="841"/>
        <v>-65.683718910000053</v>
      </c>
      <c r="X288" s="94">
        <f t="shared" si="841"/>
        <v>428.9858568599999</v>
      </c>
      <c r="Y288" s="94">
        <f t="shared" si="841"/>
        <v>-265.91514163000005</v>
      </c>
      <c r="Z288" s="94">
        <f t="shared" si="841"/>
        <v>181.59080220000007</v>
      </c>
      <c r="AA288" s="94">
        <f t="shared" si="841"/>
        <v>-136.03310058000008</v>
      </c>
      <c r="AB288" s="128">
        <f t="shared" si="841"/>
        <v>434.29463765000008</v>
      </c>
      <c r="AC288" s="94">
        <f t="shared" si="841"/>
        <v>-150.06174120000003</v>
      </c>
      <c r="AD288" s="94">
        <f t="shared" si="841"/>
        <v>182.71925403999998</v>
      </c>
      <c r="AE288" s="94">
        <f t="shared" si="841"/>
        <v>-208.63736560000004</v>
      </c>
      <c r="AF288" s="94">
        <f t="shared" si="841"/>
        <v>573.85595174599996</v>
      </c>
      <c r="AG288" s="94">
        <f t="shared" si="841"/>
        <v>-166.10976370107596</v>
      </c>
      <c r="AH288" s="94">
        <f t="shared" si="841"/>
        <v>-155.52406979999989</v>
      </c>
      <c r="AI288" s="94">
        <f t="shared" si="841"/>
        <v>235.76115779999989</v>
      </c>
      <c r="AJ288" s="94">
        <f t="shared" si="841"/>
        <v>538.80678454199995</v>
      </c>
      <c r="AK288" s="94">
        <f t="shared" si="841"/>
        <v>-284.68806030000013</v>
      </c>
      <c r="AL288" s="94">
        <f t="shared" si="841"/>
        <v>397.53939620242306</v>
      </c>
      <c r="AM288" s="94">
        <f t="shared" si="841"/>
        <v>8.4555623248447329</v>
      </c>
      <c r="AN288" s="94">
        <f t="shared" si="841"/>
        <v>611.52452513724154</v>
      </c>
      <c r="AO288" s="94">
        <f t="shared" si="841"/>
        <v>-333.72527774832236</v>
      </c>
      <c r="AP288" s="94">
        <f t="shared" si="841"/>
        <v>208.43807458649994</v>
      </c>
      <c r="AQ288" s="94">
        <f t="shared" si="841"/>
        <v>-113.91378745999995</v>
      </c>
      <c r="AR288" s="94">
        <f t="shared" si="841"/>
        <v>647.16498840999975</v>
      </c>
      <c r="AS288" s="94">
        <f t="shared" si="841"/>
        <v>-216.61858296000008</v>
      </c>
      <c r="AT288" s="94">
        <f t="shared" si="841"/>
        <v>18.828016190000046</v>
      </c>
      <c r="AU288" s="94">
        <f t="shared" si="841"/>
        <v>13.811242400000022</v>
      </c>
      <c r="AV288" s="94">
        <f t="shared" si="841"/>
        <v>1026.5895457999995</v>
      </c>
      <c r="AW288" s="94">
        <f t="shared" si="841"/>
        <v>-236.54080970000004</v>
      </c>
      <c r="AX288" s="94">
        <f t="shared" si="841"/>
        <v>132.90425933</v>
      </c>
      <c r="AY288" s="94">
        <f t="shared" si="841"/>
        <v>-172.39247865000013</v>
      </c>
      <c r="AZ288" s="94">
        <f t="shared" si="841"/>
        <v>649.62730561826572</v>
      </c>
      <c r="BA288" s="94">
        <f t="shared" si="841"/>
        <v>-286.24984453127018</v>
      </c>
      <c r="BB288" s="94">
        <f t="shared" si="841"/>
        <v>-253.13671047933821</v>
      </c>
      <c r="BC288" s="94">
        <f t="shared" si="841"/>
        <v>214.16924320000007</v>
      </c>
      <c r="BD288" s="94">
        <f t="shared" si="841"/>
        <v>276.52652111198506</v>
      </c>
      <c r="BE288" s="94">
        <f t="shared" si="841"/>
        <v>92.806599074353358</v>
      </c>
      <c r="BG288" s="163"/>
      <c r="BH288" s="163"/>
      <c r="BI288" s="400"/>
    </row>
    <row r="289" spans="2:61" ht="13.5" customHeight="1" thickTop="1">
      <c r="B289" s="1" t="str">
        <f>B73</f>
        <v>Equity Issuance/Buyback</v>
      </c>
      <c r="C289" s="95">
        <f t="shared" ref="C289:O289" si="842">C73*C$243</f>
        <v>0</v>
      </c>
      <c r="D289" s="95">
        <f t="shared" si="842"/>
        <v>0</v>
      </c>
      <c r="E289" s="95">
        <f t="shared" si="842"/>
        <v>0</v>
      </c>
      <c r="F289" s="95">
        <f t="shared" si="842"/>
        <v>0</v>
      </c>
      <c r="G289" s="95">
        <f t="shared" si="842"/>
        <v>-4.1197160400000001</v>
      </c>
      <c r="H289" s="95">
        <f t="shared" si="842"/>
        <v>-23.4541806975</v>
      </c>
      <c r="I289" s="95">
        <f t="shared" si="842"/>
        <v>-0.97299944781223635</v>
      </c>
      <c r="J289" s="95">
        <f t="shared" si="842"/>
        <v>10.132122258194821</v>
      </c>
      <c r="K289" s="95">
        <f t="shared" si="842"/>
        <v>-0.37024172921664172</v>
      </c>
      <c r="L289" s="95">
        <f t="shared" si="842"/>
        <v>-1.2525553949999999</v>
      </c>
      <c r="M289" s="95">
        <f t="shared" si="842"/>
        <v>-0.21120726320358946</v>
      </c>
      <c r="N289" s="95">
        <f t="shared" si="842"/>
        <v>-22.085985490296419</v>
      </c>
      <c r="O289" s="95">
        <f t="shared" si="842"/>
        <v>-25.096271054818889</v>
      </c>
      <c r="P289" s="72"/>
      <c r="Q289" s="95">
        <f t="shared" ref="Q289:BE289" si="843">Q73*Q$243</f>
        <v>0</v>
      </c>
      <c r="R289" s="95">
        <f t="shared" si="843"/>
        <v>0</v>
      </c>
      <c r="S289" s="95">
        <f t="shared" si="843"/>
        <v>0</v>
      </c>
      <c r="T289" s="95">
        <f t="shared" si="843"/>
        <v>0</v>
      </c>
      <c r="U289" s="95">
        <f t="shared" si="843"/>
        <v>0</v>
      </c>
      <c r="V289" s="95">
        <f t="shared" si="843"/>
        <v>0</v>
      </c>
      <c r="W289" s="95">
        <f t="shared" si="843"/>
        <v>0</v>
      </c>
      <c r="X289" s="92">
        <f t="shared" si="843"/>
        <v>0</v>
      </c>
      <c r="Y289" s="95">
        <f t="shared" si="843"/>
        <v>0</v>
      </c>
      <c r="Z289" s="95">
        <f t="shared" si="843"/>
        <v>0</v>
      </c>
      <c r="AA289" s="95">
        <f t="shared" si="843"/>
        <v>0</v>
      </c>
      <c r="AB289" s="129">
        <f t="shared" si="843"/>
        <v>-3.9923103000000002</v>
      </c>
      <c r="AC289" s="95">
        <f t="shared" si="843"/>
        <v>-2.2638096000000001</v>
      </c>
      <c r="AD289" s="95">
        <f t="shared" si="843"/>
        <v>-9.3695927599999997</v>
      </c>
      <c r="AE289" s="95">
        <f t="shared" si="843"/>
        <v>-8.5381402800000004</v>
      </c>
      <c r="AF289" s="95">
        <f t="shared" si="843"/>
        <v>-3.2640797900000007</v>
      </c>
      <c r="AG289" s="95">
        <f t="shared" si="843"/>
        <v>-25.071869332172998</v>
      </c>
      <c r="AH289" s="95">
        <f t="shared" si="843"/>
        <v>4.2439924800000037</v>
      </c>
      <c r="AI289" s="95">
        <f t="shared" si="843"/>
        <v>5.0169499333333318</v>
      </c>
      <c r="AJ289" s="95">
        <f t="shared" si="843"/>
        <v>15.264295196000001</v>
      </c>
      <c r="AK289" s="95">
        <f t="shared" si="843"/>
        <v>10.0294124</v>
      </c>
      <c r="AL289" s="95">
        <f t="shared" si="843"/>
        <v>0</v>
      </c>
      <c r="AM289" s="95">
        <f t="shared" si="843"/>
        <v>0</v>
      </c>
      <c r="AN289" s="95">
        <f t="shared" si="843"/>
        <v>0</v>
      </c>
      <c r="AO289" s="95">
        <f t="shared" si="843"/>
        <v>0</v>
      </c>
      <c r="AP289" s="95">
        <f t="shared" si="843"/>
        <v>-1.0318228739999999</v>
      </c>
      <c r="AQ289" s="95">
        <f t="shared" si="843"/>
        <v>0.50244447000000003</v>
      </c>
      <c r="AR289" s="95">
        <f t="shared" si="843"/>
        <v>0.15446239999999997</v>
      </c>
      <c r="AS289" s="95">
        <f t="shared" si="843"/>
        <v>-1.22131908</v>
      </c>
      <c r="AT289" s="95">
        <f t="shared" si="843"/>
        <v>2.1736932600000003</v>
      </c>
      <c r="AU289" s="95">
        <f t="shared" si="843"/>
        <v>-0.67882870000000006</v>
      </c>
      <c r="AV289" s="95">
        <f t="shared" si="843"/>
        <v>-1.4476243600000001</v>
      </c>
      <c r="AW289" s="95">
        <f t="shared" si="843"/>
        <v>2.7270700000000005E-2</v>
      </c>
      <c r="AX289" s="95">
        <f t="shared" si="843"/>
        <v>0.24613527000000002</v>
      </c>
      <c r="AY289" s="95">
        <f t="shared" si="843"/>
        <v>-0.19452006000000002</v>
      </c>
      <c r="AZ289" s="95">
        <f t="shared" si="843"/>
        <v>-0.24493035085816814</v>
      </c>
      <c r="BA289" s="95">
        <f t="shared" si="843"/>
        <v>-0.16574034259782799</v>
      </c>
      <c r="BB289" s="95">
        <f t="shared" si="843"/>
        <v>-3.5873611956231798E-3</v>
      </c>
      <c r="BC289" s="95">
        <f t="shared" si="843"/>
        <v>-0.97906952000000003</v>
      </c>
      <c r="BD289" s="95">
        <f t="shared" si="843"/>
        <v>-22.003726287262879</v>
      </c>
      <c r="BE289" s="95">
        <f t="shared" si="843"/>
        <v>-1.9730048217874203</v>
      </c>
      <c r="BG289" s="171"/>
      <c r="BH289" s="171"/>
      <c r="BI289" s="400"/>
    </row>
    <row r="290" spans="2:61" s="5" customFormat="1" ht="13.5" customHeight="1">
      <c r="B290" s="1" t="str">
        <f>B74</f>
        <v xml:space="preserve">Dividends received  / Dividends Paid </v>
      </c>
      <c r="C290" s="95">
        <f t="shared" ref="C290:O290" si="844">C74*C$243</f>
        <v>0</v>
      </c>
      <c r="D290" s="95">
        <f t="shared" si="844"/>
        <v>-58.762691059184867</v>
      </c>
      <c r="E290" s="95">
        <f t="shared" si="844"/>
        <v>-59.624993435221036</v>
      </c>
      <c r="F290" s="95">
        <f t="shared" si="844"/>
        <v>-61.949062669999996</v>
      </c>
      <c r="G290" s="95">
        <f t="shared" si="844"/>
        <v>-56.055552939999991</v>
      </c>
      <c r="H290" s="95">
        <f t="shared" si="844"/>
        <v>-65.575592617499993</v>
      </c>
      <c r="I290" s="95">
        <f t="shared" si="844"/>
        <v>0</v>
      </c>
      <c r="J290" s="95">
        <f t="shared" si="844"/>
        <v>-147.80000753861751</v>
      </c>
      <c r="K290" s="95">
        <f t="shared" si="844"/>
        <v>-164.16108835545521</v>
      </c>
      <c r="L290" s="95">
        <f t="shared" si="844"/>
        <v>-197.56511567624997</v>
      </c>
      <c r="M290" s="95">
        <f t="shared" si="844"/>
        <v>-184.23962853468402</v>
      </c>
      <c r="N290" s="95">
        <f t="shared" si="844"/>
        <v>-188.16084471522998</v>
      </c>
      <c r="O290" s="95">
        <f t="shared" si="844"/>
        <v>-78.367887195694138</v>
      </c>
      <c r="P290" s="72"/>
      <c r="Q290" s="95">
        <f t="shared" ref="Q290:BE290" si="845">Q74*Q$243</f>
        <v>0</v>
      </c>
      <c r="R290" s="95">
        <f t="shared" si="845"/>
        <v>-43.029509760000003</v>
      </c>
      <c r="S290" s="95">
        <f t="shared" si="845"/>
        <v>0</v>
      </c>
      <c r="T290" s="95">
        <f t="shared" si="845"/>
        <v>-16.847049924357037</v>
      </c>
      <c r="U290" s="95">
        <f t="shared" si="845"/>
        <v>0</v>
      </c>
      <c r="V290" s="95">
        <f t="shared" si="845"/>
        <v>-41.978950210000001</v>
      </c>
      <c r="W290" s="95">
        <f t="shared" si="845"/>
        <v>0</v>
      </c>
      <c r="X290" s="92">
        <f t="shared" si="845"/>
        <v>-20.538140479999988</v>
      </c>
      <c r="Y290" s="95">
        <f t="shared" si="845"/>
        <v>0</v>
      </c>
      <c r="Z290" s="95">
        <f t="shared" si="845"/>
        <v>-40.631592600000005</v>
      </c>
      <c r="AA290" s="95">
        <f t="shared" si="845"/>
        <v>11.306375729999999</v>
      </c>
      <c r="AB290" s="129">
        <f t="shared" si="845"/>
        <v>-25.728339649999988</v>
      </c>
      <c r="AC290" s="95">
        <f t="shared" si="845"/>
        <v>0</v>
      </c>
      <c r="AD290" s="95">
        <f t="shared" si="845"/>
        <v>-46.33932368</v>
      </c>
      <c r="AE290" s="95">
        <f t="shared" si="845"/>
        <v>10.968544620000003</v>
      </c>
      <c r="AF290" s="95">
        <f t="shared" si="845"/>
        <v>-30.612720620000008</v>
      </c>
      <c r="AG290" s="95">
        <f t="shared" si="845"/>
        <v>0</v>
      </c>
      <c r="AH290" s="95">
        <f t="shared" si="845"/>
        <v>0</v>
      </c>
      <c r="AI290" s="95">
        <f t="shared" si="845"/>
        <v>0</v>
      </c>
      <c r="AJ290" s="95">
        <f t="shared" si="845"/>
        <v>0</v>
      </c>
      <c r="AK290" s="95">
        <f t="shared" si="845"/>
        <v>-97.515435840000009</v>
      </c>
      <c r="AL290" s="95">
        <f t="shared" si="845"/>
        <v>0</v>
      </c>
      <c r="AM290" s="95">
        <f t="shared" si="845"/>
        <v>3.9030583648105233</v>
      </c>
      <c r="AN290" s="95">
        <f t="shared" si="845"/>
        <v>-52.37139786293686</v>
      </c>
      <c r="AO290" s="95">
        <f t="shared" si="845"/>
        <v>-49.828287490664117</v>
      </c>
      <c r="AP290" s="95">
        <f t="shared" si="845"/>
        <v>-68.466859908000004</v>
      </c>
      <c r="AQ290" s="95">
        <f t="shared" si="845"/>
        <v>0</v>
      </c>
      <c r="AR290" s="95">
        <f t="shared" si="845"/>
        <v>-46.360517489999978</v>
      </c>
      <c r="AS290" s="95">
        <f t="shared" si="845"/>
        <v>2.8924938900000003</v>
      </c>
      <c r="AT290" s="95">
        <f t="shared" si="845"/>
        <v>-106.54741571999998</v>
      </c>
      <c r="AU290" s="95">
        <f t="shared" si="845"/>
        <v>3.0458295499999908</v>
      </c>
      <c r="AV290" s="95">
        <f t="shared" si="845"/>
        <v>-98.686648059999996</v>
      </c>
      <c r="AW290" s="95">
        <f t="shared" si="845"/>
        <v>7.9201652000000005</v>
      </c>
      <c r="AX290" s="95">
        <f t="shared" si="845"/>
        <v>-132.584922495</v>
      </c>
      <c r="AY290" s="95">
        <f t="shared" si="845"/>
        <v>17.601054120000025</v>
      </c>
      <c r="AZ290" s="95">
        <f t="shared" si="845"/>
        <v>-75.080000394333439</v>
      </c>
      <c r="BA290" s="95">
        <f t="shared" si="845"/>
        <v>2.924500974824805</v>
      </c>
      <c r="BB290" s="95">
        <f t="shared" si="845"/>
        <v>-115.48592029803042</v>
      </c>
      <c r="BC290" s="95">
        <f t="shared" si="845"/>
        <v>7.0857600000033194E-3</v>
      </c>
      <c r="BD290" s="95">
        <f t="shared" si="845"/>
        <v>-77.743137512020269</v>
      </c>
      <c r="BE290" s="95">
        <f t="shared" si="845"/>
        <v>0</v>
      </c>
      <c r="BG290" s="171"/>
      <c r="BH290" s="171"/>
      <c r="BI290" s="400"/>
    </row>
    <row r="291" spans="2:61" ht="13.5" customHeight="1">
      <c r="B291" s="1" t="str">
        <f>B75</f>
        <v>Acquisition of bonds</v>
      </c>
      <c r="C291" s="95">
        <f t="shared" ref="C291:O291" si="846">C75*C$243</f>
        <v>0</v>
      </c>
      <c r="D291" s="95">
        <f t="shared" si="846"/>
        <v>0</v>
      </c>
      <c r="E291" s="95">
        <f t="shared" si="846"/>
        <v>0</v>
      </c>
      <c r="F291" s="95">
        <f t="shared" si="846"/>
        <v>0</v>
      </c>
      <c r="G291" s="95">
        <f t="shared" si="846"/>
        <v>0</v>
      </c>
      <c r="H291" s="95">
        <f t="shared" si="846"/>
        <v>0</v>
      </c>
      <c r="I291" s="95">
        <f t="shared" si="846"/>
        <v>0</v>
      </c>
      <c r="J291" s="95">
        <f t="shared" si="846"/>
        <v>0</v>
      </c>
      <c r="K291" s="95">
        <f t="shared" si="846"/>
        <v>0</v>
      </c>
      <c r="L291" s="95">
        <f t="shared" si="846"/>
        <v>0</v>
      </c>
      <c r="M291" s="95">
        <f t="shared" si="846"/>
        <v>0</v>
      </c>
      <c r="N291" s="95">
        <f t="shared" si="846"/>
        <v>0</v>
      </c>
      <c r="O291" s="95">
        <f t="shared" si="846"/>
        <v>0</v>
      </c>
      <c r="P291" s="72"/>
      <c r="Q291" s="95">
        <f t="shared" ref="Q291:BE291" si="847">Q75*Q$243</f>
        <v>0</v>
      </c>
      <c r="R291" s="95">
        <f t="shared" si="847"/>
        <v>0</v>
      </c>
      <c r="S291" s="95">
        <f t="shared" si="847"/>
        <v>0</v>
      </c>
      <c r="T291" s="95">
        <f t="shared" si="847"/>
        <v>0</v>
      </c>
      <c r="U291" s="95">
        <f t="shared" si="847"/>
        <v>0</v>
      </c>
      <c r="V291" s="95">
        <f t="shared" si="847"/>
        <v>0</v>
      </c>
      <c r="W291" s="95">
        <f t="shared" si="847"/>
        <v>0</v>
      </c>
      <c r="X291" s="92">
        <f t="shared" si="847"/>
        <v>0</v>
      </c>
      <c r="Y291" s="95">
        <f t="shared" si="847"/>
        <v>0</v>
      </c>
      <c r="Z291" s="95">
        <f t="shared" si="847"/>
        <v>0</v>
      </c>
      <c r="AA291" s="95">
        <f t="shared" si="847"/>
        <v>0</v>
      </c>
      <c r="AB291" s="129">
        <f t="shared" si="847"/>
        <v>0</v>
      </c>
      <c r="AC291" s="95">
        <f t="shared" si="847"/>
        <v>0</v>
      </c>
      <c r="AD291" s="95">
        <f t="shared" si="847"/>
        <v>0</v>
      </c>
      <c r="AE291" s="95">
        <f t="shared" si="847"/>
        <v>0</v>
      </c>
      <c r="AF291" s="95">
        <f t="shared" si="847"/>
        <v>0</v>
      </c>
      <c r="AG291" s="95">
        <f t="shared" si="847"/>
        <v>0</v>
      </c>
      <c r="AH291" s="95">
        <f t="shared" si="847"/>
        <v>0</v>
      </c>
      <c r="AI291" s="95">
        <f t="shared" si="847"/>
        <v>0</v>
      </c>
      <c r="AJ291" s="95">
        <f t="shared" si="847"/>
        <v>0</v>
      </c>
      <c r="AK291" s="95">
        <f t="shared" si="847"/>
        <v>0</v>
      </c>
      <c r="AL291" s="95">
        <f t="shared" si="847"/>
        <v>0</v>
      </c>
      <c r="AM291" s="95">
        <f t="shared" si="847"/>
        <v>0</v>
      </c>
      <c r="AN291" s="95">
        <f t="shared" si="847"/>
        <v>0</v>
      </c>
      <c r="AO291" s="95">
        <f t="shared" si="847"/>
        <v>0</v>
      </c>
      <c r="AP291" s="95">
        <f t="shared" si="847"/>
        <v>0</v>
      </c>
      <c r="AQ291" s="95">
        <f t="shared" si="847"/>
        <v>0</v>
      </c>
      <c r="AR291" s="95">
        <f t="shared" si="847"/>
        <v>0</v>
      </c>
      <c r="AS291" s="95">
        <f t="shared" si="847"/>
        <v>0</v>
      </c>
      <c r="AT291" s="95">
        <f t="shared" si="847"/>
        <v>0</v>
      </c>
      <c r="AU291" s="95">
        <f t="shared" si="847"/>
        <v>0</v>
      </c>
      <c r="AV291" s="95">
        <f t="shared" si="847"/>
        <v>0</v>
      </c>
      <c r="AW291" s="95">
        <f t="shared" si="847"/>
        <v>0</v>
      </c>
      <c r="AX291" s="95">
        <f t="shared" si="847"/>
        <v>0</v>
      </c>
      <c r="AY291" s="95">
        <f t="shared" si="847"/>
        <v>0</v>
      </c>
      <c r="AZ291" s="95">
        <f t="shared" si="847"/>
        <v>0</v>
      </c>
      <c r="BA291" s="95">
        <f t="shared" si="847"/>
        <v>0</v>
      </c>
      <c r="BB291" s="95">
        <f t="shared" si="847"/>
        <v>0</v>
      </c>
      <c r="BC291" s="95">
        <f t="shared" si="847"/>
        <v>0</v>
      </c>
      <c r="BD291" s="95">
        <f t="shared" si="847"/>
        <v>0</v>
      </c>
      <c r="BE291" s="95">
        <f t="shared" si="847"/>
        <v>0</v>
      </c>
      <c r="BG291" s="171"/>
      <c r="BH291" s="171"/>
      <c r="BI291" s="400"/>
    </row>
    <row r="292" spans="2:61" ht="13.5" customHeight="1" thickBot="1">
      <c r="B292" s="43" t="str">
        <f>B76</f>
        <v>Change in debt /Finance Costs</v>
      </c>
      <c r="C292" s="95">
        <f t="shared" ref="C292:O292" si="848">C76*C$243</f>
        <v>-119.45080335402893</v>
      </c>
      <c r="D292" s="93">
        <f t="shared" si="848"/>
        <v>0</v>
      </c>
      <c r="E292" s="93">
        <f t="shared" si="848"/>
        <v>779.63059948875434</v>
      </c>
      <c r="F292" s="93">
        <f t="shared" si="848"/>
        <v>352.64949999999999</v>
      </c>
      <c r="G292" s="93">
        <f t="shared" si="848"/>
        <v>-295.25599936000003</v>
      </c>
      <c r="H292" s="93">
        <f t="shared" si="848"/>
        <v>161.79504480999998</v>
      </c>
      <c r="I292" s="93">
        <f t="shared" si="848"/>
        <v>5.367558597687764</v>
      </c>
      <c r="J292" s="93">
        <f t="shared" si="848"/>
        <v>-354.08927242656824</v>
      </c>
      <c r="K292" s="93">
        <f t="shared" si="848"/>
        <v>-281.42340971034253</v>
      </c>
      <c r="L292" s="93">
        <f t="shared" si="848"/>
        <v>-141.644361495</v>
      </c>
      <c r="M292" s="93">
        <f t="shared" si="848"/>
        <v>-471.40436186651846</v>
      </c>
      <c r="N292" s="93">
        <f t="shared" si="848"/>
        <v>912.70721921432801</v>
      </c>
      <c r="O292" s="93">
        <f t="shared" si="848"/>
        <v>-132.92428691042662</v>
      </c>
      <c r="P292" s="72"/>
      <c r="Q292" s="93">
        <f t="shared" ref="Q292:BE292" si="849">Q76*Q$243</f>
        <v>0</v>
      </c>
      <c r="R292" s="93">
        <f t="shared" si="849"/>
        <v>0</v>
      </c>
      <c r="S292" s="93">
        <f t="shared" si="849"/>
        <v>34.397849999999998</v>
      </c>
      <c r="T292" s="93">
        <f t="shared" si="849"/>
        <v>701.01679273827551</v>
      </c>
      <c r="U292" s="93">
        <f t="shared" si="849"/>
        <v>143.173</v>
      </c>
      <c r="V292" s="93">
        <f t="shared" si="849"/>
        <v>0</v>
      </c>
      <c r="W292" s="93">
        <f t="shared" si="849"/>
        <v>280.64999999999998</v>
      </c>
      <c r="X292" s="93">
        <f t="shared" si="849"/>
        <v>-65.862499999999997</v>
      </c>
      <c r="Y292" s="93">
        <f t="shared" si="849"/>
        <v>-75.079687500000006</v>
      </c>
      <c r="Z292" s="93">
        <f t="shared" si="849"/>
        <v>-170.44375320000003</v>
      </c>
      <c r="AA292" s="93">
        <f t="shared" si="849"/>
        <v>-53.43</v>
      </c>
      <c r="AB292" s="130">
        <f t="shared" si="849"/>
        <v>0</v>
      </c>
      <c r="AC292" s="93">
        <f t="shared" si="849"/>
        <v>-23.347807200000002</v>
      </c>
      <c r="AD292" s="93">
        <f t="shared" si="849"/>
        <v>-24.13486378</v>
      </c>
      <c r="AE292" s="93">
        <f t="shared" si="849"/>
        <v>-24.918115579999998</v>
      </c>
      <c r="AF292" s="93">
        <f t="shared" si="849"/>
        <v>234.09928076</v>
      </c>
      <c r="AG292" s="93">
        <f t="shared" si="849"/>
        <v>-24.797962384599153</v>
      </c>
      <c r="AH292" s="93">
        <f t="shared" si="849"/>
        <v>6.7395373200000002</v>
      </c>
      <c r="AI292" s="93">
        <f t="shared" si="849"/>
        <v>203.62313720000003</v>
      </c>
      <c r="AJ292" s="93">
        <f t="shared" si="849"/>
        <v>-195.80408108600002</v>
      </c>
      <c r="AK292" s="93">
        <f t="shared" si="849"/>
        <v>-25.087102600000005</v>
      </c>
      <c r="AL292" s="93">
        <f t="shared" si="849"/>
        <v>-27.078348361834493</v>
      </c>
      <c r="AM292" s="93">
        <f t="shared" si="849"/>
        <v>-247.23889362739135</v>
      </c>
      <c r="AN292" s="93">
        <f t="shared" si="849"/>
        <v>-53.225789349386133</v>
      </c>
      <c r="AO292" s="93">
        <f t="shared" si="849"/>
        <v>-121.04004917924098</v>
      </c>
      <c r="AP292" s="93">
        <f t="shared" si="849"/>
        <v>-26.670380374500013</v>
      </c>
      <c r="AQ292" s="93">
        <f t="shared" si="849"/>
        <v>-101.71287697999999</v>
      </c>
      <c r="AR292" s="93">
        <f t="shared" si="849"/>
        <v>-30.416542729999993</v>
      </c>
      <c r="AS292" s="93">
        <f t="shared" si="849"/>
        <v>-32.715596519999998</v>
      </c>
      <c r="AT292" s="93">
        <f t="shared" si="849"/>
        <v>-35.525489785000005</v>
      </c>
      <c r="AU292" s="93">
        <f t="shared" si="849"/>
        <v>-36.800958449999989</v>
      </c>
      <c r="AV292" s="93">
        <f t="shared" si="849"/>
        <v>-36.642081840000017</v>
      </c>
      <c r="AW292" s="93">
        <f t="shared" si="849"/>
        <v>-39.057120100000006</v>
      </c>
      <c r="AX292" s="93">
        <f t="shared" si="849"/>
        <v>-37.938151699999999</v>
      </c>
      <c r="AY292" s="93">
        <f t="shared" si="849"/>
        <v>-35.643027420000003</v>
      </c>
      <c r="AZ292" s="93">
        <f t="shared" si="849"/>
        <v>-327.48686376765875</v>
      </c>
      <c r="BA292" s="93">
        <f t="shared" si="849"/>
        <v>962.67319736851027</v>
      </c>
      <c r="BB292" s="93">
        <f t="shared" si="849"/>
        <v>-38.211853983538838</v>
      </c>
      <c r="BC292" s="93">
        <f t="shared" si="849"/>
        <v>-40.0572506399999</v>
      </c>
      <c r="BD292" s="93">
        <f t="shared" si="849"/>
        <v>-42.945406066963947</v>
      </c>
      <c r="BE292" s="93">
        <f t="shared" si="849"/>
        <v>-50.152737374829996</v>
      </c>
      <c r="BG292" s="171"/>
      <c r="BH292" s="171"/>
      <c r="BI292" s="400"/>
    </row>
    <row r="293" spans="2:61" ht="13.5" customHeight="1" thickTop="1" thickBot="1">
      <c r="B293" s="59" t="str">
        <f t="shared" ref="B293:B298" si="850">B78</f>
        <v>Cash flow after financing activities</v>
      </c>
      <c r="C293" s="96">
        <f t="shared" ref="C293:O293" si="851">C78*C$243</f>
        <v>245.19012938870429</v>
      </c>
      <c r="D293" s="94">
        <f t="shared" si="851"/>
        <v>170.91038001981278</v>
      </c>
      <c r="E293" s="94">
        <f t="shared" si="851"/>
        <v>878.00337837149141</v>
      </c>
      <c r="F293" s="94">
        <f t="shared" si="851"/>
        <v>-376.01939675999984</v>
      </c>
      <c r="G293" s="94">
        <f t="shared" si="851"/>
        <v>-118.00929564000005</v>
      </c>
      <c r="H293" s="94">
        <f t="shared" si="851"/>
        <v>468.11425538149973</v>
      </c>
      <c r="I293" s="94">
        <f t="shared" si="851"/>
        <v>465.08577715465606</v>
      </c>
      <c r="J293" s="94">
        <f t="shared" si="851"/>
        <v>240.60029745633787</v>
      </c>
      <c r="K293" s="94">
        <f t="shared" si="851"/>
        <v>-347.48876466689711</v>
      </c>
      <c r="L293" s="94">
        <f t="shared" si="851"/>
        <v>511.72072079624979</v>
      </c>
      <c r="M293" s="94">
        <f t="shared" si="851"/>
        <v>-92.152662067052802</v>
      </c>
      <c r="N293" s="94">
        <f t="shared" si="851"/>
        <v>624.09745045647901</v>
      </c>
      <c r="O293" s="94">
        <f t="shared" si="851"/>
        <v>1267.2316951607736</v>
      </c>
      <c r="P293" s="79"/>
      <c r="Q293" s="94">
        <f t="shared" ref="Q293:BE293" si="852">Q78*Q$243</f>
        <v>-178.47823200000002</v>
      </c>
      <c r="R293" s="94">
        <f t="shared" si="852"/>
        <v>39.882806320000007</v>
      </c>
      <c r="S293" s="94">
        <f t="shared" si="852"/>
        <v>35.060261929999989</v>
      </c>
      <c r="T293" s="94">
        <f t="shared" si="852"/>
        <v>918.734896621281</v>
      </c>
      <c r="U293" s="94">
        <f t="shared" si="852"/>
        <v>-98.822744119999925</v>
      </c>
      <c r="V293" s="94">
        <f t="shared" si="852"/>
        <v>-831.63894422999999</v>
      </c>
      <c r="W293" s="94">
        <f t="shared" si="852"/>
        <v>214.96628108999994</v>
      </c>
      <c r="X293" s="94">
        <f t="shared" si="852"/>
        <v>342.58521637999991</v>
      </c>
      <c r="Y293" s="94">
        <f t="shared" si="852"/>
        <v>-340.99482913000008</v>
      </c>
      <c r="Z293" s="94">
        <f t="shared" si="852"/>
        <v>-29.484543599999942</v>
      </c>
      <c r="AA293" s="94">
        <f t="shared" si="852"/>
        <v>-178.1567248500001</v>
      </c>
      <c r="AB293" s="128">
        <f t="shared" si="852"/>
        <v>404.57398770000009</v>
      </c>
      <c r="AC293" s="94">
        <f t="shared" si="852"/>
        <v>-175.67335800000001</v>
      </c>
      <c r="AD293" s="94">
        <f t="shared" si="852"/>
        <v>102.87547382</v>
      </c>
      <c r="AE293" s="94">
        <f t="shared" si="852"/>
        <v>-231.12507684000002</v>
      </c>
      <c r="AF293" s="94">
        <f t="shared" si="852"/>
        <v>774.0784320959998</v>
      </c>
      <c r="AG293" s="94">
        <f t="shared" si="852"/>
        <v>-215.97959541784815</v>
      </c>
      <c r="AH293" s="94">
        <f t="shared" si="852"/>
        <v>-144.54053999999988</v>
      </c>
      <c r="AI293" s="94">
        <f t="shared" si="852"/>
        <v>444.40124493333332</v>
      </c>
      <c r="AJ293" s="94">
        <f t="shared" si="852"/>
        <v>358.26699865199993</v>
      </c>
      <c r="AK293" s="94">
        <f t="shared" si="852"/>
        <v>-397.26118634000017</v>
      </c>
      <c r="AL293" s="94">
        <f t="shared" si="852"/>
        <v>370.1577972439058</v>
      </c>
      <c r="AM293" s="94">
        <f t="shared" si="852"/>
        <v>-240.0511860606799</v>
      </c>
      <c r="AN293" s="94">
        <f t="shared" si="852"/>
        <v>515.66668755211333</v>
      </c>
      <c r="AO293" s="94">
        <f t="shared" si="852"/>
        <v>-505.04931084111604</v>
      </c>
      <c r="AP293" s="94">
        <f t="shared" si="852"/>
        <v>112.26901142999992</v>
      </c>
      <c r="AQ293" s="94">
        <f t="shared" si="852"/>
        <v>-508.66578256999992</v>
      </c>
      <c r="AR293" s="94">
        <f t="shared" si="852"/>
        <v>574.00605747999998</v>
      </c>
      <c r="AS293" s="94">
        <f t="shared" si="852"/>
        <v>-250.65620775000008</v>
      </c>
      <c r="AT293" s="94">
        <f t="shared" si="852"/>
        <v>-124.40679581045495</v>
      </c>
      <c r="AU293" s="94">
        <f t="shared" si="852"/>
        <v>-21.440785694949977</v>
      </c>
      <c r="AV293" s="94">
        <f t="shared" si="852"/>
        <v>919.92714085999933</v>
      </c>
      <c r="AW293" s="94">
        <f t="shared" si="852"/>
        <v>-272.82597800000008</v>
      </c>
      <c r="AX293" s="94">
        <f t="shared" si="852"/>
        <v>-64.355472524999996</v>
      </c>
      <c r="AY293" s="94">
        <f t="shared" si="852"/>
        <v>-183.2488851600001</v>
      </c>
      <c r="AZ293" s="94">
        <f t="shared" si="852"/>
        <v>371.57777733962968</v>
      </c>
      <c r="BA293" s="94">
        <f t="shared" si="852"/>
        <v>693.222681267295</v>
      </c>
      <c r="BB293" s="94">
        <f t="shared" si="852"/>
        <v>-1312.0640328147317</v>
      </c>
      <c r="BC293" s="94">
        <f t="shared" si="852"/>
        <v>202.48090632000029</v>
      </c>
      <c r="BD293" s="94">
        <f t="shared" si="852"/>
        <v>1068.3293447853832</v>
      </c>
      <c r="BE293" s="94">
        <f t="shared" si="852"/>
        <v>-18.139541503236508</v>
      </c>
      <c r="BG293" s="163"/>
      <c r="BH293" s="163"/>
      <c r="BI293" s="400"/>
    </row>
    <row r="294" spans="2:61" s="5" customFormat="1" ht="13.5" customHeight="1" thickTop="1">
      <c r="B294" s="1" t="str">
        <f t="shared" si="850"/>
        <v xml:space="preserve">FX </v>
      </c>
      <c r="C294" s="92">
        <f t="shared" ref="C294:O294" si="853">C79*C$243</f>
        <v>-3.3789211754016852</v>
      </c>
      <c r="D294" s="92">
        <f t="shared" si="853"/>
        <v>0</v>
      </c>
      <c r="E294" s="92">
        <f t="shared" si="853"/>
        <v>0</v>
      </c>
      <c r="F294" s="92">
        <f t="shared" si="853"/>
        <v>0</v>
      </c>
      <c r="G294" s="92">
        <f t="shared" si="853"/>
        <v>0</v>
      </c>
      <c r="H294" s="92">
        <f t="shared" si="853"/>
        <v>0</v>
      </c>
      <c r="I294" s="92">
        <f t="shared" si="853"/>
        <v>0</v>
      </c>
      <c r="J294" s="92">
        <f t="shared" si="853"/>
        <v>0</v>
      </c>
      <c r="K294" s="92">
        <f t="shared" si="853"/>
        <v>0</v>
      </c>
      <c r="L294" s="92">
        <f t="shared" si="853"/>
        <v>0</v>
      </c>
      <c r="M294" s="92">
        <f t="shared" si="853"/>
        <v>0</v>
      </c>
      <c r="N294" s="92">
        <f t="shared" si="853"/>
        <v>0</v>
      </c>
      <c r="O294" s="92">
        <f t="shared" si="853"/>
        <v>0</v>
      </c>
      <c r="P294" s="72"/>
      <c r="Q294" s="92">
        <f t="shared" ref="Q294:BE294" si="854">Q79*Q$243</f>
        <v>0</v>
      </c>
      <c r="R294" s="92">
        <f t="shared" si="854"/>
        <v>0</v>
      </c>
      <c r="S294" s="92">
        <f t="shared" si="854"/>
        <v>0</v>
      </c>
      <c r="T294" s="92">
        <f t="shared" si="854"/>
        <v>0</v>
      </c>
      <c r="U294" s="92">
        <f t="shared" si="854"/>
        <v>0</v>
      </c>
      <c r="V294" s="92">
        <f t="shared" si="854"/>
        <v>0</v>
      </c>
      <c r="W294" s="92">
        <f t="shared" si="854"/>
        <v>0</v>
      </c>
      <c r="X294" s="92">
        <f t="shared" si="854"/>
        <v>0</v>
      </c>
      <c r="Y294" s="92">
        <f t="shared" si="854"/>
        <v>0</v>
      </c>
      <c r="Z294" s="92">
        <f t="shared" si="854"/>
        <v>0</v>
      </c>
      <c r="AA294" s="92">
        <f t="shared" si="854"/>
        <v>0</v>
      </c>
      <c r="AB294" s="72">
        <f t="shared" si="854"/>
        <v>0</v>
      </c>
      <c r="AC294" s="92">
        <f t="shared" si="854"/>
        <v>0</v>
      </c>
      <c r="AD294" s="92">
        <f t="shared" si="854"/>
        <v>0</v>
      </c>
      <c r="AE294" s="92">
        <f t="shared" si="854"/>
        <v>0</v>
      </c>
      <c r="AF294" s="92">
        <f t="shared" si="854"/>
        <v>0</v>
      </c>
      <c r="AG294" s="92">
        <f t="shared" si="854"/>
        <v>0</v>
      </c>
      <c r="AH294" s="92">
        <f t="shared" si="854"/>
        <v>0</v>
      </c>
      <c r="AI294" s="92">
        <f t="shared" si="854"/>
        <v>0</v>
      </c>
      <c r="AJ294" s="92">
        <f t="shared" si="854"/>
        <v>0</v>
      </c>
      <c r="AK294" s="92">
        <f t="shared" si="854"/>
        <v>0</v>
      </c>
      <c r="AL294" s="92">
        <f t="shared" si="854"/>
        <v>0</v>
      </c>
      <c r="AM294" s="92">
        <f t="shared" si="854"/>
        <v>0</v>
      </c>
      <c r="AN294" s="92">
        <f t="shared" si="854"/>
        <v>0</v>
      </c>
      <c r="AO294" s="92">
        <f t="shared" si="854"/>
        <v>0</v>
      </c>
      <c r="AP294" s="92">
        <f t="shared" si="854"/>
        <v>0</v>
      </c>
      <c r="AQ294" s="92">
        <f t="shared" si="854"/>
        <v>0</v>
      </c>
      <c r="AR294" s="92">
        <f t="shared" si="854"/>
        <v>0</v>
      </c>
      <c r="AS294" s="92">
        <f t="shared" si="854"/>
        <v>0</v>
      </c>
      <c r="AT294" s="92">
        <f t="shared" si="854"/>
        <v>0</v>
      </c>
      <c r="AU294" s="92">
        <f t="shared" si="854"/>
        <v>0</v>
      </c>
      <c r="AV294" s="92">
        <f t="shared" si="854"/>
        <v>0</v>
      </c>
      <c r="AW294" s="92">
        <f t="shared" si="854"/>
        <v>0</v>
      </c>
      <c r="AX294" s="92">
        <f t="shared" si="854"/>
        <v>0</v>
      </c>
      <c r="AY294" s="92">
        <f t="shared" si="854"/>
        <v>0</v>
      </c>
      <c r="AZ294" s="92">
        <f t="shared" si="854"/>
        <v>0</v>
      </c>
      <c r="BA294" s="92">
        <f t="shared" si="854"/>
        <v>0</v>
      </c>
      <c r="BB294" s="92">
        <f t="shared" si="854"/>
        <v>0</v>
      </c>
      <c r="BC294" s="92">
        <f t="shared" si="854"/>
        <v>0</v>
      </c>
      <c r="BD294" s="92">
        <f t="shared" si="854"/>
        <v>0</v>
      </c>
      <c r="BE294" s="92">
        <f t="shared" si="854"/>
        <v>0</v>
      </c>
      <c r="BG294" s="171"/>
      <c r="BH294" s="171"/>
      <c r="BI294" s="400"/>
    </row>
    <row r="295" spans="2:61" s="5" customFormat="1" ht="13.5" customHeight="1">
      <c r="B295" s="1" t="str">
        <f t="shared" si="850"/>
        <v>Hyperinflation effect</v>
      </c>
      <c r="C295" s="92">
        <f t="shared" ref="C295:O295" si="855">C80*C$243</f>
        <v>0</v>
      </c>
      <c r="D295" s="92">
        <f t="shared" si="855"/>
        <v>0</v>
      </c>
      <c r="E295" s="92">
        <f t="shared" si="855"/>
        <v>0</v>
      </c>
      <c r="F295" s="92">
        <f t="shared" si="855"/>
        <v>0</v>
      </c>
      <c r="G295" s="92">
        <f t="shared" si="855"/>
        <v>0</v>
      </c>
      <c r="H295" s="92">
        <f t="shared" si="855"/>
        <v>0</v>
      </c>
      <c r="I295" s="92">
        <f t="shared" si="855"/>
        <v>0</v>
      </c>
      <c r="J295" s="92">
        <f t="shared" si="855"/>
        <v>0</v>
      </c>
      <c r="K295" s="92">
        <f t="shared" si="855"/>
        <v>0</v>
      </c>
      <c r="L295" s="92">
        <f t="shared" si="855"/>
        <v>0</v>
      </c>
      <c r="M295" s="92">
        <f t="shared" si="855"/>
        <v>0</v>
      </c>
      <c r="N295" s="92">
        <f t="shared" si="855"/>
        <v>0</v>
      </c>
      <c r="O295" s="92">
        <f t="shared" si="855"/>
        <v>0</v>
      </c>
      <c r="P295" s="72"/>
      <c r="Q295" s="92">
        <f t="shared" ref="Q295:BE295" si="856">Q80*Q$243</f>
        <v>0</v>
      </c>
      <c r="R295" s="92">
        <f t="shared" si="856"/>
        <v>0</v>
      </c>
      <c r="S295" s="92">
        <f t="shared" si="856"/>
        <v>0</v>
      </c>
      <c r="T295" s="92">
        <f t="shared" si="856"/>
        <v>0</v>
      </c>
      <c r="U295" s="92">
        <f t="shared" si="856"/>
        <v>0</v>
      </c>
      <c r="V295" s="92">
        <f t="shared" si="856"/>
        <v>0</v>
      </c>
      <c r="W295" s="92">
        <f t="shared" si="856"/>
        <v>0</v>
      </c>
      <c r="X295" s="92">
        <f t="shared" si="856"/>
        <v>0</v>
      </c>
      <c r="Y295" s="92">
        <f t="shared" si="856"/>
        <v>0</v>
      </c>
      <c r="Z295" s="92">
        <f t="shared" si="856"/>
        <v>0</v>
      </c>
      <c r="AA295" s="92">
        <f t="shared" si="856"/>
        <v>0</v>
      </c>
      <c r="AB295" s="72">
        <f t="shared" si="856"/>
        <v>0</v>
      </c>
      <c r="AC295" s="92">
        <f t="shared" si="856"/>
        <v>0</v>
      </c>
      <c r="AD295" s="92">
        <f t="shared" si="856"/>
        <v>0</v>
      </c>
      <c r="AE295" s="92">
        <f t="shared" si="856"/>
        <v>0</v>
      </c>
      <c r="AF295" s="92">
        <f t="shared" si="856"/>
        <v>0</v>
      </c>
      <c r="AG295" s="92">
        <f t="shared" si="856"/>
        <v>0</v>
      </c>
      <c r="AH295" s="92">
        <f t="shared" si="856"/>
        <v>0</v>
      </c>
      <c r="AI295" s="92">
        <f t="shared" si="856"/>
        <v>0</v>
      </c>
      <c r="AJ295" s="92">
        <f t="shared" si="856"/>
        <v>0</v>
      </c>
      <c r="AK295" s="92">
        <f t="shared" si="856"/>
        <v>0</v>
      </c>
      <c r="AL295" s="92">
        <f t="shared" si="856"/>
        <v>0</v>
      </c>
      <c r="AM295" s="92">
        <f t="shared" si="856"/>
        <v>0</v>
      </c>
      <c r="AN295" s="92">
        <f t="shared" si="856"/>
        <v>0</v>
      </c>
      <c r="AO295" s="92">
        <f t="shared" si="856"/>
        <v>0</v>
      </c>
      <c r="AP295" s="92">
        <f t="shared" si="856"/>
        <v>0</v>
      </c>
      <c r="AQ295" s="92">
        <f t="shared" si="856"/>
        <v>0</v>
      </c>
      <c r="AR295" s="92">
        <f t="shared" si="856"/>
        <v>0</v>
      </c>
      <c r="AS295" s="92">
        <f t="shared" si="856"/>
        <v>0</v>
      </c>
      <c r="AT295" s="92">
        <f t="shared" si="856"/>
        <v>0</v>
      </c>
      <c r="AU295" s="92">
        <f t="shared" si="856"/>
        <v>0</v>
      </c>
      <c r="AV295" s="92">
        <f t="shared" si="856"/>
        <v>0</v>
      </c>
      <c r="AW295" s="92">
        <f t="shared" si="856"/>
        <v>0</v>
      </c>
      <c r="AX295" s="92">
        <f t="shared" si="856"/>
        <v>0</v>
      </c>
      <c r="AY295" s="92">
        <f t="shared" si="856"/>
        <v>0</v>
      </c>
      <c r="AZ295" s="92">
        <f t="shared" si="856"/>
        <v>0</v>
      </c>
      <c r="BA295" s="92">
        <f t="shared" si="856"/>
        <v>0</v>
      </c>
      <c r="BB295" s="92">
        <f t="shared" si="856"/>
        <v>0</v>
      </c>
      <c r="BC295" s="92">
        <f t="shared" si="856"/>
        <v>0</v>
      </c>
      <c r="BD295" s="92">
        <f t="shared" si="856"/>
        <v>0</v>
      </c>
      <c r="BE295" s="92">
        <f t="shared" si="856"/>
        <v>0</v>
      </c>
      <c r="BG295" s="171"/>
      <c r="BH295" s="171"/>
      <c r="BI295" s="400"/>
    </row>
    <row r="296" spans="2:61" ht="13.5" customHeight="1">
      <c r="B296" s="1" t="str">
        <f t="shared" si="850"/>
        <v>Balancing figure</v>
      </c>
      <c r="C296" s="92">
        <f t="shared" ref="C296:O296" si="857">C81*C$243</f>
        <v>76.116252060582909</v>
      </c>
      <c r="D296" s="92">
        <f t="shared" si="857"/>
        <v>-1.2162741532221391</v>
      </c>
      <c r="E296" s="92">
        <f t="shared" si="857"/>
        <v>32.66372276370268</v>
      </c>
      <c r="F296" s="92">
        <f t="shared" si="857"/>
        <v>-98.023833800000148</v>
      </c>
      <c r="G296" s="92">
        <f t="shared" si="857"/>
        <v>-43.354839159999955</v>
      </c>
      <c r="H296" s="92">
        <f t="shared" si="857"/>
        <v>-202.98895212399972</v>
      </c>
      <c r="I296" s="92">
        <f t="shared" si="857"/>
        <v>-102.56566782026574</v>
      </c>
      <c r="J296" s="92">
        <f t="shared" si="857"/>
        <v>67.835812057807289</v>
      </c>
      <c r="K296" s="92">
        <f t="shared" si="857"/>
        <v>-50.89528055505204</v>
      </c>
      <c r="L296" s="92">
        <f t="shared" si="857"/>
        <v>-213.2537612362498</v>
      </c>
      <c r="M296" s="92">
        <f t="shared" si="857"/>
        <v>-184.74949180920152</v>
      </c>
      <c r="N296" s="92">
        <f t="shared" si="857"/>
        <v>-596.15868557584872</v>
      </c>
      <c r="O296" s="92">
        <f t="shared" si="857"/>
        <v>-504.67009336654797</v>
      </c>
      <c r="P296" s="72"/>
      <c r="Q296" s="92">
        <f t="shared" ref="Q296:BE296" si="858">Q81*Q$243</f>
        <v>0.71128800000003956</v>
      </c>
      <c r="R296" s="92">
        <f t="shared" si="858"/>
        <v>-28.785456880000027</v>
      </c>
      <c r="S296" s="92">
        <f t="shared" si="858"/>
        <v>-47.258006189999982</v>
      </c>
      <c r="T296" s="92">
        <f t="shared" si="858"/>
        <v>101.03277861825509</v>
      </c>
      <c r="U296" s="92">
        <f t="shared" si="858"/>
        <v>-40.869720250000078</v>
      </c>
      <c r="V296" s="92">
        <f t="shared" si="858"/>
        <v>-39.747380740000004</v>
      </c>
      <c r="W296" s="92">
        <f t="shared" si="858"/>
        <v>13.64469783000002</v>
      </c>
      <c r="X296" s="92">
        <f t="shared" si="858"/>
        <v>-27.752244520000076</v>
      </c>
      <c r="Y296" s="92">
        <f t="shared" si="858"/>
        <v>21.407574740000069</v>
      </c>
      <c r="Z296" s="92">
        <f t="shared" si="858"/>
        <v>-48.163843800000052</v>
      </c>
      <c r="AA296" s="92">
        <f t="shared" si="858"/>
        <v>7.6693422000001439</v>
      </c>
      <c r="AB296" s="72">
        <f t="shared" si="858"/>
        <v>-22.935225850000108</v>
      </c>
      <c r="AC296" s="92">
        <f t="shared" si="858"/>
        <v>-33.290028000000014</v>
      </c>
      <c r="AD296" s="92">
        <f t="shared" si="858"/>
        <v>-28.514570300000003</v>
      </c>
      <c r="AE296" s="92">
        <f t="shared" si="858"/>
        <v>-46.267531619999986</v>
      </c>
      <c r="AF296" s="92">
        <f t="shared" si="858"/>
        <v>-94.718692655999746</v>
      </c>
      <c r="AG296" s="92">
        <f t="shared" si="858"/>
        <v>3.422292703164588</v>
      </c>
      <c r="AH296" s="92">
        <f t="shared" si="858"/>
        <v>-291.12916716000007</v>
      </c>
      <c r="AI296" s="92">
        <f t="shared" si="858"/>
        <v>198.16424880000005</v>
      </c>
      <c r="AJ296" s="92">
        <f t="shared" si="858"/>
        <v>-37.751513593999924</v>
      </c>
      <c r="AK296" s="92">
        <f t="shared" si="858"/>
        <v>-5.9430521099998819</v>
      </c>
      <c r="AL296" s="92">
        <f t="shared" si="858"/>
        <v>-15.525116687439196</v>
      </c>
      <c r="AM296" s="92">
        <f t="shared" si="858"/>
        <v>18.712962592908468</v>
      </c>
      <c r="AN296" s="92">
        <f t="shared" si="858"/>
        <v>69.003908791648342</v>
      </c>
      <c r="AO296" s="92">
        <f t="shared" si="858"/>
        <v>-32.181573465753111</v>
      </c>
      <c r="AP296" s="92">
        <f t="shared" si="858"/>
        <v>-16.527873650999933</v>
      </c>
      <c r="AQ296" s="92">
        <f t="shared" si="858"/>
        <v>-3.523186260000037</v>
      </c>
      <c r="AR296" s="92">
        <f t="shared" si="858"/>
        <v>1.652137960000027</v>
      </c>
      <c r="AS296" s="92">
        <f t="shared" si="858"/>
        <v>-68.343113609999904</v>
      </c>
      <c r="AT296" s="92">
        <f t="shared" si="858"/>
        <v>-32.487876029545056</v>
      </c>
      <c r="AU296" s="92">
        <f t="shared" si="858"/>
        <v>-32.232643355050129</v>
      </c>
      <c r="AV296" s="92">
        <f t="shared" si="858"/>
        <v>-77.991848479999746</v>
      </c>
      <c r="AW296" s="92">
        <f t="shared" si="858"/>
        <v>-111.2338869</v>
      </c>
      <c r="AX296" s="92">
        <f t="shared" si="858"/>
        <v>4.1536040000000103</v>
      </c>
      <c r="AY296" s="92">
        <f t="shared" si="858"/>
        <v>-31.925855789999861</v>
      </c>
      <c r="AZ296" s="92">
        <f t="shared" si="858"/>
        <v>-47.747518163983855</v>
      </c>
      <c r="BA296" s="92">
        <f t="shared" si="858"/>
        <v>-117.95636230655423</v>
      </c>
      <c r="BB296" s="92">
        <f t="shared" si="858"/>
        <v>-102.9901675413504</v>
      </c>
      <c r="BC296" s="92">
        <f t="shared" si="858"/>
        <v>-140.91654896000026</v>
      </c>
      <c r="BD296" s="92">
        <f t="shared" si="858"/>
        <v>-240.06359821662696</v>
      </c>
      <c r="BE296" s="92">
        <f t="shared" si="858"/>
        <v>-122.01496063440361</v>
      </c>
      <c r="BG296" s="171"/>
      <c r="BH296" s="171"/>
      <c r="BI296" s="400"/>
    </row>
    <row r="297" spans="2:61" s="5" customFormat="1" ht="13.5" customHeight="1" thickBot="1">
      <c r="B297" s="54" t="str">
        <f t="shared" si="850"/>
        <v xml:space="preserve">Net change in cash </v>
      </c>
      <c r="C297" s="94">
        <f t="shared" ref="C297:O297" si="859">C82*C$243</f>
        <v>317.92746027388552</v>
      </c>
      <c r="D297" s="94">
        <f t="shared" si="859"/>
        <v>169.69410586659066</v>
      </c>
      <c r="E297" s="94">
        <f t="shared" si="859"/>
        <v>910.66710113519412</v>
      </c>
      <c r="F297" s="94">
        <f t="shared" si="859"/>
        <v>-474.04323055999998</v>
      </c>
      <c r="G297" s="94">
        <f t="shared" si="859"/>
        <v>-161.36413480000002</v>
      </c>
      <c r="H297" s="94">
        <f t="shared" si="859"/>
        <v>265.12530325749998</v>
      </c>
      <c r="I297" s="94">
        <f t="shared" si="859"/>
        <v>362.52010933439027</v>
      </c>
      <c r="J297" s="94">
        <f t="shared" si="859"/>
        <v>308.43610951414513</v>
      </c>
      <c r="K297" s="94">
        <f t="shared" si="859"/>
        <v>-398.38404522194912</v>
      </c>
      <c r="L297" s="94">
        <f t="shared" si="859"/>
        <v>298.46695956000002</v>
      </c>
      <c r="M297" s="94">
        <f t="shared" si="859"/>
        <v>-276.90215387625432</v>
      </c>
      <c r="N297" s="94">
        <f t="shared" si="859"/>
        <v>27.938764880630238</v>
      </c>
      <c r="O297" s="94">
        <f t="shared" si="859"/>
        <v>762.56160179422568</v>
      </c>
      <c r="P297" s="79"/>
      <c r="Q297" s="94">
        <f t="shared" ref="Q297:BE297" si="860">Q82*Q$243</f>
        <v>-177.766944</v>
      </c>
      <c r="R297" s="94">
        <f t="shared" si="860"/>
        <v>11.097349439999977</v>
      </c>
      <c r="S297" s="94">
        <f t="shared" si="860"/>
        <v>-12.197744259999993</v>
      </c>
      <c r="T297" s="94">
        <f t="shared" si="860"/>
        <v>1019.7676752395362</v>
      </c>
      <c r="U297" s="94">
        <f t="shared" si="860"/>
        <v>-139.69246437000001</v>
      </c>
      <c r="V297" s="94">
        <f t="shared" si="860"/>
        <v>-871.38632496999992</v>
      </c>
      <c r="W297" s="94">
        <f t="shared" si="860"/>
        <v>228.61097891999995</v>
      </c>
      <c r="X297" s="94">
        <f t="shared" si="860"/>
        <v>314.83297185999982</v>
      </c>
      <c r="Y297" s="94">
        <f t="shared" si="860"/>
        <v>-319.58725439</v>
      </c>
      <c r="Z297" s="94">
        <f t="shared" si="860"/>
        <v>-77.64838739999999</v>
      </c>
      <c r="AA297" s="94">
        <f t="shared" si="860"/>
        <v>-170.48738264999994</v>
      </c>
      <c r="AB297" s="128">
        <f t="shared" si="860"/>
        <v>381.63876184999998</v>
      </c>
      <c r="AC297" s="94">
        <f t="shared" si="860"/>
        <v>-208.96338600000001</v>
      </c>
      <c r="AD297" s="94">
        <f t="shared" si="860"/>
        <v>74.360903519999994</v>
      </c>
      <c r="AE297" s="94">
        <f t="shared" si="860"/>
        <v>-277.39260846000002</v>
      </c>
      <c r="AF297" s="94">
        <f t="shared" si="860"/>
        <v>679.35973944000011</v>
      </c>
      <c r="AG297" s="94">
        <f t="shared" si="860"/>
        <v>-212.55730271468357</v>
      </c>
      <c r="AH297" s="94">
        <f t="shared" si="860"/>
        <v>-435.66970715999992</v>
      </c>
      <c r="AI297" s="94">
        <f t="shared" si="860"/>
        <v>642.56549373333337</v>
      </c>
      <c r="AJ297" s="94">
        <f t="shared" si="860"/>
        <v>320.51548505800002</v>
      </c>
      <c r="AK297" s="94">
        <f t="shared" si="860"/>
        <v>-403.20423845000005</v>
      </c>
      <c r="AL297" s="94">
        <f t="shared" si="860"/>
        <v>354.6326805564666</v>
      </c>
      <c r="AM297" s="94">
        <f t="shared" si="860"/>
        <v>-221.33822346777143</v>
      </c>
      <c r="AN297" s="94">
        <f t="shared" si="860"/>
        <v>584.67059634376176</v>
      </c>
      <c r="AO297" s="94">
        <f t="shared" si="860"/>
        <v>-537.23088430686914</v>
      </c>
      <c r="AP297" s="94">
        <f t="shared" si="860"/>
        <v>95.741137778999999</v>
      </c>
      <c r="AQ297" s="94">
        <f t="shared" si="860"/>
        <v>-512.18896883000002</v>
      </c>
      <c r="AR297" s="94">
        <f t="shared" si="860"/>
        <v>575.65819543999999</v>
      </c>
      <c r="AS297" s="94">
        <f t="shared" si="860"/>
        <v>-318.99932136000001</v>
      </c>
      <c r="AT297" s="94">
        <f t="shared" si="860"/>
        <v>-156.89467184</v>
      </c>
      <c r="AU297" s="94">
        <f t="shared" si="860"/>
        <v>-53.673429050000102</v>
      </c>
      <c r="AV297" s="94">
        <f t="shared" si="860"/>
        <v>841.93529237999962</v>
      </c>
      <c r="AW297" s="94">
        <f t="shared" si="860"/>
        <v>-384.05986490000004</v>
      </c>
      <c r="AX297" s="94">
        <f t="shared" si="860"/>
        <v>-60.201868524999988</v>
      </c>
      <c r="AY297" s="94">
        <f t="shared" si="860"/>
        <v>-215.17474094999997</v>
      </c>
      <c r="AZ297" s="94">
        <f t="shared" si="860"/>
        <v>323.83025917564584</v>
      </c>
      <c r="BA297" s="94">
        <f t="shared" si="860"/>
        <v>575.26631896074082</v>
      </c>
      <c r="BB297" s="94">
        <f t="shared" si="860"/>
        <v>-1415.0542003560822</v>
      </c>
      <c r="BC297" s="94">
        <f t="shared" si="860"/>
        <v>61.564357360000045</v>
      </c>
      <c r="BD297" s="94">
        <f t="shared" si="860"/>
        <v>828.26574656875619</v>
      </c>
      <c r="BE297" s="94">
        <f t="shared" si="860"/>
        <v>-140.15450213764012</v>
      </c>
      <c r="BG297" s="163"/>
      <c r="BH297" s="163"/>
      <c r="BI297" s="400"/>
    </row>
    <row r="298" spans="2:61" ht="13.5" customHeight="1" thickTop="1">
      <c r="B298" s="1" t="str">
        <f t="shared" si="850"/>
        <v>Cash and cash equivalents</v>
      </c>
      <c r="C298" s="95">
        <f t="shared" ref="C298:O298" si="861">C256</f>
        <v>399.69253731343281</v>
      </c>
      <c r="D298" s="95">
        <f t="shared" si="861"/>
        <v>497.57791304347819</v>
      </c>
      <c r="E298" s="95">
        <f t="shared" si="861"/>
        <v>1240.2994267534459</v>
      </c>
      <c r="F298" s="95">
        <f t="shared" si="861"/>
        <v>846.01345681461032</v>
      </c>
      <c r="G298" s="95">
        <f t="shared" si="861"/>
        <v>688.95684819999997</v>
      </c>
      <c r="H298" s="95">
        <f t="shared" si="861"/>
        <v>984.47637834</v>
      </c>
      <c r="I298" s="95">
        <f t="shared" si="861"/>
        <v>1315.4271185000002</v>
      </c>
      <c r="J298" s="95">
        <f t="shared" si="861"/>
        <v>1582.8470388808246</v>
      </c>
      <c r="K298" s="95">
        <f t="shared" si="861"/>
        <v>1256.70318004</v>
      </c>
      <c r="L298" s="95">
        <f t="shared" si="861"/>
        <v>1754.44979076</v>
      </c>
      <c r="M298" s="95">
        <f t="shared" si="861"/>
        <v>1187.7298424088724</v>
      </c>
      <c r="N298" s="95">
        <f t="shared" si="861"/>
        <v>1402.8527801530281</v>
      </c>
      <c r="O298" s="95">
        <f t="shared" si="861"/>
        <v>1271.1483360276493</v>
      </c>
      <c r="P298" s="72"/>
      <c r="Q298" s="95">
        <f t="shared" ref="Q298:BE298" si="862">Q256</f>
        <v>0</v>
      </c>
      <c r="R298" s="95">
        <f t="shared" si="862"/>
        <v>0</v>
      </c>
      <c r="S298" s="95">
        <f t="shared" si="862"/>
        <v>0</v>
      </c>
      <c r="T298" s="95">
        <f t="shared" si="862"/>
        <v>1240.2994267534459</v>
      </c>
      <c r="U298" s="95">
        <f t="shared" si="862"/>
        <v>1210.1156659838791</v>
      </c>
      <c r="V298" s="95">
        <f t="shared" si="862"/>
        <v>364.6761817235614</v>
      </c>
      <c r="W298" s="95">
        <f t="shared" si="862"/>
        <v>587.03034308056613</v>
      </c>
      <c r="X298" s="92">
        <f t="shared" si="862"/>
        <v>846.01345681461032</v>
      </c>
      <c r="Y298" s="95">
        <f t="shared" si="862"/>
        <v>585.59824322999998</v>
      </c>
      <c r="Z298" s="95">
        <f t="shared" si="862"/>
        <v>481.99493259999997</v>
      </c>
      <c r="AA298" s="95">
        <f t="shared" si="862"/>
        <v>309.46682315000004</v>
      </c>
      <c r="AB298" s="129">
        <f t="shared" si="862"/>
        <v>688.95684819999997</v>
      </c>
      <c r="AC298" s="95">
        <f t="shared" si="862"/>
        <v>490.63098096000004</v>
      </c>
      <c r="AD298" s="95">
        <f t="shared" si="862"/>
        <v>569.88958488000003</v>
      </c>
      <c r="AE298" s="95">
        <f t="shared" si="862"/>
        <v>281.85922214999999</v>
      </c>
      <c r="AF298" s="95">
        <f t="shared" si="862"/>
        <v>984.47637834</v>
      </c>
      <c r="AG298" s="95">
        <f t="shared" si="862"/>
        <v>597.51227848101257</v>
      </c>
      <c r="AH298" s="95">
        <f t="shared" si="862"/>
        <v>230.41917471600001</v>
      </c>
      <c r="AI298" s="95">
        <f t="shared" si="862"/>
        <v>888.56060972</v>
      </c>
      <c r="AJ298" s="95">
        <f t="shared" si="862"/>
        <v>1315.4271185000002</v>
      </c>
      <c r="AK298" s="95">
        <f t="shared" si="862"/>
        <v>874.37879191000002</v>
      </c>
      <c r="AL298" s="95">
        <f t="shared" si="862"/>
        <v>1231.937364893442</v>
      </c>
      <c r="AM298" s="95">
        <f t="shared" si="862"/>
        <v>1010.0406614096579</v>
      </c>
      <c r="AN298" s="95">
        <f t="shared" si="862"/>
        <v>1582.8470388808246</v>
      </c>
      <c r="AO298" s="95">
        <f t="shared" si="862"/>
        <v>1088.6373166999999</v>
      </c>
      <c r="AP298" s="95">
        <f t="shared" si="862"/>
        <v>1171.7451059069999</v>
      </c>
      <c r="AQ298" s="95">
        <f t="shared" si="862"/>
        <v>653.39751649999994</v>
      </c>
      <c r="AR298" s="95">
        <f t="shared" si="862"/>
        <v>1256.70318004</v>
      </c>
      <c r="AS298" s="95">
        <f t="shared" si="862"/>
        <v>1028.5507104800001</v>
      </c>
      <c r="AT298" s="95">
        <f t="shared" si="862"/>
        <v>934.32720294000001</v>
      </c>
      <c r="AU298" s="95">
        <f t="shared" si="862"/>
        <v>853.47877818000006</v>
      </c>
      <c r="AV298" s="95">
        <f t="shared" si="862"/>
        <v>1754.44979076</v>
      </c>
      <c r="AW298" s="95">
        <f t="shared" si="862"/>
        <v>1387.88285</v>
      </c>
      <c r="AX298" s="95">
        <f t="shared" si="862"/>
        <v>1211.8374297</v>
      </c>
      <c r="AY298" s="95">
        <f t="shared" si="862"/>
        <v>922.63363905000006</v>
      </c>
      <c r="AZ298" s="95">
        <f t="shared" si="862"/>
        <v>1187.7298424088724</v>
      </c>
      <c r="BA298" s="95">
        <f t="shared" si="862"/>
        <v>1796.3602502399999</v>
      </c>
      <c r="BB298" s="95">
        <f t="shared" si="862"/>
        <v>478.19428876434478</v>
      </c>
      <c r="BC298" s="95">
        <f t="shared" si="862"/>
        <v>551.88030466999999</v>
      </c>
      <c r="BD298" s="95">
        <f t="shared" si="862"/>
        <v>1402.8527801530281</v>
      </c>
      <c r="BE298" s="95">
        <f t="shared" si="862"/>
        <v>1271.1483360276493</v>
      </c>
      <c r="BG298" s="171"/>
      <c r="BH298" s="171"/>
      <c r="BI298" s="400"/>
    </row>
    <row r="299" spans="2:61" ht="13.5" customHeight="1">
      <c r="C299" s="95"/>
      <c r="D299" s="95"/>
      <c r="E299" s="95"/>
      <c r="F299" s="95"/>
      <c r="G299" s="95"/>
      <c r="H299" s="95"/>
      <c r="I299" s="95"/>
      <c r="J299" s="95"/>
      <c r="K299" s="95"/>
      <c r="L299" s="95"/>
      <c r="M299" s="95"/>
      <c r="N299" s="95"/>
      <c r="O299" s="95"/>
      <c r="P299" s="72"/>
      <c r="Q299" s="95"/>
      <c r="R299" s="95"/>
      <c r="S299" s="95"/>
      <c r="T299" s="95"/>
      <c r="U299" s="95"/>
      <c r="V299" s="95"/>
      <c r="W299" s="95"/>
      <c r="X299" s="92"/>
      <c r="Y299" s="95"/>
      <c r="Z299" s="95"/>
      <c r="AA299" s="95"/>
      <c r="AB299" s="129"/>
      <c r="AC299" s="95"/>
      <c r="AD299" s="95"/>
      <c r="AE299" s="95"/>
      <c r="AF299" s="95"/>
      <c r="AG299" s="95"/>
      <c r="AH299" s="95"/>
      <c r="AI299" s="95"/>
      <c r="AJ299" s="95"/>
      <c r="AK299" s="95"/>
      <c r="AL299" s="95"/>
      <c r="AM299" s="95"/>
      <c r="AN299" s="95"/>
      <c r="AO299" s="95"/>
      <c r="AP299" s="95"/>
      <c r="AQ299" s="95"/>
      <c r="AR299" s="95"/>
      <c r="AS299" s="95"/>
      <c r="AT299" s="95"/>
      <c r="AU299" s="95"/>
      <c r="AV299" s="95"/>
      <c r="AW299" s="95"/>
      <c r="AX299" s="95"/>
      <c r="AY299" s="95"/>
      <c r="AZ299" s="95"/>
      <c r="BA299" s="95"/>
      <c r="BB299" s="95"/>
      <c r="BC299" s="95"/>
      <c r="BD299" s="95"/>
      <c r="BE299" s="95"/>
      <c r="BG299" s="171"/>
      <c r="BH299" s="171"/>
      <c r="BI299" s="400"/>
    </row>
    <row r="300" spans="2:61" ht="13.5" customHeight="1">
      <c r="B300" s="1" t="s">
        <v>391</v>
      </c>
      <c r="C300" s="95">
        <f t="shared" ref="C300:O300" si="863">C149*C$244</f>
        <v>422.63772048846675</v>
      </c>
      <c r="D300" s="95">
        <f t="shared" si="863"/>
        <v>436.20591304347823</v>
      </c>
      <c r="E300" s="95">
        <f t="shared" si="863"/>
        <v>454.9377770449189</v>
      </c>
      <c r="F300" s="95">
        <f t="shared" si="863"/>
        <v>834.47955286351453</v>
      </c>
      <c r="G300" s="95">
        <f t="shared" si="863"/>
        <v>869.67332799999997</v>
      </c>
      <c r="H300" s="95">
        <f t="shared" si="863"/>
        <v>156.77619480000001</v>
      </c>
      <c r="I300" s="95">
        <f t="shared" si="863"/>
        <v>39.043166800000002</v>
      </c>
      <c r="J300" s="95">
        <f t="shared" si="863"/>
        <v>69.915340925696796</v>
      </c>
      <c r="K300" s="95">
        <f t="shared" si="863"/>
        <v>93.04797216</v>
      </c>
      <c r="L300" s="95">
        <f t="shared" si="863"/>
        <v>77.557703040000007</v>
      </c>
      <c r="M300" s="95">
        <f t="shared" si="863"/>
        <v>0</v>
      </c>
      <c r="N300" s="95">
        <f t="shared" si="863"/>
        <v>0</v>
      </c>
      <c r="O300" s="95">
        <f t="shared" si="863"/>
        <v>0</v>
      </c>
      <c r="P300" s="72"/>
      <c r="Q300" s="95">
        <f t="shared" ref="Q300:BE300" si="864">Q149*Q$244</f>
        <v>492.76695480652086</v>
      </c>
      <c r="R300" s="95">
        <f t="shared" si="864"/>
        <v>561.89203827405652</v>
      </c>
      <c r="S300" s="95">
        <f t="shared" si="864"/>
        <v>377.0423581867725</v>
      </c>
      <c r="T300" s="95">
        <f t="shared" si="864"/>
        <v>454.9377770449189</v>
      </c>
      <c r="U300" s="95">
        <f t="shared" si="864"/>
        <v>611.70003458274596</v>
      </c>
      <c r="V300" s="95">
        <f t="shared" si="864"/>
        <v>713.212494325291</v>
      </c>
      <c r="W300" s="95">
        <f t="shared" si="864"/>
        <v>849.92741891073319</v>
      </c>
      <c r="X300" s="95">
        <f t="shared" si="864"/>
        <v>834.47955286351453</v>
      </c>
      <c r="Y300" s="95">
        <f t="shared" si="864"/>
        <v>948.44156472000009</v>
      </c>
      <c r="Z300" s="95">
        <f t="shared" si="864"/>
        <v>926.10771903999989</v>
      </c>
      <c r="AA300" s="95">
        <f t="shared" si="864"/>
        <v>871.51481575999981</v>
      </c>
      <c r="AB300" s="95">
        <f t="shared" si="864"/>
        <v>869.67332799999997</v>
      </c>
      <c r="AC300" s="95">
        <f t="shared" si="864"/>
        <v>661.19391399999984</v>
      </c>
      <c r="AD300" s="95">
        <f t="shared" si="864"/>
        <v>510.81180919999997</v>
      </c>
      <c r="AE300" s="95">
        <f t="shared" si="864"/>
        <v>357.11851175999993</v>
      </c>
      <c r="AF300" s="95">
        <f t="shared" si="864"/>
        <v>156.77619480000001</v>
      </c>
      <c r="AG300" s="95">
        <f t="shared" si="864"/>
        <v>121.5281012658228</v>
      </c>
      <c r="AH300" s="95">
        <f t="shared" si="864"/>
        <v>101.545751064</v>
      </c>
      <c r="AI300" s="95">
        <f t="shared" si="864"/>
        <v>69.901075999999989</v>
      </c>
      <c r="AJ300" s="95">
        <f t="shared" si="864"/>
        <v>39.043166800000002</v>
      </c>
      <c r="AK300" s="95">
        <f t="shared" si="864"/>
        <v>11.014923279999998</v>
      </c>
      <c r="AL300" s="95">
        <f t="shared" si="864"/>
        <v>-27.294234885242535</v>
      </c>
      <c r="AM300" s="95">
        <f t="shared" si="864"/>
        <v>-13.043784780937322</v>
      </c>
      <c r="AN300" s="95">
        <f t="shared" si="864"/>
        <v>69.915340925696796</v>
      </c>
      <c r="AO300" s="95">
        <f t="shared" si="864"/>
        <v>77.32478159999998</v>
      </c>
      <c r="AP300" s="95">
        <f t="shared" si="864"/>
        <v>111.378853416</v>
      </c>
      <c r="AQ300" s="95">
        <f t="shared" si="864"/>
        <v>97.480705999999984</v>
      </c>
      <c r="AR300" s="95">
        <f t="shared" si="864"/>
        <v>93.04797216</v>
      </c>
      <c r="AS300" s="95">
        <f t="shared" si="864"/>
        <v>90.683613440000002</v>
      </c>
      <c r="AT300" s="95">
        <f t="shared" si="864"/>
        <v>64.753972560000008</v>
      </c>
      <c r="AU300" s="95">
        <f t="shared" si="864"/>
        <v>71.727752800000005</v>
      </c>
      <c r="AV300" s="95">
        <f t="shared" si="864"/>
        <v>77.557703040000007</v>
      </c>
      <c r="AW300" s="95">
        <f t="shared" si="864"/>
        <v>71.306393599999993</v>
      </c>
      <c r="AX300" s="95">
        <f t="shared" si="864"/>
        <v>53.488264559999998</v>
      </c>
      <c r="AY300" s="95">
        <f t="shared" si="864"/>
        <v>43.023062639999999</v>
      </c>
      <c r="AZ300" s="95">
        <f t="shared" si="864"/>
        <v>0</v>
      </c>
      <c r="BA300" s="95">
        <f t="shared" si="864"/>
        <v>0</v>
      </c>
      <c r="BB300" s="95">
        <f t="shared" si="864"/>
        <v>0</v>
      </c>
      <c r="BC300" s="95">
        <f t="shared" si="864"/>
        <v>0</v>
      </c>
      <c r="BD300" s="95">
        <f t="shared" si="864"/>
        <v>0</v>
      </c>
      <c r="BE300" s="95">
        <f t="shared" si="864"/>
        <v>0</v>
      </c>
      <c r="BG300" s="171"/>
      <c r="BH300" s="171"/>
      <c r="BI300" s="400"/>
    </row>
    <row r="301" spans="2:61" ht="13.5" customHeight="1">
      <c r="C301" s="95"/>
      <c r="D301" s="95"/>
      <c r="E301" s="95"/>
      <c r="F301" s="95"/>
      <c r="G301" s="95"/>
      <c r="H301" s="95"/>
      <c r="I301" s="95"/>
      <c r="J301" s="95"/>
      <c r="K301" s="95"/>
      <c r="L301" s="95"/>
      <c r="M301" s="95"/>
      <c r="N301" s="95"/>
      <c r="O301" s="95"/>
      <c r="P301" s="72"/>
      <c r="Q301" s="95"/>
      <c r="R301" s="95"/>
      <c r="S301" s="95"/>
      <c r="T301" s="95"/>
      <c r="U301" s="95"/>
      <c r="V301" s="95"/>
      <c r="W301" s="95"/>
      <c r="X301" s="92"/>
      <c r="Y301" s="95"/>
      <c r="Z301" s="95"/>
      <c r="AA301" s="95"/>
      <c r="AB301" s="129"/>
      <c r="AC301" s="95"/>
      <c r="AD301" s="95"/>
      <c r="AE301" s="95"/>
      <c r="AF301" s="95"/>
      <c r="AG301" s="95"/>
      <c r="AH301" s="95"/>
      <c r="AI301" s="95"/>
      <c r="AJ301" s="95"/>
      <c r="AK301" s="95"/>
      <c r="AL301" s="95"/>
      <c r="AM301" s="95"/>
      <c r="AN301" s="95"/>
      <c r="AO301" s="95"/>
      <c r="AP301" s="95"/>
      <c r="AQ301" s="95"/>
      <c r="AR301" s="95"/>
      <c r="AS301" s="95"/>
      <c r="AT301" s="95"/>
      <c r="AU301" s="95"/>
      <c r="AV301" s="95"/>
      <c r="AW301" s="95"/>
      <c r="AX301" s="95"/>
      <c r="AY301" s="95"/>
      <c r="AZ301" s="95"/>
      <c r="BA301" s="95"/>
      <c r="BB301" s="95"/>
      <c r="BC301" s="95"/>
      <c r="BD301" s="95"/>
      <c r="BE301" s="95"/>
      <c r="BG301" s="171"/>
      <c r="BH301" s="171"/>
      <c r="BI301" s="400"/>
    </row>
    <row r="302" spans="2:61" ht="13.5" customHeight="1">
      <c r="B302" s="1" t="str">
        <f>B230</f>
        <v>Gross Debt</v>
      </c>
      <c r="C302" s="95">
        <f t="shared" ref="C302:O302" si="865">C257</f>
        <v>905.28493894165524</v>
      </c>
      <c r="D302" s="95">
        <f t="shared" si="865"/>
        <v>817.16324637681168</v>
      </c>
      <c r="E302" s="95">
        <f t="shared" si="865"/>
        <v>1482.6729196775855</v>
      </c>
      <c r="F302" s="95">
        <f t="shared" si="865"/>
        <v>1841.9206220852466</v>
      </c>
      <c r="G302" s="95">
        <f t="shared" si="865"/>
        <v>1554.1683839999998</v>
      </c>
      <c r="H302" s="95">
        <f t="shared" si="865"/>
        <v>2479.1282100900007</v>
      </c>
      <c r="I302" s="95">
        <f t="shared" si="865"/>
        <v>2521.5535061750002</v>
      </c>
      <c r="J302" s="95">
        <f t="shared" si="865"/>
        <v>2230.2258711896111</v>
      </c>
      <c r="K302" s="95">
        <f t="shared" si="865"/>
        <v>2186.2366420400003</v>
      </c>
      <c r="L302" s="95">
        <f t="shared" si="865"/>
        <v>2419.0242186600003</v>
      </c>
      <c r="M302" s="95">
        <f t="shared" si="865"/>
        <v>1843.0261723271708</v>
      </c>
      <c r="N302" s="95">
        <f t="shared" si="865"/>
        <v>2704.7294250907839</v>
      </c>
      <c r="O302" s="95">
        <f t="shared" si="865"/>
        <v>3193.1649478789232</v>
      </c>
      <c r="P302" s="72"/>
      <c r="Q302" s="319"/>
      <c r="R302" s="319"/>
      <c r="S302" s="319"/>
      <c r="T302" s="95">
        <f t="shared" ref="T302:BE302" si="866">T257</f>
        <v>1482.6729196775855</v>
      </c>
      <c r="U302" s="95">
        <f t="shared" si="866"/>
        <v>1678.9514192226866</v>
      </c>
      <c r="V302" s="95">
        <f t="shared" si="866"/>
        <v>1704.4714492930145</v>
      </c>
      <c r="W302" s="95">
        <f t="shared" si="866"/>
        <v>1976.3426400132169</v>
      </c>
      <c r="X302" s="92">
        <f t="shared" si="866"/>
        <v>1841.9206220852466</v>
      </c>
      <c r="Y302" s="95">
        <f t="shared" si="866"/>
        <v>1833.8973084899999</v>
      </c>
      <c r="Z302" s="95">
        <f t="shared" si="866"/>
        <v>1661.2007335999999</v>
      </c>
      <c r="AA302" s="95">
        <f t="shared" si="866"/>
        <v>1532.05618665</v>
      </c>
      <c r="AB302" s="129">
        <f t="shared" si="866"/>
        <v>1554.1683839999998</v>
      </c>
      <c r="AC302" s="95">
        <f t="shared" si="866"/>
        <v>2144.9211480999998</v>
      </c>
      <c r="AD302" s="95">
        <f t="shared" si="866"/>
        <v>2164.2597034299997</v>
      </c>
      <c r="AE302" s="95">
        <f t="shared" si="866"/>
        <v>2140.0348331700002</v>
      </c>
      <c r="AF302" s="95">
        <f t="shared" si="866"/>
        <v>2479.1282100900007</v>
      </c>
      <c r="AG302" s="95">
        <f t="shared" si="866"/>
        <v>2183.7684388185653</v>
      </c>
      <c r="AH302" s="95">
        <f t="shared" si="866"/>
        <v>2186.332002954</v>
      </c>
      <c r="AI302" s="95">
        <f t="shared" si="866"/>
        <v>2521.0553362400005</v>
      </c>
      <c r="AJ302" s="95">
        <f t="shared" si="866"/>
        <v>2521.5535061750002</v>
      </c>
      <c r="AK302" s="95">
        <f t="shared" si="866"/>
        <v>2481.0047961099999</v>
      </c>
      <c r="AL302" s="95">
        <f t="shared" si="866"/>
        <v>2482.8557265466129</v>
      </c>
      <c r="AM302" s="95">
        <f t="shared" si="866"/>
        <v>2293.9989680501799</v>
      </c>
      <c r="AN302" s="95">
        <f t="shared" si="866"/>
        <v>2230.2258711896111</v>
      </c>
      <c r="AO302" s="95">
        <f t="shared" si="866"/>
        <v>2182.6276599999997</v>
      </c>
      <c r="AP302" s="95">
        <f t="shared" si="866"/>
        <v>2173.2620849239997</v>
      </c>
      <c r="AQ302" s="95">
        <f t="shared" si="866"/>
        <v>2088.8864851999997</v>
      </c>
      <c r="AR302" s="95">
        <f t="shared" si="866"/>
        <v>2186.2366420400003</v>
      </c>
      <c r="AS302" s="95">
        <f t="shared" si="866"/>
        <v>2302.0237618400001</v>
      </c>
      <c r="AT302" s="95">
        <f t="shared" si="866"/>
        <v>2421.0971855100001</v>
      </c>
      <c r="AU302" s="95">
        <f t="shared" si="866"/>
        <v>2363.2968273400002</v>
      </c>
      <c r="AV302" s="95">
        <f t="shared" si="866"/>
        <v>2419.0242186600003</v>
      </c>
      <c r="AW302" s="95">
        <f t="shared" si="866"/>
        <v>2446.224784</v>
      </c>
      <c r="AX302" s="95">
        <f t="shared" si="866"/>
        <v>2312.9018723100003</v>
      </c>
      <c r="AY302" s="95">
        <f t="shared" si="866"/>
        <v>2207.3425391300002</v>
      </c>
      <c r="AZ302" s="95">
        <f t="shared" si="866"/>
        <v>1843.0261723271708</v>
      </c>
      <c r="BA302" s="95">
        <f t="shared" si="866"/>
        <v>2927.0094204799998</v>
      </c>
      <c r="BB302" s="95">
        <f t="shared" si="866"/>
        <v>3175.8430744595676</v>
      </c>
      <c r="BC302" s="95">
        <f t="shared" si="866"/>
        <v>3235.4473784700003</v>
      </c>
      <c r="BD302" s="95">
        <f t="shared" si="866"/>
        <v>2704.7294250907839</v>
      </c>
      <c r="BE302" s="95">
        <f t="shared" si="866"/>
        <v>3193.1649478789232</v>
      </c>
      <c r="BG302" s="171"/>
      <c r="BH302" s="171"/>
      <c r="BI302" s="400"/>
    </row>
    <row r="303" spans="2:61" ht="13.5" customHeight="1">
      <c r="B303" s="5" t="str">
        <f>B231</f>
        <v>Net Debt</v>
      </c>
      <c r="C303" s="73">
        <f>C302-C298</f>
        <v>505.59240162822243</v>
      </c>
      <c r="D303" s="73">
        <f t="shared" ref="D303:O303" si="867">D302-D298</f>
        <v>319.58533333333349</v>
      </c>
      <c r="E303" s="73">
        <f t="shared" si="867"/>
        <v>242.37349292413955</v>
      </c>
      <c r="F303" s="73">
        <f t="shared" si="867"/>
        <v>995.90716527063626</v>
      </c>
      <c r="G303" s="73">
        <f t="shared" si="867"/>
        <v>865.21153579999987</v>
      </c>
      <c r="H303" s="73">
        <f t="shared" si="867"/>
        <v>1494.6518317500008</v>
      </c>
      <c r="I303" s="73">
        <f t="shared" si="867"/>
        <v>1206.1263876749999</v>
      </c>
      <c r="J303" s="73">
        <f t="shared" si="867"/>
        <v>647.37883230878651</v>
      </c>
      <c r="K303" s="73">
        <f t="shared" si="867"/>
        <v>929.53346200000033</v>
      </c>
      <c r="L303" s="73">
        <f t="shared" si="867"/>
        <v>664.57442790000027</v>
      </c>
      <c r="M303" s="73">
        <f t="shared" si="867"/>
        <v>655.2963299182984</v>
      </c>
      <c r="N303" s="73">
        <f t="shared" ref="N303" si="868">N302-N298</f>
        <v>1301.8766449377558</v>
      </c>
      <c r="O303" s="73">
        <f t="shared" si="867"/>
        <v>1922.0166118512739</v>
      </c>
      <c r="P303" s="79"/>
      <c r="Q303" s="319"/>
      <c r="R303" s="319"/>
      <c r="S303" s="319"/>
      <c r="T303" s="73">
        <f t="shared" ref="T303" si="869">T302-T298</f>
        <v>242.37349292413955</v>
      </c>
      <c r="U303" s="73">
        <f t="shared" ref="U303" si="870">U302-U298</f>
        <v>468.83575323880746</v>
      </c>
      <c r="V303" s="73">
        <f t="shared" ref="V303" si="871">V302-V298</f>
        <v>1339.7952675694532</v>
      </c>
      <c r="W303" s="73">
        <f t="shared" ref="W303" si="872">W302-W298</f>
        <v>1389.3122969326507</v>
      </c>
      <c r="X303" s="145">
        <f t="shared" ref="X303" si="873">X302-X298</f>
        <v>995.90716527063626</v>
      </c>
      <c r="Y303" s="73">
        <f t="shared" ref="Y303" si="874">Y302-Y298</f>
        <v>1248.2990652599999</v>
      </c>
      <c r="Z303" s="73">
        <f t="shared" ref="Z303" si="875">Z302-Z298</f>
        <v>1179.2058010000001</v>
      </c>
      <c r="AA303" s="73">
        <f t="shared" ref="AA303" si="876">AA302-AA298</f>
        <v>1222.5893635</v>
      </c>
      <c r="AB303" s="84">
        <f t="shared" ref="AB303" si="877">AB302-AB298</f>
        <v>865.21153579999987</v>
      </c>
      <c r="AC303" s="73">
        <f t="shared" ref="AC303" si="878">AC302-AC298</f>
        <v>1654.2901671399998</v>
      </c>
      <c r="AD303" s="73">
        <f t="shared" ref="AD303" si="879">AD302-AD298</f>
        <v>1594.3701185499997</v>
      </c>
      <c r="AE303" s="73">
        <f t="shared" ref="AE303" si="880">AE302-AE298</f>
        <v>1858.1756110200001</v>
      </c>
      <c r="AF303" s="73">
        <f t="shared" ref="AF303" si="881">AF302-AF298</f>
        <v>1494.6518317500008</v>
      </c>
      <c r="AG303" s="73">
        <f t="shared" ref="AG303" si="882">AG302-AG298</f>
        <v>1586.2561603375527</v>
      </c>
      <c r="AH303" s="73">
        <f t="shared" ref="AH303" si="883">AH302-AH298</f>
        <v>1955.912828238</v>
      </c>
      <c r="AI303" s="73">
        <f t="shared" ref="AI303" si="884">AI302-AI298</f>
        <v>1632.4947265200005</v>
      </c>
      <c r="AJ303" s="73">
        <f t="shared" ref="AJ303" si="885">AJ302-AJ298</f>
        <v>1206.1263876749999</v>
      </c>
      <c r="AK303" s="73">
        <f t="shared" ref="AK303" si="886">AK302-AK298</f>
        <v>1606.6260041999999</v>
      </c>
      <c r="AL303" s="73">
        <f t="shared" ref="AL303" si="887">AL302-AL298</f>
        <v>1250.9183616531709</v>
      </c>
      <c r="AM303" s="73">
        <f t="shared" ref="AM303" si="888">AM302-AM298</f>
        <v>1283.9583066405221</v>
      </c>
      <c r="AN303" s="73">
        <f t="shared" ref="AN303" si="889">AN302-AN298</f>
        <v>647.37883230878651</v>
      </c>
      <c r="AO303" s="73">
        <f t="shared" ref="AO303" si="890">AO302-AO298</f>
        <v>1093.9903432999997</v>
      </c>
      <c r="AP303" s="73">
        <f t="shared" ref="AP303" si="891">AP302-AP298</f>
        <v>1001.5169790169998</v>
      </c>
      <c r="AQ303" s="73">
        <f t="shared" ref="AQ303" si="892">AQ302-AQ298</f>
        <v>1435.4889686999998</v>
      </c>
      <c r="AR303" s="73">
        <f t="shared" ref="AR303" si="893">AR302-AR298</f>
        <v>929.53346200000033</v>
      </c>
      <c r="AS303" s="73">
        <f t="shared" ref="AS303" si="894">AS302-AS298</f>
        <v>1273.47305136</v>
      </c>
      <c r="AT303" s="73">
        <f t="shared" ref="AT303" si="895">AT302-AT298</f>
        <v>1486.7699825700001</v>
      </c>
      <c r="AU303" s="73">
        <f t="shared" ref="AU303" si="896">AU302-AU298</f>
        <v>1509.8180491600001</v>
      </c>
      <c r="AV303" s="73">
        <f t="shared" ref="AV303" si="897">AV302-AV298</f>
        <v>664.57442790000027</v>
      </c>
      <c r="AW303" s="73">
        <f t="shared" ref="AW303" si="898">AW302-AW298</f>
        <v>1058.341934</v>
      </c>
      <c r="AX303" s="73">
        <f t="shared" ref="AX303" si="899">AX302-AX298</f>
        <v>1101.0644426100002</v>
      </c>
      <c r="AY303" s="73">
        <f t="shared" ref="AY303" si="900">AY302-AY298</f>
        <v>1284.7089000800001</v>
      </c>
      <c r="AZ303" s="73">
        <f t="shared" ref="AZ303:BC303" si="901">AZ302-AZ298</f>
        <v>655.2963299182984</v>
      </c>
      <c r="BA303" s="73">
        <f t="shared" si="901"/>
        <v>1130.6491702399999</v>
      </c>
      <c r="BB303" s="73">
        <f t="shared" si="901"/>
        <v>2697.6487856952226</v>
      </c>
      <c r="BC303" s="73">
        <f t="shared" si="901"/>
        <v>2683.5670738000003</v>
      </c>
      <c r="BD303" s="73">
        <f t="shared" ref="BD303:BE303" si="902">BD302-BD298</f>
        <v>1301.8766449377558</v>
      </c>
      <c r="BE303" s="73">
        <f t="shared" si="902"/>
        <v>1922.0166118512739</v>
      </c>
      <c r="BG303" s="171"/>
      <c r="BH303" s="171"/>
      <c r="BI303" s="400"/>
    </row>
    <row r="304" spans="2:61" ht="13.5" customHeight="1">
      <c r="B304" s="5"/>
      <c r="C304" s="73"/>
      <c r="D304" s="73"/>
      <c r="E304" s="73"/>
      <c r="F304" s="73"/>
      <c r="G304" s="73"/>
      <c r="H304" s="73"/>
      <c r="I304" s="73"/>
      <c r="J304" s="73"/>
      <c r="K304" s="73"/>
      <c r="L304" s="73"/>
      <c r="M304" s="73"/>
      <c r="N304" s="73"/>
      <c r="O304" s="73"/>
      <c r="P304" s="79"/>
      <c r="Q304" s="73"/>
      <c r="R304" s="73"/>
      <c r="S304" s="73"/>
      <c r="T304" s="73"/>
      <c r="U304" s="73"/>
      <c r="V304" s="73"/>
      <c r="W304" s="73"/>
      <c r="X304" s="145"/>
      <c r="Y304" s="73"/>
      <c r="Z304" s="73"/>
      <c r="AA304" s="73"/>
      <c r="AB304" s="84"/>
      <c r="AC304" s="73"/>
      <c r="AD304" s="73"/>
      <c r="AE304" s="73"/>
      <c r="AF304" s="73"/>
      <c r="AG304" s="73"/>
      <c r="AH304" s="73"/>
      <c r="AI304" s="73"/>
      <c r="AJ304" s="73"/>
      <c r="AK304" s="73"/>
      <c r="AL304" s="73"/>
      <c r="AM304" s="73"/>
      <c r="AN304" s="73"/>
      <c r="AO304" s="73"/>
      <c r="AP304" s="73"/>
      <c r="AQ304" s="73"/>
      <c r="AR304" s="73"/>
      <c r="AS304" s="73"/>
      <c r="AT304" s="73"/>
      <c r="AU304" s="73"/>
      <c r="AV304" s="73"/>
      <c r="AW304" s="73"/>
      <c r="AX304" s="73"/>
      <c r="AY304" s="73"/>
      <c r="AZ304" s="73"/>
      <c r="BA304" s="73"/>
      <c r="BB304" s="73"/>
      <c r="BC304" s="73"/>
      <c r="BD304" s="73"/>
      <c r="BE304" s="73"/>
      <c r="BG304" s="171"/>
      <c r="BH304" s="171"/>
      <c r="BI304" s="400"/>
    </row>
    <row r="305" spans="2:61" s="5" customFormat="1" ht="13.5" customHeight="1">
      <c r="B305" s="5" t="str">
        <f>+B162</f>
        <v>Total Net Leverage</v>
      </c>
      <c r="C305" s="35">
        <f t="shared" ref="C305:O305" si="903">C303/C274</f>
        <v>0.51632643838752201</v>
      </c>
      <c r="D305" s="35">
        <f t="shared" si="903"/>
        <v>0.3409045495284907</v>
      </c>
      <c r="E305" s="35">
        <f t="shared" si="903"/>
        <v>0.28173772835271449</v>
      </c>
      <c r="F305" s="35">
        <f t="shared" si="903"/>
        <v>1.0234106203055786</v>
      </c>
      <c r="G305" s="35">
        <f t="shared" si="903"/>
        <v>0.82125814285333865</v>
      </c>
      <c r="H305" s="35">
        <f t="shared" si="903"/>
        <v>1.2040010187238586</v>
      </c>
      <c r="I305" s="35">
        <f t="shared" si="903"/>
        <v>2.7931963900835464</v>
      </c>
      <c r="J305" s="35">
        <f t="shared" si="903"/>
        <v>0.55297383269358413</v>
      </c>
      <c r="K305" s="35">
        <f t="shared" si="903"/>
        <v>0.60664746173397976</v>
      </c>
      <c r="L305" s="35">
        <f t="shared" si="903"/>
        <v>0.33667654405863945</v>
      </c>
      <c r="M305" s="35">
        <f t="shared" si="903"/>
        <v>0.32002657626981107</v>
      </c>
      <c r="N305" s="35">
        <f t="shared" si="903"/>
        <v>0.66614526952657049</v>
      </c>
      <c r="O305" s="35">
        <f t="shared" si="903"/>
        <v>1.2204058442914341</v>
      </c>
      <c r="P305" s="35"/>
      <c r="Q305" s="320"/>
      <c r="R305" s="320"/>
      <c r="S305" s="320"/>
      <c r="T305" s="35">
        <f t="shared" ref="T305:BE305" si="904">T303/SUM(Q274:T274)</f>
        <v>0.28581162048508596</v>
      </c>
      <c r="U305" s="35">
        <f t="shared" si="904"/>
        <v>0.5560778317283358</v>
      </c>
      <c r="V305" s="35">
        <f t="shared" si="904"/>
        <v>1.5339912503134387</v>
      </c>
      <c r="W305" s="35">
        <f t="shared" si="904"/>
        <v>1.5609148688042414</v>
      </c>
      <c r="X305" s="35">
        <f t="shared" si="904"/>
        <v>1.0226614021891967</v>
      </c>
      <c r="Y305" s="35">
        <f t="shared" si="904"/>
        <v>1.2849315737251874</v>
      </c>
      <c r="Z305" s="35">
        <f t="shared" si="904"/>
        <v>1.1970626709485475</v>
      </c>
      <c r="AA305" s="35">
        <f t="shared" si="904"/>
        <v>1.1980430674675968</v>
      </c>
      <c r="AB305" s="35">
        <f t="shared" si="904"/>
        <v>0.82599821944509788</v>
      </c>
      <c r="AC305" s="35">
        <f t="shared" si="904"/>
        <v>1.5373924220305857</v>
      </c>
      <c r="AD305" s="35">
        <f t="shared" si="904"/>
        <v>1.4251893921321894</v>
      </c>
      <c r="AE305" s="35">
        <f t="shared" si="904"/>
        <v>1.6325859487423091</v>
      </c>
      <c r="AF305" s="35">
        <f t="shared" si="904"/>
        <v>1.2039265911121135</v>
      </c>
      <c r="AG305" s="35">
        <f t="shared" si="904"/>
        <v>1.3116503647328772</v>
      </c>
      <c r="AH305" s="35">
        <f t="shared" si="904"/>
        <v>2.3840690820628532</v>
      </c>
      <c r="AI305" s="35">
        <f t="shared" si="904"/>
        <v>2.5231434591188724</v>
      </c>
      <c r="AJ305" s="35">
        <f t="shared" si="904"/>
        <v>2.7946287773881422</v>
      </c>
      <c r="AK305" s="35">
        <f t="shared" si="904"/>
        <v>3.8247158441503855</v>
      </c>
      <c r="AL305" s="35">
        <f t="shared" si="904"/>
        <v>1.528960408386896</v>
      </c>
      <c r="AM305" s="35">
        <f t="shared" si="904"/>
        <v>1.2487967228974759</v>
      </c>
      <c r="AN305" s="35">
        <f t="shared" si="904"/>
        <v>0.55354660773022912</v>
      </c>
      <c r="AO305" s="35">
        <f t="shared" si="904"/>
        <v>0.83958006354656478</v>
      </c>
      <c r="AP305" s="35">
        <f t="shared" si="904"/>
        <v>0.72245004875597618</v>
      </c>
      <c r="AQ305" s="35">
        <f t="shared" si="904"/>
        <v>0.99898227163644948</v>
      </c>
      <c r="AR305" s="35">
        <f t="shared" si="904"/>
        <v>0.6044401838550495</v>
      </c>
      <c r="AS305" s="35">
        <f t="shared" si="904"/>
        <v>0.81073297409788292</v>
      </c>
      <c r="AT305" s="35">
        <f t="shared" si="904"/>
        <v>0.88490396385842118</v>
      </c>
      <c r="AU305" s="35">
        <f t="shared" si="904"/>
        <v>0.84654593106563014</v>
      </c>
      <c r="AV305" s="35">
        <f t="shared" si="904"/>
        <v>0.3354763707535422</v>
      </c>
      <c r="AW305" s="35">
        <f t="shared" si="904"/>
        <v>0.5156509781303672</v>
      </c>
      <c r="AX305" s="35">
        <f t="shared" si="904"/>
        <v>0.52850551793490919</v>
      </c>
      <c r="AY305" s="35">
        <f t="shared" si="904"/>
        <v>0.62057848534450344</v>
      </c>
      <c r="AZ305" s="35">
        <f t="shared" si="904"/>
        <v>0.32655263956246278</v>
      </c>
      <c r="BA305" s="35">
        <f t="shared" si="904"/>
        <v>0.58744012980488891</v>
      </c>
      <c r="BB305" s="35">
        <f t="shared" si="904"/>
        <v>1.4684454667062061</v>
      </c>
      <c r="BC305" s="35">
        <f t="shared" si="904"/>
        <v>1.5042220390672496</v>
      </c>
      <c r="BD305" s="35">
        <f t="shared" si="904"/>
        <v>0.65635788319302646</v>
      </c>
      <c r="BE305" s="35">
        <f t="shared" si="904"/>
        <v>0.9562858910768266</v>
      </c>
      <c r="BG305" s="391"/>
      <c r="BH305" s="391"/>
      <c r="BI305" s="400"/>
    </row>
    <row r="306" spans="2:61" ht="13">
      <c r="B306" s="1" t="str">
        <f>+B163</f>
        <v xml:space="preserve">Total Gross Leverage </v>
      </c>
      <c r="C306" s="36">
        <f t="shared" ref="C306:M306" si="905">C302/C274</f>
        <v>0.92450469339394914</v>
      </c>
      <c r="D306" s="36">
        <f t="shared" si="905"/>
        <v>0.8716753847610631</v>
      </c>
      <c r="E306" s="36">
        <f t="shared" si="905"/>
        <v>1.7234760090320325</v>
      </c>
      <c r="F306" s="36">
        <f t="shared" si="905"/>
        <v>1.8927879948425139</v>
      </c>
      <c r="G306" s="36">
        <f t="shared" si="905"/>
        <v>1.475215468024293</v>
      </c>
      <c r="H306" s="36">
        <f t="shared" si="905"/>
        <v>1.9970355818589558</v>
      </c>
      <c r="I306" s="36">
        <f t="shared" si="905"/>
        <v>5.8395158441292327</v>
      </c>
      <c r="J306" s="36">
        <f t="shared" si="905"/>
        <v>1.904999802613053</v>
      </c>
      <c r="K306" s="36">
        <f t="shared" si="905"/>
        <v>1.4268178219100895</v>
      </c>
      <c r="L306" s="36">
        <f t="shared" si="905"/>
        <v>1.2254890945866308</v>
      </c>
      <c r="M306" s="36">
        <f t="shared" si="905"/>
        <v>0.9000773069781377</v>
      </c>
      <c r="N306" s="36">
        <f t="shared" ref="N306" si="906">N302/N274</f>
        <v>1.3839580876417747</v>
      </c>
      <c r="O306" s="36">
        <f>O302/O274</f>
        <v>2.0275356311434094</v>
      </c>
      <c r="P306" s="36"/>
      <c r="Q306" s="319"/>
      <c r="R306" s="319"/>
      <c r="S306" s="319"/>
      <c r="T306" s="36">
        <f t="shared" ref="T306:AX306" si="907">T302/SUM(Q274:T274)</f>
        <v>1.7483972554500362</v>
      </c>
      <c r="U306" s="36">
        <f t="shared" si="907"/>
        <v>1.9913747156203092</v>
      </c>
      <c r="V306" s="36">
        <f t="shared" si="907"/>
        <v>1.9515252463668002</v>
      </c>
      <c r="W306" s="36">
        <f t="shared" si="907"/>
        <v>2.2204529676008509</v>
      </c>
      <c r="X306" s="36">
        <f t="shared" si="907"/>
        <v>1.8914023232185639</v>
      </c>
      <c r="Y306" s="36">
        <f t="shared" si="907"/>
        <v>1.8877147473931941</v>
      </c>
      <c r="Z306" s="36">
        <f t="shared" si="907"/>
        <v>1.6863565167831991</v>
      </c>
      <c r="AA306" s="36">
        <f t="shared" si="907"/>
        <v>1.5012966317098793</v>
      </c>
      <c r="AB306" s="36">
        <f t="shared" si="907"/>
        <v>1.4837300068068107</v>
      </c>
      <c r="AC306" s="36">
        <f t="shared" si="907"/>
        <v>1.9933537564592285</v>
      </c>
      <c r="AD306" s="36">
        <f t="shared" si="907"/>
        <v>1.9346072378431018</v>
      </c>
      <c r="AE306" s="36">
        <f t="shared" si="907"/>
        <v>1.8802263778150672</v>
      </c>
      <c r="AF306" s="36">
        <f t="shared" si="907"/>
        <v>1.9969121313081537</v>
      </c>
      <c r="AG306" s="36">
        <f t="shared" si="907"/>
        <v>1.8057239056893497</v>
      </c>
      <c r="AH306" s="36">
        <f t="shared" si="907"/>
        <v>2.6649278311972551</v>
      </c>
      <c r="AI306" s="36">
        <f t="shared" si="907"/>
        <v>3.8964807532765744</v>
      </c>
      <c r="AJ306" s="36">
        <f t="shared" si="907"/>
        <v>5.8425104235257308</v>
      </c>
      <c r="AK306" s="36">
        <f t="shared" si="907"/>
        <v>5.9062521883056514</v>
      </c>
      <c r="AL306" s="36">
        <f t="shared" si="907"/>
        <v>3.0347209074535768</v>
      </c>
      <c r="AM306" s="36">
        <f t="shared" si="907"/>
        <v>2.2311771175240467</v>
      </c>
      <c r="AN306" s="36">
        <f t="shared" si="907"/>
        <v>1.9069730177404944</v>
      </c>
      <c r="AO306" s="36">
        <f t="shared" si="907"/>
        <v>1.6750519606540755</v>
      </c>
      <c r="AP306" s="36">
        <f t="shared" si="907"/>
        <v>1.5676951385825757</v>
      </c>
      <c r="AQ306" s="36">
        <f t="shared" si="907"/>
        <v>1.4536932095448813</v>
      </c>
      <c r="AR306" s="36">
        <f t="shared" si="907"/>
        <v>1.4216263662225248</v>
      </c>
      <c r="AS306" s="36">
        <f t="shared" si="907"/>
        <v>1.4655406872468988</v>
      </c>
      <c r="AT306" s="36">
        <f t="shared" si="907"/>
        <v>1.4410019851496405</v>
      </c>
      <c r="AU306" s="36">
        <f t="shared" si="907"/>
        <v>1.3250863666638921</v>
      </c>
      <c r="AV306" s="36">
        <f t="shared" si="907"/>
        <v>1.2211205119723501</v>
      </c>
      <c r="AW306" s="36">
        <f t="shared" si="907"/>
        <v>1.1918626316061158</v>
      </c>
      <c r="AX306" s="36">
        <f t="shared" si="907"/>
        <v>1.1101815249434845</v>
      </c>
      <c r="AY306" s="36">
        <f>AY302/SUM(AV274:AY274)</f>
        <v>1.0662565577964667</v>
      </c>
      <c r="AZ306" s="36">
        <f>AZ302/SUM(AW274:AZ274)</f>
        <v>0.91843191221775555</v>
      </c>
      <c r="BA306" s="36">
        <f>BA302/SUM(AX274:BA274)</f>
        <v>1.5207571359574981</v>
      </c>
      <c r="BB306" s="36">
        <f t="shared" ref="BB306" si="908">BB302/SUM(AY274:BB274)</f>
        <v>1.7287470446078059</v>
      </c>
      <c r="BC306" s="36">
        <f>BC302/SUM(AZ274:BC274)</f>
        <v>1.8135679560434359</v>
      </c>
      <c r="BD306" s="36">
        <f>BD302/SUM(BA274:BD274)</f>
        <v>1.3636241858746578</v>
      </c>
      <c r="BE306" s="36">
        <f>BE302/SUM(BB274:BE274)</f>
        <v>1.5887368343796453</v>
      </c>
      <c r="BG306" s="390"/>
      <c r="BH306" s="390"/>
      <c r="BI306" s="400"/>
    </row>
    <row r="307" spans="2:61" ht="13">
      <c r="C307" s="117"/>
      <c r="D307" s="117"/>
      <c r="E307" s="117"/>
      <c r="F307" s="117"/>
      <c r="G307" s="117"/>
      <c r="H307" s="117"/>
      <c r="I307" s="117"/>
      <c r="J307" s="117"/>
      <c r="K307" s="117"/>
      <c r="L307" s="117"/>
      <c r="M307" s="117"/>
      <c r="N307" s="117"/>
      <c r="O307" s="117"/>
      <c r="P307" s="117"/>
      <c r="Q307" s="117"/>
      <c r="R307" s="117"/>
      <c r="S307" s="117"/>
      <c r="T307" s="117"/>
      <c r="U307" s="117"/>
      <c r="V307" s="117"/>
      <c r="W307" s="117"/>
      <c r="X307" s="117"/>
      <c r="Y307" s="117"/>
      <c r="Z307" s="117"/>
      <c r="AA307" s="117"/>
      <c r="AB307" s="117"/>
      <c r="AC307" s="117"/>
      <c r="AD307" s="117"/>
      <c r="AE307" s="117"/>
      <c r="AF307" s="117"/>
      <c r="AG307" s="117"/>
      <c r="AH307" s="117"/>
      <c r="AI307" s="117"/>
      <c r="AJ307" s="117"/>
      <c r="AK307" s="117"/>
      <c r="AL307" s="117"/>
      <c r="AM307" s="117"/>
      <c r="AN307" s="117"/>
      <c r="AO307" s="117"/>
      <c r="AP307" s="117"/>
      <c r="AQ307" s="117"/>
      <c r="AR307" s="117"/>
      <c r="AS307" s="117"/>
      <c r="AT307" s="117"/>
      <c r="AU307" s="117"/>
      <c r="AV307" s="117"/>
      <c r="AW307" s="117"/>
      <c r="AX307" s="117"/>
      <c r="AY307" s="117"/>
      <c r="AZ307" s="117"/>
      <c r="BA307" s="117"/>
      <c r="BB307" s="117"/>
      <c r="BC307" s="117"/>
      <c r="BD307" s="117"/>
      <c r="BE307" s="117"/>
      <c r="BG307" s="397"/>
      <c r="BH307" s="397"/>
      <c r="BI307" s="400"/>
    </row>
    <row r="308" spans="2:61" s="5" customFormat="1" ht="13">
      <c r="B308" s="5" t="str">
        <f>B165</f>
        <v>Lease adjusted net leverage</v>
      </c>
      <c r="C308" s="35">
        <f t="shared" ref="C308:M308" si="909">(C303-C300)/C278</f>
        <v>8.4715859895295745E-2</v>
      </c>
      <c r="D308" s="35">
        <f t="shared" si="909"/>
        <v>-0.12440022130293313</v>
      </c>
      <c r="E308" s="35">
        <f t="shared" si="909"/>
        <v>-0.24708716210915643</v>
      </c>
      <c r="F308" s="35">
        <f t="shared" si="909"/>
        <v>0.16588567560222975</v>
      </c>
      <c r="G308" s="35">
        <f t="shared" si="909"/>
        <v>-4.2351298201098236E-3</v>
      </c>
      <c r="H308" s="35">
        <f t="shared" si="909"/>
        <v>1.0777116085474141</v>
      </c>
      <c r="I308" s="35">
        <f t="shared" si="909"/>
        <v>2.702778641431673</v>
      </c>
      <c r="J308" s="35">
        <f t="shared" si="909"/>
        <v>0.49325400234652012</v>
      </c>
      <c r="K308" s="35">
        <f t="shared" si="909"/>
        <v>0.54592095920559847</v>
      </c>
      <c r="L308" s="35">
        <f t="shared" si="909"/>
        <v>0.29738544538193484</v>
      </c>
      <c r="M308" s="35">
        <f t="shared" si="909"/>
        <v>0.32002657626981107</v>
      </c>
      <c r="N308" s="35">
        <f t="shared" ref="N308" si="910">(N303-N300)/N278</f>
        <v>0.66614526952657049</v>
      </c>
      <c r="O308" s="35">
        <f>(O303-O300)/O278</f>
        <v>1.2204058442914341</v>
      </c>
      <c r="P308" s="35"/>
      <c r="Q308" s="320"/>
      <c r="R308" s="320"/>
      <c r="S308" s="320"/>
      <c r="T308" s="35">
        <f t="shared" ref="T308:AX308" si="911">(T303-T300)/SUM(Q274:T274)</f>
        <v>-0.25066001140985888</v>
      </c>
      <c r="U308" s="35">
        <f t="shared" si="911"/>
        <v>-0.16944880856963701</v>
      </c>
      <c r="V308" s="35">
        <f t="shared" si="911"/>
        <v>0.71740251292076485</v>
      </c>
      <c r="W308" s="35">
        <f t="shared" si="911"/>
        <v>0.60600764707215959</v>
      </c>
      <c r="X308" s="35">
        <f t="shared" si="911"/>
        <v>0.16576423407041102</v>
      </c>
      <c r="Y308" s="35">
        <f t="shared" si="911"/>
        <v>0.30865710051774525</v>
      </c>
      <c r="Z308" s="35">
        <f t="shared" si="911"/>
        <v>0.25693077980625723</v>
      </c>
      <c r="AA308" s="35">
        <f t="shared" si="911"/>
        <v>0.34402591797473059</v>
      </c>
      <c r="AB308" s="35">
        <f t="shared" si="911"/>
        <v>-4.2595738270253805E-3</v>
      </c>
      <c r="AC308" s="35">
        <f t="shared" si="911"/>
        <v>0.92292070898538781</v>
      </c>
      <c r="AD308" s="35">
        <f t="shared" si="911"/>
        <v>0.96858050102365878</v>
      </c>
      <c r="AE308" s="35">
        <f t="shared" si="911"/>
        <v>1.318822997125964</v>
      </c>
      <c r="AF308" s="35">
        <f t="shared" si="911"/>
        <v>1.0776449877556318</v>
      </c>
      <c r="AG308" s="35">
        <f t="shared" si="911"/>
        <v>1.2111606819588856</v>
      </c>
      <c r="AH308" s="35">
        <f t="shared" si="911"/>
        <v>2.2602946060067683</v>
      </c>
      <c r="AI308" s="35">
        <f t="shared" si="911"/>
        <v>2.4151060855031297</v>
      </c>
      <c r="AJ308" s="35">
        <f t="shared" si="911"/>
        <v>2.7041646613430776</v>
      </c>
      <c r="AK308" s="35">
        <f t="shared" si="911"/>
        <v>3.7984938413438929</v>
      </c>
      <c r="AL308" s="35">
        <f t="shared" si="911"/>
        <v>1.5623213420785216</v>
      </c>
      <c r="AM308" s="35">
        <f t="shared" si="911"/>
        <v>1.2614832997157177</v>
      </c>
      <c r="AN308" s="35">
        <f t="shared" si="911"/>
        <v>0.49376491907090303</v>
      </c>
      <c r="AO308" s="35">
        <f t="shared" si="911"/>
        <v>0.78023735961224916</v>
      </c>
      <c r="AP308" s="35">
        <f t="shared" si="911"/>
        <v>0.64210627050096158</v>
      </c>
      <c r="AQ308" s="35">
        <f t="shared" si="911"/>
        <v>0.93114371679976893</v>
      </c>
      <c r="AR308" s="35">
        <f t="shared" si="911"/>
        <v>0.54393463381415186</v>
      </c>
      <c r="AS308" s="35">
        <f t="shared" si="911"/>
        <v>0.75300093528666623</v>
      </c>
      <c r="AT308" s="35">
        <f t="shared" si="911"/>
        <v>0.84636333708650191</v>
      </c>
      <c r="AU308" s="35">
        <f t="shared" si="911"/>
        <v>0.80632860997114197</v>
      </c>
      <c r="AV308" s="35">
        <f t="shared" si="911"/>
        <v>0.29632533567375841</v>
      </c>
      <c r="AW308" s="35">
        <f t="shared" si="911"/>
        <v>0.4809086983193237</v>
      </c>
      <c r="AX308" s="35">
        <f t="shared" si="911"/>
        <v>0.50283141397627718</v>
      </c>
      <c r="AY308" s="35">
        <f>(AY303-AY300)/SUM(AV274:AY274)</f>
        <v>0.59979619992066124</v>
      </c>
      <c r="AZ308" s="35">
        <f>(AZ303-AZ300)/SUM(AW274:AZ274)</f>
        <v>0.32655263956246278</v>
      </c>
      <c r="BA308" s="35">
        <f>(BA303-BA300)/SUM(AX274:BA274)</f>
        <v>0.58744012980488891</v>
      </c>
      <c r="BB308" s="35">
        <f t="shared" ref="BB308" si="912">(BB303-BB300)/SUM(AY274:BB274)</f>
        <v>1.4684454667062061</v>
      </c>
      <c r="BC308" s="35">
        <f>(BC303-BC300)/SUM(AZ274:BC274)</f>
        <v>1.5042220390672496</v>
      </c>
      <c r="BD308" s="35">
        <f>(BD303-BD300)/SUM(BA274:BD274)</f>
        <v>0.65635788319302646</v>
      </c>
      <c r="BE308" s="35">
        <f>(BE303-BE300)/SUM(BB274:BE274)</f>
        <v>0.9562858910768266</v>
      </c>
      <c r="BG308" s="391"/>
      <c r="BH308" s="391"/>
      <c r="BI308" s="451"/>
    </row>
    <row r="309" spans="2:61" ht="13">
      <c r="B309" s="1" t="str">
        <f>B166</f>
        <v>Lease adjusted gross leverage</v>
      </c>
      <c r="C309" s="36">
        <f t="shared" ref="C309:M309" si="913">(C302-C300)/C278</f>
        <v>0.49289411490172286</v>
      </c>
      <c r="D309" s="36">
        <f t="shared" si="913"/>
        <v>0.40637061392963919</v>
      </c>
      <c r="E309" s="36">
        <f t="shared" si="913"/>
        <v>1.1946511185701616</v>
      </c>
      <c r="F309" s="36">
        <f t="shared" si="913"/>
        <v>1.0352630501391649</v>
      </c>
      <c r="G309" s="36">
        <f t="shared" si="913"/>
        <v>0.64972219535084474</v>
      </c>
      <c r="H309" s="36">
        <f t="shared" si="913"/>
        <v>1.8707461716825111</v>
      </c>
      <c r="I309" s="36">
        <f t="shared" si="913"/>
        <v>5.7490980954773594</v>
      </c>
      <c r="J309" s="36">
        <f t="shared" si="913"/>
        <v>1.8452799722659887</v>
      </c>
      <c r="K309" s="36">
        <f t="shared" si="913"/>
        <v>1.3660913193817084</v>
      </c>
      <c r="L309" s="36">
        <f t="shared" si="913"/>
        <v>1.1861979959099263</v>
      </c>
      <c r="M309" s="36">
        <f t="shared" si="913"/>
        <v>0.9000773069781377</v>
      </c>
      <c r="N309" s="36">
        <f t="shared" ref="N309" si="914">(N302-N300)/N278</f>
        <v>1.3839580876417747</v>
      </c>
      <c r="O309" s="36">
        <f>(O302-O300)/O278</f>
        <v>2.0275356311434094</v>
      </c>
      <c r="P309" s="36"/>
      <c r="Q309" s="319"/>
      <c r="R309" s="319"/>
      <c r="S309" s="319"/>
      <c r="T309" s="36">
        <f t="shared" ref="T309:AX309" si="915">(T302-T300)/SUM(Q274:T274)</f>
        <v>1.2119256235550915</v>
      </c>
      <c r="U309" s="36">
        <f t="shared" si="915"/>
        <v>1.2658480753223365</v>
      </c>
      <c r="V309" s="36">
        <f t="shared" si="915"/>
        <v>1.1349365089741263</v>
      </c>
      <c r="W309" s="36">
        <f t="shared" si="915"/>
        <v>1.2655457458687689</v>
      </c>
      <c r="X309" s="36">
        <f t="shared" si="915"/>
        <v>1.0345051550997781</v>
      </c>
      <c r="Y309" s="36">
        <f t="shared" si="915"/>
        <v>0.91144027418575191</v>
      </c>
      <c r="Z309" s="36">
        <f t="shared" si="915"/>
        <v>0.74622462564090886</v>
      </c>
      <c r="AA309" s="36">
        <f t="shared" si="915"/>
        <v>0.64727948221701292</v>
      </c>
      <c r="AB309" s="36">
        <f t="shared" si="915"/>
        <v>0.65347221353468754</v>
      </c>
      <c r="AC309" s="36">
        <f t="shared" si="915"/>
        <v>1.3788820434140303</v>
      </c>
      <c r="AD309" s="36">
        <f t="shared" si="915"/>
        <v>1.4779983467345712</v>
      </c>
      <c r="AE309" s="36">
        <f t="shared" si="915"/>
        <v>1.566463426198722</v>
      </c>
      <c r="AF309" s="36">
        <f t="shared" si="915"/>
        <v>1.8706305279516717</v>
      </c>
      <c r="AG309" s="36">
        <f t="shared" si="915"/>
        <v>1.7052342229153583</v>
      </c>
      <c r="AH309" s="36">
        <f t="shared" si="915"/>
        <v>2.5411533551411702</v>
      </c>
      <c r="AI309" s="36">
        <f t="shared" si="915"/>
        <v>3.7884433796608317</v>
      </c>
      <c r="AJ309" s="36">
        <f t="shared" si="915"/>
        <v>5.7520463074806667</v>
      </c>
      <c r="AK309" s="36">
        <f t="shared" si="915"/>
        <v>5.8800301854991579</v>
      </c>
      <c r="AL309" s="36">
        <f t="shared" si="915"/>
        <v>3.0680818411452027</v>
      </c>
      <c r="AM309" s="36">
        <f t="shared" si="915"/>
        <v>2.2438636943422883</v>
      </c>
      <c r="AN309" s="36">
        <f t="shared" si="915"/>
        <v>1.8471913290811683</v>
      </c>
      <c r="AO309" s="36">
        <f t="shared" si="915"/>
        <v>1.61570925671976</v>
      </c>
      <c r="AP309" s="36">
        <f t="shared" si="915"/>
        <v>1.4873513603275612</v>
      </c>
      <c r="AQ309" s="36">
        <f t="shared" si="915"/>
        <v>1.3858546547082007</v>
      </c>
      <c r="AR309" s="36">
        <f t="shared" si="915"/>
        <v>1.3611208161816273</v>
      </c>
      <c r="AS309" s="36">
        <f t="shared" si="915"/>
        <v>1.4078086484356822</v>
      </c>
      <c r="AT309" s="36">
        <f t="shared" si="915"/>
        <v>1.402461358377721</v>
      </c>
      <c r="AU309" s="36">
        <f t="shared" si="915"/>
        <v>1.2848690455694041</v>
      </c>
      <c r="AV309" s="36">
        <f t="shared" si="915"/>
        <v>1.1819694768925662</v>
      </c>
      <c r="AW309" s="36">
        <f t="shared" si="915"/>
        <v>1.1571203517950726</v>
      </c>
      <c r="AX309" s="36">
        <f t="shared" si="915"/>
        <v>1.0845074209848524</v>
      </c>
      <c r="AY309" s="36">
        <f>(AY302-AY300)/SUM(AV274:AY274)</f>
        <v>1.0454742723726247</v>
      </c>
      <c r="AZ309" s="36">
        <f>(AZ302-AZ300)/SUM(AW274:AZ274)</f>
        <v>0.91843191221775555</v>
      </c>
      <c r="BA309" s="36">
        <f>(BA302-BA300)/SUM(AX274:BA274)</f>
        <v>1.5207571359574981</v>
      </c>
      <c r="BB309" s="36">
        <f t="shared" ref="BB309" si="916">(BB302-BB300)/SUM(AY274:BB274)</f>
        <v>1.7287470446078059</v>
      </c>
      <c r="BC309" s="36">
        <f>(BC302-BC300)/SUM(AZ274:BC274)</f>
        <v>1.8135679560434359</v>
      </c>
      <c r="BD309" s="36">
        <f>(BD302-BD300)/SUM(BA274:BD274)</f>
        <v>1.3636241858746578</v>
      </c>
      <c r="BE309" s="36">
        <f>(BE302-BE300)/SUM(BB274:BE274)</f>
        <v>1.5887368343796453</v>
      </c>
      <c r="BG309" s="390"/>
      <c r="BH309" s="390"/>
      <c r="BI309" s="400"/>
    </row>
    <row r="310" spans="2:61" ht="13">
      <c r="C310" s="117"/>
      <c r="D310" s="117"/>
      <c r="E310" s="117"/>
      <c r="F310" s="117"/>
      <c r="G310" s="117"/>
      <c r="H310" s="117"/>
      <c r="I310" s="117"/>
      <c r="J310" s="117"/>
      <c r="K310" s="117"/>
      <c r="L310" s="117"/>
      <c r="M310" s="117"/>
      <c r="N310" s="117"/>
      <c r="O310" s="117"/>
      <c r="P310" s="117"/>
      <c r="Q310" s="117"/>
      <c r="R310" s="117"/>
      <c r="S310" s="117"/>
      <c r="T310" s="117"/>
      <c r="U310" s="117"/>
      <c r="V310" s="117"/>
      <c r="W310" s="117"/>
      <c r="X310" s="117"/>
      <c r="Y310" s="117"/>
      <c r="Z310" s="117"/>
      <c r="AA310" s="117"/>
      <c r="AB310" s="117"/>
      <c r="AC310" s="117"/>
      <c r="AD310" s="117"/>
      <c r="AE310" s="117"/>
      <c r="AF310" s="117"/>
      <c r="AG310" s="117"/>
      <c r="AH310" s="117"/>
      <c r="AI310" s="117"/>
      <c r="AJ310" s="117"/>
      <c r="AK310" s="117"/>
      <c r="AL310" s="117"/>
      <c r="AM310" s="117"/>
      <c r="AN310" s="117"/>
      <c r="AO310" s="117"/>
      <c r="AP310" s="117"/>
      <c r="AQ310" s="117"/>
      <c r="AR310" s="117"/>
      <c r="AS310" s="117"/>
      <c r="AT310" s="117"/>
      <c r="AU310" s="117"/>
      <c r="AV310" s="117"/>
      <c r="AW310" s="117"/>
      <c r="AX310" s="117"/>
      <c r="AY310" s="117"/>
      <c r="AZ310" s="117"/>
      <c r="BA310" s="117"/>
      <c r="BB310" s="117"/>
      <c r="BC310" s="117"/>
      <c r="BD310" s="117"/>
      <c r="BE310" s="117"/>
      <c r="BG310" s="397"/>
      <c r="BH310" s="397"/>
      <c r="BI310" s="400"/>
    </row>
    <row r="311" spans="2:61" s="5" customFormat="1" ht="13">
      <c r="B311" s="5" t="str">
        <f>B168</f>
        <v>EBITDA - Capex / Interest</v>
      </c>
      <c r="C311" s="35">
        <f t="shared" ref="C311:M311" si="917">(C278+C284)/-C281</f>
        <v>7.4637500869256153</v>
      </c>
      <c r="D311" s="35">
        <f t="shared" si="917"/>
        <v>10.984830910628226</v>
      </c>
      <c r="E311" s="35">
        <f t="shared" si="917"/>
        <v>8.8152248490551255</v>
      </c>
      <c r="F311" s="35">
        <f t="shared" si="917"/>
        <v>4.1514002931276757</v>
      </c>
      <c r="G311" s="35">
        <f t="shared" si="917"/>
        <v>4.6202517855731013</v>
      </c>
      <c r="H311" s="35">
        <f t="shared" si="917"/>
        <v>6.2118427354772514</v>
      </c>
      <c r="I311" s="35">
        <f t="shared" si="917"/>
        <v>1.7427411674917768</v>
      </c>
      <c r="J311" s="35">
        <f t="shared" si="917"/>
        <v>5.2517148644396769</v>
      </c>
      <c r="K311" s="35">
        <f t="shared" si="917"/>
        <v>8.1183862190873928</v>
      </c>
      <c r="L311" s="35">
        <f t="shared" si="917"/>
        <v>9.7241192388804922</v>
      </c>
      <c r="M311" s="35">
        <f t="shared" si="917"/>
        <v>10.05266462291117</v>
      </c>
      <c r="N311" s="35">
        <f t="shared" ref="N311" si="918">(N278+N284)/-N281</f>
        <v>12.045806568766048</v>
      </c>
      <c r="O311" s="35">
        <f>(O278+O284)/-O281</f>
        <v>7.8670539375734627</v>
      </c>
      <c r="P311" s="35"/>
      <c r="Q311" s="320"/>
      <c r="R311" s="320"/>
      <c r="S311" s="320"/>
      <c r="T311" s="35">
        <f t="shared" ref="T311:AX311" si="919">(SUM(Q274:T274)+SUM(Q284:T284))/-SUM(Q281:T281)</f>
        <v>8.6995460214504057</v>
      </c>
      <c r="U311" s="35">
        <f t="shared" si="919"/>
        <v>8.5383223212098951</v>
      </c>
      <c r="V311" s="35">
        <f t="shared" si="919"/>
        <v>5.6050506354737131</v>
      </c>
      <c r="W311" s="35">
        <f t="shared" si="919"/>
        <v>5.7762713029656982</v>
      </c>
      <c r="X311" s="35">
        <f t="shared" si="919"/>
        <v>4.1382003986529998</v>
      </c>
      <c r="Y311" s="35">
        <f t="shared" si="919"/>
        <v>3.7250553646947098</v>
      </c>
      <c r="Z311" s="35">
        <f t="shared" si="919"/>
        <v>3.5475636975544975</v>
      </c>
      <c r="AA311" s="35">
        <f t="shared" si="919"/>
        <v>3.6252485810215522</v>
      </c>
      <c r="AB311" s="35">
        <f t="shared" si="919"/>
        <v>4.5844388377446608</v>
      </c>
      <c r="AC311" s="35">
        <f t="shared" si="919"/>
        <v>4.9590602276770506</v>
      </c>
      <c r="AD311" s="35">
        <f t="shared" si="919"/>
        <v>5.5380623424790123</v>
      </c>
      <c r="AE311" s="35">
        <f t="shared" si="919"/>
        <v>5.6660193413892808</v>
      </c>
      <c r="AF311" s="35">
        <f t="shared" si="919"/>
        <v>6.2043364911040513</v>
      </c>
      <c r="AG311" s="35">
        <f t="shared" si="919"/>
        <v>6.3133060189462276</v>
      </c>
      <c r="AH311" s="35">
        <f t="shared" si="919"/>
        <v>3.3678454809763387</v>
      </c>
      <c r="AI311" s="35">
        <f t="shared" si="919"/>
        <v>2.6615403067420211</v>
      </c>
      <c r="AJ311" s="35">
        <f t="shared" si="919"/>
        <v>1.7043394072927569</v>
      </c>
      <c r="AK311" s="35">
        <f t="shared" si="919"/>
        <v>1.4462727424759041</v>
      </c>
      <c r="AL311" s="35">
        <f t="shared" si="919"/>
        <v>4.3067470895538005</v>
      </c>
      <c r="AM311" s="35">
        <f t="shared" si="919"/>
        <v>4.5840574134966845</v>
      </c>
      <c r="AN311" s="35">
        <f t="shared" si="919"/>
        <v>5.2414505886650895</v>
      </c>
      <c r="AO311" s="35">
        <f t="shared" si="919"/>
        <v>5.96673023447992</v>
      </c>
      <c r="AP311" s="35">
        <f t="shared" si="919"/>
        <v>6.4455206457822829</v>
      </c>
      <c r="AQ311" s="35">
        <f t="shared" si="919"/>
        <v>7.7773167897559095</v>
      </c>
      <c r="AR311" s="35">
        <f t="shared" si="919"/>
        <v>8.1206289343963984</v>
      </c>
      <c r="AS311" s="35">
        <f t="shared" si="919"/>
        <v>8.3955721224654063</v>
      </c>
      <c r="AT311" s="35">
        <f t="shared" si="919"/>
        <v>8.3466216393370356</v>
      </c>
      <c r="AU311" s="35">
        <f t="shared" si="919"/>
        <v>8.5324081450920612</v>
      </c>
      <c r="AV311" s="35">
        <f t="shared" si="919"/>
        <v>9.7177420584221199</v>
      </c>
      <c r="AW311" s="35">
        <f t="shared" si="919"/>
        <v>9.5102727924918558</v>
      </c>
      <c r="AX311" s="35">
        <f t="shared" si="919"/>
        <v>9.9259869526122024</v>
      </c>
      <c r="AY311" s="35">
        <f>(SUM(AV274:AY274)+SUM(AV284:AY284))/-SUM(AV281:AY281)</f>
        <v>10.121935893418422</v>
      </c>
      <c r="AZ311" s="35">
        <f>(SUM(AW274:AZ274)+SUM(AW284:AZ284))/-SUM(AW281:AZ281)</f>
        <v>9.9071924106702678</v>
      </c>
      <c r="BA311" s="35">
        <f>(SUM(AX274:BA274)+SUM(AX284:BA284))/-SUM(AX281:BA281)</f>
        <v>10.025849908873353</v>
      </c>
      <c r="BB311" s="35">
        <f t="shared" ref="BB311" si="920">(SUM(AY274:BB274)+SUM(AY284:BB284))/-SUM(AY281:BB281)</f>
        <v>10.560842285632305</v>
      </c>
      <c r="BC311" s="35">
        <f>(SUM(AZ274:BC274)+SUM(AZ284:BC284))/-SUM(AZ281:BC281)</f>
        <v>7.3493144598474505</v>
      </c>
      <c r="BD311" s="35">
        <f>(SUM(BA274:BD274)+SUM(BA284:BD284))/-SUM(BA281:BD281)</f>
        <v>12.287403199418371</v>
      </c>
      <c r="BE311" s="35">
        <f>(SUM(BB274:BE274)+SUM(BB284:BE284))/-SUM(BB281:BE281)</f>
        <v>7.9577425805667783</v>
      </c>
      <c r="BG311" s="391"/>
      <c r="BH311" s="391"/>
      <c r="BI311" s="451"/>
    </row>
    <row r="312" spans="2:61" ht="13">
      <c r="B312" s="144" t="str">
        <f>B169</f>
        <v>EBITDA/Interest</v>
      </c>
      <c r="C312" s="136">
        <f t="shared" ref="C312:M312" si="921">(C278)/-C281</f>
        <v>11.181084299388129</v>
      </c>
      <c r="D312" s="136">
        <f t="shared" si="921"/>
        <v>15.277362664006468</v>
      </c>
      <c r="E312" s="136">
        <f t="shared" si="921"/>
        <v>15.732485493609348</v>
      </c>
      <c r="F312" s="136">
        <f t="shared" si="921"/>
        <v>6.9353172740486766</v>
      </c>
      <c r="G312" s="136">
        <f t="shared" si="921"/>
        <v>7.3731579075848641</v>
      </c>
      <c r="H312" s="136">
        <f t="shared" si="921"/>
        <v>9.3660942258122848</v>
      </c>
      <c r="I312" s="136">
        <f t="shared" si="921"/>
        <v>3.0414153625870419</v>
      </c>
      <c r="J312" s="136">
        <f t="shared" si="921"/>
        <v>6.6512843296289788</v>
      </c>
      <c r="K312" s="136">
        <f t="shared" si="921"/>
        <v>10.636188759683204</v>
      </c>
      <c r="L312" s="136">
        <f t="shared" si="921"/>
        <v>12.438057112754981</v>
      </c>
      <c r="M312" s="136">
        <f t="shared" si="921"/>
        <v>13.606600494587866</v>
      </c>
      <c r="N312" s="136">
        <f t="shared" ref="N312" si="922">(N278)/-N281</f>
        <v>15.750712824807602</v>
      </c>
      <c r="O312" s="136">
        <f>(O278)/-O281</f>
        <v>9.957598711418747</v>
      </c>
      <c r="P312" s="36"/>
      <c r="Q312" s="321"/>
      <c r="R312" s="321"/>
      <c r="S312" s="321"/>
      <c r="T312" s="136">
        <f t="shared" ref="T312:AX312" si="923">(SUM(Q274:T274))/-SUM(Q281:T281)</f>
        <v>15.593546785078569</v>
      </c>
      <c r="U312" s="136">
        <f t="shared" si="923"/>
        <v>15.466738079566539</v>
      </c>
      <c r="V312" s="136">
        <f t="shared" si="923"/>
        <v>9.7690902724482793</v>
      </c>
      <c r="W312" s="136">
        <f t="shared" si="923"/>
        <v>9.2667087552333012</v>
      </c>
      <c r="X312" s="136">
        <f t="shared" si="923"/>
        <v>6.9100120295927709</v>
      </c>
      <c r="Y312" s="136">
        <f t="shared" si="923"/>
        <v>6.3580275527939554</v>
      </c>
      <c r="Z312" s="136">
        <f t="shared" si="923"/>
        <v>6.4141786367775468</v>
      </c>
      <c r="AA312" s="136">
        <f t="shared" si="923"/>
        <v>6.7023068776006891</v>
      </c>
      <c r="AB312" s="136">
        <f t="shared" si="923"/>
        <v>7.3626614547499081</v>
      </c>
      <c r="AC312" s="136">
        <f t="shared" si="923"/>
        <v>7.9168881984131119</v>
      </c>
      <c r="AD312" s="136">
        <f t="shared" si="923"/>
        <v>8.3484799512352605</v>
      </c>
      <c r="AE312" s="136">
        <f t="shared" si="923"/>
        <v>8.4550935990748339</v>
      </c>
      <c r="AF312" s="136">
        <f t="shared" si="923"/>
        <v>9.3511498395345551</v>
      </c>
      <c r="AG312" s="136">
        <f t="shared" si="923"/>
        <v>9.1684565452028757</v>
      </c>
      <c r="AH312" s="136">
        <f t="shared" si="923"/>
        <v>5.7603910562320042</v>
      </c>
      <c r="AI312" s="136">
        <f t="shared" si="923"/>
        <v>4.5580947117732276</v>
      </c>
      <c r="AJ312" s="136">
        <f t="shared" si="923"/>
        <v>2.9835627275190486</v>
      </c>
      <c r="AK312" s="136">
        <f t="shared" si="923"/>
        <v>2.7291295623768819</v>
      </c>
      <c r="AL312" s="136">
        <f t="shared" si="923"/>
        <v>5.6307543233136474</v>
      </c>
      <c r="AM312" s="136">
        <f t="shared" si="923"/>
        <v>5.6864506229850509</v>
      </c>
      <c r="AN312" s="136">
        <f t="shared" si="923"/>
        <v>6.6328485915351294</v>
      </c>
      <c r="AO312" s="136">
        <f t="shared" si="923"/>
        <v>7.3401754994164463</v>
      </c>
      <c r="AP312" s="136">
        <f t="shared" si="923"/>
        <v>8.0102784135177227</v>
      </c>
      <c r="AQ312" s="136">
        <f t="shared" si="923"/>
        <v>9.9975604880257976</v>
      </c>
      <c r="AR312" s="136">
        <f t="shared" si="923"/>
        <v>10.637938359233944</v>
      </c>
      <c r="AS312" s="136">
        <f t="shared" si="923"/>
        <v>10.985527883946794</v>
      </c>
      <c r="AT312" s="136">
        <f t="shared" si="923"/>
        <v>11.144407126955993</v>
      </c>
      <c r="AU312" s="136">
        <f t="shared" si="923"/>
        <v>11.547557928235411</v>
      </c>
      <c r="AV312" s="136">
        <f t="shared" si="923"/>
        <v>12.447077135892306</v>
      </c>
      <c r="AW312" s="136">
        <f t="shared" si="923"/>
        <v>12.776957283718973</v>
      </c>
      <c r="AX312" s="136">
        <f t="shared" si="923"/>
        <v>13.047589938937959</v>
      </c>
      <c r="AY312" s="136">
        <f>(SUM(AV274:AY274))/-SUM(AV281:AY281)</f>
        <v>13.226380675151894</v>
      </c>
      <c r="AZ312" s="136">
        <f>(SUM(AW274:AZ274))/-SUM(AW281:AZ281)</f>
        <v>13.457578019610859</v>
      </c>
      <c r="BA312" s="136">
        <f>(SUM(AX274:BA274))/-SUM(AX281:BA281)</f>
        <v>13.304367631519479</v>
      </c>
      <c r="BB312" s="136">
        <f t="shared" ref="BB312" si="924">(SUM(AY274:BB274))/-SUM(AY281:BB281)</f>
        <v>14.169581351159806</v>
      </c>
      <c r="BC312" s="136">
        <f>(SUM(AZ274:BC274))/-SUM(AZ281:BC281)</f>
        <v>9.7598540516614456</v>
      </c>
      <c r="BD312" s="136">
        <f>(SUM(BA274:BD274))/-SUM(BA281:BD281)</f>
        <v>16.031982854874137</v>
      </c>
      <c r="BE312" s="136">
        <f>(SUM(BB274:BE274))/-SUM(BB281:BE281)</f>
        <v>10.059376394732356</v>
      </c>
      <c r="BG312" s="390"/>
      <c r="BH312" s="390"/>
      <c r="BI312" s="400"/>
    </row>
    <row r="313" spans="2:61" ht="13.5" customHeight="1">
      <c r="C313" s="50"/>
      <c r="D313" s="50"/>
      <c r="E313" s="50"/>
      <c r="F313" s="50"/>
      <c r="G313" s="50"/>
      <c r="H313" s="50"/>
      <c r="I313" s="50"/>
      <c r="J313" s="50"/>
      <c r="K313" s="50"/>
      <c r="L313" s="50"/>
      <c r="M313" s="50"/>
      <c r="N313" s="50"/>
      <c r="O313" s="50"/>
      <c r="P313" s="50"/>
      <c r="Q313" s="50"/>
      <c r="R313" s="50"/>
      <c r="S313" s="50"/>
      <c r="T313" s="50"/>
      <c r="U313" s="50"/>
      <c r="V313" s="50"/>
      <c r="W313" s="50"/>
      <c r="X313" s="50"/>
      <c r="Y313" s="50"/>
      <c r="Z313" s="50"/>
      <c r="AA313" s="50"/>
      <c r="AB313" s="50"/>
      <c r="AC313" s="50"/>
      <c r="AD313" s="50"/>
      <c r="AE313" s="50"/>
      <c r="AF313" s="50"/>
      <c r="AG313" s="50"/>
      <c r="AH313" s="50"/>
      <c r="AI313" s="50"/>
      <c r="AJ313" s="50"/>
      <c r="AK313" s="50"/>
      <c r="AL313" s="50"/>
      <c r="AM313" s="50"/>
      <c r="AN313" s="50"/>
      <c r="AO313" s="50"/>
      <c r="AP313" s="50"/>
      <c r="AQ313" s="50"/>
      <c r="AR313" s="50"/>
      <c r="AS313" s="50"/>
      <c r="AT313" s="50"/>
      <c r="AU313" s="50"/>
      <c r="AV313" s="50"/>
      <c r="AW313" s="50"/>
      <c r="AX313" s="50"/>
      <c r="AY313" s="50"/>
      <c r="AZ313" s="50"/>
      <c r="BA313" s="50"/>
      <c r="BB313" s="50"/>
      <c r="BC313" s="50"/>
      <c r="BD313" s="50"/>
      <c r="BE313" s="50"/>
    </row>
    <row r="314" spans="2:61" s="5" customFormat="1" ht="13.5" customHeight="1"/>
    <row r="346" spans="58:62" ht="13.5" customHeight="1">
      <c r="BF346" s="45"/>
      <c r="BG346" s="45"/>
      <c r="BH346" s="45"/>
      <c r="BI346" s="45"/>
      <c r="BJ346" s="45"/>
    </row>
    <row r="348" spans="58:62" ht="13.5" customHeight="1">
      <c r="BF348" s="45"/>
      <c r="BG348" s="45"/>
      <c r="BH348" s="45"/>
      <c r="BI348" s="45"/>
      <c r="BJ348" s="45"/>
    </row>
    <row r="351" spans="58:62" s="39" customFormat="1" ht="13.5" customHeight="1"/>
    <row r="352" spans="58:62" s="39" customFormat="1" ht="13.5" customHeight="1"/>
    <row r="354" s="39" customFormat="1" ht="13.5" customHeight="1"/>
    <row r="355" s="39" customFormat="1" ht="13.5" customHeight="1"/>
    <row r="356" s="39" customFormat="1" ht="13.5" customHeight="1"/>
    <row r="357" s="39" customFormat="1" ht="13.5" customHeight="1"/>
    <row r="358" s="39" customFormat="1" ht="13.5" customHeight="1"/>
    <row r="359" s="39" customFormat="1" ht="13.5" customHeight="1"/>
    <row r="360" s="39" customFormat="1" ht="13.5" customHeight="1"/>
    <row r="361" s="39" customFormat="1" ht="13.5" customHeight="1"/>
    <row r="363" s="39" customFormat="1" ht="13.5" customHeight="1"/>
    <row r="364" s="39" customFormat="1" ht="13.5" customHeight="1"/>
    <row r="365" s="39" customFormat="1" ht="13.5" customHeight="1"/>
    <row r="366" s="39" customFormat="1" ht="13.5" customHeight="1"/>
    <row r="367" s="39" customFormat="1" ht="13.5" customHeight="1"/>
    <row r="368" s="39" customFormat="1" ht="13.5" customHeight="1"/>
    <row r="369" spans="2:61" s="39" customFormat="1" ht="13.5" customHeight="1"/>
    <row r="370" spans="2:61" s="39" customFormat="1" ht="13"/>
    <row r="371" spans="2:61" s="39" customFormat="1" ht="13.5" customHeight="1"/>
    <row r="373" spans="2:61" ht="13.5" customHeight="1">
      <c r="B373" s="173"/>
      <c r="C373" s="156"/>
      <c r="D373" s="156"/>
      <c r="E373" s="156"/>
      <c r="F373" s="156"/>
      <c r="G373" s="156"/>
      <c r="H373" s="156"/>
      <c r="I373" s="156"/>
      <c r="J373" s="156"/>
      <c r="K373" s="156"/>
      <c r="L373" s="156"/>
      <c r="M373" s="156"/>
      <c r="N373" s="156"/>
      <c r="O373" s="156"/>
      <c r="P373" s="156"/>
      <c r="Q373" s="156"/>
      <c r="R373" s="156"/>
      <c r="S373" s="156"/>
      <c r="T373" s="156"/>
      <c r="U373" s="156"/>
      <c r="V373" s="156"/>
      <c r="W373" s="156"/>
      <c r="X373" s="174"/>
      <c r="Y373" s="156"/>
      <c r="Z373" s="156"/>
      <c r="AA373" s="156"/>
      <c r="AB373" s="156"/>
      <c r="AC373" s="156"/>
      <c r="AD373" s="156"/>
      <c r="AE373" s="156"/>
      <c r="AF373" s="156"/>
      <c r="AG373" s="156"/>
      <c r="AH373" s="156"/>
      <c r="AI373" s="156"/>
      <c r="AJ373" s="156"/>
      <c r="AK373" s="156"/>
      <c r="AL373" s="156"/>
      <c r="AM373" s="156"/>
      <c r="AN373" s="156"/>
      <c r="AO373" s="156"/>
      <c r="AP373" s="156"/>
      <c r="AQ373" s="156"/>
      <c r="AR373" s="156"/>
      <c r="AS373" s="156"/>
      <c r="AT373" s="156"/>
      <c r="AU373" s="156"/>
      <c r="AV373" s="156"/>
      <c r="AW373" s="156"/>
      <c r="AX373" s="156"/>
      <c r="AY373" s="156"/>
      <c r="AZ373" s="156"/>
      <c r="BA373" s="156"/>
      <c r="BB373" s="156"/>
      <c r="BC373" s="156"/>
      <c r="BD373" s="156"/>
      <c r="BE373" s="156"/>
      <c r="BG373" s="172"/>
      <c r="BH373" s="138"/>
      <c r="BI373" s="156"/>
    </row>
    <row r="377" spans="2:61" ht="13.5" customHeight="1">
      <c r="AE377" s="158"/>
      <c r="AI377" s="158"/>
      <c r="AM377" s="158"/>
      <c r="AQ377" s="158"/>
      <c r="AR377" s="158"/>
      <c r="AU377" s="158"/>
      <c r="AV377" s="158"/>
      <c r="AZ377" s="158"/>
      <c r="BD377" s="158"/>
    </row>
    <row r="378" spans="2:61" ht="13.5" customHeight="1">
      <c r="AE378" s="158"/>
      <c r="AI378" s="158"/>
      <c r="AM378" s="158"/>
      <c r="AQ378" s="158"/>
      <c r="AR378" s="158"/>
      <c r="AU378" s="158"/>
      <c r="AV378" s="158"/>
      <c r="AZ378" s="158"/>
      <c r="BD378" s="158"/>
    </row>
  </sheetData>
  <phoneticPr fontId="2" type="noConversion"/>
  <pageMargins left="0.51181102362204722" right="0.47244094488188981" top="0.23622047244094491" bottom="0.43307086614173229" header="0.51181102362204722" footer="0.23622047244094491"/>
  <pageSetup paperSize="9" scale="83" fitToHeight="0" orientation="portrait" r:id="rId1"/>
  <headerFooter alignWithMargins="0">
    <oddFooter>&amp;L&amp;8U.S. Bank Loan Team&amp;C&amp;"Arial,Bold"&amp;8- Confidential -_x000D_&amp;1#&amp;"Aptos"&amp;10&amp;K000000 Barings-Corporate&amp;R&amp;8&amp;D &amp;T</oddFooter>
  </headerFooter>
  <rowBreaks count="1" manualBreakCount="1">
    <brk id="100" min="1" max="10" man="1"/>
  </rowBreaks>
  <ignoredErrors>
    <ignoredError sqref="X251 AG251:AL251 Q251:W251" formula="1"/>
    <ignoredError sqref="Y251:AF251" formula="1" formulaRange="1"/>
    <ignoredError sqref="Y248:AF250 Y252:AF255" formulaRange="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BF129"/>
  <sheetViews>
    <sheetView showGridLines="0" zoomScaleNormal="100" workbookViewId="0">
      <pane xSplit="2" ySplit="6" topLeftCell="L7" activePane="bottomRight" state="frozen"/>
      <selection pane="topRight" activeCell="H21" sqref="H21"/>
      <selection pane="bottomLeft" activeCell="H21" sqref="H21"/>
      <selection pane="bottomRight" activeCell="H21" sqref="H21"/>
    </sheetView>
  </sheetViews>
  <sheetFormatPr defaultColWidth="9.26953125" defaultRowHeight="12.5" outlineLevelCol="1"/>
  <cols>
    <col min="1" max="1" width="2.7265625" customWidth="1"/>
    <col min="2" max="2" width="50.7265625" customWidth="1"/>
    <col min="3" max="9" width="12.7265625" hidden="1" customWidth="1" outlineLevel="1"/>
    <col min="10" max="10" width="12.7265625" hidden="1" customWidth="1" outlineLevel="1" collapsed="1"/>
    <col min="11" max="11" width="12.7265625" hidden="1" customWidth="1" outlineLevel="1"/>
    <col min="12" max="12" width="12.7265625" customWidth="1" collapsed="1"/>
    <col min="13" max="16" width="12.7265625" customWidth="1"/>
    <col min="17" max="24" width="12.7265625" hidden="1" customWidth="1" outlineLevel="1"/>
    <col min="25" max="25" width="12.7265625" hidden="1" customWidth="1" outlineLevel="1" collapsed="1"/>
    <col min="26" max="40" width="12.7265625" hidden="1" customWidth="1" outlineLevel="1"/>
    <col min="41" max="41" width="12.7265625" hidden="1" customWidth="1" outlineLevel="1" collapsed="1"/>
    <col min="42" max="44" width="12.7265625" hidden="1" customWidth="1" outlineLevel="1"/>
    <col min="45" max="45" width="12.7265625" hidden="1" customWidth="1" outlineLevel="1" collapsed="1"/>
    <col min="46" max="46" width="12.7265625" hidden="1" customWidth="1" outlineLevel="1"/>
    <col min="47" max="47" width="12.7265625" hidden="1" customWidth="1" outlineLevel="1" collapsed="1"/>
    <col min="48" max="51" width="12.7265625" hidden="1" customWidth="1" outlineLevel="1"/>
    <col min="52" max="53" width="12.7265625" customWidth="1" collapsed="1"/>
    <col min="54" max="56" width="12.7265625" customWidth="1"/>
    <col min="57" max="57" width="12.7265625" customWidth="1" collapsed="1"/>
    <col min="58" max="64" width="12.7265625" customWidth="1"/>
  </cols>
  <sheetData>
    <row r="2" spans="1:58" s="2" customFormat="1" ht="24.75" customHeight="1">
      <c r="B2" s="470" t="s">
        <v>253</v>
      </c>
      <c r="C2" s="472" t="s">
        <v>254</v>
      </c>
      <c r="D2" s="472" t="s">
        <v>254</v>
      </c>
      <c r="E2" s="472" t="s">
        <v>254</v>
      </c>
      <c r="F2" s="472" t="s">
        <v>254</v>
      </c>
      <c r="G2" s="472" t="s">
        <v>254</v>
      </c>
      <c r="H2" s="472" t="s">
        <v>254</v>
      </c>
      <c r="I2" s="472" t="s">
        <v>254</v>
      </c>
      <c r="J2" s="472" t="s">
        <v>254</v>
      </c>
      <c r="K2" s="472" t="s">
        <v>254</v>
      </c>
      <c r="L2" s="472" t="s">
        <v>254</v>
      </c>
      <c r="M2" s="472" t="s">
        <v>254</v>
      </c>
      <c r="N2" s="472" t="s">
        <v>254</v>
      </c>
      <c r="O2" s="490" t="s">
        <v>255</v>
      </c>
      <c r="P2" s="492" t="s">
        <v>392</v>
      </c>
      <c r="Q2" s="472" t="s">
        <v>256</v>
      </c>
      <c r="R2" s="472" t="s">
        <v>256</v>
      </c>
      <c r="S2" s="472" t="s">
        <v>256</v>
      </c>
      <c r="T2" s="472" t="s">
        <v>256</v>
      </c>
      <c r="U2" s="472" t="s">
        <v>256</v>
      </c>
      <c r="V2" s="472" t="s">
        <v>256</v>
      </c>
      <c r="W2" s="472" t="s">
        <v>256</v>
      </c>
      <c r="X2" s="472" t="s">
        <v>256</v>
      </c>
      <c r="Y2" s="472" t="s">
        <v>256</v>
      </c>
      <c r="Z2" s="472" t="s">
        <v>256</v>
      </c>
      <c r="AA2" s="472" t="s">
        <v>256</v>
      </c>
      <c r="AB2" s="472" t="s">
        <v>256</v>
      </c>
      <c r="AC2" s="472" t="s">
        <v>256</v>
      </c>
      <c r="AD2" s="472" t="s">
        <v>256</v>
      </c>
      <c r="AE2" s="472" t="s">
        <v>256</v>
      </c>
      <c r="AF2" s="472" t="s">
        <v>256</v>
      </c>
      <c r="AG2" s="472" t="s">
        <v>256</v>
      </c>
      <c r="AH2" s="472" t="s">
        <v>256</v>
      </c>
      <c r="AI2" s="472" t="s">
        <v>256</v>
      </c>
      <c r="AJ2" s="472" t="s">
        <v>256</v>
      </c>
      <c r="AK2" s="472" t="s">
        <v>256</v>
      </c>
      <c r="AL2" s="472" t="s">
        <v>256</v>
      </c>
      <c r="AM2" s="472" t="s">
        <v>256</v>
      </c>
      <c r="AN2" s="472" t="s">
        <v>256</v>
      </c>
      <c r="AO2" s="472" t="s">
        <v>256</v>
      </c>
      <c r="AP2" s="472" t="s">
        <v>256</v>
      </c>
      <c r="AQ2" s="472" t="s">
        <v>256</v>
      </c>
      <c r="AR2" s="472" t="s">
        <v>256</v>
      </c>
      <c r="AS2" s="472" t="s">
        <v>256</v>
      </c>
      <c r="AT2" s="472" t="s">
        <v>256</v>
      </c>
      <c r="AU2" s="472" t="s">
        <v>256</v>
      </c>
      <c r="AV2" s="472" t="s">
        <v>256</v>
      </c>
      <c r="AW2" s="472" t="s">
        <v>256</v>
      </c>
      <c r="AX2" s="472" t="s">
        <v>256</v>
      </c>
      <c r="AY2" s="472" t="s">
        <v>256</v>
      </c>
      <c r="AZ2" s="472" t="s">
        <v>256</v>
      </c>
      <c r="BA2" s="472" t="s">
        <v>256</v>
      </c>
      <c r="BB2" s="472" t="s">
        <v>256</v>
      </c>
      <c r="BC2" s="472" t="s">
        <v>256</v>
      </c>
      <c r="BD2" s="472" t="s">
        <v>256</v>
      </c>
      <c r="BE2" s="472" t="s">
        <v>256</v>
      </c>
      <c r="BF2" s="490" t="s">
        <v>256</v>
      </c>
    </row>
    <row r="3" spans="1:58" s="2" customFormat="1" ht="13.5" customHeight="1">
      <c r="B3" s="476" t="s">
        <v>87</v>
      </c>
      <c r="C3" s="478">
        <v>41975</v>
      </c>
      <c r="D3" s="478">
        <v>42341</v>
      </c>
      <c r="E3" s="478">
        <v>42708</v>
      </c>
      <c r="F3" s="478">
        <v>43100</v>
      </c>
      <c r="G3" s="478">
        <v>43465</v>
      </c>
      <c r="H3" s="478">
        <v>43830</v>
      </c>
      <c r="I3" s="478">
        <v>44196</v>
      </c>
      <c r="J3" s="478">
        <v>44561</v>
      </c>
      <c r="K3" s="478">
        <v>44926</v>
      </c>
      <c r="L3" s="478">
        <v>45291</v>
      </c>
      <c r="M3" s="478">
        <v>45657</v>
      </c>
      <c r="N3" s="478">
        <v>46022</v>
      </c>
      <c r="O3" s="491">
        <f>BF3</f>
        <v>46203</v>
      </c>
      <c r="P3" s="327" t="s">
        <v>392</v>
      </c>
      <c r="Q3" s="478">
        <v>42437</v>
      </c>
      <c r="R3" s="478">
        <v>42527</v>
      </c>
      <c r="S3" s="478">
        <v>42622</v>
      </c>
      <c r="T3" s="478">
        <v>42714</v>
      </c>
      <c r="U3" s="478">
        <v>42801</v>
      </c>
      <c r="V3" s="478">
        <v>42892</v>
      </c>
      <c r="W3" s="478">
        <v>42987</v>
      </c>
      <c r="X3" s="478">
        <v>43100</v>
      </c>
      <c r="Y3" s="478">
        <v>43190</v>
      </c>
      <c r="Z3" s="478">
        <v>43281</v>
      </c>
      <c r="AA3" s="478">
        <v>43373</v>
      </c>
      <c r="AB3" s="478">
        <v>43465</v>
      </c>
      <c r="AC3" s="478">
        <v>43555</v>
      </c>
      <c r="AD3" s="478">
        <v>43646</v>
      </c>
      <c r="AE3" s="478">
        <v>43738</v>
      </c>
      <c r="AF3" s="478">
        <v>43830</v>
      </c>
      <c r="AG3" s="478">
        <v>43921</v>
      </c>
      <c r="AH3" s="478">
        <v>44012</v>
      </c>
      <c r="AI3" s="478">
        <v>44104</v>
      </c>
      <c r="AJ3" s="478">
        <v>44196</v>
      </c>
      <c r="AK3" s="478">
        <v>44286</v>
      </c>
      <c r="AL3" s="478">
        <v>44377</v>
      </c>
      <c r="AM3" s="478">
        <v>44469</v>
      </c>
      <c r="AN3" s="478">
        <v>44561</v>
      </c>
      <c r="AO3" s="478">
        <v>44651</v>
      </c>
      <c r="AP3" s="478">
        <v>44742</v>
      </c>
      <c r="AQ3" s="478">
        <v>44834</v>
      </c>
      <c r="AR3" s="478">
        <v>44926</v>
      </c>
      <c r="AS3" s="478">
        <v>45016</v>
      </c>
      <c r="AT3" s="478">
        <v>45107</v>
      </c>
      <c r="AU3" s="478">
        <v>45199</v>
      </c>
      <c r="AV3" s="478">
        <v>45291</v>
      </c>
      <c r="AW3" s="478">
        <v>45382</v>
      </c>
      <c r="AX3" s="478">
        <v>45473</v>
      </c>
      <c r="AY3" s="478">
        <v>45536</v>
      </c>
      <c r="AZ3" s="478">
        <v>45657</v>
      </c>
      <c r="BA3" s="478">
        <v>45747</v>
      </c>
      <c r="BB3" s="478">
        <v>45838</v>
      </c>
      <c r="BC3" s="478">
        <v>45901</v>
      </c>
      <c r="BD3" s="478">
        <v>46022</v>
      </c>
      <c r="BE3" s="478">
        <v>46112</v>
      </c>
      <c r="BF3" s="491">
        <v>46203</v>
      </c>
    </row>
    <row r="4" spans="1:58" s="5" customFormat="1" ht="13.5" customHeight="1">
      <c r="B4" s="476"/>
      <c r="C4" s="478" t="s">
        <v>257</v>
      </c>
      <c r="D4" s="478" t="s">
        <v>257</v>
      </c>
      <c r="E4" s="478" t="s">
        <v>257</v>
      </c>
      <c r="F4" s="478" t="s">
        <v>257</v>
      </c>
      <c r="G4" s="478" t="s">
        <v>257</v>
      </c>
      <c r="H4" s="478" t="s">
        <v>257</v>
      </c>
      <c r="I4" s="478" t="s">
        <v>257</v>
      </c>
      <c r="J4" s="478" t="s">
        <v>257</v>
      </c>
      <c r="K4" s="478" t="s">
        <v>257</v>
      </c>
      <c r="L4" s="478" t="s">
        <v>257</v>
      </c>
      <c r="M4" s="478" t="s">
        <v>257</v>
      </c>
      <c r="N4" s="478" t="s">
        <v>257</v>
      </c>
      <c r="O4" s="491" t="s">
        <v>257</v>
      </c>
      <c r="P4" s="327" t="s">
        <v>392</v>
      </c>
      <c r="Q4" s="478" t="s">
        <v>257</v>
      </c>
      <c r="R4" s="478" t="s">
        <v>257</v>
      </c>
      <c r="S4" s="478" t="s">
        <v>257</v>
      </c>
      <c r="T4" s="478" t="s">
        <v>257</v>
      </c>
      <c r="U4" s="478" t="s">
        <v>257</v>
      </c>
      <c r="V4" s="478" t="s">
        <v>257</v>
      </c>
      <c r="W4" s="478" t="s">
        <v>257</v>
      </c>
      <c r="X4" s="478" t="s">
        <v>257</v>
      </c>
      <c r="Y4" s="478" t="s">
        <v>257</v>
      </c>
      <c r="Z4" s="478" t="s">
        <v>257</v>
      </c>
      <c r="AA4" s="478" t="s">
        <v>257</v>
      </c>
      <c r="AB4" s="478" t="s">
        <v>257</v>
      </c>
      <c r="AC4" s="478" t="s">
        <v>257</v>
      </c>
      <c r="AD4" s="478" t="s">
        <v>257</v>
      </c>
      <c r="AE4" s="478" t="s">
        <v>257</v>
      </c>
      <c r="AF4" s="478" t="s">
        <v>257</v>
      </c>
      <c r="AG4" s="478" t="s">
        <v>257</v>
      </c>
      <c r="AH4" s="478" t="s">
        <v>257</v>
      </c>
      <c r="AI4" s="478" t="s">
        <v>257</v>
      </c>
      <c r="AJ4" s="478" t="s">
        <v>257</v>
      </c>
      <c r="AK4" s="478" t="s">
        <v>257</v>
      </c>
      <c r="AL4" s="478" t="s">
        <v>257</v>
      </c>
      <c r="AM4" s="478" t="s">
        <v>257</v>
      </c>
      <c r="AN4" s="478" t="s">
        <v>257</v>
      </c>
      <c r="AO4" s="478" t="s">
        <v>257</v>
      </c>
      <c r="AP4" s="478" t="s">
        <v>257</v>
      </c>
      <c r="AQ4" s="478" t="s">
        <v>257</v>
      </c>
      <c r="AR4" s="478" t="s">
        <v>257</v>
      </c>
      <c r="AS4" s="478" t="s">
        <v>257</v>
      </c>
      <c r="AT4" s="478" t="s">
        <v>257</v>
      </c>
      <c r="AU4" s="478" t="s">
        <v>257</v>
      </c>
      <c r="AV4" s="478" t="s">
        <v>257</v>
      </c>
      <c r="AW4" s="478" t="s">
        <v>257</v>
      </c>
      <c r="AX4" s="478" t="s">
        <v>257</v>
      </c>
      <c r="AY4" s="478" t="s">
        <v>257</v>
      </c>
      <c r="AZ4" s="478" t="s">
        <v>257</v>
      </c>
      <c r="BA4" s="478" t="s">
        <v>257</v>
      </c>
      <c r="BB4" s="478" t="s">
        <v>257</v>
      </c>
      <c r="BC4" s="478" t="s">
        <v>257</v>
      </c>
      <c r="BD4" s="478" t="s">
        <v>257</v>
      </c>
      <c r="BE4" s="478" t="s">
        <v>257</v>
      </c>
      <c r="BF4" s="491" t="s">
        <v>257</v>
      </c>
    </row>
    <row r="5" spans="1:58" s="3" customFormat="1" ht="13.5" customHeight="1">
      <c r="B5" s="481"/>
      <c r="C5" s="482" t="s">
        <v>259</v>
      </c>
      <c r="D5" s="482" t="s">
        <v>259</v>
      </c>
      <c r="E5" s="482" t="s">
        <v>259</v>
      </c>
      <c r="F5" s="482" t="s">
        <v>259</v>
      </c>
      <c r="G5" s="482" t="s">
        <v>259</v>
      </c>
      <c r="H5" s="482" t="s">
        <v>259</v>
      </c>
      <c r="I5" s="482" t="s">
        <v>259</v>
      </c>
      <c r="J5" s="482" t="s">
        <v>259</v>
      </c>
      <c r="K5" s="482" t="s">
        <v>259</v>
      </c>
      <c r="L5" s="482" t="s">
        <v>259</v>
      </c>
      <c r="M5" s="482" t="s">
        <v>259</v>
      </c>
      <c r="N5" s="482" t="s">
        <v>259</v>
      </c>
      <c r="O5" s="483" t="s">
        <v>255</v>
      </c>
      <c r="P5" s="327" t="s">
        <v>392</v>
      </c>
      <c r="Q5" s="482" t="s">
        <v>260</v>
      </c>
      <c r="R5" s="482" t="s">
        <v>261</v>
      </c>
      <c r="S5" s="482" t="s">
        <v>262</v>
      </c>
      <c r="T5" s="482" t="s">
        <v>263</v>
      </c>
      <c r="U5" s="482" t="s">
        <v>260</v>
      </c>
      <c r="V5" s="482" t="s">
        <v>261</v>
      </c>
      <c r="W5" s="482" t="s">
        <v>262</v>
      </c>
      <c r="X5" s="482" t="s">
        <v>263</v>
      </c>
      <c r="Y5" s="482" t="s">
        <v>260</v>
      </c>
      <c r="Z5" s="482" t="s">
        <v>261</v>
      </c>
      <c r="AA5" s="482" t="s">
        <v>262</v>
      </c>
      <c r="AB5" s="482" t="s">
        <v>263</v>
      </c>
      <c r="AC5" s="482" t="s">
        <v>260</v>
      </c>
      <c r="AD5" s="482" t="s">
        <v>261</v>
      </c>
      <c r="AE5" s="482" t="s">
        <v>262</v>
      </c>
      <c r="AF5" s="482" t="s">
        <v>263</v>
      </c>
      <c r="AG5" s="482" t="s">
        <v>260</v>
      </c>
      <c r="AH5" s="482" t="s">
        <v>261</v>
      </c>
      <c r="AI5" s="482" t="s">
        <v>262</v>
      </c>
      <c r="AJ5" s="482" t="s">
        <v>263</v>
      </c>
      <c r="AK5" s="482" t="s">
        <v>260</v>
      </c>
      <c r="AL5" s="482" t="s">
        <v>261</v>
      </c>
      <c r="AM5" s="482" t="s">
        <v>262</v>
      </c>
      <c r="AN5" s="482" t="s">
        <v>263</v>
      </c>
      <c r="AO5" s="482" t="s">
        <v>260</v>
      </c>
      <c r="AP5" s="482" t="s">
        <v>261</v>
      </c>
      <c r="AQ5" s="482" t="s">
        <v>262</v>
      </c>
      <c r="AR5" s="482" t="s">
        <v>263</v>
      </c>
      <c r="AS5" s="482" t="s">
        <v>260</v>
      </c>
      <c r="AT5" s="482" t="s">
        <v>261</v>
      </c>
      <c r="AU5" s="482" t="s">
        <v>262</v>
      </c>
      <c r="AV5" s="482" t="s">
        <v>263</v>
      </c>
      <c r="AW5" s="482" t="s">
        <v>260</v>
      </c>
      <c r="AX5" s="482" t="s">
        <v>261</v>
      </c>
      <c r="AY5" s="482" t="s">
        <v>262</v>
      </c>
      <c r="AZ5" s="483" t="s">
        <v>263</v>
      </c>
      <c r="BA5" s="482" t="s">
        <v>260</v>
      </c>
      <c r="BB5" s="482" t="s">
        <v>261</v>
      </c>
      <c r="BC5" s="482" t="s">
        <v>262</v>
      </c>
      <c r="BD5" s="483" t="s">
        <v>263</v>
      </c>
      <c r="BE5" s="482" t="s">
        <v>260</v>
      </c>
      <c r="BF5" s="482" t="s">
        <v>261</v>
      </c>
    </row>
    <row r="6" spans="1:58" s="3" customFormat="1" ht="13.5" customHeight="1">
      <c r="B6" s="493"/>
      <c r="C6" s="494"/>
      <c r="D6" s="494"/>
      <c r="E6" s="494"/>
      <c r="F6" s="494"/>
      <c r="G6" s="494"/>
      <c r="H6" s="494"/>
      <c r="I6" s="494"/>
      <c r="J6" s="494"/>
      <c r="K6" s="494"/>
      <c r="L6" s="494"/>
      <c r="M6" s="494"/>
      <c r="N6" s="494"/>
      <c r="O6" s="494"/>
      <c r="P6" s="327" t="s">
        <v>392</v>
      </c>
      <c r="Q6" s="494"/>
      <c r="R6" s="494"/>
      <c r="S6" s="494"/>
      <c r="T6" s="494"/>
      <c r="U6" s="494"/>
      <c r="V6" s="494"/>
      <c r="W6" s="494"/>
      <c r="X6" s="494"/>
      <c r="Y6" s="494"/>
      <c r="Z6" s="494"/>
      <c r="AA6" s="494"/>
      <c r="AB6" s="494"/>
      <c r="AC6" s="494"/>
      <c r="AD6" s="494"/>
      <c r="AE6" s="494"/>
      <c r="AF6" s="494"/>
      <c r="AG6" s="494"/>
      <c r="AH6" s="494"/>
      <c r="AI6" s="494"/>
      <c r="AJ6" s="494"/>
      <c r="AK6" s="494"/>
      <c r="AL6" s="494"/>
      <c r="AM6" s="494"/>
      <c r="AN6" s="494"/>
      <c r="AO6" s="494"/>
      <c r="AP6" s="494"/>
      <c r="AQ6" s="494"/>
      <c r="AR6" s="494"/>
      <c r="AS6" s="494"/>
      <c r="AT6" s="494"/>
      <c r="AU6" s="494"/>
      <c r="AV6" s="494"/>
      <c r="AW6" s="494"/>
      <c r="AX6" s="494"/>
      <c r="AY6" s="494"/>
      <c r="AZ6" s="494"/>
      <c r="BA6" s="494"/>
      <c r="BB6" s="494"/>
      <c r="BC6" s="494"/>
      <c r="BD6" s="494"/>
      <c r="BE6" s="494"/>
      <c r="BF6" s="494"/>
    </row>
    <row r="7" spans="1:58" s="3" customFormat="1" ht="13.5" customHeight="1">
      <c r="B7" s="456"/>
      <c r="C7" s="457"/>
      <c r="D7" s="457"/>
      <c r="E7" s="457"/>
      <c r="F7" s="457"/>
      <c r="G7" s="457"/>
      <c r="H7" s="457"/>
      <c r="I7" s="457"/>
      <c r="J7" s="457"/>
      <c r="K7" s="457"/>
      <c r="L7" s="457"/>
      <c r="M7" s="457"/>
      <c r="N7" s="457"/>
      <c r="O7" s="457"/>
      <c r="P7" s="458"/>
      <c r="Q7" s="457"/>
      <c r="R7" s="457"/>
      <c r="S7" s="457"/>
      <c r="T7" s="457"/>
      <c r="U7" s="457"/>
      <c r="V7" s="457"/>
      <c r="W7" s="457"/>
      <c r="X7" s="457"/>
      <c r="Y7" s="457"/>
      <c r="Z7" s="457"/>
      <c r="AA7" s="457"/>
      <c r="AB7" s="457"/>
      <c r="AC7" s="457"/>
      <c r="AD7" s="457"/>
      <c r="AE7" s="457"/>
      <c r="AF7" s="457"/>
      <c r="AG7" s="457"/>
      <c r="AH7" s="457"/>
      <c r="AI7" s="457"/>
      <c r="AJ7" s="457"/>
      <c r="AK7" s="457"/>
      <c r="AL7" s="457"/>
      <c r="AM7" s="457"/>
      <c r="AN7" s="457"/>
      <c r="AO7" s="457"/>
      <c r="AP7" s="457"/>
      <c r="AQ7" s="457"/>
      <c r="AR7" s="457"/>
      <c r="AS7" s="457"/>
      <c r="AT7" s="457"/>
      <c r="AU7" s="457"/>
      <c r="AV7" s="457"/>
      <c r="AW7" s="457"/>
      <c r="AX7" s="457"/>
      <c r="AY7" s="457"/>
      <c r="AZ7" s="457"/>
      <c r="BA7" s="457"/>
      <c r="BB7" s="457"/>
      <c r="BC7" s="457"/>
      <c r="BD7" s="457"/>
      <c r="BE7" s="457"/>
      <c r="BF7" s="457"/>
    </row>
    <row r="8" spans="1:58" ht="13">
      <c r="A8" s="1"/>
      <c r="B8" s="1" t="s">
        <v>393</v>
      </c>
      <c r="C8" s="62">
        <v>6.2E-2</v>
      </c>
      <c r="D8" s="62">
        <v>9.8000000000000004E-2</v>
      </c>
      <c r="E8" s="62">
        <v>7.5999999999999998E-2</v>
      </c>
      <c r="F8" s="62">
        <v>5.8000000000000003E-2</v>
      </c>
      <c r="G8" s="62">
        <v>7.0999999999999994E-2</v>
      </c>
      <c r="H8" s="62">
        <v>3.3000000000000002E-2</v>
      </c>
      <c r="I8" s="62">
        <v>-0.20699999999999999</v>
      </c>
      <c r="J8" s="62">
        <v>0.35499999999999998</v>
      </c>
      <c r="K8" s="62">
        <v>0.16300000000000001</v>
      </c>
      <c r="L8" s="62">
        <v>8.5999999999999993E-2</v>
      </c>
      <c r="M8" s="62">
        <v>6.9000000000000006E-2</v>
      </c>
      <c r="N8" s="62">
        <v>4.2000000000000003E-2</v>
      </c>
      <c r="O8" s="429"/>
      <c r="P8" s="44" t="s">
        <v>392</v>
      </c>
      <c r="Q8" s="61">
        <v>9.5000000000000001E-2</v>
      </c>
      <c r="R8" s="61">
        <v>8.6999999999999994E-2</v>
      </c>
      <c r="S8" s="62">
        <v>7.6999999999999999E-2</v>
      </c>
      <c r="T8" s="62">
        <v>5.8000000000000003E-2</v>
      </c>
      <c r="U8" s="62">
        <v>4.1000000000000002E-2</v>
      </c>
      <c r="V8" s="61">
        <v>6.0999999999999999E-2</v>
      </c>
      <c r="W8" s="61">
        <v>5.0999999999999997E-2</v>
      </c>
      <c r="X8" s="119">
        <v>6.8000000000000005E-2</v>
      </c>
      <c r="Y8" s="61">
        <v>5.8999999999999997E-2</v>
      </c>
      <c r="Z8" s="61">
        <v>7.3999999999999996E-2</v>
      </c>
      <c r="AA8" s="61">
        <v>6.3E-2</v>
      </c>
      <c r="AB8" s="61">
        <v>6.4000000000000001E-2</v>
      </c>
      <c r="AC8" s="61">
        <v>4.1000000000000002E-2</v>
      </c>
      <c r="AD8" s="61">
        <v>6.8000000000000005E-2</v>
      </c>
      <c r="AE8" s="61">
        <v>-5.0000000000000001E-3</v>
      </c>
      <c r="AF8" s="61">
        <v>4.3999999999999997E-2</v>
      </c>
      <c r="AG8" s="61">
        <v>-0.05</v>
      </c>
      <c r="AH8" s="61">
        <v>-0.63500000000000001</v>
      </c>
      <c r="AI8" s="61">
        <v>-0.13300000000000001</v>
      </c>
      <c r="AJ8" s="61">
        <v>0</v>
      </c>
      <c r="AK8" s="177">
        <v>-1.4999999999999999E-2</v>
      </c>
      <c r="AL8" s="177"/>
      <c r="AM8" s="177"/>
      <c r="AN8" s="61">
        <v>0.22700000000000001</v>
      </c>
      <c r="AO8" s="177">
        <v>0.27200000000000002</v>
      </c>
      <c r="AP8" s="177">
        <v>0.129</v>
      </c>
      <c r="AQ8" s="177">
        <v>0.193</v>
      </c>
      <c r="AR8" s="177">
        <v>0.10100000000000001</v>
      </c>
      <c r="AS8" s="177">
        <v>0.13500000000000001</v>
      </c>
      <c r="AT8" s="177">
        <v>9.2999999999999999E-2</v>
      </c>
      <c r="AU8" s="177">
        <v>5.8000000000000003E-2</v>
      </c>
      <c r="AV8" s="177">
        <v>6.9000000000000006E-2</v>
      </c>
      <c r="AW8" s="177">
        <v>5.8999999999999997E-2</v>
      </c>
      <c r="AX8" s="177">
        <v>6.5000000000000002E-2</v>
      </c>
      <c r="AY8" s="177">
        <v>7.5999999999999998E-2</v>
      </c>
      <c r="AZ8" s="177">
        <v>7.2999999999999995E-2</v>
      </c>
      <c r="BA8" s="177">
        <v>7.9000000000000001E-2</v>
      </c>
      <c r="BB8" s="177">
        <v>4.7E-2</v>
      </c>
      <c r="BC8" s="177">
        <v>1.9E-2</v>
      </c>
      <c r="BD8" s="177">
        <v>3.3000000000000002E-2</v>
      </c>
      <c r="BE8" s="177">
        <v>-2.5000000000000001E-2</v>
      </c>
      <c r="BF8" s="177">
        <v>1.7000000000000001E-2</v>
      </c>
    </row>
    <row r="9" spans="1:58" ht="13">
      <c r="A9" s="1"/>
      <c r="B9" s="1" t="s">
        <v>394</v>
      </c>
      <c r="C9" s="67">
        <v>0.04</v>
      </c>
      <c r="D9" s="67">
        <v>3.6999999999999998E-2</v>
      </c>
      <c r="E9" s="67">
        <v>0.04</v>
      </c>
      <c r="F9" s="67">
        <v>4.4999999999999998E-2</v>
      </c>
      <c r="G9" s="67">
        <v>4.4999999999999998E-2</v>
      </c>
      <c r="H9" s="67">
        <v>4.4999999999999998E-2</v>
      </c>
      <c r="I9" s="67">
        <v>6.4000000000000001E-2</v>
      </c>
      <c r="J9" s="67">
        <v>2.1999999999999999E-2</v>
      </c>
      <c r="K9" s="67">
        <v>2.4E-2</v>
      </c>
      <c r="L9" s="67">
        <v>2.7E-2</v>
      </c>
      <c r="M9" s="67">
        <v>3.2000000000000001E-2</v>
      </c>
      <c r="N9" s="67">
        <f>BD9</f>
        <v>3.6999999999999998E-2</v>
      </c>
      <c r="O9" s="430"/>
      <c r="P9" s="44" t="s">
        <v>392</v>
      </c>
      <c r="Q9" s="61">
        <v>4.1000000000000002E-2</v>
      </c>
      <c r="R9" s="61">
        <v>4.3999999999999997E-2</v>
      </c>
      <c r="S9" s="62">
        <v>4.9000000000000002E-2</v>
      </c>
      <c r="T9" s="102">
        <f>E9</f>
        <v>0.04</v>
      </c>
      <c r="U9" s="62">
        <v>4.4999999999999998E-2</v>
      </c>
      <c r="V9" s="61">
        <v>0.05</v>
      </c>
      <c r="W9" s="61">
        <v>5.6000000000000001E-2</v>
      </c>
      <c r="X9" s="120">
        <f>F9</f>
        <v>4.4999999999999998E-2</v>
      </c>
      <c r="Y9" s="61">
        <v>5.0999999999999997E-2</v>
      </c>
      <c r="Z9" s="61">
        <v>5.7000000000000002E-2</v>
      </c>
      <c r="AA9" s="61">
        <v>5.8000000000000003E-2</v>
      </c>
      <c r="AB9" s="126">
        <f>G9</f>
        <v>4.4999999999999998E-2</v>
      </c>
      <c r="AC9" s="61">
        <v>5.1999999999999998E-2</v>
      </c>
      <c r="AD9" s="61">
        <v>5.6000000000000001E-2</v>
      </c>
      <c r="AE9" s="61">
        <v>0.06</v>
      </c>
      <c r="AF9" s="126">
        <f>H9</f>
        <v>4.4999999999999998E-2</v>
      </c>
      <c r="AG9" s="61">
        <v>5.0999999999999997E-2</v>
      </c>
      <c r="AH9" s="61">
        <v>3.9E-2</v>
      </c>
      <c r="AI9" s="61">
        <v>9.2999999999999999E-2</v>
      </c>
      <c r="AJ9" s="126">
        <f>I9</f>
        <v>6.4000000000000001E-2</v>
      </c>
      <c r="AK9" s="61">
        <v>5.1999999999999998E-2</v>
      </c>
      <c r="AL9" s="177"/>
      <c r="AM9" s="177"/>
      <c r="AN9" s="126">
        <f>J9</f>
        <v>2.1999999999999999E-2</v>
      </c>
      <c r="AO9" s="61">
        <v>2.4E-2</v>
      </c>
      <c r="AP9" s="61">
        <v>0</v>
      </c>
      <c r="AQ9" s="177">
        <v>2.8000000000000001E-2</v>
      </c>
      <c r="AR9" s="126">
        <f>K9</f>
        <v>2.4E-2</v>
      </c>
      <c r="AS9" s="61">
        <v>2.8000000000000001E-2</v>
      </c>
      <c r="AT9" s="61">
        <v>0.03</v>
      </c>
      <c r="AU9" s="177">
        <v>3.5000000000000003E-2</v>
      </c>
      <c r="AV9" s="126">
        <f>L9</f>
        <v>2.7E-2</v>
      </c>
      <c r="AW9" s="61">
        <v>3.1E-2</v>
      </c>
      <c r="AX9" s="61">
        <v>3.5000000000000003E-2</v>
      </c>
      <c r="AY9" s="61">
        <v>4.1000000000000002E-2</v>
      </c>
      <c r="AZ9" s="126">
        <f>M9</f>
        <v>3.2000000000000001E-2</v>
      </c>
      <c r="BA9" s="61">
        <v>3.6999999999999998E-2</v>
      </c>
      <c r="BB9" s="61">
        <v>0.04</v>
      </c>
      <c r="BC9" s="61">
        <v>4.3999999999999997E-2</v>
      </c>
      <c r="BD9" s="61">
        <v>3.6999999999999998E-2</v>
      </c>
      <c r="BE9" s="61">
        <v>4.3999999999999997E-2</v>
      </c>
      <c r="BF9" s="61">
        <v>4.7E-2</v>
      </c>
    </row>
    <row r="10" spans="1:58" ht="13">
      <c r="A10" s="5"/>
      <c r="B10" s="1" t="s">
        <v>395</v>
      </c>
      <c r="C10" s="66">
        <v>2216</v>
      </c>
      <c r="D10" s="66">
        <v>2219.5729999999999</v>
      </c>
      <c r="E10" s="66">
        <v>2516.143</v>
      </c>
      <c r="F10" s="66">
        <v>3085.681</v>
      </c>
      <c r="G10" s="66">
        <v>3263.14</v>
      </c>
      <c r="H10" s="66">
        <v>4422.3</v>
      </c>
      <c r="I10" s="66">
        <v>6486.3</v>
      </c>
      <c r="J10" s="66">
        <v>4887.1000000000004</v>
      </c>
      <c r="K10" s="66">
        <v>4924</v>
      </c>
      <c r="L10" s="66">
        <v>5279</v>
      </c>
      <c r="M10" s="66">
        <v>6195</v>
      </c>
      <c r="N10" s="66">
        <f>BD10</f>
        <v>7654</v>
      </c>
      <c r="O10" s="431"/>
      <c r="P10" s="65"/>
      <c r="Q10" s="63">
        <v>2073.4569999999999</v>
      </c>
      <c r="R10" s="63">
        <v>2472.848</v>
      </c>
      <c r="S10" s="63">
        <v>2694.2649999999999</v>
      </c>
      <c r="T10" s="72">
        <f>E10</f>
        <v>2516.143</v>
      </c>
      <c r="U10" s="63">
        <v>2475.5210000000002</v>
      </c>
      <c r="V10" s="63">
        <v>2968.9949999999999</v>
      </c>
      <c r="W10" s="63">
        <v>3317.9160000000002</v>
      </c>
      <c r="X10" s="72">
        <f>F10</f>
        <v>3085.681</v>
      </c>
      <c r="Y10" s="63">
        <v>3086.1120000000001</v>
      </c>
      <c r="Z10" s="63">
        <v>3640.1619999999998</v>
      </c>
      <c r="AA10" s="63">
        <v>3614.6590000000001</v>
      </c>
      <c r="AB10" s="72">
        <f>G10</f>
        <v>3263.14</v>
      </c>
      <c r="AC10" s="63">
        <v>4013.8</v>
      </c>
      <c r="AD10" s="63">
        <v>4635.7</v>
      </c>
      <c r="AE10" s="63">
        <v>4713.5</v>
      </c>
      <c r="AF10" s="72">
        <f>H10</f>
        <v>4422.3</v>
      </c>
      <c r="AG10" s="63">
        <v>4268.7</v>
      </c>
      <c r="AH10" s="63">
        <v>4554.1000000000004</v>
      </c>
      <c r="AI10" s="63">
        <v>6799.1</v>
      </c>
      <c r="AJ10" s="72">
        <f>I10</f>
        <v>6486.3</v>
      </c>
      <c r="AK10" s="63">
        <v>5114.2</v>
      </c>
      <c r="AL10" s="63"/>
      <c r="AM10" s="63"/>
      <c r="AN10" s="72">
        <f>J10</f>
        <v>4887.1000000000004</v>
      </c>
      <c r="AO10" s="63">
        <v>4192.8999999999996</v>
      </c>
      <c r="AP10" s="63">
        <v>4308.3</v>
      </c>
      <c r="AQ10" s="63">
        <v>4246.3</v>
      </c>
      <c r="AR10" s="72">
        <f>K10</f>
        <v>4924</v>
      </c>
      <c r="AS10" s="63">
        <v>4789.7</v>
      </c>
      <c r="AT10" s="63">
        <v>5096.5</v>
      </c>
      <c r="AU10" s="63">
        <v>5174</v>
      </c>
      <c r="AV10" s="72">
        <f>L10</f>
        <v>5279</v>
      </c>
      <c r="AW10" s="63">
        <v>5457.9</v>
      </c>
      <c r="AX10" s="63">
        <v>5680</v>
      </c>
      <c r="AY10" s="63">
        <v>5849</v>
      </c>
      <c r="AZ10" s="72">
        <f>M10</f>
        <v>6195</v>
      </c>
      <c r="BA10" s="431"/>
      <c r="BB10" s="431"/>
      <c r="BC10" s="63">
        <v>7042</v>
      </c>
      <c r="BD10" s="63">
        <v>7654</v>
      </c>
      <c r="BE10" s="63">
        <v>7814</v>
      </c>
      <c r="BF10" s="63">
        <v>8419</v>
      </c>
    </row>
    <row r="11" spans="1:58" ht="13">
      <c r="A11" s="1"/>
      <c r="B11" s="1"/>
      <c r="C11" s="66"/>
      <c r="D11" s="66"/>
      <c r="E11" s="65"/>
      <c r="F11" s="65"/>
      <c r="G11" s="65"/>
      <c r="H11" s="65"/>
      <c r="I11" s="65"/>
      <c r="J11" s="65"/>
      <c r="K11" s="65"/>
      <c r="L11" s="65"/>
      <c r="M11" s="65"/>
      <c r="N11" s="65"/>
      <c r="O11" s="65"/>
      <c r="P11" s="65"/>
      <c r="Q11" s="63"/>
      <c r="R11" s="63"/>
      <c r="S11" s="63"/>
      <c r="T11" s="63"/>
      <c r="U11" s="63"/>
      <c r="V11" s="63"/>
      <c r="W11" s="63"/>
      <c r="X11" s="1"/>
      <c r="Y11" s="63"/>
      <c r="Z11" s="63"/>
      <c r="AA11" s="63"/>
      <c r="AB11" s="81"/>
      <c r="AC11" s="63"/>
      <c r="AD11" s="63"/>
      <c r="AE11" s="63"/>
      <c r="AF11" s="63"/>
      <c r="AG11" s="63"/>
      <c r="AH11" s="63"/>
      <c r="AI11" s="63"/>
      <c r="AJ11" s="63"/>
      <c r="AK11" s="63"/>
      <c r="AL11" s="63"/>
      <c r="AM11" s="63"/>
      <c r="AN11" s="63"/>
      <c r="AO11" s="63"/>
      <c r="AP11" s="63"/>
      <c r="AQ11" s="63"/>
      <c r="AR11" s="63"/>
      <c r="AS11" s="63"/>
      <c r="AT11" s="63"/>
      <c r="AU11" s="63"/>
      <c r="AV11" s="63"/>
      <c r="AW11" s="63"/>
      <c r="AX11" s="63"/>
      <c r="AZ11" s="63"/>
      <c r="BA11" s="63"/>
      <c r="BB11" s="63"/>
      <c r="BD11" s="63"/>
      <c r="BE11" s="63"/>
      <c r="BF11" s="63"/>
    </row>
    <row r="12" spans="1:58" ht="13">
      <c r="A12" s="1"/>
      <c r="B12" s="5" t="s">
        <v>396</v>
      </c>
      <c r="C12" s="66"/>
      <c r="D12" s="66"/>
      <c r="E12" s="65"/>
      <c r="F12" s="65"/>
      <c r="G12" s="65"/>
      <c r="H12" s="65"/>
      <c r="I12" s="65"/>
      <c r="J12" s="65"/>
      <c r="K12" s="65"/>
      <c r="L12" s="65"/>
      <c r="M12" s="65"/>
      <c r="N12" s="65"/>
      <c r="O12" s="65"/>
      <c r="P12" s="65"/>
      <c r="Q12" s="63"/>
      <c r="R12" s="63"/>
      <c r="S12" s="63"/>
      <c r="T12" s="63"/>
      <c r="U12" s="63"/>
      <c r="V12" s="63"/>
      <c r="W12" s="63"/>
      <c r="X12" s="1"/>
      <c r="Y12" s="63"/>
      <c r="Z12" s="63"/>
      <c r="AA12" s="63"/>
      <c r="AB12" s="81"/>
      <c r="AC12" s="63"/>
      <c r="AD12" s="63"/>
      <c r="AE12" s="63"/>
      <c r="AF12" s="63"/>
      <c r="AG12" s="63"/>
      <c r="AH12" s="63"/>
      <c r="AI12" s="63"/>
      <c r="AJ12" s="63"/>
      <c r="AK12" s="63"/>
      <c r="AL12" s="63"/>
      <c r="AM12" s="63"/>
      <c r="AN12" s="63"/>
      <c r="AO12" s="63"/>
      <c r="AP12" s="63"/>
      <c r="AQ12" s="63"/>
      <c r="AR12" s="63"/>
      <c r="AS12" s="63"/>
      <c r="AT12" s="63"/>
      <c r="AU12" s="63"/>
      <c r="AV12" s="63"/>
      <c r="AW12" s="63"/>
      <c r="AX12" s="63"/>
      <c r="AZ12" s="63"/>
      <c r="BA12" s="63"/>
      <c r="BB12" s="63"/>
      <c r="BD12" s="63"/>
      <c r="BE12" s="63"/>
      <c r="BF12" s="63"/>
    </row>
    <row r="13" spans="1:58" ht="13">
      <c r="A13" s="1"/>
      <c r="B13" s="1" t="s">
        <v>397</v>
      </c>
      <c r="C13" s="503">
        <v>101</v>
      </c>
      <c r="D13" s="81">
        <v>79</v>
      </c>
      <c r="E13" s="101">
        <v>83</v>
      </c>
      <c r="F13" s="101">
        <v>90</v>
      </c>
      <c r="G13" s="101">
        <v>95</v>
      </c>
      <c r="H13" s="101">
        <v>123</v>
      </c>
      <c r="I13" s="101">
        <v>122</v>
      </c>
      <c r="J13" s="101">
        <v>122</v>
      </c>
      <c r="K13" s="101">
        <v>124</v>
      </c>
      <c r="L13" s="101">
        <v>124</v>
      </c>
      <c r="M13" s="101">
        <v>124</v>
      </c>
      <c r="N13" s="101">
        <v>125</v>
      </c>
      <c r="O13" s="98">
        <f>BF13</f>
        <v>125</v>
      </c>
      <c r="P13" s="98"/>
      <c r="Q13" s="81">
        <v>80</v>
      </c>
      <c r="R13" s="81">
        <v>80</v>
      </c>
      <c r="S13" s="81">
        <v>82</v>
      </c>
      <c r="T13" s="45">
        <f>E13</f>
        <v>83</v>
      </c>
      <c r="U13" s="81">
        <v>87</v>
      </c>
      <c r="V13" s="81">
        <v>89</v>
      </c>
      <c r="W13" s="81">
        <v>89</v>
      </c>
      <c r="X13" s="72">
        <f>F13</f>
        <v>90</v>
      </c>
      <c r="Y13" s="81">
        <v>90</v>
      </c>
      <c r="Z13" s="81">
        <v>90</v>
      </c>
      <c r="AA13" s="81">
        <v>95</v>
      </c>
      <c r="AB13" s="45">
        <f>G13</f>
        <v>95</v>
      </c>
      <c r="AC13" s="81">
        <v>110</v>
      </c>
      <c r="AD13" s="81">
        <v>120</v>
      </c>
      <c r="AE13" s="81">
        <v>120</v>
      </c>
      <c r="AF13" s="45">
        <f>H13</f>
        <v>123</v>
      </c>
      <c r="AG13" s="81">
        <v>123</v>
      </c>
      <c r="AH13" s="81">
        <v>123</v>
      </c>
      <c r="AI13" s="81">
        <v>122</v>
      </c>
      <c r="AJ13" s="45">
        <f>I13</f>
        <v>122</v>
      </c>
      <c r="AK13" s="81">
        <v>122</v>
      </c>
      <c r="AL13" s="81">
        <v>122</v>
      </c>
      <c r="AM13" s="81">
        <v>122</v>
      </c>
      <c r="AN13" s="45">
        <f>J13</f>
        <v>122</v>
      </c>
      <c r="AO13" s="81">
        <v>122</v>
      </c>
      <c r="AP13" s="81">
        <v>122</v>
      </c>
      <c r="AQ13" s="81">
        <v>123</v>
      </c>
      <c r="AR13" s="45">
        <f>K13</f>
        <v>124</v>
      </c>
      <c r="AS13" s="81">
        <v>124</v>
      </c>
      <c r="AT13" s="81">
        <v>124</v>
      </c>
      <c r="AU13" s="81">
        <v>124</v>
      </c>
      <c r="AV13" s="45">
        <f>L13</f>
        <v>124</v>
      </c>
      <c r="AW13" s="81">
        <v>124</v>
      </c>
      <c r="AX13" s="81">
        <v>124</v>
      </c>
      <c r="AY13" s="81">
        <v>124</v>
      </c>
      <c r="AZ13" s="45">
        <f>M13</f>
        <v>124</v>
      </c>
      <c r="BA13" s="81">
        <v>124</v>
      </c>
      <c r="BB13" s="81">
        <v>125</v>
      </c>
      <c r="BC13" s="81">
        <v>125</v>
      </c>
      <c r="BD13" s="45">
        <f>N13</f>
        <v>125</v>
      </c>
      <c r="BE13" s="81">
        <v>125</v>
      </c>
      <c r="BF13" s="81">
        <v>125</v>
      </c>
    </row>
    <row r="14" spans="1:58" ht="13">
      <c r="A14" s="1"/>
      <c r="B14" s="1" t="s">
        <v>398</v>
      </c>
      <c r="C14" s="503"/>
      <c r="D14" s="81">
        <v>29</v>
      </c>
      <c r="E14" s="101">
        <v>35</v>
      </c>
      <c r="F14" s="101">
        <v>41</v>
      </c>
      <c r="G14" s="101">
        <v>41</v>
      </c>
      <c r="H14" s="101"/>
      <c r="I14" s="101"/>
      <c r="J14" s="101"/>
      <c r="K14" s="101"/>
      <c r="L14" s="101"/>
      <c r="M14" s="101"/>
      <c r="N14" s="101"/>
      <c r="O14" s="98"/>
      <c r="P14" s="98"/>
      <c r="Q14" s="81">
        <v>29</v>
      </c>
      <c r="R14" s="81">
        <v>29</v>
      </c>
      <c r="S14" s="81">
        <v>32</v>
      </c>
      <c r="T14" s="45">
        <f>E14</f>
        <v>35</v>
      </c>
      <c r="U14" s="81">
        <v>36</v>
      </c>
      <c r="V14" s="81">
        <v>37</v>
      </c>
      <c r="W14" s="81">
        <v>38</v>
      </c>
      <c r="X14" s="72">
        <f>F14</f>
        <v>41</v>
      </c>
      <c r="Y14" s="81">
        <v>41</v>
      </c>
      <c r="Z14" s="81">
        <v>41</v>
      </c>
      <c r="AA14" s="81">
        <v>41</v>
      </c>
      <c r="AB14" s="45">
        <f>G14</f>
        <v>41</v>
      </c>
      <c r="AC14" s="81">
        <v>16</v>
      </c>
      <c r="AD14" s="81">
        <v>8</v>
      </c>
      <c r="AE14" s="81">
        <v>1</v>
      </c>
      <c r="AF14" s="81"/>
      <c r="AG14" s="81"/>
      <c r="AH14" s="81"/>
      <c r="AI14" s="81"/>
      <c r="AJ14" s="81"/>
      <c r="AK14" s="81"/>
      <c r="AL14" s="81"/>
      <c r="AM14" s="81"/>
      <c r="AN14" s="81"/>
      <c r="AO14" s="81"/>
      <c r="AP14" s="81"/>
      <c r="AQ14" s="81"/>
      <c r="AR14" s="81"/>
      <c r="AS14" s="81"/>
      <c r="AT14" s="81"/>
      <c r="AU14" s="81"/>
      <c r="AV14" s="81"/>
      <c r="AW14" s="81"/>
      <c r="AX14" s="81"/>
      <c r="AZ14" s="81"/>
      <c r="BA14" s="81"/>
      <c r="BB14" s="81"/>
      <c r="BD14" s="81"/>
      <c r="BE14" s="81"/>
      <c r="BF14" s="81"/>
    </row>
    <row r="15" spans="1:58" ht="13">
      <c r="A15" s="1"/>
      <c r="B15" s="1" t="s">
        <v>399</v>
      </c>
      <c r="C15" s="101"/>
      <c r="D15" s="81">
        <v>4</v>
      </c>
      <c r="E15" s="101">
        <v>4</v>
      </c>
      <c r="F15" s="101">
        <v>0</v>
      </c>
      <c r="G15" s="101">
        <v>0</v>
      </c>
      <c r="H15" s="101"/>
      <c r="I15" s="101"/>
      <c r="J15" s="101"/>
      <c r="K15" s="101"/>
      <c r="L15" s="101"/>
      <c r="M15" s="101"/>
      <c r="N15" s="101"/>
      <c r="O15" s="98"/>
      <c r="P15" s="98"/>
      <c r="Q15" s="81">
        <v>4</v>
      </c>
      <c r="R15" s="81">
        <v>4</v>
      </c>
      <c r="S15" s="81">
        <v>4</v>
      </c>
      <c r="T15" s="45">
        <f>E15</f>
        <v>4</v>
      </c>
      <c r="U15" s="81">
        <v>0</v>
      </c>
      <c r="V15" s="81">
        <v>0</v>
      </c>
      <c r="W15" s="81">
        <v>0</v>
      </c>
      <c r="X15" s="72">
        <f>F15</f>
        <v>0</v>
      </c>
      <c r="Y15" s="81">
        <v>0</v>
      </c>
      <c r="Z15" s="81">
        <v>0</v>
      </c>
      <c r="AA15" s="81">
        <v>0</v>
      </c>
      <c r="AB15" s="45">
        <f>G15</f>
        <v>0</v>
      </c>
      <c r="AC15" s="81">
        <v>0</v>
      </c>
      <c r="AD15" s="81">
        <v>0</v>
      </c>
      <c r="AE15" s="81"/>
      <c r="AF15" s="81"/>
      <c r="AG15" s="81"/>
      <c r="AH15" s="81"/>
      <c r="AI15" s="81"/>
      <c r="AJ15" s="81"/>
      <c r="AK15" s="81"/>
      <c r="AL15" s="81"/>
      <c r="AM15" s="81"/>
      <c r="AN15" s="81"/>
      <c r="AO15" s="81"/>
      <c r="AP15" s="81"/>
      <c r="AQ15" s="81"/>
      <c r="AR15" s="81"/>
      <c r="AS15" s="81"/>
      <c r="AT15" s="81"/>
      <c r="AU15" s="81"/>
      <c r="AV15" s="81"/>
      <c r="AW15" s="81"/>
      <c r="AX15" s="81"/>
      <c r="AZ15" s="81"/>
      <c r="BA15" s="81"/>
      <c r="BB15" s="81"/>
      <c r="BD15" s="81"/>
      <c r="BE15" s="81"/>
      <c r="BF15" s="81"/>
    </row>
    <row r="16" spans="1:58" ht="13">
      <c r="A16" s="5"/>
      <c r="B16" s="5" t="s">
        <v>400</v>
      </c>
      <c r="C16" s="98">
        <f t="shared" ref="C16:O16" si="0">SUM(C13:C15)</f>
        <v>101</v>
      </c>
      <c r="D16" s="82">
        <f t="shared" si="0"/>
        <v>112</v>
      </c>
      <c r="E16" s="82">
        <f t="shared" si="0"/>
        <v>122</v>
      </c>
      <c r="F16" s="82">
        <f t="shared" si="0"/>
        <v>131</v>
      </c>
      <c r="G16" s="82">
        <f t="shared" si="0"/>
        <v>136</v>
      </c>
      <c r="H16" s="82">
        <f t="shared" si="0"/>
        <v>123</v>
      </c>
      <c r="I16" s="82">
        <f t="shared" si="0"/>
        <v>122</v>
      </c>
      <c r="J16" s="82">
        <f t="shared" si="0"/>
        <v>122</v>
      </c>
      <c r="K16" s="82">
        <f t="shared" si="0"/>
        <v>124</v>
      </c>
      <c r="L16" s="82">
        <f t="shared" si="0"/>
        <v>124</v>
      </c>
      <c r="M16" s="82">
        <f t="shared" si="0"/>
        <v>124</v>
      </c>
      <c r="N16" s="82">
        <f t="shared" si="0"/>
        <v>125</v>
      </c>
      <c r="O16" s="82">
        <f t="shared" si="0"/>
        <v>125</v>
      </c>
      <c r="P16" s="82"/>
      <c r="Q16" s="82">
        <f t="shared" ref="Q16:BD16" si="1">SUM(Q13:Q15)</f>
        <v>113</v>
      </c>
      <c r="R16" s="82">
        <f t="shared" si="1"/>
        <v>113</v>
      </c>
      <c r="S16" s="82">
        <f t="shared" si="1"/>
        <v>118</v>
      </c>
      <c r="T16" s="82">
        <f t="shared" si="1"/>
        <v>122</v>
      </c>
      <c r="U16" s="82">
        <f t="shared" si="1"/>
        <v>123</v>
      </c>
      <c r="V16" s="82">
        <f t="shared" si="1"/>
        <v>126</v>
      </c>
      <c r="W16" s="82">
        <f t="shared" si="1"/>
        <v>127</v>
      </c>
      <c r="X16" s="121">
        <f t="shared" si="1"/>
        <v>131</v>
      </c>
      <c r="Y16" s="82">
        <f t="shared" si="1"/>
        <v>131</v>
      </c>
      <c r="Z16" s="82">
        <f t="shared" si="1"/>
        <v>131</v>
      </c>
      <c r="AA16" s="82">
        <f t="shared" si="1"/>
        <v>136</v>
      </c>
      <c r="AB16" s="82">
        <f t="shared" si="1"/>
        <v>136</v>
      </c>
      <c r="AC16" s="82">
        <f t="shared" si="1"/>
        <v>126</v>
      </c>
      <c r="AD16" s="82">
        <f t="shared" si="1"/>
        <v>128</v>
      </c>
      <c r="AE16" s="82">
        <f t="shared" si="1"/>
        <v>121</v>
      </c>
      <c r="AF16" s="82">
        <f t="shared" si="1"/>
        <v>123</v>
      </c>
      <c r="AG16" s="82">
        <f t="shared" si="1"/>
        <v>123</v>
      </c>
      <c r="AH16" s="82">
        <f t="shared" si="1"/>
        <v>123</v>
      </c>
      <c r="AI16" s="82">
        <f t="shared" si="1"/>
        <v>122</v>
      </c>
      <c r="AJ16" s="82">
        <f t="shared" si="1"/>
        <v>122</v>
      </c>
      <c r="AK16" s="82">
        <f t="shared" si="1"/>
        <v>122</v>
      </c>
      <c r="AL16" s="82">
        <f t="shared" si="1"/>
        <v>122</v>
      </c>
      <c r="AM16" s="82">
        <f t="shared" si="1"/>
        <v>122</v>
      </c>
      <c r="AN16" s="82">
        <f t="shared" si="1"/>
        <v>122</v>
      </c>
      <c r="AO16" s="82">
        <f t="shared" si="1"/>
        <v>122</v>
      </c>
      <c r="AP16" s="82">
        <f t="shared" si="1"/>
        <v>122</v>
      </c>
      <c r="AQ16" s="82">
        <f t="shared" si="1"/>
        <v>123</v>
      </c>
      <c r="AR16" s="82">
        <f t="shared" si="1"/>
        <v>124</v>
      </c>
      <c r="AS16" s="82">
        <f t="shared" si="1"/>
        <v>124</v>
      </c>
      <c r="AT16" s="82">
        <f t="shared" si="1"/>
        <v>124</v>
      </c>
      <c r="AU16" s="82">
        <f t="shared" si="1"/>
        <v>124</v>
      </c>
      <c r="AV16" s="82">
        <f t="shared" si="1"/>
        <v>124</v>
      </c>
      <c r="AW16" s="82">
        <f t="shared" si="1"/>
        <v>124</v>
      </c>
      <c r="AX16" s="82">
        <f t="shared" si="1"/>
        <v>124</v>
      </c>
      <c r="AY16" s="82">
        <f t="shared" si="1"/>
        <v>124</v>
      </c>
      <c r="AZ16" s="82">
        <f t="shared" si="1"/>
        <v>124</v>
      </c>
      <c r="BA16" s="82">
        <f t="shared" si="1"/>
        <v>124</v>
      </c>
      <c r="BB16" s="82">
        <f t="shared" si="1"/>
        <v>125</v>
      </c>
      <c r="BC16" s="82">
        <f t="shared" si="1"/>
        <v>125</v>
      </c>
      <c r="BD16" s="82">
        <f t="shared" si="1"/>
        <v>125</v>
      </c>
      <c r="BE16" s="82">
        <f t="shared" ref="BE16:BF16" si="2">SUM(BE13:BE15)</f>
        <v>125</v>
      </c>
      <c r="BF16" s="82">
        <f t="shared" si="2"/>
        <v>125</v>
      </c>
    </row>
    <row r="17" spans="1:58" ht="13">
      <c r="A17" s="5"/>
      <c r="B17" s="1" t="s">
        <v>401</v>
      </c>
      <c r="C17" s="98"/>
      <c r="D17" s="81"/>
      <c r="E17" s="101"/>
      <c r="F17" s="101"/>
      <c r="G17" s="101">
        <v>131</v>
      </c>
      <c r="H17" s="101">
        <v>157</v>
      </c>
      <c r="I17" s="101">
        <v>165</v>
      </c>
      <c r="J17" s="101">
        <v>164</v>
      </c>
      <c r="K17" s="101">
        <v>179</v>
      </c>
      <c r="L17" s="101">
        <v>186</v>
      </c>
      <c r="M17" s="101">
        <v>194</v>
      </c>
      <c r="N17" s="101">
        <v>194</v>
      </c>
      <c r="O17" s="98">
        <f>BF17</f>
        <v>196</v>
      </c>
      <c r="P17" s="98"/>
      <c r="Q17" s="81"/>
      <c r="R17" s="81"/>
      <c r="S17" s="81"/>
      <c r="T17" s="45"/>
      <c r="U17" s="81"/>
      <c r="V17" s="81"/>
      <c r="W17" s="81"/>
      <c r="X17" s="72"/>
      <c r="Y17" s="81">
        <v>124</v>
      </c>
      <c r="Z17" s="81">
        <v>124</v>
      </c>
      <c r="AA17" s="81">
        <v>125</v>
      </c>
      <c r="AB17" s="45">
        <f>G17</f>
        <v>131</v>
      </c>
      <c r="AC17" s="81">
        <v>138</v>
      </c>
      <c r="AD17" s="81">
        <v>137</v>
      </c>
      <c r="AE17" s="81">
        <v>146</v>
      </c>
      <c r="AF17" s="45">
        <f>H17</f>
        <v>157</v>
      </c>
      <c r="AG17" s="81">
        <v>160</v>
      </c>
      <c r="AH17" s="81">
        <v>160</v>
      </c>
      <c r="AI17" s="81">
        <v>165</v>
      </c>
      <c r="AJ17" s="45">
        <f>I17</f>
        <v>165</v>
      </c>
      <c r="AK17" s="81">
        <v>165</v>
      </c>
      <c r="AL17" s="81">
        <v>169</v>
      </c>
      <c r="AM17" s="81">
        <v>171</v>
      </c>
      <c r="AN17" s="45">
        <f>J17</f>
        <v>164</v>
      </c>
      <c r="AO17" s="81">
        <v>166</v>
      </c>
      <c r="AP17" s="81">
        <v>170</v>
      </c>
      <c r="AQ17" s="81">
        <v>172</v>
      </c>
      <c r="AR17" s="45">
        <f>K17</f>
        <v>179</v>
      </c>
      <c r="AS17" s="81">
        <v>180</v>
      </c>
      <c r="AT17" s="81">
        <v>180</v>
      </c>
      <c r="AU17" s="81">
        <v>181</v>
      </c>
      <c r="AV17" s="45">
        <f>L17</f>
        <v>186</v>
      </c>
      <c r="AW17" s="81">
        <v>187</v>
      </c>
      <c r="AX17" s="81">
        <v>188</v>
      </c>
      <c r="AY17" s="81">
        <v>188</v>
      </c>
      <c r="AZ17" s="45">
        <f>M17</f>
        <v>194</v>
      </c>
      <c r="BA17" s="81">
        <v>194</v>
      </c>
      <c r="BB17" s="81">
        <v>196</v>
      </c>
      <c r="BC17" s="81">
        <v>194</v>
      </c>
      <c r="BD17" s="45">
        <f>N17</f>
        <v>194</v>
      </c>
      <c r="BE17" s="81">
        <v>195</v>
      </c>
      <c r="BF17" s="81">
        <v>196</v>
      </c>
    </row>
    <row r="18" spans="1:58" ht="13">
      <c r="A18" s="5"/>
      <c r="B18" s="5"/>
      <c r="C18" s="66"/>
      <c r="D18" s="63"/>
      <c r="E18" s="65"/>
      <c r="F18" s="65"/>
      <c r="G18" s="65"/>
      <c r="H18" s="65"/>
      <c r="I18" s="65"/>
      <c r="J18" s="65"/>
      <c r="K18" s="65"/>
      <c r="L18" s="65"/>
      <c r="M18" s="65"/>
      <c r="N18" s="65"/>
      <c r="O18" s="81"/>
      <c r="P18" s="81"/>
      <c r="Q18" s="63"/>
      <c r="R18" s="63"/>
      <c r="S18" s="63"/>
      <c r="T18" s="63"/>
      <c r="U18" s="63"/>
      <c r="V18" s="63"/>
      <c r="W18" s="63"/>
      <c r="X18" s="1"/>
      <c r="Y18" s="63"/>
      <c r="Z18" s="63"/>
      <c r="AA18" s="63"/>
      <c r="AB18" s="81"/>
      <c r="AC18" s="63"/>
      <c r="AD18" s="63"/>
      <c r="AE18" s="63"/>
      <c r="AF18" s="63"/>
      <c r="AG18" s="63"/>
      <c r="AH18" s="63"/>
      <c r="AI18" s="63"/>
      <c r="AJ18" s="63"/>
      <c r="AK18" s="63"/>
      <c r="AL18" s="63"/>
      <c r="AM18" s="63"/>
      <c r="AN18" s="63"/>
      <c r="AO18" s="63"/>
      <c r="AP18" s="63"/>
      <c r="AQ18" s="63"/>
      <c r="AR18" s="63"/>
      <c r="AS18" s="63"/>
      <c r="AT18" s="63"/>
      <c r="AU18" s="63"/>
      <c r="AV18" s="63"/>
      <c r="AW18" s="63"/>
      <c r="AX18" s="63"/>
      <c r="AZ18" s="63"/>
      <c r="BA18" s="63"/>
      <c r="BB18" s="63"/>
      <c r="BD18" s="63"/>
      <c r="BE18" s="63"/>
      <c r="BF18" s="63"/>
    </row>
    <row r="19" spans="1:58" ht="13">
      <c r="A19" s="5"/>
      <c r="B19" s="5" t="s">
        <v>402</v>
      </c>
      <c r="C19" s="66"/>
      <c r="D19" s="63"/>
      <c r="E19" s="65"/>
      <c r="F19" s="65"/>
      <c r="G19" s="65"/>
      <c r="H19" s="65"/>
      <c r="I19" s="65"/>
      <c r="J19" s="65"/>
      <c r="K19" s="65"/>
      <c r="L19" s="65"/>
      <c r="M19" s="65"/>
      <c r="N19" s="65"/>
      <c r="O19" s="81"/>
      <c r="P19" s="81"/>
      <c r="Q19" s="63"/>
      <c r="R19" s="63"/>
      <c r="S19" s="63"/>
      <c r="T19" s="63"/>
      <c r="U19" s="63"/>
      <c r="V19" s="63"/>
      <c r="W19" s="63"/>
      <c r="X19" s="1"/>
      <c r="Y19" s="63"/>
      <c r="Z19" s="63"/>
      <c r="AA19" s="63"/>
      <c r="AB19" s="81"/>
      <c r="AC19" s="63"/>
      <c r="AD19" s="81"/>
      <c r="AE19" s="63"/>
      <c r="AF19" s="63"/>
      <c r="AG19" s="63"/>
      <c r="AH19" s="81"/>
      <c r="AI19" s="63"/>
      <c r="AJ19" s="63"/>
      <c r="AK19" s="63"/>
      <c r="AL19" s="81"/>
      <c r="AM19" s="63"/>
      <c r="AN19" s="63"/>
      <c r="AO19" s="63"/>
      <c r="AP19" s="63"/>
      <c r="AQ19" s="63"/>
      <c r="AR19" s="63"/>
      <c r="AS19" s="63"/>
      <c r="AT19" s="63"/>
      <c r="AU19" s="63"/>
      <c r="AV19" s="63"/>
      <c r="AW19" s="63"/>
      <c r="AX19" s="63"/>
      <c r="AZ19" s="63"/>
      <c r="BA19" s="63"/>
      <c r="BB19" s="63"/>
      <c r="BD19" s="63"/>
      <c r="BE19" s="63"/>
      <c r="BF19" s="63"/>
    </row>
    <row r="20" spans="1:58" ht="13">
      <c r="A20" s="5"/>
      <c r="B20" s="1" t="s">
        <v>397</v>
      </c>
      <c r="C20" s="66"/>
      <c r="D20" s="81">
        <v>1318.328</v>
      </c>
      <c r="E20" s="101">
        <v>1377.943</v>
      </c>
      <c r="F20" s="101">
        <v>1439.4559999999999</v>
      </c>
      <c r="G20" s="101">
        <v>1494.395</v>
      </c>
      <c r="H20" s="101">
        <v>1731.6220000000001</v>
      </c>
      <c r="I20" s="101">
        <v>1733.1</v>
      </c>
      <c r="J20" s="101">
        <v>1741.3119999999999</v>
      </c>
      <c r="K20" s="101">
        <v>1779.9269999999999</v>
      </c>
      <c r="L20" s="101">
        <f>1800.918</f>
        <v>1800.9179999999999</v>
      </c>
      <c r="M20" s="101">
        <v>1807.0160000000001</v>
      </c>
      <c r="N20" s="101">
        <v>1808.153</v>
      </c>
      <c r="O20" s="98">
        <f>BF20</f>
        <v>1809.126</v>
      </c>
      <c r="P20" s="98"/>
      <c r="Q20" s="81">
        <v>1330.779</v>
      </c>
      <c r="R20" s="81">
        <v>1330.779</v>
      </c>
      <c r="S20" s="81">
        <v>1334.99</v>
      </c>
      <c r="T20" s="45">
        <f>E20</f>
        <v>1377.943</v>
      </c>
      <c r="U20" s="81">
        <v>1382.8679999999999</v>
      </c>
      <c r="V20" s="81">
        <v>1413.1510000000001</v>
      </c>
      <c r="W20" s="81">
        <v>1428.731</v>
      </c>
      <c r="X20" s="45">
        <f>F20</f>
        <v>1439.4559999999999</v>
      </c>
      <c r="Y20" s="81">
        <v>1439.4559999999999</v>
      </c>
      <c r="Z20" s="81">
        <v>1452.117</v>
      </c>
      <c r="AA20" s="81">
        <v>1495.8610000000001</v>
      </c>
      <c r="AB20" s="45">
        <f>G20</f>
        <v>1494.395</v>
      </c>
      <c r="AC20" s="81">
        <v>1616.653</v>
      </c>
      <c r="AD20" s="81">
        <v>1605.125</v>
      </c>
      <c r="AE20" s="81">
        <v>1682.308</v>
      </c>
      <c r="AF20" s="45">
        <f>H20</f>
        <v>1731.6220000000001</v>
      </c>
      <c r="AG20" s="81">
        <v>1731.6220000000001</v>
      </c>
      <c r="AH20" s="81">
        <v>1731.6220000000001</v>
      </c>
      <c r="AI20" s="81">
        <v>1733.32</v>
      </c>
      <c r="AJ20" s="45">
        <f>I20</f>
        <v>1733.1</v>
      </c>
      <c r="AK20" s="81">
        <v>1732.748</v>
      </c>
      <c r="AL20" s="81">
        <v>1733.2539999999999</v>
      </c>
      <c r="AM20" s="81">
        <v>1729.577</v>
      </c>
      <c r="AN20" s="45">
        <f>J20</f>
        <v>1741.3119999999999</v>
      </c>
      <c r="AO20" s="81">
        <v>1739.932</v>
      </c>
      <c r="AP20" s="81">
        <v>1739.579</v>
      </c>
      <c r="AQ20" s="81">
        <v>1754.905</v>
      </c>
      <c r="AR20" s="45">
        <f>K20</f>
        <v>1779.9269999999999</v>
      </c>
      <c r="AS20" s="81">
        <v>1801.0409999999999</v>
      </c>
      <c r="AT20" s="81">
        <v>1800.9190000000001</v>
      </c>
      <c r="AU20" s="81">
        <v>1801.366</v>
      </c>
      <c r="AV20" s="45">
        <f>L20</f>
        <v>1800.9179999999999</v>
      </c>
      <c r="AW20" s="81">
        <v>1776.7670000000001</v>
      </c>
      <c r="AX20" s="81">
        <v>1800.1990000000001</v>
      </c>
      <c r="AY20" s="81">
        <v>1808.8430000000001</v>
      </c>
      <c r="AZ20" s="45">
        <f>M20</f>
        <v>1807.0160000000001</v>
      </c>
      <c r="BA20" s="81">
        <v>1804.4580000000001</v>
      </c>
      <c r="BB20" s="81">
        <v>1811.597</v>
      </c>
      <c r="BC20" s="81">
        <v>1808.7449999999999</v>
      </c>
      <c r="BD20" s="45">
        <f>N20</f>
        <v>1808.153</v>
      </c>
      <c r="BE20" s="81">
        <v>1807.298</v>
      </c>
      <c r="BF20" s="81">
        <v>1809.126</v>
      </c>
    </row>
    <row r="21" spans="1:58" ht="13">
      <c r="A21" s="5"/>
      <c r="B21" s="1" t="s">
        <v>398</v>
      </c>
      <c r="C21" s="66"/>
      <c r="D21" s="81">
        <v>209.03100000000001</v>
      </c>
      <c r="E21" s="101">
        <v>238.999</v>
      </c>
      <c r="F21" s="101">
        <v>257.02300000000002</v>
      </c>
      <c r="G21" s="101">
        <v>259.89</v>
      </c>
      <c r="H21" s="101"/>
      <c r="I21" s="101"/>
      <c r="J21" s="101"/>
      <c r="K21" s="101"/>
      <c r="L21" s="101"/>
      <c r="M21" s="101"/>
      <c r="N21" s="101"/>
      <c r="O21" s="98"/>
      <c r="P21" s="98"/>
      <c r="Q21" s="81">
        <v>209.03100000000001</v>
      </c>
      <c r="R21" s="81">
        <v>209.03100000000001</v>
      </c>
      <c r="S21" s="81">
        <v>214.56</v>
      </c>
      <c r="T21" s="45">
        <f>E21</f>
        <v>238.999</v>
      </c>
      <c r="U21" s="81">
        <v>241.83600000000001</v>
      </c>
      <c r="V21" s="81">
        <v>237.738</v>
      </c>
      <c r="W21" s="81">
        <v>242.54499999999999</v>
      </c>
      <c r="X21" s="45">
        <f>F21</f>
        <v>257.02300000000002</v>
      </c>
      <c r="Y21" s="81">
        <v>257.02300000000002</v>
      </c>
      <c r="Z21" s="81">
        <v>256.69600000000003</v>
      </c>
      <c r="AA21" s="81">
        <v>256.74799999999999</v>
      </c>
      <c r="AB21" s="45">
        <f>G21</f>
        <v>259.89</v>
      </c>
      <c r="AC21" s="81">
        <v>101.42</v>
      </c>
      <c r="AD21" s="81">
        <v>49.665999999999997</v>
      </c>
      <c r="AE21" s="81">
        <v>7.4809999999999999</v>
      </c>
      <c r="AF21" s="45">
        <f>H21</f>
        <v>0</v>
      </c>
      <c r="AG21" s="81">
        <v>0</v>
      </c>
      <c r="AH21" s="81">
        <v>0</v>
      </c>
      <c r="AI21" s="81">
        <v>0</v>
      </c>
      <c r="AJ21" s="45">
        <f>I21</f>
        <v>0</v>
      </c>
      <c r="AK21" s="81">
        <v>0</v>
      </c>
      <c r="AL21" s="81">
        <v>0</v>
      </c>
      <c r="AM21" s="81">
        <v>0</v>
      </c>
      <c r="AN21" s="45">
        <f>J21</f>
        <v>0</v>
      </c>
      <c r="AO21" s="81">
        <v>0</v>
      </c>
      <c r="AP21" s="81">
        <v>0</v>
      </c>
      <c r="AQ21" s="81">
        <v>0</v>
      </c>
      <c r="AR21" s="45">
        <f>K21</f>
        <v>0</v>
      </c>
      <c r="AS21" s="81">
        <v>0</v>
      </c>
      <c r="AT21" s="81">
        <v>0</v>
      </c>
      <c r="AU21" s="81">
        <v>0</v>
      </c>
      <c r="AV21" s="45">
        <f>L21</f>
        <v>0</v>
      </c>
      <c r="AW21" s="81">
        <v>0</v>
      </c>
      <c r="AX21" s="81">
        <v>0</v>
      </c>
      <c r="AY21" s="81">
        <v>0</v>
      </c>
      <c r="AZ21" s="45">
        <f>M21</f>
        <v>0</v>
      </c>
      <c r="BA21" s="81">
        <v>0</v>
      </c>
      <c r="BB21" s="81">
        <v>0</v>
      </c>
      <c r="BC21" s="81">
        <v>0</v>
      </c>
      <c r="BD21" s="45"/>
      <c r="BE21" s="81">
        <v>0</v>
      </c>
      <c r="BF21" s="81">
        <v>0</v>
      </c>
    </row>
    <row r="22" spans="1:58" ht="13">
      <c r="A22" s="1"/>
      <c r="B22" s="1" t="s">
        <v>399</v>
      </c>
      <c r="C22" s="66"/>
      <c r="D22" s="63">
        <v>4.9249999999999998</v>
      </c>
      <c r="E22" s="66">
        <v>0</v>
      </c>
      <c r="F22" s="66">
        <v>0</v>
      </c>
      <c r="G22" s="66">
        <v>0</v>
      </c>
      <c r="H22" s="66"/>
      <c r="I22" s="66"/>
      <c r="J22" s="66"/>
      <c r="K22" s="66"/>
      <c r="L22" s="66"/>
      <c r="M22" s="66"/>
      <c r="N22" s="66"/>
      <c r="O22" s="98"/>
      <c r="P22" s="98"/>
      <c r="Q22" s="63">
        <v>4.9249999999999998</v>
      </c>
      <c r="R22" s="63">
        <v>4.9249999999999998</v>
      </c>
      <c r="S22" s="63">
        <v>4.9249999999999998</v>
      </c>
      <c r="T22" s="72">
        <f>E22</f>
        <v>0</v>
      </c>
      <c r="U22" s="63">
        <v>0</v>
      </c>
      <c r="V22" s="63">
        <v>0</v>
      </c>
      <c r="W22" s="63">
        <v>0</v>
      </c>
      <c r="X22" s="72">
        <f>F22</f>
        <v>0</v>
      </c>
      <c r="Y22" s="63">
        <v>0</v>
      </c>
      <c r="Z22" s="63">
        <v>0</v>
      </c>
      <c r="AA22" s="63">
        <v>0</v>
      </c>
      <c r="AB22" s="72">
        <f>G22</f>
        <v>0</v>
      </c>
      <c r="AC22" s="63">
        <v>0</v>
      </c>
      <c r="AD22" s="63">
        <v>0</v>
      </c>
      <c r="AE22" s="63"/>
      <c r="AF22" s="63"/>
      <c r="AG22" s="63"/>
      <c r="AH22" s="63"/>
      <c r="AI22" s="63"/>
      <c r="AJ22" s="63"/>
      <c r="AK22" s="63"/>
      <c r="AL22" s="63"/>
      <c r="AM22" s="63"/>
      <c r="AN22" s="63"/>
      <c r="AO22" s="63"/>
      <c r="AP22" s="63"/>
      <c r="AQ22" s="63"/>
      <c r="AR22" s="63"/>
      <c r="AS22" s="63"/>
      <c r="AT22" s="63"/>
      <c r="AU22" s="63"/>
      <c r="AV22" s="63"/>
      <c r="AW22" s="63"/>
      <c r="AX22" s="63"/>
      <c r="AZ22" s="63"/>
      <c r="BA22" s="63"/>
      <c r="BB22" s="63"/>
      <c r="BD22" s="63"/>
      <c r="BE22" s="63"/>
      <c r="BF22" s="63"/>
    </row>
    <row r="23" spans="1:58" ht="13">
      <c r="A23" s="1"/>
      <c r="B23" s="5" t="s">
        <v>403</v>
      </c>
      <c r="C23" s="66"/>
      <c r="D23" s="79">
        <f t="shared" ref="D23:H23" si="3">SUM(D20:D22)</f>
        <v>1532.2839999999999</v>
      </c>
      <c r="E23" s="79">
        <f t="shared" si="3"/>
        <v>1616.942</v>
      </c>
      <c r="F23" s="79">
        <f t="shared" si="3"/>
        <v>1696.4789999999998</v>
      </c>
      <c r="G23" s="79">
        <f t="shared" si="3"/>
        <v>1754.2849999999999</v>
      </c>
      <c r="H23" s="79">
        <f t="shared" si="3"/>
        <v>1731.6220000000001</v>
      </c>
      <c r="I23" s="79">
        <f t="shared" ref="I23:O23" si="4">SUM(I20:I22)</f>
        <v>1733.1</v>
      </c>
      <c r="J23" s="79">
        <f t="shared" si="4"/>
        <v>1741.3119999999999</v>
      </c>
      <c r="K23" s="79">
        <f t="shared" si="4"/>
        <v>1779.9269999999999</v>
      </c>
      <c r="L23" s="79">
        <f t="shared" si="4"/>
        <v>1800.9179999999999</v>
      </c>
      <c r="M23" s="79">
        <f t="shared" si="4"/>
        <v>1807.0160000000001</v>
      </c>
      <c r="N23" s="79">
        <f t="shared" ref="N23" si="5">SUM(N20:N22)</f>
        <v>1808.153</v>
      </c>
      <c r="O23" s="79">
        <f t="shared" si="4"/>
        <v>1809.126</v>
      </c>
      <c r="P23" s="79"/>
      <c r="Q23" s="79">
        <f t="shared" ref="Q23:AI23" si="6">SUM(Q20:Q22)</f>
        <v>1544.7349999999999</v>
      </c>
      <c r="R23" s="79">
        <f t="shared" si="6"/>
        <v>1544.7349999999999</v>
      </c>
      <c r="S23" s="79">
        <f t="shared" si="6"/>
        <v>1554.4749999999999</v>
      </c>
      <c r="T23" s="79">
        <f t="shared" si="6"/>
        <v>1616.942</v>
      </c>
      <c r="U23" s="79">
        <f t="shared" si="6"/>
        <v>1624.704</v>
      </c>
      <c r="V23" s="79">
        <f t="shared" si="6"/>
        <v>1650.8890000000001</v>
      </c>
      <c r="W23" s="79">
        <f t="shared" si="6"/>
        <v>1671.2760000000001</v>
      </c>
      <c r="X23" s="112">
        <f t="shared" si="6"/>
        <v>1696.4789999999998</v>
      </c>
      <c r="Y23" s="79">
        <f t="shared" si="6"/>
        <v>1696.4789999999998</v>
      </c>
      <c r="Z23" s="79">
        <f t="shared" si="6"/>
        <v>1708.8130000000001</v>
      </c>
      <c r="AA23" s="79">
        <f t="shared" si="6"/>
        <v>1752.6090000000002</v>
      </c>
      <c r="AB23" s="82">
        <f t="shared" si="6"/>
        <v>1754.2849999999999</v>
      </c>
      <c r="AC23" s="79">
        <f t="shared" si="6"/>
        <v>1718.0730000000001</v>
      </c>
      <c r="AD23" s="79">
        <f t="shared" si="6"/>
        <v>1654.7909999999999</v>
      </c>
      <c r="AE23" s="79">
        <f t="shared" si="6"/>
        <v>1689.789</v>
      </c>
      <c r="AF23" s="79">
        <f t="shared" si="6"/>
        <v>1731.6220000000001</v>
      </c>
      <c r="AG23" s="79">
        <f t="shared" si="6"/>
        <v>1731.6220000000001</v>
      </c>
      <c r="AH23" s="79">
        <f t="shared" si="6"/>
        <v>1731.6220000000001</v>
      </c>
      <c r="AI23" s="79">
        <f t="shared" si="6"/>
        <v>1733.32</v>
      </c>
      <c r="AJ23" s="79">
        <f t="shared" ref="AJ23:AO23" si="7">SUM(AJ20:AJ22)</f>
        <v>1733.1</v>
      </c>
      <c r="AK23" s="79">
        <f t="shared" si="7"/>
        <v>1732.748</v>
      </c>
      <c r="AL23" s="79">
        <f t="shared" si="7"/>
        <v>1733.2539999999999</v>
      </c>
      <c r="AM23" s="79">
        <f t="shared" si="7"/>
        <v>1729.577</v>
      </c>
      <c r="AN23" s="79">
        <f t="shared" si="7"/>
        <v>1741.3119999999999</v>
      </c>
      <c r="AO23" s="79">
        <f t="shared" si="7"/>
        <v>1739.932</v>
      </c>
      <c r="AP23" s="79">
        <f t="shared" ref="AP23:AS23" si="8">SUM(AP20:AP22)</f>
        <v>1739.579</v>
      </c>
      <c r="AQ23" s="79">
        <f t="shared" si="8"/>
        <v>1754.905</v>
      </c>
      <c r="AR23" s="79">
        <f t="shared" si="8"/>
        <v>1779.9269999999999</v>
      </c>
      <c r="AS23" s="79">
        <f t="shared" si="8"/>
        <v>1801.0409999999999</v>
      </c>
      <c r="AT23" s="79">
        <f t="shared" ref="AT23:AW23" si="9">SUM(AT20:AT22)</f>
        <v>1800.9190000000001</v>
      </c>
      <c r="AU23" s="79">
        <f t="shared" si="9"/>
        <v>1801.366</v>
      </c>
      <c r="AV23" s="79">
        <f t="shared" si="9"/>
        <v>1800.9179999999999</v>
      </c>
      <c r="AW23" s="79">
        <f t="shared" si="9"/>
        <v>1776.7670000000001</v>
      </c>
      <c r="AX23" s="79">
        <f t="shared" ref="AX23:BA23" si="10">SUM(AX20:AX22)</f>
        <v>1800.1990000000001</v>
      </c>
      <c r="AY23" s="79">
        <f t="shared" si="10"/>
        <v>1808.8430000000001</v>
      </c>
      <c r="AZ23" s="79">
        <f t="shared" si="10"/>
        <v>1807.0160000000001</v>
      </c>
      <c r="BA23" s="79">
        <f t="shared" si="10"/>
        <v>1804.4580000000001</v>
      </c>
      <c r="BB23" s="79">
        <f t="shared" ref="BB23:BE23" si="11">SUM(BB20:BB22)</f>
        <v>1811.597</v>
      </c>
      <c r="BC23" s="79">
        <f t="shared" si="11"/>
        <v>1808.7449999999999</v>
      </c>
      <c r="BD23" s="79">
        <f t="shared" si="11"/>
        <v>1808.153</v>
      </c>
      <c r="BE23" s="79">
        <f t="shared" si="11"/>
        <v>1807.298</v>
      </c>
      <c r="BF23" s="79">
        <f t="shared" ref="BF23" si="12">SUM(BF20:BF22)</f>
        <v>1809.126</v>
      </c>
    </row>
    <row r="24" spans="1:58" ht="13">
      <c r="A24" s="1"/>
      <c r="B24" s="1" t="s">
        <v>401</v>
      </c>
      <c r="C24" s="98"/>
      <c r="D24" s="81"/>
      <c r="E24" s="101"/>
      <c r="F24" s="101"/>
      <c r="G24" s="101">
        <v>477.66</v>
      </c>
      <c r="H24" s="101">
        <v>660.57</v>
      </c>
      <c r="I24" s="101">
        <v>5858.7389999999996</v>
      </c>
      <c r="J24" s="101">
        <v>603.49800000000005</v>
      </c>
      <c r="K24" s="101">
        <v>648.78499999999997</v>
      </c>
      <c r="L24" s="101">
        <f>673.286</f>
        <v>673.28599999999994</v>
      </c>
      <c r="M24" s="101">
        <v>695.51499999999999</v>
      </c>
      <c r="N24" s="101">
        <v>688.38499999999999</v>
      </c>
      <c r="O24" s="98">
        <f>BF24</f>
        <v>691.27200000000005</v>
      </c>
      <c r="P24" s="98"/>
      <c r="Q24" s="81"/>
      <c r="R24" s="81"/>
      <c r="S24" s="81"/>
      <c r="T24" s="45"/>
      <c r="U24" s="81"/>
      <c r="V24" s="81"/>
      <c r="W24" s="81"/>
      <c r="X24" s="72"/>
      <c r="Y24" s="81">
        <v>465.41500000000002</v>
      </c>
      <c r="Z24" s="81">
        <v>465.41500000000002</v>
      </c>
      <c r="AA24" s="81">
        <v>467.875</v>
      </c>
      <c r="AB24" s="45">
        <f>G24</f>
        <v>477.66</v>
      </c>
      <c r="AC24" s="81">
        <v>511.00599999999997</v>
      </c>
      <c r="AD24" s="81">
        <v>515.52800000000002</v>
      </c>
      <c r="AE24" s="81">
        <v>551.63300000000004</v>
      </c>
      <c r="AF24" s="45">
        <f>H24</f>
        <v>660.57</v>
      </c>
      <c r="AG24" s="81">
        <v>662.99800000000005</v>
      </c>
      <c r="AH24" s="81">
        <v>673.19200000000001</v>
      </c>
      <c r="AI24" s="81">
        <v>590.32500000000005</v>
      </c>
      <c r="AJ24" s="45">
        <f>I24</f>
        <v>5858.7389999999996</v>
      </c>
      <c r="AK24" s="81">
        <v>588.65499999999997</v>
      </c>
      <c r="AL24" s="81">
        <v>598.1</v>
      </c>
      <c r="AM24" s="81">
        <v>603.27300000000002</v>
      </c>
      <c r="AN24" s="45">
        <f>J24</f>
        <v>603.49800000000005</v>
      </c>
      <c r="AO24" s="81">
        <v>608.995</v>
      </c>
      <c r="AP24" s="81">
        <v>621.08500000000004</v>
      </c>
      <c r="AQ24" s="81">
        <v>627.20799999999997</v>
      </c>
      <c r="AR24" s="45">
        <f>K24</f>
        <v>648.78499999999997</v>
      </c>
      <c r="AS24" s="81">
        <v>656.24199999999996</v>
      </c>
      <c r="AT24" s="81">
        <v>656.24199999999996</v>
      </c>
      <c r="AU24" s="81">
        <v>655.33900000000006</v>
      </c>
      <c r="AV24" s="45">
        <f>L24</f>
        <v>673.28599999999994</v>
      </c>
      <c r="AW24" s="81">
        <v>676.52200000000005</v>
      </c>
      <c r="AX24" s="81">
        <v>678.27800000000002</v>
      </c>
      <c r="AY24" s="81">
        <v>678.27800000000002</v>
      </c>
      <c r="AZ24" s="45">
        <f>M24</f>
        <v>695.51499999999999</v>
      </c>
      <c r="BA24" s="81">
        <v>691.82</v>
      </c>
      <c r="BB24" s="81">
        <v>695.76499999999999</v>
      </c>
      <c r="BC24" s="81">
        <v>688.38499999999999</v>
      </c>
      <c r="BD24" s="45">
        <f>N24</f>
        <v>688.38499999999999</v>
      </c>
      <c r="BE24" s="81">
        <v>690.27</v>
      </c>
      <c r="BF24" s="81">
        <v>691.27200000000005</v>
      </c>
    </row>
    <row r="25" spans="1:58" ht="13">
      <c r="A25" s="1"/>
      <c r="B25" s="1"/>
      <c r="C25" s="66"/>
      <c r="D25" s="63"/>
      <c r="E25" s="65"/>
      <c r="F25" s="65"/>
      <c r="G25" s="65"/>
      <c r="H25" s="65"/>
      <c r="I25" s="65"/>
      <c r="J25" s="65"/>
      <c r="K25" s="65"/>
      <c r="L25" s="65"/>
      <c r="M25" s="65"/>
      <c r="N25" s="65"/>
      <c r="O25" s="72"/>
      <c r="P25" s="72"/>
      <c r="Q25" s="63"/>
      <c r="R25" s="63"/>
      <c r="S25" s="63"/>
      <c r="T25" s="63"/>
      <c r="U25" s="63"/>
      <c r="V25" s="63"/>
      <c r="W25" s="63"/>
      <c r="X25" s="1"/>
      <c r="Y25" s="63"/>
      <c r="Z25" s="63"/>
      <c r="AA25" s="63"/>
      <c r="AB25" s="81"/>
      <c r="AC25" s="63"/>
      <c r="AD25" s="63"/>
      <c r="AE25" s="63"/>
      <c r="AF25" s="63"/>
      <c r="AG25" s="63"/>
      <c r="AH25" s="63"/>
      <c r="AI25" s="63"/>
      <c r="AJ25" s="63"/>
      <c r="AK25" s="63"/>
      <c r="AL25" s="63"/>
      <c r="AM25" s="63"/>
      <c r="AN25" s="63"/>
      <c r="AO25" s="63"/>
      <c r="AP25" s="63"/>
      <c r="AQ25" s="63"/>
      <c r="AR25" s="63"/>
      <c r="AS25" s="63"/>
      <c r="AT25" s="63"/>
      <c r="AU25" s="63"/>
      <c r="AV25" s="63"/>
      <c r="AW25" s="63"/>
      <c r="AX25" s="63"/>
      <c r="AZ25" s="63"/>
      <c r="BA25" s="63"/>
      <c r="BB25" s="63"/>
      <c r="BD25" s="63"/>
      <c r="BE25" s="63"/>
      <c r="BF25" s="63"/>
    </row>
    <row r="26" spans="1:58" ht="13">
      <c r="A26" s="1"/>
      <c r="B26" s="1" t="s">
        <v>404</v>
      </c>
      <c r="C26" s="101">
        <v>24</v>
      </c>
      <c r="D26" s="81">
        <v>25</v>
      </c>
      <c r="E26" s="101">
        <v>25</v>
      </c>
      <c r="F26" s="101">
        <v>27</v>
      </c>
      <c r="G26" s="101">
        <v>27</v>
      </c>
      <c r="H26" s="101">
        <v>28</v>
      </c>
      <c r="I26" s="101">
        <v>28</v>
      </c>
      <c r="J26" s="101">
        <v>28</v>
      </c>
      <c r="K26" s="101">
        <v>28</v>
      </c>
      <c r="L26" s="101">
        <v>28</v>
      </c>
      <c r="M26" s="101">
        <v>29</v>
      </c>
      <c r="N26" s="101">
        <v>30</v>
      </c>
      <c r="O26" s="98">
        <f>BF26</f>
        <v>72</v>
      </c>
      <c r="P26" s="98"/>
      <c r="Q26" s="81">
        <v>25</v>
      </c>
      <c r="R26" s="81">
        <v>25</v>
      </c>
      <c r="S26" s="81">
        <v>25</v>
      </c>
      <c r="T26" s="45">
        <f>E26</f>
        <v>25</v>
      </c>
      <c r="U26" s="81">
        <v>25</v>
      </c>
      <c r="V26" s="81">
        <v>25</v>
      </c>
      <c r="W26" s="81">
        <v>26</v>
      </c>
      <c r="X26" s="72">
        <f>F26</f>
        <v>27</v>
      </c>
      <c r="Y26" s="81">
        <v>27</v>
      </c>
      <c r="Z26" s="81">
        <v>27</v>
      </c>
      <c r="AA26" s="81">
        <v>27</v>
      </c>
      <c r="AB26" s="45">
        <f>G26</f>
        <v>27</v>
      </c>
      <c r="AC26" s="81">
        <v>27</v>
      </c>
      <c r="AD26" s="81">
        <v>27</v>
      </c>
      <c r="AE26" s="81">
        <v>27</v>
      </c>
      <c r="AF26" s="45">
        <f>H26</f>
        <v>28</v>
      </c>
      <c r="AG26" s="81">
        <v>28</v>
      </c>
      <c r="AH26" s="81">
        <v>28</v>
      </c>
      <c r="AI26" s="81">
        <v>28</v>
      </c>
      <c r="AJ26" s="45">
        <f>I26</f>
        <v>28</v>
      </c>
      <c r="AK26" s="81">
        <v>28</v>
      </c>
      <c r="AL26" s="81">
        <v>28</v>
      </c>
      <c r="AM26" s="81">
        <v>28</v>
      </c>
      <c r="AN26" s="45">
        <f>J26</f>
        <v>28</v>
      </c>
      <c r="AO26" s="81">
        <v>28</v>
      </c>
      <c r="AP26" s="81">
        <v>28</v>
      </c>
      <c r="AQ26" s="81">
        <v>28</v>
      </c>
      <c r="AR26" s="45">
        <f>K26</f>
        <v>28</v>
      </c>
      <c r="AS26" s="81">
        <v>28</v>
      </c>
      <c r="AT26" s="81">
        <v>28</v>
      </c>
      <c r="AU26" s="81">
        <v>28</v>
      </c>
      <c r="AV26" s="45">
        <f>L26</f>
        <v>28</v>
      </c>
      <c r="AW26" s="81">
        <v>29</v>
      </c>
      <c r="AX26" s="81">
        <v>29</v>
      </c>
      <c r="AY26" s="81">
        <v>29</v>
      </c>
      <c r="AZ26" s="45">
        <f>M26</f>
        <v>29</v>
      </c>
      <c r="BA26" s="81">
        <v>30</v>
      </c>
      <c r="BB26" s="81">
        <v>52</v>
      </c>
      <c r="BC26" s="81">
        <v>30</v>
      </c>
      <c r="BD26" s="45">
        <f>N26</f>
        <v>30</v>
      </c>
      <c r="BE26" s="81">
        <v>30</v>
      </c>
      <c r="BF26" s="81">
        <v>72</v>
      </c>
    </row>
    <row r="27" spans="1:58" ht="13">
      <c r="A27" s="1"/>
      <c r="B27" s="1" t="s">
        <v>405</v>
      </c>
      <c r="C27" s="101">
        <v>460</v>
      </c>
      <c r="D27" s="81">
        <v>480</v>
      </c>
      <c r="E27" s="101">
        <v>471.07499999999999</v>
      </c>
      <c r="F27" s="101">
        <v>511.97199999999998</v>
      </c>
      <c r="G27" s="101">
        <v>633.173</v>
      </c>
      <c r="H27" s="101">
        <v>570.98</v>
      </c>
      <c r="I27" s="101">
        <v>573.71400000000006</v>
      </c>
      <c r="J27" s="101">
        <v>570.04600000000005</v>
      </c>
      <c r="K27" s="101">
        <v>603.77</v>
      </c>
      <c r="L27" s="101">
        <f>696.708</f>
        <v>696.70799999999997</v>
      </c>
      <c r="M27" s="101">
        <v>717.04899999999998</v>
      </c>
      <c r="N27" s="101">
        <v>1037.239</v>
      </c>
      <c r="O27" s="98">
        <f>BF27</f>
        <v>1037.5440000000001</v>
      </c>
      <c r="P27" s="98"/>
      <c r="Q27" s="81">
        <v>469.238</v>
      </c>
      <c r="R27" s="81">
        <v>469.238</v>
      </c>
      <c r="S27" s="81">
        <v>469.57900000000001</v>
      </c>
      <c r="T27" s="45">
        <f>E27</f>
        <v>471.07499999999999</v>
      </c>
      <c r="U27" s="81">
        <v>472.11399999999998</v>
      </c>
      <c r="V27" s="81">
        <v>476.69099999999997</v>
      </c>
      <c r="W27" s="81">
        <v>503.48500000000001</v>
      </c>
      <c r="X27" s="45">
        <f>F27</f>
        <v>511.97199999999998</v>
      </c>
      <c r="Y27" s="81">
        <v>520.03099999999995</v>
      </c>
      <c r="Z27" s="81">
        <v>520.03099999999995</v>
      </c>
      <c r="AA27" s="81">
        <v>625.77200000000005</v>
      </c>
      <c r="AB27" s="45">
        <f>G27</f>
        <v>633.173</v>
      </c>
      <c r="AC27" s="81">
        <v>674.19299999999998</v>
      </c>
      <c r="AD27" s="81">
        <v>535.18600000000004</v>
      </c>
      <c r="AE27" s="81">
        <v>536.43600000000004</v>
      </c>
      <c r="AF27" s="45">
        <f>H27</f>
        <v>570.98</v>
      </c>
      <c r="AG27" s="81">
        <v>570.98</v>
      </c>
      <c r="AH27" s="81">
        <v>570.98</v>
      </c>
      <c r="AI27" s="81">
        <v>573.71400000000006</v>
      </c>
      <c r="AJ27" s="45">
        <f>I27</f>
        <v>573.71400000000006</v>
      </c>
      <c r="AK27" s="81">
        <v>573.71400000000006</v>
      </c>
      <c r="AL27" s="81">
        <v>574.84500000000003</v>
      </c>
      <c r="AM27" s="81">
        <v>580.30899999999997</v>
      </c>
      <c r="AN27" s="45">
        <f>J27</f>
        <v>570.04600000000005</v>
      </c>
      <c r="AO27" s="81">
        <v>569.87900000000002</v>
      </c>
      <c r="AP27" s="81">
        <v>597.03499999999997</v>
      </c>
      <c r="AQ27" s="81">
        <v>596.44399999999996</v>
      </c>
      <c r="AR27" s="45">
        <f>K27</f>
        <v>603.77</v>
      </c>
      <c r="AS27" s="81">
        <v>606.726</v>
      </c>
      <c r="AT27" s="81">
        <v>610.81399999999996</v>
      </c>
      <c r="AU27" s="81">
        <v>696.70699999999999</v>
      </c>
      <c r="AV27" s="45">
        <f>L27</f>
        <v>696.70799999999997</v>
      </c>
      <c r="AW27" s="81">
        <v>744.60799999999995</v>
      </c>
      <c r="AX27" s="81">
        <v>746.97900000000004</v>
      </c>
      <c r="AY27" s="81">
        <v>753.16200000000003</v>
      </c>
      <c r="AZ27" s="45">
        <f>M27</f>
        <v>717.04899999999998</v>
      </c>
      <c r="BA27" s="81">
        <v>991.34799999999996</v>
      </c>
      <c r="BB27" s="81">
        <v>1032.3530000000001</v>
      </c>
      <c r="BC27" s="81">
        <v>1016.4</v>
      </c>
      <c r="BD27" s="45">
        <f>N27</f>
        <v>1037.239</v>
      </c>
      <c r="BE27" s="81">
        <v>1039.002</v>
      </c>
      <c r="BF27" s="81">
        <v>1037.5440000000001</v>
      </c>
    </row>
    <row r="28" spans="1:58" ht="13">
      <c r="A28" s="1"/>
      <c r="B28" s="1"/>
      <c r="C28" s="101"/>
      <c r="D28" s="81"/>
      <c r="E28" s="98"/>
      <c r="F28" s="98"/>
      <c r="G28" s="98"/>
      <c r="H28" s="98"/>
      <c r="I28" s="98"/>
      <c r="J28" s="98"/>
      <c r="K28" s="98"/>
      <c r="L28" s="98"/>
      <c r="M28" s="98"/>
      <c r="N28" s="98"/>
      <c r="O28" s="45"/>
      <c r="P28" s="45"/>
      <c r="Q28" s="81"/>
      <c r="R28" s="81"/>
      <c r="S28" s="81"/>
      <c r="T28" s="81"/>
      <c r="U28" s="81"/>
      <c r="V28" s="81"/>
      <c r="W28" s="81"/>
      <c r="X28" s="98"/>
      <c r="Y28" s="81"/>
      <c r="Z28" s="81"/>
      <c r="AA28" s="81"/>
      <c r="AB28" s="81"/>
      <c r="AC28" s="81"/>
      <c r="AD28" s="81"/>
      <c r="AE28" s="81"/>
      <c r="AF28" s="81"/>
      <c r="AG28" s="81"/>
      <c r="AH28" s="81"/>
      <c r="AI28" s="81"/>
      <c r="AJ28" s="81"/>
      <c r="AK28" s="81"/>
      <c r="AL28" s="81"/>
      <c r="AM28" s="81"/>
      <c r="AN28" s="81"/>
      <c r="AO28" s="81"/>
      <c r="AP28" s="81"/>
      <c r="AQ28" s="81"/>
      <c r="AR28" s="81"/>
      <c r="AS28" s="81"/>
      <c r="AT28" s="81"/>
      <c r="AU28" s="81"/>
      <c r="AV28" s="81"/>
      <c r="AW28" s="81"/>
      <c r="AX28" s="81"/>
      <c r="AZ28" s="81"/>
      <c r="BA28" s="81"/>
      <c r="BB28" s="81"/>
      <c r="BD28" s="81"/>
      <c r="BE28" s="81"/>
      <c r="BF28" s="81"/>
    </row>
    <row r="29" spans="1:58" ht="13">
      <c r="A29" s="1"/>
      <c r="B29" s="1" t="s">
        <v>406</v>
      </c>
      <c r="C29" s="101"/>
      <c r="D29" s="81">
        <v>109</v>
      </c>
      <c r="E29" s="101">
        <v>127</v>
      </c>
      <c r="F29" s="101">
        <v>121</v>
      </c>
      <c r="G29" s="101">
        <v>115</v>
      </c>
      <c r="H29" s="101">
        <v>133</v>
      </c>
      <c r="I29" s="101">
        <v>124</v>
      </c>
      <c r="J29" s="101">
        <v>116</v>
      </c>
      <c r="K29" s="101">
        <v>112</v>
      </c>
      <c r="L29" s="101">
        <v>116</v>
      </c>
      <c r="M29" s="101">
        <v>124</v>
      </c>
      <c r="N29" s="101">
        <v>148</v>
      </c>
      <c r="O29" s="98">
        <f>BF29</f>
        <v>173</v>
      </c>
      <c r="P29" s="98"/>
      <c r="Q29" s="81">
        <v>108</v>
      </c>
      <c r="R29" s="81">
        <v>111</v>
      </c>
      <c r="S29" s="81">
        <v>116</v>
      </c>
      <c r="T29" s="45">
        <f>E29</f>
        <v>127</v>
      </c>
      <c r="U29" s="81">
        <v>108</v>
      </c>
      <c r="V29" s="81">
        <v>112</v>
      </c>
      <c r="W29" s="81">
        <v>107</v>
      </c>
      <c r="X29" s="45">
        <f>F29</f>
        <v>121</v>
      </c>
      <c r="Y29" s="81">
        <v>116</v>
      </c>
      <c r="Z29" s="81">
        <v>117</v>
      </c>
      <c r="AA29" s="81">
        <v>111</v>
      </c>
      <c r="AB29" s="45">
        <f>G29</f>
        <v>115</v>
      </c>
      <c r="AC29" s="81">
        <v>123</v>
      </c>
      <c r="AD29" s="81">
        <v>126</v>
      </c>
      <c r="AE29" s="81">
        <v>129</v>
      </c>
      <c r="AF29" s="45">
        <f>H29</f>
        <v>133</v>
      </c>
      <c r="AG29" s="81">
        <v>130</v>
      </c>
      <c r="AH29" s="81">
        <v>128</v>
      </c>
      <c r="AI29" s="81">
        <v>127</v>
      </c>
      <c r="AJ29" s="45">
        <f>I29</f>
        <v>124</v>
      </c>
      <c r="AK29" s="81">
        <v>120</v>
      </c>
      <c r="AL29" s="81">
        <v>119</v>
      </c>
      <c r="AM29" s="81">
        <v>116</v>
      </c>
      <c r="AN29" s="45">
        <f>J29</f>
        <v>116</v>
      </c>
      <c r="AO29" s="81">
        <v>116</v>
      </c>
      <c r="AP29" s="81">
        <v>113</v>
      </c>
      <c r="AQ29" s="81">
        <v>111</v>
      </c>
      <c r="AR29" s="45">
        <f>K29</f>
        <v>112</v>
      </c>
      <c r="AS29" s="81">
        <v>114</v>
      </c>
      <c r="AT29" s="81">
        <v>112</v>
      </c>
      <c r="AU29" s="81">
        <v>113</v>
      </c>
      <c r="AV29" s="45">
        <f>L29</f>
        <v>116</v>
      </c>
      <c r="AW29" s="81">
        <v>116</v>
      </c>
      <c r="AX29" s="81">
        <v>119</v>
      </c>
      <c r="AY29" s="81">
        <v>120</v>
      </c>
      <c r="AZ29" s="45">
        <f>M29</f>
        <v>124</v>
      </c>
      <c r="BA29" s="81">
        <v>126</v>
      </c>
      <c r="BB29" s="81">
        <v>129</v>
      </c>
      <c r="BC29" s="81">
        <v>135</v>
      </c>
      <c r="BD29" s="45">
        <f>N29</f>
        <v>148</v>
      </c>
      <c r="BE29" s="81">
        <v>195</v>
      </c>
      <c r="BF29" s="81">
        <v>173</v>
      </c>
    </row>
    <row r="30" spans="1:58" ht="13">
      <c r="A30" s="1"/>
      <c r="B30" s="1" t="s">
        <v>407</v>
      </c>
      <c r="C30" s="101"/>
      <c r="D30" s="81">
        <v>60.469000000000001</v>
      </c>
      <c r="E30" s="101">
        <v>70.951999999999998</v>
      </c>
      <c r="F30" s="101">
        <v>82.873000000000005</v>
      </c>
      <c r="G30" s="101">
        <v>73.048000000000002</v>
      </c>
      <c r="H30" s="101">
        <v>78.960999999999999</v>
      </c>
      <c r="I30" s="101">
        <v>75.841999999999999</v>
      </c>
      <c r="J30" s="101">
        <v>74.433999999999997</v>
      </c>
      <c r="K30" s="101">
        <v>71.667000000000002</v>
      </c>
      <c r="L30" s="101">
        <f>75.074</f>
        <v>75.073999999999998</v>
      </c>
      <c r="M30" s="101">
        <v>79.686999999999998</v>
      </c>
      <c r="N30" s="101">
        <v>79.686999999999998</v>
      </c>
      <c r="O30" s="98">
        <f>BF30</f>
        <v>95.588999999999999</v>
      </c>
      <c r="P30" s="98"/>
      <c r="Q30" s="81">
        <v>60.469000000000001</v>
      </c>
      <c r="R30" s="81">
        <v>61.603999999999999</v>
      </c>
      <c r="S30" s="81">
        <v>64.123000000000005</v>
      </c>
      <c r="T30" s="45">
        <f>E30</f>
        <v>70.951999999999998</v>
      </c>
      <c r="U30" s="81">
        <v>64.328999999999994</v>
      </c>
      <c r="V30" s="81">
        <v>67.325999999999993</v>
      </c>
      <c r="W30" s="81">
        <v>68.149000000000001</v>
      </c>
      <c r="X30" s="45">
        <f>F30</f>
        <v>82.873000000000005</v>
      </c>
      <c r="Y30" s="81">
        <v>76.052999999999997</v>
      </c>
      <c r="Z30" s="81">
        <v>72.483999999999995</v>
      </c>
      <c r="AA30" s="81">
        <v>70.763000000000005</v>
      </c>
      <c r="AB30" s="45">
        <f>G30</f>
        <v>73.048000000000002</v>
      </c>
      <c r="AC30" s="81">
        <v>75.013999999999996</v>
      </c>
      <c r="AD30" s="81">
        <v>75.888000000000005</v>
      </c>
      <c r="AE30" s="81">
        <v>77.408000000000001</v>
      </c>
      <c r="AF30" s="45">
        <f>H30</f>
        <v>78.960999999999999</v>
      </c>
      <c r="AG30" s="81">
        <v>77.180000000000007</v>
      </c>
      <c r="AH30" s="81">
        <v>77.578000000000003</v>
      </c>
      <c r="AI30" s="81">
        <v>76.795000000000002</v>
      </c>
      <c r="AJ30" s="45">
        <f>I30</f>
        <v>75.841999999999999</v>
      </c>
      <c r="AK30" s="81">
        <v>73.822999999999993</v>
      </c>
      <c r="AL30" s="81">
        <v>75.093000000000004</v>
      </c>
      <c r="AM30" s="81">
        <v>74.647999999999996</v>
      </c>
      <c r="AN30" s="45">
        <f>J30</f>
        <v>74.433999999999997</v>
      </c>
      <c r="AO30" s="81">
        <v>71.825000000000003</v>
      </c>
      <c r="AP30" s="81">
        <v>70.962999999999994</v>
      </c>
      <c r="AQ30" s="81">
        <v>70.796999999999997</v>
      </c>
      <c r="AR30" s="45">
        <f>K30</f>
        <v>71.667000000000002</v>
      </c>
      <c r="AS30" s="81">
        <v>72.738</v>
      </c>
      <c r="AT30" s="81">
        <v>72.415000000000006</v>
      </c>
      <c r="AU30" s="81">
        <v>72.581000000000003</v>
      </c>
      <c r="AV30" s="45">
        <f>L30</f>
        <v>75.073999999999998</v>
      </c>
      <c r="AW30" s="81">
        <v>75.471999999999994</v>
      </c>
      <c r="AX30" s="81">
        <v>76.631</v>
      </c>
      <c r="AY30" s="81">
        <v>77.692999999999998</v>
      </c>
      <c r="AZ30" s="45">
        <f>M30</f>
        <v>79.686999999999998</v>
      </c>
      <c r="BA30" s="81">
        <v>81.146000000000001</v>
      </c>
      <c r="BB30" s="81">
        <v>84.27</v>
      </c>
      <c r="BC30" s="81">
        <v>85.671999999999997</v>
      </c>
      <c r="BD30" s="45">
        <f>N30</f>
        <v>79.686999999999998</v>
      </c>
      <c r="BE30" s="81">
        <v>92.293999999999997</v>
      </c>
      <c r="BF30" s="81">
        <v>95.588999999999999</v>
      </c>
    </row>
    <row r="31" spans="1:58" ht="13">
      <c r="A31" s="1"/>
      <c r="B31" s="1"/>
      <c r="C31" s="66"/>
      <c r="D31" s="63"/>
      <c r="E31" s="65">
        <v>0</v>
      </c>
      <c r="F31" s="65"/>
      <c r="G31" s="65"/>
      <c r="H31" s="65"/>
      <c r="I31" s="65"/>
      <c r="J31" s="65"/>
      <c r="K31" s="65"/>
      <c r="L31" s="65"/>
      <c r="M31" s="65"/>
      <c r="N31" s="65"/>
      <c r="O31" s="72"/>
      <c r="P31" s="72"/>
      <c r="Q31" s="63"/>
      <c r="R31" s="63"/>
      <c r="S31" s="63"/>
      <c r="T31" s="63"/>
      <c r="U31" s="63"/>
      <c r="V31" s="63"/>
      <c r="W31" s="63"/>
      <c r="X31" s="1"/>
      <c r="Y31" s="63"/>
      <c r="Z31" s="63"/>
      <c r="AA31" s="63"/>
      <c r="AB31" s="81"/>
      <c r="AC31" s="63"/>
      <c r="AD31" s="63"/>
      <c r="AE31" s="63"/>
      <c r="AF31" s="63"/>
      <c r="AG31" s="63"/>
      <c r="AH31" s="63"/>
      <c r="AI31" s="63"/>
      <c r="AJ31" s="63"/>
      <c r="AK31" s="63"/>
      <c r="AL31" s="63"/>
      <c r="AM31" s="63"/>
      <c r="AN31" s="63"/>
      <c r="AO31" s="63"/>
      <c r="AP31" s="63"/>
      <c r="AQ31" s="63"/>
      <c r="AR31" s="63"/>
      <c r="AS31" s="63"/>
      <c r="AT31" s="63"/>
      <c r="AU31" s="63"/>
      <c r="AV31" s="63"/>
      <c r="AW31" s="63"/>
      <c r="AX31" s="63"/>
      <c r="AZ31" s="63"/>
      <c r="BA31" s="63"/>
      <c r="BB31" s="63"/>
      <c r="BD31" s="63"/>
      <c r="BE31" s="63"/>
      <c r="BF31" s="63"/>
    </row>
    <row r="32" spans="1:58" ht="13">
      <c r="A32" s="1"/>
      <c r="B32" s="5" t="s">
        <v>408</v>
      </c>
      <c r="C32" s="66"/>
      <c r="D32" s="63"/>
      <c r="E32" s="65"/>
      <c r="F32" s="65"/>
      <c r="G32" s="65"/>
      <c r="H32" s="65"/>
      <c r="I32" s="65"/>
      <c r="J32" s="65"/>
      <c r="K32" s="65"/>
      <c r="L32" s="65"/>
      <c r="M32" s="65"/>
      <c r="N32" s="65"/>
      <c r="O32" s="72"/>
      <c r="P32" s="72"/>
      <c r="Q32" s="63"/>
      <c r="R32" s="63"/>
      <c r="S32" s="63"/>
      <c r="T32" s="63"/>
      <c r="U32" s="63"/>
      <c r="V32" s="63"/>
      <c r="W32" s="63"/>
      <c r="X32" s="1"/>
      <c r="Y32" s="63"/>
      <c r="Z32" s="63"/>
      <c r="AA32" s="63"/>
      <c r="AB32" s="81"/>
      <c r="AC32" s="63"/>
      <c r="AD32" s="63"/>
      <c r="AE32" s="63"/>
      <c r="AF32" s="63"/>
      <c r="AG32" s="63"/>
      <c r="AH32" s="63"/>
      <c r="AI32" s="63"/>
      <c r="AJ32" s="63"/>
      <c r="AK32" s="63"/>
      <c r="AL32" s="63"/>
      <c r="AM32" s="63"/>
      <c r="AN32" s="63"/>
      <c r="AO32" s="63"/>
      <c r="AP32" s="63"/>
      <c r="AQ32" s="63"/>
      <c r="AR32" s="63"/>
      <c r="AS32" s="63"/>
      <c r="AT32" s="63"/>
      <c r="AU32" s="63"/>
      <c r="AV32" s="63"/>
      <c r="AW32" s="63"/>
      <c r="AX32" s="63"/>
      <c r="AZ32" s="63"/>
      <c r="BA32" s="63"/>
      <c r="BB32" s="63"/>
      <c r="BD32" s="63"/>
      <c r="BE32" s="63"/>
      <c r="BF32" s="63"/>
    </row>
    <row r="33" spans="1:58" ht="13">
      <c r="A33" s="1"/>
      <c r="B33" s="1" t="s">
        <v>397</v>
      </c>
      <c r="C33" s="68">
        <v>3767900</v>
      </c>
      <c r="D33" s="68">
        <v>3954716</v>
      </c>
      <c r="E33" s="68">
        <v>4364874</v>
      </c>
      <c r="F33" s="68">
        <v>4703874</v>
      </c>
      <c r="G33" s="68">
        <v>4810009</v>
      </c>
      <c r="H33" s="68">
        <v>4881461</v>
      </c>
      <c r="I33" s="68">
        <v>4836466</v>
      </c>
      <c r="J33" s="68">
        <v>5284181</v>
      </c>
      <c r="K33" s="68">
        <v>5284181</v>
      </c>
      <c r="L33" s="68">
        <f>5636940</f>
        <v>5636940</v>
      </c>
      <c r="M33" s="68">
        <v>5965610</v>
      </c>
      <c r="N33" s="68">
        <v>6325000</v>
      </c>
      <c r="O33" s="98">
        <f>BF33</f>
        <v>6470000</v>
      </c>
      <c r="P33" s="98"/>
      <c r="Q33" s="68">
        <v>4023673</v>
      </c>
      <c r="R33" s="68">
        <v>4136736</v>
      </c>
      <c r="S33" s="68">
        <v>4250915</v>
      </c>
      <c r="T33" s="103">
        <f>E33</f>
        <v>4364874</v>
      </c>
      <c r="U33" s="68">
        <v>4344937</v>
      </c>
      <c r="V33" s="68">
        <v>4455777</v>
      </c>
      <c r="W33" s="68">
        <v>4579655</v>
      </c>
      <c r="X33" s="72">
        <f>F33</f>
        <v>4703874</v>
      </c>
      <c r="Y33" s="68">
        <v>4714555</v>
      </c>
      <c r="Z33" s="68">
        <v>4765068</v>
      </c>
      <c r="AA33" s="68">
        <v>4777335</v>
      </c>
      <c r="AB33" s="45">
        <f>G33</f>
        <v>4810009</v>
      </c>
      <c r="AC33" s="68">
        <v>4797150</v>
      </c>
      <c r="AD33" s="68">
        <v>4819237</v>
      </c>
      <c r="AE33" s="68">
        <v>4820858</v>
      </c>
      <c r="AF33" s="45">
        <f>H33</f>
        <v>4881461</v>
      </c>
      <c r="AG33" s="68">
        <v>4873243</v>
      </c>
      <c r="AH33" s="68">
        <v>4769107</v>
      </c>
      <c r="AI33" s="68">
        <v>4784104</v>
      </c>
      <c r="AJ33" s="45">
        <f>I33</f>
        <v>4836466</v>
      </c>
      <c r="AK33" s="68">
        <v>4776476</v>
      </c>
      <c r="AL33" s="68">
        <v>4816364</v>
      </c>
      <c r="AM33" s="68">
        <v>4856731</v>
      </c>
      <c r="AN33" s="45">
        <f>J33</f>
        <v>5284181</v>
      </c>
      <c r="AO33" s="68">
        <v>4964314</v>
      </c>
      <c r="AP33" s="68">
        <v>5054161</v>
      </c>
      <c r="AQ33" s="68">
        <v>4856731</v>
      </c>
      <c r="AR33" s="45">
        <f>K33</f>
        <v>5284181</v>
      </c>
      <c r="AS33" s="68">
        <v>5344361</v>
      </c>
      <c r="AT33" s="68">
        <v>5441368</v>
      </c>
      <c r="AU33" s="68">
        <v>5514275</v>
      </c>
      <c r="AV33" s="45">
        <f>L33</f>
        <v>5636940</v>
      </c>
      <c r="AW33" s="68">
        <v>5684626</v>
      </c>
      <c r="AX33" s="68">
        <v>5788099</v>
      </c>
      <c r="AY33" s="68">
        <v>5876896</v>
      </c>
      <c r="AZ33" s="45">
        <f>M33</f>
        <v>5965610</v>
      </c>
      <c r="BA33" s="68">
        <v>5995000</v>
      </c>
      <c r="BB33" s="68">
        <v>6097000</v>
      </c>
      <c r="BC33" s="68">
        <v>6190000</v>
      </c>
      <c r="BD33" s="45">
        <f>N33</f>
        <v>6325000</v>
      </c>
      <c r="BE33" s="68">
        <v>6367000</v>
      </c>
      <c r="BF33" s="68">
        <v>6470000</v>
      </c>
    </row>
    <row r="34" spans="1:58" ht="13">
      <c r="A34" s="5"/>
      <c r="B34" s="1" t="s">
        <v>401</v>
      </c>
      <c r="C34" s="139"/>
      <c r="D34" s="139"/>
      <c r="E34" s="140"/>
      <c r="F34" s="140"/>
      <c r="G34" s="68">
        <v>245284</v>
      </c>
      <c r="H34" s="68">
        <v>688597</v>
      </c>
      <c r="I34" s="68">
        <v>855891</v>
      </c>
      <c r="J34" s="68">
        <v>1394969</v>
      </c>
      <c r="K34" s="68">
        <f>1377348</f>
        <v>1377348</v>
      </c>
      <c r="L34" s="68">
        <f>1615880</f>
        <v>1615880</v>
      </c>
      <c r="M34" s="68">
        <v>1864961</v>
      </c>
      <c r="N34" s="68">
        <v>2052000</v>
      </c>
      <c r="O34" s="98">
        <f>BF34</f>
        <v>2374000</v>
      </c>
      <c r="P34" s="98"/>
      <c r="Q34" s="63"/>
      <c r="R34" s="63"/>
      <c r="S34" s="63"/>
      <c r="T34" s="63"/>
      <c r="U34" s="137"/>
      <c r="V34" s="137"/>
      <c r="W34" s="137"/>
      <c r="X34" s="138"/>
      <c r="Y34" s="137"/>
      <c r="Z34" s="137"/>
      <c r="AA34" s="68">
        <v>83917</v>
      </c>
      <c r="AB34" s="45">
        <f>G34</f>
        <v>245284</v>
      </c>
      <c r="AC34" s="68">
        <v>351846</v>
      </c>
      <c r="AD34" s="68">
        <v>467877</v>
      </c>
      <c r="AE34" s="68">
        <v>569895</v>
      </c>
      <c r="AF34" s="45">
        <f>H34</f>
        <v>688597</v>
      </c>
      <c r="AG34" s="68">
        <v>772002</v>
      </c>
      <c r="AH34" s="68">
        <v>755123</v>
      </c>
      <c r="AI34" s="68">
        <v>790860</v>
      </c>
      <c r="AJ34" s="45">
        <f>I34</f>
        <v>855891</v>
      </c>
      <c r="AK34" s="68">
        <v>873453</v>
      </c>
      <c r="AL34" s="68">
        <v>937707</v>
      </c>
      <c r="AM34" s="68">
        <v>1003742</v>
      </c>
      <c r="AN34" s="45">
        <f>J34</f>
        <v>1394969</v>
      </c>
      <c r="AO34" s="68">
        <v>1141488</v>
      </c>
      <c r="AP34" s="68">
        <v>1215467</v>
      </c>
      <c r="AQ34" s="68">
        <v>1003742</v>
      </c>
      <c r="AR34" s="45">
        <f>K34</f>
        <v>1377348</v>
      </c>
      <c r="AS34" s="68">
        <v>1424243</v>
      </c>
      <c r="AT34" s="68">
        <v>1488734</v>
      </c>
      <c r="AU34" s="68">
        <v>1533075</v>
      </c>
      <c r="AV34" s="45">
        <f>L34</f>
        <v>1615880</v>
      </c>
      <c r="AW34" s="68">
        <v>1663819</v>
      </c>
      <c r="AX34" s="68">
        <v>1727357</v>
      </c>
      <c r="AY34" s="68">
        <v>1782484</v>
      </c>
      <c r="AZ34" s="45">
        <f>M34</f>
        <v>1864961</v>
      </c>
      <c r="BA34" s="68">
        <v>1887000</v>
      </c>
      <c r="BB34" s="68">
        <v>2103000</v>
      </c>
      <c r="BC34" s="68">
        <v>1970000</v>
      </c>
      <c r="BD34" s="45">
        <f>N34</f>
        <v>2052000</v>
      </c>
      <c r="BE34" s="68">
        <v>2309000</v>
      </c>
      <c r="BF34" s="68">
        <v>2374000</v>
      </c>
    </row>
    <row r="35" spans="1:58" ht="13">
      <c r="A35" s="5"/>
      <c r="B35" s="1"/>
      <c r="C35" s="139"/>
      <c r="D35" s="139"/>
      <c r="E35" s="140"/>
      <c r="F35" s="140"/>
      <c r="G35" s="68"/>
      <c r="H35" s="68"/>
      <c r="I35" s="68"/>
      <c r="J35" s="68"/>
      <c r="K35" s="68"/>
      <c r="L35" s="68"/>
      <c r="M35" s="68"/>
      <c r="N35" s="68"/>
      <c r="O35" s="98"/>
      <c r="P35" s="98"/>
      <c r="Q35" s="63"/>
      <c r="R35" s="63"/>
      <c r="S35" s="63"/>
      <c r="T35" s="63"/>
      <c r="U35" s="63"/>
      <c r="V35" s="63"/>
      <c r="W35" s="63"/>
      <c r="X35" s="63"/>
      <c r="Y35" s="63"/>
      <c r="Z35" s="63"/>
      <c r="AA35" s="68"/>
      <c r="AB35" s="45"/>
      <c r="AC35" s="68"/>
      <c r="AD35" s="68"/>
      <c r="AE35" s="68"/>
      <c r="AF35" s="45"/>
      <c r="AG35" s="68"/>
      <c r="AH35" s="68"/>
      <c r="AI35" s="68"/>
      <c r="AJ35" s="45"/>
      <c r="AK35" s="68"/>
      <c r="AL35" s="68"/>
      <c r="AM35" s="68"/>
      <c r="AN35" s="45"/>
      <c r="AO35" s="68"/>
      <c r="AP35" s="68"/>
      <c r="AQ35" s="68"/>
      <c r="AR35" s="45"/>
      <c r="AS35" s="68"/>
      <c r="AT35" s="68"/>
      <c r="AU35" s="68"/>
      <c r="AV35" s="45"/>
      <c r="AW35" s="68"/>
      <c r="AX35" s="68"/>
      <c r="AY35" s="68"/>
      <c r="AZ35" s="45"/>
      <c r="BA35" s="68"/>
      <c r="BB35" s="68"/>
      <c r="BC35" s="68"/>
      <c r="BD35" s="45"/>
      <c r="BE35" s="68"/>
      <c r="BF35" s="68"/>
    </row>
    <row r="36" spans="1:58" ht="13">
      <c r="A36" s="1"/>
      <c r="B36" s="459"/>
      <c r="C36" s="459"/>
      <c r="D36" s="459"/>
      <c r="E36" s="459"/>
      <c r="F36" s="459"/>
      <c r="G36" s="459"/>
      <c r="H36" s="459"/>
      <c r="I36" s="459"/>
      <c r="J36" s="459"/>
      <c r="K36" s="459"/>
      <c r="L36" s="459"/>
      <c r="M36" s="459"/>
      <c r="N36" s="459"/>
      <c r="O36" s="459"/>
      <c r="P36" s="98"/>
      <c r="Q36" s="459"/>
      <c r="R36" s="459"/>
      <c r="S36" s="459"/>
      <c r="T36" s="459"/>
      <c r="U36" s="459"/>
      <c r="V36" s="459"/>
      <c r="W36" s="459"/>
      <c r="X36" s="459"/>
      <c r="Y36" s="459"/>
      <c r="Z36" s="459"/>
      <c r="AA36" s="459"/>
      <c r="AB36" s="459"/>
      <c r="AC36" s="459"/>
      <c r="AD36" s="459"/>
      <c r="AE36" s="459"/>
      <c r="AF36" s="459"/>
      <c r="AG36" s="459"/>
      <c r="AH36" s="459"/>
      <c r="AI36" s="459"/>
      <c r="AJ36" s="459"/>
      <c r="AK36" s="459"/>
      <c r="AL36" s="459"/>
      <c r="AM36" s="459"/>
      <c r="AN36" s="459"/>
      <c r="AO36" s="459"/>
      <c r="AP36" s="459"/>
      <c r="AQ36" s="459"/>
      <c r="AR36" s="459"/>
      <c r="AS36" s="459"/>
      <c r="AT36" s="459"/>
      <c r="AU36" s="459"/>
      <c r="AV36" s="459"/>
      <c r="AW36" s="459"/>
      <c r="AX36" s="459"/>
      <c r="AY36" s="460"/>
      <c r="AZ36" s="459"/>
      <c r="BA36" s="459"/>
      <c r="BB36" s="459"/>
      <c r="BC36" s="460"/>
      <c r="BD36" s="459"/>
      <c r="BE36" s="459"/>
      <c r="BF36" s="459"/>
    </row>
    <row r="37" spans="1:58" ht="13">
      <c r="A37" s="1"/>
      <c r="B37" s="10" t="s">
        <v>409</v>
      </c>
      <c r="C37" s="33">
        <f>Model!C174</f>
        <v>41975</v>
      </c>
      <c r="D37" s="33">
        <f>Model!D174</f>
        <v>42341</v>
      </c>
      <c r="E37" s="33">
        <f>Model!E174</f>
        <v>42708</v>
      </c>
      <c r="F37" s="33">
        <f>Model!F174</f>
        <v>43100</v>
      </c>
      <c r="G37" s="33">
        <f>Model!G3</f>
        <v>43465</v>
      </c>
      <c r="H37" s="33">
        <f>Model!H3</f>
        <v>43830</v>
      </c>
      <c r="I37" s="33">
        <f>Model!I3</f>
        <v>44196</v>
      </c>
      <c r="J37" s="33">
        <f>Model!J3</f>
        <v>44561</v>
      </c>
      <c r="K37" s="33">
        <f>Model!K3</f>
        <v>44926</v>
      </c>
      <c r="L37" s="33">
        <f>Model!L3</f>
        <v>45291</v>
      </c>
      <c r="M37" s="33">
        <f>Model!M3</f>
        <v>45657</v>
      </c>
      <c r="N37" s="33">
        <f>Model!N3</f>
        <v>46022</v>
      </c>
      <c r="O37" s="33">
        <f>Model!O3</f>
        <v>46112</v>
      </c>
      <c r="P37" s="98"/>
      <c r="Q37" s="33">
        <f>Model!Q174</f>
        <v>42437</v>
      </c>
      <c r="R37" s="33">
        <f>Model!R174</f>
        <v>42527</v>
      </c>
      <c r="S37" s="33">
        <f>Model!S174</f>
        <v>42622</v>
      </c>
      <c r="T37" s="33">
        <f>Model!T174</f>
        <v>42714</v>
      </c>
      <c r="U37" s="33">
        <f>Model!U174</f>
        <v>42801</v>
      </c>
      <c r="V37" s="33">
        <f>Model!V174</f>
        <v>42892</v>
      </c>
      <c r="W37" s="33">
        <f>Model!W174</f>
        <v>42987</v>
      </c>
      <c r="X37" s="33">
        <f>Model!X174</f>
        <v>43100</v>
      </c>
      <c r="Y37" s="33">
        <f>Model!Y174</f>
        <v>43190</v>
      </c>
      <c r="Z37" s="33">
        <f>Model!Z174</f>
        <v>43281</v>
      </c>
      <c r="AA37" s="33">
        <f>Model!AA174</f>
        <v>43373</v>
      </c>
      <c r="AB37" s="33">
        <f>Model!AB3</f>
        <v>43465</v>
      </c>
      <c r="AC37" s="33">
        <f>Model!AC174</f>
        <v>43555</v>
      </c>
      <c r="AD37" s="33">
        <f>Model!AD174</f>
        <v>43646</v>
      </c>
      <c r="AE37" s="33">
        <f>Model!AE174</f>
        <v>43738</v>
      </c>
      <c r="AF37" s="33">
        <f>Model!AF174</f>
        <v>43830</v>
      </c>
      <c r="AG37" s="33">
        <f>Model!AG174</f>
        <v>43921</v>
      </c>
      <c r="AH37" s="33">
        <f>Model!AH174</f>
        <v>44012</v>
      </c>
      <c r="AI37" s="33">
        <f>Model!AI174</f>
        <v>44104</v>
      </c>
      <c r="AJ37" s="33">
        <f>Model!AJ174</f>
        <v>44196</v>
      </c>
      <c r="AK37" s="33">
        <f>Model!AK174</f>
        <v>44286</v>
      </c>
      <c r="AL37" s="33">
        <f>Model!AL174</f>
        <v>44377</v>
      </c>
      <c r="AM37" s="33">
        <f>Model!AM174</f>
        <v>44469</v>
      </c>
      <c r="AN37" s="33">
        <f>Model!AN174</f>
        <v>44561</v>
      </c>
      <c r="AO37" s="33">
        <f>Model!AO174</f>
        <v>44651</v>
      </c>
      <c r="AP37" s="33">
        <f>Model!AP174</f>
        <v>44742</v>
      </c>
      <c r="AQ37" s="33">
        <f>Model!AQ174</f>
        <v>44834</v>
      </c>
      <c r="AR37" s="33">
        <f>Model!AR174</f>
        <v>44926</v>
      </c>
      <c r="AS37" s="33">
        <f>Model!AS174</f>
        <v>45016</v>
      </c>
      <c r="AT37" s="33">
        <f>Model!AT174</f>
        <v>45107</v>
      </c>
      <c r="AU37" s="33">
        <f>Model!AU174</f>
        <v>45199</v>
      </c>
      <c r="AV37" s="33">
        <f>Model!AV174</f>
        <v>45291</v>
      </c>
      <c r="AW37" s="33">
        <f>Model!AW174</f>
        <v>45382</v>
      </c>
      <c r="AX37" s="33">
        <f>Model!AX174</f>
        <v>45473</v>
      </c>
      <c r="AY37" s="33">
        <f>Model!AY174</f>
        <v>45536</v>
      </c>
      <c r="AZ37" s="33">
        <f>Model!AZ174</f>
        <v>45657</v>
      </c>
      <c r="BA37" s="33">
        <f>Model!BA174</f>
        <v>45747</v>
      </c>
      <c r="BB37" s="33">
        <f>Model!BB174</f>
        <v>45838</v>
      </c>
      <c r="BC37" s="33">
        <f>Model!BC174</f>
        <v>45901</v>
      </c>
      <c r="BD37" s="33">
        <f>Model!BD174</f>
        <v>46022</v>
      </c>
      <c r="BE37" s="33">
        <f>Model!BE174</f>
        <v>46112</v>
      </c>
      <c r="BF37" s="33" t="e">
        <f>Model!#REF!</f>
        <v>#REF!</v>
      </c>
    </row>
    <row r="38" spans="1:58" ht="13">
      <c r="A38" s="1"/>
      <c r="B38" s="1" t="s">
        <v>410</v>
      </c>
      <c r="C38" s="63">
        <v>70067.517000000007</v>
      </c>
      <c r="D38" s="63">
        <v>79242.312000000005</v>
      </c>
      <c r="E38" s="63">
        <v>87897.13</v>
      </c>
      <c r="F38" s="63">
        <v>108583.13800000001</v>
      </c>
      <c r="G38" s="63">
        <v>120276.234</v>
      </c>
      <c r="H38" s="63">
        <v>127322.6</v>
      </c>
      <c r="I38" s="63">
        <v>100939.6</v>
      </c>
      <c r="J38" s="63">
        <v>136793.20000000001</v>
      </c>
      <c r="K38" s="63">
        <v>159111.9</v>
      </c>
      <c r="L38" s="63">
        <v>175188.4</v>
      </c>
      <c r="M38" s="63">
        <v>190725</v>
      </c>
      <c r="N38" s="63">
        <v>201635</v>
      </c>
      <c r="O38" s="98">
        <f>SUM(BC38:BF38)</f>
        <v>201090</v>
      </c>
      <c r="P38" s="98"/>
      <c r="Q38" s="78">
        <v>16186.736999999999</v>
      </c>
      <c r="R38" s="63">
        <v>21155.451000000001</v>
      </c>
      <c r="S38" s="63">
        <v>18774.064999999999</v>
      </c>
      <c r="T38" s="72">
        <f>E38-SUM(Q38:S38)</f>
        <v>31780.877000000008</v>
      </c>
      <c r="U38" s="78">
        <v>17599.010999999999</v>
      </c>
      <c r="V38" s="63">
        <v>26487.302</v>
      </c>
      <c r="W38" s="63">
        <v>23750.866000000002</v>
      </c>
      <c r="X38" s="122">
        <f>F38-W38-V38-U38</f>
        <v>40745.959000000003</v>
      </c>
      <c r="Y38" s="63">
        <v>21845.774000000001</v>
      </c>
      <c r="Z38" s="63">
        <v>28858.09</v>
      </c>
      <c r="AA38" s="63">
        <v>25546.240000000002</v>
      </c>
      <c r="AB38" s="72">
        <f>G38-AA38-Z38-Y38</f>
        <v>44026.12999999999</v>
      </c>
      <c r="AC38" s="63">
        <v>23438.2</v>
      </c>
      <c r="AD38" s="63">
        <v>31358.1</v>
      </c>
      <c r="AE38" s="63">
        <v>26091.5</v>
      </c>
      <c r="AF38" s="72">
        <f>H38-AE38-AD38-AC38</f>
        <v>46434.8</v>
      </c>
      <c r="AG38" s="63">
        <v>22673.1</v>
      </c>
      <c r="AH38" s="63">
        <v>11767</v>
      </c>
      <c r="AI38" s="63">
        <v>23270.5</v>
      </c>
      <c r="AJ38" s="72">
        <f>I38-AI38-AH38-AG38</f>
        <v>43229.000000000007</v>
      </c>
      <c r="AK38" s="63">
        <v>22420.799999999999</v>
      </c>
      <c r="AL38" s="63">
        <f>251.874+33746.816+10.15</f>
        <v>34008.840000000004</v>
      </c>
      <c r="AM38" s="63">
        <f>160.065+28080.15+121</f>
        <v>28361.215</v>
      </c>
      <c r="AN38" s="72">
        <f>J38-AM38-AL38-AK38</f>
        <v>52002.345000000016</v>
      </c>
      <c r="AO38" s="63">
        <v>28550.400000000001</v>
      </c>
      <c r="AP38" s="63">
        <v>38523.599999999999</v>
      </c>
      <c r="AQ38" s="63">
        <v>33952.400000000001</v>
      </c>
      <c r="AR38" s="72">
        <f>K38-AQ38-AP38-AO38</f>
        <v>58085.499999999993</v>
      </c>
      <c r="AS38" s="63">
        <v>32953.199999999997</v>
      </c>
      <c r="AT38" s="63">
        <v>42302</v>
      </c>
      <c r="AU38" s="63">
        <v>36578.6</v>
      </c>
      <c r="AV38" s="72">
        <f>L38-AU38-AT38-AS38</f>
        <v>63354.599999999991</v>
      </c>
      <c r="AW38" s="63">
        <v>35697.800000000003</v>
      </c>
      <c r="AX38" s="63">
        <v>46305</v>
      </c>
      <c r="AY38" s="63">
        <v>40145</v>
      </c>
      <c r="AZ38" s="72">
        <f>M38-AY38-AX38-AW38</f>
        <v>68577.2</v>
      </c>
      <c r="BA38" s="63">
        <v>39106</v>
      </c>
      <c r="BB38" s="63">
        <v>49663</v>
      </c>
      <c r="BC38" s="63">
        <v>41327</v>
      </c>
      <c r="BD38" s="72">
        <f>N38-BC38-BB38-BA38</f>
        <v>71539</v>
      </c>
      <c r="BE38" s="63">
        <v>38347</v>
      </c>
      <c r="BF38" s="63">
        <v>49877</v>
      </c>
    </row>
    <row r="39" spans="1:58" ht="13">
      <c r="A39" s="1"/>
      <c r="B39" s="1" t="s">
        <v>411</v>
      </c>
      <c r="C39" s="63">
        <v>8439.018</v>
      </c>
      <c r="D39" s="63">
        <v>9029.7459999999992</v>
      </c>
      <c r="E39" s="63">
        <v>9365.1080000000002</v>
      </c>
      <c r="F39" s="63">
        <v>10480.928</v>
      </c>
      <c r="G39" s="63">
        <v>11786.071</v>
      </c>
      <c r="H39" s="63">
        <v>13357.4</v>
      </c>
      <c r="I39" s="63">
        <v>11953.7</v>
      </c>
      <c r="J39" s="63">
        <v>11138.5</v>
      </c>
      <c r="K39" s="63">
        <v>13199.9</v>
      </c>
      <c r="L39" s="63">
        <f>16268.5</f>
        <v>16268.5</v>
      </c>
      <c r="M39" s="63">
        <v>19259</v>
      </c>
      <c r="N39" s="63">
        <v>22214</v>
      </c>
      <c r="O39" s="98">
        <f t="shared" ref="O39:O40" si="13">SUM(BC39:BF39)</f>
        <v>23348</v>
      </c>
      <c r="P39" s="98"/>
      <c r="Q39" s="78">
        <v>2137.922</v>
      </c>
      <c r="R39" s="63">
        <v>2391.73</v>
      </c>
      <c r="S39" s="63">
        <v>2235.6880000000001</v>
      </c>
      <c r="T39" s="72">
        <f>E39-SUM(Q39:S39)</f>
        <v>2599.768</v>
      </c>
      <c r="U39" s="78">
        <v>2251.7170000000001</v>
      </c>
      <c r="V39" s="63">
        <v>2670.8890000000001</v>
      </c>
      <c r="W39" s="63">
        <v>2529.2310000000002</v>
      </c>
      <c r="X39" s="122">
        <f>F39-W39-V39-U39</f>
        <v>3029.0909999999999</v>
      </c>
      <c r="Y39" s="63">
        <v>2587.596</v>
      </c>
      <c r="Z39" s="63">
        <v>2869.3980000000001</v>
      </c>
      <c r="AA39" s="63">
        <v>2889.5219999999999</v>
      </c>
      <c r="AB39" s="72">
        <f>G39-AA39-Z39-Y39</f>
        <v>3439.5549999999989</v>
      </c>
      <c r="AC39" s="63">
        <v>3155.4</v>
      </c>
      <c r="AD39" s="63">
        <v>3441.1</v>
      </c>
      <c r="AE39" s="63">
        <v>3174.9</v>
      </c>
      <c r="AF39" s="72">
        <f>H39-AE39-AD39-AC39</f>
        <v>3585.9999999999995</v>
      </c>
      <c r="AG39" s="63">
        <v>3145.7</v>
      </c>
      <c r="AH39" s="63">
        <v>2622</v>
      </c>
      <c r="AI39" s="63">
        <v>3069</v>
      </c>
      <c r="AJ39" s="72">
        <f>I39-AI39-AH39-AG39</f>
        <v>3117.0000000000009</v>
      </c>
      <c r="AK39" s="63">
        <v>2551.6999999999998</v>
      </c>
      <c r="AL39" s="63">
        <v>2767.223</v>
      </c>
      <c r="AM39" s="63">
        <v>2661.4270000000001</v>
      </c>
      <c r="AN39" s="72">
        <f>J39-AM39-AL39-AK39</f>
        <v>3158.1500000000005</v>
      </c>
      <c r="AO39" s="63">
        <v>2816</v>
      </c>
      <c r="AP39" s="63">
        <v>3158.9</v>
      </c>
      <c r="AQ39" s="63">
        <v>3157.4</v>
      </c>
      <c r="AR39" s="72">
        <f>K39-AQ39-AP39-AO39</f>
        <v>4067.6000000000004</v>
      </c>
      <c r="AS39" s="63">
        <v>3583.7</v>
      </c>
      <c r="AT39" s="63">
        <v>4002.6</v>
      </c>
      <c r="AU39" s="63">
        <v>4029.4</v>
      </c>
      <c r="AV39" s="72">
        <f>L39-AU39-AT39-AS39</f>
        <v>4652.8</v>
      </c>
      <c r="AW39" s="63">
        <v>4370.8329999999996</v>
      </c>
      <c r="AX39" s="63">
        <v>4740.183</v>
      </c>
      <c r="AY39" s="63">
        <v>4686.7489999999998</v>
      </c>
      <c r="AZ39" s="72">
        <f>M39-AY39-AX39-AW39</f>
        <v>5461.2349999999997</v>
      </c>
      <c r="BA39" s="63">
        <v>5105</v>
      </c>
      <c r="BB39" s="63">
        <v>5486</v>
      </c>
      <c r="BC39" s="63">
        <v>5422</v>
      </c>
      <c r="BD39" s="72">
        <f t="shared" ref="BD39:BD40" si="14">N39-BC39-BB39-BA39</f>
        <v>6201</v>
      </c>
      <c r="BE39" s="63">
        <v>5697</v>
      </c>
      <c r="BF39" s="63">
        <v>6028</v>
      </c>
    </row>
    <row r="40" spans="1:58" ht="13">
      <c r="A40" s="5"/>
      <c r="B40" s="1" t="s">
        <v>412</v>
      </c>
      <c r="C40" s="63">
        <v>2707.0540000000001</v>
      </c>
      <c r="D40" s="63">
        <v>3020.8310000000001</v>
      </c>
      <c r="E40" s="63">
        <v>3179.2979999999998</v>
      </c>
      <c r="F40" s="63">
        <v>3104.2130000000002</v>
      </c>
      <c r="G40" s="63">
        <v>3472.4459999999999</v>
      </c>
      <c r="H40" s="63">
        <v>3553.5</v>
      </c>
      <c r="I40" s="63">
        <v>2579.1999999999998</v>
      </c>
      <c r="J40" s="63">
        <v>3090</v>
      </c>
      <c r="K40" s="63">
        <v>3721.9</v>
      </c>
      <c r="L40" s="63">
        <v>4534.7</v>
      </c>
      <c r="M40" s="63">
        <v>4864</v>
      </c>
      <c r="N40" s="63">
        <v>5287</v>
      </c>
      <c r="O40" s="98">
        <f t="shared" si="13"/>
        <v>5454</v>
      </c>
      <c r="P40" s="98"/>
      <c r="Q40" s="78">
        <v>759.53099999999995</v>
      </c>
      <c r="R40" s="63">
        <v>737.32899999999995</v>
      </c>
      <c r="S40" s="63">
        <v>757.36099999999999</v>
      </c>
      <c r="T40" s="72">
        <f>E40-SUM(Q40:S40)</f>
        <v>925.07699999999977</v>
      </c>
      <c r="U40" s="78">
        <v>800.90200000000004</v>
      </c>
      <c r="V40" s="78">
        <v>744.71199999999999</v>
      </c>
      <c r="W40" s="63">
        <v>787.36800000000005</v>
      </c>
      <c r="X40" s="122">
        <f>F40-W40-V40-U40</f>
        <v>771.23100000000022</v>
      </c>
      <c r="Y40" s="63">
        <v>829.024</v>
      </c>
      <c r="Z40" s="78">
        <v>905.899</v>
      </c>
      <c r="AA40" s="63">
        <v>808.57500000000005</v>
      </c>
      <c r="AB40" s="72">
        <f>G40-AA40-Z40-Y40</f>
        <v>928.94800000000021</v>
      </c>
      <c r="AC40" s="63">
        <v>875.7</v>
      </c>
      <c r="AD40" s="63">
        <v>864.2</v>
      </c>
      <c r="AE40" s="63">
        <v>879.4</v>
      </c>
      <c r="AF40" s="72">
        <f>H40-AE40-AD40-AC40</f>
        <v>934.19999999999982</v>
      </c>
      <c r="AG40" s="63">
        <v>906.3</v>
      </c>
      <c r="AH40" s="63">
        <v>357.3</v>
      </c>
      <c r="AI40" s="63">
        <v>573.70000000000005</v>
      </c>
      <c r="AJ40" s="72">
        <f>I40-AI40-AH40-AG40</f>
        <v>741.89999999999986</v>
      </c>
      <c r="AK40" s="63">
        <v>613.70000000000005</v>
      </c>
      <c r="AL40" s="63">
        <v>761.78099999999995</v>
      </c>
      <c r="AM40" s="63">
        <v>806.28700000000003</v>
      </c>
      <c r="AN40" s="72">
        <f>J40-AM40-AL40-AK40</f>
        <v>908.23199999999974</v>
      </c>
      <c r="AO40" s="63">
        <v>880.3</v>
      </c>
      <c r="AP40" s="63">
        <v>877.7</v>
      </c>
      <c r="AQ40" s="63">
        <v>944.1</v>
      </c>
      <c r="AR40" s="72">
        <f>K40-AQ40-AP40-AO40</f>
        <v>1019.8000000000002</v>
      </c>
      <c r="AS40" s="63">
        <v>1032.5999999999999</v>
      </c>
      <c r="AT40" s="63">
        <v>1282.5999999999999</v>
      </c>
      <c r="AU40" s="63">
        <v>1093.8</v>
      </c>
      <c r="AV40" s="72">
        <f>L40-AU40-AT40-AS40</f>
        <v>1125.6999999999998</v>
      </c>
      <c r="AW40" s="63">
        <v>1151.76</v>
      </c>
      <c r="AX40" s="63">
        <v>1192.3109999999999</v>
      </c>
      <c r="AY40" s="63">
        <v>1223.758</v>
      </c>
      <c r="AZ40" s="72">
        <f>M40-AY40-AX40-AW40</f>
        <v>1296.1710000000005</v>
      </c>
      <c r="BA40" s="63">
        <v>1317</v>
      </c>
      <c r="BB40" s="63">
        <v>1275</v>
      </c>
      <c r="BC40" s="63">
        <v>1313</v>
      </c>
      <c r="BD40" s="72">
        <f t="shared" si="14"/>
        <v>1382</v>
      </c>
      <c r="BE40" s="63">
        <v>1374</v>
      </c>
      <c r="BF40" s="63">
        <v>1385</v>
      </c>
    </row>
    <row r="41" spans="1:58" ht="13">
      <c r="A41" s="5"/>
      <c r="B41" s="5" t="s">
        <v>413</v>
      </c>
      <c r="C41" s="84">
        <f t="shared" ref="C41:H41" si="15">SUM(C38:C40)</f>
        <v>81213.589000000007</v>
      </c>
      <c r="D41" s="84">
        <f t="shared" si="15"/>
        <v>91292.88900000001</v>
      </c>
      <c r="E41" s="84">
        <f t="shared" si="15"/>
        <v>100441.53600000001</v>
      </c>
      <c r="F41" s="84">
        <f t="shared" si="15"/>
        <v>122168.27900000001</v>
      </c>
      <c r="G41" s="84">
        <f t="shared" si="15"/>
        <v>135534.75099999999</v>
      </c>
      <c r="H41" s="84">
        <f t="shared" si="15"/>
        <v>144233.5</v>
      </c>
      <c r="I41" s="84">
        <f t="shared" ref="I41:O41" si="16">SUM(I38:I40)</f>
        <v>115472.5</v>
      </c>
      <c r="J41" s="84">
        <f t="shared" si="16"/>
        <v>151021.70000000001</v>
      </c>
      <c r="K41" s="84">
        <f t="shared" si="16"/>
        <v>176033.69999999998</v>
      </c>
      <c r="L41" s="84">
        <f t="shared" si="16"/>
        <v>195991.6</v>
      </c>
      <c r="M41" s="84">
        <f t="shared" si="16"/>
        <v>214848</v>
      </c>
      <c r="N41" s="84">
        <f t="shared" ref="N41" si="17">SUM(N38:N40)</f>
        <v>229136</v>
      </c>
      <c r="O41" s="73">
        <f t="shared" si="16"/>
        <v>229892</v>
      </c>
      <c r="P41" s="98"/>
      <c r="Q41" s="73">
        <f t="shared" ref="Q41:AI41" si="18">SUM(Q38:Q40)</f>
        <v>19084.189999999999</v>
      </c>
      <c r="R41" s="73">
        <f t="shared" si="18"/>
        <v>24284.510000000002</v>
      </c>
      <c r="S41" s="73">
        <f t="shared" si="18"/>
        <v>21767.113999999998</v>
      </c>
      <c r="T41" s="73">
        <f t="shared" si="18"/>
        <v>35305.722000000002</v>
      </c>
      <c r="U41" s="73">
        <f t="shared" si="18"/>
        <v>20651.629999999997</v>
      </c>
      <c r="V41" s="73">
        <f t="shared" si="18"/>
        <v>29902.902999999998</v>
      </c>
      <c r="W41" s="73">
        <f t="shared" si="18"/>
        <v>27067.465</v>
      </c>
      <c r="X41" s="112">
        <f t="shared" si="18"/>
        <v>44546.281000000003</v>
      </c>
      <c r="Y41" s="73">
        <f t="shared" si="18"/>
        <v>25262.394000000004</v>
      </c>
      <c r="Z41" s="73">
        <f t="shared" si="18"/>
        <v>32633.387000000002</v>
      </c>
      <c r="AA41" s="73">
        <f t="shared" si="18"/>
        <v>29244.337000000003</v>
      </c>
      <c r="AB41" s="73">
        <f t="shared" si="18"/>
        <v>48394.632999999987</v>
      </c>
      <c r="AC41" s="73">
        <f t="shared" si="18"/>
        <v>27469.300000000003</v>
      </c>
      <c r="AD41" s="73">
        <f t="shared" si="18"/>
        <v>35663.399999999994</v>
      </c>
      <c r="AE41" s="73">
        <f t="shared" si="18"/>
        <v>30145.800000000003</v>
      </c>
      <c r="AF41" s="73">
        <f t="shared" si="18"/>
        <v>50955</v>
      </c>
      <c r="AG41" s="73">
        <f t="shared" si="18"/>
        <v>26725.1</v>
      </c>
      <c r="AH41" s="73">
        <f t="shared" si="18"/>
        <v>14746.3</v>
      </c>
      <c r="AI41" s="73">
        <f t="shared" si="18"/>
        <v>26913.200000000001</v>
      </c>
      <c r="AJ41" s="73">
        <f t="shared" ref="AJ41:AO41" si="19">SUM(AJ38:AJ40)</f>
        <v>47087.900000000009</v>
      </c>
      <c r="AK41" s="73">
        <f t="shared" si="19"/>
        <v>25586.2</v>
      </c>
      <c r="AL41" s="73">
        <f t="shared" si="19"/>
        <v>37537.844000000005</v>
      </c>
      <c r="AM41" s="73">
        <f t="shared" si="19"/>
        <v>31828.929</v>
      </c>
      <c r="AN41" s="73">
        <f t="shared" si="19"/>
        <v>56068.727000000014</v>
      </c>
      <c r="AO41" s="73">
        <f t="shared" si="19"/>
        <v>32246.7</v>
      </c>
      <c r="AP41" s="73">
        <f t="shared" ref="AP41:AS41" si="20">SUM(AP38:AP40)</f>
        <v>42560.2</v>
      </c>
      <c r="AQ41" s="73">
        <f t="shared" si="20"/>
        <v>38053.9</v>
      </c>
      <c r="AR41" s="73">
        <f t="shared" si="20"/>
        <v>63172.899999999994</v>
      </c>
      <c r="AS41" s="73">
        <f t="shared" si="20"/>
        <v>37569.499999999993</v>
      </c>
      <c r="AT41" s="73">
        <f t="shared" ref="AT41:AW41" si="21">SUM(AT38:AT40)</f>
        <v>47587.199999999997</v>
      </c>
      <c r="AU41" s="73">
        <f t="shared" si="21"/>
        <v>41701.800000000003</v>
      </c>
      <c r="AV41" s="73">
        <f t="shared" si="21"/>
        <v>69133.099999999991</v>
      </c>
      <c r="AW41" s="73">
        <f t="shared" si="21"/>
        <v>41220.393000000004</v>
      </c>
      <c r="AX41" s="73">
        <f t="shared" ref="AX41:BA41" si="22">SUM(AX38:AX40)</f>
        <v>52237.493999999999</v>
      </c>
      <c r="AY41" s="73">
        <f t="shared" si="22"/>
        <v>46055.506999999998</v>
      </c>
      <c r="AZ41" s="73">
        <f t="shared" si="22"/>
        <v>75334.606</v>
      </c>
      <c r="BA41" s="73">
        <f t="shared" si="22"/>
        <v>45528</v>
      </c>
      <c r="BB41" s="73">
        <f t="shared" ref="BB41:BE41" si="23">SUM(BB38:BB40)</f>
        <v>56424</v>
      </c>
      <c r="BC41" s="73">
        <f t="shared" si="23"/>
        <v>48062</v>
      </c>
      <c r="BD41" s="73">
        <f t="shared" si="23"/>
        <v>79122</v>
      </c>
      <c r="BE41" s="73">
        <f t="shared" si="23"/>
        <v>45418</v>
      </c>
      <c r="BF41" s="73">
        <f t="shared" ref="BF41" si="24">SUM(BF38:BF40)</f>
        <v>57290</v>
      </c>
    </row>
    <row r="42" spans="1:58" ht="13">
      <c r="A42" s="1"/>
      <c r="B42" s="80" t="s">
        <v>34</v>
      </c>
      <c r="C42" s="410">
        <f>C41-Model!C7</f>
        <v>0</v>
      </c>
      <c r="D42" s="410">
        <f>D41-Model!D7</f>
        <v>0</v>
      </c>
      <c r="E42" s="410">
        <f>E41-Model!E7</f>
        <v>0</v>
      </c>
      <c r="F42" s="410">
        <f>F41-Model!F7</f>
        <v>0</v>
      </c>
      <c r="G42" s="410">
        <f>G41-Model!G7</f>
        <v>0</v>
      </c>
      <c r="H42" s="410">
        <f>H41-Model!H7</f>
        <v>-7.0000000123400241E-3</v>
      </c>
      <c r="I42" s="410">
        <f>I41-Model!I7</f>
        <v>0</v>
      </c>
      <c r="J42" s="410">
        <f>J41-Model!J7</f>
        <v>0</v>
      </c>
      <c r="K42" s="410">
        <f>K41-Model!K7</f>
        <v>-2.0000000018626451E-2</v>
      </c>
      <c r="L42" s="413">
        <f>L41-Model!L7</f>
        <v>-2.2999999986495823E-2</v>
      </c>
      <c r="M42" s="413">
        <f>M41-Model!M7</f>
        <v>0.12899999998626299</v>
      </c>
      <c r="N42" s="413">
        <f>N41-Model!N7</f>
        <v>-0.59500000000116415</v>
      </c>
      <c r="O42" s="413">
        <f>O41-Model!O7</f>
        <v>57289.118999999977</v>
      </c>
      <c r="P42" s="413"/>
      <c r="Q42" s="413">
        <f>Q41-Model!Q7</f>
        <v>0</v>
      </c>
      <c r="R42" s="413">
        <f>R41-Model!R7</f>
        <v>0</v>
      </c>
      <c r="S42" s="413">
        <f>S41-Model!S7</f>
        <v>0</v>
      </c>
      <c r="T42" s="413">
        <f>T41-Model!T7</f>
        <v>0</v>
      </c>
      <c r="U42" s="413">
        <f>U41-Model!U7</f>
        <v>0</v>
      </c>
      <c r="V42" s="413">
        <f>V41-Model!V7</f>
        <v>0</v>
      </c>
      <c r="W42" s="413">
        <f>W41-Model!W7</f>
        <v>0</v>
      </c>
      <c r="X42" s="452">
        <f>X41-Model!X7</f>
        <v>0</v>
      </c>
      <c r="Y42" s="413">
        <f>Y41-Model!Y7</f>
        <v>0</v>
      </c>
      <c r="Z42" s="413">
        <f>Z41-Model!Z7</f>
        <v>0</v>
      </c>
      <c r="AA42" s="413">
        <f>AA41-Model!AA7</f>
        <v>0</v>
      </c>
      <c r="AB42" s="413">
        <f>AB41-Model!AB7</f>
        <v>0</v>
      </c>
      <c r="AC42" s="413">
        <f>AC41-Model!AC7</f>
        <v>3.500000000349246E-2</v>
      </c>
      <c r="AD42" s="413">
        <f>AD41-Model!AD7</f>
        <v>-1.5000000006693881E-2</v>
      </c>
      <c r="AE42" s="413">
        <f>AE41-Model!AE7</f>
        <v>3.1000000002677552E-2</v>
      </c>
      <c r="AF42" s="413">
        <f>AF41-Model!AF7</f>
        <v>-5.8000000004540198E-2</v>
      </c>
      <c r="AG42" s="413">
        <f>AG41-Model!AG7</f>
        <v>2.899999999863212E-2</v>
      </c>
      <c r="AH42" s="413">
        <f>AH41-Model!AH7</f>
        <v>8.2999999998719431E-2</v>
      </c>
      <c r="AI42" s="413">
        <f>AI41-Model!AI7</f>
        <v>1.0000000002037268E-2</v>
      </c>
      <c r="AJ42" s="413">
        <f>AJ41-Model!AJ7</f>
        <v>-0.12199999998847488</v>
      </c>
      <c r="AK42" s="413">
        <f>AK41-Model!AK7</f>
        <v>-5.7000000000698492E-2</v>
      </c>
      <c r="AL42" s="413">
        <f>AL41-Model!AL7</f>
        <v>0</v>
      </c>
      <c r="AM42" s="413">
        <f>AM41-Model!AM7</f>
        <v>0</v>
      </c>
      <c r="AN42" s="413">
        <f>AN41-Model!AN7</f>
        <v>5.7000000000698492E-2</v>
      </c>
      <c r="AO42" s="413">
        <f>AO41-Model!AO7</f>
        <v>1.0000000002037268E-2</v>
      </c>
      <c r="AP42" s="413">
        <f>AP41-Model!AP7</f>
        <v>0</v>
      </c>
      <c r="AQ42" s="413">
        <f>AQ41-Model!AQ7</f>
        <v>-6.3999999998486601E-2</v>
      </c>
      <c r="AR42" s="413">
        <f>AR41-Model!AR7</f>
        <v>3.3999999999650754E-2</v>
      </c>
      <c r="AS42" s="413">
        <f>AS41-Model!AS7</f>
        <v>-1.0000000009313226E-2</v>
      </c>
      <c r="AT42" s="413">
        <f>AT41-Model!AT7</f>
        <v>6.9999999999708962E-2</v>
      </c>
      <c r="AU42" s="413">
        <f>AU41-Model!AU7</f>
        <v>4.9000000006344635E-2</v>
      </c>
      <c r="AV42" s="413">
        <f>AV41-Model!AV7</f>
        <v>-0.13199999999778811</v>
      </c>
      <c r="AW42" s="413">
        <f>AW41-Model!AW7</f>
        <v>5.0000000002910383E-2</v>
      </c>
      <c r="AX42" s="413">
        <f>AX41-Model!AX7</f>
        <v>2.9000000002270099E-2</v>
      </c>
      <c r="AY42" s="413">
        <f>AY41-Model!AY7</f>
        <v>0.1919999999954598</v>
      </c>
      <c r="AZ42" s="413">
        <f>AZ41-Model!AZ7</f>
        <v>-0.14200000002165325</v>
      </c>
      <c r="BA42" s="413">
        <f>BA41-Model!BA7</f>
        <v>0.60100000000238651</v>
      </c>
      <c r="BB42" s="413">
        <f>BB41-Model!BB7</f>
        <v>3.6999999996623956E-2</v>
      </c>
      <c r="BC42" s="413">
        <f>BC41-Model!BC7</f>
        <v>9.900000000197906E-2</v>
      </c>
      <c r="BD42" s="413">
        <f>BD41-Model!BD7</f>
        <v>-1.3320000000239816</v>
      </c>
      <c r="BE42" s="413">
        <f>BE41-Model!BE7</f>
        <v>0.35199999999895226</v>
      </c>
      <c r="BF42" s="413" t="e">
        <f>BF41-Model!#REF!</f>
        <v>#REF!</v>
      </c>
    </row>
    <row r="43" spans="1:58" ht="13">
      <c r="A43" s="1"/>
      <c r="B43" s="80"/>
      <c r="C43" s="410"/>
      <c r="D43" s="410"/>
      <c r="E43" s="410"/>
      <c r="F43" s="410"/>
      <c r="G43" s="410"/>
      <c r="H43" s="410"/>
      <c r="I43" s="410"/>
      <c r="J43" s="410"/>
      <c r="K43" s="410"/>
      <c r="L43" s="413"/>
      <c r="M43" s="413"/>
      <c r="N43" s="413"/>
      <c r="O43" s="413"/>
      <c r="P43" s="413"/>
      <c r="Q43" s="413"/>
      <c r="R43" s="413"/>
      <c r="S43" s="413"/>
      <c r="T43" s="413"/>
      <c r="U43" s="413"/>
      <c r="V43" s="413"/>
      <c r="W43" s="413"/>
      <c r="X43" s="452"/>
      <c r="Y43" s="413"/>
      <c r="Z43" s="413"/>
      <c r="AA43" s="413"/>
      <c r="AB43" s="413"/>
      <c r="AC43" s="413"/>
      <c r="AD43" s="413"/>
      <c r="AE43" s="413"/>
      <c r="AF43" s="413"/>
      <c r="AG43" s="413"/>
      <c r="AH43" s="413"/>
      <c r="AI43" s="413"/>
      <c r="AJ43" s="413"/>
      <c r="AK43" s="413"/>
      <c r="AL43" s="413"/>
      <c r="AM43" s="413"/>
      <c r="AN43" s="413"/>
      <c r="AO43" s="413"/>
      <c r="AP43" s="413"/>
      <c r="AQ43" s="413"/>
      <c r="AR43" s="413"/>
      <c r="AS43" s="413"/>
      <c r="AT43" s="413"/>
      <c r="AU43" s="413"/>
      <c r="AV43" s="413"/>
      <c r="AW43" s="413"/>
      <c r="AX43" s="413"/>
      <c r="AY43" s="413"/>
      <c r="AZ43" s="413"/>
      <c r="BA43" s="413"/>
      <c r="BB43" s="413"/>
      <c r="BC43" s="413"/>
      <c r="BD43" s="413"/>
      <c r="BE43" s="413"/>
      <c r="BF43" s="413"/>
    </row>
    <row r="44" spans="1:58" ht="13">
      <c r="A44" s="1"/>
      <c r="B44" s="453" t="s">
        <v>414</v>
      </c>
      <c r="C44" s="410"/>
      <c r="D44" s="410"/>
      <c r="E44" s="410"/>
      <c r="F44" s="410"/>
      <c r="G44" s="410"/>
      <c r="H44" s="410"/>
      <c r="I44" s="410"/>
      <c r="J44" s="410"/>
      <c r="K44" s="410"/>
      <c r="L44" s="413"/>
      <c r="M44" s="413"/>
      <c r="N44" s="413"/>
      <c r="O44" s="413"/>
      <c r="P44" s="413"/>
      <c r="Q44" s="413"/>
      <c r="R44" s="413"/>
      <c r="S44" s="413"/>
      <c r="T44" s="413"/>
      <c r="U44" s="413"/>
      <c r="V44" s="413"/>
      <c r="W44" s="413"/>
      <c r="X44" s="452"/>
      <c r="Y44" s="413"/>
      <c r="Z44" s="413"/>
      <c r="AA44" s="413"/>
      <c r="AB44" s="413"/>
      <c r="AC44" s="413"/>
      <c r="AD44" s="413"/>
      <c r="AE44" s="413"/>
      <c r="AF44" s="413"/>
      <c r="AG44" s="413"/>
      <c r="AH44" s="413"/>
      <c r="AI44" s="413"/>
      <c r="AJ44" s="413"/>
      <c r="AK44" s="413"/>
      <c r="AL44" s="413"/>
      <c r="AM44" s="413"/>
      <c r="AN44" s="413"/>
      <c r="AO44" s="413"/>
      <c r="AP44" s="413"/>
      <c r="AQ44" s="413"/>
      <c r="AR44" s="413"/>
      <c r="AS44" s="413"/>
      <c r="AT44" s="413"/>
      <c r="AU44" s="413"/>
      <c r="AV44" s="413"/>
      <c r="AW44" s="413"/>
      <c r="AX44" s="413"/>
      <c r="AY44" s="413"/>
      <c r="AZ44" s="413"/>
      <c r="BA44" s="413"/>
      <c r="BB44" s="413"/>
      <c r="BC44" s="413"/>
      <c r="BD44" s="413"/>
      <c r="BE44" s="413"/>
      <c r="BF44" s="413"/>
    </row>
    <row r="45" spans="1:58" ht="13">
      <c r="A45" s="1"/>
      <c r="B45" s="1" t="s">
        <v>415</v>
      </c>
      <c r="C45" s="102">
        <f>C38/C$41</f>
        <v>0.86275607152394163</v>
      </c>
      <c r="D45" s="102">
        <f t="shared" ref="D45:BE47" si="25">D38/D$41</f>
        <v>0.86800092392738271</v>
      </c>
      <c r="E45" s="102">
        <f t="shared" si="25"/>
        <v>0.87510738585280101</v>
      </c>
      <c r="F45" s="102">
        <f t="shared" si="25"/>
        <v>0.8887997677367625</v>
      </c>
      <c r="G45" s="102">
        <f t="shared" si="25"/>
        <v>0.88741989130153054</v>
      </c>
      <c r="H45" s="102">
        <f t="shared" si="25"/>
        <v>0.88275331320393668</v>
      </c>
      <c r="I45" s="102">
        <f t="shared" si="25"/>
        <v>0.87414406027409131</v>
      </c>
      <c r="J45" s="102">
        <f t="shared" si="25"/>
        <v>0.90578506267642334</v>
      </c>
      <c r="K45" s="102">
        <f t="shared" si="25"/>
        <v>0.90387181545351836</v>
      </c>
      <c r="L45" s="102">
        <f t="shared" si="25"/>
        <v>0.893856675490174</v>
      </c>
      <c r="M45" s="102">
        <f t="shared" si="25"/>
        <v>0.88772062109025918</v>
      </c>
      <c r="N45" s="102">
        <f t="shared" si="25"/>
        <v>0.8799795754486418</v>
      </c>
      <c r="O45" s="102">
        <f t="shared" si="25"/>
        <v>0.87471508360447514</v>
      </c>
      <c r="P45" s="413"/>
      <c r="Q45" s="102">
        <f t="shared" si="25"/>
        <v>0.84817521728718903</v>
      </c>
      <c r="R45" s="102">
        <f t="shared" si="25"/>
        <v>0.87115000467376114</v>
      </c>
      <c r="S45" s="102">
        <f t="shared" si="25"/>
        <v>0.86249674623838513</v>
      </c>
      <c r="T45" s="102">
        <f t="shared" si="25"/>
        <v>0.90016221733123047</v>
      </c>
      <c r="U45" s="102">
        <f t="shared" si="25"/>
        <v>0.85218508175867957</v>
      </c>
      <c r="V45" s="102">
        <f t="shared" si="25"/>
        <v>0.88577694279381503</v>
      </c>
      <c r="W45" s="102">
        <f t="shared" si="25"/>
        <v>0.87746916824312882</v>
      </c>
      <c r="X45" s="102">
        <f t="shared" si="25"/>
        <v>0.9146882317740509</v>
      </c>
      <c r="Y45" s="102">
        <f t="shared" si="25"/>
        <v>0.86475470218697392</v>
      </c>
      <c r="Z45" s="102">
        <f t="shared" si="25"/>
        <v>0.88431182457401669</v>
      </c>
      <c r="AA45" s="102">
        <f t="shared" si="25"/>
        <v>0.87354485075178823</v>
      </c>
      <c r="AB45" s="102">
        <f t="shared" si="25"/>
        <v>0.90973166383966586</v>
      </c>
      <c r="AC45" s="102">
        <f t="shared" si="25"/>
        <v>0.85325071989457313</v>
      </c>
      <c r="AD45" s="102">
        <f t="shared" si="25"/>
        <v>0.87927959757061869</v>
      </c>
      <c r="AE45" s="102">
        <f t="shared" si="25"/>
        <v>0.86551028667343366</v>
      </c>
      <c r="AF45" s="102">
        <f t="shared" si="25"/>
        <v>0.91129035423412819</v>
      </c>
      <c r="AG45" s="102">
        <f t="shared" si="25"/>
        <v>0.84838223243318078</v>
      </c>
      <c r="AH45" s="102">
        <f t="shared" si="25"/>
        <v>0.79796287882384065</v>
      </c>
      <c r="AI45" s="102">
        <f t="shared" si="25"/>
        <v>0.86465006019351098</v>
      </c>
      <c r="AJ45" s="102">
        <f t="shared" si="25"/>
        <v>0.9180490104676573</v>
      </c>
      <c r="AK45" s="102">
        <f t="shared" si="25"/>
        <v>0.87628487231398167</v>
      </c>
      <c r="AL45" s="102">
        <f t="shared" si="25"/>
        <v>0.90598810096818561</v>
      </c>
      <c r="AM45" s="102">
        <f t="shared" si="25"/>
        <v>0.89105150223559204</v>
      </c>
      <c r="AN45" s="102">
        <f t="shared" si="25"/>
        <v>0.92747504326253039</v>
      </c>
      <c r="AO45" s="102">
        <f t="shared" si="25"/>
        <v>0.88537431737201022</v>
      </c>
      <c r="AP45" s="102">
        <f t="shared" si="25"/>
        <v>0.90515552088571016</v>
      </c>
      <c r="AQ45" s="102">
        <f t="shared" si="25"/>
        <v>0.89221866878296308</v>
      </c>
      <c r="AR45" s="102">
        <f t="shared" si="25"/>
        <v>0.91946863291063097</v>
      </c>
      <c r="AS45" s="102">
        <f t="shared" si="25"/>
        <v>0.87712639241938284</v>
      </c>
      <c r="AT45" s="102">
        <f t="shared" si="25"/>
        <v>0.88893652074507434</v>
      </c>
      <c r="AU45" s="102">
        <f t="shared" si="25"/>
        <v>0.87714678982681793</v>
      </c>
      <c r="AV45" s="102">
        <f t="shared" si="25"/>
        <v>0.91641485771649178</v>
      </c>
      <c r="AW45" s="102">
        <f t="shared" si="25"/>
        <v>0.86602279604660726</v>
      </c>
      <c r="AX45" s="102">
        <f t="shared" si="25"/>
        <v>0.88643226261964259</v>
      </c>
      <c r="AY45" s="102">
        <f t="shared" si="25"/>
        <v>0.87166557519386334</v>
      </c>
      <c r="AZ45" s="102">
        <f t="shared" si="25"/>
        <v>0.91030143570406408</v>
      </c>
      <c r="BA45" s="102">
        <f t="shared" si="25"/>
        <v>0.85894394658232298</v>
      </c>
      <c r="BB45" s="102">
        <f t="shared" si="25"/>
        <v>0.88017510279313771</v>
      </c>
      <c r="BC45" s="102">
        <f t="shared" si="25"/>
        <v>0.85986850318338814</v>
      </c>
      <c r="BD45" s="102">
        <f t="shared" si="25"/>
        <v>0.9041606632794924</v>
      </c>
      <c r="BE45" s="102">
        <f t="shared" si="25"/>
        <v>0.84431282751332071</v>
      </c>
      <c r="BF45" s="102">
        <f t="shared" ref="BF45" si="26">BF38/BF$41</f>
        <v>0.87060569034735558</v>
      </c>
    </row>
    <row r="46" spans="1:58" ht="13">
      <c r="A46" s="1"/>
      <c r="B46" s="1" t="s">
        <v>416</v>
      </c>
      <c r="C46" s="102">
        <f>C39/C$41</f>
        <v>0.10391140329976058</v>
      </c>
      <c r="D46" s="102">
        <f t="shared" ref="D46:R46" si="27">D39/D$41</f>
        <v>9.8909631395277656E-2</v>
      </c>
      <c r="E46" s="102">
        <f t="shared" si="27"/>
        <v>9.3239394507069265E-2</v>
      </c>
      <c r="F46" s="102">
        <f t="shared" si="27"/>
        <v>8.5790911403442124E-2</v>
      </c>
      <c r="G46" s="102">
        <f t="shared" si="27"/>
        <v>8.6959771667710531E-2</v>
      </c>
      <c r="H46" s="102">
        <f t="shared" si="27"/>
        <v>9.2609553259124955E-2</v>
      </c>
      <c r="I46" s="102">
        <f t="shared" si="27"/>
        <v>0.10351988568706835</v>
      </c>
      <c r="J46" s="102">
        <f t="shared" si="27"/>
        <v>7.3754301534150385E-2</v>
      </c>
      <c r="K46" s="102">
        <f t="shared" si="27"/>
        <v>7.4985073880739883E-2</v>
      </c>
      <c r="L46" s="102">
        <f t="shared" si="27"/>
        <v>8.3006108425054945E-2</v>
      </c>
      <c r="M46" s="102">
        <f t="shared" si="27"/>
        <v>8.9640117664581478E-2</v>
      </c>
      <c r="N46" s="102">
        <f t="shared" si="27"/>
        <v>9.6946791425179812E-2</v>
      </c>
      <c r="O46" s="102">
        <f t="shared" si="27"/>
        <v>0.10156073286586745</v>
      </c>
      <c r="P46" s="413"/>
      <c r="Q46" s="102">
        <f t="shared" si="27"/>
        <v>0.11202581822964455</v>
      </c>
      <c r="R46" s="102">
        <f t="shared" si="27"/>
        <v>9.848788384035749E-2</v>
      </c>
      <c r="S46" s="102">
        <f t="shared" si="25"/>
        <v>0.10270943589490092</v>
      </c>
      <c r="T46" s="102">
        <f t="shared" si="25"/>
        <v>7.3635882591496074E-2</v>
      </c>
      <c r="U46" s="102">
        <f t="shared" si="25"/>
        <v>0.10903337896330703</v>
      </c>
      <c r="V46" s="102">
        <f t="shared" si="25"/>
        <v>8.9318719323003531E-2</v>
      </c>
      <c r="W46" s="102">
        <f t="shared" si="25"/>
        <v>9.344173900289518E-2</v>
      </c>
      <c r="X46" s="102">
        <f t="shared" si="25"/>
        <v>6.7998740456021445E-2</v>
      </c>
      <c r="Y46" s="102">
        <f t="shared" si="25"/>
        <v>0.10242877218999907</v>
      </c>
      <c r="Z46" s="102">
        <f t="shared" si="25"/>
        <v>8.7928292579620981E-2</v>
      </c>
      <c r="AA46" s="102">
        <f t="shared" si="25"/>
        <v>9.8806206480249473E-2</v>
      </c>
      <c r="AB46" s="102">
        <f t="shared" si="25"/>
        <v>7.1073067131225062E-2</v>
      </c>
      <c r="AC46" s="102">
        <f t="shared" si="25"/>
        <v>0.11487005493405364</v>
      </c>
      <c r="AD46" s="102">
        <f t="shared" si="25"/>
        <v>9.6488276496352013E-2</v>
      </c>
      <c r="AE46" s="102">
        <f t="shared" si="25"/>
        <v>0.10531815377266485</v>
      </c>
      <c r="AF46" s="102">
        <f t="shared" si="25"/>
        <v>7.0375821803552147E-2</v>
      </c>
      <c r="AG46" s="102">
        <f t="shared" si="25"/>
        <v>0.1177058271063532</v>
      </c>
      <c r="AH46" s="102">
        <f t="shared" si="25"/>
        <v>0.17780731437716579</v>
      </c>
      <c r="AI46" s="102">
        <f t="shared" si="25"/>
        <v>0.11403326248829571</v>
      </c>
      <c r="AJ46" s="102">
        <f t="shared" si="25"/>
        <v>6.6195349548397786E-2</v>
      </c>
      <c r="AK46" s="102">
        <f t="shared" si="25"/>
        <v>9.9729541706075925E-2</v>
      </c>
      <c r="AL46" s="102">
        <f t="shared" si="25"/>
        <v>7.3718218872666205E-2</v>
      </c>
      <c r="AM46" s="102">
        <f t="shared" si="25"/>
        <v>8.3616605510037745E-2</v>
      </c>
      <c r="AN46" s="102">
        <f t="shared" si="25"/>
        <v>5.6326408124086708E-2</v>
      </c>
      <c r="AO46" s="102">
        <f t="shared" si="25"/>
        <v>8.7326765219386787E-2</v>
      </c>
      <c r="AP46" s="102">
        <f t="shared" si="25"/>
        <v>7.4221925648845638E-2</v>
      </c>
      <c r="AQ46" s="102">
        <f t="shared" si="25"/>
        <v>8.2971784757935457E-2</v>
      </c>
      <c r="AR46" s="102">
        <f t="shared" si="25"/>
        <v>6.4388369063316714E-2</v>
      </c>
      <c r="AS46" s="102">
        <f t="shared" si="25"/>
        <v>9.5388546560374779E-2</v>
      </c>
      <c r="AT46" s="102">
        <f t="shared" si="25"/>
        <v>8.4110853338712932E-2</v>
      </c>
      <c r="AU46" s="102">
        <f t="shared" si="25"/>
        <v>9.6624126536504415E-2</v>
      </c>
      <c r="AV46" s="102">
        <f t="shared" si="25"/>
        <v>6.7302059360856092E-2</v>
      </c>
      <c r="AW46" s="102">
        <f t="shared" si="25"/>
        <v>0.10603569451654668</v>
      </c>
      <c r="AX46" s="102">
        <f t="shared" si="25"/>
        <v>9.0742924995597996E-2</v>
      </c>
      <c r="AY46" s="102">
        <f t="shared" si="25"/>
        <v>0.10176305300471451</v>
      </c>
      <c r="AZ46" s="102">
        <f t="shared" si="25"/>
        <v>7.2493045228112021E-2</v>
      </c>
      <c r="BA46" s="102">
        <f t="shared" si="25"/>
        <v>0.11212879985942717</v>
      </c>
      <c r="BB46" s="102">
        <f t="shared" si="25"/>
        <v>9.722812987381256E-2</v>
      </c>
      <c r="BC46" s="102">
        <f t="shared" si="25"/>
        <v>0.11281261703632807</v>
      </c>
      <c r="BD46" s="102">
        <f t="shared" si="25"/>
        <v>7.837263972093729E-2</v>
      </c>
      <c r="BE46" s="102">
        <f t="shared" si="25"/>
        <v>0.12543484961909376</v>
      </c>
      <c r="BF46" s="102">
        <f t="shared" ref="BF46" si="28">BF39/BF$41</f>
        <v>0.10521906091813581</v>
      </c>
    </row>
    <row r="47" spans="1:58" ht="13">
      <c r="A47" s="1"/>
      <c r="B47" s="1" t="s">
        <v>417</v>
      </c>
      <c r="C47" s="102">
        <f>C40/C$41</f>
        <v>3.333252517629777E-2</v>
      </c>
      <c r="D47" s="102">
        <f t="shared" si="25"/>
        <v>3.3089444677339541E-2</v>
      </c>
      <c r="E47" s="102">
        <f t="shared" si="25"/>
        <v>3.1653219640129751E-2</v>
      </c>
      <c r="F47" s="102">
        <f t="shared" si="25"/>
        <v>2.5409320859795366E-2</v>
      </c>
      <c r="G47" s="102">
        <f t="shared" si="25"/>
        <v>2.5620337030758999E-2</v>
      </c>
      <c r="H47" s="102">
        <f t="shared" si="25"/>
        <v>2.4637133536938367E-2</v>
      </c>
      <c r="I47" s="102">
        <f t="shared" si="25"/>
        <v>2.2336054038840415E-2</v>
      </c>
      <c r="J47" s="102">
        <f t="shared" si="25"/>
        <v>2.0460635789426286E-2</v>
      </c>
      <c r="K47" s="102">
        <f t="shared" si="25"/>
        <v>2.1143110665741847E-2</v>
      </c>
      <c r="L47" s="102">
        <f t="shared" si="25"/>
        <v>2.3137216084770977E-2</v>
      </c>
      <c r="M47" s="102">
        <f t="shared" si="25"/>
        <v>2.2639261245159369E-2</v>
      </c>
      <c r="N47" s="102">
        <f t="shared" si="25"/>
        <v>2.3073633126178338E-2</v>
      </c>
      <c r="O47" s="102">
        <f t="shared" si="25"/>
        <v>2.3724183529657404E-2</v>
      </c>
      <c r="P47" s="413"/>
      <c r="Q47" s="102">
        <f t="shared" si="25"/>
        <v>3.979896448316643E-2</v>
      </c>
      <c r="R47" s="102">
        <f t="shared" si="25"/>
        <v>3.0362111485881325E-2</v>
      </c>
      <c r="S47" s="102">
        <f t="shared" si="25"/>
        <v>3.4793817866713983E-2</v>
      </c>
      <c r="T47" s="102">
        <f t="shared" si="25"/>
        <v>2.6201900077273587E-2</v>
      </c>
      <c r="U47" s="102">
        <f t="shared" si="25"/>
        <v>3.8781539278013415E-2</v>
      </c>
      <c r="V47" s="102">
        <f t="shared" si="25"/>
        <v>2.4904337883181443E-2</v>
      </c>
      <c r="W47" s="102">
        <f t="shared" si="25"/>
        <v>2.9089092753976038E-2</v>
      </c>
      <c r="X47" s="102">
        <f t="shared" si="25"/>
        <v>1.7313027769927644E-2</v>
      </c>
      <c r="Y47" s="102">
        <f t="shared" si="25"/>
        <v>3.2816525623026851E-2</v>
      </c>
      <c r="Z47" s="102">
        <f t="shared" si="25"/>
        <v>2.7759882846362223E-2</v>
      </c>
      <c r="AA47" s="102">
        <f t="shared" si="25"/>
        <v>2.7648942767962221E-2</v>
      </c>
      <c r="AB47" s="102">
        <f t="shared" si="25"/>
        <v>1.9195269029109084E-2</v>
      </c>
      <c r="AC47" s="102">
        <f t="shared" si="25"/>
        <v>3.1879225171373128E-2</v>
      </c>
      <c r="AD47" s="102">
        <f t="shared" si="25"/>
        <v>2.4232125933029387E-2</v>
      </c>
      <c r="AE47" s="102">
        <f t="shared" si="25"/>
        <v>2.9171559553901369E-2</v>
      </c>
      <c r="AF47" s="102">
        <f t="shared" si="25"/>
        <v>1.8333823962319692E-2</v>
      </c>
      <c r="AG47" s="102">
        <f t="shared" si="25"/>
        <v>3.3911940460466007E-2</v>
      </c>
      <c r="AH47" s="102">
        <f t="shared" si="25"/>
        <v>2.4229806798993649E-2</v>
      </c>
      <c r="AI47" s="102">
        <f t="shared" si="25"/>
        <v>2.1316677318193304E-2</v>
      </c>
      <c r="AJ47" s="102">
        <f t="shared" si="25"/>
        <v>1.5755639983944913E-2</v>
      </c>
      <c r="AK47" s="102">
        <f t="shared" si="25"/>
        <v>2.3985585979942315E-2</v>
      </c>
      <c r="AL47" s="102">
        <f t="shared" si="25"/>
        <v>2.0293680159148189E-2</v>
      </c>
      <c r="AM47" s="102">
        <f t="shared" si="25"/>
        <v>2.5331892254370231E-2</v>
      </c>
      <c r="AN47" s="102">
        <f t="shared" si="25"/>
        <v>1.619854861338299E-2</v>
      </c>
      <c r="AO47" s="102">
        <f t="shared" si="25"/>
        <v>2.729891740860305E-2</v>
      </c>
      <c r="AP47" s="102">
        <f t="shared" si="25"/>
        <v>2.0622553465444244E-2</v>
      </c>
      <c r="AQ47" s="102">
        <f t="shared" si="25"/>
        <v>2.4809546459101432E-2</v>
      </c>
      <c r="AR47" s="102">
        <f t="shared" si="25"/>
        <v>1.6142998026052315E-2</v>
      </c>
      <c r="AS47" s="102">
        <f t="shared" si="25"/>
        <v>2.7485061020242486E-2</v>
      </c>
      <c r="AT47" s="102">
        <f t="shared" si="25"/>
        <v>2.6952625916212763E-2</v>
      </c>
      <c r="AU47" s="102">
        <f t="shared" si="25"/>
        <v>2.6229083636677551E-2</v>
      </c>
      <c r="AV47" s="102">
        <f t="shared" si="25"/>
        <v>1.6283082922652101E-2</v>
      </c>
      <c r="AW47" s="102">
        <f t="shared" si="25"/>
        <v>2.7941509436845979E-2</v>
      </c>
      <c r="AX47" s="102">
        <f t="shared" si="25"/>
        <v>2.2824812384759498E-2</v>
      </c>
      <c r="AY47" s="102">
        <f t="shared" si="25"/>
        <v>2.6571371801422144E-2</v>
      </c>
      <c r="AZ47" s="102">
        <f t="shared" si="25"/>
        <v>1.7205519067823895E-2</v>
      </c>
      <c r="BA47" s="102">
        <f t="shared" si="25"/>
        <v>2.892725355824987E-2</v>
      </c>
      <c r="BB47" s="102">
        <f t="shared" si="25"/>
        <v>2.2596767333049765E-2</v>
      </c>
      <c r="BC47" s="102">
        <f t="shared" si="25"/>
        <v>2.73188797802838E-2</v>
      </c>
      <c r="BD47" s="102">
        <f t="shared" si="25"/>
        <v>1.7466696999570284E-2</v>
      </c>
      <c r="BE47" s="102">
        <f t="shared" si="25"/>
        <v>3.025232286758554E-2</v>
      </c>
      <c r="BF47" s="102">
        <f t="shared" ref="BF47" si="29">BF40/BF$41</f>
        <v>2.4175248734508641E-2</v>
      </c>
    </row>
    <row r="48" spans="1:58" ht="13">
      <c r="A48" s="1"/>
      <c r="B48" s="5" t="s">
        <v>413</v>
      </c>
      <c r="C48" s="454">
        <f>SUM(C45:C47)</f>
        <v>1</v>
      </c>
      <c r="D48" s="454">
        <f t="shared" ref="D48:BE48" si="30">SUM(D45:D47)</f>
        <v>0.99999999999999989</v>
      </c>
      <c r="E48" s="454">
        <f t="shared" si="30"/>
        <v>1</v>
      </c>
      <c r="F48" s="454">
        <f t="shared" si="30"/>
        <v>1</v>
      </c>
      <c r="G48" s="454">
        <f t="shared" si="30"/>
        <v>1</v>
      </c>
      <c r="H48" s="454">
        <f t="shared" si="30"/>
        <v>1</v>
      </c>
      <c r="I48" s="454">
        <f t="shared" si="30"/>
        <v>1</v>
      </c>
      <c r="J48" s="454">
        <f t="shared" si="30"/>
        <v>1</v>
      </c>
      <c r="K48" s="454">
        <f t="shared" si="30"/>
        <v>1</v>
      </c>
      <c r="L48" s="454">
        <f t="shared" si="30"/>
        <v>0.99999999999999989</v>
      </c>
      <c r="M48" s="454">
        <f t="shared" si="30"/>
        <v>1</v>
      </c>
      <c r="N48" s="454">
        <f t="shared" si="30"/>
        <v>1</v>
      </c>
      <c r="O48" s="454">
        <f t="shared" si="30"/>
        <v>1</v>
      </c>
      <c r="P48" s="413"/>
      <c r="Q48" s="454">
        <f t="shared" si="30"/>
        <v>1</v>
      </c>
      <c r="R48" s="454">
        <f t="shared" si="30"/>
        <v>0.99999999999999989</v>
      </c>
      <c r="S48" s="454">
        <f t="shared" si="30"/>
        <v>1</v>
      </c>
      <c r="T48" s="454">
        <f t="shared" si="30"/>
        <v>1.0000000000000002</v>
      </c>
      <c r="U48" s="454">
        <f t="shared" si="30"/>
        <v>1</v>
      </c>
      <c r="V48" s="454">
        <f t="shared" si="30"/>
        <v>1</v>
      </c>
      <c r="W48" s="454">
        <f t="shared" si="30"/>
        <v>1</v>
      </c>
      <c r="X48" s="454">
        <f t="shared" si="30"/>
        <v>1</v>
      </c>
      <c r="Y48" s="454">
        <f t="shared" si="30"/>
        <v>0.99999999999999978</v>
      </c>
      <c r="Z48" s="454">
        <f t="shared" si="30"/>
        <v>0.99999999999999989</v>
      </c>
      <c r="AA48" s="454">
        <f t="shared" si="30"/>
        <v>1</v>
      </c>
      <c r="AB48" s="454">
        <f t="shared" si="30"/>
        <v>1</v>
      </c>
      <c r="AC48" s="454">
        <f t="shared" si="30"/>
        <v>0.99999999999999989</v>
      </c>
      <c r="AD48" s="454">
        <f t="shared" si="30"/>
        <v>1.0000000000000002</v>
      </c>
      <c r="AE48" s="454">
        <f t="shared" si="30"/>
        <v>0.99999999999999989</v>
      </c>
      <c r="AF48" s="454">
        <f t="shared" si="30"/>
        <v>1</v>
      </c>
      <c r="AG48" s="454">
        <f t="shared" si="30"/>
        <v>1</v>
      </c>
      <c r="AH48" s="454">
        <f t="shared" si="30"/>
        <v>1</v>
      </c>
      <c r="AI48" s="454">
        <f t="shared" si="30"/>
        <v>1</v>
      </c>
      <c r="AJ48" s="454">
        <f t="shared" si="30"/>
        <v>1</v>
      </c>
      <c r="AK48" s="454">
        <f t="shared" si="30"/>
        <v>0.99999999999999989</v>
      </c>
      <c r="AL48" s="454">
        <f t="shared" si="30"/>
        <v>1</v>
      </c>
      <c r="AM48" s="454">
        <f t="shared" si="30"/>
        <v>1</v>
      </c>
      <c r="AN48" s="454">
        <f t="shared" si="30"/>
        <v>1</v>
      </c>
      <c r="AO48" s="454">
        <f t="shared" si="30"/>
        <v>1</v>
      </c>
      <c r="AP48" s="454">
        <f t="shared" si="30"/>
        <v>1</v>
      </c>
      <c r="AQ48" s="454">
        <f t="shared" si="30"/>
        <v>0.99999999999999989</v>
      </c>
      <c r="AR48" s="454">
        <f t="shared" si="30"/>
        <v>1</v>
      </c>
      <c r="AS48" s="454">
        <f t="shared" si="30"/>
        <v>1</v>
      </c>
      <c r="AT48" s="454">
        <f t="shared" si="30"/>
        <v>1</v>
      </c>
      <c r="AU48" s="454">
        <f t="shared" si="30"/>
        <v>0.99999999999999989</v>
      </c>
      <c r="AV48" s="454">
        <f t="shared" si="30"/>
        <v>1</v>
      </c>
      <c r="AW48" s="454">
        <f t="shared" si="30"/>
        <v>1</v>
      </c>
      <c r="AX48" s="454">
        <f t="shared" si="30"/>
        <v>1</v>
      </c>
      <c r="AY48" s="454">
        <f t="shared" si="30"/>
        <v>1</v>
      </c>
      <c r="AZ48" s="454">
        <f t="shared" si="30"/>
        <v>1</v>
      </c>
      <c r="BA48" s="454">
        <f t="shared" si="30"/>
        <v>1</v>
      </c>
      <c r="BB48" s="454">
        <f t="shared" si="30"/>
        <v>1</v>
      </c>
      <c r="BC48" s="454">
        <f t="shared" si="30"/>
        <v>1</v>
      </c>
      <c r="BD48" s="454">
        <f t="shared" si="30"/>
        <v>1</v>
      </c>
      <c r="BE48" s="454">
        <f t="shared" si="30"/>
        <v>1</v>
      </c>
      <c r="BF48" s="454">
        <f t="shared" ref="BF48" si="31">SUM(BF45:BF47)</f>
        <v>1</v>
      </c>
    </row>
    <row r="49" spans="1:58" ht="13">
      <c r="A49" s="1"/>
      <c r="B49" s="80"/>
      <c r="C49" s="410"/>
      <c r="D49" s="410"/>
      <c r="E49" s="410"/>
      <c r="F49" s="410"/>
      <c r="G49" s="410"/>
      <c r="H49" s="410"/>
      <c r="I49" s="410"/>
      <c r="J49" s="410"/>
      <c r="K49" s="410"/>
      <c r="L49" s="413"/>
      <c r="M49" s="413"/>
      <c r="N49" s="413"/>
      <c r="O49" s="413"/>
      <c r="P49" s="413"/>
      <c r="Q49" s="413"/>
      <c r="R49" s="413"/>
      <c r="S49" s="413"/>
      <c r="T49" s="413"/>
      <c r="U49" s="413"/>
      <c r="V49" s="413"/>
      <c r="W49" s="413"/>
      <c r="X49" s="452"/>
      <c r="Y49" s="413"/>
      <c r="Z49" s="413"/>
      <c r="AA49" s="413"/>
      <c r="AB49" s="413"/>
      <c r="AC49" s="413"/>
      <c r="AD49" s="413"/>
      <c r="AE49" s="413"/>
      <c r="AF49" s="413"/>
      <c r="AG49" s="413"/>
      <c r="AH49" s="413"/>
      <c r="AI49" s="413"/>
      <c r="AJ49" s="413"/>
      <c r="AK49" s="413"/>
      <c r="AL49" s="413"/>
      <c r="AM49" s="413"/>
      <c r="AN49" s="413"/>
      <c r="AO49" s="413"/>
      <c r="AP49" s="413"/>
      <c r="AQ49" s="413"/>
      <c r="AR49" s="413"/>
      <c r="AS49" s="413"/>
      <c r="AT49" s="413"/>
      <c r="AU49" s="413"/>
      <c r="AV49" s="413"/>
      <c r="AW49" s="413"/>
      <c r="AX49" s="413"/>
      <c r="AY49" s="413"/>
      <c r="AZ49" s="413"/>
      <c r="BA49" s="413"/>
      <c r="BB49" s="413"/>
      <c r="BC49" s="413"/>
      <c r="BD49" s="413"/>
      <c r="BE49" s="413"/>
      <c r="BF49" s="413"/>
    </row>
    <row r="50" spans="1:58" ht="13">
      <c r="A50" s="1"/>
      <c r="B50" s="453" t="s">
        <v>418</v>
      </c>
      <c r="C50" s="410"/>
      <c r="D50" s="410"/>
      <c r="E50" s="410"/>
      <c r="F50" s="410"/>
      <c r="G50" s="410"/>
      <c r="H50" s="410"/>
      <c r="I50" s="410"/>
      <c r="J50" s="410"/>
      <c r="K50" s="410"/>
      <c r="L50" s="413"/>
      <c r="M50" s="413"/>
      <c r="N50" s="413"/>
      <c r="O50" s="413"/>
      <c r="P50" s="413"/>
      <c r="Q50" s="413"/>
      <c r="R50" s="413"/>
      <c r="S50" s="413"/>
      <c r="T50" s="413"/>
      <c r="U50" s="413"/>
      <c r="V50" s="413"/>
      <c r="W50" s="413"/>
      <c r="X50" s="452"/>
      <c r="Y50" s="413"/>
      <c r="Z50" s="413"/>
      <c r="AA50" s="413"/>
      <c r="AB50" s="413"/>
      <c r="AC50" s="413"/>
      <c r="AD50" s="413"/>
      <c r="AE50" s="413"/>
      <c r="AF50" s="413"/>
      <c r="AG50" s="413"/>
      <c r="AH50" s="413"/>
      <c r="AI50" s="413"/>
      <c r="AJ50" s="413"/>
      <c r="AK50" s="413"/>
      <c r="AL50" s="413"/>
      <c r="AM50" s="413"/>
      <c r="AN50" s="413"/>
      <c r="AO50" s="413"/>
      <c r="AP50" s="413"/>
      <c r="AQ50" s="413"/>
      <c r="AR50" s="413"/>
      <c r="AS50" s="413"/>
      <c r="AT50" s="413"/>
      <c r="AU50" s="413"/>
      <c r="AV50" s="413"/>
      <c r="AW50" s="413"/>
      <c r="AX50" s="413"/>
      <c r="AY50" s="413"/>
      <c r="AZ50" s="413"/>
      <c r="BA50" s="413"/>
      <c r="BB50" s="413"/>
      <c r="BC50" s="413"/>
      <c r="BD50" s="413"/>
      <c r="BE50" s="413"/>
      <c r="BF50" s="413"/>
    </row>
    <row r="51" spans="1:58" ht="13">
      <c r="A51" s="1"/>
      <c r="B51" s="1" t="s">
        <v>415</v>
      </c>
      <c r="C51" s="455"/>
      <c r="D51" s="102">
        <f>D38/C38-1</f>
        <v>0.13094220250447863</v>
      </c>
      <c r="E51" s="102">
        <f t="shared" ref="E51:N51" si="32">E38/D38-1</f>
        <v>0.10921965527709498</v>
      </c>
      <c r="F51" s="102">
        <f t="shared" si="32"/>
        <v>0.23534338379421493</v>
      </c>
      <c r="G51" s="102">
        <f t="shared" si="32"/>
        <v>0.10768795427518385</v>
      </c>
      <c r="H51" s="102">
        <f t="shared" si="32"/>
        <v>5.8584857254509792E-2</v>
      </c>
      <c r="I51" s="102">
        <f t="shared" si="32"/>
        <v>-0.20721380179166937</v>
      </c>
      <c r="J51" s="102">
        <f t="shared" si="32"/>
        <v>0.35519855438301717</v>
      </c>
      <c r="K51" s="102">
        <f t="shared" si="32"/>
        <v>0.16315650193138231</v>
      </c>
      <c r="L51" s="102">
        <f t="shared" si="32"/>
        <v>0.10103895434596666</v>
      </c>
      <c r="M51" s="102">
        <f t="shared" si="32"/>
        <v>8.8685095588520779E-2</v>
      </c>
      <c r="N51" s="102">
        <f t="shared" si="32"/>
        <v>5.7202778870100834E-2</v>
      </c>
      <c r="O51" s="455"/>
      <c r="P51" s="413"/>
      <c r="Q51" s="455"/>
      <c r="R51" s="455"/>
      <c r="S51" s="455"/>
      <c r="T51" s="455"/>
      <c r="U51" s="102">
        <f>U38/Q38-1</f>
        <v>8.7248838354512026E-2</v>
      </c>
      <c r="V51" s="102">
        <f t="shared" ref="V51:BF54" si="33">V38/R38-1</f>
        <v>0.25203201765823846</v>
      </c>
      <c r="W51" s="102">
        <f t="shared" si="33"/>
        <v>0.26508915357435936</v>
      </c>
      <c r="X51" s="102">
        <f t="shared" si="33"/>
        <v>0.28209045332512361</v>
      </c>
      <c r="Y51" s="102">
        <f t="shared" si="33"/>
        <v>0.24130691207591171</v>
      </c>
      <c r="Z51" s="102">
        <f t="shared" si="33"/>
        <v>8.9506586967596835E-2</v>
      </c>
      <c r="AA51" s="102">
        <f t="shared" si="33"/>
        <v>7.5591938416056159E-2</v>
      </c>
      <c r="AB51" s="102">
        <f t="shared" si="33"/>
        <v>8.0502976994601738E-2</v>
      </c>
      <c r="AC51" s="102">
        <f t="shared" si="33"/>
        <v>7.2894006868330585E-2</v>
      </c>
      <c r="AD51" s="102">
        <f t="shared" si="33"/>
        <v>8.6631166511712987E-2</v>
      </c>
      <c r="AE51" s="102">
        <f t="shared" si="33"/>
        <v>2.1344041236596833E-2</v>
      </c>
      <c r="AF51" s="102">
        <f t="shared" si="33"/>
        <v>5.4710009714685759E-2</v>
      </c>
      <c r="AG51" s="102">
        <f t="shared" si="33"/>
        <v>-3.2643291720354073E-2</v>
      </c>
      <c r="AH51" s="102">
        <f t="shared" si="33"/>
        <v>-0.62475405078751578</v>
      </c>
      <c r="AI51" s="102">
        <f t="shared" si="33"/>
        <v>-0.10811950251997782</v>
      </c>
      <c r="AJ51" s="102">
        <f t="shared" si="33"/>
        <v>-6.9038738187738424E-2</v>
      </c>
      <c r="AK51" s="102">
        <f t="shared" si="33"/>
        <v>-1.1127724043028975E-2</v>
      </c>
      <c r="AL51" s="102">
        <f t="shared" si="33"/>
        <v>1.8901878133763921</v>
      </c>
      <c r="AM51" s="102">
        <f t="shared" si="33"/>
        <v>0.21876259642036056</v>
      </c>
      <c r="AN51" s="102">
        <f t="shared" si="33"/>
        <v>0.20295044992944566</v>
      </c>
      <c r="AO51" s="102">
        <f t="shared" si="33"/>
        <v>0.27338899593234856</v>
      </c>
      <c r="AP51" s="102">
        <f t="shared" si="33"/>
        <v>0.13275254316230711</v>
      </c>
      <c r="AQ51" s="102">
        <f t="shared" si="33"/>
        <v>0.19714194190904721</v>
      </c>
      <c r="AR51" s="102">
        <f t="shared" si="33"/>
        <v>0.11697847472070677</v>
      </c>
      <c r="AS51" s="102">
        <f t="shared" si="33"/>
        <v>0.15421149966375247</v>
      </c>
      <c r="AT51" s="102">
        <f t="shared" si="33"/>
        <v>9.808013788950154E-2</v>
      </c>
      <c r="AU51" s="102">
        <f t="shared" si="33"/>
        <v>7.7349465722599708E-2</v>
      </c>
      <c r="AV51" s="102">
        <f t="shared" si="33"/>
        <v>9.0712828502810483E-2</v>
      </c>
      <c r="AW51" s="102">
        <f t="shared" si="33"/>
        <v>8.3287814233519164E-2</v>
      </c>
      <c r="AX51" s="102">
        <f t="shared" si="33"/>
        <v>9.4629095551037823E-2</v>
      </c>
      <c r="AY51" s="102">
        <f t="shared" si="33"/>
        <v>9.7499630931747072E-2</v>
      </c>
      <c r="AZ51" s="102">
        <f t="shared" si="33"/>
        <v>8.2434424651090854E-2</v>
      </c>
      <c r="BA51" s="102">
        <f t="shared" si="33"/>
        <v>9.5473670646370357E-2</v>
      </c>
      <c r="BB51" s="102">
        <f t="shared" si="33"/>
        <v>7.2519166396717516E-2</v>
      </c>
      <c r="BC51" s="102">
        <f t="shared" si="33"/>
        <v>2.9443268152945512E-2</v>
      </c>
      <c r="BD51" s="102">
        <f t="shared" si="33"/>
        <v>4.3189281568801308E-2</v>
      </c>
      <c r="BE51" s="102">
        <f t="shared" si="33"/>
        <v>-1.940878637549226E-2</v>
      </c>
      <c r="BF51" s="102">
        <f t="shared" si="33"/>
        <v>4.3090429494794247E-3</v>
      </c>
    </row>
    <row r="52" spans="1:58" ht="13">
      <c r="A52" s="1"/>
      <c r="B52" s="1" t="s">
        <v>416</v>
      </c>
      <c r="C52" s="455"/>
      <c r="D52" s="102">
        <f t="shared" ref="D52:N54" si="34">D39/C39-1</f>
        <v>6.9999613699129437E-2</v>
      </c>
      <c r="E52" s="102">
        <f t="shared" si="34"/>
        <v>3.7139693630363624E-2</v>
      </c>
      <c r="F52" s="102">
        <f t="shared" si="34"/>
        <v>0.11914651705031054</v>
      </c>
      <c r="G52" s="102">
        <f t="shared" si="34"/>
        <v>0.12452551911433796</v>
      </c>
      <c r="H52" s="102">
        <f t="shared" si="34"/>
        <v>0.13332084967076807</v>
      </c>
      <c r="I52" s="102">
        <f t="shared" si="34"/>
        <v>-0.10508781649123322</v>
      </c>
      <c r="J52" s="102">
        <f t="shared" si="34"/>
        <v>-6.8196458000451821E-2</v>
      </c>
      <c r="K52" s="102">
        <f t="shared" si="34"/>
        <v>0.18506980293576336</v>
      </c>
      <c r="L52" s="102">
        <f t="shared" si="34"/>
        <v>0.23247145811710701</v>
      </c>
      <c r="M52" s="102">
        <f t="shared" si="34"/>
        <v>0.18382149552816784</v>
      </c>
      <c r="N52" s="102">
        <f t="shared" si="34"/>
        <v>0.15343475777558546</v>
      </c>
      <c r="O52" s="455"/>
      <c r="P52" s="413"/>
      <c r="Q52" s="455"/>
      <c r="R52" s="455"/>
      <c r="S52" s="455"/>
      <c r="T52" s="455"/>
      <c r="U52" s="102">
        <f t="shared" ref="U52:U54" si="35">U39/Q39-1</f>
        <v>5.3226918475042684E-2</v>
      </c>
      <c r="V52" s="102">
        <f t="shared" si="33"/>
        <v>0.11671844229908901</v>
      </c>
      <c r="W52" s="102">
        <f t="shared" si="33"/>
        <v>0.13129873220234667</v>
      </c>
      <c r="X52" s="102">
        <f t="shared" si="33"/>
        <v>0.16513896624621882</v>
      </c>
      <c r="Y52" s="102">
        <f t="shared" si="33"/>
        <v>0.14916572553300433</v>
      </c>
      <c r="Z52" s="102">
        <f t="shared" si="33"/>
        <v>7.432319351347072E-2</v>
      </c>
      <c r="AA52" s="102">
        <f t="shared" si="33"/>
        <v>0.14245080817054667</v>
      </c>
      <c r="AB52" s="102">
        <f t="shared" si="33"/>
        <v>0.13550731886232503</v>
      </c>
      <c r="AC52" s="102">
        <f t="shared" si="33"/>
        <v>0.2194330181372981</v>
      </c>
      <c r="AD52" s="102">
        <f t="shared" si="33"/>
        <v>0.19924109517048505</v>
      </c>
      <c r="AE52" s="102">
        <f t="shared" si="33"/>
        <v>9.8763048005864107E-2</v>
      </c>
      <c r="AF52" s="102">
        <f t="shared" si="33"/>
        <v>4.2576728675657316E-2</v>
      </c>
      <c r="AG52" s="102">
        <f t="shared" si="33"/>
        <v>-3.0740952018761813E-3</v>
      </c>
      <c r="AH52" s="102">
        <f t="shared" si="33"/>
        <v>-0.23803434948127056</v>
      </c>
      <c r="AI52" s="102">
        <f t="shared" si="33"/>
        <v>-3.3355381271851114E-2</v>
      </c>
      <c r="AJ52" s="102">
        <f t="shared" si="33"/>
        <v>-0.13078639152258753</v>
      </c>
      <c r="AK52" s="102">
        <f t="shared" si="33"/>
        <v>-0.18882919540960674</v>
      </c>
      <c r="AL52" s="102">
        <f t="shared" si="33"/>
        <v>5.5386346300533962E-2</v>
      </c>
      <c r="AM52" s="102">
        <f t="shared" si="33"/>
        <v>-0.13280319322254797</v>
      </c>
      <c r="AN52" s="102">
        <f t="shared" si="33"/>
        <v>1.3201796599294102E-2</v>
      </c>
      <c r="AO52" s="102">
        <f t="shared" si="33"/>
        <v>0.10357800681898355</v>
      </c>
      <c r="AP52" s="102">
        <f t="shared" si="33"/>
        <v>0.14154153821358095</v>
      </c>
      <c r="AQ52" s="102">
        <f t="shared" si="33"/>
        <v>0.1863560413267018</v>
      </c>
      <c r="AR52" s="102">
        <f t="shared" si="33"/>
        <v>0.28796922248784873</v>
      </c>
      <c r="AS52" s="102">
        <f t="shared" si="33"/>
        <v>0.27262073863636349</v>
      </c>
      <c r="AT52" s="102">
        <f t="shared" si="33"/>
        <v>0.26708664408496618</v>
      </c>
      <c r="AU52" s="102">
        <f t="shared" si="33"/>
        <v>0.27617660100082353</v>
      </c>
      <c r="AV52" s="102">
        <f t="shared" si="33"/>
        <v>0.1438686203166486</v>
      </c>
      <c r="AW52" s="102">
        <f t="shared" si="33"/>
        <v>0.21964254820436979</v>
      </c>
      <c r="AX52" s="102">
        <f t="shared" si="33"/>
        <v>0.18427597061909751</v>
      </c>
      <c r="AY52" s="102">
        <f t="shared" si="33"/>
        <v>0.16313818434506366</v>
      </c>
      <c r="AZ52" s="102">
        <f t="shared" si="33"/>
        <v>0.17375236416781292</v>
      </c>
      <c r="BA52" s="102">
        <f t="shared" si="33"/>
        <v>0.16796958382990157</v>
      </c>
      <c r="BB52" s="102">
        <f t="shared" si="33"/>
        <v>0.15733928415843867</v>
      </c>
      <c r="BC52" s="102">
        <f t="shared" si="33"/>
        <v>0.15687868072303424</v>
      </c>
      <c r="BD52" s="102">
        <f t="shared" si="33"/>
        <v>0.13545745605160753</v>
      </c>
      <c r="BE52" s="102">
        <f t="shared" si="33"/>
        <v>0.11596474045053862</v>
      </c>
      <c r="BF52" s="102">
        <f t="shared" si="33"/>
        <v>9.879693765949682E-2</v>
      </c>
    </row>
    <row r="53" spans="1:58" ht="13">
      <c r="A53" s="1"/>
      <c r="B53" s="1" t="s">
        <v>417</v>
      </c>
      <c r="C53" s="455"/>
      <c r="D53" s="102">
        <f t="shared" si="34"/>
        <v>0.11591087580816639</v>
      </c>
      <c r="E53" s="102">
        <f t="shared" si="34"/>
        <v>5.2458081898656195E-2</v>
      </c>
      <c r="F53" s="102">
        <f t="shared" si="34"/>
        <v>-2.3616848750887653E-2</v>
      </c>
      <c r="G53" s="102">
        <f t="shared" si="34"/>
        <v>0.11862362537622251</v>
      </c>
      <c r="H53" s="102">
        <f t="shared" si="34"/>
        <v>2.3342047651712994E-2</v>
      </c>
      <c r="I53" s="102">
        <f t="shared" si="34"/>
        <v>-0.27418038553538771</v>
      </c>
      <c r="J53" s="102">
        <f t="shared" si="34"/>
        <v>0.19804590570719616</v>
      </c>
      <c r="K53" s="102">
        <f t="shared" si="34"/>
        <v>0.20449838187702274</v>
      </c>
      <c r="L53" s="102">
        <f t="shared" si="34"/>
        <v>0.21838308390875616</v>
      </c>
      <c r="M53" s="102">
        <f t="shared" si="34"/>
        <v>7.2617813747326121E-2</v>
      </c>
      <c r="N53" s="102">
        <f t="shared" si="34"/>
        <v>8.6965460526315708E-2</v>
      </c>
      <c r="O53" s="455"/>
      <c r="P53" s="413"/>
      <c r="Q53" s="455"/>
      <c r="R53" s="455"/>
      <c r="S53" s="455"/>
      <c r="T53" s="455"/>
      <c r="U53" s="102">
        <f t="shared" si="35"/>
        <v>5.4469139508459996E-2</v>
      </c>
      <c r="V53" s="102">
        <f t="shared" si="33"/>
        <v>1.0013169155153268E-2</v>
      </c>
      <c r="W53" s="102">
        <f t="shared" si="33"/>
        <v>3.9620471611292452E-2</v>
      </c>
      <c r="X53" s="102">
        <f t="shared" si="33"/>
        <v>-0.16630615613619149</v>
      </c>
      <c r="Y53" s="102">
        <f t="shared" si="33"/>
        <v>3.5112910193756397E-2</v>
      </c>
      <c r="Z53" s="102">
        <f t="shared" si="33"/>
        <v>0.21644206082351292</v>
      </c>
      <c r="AA53" s="102">
        <f t="shared" si="33"/>
        <v>2.6934038467400168E-2</v>
      </c>
      <c r="AB53" s="102">
        <f t="shared" si="33"/>
        <v>0.2045003377716923</v>
      </c>
      <c r="AC53" s="102">
        <f t="shared" si="33"/>
        <v>5.6302350716022742E-2</v>
      </c>
      <c r="AD53" s="102">
        <f t="shared" si="33"/>
        <v>-4.6030517750875077E-2</v>
      </c>
      <c r="AE53" s="102">
        <f t="shared" si="33"/>
        <v>8.7592369291654926E-2</v>
      </c>
      <c r="AF53" s="102">
        <f t="shared" si="33"/>
        <v>5.6537072042779357E-3</v>
      </c>
      <c r="AG53" s="102">
        <f t="shared" si="33"/>
        <v>3.4943473792394597E-2</v>
      </c>
      <c r="AH53" s="102">
        <f t="shared" si="33"/>
        <v>-0.58655403841703313</v>
      </c>
      <c r="AI53" s="102">
        <f t="shared" si="33"/>
        <v>-0.34762337957698419</v>
      </c>
      <c r="AJ53" s="102">
        <f t="shared" si="33"/>
        <v>-0.20584457289659597</v>
      </c>
      <c r="AK53" s="102">
        <f t="shared" si="33"/>
        <v>-0.32285115303983225</v>
      </c>
      <c r="AL53" s="102">
        <f t="shared" si="33"/>
        <v>1.1320486985726279</v>
      </c>
      <c r="AM53" s="102">
        <f t="shared" si="33"/>
        <v>0.40541572250305036</v>
      </c>
      <c r="AN53" s="102">
        <f t="shared" si="33"/>
        <v>0.22419733117670826</v>
      </c>
      <c r="AO53" s="102">
        <f t="shared" si="33"/>
        <v>0.434414208896855</v>
      </c>
      <c r="AP53" s="102">
        <f t="shared" si="33"/>
        <v>0.15216840535534515</v>
      </c>
      <c r="AQ53" s="102">
        <f t="shared" si="33"/>
        <v>0.17092300880455724</v>
      </c>
      <c r="AR53" s="102">
        <f t="shared" si="33"/>
        <v>0.12284086004457073</v>
      </c>
      <c r="AS53" s="102">
        <f t="shared" si="33"/>
        <v>0.17300920140861065</v>
      </c>
      <c r="AT53" s="102">
        <f t="shared" si="33"/>
        <v>0.46131935741141605</v>
      </c>
      <c r="AU53" s="102">
        <f t="shared" si="33"/>
        <v>0.15856371147124237</v>
      </c>
      <c r="AV53" s="102">
        <f t="shared" si="33"/>
        <v>0.10384389095901114</v>
      </c>
      <c r="AW53" s="102">
        <f t="shared" si="33"/>
        <v>0.11539802440441616</v>
      </c>
      <c r="AX53" s="102">
        <f t="shared" si="33"/>
        <v>-7.0395290815530975E-2</v>
      </c>
      <c r="AY53" s="102">
        <f t="shared" si="33"/>
        <v>0.11881331139147933</v>
      </c>
      <c r="AZ53" s="102">
        <f t="shared" si="33"/>
        <v>0.15143555121257957</v>
      </c>
      <c r="BA53" s="102">
        <f t="shared" si="33"/>
        <v>0.14346738903938316</v>
      </c>
      <c r="BB53" s="102">
        <f t="shared" si="33"/>
        <v>6.9351872120613001E-2</v>
      </c>
      <c r="BC53" s="102">
        <f t="shared" si="33"/>
        <v>7.2924548807852485E-2</v>
      </c>
      <c r="BD53" s="102">
        <f t="shared" si="33"/>
        <v>6.6217343236347315E-2</v>
      </c>
      <c r="BE53" s="102">
        <f t="shared" si="33"/>
        <v>4.3280182232346309E-2</v>
      </c>
      <c r="BF53" s="102">
        <f t="shared" si="33"/>
        <v>8.6274509803921484E-2</v>
      </c>
    </row>
    <row r="54" spans="1:58" ht="13">
      <c r="A54" s="1"/>
      <c r="B54" s="5" t="s">
        <v>413</v>
      </c>
      <c r="C54" s="455"/>
      <c r="D54" s="454">
        <f t="shared" si="34"/>
        <v>0.1241085405054565</v>
      </c>
      <c r="E54" s="454">
        <f t="shared" si="34"/>
        <v>0.10021204389752625</v>
      </c>
      <c r="F54" s="454">
        <f t="shared" si="34"/>
        <v>0.21631233317658549</v>
      </c>
      <c r="G54" s="454">
        <f t="shared" si="34"/>
        <v>0.10941033228437291</v>
      </c>
      <c r="H54" s="454">
        <f t="shared" si="34"/>
        <v>6.4180949430452827E-2</v>
      </c>
      <c r="I54" s="454">
        <f t="shared" si="34"/>
        <v>-0.19940582458305456</v>
      </c>
      <c r="J54" s="454">
        <f t="shared" si="34"/>
        <v>0.30785858104743569</v>
      </c>
      <c r="K54" s="454">
        <f t="shared" si="34"/>
        <v>0.16561858328968593</v>
      </c>
      <c r="L54" s="454">
        <f t="shared" si="34"/>
        <v>0.1133754502688975</v>
      </c>
      <c r="M54" s="454">
        <f t="shared" si="34"/>
        <v>9.6210245745225853E-2</v>
      </c>
      <c r="N54" s="454">
        <f t="shared" si="34"/>
        <v>6.6502829907655547E-2</v>
      </c>
      <c r="O54" s="455"/>
      <c r="P54" s="413"/>
      <c r="Q54" s="455"/>
      <c r="R54" s="455"/>
      <c r="S54" s="455"/>
      <c r="T54" s="455"/>
      <c r="U54" s="454">
        <f t="shared" si="35"/>
        <v>8.2132906872128153E-2</v>
      </c>
      <c r="V54" s="454">
        <f t="shared" si="33"/>
        <v>0.23135706670630762</v>
      </c>
      <c r="W54" s="454">
        <f t="shared" si="33"/>
        <v>0.24350269861222773</v>
      </c>
      <c r="X54" s="454">
        <f t="shared" si="33"/>
        <v>0.26172978419758697</v>
      </c>
      <c r="Y54" s="454">
        <f t="shared" si="33"/>
        <v>0.22326392638256665</v>
      </c>
      <c r="Z54" s="454">
        <f t="shared" si="33"/>
        <v>9.1311669639566606E-2</v>
      </c>
      <c r="AA54" s="454">
        <f t="shared" si="33"/>
        <v>8.042393330886366E-2</v>
      </c>
      <c r="AB54" s="454">
        <f t="shared" si="33"/>
        <v>8.6389972711750751E-2</v>
      </c>
      <c r="AC54" s="454">
        <f t="shared" si="33"/>
        <v>8.7359337361296641E-2</v>
      </c>
      <c r="AD54" s="454">
        <f t="shared" si="33"/>
        <v>9.2850092452861022E-2</v>
      </c>
      <c r="AE54" s="454">
        <f t="shared" si="33"/>
        <v>3.0825215835804443E-2</v>
      </c>
      <c r="AF54" s="454">
        <f t="shared" si="33"/>
        <v>5.2906011292616073E-2</v>
      </c>
      <c r="AG54" s="454">
        <f t="shared" si="33"/>
        <v>-2.7092062775534997E-2</v>
      </c>
      <c r="AH54" s="454">
        <f t="shared" si="33"/>
        <v>-0.58651446581088729</v>
      </c>
      <c r="AI54" s="454">
        <f t="shared" si="33"/>
        <v>-0.10723218491464825</v>
      </c>
      <c r="AJ54" s="454">
        <f t="shared" si="33"/>
        <v>-7.5892454126189612E-2</v>
      </c>
      <c r="AK54" s="454">
        <f t="shared" si="33"/>
        <v>-4.2615369072519727E-2</v>
      </c>
      <c r="AL54" s="454">
        <f t="shared" si="33"/>
        <v>1.5455771278218946</v>
      </c>
      <c r="AM54" s="454">
        <f t="shared" si="33"/>
        <v>0.18265122690724245</v>
      </c>
      <c r="AN54" s="454">
        <f t="shared" si="33"/>
        <v>0.19072472970763199</v>
      </c>
      <c r="AO54" s="454">
        <f t="shared" si="33"/>
        <v>0.26031610790191584</v>
      </c>
      <c r="AP54" s="454">
        <f t="shared" si="33"/>
        <v>0.13379447152052726</v>
      </c>
      <c r="AQ54" s="454">
        <f t="shared" si="33"/>
        <v>0.19557588632655531</v>
      </c>
      <c r="AR54" s="454">
        <f t="shared" si="33"/>
        <v>0.12670473149854078</v>
      </c>
      <c r="AS54" s="454">
        <f t="shared" si="33"/>
        <v>0.16506495238272412</v>
      </c>
      <c r="AT54" s="454">
        <f t="shared" si="33"/>
        <v>0.11811504645184945</v>
      </c>
      <c r="AU54" s="454">
        <f t="shared" si="33"/>
        <v>9.5861396597983317E-2</v>
      </c>
      <c r="AV54" s="454">
        <f t="shared" si="33"/>
        <v>9.4347417959283142E-2</v>
      </c>
      <c r="AW54" s="454">
        <f t="shared" si="33"/>
        <v>9.7177045209545287E-2</v>
      </c>
      <c r="AX54" s="454">
        <f t="shared" si="33"/>
        <v>9.7721530159370573E-2</v>
      </c>
      <c r="AY54" s="454">
        <f t="shared" si="33"/>
        <v>0.10440093712981202</v>
      </c>
      <c r="AZ54" s="454">
        <f t="shared" si="33"/>
        <v>8.9703861102713667E-2</v>
      </c>
      <c r="BA54" s="454">
        <f t="shared" si="33"/>
        <v>0.10450184208578506</v>
      </c>
      <c r="BB54" s="454">
        <f t="shared" si="33"/>
        <v>8.0143699083267794E-2</v>
      </c>
      <c r="BC54" s="454">
        <f t="shared" si="33"/>
        <v>4.3566842071676826E-2</v>
      </c>
      <c r="BD54" s="454">
        <f t="shared" si="33"/>
        <v>5.0274292268814635E-2</v>
      </c>
      <c r="BE54" s="454">
        <f t="shared" si="33"/>
        <v>-2.4160955895273784E-3</v>
      </c>
      <c r="BF54" s="454">
        <f t="shared" si="33"/>
        <v>1.534807883170286E-2</v>
      </c>
    </row>
    <row r="55" spans="1:58" ht="13">
      <c r="A55" s="1"/>
      <c r="B55" s="80"/>
      <c r="C55" s="410"/>
      <c r="D55" s="410"/>
      <c r="E55" s="410"/>
      <c r="F55" s="410"/>
      <c r="G55" s="410"/>
      <c r="H55" s="410"/>
      <c r="I55" s="410"/>
      <c r="J55" s="410"/>
      <c r="K55" s="410"/>
      <c r="L55" s="413"/>
      <c r="M55" s="413"/>
      <c r="N55" s="413"/>
      <c r="O55" s="413"/>
      <c r="P55" s="413"/>
      <c r="Q55" s="413"/>
      <c r="R55" s="413"/>
      <c r="S55" s="413"/>
      <c r="T55" s="413"/>
      <c r="U55" s="413"/>
      <c r="V55" s="413"/>
      <c r="W55" s="413"/>
      <c r="X55" s="452"/>
      <c r="Y55" s="413"/>
      <c r="Z55" s="413"/>
      <c r="AA55" s="413"/>
      <c r="AB55" s="413"/>
      <c r="AC55" s="413"/>
      <c r="AD55" s="413"/>
      <c r="AE55" s="413"/>
      <c r="AF55" s="413"/>
      <c r="AG55" s="413"/>
      <c r="AH55" s="413"/>
      <c r="AI55" s="413"/>
      <c r="AJ55" s="413"/>
      <c r="AK55" s="413"/>
      <c r="AL55" s="413"/>
      <c r="AM55" s="413"/>
      <c r="AN55" s="413"/>
      <c r="AO55" s="413"/>
      <c r="AP55" s="413"/>
      <c r="AQ55" s="413"/>
      <c r="AR55" s="413"/>
      <c r="AS55" s="413"/>
      <c r="AT55" s="413"/>
      <c r="AU55" s="413"/>
      <c r="AV55" s="413"/>
      <c r="AW55" s="413"/>
      <c r="AX55" s="413"/>
      <c r="AY55" s="413"/>
      <c r="AZ55" s="413"/>
      <c r="BA55" s="413"/>
      <c r="BB55" s="413"/>
      <c r="BC55" s="413"/>
      <c r="BD55" s="413"/>
      <c r="BE55" s="413"/>
      <c r="BF55" s="413"/>
    </row>
    <row r="56" spans="1:58" ht="13">
      <c r="A56" s="5"/>
      <c r="B56" s="461"/>
      <c r="C56" s="462"/>
      <c r="D56" s="462"/>
      <c r="E56" s="462"/>
      <c r="F56" s="462"/>
      <c r="G56" s="462"/>
      <c r="H56" s="462"/>
      <c r="I56" s="462"/>
      <c r="J56" s="462"/>
      <c r="K56" s="462"/>
      <c r="L56" s="462"/>
      <c r="M56" s="462"/>
      <c r="N56" s="462"/>
      <c r="O56" s="462"/>
      <c r="P56" s="413"/>
      <c r="Q56" s="462"/>
      <c r="R56" s="462"/>
      <c r="S56" s="462"/>
      <c r="T56" s="462"/>
      <c r="U56" s="462"/>
      <c r="V56" s="462"/>
      <c r="W56" s="462"/>
      <c r="X56" s="462"/>
      <c r="Y56" s="462"/>
      <c r="Z56" s="462"/>
      <c r="AA56" s="462"/>
      <c r="AB56" s="462"/>
      <c r="AC56" s="462"/>
      <c r="AD56" s="462"/>
      <c r="AE56" s="462"/>
      <c r="AF56" s="462"/>
      <c r="AG56" s="462"/>
      <c r="AH56" s="462"/>
      <c r="AI56" s="462"/>
      <c r="AJ56" s="462"/>
      <c r="AK56" s="462"/>
      <c r="AL56" s="462"/>
      <c r="AM56" s="462"/>
      <c r="AN56" s="462"/>
      <c r="AO56" s="462"/>
      <c r="AP56" s="462"/>
      <c r="AQ56" s="462"/>
      <c r="AR56" s="462"/>
      <c r="AS56" s="462"/>
      <c r="AT56" s="462"/>
      <c r="AU56" s="462"/>
      <c r="AV56" s="462"/>
      <c r="AW56" s="462"/>
      <c r="AX56" s="462"/>
      <c r="AY56" s="462"/>
      <c r="AZ56" s="462"/>
      <c r="BA56" s="462"/>
      <c r="BB56" s="462"/>
      <c r="BC56" s="462"/>
      <c r="BD56" s="462"/>
      <c r="BE56" s="462"/>
      <c r="BF56" s="462"/>
    </row>
    <row r="57" spans="1:58" ht="13">
      <c r="A57" s="1"/>
      <c r="B57" s="10" t="s">
        <v>419</v>
      </c>
      <c r="C57" s="33"/>
      <c r="D57" s="33"/>
      <c r="E57" s="33"/>
      <c r="F57" s="33"/>
      <c r="G57" s="33"/>
      <c r="H57" s="33"/>
      <c r="I57" s="33"/>
      <c r="J57" s="33"/>
      <c r="K57" s="33"/>
      <c r="L57" s="33"/>
      <c r="M57" s="33"/>
      <c r="N57" s="33"/>
      <c r="O57" s="33"/>
      <c r="P57" s="41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row>
    <row r="58" spans="1:58" ht="13">
      <c r="A58" s="1"/>
      <c r="B58" s="1" t="s">
        <v>420</v>
      </c>
      <c r="C58" s="63"/>
      <c r="D58" s="63"/>
      <c r="E58" s="63"/>
      <c r="F58" s="63">
        <v>106300.236</v>
      </c>
      <c r="G58" s="63">
        <v>114919.337</v>
      </c>
      <c r="H58" s="63">
        <v>116521.357</v>
      </c>
      <c r="I58" s="63">
        <v>100843.306</v>
      </c>
      <c r="J58" s="63">
        <v>118610.795</v>
      </c>
      <c r="K58" s="63">
        <v>157606.549</v>
      </c>
      <c r="L58" s="63">
        <f>172428.903</f>
        <v>172428.90299999999</v>
      </c>
      <c r="M58" s="63">
        <v>187680.13800000001</v>
      </c>
      <c r="N58" s="63">
        <v>197908.04300000001</v>
      </c>
      <c r="O58" s="98">
        <f>SUM(BC58:BF58)</f>
        <v>202983.85200000001</v>
      </c>
      <c r="P58" s="413"/>
      <c r="Q58" s="63"/>
      <c r="R58" s="63"/>
      <c r="S58" s="63"/>
      <c r="T58" s="63"/>
      <c r="U58" s="63"/>
      <c r="V58" s="63"/>
      <c r="W58" s="63"/>
      <c r="X58" s="63"/>
      <c r="Y58" s="63">
        <v>21247.703000000001</v>
      </c>
      <c r="Z58" s="63">
        <f>49127.466-Y58</f>
        <v>27879.762999999999</v>
      </c>
      <c r="AA58" s="63">
        <f>74029.526-Y58-Z58</f>
        <v>24902.059999999998</v>
      </c>
      <c r="AB58" s="63">
        <f>G58-SUM(Y58:AA58)</f>
        <v>40889.811000000002</v>
      </c>
      <c r="AC58" s="63">
        <v>22458.984</v>
      </c>
      <c r="AD58" s="63">
        <f>51292.404-AC58</f>
        <v>28833.420000000002</v>
      </c>
      <c r="AE58" s="63">
        <f>75873.262-AC58-AD58</f>
        <v>24580.858000000004</v>
      </c>
      <c r="AF58" s="63">
        <f>H58-SUM(AC58:AE58)</f>
        <v>40648.095000000001</v>
      </c>
      <c r="AG58" s="63">
        <v>21332.824000000001</v>
      </c>
      <c r="AH58" s="63">
        <f>25914.846-AG58</f>
        <v>4582.0220000000008</v>
      </c>
      <c r="AI58" s="63">
        <f>45876.873-AG58-AH58</f>
        <v>19962.026999999998</v>
      </c>
      <c r="AJ58" s="63">
        <f>I58-SUM(AG58:AI58)</f>
        <v>54966.432999999997</v>
      </c>
      <c r="AK58" s="63">
        <v>22028.346000000001</v>
      </c>
      <c r="AL58" s="63">
        <f>54509.879-AK58</f>
        <v>32481.532999999999</v>
      </c>
      <c r="AM58" s="63">
        <f>81877.807-AK58-AL58</f>
        <v>27367.927999999996</v>
      </c>
      <c r="AN58" s="63">
        <f>J58-SUM(AK58:AM58)</f>
        <v>36732.987999999998</v>
      </c>
      <c r="AO58" s="63">
        <v>28290.391</v>
      </c>
      <c r="AP58" s="63">
        <f>66467.715-AO58</f>
        <v>38177.323999999993</v>
      </c>
      <c r="AQ58" s="63">
        <f>100066.5-AP58-AO58</f>
        <v>33598.785000000003</v>
      </c>
      <c r="AR58" s="243">
        <f t="shared" ref="AR58:AR63" si="36">K58-SUM(AO58:AQ58)</f>
        <v>57540.048999999999</v>
      </c>
      <c r="AS58" s="63">
        <v>32487.219000000001</v>
      </c>
      <c r="AT58" s="63">
        <v>42028.144999999997</v>
      </c>
      <c r="AU58" s="63">
        <f>110482.581-AT58-AS58</f>
        <v>35967.217000000019</v>
      </c>
      <c r="AV58" s="243">
        <f>L58-SUM(AS58:AU58)</f>
        <v>61946.321999999971</v>
      </c>
      <c r="AW58" s="63">
        <v>35155.656999999999</v>
      </c>
      <c r="AX58" s="63">
        <v>45504.68</v>
      </c>
      <c r="AY58" s="63">
        <v>39472.800000000003</v>
      </c>
      <c r="AZ58" s="262">
        <f>M58-SUM(AW58:AY58)</f>
        <v>67547.001000000004</v>
      </c>
      <c r="BA58" s="63">
        <v>38456.902000000002</v>
      </c>
      <c r="BB58" s="63">
        <v>43084</v>
      </c>
      <c r="BC58" s="63">
        <v>40629.722999999998</v>
      </c>
      <c r="BD58" s="262">
        <f>N58-SUM(BA58:BC58)</f>
        <v>75737.418000000005</v>
      </c>
      <c r="BE58" s="63">
        <v>37534.618000000002</v>
      </c>
      <c r="BF58" s="63">
        <v>49082.093000000001</v>
      </c>
    </row>
    <row r="59" spans="1:58" ht="13">
      <c r="A59" s="1"/>
      <c r="B59" s="1" t="s">
        <v>421</v>
      </c>
      <c r="C59" s="63"/>
      <c r="D59" s="63"/>
      <c r="E59" s="63"/>
      <c r="F59" s="63">
        <v>0</v>
      </c>
      <c r="G59" s="63">
        <v>4.915</v>
      </c>
      <c r="H59" s="63">
        <v>6028</v>
      </c>
      <c r="I59" s="137"/>
      <c r="J59" s="137"/>
      <c r="K59" s="137"/>
      <c r="L59" s="425"/>
      <c r="M59" s="425"/>
      <c r="N59" s="425"/>
      <c r="O59" s="425"/>
      <c r="P59" s="413"/>
      <c r="Q59" s="425"/>
      <c r="R59" s="425"/>
      <c r="S59" s="425"/>
      <c r="T59" s="425"/>
      <c r="U59" s="425"/>
      <c r="V59" s="425"/>
      <c r="W59" s="425"/>
      <c r="X59" s="425"/>
      <c r="Y59" s="425">
        <v>0</v>
      </c>
      <c r="Z59" s="425">
        <v>0</v>
      </c>
      <c r="AA59" s="425">
        <v>0</v>
      </c>
      <c r="AB59" s="425">
        <f>G59-SUM(Y59:AA59)</f>
        <v>4.915</v>
      </c>
      <c r="AC59" s="425">
        <v>764</v>
      </c>
      <c r="AD59" s="425">
        <f>2561-AC59</f>
        <v>1797</v>
      </c>
      <c r="AE59" s="425">
        <f>3528-AC59-AD59</f>
        <v>967</v>
      </c>
      <c r="AF59" s="425">
        <f>H59-SUM(AC59:AE59)</f>
        <v>2500</v>
      </c>
      <c r="AG59" s="425">
        <v>1032</v>
      </c>
      <c r="AH59" s="425">
        <f>10423-AG59</f>
        <v>9391</v>
      </c>
      <c r="AI59" s="425">
        <f>13784-AG59-AH59</f>
        <v>3361</v>
      </c>
      <c r="AJ59" s="425">
        <f>I59-SUM(AG59:AI59)</f>
        <v>-13784</v>
      </c>
      <c r="AK59" s="425"/>
      <c r="AL59" s="425"/>
      <c r="AM59" s="425"/>
      <c r="AN59" s="425">
        <f>J59-SUM(AK59:AM59)</f>
        <v>0</v>
      </c>
      <c r="AO59" s="425"/>
      <c r="AP59" s="425"/>
      <c r="AQ59" s="425"/>
      <c r="AR59" s="426">
        <f t="shared" si="36"/>
        <v>0</v>
      </c>
      <c r="AS59" s="425"/>
      <c r="AT59" s="425"/>
      <c r="AU59" s="425"/>
      <c r="AV59" s="425"/>
      <c r="AW59" s="425"/>
      <c r="AX59" s="425"/>
      <c r="AY59" s="425"/>
      <c r="AZ59" s="427"/>
      <c r="BA59" s="425"/>
      <c r="BB59" s="425"/>
      <c r="BC59" s="425"/>
      <c r="BD59" s="427"/>
      <c r="BE59" s="425"/>
      <c r="BF59" s="425"/>
    </row>
    <row r="60" spans="1:58" ht="13">
      <c r="A60" s="1"/>
      <c r="B60" s="1" t="s">
        <v>422</v>
      </c>
      <c r="C60" s="63"/>
      <c r="D60" s="63"/>
      <c r="E60" s="63"/>
      <c r="F60" s="63">
        <v>12763.83</v>
      </c>
      <c r="G60" s="63">
        <v>17138.053</v>
      </c>
      <c r="H60" s="63">
        <v>18130.695</v>
      </c>
      <c r="I60" s="63">
        <v>12050.066000000001</v>
      </c>
      <c r="J60" s="63">
        <v>18182.378000000001</v>
      </c>
      <c r="K60" s="63">
        <v>1134.99</v>
      </c>
      <c r="L60" s="63">
        <f>1580.198</f>
        <v>1580.1980000000001</v>
      </c>
      <c r="M60" s="63">
        <v>2009.7070000000001</v>
      </c>
      <c r="N60" s="63">
        <v>2222.2420000000002</v>
      </c>
      <c r="O60" s="98">
        <f t="shared" ref="O60:O63" si="37">SUM(BC60:BF60)</f>
        <v>-2857.7219999999993</v>
      </c>
      <c r="P60" s="413"/>
      <c r="Q60" s="63"/>
      <c r="R60" s="63"/>
      <c r="S60" s="63"/>
      <c r="T60" s="63"/>
      <c r="U60" s="63"/>
      <c r="V60" s="63"/>
      <c r="W60" s="63"/>
      <c r="X60" s="63"/>
      <c r="Y60" s="63">
        <v>3185.6669999999999</v>
      </c>
      <c r="Z60" s="63">
        <f>7033.392-Y60</f>
        <v>3847.7249999999999</v>
      </c>
      <c r="AA60" s="63">
        <f>10567.094-Y60-Z60</f>
        <v>3533.7019999999998</v>
      </c>
      <c r="AB60" s="63">
        <f>G60-SUM(Y60:AA60)</f>
        <v>6570.9590000000007</v>
      </c>
      <c r="AC60" s="63">
        <v>3370.6120000000001</v>
      </c>
      <c r="AD60" s="63">
        <f>7539.393-AC60</f>
        <v>4168.7809999999999</v>
      </c>
      <c r="AE60" s="63">
        <f>11257.907-AC60-AD60</f>
        <v>3718.5139999999992</v>
      </c>
      <c r="AF60" s="63">
        <f>H60-SUM(AC60:AE60)</f>
        <v>6872.7880000000005</v>
      </c>
      <c r="AG60" s="63">
        <v>3453.9470000000001</v>
      </c>
      <c r="AH60" s="63">
        <f>3869.889-AG60</f>
        <v>415.94200000000001</v>
      </c>
      <c r="AI60" s="63">
        <f>6886.33-AG60-AH60</f>
        <v>3016.4409999999998</v>
      </c>
      <c r="AJ60" s="63">
        <f>I60-SUM(AG60:AI60)</f>
        <v>5163.7360000000008</v>
      </c>
      <c r="AK60" s="63">
        <v>2944.201</v>
      </c>
      <c r="AL60" s="63">
        <f>7238.731-AK60</f>
        <v>4294.53</v>
      </c>
      <c r="AM60" s="63">
        <f>10893.445-AK60-AL60</f>
        <v>3654.7139999999999</v>
      </c>
      <c r="AN60" s="63">
        <f>J60-SUM(AK60:AM60)</f>
        <v>7288.9330000000009</v>
      </c>
      <c r="AO60" s="63">
        <v>192.273</v>
      </c>
      <c r="AP60" s="63">
        <f>495.989-AO60</f>
        <v>303.71600000000001</v>
      </c>
      <c r="AQ60" s="63">
        <f>727.406-AP60-AO60</f>
        <v>231.41699999999994</v>
      </c>
      <c r="AR60" s="243">
        <f t="shared" si="36"/>
        <v>407.58400000000006</v>
      </c>
      <c r="AS60" s="63">
        <v>258.12400000000002</v>
      </c>
      <c r="AT60" s="63">
        <v>102.979</v>
      </c>
      <c r="AU60" s="63">
        <f>626.756-AT60-AS60</f>
        <v>265.65299999999991</v>
      </c>
      <c r="AV60" s="243">
        <f>L60-SUM(AS60:AU60)</f>
        <v>953.44200000000023</v>
      </c>
      <c r="AW60" s="63">
        <v>355.77</v>
      </c>
      <c r="AX60" s="63">
        <v>525.04399999999998</v>
      </c>
      <c r="AY60" s="63">
        <v>400.62299999999999</v>
      </c>
      <c r="AZ60" s="262">
        <f t="shared" ref="AZ60:AZ63" si="38">M60-SUM(AW60:AY60)</f>
        <v>728.27000000000021</v>
      </c>
      <c r="BA60" s="63">
        <v>391.43799999999999</v>
      </c>
      <c r="BB60" s="63">
        <v>5769</v>
      </c>
      <c r="BC60" s="63">
        <v>438.10500000000002</v>
      </c>
      <c r="BD60" s="262">
        <f t="shared" ref="BD60:BD63" si="39">N60-SUM(BA60:BC60)</f>
        <v>-4376.3009999999995</v>
      </c>
      <c r="BE60" s="63">
        <v>470.98899999999998</v>
      </c>
      <c r="BF60" s="63">
        <v>609.48500000000001</v>
      </c>
    </row>
    <row r="61" spans="1:58" ht="13">
      <c r="A61" s="1"/>
      <c r="B61" s="1" t="s">
        <v>423</v>
      </c>
      <c r="C61" s="63"/>
      <c r="D61" s="63"/>
      <c r="E61" s="63"/>
      <c r="F61" s="63"/>
      <c r="G61" s="63"/>
      <c r="H61" s="63"/>
      <c r="I61" s="63"/>
      <c r="J61" s="63">
        <v>11138.534</v>
      </c>
      <c r="K61" s="63">
        <v>13199.946</v>
      </c>
      <c r="L61" s="63">
        <f>16268.496</f>
        <v>16268.495999999999</v>
      </c>
      <c r="M61" s="63">
        <v>19258.877</v>
      </c>
      <c r="N61" s="63">
        <v>22214.494999999999</v>
      </c>
      <c r="O61" s="98">
        <f t="shared" si="37"/>
        <v>23348.497000000003</v>
      </c>
      <c r="P61" s="6"/>
      <c r="Q61" s="63"/>
      <c r="R61" s="63"/>
      <c r="S61" s="63"/>
      <c r="T61" s="63"/>
      <c r="U61" s="63"/>
      <c r="V61" s="63"/>
      <c r="W61" s="63"/>
      <c r="X61" s="63"/>
      <c r="Y61" s="63"/>
      <c r="Z61" s="63"/>
      <c r="AA61" s="63"/>
      <c r="AB61" s="63"/>
      <c r="AC61" s="63"/>
      <c r="AD61" s="63"/>
      <c r="AE61" s="63"/>
      <c r="AF61" s="63"/>
      <c r="AG61" s="63"/>
      <c r="AH61" s="63"/>
      <c r="AI61" s="63"/>
      <c r="AJ61" s="63"/>
      <c r="AK61" s="63"/>
      <c r="AL61" s="63"/>
      <c r="AM61" s="63"/>
      <c r="AN61" s="63">
        <f>J61-SUM(AK61:AM61)</f>
        <v>11138.534</v>
      </c>
      <c r="AO61" s="63">
        <v>2816.0430000000001</v>
      </c>
      <c r="AP61" s="63">
        <f>5974.972-AO61</f>
        <v>3158.9289999999996</v>
      </c>
      <c r="AQ61" s="63">
        <f>9132.392-AP61-AO61</f>
        <v>3157.4199999999996</v>
      </c>
      <c r="AR61" s="243">
        <f t="shared" si="36"/>
        <v>4067.5540000000001</v>
      </c>
      <c r="AS61" s="63">
        <v>3583.7269999999999</v>
      </c>
      <c r="AT61" s="63">
        <v>4002.5630000000001</v>
      </c>
      <c r="AU61" s="63">
        <f>11615.692-AT61-AS61</f>
        <v>4029.4019999999991</v>
      </c>
      <c r="AV61" s="243">
        <f>L61-SUM(AS61:AU61)</f>
        <v>4652.8040000000001</v>
      </c>
      <c r="AW61" s="63">
        <v>4370.8329999999996</v>
      </c>
      <c r="AX61" s="63">
        <v>4740.183</v>
      </c>
      <c r="AY61" s="63">
        <v>4686.7489999999998</v>
      </c>
      <c r="AZ61" s="262">
        <f t="shared" si="38"/>
        <v>5461.112000000001</v>
      </c>
      <c r="BA61" s="63">
        <v>5104.9440000000004</v>
      </c>
      <c r="BB61" s="63">
        <v>5486</v>
      </c>
      <c r="BC61" s="63">
        <v>5421.6859999999997</v>
      </c>
      <c r="BD61" s="262">
        <f t="shared" si="39"/>
        <v>6201.8649999999998</v>
      </c>
      <c r="BE61" s="63">
        <v>5696.5969999999998</v>
      </c>
      <c r="BF61" s="63">
        <v>6028.3490000000002</v>
      </c>
    </row>
    <row r="62" spans="1:58" ht="13">
      <c r="A62" s="5"/>
      <c r="B62" s="1" t="s">
        <v>424</v>
      </c>
      <c r="C62" s="63"/>
      <c r="D62" s="63"/>
      <c r="E62" s="63"/>
      <c r="F62" s="63">
        <v>3104.2130000000002</v>
      </c>
      <c r="G62" s="63">
        <v>3472.4459999999999</v>
      </c>
      <c r="H62" s="63">
        <v>3553.4549999999999</v>
      </c>
      <c r="I62" s="63">
        <v>2579.1750000000002</v>
      </c>
      <c r="J62" s="63">
        <v>3090.038</v>
      </c>
      <c r="K62" s="63">
        <v>3721.8739999999998</v>
      </c>
      <c r="L62" s="63">
        <v>4534.6840000000002</v>
      </c>
      <c r="M62" s="63">
        <v>4863.7060000000001</v>
      </c>
      <c r="N62" s="63">
        <v>5286.8509999999997</v>
      </c>
      <c r="O62" s="98">
        <f t="shared" si="37"/>
        <v>5454.4929999999995</v>
      </c>
      <c r="P62" s="6"/>
      <c r="Q62" s="63"/>
      <c r="R62" s="63"/>
      <c r="S62" s="63"/>
      <c r="T62" s="63"/>
      <c r="U62" s="63"/>
      <c r="V62" s="63"/>
      <c r="W62" s="63"/>
      <c r="X62" s="63"/>
      <c r="Y62" s="63">
        <v>829.024</v>
      </c>
      <c r="Z62" s="63">
        <f>1734.923-Y62</f>
        <v>905.899</v>
      </c>
      <c r="AA62" s="63">
        <f>2543.498-Y62-Z62</f>
        <v>808.57500000000016</v>
      </c>
      <c r="AB62" s="63">
        <f>G62-SUM(Y62:AA62)</f>
        <v>928.94799999999987</v>
      </c>
      <c r="AC62" s="63">
        <v>875.66899999999998</v>
      </c>
      <c r="AD62" s="63">
        <f>1739.883-AC62</f>
        <v>864.21400000000006</v>
      </c>
      <c r="AE62" s="63">
        <f>2619.28-AC62-AD62</f>
        <v>879.39700000000028</v>
      </c>
      <c r="AF62" s="63">
        <f>H62-SUM(AC62:AE62)</f>
        <v>934.17499999999973</v>
      </c>
      <c r="AG62" s="63">
        <v>906.3</v>
      </c>
      <c r="AH62" s="63">
        <f>1263.553-AG62</f>
        <v>357.25300000000016</v>
      </c>
      <c r="AI62" s="63">
        <f>1837.227-AG62-AH62</f>
        <v>573.67399999999998</v>
      </c>
      <c r="AJ62" s="63">
        <f>I62-SUM(AG62:AI62)</f>
        <v>741.94800000000009</v>
      </c>
      <c r="AK62" s="63">
        <v>613.71</v>
      </c>
      <c r="AL62" s="63">
        <f>1375.491-AK62</f>
        <v>761.78099999999995</v>
      </c>
      <c r="AM62" s="63">
        <f>2181.778-AK62-AL62</f>
        <v>806.28699999999981</v>
      </c>
      <c r="AN62" s="63">
        <f>J62-SUM(AK62:AM62)</f>
        <v>908.26000000000022</v>
      </c>
      <c r="AO62" s="63">
        <v>880.28300000000002</v>
      </c>
      <c r="AP62" s="63">
        <f>1757.984-AO62</f>
        <v>877.70099999999991</v>
      </c>
      <c r="AQ62" s="63">
        <f>2702.133-AP62-AO62</f>
        <v>944.14899999999977</v>
      </c>
      <c r="AR62" s="243">
        <f t="shared" si="36"/>
        <v>1019.741</v>
      </c>
      <c r="AS62" s="63">
        <v>1032.614</v>
      </c>
      <c r="AT62" s="63">
        <v>1282.5889999999999</v>
      </c>
      <c r="AU62" s="63">
        <f>3408.985-AT62-AS62</f>
        <v>1093.7820000000002</v>
      </c>
      <c r="AV62" s="243">
        <f>L62-SUM(AS62:AU62)</f>
        <v>1125.6990000000001</v>
      </c>
      <c r="AW62" s="63">
        <v>1151.76</v>
      </c>
      <c r="AX62" s="63">
        <v>1192.3109999999999</v>
      </c>
      <c r="AY62" s="63">
        <v>1223.758</v>
      </c>
      <c r="AZ62" s="262">
        <f t="shared" si="38"/>
        <v>1295.8770000000004</v>
      </c>
      <c r="BA62" s="63">
        <v>1316.7550000000001</v>
      </c>
      <c r="BB62" s="63">
        <v>1275</v>
      </c>
      <c r="BC62" s="63">
        <v>1312.8119999999999</v>
      </c>
      <c r="BD62" s="262">
        <f t="shared" si="39"/>
        <v>1382.2839999999997</v>
      </c>
      <c r="BE62" s="63">
        <v>1374.3620000000001</v>
      </c>
      <c r="BF62" s="63">
        <v>1385.0350000000001</v>
      </c>
    </row>
    <row r="63" spans="1:58" ht="13">
      <c r="A63" s="5"/>
      <c r="B63" s="1" t="s">
        <v>425</v>
      </c>
      <c r="C63" s="63"/>
      <c r="D63" s="63"/>
      <c r="E63" s="63"/>
      <c r="F63" s="63"/>
      <c r="G63" s="63"/>
      <c r="H63" s="63"/>
      <c r="I63" s="63"/>
      <c r="J63" s="63"/>
      <c r="K63" s="63">
        <v>370.36099999999999</v>
      </c>
      <c r="L63" s="63">
        <f>1179.342</f>
        <v>1179.3420000000001</v>
      </c>
      <c r="M63" s="63">
        <v>1035.443</v>
      </c>
      <c r="N63" s="63">
        <v>1504.9639999999999</v>
      </c>
      <c r="O63" s="98">
        <f t="shared" si="37"/>
        <v>963.96799999999973</v>
      </c>
      <c r="P63" s="6"/>
      <c r="Q63" s="63"/>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v>67.7</v>
      </c>
      <c r="AP63" s="63">
        <f>110.279-AO63</f>
        <v>42.578999999999994</v>
      </c>
      <c r="AQ63" s="63">
        <f>232.472-AP63-AO63</f>
        <v>122.19300000000003</v>
      </c>
      <c r="AR63" s="243">
        <f t="shared" si="36"/>
        <v>137.88899999999995</v>
      </c>
      <c r="AS63" s="63">
        <v>207.82599999999999</v>
      </c>
      <c r="AT63" s="63">
        <v>170.85400000000001</v>
      </c>
      <c r="AU63" s="63">
        <f>724.377-AT63-AS63</f>
        <v>345.69699999999989</v>
      </c>
      <c r="AV63" s="243">
        <f>L63-SUM(AS63:AU63)</f>
        <v>454.96500000000015</v>
      </c>
      <c r="AW63" s="63">
        <v>186.32300000000001</v>
      </c>
      <c r="AX63" s="63">
        <v>275.24700000000001</v>
      </c>
      <c r="AY63" s="63">
        <v>271.38499999999999</v>
      </c>
      <c r="AZ63" s="262">
        <f t="shared" si="38"/>
        <v>302.48799999999994</v>
      </c>
      <c r="BA63" s="63">
        <v>257.36</v>
      </c>
      <c r="BB63" s="63">
        <v>810</v>
      </c>
      <c r="BC63" s="63">
        <v>259.57499999999999</v>
      </c>
      <c r="BD63" s="262">
        <f t="shared" si="39"/>
        <v>178.02899999999977</v>
      </c>
      <c r="BE63" s="63">
        <v>341.08199999999999</v>
      </c>
      <c r="BF63" s="63">
        <v>185.28200000000001</v>
      </c>
    </row>
    <row r="64" spans="1:58" ht="13">
      <c r="A64" s="5"/>
      <c r="B64" s="5" t="s">
        <v>413</v>
      </c>
      <c r="C64" s="73"/>
      <c r="D64" s="73"/>
      <c r="E64" s="73"/>
      <c r="F64" s="73">
        <f>SUM(F58:F62)</f>
        <v>122168.27900000001</v>
      </c>
      <c r="G64" s="73">
        <f>SUM(G58:G62)</f>
        <v>135534.75099999999</v>
      </c>
      <c r="H64" s="73">
        <f>SUM(H58:H62)</f>
        <v>144233.50699999998</v>
      </c>
      <c r="I64" s="73">
        <f>SUM(I58:I62)</f>
        <v>115472.54700000001</v>
      </c>
      <c r="J64" s="73">
        <f>SUM(J58:J62)</f>
        <v>151021.745</v>
      </c>
      <c r="K64" s="73">
        <f>SUM(K58:K63)</f>
        <v>176033.72</v>
      </c>
      <c r="L64" s="73">
        <f>SUM(L58:L63)</f>
        <v>195991.62300000002</v>
      </c>
      <c r="M64" s="73">
        <f>SUM(M58:M63)</f>
        <v>214847.87100000001</v>
      </c>
      <c r="N64" s="73">
        <f>SUM(N58:N63)</f>
        <v>229136.595</v>
      </c>
      <c r="O64" s="73">
        <f>SUM(O58:O63)</f>
        <v>229893.08799999999</v>
      </c>
      <c r="P64" s="79"/>
      <c r="Q64" s="73"/>
      <c r="R64" s="73"/>
      <c r="S64" s="73"/>
      <c r="T64" s="73"/>
      <c r="U64" s="73"/>
      <c r="V64" s="73"/>
      <c r="W64" s="73"/>
      <c r="X64" s="73"/>
      <c r="Y64" s="73">
        <f t="shared" ref="Y64:AN64" si="40">SUM(Y58:Y62)</f>
        <v>25262.394000000004</v>
      </c>
      <c r="Z64" s="73">
        <f t="shared" si="40"/>
        <v>32633.386999999999</v>
      </c>
      <c r="AA64" s="73">
        <f t="shared" si="40"/>
        <v>29244.337</v>
      </c>
      <c r="AB64" s="73">
        <f t="shared" si="40"/>
        <v>48394.633000000002</v>
      </c>
      <c r="AC64" s="73">
        <f t="shared" si="40"/>
        <v>27469.265000000003</v>
      </c>
      <c r="AD64" s="73">
        <f t="shared" si="40"/>
        <v>35663.415000000001</v>
      </c>
      <c r="AE64" s="73">
        <f t="shared" si="40"/>
        <v>30145.769000000004</v>
      </c>
      <c r="AF64" s="73">
        <f t="shared" si="40"/>
        <v>50955.058000000005</v>
      </c>
      <c r="AG64" s="73">
        <f t="shared" si="40"/>
        <v>26725.071</v>
      </c>
      <c r="AH64" s="73">
        <f t="shared" si="40"/>
        <v>14746.217000000001</v>
      </c>
      <c r="AI64" s="73">
        <f t="shared" si="40"/>
        <v>26913.141999999996</v>
      </c>
      <c r="AJ64" s="73">
        <f t="shared" si="40"/>
        <v>47088.116999999991</v>
      </c>
      <c r="AK64" s="73">
        <f t="shared" si="40"/>
        <v>25586.257000000001</v>
      </c>
      <c r="AL64" s="73">
        <f t="shared" si="40"/>
        <v>37537.844000000005</v>
      </c>
      <c r="AM64" s="73">
        <f t="shared" si="40"/>
        <v>31828.928999999996</v>
      </c>
      <c r="AN64" s="73">
        <f t="shared" si="40"/>
        <v>56068.715000000004</v>
      </c>
      <c r="AO64" s="191">
        <f t="shared" ref="AO64:BC64" si="41">SUM(AO58:AO63)</f>
        <v>32246.690000000002</v>
      </c>
      <c r="AP64" s="191">
        <f t="shared" si="41"/>
        <v>42560.248999999989</v>
      </c>
      <c r="AQ64" s="191">
        <f t="shared" si="41"/>
        <v>38053.964</v>
      </c>
      <c r="AR64" s="191">
        <f t="shared" si="41"/>
        <v>63172.81700000001</v>
      </c>
      <c r="AS64" s="191">
        <f t="shared" si="41"/>
        <v>37569.51</v>
      </c>
      <c r="AT64" s="191">
        <f t="shared" si="41"/>
        <v>47587.13</v>
      </c>
      <c r="AU64" s="191">
        <f t="shared" si="41"/>
        <v>41701.751000000018</v>
      </c>
      <c r="AV64" s="191">
        <f t="shared" si="41"/>
        <v>69133.23199999996</v>
      </c>
      <c r="AW64" s="191">
        <f t="shared" si="41"/>
        <v>41220.342999999993</v>
      </c>
      <c r="AX64" s="191">
        <f t="shared" si="41"/>
        <v>52237.465000000004</v>
      </c>
      <c r="AY64" s="191">
        <f t="shared" si="41"/>
        <v>46055.31500000001</v>
      </c>
      <c r="AZ64" s="191">
        <f t="shared" si="41"/>
        <v>75334.748000000007</v>
      </c>
      <c r="BA64" s="191">
        <f t="shared" si="41"/>
        <v>45527.399000000005</v>
      </c>
      <c r="BB64" s="191">
        <f t="shared" si="41"/>
        <v>56424</v>
      </c>
      <c r="BC64" s="191">
        <f t="shared" si="41"/>
        <v>48061.900999999998</v>
      </c>
      <c r="BD64" s="191">
        <f t="shared" ref="BD64:BF64" si="42">SUM(BD58:BD63)</f>
        <v>79123.294999999998</v>
      </c>
      <c r="BE64" s="191">
        <f t="shared" si="42"/>
        <v>45417.648000000008</v>
      </c>
      <c r="BF64" s="191">
        <f t="shared" si="42"/>
        <v>57290.244000000006</v>
      </c>
    </row>
    <row r="65" spans="2:58">
      <c r="B65" s="80" t="s">
        <v>34</v>
      </c>
      <c r="C65" s="410"/>
      <c r="D65" s="410"/>
      <c r="E65" s="410"/>
      <c r="F65" s="410">
        <f t="shared" ref="F65:O65" si="43">F64-F41</f>
        <v>0</v>
      </c>
      <c r="G65" s="410">
        <f t="shared" si="43"/>
        <v>0</v>
      </c>
      <c r="H65" s="410">
        <f t="shared" si="43"/>
        <v>6.9999999832361937E-3</v>
      </c>
      <c r="I65" s="410">
        <f t="shared" si="43"/>
        <v>4.7000000005937181E-2</v>
      </c>
      <c r="J65" s="410">
        <f t="shared" si="43"/>
        <v>4.4999999983701855E-2</v>
      </c>
      <c r="K65" s="410">
        <f t="shared" si="43"/>
        <v>2.0000000018626451E-2</v>
      </c>
      <c r="L65" s="413">
        <f t="shared" si="43"/>
        <v>2.3000000015599653E-2</v>
      </c>
      <c r="M65" s="413">
        <f t="shared" si="43"/>
        <v>-0.12899999998626299</v>
      </c>
      <c r="N65" s="413">
        <f t="shared" si="43"/>
        <v>0.59500000000116415</v>
      </c>
      <c r="O65" s="413">
        <f t="shared" si="43"/>
        <v>1.0879999999888241</v>
      </c>
      <c r="P65" s="413"/>
      <c r="Q65" s="413"/>
      <c r="R65" s="413"/>
      <c r="S65" s="413"/>
      <c r="T65" s="413"/>
      <c r="U65" s="413"/>
      <c r="V65" s="413"/>
      <c r="W65" s="413"/>
      <c r="X65" s="452"/>
      <c r="Y65" s="413">
        <f t="shared" ref="Y65:BE65" si="44">Y64-Y41</f>
        <v>0</v>
      </c>
      <c r="Z65" s="413">
        <f t="shared" si="44"/>
        <v>0</v>
      </c>
      <c r="AA65" s="413">
        <f t="shared" si="44"/>
        <v>0</v>
      </c>
      <c r="AB65" s="413">
        <f t="shared" si="44"/>
        <v>0</v>
      </c>
      <c r="AC65" s="413">
        <f t="shared" si="44"/>
        <v>-3.4999999999854481E-2</v>
      </c>
      <c r="AD65" s="413">
        <f t="shared" si="44"/>
        <v>1.5000000006693881E-2</v>
      </c>
      <c r="AE65" s="413">
        <f t="shared" si="44"/>
        <v>-3.0999999999039574E-2</v>
      </c>
      <c r="AF65" s="413">
        <f t="shared" si="44"/>
        <v>5.8000000004540198E-2</v>
      </c>
      <c r="AG65" s="413">
        <f t="shared" si="44"/>
        <v>-2.899999999863212E-2</v>
      </c>
      <c r="AH65" s="413">
        <f t="shared" si="44"/>
        <v>-8.2999999998719431E-2</v>
      </c>
      <c r="AI65" s="413">
        <f t="shared" si="44"/>
        <v>-5.8000000004540198E-2</v>
      </c>
      <c r="AJ65" s="413">
        <f t="shared" si="44"/>
        <v>0.21699999998236308</v>
      </c>
      <c r="AK65" s="413">
        <f t="shared" si="44"/>
        <v>5.7000000000698492E-2</v>
      </c>
      <c r="AL65" s="413">
        <f t="shared" si="44"/>
        <v>0</v>
      </c>
      <c r="AM65" s="413">
        <f t="shared" si="44"/>
        <v>0</v>
      </c>
      <c r="AN65" s="413">
        <f t="shared" si="44"/>
        <v>-1.2000000009720679E-2</v>
      </c>
      <c r="AO65" s="413">
        <f t="shared" si="44"/>
        <v>-9.9999999983992893E-3</v>
      </c>
      <c r="AP65" s="413">
        <f t="shared" si="44"/>
        <v>4.899999999179272E-2</v>
      </c>
      <c r="AQ65" s="413">
        <f t="shared" si="44"/>
        <v>6.3999999998486601E-2</v>
      </c>
      <c r="AR65" s="413">
        <f t="shared" si="44"/>
        <v>-8.2999999984167516E-2</v>
      </c>
      <c r="AS65" s="413">
        <f t="shared" si="44"/>
        <v>1.0000000009313226E-2</v>
      </c>
      <c r="AT65" s="413">
        <f t="shared" si="44"/>
        <v>-6.9999999999708962E-2</v>
      </c>
      <c r="AU65" s="413">
        <f t="shared" si="44"/>
        <v>-4.8999999984516762E-2</v>
      </c>
      <c r="AV65" s="413">
        <f t="shared" si="44"/>
        <v>0.13199999996868428</v>
      </c>
      <c r="AW65" s="413">
        <f t="shared" si="44"/>
        <v>-5.0000000010186341E-2</v>
      </c>
      <c r="AX65" s="413">
        <f t="shared" si="44"/>
        <v>-2.8999999994994141E-2</v>
      </c>
      <c r="AY65" s="413">
        <f t="shared" si="44"/>
        <v>-0.19199999998818384</v>
      </c>
      <c r="AZ65" s="413">
        <f t="shared" si="44"/>
        <v>0.14200000000710133</v>
      </c>
      <c r="BA65" s="413">
        <f t="shared" si="44"/>
        <v>-0.60099999999511056</v>
      </c>
      <c r="BB65" s="413">
        <f t="shared" si="44"/>
        <v>0</v>
      </c>
      <c r="BC65" s="413">
        <f t="shared" si="44"/>
        <v>-9.900000000197906E-2</v>
      </c>
      <c r="BD65" s="413">
        <f t="shared" si="44"/>
        <v>1.2949999999982538</v>
      </c>
      <c r="BE65" s="413">
        <f t="shared" si="44"/>
        <v>-0.3519999999916763</v>
      </c>
      <c r="BF65" s="413">
        <f t="shared" ref="BF65" si="45">BF64-BF41</f>
        <v>0.2440000000060536</v>
      </c>
    </row>
    <row r="66" spans="2:58">
      <c r="B66" s="80"/>
      <c r="C66" s="410"/>
      <c r="D66" s="410"/>
      <c r="E66" s="410"/>
      <c r="F66" s="410"/>
      <c r="G66" s="410"/>
      <c r="H66" s="410"/>
      <c r="I66" s="410"/>
      <c r="J66" s="410"/>
      <c r="K66" s="410"/>
      <c r="L66" s="413"/>
      <c r="M66" s="413"/>
      <c r="N66" s="413"/>
      <c r="O66" s="413"/>
      <c r="P66" s="413"/>
      <c r="Q66" s="413"/>
      <c r="R66" s="413"/>
      <c r="S66" s="413"/>
      <c r="T66" s="413"/>
      <c r="U66" s="413"/>
      <c r="V66" s="413"/>
      <c r="W66" s="413"/>
      <c r="X66" s="452"/>
      <c r="Y66" s="413"/>
      <c r="Z66" s="413"/>
      <c r="AA66" s="413"/>
      <c r="AB66" s="413"/>
      <c r="AC66" s="413"/>
      <c r="AD66" s="413"/>
      <c r="AE66" s="413"/>
      <c r="AF66" s="413"/>
      <c r="AG66" s="413"/>
      <c r="AH66" s="413"/>
      <c r="AI66" s="413"/>
      <c r="AJ66" s="413"/>
      <c r="AK66" s="413"/>
      <c r="AL66" s="413"/>
      <c r="AM66" s="413"/>
      <c r="AN66" s="413"/>
      <c r="AO66" s="413"/>
      <c r="AP66" s="413"/>
      <c r="AQ66" s="413"/>
      <c r="AR66" s="413"/>
      <c r="AS66" s="413"/>
      <c r="AT66" s="413"/>
      <c r="AU66" s="413"/>
      <c r="AV66" s="413"/>
      <c r="AW66" s="413"/>
      <c r="AX66" s="413"/>
      <c r="AY66" s="413"/>
      <c r="AZ66" s="413"/>
      <c r="BA66" s="413"/>
      <c r="BB66" s="413"/>
      <c r="BC66" s="413"/>
      <c r="BD66" s="413"/>
      <c r="BE66" s="413"/>
      <c r="BF66" s="413"/>
    </row>
    <row r="67" spans="2:58" ht="13">
      <c r="B67" s="453" t="s">
        <v>426</v>
      </c>
      <c r="C67" s="410"/>
      <c r="D67" s="410"/>
      <c r="E67" s="410"/>
      <c r="F67" s="410"/>
      <c r="G67" s="410"/>
      <c r="H67" s="410"/>
      <c r="I67" s="410"/>
      <c r="J67" s="410"/>
      <c r="K67" s="410"/>
      <c r="L67" s="413"/>
      <c r="M67" s="413"/>
      <c r="N67" s="413"/>
      <c r="O67" s="413"/>
      <c r="P67" s="413"/>
      <c r="Q67" s="413"/>
      <c r="R67" s="413"/>
      <c r="S67" s="413"/>
      <c r="T67" s="413"/>
      <c r="U67" s="413"/>
      <c r="V67" s="413"/>
      <c r="W67" s="413"/>
      <c r="X67" s="452"/>
      <c r="Y67" s="413"/>
      <c r="Z67" s="413"/>
      <c r="AA67" s="413"/>
      <c r="AB67" s="413"/>
      <c r="AC67" s="413"/>
      <c r="AD67" s="413"/>
      <c r="AE67" s="413"/>
      <c r="AF67" s="413"/>
      <c r="AG67" s="413"/>
      <c r="AH67" s="413"/>
      <c r="AI67" s="413"/>
      <c r="AJ67" s="413"/>
      <c r="AK67" s="413"/>
      <c r="AL67" s="413"/>
      <c r="AM67" s="413"/>
      <c r="AN67" s="413"/>
      <c r="AO67" s="413"/>
      <c r="AP67" s="413"/>
      <c r="AQ67" s="413"/>
      <c r="AR67" s="413"/>
      <c r="AS67" s="413"/>
      <c r="AT67" s="413"/>
      <c r="AU67" s="413"/>
      <c r="AV67" s="413"/>
      <c r="AW67" s="413"/>
      <c r="AX67" s="413"/>
      <c r="AY67" s="413"/>
      <c r="AZ67" s="413"/>
      <c r="BA67" s="413"/>
      <c r="BB67" s="413"/>
      <c r="BC67" s="413"/>
      <c r="BD67" s="413"/>
      <c r="BE67" s="413"/>
      <c r="BF67" s="413"/>
    </row>
    <row r="68" spans="2:58" ht="13">
      <c r="B68" s="1" t="s">
        <v>420</v>
      </c>
      <c r="C68" s="455"/>
      <c r="D68" s="455"/>
      <c r="E68" s="455"/>
      <c r="F68" s="102">
        <f>F58/F$64</f>
        <v>0.87011323127503493</v>
      </c>
      <c r="G68" s="102">
        <f t="shared" ref="G68:BE73" si="46">G58/G$64</f>
        <v>0.84789573265973694</v>
      </c>
      <c r="H68" s="102">
        <f t="shared" si="46"/>
        <v>0.8078660737272374</v>
      </c>
      <c r="I68" s="102">
        <f t="shared" si="46"/>
        <v>0.87330979198025305</v>
      </c>
      <c r="J68" s="102">
        <f t="shared" si="46"/>
        <v>0.78538885244638112</v>
      </c>
      <c r="K68" s="102">
        <f t="shared" si="46"/>
        <v>0.89532022046685145</v>
      </c>
      <c r="L68" s="102">
        <f t="shared" si="46"/>
        <v>0.87977690250567486</v>
      </c>
      <c r="M68" s="102">
        <f t="shared" si="46"/>
        <v>0.87354897735989201</v>
      </c>
      <c r="N68" s="102">
        <f t="shared" si="46"/>
        <v>0.86371207095924596</v>
      </c>
      <c r="O68" s="102">
        <f t="shared" si="46"/>
        <v>0.88294891232223571</v>
      </c>
      <c r="P68" s="413"/>
      <c r="Q68" s="429"/>
      <c r="R68" s="429"/>
      <c r="S68" s="429"/>
      <c r="T68" s="429"/>
      <c r="U68" s="429"/>
      <c r="V68" s="429"/>
      <c r="W68" s="429"/>
      <c r="X68" s="429"/>
      <c r="Y68" s="102">
        <f t="shared" si="46"/>
        <v>0.84108034258352549</v>
      </c>
      <c r="Z68" s="102">
        <f t="shared" si="46"/>
        <v>0.85433249696085789</v>
      </c>
      <c r="AA68" s="102">
        <f t="shared" si="46"/>
        <v>0.85151733821149711</v>
      </c>
      <c r="AB68" s="102">
        <f t="shared" si="46"/>
        <v>0.84492449813598136</v>
      </c>
      <c r="AC68" s="102">
        <f t="shared" si="46"/>
        <v>0.8176041113586402</v>
      </c>
      <c r="AD68" s="102">
        <f t="shared" si="46"/>
        <v>0.80848735321617404</v>
      </c>
      <c r="AE68" s="102">
        <f t="shared" si="46"/>
        <v>0.81539993224256446</v>
      </c>
      <c r="AF68" s="102">
        <f t="shared" si="46"/>
        <v>0.79772443787621627</v>
      </c>
      <c r="AG68" s="102">
        <f t="shared" si="46"/>
        <v>0.79823264080383549</v>
      </c>
      <c r="AH68" s="102">
        <f t="shared" si="46"/>
        <v>0.31072525244949267</v>
      </c>
      <c r="AI68" s="102">
        <f t="shared" si="46"/>
        <v>0.74172042045480979</v>
      </c>
      <c r="AJ68" s="102">
        <f t="shared" si="46"/>
        <v>1.1673100667839407</v>
      </c>
      <c r="AK68" s="102">
        <f t="shared" si="46"/>
        <v>0.86094445154678156</v>
      </c>
      <c r="AL68" s="102">
        <f t="shared" si="46"/>
        <v>0.8653009746643946</v>
      </c>
      <c r="AM68" s="102">
        <f t="shared" si="46"/>
        <v>0.85984445156794309</v>
      </c>
      <c r="AN68" s="102">
        <f t="shared" si="46"/>
        <v>0.65514231956270075</v>
      </c>
      <c r="AO68" s="102">
        <f t="shared" si="46"/>
        <v>0.87731146979736518</v>
      </c>
      <c r="AP68" s="102">
        <f t="shared" si="46"/>
        <v>0.89701834216242493</v>
      </c>
      <c r="AQ68" s="102">
        <f t="shared" si="46"/>
        <v>0.88292470660875177</v>
      </c>
      <c r="AR68" s="102">
        <f t="shared" si="46"/>
        <v>0.91083557347141875</v>
      </c>
      <c r="AS68" s="102">
        <f t="shared" si="46"/>
        <v>0.86472298946672443</v>
      </c>
      <c r="AT68" s="102">
        <f t="shared" si="46"/>
        <v>0.88318301608018801</v>
      </c>
      <c r="AU68" s="102">
        <f t="shared" si="46"/>
        <v>0.8624869732688204</v>
      </c>
      <c r="AV68" s="102">
        <f t="shared" si="46"/>
        <v>0.89604261522157691</v>
      </c>
      <c r="AW68" s="102">
        <f t="shared" si="46"/>
        <v>0.85287152996276627</v>
      </c>
      <c r="AX68" s="102">
        <f t="shared" si="46"/>
        <v>0.87111195001518538</v>
      </c>
      <c r="AY68" s="102">
        <f t="shared" si="46"/>
        <v>0.85707371668177701</v>
      </c>
      <c r="AZ68" s="102">
        <f t="shared" si="46"/>
        <v>0.89662476869239671</v>
      </c>
      <c r="BA68" s="102">
        <f t="shared" si="46"/>
        <v>0.84469798065995372</v>
      </c>
      <c r="BB68" s="102">
        <f t="shared" si="46"/>
        <v>0.76357578335460086</v>
      </c>
      <c r="BC68" s="102">
        <f t="shared" si="46"/>
        <v>0.84536237965285643</v>
      </c>
      <c r="BD68" s="102">
        <f t="shared" si="46"/>
        <v>0.95720758343039181</v>
      </c>
      <c r="BE68" s="102">
        <f t="shared" si="46"/>
        <v>0.82643244758072887</v>
      </c>
      <c r="BF68" s="102">
        <f t="shared" ref="BF68" si="47">BF58/BF$64</f>
        <v>0.85672689751504627</v>
      </c>
    </row>
    <row r="69" spans="2:58" ht="13">
      <c r="B69" s="1" t="s">
        <v>421</v>
      </c>
      <c r="C69" s="455"/>
      <c r="D69" s="455"/>
      <c r="E69" s="455"/>
      <c r="F69" s="102">
        <f t="shared" ref="F69:O73" si="48">F59/F$64</f>
        <v>0</v>
      </c>
      <c r="G69" s="102">
        <f t="shared" si="48"/>
        <v>3.6263762346824253E-5</v>
      </c>
      <c r="H69" s="102">
        <f t="shared" si="48"/>
        <v>4.1793340017725569E-2</v>
      </c>
      <c r="I69" s="102">
        <f t="shared" si="48"/>
        <v>0</v>
      </c>
      <c r="J69" s="102">
        <f t="shared" si="48"/>
        <v>0</v>
      </c>
      <c r="K69" s="102">
        <f t="shared" si="48"/>
        <v>0</v>
      </c>
      <c r="L69" s="102">
        <f t="shared" si="48"/>
        <v>0</v>
      </c>
      <c r="M69" s="102">
        <f t="shared" si="48"/>
        <v>0</v>
      </c>
      <c r="N69" s="102">
        <f t="shared" si="48"/>
        <v>0</v>
      </c>
      <c r="O69" s="102">
        <f t="shared" si="48"/>
        <v>0</v>
      </c>
      <c r="P69" s="413"/>
      <c r="Q69" s="429"/>
      <c r="R69" s="429"/>
      <c r="S69" s="429"/>
      <c r="T69" s="429"/>
      <c r="U69" s="429"/>
      <c r="V69" s="429"/>
      <c r="W69" s="429"/>
      <c r="X69" s="429"/>
      <c r="Y69" s="102">
        <f t="shared" si="46"/>
        <v>0</v>
      </c>
      <c r="Z69" s="102">
        <f t="shared" si="46"/>
        <v>0</v>
      </c>
      <c r="AA69" s="102">
        <f t="shared" si="46"/>
        <v>0</v>
      </c>
      <c r="AB69" s="102">
        <f t="shared" si="46"/>
        <v>1.0156084869989612E-4</v>
      </c>
      <c r="AC69" s="102">
        <f t="shared" si="46"/>
        <v>2.7812902893470208E-2</v>
      </c>
      <c r="AD69" s="102">
        <f t="shared" si="46"/>
        <v>5.0387771333732338E-2</v>
      </c>
      <c r="AE69" s="102">
        <f t="shared" si="46"/>
        <v>3.2077469975969095E-2</v>
      </c>
      <c r="AF69" s="102">
        <f t="shared" si="46"/>
        <v>4.906284278981686E-2</v>
      </c>
      <c r="AG69" s="102">
        <f t="shared" si="46"/>
        <v>3.8615425942179912E-2</v>
      </c>
      <c r="AH69" s="102">
        <f t="shared" si="46"/>
        <v>0.63684129970418857</v>
      </c>
      <c r="AI69" s="102">
        <f t="shared" si="46"/>
        <v>0.12488322619484564</v>
      </c>
      <c r="AJ69" s="102">
        <f t="shared" si="46"/>
        <v>-0.29272778098134616</v>
      </c>
      <c r="AK69" s="102">
        <f t="shared" si="46"/>
        <v>0</v>
      </c>
      <c r="AL69" s="102">
        <f t="shared" si="46"/>
        <v>0</v>
      </c>
      <c r="AM69" s="102">
        <f t="shared" si="46"/>
        <v>0</v>
      </c>
      <c r="AN69" s="102">
        <f t="shared" si="46"/>
        <v>0</v>
      </c>
      <c r="AO69" s="102">
        <f t="shared" si="46"/>
        <v>0</v>
      </c>
      <c r="AP69" s="102">
        <f t="shared" si="46"/>
        <v>0</v>
      </c>
      <c r="AQ69" s="102">
        <f t="shared" si="46"/>
        <v>0</v>
      </c>
      <c r="AR69" s="102">
        <f t="shared" si="46"/>
        <v>0</v>
      </c>
      <c r="AS69" s="102">
        <f t="shared" si="46"/>
        <v>0</v>
      </c>
      <c r="AT69" s="102">
        <f t="shared" si="46"/>
        <v>0</v>
      </c>
      <c r="AU69" s="102">
        <f t="shared" si="46"/>
        <v>0</v>
      </c>
      <c r="AV69" s="102">
        <f t="shared" si="46"/>
        <v>0</v>
      </c>
      <c r="AW69" s="102">
        <f t="shared" si="46"/>
        <v>0</v>
      </c>
      <c r="AX69" s="102">
        <f t="shared" si="46"/>
        <v>0</v>
      </c>
      <c r="AY69" s="102">
        <f t="shared" si="46"/>
        <v>0</v>
      </c>
      <c r="AZ69" s="102">
        <f t="shared" si="46"/>
        <v>0</v>
      </c>
      <c r="BA69" s="102">
        <f t="shared" si="46"/>
        <v>0</v>
      </c>
      <c r="BB69" s="102">
        <f t="shared" si="46"/>
        <v>0</v>
      </c>
      <c r="BC69" s="102">
        <f t="shared" si="46"/>
        <v>0</v>
      </c>
      <c r="BD69" s="102">
        <f t="shared" si="46"/>
        <v>0</v>
      </c>
      <c r="BE69" s="102">
        <f t="shared" si="46"/>
        <v>0</v>
      </c>
      <c r="BF69" s="102">
        <f t="shared" ref="BF69" si="49">BF59/BF$64</f>
        <v>0</v>
      </c>
    </row>
    <row r="70" spans="2:58" ht="13">
      <c r="B70" s="1" t="s">
        <v>422</v>
      </c>
      <c r="C70" s="455"/>
      <c r="D70" s="455"/>
      <c r="E70" s="455"/>
      <c r="F70" s="102">
        <f t="shared" si="48"/>
        <v>0.10447744786516965</v>
      </c>
      <c r="G70" s="102">
        <f t="shared" si="46"/>
        <v>0.12644766654715736</v>
      </c>
      <c r="H70" s="102">
        <f t="shared" si="46"/>
        <v>0.12570376590787605</v>
      </c>
      <c r="I70" s="102">
        <f t="shared" si="46"/>
        <v>0.10435437957387396</v>
      </c>
      <c r="J70" s="102">
        <f t="shared" si="46"/>
        <v>0.12039576155076212</v>
      </c>
      <c r="K70" s="102">
        <f t="shared" si="46"/>
        <v>6.4475715220924717E-3</v>
      </c>
      <c r="L70" s="102">
        <f t="shared" si="46"/>
        <v>8.0625792868708468E-3</v>
      </c>
      <c r="M70" s="102">
        <f t="shared" si="46"/>
        <v>9.3540931573857667E-3</v>
      </c>
      <c r="N70" s="102">
        <f t="shared" si="46"/>
        <v>9.6983286323164587E-3</v>
      </c>
      <c r="O70" s="102">
        <f t="shared" si="46"/>
        <v>-1.2430656462363928E-2</v>
      </c>
      <c r="P70" s="413"/>
      <c r="Q70" s="429"/>
      <c r="R70" s="429"/>
      <c r="S70" s="429"/>
      <c r="T70" s="429"/>
      <c r="U70" s="429"/>
      <c r="V70" s="429"/>
      <c r="W70" s="429"/>
      <c r="X70" s="429"/>
      <c r="Y70" s="102">
        <f t="shared" si="46"/>
        <v>0.12610313179344759</v>
      </c>
      <c r="Z70" s="102">
        <f t="shared" si="46"/>
        <v>0.11790762019277987</v>
      </c>
      <c r="AA70" s="102">
        <f t="shared" si="46"/>
        <v>0.12083371902054062</v>
      </c>
      <c r="AB70" s="102">
        <f t="shared" si="46"/>
        <v>0.13577867198620971</v>
      </c>
      <c r="AC70" s="102">
        <f t="shared" si="46"/>
        <v>0.12270484849157776</v>
      </c>
      <c r="AD70" s="102">
        <f t="shared" si="46"/>
        <v>0.116892367149921</v>
      </c>
      <c r="AE70" s="102">
        <f t="shared" si="46"/>
        <v>0.12335110774583322</v>
      </c>
      <c r="AF70" s="102">
        <f t="shared" si="46"/>
        <v>0.13487940686869593</v>
      </c>
      <c r="AG70" s="102">
        <f t="shared" si="46"/>
        <v>0.12923995599487836</v>
      </c>
      <c r="AH70" s="102">
        <f t="shared" si="46"/>
        <v>2.8206691926478501E-2</v>
      </c>
      <c r="AI70" s="102">
        <f t="shared" si="46"/>
        <v>0.11208059616376267</v>
      </c>
      <c r="AJ70" s="102">
        <f t="shared" si="46"/>
        <v>0.10966112745599918</v>
      </c>
      <c r="AK70" s="102">
        <f t="shared" si="46"/>
        <v>0.1150696250725536</v>
      </c>
      <c r="AL70" s="102">
        <f t="shared" si="46"/>
        <v>0.1144053451764571</v>
      </c>
      <c r="AM70" s="102">
        <f t="shared" si="46"/>
        <v>0.11482365617768667</v>
      </c>
      <c r="AN70" s="102">
        <f t="shared" si="46"/>
        <v>0.13000000089176292</v>
      </c>
      <c r="AO70" s="102">
        <f t="shared" si="46"/>
        <v>5.9625654602069233E-3</v>
      </c>
      <c r="AP70" s="102">
        <f t="shared" si="46"/>
        <v>7.1361424600687859E-3</v>
      </c>
      <c r="AQ70" s="102">
        <f t="shared" si="46"/>
        <v>6.0812849878136201E-3</v>
      </c>
      <c r="AR70" s="102">
        <f t="shared" si="46"/>
        <v>6.4518889509074763E-3</v>
      </c>
      <c r="AS70" s="102">
        <f t="shared" si="46"/>
        <v>6.8705713755649201E-3</v>
      </c>
      <c r="AT70" s="102">
        <f t="shared" si="46"/>
        <v>2.164009470627878E-3</v>
      </c>
      <c r="AU70" s="102">
        <f t="shared" si="46"/>
        <v>6.3703080477364076E-3</v>
      </c>
      <c r="AV70" s="102">
        <f t="shared" si="46"/>
        <v>1.3791370263146396E-2</v>
      </c>
      <c r="AW70" s="102">
        <f t="shared" si="46"/>
        <v>8.6309325470678416E-3</v>
      </c>
      <c r="AX70" s="102">
        <f t="shared" si="46"/>
        <v>1.0051100297458921E-2</v>
      </c>
      <c r="AY70" s="102">
        <f t="shared" si="46"/>
        <v>8.698735422827961E-3</v>
      </c>
      <c r="AZ70" s="102">
        <f t="shared" si="46"/>
        <v>9.6671193484313533E-3</v>
      </c>
      <c r="BA70" s="102">
        <f t="shared" si="46"/>
        <v>8.5978555462832389E-3</v>
      </c>
      <c r="BB70" s="102">
        <f t="shared" si="46"/>
        <v>0.10224372607401105</v>
      </c>
      <c r="BC70" s="102">
        <f t="shared" si="46"/>
        <v>9.1154322006530702E-3</v>
      </c>
      <c r="BD70" s="102">
        <f t="shared" si="46"/>
        <v>-5.5309893249516462E-2</v>
      </c>
      <c r="BE70" s="102">
        <f t="shared" si="46"/>
        <v>1.0370175928088568E-2</v>
      </c>
      <c r="BF70" s="102">
        <f t="shared" ref="BF70" si="50">BF60/BF$64</f>
        <v>1.0638547812782922E-2</v>
      </c>
    </row>
    <row r="71" spans="2:58" ht="13">
      <c r="B71" s="1" t="s">
        <v>423</v>
      </c>
      <c r="C71" s="455"/>
      <c r="D71" s="455"/>
      <c r="E71" s="455"/>
      <c r="F71" s="102">
        <f t="shared" si="48"/>
        <v>0</v>
      </c>
      <c r="G71" s="102">
        <f t="shared" si="46"/>
        <v>0</v>
      </c>
      <c r="H71" s="102">
        <f t="shared" si="46"/>
        <v>0</v>
      </c>
      <c r="I71" s="102">
        <f t="shared" si="46"/>
        <v>0</v>
      </c>
      <c r="J71" s="102">
        <f t="shared" si="46"/>
        <v>7.3754504690698677E-2</v>
      </c>
      <c r="K71" s="102">
        <f t="shared" si="46"/>
        <v>7.4985326674912062E-2</v>
      </c>
      <c r="L71" s="102">
        <f t="shared" si="46"/>
        <v>8.300607827509035E-2</v>
      </c>
      <c r="M71" s="102">
        <f t="shared" si="46"/>
        <v>8.9639598988625765E-2</v>
      </c>
      <c r="N71" s="102">
        <f t="shared" si="46"/>
        <v>9.6948699966498145E-2</v>
      </c>
      <c r="O71" s="102">
        <f t="shared" si="46"/>
        <v>0.10156241409050108</v>
      </c>
      <c r="P71" s="413"/>
      <c r="Q71" s="429"/>
      <c r="R71" s="429"/>
      <c r="S71" s="429"/>
      <c r="T71" s="429"/>
      <c r="U71" s="429"/>
      <c r="V71" s="429"/>
      <c r="W71" s="429"/>
      <c r="X71" s="429"/>
      <c r="Y71" s="102">
        <f t="shared" si="46"/>
        <v>0</v>
      </c>
      <c r="Z71" s="102">
        <f t="shared" si="46"/>
        <v>0</v>
      </c>
      <c r="AA71" s="102">
        <f t="shared" si="46"/>
        <v>0</v>
      </c>
      <c r="AB71" s="102">
        <f t="shared" si="46"/>
        <v>0</v>
      </c>
      <c r="AC71" s="102">
        <f t="shared" si="46"/>
        <v>0</v>
      </c>
      <c r="AD71" s="102">
        <f t="shared" si="46"/>
        <v>0</v>
      </c>
      <c r="AE71" s="102">
        <f t="shared" si="46"/>
        <v>0</v>
      </c>
      <c r="AF71" s="102">
        <f t="shared" si="46"/>
        <v>0</v>
      </c>
      <c r="AG71" s="102">
        <f t="shared" si="46"/>
        <v>0</v>
      </c>
      <c r="AH71" s="102">
        <f t="shared" si="46"/>
        <v>0</v>
      </c>
      <c r="AI71" s="102">
        <f t="shared" si="46"/>
        <v>0</v>
      </c>
      <c r="AJ71" s="102">
        <f t="shared" si="46"/>
        <v>0</v>
      </c>
      <c r="AK71" s="102">
        <f t="shared" si="46"/>
        <v>0</v>
      </c>
      <c r="AL71" s="102">
        <f t="shared" si="46"/>
        <v>0</v>
      </c>
      <c r="AM71" s="102">
        <f t="shared" si="46"/>
        <v>0</v>
      </c>
      <c r="AN71" s="102">
        <f t="shared" si="46"/>
        <v>0.19865862807806456</v>
      </c>
      <c r="AO71" s="102">
        <f t="shared" si="46"/>
        <v>8.7328125770427908E-2</v>
      </c>
      <c r="AP71" s="102">
        <f t="shared" si="46"/>
        <v>7.4222521583461612E-2</v>
      </c>
      <c r="AQ71" s="102">
        <f t="shared" si="46"/>
        <v>8.2972170783574606E-2</v>
      </c>
      <c r="AR71" s="102">
        <f t="shared" si="46"/>
        <v>6.4387725499086099E-2</v>
      </c>
      <c r="AS71" s="102">
        <f t="shared" si="46"/>
        <v>9.5389239838368931E-2</v>
      </c>
      <c r="AT71" s="102">
        <f t="shared" si="46"/>
        <v>8.4110199543447992E-2</v>
      </c>
      <c r="AU71" s="102">
        <f t="shared" si="46"/>
        <v>9.6624288030495345E-2</v>
      </c>
      <c r="AV71" s="102">
        <f t="shared" si="46"/>
        <v>6.7301988716511954E-2</v>
      </c>
      <c r="AW71" s="102">
        <f t="shared" si="46"/>
        <v>0.10603582313713401</v>
      </c>
      <c r="AX71" s="102">
        <f t="shared" si="46"/>
        <v>9.0742975372177792E-2</v>
      </c>
      <c r="AY71" s="102">
        <f t="shared" si="46"/>
        <v>0.10176347724470018</v>
      </c>
      <c r="AZ71" s="102">
        <f t="shared" si="46"/>
        <v>7.2491275871792923E-2</v>
      </c>
      <c r="BA71" s="102">
        <f t="shared" si="46"/>
        <v>0.1121290500254583</v>
      </c>
      <c r="BB71" s="102">
        <f t="shared" si="46"/>
        <v>9.722812987381256E-2</v>
      </c>
      <c r="BC71" s="102">
        <f t="shared" si="46"/>
        <v>0.11280631617130583</v>
      </c>
      <c r="BD71" s="102">
        <f t="shared" si="46"/>
        <v>7.8382289311889758E-2</v>
      </c>
      <c r="BE71" s="102">
        <f t="shared" si="46"/>
        <v>0.12542694857294237</v>
      </c>
      <c r="BF71" s="102">
        <f t="shared" ref="BF71" si="51">BF61/BF$64</f>
        <v>0.10522470457622767</v>
      </c>
    </row>
    <row r="72" spans="2:58" ht="13">
      <c r="B72" s="1" t="s">
        <v>424</v>
      </c>
      <c r="C72" s="455"/>
      <c r="D72" s="455"/>
      <c r="E72" s="455"/>
      <c r="F72" s="102">
        <f t="shared" si="48"/>
        <v>2.5409320859795366E-2</v>
      </c>
      <c r="G72" s="102">
        <f t="shared" si="46"/>
        <v>2.5620337030758999E-2</v>
      </c>
      <c r="H72" s="102">
        <f t="shared" si="46"/>
        <v>2.4636820347161081E-2</v>
      </c>
      <c r="I72" s="102">
        <f t="shared" si="46"/>
        <v>2.2335828445872941E-2</v>
      </c>
      <c r="J72" s="102">
        <f t="shared" si="46"/>
        <v>2.046088131215806E-2</v>
      </c>
      <c r="K72" s="102">
        <f t="shared" si="46"/>
        <v>2.1142960564600917E-2</v>
      </c>
      <c r="L72" s="102">
        <f t="shared" si="46"/>
        <v>2.3137131733431279E-2</v>
      </c>
      <c r="M72" s="102">
        <f t="shared" si="46"/>
        <v>2.2637906428218689E-2</v>
      </c>
      <c r="N72" s="102">
        <f t="shared" si="46"/>
        <v>2.3072922943626704E-2</v>
      </c>
      <c r="O72" s="102">
        <f t="shared" si="46"/>
        <v>2.3726215726851255E-2</v>
      </c>
      <c r="P72" s="413"/>
      <c r="Q72" s="429"/>
      <c r="R72" s="429"/>
      <c r="S72" s="429"/>
      <c r="T72" s="429"/>
      <c r="U72" s="429"/>
      <c r="V72" s="429"/>
      <c r="W72" s="429"/>
      <c r="X72" s="429"/>
      <c r="Y72" s="102">
        <f t="shared" si="46"/>
        <v>3.2816525623026851E-2</v>
      </c>
      <c r="Z72" s="102">
        <f t="shared" si="46"/>
        <v>2.7759882846362226E-2</v>
      </c>
      <c r="AA72" s="102">
        <f t="shared" si="46"/>
        <v>2.7648942767962228E-2</v>
      </c>
      <c r="AB72" s="102">
        <f t="shared" si="46"/>
        <v>1.919526902910907E-2</v>
      </c>
      <c r="AC72" s="102">
        <f t="shared" si="46"/>
        <v>3.187813725631173E-2</v>
      </c>
      <c r="AD72" s="102">
        <f t="shared" si="46"/>
        <v>2.4232508300172602E-2</v>
      </c>
      <c r="AE72" s="102">
        <f t="shared" si="46"/>
        <v>2.9171490035633199E-2</v>
      </c>
      <c r="AF72" s="102">
        <f t="shared" si="46"/>
        <v>1.8333312465270861E-2</v>
      </c>
      <c r="AG72" s="102">
        <f t="shared" si="46"/>
        <v>3.3911977259106253E-2</v>
      </c>
      <c r="AH72" s="102">
        <f t="shared" si="46"/>
        <v>2.4226755919840331E-2</v>
      </c>
      <c r="AI72" s="102">
        <f t="shared" si="46"/>
        <v>2.1315757186581932E-2</v>
      </c>
      <c r="AJ72" s="102">
        <f t="shared" si="46"/>
        <v>1.5756586741406547E-2</v>
      </c>
      <c r="AK72" s="102">
        <f t="shared" si="46"/>
        <v>2.3985923380664863E-2</v>
      </c>
      <c r="AL72" s="102">
        <f t="shared" si="46"/>
        <v>2.0293680159148189E-2</v>
      </c>
      <c r="AM72" s="102">
        <f t="shared" si="46"/>
        <v>2.5331892254370228E-2</v>
      </c>
      <c r="AN72" s="102">
        <f t="shared" si="46"/>
        <v>1.6199051467471658E-2</v>
      </c>
      <c r="AO72" s="102">
        <f t="shared" si="46"/>
        <v>2.7298398688361501E-2</v>
      </c>
      <c r="AP72" s="102">
        <f t="shared" si="46"/>
        <v>2.0622553218614868E-2</v>
      </c>
      <c r="AQ72" s="102">
        <f t="shared" si="46"/>
        <v>2.4810792378949006E-2</v>
      </c>
      <c r="AR72" s="102">
        <f t="shared" si="46"/>
        <v>1.6142085289627021E-2</v>
      </c>
      <c r="AS72" s="102">
        <f t="shared" si="46"/>
        <v>2.7485426347056429E-2</v>
      </c>
      <c r="AT72" s="102">
        <f t="shared" si="46"/>
        <v>2.6952434408210792E-2</v>
      </c>
      <c r="AU72" s="102">
        <f t="shared" si="46"/>
        <v>2.622868281957752E-2</v>
      </c>
      <c r="AV72" s="102">
        <f t="shared" si="46"/>
        <v>1.6283037367615053E-2</v>
      </c>
      <c r="AW72" s="102">
        <f t="shared" si="46"/>
        <v>2.7941543329709804E-2</v>
      </c>
      <c r="AX72" s="102">
        <f t="shared" si="46"/>
        <v>2.282482505611633E-2</v>
      </c>
      <c r="AY72" s="102">
        <f t="shared" si="46"/>
        <v>2.6571482574812479E-2</v>
      </c>
      <c r="AZ72" s="102">
        <f t="shared" si="46"/>
        <v>1.7201584055209163E-2</v>
      </c>
      <c r="BA72" s="102">
        <f t="shared" si="46"/>
        <v>2.892225404750225E-2</v>
      </c>
      <c r="BB72" s="102">
        <f t="shared" si="46"/>
        <v>2.2596767333049765E-2</v>
      </c>
      <c r="BC72" s="102">
        <f t="shared" si="46"/>
        <v>2.7315024430681591E-2</v>
      </c>
      <c r="BD72" s="102">
        <f t="shared" si="46"/>
        <v>1.7470000459409579E-2</v>
      </c>
      <c r="BE72" s="102">
        <f t="shared" si="46"/>
        <v>3.0260527801880006E-2</v>
      </c>
      <c r="BF72" s="102">
        <f t="shared" ref="BF72" si="52">BF62/BF$64</f>
        <v>2.4175756696026639E-2</v>
      </c>
    </row>
    <row r="73" spans="2:58" ht="13">
      <c r="B73" s="1" t="s">
        <v>425</v>
      </c>
      <c r="C73" s="455"/>
      <c r="D73" s="455"/>
      <c r="E73" s="455"/>
      <c r="F73" s="102">
        <f t="shared" si="48"/>
        <v>0</v>
      </c>
      <c r="G73" s="102">
        <f t="shared" si="46"/>
        <v>0</v>
      </c>
      <c r="H73" s="102">
        <f t="shared" si="46"/>
        <v>0</v>
      </c>
      <c r="I73" s="102">
        <f t="shared" si="46"/>
        <v>0</v>
      </c>
      <c r="J73" s="102">
        <f t="shared" si="46"/>
        <v>0</v>
      </c>
      <c r="K73" s="102">
        <f t="shared" si="46"/>
        <v>2.1039207715430885E-3</v>
      </c>
      <c r="L73" s="102">
        <f t="shared" si="46"/>
        <v>6.017308198932563E-3</v>
      </c>
      <c r="M73" s="102">
        <f t="shared" si="46"/>
        <v>4.8194240658777573E-3</v>
      </c>
      <c r="N73" s="102">
        <f t="shared" si="46"/>
        <v>6.5679774983127418E-3</v>
      </c>
      <c r="O73" s="102">
        <f t="shared" si="46"/>
        <v>4.1931143227759843E-3</v>
      </c>
      <c r="P73" s="413"/>
      <c r="Q73" s="429"/>
      <c r="R73" s="429"/>
      <c r="S73" s="429"/>
      <c r="T73" s="429"/>
      <c r="U73" s="429"/>
      <c r="V73" s="429"/>
      <c r="W73" s="429"/>
      <c r="X73" s="429"/>
      <c r="Y73" s="102">
        <f t="shared" ref="Y73:BE73" si="53">Y63/Y$64</f>
        <v>0</v>
      </c>
      <c r="Z73" s="102">
        <f t="shared" si="53"/>
        <v>0</v>
      </c>
      <c r="AA73" s="102">
        <f t="shared" si="53"/>
        <v>0</v>
      </c>
      <c r="AB73" s="102">
        <f t="shared" si="53"/>
        <v>0</v>
      </c>
      <c r="AC73" s="102">
        <f t="shared" si="53"/>
        <v>0</v>
      </c>
      <c r="AD73" s="102">
        <f t="shared" si="53"/>
        <v>0</v>
      </c>
      <c r="AE73" s="102">
        <f t="shared" si="53"/>
        <v>0</v>
      </c>
      <c r="AF73" s="102">
        <f t="shared" si="53"/>
        <v>0</v>
      </c>
      <c r="AG73" s="102">
        <f t="shared" si="53"/>
        <v>0</v>
      </c>
      <c r="AH73" s="102">
        <f t="shared" si="53"/>
        <v>0</v>
      </c>
      <c r="AI73" s="102">
        <f t="shared" si="53"/>
        <v>0</v>
      </c>
      <c r="AJ73" s="102">
        <f t="shared" si="53"/>
        <v>0</v>
      </c>
      <c r="AK73" s="102">
        <f t="shared" si="53"/>
        <v>0</v>
      </c>
      <c r="AL73" s="102">
        <f t="shared" si="53"/>
        <v>0</v>
      </c>
      <c r="AM73" s="102">
        <f t="shared" si="53"/>
        <v>0</v>
      </c>
      <c r="AN73" s="102">
        <f t="shared" si="53"/>
        <v>0</v>
      </c>
      <c r="AO73" s="102">
        <f t="shared" si="53"/>
        <v>2.0994402836384137E-3</v>
      </c>
      <c r="AP73" s="102">
        <f t="shared" si="53"/>
        <v>1.0004405754299043E-3</v>
      </c>
      <c r="AQ73" s="102">
        <f t="shared" si="53"/>
        <v>3.2110452409110394E-3</v>
      </c>
      <c r="AR73" s="102">
        <f t="shared" si="53"/>
        <v>2.1827267889605101E-3</v>
      </c>
      <c r="AS73" s="102">
        <f t="shared" si="53"/>
        <v>5.5317729722852383E-3</v>
      </c>
      <c r="AT73" s="102">
        <f t="shared" si="53"/>
        <v>3.5903404975252766E-3</v>
      </c>
      <c r="AU73" s="102">
        <f t="shared" si="53"/>
        <v>8.2897478333703485E-3</v>
      </c>
      <c r="AV73" s="102">
        <f t="shared" si="53"/>
        <v>6.5809884311498756E-3</v>
      </c>
      <c r="AW73" s="102">
        <f t="shared" si="53"/>
        <v>4.5201710233221505E-3</v>
      </c>
      <c r="AX73" s="102">
        <f t="shared" si="53"/>
        <v>5.2691492590614796E-3</v>
      </c>
      <c r="AY73" s="102">
        <f t="shared" si="53"/>
        <v>5.8925880758822283E-3</v>
      </c>
      <c r="AZ73" s="102">
        <f t="shared" si="53"/>
        <v>4.0152520321698019E-3</v>
      </c>
      <c r="BA73" s="102">
        <f t="shared" si="53"/>
        <v>5.6528597208024113E-3</v>
      </c>
      <c r="BB73" s="102">
        <f t="shared" si="53"/>
        <v>1.4355593364525734E-2</v>
      </c>
      <c r="BC73" s="102">
        <f t="shared" si="53"/>
        <v>5.4008475445030775E-3</v>
      </c>
      <c r="BD73" s="102">
        <f t="shared" si="53"/>
        <v>2.2500200478253562E-3</v>
      </c>
      <c r="BE73" s="102">
        <f t="shared" si="53"/>
        <v>7.5099001163600534E-3</v>
      </c>
      <c r="BF73" s="102">
        <f t="shared" ref="BF73" si="54">BF63/BF$64</f>
        <v>3.2340933999163977E-3</v>
      </c>
    </row>
    <row r="74" spans="2:58" ht="13">
      <c r="B74" s="5" t="s">
        <v>413</v>
      </c>
      <c r="C74" s="455"/>
      <c r="D74" s="455"/>
      <c r="E74" s="455"/>
      <c r="F74" s="454">
        <f>SUM(F68:F73)</f>
        <v>1</v>
      </c>
      <c r="G74" s="454">
        <f t="shared" ref="G74:BE74" si="55">SUM(G68:G73)</f>
        <v>1</v>
      </c>
      <c r="H74" s="454">
        <f t="shared" si="55"/>
        <v>1</v>
      </c>
      <c r="I74" s="454">
        <f t="shared" si="55"/>
        <v>0.99999999999999989</v>
      </c>
      <c r="J74" s="454">
        <f t="shared" si="55"/>
        <v>1</v>
      </c>
      <c r="K74" s="454">
        <f t="shared" si="55"/>
        <v>1</v>
      </c>
      <c r="L74" s="454">
        <f t="shared" si="55"/>
        <v>0.99999999999999978</v>
      </c>
      <c r="M74" s="454">
        <f t="shared" si="55"/>
        <v>1</v>
      </c>
      <c r="N74" s="454">
        <f t="shared" si="55"/>
        <v>1</v>
      </c>
      <c r="O74" s="454">
        <f t="shared" si="55"/>
        <v>1</v>
      </c>
      <c r="P74" s="413"/>
      <c r="Q74" s="463"/>
      <c r="R74" s="463"/>
      <c r="S74" s="463"/>
      <c r="T74" s="463"/>
      <c r="U74" s="463"/>
      <c r="V74" s="463"/>
      <c r="W74" s="463"/>
      <c r="X74" s="463"/>
      <c r="Y74" s="454">
        <f t="shared" si="55"/>
        <v>0.99999999999999989</v>
      </c>
      <c r="Z74" s="454">
        <f t="shared" si="55"/>
        <v>1</v>
      </c>
      <c r="AA74" s="454">
        <f t="shared" si="55"/>
        <v>1</v>
      </c>
      <c r="AB74" s="454">
        <f t="shared" si="55"/>
        <v>1.0000000000000002</v>
      </c>
      <c r="AC74" s="454">
        <f t="shared" si="55"/>
        <v>0.99999999999999978</v>
      </c>
      <c r="AD74" s="454">
        <f t="shared" si="55"/>
        <v>1</v>
      </c>
      <c r="AE74" s="454">
        <f t="shared" si="55"/>
        <v>1</v>
      </c>
      <c r="AF74" s="454">
        <f t="shared" si="55"/>
        <v>0.99999999999999989</v>
      </c>
      <c r="AG74" s="454">
        <f t="shared" si="55"/>
        <v>1</v>
      </c>
      <c r="AH74" s="454">
        <f t="shared" si="55"/>
        <v>1</v>
      </c>
      <c r="AI74" s="454">
        <f t="shared" si="55"/>
        <v>1</v>
      </c>
      <c r="AJ74" s="454">
        <f t="shared" si="55"/>
        <v>1.0000000000000002</v>
      </c>
      <c r="AK74" s="454">
        <f t="shared" si="55"/>
        <v>1</v>
      </c>
      <c r="AL74" s="454">
        <f t="shared" si="55"/>
        <v>0.99999999999999989</v>
      </c>
      <c r="AM74" s="454">
        <f t="shared" si="55"/>
        <v>1</v>
      </c>
      <c r="AN74" s="454">
        <f t="shared" si="55"/>
        <v>0.99999999999999989</v>
      </c>
      <c r="AO74" s="454">
        <f t="shared" si="55"/>
        <v>0.99999999999999989</v>
      </c>
      <c r="AP74" s="454">
        <f t="shared" si="55"/>
        <v>1</v>
      </c>
      <c r="AQ74" s="454">
        <f t="shared" si="55"/>
        <v>1</v>
      </c>
      <c r="AR74" s="454">
        <f t="shared" si="55"/>
        <v>0.99999999999999978</v>
      </c>
      <c r="AS74" s="454">
        <f t="shared" si="55"/>
        <v>0.99999999999999989</v>
      </c>
      <c r="AT74" s="454">
        <f t="shared" si="55"/>
        <v>1</v>
      </c>
      <c r="AU74" s="454">
        <f t="shared" si="55"/>
        <v>1</v>
      </c>
      <c r="AV74" s="454">
        <f t="shared" si="55"/>
        <v>1.0000000000000002</v>
      </c>
      <c r="AW74" s="454">
        <f t="shared" si="55"/>
        <v>1</v>
      </c>
      <c r="AX74" s="454">
        <f t="shared" si="55"/>
        <v>1</v>
      </c>
      <c r="AY74" s="454">
        <f t="shared" si="55"/>
        <v>0.99999999999999978</v>
      </c>
      <c r="AZ74" s="454">
        <f t="shared" si="55"/>
        <v>0.99999999999999989</v>
      </c>
      <c r="BA74" s="454">
        <f t="shared" si="55"/>
        <v>0.99999999999999989</v>
      </c>
      <c r="BB74" s="454">
        <f t="shared" si="55"/>
        <v>0.99999999999999989</v>
      </c>
      <c r="BC74" s="454">
        <f t="shared" si="55"/>
        <v>1</v>
      </c>
      <c r="BD74" s="454">
        <f t="shared" si="55"/>
        <v>1</v>
      </c>
      <c r="BE74" s="454">
        <f t="shared" si="55"/>
        <v>0.99999999999999989</v>
      </c>
      <c r="BF74" s="454">
        <f t="shared" ref="BF74" si="56">SUM(BF68:BF73)</f>
        <v>1</v>
      </c>
    </row>
    <row r="75" spans="2:58">
      <c r="B75" s="80"/>
      <c r="C75" s="410"/>
      <c r="D75" s="410"/>
      <c r="E75" s="410"/>
      <c r="F75" s="410"/>
      <c r="G75" s="410"/>
      <c r="H75" s="410"/>
      <c r="I75" s="410"/>
      <c r="J75" s="410"/>
      <c r="K75" s="410"/>
      <c r="L75" s="413"/>
      <c r="M75" s="413"/>
      <c r="N75" s="413"/>
      <c r="O75" s="413"/>
      <c r="P75" s="413"/>
      <c r="Q75" s="413"/>
      <c r="R75" s="413"/>
      <c r="S75" s="413"/>
      <c r="T75" s="413"/>
      <c r="U75" s="413"/>
      <c r="V75" s="413"/>
      <c r="W75" s="413"/>
      <c r="X75" s="452"/>
      <c r="Y75" s="413"/>
      <c r="Z75" s="413"/>
      <c r="AA75" s="413"/>
      <c r="AB75" s="413"/>
      <c r="AC75" s="413"/>
      <c r="AD75" s="413"/>
      <c r="AE75" s="413"/>
      <c r="AF75" s="413"/>
      <c r="AG75" s="413"/>
      <c r="AH75" s="413"/>
      <c r="AI75" s="413"/>
      <c r="AJ75" s="413"/>
      <c r="AK75" s="413"/>
      <c r="AL75" s="413"/>
      <c r="AM75" s="413"/>
      <c r="AN75" s="413"/>
      <c r="AO75" s="413"/>
      <c r="AP75" s="413"/>
      <c r="AQ75" s="413"/>
      <c r="AR75" s="413"/>
      <c r="AS75" s="413"/>
      <c r="AT75" s="413"/>
      <c r="AU75" s="413"/>
      <c r="AV75" s="413"/>
      <c r="AW75" s="413"/>
      <c r="AX75" s="413"/>
      <c r="AY75" s="413"/>
      <c r="AZ75" s="413"/>
      <c r="BA75" s="413"/>
      <c r="BB75" s="413"/>
      <c r="BC75" s="413"/>
      <c r="BD75" s="413"/>
      <c r="BE75" s="413"/>
      <c r="BF75" s="413"/>
    </row>
    <row r="76" spans="2:58" ht="13">
      <c r="B76" s="453" t="s">
        <v>427</v>
      </c>
      <c r="C76" s="410"/>
      <c r="D76" s="410"/>
      <c r="E76" s="410"/>
      <c r="F76" s="410"/>
      <c r="G76" s="410"/>
      <c r="H76" s="410"/>
      <c r="I76" s="410"/>
      <c r="J76" s="410"/>
      <c r="K76" s="410"/>
      <c r="L76" s="413"/>
      <c r="M76" s="413"/>
      <c r="N76" s="413"/>
      <c r="O76" s="413"/>
      <c r="P76" s="413"/>
      <c r="Q76" s="413"/>
      <c r="R76" s="413"/>
      <c r="S76" s="413"/>
      <c r="T76" s="413"/>
      <c r="U76" s="413"/>
      <c r="V76" s="413"/>
      <c r="W76" s="413"/>
      <c r="X76" s="452"/>
      <c r="Y76" s="413"/>
      <c r="Z76" s="413"/>
      <c r="AA76" s="413"/>
      <c r="AB76" s="413"/>
      <c r="AC76" s="413"/>
      <c r="AD76" s="413"/>
      <c r="AE76" s="413"/>
      <c r="AF76" s="413"/>
      <c r="AG76" s="413"/>
      <c r="AH76" s="413"/>
      <c r="AI76" s="413"/>
      <c r="AJ76" s="413"/>
      <c r="AK76" s="413"/>
      <c r="AL76" s="413"/>
      <c r="AM76" s="413"/>
      <c r="AN76" s="413"/>
      <c r="AO76" s="413"/>
      <c r="AP76" s="413"/>
      <c r="AQ76" s="413"/>
      <c r="AR76" s="413"/>
      <c r="AS76" s="413"/>
      <c r="AT76" s="413"/>
      <c r="AU76" s="413"/>
      <c r="AV76" s="413"/>
      <c r="AW76" s="413"/>
      <c r="AX76" s="413"/>
      <c r="AY76" s="413"/>
      <c r="AZ76" s="413"/>
      <c r="BA76" s="413"/>
      <c r="BB76" s="413"/>
      <c r="BC76" s="413"/>
      <c r="BD76" s="413"/>
      <c r="BE76" s="413"/>
      <c r="BF76" s="413"/>
    </row>
    <row r="77" spans="2:58" ht="13">
      <c r="B77" s="1" t="s">
        <v>420</v>
      </c>
      <c r="C77" s="455"/>
      <c r="D77" s="455"/>
      <c r="E77" s="455"/>
      <c r="F77" s="455"/>
      <c r="G77" s="102">
        <f>G58/F58-1</f>
        <v>8.1082613965222095E-2</v>
      </c>
      <c r="H77" s="102">
        <f t="shared" ref="H77:N77" si="57">H58/G58-1</f>
        <v>1.3940386725342924E-2</v>
      </c>
      <c r="I77" s="102">
        <f t="shared" si="57"/>
        <v>-0.13455087894316242</v>
      </c>
      <c r="J77" s="102">
        <f t="shared" si="57"/>
        <v>0.17618907694279673</v>
      </c>
      <c r="K77" s="102">
        <f t="shared" si="57"/>
        <v>0.32877069915938084</v>
      </c>
      <c r="L77" s="102">
        <f t="shared" si="57"/>
        <v>9.4046561478863477E-2</v>
      </c>
      <c r="M77" s="102">
        <f t="shared" si="57"/>
        <v>8.8449411523542576E-2</v>
      </c>
      <c r="N77" s="102">
        <f t="shared" si="57"/>
        <v>5.4496469946116566E-2</v>
      </c>
      <c r="O77" s="455"/>
      <c r="P77" s="413"/>
      <c r="Q77" s="455"/>
      <c r="R77" s="455"/>
      <c r="S77" s="455"/>
      <c r="T77" s="455"/>
      <c r="U77" s="455"/>
      <c r="V77" s="455"/>
      <c r="W77" s="455"/>
      <c r="X77" s="455"/>
      <c r="Y77" s="455"/>
      <c r="Z77" s="455"/>
      <c r="AA77" s="455"/>
      <c r="AB77" s="455"/>
      <c r="AC77" s="102">
        <f>AC58/Y58-1</f>
        <v>5.7007621012021836E-2</v>
      </c>
      <c r="AD77" s="102">
        <f t="shared" ref="AD77:BF83" si="58">AD58/Z58-1</f>
        <v>3.4206065525019147E-2</v>
      </c>
      <c r="AE77" s="102">
        <f t="shared" si="58"/>
        <v>-1.2898611600807075E-2</v>
      </c>
      <c r="AF77" s="102">
        <f t="shared" si="58"/>
        <v>-5.9113992970033502E-3</v>
      </c>
      <c r="AG77" s="102">
        <f t="shared" si="58"/>
        <v>-5.0142962833937599E-2</v>
      </c>
      <c r="AH77" s="102">
        <f t="shared" si="58"/>
        <v>-0.84108641985584787</v>
      </c>
      <c r="AI77" s="102">
        <f t="shared" si="58"/>
        <v>-0.18790357114466893</v>
      </c>
      <c r="AJ77" s="102">
        <f t="shared" si="58"/>
        <v>0.35225114485684994</v>
      </c>
      <c r="AK77" s="102">
        <f t="shared" si="58"/>
        <v>3.2603372155510346E-2</v>
      </c>
      <c r="AL77" s="102">
        <f t="shared" si="58"/>
        <v>6.0889081283328617</v>
      </c>
      <c r="AM77" s="102">
        <f t="shared" si="58"/>
        <v>0.37099944810213903</v>
      </c>
      <c r="AN77" s="102">
        <f t="shared" si="58"/>
        <v>-0.33171963332603371</v>
      </c>
      <c r="AO77" s="102">
        <f t="shared" si="58"/>
        <v>0.28427213736337698</v>
      </c>
      <c r="AP77" s="102">
        <f t="shared" si="58"/>
        <v>0.17535474695729403</v>
      </c>
      <c r="AQ77" s="102">
        <f t="shared" si="58"/>
        <v>0.22767003040931733</v>
      </c>
      <c r="AR77" s="102">
        <f t="shared" si="58"/>
        <v>0.56644074258266164</v>
      </c>
      <c r="AS77" s="102">
        <f t="shared" si="58"/>
        <v>0.14834817942247613</v>
      </c>
      <c r="AT77" s="102">
        <f t="shared" si="58"/>
        <v>0.10086670820615939</v>
      </c>
      <c r="AU77" s="102">
        <f t="shared" si="58"/>
        <v>7.0491596645533949E-2</v>
      </c>
      <c r="AV77" s="102">
        <f t="shared" si="58"/>
        <v>7.6577498222150764E-2</v>
      </c>
      <c r="AW77" s="102">
        <f t="shared" si="58"/>
        <v>8.2138086365594942E-2</v>
      </c>
      <c r="AX77" s="102">
        <f t="shared" si="58"/>
        <v>8.2719211138155169E-2</v>
      </c>
      <c r="AY77" s="102">
        <f t="shared" si="58"/>
        <v>9.7466061941906323E-2</v>
      </c>
      <c r="AZ77" s="102">
        <f t="shared" si="58"/>
        <v>9.0411808468629173E-2</v>
      </c>
      <c r="BA77" s="102">
        <f t="shared" si="58"/>
        <v>9.3903663925268166E-2</v>
      </c>
      <c r="BB77" s="102">
        <f t="shared" si="58"/>
        <v>-5.3196286623705569E-2</v>
      </c>
      <c r="BC77" s="102">
        <f t="shared" si="58"/>
        <v>2.9309372529944477E-2</v>
      </c>
      <c r="BD77" s="102">
        <f t="shared" si="58"/>
        <v>0.12125507985173178</v>
      </c>
      <c r="BE77" s="102">
        <f t="shared" si="58"/>
        <v>-2.398227501528849E-2</v>
      </c>
      <c r="BF77" s="102">
        <f t="shared" si="58"/>
        <v>0.13921857302014673</v>
      </c>
    </row>
    <row r="78" spans="2:58" ht="13">
      <c r="B78" s="1" t="s">
        <v>421</v>
      </c>
      <c r="C78" s="455"/>
      <c r="D78" s="455"/>
      <c r="E78" s="455"/>
      <c r="F78" s="455"/>
      <c r="G78" s="102" t="e">
        <f t="shared" ref="G78:N83" si="59">G59/F59-1</f>
        <v>#DIV/0!</v>
      </c>
      <c r="H78" s="102">
        <f t="shared" si="59"/>
        <v>1225.4496439471006</v>
      </c>
      <c r="I78" s="102">
        <f t="shared" si="59"/>
        <v>-1</v>
      </c>
      <c r="J78" s="102" t="e">
        <f t="shared" si="59"/>
        <v>#DIV/0!</v>
      </c>
      <c r="K78" s="102" t="e">
        <f t="shared" si="59"/>
        <v>#DIV/0!</v>
      </c>
      <c r="L78" s="102" t="e">
        <f t="shared" si="59"/>
        <v>#DIV/0!</v>
      </c>
      <c r="M78" s="102" t="e">
        <f t="shared" si="59"/>
        <v>#DIV/0!</v>
      </c>
      <c r="N78" s="102" t="e">
        <f t="shared" si="59"/>
        <v>#DIV/0!</v>
      </c>
      <c r="O78" s="455"/>
      <c r="P78" s="413"/>
      <c r="Q78" s="455"/>
      <c r="R78" s="455"/>
      <c r="S78" s="455"/>
      <c r="T78" s="455"/>
      <c r="U78" s="455"/>
      <c r="V78" s="455"/>
      <c r="W78" s="455"/>
      <c r="X78" s="455"/>
      <c r="Y78" s="455"/>
      <c r="Z78" s="455"/>
      <c r="AA78" s="455"/>
      <c r="AB78" s="455"/>
      <c r="AC78" s="102" t="e">
        <f t="shared" ref="AC78:AC83" si="60">AC59/Y59-1</f>
        <v>#DIV/0!</v>
      </c>
      <c r="AD78" s="102" t="e">
        <f t="shared" si="58"/>
        <v>#DIV/0!</v>
      </c>
      <c r="AE78" s="102" t="e">
        <f t="shared" si="58"/>
        <v>#DIV/0!</v>
      </c>
      <c r="AF78" s="102">
        <f t="shared" si="58"/>
        <v>507.64699898270601</v>
      </c>
      <c r="AG78" s="102">
        <f t="shared" si="58"/>
        <v>0.35078534031413611</v>
      </c>
      <c r="AH78" s="102">
        <f t="shared" si="58"/>
        <v>4.2259321090706736</v>
      </c>
      <c r="AI78" s="102">
        <f t="shared" si="58"/>
        <v>2.4756980351602897</v>
      </c>
      <c r="AJ78" s="102">
        <f t="shared" si="58"/>
        <v>-6.5136000000000003</v>
      </c>
      <c r="AK78" s="102">
        <f t="shared" si="58"/>
        <v>-1</v>
      </c>
      <c r="AL78" s="102">
        <f t="shared" si="58"/>
        <v>-1</v>
      </c>
      <c r="AM78" s="102">
        <f t="shared" si="58"/>
        <v>-1</v>
      </c>
      <c r="AN78" s="102">
        <f t="shared" si="58"/>
        <v>-1</v>
      </c>
      <c r="AO78" s="102" t="e">
        <f t="shared" si="58"/>
        <v>#DIV/0!</v>
      </c>
      <c r="AP78" s="102" t="e">
        <f t="shared" si="58"/>
        <v>#DIV/0!</v>
      </c>
      <c r="AQ78" s="102" t="e">
        <f t="shared" si="58"/>
        <v>#DIV/0!</v>
      </c>
      <c r="AR78" s="102" t="e">
        <f t="shared" si="58"/>
        <v>#DIV/0!</v>
      </c>
      <c r="AS78" s="102" t="e">
        <f t="shared" si="58"/>
        <v>#DIV/0!</v>
      </c>
      <c r="AT78" s="102" t="e">
        <f t="shared" si="58"/>
        <v>#DIV/0!</v>
      </c>
      <c r="AU78" s="102" t="e">
        <f t="shared" si="58"/>
        <v>#DIV/0!</v>
      </c>
      <c r="AV78" s="102" t="e">
        <f t="shared" si="58"/>
        <v>#DIV/0!</v>
      </c>
      <c r="AW78" s="102" t="e">
        <f t="shared" si="58"/>
        <v>#DIV/0!</v>
      </c>
      <c r="AX78" s="102" t="e">
        <f t="shared" si="58"/>
        <v>#DIV/0!</v>
      </c>
      <c r="AY78" s="102" t="e">
        <f t="shared" si="58"/>
        <v>#DIV/0!</v>
      </c>
      <c r="AZ78" s="102" t="e">
        <f t="shared" si="58"/>
        <v>#DIV/0!</v>
      </c>
      <c r="BA78" s="102" t="e">
        <f t="shared" si="58"/>
        <v>#DIV/0!</v>
      </c>
      <c r="BB78" s="102" t="e">
        <f t="shared" si="58"/>
        <v>#DIV/0!</v>
      </c>
      <c r="BC78" s="102" t="e">
        <f t="shared" si="58"/>
        <v>#DIV/0!</v>
      </c>
      <c r="BD78" s="102" t="e">
        <f t="shared" si="58"/>
        <v>#DIV/0!</v>
      </c>
      <c r="BE78" s="102" t="e">
        <f t="shared" si="58"/>
        <v>#DIV/0!</v>
      </c>
      <c r="BF78" s="102" t="e">
        <f t="shared" si="58"/>
        <v>#DIV/0!</v>
      </c>
    </row>
    <row r="79" spans="2:58" ht="13">
      <c r="B79" s="1" t="s">
        <v>422</v>
      </c>
      <c r="C79" s="455"/>
      <c r="D79" s="455"/>
      <c r="E79" s="455"/>
      <c r="F79" s="455"/>
      <c r="G79" s="102">
        <f t="shared" si="59"/>
        <v>0.34270458005159887</v>
      </c>
      <c r="H79" s="102">
        <f t="shared" si="59"/>
        <v>5.7920348361625518E-2</v>
      </c>
      <c r="I79" s="102">
        <f t="shared" si="59"/>
        <v>-0.33537760135505001</v>
      </c>
      <c r="J79" s="102">
        <f t="shared" si="59"/>
        <v>0.50890277281468821</v>
      </c>
      <c r="K79" s="102">
        <f t="shared" si="59"/>
        <v>-0.93757747198963748</v>
      </c>
      <c r="L79" s="102">
        <f t="shared" si="59"/>
        <v>0.39225720050396928</v>
      </c>
      <c r="M79" s="102">
        <f t="shared" si="59"/>
        <v>0.27180707734094089</v>
      </c>
      <c r="N79" s="102">
        <f t="shared" si="59"/>
        <v>0.10575422188408568</v>
      </c>
      <c r="O79" s="455"/>
      <c r="P79" s="413"/>
      <c r="Q79" s="455"/>
      <c r="R79" s="455"/>
      <c r="S79" s="455"/>
      <c r="T79" s="455"/>
      <c r="U79" s="455"/>
      <c r="V79" s="455"/>
      <c r="W79" s="455"/>
      <c r="X79" s="455"/>
      <c r="Y79" s="455"/>
      <c r="Z79" s="455"/>
      <c r="AA79" s="455"/>
      <c r="AB79" s="455"/>
      <c r="AC79" s="102">
        <f t="shared" si="60"/>
        <v>5.8055346023297538E-2</v>
      </c>
      <c r="AD79" s="102">
        <f t="shared" si="58"/>
        <v>8.3440474566139677E-2</v>
      </c>
      <c r="AE79" s="102">
        <f t="shared" si="58"/>
        <v>5.2299826074750921E-2</v>
      </c>
      <c r="AF79" s="102">
        <f t="shared" si="58"/>
        <v>4.5933782268311241E-2</v>
      </c>
      <c r="AG79" s="102">
        <f t="shared" si="58"/>
        <v>2.4723996710389606E-2</v>
      </c>
      <c r="AH79" s="102">
        <f t="shared" si="58"/>
        <v>-0.90022455005432045</v>
      </c>
      <c r="AI79" s="102">
        <f t="shared" si="58"/>
        <v>-0.1888047214559363</v>
      </c>
      <c r="AJ79" s="102">
        <f t="shared" si="58"/>
        <v>-0.24866939006411948</v>
      </c>
      <c r="AK79" s="102">
        <f t="shared" si="58"/>
        <v>-0.14758361955177657</v>
      </c>
      <c r="AL79" s="102">
        <f t="shared" si="58"/>
        <v>9.3248289424967901</v>
      </c>
      <c r="AM79" s="102">
        <f t="shared" si="58"/>
        <v>0.21159803888091977</v>
      </c>
      <c r="AN79" s="102">
        <f t="shared" si="58"/>
        <v>0.41156190014361682</v>
      </c>
      <c r="AO79" s="102">
        <f t="shared" si="58"/>
        <v>-0.93469433642607958</v>
      </c>
      <c r="AP79" s="102">
        <f t="shared" si="58"/>
        <v>-0.92927840764879976</v>
      </c>
      <c r="AQ79" s="102">
        <f t="shared" si="58"/>
        <v>-0.93667986058553421</v>
      </c>
      <c r="AR79" s="102">
        <f t="shared" si="58"/>
        <v>-0.9440818018220225</v>
      </c>
      <c r="AS79" s="102">
        <f t="shared" si="58"/>
        <v>0.34248698465203131</v>
      </c>
      <c r="AT79" s="102">
        <f t="shared" si="58"/>
        <v>-0.66093653281354947</v>
      </c>
      <c r="AU79" s="102">
        <f t="shared" si="58"/>
        <v>0.14794073036985167</v>
      </c>
      <c r="AV79" s="102">
        <f t="shared" si="58"/>
        <v>1.3392527675276753</v>
      </c>
      <c r="AW79" s="102">
        <f t="shared" si="58"/>
        <v>0.37829105391207296</v>
      </c>
      <c r="AX79" s="102">
        <f t="shared" si="58"/>
        <v>4.0985540741316191</v>
      </c>
      <c r="AY79" s="102">
        <f t="shared" si="58"/>
        <v>0.50806879651274461</v>
      </c>
      <c r="AZ79" s="102">
        <f t="shared" si="58"/>
        <v>-0.23616748580406566</v>
      </c>
      <c r="BA79" s="102">
        <f t="shared" si="58"/>
        <v>0.10025578323073892</v>
      </c>
      <c r="BB79" s="102">
        <f t="shared" si="58"/>
        <v>9.9876505588103104</v>
      </c>
      <c r="BC79" s="102">
        <f t="shared" si="58"/>
        <v>9.3559281419189677E-2</v>
      </c>
      <c r="BD79" s="102">
        <f t="shared" si="58"/>
        <v>-7.0091737954330098</v>
      </c>
      <c r="BE79" s="102">
        <f t="shared" si="58"/>
        <v>0.20322758648879269</v>
      </c>
      <c r="BF79" s="102">
        <f t="shared" si="58"/>
        <v>-0.89435170740162939</v>
      </c>
    </row>
    <row r="80" spans="2:58" ht="13">
      <c r="B80" s="1" t="s">
        <v>423</v>
      </c>
      <c r="C80" s="455"/>
      <c r="D80" s="455"/>
      <c r="E80" s="455"/>
      <c r="F80" s="455"/>
      <c r="G80" s="102" t="e">
        <f t="shared" si="59"/>
        <v>#DIV/0!</v>
      </c>
      <c r="H80" s="102" t="e">
        <f t="shared" si="59"/>
        <v>#DIV/0!</v>
      </c>
      <c r="I80" s="102" t="e">
        <f t="shared" si="59"/>
        <v>#DIV/0!</v>
      </c>
      <c r="J80" s="102" t="e">
        <f t="shared" si="59"/>
        <v>#DIV/0!</v>
      </c>
      <c r="K80" s="102">
        <f t="shared" si="59"/>
        <v>0.18507031535747887</v>
      </c>
      <c r="L80" s="102">
        <f t="shared" si="59"/>
        <v>0.23246686009170037</v>
      </c>
      <c r="M80" s="102">
        <f t="shared" si="59"/>
        <v>0.18381422597393149</v>
      </c>
      <c r="N80" s="102">
        <f t="shared" si="59"/>
        <v>0.15346782681046234</v>
      </c>
      <c r="O80" s="455"/>
      <c r="P80" s="413"/>
      <c r="Q80" s="455"/>
      <c r="R80" s="455"/>
      <c r="S80" s="455"/>
      <c r="T80" s="455"/>
      <c r="U80" s="455"/>
      <c r="V80" s="455"/>
      <c r="W80" s="455"/>
      <c r="X80" s="455"/>
      <c r="Y80" s="455"/>
      <c r="Z80" s="455"/>
      <c r="AA80" s="455"/>
      <c r="AB80" s="455"/>
      <c r="AC80" s="102" t="e">
        <f t="shared" si="60"/>
        <v>#DIV/0!</v>
      </c>
      <c r="AD80" s="102" t="e">
        <f t="shared" si="58"/>
        <v>#DIV/0!</v>
      </c>
      <c r="AE80" s="102" t="e">
        <f t="shared" si="58"/>
        <v>#DIV/0!</v>
      </c>
      <c r="AF80" s="102" t="e">
        <f t="shared" si="58"/>
        <v>#DIV/0!</v>
      </c>
      <c r="AG80" s="102" t="e">
        <f t="shared" si="58"/>
        <v>#DIV/0!</v>
      </c>
      <c r="AH80" s="102" t="e">
        <f t="shared" si="58"/>
        <v>#DIV/0!</v>
      </c>
      <c r="AI80" s="102" t="e">
        <f t="shared" si="58"/>
        <v>#DIV/0!</v>
      </c>
      <c r="AJ80" s="102" t="e">
        <f t="shared" si="58"/>
        <v>#DIV/0!</v>
      </c>
      <c r="AK80" s="102" t="e">
        <f t="shared" si="58"/>
        <v>#DIV/0!</v>
      </c>
      <c r="AL80" s="102" t="e">
        <f t="shared" si="58"/>
        <v>#DIV/0!</v>
      </c>
      <c r="AM80" s="102" t="e">
        <f t="shared" si="58"/>
        <v>#DIV/0!</v>
      </c>
      <c r="AN80" s="102" t="e">
        <f t="shared" si="58"/>
        <v>#DIV/0!</v>
      </c>
      <c r="AO80" s="102" t="e">
        <f t="shared" si="58"/>
        <v>#DIV/0!</v>
      </c>
      <c r="AP80" s="102" t="e">
        <f t="shared" si="58"/>
        <v>#DIV/0!</v>
      </c>
      <c r="AQ80" s="102" t="e">
        <f t="shared" si="58"/>
        <v>#DIV/0!</v>
      </c>
      <c r="AR80" s="102">
        <f t="shared" si="58"/>
        <v>-0.63482142263964003</v>
      </c>
      <c r="AS80" s="102">
        <f t="shared" si="58"/>
        <v>0.27261089408080763</v>
      </c>
      <c r="AT80" s="102">
        <f t="shared" si="58"/>
        <v>0.26706329898519421</v>
      </c>
      <c r="AU80" s="102">
        <f t="shared" si="58"/>
        <v>0.27616915076233117</v>
      </c>
      <c r="AV80" s="102">
        <f t="shared" si="58"/>
        <v>0.14388253972780696</v>
      </c>
      <c r="AW80" s="102">
        <f t="shared" si="58"/>
        <v>0.21963335934907979</v>
      </c>
      <c r="AX80" s="102">
        <f t="shared" si="58"/>
        <v>0.18428691815719067</v>
      </c>
      <c r="AY80" s="102">
        <f t="shared" si="58"/>
        <v>0.16313760701960267</v>
      </c>
      <c r="AZ80" s="102">
        <f t="shared" si="58"/>
        <v>0.17372491942493196</v>
      </c>
      <c r="BA80" s="102">
        <f t="shared" si="58"/>
        <v>0.16795677162682732</v>
      </c>
      <c r="BB80" s="102">
        <f t="shared" si="58"/>
        <v>0.15733928415843867</v>
      </c>
      <c r="BC80" s="102">
        <f t="shared" si="58"/>
        <v>0.15681168332249062</v>
      </c>
      <c r="BD80" s="102">
        <f t="shared" si="58"/>
        <v>0.13564142247952415</v>
      </c>
      <c r="BE80" s="102">
        <f t="shared" si="58"/>
        <v>0.11589803923412267</v>
      </c>
      <c r="BF80" s="102">
        <f t="shared" si="58"/>
        <v>9.8860554137805368E-2</v>
      </c>
    </row>
    <row r="81" spans="2:58" ht="13">
      <c r="B81" s="1" t="s">
        <v>424</v>
      </c>
      <c r="C81" s="455"/>
      <c r="D81" s="455"/>
      <c r="E81" s="455"/>
      <c r="F81" s="455"/>
      <c r="G81" s="102">
        <f t="shared" si="59"/>
        <v>0.11862362537622251</v>
      </c>
      <c r="H81" s="102">
        <f t="shared" si="59"/>
        <v>2.3329088486905292E-2</v>
      </c>
      <c r="I81" s="102">
        <f t="shared" si="59"/>
        <v>-0.27417822935706226</v>
      </c>
      <c r="J81" s="102">
        <f t="shared" si="59"/>
        <v>0.19807225178593924</v>
      </c>
      <c r="K81" s="102">
        <f t="shared" si="59"/>
        <v>0.20447515532171434</v>
      </c>
      <c r="L81" s="102">
        <f t="shared" si="59"/>
        <v>0.21838729629213671</v>
      </c>
      <c r="M81" s="102">
        <f t="shared" si="59"/>
        <v>7.2556764705103971E-2</v>
      </c>
      <c r="N81" s="102">
        <f t="shared" si="59"/>
        <v>8.7000530048485514E-2</v>
      </c>
      <c r="O81" s="455"/>
      <c r="P81" s="413"/>
      <c r="Q81" s="455"/>
      <c r="R81" s="455"/>
      <c r="S81" s="455"/>
      <c r="T81" s="455"/>
      <c r="U81" s="455"/>
      <c r="V81" s="455"/>
      <c r="W81" s="455"/>
      <c r="X81" s="455"/>
      <c r="Y81" s="455"/>
      <c r="Z81" s="455"/>
      <c r="AA81" s="455"/>
      <c r="AB81" s="455"/>
      <c r="AC81" s="102">
        <f t="shared" si="60"/>
        <v>5.6264957347434974E-2</v>
      </c>
      <c r="AD81" s="102">
        <f t="shared" si="58"/>
        <v>-4.601506348941764E-2</v>
      </c>
      <c r="AE81" s="102">
        <f t="shared" si="58"/>
        <v>8.7588659060693352E-2</v>
      </c>
      <c r="AF81" s="102">
        <f t="shared" si="58"/>
        <v>5.6267950412722811E-3</v>
      </c>
      <c r="AG81" s="102">
        <f t="shared" si="58"/>
        <v>3.4980112348387271E-2</v>
      </c>
      <c r="AH81" s="102">
        <f t="shared" si="58"/>
        <v>-0.58661512079184075</v>
      </c>
      <c r="AI81" s="102">
        <f t="shared" si="58"/>
        <v>-0.3476507197545593</v>
      </c>
      <c r="AJ81" s="102">
        <f t="shared" si="58"/>
        <v>-0.20577193780608527</v>
      </c>
      <c r="AK81" s="102">
        <f t="shared" si="58"/>
        <v>-0.3228401191658391</v>
      </c>
      <c r="AL81" s="102">
        <f t="shared" si="58"/>
        <v>1.1323291896779022</v>
      </c>
      <c r="AM81" s="102">
        <f t="shared" si="58"/>
        <v>0.40547941862451475</v>
      </c>
      <c r="AN81" s="102">
        <f t="shared" si="58"/>
        <v>0.22415587076183252</v>
      </c>
      <c r="AO81" s="102">
        <f t="shared" si="58"/>
        <v>0.43436313568297735</v>
      </c>
      <c r="AP81" s="102">
        <f t="shared" si="58"/>
        <v>0.15216971806857882</v>
      </c>
      <c r="AQ81" s="102">
        <f t="shared" si="58"/>
        <v>0.17098378120942037</v>
      </c>
      <c r="AR81" s="102">
        <f t="shared" si="58"/>
        <v>0.12274128553497876</v>
      </c>
      <c r="AS81" s="102">
        <f t="shared" si="58"/>
        <v>0.17304775850493526</v>
      </c>
      <c r="AT81" s="102">
        <f t="shared" si="58"/>
        <v>0.46130515972979413</v>
      </c>
      <c r="AU81" s="102">
        <f t="shared" si="58"/>
        <v>0.15848451886301884</v>
      </c>
      <c r="AV81" s="102">
        <f t="shared" si="58"/>
        <v>0.1039067763284991</v>
      </c>
      <c r="AW81" s="102">
        <f t="shared" si="58"/>
        <v>0.11538290203309276</v>
      </c>
      <c r="AX81" s="102">
        <f t="shared" si="58"/>
        <v>-7.0387318151021172E-2</v>
      </c>
      <c r="AY81" s="102">
        <f t="shared" si="58"/>
        <v>0.11883172332329472</v>
      </c>
      <c r="AZ81" s="102">
        <f t="shared" si="58"/>
        <v>0.15117540301625954</v>
      </c>
      <c r="BA81" s="102">
        <f t="shared" si="58"/>
        <v>0.14325467111203727</v>
      </c>
      <c r="BB81" s="102">
        <f t="shared" si="58"/>
        <v>6.9351872120613001E-2</v>
      </c>
      <c r="BC81" s="102">
        <f t="shared" si="58"/>
        <v>7.2770923663011633E-2</v>
      </c>
      <c r="BD81" s="102">
        <f t="shared" si="58"/>
        <v>6.6678396174945087E-2</v>
      </c>
      <c r="BE81" s="102">
        <f t="shared" si="58"/>
        <v>4.3749216824694015E-2</v>
      </c>
      <c r="BF81" s="102">
        <f t="shared" si="58"/>
        <v>8.6301960784313847E-2</v>
      </c>
    </row>
    <row r="82" spans="2:58" ht="13">
      <c r="B82" s="1" t="s">
        <v>425</v>
      </c>
      <c r="C82" s="455"/>
      <c r="D82" s="455"/>
      <c r="E82" s="455"/>
      <c r="F82" s="455"/>
      <c r="G82" s="102" t="e">
        <f t="shared" si="59"/>
        <v>#DIV/0!</v>
      </c>
      <c r="H82" s="102" t="e">
        <f t="shared" si="59"/>
        <v>#DIV/0!</v>
      </c>
      <c r="I82" s="102" t="e">
        <f t="shared" si="59"/>
        <v>#DIV/0!</v>
      </c>
      <c r="J82" s="102" t="e">
        <f t="shared" si="59"/>
        <v>#DIV/0!</v>
      </c>
      <c r="K82" s="102" t="e">
        <f t="shared" si="59"/>
        <v>#DIV/0!</v>
      </c>
      <c r="L82" s="102">
        <f t="shared" si="59"/>
        <v>2.1843039628902616</v>
      </c>
      <c r="M82" s="102">
        <f t="shared" si="59"/>
        <v>-0.12201634470747258</v>
      </c>
      <c r="N82" s="102">
        <f t="shared" si="59"/>
        <v>0.45344939315829058</v>
      </c>
      <c r="O82" s="455"/>
      <c r="P82" s="413"/>
      <c r="Q82" s="455"/>
      <c r="R82" s="455"/>
      <c r="S82" s="455"/>
      <c r="T82" s="455"/>
      <c r="U82" s="455"/>
      <c r="V82" s="455"/>
      <c r="W82" s="455"/>
      <c r="X82" s="455"/>
      <c r="Y82" s="455"/>
      <c r="Z82" s="455"/>
      <c r="AA82" s="455"/>
      <c r="AB82" s="455"/>
      <c r="AC82" s="102" t="e">
        <f t="shared" si="60"/>
        <v>#DIV/0!</v>
      </c>
      <c r="AD82" s="102" t="e">
        <f t="shared" si="58"/>
        <v>#DIV/0!</v>
      </c>
      <c r="AE82" s="102" t="e">
        <f t="shared" si="58"/>
        <v>#DIV/0!</v>
      </c>
      <c r="AF82" s="102" t="e">
        <f t="shared" si="58"/>
        <v>#DIV/0!</v>
      </c>
      <c r="AG82" s="102" t="e">
        <f t="shared" si="58"/>
        <v>#DIV/0!</v>
      </c>
      <c r="AH82" s="102" t="e">
        <f t="shared" si="58"/>
        <v>#DIV/0!</v>
      </c>
      <c r="AI82" s="102" t="e">
        <f t="shared" si="58"/>
        <v>#DIV/0!</v>
      </c>
      <c r="AJ82" s="102" t="e">
        <f t="shared" si="58"/>
        <v>#DIV/0!</v>
      </c>
      <c r="AK82" s="102" t="e">
        <f t="shared" si="58"/>
        <v>#DIV/0!</v>
      </c>
      <c r="AL82" s="102" t="e">
        <f t="shared" si="58"/>
        <v>#DIV/0!</v>
      </c>
      <c r="AM82" s="102" t="e">
        <f t="shared" si="58"/>
        <v>#DIV/0!</v>
      </c>
      <c r="AN82" s="102" t="e">
        <f t="shared" si="58"/>
        <v>#DIV/0!</v>
      </c>
      <c r="AO82" s="102" t="e">
        <f t="shared" si="58"/>
        <v>#DIV/0!</v>
      </c>
      <c r="AP82" s="102" t="e">
        <f t="shared" si="58"/>
        <v>#DIV/0!</v>
      </c>
      <c r="AQ82" s="102" t="e">
        <f t="shared" si="58"/>
        <v>#DIV/0!</v>
      </c>
      <c r="AR82" s="102" t="e">
        <f t="shared" si="58"/>
        <v>#DIV/0!</v>
      </c>
      <c r="AS82" s="102">
        <f t="shared" si="58"/>
        <v>2.069807976366322</v>
      </c>
      <c r="AT82" s="102">
        <f t="shared" si="58"/>
        <v>3.0126353366683114</v>
      </c>
      <c r="AU82" s="102">
        <f t="shared" si="58"/>
        <v>1.8291064136243467</v>
      </c>
      <c r="AV82" s="102">
        <f t="shared" si="58"/>
        <v>2.2995017731653742</v>
      </c>
      <c r="AW82" s="102">
        <f t="shared" si="58"/>
        <v>-0.10346636128299624</v>
      </c>
      <c r="AX82" s="102">
        <f t="shared" si="58"/>
        <v>0.61100705865826965</v>
      </c>
      <c r="AY82" s="102">
        <f t="shared" si="58"/>
        <v>-0.21496281425641506</v>
      </c>
      <c r="AZ82" s="102">
        <f t="shared" si="58"/>
        <v>-0.33514006571934141</v>
      </c>
      <c r="BA82" s="102">
        <f t="shared" si="58"/>
        <v>0.38125727902620721</v>
      </c>
      <c r="BB82" s="102">
        <f t="shared" si="58"/>
        <v>1.9428113657914525</v>
      </c>
      <c r="BC82" s="102">
        <f t="shared" si="58"/>
        <v>-4.3517512021666649E-2</v>
      </c>
      <c r="BD82" s="102">
        <f t="shared" si="58"/>
        <v>-0.41145103276824269</v>
      </c>
      <c r="BE82" s="102">
        <f t="shared" si="58"/>
        <v>0.32531084861672355</v>
      </c>
      <c r="BF82" s="102">
        <f t="shared" si="58"/>
        <v>-0.77125679012345683</v>
      </c>
    </row>
    <row r="83" spans="2:58" ht="13">
      <c r="B83" s="5" t="s">
        <v>413</v>
      </c>
      <c r="C83" s="455"/>
      <c r="D83" s="455"/>
      <c r="E83" s="455"/>
      <c r="F83" s="455"/>
      <c r="G83" s="454">
        <f t="shared" si="59"/>
        <v>0.10941033228437291</v>
      </c>
      <c r="H83" s="454">
        <f t="shared" si="59"/>
        <v>6.418100107772351E-2</v>
      </c>
      <c r="I83" s="454">
        <f t="shared" si="59"/>
        <v>-0.1994055375773397</v>
      </c>
      <c r="J83" s="454">
        <f t="shared" si="59"/>
        <v>0.30785843842173133</v>
      </c>
      <c r="K83" s="454">
        <f t="shared" si="59"/>
        <v>0.16561836840118627</v>
      </c>
      <c r="L83" s="454">
        <f t="shared" si="59"/>
        <v>0.11337545442998098</v>
      </c>
      <c r="M83" s="454">
        <f t="shared" si="59"/>
        <v>9.6209458911414858E-2</v>
      </c>
      <c r="N83" s="454">
        <f t="shared" si="59"/>
        <v>6.6506239663878253E-2</v>
      </c>
      <c r="O83" s="455"/>
      <c r="P83" s="413"/>
      <c r="Q83" s="455"/>
      <c r="R83" s="455"/>
      <c r="S83" s="455"/>
      <c r="T83" s="455"/>
      <c r="U83" s="455"/>
      <c r="V83" s="455"/>
      <c r="W83" s="455"/>
      <c r="X83" s="455"/>
      <c r="Y83" s="455"/>
      <c r="Z83" s="455"/>
      <c r="AA83" s="455"/>
      <c r="AB83" s="455"/>
      <c r="AC83" s="454">
        <f t="shared" si="60"/>
        <v>8.7357951902737208E-2</v>
      </c>
      <c r="AD83" s="454">
        <f t="shared" si="58"/>
        <v>9.285055210481219E-2</v>
      </c>
      <c r="AE83" s="454">
        <f t="shared" si="58"/>
        <v>3.0824155801514763E-2</v>
      </c>
      <c r="AF83" s="454">
        <f t="shared" si="58"/>
        <v>5.2907209772620867E-2</v>
      </c>
      <c r="AG83" s="454">
        <f t="shared" si="58"/>
        <v>-2.7091878868983343E-2</v>
      </c>
      <c r="AH83" s="454">
        <f t="shared" si="58"/>
        <v>-0.58651696703750889</v>
      </c>
      <c r="AI83" s="454">
        <f t="shared" si="58"/>
        <v>-0.10723319083351324</v>
      </c>
      <c r="AJ83" s="454">
        <f t="shared" si="58"/>
        <v>-7.5889247344199107E-2</v>
      </c>
      <c r="AK83" s="454">
        <f t="shared" si="58"/>
        <v>-4.2612197363292248E-2</v>
      </c>
      <c r="AL83" s="454">
        <f t="shared" si="58"/>
        <v>1.5455914557611625</v>
      </c>
      <c r="AM83" s="454">
        <f t="shared" si="58"/>
        <v>0.1826537756163884</v>
      </c>
      <c r="AN83" s="454">
        <f t="shared" si="58"/>
        <v>0.19071898755263494</v>
      </c>
      <c r="AO83" s="454">
        <f t="shared" si="58"/>
        <v>0.26031290938725427</v>
      </c>
      <c r="AP83" s="454">
        <f t="shared" si="58"/>
        <v>0.13379577686986988</v>
      </c>
      <c r="AQ83" s="454">
        <f t="shared" si="58"/>
        <v>0.19557789707595896</v>
      </c>
      <c r="AR83" s="454">
        <f t="shared" si="58"/>
        <v>0.1267034923129593</v>
      </c>
      <c r="AS83" s="454">
        <f t="shared" si="58"/>
        <v>0.16506562378960443</v>
      </c>
      <c r="AT83" s="454">
        <f t="shared" si="58"/>
        <v>0.1181121144286541</v>
      </c>
      <c r="AU83" s="454">
        <f t="shared" si="58"/>
        <v>9.5858265908908225E-2</v>
      </c>
      <c r="AV83" s="454">
        <f t="shared" si="58"/>
        <v>9.4350945280783582E-2</v>
      </c>
      <c r="AW83" s="454">
        <f t="shared" si="58"/>
        <v>9.7175422303883874E-2</v>
      </c>
      <c r="AX83" s="454">
        <f t="shared" si="58"/>
        <v>9.7722535483858897E-2</v>
      </c>
      <c r="AY83" s="454">
        <f t="shared" si="58"/>
        <v>0.1043976306894161</v>
      </c>
      <c r="AZ83" s="454">
        <f t="shared" si="58"/>
        <v>8.9703834474280875E-2</v>
      </c>
      <c r="BA83" s="454">
        <f t="shared" si="58"/>
        <v>0.10448860165962248</v>
      </c>
      <c r="BB83" s="454">
        <f t="shared" si="58"/>
        <v>8.0144298732719887E-2</v>
      </c>
      <c r="BC83" s="454">
        <f t="shared" si="58"/>
        <v>4.3569043008390818E-2</v>
      </c>
      <c r="BD83" s="454">
        <f t="shared" si="58"/>
        <v>5.0289502528102936E-2</v>
      </c>
      <c r="BE83" s="454">
        <f t="shared" si="58"/>
        <v>-2.4106582499913154E-3</v>
      </c>
      <c r="BF83" s="454">
        <f t="shared" si="58"/>
        <v>1.5352403232667067E-2</v>
      </c>
    </row>
    <row r="84" spans="2:58">
      <c r="B84" s="80"/>
      <c r="C84" s="410"/>
      <c r="D84" s="410"/>
      <c r="E84" s="410"/>
      <c r="F84" s="410"/>
      <c r="G84" s="410"/>
      <c r="H84" s="410"/>
      <c r="I84" s="410"/>
      <c r="J84" s="410"/>
      <c r="K84" s="410"/>
      <c r="L84" s="413"/>
      <c r="M84" s="413"/>
      <c r="N84" s="413"/>
      <c r="O84" s="413"/>
      <c r="P84" s="413"/>
      <c r="Q84" s="413"/>
      <c r="R84" s="413"/>
      <c r="S84" s="413"/>
      <c r="T84" s="413"/>
      <c r="U84" s="413"/>
      <c r="V84" s="413"/>
      <c r="W84" s="413"/>
      <c r="X84" s="452"/>
      <c r="Y84" s="413"/>
      <c r="Z84" s="413"/>
      <c r="AA84" s="413"/>
      <c r="AB84" s="413"/>
      <c r="AC84" s="413"/>
      <c r="AD84" s="413"/>
      <c r="AE84" s="413"/>
      <c r="AF84" s="413"/>
      <c r="AG84" s="413"/>
      <c r="AH84" s="413"/>
      <c r="AI84" s="413"/>
      <c r="AJ84" s="413"/>
      <c r="AK84" s="413"/>
      <c r="AL84" s="413"/>
      <c r="AM84" s="413"/>
      <c r="AN84" s="413"/>
      <c r="AO84" s="413"/>
      <c r="AP84" s="413"/>
      <c r="AQ84" s="413"/>
      <c r="AR84" s="413"/>
      <c r="AS84" s="413"/>
      <c r="AT84" s="413"/>
      <c r="AU84" s="413"/>
      <c r="AV84" s="413"/>
      <c r="AW84" s="413"/>
      <c r="AX84" s="413"/>
      <c r="AY84" s="413"/>
      <c r="AZ84" s="413"/>
      <c r="BA84" s="413"/>
      <c r="BB84" s="413"/>
      <c r="BC84" s="413"/>
      <c r="BD84" s="413"/>
      <c r="BE84" s="413"/>
      <c r="BF84" s="413"/>
    </row>
    <row r="85" spans="2:58">
      <c r="B85" s="80"/>
      <c r="C85" s="410"/>
      <c r="D85" s="410"/>
      <c r="E85" s="410"/>
      <c r="F85" s="410"/>
      <c r="G85" s="410"/>
      <c r="H85" s="410"/>
      <c r="I85" s="410"/>
      <c r="J85" s="410"/>
      <c r="K85" s="410"/>
      <c r="L85" s="413"/>
      <c r="M85" s="413"/>
      <c r="N85" s="413"/>
      <c r="O85" s="413"/>
      <c r="P85" s="413"/>
      <c r="Q85" s="413"/>
      <c r="R85" s="413"/>
      <c r="S85" s="413"/>
      <c r="T85" s="413"/>
      <c r="U85" s="413"/>
      <c r="V85" s="413"/>
      <c r="W85" s="413"/>
      <c r="X85" s="452"/>
      <c r="Y85" s="413"/>
      <c r="Z85" s="413"/>
      <c r="AA85" s="413"/>
      <c r="AB85" s="413"/>
      <c r="AC85" s="413"/>
      <c r="AD85" s="413"/>
      <c r="AE85" s="413"/>
      <c r="AF85" s="413"/>
      <c r="AG85" s="413"/>
      <c r="AH85" s="413"/>
      <c r="AI85" s="413"/>
      <c r="AJ85" s="413"/>
      <c r="AK85" s="413"/>
      <c r="AL85" s="413"/>
      <c r="AM85" s="413"/>
      <c r="AN85" s="413"/>
      <c r="AO85" s="413"/>
      <c r="AP85" s="413"/>
      <c r="AQ85" s="413"/>
      <c r="AR85" s="413"/>
      <c r="AS85" s="413"/>
      <c r="AT85" s="413"/>
      <c r="AU85" s="413"/>
      <c r="AV85" s="413"/>
      <c r="AW85" s="413"/>
      <c r="AX85" s="413"/>
      <c r="AY85" s="413"/>
      <c r="AZ85" s="413"/>
      <c r="BA85" s="413"/>
      <c r="BB85" s="413"/>
      <c r="BC85" s="413"/>
      <c r="BD85" s="413"/>
      <c r="BE85" s="413"/>
      <c r="BF85" s="413"/>
    </row>
    <row r="86" spans="2:58">
      <c r="B86" s="80"/>
      <c r="C86" s="410"/>
      <c r="D86" s="410"/>
      <c r="E86" s="410"/>
      <c r="F86" s="410"/>
      <c r="G86" s="410"/>
      <c r="H86" s="410"/>
      <c r="I86" s="410"/>
      <c r="J86" s="410"/>
      <c r="K86" s="410"/>
      <c r="L86" s="413"/>
      <c r="M86" s="413"/>
      <c r="N86" s="413"/>
      <c r="O86" s="413"/>
      <c r="P86" s="413"/>
      <c r="Q86" s="413"/>
      <c r="R86" s="413"/>
      <c r="S86" s="413"/>
      <c r="T86" s="413"/>
      <c r="U86" s="413"/>
      <c r="V86" s="413"/>
      <c r="W86" s="413"/>
      <c r="X86" s="452"/>
      <c r="Y86" s="413"/>
      <c r="Z86" s="413"/>
      <c r="AA86" s="413"/>
      <c r="AB86" s="413"/>
      <c r="AC86" s="413"/>
      <c r="AD86" s="413"/>
      <c r="AE86" s="413"/>
      <c r="AF86" s="413"/>
      <c r="AG86" s="413"/>
      <c r="AH86" s="413"/>
      <c r="AI86" s="413"/>
      <c r="AJ86" s="413"/>
      <c r="AK86" s="413"/>
      <c r="AL86" s="413"/>
      <c r="AM86" s="413"/>
      <c r="AN86" s="413"/>
      <c r="AO86" s="413"/>
      <c r="AP86" s="413"/>
      <c r="AQ86" s="413"/>
      <c r="AR86" s="413"/>
      <c r="AS86" s="413"/>
      <c r="AT86" s="413"/>
      <c r="AU86" s="413"/>
      <c r="AV86" s="413"/>
      <c r="AW86" s="413"/>
      <c r="AX86" s="413"/>
      <c r="AY86" s="413"/>
      <c r="AZ86" s="413"/>
      <c r="BA86" s="413"/>
      <c r="BB86" s="413"/>
      <c r="BC86" s="413"/>
      <c r="BD86" s="413"/>
      <c r="BE86" s="413"/>
      <c r="BF86" s="413"/>
    </row>
    <row r="87" spans="2:58">
      <c r="B87" s="80"/>
      <c r="C87" s="410"/>
      <c r="D87" s="410"/>
      <c r="E87" s="410"/>
      <c r="F87" s="410"/>
      <c r="G87" s="410"/>
      <c r="H87" s="410"/>
      <c r="I87" s="410"/>
      <c r="J87" s="410"/>
      <c r="K87" s="410"/>
      <c r="L87" s="413"/>
      <c r="M87" s="413"/>
      <c r="N87" s="413"/>
      <c r="O87" s="413"/>
      <c r="P87" s="413"/>
      <c r="Q87" s="413"/>
      <c r="R87" s="413"/>
      <c r="S87" s="413"/>
      <c r="T87" s="413"/>
      <c r="U87" s="413"/>
      <c r="V87" s="413"/>
      <c r="W87" s="413"/>
      <c r="X87" s="452"/>
      <c r="Y87" s="413"/>
      <c r="Z87" s="413"/>
      <c r="AA87" s="413"/>
      <c r="AB87" s="413"/>
      <c r="AC87" s="413"/>
      <c r="AD87" s="413"/>
      <c r="AE87" s="413"/>
      <c r="AF87" s="413"/>
      <c r="AG87" s="413"/>
      <c r="AH87" s="413"/>
      <c r="AI87" s="413"/>
      <c r="AJ87" s="413"/>
      <c r="AK87" s="413"/>
      <c r="AL87" s="413"/>
      <c r="AM87" s="413"/>
      <c r="AN87" s="413"/>
      <c r="AO87" s="413"/>
      <c r="AP87" s="413"/>
      <c r="AQ87" s="413"/>
      <c r="AR87" s="413"/>
      <c r="AS87" s="413"/>
      <c r="AT87" s="413"/>
      <c r="AU87" s="413"/>
      <c r="AV87" s="413"/>
      <c r="AW87" s="413"/>
      <c r="AX87" s="413"/>
      <c r="AY87" s="413"/>
      <c r="AZ87" s="413"/>
      <c r="BA87" s="413"/>
      <c r="BB87" s="413"/>
      <c r="BC87" s="413"/>
      <c r="BD87" s="413"/>
      <c r="BE87" s="413"/>
      <c r="BF87" s="413"/>
    </row>
    <row r="88" spans="2:58">
      <c r="B88" s="80"/>
      <c r="C88" s="410"/>
      <c r="D88" s="410"/>
      <c r="E88" s="410"/>
      <c r="F88" s="410"/>
      <c r="G88" s="410"/>
      <c r="H88" s="410"/>
      <c r="I88" s="410"/>
      <c r="J88" s="410"/>
      <c r="K88" s="410"/>
      <c r="L88" s="413"/>
      <c r="M88" s="413"/>
      <c r="N88" s="413"/>
      <c r="O88" s="413"/>
      <c r="P88" s="413"/>
      <c r="Q88" s="413"/>
      <c r="R88" s="413"/>
      <c r="S88" s="413"/>
      <c r="T88" s="413"/>
      <c r="U88" s="413"/>
      <c r="V88" s="413"/>
      <c r="W88" s="413"/>
      <c r="X88" s="452"/>
      <c r="Y88" s="413"/>
      <c r="Z88" s="413"/>
      <c r="AA88" s="413"/>
      <c r="AB88" s="413"/>
      <c r="AC88" s="413"/>
      <c r="AD88" s="413"/>
      <c r="AE88" s="413"/>
      <c r="AF88" s="413"/>
      <c r="AG88" s="413"/>
      <c r="AH88" s="413"/>
      <c r="AI88" s="413"/>
      <c r="AJ88" s="413"/>
      <c r="AK88" s="413"/>
      <c r="AL88" s="413"/>
      <c r="AM88" s="413"/>
      <c r="AN88" s="413"/>
      <c r="AO88" s="413"/>
      <c r="AP88" s="413"/>
      <c r="AQ88" s="413"/>
      <c r="AR88" s="413"/>
      <c r="AS88" s="413"/>
      <c r="AT88" s="413"/>
      <c r="AU88" s="413"/>
      <c r="AV88" s="413"/>
      <c r="AW88" s="413"/>
      <c r="AX88" s="413"/>
      <c r="AY88" s="413"/>
      <c r="AZ88" s="413"/>
      <c r="BA88" s="413"/>
      <c r="BB88" s="413"/>
      <c r="BC88" s="413"/>
      <c r="BD88" s="413"/>
      <c r="BE88" s="413"/>
      <c r="BF88" s="413"/>
    </row>
    <row r="89" spans="2:58">
      <c r="B89" s="80"/>
      <c r="C89" s="410"/>
      <c r="D89" s="410"/>
      <c r="E89" s="410"/>
      <c r="F89" s="410"/>
      <c r="G89" s="410"/>
      <c r="H89" s="410"/>
      <c r="I89" s="410"/>
      <c r="J89" s="410"/>
      <c r="K89" s="410"/>
      <c r="L89" s="413"/>
      <c r="M89" s="413"/>
      <c r="N89" s="413"/>
      <c r="O89" s="413"/>
      <c r="P89" s="413"/>
      <c r="Q89" s="413"/>
      <c r="R89" s="413"/>
      <c r="S89" s="413"/>
      <c r="T89" s="413"/>
      <c r="U89" s="413"/>
      <c r="V89" s="413"/>
      <c r="W89" s="413"/>
      <c r="X89" s="452"/>
      <c r="Y89" s="413"/>
      <c r="Z89" s="413"/>
      <c r="AA89" s="413"/>
      <c r="AB89" s="413"/>
      <c r="AC89" s="413"/>
      <c r="AD89" s="413"/>
      <c r="AE89" s="413"/>
      <c r="AF89" s="413"/>
      <c r="AG89" s="413"/>
      <c r="AH89" s="413"/>
      <c r="AI89" s="413"/>
      <c r="AJ89" s="413"/>
      <c r="AK89" s="413"/>
      <c r="AL89" s="413"/>
      <c r="AM89" s="413"/>
      <c r="AN89" s="413"/>
      <c r="AO89" s="413"/>
      <c r="AP89" s="413"/>
      <c r="AQ89" s="413"/>
      <c r="AR89" s="413"/>
      <c r="AS89" s="413"/>
      <c r="AT89" s="413"/>
      <c r="AU89" s="413"/>
      <c r="AV89" s="413"/>
      <c r="AW89" s="413"/>
      <c r="AX89" s="413"/>
      <c r="AY89" s="413"/>
      <c r="AZ89" s="413"/>
      <c r="BA89" s="413"/>
      <c r="BB89" s="413"/>
      <c r="BC89" s="413"/>
      <c r="BD89" s="413"/>
      <c r="BE89" s="413"/>
      <c r="BF89" s="413"/>
    </row>
    <row r="90" spans="2:58">
      <c r="B90" s="80"/>
      <c r="C90" s="410"/>
      <c r="D90" s="410"/>
      <c r="E90" s="410"/>
      <c r="F90" s="410"/>
      <c r="G90" s="410"/>
      <c r="H90" s="410"/>
      <c r="I90" s="410"/>
      <c r="J90" s="410"/>
      <c r="K90" s="410"/>
      <c r="L90" s="413"/>
      <c r="M90" s="413"/>
      <c r="N90" s="413"/>
      <c r="O90" s="413"/>
      <c r="P90" s="413"/>
      <c r="Q90" s="413"/>
      <c r="R90" s="413"/>
      <c r="S90" s="413"/>
      <c r="T90" s="413"/>
      <c r="U90" s="413"/>
      <c r="V90" s="413"/>
      <c r="W90" s="413"/>
      <c r="X90" s="452"/>
      <c r="Y90" s="413"/>
      <c r="Z90" s="413"/>
      <c r="AA90" s="413"/>
      <c r="AB90" s="413"/>
      <c r="AC90" s="413"/>
      <c r="AD90" s="413"/>
      <c r="AE90" s="413"/>
      <c r="AF90" s="413"/>
      <c r="AG90" s="413"/>
      <c r="AH90" s="413"/>
      <c r="AI90" s="413"/>
      <c r="AJ90" s="413"/>
      <c r="AK90" s="413"/>
      <c r="AL90" s="413"/>
      <c r="AM90" s="413"/>
      <c r="AN90" s="413"/>
      <c r="AO90" s="413"/>
      <c r="AP90" s="413"/>
      <c r="AQ90" s="413"/>
      <c r="AR90" s="413"/>
      <c r="AS90" s="413"/>
      <c r="AT90" s="413"/>
      <c r="AU90" s="413"/>
      <c r="AV90" s="413"/>
      <c r="AW90" s="413"/>
      <c r="AX90" s="413"/>
      <c r="AY90" s="413"/>
      <c r="AZ90" s="413"/>
      <c r="BA90" s="413"/>
      <c r="BB90" s="413"/>
      <c r="BC90" s="413"/>
      <c r="BD90" s="413"/>
      <c r="BE90" s="413"/>
      <c r="BF90" s="413"/>
    </row>
    <row r="91" spans="2:58">
      <c r="B91" s="80"/>
      <c r="C91" s="410"/>
      <c r="D91" s="410"/>
      <c r="E91" s="410"/>
      <c r="F91" s="410"/>
      <c r="G91" s="410"/>
      <c r="H91" s="410"/>
      <c r="I91" s="410"/>
      <c r="J91" s="410"/>
      <c r="K91" s="410"/>
      <c r="L91" s="413"/>
      <c r="M91" s="413"/>
      <c r="N91" s="413"/>
      <c r="O91" s="413"/>
      <c r="P91" s="413"/>
      <c r="Q91" s="413"/>
      <c r="R91" s="413"/>
      <c r="S91" s="413"/>
      <c r="T91" s="413"/>
      <c r="U91" s="413"/>
      <c r="V91" s="413"/>
      <c r="W91" s="413"/>
      <c r="X91" s="452"/>
      <c r="Y91" s="413"/>
      <c r="Z91" s="413"/>
      <c r="AA91" s="413"/>
      <c r="AB91" s="413"/>
      <c r="AC91" s="413"/>
      <c r="AD91" s="413"/>
      <c r="AE91" s="413"/>
      <c r="AF91" s="413"/>
      <c r="AG91" s="413"/>
      <c r="AH91" s="413"/>
      <c r="AI91" s="413"/>
      <c r="AJ91" s="413"/>
      <c r="AK91" s="413"/>
      <c r="AL91" s="413"/>
      <c r="AM91" s="413"/>
      <c r="AN91" s="413"/>
      <c r="AO91" s="413"/>
      <c r="AP91" s="413"/>
      <c r="AQ91" s="413"/>
      <c r="AR91" s="413"/>
      <c r="AS91" s="413"/>
      <c r="AT91" s="413"/>
      <c r="AU91" s="413"/>
      <c r="AV91" s="413"/>
      <c r="AW91" s="413"/>
      <c r="AX91" s="413"/>
      <c r="AY91" s="413"/>
      <c r="AZ91" s="413"/>
      <c r="BA91" s="413"/>
      <c r="BB91" s="413"/>
      <c r="BC91" s="413"/>
      <c r="BD91" s="413"/>
      <c r="BE91" s="413"/>
      <c r="BF91" s="413"/>
    </row>
    <row r="92" spans="2:58">
      <c r="B92" s="80"/>
      <c r="C92" s="410"/>
      <c r="D92" s="410"/>
      <c r="E92" s="410"/>
      <c r="F92" s="410"/>
      <c r="G92" s="410"/>
      <c r="H92" s="410"/>
      <c r="I92" s="410"/>
      <c r="J92" s="410"/>
      <c r="K92" s="410"/>
      <c r="L92" s="413"/>
      <c r="M92" s="413"/>
      <c r="N92" s="413"/>
      <c r="O92" s="413"/>
      <c r="P92" s="413"/>
      <c r="Q92" s="413"/>
      <c r="R92" s="413"/>
      <c r="S92" s="413"/>
      <c r="T92" s="413"/>
      <c r="U92" s="413"/>
      <c r="V92" s="413"/>
      <c r="W92" s="413"/>
      <c r="X92" s="452"/>
      <c r="Y92" s="413"/>
      <c r="Z92" s="413"/>
      <c r="AA92" s="413"/>
      <c r="AB92" s="413"/>
      <c r="AC92" s="413"/>
      <c r="AD92" s="413"/>
      <c r="AE92" s="413"/>
      <c r="AF92" s="413"/>
      <c r="AG92" s="413"/>
      <c r="AH92" s="413"/>
      <c r="AI92" s="413"/>
      <c r="AJ92" s="413"/>
      <c r="AK92" s="413"/>
      <c r="AL92" s="413"/>
      <c r="AM92" s="413"/>
      <c r="AN92" s="413"/>
      <c r="AO92" s="413"/>
      <c r="AP92" s="413"/>
      <c r="AQ92" s="413"/>
      <c r="AR92" s="413"/>
      <c r="AS92" s="413"/>
      <c r="AT92" s="413"/>
      <c r="AU92" s="413"/>
      <c r="AV92" s="413"/>
      <c r="AW92" s="413"/>
      <c r="AX92" s="413"/>
      <c r="AY92" s="413"/>
      <c r="AZ92" s="413"/>
      <c r="BA92" s="413"/>
      <c r="BB92" s="413"/>
      <c r="BC92" s="413"/>
      <c r="BD92" s="413"/>
      <c r="BE92" s="413"/>
      <c r="BF92" s="413"/>
    </row>
    <row r="93" spans="2:58">
      <c r="B93" s="80"/>
      <c r="C93" s="410"/>
      <c r="D93" s="410"/>
      <c r="E93" s="410"/>
      <c r="F93" s="410"/>
      <c r="G93" s="410"/>
      <c r="H93" s="410"/>
      <c r="I93" s="410"/>
      <c r="J93" s="410"/>
      <c r="K93" s="410"/>
      <c r="L93" s="413"/>
      <c r="M93" s="413"/>
      <c r="N93" s="413"/>
      <c r="O93" s="413"/>
      <c r="P93" s="413"/>
      <c r="Q93" s="413"/>
      <c r="R93" s="413"/>
      <c r="S93" s="413"/>
      <c r="T93" s="413"/>
      <c r="U93" s="413"/>
      <c r="V93" s="413"/>
      <c r="W93" s="413"/>
      <c r="X93" s="452"/>
      <c r="Y93" s="413"/>
      <c r="Z93" s="413"/>
      <c r="AA93" s="413"/>
      <c r="AB93" s="413"/>
      <c r="AC93" s="413"/>
      <c r="AD93" s="413"/>
      <c r="AE93" s="413"/>
      <c r="AF93" s="413"/>
      <c r="AG93" s="413"/>
      <c r="AH93" s="413"/>
      <c r="AI93" s="413"/>
      <c r="AJ93" s="413"/>
      <c r="AK93" s="413"/>
      <c r="AL93" s="413"/>
      <c r="AM93" s="413"/>
      <c r="AN93" s="413"/>
      <c r="AO93" s="413"/>
      <c r="AP93" s="413"/>
      <c r="AQ93" s="413"/>
      <c r="AR93" s="413"/>
      <c r="AS93" s="413"/>
      <c r="AT93" s="413"/>
      <c r="AU93" s="413"/>
      <c r="AV93" s="413"/>
      <c r="AW93" s="413"/>
      <c r="AX93" s="413"/>
      <c r="AY93" s="413"/>
      <c r="AZ93" s="413"/>
      <c r="BA93" s="413"/>
      <c r="BB93" s="413"/>
      <c r="BC93" s="413"/>
      <c r="BD93" s="413"/>
      <c r="BE93" s="413"/>
      <c r="BF93" s="413"/>
    </row>
    <row r="94" spans="2:58">
      <c r="B94" s="80"/>
      <c r="C94" s="410"/>
      <c r="D94" s="410"/>
      <c r="E94" s="410"/>
      <c r="F94" s="410"/>
      <c r="G94" s="410"/>
      <c r="H94" s="410"/>
      <c r="I94" s="410"/>
      <c r="J94" s="410"/>
      <c r="K94" s="410"/>
      <c r="L94" s="413"/>
      <c r="M94" s="413"/>
      <c r="N94" s="413"/>
      <c r="O94" s="413"/>
      <c r="P94" s="413"/>
      <c r="Q94" s="413"/>
      <c r="R94" s="413"/>
      <c r="S94" s="413"/>
      <c r="T94" s="413"/>
      <c r="U94" s="413"/>
      <c r="V94" s="413"/>
      <c r="W94" s="413"/>
      <c r="X94" s="452"/>
      <c r="Y94" s="413"/>
      <c r="Z94" s="413"/>
      <c r="AA94" s="413"/>
      <c r="AB94" s="413"/>
      <c r="AC94" s="413"/>
      <c r="AD94" s="413"/>
      <c r="AE94" s="413"/>
      <c r="AF94" s="413"/>
      <c r="AG94" s="413"/>
      <c r="AH94" s="413"/>
      <c r="AI94" s="413"/>
      <c r="AJ94" s="413"/>
      <c r="AK94" s="413"/>
      <c r="AL94" s="413"/>
      <c r="AM94" s="413"/>
      <c r="AN94" s="413"/>
      <c r="AO94" s="413"/>
      <c r="AP94" s="413"/>
      <c r="AQ94" s="413"/>
      <c r="AR94" s="413"/>
      <c r="AS94" s="413"/>
      <c r="AT94" s="413"/>
      <c r="AU94" s="413"/>
      <c r="AV94" s="413"/>
      <c r="AW94" s="413"/>
      <c r="AX94" s="413"/>
      <c r="AY94" s="413"/>
      <c r="AZ94" s="413"/>
      <c r="BA94" s="413"/>
      <c r="BB94" s="413"/>
      <c r="BC94" s="413"/>
      <c r="BD94" s="413"/>
      <c r="BE94" s="413"/>
      <c r="BF94" s="413"/>
    </row>
    <row r="95" spans="2:58">
      <c r="B95" s="80"/>
      <c r="C95" s="410"/>
      <c r="D95" s="410"/>
      <c r="E95" s="410"/>
      <c r="F95" s="410"/>
      <c r="G95" s="410"/>
      <c r="H95" s="410"/>
      <c r="I95" s="410"/>
      <c r="J95" s="410"/>
      <c r="K95" s="410"/>
      <c r="L95" s="413"/>
      <c r="M95" s="413"/>
      <c r="N95" s="413"/>
      <c r="O95" s="413"/>
      <c r="P95" s="413"/>
      <c r="Q95" s="413"/>
      <c r="R95" s="413"/>
      <c r="S95" s="413"/>
      <c r="T95" s="413"/>
      <c r="U95" s="413"/>
      <c r="V95" s="413"/>
      <c r="W95" s="413"/>
      <c r="X95" s="452"/>
      <c r="Y95" s="413"/>
      <c r="Z95" s="413"/>
      <c r="AA95" s="413"/>
      <c r="AB95" s="413"/>
      <c r="AC95" s="413"/>
      <c r="AD95" s="413"/>
      <c r="AE95" s="413"/>
      <c r="AF95" s="413"/>
      <c r="AG95" s="413"/>
      <c r="AH95" s="413"/>
      <c r="AI95" s="413"/>
      <c r="AJ95" s="413"/>
      <c r="AK95" s="413"/>
      <c r="AL95" s="413"/>
      <c r="AM95" s="413"/>
      <c r="AN95" s="413"/>
      <c r="AO95" s="413"/>
      <c r="AP95" s="413"/>
      <c r="AQ95" s="413"/>
      <c r="AR95" s="413"/>
      <c r="AS95" s="413"/>
      <c r="AT95" s="413"/>
      <c r="AU95" s="413"/>
      <c r="AV95" s="413"/>
      <c r="AW95" s="413"/>
      <c r="AX95" s="413"/>
      <c r="AY95" s="413"/>
      <c r="AZ95" s="413"/>
      <c r="BA95" s="413"/>
      <c r="BB95" s="413"/>
      <c r="BC95" s="413"/>
      <c r="BD95" s="413"/>
      <c r="BE95" s="413"/>
      <c r="BF95" s="413"/>
    </row>
    <row r="96" spans="2:58">
      <c r="B96" s="80"/>
      <c r="C96" s="410"/>
      <c r="D96" s="410"/>
      <c r="E96" s="410"/>
      <c r="F96" s="410"/>
      <c r="G96" s="410"/>
      <c r="H96" s="410"/>
      <c r="I96" s="410"/>
      <c r="J96" s="410"/>
      <c r="K96" s="410"/>
      <c r="L96" s="413"/>
      <c r="M96" s="413"/>
      <c r="N96" s="413"/>
      <c r="O96" s="413"/>
      <c r="P96" s="413"/>
      <c r="Q96" s="413"/>
      <c r="R96" s="413"/>
      <c r="S96" s="413"/>
      <c r="T96" s="413"/>
      <c r="U96" s="413"/>
      <c r="V96" s="413"/>
      <c r="W96" s="413"/>
      <c r="X96" s="452"/>
      <c r="Y96" s="413"/>
      <c r="Z96" s="413"/>
      <c r="AA96" s="413"/>
      <c r="AB96" s="413"/>
      <c r="AC96" s="413"/>
      <c r="AD96" s="413"/>
      <c r="AE96" s="413"/>
      <c r="AF96" s="413"/>
      <c r="AG96" s="413"/>
      <c r="AH96" s="413"/>
      <c r="AI96" s="413"/>
      <c r="AJ96" s="413"/>
      <c r="AK96" s="413"/>
      <c r="AL96" s="413"/>
      <c r="AM96" s="413"/>
      <c r="AN96" s="413"/>
      <c r="AO96" s="413"/>
      <c r="AP96" s="413"/>
      <c r="AQ96" s="413"/>
      <c r="AR96" s="413"/>
      <c r="AS96" s="413"/>
      <c r="AT96" s="413"/>
      <c r="AU96" s="413"/>
      <c r="AV96" s="413"/>
      <c r="AW96" s="413"/>
      <c r="AX96" s="413"/>
      <c r="AY96" s="413"/>
      <c r="AZ96" s="413"/>
      <c r="BA96" s="413"/>
      <c r="BB96" s="413"/>
      <c r="BC96" s="413"/>
      <c r="BD96" s="413"/>
      <c r="BE96" s="413"/>
      <c r="BF96" s="413"/>
    </row>
    <row r="97" spans="2:58">
      <c r="B97" s="80"/>
      <c r="C97" s="410"/>
      <c r="D97" s="410"/>
      <c r="E97" s="410"/>
      <c r="F97" s="410"/>
      <c r="G97" s="410"/>
      <c r="H97" s="410"/>
      <c r="I97" s="410"/>
      <c r="J97" s="410"/>
      <c r="K97" s="410"/>
      <c r="L97" s="413"/>
      <c r="M97" s="413"/>
      <c r="N97" s="413"/>
      <c r="O97" s="413"/>
      <c r="P97" s="413"/>
      <c r="Q97" s="413"/>
      <c r="R97" s="413"/>
      <c r="S97" s="413"/>
      <c r="T97" s="413"/>
      <c r="U97" s="413"/>
      <c r="V97" s="413"/>
      <c r="W97" s="413"/>
      <c r="X97" s="452"/>
      <c r="Y97" s="413"/>
      <c r="Z97" s="413"/>
      <c r="AA97" s="413"/>
      <c r="AB97" s="413"/>
      <c r="AC97" s="413"/>
      <c r="AD97" s="413"/>
      <c r="AE97" s="413"/>
      <c r="AF97" s="413"/>
      <c r="AG97" s="413"/>
      <c r="AH97" s="413"/>
      <c r="AI97" s="413"/>
      <c r="AJ97" s="413"/>
      <c r="AK97" s="413"/>
      <c r="AL97" s="413"/>
      <c r="AM97" s="413"/>
      <c r="AN97" s="413"/>
      <c r="AO97" s="413"/>
      <c r="AP97" s="413"/>
      <c r="AQ97" s="413"/>
      <c r="AR97" s="413"/>
      <c r="AS97" s="413"/>
      <c r="AT97" s="413"/>
      <c r="AU97" s="413"/>
      <c r="AV97" s="413"/>
      <c r="AW97" s="413"/>
      <c r="AX97" s="413"/>
      <c r="AY97" s="413"/>
      <c r="AZ97" s="413"/>
      <c r="BA97" s="413"/>
      <c r="BB97" s="413"/>
      <c r="BC97" s="413"/>
      <c r="BD97" s="413"/>
      <c r="BE97" s="413"/>
      <c r="BF97" s="413"/>
    </row>
    <row r="98" spans="2:58">
      <c r="B98" s="80"/>
      <c r="C98" s="410"/>
      <c r="D98" s="410"/>
      <c r="E98" s="410"/>
      <c r="F98" s="410"/>
      <c r="G98" s="410"/>
      <c r="H98" s="410"/>
      <c r="I98" s="410"/>
      <c r="J98" s="410"/>
      <c r="K98" s="410"/>
      <c r="L98" s="413"/>
      <c r="M98" s="413"/>
      <c r="N98" s="413"/>
      <c r="O98" s="413"/>
      <c r="P98" s="413"/>
      <c r="Q98" s="413"/>
      <c r="R98" s="413"/>
      <c r="S98" s="413"/>
      <c r="T98" s="413"/>
      <c r="U98" s="413"/>
      <c r="V98" s="413"/>
      <c r="W98" s="413"/>
      <c r="X98" s="452"/>
      <c r="Y98" s="413"/>
      <c r="Z98" s="413"/>
      <c r="AA98" s="413"/>
      <c r="AB98" s="413"/>
      <c r="AC98" s="413"/>
      <c r="AD98" s="413"/>
      <c r="AE98" s="413"/>
      <c r="AF98" s="413"/>
      <c r="AG98" s="413"/>
      <c r="AH98" s="413"/>
      <c r="AI98" s="413"/>
      <c r="AJ98" s="413"/>
      <c r="AK98" s="413"/>
      <c r="AL98" s="413"/>
      <c r="AM98" s="413"/>
      <c r="AN98" s="413"/>
      <c r="AO98" s="413"/>
      <c r="AP98" s="413"/>
      <c r="AQ98" s="413"/>
      <c r="AR98" s="413"/>
      <c r="AS98" s="413"/>
      <c r="AT98" s="413"/>
      <c r="AU98" s="413"/>
      <c r="AV98" s="413"/>
      <c r="AW98" s="413"/>
      <c r="AX98" s="413"/>
      <c r="AY98" s="413"/>
      <c r="AZ98" s="413"/>
      <c r="BA98" s="413"/>
      <c r="BB98" s="413"/>
      <c r="BC98" s="413"/>
      <c r="BD98" s="413"/>
      <c r="BE98" s="413"/>
      <c r="BF98" s="413"/>
    </row>
    <row r="99" spans="2:58">
      <c r="B99" s="80"/>
      <c r="C99" s="410"/>
      <c r="D99" s="410"/>
      <c r="E99" s="410"/>
      <c r="F99" s="410"/>
      <c r="G99" s="410"/>
      <c r="H99" s="410"/>
      <c r="I99" s="410"/>
      <c r="J99" s="410"/>
      <c r="K99" s="410"/>
      <c r="L99" s="413"/>
      <c r="M99" s="413"/>
      <c r="N99" s="413"/>
      <c r="O99" s="413"/>
      <c r="P99" s="413"/>
      <c r="Q99" s="413"/>
      <c r="R99" s="413"/>
      <c r="S99" s="413"/>
      <c r="T99" s="413"/>
      <c r="U99" s="413"/>
      <c r="V99" s="413"/>
      <c r="W99" s="413"/>
      <c r="X99" s="452"/>
      <c r="Y99" s="413"/>
      <c r="Z99" s="413"/>
      <c r="AA99" s="413"/>
      <c r="AB99" s="413"/>
      <c r="AC99" s="413"/>
      <c r="AD99" s="413"/>
      <c r="AE99" s="413"/>
      <c r="AF99" s="413"/>
      <c r="AG99" s="413"/>
      <c r="AH99" s="413"/>
      <c r="AI99" s="413"/>
      <c r="AJ99" s="413"/>
      <c r="AK99" s="413"/>
      <c r="AL99" s="413"/>
      <c r="AM99" s="413"/>
      <c r="AN99" s="413"/>
      <c r="AO99" s="413"/>
      <c r="AP99" s="413"/>
      <c r="AQ99" s="413"/>
      <c r="AR99" s="413"/>
      <c r="AS99" s="413"/>
      <c r="AT99" s="413"/>
      <c r="AU99" s="413"/>
      <c r="AV99" s="413"/>
      <c r="AW99" s="413"/>
      <c r="AX99" s="413"/>
      <c r="AY99" s="413"/>
      <c r="AZ99" s="413"/>
      <c r="BA99" s="413"/>
      <c r="BB99" s="413"/>
      <c r="BC99" s="413"/>
      <c r="BD99" s="413"/>
      <c r="BE99" s="413"/>
      <c r="BF99" s="413"/>
    </row>
    <row r="100" spans="2:58">
      <c r="B100" s="80"/>
      <c r="C100" s="410"/>
      <c r="D100" s="410"/>
      <c r="E100" s="410"/>
      <c r="F100" s="410"/>
      <c r="G100" s="410"/>
      <c r="H100" s="410"/>
      <c r="I100" s="410"/>
      <c r="J100" s="410"/>
      <c r="K100" s="410"/>
      <c r="L100" s="413"/>
      <c r="M100" s="413"/>
      <c r="N100" s="413"/>
      <c r="O100" s="413"/>
      <c r="P100" s="413"/>
      <c r="Q100" s="413"/>
      <c r="R100" s="413"/>
      <c r="S100" s="413"/>
      <c r="T100" s="413"/>
      <c r="U100" s="413"/>
      <c r="V100" s="413"/>
      <c r="W100" s="413"/>
      <c r="X100" s="452"/>
      <c r="Y100" s="413"/>
      <c r="Z100" s="413"/>
      <c r="AA100" s="413"/>
      <c r="AB100" s="413"/>
      <c r="AC100" s="413"/>
      <c r="AD100" s="413"/>
      <c r="AE100" s="413"/>
      <c r="AF100" s="413"/>
      <c r="AG100" s="413"/>
      <c r="AH100" s="413"/>
      <c r="AI100" s="413"/>
      <c r="AJ100" s="413"/>
      <c r="AK100" s="413"/>
      <c r="AL100" s="413"/>
      <c r="AM100" s="413"/>
      <c r="AN100" s="413"/>
      <c r="AO100" s="413"/>
      <c r="AP100" s="413"/>
      <c r="AQ100" s="413"/>
      <c r="AR100" s="413"/>
      <c r="AS100" s="413"/>
      <c r="AT100" s="413"/>
      <c r="AU100" s="413"/>
      <c r="AV100" s="413"/>
      <c r="AW100" s="413"/>
      <c r="AX100" s="413"/>
      <c r="AY100" s="413"/>
      <c r="AZ100" s="413"/>
      <c r="BA100" s="413"/>
      <c r="BB100" s="413"/>
      <c r="BC100" s="413"/>
      <c r="BD100" s="413"/>
      <c r="BE100" s="413"/>
      <c r="BF100" s="413"/>
    </row>
    <row r="101" spans="2:58">
      <c r="B101" s="80"/>
      <c r="C101" s="410"/>
      <c r="D101" s="410"/>
      <c r="E101" s="410"/>
      <c r="F101" s="410"/>
      <c r="G101" s="410"/>
      <c r="H101" s="410"/>
      <c r="I101" s="410"/>
      <c r="J101" s="410"/>
      <c r="K101" s="410"/>
      <c r="L101" s="413"/>
      <c r="M101" s="413"/>
      <c r="N101" s="413"/>
      <c r="O101" s="413"/>
      <c r="P101" s="413"/>
      <c r="Q101" s="413"/>
      <c r="R101" s="413"/>
      <c r="S101" s="413"/>
      <c r="T101" s="413"/>
      <c r="U101" s="413"/>
      <c r="V101" s="413"/>
      <c r="W101" s="413"/>
      <c r="X101" s="452"/>
      <c r="Y101" s="413"/>
      <c r="Z101" s="413"/>
      <c r="AA101" s="413"/>
      <c r="AB101" s="413"/>
      <c r="AC101" s="413"/>
      <c r="AD101" s="413"/>
      <c r="AE101" s="413"/>
      <c r="AF101" s="413"/>
      <c r="AG101" s="413"/>
      <c r="AH101" s="413"/>
      <c r="AI101" s="413"/>
      <c r="AJ101" s="413"/>
      <c r="AK101" s="413"/>
      <c r="AL101" s="413"/>
      <c r="AM101" s="413"/>
      <c r="AN101" s="413"/>
      <c r="AO101" s="413"/>
      <c r="AP101" s="413"/>
      <c r="AQ101" s="413"/>
      <c r="AR101" s="413"/>
      <c r="AS101" s="413"/>
      <c r="AT101" s="413"/>
      <c r="AU101" s="413"/>
      <c r="AV101" s="413"/>
      <c r="AW101" s="413"/>
      <c r="AX101" s="413"/>
      <c r="AY101" s="413"/>
      <c r="AZ101" s="413"/>
      <c r="BA101" s="413"/>
      <c r="BB101" s="413"/>
      <c r="BC101" s="413"/>
      <c r="BD101" s="413"/>
      <c r="BE101" s="413"/>
      <c r="BF101" s="413"/>
    </row>
    <row r="102" spans="2:58">
      <c r="B102" s="80"/>
      <c r="C102" s="410"/>
      <c r="D102" s="410"/>
      <c r="E102" s="410"/>
      <c r="F102" s="410"/>
      <c r="G102" s="410"/>
      <c r="H102" s="410"/>
      <c r="I102" s="410"/>
      <c r="J102" s="410"/>
      <c r="K102" s="410"/>
      <c r="L102" s="413"/>
      <c r="M102" s="413"/>
      <c r="N102" s="413"/>
      <c r="O102" s="413"/>
      <c r="P102" s="413"/>
      <c r="Q102" s="413"/>
      <c r="R102" s="413"/>
      <c r="S102" s="413"/>
      <c r="T102" s="413"/>
      <c r="U102" s="413"/>
      <c r="V102" s="413"/>
      <c r="W102" s="413"/>
      <c r="X102" s="452"/>
      <c r="Y102" s="413"/>
      <c r="Z102" s="413"/>
      <c r="AA102" s="413"/>
      <c r="AB102" s="413"/>
      <c r="AC102" s="413"/>
      <c r="AD102" s="413"/>
      <c r="AE102" s="413"/>
      <c r="AF102" s="413"/>
      <c r="AG102" s="413"/>
      <c r="AH102" s="413"/>
      <c r="AI102" s="413"/>
      <c r="AJ102" s="413"/>
      <c r="AK102" s="413"/>
      <c r="AL102" s="413"/>
      <c r="AM102" s="413"/>
      <c r="AN102" s="413"/>
      <c r="AO102" s="413"/>
      <c r="AP102" s="413"/>
      <c r="AQ102" s="413"/>
      <c r="AR102" s="413"/>
      <c r="AS102" s="413"/>
      <c r="AT102" s="413"/>
      <c r="AU102" s="413"/>
      <c r="AV102" s="413"/>
      <c r="AW102" s="413"/>
      <c r="AX102" s="413"/>
      <c r="AY102" s="413"/>
      <c r="AZ102" s="413"/>
      <c r="BA102" s="413"/>
      <c r="BB102" s="413"/>
      <c r="BC102" s="413"/>
      <c r="BD102" s="413"/>
      <c r="BE102" s="413"/>
      <c r="BF102" s="413"/>
    </row>
    <row r="103" spans="2:58">
      <c r="B103" s="80"/>
      <c r="C103" s="410"/>
      <c r="D103" s="410"/>
      <c r="E103" s="410"/>
      <c r="F103" s="410"/>
      <c r="G103" s="410"/>
      <c r="H103" s="410"/>
      <c r="I103" s="410"/>
      <c r="J103" s="410"/>
      <c r="K103" s="410"/>
      <c r="L103" s="413"/>
      <c r="M103" s="413"/>
      <c r="N103" s="413"/>
      <c r="O103" s="413"/>
      <c r="P103" s="413"/>
      <c r="Q103" s="413"/>
      <c r="R103" s="413"/>
      <c r="S103" s="413"/>
      <c r="T103" s="413"/>
      <c r="U103" s="413"/>
      <c r="V103" s="413"/>
      <c r="W103" s="413"/>
      <c r="X103" s="452"/>
      <c r="Y103" s="413"/>
      <c r="Z103" s="413"/>
      <c r="AA103" s="413"/>
      <c r="AB103" s="413"/>
      <c r="AC103" s="413"/>
      <c r="AD103" s="413"/>
      <c r="AE103" s="413"/>
      <c r="AF103" s="413"/>
      <c r="AG103" s="413"/>
      <c r="AH103" s="413"/>
      <c r="AI103" s="413"/>
      <c r="AJ103" s="413"/>
      <c r="AK103" s="413"/>
      <c r="AL103" s="413"/>
      <c r="AM103" s="413"/>
      <c r="AN103" s="413"/>
      <c r="AO103" s="413"/>
      <c r="AP103" s="413"/>
      <c r="AQ103" s="413"/>
      <c r="AR103" s="413"/>
      <c r="AS103" s="413"/>
      <c r="AT103" s="413"/>
      <c r="AU103" s="413"/>
      <c r="AV103" s="413"/>
      <c r="AW103" s="413"/>
      <c r="AX103" s="413"/>
      <c r="AY103" s="413"/>
      <c r="AZ103" s="413"/>
      <c r="BA103" s="413"/>
      <c r="BB103" s="413"/>
      <c r="BC103" s="413"/>
      <c r="BD103" s="413"/>
      <c r="BE103" s="413"/>
      <c r="BF103" s="413"/>
    </row>
    <row r="104" spans="2:58">
      <c r="B104" s="80"/>
      <c r="C104" s="410"/>
      <c r="D104" s="410"/>
      <c r="E104" s="410"/>
      <c r="F104" s="410"/>
      <c r="G104" s="410"/>
      <c r="H104" s="410"/>
      <c r="I104" s="410"/>
      <c r="J104" s="410"/>
      <c r="K104" s="410"/>
      <c r="L104" s="413"/>
      <c r="M104" s="413"/>
      <c r="N104" s="413"/>
      <c r="O104" s="413"/>
      <c r="P104" s="413"/>
      <c r="Q104" s="413"/>
      <c r="R104" s="413"/>
      <c r="S104" s="413"/>
      <c r="T104" s="413"/>
      <c r="U104" s="413"/>
      <c r="V104" s="413"/>
      <c r="W104" s="413"/>
      <c r="X104" s="452"/>
      <c r="Y104" s="413"/>
      <c r="Z104" s="413"/>
      <c r="AA104" s="413"/>
      <c r="AB104" s="413"/>
      <c r="AC104" s="413"/>
      <c r="AD104" s="413"/>
      <c r="AE104" s="413"/>
      <c r="AF104" s="413"/>
      <c r="AG104" s="413"/>
      <c r="AH104" s="413"/>
      <c r="AI104" s="413"/>
      <c r="AJ104" s="413"/>
      <c r="AK104" s="413"/>
      <c r="AL104" s="413"/>
      <c r="AM104" s="413"/>
      <c r="AN104" s="413"/>
      <c r="AO104" s="413"/>
      <c r="AP104" s="413"/>
      <c r="AQ104" s="413"/>
      <c r="AR104" s="413"/>
      <c r="AS104" s="413"/>
      <c r="AT104" s="413"/>
      <c r="AU104" s="413"/>
      <c r="AV104" s="413"/>
      <c r="AW104" s="413"/>
      <c r="AX104" s="413"/>
      <c r="AY104" s="413"/>
      <c r="AZ104" s="413"/>
      <c r="BA104" s="413"/>
      <c r="BB104" s="413"/>
      <c r="BC104" s="413"/>
      <c r="BD104" s="413"/>
      <c r="BE104" s="413"/>
      <c r="BF104" s="413"/>
    </row>
    <row r="105" spans="2:58">
      <c r="B105" s="80"/>
      <c r="C105" s="410"/>
      <c r="D105" s="410"/>
      <c r="E105" s="410"/>
      <c r="F105" s="410"/>
      <c r="G105" s="410"/>
      <c r="H105" s="410"/>
      <c r="I105" s="410"/>
      <c r="J105" s="410"/>
      <c r="K105" s="410"/>
      <c r="L105" s="413"/>
      <c r="M105" s="413"/>
      <c r="N105" s="413"/>
      <c r="O105" s="413"/>
      <c r="P105" s="413"/>
      <c r="Q105" s="413"/>
      <c r="R105" s="413"/>
      <c r="S105" s="413"/>
      <c r="T105" s="413"/>
      <c r="U105" s="413"/>
      <c r="V105" s="413"/>
      <c r="W105" s="413"/>
      <c r="X105" s="452"/>
      <c r="Y105" s="413"/>
      <c r="Z105" s="413"/>
      <c r="AA105" s="413"/>
      <c r="AB105" s="413"/>
      <c r="AC105" s="413"/>
      <c r="AD105" s="413"/>
      <c r="AE105" s="413"/>
      <c r="AF105" s="413"/>
      <c r="AG105" s="413"/>
      <c r="AH105" s="413"/>
      <c r="AI105" s="413"/>
      <c r="AJ105" s="413"/>
      <c r="AK105" s="413"/>
      <c r="AL105" s="413"/>
      <c r="AM105" s="413"/>
      <c r="AN105" s="413"/>
      <c r="AO105" s="413"/>
      <c r="AP105" s="413"/>
      <c r="AQ105" s="413"/>
      <c r="AR105" s="413"/>
      <c r="AS105" s="413"/>
      <c r="AT105" s="413"/>
      <c r="AU105" s="413"/>
      <c r="AV105" s="413"/>
      <c r="AW105" s="413"/>
      <c r="AX105" s="413"/>
      <c r="AY105" s="413"/>
      <c r="AZ105" s="413"/>
      <c r="BA105" s="413"/>
      <c r="BB105" s="413"/>
      <c r="BC105" s="413"/>
      <c r="BD105" s="413"/>
      <c r="BE105" s="413"/>
      <c r="BF105" s="413"/>
    </row>
    <row r="106" spans="2:58">
      <c r="B106" s="80"/>
      <c r="C106" s="410"/>
      <c r="D106" s="410"/>
      <c r="E106" s="410"/>
      <c r="F106" s="410"/>
      <c r="G106" s="410"/>
      <c r="H106" s="410"/>
      <c r="I106" s="410"/>
      <c r="J106" s="410"/>
      <c r="K106" s="410"/>
      <c r="L106" s="413"/>
      <c r="M106" s="413"/>
      <c r="N106" s="413"/>
      <c r="O106" s="413"/>
      <c r="P106" s="413"/>
      <c r="Q106" s="413"/>
      <c r="R106" s="413"/>
      <c r="S106" s="413"/>
      <c r="T106" s="413"/>
      <c r="U106" s="413"/>
      <c r="V106" s="413"/>
      <c r="W106" s="413"/>
      <c r="X106" s="452"/>
      <c r="Y106" s="413"/>
      <c r="Z106" s="413"/>
      <c r="AA106" s="413"/>
      <c r="AB106" s="413"/>
      <c r="AC106" s="413"/>
      <c r="AD106" s="413"/>
      <c r="AE106" s="413"/>
      <c r="AF106" s="413"/>
      <c r="AG106" s="413"/>
      <c r="AH106" s="413"/>
      <c r="AI106" s="413"/>
      <c r="AJ106" s="413"/>
      <c r="AK106" s="413"/>
      <c r="AL106" s="413"/>
      <c r="AM106" s="413"/>
      <c r="AN106" s="413"/>
      <c r="AO106" s="413"/>
      <c r="AP106" s="413"/>
      <c r="AQ106" s="413"/>
      <c r="AR106" s="413"/>
      <c r="AS106" s="413"/>
      <c r="AT106" s="413"/>
      <c r="AU106" s="413"/>
      <c r="AV106" s="413"/>
      <c r="AW106" s="413"/>
      <c r="AX106" s="413"/>
      <c r="AY106" s="413"/>
      <c r="AZ106" s="413"/>
      <c r="BA106" s="413"/>
      <c r="BB106" s="413"/>
      <c r="BC106" s="413"/>
      <c r="BD106" s="413"/>
      <c r="BE106" s="413"/>
      <c r="BF106" s="413"/>
    </row>
    <row r="107" spans="2:58">
      <c r="B107" s="80"/>
      <c r="C107" s="410"/>
      <c r="D107" s="410"/>
      <c r="E107" s="410"/>
      <c r="F107" s="410"/>
      <c r="G107" s="410"/>
      <c r="H107" s="410"/>
      <c r="I107" s="410"/>
      <c r="J107" s="410"/>
      <c r="K107" s="410"/>
      <c r="L107" s="413"/>
      <c r="M107" s="413"/>
      <c r="N107" s="413"/>
      <c r="O107" s="413"/>
      <c r="P107" s="413"/>
      <c r="Q107" s="413"/>
      <c r="R107" s="413"/>
      <c r="S107" s="413"/>
      <c r="T107" s="413"/>
      <c r="U107" s="413"/>
      <c r="V107" s="413"/>
      <c r="W107" s="413"/>
      <c r="X107" s="452"/>
      <c r="Y107" s="413"/>
      <c r="Z107" s="413"/>
      <c r="AA107" s="413"/>
      <c r="AB107" s="413"/>
      <c r="AC107" s="413"/>
      <c r="AD107" s="413"/>
      <c r="AE107" s="413"/>
      <c r="AF107" s="413"/>
      <c r="AG107" s="413"/>
      <c r="AH107" s="413"/>
      <c r="AI107" s="413"/>
      <c r="AJ107" s="413"/>
      <c r="AK107" s="413"/>
      <c r="AL107" s="413"/>
      <c r="AM107" s="413"/>
      <c r="AN107" s="413"/>
      <c r="AO107" s="413"/>
      <c r="AP107" s="413"/>
      <c r="AQ107" s="413"/>
      <c r="AR107" s="413"/>
      <c r="AS107" s="413"/>
      <c r="AT107" s="413"/>
      <c r="AU107" s="413"/>
      <c r="AV107" s="413"/>
      <c r="AW107" s="413"/>
      <c r="AX107" s="413"/>
      <c r="AY107" s="413"/>
      <c r="AZ107" s="413"/>
      <c r="BA107" s="413"/>
      <c r="BB107" s="413"/>
      <c r="BC107" s="413"/>
      <c r="BD107" s="413"/>
      <c r="BE107" s="413"/>
      <c r="BF107" s="413"/>
    </row>
    <row r="108" spans="2:58">
      <c r="B108" s="80"/>
      <c r="C108" s="410"/>
      <c r="D108" s="410"/>
      <c r="E108" s="410"/>
      <c r="F108" s="410"/>
      <c r="G108" s="410"/>
      <c r="H108" s="410"/>
      <c r="I108" s="410"/>
      <c r="J108" s="410"/>
      <c r="K108" s="410"/>
      <c r="L108" s="413"/>
      <c r="M108" s="413"/>
      <c r="N108" s="413"/>
      <c r="O108" s="413"/>
      <c r="P108" s="413"/>
      <c r="Q108" s="413"/>
      <c r="R108" s="413"/>
      <c r="S108" s="413"/>
      <c r="T108" s="413"/>
      <c r="U108" s="413"/>
      <c r="V108" s="413"/>
      <c r="W108" s="413"/>
      <c r="X108" s="452"/>
      <c r="Y108" s="413"/>
      <c r="Z108" s="413"/>
      <c r="AA108" s="413"/>
      <c r="AB108" s="413"/>
      <c r="AC108" s="413"/>
      <c r="AD108" s="413"/>
      <c r="AE108" s="413"/>
      <c r="AF108" s="413"/>
      <c r="AG108" s="413"/>
      <c r="AH108" s="413"/>
      <c r="AI108" s="413"/>
      <c r="AJ108" s="413"/>
      <c r="AK108" s="413"/>
      <c r="AL108" s="413"/>
      <c r="AM108" s="413"/>
      <c r="AN108" s="413"/>
      <c r="AO108" s="413"/>
      <c r="AP108" s="413"/>
      <c r="AQ108" s="413"/>
      <c r="AR108" s="413"/>
      <c r="AS108" s="413"/>
      <c r="AT108" s="413"/>
      <c r="AU108" s="413"/>
      <c r="AV108" s="413"/>
      <c r="AW108" s="413"/>
      <c r="AX108" s="413"/>
      <c r="AY108" s="413"/>
      <c r="AZ108" s="413"/>
      <c r="BA108" s="413"/>
      <c r="BB108" s="413"/>
      <c r="BC108" s="413"/>
      <c r="BD108" s="413"/>
      <c r="BE108" s="413"/>
      <c r="BF108" s="413"/>
    </row>
    <row r="109" spans="2:58">
      <c r="B109" s="80"/>
      <c r="C109" s="410"/>
      <c r="D109" s="410"/>
      <c r="E109" s="410"/>
      <c r="F109" s="410"/>
      <c r="G109" s="410"/>
      <c r="H109" s="410"/>
      <c r="I109" s="410"/>
      <c r="J109" s="410"/>
      <c r="K109" s="410"/>
      <c r="L109" s="413"/>
      <c r="M109" s="413"/>
      <c r="N109" s="413"/>
      <c r="O109" s="413"/>
      <c r="P109" s="413"/>
      <c r="Q109" s="413"/>
      <c r="R109" s="413"/>
      <c r="S109" s="413"/>
      <c r="T109" s="413"/>
      <c r="U109" s="413"/>
      <c r="V109" s="413"/>
      <c r="W109" s="413"/>
      <c r="X109" s="452"/>
      <c r="Y109" s="413"/>
      <c r="Z109" s="413"/>
      <c r="AA109" s="413"/>
      <c r="AB109" s="413"/>
      <c r="AC109" s="413"/>
      <c r="AD109" s="413"/>
      <c r="AE109" s="413"/>
      <c r="AF109" s="413"/>
      <c r="AG109" s="413"/>
      <c r="AH109" s="413"/>
      <c r="AI109" s="413"/>
      <c r="AJ109" s="413"/>
      <c r="AK109" s="413"/>
      <c r="AL109" s="413"/>
      <c r="AM109" s="413"/>
      <c r="AN109" s="413"/>
      <c r="AO109" s="413"/>
      <c r="AP109" s="413"/>
      <c r="AQ109" s="413"/>
      <c r="AR109" s="413"/>
      <c r="AS109" s="413"/>
      <c r="AT109" s="413"/>
      <c r="AU109" s="413"/>
      <c r="AV109" s="413"/>
      <c r="AW109" s="413"/>
      <c r="AX109" s="413"/>
      <c r="AY109" s="413"/>
      <c r="AZ109" s="413"/>
      <c r="BA109" s="413"/>
      <c r="BB109" s="413"/>
      <c r="BC109" s="413"/>
      <c r="BD109" s="413"/>
      <c r="BE109" s="413"/>
      <c r="BF109" s="413"/>
    </row>
    <row r="110" spans="2:58">
      <c r="B110" s="80"/>
      <c r="C110" s="410"/>
      <c r="D110" s="410"/>
      <c r="E110" s="410"/>
      <c r="F110" s="410"/>
      <c r="G110" s="410"/>
      <c r="H110" s="410"/>
      <c r="I110" s="410"/>
      <c r="J110" s="410"/>
      <c r="K110" s="410"/>
      <c r="L110" s="413"/>
      <c r="M110" s="413"/>
      <c r="N110" s="413"/>
      <c r="O110" s="413"/>
      <c r="P110" s="413"/>
      <c r="Q110" s="413"/>
      <c r="R110" s="413"/>
      <c r="S110" s="413"/>
      <c r="T110" s="413"/>
      <c r="U110" s="413"/>
      <c r="V110" s="413"/>
      <c r="W110" s="413"/>
      <c r="X110" s="452"/>
      <c r="Y110" s="413"/>
      <c r="Z110" s="413"/>
      <c r="AA110" s="413"/>
      <c r="AB110" s="413"/>
      <c r="AC110" s="413"/>
      <c r="AD110" s="413"/>
      <c r="AE110" s="413"/>
      <c r="AF110" s="413"/>
      <c r="AG110" s="413"/>
      <c r="AH110" s="413"/>
      <c r="AI110" s="413"/>
      <c r="AJ110" s="413"/>
      <c r="AK110" s="413"/>
      <c r="AL110" s="413"/>
      <c r="AM110" s="413"/>
      <c r="AN110" s="413"/>
      <c r="AO110" s="413"/>
      <c r="AP110" s="413"/>
      <c r="AQ110" s="413"/>
      <c r="AR110" s="413"/>
      <c r="AS110" s="413"/>
      <c r="AT110" s="413"/>
      <c r="AU110" s="413"/>
      <c r="AV110" s="413"/>
      <c r="AW110" s="413"/>
      <c r="AX110" s="413"/>
      <c r="AY110" s="413"/>
      <c r="AZ110" s="413"/>
      <c r="BA110" s="413"/>
      <c r="BB110" s="413"/>
      <c r="BC110" s="413"/>
      <c r="BD110" s="413"/>
      <c r="BE110" s="413"/>
      <c r="BF110" s="413"/>
    </row>
    <row r="111" spans="2:58">
      <c r="B111" s="80"/>
      <c r="C111" s="410"/>
      <c r="D111" s="410"/>
      <c r="E111" s="410"/>
      <c r="F111" s="410"/>
      <c r="G111" s="410"/>
      <c r="H111" s="410"/>
      <c r="I111" s="410"/>
      <c r="J111" s="410"/>
      <c r="K111" s="410"/>
      <c r="L111" s="413"/>
      <c r="M111" s="413"/>
      <c r="N111" s="413"/>
      <c r="O111" s="413"/>
      <c r="P111" s="413"/>
      <c r="Q111" s="413"/>
      <c r="R111" s="413"/>
      <c r="S111" s="413"/>
      <c r="T111" s="413"/>
      <c r="U111" s="413"/>
      <c r="V111" s="413"/>
      <c r="W111" s="413"/>
      <c r="X111" s="452"/>
      <c r="Y111" s="413"/>
      <c r="Z111" s="413"/>
      <c r="AA111" s="413"/>
      <c r="AB111" s="413"/>
      <c r="AC111" s="413"/>
      <c r="AD111" s="413"/>
      <c r="AE111" s="413"/>
      <c r="AF111" s="413"/>
      <c r="AG111" s="413"/>
      <c r="AH111" s="413"/>
      <c r="AI111" s="413"/>
      <c r="AJ111" s="413"/>
      <c r="AK111" s="413"/>
      <c r="AL111" s="413"/>
      <c r="AM111" s="413"/>
      <c r="AN111" s="413"/>
      <c r="AO111" s="413"/>
      <c r="AP111" s="413"/>
      <c r="AQ111" s="413"/>
      <c r="AR111" s="413"/>
      <c r="AS111" s="413"/>
      <c r="AT111" s="413"/>
      <c r="AU111" s="413"/>
      <c r="AV111" s="413"/>
      <c r="AW111" s="413"/>
      <c r="AX111" s="413"/>
      <c r="AY111" s="413"/>
      <c r="AZ111" s="413"/>
      <c r="BA111" s="413"/>
      <c r="BB111" s="413"/>
      <c r="BC111" s="413"/>
      <c r="BD111" s="413"/>
      <c r="BE111" s="413"/>
      <c r="BF111" s="413"/>
    </row>
    <row r="112" spans="2:58">
      <c r="B112" s="80"/>
      <c r="C112" s="410"/>
      <c r="D112" s="410"/>
      <c r="E112" s="410"/>
      <c r="F112" s="410"/>
      <c r="G112" s="410"/>
      <c r="H112" s="410"/>
      <c r="I112" s="410"/>
      <c r="J112" s="410"/>
      <c r="K112" s="410"/>
      <c r="L112" s="413"/>
      <c r="M112" s="413"/>
      <c r="N112" s="413"/>
      <c r="O112" s="413"/>
      <c r="P112" s="413"/>
      <c r="Q112" s="413"/>
      <c r="R112" s="413"/>
      <c r="S112" s="413"/>
      <c r="T112" s="413"/>
      <c r="U112" s="413"/>
      <c r="V112" s="413"/>
      <c r="W112" s="413"/>
      <c r="X112" s="452"/>
      <c r="Y112" s="413"/>
      <c r="Z112" s="413"/>
      <c r="AA112" s="413"/>
      <c r="AB112" s="413"/>
      <c r="AC112" s="413"/>
      <c r="AD112" s="413"/>
      <c r="AE112" s="413"/>
      <c r="AF112" s="413"/>
      <c r="AG112" s="413"/>
      <c r="AH112" s="413"/>
      <c r="AI112" s="413"/>
      <c r="AJ112" s="413"/>
      <c r="AK112" s="413"/>
      <c r="AL112" s="413"/>
      <c r="AM112" s="413"/>
      <c r="AN112" s="413"/>
      <c r="AO112" s="413"/>
      <c r="AP112" s="413"/>
      <c r="AQ112" s="413"/>
      <c r="AR112" s="413"/>
      <c r="AS112" s="413"/>
      <c r="AT112" s="413"/>
      <c r="AU112" s="413"/>
      <c r="AV112" s="413"/>
      <c r="AW112" s="413"/>
      <c r="AX112" s="413"/>
      <c r="AY112" s="413"/>
      <c r="AZ112" s="413"/>
      <c r="BA112" s="413"/>
      <c r="BB112" s="413"/>
      <c r="BC112" s="413"/>
      <c r="BD112" s="413"/>
      <c r="BE112" s="413"/>
      <c r="BF112" s="413"/>
    </row>
    <row r="113" spans="1:58">
      <c r="B113" s="80"/>
      <c r="C113" s="410"/>
      <c r="D113" s="410"/>
      <c r="E113" s="410"/>
      <c r="F113" s="410"/>
      <c r="G113" s="410"/>
      <c r="H113" s="410"/>
      <c r="I113" s="410"/>
      <c r="J113" s="410"/>
      <c r="K113" s="410"/>
      <c r="L113" s="413"/>
      <c r="M113" s="413"/>
      <c r="N113" s="413"/>
      <c r="O113" s="413"/>
      <c r="P113" s="413"/>
      <c r="Q113" s="413"/>
      <c r="R113" s="413"/>
      <c r="S113" s="413"/>
      <c r="T113" s="413"/>
      <c r="U113" s="413"/>
      <c r="V113" s="413"/>
      <c r="W113" s="413"/>
      <c r="X113" s="452"/>
      <c r="Y113" s="413"/>
      <c r="Z113" s="413"/>
      <c r="AA113" s="413"/>
      <c r="AB113" s="413"/>
      <c r="AC113" s="413"/>
      <c r="AD113" s="413"/>
      <c r="AE113" s="413"/>
      <c r="AF113" s="413"/>
      <c r="AG113" s="413"/>
      <c r="AH113" s="413"/>
      <c r="AI113" s="413"/>
      <c r="AJ113" s="413"/>
      <c r="AK113" s="413"/>
      <c r="AL113" s="413"/>
      <c r="AM113" s="413"/>
      <c r="AN113" s="413"/>
      <c r="AO113" s="413"/>
      <c r="AP113" s="413"/>
      <c r="AQ113" s="413"/>
      <c r="AR113" s="413"/>
      <c r="AS113" s="413"/>
      <c r="AT113" s="413"/>
      <c r="AU113" s="413"/>
      <c r="AV113" s="413"/>
      <c r="AW113" s="413"/>
      <c r="AX113" s="413"/>
      <c r="AY113" s="413"/>
      <c r="AZ113" s="413"/>
      <c r="BA113" s="413"/>
      <c r="BB113" s="413"/>
      <c r="BC113" s="413"/>
      <c r="BD113" s="413"/>
      <c r="BE113" s="413"/>
      <c r="BF113" s="413"/>
    </row>
    <row r="114" spans="1:58">
      <c r="B114" s="80"/>
      <c r="C114" s="410"/>
      <c r="D114" s="410"/>
      <c r="E114" s="410"/>
      <c r="F114" s="410"/>
      <c r="G114" s="410"/>
      <c r="H114" s="410"/>
      <c r="I114" s="410"/>
      <c r="J114" s="410"/>
      <c r="K114" s="410"/>
      <c r="L114" s="413"/>
      <c r="M114" s="413"/>
      <c r="N114" s="413"/>
      <c r="O114" s="413"/>
      <c r="P114" s="413"/>
      <c r="Q114" s="413"/>
      <c r="R114" s="413"/>
      <c r="S114" s="413"/>
      <c r="T114" s="413"/>
      <c r="U114" s="413"/>
      <c r="V114" s="413"/>
      <c r="W114" s="413"/>
      <c r="X114" s="452"/>
      <c r="Y114" s="413"/>
      <c r="Z114" s="413"/>
      <c r="AA114" s="413"/>
      <c r="AB114" s="413"/>
      <c r="AC114" s="413"/>
      <c r="AD114" s="413"/>
      <c r="AE114" s="413"/>
      <c r="AF114" s="413"/>
      <c r="AG114" s="413"/>
      <c r="AH114" s="413"/>
      <c r="AI114" s="413"/>
      <c r="AJ114" s="413"/>
      <c r="AK114" s="413"/>
      <c r="AL114" s="413"/>
      <c r="AM114" s="413"/>
      <c r="AN114" s="413"/>
      <c r="AO114" s="413"/>
      <c r="AP114" s="413"/>
      <c r="AQ114" s="413"/>
      <c r="AR114" s="413"/>
      <c r="AS114" s="413"/>
      <c r="AT114" s="413"/>
      <c r="AU114" s="413"/>
      <c r="AV114" s="413"/>
      <c r="AW114" s="413"/>
      <c r="AX114" s="413"/>
      <c r="AY114" s="413"/>
      <c r="AZ114" s="413"/>
      <c r="BA114" s="413"/>
      <c r="BB114" s="413"/>
      <c r="BC114" s="413"/>
      <c r="BD114" s="413"/>
      <c r="BE114" s="413"/>
      <c r="BF114" s="413"/>
    </row>
    <row r="115" spans="1:58">
      <c r="B115" s="80"/>
      <c r="C115" s="410"/>
      <c r="D115" s="410"/>
      <c r="E115" s="410"/>
      <c r="F115" s="410"/>
      <c r="G115" s="410"/>
      <c r="H115" s="410"/>
      <c r="I115" s="410"/>
      <c r="J115" s="410"/>
      <c r="K115" s="410"/>
      <c r="L115" s="413"/>
      <c r="M115" s="413"/>
      <c r="N115" s="413"/>
      <c r="O115" s="413"/>
      <c r="P115" s="413"/>
      <c r="Q115" s="413"/>
      <c r="R115" s="413"/>
      <c r="S115" s="413"/>
      <c r="T115" s="413"/>
      <c r="U115" s="413"/>
      <c r="V115" s="413"/>
      <c r="W115" s="413"/>
      <c r="X115" s="452"/>
      <c r="Y115" s="413"/>
      <c r="Z115" s="413"/>
      <c r="AA115" s="413"/>
      <c r="AB115" s="413"/>
      <c r="AC115" s="413"/>
      <c r="AD115" s="413"/>
      <c r="AE115" s="413"/>
      <c r="AF115" s="413"/>
      <c r="AG115" s="413"/>
      <c r="AH115" s="413"/>
      <c r="AI115" s="413"/>
      <c r="AJ115" s="413"/>
      <c r="AK115" s="413"/>
      <c r="AL115" s="413"/>
      <c r="AM115" s="413"/>
      <c r="AN115" s="413"/>
      <c r="AO115" s="413"/>
      <c r="AP115" s="413"/>
      <c r="AQ115" s="413"/>
      <c r="AR115" s="413"/>
      <c r="AS115" s="413"/>
      <c r="AT115" s="413"/>
      <c r="AU115" s="413"/>
      <c r="AV115" s="413"/>
      <c r="AW115" s="413"/>
      <c r="AX115" s="413"/>
      <c r="AY115" s="413"/>
      <c r="AZ115" s="413"/>
      <c r="BA115" s="413"/>
      <c r="BB115" s="413"/>
      <c r="BC115" s="413"/>
      <c r="BD115" s="413"/>
      <c r="BE115" s="413"/>
      <c r="BF115" s="413"/>
    </row>
    <row r="116" spans="1:58" ht="13">
      <c r="A116" s="5"/>
      <c r="B116" s="428"/>
      <c r="C116" s="176"/>
      <c r="D116" s="176"/>
      <c r="E116" s="176"/>
      <c r="F116" s="176"/>
      <c r="G116" s="176"/>
      <c r="H116" s="176"/>
      <c r="I116" s="176"/>
      <c r="J116" s="176"/>
      <c r="K116" s="176"/>
      <c r="L116" s="176"/>
      <c r="M116" s="176"/>
      <c r="N116" s="176"/>
      <c r="O116" s="176"/>
      <c r="P116" s="176"/>
      <c r="Q116" s="176"/>
      <c r="R116" s="176"/>
      <c r="S116" s="176"/>
      <c r="T116" s="176"/>
      <c r="U116" s="176"/>
      <c r="V116" s="176"/>
      <c r="W116" s="176"/>
      <c r="X116" s="176"/>
      <c r="Y116" s="176"/>
      <c r="Z116" s="176"/>
      <c r="AA116" s="176"/>
      <c r="AB116" s="176"/>
      <c r="AC116" s="176"/>
      <c r="AD116" s="176"/>
      <c r="AE116" s="176"/>
      <c r="AF116" s="176"/>
      <c r="AG116" s="176"/>
      <c r="AH116" s="176"/>
      <c r="AI116" s="176"/>
      <c r="AJ116" s="176"/>
      <c r="AK116" s="176"/>
      <c r="AL116" s="176"/>
      <c r="AM116" s="176"/>
      <c r="AN116" s="176"/>
      <c r="AO116" s="176"/>
      <c r="AP116" s="176"/>
      <c r="AQ116" s="176"/>
      <c r="AR116" s="176"/>
      <c r="AS116" s="176"/>
      <c r="AT116" s="176"/>
      <c r="AU116" s="176"/>
      <c r="AV116" s="176"/>
      <c r="AW116" s="176"/>
      <c r="AX116" s="176"/>
      <c r="AY116" s="176"/>
      <c r="AZ116" s="176"/>
      <c r="BA116" s="176"/>
      <c r="BB116" s="176"/>
      <c r="BC116" s="176"/>
      <c r="BD116" s="176"/>
      <c r="BE116" s="176"/>
      <c r="BF116" s="176"/>
    </row>
    <row r="117" spans="1:58" ht="13" hidden="1">
      <c r="B117" s="10" t="s">
        <v>428</v>
      </c>
      <c r="C117" s="33"/>
      <c r="D117" s="33"/>
      <c r="E117" s="33"/>
      <c r="F117" s="33"/>
      <c r="G117" s="33"/>
      <c r="H117" s="33"/>
      <c r="I117" s="33"/>
      <c r="J117" s="33"/>
      <c r="K117" s="33"/>
      <c r="L117" s="33"/>
      <c r="M117" s="33"/>
      <c r="N117" s="33"/>
      <c r="O117" s="33"/>
      <c r="P117" s="44"/>
      <c r="Q117" s="33"/>
      <c r="R117" s="33"/>
      <c r="S117" s="33"/>
      <c r="T117" s="33"/>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c r="AY117" s="33"/>
      <c r="AZ117" s="33"/>
      <c r="BA117" s="33"/>
      <c r="BB117" s="33"/>
      <c r="BC117" s="33"/>
      <c r="BD117" s="33"/>
      <c r="BE117" s="33"/>
      <c r="BF117" s="33"/>
    </row>
    <row r="118" spans="1:58" ht="13" hidden="1">
      <c r="B118" s="1" t="s">
        <v>397</v>
      </c>
      <c r="C118" s="63"/>
      <c r="D118" s="63"/>
      <c r="E118" s="63"/>
      <c r="F118" s="63">
        <v>12219.154</v>
      </c>
      <c r="G118" s="63">
        <v>12914.675999999999</v>
      </c>
      <c r="H118" s="63">
        <v>14543.106</v>
      </c>
      <c r="I118" s="63">
        <v>3482.3139999999999</v>
      </c>
      <c r="J118" s="63">
        <v>9268.4</v>
      </c>
      <c r="K118" s="137"/>
      <c r="L118" s="137"/>
      <c r="M118" s="137"/>
      <c r="N118" s="137"/>
      <c r="O118" s="161"/>
      <c r="P118" s="6"/>
      <c r="Q118" s="63"/>
      <c r="R118" s="63"/>
      <c r="S118" s="63"/>
      <c r="T118" s="63"/>
      <c r="U118" s="63"/>
      <c r="V118" s="63"/>
      <c r="W118" s="63"/>
      <c r="X118" s="63"/>
      <c r="Y118" s="63">
        <v>1175.1020000000001</v>
      </c>
      <c r="Z118" s="63">
        <f>4034.952776-Y118</f>
        <v>2859.8507760000002</v>
      </c>
      <c r="AA118" s="63">
        <f>6250.896805-Y118-Z118</f>
        <v>2215.9440290000002</v>
      </c>
      <c r="AB118" s="63">
        <f>G118-SUM(Y118:AA118)</f>
        <v>6663.7791949999992</v>
      </c>
      <c r="AC118" s="63">
        <v>1128.046</v>
      </c>
      <c r="AD118" s="63">
        <f>4472.676-AC118</f>
        <v>3344.63</v>
      </c>
      <c r="AE118" s="63">
        <f>6746.685-AC118-AD118</f>
        <v>2274.009</v>
      </c>
      <c r="AF118" s="63">
        <f>H118-SUM(AC118:AE118)</f>
        <v>7796.4209999999994</v>
      </c>
      <c r="AG118" s="63">
        <v>713.02300000000002</v>
      </c>
      <c r="AH118" s="63">
        <f>-3136.635-AG118</f>
        <v>-3849.6580000000004</v>
      </c>
      <c r="AI118" s="63">
        <f>-4308.062-AG118-AH118</f>
        <v>-1171.4269999999997</v>
      </c>
      <c r="AJ118" s="63">
        <f>I118-SUM(AG118:AI118)</f>
        <v>7790.3760000000002</v>
      </c>
      <c r="AK118" s="63">
        <v>1209.3030000000001</v>
      </c>
      <c r="AL118" s="63">
        <f>5548.735-AK118</f>
        <v>4339.4319999999998</v>
      </c>
      <c r="AM118" s="63">
        <f>9013.286-AK118-AL118</f>
        <v>3464.5510000000004</v>
      </c>
      <c r="AN118" s="63">
        <f>J118-SUM(AK118:AM118)</f>
        <v>255.11399999999958</v>
      </c>
      <c r="AO118" s="190"/>
      <c r="AP118" s="190"/>
      <c r="AQ118" s="190"/>
      <c r="AR118" s="190"/>
      <c r="AS118" s="190"/>
      <c r="AT118" s="190"/>
      <c r="AU118" s="190"/>
      <c r="AV118" s="190"/>
      <c r="AW118" s="190"/>
      <c r="AX118" s="190"/>
      <c r="AY118" s="190"/>
      <c r="AZ118" s="190"/>
      <c r="BA118" s="190"/>
      <c r="BB118" s="190"/>
      <c r="BC118" s="190"/>
      <c r="BD118" s="190"/>
      <c r="BE118" s="190"/>
      <c r="BF118" s="190"/>
    </row>
    <row r="119" spans="1:58" ht="13" hidden="1">
      <c r="B119" s="1" t="s">
        <v>421</v>
      </c>
      <c r="C119" s="63"/>
      <c r="D119" s="63"/>
      <c r="E119" s="63"/>
      <c r="F119" s="63">
        <v>0</v>
      </c>
      <c r="G119" s="63">
        <v>0.83399999999999996</v>
      </c>
      <c r="H119" s="63">
        <v>1175</v>
      </c>
      <c r="I119" s="137"/>
      <c r="J119" s="137"/>
      <c r="K119" s="137"/>
      <c r="L119" s="137"/>
      <c r="M119" s="137"/>
      <c r="N119" s="137"/>
      <c r="O119" s="161"/>
      <c r="P119" s="6"/>
      <c r="Q119" s="63"/>
      <c r="R119" s="63"/>
      <c r="S119" s="63"/>
      <c r="T119" s="63"/>
      <c r="U119" s="63"/>
      <c r="V119" s="63"/>
      <c r="W119" s="63"/>
      <c r="X119" s="63"/>
      <c r="Y119" s="63">
        <v>0</v>
      </c>
      <c r="Z119" s="63">
        <v>0</v>
      </c>
      <c r="AA119" s="63">
        <v>0</v>
      </c>
      <c r="AB119" s="63">
        <f>G119-SUM(Y119:AA119)</f>
        <v>0.83399999999999996</v>
      </c>
      <c r="AC119" s="63">
        <v>129</v>
      </c>
      <c r="AD119" s="63">
        <f>473-AC119</f>
        <v>344</v>
      </c>
      <c r="AE119" s="63">
        <f>671-AC119-AD119</f>
        <v>198</v>
      </c>
      <c r="AF119" s="63">
        <f>H119-SUM(AC119:AE119)</f>
        <v>504</v>
      </c>
      <c r="AG119" s="63">
        <v>239</v>
      </c>
      <c r="AH119" s="63">
        <f>1828-AG119</f>
        <v>1589</v>
      </c>
      <c r="AI119" s="63">
        <f>2370-AG119-AH119</f>
        <v>542</v>
      </c>
      <c r="AJ119" s="63">
        <f>I119-SUM(AG119:AI119)</f>
        <v>-2370</v>
      </c>
      <c r="AK119" s="137"/>
      <c r="AL119" s="137"/>
      <c r="AM119" s="137"/>
      <c r="AN119" s="63">
        <f>J119-SUM(AK119:AM119)</f>
        <v>0</v>
      </c>
      <c r="AO119" s="190"/>
      <c r="AP119" s="190"/>
      <c r="AQ119" s="190"/>
      <c r="AR119" s="190"/>
      <c r="AS119" s="190"/>
      <c r="AT119" s="190"/>
      <c r="AU119" s="190"/>
      <c r="AV119" s="190"/>
      <c r="AW119" s="190"/>
      <c r="AX119" s="190"/>
      <c r="AY119" s="190"/>
      <c r="AZ119" s="190"/>
      <c r="BA119" s="190"/>
      <c r="BB119" s="190"/>
      <c r="BC119" s="190"/>
      <c r="BD119" s="190"/>
      <c r="BE119" s="190"/>
      <c r="BF119" s="190"/>
    </row>
    <row r="120" spans="1:58" ht="13" hidden="1">
      <c r="B120" s="1" t="s">
        <v>401</v>
      </c>
      <c r="C120" s="63"/>
      <c r="D120" s="63"/>
      <c r="E120" s="63"/>
      <c r="F120" s="63">
        <v>1262.4010000000001</v>
      </c>
      <c r="G120" s="63">
        <v>1909.587</v>
      </c>
      <c r="H120" s="63">
        <v>1321.4090000000001</v>
      </c>
      <c r="I120" s="63">
        <v>-862.06700000000001</v>
      </c>
      <c r="J120" s="63">
        <v>952.572</v>
      </c>
      <c r="K120" s="137"/>
      <c r="L120" s="137"/>
      <c r="M120" s="137"/>
      <c r="N120" s="137"/>
      <c r="O120" s="161"/>
      <c r="P120" s="6"/>
      <c r="Q120" s="63"/>
      <c r="R120" s="63"/>
      <c r="S120" s="63"/>
      <c r="T120" s="63"/>
      <c r="U120" s="63"/>
      <c r="V120" s="63"/>
      <c r="W120" s="63"/>
      <c r="X120" s="63"/>
      <c r="Y120" s="63">
        <v>-115.36799999999999</v>
      </c>
      <c r="Z120" s="63">
        <f>524.031224-Y120</f>
        <v>639.399224</v>
      </c>
      <c r="AA120" s="63">
        <f>735.684195-Y120-Z120</f>
        <v>211.65297099999998</v>
      </c>
      <c r="AB120" s="63">
        <f>G120-SUM(Y120:AA120)</f>
        <v>1173.9028049999999</v>
      </c>
      <c r="AC120" s="63">
        <v>11.36</v>
      </c>
      <c r="AD120" s="63">
        <f>334.934-AC120</f>
        <v>323.57400000000001</v>
      </c>
      <c r="AE120" s="63">
        <f>397.308-AC120-AD120</f>
        <v>62.373999999999967</v>
      </c>
      <c r="AF120" s="63">
        <f>H120-SUM(AC120:AE120)</f>
        <v>924.10100000000011</v>
      </c>
      <c r="AG120" s="63">
        <v>-170.947</v>
      </c>
      <c r="AH120" s="63">
        <f>-1046.221-AG120</f>
        <v>-875.274</v>
      </c>
      <c r="AI120" s="63">
        <f>-966.279-AG120-AH120</f>
        <v>79.942000000000007</v>
      </c>
      <c r="AJ120" s="63">
        <f>I120-SUM(AG120:AI120)</f>
        <v>104.21199999999999</v>
      </c>
      <c r="AK120" s="63">
        <v>-426.86900000000003</v>
      </c>
      <c r="AL120" s="63">
        <f>-326.649-AK120</f>
        <v>100.22000000000003</v>
      </c>
      <c r="AM120" s="63">
        <f>-291.262-AK120-AL120</f>
        <v>35.387</v>
      </c>
      <c r="AN120" s="63">
        <f>J120-SUM(AK120:AM120)</f>
        <v>1243.8340000000001</v>
      </c>
      <c r="AO120" s="190"/>
      <c r="AP120" s="190"/>
      <c r="AQ120" s="190"/>
      <c r="AR120" s="190"/>
      <c r="AS120" s="190"/>
      <c r="AT120" s="190"/>
      <c r="AU120" s="190"/>
      <c r="AV120" s="190"/>
      <c r="AW120" s="190"/>
      <c r="AX120" s="190"/>
      <c r="AY120" s="190"/>
      <c r="AZ120" s="190"/>
      <c r="BA120" s="190"/>
      <c r="BB120" s="190"/>
      <c r="BC120" s="190"/>
      <c r="BD120" s="190"/>
      <c r="BE120" s="190"/>
      <c r="BF120" s="190"/>
    </row>
    <row r="121" spans="1:58" ht="13" hidden="1">
      <c r="B121" s="1" t="s">
        <v>429</v>
      </c>
      <c r="C121" s="63"/>
      <c r="D121" s="63"/>
      <c r="E121" s="63"/>
      <c r="F121" s="63"/>
      <c r="G121" s="63"/>
      <c r="H121" s="63"/>
      <c r="I121" s="63"/>
      <c r="J121" s="63">
        <v>6929.2120000000004</v>
      </c>
      <c r="K121" s="137"/>
      <c r="L121" s="137"/>
      <c r="M121" s="137"/>
      <c r="N121" s="137"/>
      <c r="O121" s="161"/>
      <c r="P121" s="6"/>
      <c r="Q121" s="63"/>
      <c r="R121" s="63"/>
      <c r="S121" s="63"/>
      <c r="T121" s="63"/>
      <c r="U121" s="63"/>
      <c r="V121" s="63"/>
      <c r="W121" s="63"/>
      <c r="X121" s="63"/>
      <c r="Y121" s="63"/>
      <c r="Z121" s="63"/>
      <c r="AA121" s="63"/>
      <c r="AB121" s="63"/>
      <c r="AC121" s="63"/>
      <c r="AD121" s="63"/>
      <c r="AE121" s="63"/>
      <c r="AF121" s="63"/>
      <c r="AG121" s="63"/>
      <c r="AH121" s="63"/>
      <c r="AI121" s="63"/>
      <c r="AJ121" s="63"/>
      <c r="AK121" s="63"/>
      <c r="AL121" s="63"/>
      <c r="AM121" s="63"/>
      <c r="AN121" s="63">
        <f>J121-SUM(AK121:AM121)</f>
        <v>6929.2120000000004</v>
      </c>
      <c r="AO121" s="190"/>
      <c r="AP121" s="190"/>
      <c r="AQ121" s="190"/>
      <c r="AR121" s="190"/>
      <c r="AS121" s="190"/>
      <c r="AT121" s="190"/>
      <c r="AU121" s="190"/>
      <c r="AV121" s="190"/>
      <c r="AW121" s="190"/>
      <c r="AX121" s="190"/>
      <c r="AY121" s="190"/>
      <c r="AZ121" s="190"/>
      <c r="BA121" s="190"/>
      <c r="BB121" s="190"/>
      <c r="BC121" s="190"/>
      <c r="BD121" s="190"/>
      <c r="BE121" s="190"/>
      <c r="BF121" s="190"/>
    </row>
    <row r="122" spans="1:58" ht="13" hidden="1">
      <c r="B122" s="1" t="s">
        <v>430</v>
      </c>
      <c r="C122" s="63"/>
      <c r="D122" s="63"/>
      <c r="E122" s="63"/>
      <c r="F122" s="63">
        <v>1750.1289999999999</v>
      </c>
      <c r="G122" s="63">
        <v>2100.2710000000002</v>
      </c>
      <c r="H122" s="63">
        <v>2131.6860000000001</v>
      </c>
      <c r="I122" s="63">
        <v>1191.8530000000001</v>
      </c>
      <c r="J122" s="63">
        <v>1583.1759999999999</v>
      </c>
      <c r="K122" s="137"/>
      <c r="L122" s="137"/>
      <c r="M122" s="137"/>
      <c r="N122" s="137"/>
      <c r="O122" s="161"/>
      <c r="P122" s="6"/>
      <c r="Q122" s="63"/>
      <c r="R122" s="63"/>
      <c r="S122" s="63"/>
      <c r="T122" s="63"/>
      <c r="U122" s="63"/>
      <c r="V122" s="63"/>
      <c r="W122" s="63"/>
      <c r="X122" s="63"/>
      <c r="Y122" s="63">
        <v>487.08600000000001</v>
      </c>
      <c r="Z122" s="63">
        <f>1053.158-Y122</f>
        <v>566.07199999999989</v>
      </c>
      <c r="AA122" s="63">
        <f>1529.04-Y122-Z122</f>
        <v>475.88200000000006</v>
      </c>
      <c r="AB122" s="63">
        <f>G122-SUM(Y122:AA122)</f>
        <v>571.23100000000022</v>
      </c>
      <c r="AC122" s="63">
        <v>525.19200000000001</v>
      </c>
      <c r="AD122" s="63">
        <f>1028.938-AC122</f>
        <v>503.74600000000009</v>
      </c>
      <c r="AE122" s="63">
        <f>1558.133-AC122-AD122</f>
        <v>529.19499999999994</v>
      </c>
      <c r="AF122" s="63">
        <f>H122-SUM(AC122:AE122)</f>
        <v>573.55300000000011</v>
      </c>
      <c r="AG122" s="63">
        <v>532.40099999999995</v>
      </c>
      <c r="AH122" s="63">
        <f>595.96-AG122</f>
        <v>63.559000000000083</v>
      </c>
      <c r="AI122" s="63">
        <f>845.459-AG122-AH122</f>
        <v>249.49899999999991</v>
      </c>
      <c r="AJ122" s="63">
        <f>I122-SUM(AG122:AI122)</f>
        <v>346.39400000000012</v>
      </c>
      <c r="AK122" s="63">
        <v>224.684</v>
      </c>
      <c r="AL122" s="63">
        <f>596.638-AK122</f>
        <v>371.95400000000006</v>
      </c>
      <c r="AM122" s="63">
        <f>1068.484-AK122-AL122</f>
        <v>471.84599999999989</v>
      </c>
      <c r="AN122" s="63">
        <f>J122-SUM(AK122:AM122)</f>
        <v>514.69200000000001</v>
      </c>
      <c r="AO122" s="190"/>
      <c r="AP122" s="190"/>
      <c r="AQ122" s="190"/>
      <c r="AR122" s="190"/>
      <c r="AS122" s="190"/>
      <c r="AT122" s="190"/>
      <c r="AU122" s="190"/>
      <c r="AV122" s="190"/>
      <c r="AW122" s="190"/>
      <c r="AX122" s="190"/>
      <c r="AY122" s="190"/>
      <c r="AZ122" s="190"/>
      <c r="BA122" s="190"/>
      <c r="BB122" s="190"/>
      <c r="BC122" s="190"/>
      <c r="BD122" s="190"/>
      <c r="BE122" s="190"/>
      <c r="BF122" s="190"/>
    </row>
    <row r="123" spans="1:58" ht="13" hidden="1">
      <c r="B123" s="5" t="s">
        <v>413</v>
      </c>
      <c r="C123" s="73"/>
      <c r="D123" s="73"/>
      <c r="E123" s="73"/>
      <c r="F123" s="73">
        <f t="shared" ref="F123:J123" si="61">SUM(F118:F122)</f>
        <v>15231.684000000001</v>
      </c>
      <c r="G123" s="73">
        <f t="shared" si="61"/>
        <v>16925.367999999999</v>
      </c>
      <c r="H123" s="73">
        <f t="shared" si="61"/>
        <v>19171.201000000001</v>
      </c>
      <c r="I123" s="73">
        <f t="shared" si="61"/>
        <v>3812.1</v>
      </c>
      <c r="J123" s="73">
        <f t="shared" si="61"/>
        <v>18733.36</v>
      </c>
      <c r="K123" s="241"/>
      <c r="L123" s="241"/>
      <c r="M123" s="241"/>
      <c r="N123" s="241"/>
      <c r="O123" s="241"/>
      <c r="P123" s="79"/>
      <c r="Q123" s="73"/>
      <c r="R123" s="73"/>
      <c r="S123" s="73"/>
      <c r="T123" s="73"/>
      <c r="U123" s="73"/>
      <c r="V123" s="73"/>
      <c r="W123" s="73"/>
      <c r="X123" s="73"/>
      <c r="Y123" s="73">
        <f t="shared" ref="Y123:AI123" si="62">SUM(Y118:Y122)</f>
        <v>1546.8200000000002</v>
      </c>
      <c r="Z123" s="73">
        <f t="shared" si="62"/>
        <v>4065.3220000000001</v>
      </c>
      <c r="AA123" s="73">
        <f t="shared" si="62"/>
        <v>2903.4790000000003</v>
      </c>
      <c r="AB123" s="73">
        <f t="shared" si="62"/>
        <v>8409.7469999999994</v>
      </c>
      <c r="AC123" s="73">
        <f t="shared" si="62"/>
        <v>1793.598</v>
      </c>
      <c r="AD123" s="73">
        <f t="shared" si="62"/>
        <v>4515.9500000000007</v>
      </c>
      <c r="AE123" s="73">
        <f t="shared" si="62"/>
        <v>3063.5779999999995</v>
      </c>
      <c r="AF123" s="73">
        <f t="shared" si="62"/>
        <v>9798.0749999999989</v>
      </c>
      <c r="AG123" s="73">
        <f t="shared" si="62"/>
        <v>1313.4769999999999</v>
      </c>
      <c r="AH123" s="73">
        <f t="shared" si="62"/>
        <v>-3072.373</v>
      </c>
      <c r="AI123" s="73">
        <f t="shared" si="62"/>
        <v>-299.98599999999976</v>
      </c>
      <c r="AJ123" s="73">
        <f>SUM(AJ118:AJ122)</f>
        <v>5870.982</v>
      </c>
      <c r="AK123" s="73">
        <f>SUM(AK118:AK122)</f>
        <v>1007.1180000000001</v>
      </c>
      <c r="AL123" s="73">
        <f>SUM(AL118:AL122)</f>
        <v>4811.6059999999998</v>
      </c>
      <c r="AM123" s="73">
        <f>SUM(AM118:AM122)</f>
        <v>3971.7840000000006</v>
      </c>
      <c r="AN123" s="73">
        <f>SUM(AN118:AN122)</f>
        <v>8942.851999999999</v>
      </c>
      <c r="AO123" s="191"/>
      <c r="AP123" s="191"/>
      <c r="AQ123" s="191"/>
      <c r="AR123" s="191"/>
      <c r="AS123" s="191"/>
      <c r="AT123" s="191"/>
      <c r="AU123" s="191"/>
      <c r="AV123" s="191"/>
      <c r="AW123" s="191"/>
      <c r="AX123" s="191"/>
      <c r="AY123" s="191"/>
      <c r="AZ123" s="191"/>
      <c r="BA123" s="191"/>
      <c r="BB123" s="191"/>
      <c r="BC123" s="191"/>
      <c r="BD123" s="191"/>
      <c r="BE123" s="191"/>
      <c r="BF123" s="191"/>
    </row>
    <row r="124" spans="1:58" ht="13" hidden="1">
      <c r="B124" s="55" t="s">
        <v>292</v>
      </c>
      <c r="C124" s="46"/>
      <c r="D124" s="46"/>
      <c r="E124" s="46"/>
      <c r="F124" s="46"/>
      <c r="G124" s="46">
        <f>G123/F123-1</f>
        <v>0.1111947963206168</v>
      </c>
      <c r="H124" s="46">
        <f>H123/G123-1</f>
        <v>0.13269034977555605</v>
      </c>
      <c r="I124" s="46">
        <f>I123/H123-1</f>
        <v>-0.80115486765800437</v>
      </c>
      <c r="J124" s="46">
        <f>J123/I123-1</f>
        <v>3.9141837832166004</v>
      </c>
      <c r="K124" s="46"/>
      <c r="L124" s="46"/>
      <c r="M124" s="46"/>
      <c r="N124" s="46"/>
      <c r="O124" s="46"/>
      <c r="P124" s="176"/>
      <c r="Q124" s="46"/>
      <c r="R124" s="46"/>
      <c r="S124" s="46"/>
      <c r="T124" s="46"/>
      <c r="U124" s="46"/>
      <c r="V124" s="46"/>
      <c r="W124" s="46"/>
      <c r="X124" s="46"/>
      <c r="Y124" s="46"/>
      <c r="Z124" s="46"/>
      <c r="AA124" s="46"/>
      <c r="AB124" s="46"/>
      <c r="AC124" s="46">
        <f t="shared" ref="AC124:AN124" si="63">AC123/Y123-1</f>
        <v>0.15953892502036426</v>
      </c>
      <c r="AD124" s="46">
        <f t="shared" si="63"/>
        <v>0.11084681607016633</v>
      </c>
      <c r="AE124" s="46">
        <f t="shared" si="63"/>
        <v>5.5140402255362986E-2</v>
      </c>
      <c r="AF124" s="46">
        <f t="shared" si="63"/>
        <v>0.16508558461984646</v>
      </c>
      <c r="AG124" s="46">
        <f t="shared" si="63"/>
        <v>-0.26768595861502975</v>
      </c>
      <c r="AH124" s="46">
        <f t="shared" si="63"/>
        <v>-1.6803381348332023</v>
      </c>
      <c r="AI124" s="46">
        <f t="shared" si="63"/>
        <v>-1.0979201443540854</v>
      </c>
      <c r="AJ124" s="46">
        <f t="shared" si="63"/>
        <v>-0.40080250457360245</v>
      </c>
      <c r="AK124" s="46">
        <f t="shared" si="63"/>
        <v>-0.23324275948493944</v>
      </c>
      <c r="AL124" s="46">
        <f t="shared" si="63"/>
        <v>-2.5660878415478852</v>
      </c>
      <c r="AM124" s="46">
        <f t="shared" si="63"/>
        <v>-14.239897861900234</v>
      </c>
      <c r="AN124" s="46">
        <f t="shared" si="63"/>
        <v>0.52322933369579383</v>
      </c>
      <c r="AO124" s="46"/>
      <c r="AP124" s="46"/>
      <c r="AQ124" s="46"/>
      <c r="AR124" s="46"/>
      <c r="AS124" s="46"/>
      <c r="AT124" s="46"/>
      <c r="AU124" s="46"/>
      <c r="AV124" s="46"/>
      <c r="AW124" s="46"/>
      <c r="AX124" s="46"/>
      <c r="AY124" s="46"/>
      <c r="AZ124" s="46"/>
      <c r="BA124" s="46"/>
      <c r="BB124" s="46"/>
      <c r="BC124" s="46"/>
      <c r="BD124" s="46"/>
      <c r="BE124" s="46"/>
      <c r="BF124" s="46"/>
    </row>
    <row r="125" spans="1:58" ht="13" hidden="1">
      <c r="B125" s="5"/>
      <c r="C125" s="46"/>
      <c r="D125" s="46"/>
      <c r="E125" s="46"/>
      <c r="F125" s="46"/>
      <c r="G125" s="46"/>
      <c r="H125" s="46"/>
      <c r="I125" s="46"/>
      <c r="J125" s="46"/>
      <c r="K125" s="46"/>
      <c r="L125" s="46"/>
      <c r="M125" s="46"/>
      <c r="N125" s="46"/>
      <c r="O125" s="46"/>
      <c r="P125" s="176"/>
      <c r="Q125" s="46"/>
      <c r="R125" s="46"/>
      <c r="S125" s="46"/>
      <c r="T125" s="46"/>
      <c r="U125" s="46"/>
      <c r="V125" s="46"/>
      <c r="W125" s="46"/>
      <c r="X125" s="46"/>
      <c r="Y125" s="46"/>
      <c r="Z125" s="46"/>
      <c r="AA125" s="46"/>
      <c r="AB125" s="46"/>
      <c r="AC125" s="46"/>
      <c r="AD125" s="46"/>
      <c r="AE125" s="46"/>
      <c r="AF125" s="46"/>
      <c r="AG125" s="46"/>
      <c r="AH125" s="63"/>
      <c r="AI125" s="46"/>
      <c r="AJ125" s="46"/>
      <c r="AK125" s="46"/>
      <c r="AL125" s="63"/>
      <c r="AM125" s="46"/>
      <c r="AN125" s="46"/>
      <c r="AO125" s="46"/>
      <c r="AP125" s="46"/>
      <c r="AQ125" s="46"/>
      <c r="AR125" s="46"/>
      <c r="AS125" s="46"/>
      <c r="AT125" s="46"/>
      <c r="AU125" s="46"/>
      <c r="AV125" s="46"/>
      <c r="AW125" s="46"/>
      <c r="AX125" s="46"/>
      <c r="AY125" s="46"/>
      <c r="AZ125" s="46"/>
      <c r="BA125" s="46"/>
      <c r="BB125" s="46"/>
      <c r="BC125" s="46"/>
      <c r="BD125" s="46"/>
      <c r="BE125" s="46"/>
      <c r="BF125" s="46"/>
    </row>
    <row r="126" spans="1:58" ht="13.5" hidden="1" thickBot="1">
      <c r="B126" s="141" t="s">
        <v>34</v>
      </c>
      <c r="C126" s="142"/>
      <c r="D126" s="142"/>
      <c r="E126" s="142"/>
      <c r="F126" s="142">
        <f>F123-Model!F17</f>
        <v>0</v>
      </c>
      <c r="G126" s="142">
        <f>G123-Model!G17</f>
        <v>0</v>
      </c>
      <c r="H126" s="142">
        <f>H123-Model!H17</f>
        <v>-1.0000000111176632E-3</v>
      </c>
      <c r="I126" s="142">
        <f>I123-Model!I17</f>
        <v>9.9999999999909051E-2</v>
      </c>
      <c r="J126" s="142">
        <f>J123-Model!J17</f>
        <v>5.9999999990395736E-2</v>
      </c>
      <c r="K126" s="142"/>
      <c r="L126" s="142"/>
      <c r="M126" s="142"/>
      <c r="N126" s="142"/>
      <c r="O126" s="142"/>
      <c r="P126" s="156"/>
      <c r="Q126" s="142"/>
      <c r="R126" s="142"/>
      <c r="S126" s="142"/>
      <c r="T126" s="142"/>
      <c r="U126" s="142"/>
      <c r="V126" s="142"/>
      <c r="W126" s="142"/>
      <c r="X126" s="143"/>
      <c r="Y126" s="142">
        <f>Y123-Model!Y17</f>
        <v>0</v>
      </c>
      <c r="Z126" s="142">
        <f>Z123-Model!Z17</f>
        <v>0</v>
      </c>
      <c r="AA126" s="142">
        <f>AA123-Model!AA17</f>
        <v>-1.9999999994979589E-3</v>
      </c>
      <c r="AB126" s="142">
        <f>AB123-Model!AB17</f>
        <v>2.0000000258733053E-3</v>
      </c>
      <c r="AC126" s="142">
        <f>AC123-Model!AC17</f>
        <v>-9.9999999838473741E-4</v>
      </c>
      <c r="AD126" s="142">
        <f>AD123-Model!AD17</f>
        <v>1.0000000002037268E-3</v>
      </c>
      <c r="AE126" s="142">
        <f>AE123-Model!AE17</f>
        <v>0</v>
      </c>
      <c r="AF126" s="142">
        <f>AF123-Model!AF17</f>
        <v>-1.000000005660695E-3</v>
      </c>
      <c r="AG126" s="142">
        <f>AG123-Model!AG17</f>
        <v>0</v>
      </c>
      <c r="AH126" s="142">
        <f>AH123-Model!AH17</f>
        <v>0</v>
      </c>
      <c r="AI126" s="142">
        <f>AI123-Model!AI17</f>
        <v>2.8421709430404007E-12</v>
      </c>
      <c r="AJ126" s="142">
        <f>AJ123-Model!AJ17</f>
        <v>9.9999999998544808E-2</v>
      </c>
      <c r="AK126" s="142">
        <f>AK123-Model!AK17</f>
        <v>0</v>
      </c>
      <c r="AL126" s="142">
        <f>AL123-Model!AL17</f>
        <v>0</v>
      </c>
      <c r="AM126" s="142">
        <f>AM123-Model!AM17</f>
        <v>-9.9999999747524271E-4</v>
      </c>
      <c r="AN126" s="142">
        <f>AN123-Model!AN17</f>
        <v>6.0999999988780473E-2</v>
      </c>
      <c r="AO126" s="192"/>
      <c r="AP126" s="192"/>
      <c r="AQ126" s="192"/>
      <c r="AR126" s="192"/>
      <c r="AS126" s="192"/>
      <c r="AT126" s="192"/>
      <c r="AU126" s="192"/>
      <c r="AV126" s="192"/>
      <c r="AW126" s="192"/>
      <c r="AX126" s="192"/>
      <c r="AY126" s="192"/>
      <c r="AZ126" s="192"/>
      <c r="BA126" s="192"/>
      <c r="BB126" s="192"/>
      <c r="BC126" s="192"/>
      <c r="BD126" s="192"/>
      <c r="BE126" s="192"/>
      <c r="BF126" s="192"/>
    </row>
    <row r="127" spans="1:58" hidden="1"/>
    <row r="129" spans="1:1" ht="13">
      <c r="A129" s="5"/>
    </row>
  </sheetData>
  <mergeCells count="1">
    <mergeCell ref="C13:C14"/>
  </mergeCells>
  <phoneticPr fontId="2" type="noConversion"/>
  <pageMargins left="0.7" right="0.7" top="0.75" bottom="0.75" header="0.3" footer="0.3"/>
  <pageSetup paperSize="9" orientation="portrait" verticalDpi="90" r:id="rId1"/>
  <headerFooter>
    <oddFooter>&amp;C_x000D_&amp;1#&amp;"Aptos"&amp;10&amp;K000000 Barings-Corporate</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A00EECCAA3DB94895FACE15614ECBE0" ma:contentTypeVersion="3" ma:contentTypeDescription="Create a new document." ma:contentTypeScope="" ma:versionID="df48d4251bee182ecc7fb5dcb95088a2">
  <xsd:schema xmlns:xsd="http://www.w3.org/2001/XMLSchema" xmlns:xs="http://www.w3.org/2001/XMLSchema" xmlns:p="http://schemas.microsoft.com/office/2006/metadata/properties" xmlns:ns2="aa33d72f-12a9-4590-815a-2b1f92f4a722" targetNamespace="http://schemas.microsoft.com/office/2006/metadata/properties" ma:root="true" ma:fieldsID="e53bcbeb5cc26077ba81130311515115" ns2:_="">
    <xsd:import namespace="aa33d72f-12a9-4590-815a-2b1f92f4a722"/>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33d72f-12a9-4590-815a-2b1f92f4a72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646786-D29E-4448-BC76-478EA041241B}">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4D1C041-C9DB-4D24-968E-837F60517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33d72f-12a9-4590-815a-2b1f92f4a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5BB5310-1F28-4D73-8CAA-30E731F0753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Capitalisation</vt:lpstr>
      <vt:lpstr>Model</vt:lpstr>
      <vt:lpstr>KPIs</vt:lpstr>
      <vt:lpstr>Model!Print_Area</vt:lpstr>
      <vt:lpstr>Model!Print_Titles</vt:lpstr>
    </vt:vector>
  </TitlesOfParts>
  <Manager/>
  <Company>MassMutual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MAB</dc:creator>
  <cp:keywords/>
  <dc:description/>
  <cp:lastModifiedBy>Kumar, Gunjan</cp:lastModifiedBy>
  <cp:revision/>
  <dcterms:created xsi:type="dcterms:W3CDTF">2008-03-12T15:44:19Z</dcterms:created>
  <dcterms:modified xsi:type="dcterms:W3CDTF">2026-10-14T12:17:22Z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{CAB7423E-5037-4E8B-B1B0-968F0C1A4CC4}</vt:lpwstr>
  </property>
  <property fmtid="{D5CDD505-2E9C-101B-9397-08002B2CF9AE}" pid="3" name="WorkbookGuid">
    <vt:lpwstr>eeabbcdd-0238-4abb-b56a-e3952860ed79</vt:lpwstr>
  </property>
  <property fmtid="{D5CDD505-2E9C-101B-9397-08002B2CF9AE}" pid="4" name="MSIP_Label_8c63c790-1b4f-473b-b88f-a693ca173b52_Enabled">
    <vt:lpwstr>true</vt:lpwstr>
  </property>
  <property fmtid="{D5CDD505-2E9C-101B-9397-08002B2CF9AE}" pid="5" name="MSIP_Label_8c63c790-1b4f-473b-b88f-a693ca173b52_SetDate">
    <vt:lpwstr>2024-04-24T14:24:51Z</vt:lpwstr>
  </property>
  <property fmtid="{D5CDD505-2E9C-101B-9397-08002B2CF9AE}" pid="6" name="MSIP_Label_8c63c790-1b4f-473b-b88f-a693ca173b52_Method">
    <vt:lpwstr>Privileged</vt:lpwstr>
  </property>
  <property fmtid="{D5CDD505-2E9C-101B-9397-08002B2CF9AE}" pid="7" name="MSIP_Label_8c63c790-1b4f-473b-b88f-a693ca173b52_Name">
    <vt:lpwstr>Internal</vt:lpwstr>
  </property>
  <property fmtid="{D5CDD505-2E9C-101B-9397-08002B2CF9AE}" pid="8" name="MSIP_Label_8c63c790-1b4f-473b-b88f-a693ca173b52_SiteId">
    <vt:lpwstr>4d8b04bf-7a7c-48a0-b6e3-38da5008297e</vt:lpwstr>
  </property>
  <property fmtid="{D5CDD505-2E9C-101B-9397-08002B2CF9AE}" pid="9" name="MSIP_Label_8c63c790-1b4f-473b-b88f-a693ca173b52_ActionId">
    <vt:lpwstr>9d325f0f-d85d-4400-a3dc-fd115f4064fb</vt:lpwstr>
  </property>
  <property fmtid="{D5CDD505-2E9C-101B-9397-08002B2CF9AE}" pid="10" name="MSIP_Label_8c63c790-1b4f-473b-b88f-a693ca173b52_ContentBits">
    <vt:lpwstr>0</vt:lpwstr>
  </property>
  <property fmtid="{D5CDD505-2E9C-101B-9397-08002B2CF9AE}" pid="11" name="ContentTypeId">
    <vt:lpwstr>0x0101003A00EECCAA3DB94895FACE15614ECBE0</vt:lpwstr>
  </property>
  <property fmtid="{D5CDD505-2E9C-101B-9397-08002B2CF9AE}" pid="12" name="MSIP_Label_e23aaa83-1940-48a9-a4d6-4a193a1929ec_Enabled">
    <vt:lpwstr>true</vt:lpwstr>
  </property>
  <property fmtid="{D5CDD505-2E9C-101B-9397-08002B2CF9AE}" pid="13" name="MSIP_Label_e23aaa83-1940-48a9-a4d6-4a193a1929ec_SetDate">
    <vt:lpwstr>2026-10-14T12:05:08Z</vt:lpwstr>
  </property>
  <property fmtid="{D5CDD505-2E9C-101B-9397-08002B2CF9AE}" pid="14" name="MSIP_Label_e23aaa83-1940-48a9-a4d6-4a193a1929ec_Method">
    <vt:lpwstr>Standard</vt:lpwstr>
  </property>
  <property fmtid="{D5CDD505-2E9C-101B-9397-08002B2CF9AE}" pid="15" name="MSIP_Label_e23aaa83-1940-48a9-a4d6-4a193a1929ec_Name">
    <vt:lpwstr>Corporate</vt:lpwstr>
  </property>
  <property fmtid="{D5CDD505-2E9C-101B-9397-08002B2CF9AE}" pid="16" name="MSIP_Label_e23aaa83-1940-48a9-a4d6-4a193a1929ec_SiteId">
    <vt:lpwstr>ce78e7b0-e32a-4428-9390-1c2ec8a59c47</vt:lpwstr>
  </property>
  <property fmtid="{D5CDD505-2E9C-101B-9397-08002B2CF9AE}" pid="17" name="MSIP_Label_e23aaa83-1940-48a9-a4d6-4a193a1929ec_ActionId">
    <vt:lpwstr>da4a9f5c-0944-473b-b0cf-8edd5072d3d4</vt:lpwstr>
  </property>
  <property fmtid="{D5CDD505-2E9C-101B-9397-08002B2CF9AE}" pid="18" name="MSIP_Label_e23aaa83-1940-48a9-a4d6-4a193a1929ec_ContentBits">
    <vt:lpwstr>2</vt:lpwstr>
  </property>
  <property fmtid="{D5CDD505-2E9C-101B-9397-08002B2CF9AE}" pid="19" name="MSIP_Label_e23aaa83-1940-48a9-a4d6-4a193a1929ec_Tag">
    <vt:lpwstr>10, 3, 0, 1</vt:lpwstr>
  </property>
</Properties>
</file>