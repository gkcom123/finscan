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13"/>
  <workbookPr codeName="ThisWorkbook"/>
  <mc:AlternateContent xmlns:mc="http://schemas.openxmlformats.org/markup-compatibility/2006">
    <mc:Choice Requires="x15">
      <x15ac:absPath xmlns:x15ac="http://schemas.microsoft.com/office/spreadsheetml/2010/11/ac" url="D:\working\waccache\AM4PEPF0000B659\EXCELCNV\8ee5c06d-cdb3-45eb-b8d3-fd48b4032cf3\"/>
    </mc:Choice>
  </mc:AlternateContent>
  <xr:revisionPtr revIDLastSave="0" documentId="8_{978F39D5-5CED-477E-A7CD-99752AD3DB5A}" xr6:coauthVersionLast="47" xr6:coauthVersionMax="47" xr10:uidLastSave="{00000000-0000-0000-0000-000000000000}"/>
  <bookViews>
    <workbookView xWindow="-60" yWindow="-60" windowWidth="15480" windowHeight="11640" tabRatio="748" xr2:uid="{09E27518-82DB-4769-8B15-3948D8406BA6}"/>
  </bookViews>
  <sheets>
    <sheet name="Capitalisation" sheetId="22" r:id="rId1"/>
    <sheet name="Model - Post Merger" sheetId="21" r:id="rId2"/>
    <sheet name="Capitalisation - Old" sheetId="17" state="hidden" r:id="rId3"/>
    <sheet name="Model - Old" sheetId="15" state="hidden" r:id="rId4"/>
    <sheet name="EBITDA - Old" sheetId="20" state="hidden" r:id="rId5"/>
    <sheet name="KPIs" sheetId="24" r:id="rId6"/>
    <sheet name="EBITDA" sheetId="23" r:id="rId7"/>
    <sheet name="KPIs - Old" sheetId="19" state="hidden" r:id="rId8"/>
  </sheets>
  <externalReferences>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s>
  <definedNames>
    <definedName name="\A">#REF!</definedName>
    <definedName name="\B">#REF!</definedName>
    <definedName name="\C">#REF!</definedName>
    <definedName name="\L">#REF!</definedName>
    <definedName name="\M">#REF!</definedName>
    <definedName name="\P">#REF!</definedName>
    <definedName name="\Y">#REF!</definedName>
    <definedName name="__FDS_HYPERLINK_TOGGLE_STATE__" hidden="1">"ON"</definedName>
    <definedName name="_01_30_04" localSheetId="0">MonthlyOpStats</definedName>
    <definedName name="_01_30_04" localSheetId="2">MonthlyOpStats</definedName>
    <definedName name="_01_30_04" localSheetId="3">MonthlyOpStats</definedName>
    <definedName name="_01_30_04">MonthlyOpStats</definedName>
    <definedName name="_1_30_01" localSheetId="0">MonthlyOpStats</definedName>
    <definedName name="_1_30_01" localSheetId="2">MonthlyOpStats</definedName>
    <definedName name="_1_30_01" localSheetId="3">MonthlyOpStats</definedName>
    <definedName name="_1_30_01">MonthlyOpStats</definedName>
    <definedName name="_1_30_02" localSheetId="0">MonthlyOpStats</definedName>
    <definedName name="_1_30_02" localSheetId="2">MonthlyOpStats</definedName>
    <definedName name="_1_30_02" localSheetId="3">MonthlyOpStats</definedName>
    <definedName name="_1_30_02">MonthlyOpStats</definedName>
    <definedName name="_1_31_01" localSheetId="0">MonthlyOpStats</definedName>
    <definedName name="_1_31_01" localSheetId="2">MonthlyOpStats</definedName>
    <definedName name="_1_31_01" localSheetId="3">MonthlyOpStats</definedName>
    <definedName name="_1_31_01">MonthlyOpStats</definedName>
    <definedName name="_1_31_02" localSheetId="0">MonthlyOpStats</definedName>
    <definedName name="_1_31_02" localSheetId="2">MonthlyOpStats</definedName>
    <definedName name="_1_31_02" localSheetId="3">MonthlyOpStats</definedName>
    <definedName name="_1_31_02">MonthlyOpStats</definedName>
    <definedName name="_12_31_05" localSheetId="0">MonthlyOpStats</definedName>
    <definedName name="_12_31_05" localSheetId="2">MonthlyOpStats</definedName>
    <definedName name="_12_31_05" localSheetId="3">MonthlyOpStats</definedName>
    <definedName name="_12_31_05">MonthlyOpStats</definedName>
    <definedName name="_A">#REF!</definedName>
    <definedName name="_A___0">#REF!</definedName>
    <definedName name="_B">#REF!</definedName>
    <definedName name="_B___0">#REF!</definedName>
    <definedName name="_C">#REF!</definedName>
    <definedName name="_C___0">#REF!</definedName>
    <definedName name="_ent1">[1]Inputs!$J$17</definedName>
    <definedName name="_ent10">[1]Inputs!$J$476</definedName>
    <definedName name="_ent11">[1]Inputs!$J$527</definedName>
    <definedName name="_ent12">[1]Inputs!$J$578</definedName>
    <definedName name="_ent13">[1]Inputs!$J$629</definedName>
    <definedName name="_ent14">[1]Inputs!$J$680</definedName>
    <definedName name="_ent15">[1]Inputs!$J$731</definedName>
    <definedName name="_ent2">[1]Inputs!$J$68</definedName>
    <definedName name="_ent3">[1]Inputs!$J$119</definedName>
    <definedName name="_ent4">[1]Inputs!$J$170</definedName>
    <definedName name="_ent5">[1]Inputs!$J$221</definedName>
    <definedName name="_ent6">[1]Inputs!$J$272</definedName>
    <definedName name="_ent7">[1]Inputs!$J$323</definedName>
    <definedName name="_ent8">[1]Inputs!$J$374</definedName>
    <definedName name="_ent9">[1]Inputs!$J$425</definedName>
    <definedName name="_eps1">[1]Inputs!$P$42</definedName>
    <definedName name="_eps10">[1]Inputs!$P$501</definedName>
    <definedName name="_eps11">[1]Inputs!$P$552</definedName>
    <definedName name="_eps12">[1]Inputs!$P$603</definedName>
    <definedName name="_eps13">[1]Inputs!$P$654</definedName>
    <definedName name="_eps14">[1]Inputs!$P$705</definedName>
    <definedName name="_eps15">[1]Inputs!$P$756</definedName>
    <definedName name="_eps2">[1]Inputs!$P$93</definedName>
    <definedName name="_eps3">[1]Inputs!$P$144</definedName>
    <definedName name="_eps4">[1]Inputs!$P$195</definedName>
    <definedName name="_eps5">[1]Inputs!$P$246</definedName>
    <definedName name="_eps6">[1]Inputs!$P$297</definedName>
    <definedName name="_eps7">[1]Inputs!$P$348</definedName>
    <definedName name="_eps8">[1]Inputs!$P$399</definedName>
    <definedName name="_eps9">[1]Inputs!$P$450</definedName>
    <definedName name="_Fill" localSheetId="3" hidden="1">[2]FxdChg!#REF!</definedName>
    <definedName name="_Fill" hidden="1">[2]FxdChg!#REF!</definedName>
    <definedName name="_xlnm._FilterDatabase" localSheetId="3" hidden="1">#N/A</definedName>
    <definedName name="_fye1">[1]Inputs!$E$12</definedName>
    <definedName name="_fye10">[1]Inputs!$E$471</definedName>
    <definedName name="_fye11">[1]Inputs!$E$522</definedName>
    <definedName name="_fye12">[1]Inputs!$E$573</definedName>
    <definedName name="_fye13">[1]Inputs!$E$624</definedName>
    <definedName name="_fye14">[1]Inputs!$E$675</definedName>
    <definedName name="_fye15">[1]Inputs!$E$726</definedName>
    <definedName name="_fye2">[1]Inputs!$E$63</definedName>
    <definedName name="_fye3">[1]Inputs!$E$114</definedName>
    <definedName name="_fye4">[1]Inputs!$E$165</definedName>
    <definedName name="_fye5">[1]Inputs!$E$216</definedName>
    <definedName name="_fye6">[1]Inputs!$E$267</definedName>
    <definedName name="_fye7">[1]Inputs!$E$318</definedName>
    <definedName name="_fye8">[1]Inputs!$E$369</definedName>
    <definedName name="_fye9">[1]Inputs!$E$420</definedName>
    <definedName name="_GEI_Returns" localSheetId="3">[3]Model!#REF!</definedName>
    <definedName name="_GEI_Returns">[3]Model!#REF!</definedName>
    <definedName name="_L">#REF!</definedName>
    <definedName name="_L___0">#REF!</definedName>
    <definedName name="_mv1">[1]Inputs!$J$16</definedName>
    <definedName name="_mv10">[1]Inputs!$J$475</definedName>
    <definedName name="_mv11">[1]Inputs!$J$526</definedName>
    <definedName name="_mv12">[1]Inputs!$J$577</definedName>
    <definedName name="_mv13">[1]Inputs!$J$628</definedName>
    <definedName name="_mv14">[1]Inputs!$J$679</definedName>
    <definedName name="_mv15">[1]Inputs!$J$730</definedName>
    <definedName name="_mv2">[1]Inputs!$J$67</definedName>
    <definedName name="_mv3">[1]Inputs!$J$118</definedName>
    <definedName name="_mv4">[1]Inputs!$J$169</definedName>
    <definedName name="_mv5">[1]Inputs!$J$220</definedName>
    <definedName name="_mv6">[1]Inputs!$J$271</definedName>
    <definedName name="_mv7">[1]Inputs!$J$322</definedName>
    <definedName name="_mv8">[1]Inputs!$J$373</definedName>
    <definedName name="_mv9">[1]Inputs!$J$424</definedName>
    <definedName name="_Order1" hidden="1">0</definedName>
    <definedName name="_Order2" hidden="1">0</definedName>
    <definedName name="_P">#REF!</definedName>
    <definedName name="_P___0">#REF!</definedName>
    <definedName name="_Table2_Out" hidden="1">#REF!</definedName>
    <definedName name="_Y">#REF!</definedName>
    <definedName name="_Y___0">#REF!</definedName>
    <definedName name="Aa_Recovery">#REF!</definedName>
    <definedName name="AAA_DOCTOPS" hidden="1">"AAA_SET"</definedName>
    <definedName name="AAA_duser" hidden="1">"OFF"</definedName>
    <definedName name="AAB_Addin5" hidden="1">"AAB_Description for addin 5,Description for addin 5,Description for addin 5,Description for addin 5,Description for addin 5,Description for addin 5"</definedName>
    <definedName name="AAB_GSPPG" hidden="1">"AAB_Goldman Sachs PPG Chart Utilities 1.0g"</definedName>
    <definedName name="Accrued_Comp_Sales" localSheetId="3">'[4]Tanning Assumptions'!#REF!</definedName>
    <definedName name="Accrued_Comp_Sales">'[4]Tanning Assumptions'!#REF!</definedName>
    <definedName name="acq">#REF!</definedName>
    <definedName name="acquiror">#REF!</definedName>
    <definedName name="AdSalesCash">#REF!</definedName>
    <definedName name="AdSalesTrade">#REF!</definedName>
    <definedName name="AdSalesWebsite">#REF!</definedName>
    <definedName name="AICORR" localSheetId="3">#N/A</definedName>
    <definedName name="AICORR">#N/A</definedName>
    <definedName name="AllBH">#REF!</definedName>
    <definedName name="allProjects">#REF!</definedName>
    <definedName name="amort" localSheetId="3">[5]Inputs!#REF!</definedName>
    <definedName name="amort">[5]Inputs!#REF!</definedName>
    <definedName name="AP_Sales" localSheetId="3">'[4]Tanning Assumptions'!#REF!</definedName>
    <definedName name="AP_Sales">'[4]Tanning Assumptions'!#REF!</definedName>
    <definedName name="AR_Other_Sales" localSheetId="3">'[4]Tanning Assumptions'!#REF!</definedName>
    <definedName name="AR_Other_Sales">'[4]Tanning Assumptions'!#REF!</definedName>
    <definedName name="AR_Trade_Sales" localSheetId="3">'[4]Tanning Assumptions'!#REF!</definedName>
    <definedName name="AR_Trade_Sales">'[4]Tanning Assumptions'!#REF!</definedName>
    <definedName name="As_Of_Date">[6]Selections!$C$2</definedName>
    <definedName name="asdfa">#REF!</definedName>
    <definedName name="AsOfDate">'[7]AUM YTD 2000'!$W$1</definedName>
    <definedName name="ASSUMPTIONS">#REF!</definedName>
    <definedName name="B_S" localSheetId="3">#REF!</definedName>
    <definedName name="B_S">#REF!</definedName>
    <definedName name="Baa_Recovery">#REF!</definedName>
    <definedName name="bal">#REF!</definedName>
    <definedName name="banner2">[8]CONTROL!$D$10</definedName>
    <definedName name="banner2___0">[8]CONTROL!$D$10</definedName>
    <definedName name="Base_Case">#REF!</definedName>
    <definedName name="Billable">#REF!</definedName>
    <definedName name="BillableHeadcount">#REF!</definedName>
    <definedName name="body">#REF!</definedName>
    <definedName name="BREAK_EVEN">#REF!</definedName>
    <definedName name="BREAK_EVEN___0">#REF!</definedName>
    <definedName name="Broadwing__Inc__Cincinnati_Bell">#REF!</definedName>
    <definedName name="brob">#REF!</definedName>
    <definedName name="bs" localSheetId="3">[5]Inputs!#REF!</definedName>
    <definedName name="bs">[5]Inputs!#REF!</definedName>
    <definedName name="Capaa">MonthlyOpStats</definedName>
    <definedName name="case">#REF!</definedName>
    <definedName name="case1">[9]CONTROL!$A$12</definedName>
    <definedName name="case2">[9]CONTROL!$A$13</definedName>
    <definedName name="case3">[9]CONTROL!$A$14</definedName>
    <definedName name="CASH_FLOW" localSheetId="3">#REF!</definedName>
    <definedName name="CASH_FLOW">#REF!</definedName>
    <definedName name="Cash_Sales" localSheetId="3">'[4]Tanning Assumptions'!#REF!</definedName>
    <definedName name="Cash_Sales">'[4]Tanning Assumptions'!#REF!</definedName>
    <definedName name="CASHBUDGET" localSheetId="3">#REF!</definedName>
    <definedName name="CASHBUDGET">#REF!</definedName>
    <definedName name="CASHBUDGET___0" localSheetId="3">#REF!</definedName>
    <definedName name="CASHBUDGET___0">#REF!</definedName>
    <definedName name="CASHFLOWS_MONTH">#REF!</definedName>
    <definedName name="CASHFLOWS_MONTH___0">#REF!</definedName>
    <definedName name="CASHFLOWS_YEARS">#REF!</definedName>
    <definedName name="CASHFLOWS_YEARS___0">#REF!</definedName>
    <definedName name="cashint" localSheetId="3">#REF!</definedName>
    <definedName name="cashint">#REF!</definedName>
    <definedName name="cashint___0" localSheetId="3">#REF!</definedName>
    <definedName name="cashint___0">#REF!</definedName>
    <definedName name="CBHC">#REF!</definedName>
    <definedName name="cfl">#REF!</definedName>
    <definedName name="ChartDataRange">#REF!</definedName>
    <definedName name="CINC" localSheetId="3">#N/A</definedName>
    <definedName name="CINC">#N/A</definedName>
    <definedName name="CIQWBGuid" hidden="1">"6086aa08-753d-46a1-83f7-953eb25fe80f"</definedName>
    <definedName name="CIQWBInfo" hidden="1">"{ ""CIQVersion"":""9.45.614.5792"" }"</definedName>
    <definedName name="circ" localSheetId="3">[5]Inputs!#REF!</definedName>
    <definedName name="circ">[5]Inputs!#REF!</definedName>
    <definedName name="CircRev">#REF!</definedName>
    <definedName name="Class_3_Agg_Cash" localSheetId="3">[10]Revolver!#REF!</definedName>
    <definedName name="Class_3_Agg_Cash">[10]Revolver!#REF!</definedName>
    <definedName name="Class_3_Amt_BET" localSheetId="3">[10]Revolver!#REF!</definedName>
    <definedName name="Class_3_Amt_BET">[10]Revolver!#REF!</definedName>
    <definedName name="Class_A_Interest">#REF!</definedName>
    <definedName name="Class_A_Principal">#REF!</definedName>
    <definedName name="Class_B_Interest">#REF!</definedName>
    <definedName name="Class_B_Principal">#REF!</definedName>
    <definedName name="Class_C_Payment">#REF!</definedName>
    <definedName name="ClassABC">'[6]Debt Structure'!$AN$7</definedName>
    <definedName name="ClassABCD">'[6]Debt Structure'!$AN$8</definedName>
    <definedName name="ClassABCDE">'[6]Debt Structure'!$AN$9</definedName>
    <definedName name="Clients" localSheetId="3">#REF!</definedName>
    <definedName name="Clients">#REF!</definedName>
    <definedName name="closing_date">#REF!</definedName>
    <definedName name="closingttmrevenue">#REF!</definedName>
    <definedName name="CMBSIG" localSheetId="3">#N/A</definedName>
    <definedName name="CMBSIG">#N/A</definedName>
    <definedName name="Column_Lookup">'[11]MASTER DRIVER'!$C$5:$D$29</definedName>
    <definedName name="COMBINED_J_W__3_111403_JUP_IND_PROFORMA_List">#REF!</definedName>
    <definedName name="company">[12]CONTROL!$D$7</definedName>
    <definedName name="company___0">[8]CONTROL!$D$7</definedName>
    <definedName name="cons">#REF!</definedName>
    <definedName name="consultants">#REF!</definedName>
    <definedName name="contrib2" localSheetId="0" hidden="1">{"page1",#N/A,FALSE,"Temp";"page2",#N/A,FALSE,"Temp";"page3",#N/A,FALSE,"Temp";"page4",#N/A,FALSE,"Temp";"page5",#N/A,FALSE,"Temp";"page6",#N/A,FALSE,"Temp"}</definedName>
    <definedName name="contrib2" localSheetId="2" hidden="1">{"page1",#N/A,FALSE,"Temp";"page2",#N/A,FALSE,"Temp";"page3",#N/A,FALSE,"Temp";"page4",#N/A,FALSE,"Temp";"page5",#N/A,FALSE,"Temp";"page6",#N/A,FALSE,"Temp"}</definedName>
    <definedName name="contrib2" hidden="1">{"page1",#N/A,FALSE,"Temp";"page2",#N/A,FALSE,"Temp";"page3",#N/A,FALSE,"Temp";"page4",#N/A,FALSE,"Temp";"page5",#N/A,FALSE,"Temp";"page6",#N/A,FALSE,"Temp"}</definedName>
    <definedName name="contrib3" localSheetId="0" hidden="1">{"page1",#N/A,FALSE,"Temp";"page2",#N/A,FALSE,"Temp";"page3",#N/A,FALSE,"Temp";"page4",#N/A,FALSE,"Temp";"page5",#N/A,FALSE,"Temp";"page6",#N/A,FALSE,"Temp"}</definedName>
    <definedName name="contrib3" localSheetId="2" hidden="1">{"page1",#N/A,FALSE,"Temp";"page2",#N/A,FALSE,"Temp";"page3",#N/A,FALSE,"Temp";"page4",#N/A,FALSE,"Temp";"page5",#N/A,FALSE,"Temp";"page6",#N/A,FALSE,"Temp"}</definedName>
    <definedName name="contrib3" hidden="1">{"page1",#N/A,FALSE,"Temp";"page2",#N/A,FALSE,"Temp";"page3",#N/A,FALSE,"Temp";"page4",#N/A,FALSE,"Temp";"page5",#N/A,FALSE,"Temp";"page6",#N/A,FALSE,"Temp"}</definedName>
    <definedName name="convertamt">#REF!</definedName>
    <definedName name="convertamt___0">#REF!</definedName>
    <definedName name="convertper">#REF!</definedName>
    <definedName name="convertper___0">#REF!</definedName>
    <definedName name="CorpName">'[13]MASTER DRIVERS'!$A$1</definedName>
    <definedName name="COSTREPORT">#REF!</definedName>
    <definedName name="COSTREPORT___0">#REF!</definedName>
    <definedName name="counter" localSheetId="3">'[14]Portfolio Input'!#REF!</definedName>
    <definedName name="counter">'[14]Portfolio Input'!#REF!</definedName>
    <definedName name="counter2" localSheetId="3">'[14]Portfolio Input'!#REF!</definedName>
    <definedName name="counter2">'[14]Portfolio Input'!#REF!</definedName>
    <definedName name="Coupon">[15]Inputs!$J$30</definedName>
    <definedName name="CSEnd">#N/A</definedName>
    <definedName name="CSHO" localSheetId="3">#N/A</definedName>
    <definedName name="CSHO">#N/A</definedName>
    <definedName name="CSHPRI" localSheetId="3">#N/A</definedName>
    <definedName name="CSHPRI">#N/A</definedName>
    <definedName name="current1">[1]Inputs!$E$21</definedName>
    <definedName name="current10">[1]Inputs!$E$480</definedName>
    <definedName name="current11">[1]Inputs!$E$531</definedName>
    <definedName name="current12">[1]Inputs!$E$582</definedName>
    <definedName name="current13">[1]Inputs!$E$633</definedName>
    <definedName name="current14">[1]Inputs!$E$684</definedName>
    <definedName name="current15">[1]Inputs!$E$735</definedName>
    <definedName name="current2">[1]Inputs!$E$72</definedName>
    <definedName name="current3">[1]Inputs!$E$123</definedName>
    <definedName name="current4">[1]Inputs!$E$174</definedName>
    <definedName name="current5">[1]Inputs!$E$225</definedName>
    <definedName name="current6">[1]Inputs!$E$276</definedName>
    <definedName name="current7">[1]Inputs!$E$327</definedName>
    <definedName name="current8">[1]Inputs!$E$378</definedName>
    <definedName name="current9">[1]Inputs!$E$429</definedName>
    <definedName name="CustomPubSales">#REF!</definedName>
    <definedName name="Date" localSheetId="3">[16]Comps!#REF!</definedName>
    <definedName name="Date">[16]Comps!#REF!</definedName>
    <definedName name="Date_OC1">OFFSET([6]OCTrends!$B$2,0,0,COUNTA([6]OCTrends!$B$1:$B$65536)-1)</definedName>
    <definedName name="Date_OC2">OFFSET([6]OCTrends!$G$2,0,0,COUNTA([6]OCTrends!$G$1:$G$65536)-1)</definedName>
    <definedName name="Date_OC3">OFFSET([6]OCTrends!$L$2,0,0,COUNTA([6]OCTrends!$L$1:$L$65536)-1)</definedName>
    <definedName name="debtsched" localSheetId="3">[5]Inputs!#REF!</definedName>
    <definedName name="debtsched">[5]Inputs!#REF!</definedName>
    <definedName name="decconsultants">#REF!</definedName>
    <definedName name="decemberemployees">#REF!</definedName>
    <definedName name="decemployees">#REF!</definedName>
    <definedName name="default">#REF!</definedName>
    <definedName name="Default_Scenario">#REF!</definedName>
    <definedName name="Default_Table" localSheetId="3">#REF!</definedName>
    <definedName name="Default_Table">#REF!</definedName>
    <definedName name="Default_Timing">#REF!</definedName>
    <definedName name="depsched" localSheetId="3">[5]Inputs!#REF!</definedName>
    <definedName name="depsched">[5]Inputs!#REF!</definedName>
    <definedName name="DivActual">OFFSET([6]DivTrends!$C$2,0,0,COUNTA([6]DivTrends!$C$1:$C$65536)-1)</definedName>
    <definedName name="DivCovenant">OFFSET([6]DivTrends!$D$2,0,0,COUNTA([6]DivTrends!$D$1:$D$65536)-1)</definedName>
    <definedName name="DivDate">OFFSET([6]DivTrends!$B$2,0,0,COUNTA([6]DivTrends!$B$1:$B$65536)-1)</definedName>
    <definedName name="Diversity">'[7]Actual vs Covenant'!$P$41:$Q$48</definedName>
    <definedName name="DiversityScore">#REF!</definedName>
    <definedName name="earnout">#REF!</definedName>
    <definedName name="earnout___0">#REF!</definedName>
    <definedName name="EBIT">#N/A</definedName>
    <definedName name="EBITDA">#N/A</definedName>
    <definedName name="ebitda1">[1]Inputs!$P$46</definedName>
    <definedName name="ebitda10">[1]Inputs!$P$505</definedName>
    <definedName name="ebitda11">[1]Inputs!$P$556</definedName>
    <definedName name="ebitda12">[1]Inputs!$P$607</definedName>
    <definedName name="ebitda13">[1]Inputs!$P$658</definedName>
    <definedName name="ebitda14">[1]Inputs!$P$709</definedName>
    <definedName name="ebitda15">[1]Inputs!$P$760</definedName>
    <definedName name="ebitda2">[1]Inputs!$P$97</definedName>
    <definedName name="ebitda3">[1]Inputs!$P$148</definedName>
    <definedName name="ebitda4">[1]Inputs!$P$199</definedName>
    <definedName name="ebitda5">[1]Inputs!$P$250</definedName>
    <definedName name="ebitda6">[1]Inputs!$P$301</definedName>
    <definedName name="ebitda7">[1]Inputs!$P$352</definedName>
    <definedName name="ebitda8">[1]Inputs!$P$403</definedName>
    <definedName name="ebitda9">[1]Inputs!$P$454</definedName>
    <definedName name="effective_date">#REF!</definedName>
    <definedName name="ELC1_Top3">[7]TOP10!$D$3</definedName>
    <definedName name="ELC1_Top4">[7]TOP10!$D$8</definedName>
    <definedName name="ELC1FitchRatingChartData">[7]ELC1!$G$2:$H$11</definedName>
    <definedName name="ELC1FitchRatingChartSerial1">[7]ELC1!$H$2:$H$11</definedName>
    <definedName name="ELC1FitchRatingChartXScale">[7]ELC1!$G$2:$G$11</definedName>
    <definedName name="ELC1MoodyRatingChartData">[7]ELC1!$A$2:$B$14</definedName>
    <definedName name="ELC1MoodyRatingChartSerial1">[7]ELC1!$B$2:$B$14</definedName>
    <definedName name="ELC1MoodyRatingChartXScale">[7]ELC1!$A$2:$A$14</definedName>
    <definedName name="ELC1SPRatingChartData">[7]ELC1!$D$2:$E$14</definedName>
    <definedName name="ELC1SPRatingChartSerial1">[7]ELC1!$E$2:$E$14</definedName>
    <definedName name="ELC1SPRatingChartXScale">[7]ELC1!$D$2:$D$14</definedName>
    <definedName name="ELC2_Top3">[7]TOP10!$G$3</definedName>
    <definedName name="ELC2_Top4">[7]TOP10!$G$8</definedName>
    <definedName name="ELC2FitchRatingChartData">[7]ELC2!$G$2:$H$12</definedName>
    <definedName name="ELC2FitchRatingChartSerial1">[7]ELC2!$H$2:$H$12</definedName>
    <definedName name="ELC2FitchRatingChartXScale">[7]ELC2!$G$2:$G$12</definedName>
    <definedName name="ELC2MoodyRatingChartData">[7]ELC2!$A$2:$B$15</definedName>
    <definedName name="ELC2MoodyRatingChartSerial1">[7]ELC2!$B$2:$B$15</definedName>
    <definedName name="ELC2MoodyRatingChartXScale">[7]ELC2!$A$2:$A$15</definedName>
    <definedName name="ELC2SPRatingChartData">[7]ELC2!$D$2:$E$15</definedName>
    <definedName name="ELC2SPRatingChartSerial1">[7]ELC2!$E$2:$E$15</definedName>
    <definedName name="ELC2SPRatingChartXScale">[7]ELC2!$D$2:$D$15</definedName>
    <definedName name="ELC3_Top3">[7]TOP10!$J$3</definedName>
    <definedName name="ELC3_Top4">[7]TOP10!$J$8</definedName>
    <definedName name="ELC3FitchRatingChartData">[7]ELC3!$G$2:$H$14</definedName>
    <definedName name="ELC3FitchRatingChartSerial1">[7]ELC3!$H$2:$H$14</definedName>
    <definedName name="ELC3FitchRatingChartXScale">[7]ELC3!$G$2:$G$14</definedName>
    <definedName name="ELC3MoodyRatingChartData">[7]ELC3!$A$2:$B$15</definedName>
    <definedName name="ELC3MoodyRatingChartSerial1">[7]ELC3!$B$2:$B$15</definedName>
    <definedName name="ELC3MoodyRatingChartXScale">[7]ELC3!$A$2:$A$15</definedName>
    <definedName name="ELC3SPRatingChartData">[7]ELC3!$D$2:$E$16</definedName>
    <definedName name="ELC3SPRatingChartSerial1">[7]ELC3!$E$2:$E$16</definedName>
    <definedName name="ELC3SPRatingChartXScale">[7]ELC3!$D$2:$D$16</definedName>
    <definedName name="ELC4_Top3">[7]TOP10!$M$3</definedName>
    <definedName name="ELC4_Top4">[7]TOP10!$M$8</definedName>
    <definedName name="ELC4FitchRatingChartData">[7]ELC4!$G$2:$H$8</definedName>
    <definedName name="ELC4FitchRatingChartSerial1">[7]ELC4!$H$2:$H$8</definedName>
    <definedName name="ELC4FitchRatingChartXScale">[7]ELC4!$G$2:$G$8</definedName>
    <definedName name="ELC4MoodyRatingChartData">[7]ELC4!$A$2:$B$13</definedName>
    <definedName name="ELC4MoodyRatingChartSerial1">[7]ELC4!$B$2:$B$13</definedName>
    <definedName name="ELC4MoodyRatingChartXScale">[7]ELC4!$A$2:$A$13</definedName>
    <definedName name="ELC4SPRatingChartData">[7]ELC4!$D$2:$E$14</definedName>
    <definedName name="ELC4SPRatingChartSerial1">[7]ELC4!$E$2:$E$14</definedName>
    <definedName name="ELC4SPRatingChartXScale">[7]ELC4!$D$2:$D$14</definedName>
    <definedName name="ELC5_Top3">[7]TOP10!$P$3</definedName>
    <definedName name="ELC5_Top4">[7]TOP10!$P$8</definedName>
    <definedName name="ELC5FitchRatingChartData">[7]ELC5!$G$2:$H$9</definedName>
    <definedName name="ELC5FitchRatingChartSerial1">[7]ELC5!$H$2:$H$9</definedName>
    <definedName name="ELC5FitchRatingChartXScale">[7]ELC5!$G$2:$G$9</definedName>
    <definedName name="ELC5MoodyRatingChartData">[7]ELC5!$A$2:$B$14</definedName>
    <definedName name="ELC5MoodyRatingChartSerial1">[7]ELC5!$B$2:$B$14</definedName>
    <definedName name="ELC5MoodyRatingChartXScale">[7]ELC5!$A$2:$A$14</definedName>
    <definedName name="ELC5SPRatingChartData">[7]ELC5!$D$2:$E$14</definedName>
    <definedName name="ELC5SPRatingChartSerial1">[7]ELC5!$E$2:$E$14</definedName>
    <definedName name="ELC5SPRatingChartXScale">[7]ELC5!$D$2:$D$14</definedName>
    <definedName name="employees">#REF!</definedName>
    <definedName name="EndDay">[6]Selections!$R$3</definedName>
    <definedName name="EndMonth">[6]Selections!$R$2</definedName>
    <definedName name="EndYear">[6]Selections!$R$1</definedName>
    <definedName name="ePrint" localSheetId="3">[17]Consolidated!#REF!</definedName>
    <definedName name="ePrint">[17]Consolidated!#REF!</definedName>
    <definedName name="EQUITY">'[9]S&amp;U'!$E$12</definedName>
    <definedName name="equityamt">#REF!</definedName>
    <definedName name="equityamt___0">#REF!</definedName>
    <definedName name="equityper">#REF!</definedName>
    <definedName name="equityper___0">#REF!</definedName>
    <definedName name="ev.Calculation" hidden="1">-4105</definedName>
    <definedName name="ev.Initialized" hidden="1">FALSE</definedName>
    <definedName name="exe">#REF!</definedName>
    <definedName name="fianal">[18]Preliminary!$A$1:$D$65</definedName>
    <definedName name="filename">[6]Selections!$U$2</definedName>
    <definedName name="Final_Number">#REF!</definedName>
    <definedName name="FinanceRev">#REF!</definedName>
    <definedName name="FinanceRev2">#REF!</definedName>
    <definedName name="firstHourDate">#REF!</definedName>
    <definedName name="firstProject">#REF!</definedName>
    <definedName name="Flat_Swap">#REF!</definedName>
    <definedName name="FSoPacific" localSheetId="0" hidden="1">{"BS",#N/A,FALSE,"USA"}</definedName>
    <definedName name="FSoPacific" localSheetId="2" hidden="1">{"BS",#N/A,FALSE,"USA"}</definedName>
    <definedName name="FSoPacific" hidden="1">{"BS",#N/A,FALSE,"USA"}</definedName>
    <definedName name="Fund">[6]Selections!$A$1</definedName>
    <definedName name="Fwd_Curve">#REF!</definedName>
    <definedName name="FYEMarker">#N/A</definedName>
    <definedName name="FYEMonth">#N/A</definedName>
    <definedName name="G_A_SUMMARY">#REF!</definedName>
    <definedName name="group_quarterly">#REF!</definedName>
    <definedName name="Header1">[19]_01_05_v_Wicks_xls__01_05_v_Wic!$N$1</definedName>
    <definedName name="high1">[1]Inputs!$E$23</definedName>
    <definedName name="high10">[1]Inputs!$E$482</definedName>
    <definedName name="high11">[1]Inputs!$E$533</definedName>
    <definedName name="high12">[1]Inputs!$E$584</definedName>
    <definedName name="high13">[1]Inputs!$E$635</definedName>
    <definedName name="high14">[1]Inputs!$E$686</definedName>
    <definedName name="high15">[1]Inputs!$E$737</definedName>
    <definedName name="high2">[1]Inputs!$E$74</definedName>
    <definedName name="high3">[1]Inputs!$E$125</definedName>
    <definedName name="high4">[1]Inputs!$E$176</definedName>
    <definedName name="high5">[1]Inputs!$E$227</definedName>
    <definedName name="high6">[1]Inputs!$E$278</definedName>
    <definedName name="high7">[1]Inputs!$E$329</definedName>
    <definedName name="high8">[1]Inputs!$E$380</definedName>
    <definedName name="high9">[1]Inputs!$E$431</definedName>
    <definedName name="hl" localSheetId="3">'[20]LBO Summary'!#REF!</definedName>
    <definedName name="hl">'[20]LBO Summary'!#REF!</definedName>
    <definedName name="hn.ExtDb" hidden="1">FALSE</definedName>
    <definedName name="hn.ModelType" hidden="1">"DEAL"</definedName>
    <definedName name="hn.ModelVersion" hidden="1">1</definedName>
    <definedName name="hn.NoUpload" hidden="1">0</definedName>
    <definedName name="IC1Actual">OFFSET([6]ICTrends!$C$2,0,0,COUNTA([6]ICTrends!$C$1:$C$65536)-1)</definedName>
    <definedName name="IC1ChartTitle">[6]ICTrends!$W$1</definedName>
    <definedName name="IC1Covenant">OFFSET([6]ICTrends!$D$2,0,0,COUNTA([6]ICTrends!$D$1:$D$65536)-1)</definedName>
    <definedName name="IC1Date">OFFSET([6]ICTrends!$B$2,0,0,COUNTA([6]ICTrends!$B$1:$B$65536)-1)</definedName>
    <definedName name="IC2Actual">OFFSET([6]ICTrends!$H$2,0,0,COUNTA([6]ICTrends!$H$1:$H$65536)-1)</definedName>
    <definedName name="IC2Covenant">OFFSET([6]ICTrends!$I$2,0,0,COUNTA([6]ICTrends!$I$1:$I$65536)-1)</definedName>
    <definedName name="IC2Date">OFFSET([6]ICTrends!$G$2,0,0,COUNTA([6]ICTrends!$G$1:$G$65536)-1)</definedName>
    <definedName name="IC3Actual">OFFSET([6]ICTrends!$M$2,0,0,COUNTA([6]ICTrends!$M$1:$M$65536)-1)</definedName>
    <definedName name="IC3Covenant">OFFSET([6]ICTrends!$N$2,0,0,COUNTA([6]ICTrends!$N$1:$N$65536)-1)</definedName>
    <definedName name="IC3Date">OFFSET([6]ICTrends!$L$2,0,0,COUNTA([6]ICTrends!$L$1:$L$65536)-1)</definedName>
    <definedName name="IC4Actual">OFFSET([6]ICTrends!$R$2,0,0,COUNTA([6]ICTrends!$R$1:$R$65536)-1)</definedName>
    <definedName name="IC4Covenant">OFFSET([6]ICTrends!$S$2,0,0,COUNTA([6]ICTrends!$S$1:$S$65536)-1)</definedName>
    <definedName name="IC4Date">OFFSET([6]ICTrends!$Q$2,0,0,COUNTA([6]ICTrends!$Q$1:$Q$65536)-1)</definedName>
    <definedName name="inc">#REF!</definedName>
    <definedName name="incsyntog">#REF!</definedName>
    <definedName name="incsyntog___0">#REF!</definedName>
    <definedName name="inputs">#REF!</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PRICE_TARGET" hidden="1">"c82"</definedName>
    <definedName name="IQ_AVG_SHAREOUTSTANDING" hidden="1">"c83"</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ONDRATING_FITCH" hidden="1">"IQ_BONDRATING_FITCH"</definedName>
    <definedName name="IQ_BONDRATING_SP" hidden="1">"IQ_BONDRATING_SP"</definedName>
    <definedName name="IQ_BOOK_VALUE" hidden="1">"IQ_BOOK_VALUE"</definedName>
    <definedName name="IQ_BROK_COMISSION" hidden="1">"c98"</definedName>
    <definedName name="IQ_BROK_COMMISSION" hidden="1">"c3514"</definedName>
    <definedName name="IQ_BUILDINGS" hidden="1">"c99"</definedName>
    <definedName name="IQ_BUSINESS_DESCRIPTION" hidden="1">"c322"</definedName>
    <definedName name="IQ_BV_OVER_SHARES" hidden="1">"c1349"</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C_TYPE_BS" hidden="1">"c3086"</definedName>
    <definedName name="IQ_CALC_TYPE_CF" hidden="1">"c3085"</definedName>
    <definedName name="IQ_CALC_TYPE_IS" hidden="1">"c3084"</definedName>
    <definedName name="IQ_CALL_DATE_SCHEDULE" hidden="1">"c2481"</definedName>
    <definedName name="IQ_CALL_FEATURE" hidden="1">"c2197"</definedName>
    <definedName name="IQ_CALL_PRICE_SCHEDULE" hidden="1">"c2482"</definedName>
    <definedName name="IQ_CALLABLE" hidden="1">"c2196"</definedName>
    <definedName name="IQ_CAP_LOSS_CF_1YR" hidden="1">"c3474"</definedName>
    <definedName name="IQ_CAP_LOSS_CF_2YR" hidden="1">"c3475"</definedName>
    <definedName name="IQ_CAP_LOSS_CF_3YR" hidden="1">"c3476"</definedName>
    <definedName name="IQ_CAP_LOSS_CF_4YR" hidden="1">"c3477"</definedName>
    <definedName name="IQ_CAP_LOSS_CF_5YR" hidden="1">"c3478"</definedName>
    <definedName name="IQ_CAP_LOSS_CF_AFTER_FIVE" hidden="1">"c3479"</definedName>
    <definedName name="IQ_CAP_LOSS_CF_MAX_YEAR" hidden="1">"c3482"</definedName>
    <definedName name="IQ_CAP_LOSS_CF_NO_EXP" hidden="1">"c3480"</definedName>
    <definedName name="IQ_CAP_LOSS_CF_TOTAL" hidden="1">"c3481"</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"c3460"</definedName>
    <definedName name="IQ_CAPITALIZED_INTEREST_BOP" hidden="1">"c3459"</definedName>
    <definedName name="IQ_CAPITALIZED_INTEREST_EOP" hidden="1">"c3464"</definedName>
    <definedName name="IQ_CAPITALIZED_INTEREST_EXP" hidden="1">"c3461"</definedName>
    <definedName name="IQ_CAPITALIZED_INTEREST_OTHER_ADJ" hidden="1">"c3463"</definedName>
    <definedName name="IQ_CAPITALIZED_INTEREST_WRITE_OFF" hidden="1">"c3462"</definedName>
    <definedName name="IQ_CASH" hidden="1">"c1458"</definedName>
    <definedName name="IQ_CASH_ACQUIRE_CF" hidden="1">"c116"</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FPS_EST" hidden="1">"c1667"</definedName>
    <definedName name="IQ_CFPS_HIGH_EST" hidden="1">"c1669"</definedName>
    <definedName name="IQ_CFPS_LOW_EST" hidden="1">"c1670"</definedName>
    <definedName name="IQ_CFPS_MEDIAN_EST" hidden="1">"c1668"</definedName>
    <definedName name="IQ_CFPS_NUM_EST" hidden="1">"c1671"</definedName>
    <definedName name="IQ_CFPS_STDDEV_EST" hidden="1">"c1672"</definedName>
    <definedName name="IQ_CH">110000</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OPER_ASSETS" hidden="1">"c3592"</definedName>
    <definedName name="IQ_CHANGE_NET_WORKING_CAPITAL" hidden="1">"c1909"</definedName>
    <definedName name="IQ_CHANGE_OTHER_NET_OPER_ASSETS" hidden="1">"c3593"</definedName>
    <definedName name="IQ_CHANGE_OTHER_NET_OPER_ASSETS_BNK" hidden="1">"c3594"</definedName>
    <definedName name="IQ_CHANGE_OTHER_NET_OPER_ASSETS_BR" hidden="1">"c3595"</definedName>
    <definedName name="IQ_CHANGE_OTHER_NET_OPER_ASSETS_FIN" hidden="1">"c3596"</definedName>
    <definedName name="IQ_CHANGE_OTHER_NET_OPER_ASSETS_INS" hidden="1">"c3597"</definedName>
    <definedName name="IQ_CHANGE_OTHER_NET_OPER_ASSETS_REIT" hidden="1">"c3598"</definedName>
    <definedName name="IQ_CHANGE_OTHER_NET_OPER_ASSETS_UTI" hidden="1">"c3599"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ID" hidden="1">"c3513"</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EXP_DATE" hidden="1">"c3043"</definedName>
    <definedName name="IQ_CONV_PREMIUM" hidden="1">"c2195"</definedName>
    <definedName name="IQ_CONV_PRICE" hidden="1">"c2193"</definedName>
    <definedName name="IQ_CONV_RATE" hidden="1">"c2192"</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ILY">500000</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PAYOUT" hidden="1">"c3005"</definedName>
    <definedName name="IQ_DISTRIBUTABLE_CASH_SHARE" hidden="1">"c3003"</definedName>
    <definedName name="IQ_DIV_AMOUNT" hidden="1">"c3041"</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PS_EST" hidden="1">"c1674"</definedName>
    <definedName name="IQ_DPS_HIGH_EST" hidden="1">"c1676"</definedName>
    <definedName name="IQ_DPS_LOW_EST" hidden="1">"c1677"</definedName>
    <definedName name="IQ_DPS_MEDIAN_EST" hidden="1">"c1675"</definedName>
    <definedName name="IQ_DPS_NUM_EST" hidden="1">"c1678"</definedName>
    <definedName name="IQ_DPS_STDDEV_EST" hidden="1">"c1679"</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BIT" hidden="1">"c352"</definedName>
    <definedName name="IQ_EBIT_10K" hidden="1">"IQ_EBIT_10K"</definedName>
    <definedName name="IQ_EBIT_10Q" hidden="1">"IQ_EBIT_10Q"</definedName>
    <definedName name="IQ_EBIT_10Q1" hidden="1">"IQ_EBIT_10Q1"</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EQ_INC" hidden="1">"c3498"</definedName>
    <definedName name="IQ_EBIT_EQ_INC_EXCL_SBC" hidden="1">"c3502"</definedName>
    <definedName name="IQ_EBIT_EST" hidden="1">"c1681"</definedName>
    <definedName name="IQ_EBIT_EXCL_SBC" hidden="1">"c3082"</definedName>
    <definedName name="IQ_EBIT_GROWTH_1" hidden="1">"IQ_EBIT_GROWTH_1"</definedName>
    <definedName name="IQ_EBIT_GROWTH_2" hidden="1">"IQ_EBIT_GROWTH_2"</definedName>
    <definedName name="IQ_EBIT_HIGH_EST" hidden="1">"c1683"</definedName>
    <definedName name="IQ_EBIT_INT" hidden="1">"c360"</definedName>
    <definedName name="IQ_EBIT_LOW_EST" hidden="1">"c1684"</definedName>
    <definedName name="IQ_EBIT_MARGIN" hidden="1">"c359"</definedName>
    <definedName name="IQ_EBIT_MEDIAN_EST" hidden="1">"c1682"</definedName>
    <definedName name="IQ_EBIT_NUM_EST" hidden="1">"c1685"</definedName>
    <definedName name="IQ_EBIT_OVER_IE" hidden="1">"c1369"</definedName>
    <definedName name="IQ_EBIT_STDDEV_EST" hidden="1">"c1686"</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EQ_INC" hidden="1">"c3497"</definedName>
    <definedName name="IQ_EBITA_EQ_INC_EXCL_SBC" hidden="1">"c3501"</definedName>
    <definedName name="IQ_EBITA_EXCL_SBC" hidden="1">"c3080"</definedName>
    <definedName name="IQ_EBITA_MARGIN" hidden="1">"c1963"</definedName>
    <definedName name="IQ_EBITDA" hidden="1">"c361"</definedName>
    <definedName name="IQ_EBITDA_10K" hidden="1">"IQ_EBITDA_10K"</definedName>
    <definedName name="IQ_EBITDA_10Q" hidden="1">"IQ_EBITDA_10Q"</definedName>
    <definedName name="IQ_EBITDA_10Q1" hidden="1">"IQ_EBITDA_10Q1"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ACT_OR_EST" hidden="1">"c2215"</definedName>
    <definedName name="IQ_EBITDA_CAPEX_INT" hidden="1">"c368"</definedName>
    <definedName name="IQ_EBITDA_CAPEX_OVER_TOTAL_IE" hidden="1">"c1370"</definedName>
    <definedName name="IQ_EBITDA_EQ_INC" hidden="1">"c3496"</definedName>
    <definedName name="IQ_EBITDA_EQ_INC_EXCL_SBC" hidden="1">"c3500"</definedName>
    <definedName name="IQ_EBITDA_EST" hidden="1">"c369"</definedName>
    <definedName name="IQ_EBITDA_EXCL_SBC" hidden="1">"c3081"</definedName>
    <definedName name="IQ_EBITDA_GROWTH_1" hidden="1">"IQ_EBITDA_GROWTH_1"</definedName>
    <definedName name="IQ_EBITDA_GROWTH_2" hidden="1">"IQ_EBITDA_GROWTH_2"</definedName>
    <definedName name="IQ_EBITDA_HIGH_EST" hidden="1">"c370"</definedName>
    <definedName name="IQ_EBITDA_INT" hidden="1">"c373"</definedName>
    <definedName name="IQ_EBITDA_LOW_EST" hidden="1">"c371"</definedName>
    <definedName name="IQ_EBITDA_MARGIN" hidden="1">"c372"</definedName>
    <definedName name="IQ_EBITDA_MEDIAN_EST" hidden="1">"c1663"</definedName>
    <definedName name="IQ_EBITDA_NUM_EST" hidden="1">"c374"</definedName>
    <definedName name="IQ_EBITDA_OVER_TOTAL_IE" hidden="1">"c1371"</definedName>
    <definedName name="IQ_EBITDA_STDDEV_EST" hidden="1">"c375"</definedName>
    <definedName name="IQ_EBITDAR" hidden="1">"c2989"</definedName>
    <definedName name="IQ_EBITDAR_EQ_INC" hidden="1">"c3499"</definedName>
    <definedName name="IQ_EBITDAR_EQ_INC_EXCL_SBC" hidden="1">"c3503"</definedName>
    <definedName name="IQ_EBITDAR_EXCL_SBC" hidden="1">"c3083"</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 hidden="1">"IQ_EPS"</definedName>
    <definedName name="IQ_EPS_10K" hidden="1">"IQ_EPS_10K"</definedName>
    <definedName name="IQ_EPS_10Q" hidden="1">"IQ_EPS_10Q"</definedName>
    <definedName name="IQ_EPS_10Q1" hidden="1">"IQ_EPS_10Q1"</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ACT_OR_EST" hidden="1">"c2213"</definedName>
    <definedName name="IQ_EPS_EST" hidden="1">"c399"</definedName>
    <definedName name="IQ_EPS_EST_1" hidden="1">"IQ_EPS_EST_1"</definedName>
    <definedName name="IQ_EPS_GW_EST" hidden="1">"c1737"</definedName>
    <definedName name="IQ_EPS_GW_HIGH_EST" hidden="1">"c1739"</definedName>
    <definedName name="IQ_EPS_GW_LOW_EST" hidden="1">"c1740"</definedName>
    <definedName name="IQ_EPS_GW_MEDIAN_EST" hidden="1">"c1738"</definedName>
    <definedName name="IQ_EPS_GW_NUM_EST" hidden="1">"c1741"</definedName>
    <definedName name="IQ_EPS_GW_STDDEV_EST" hidden="1">"c1742"</definedName>
    <definedName name="IQ_EPS_HIGH_EST" hidden="1">"c400"</definedName>
    <definedName name="IQ_EPS_LOW_EST" hidden="1">"c401"</definedName>
    <definedName name="IQ_EPS_MEDIAN_EST" hidden="1">"c1661"</definedName>
    <definedName name="IQ_EPS_NORM" hidden="1">"c1902"</definedName>
    <definedName name="IQ_EPS_NUM_EST" hidden="1">"c402"</definedName>
    <definedName name="IQ_EPS_REPORTED_EST" hidden="1">"c1744"</definedName>
    <definedName name="IQ_EPS_REPORTED_HIGH_EST" hidden="1">"c1746"</definedName>
    <definedName name="IQ_EPS_REPORTED_LOW_EST" hidden="1">"c1747"</definedName>
    <definedName name="IQ_EPS_REPORTED_MEDIAN_EST" hidden="1">"c1745"</definedName>
    <definedName name="IQ_EPS_REPORTED_NUM_EST" hidden="1">"c1748"</definedName>
    <definedName name="IQ_EPS_REPORTED_STDDEV_EST" hidden="1">"c1749"</definedName>
    <definedName name="IQ_EPS_STDDEV_EST" hidden="1">"c403"</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ACT_CFPS" hidden="1">"c1673"</definedName>
    <definedName name="IQ_EST_ACT_DPS" hidden="1">"c1680"</definedName>
    <definedName name="IQ_EST_ACT_EBIT" hidden="1">"c1687"</definedName>
    <definedName name="IQ_EST_ACT_EBITDA" hidden="1">"c1664"</definedName>
    <definedName name="IQ_EST_ACT_EPS" hidden="1">"c1648"</definedName>
    <definedName name="IQ_EST_ACT_EPS_GW" hidden="1">"c1743"</definedName>
    <definedName name="IQ_EST_ACT_EPS_REPORTED" hidden="1">"c1750"</definedName>
    <definedName name="IQ_EST_ACT_FFO" hidden="1">"c1666"</definedName>
    <definedName name="IQ_EST_ACT_NAV" hidden="1">"c1757"</definedName>
    <definedName name="IQ_EST_ACT_NI" hidden="1">"c1722"</definedName>
    <definedName name="IQ_EST_ACT_NI_GW" hidden="1">"c1729"</definedName>
    <definedName name="IQ_EST_ACT_NI_REPORTED" hidden="1">"c1736"</definedName>
    <definedName name="IQ_EST_ACT_OPER_INC" hidden="1">"c1694"</definedName>
    <definedName name="IQ_EST_ACT_PRETAX_GW_INC" hidden="1">"c1708"</definedName>
    <definedName name="IQ_EST_ACT_PRETAX_INC" hidden="1">"c1701"</definedName>
    <definedName name="IQ_EST_ACT_PRETAX_REPORT_INC" hidden="1">"c1715"</definedName>
    <definedName name="IQ_EST_ACT_REV" hidden="1">"c2113"</definedName>
    <definedName name="IQ_EST_CFPS_DIFF" hidden="1">"c1871"</definedName>
    <definedName name="IQ_EST_CFPS_GROWTH_1YR" hidden="1">"c1774"</definedName>
    <definedName name="IQ_EST_CFPS_GROWTH_2YR" hidden="1">"c1775"</definedName>
    <definedName name="IQ_EST_CFPS_GROWTH_Q_1YR" hidden="1">"c1776"</definedName>
    <definedName name="IQ_EST_CFPS_SEQ_GROWTH_Q" hidden="1">"c1777"</definedName>
    <definedName name="IQ_EST_CFPS_SURPRISE_PERCENT" hidden="1">"c1872"</definedName>
    <definedName name="IQ_EST_CURRENCY" hidden="1">"c2140"</definedName>
    <definedName name="IQ_EST_DATE" hidden="1">"c1634"</definedName>
    <definedName name="IQ_EST_DPS_DIFF" hidden="1">"c1873"</definedName>
    <definedName name="IQ_EST_DPS_GROWTH_1YR" hidden="1">"c1778"</definedName>
    <definedName name="IQ_EST_DPS_GROWTH_2YR" hidden="1">"c1779"</definedName>
    <definedName name="IQ_EST_DPS_GROWTH_Q_1YR" hidden="1">"c1780"</definedName>
    <definedName name="IQ_EST_DPS_SEQ_GROWTH_Q" hidden="1">"c1781"</definedName>
    <definedName name="IQ_EST_DPS_SURPRISE_PERCENT" hidden="1">"c1874"</definedName>
    <definedName name="IQ_EST_EBIT_DIFF" hidden="1">"c1875"</definedName>
    <definedName name="IQ_EST_EBIT_SURPRISE_PERCENT" hidden="1">"c1876"</definedName>
    <definedName name="IQ_EST_EBITDA_DIFF" hidden="1">"c1867"</definedName>
    <definedName name="IQ_EST_EBITDA_GROWTH_1YR" hidden="1">"c1766"</definedName>
    <definedName name="IQ_EST_EBITDA_GROWTH_2YR" hidden="1">"c1767"</definedName>
    <definedName name="IQ_EST_EBITDA_GROWTH_Q_1YR" hidden="1">"c1768"</definedName>
    <definedName name="IQ_EST_EBITDA_SEQ_GROWTH_Q" hidden="1">"c1769"</definedName>
    <definedName name="IQ_EST_EBITDA_SURPRISE_PERCENT" hidden="1">"c1868"</definedName>
    <definedName name="IQ_EST_EPS_DIFF" hidden="1">"c1864"</definedName>
    <definedName name="IQ_EST_EPS_GROWTH_1YR" hidden="1">"c1636"</definedName>
    <definedName name="IQ_EST_EPS_GROWTH_2YR" hidden="1">"c1637"</definedName>
    <definedName name="IQ_EST_EPS_GROWTH_5YR" hidden="1">"c1655"</definedName>
    <definedName name="IQ_EST_EPS_GROWTH_5YR_HIGH" hidden="1">"c1657"</definedName>
    <definedName name="IQ_EST_EPS_GROWTH_5YR_LOW" hidden="1">"c1658"</definedName>
    <definedName name="IQ_EST_EPS_GROWTH_5YR_MEDIAN" hidden="1">"c1656"</definedName>
    <definedName name="IQ_EST_EPS_GROWTH_5YR_NUM" hidden="1">"c1659"</definedName>
    <definedName name="IQ_EST_EPS_GROWTH_5YR_STDDEV" hidden="1">"c1660"</definedName>
    <definedName name="IQ_EST_EPS_GROWTH_Q_1YR" hidden="1">"c1641"</definedName>
    <definedName name="IQ_EST_EPS_GW_DIFF" hidden="1">"c1891"</definedName>
    <definedName name="IQ_EST_EPS_GW_SURPRISE_PERCENT" hidden="1">"c1892"</definedName>
    <definedName name="IQ_EST_EPS_REPORT_DIFF" hidden="1">"c1893"</definedName>
    <definedName name="IQ_EST_EPS_REPORT_SURPRISE_PERCENT" hidden="1">"c1894"</definedName>
    <definedName name="IQ_EST_EPS_SEQ_GROWTH_Q" hidden="1">"c1764"</definedName>
    <definedName name="IQ_EST_EPS_SURPRISE" hidden="1">"c1635"</definedName>
    <definedName name="IQ_EST_EPS_SURPRISE_PERCENT" hidden="1">"c1635"</definedName>
    <definedName name="IQ_EST_FFO_DIFF" hidden="1">"c1869"</definedName>
    <definedName name="IQ_EST_FFO_GROWTH_1YR" hidden="1">"c1770"</definedName>
    <definedName name="IQ_EST_FFO_GROWTH_2YR" hidden="1">"c1771"</definedName>
    <definedName name="IQ_EST_FFO_GROWTH_Q_1YR" hidden="1">"c1772"</definedName>
    <definedName name="IQ_EST_FFO_SEQ_GROWTH_Q" hidden="1">"c1773"</definedName>
    <definedName name="IQ_EST_FFO_SURPRISE_PERCENT" hidden="1">"c1870"</definedName>
    <definedName name="IQ_EST_NAV_DIFF" hidden="1">"c1895"</definedName>
    <definedName name="IQ_EST_NAV_SURPRISE_PERCENT" hidden="1">"c1896"</definedName>
    <definedName name="IQ_EST_NI_DIFF" hidden="1">"c1885"</definedName>
    <definedName name="IQ_EST_NI_GW_DIFF" hidden="1">"c1887"</definedName>
    <definedName name="IQ_EST_NI_GW_SURPRISE_PERCENT" hidden="1">"c1888"</definedName>
    <definedName name="IQ_EST_NI_REPORT_DIFF" hidden="1">"c1889"</definedName>
    <definedName name="IQ_EST_NI_REPORT_SURPRISE_PERCENT" hidden="1">"c1890"</definedName>
    <definedName name="IQ_EST_NI_SURPRISE_PERCENT" hidden="1">"c1886"</definedName>
    <definedName name="IQ_EST_NUM_BUY" hidden="1">"c1759"</definedName>
    <definedName name="IQ_EST_NUM_HOLD" hidden="1">"c1761"</definedName>
    <definedName name="IQ_EST_NUM_NO_OPINION" hidden="1">"c1758"</definedName>
    <definedName name="IQ_EST_NUM_OUTPERFORM" hidden="1">"c1760"</definedName>
    <definedName name="IQ_EST_NUM_SELL" hidden="1">"c1763"</definedName>
    <definedName name="IQ_EST_NUM_UNDERPERFORM" hidden="1">"c1762"</definedName>
    <definedName name="IQ_EST_OPER_INC_DIFF" hidden="1">"c1877"</definedName>
    <definedName name="IQ_EST_OPER_INC_SURPRISE_PERCENT" hidden="1">"c1878"</definedName>
    <definedName name="IQ_EST_PRE_TAX_DIFF" hidden="1">"c1879"</definedName>
    <definedName name="IQ_EST_PRE_TAX_GW_DIFF" hidden="1">"c1881"</definedName>
    <definedName name="IQ_EST_PRE_TAX_GW_SURPRISE_PERCENT" hidden="1">"c1882"</definedName>
    <definedName name="IQ_EST_PRE_TAX_REPORT_DIFF" hidden="1">"c1883"</definedName>
    <definedName name="IQ_EST_PRE_TAX_REPORT_SURPRISE_PERCENT" hidden="1">"c1884"</definedName>
    <definedName name="IQ_EST_PRE_TAX_SURPRISE_PERCENT" hidden="1">"c1880"</definedName>
    <definedName name="IQ_EST_REV_DIFF" hidden="1">"c1865"</definedName>
    <definedName name="IQ_EST_REV_GROWTH_1YR" hidden="1">"c1638"</definedName>
    <definedName name="IQ_EST_REV_GROWTH_2YR" hidden="1">"c1639"</definedName>
    <definedName name="IQ_EST_REV_GROWTH_Q_1YR" hidden="1">"c1640"</definedName>
    <definedName name="IQ_EST_REV_SEQ_GROWTH_Q" hidden="1">"c1765"</definedName>
    <definedName name="IQ_EST_REV_SURPRISE_PERCENT" hidden="1">"c1866"</definedName>
    <definedName name="IQ_EV_OVER_EMPLOYEE" hidden="1">"c1428"</definedName>
    <definedName name="IQ_EV_OVER_LTM_EBIT" hidden="1">"c1426"</definedName>
    <definedName name="IQ_EV_OVER_LTM_EBITDA" hidden="1">"c1427"</definedName>
    <definedName name="IQ_EV_OVER_LTM_REVENUE" hidden="1">"c1429"</definedName>
    <definedName name="IQ_EV_OVER_REVENUE_EST" hidden="1">"IQ_EV_OVER_REVENUE_EST"</definedName>
    <definedName name="IQ_EV_OVER_REVENUE_EST_1" hidden="1">"IQ_EV_OVER_REVENUE_EST_1"</definedName>
    <definedName name="IQ_EVAL_DATE" hidden="1">"c2180"</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FO_EST" hidden="1">"c418"</definedName>
    <definedName name="IQ_FFO_HIGH_EST" hidden="1">"c419"</definedName>
    <definedName name="IQ_FFO_LOW_EST" hidden="1">"c420"</definedName>
    <definedName name="IQ_FFO_MEDIAN_EST" hidden="1">"c1665"</definedName>
    <definedName name="IQ_FFO_NUM_EST" hidden="1">"c421"</definedName>
    <definedName name="IQ_FFO_PAYOUT_RATIO" hidden="1">"c3492"</definedName>
    <definedName name="IQ_FFO_STDDEV_EST" hidden="1">"c422"</definedName>
    <definedName name="IQ_FH">100000</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 hidden="1">"LTM"</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WD1" hidden="1">"LTM"</definedName>
    <definedName name="IQ_FX" hidden="1">"c451"</definedName>
    <definedName name="IQ_FY" hidden="1">1000</definedName>
    <definedName name="IQ_FY_DATE" hidden="1">"IQ_FY_DATE"</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_TARGET_PRICE" hidden="1">"c1651"</definedName>
    <definedName name="IQ_HIGHPRICE" hidden="1">"c545"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DUSTRY" hidden="1">"c3601"</definedName>
    <definedName name="IQ_INDUSTRY_GROUP" hidden="1">"c3602"</definedName>
    <definedName name="IQ_INDUSTRY_SECTOR" hidden="1">"c3603"</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10K" hidden="1">"IQ_INTEREST_INC_10K"</definedName>
    <definedName name="IQ_INTEREST_INC_10Q" hidden="1">"IQ_INTEREST_INC_10Q"</definedName>
    <definedName name="IQ_INTEREST_INC_10Q1" hidden="1">"IQ_INTEREST_INC_10Q1"</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EBIT_MARGIN" hidden="1">"IQ_LAST_EBIT_MARGIN"</definedName>
    <definedName name="IQ_LAST_EBITDA_MARGIN" hidden="1">"IQ_LAST_EBITDA_MARGIN"</definedName>
    <definedName name="IQ_LAST_GROSS_MARGIN" hidden="1">"IQ_LAST_GROSS_MARGIN"</definedName>
    <definedName name="IQ_LAST_NET_INC_MARGIN" hidden="1">"IQ_LAST_NET_INC_MARGIN"</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 hidden="1">"1"</definedName>
    <definedName name="IQ_LATESTK" hidden="1">1000</definedName>
    <definedName name="IQ_LATESTKFR" hidden="1">"50"</definedName>
    <definedName name="IQ_LATESTQ" hidden="1">500</definedName>
    <definedName name="IQ_LATESTQFR" hidden="1">"100"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_TARGET_PRICE" hidden="1">"c1652"</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DATE" hidden="1">"IQ_LTM_DATE"</definedName>
    <definedName name="IQ_LTM_REVENUE_OVER_EMPLOYEES" hidden="1">"c1437"</definedName>
    <definedName name="IQ_LTMMONTH" hidden="1">120000</definedName>
    <definedName name="IQ_MACHINERY" hidden="1">"c711"</definedName>
    <definedName name="IQ_MAINT_CAPEX" hidden="1">"c2947"</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C_RATIO" hidden="1">"c2783"</definedName>
    <definedName name="IQ_MC_STATUTORY_SURPLUS" hidden="1">"c2772"</definedName>
    <definedName name="IQ_MEDIAN_TARGET_PRICE" hidden="1">"c1650"</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M_ACCOUNT" hidden="1">"c743"</definedName>
    <definedName name="IQ_MONTH">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NAV_EST" hidden="1">"c1751"</definedName>
    <definedName name="IQ_NAV_HIGH_EST" hidden="1">"c1753"</definedName>
    <definedName name="IQ_NAV_LOW_EST" hidden="1">"c1754"</definedName>
    <definedName name="IQ_NAV_MEDIAN_EST" hidden="1">"c1752"</definedName>
    <definedName name="IQ_NAV_NUM_EST" hidden="1">"c1755"</definedName>
    <definedName name="IQ_NAV_STDDEV_EST" hidden="1">"c1756"</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EARNED" hidden="1">"c2734"</definedName>
    <definedName name="IQ_NET_INC" hidden="1">"c1394"</definedName>
    <definedName name="IQ_NET_INC_10K" hidden="1">"IQ_NET_INC_10K"</definedName>
    <definedName name="IQ_NET_INC_10Q" hidden="1">"IQ_NET_INC_10Q"</definedName>
    <definedName name="IQ_NET_INC_10Q1" hidden="1">"IQ_NET_INC_10Q1"</definedName>
    <definedName name="IQ_NET_INC_BEFORE" hidden="1">"c1368"</definedName>
    <definedName name="IQ_NET_INC_CF" hidden="1">"c1397"</definedName>
    <definedName name="IQ_NET_INC_GROWTH_1" hidden="1">"IQ_NET_INC_GROWTH_1"</definedName>
    <definedName name="IQ_NET_INC_GROWTH_2" hidden="1">"IQ_NET_INC_GROWTH_2"</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ORKING_CAP" hidden="1">"c3493"</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EST" hidden="1">"c1716"</definedName>
    <definedName name="IQ_NI_GW_EST" hidden="1">"c1723"</definedName>
    <definedName name="IQ_NI_GW_HIGH_EST" hidden="1">"c1725"</definedName>
    <definedName name="IQ_NI_GW_LOW_EST" hidden="1">"c1726"</definedName>
    <definedName name="IQ_NI_GW_MEDIAN_EST" hidden="1">"c1724"</definedName>
    <definedName name="IQ_NI_GW_NUM_EST" hidden="1">"c1727"</definedName>
    <definedName name="IQ_NI_GW_STDDEV_EST" hidden="1">"c1728"</definedName>
    <definedName name="IQ_NI_HIGH_EST" hidden="1">"c1718"</definedName>
    <definedName name="IQ_NI_LOW_EST" hidden="1">"c1719"</definedName>
    <definedName name="IQ_NI_MARGIN" hidden="1">"c794"</definedName>
    <definedName name="IQ_NI_MEDIAN_EST" hidden="1">"c1717"</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NUM_EST" hidden="1">"c1720"</definedName>
    <definedName name="IQ_NI_REPORTED_EST" hidden="1">"c1730"</definedName>
    <definedName name="IQ_NI_REPORTED_HIGH_EST" hidden="1">"c1732"</definedName>
    <definedName name="IQ_NI_REPORTED_LOW_EST" hidden="1">"c1733"</definedName>
    <definedName name="IQ_NI_REPORTED_MEDIAN_EST" hidden="1">"c1731"</definedName>
    <definedName name="IQ_NI_REPORTED_NUM_EST" hidden="1">"c1734"</definedName>
    <definedName name="IQ_NI_REPORTED_STDDEV_EST" hidden="1">"c1735"</definedName>
    <definedName name="IQ_NI_SFAS" hidden="1">"c795"</definedName>
    <definedName name="IQ_NI_STDDEV_EST" hidden="1">"c1721"</definedName>
    <definedName name="IQ_NOL_CF_1YR" hidden="1">"c3465"</definedName>
    <definedName name="IQ_NOL_CF_2YR" hidden="1">"c3466"</definedName>
    <definedName name="IQ_NOL_CF_3YR" hidden="1">"c3467"</definedName>
    <definedName name="IQ_NOL_CF_4YR" hidden="1">"c3468"</definedName>
    <definedName name="IQ_NOL_CF_5YR" hidden="1">"c3469"</definedName>
    <definedName name="IQ_NOL_CF_AFTER_FIVE" hidden="1">"c3470"</definedName>
    <definedName name="IQ_NOL_CF_MAX_YEAR" hidden="1">"c3473"</definedName>
    <definedName name="IQ_NOL_CF_NO_EXP" hidden="1">"c3471"</definedName>
    <definedName name="IQ_NOL_CF_TOTAL" hidden="1">"c3472"</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TOTAL_OIL_PRODUCT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B_ACCRUED_LIAB" hidden="1">"c3308"</definedName>
    <definedName name="IQ_OPEB_ACCRUED_LIAB_DOM" hidden="1">"c3306"</definedName>
    <definedName name="IQ_OPEB_ACCRUED_LIAB_FOREIGN" hidden="1">"c3307"</definedName>
    <definedName name="IQ_OPEB_ACCUM_OTHER_CI" hidden="1">"c3314"</definedName>
    <definedName name="IQ_OPEB_ACCUM_OTHER_CI_DOM" hidden="1">"c3312"</definedName>
    <definedName name="IQ_OPEB_ACCUM_OTHER_CI_FOREIGN" hidden="1">"c3313"</definedName>
    <definedName name="IQ_OPEB_ASSETS" hidden="1">"c3356"</definedName>
    <definedName name="IQ_OPEB_ASSETS_ACQ" hidden="1">"c3347"</definedName>
    <definedName name="IQ_OPEB_ASSETS_ACQ_DOM" hidden="1">"c3345"</definedName>
    <definedName name="IQ_OPEB_ASSETS_ACQ_FOREIGN" hidden="1">"c3346"</definedName>
    <definedName name="IQ_OPEB_ASSETS_ACTUAL_RETURN" hidden="1">"c3332"</definedName>
    <definedName name="IQ_OPEB_ASSETS_ACTUAL_RETURN_DOM" hidden="1">"c3330"</definedName>
    <definedName name="IQ_OPEB_ASSETS_ACTUAL_RETURN_FOREIGN" hidden="1">"c3331"</definedName>
    <definedName name="IQ_OPEB_ASSETS_BEG" hidden="1">"c3329"</definedName>
    <definedName name="IQ_OPEB_ASSETS_BEG_DOM" hidden="1">"c3327"</definedName>
    <definedName name="IQ_OPEB_ASSETS_BEG_FOREIGN" hidden="1">"c3328"</definedName>
    <definedName name="IQ_OPEB_ASSETS_BENEFITS_PAID" hidden="1">"c3341"</definedName>
    <definedName name="IQ_OPEB_ASSETS_BENEFITS_PAID_DOM" hidden="1">"c3339"</definedName>
    <definedName name="IQ_OPEB_ASSETS_BENEFITS_PAID_FOREIGN" hidden="1">"c3340"</definedName>
    <definedName name="IQ_OPEB_ASSETS_CURTAIL" hidden="1">"c3350"</definedName>
    <definedName name="IQ_OPEB_ASSETS_CURTAIL_DOM" hidden="1">"c3348"</definedName>
    <definedName name="IQ_OPEB_ASSETS_CURTAIL_FOREIGN" hidden="1">"c3349"</definedName>
    <definedName name="IQ_OPEB_ASSETS_DOM" hidden="1">"c3354"</definedName>
    <definedName name="IQ_OPEB_ASSETS_EMPLOYER_CONTRIBUTIONS" hidden="1">"c3335"</definedName>
    <definedName name="IQ_OPEB_ASSETS_EMPLOYER_CONTRIBUTIONS_DOM" hidden="1">"c3333"</definedName>
    <definedName name="IQ_OPEB_ASSETS_EMPLOYER_CONTRIBUTIONS_FOREIGN" hidden="1">"c3334"</definedName>
    <definedName name="IQ_OPEB_ASSETS_FOREIGN" hidden="1">"c3355"</definedName>
    <definedName name="IQ_OPEB_ASSETS_FX_ADJ" hidden="1">"c3344"</definedName>
    <definedName name="IQ_OPEB_ASSETS_FX_ADJ_DOM" hidden="1">"c3342"</definedName>
    <definedName name="IQ_OPEB_ASSETS_FX_ADJ_FOREIGN" hidden="1">"c3343"</definedName>
    <definedName name="IQ_OPEB_ASSETS_OTHER_PLAN_ADJ" hidden="1">"c3353"</definedName>
    <definedName name="IQ_OPEB_ASSETS_OTHER_PLAN_ADJ_DOM" hidden="1">"c3351"</definedName>
    <definedName name="IQ_OPEB_ASSETS_OTHER_PLAN_ADJ_FOREIGN" hidden="1">"c3352"</definedName>
    <definedName name="IQ_OPEB_ASSETS_PARTICIP_CONTRIBUTIONS" hidden="1">"c3338"</definedName>
    <definedName name="IQ_OPEB_ASSETS_PARTICIP_CONTRIBUTIONS_DOM" hidden="1">"c3336"</definedName>
    <definedName name="IQ_OPEB_ASSETS_PARTICIP_CONTRIBUTIONS_FOREIGN" hidden="1">"c3337"</definedName>
    <definedName name="IQ_OPEB_BENEFIT_INFO_DATE" hidden="1">"c3410"</definedName>
    <definedName name="IQ_OPEB_BENEFIT_INFO_DATE_DOM" hidden="1">"c3408"</definedName>
    <definedName name="IQ_OPEB_BENEFIT_INFO_DATE_FOREIGN" hidden="1">"c3409"</definedName>
    <definedName name="IQ_OPEB_BREAKDOWN_EQ" hidden="1">"c3275"</definedName>
    <definedName name="IQ_OPEB_BREAKDOWN_EQ_DOM" hidden="1">"c3273"</definedName>
    <definedName name="IQ_OPEB_BREAKDOWN_EQ_FOREIGN" hidden="1">"c3274"</definedName>
    <definedName name="IQ_OPEB_BREAKDOWN_FI" hidden="1">"c3278"</definedName>
    <definedName name="IQ_OPEB_BREAKDOWN_FI_DOM" hidden="1">"c3276"</definedName>
    <definedName name="IQ_OPEB_BREAKDOWN_FI_FOREIGN" hidden="1">"c3277"</definedName>
    <definedName name="IQ_OPEB_BREAKDOWN_OTHER" hidden="1">"c3284"</definedName>
    <definedName name="IQ_OPEB_BREAKDOWN_OTHER_DOM" hidden="1">"c3282"</definedName>
    <definedName name="IQ_OPEB_BREAKDOWN_OTHER_FOREIGN" hidden="1">"c3283"</definedName>
    <definedName name="IQ_OPEB_BREAKDOWN_PCT_EQ" hidden="1">"c3263"</definedName>
    <definedName name="IQ_OPEB_BREAKDOWN_PCT_EQ_DOM" hidden="1">"c3261"</definedName>
    <definedName name="IQ_OPEB_BREAKDOWN_PCT_EQ_FOREIGN" hidden="1">"c3262"</definedName>
    <definedName name="IQ_OPEB_BREAKDOWN_PCT_FI" hidden="1">"c3266"</definedName>
    <definedName name="IQ_OPEB_BREAKDOWN_PCT_FI_DOM" hidden="1">"c3264"</definedName>
    <definedName name="IQ_OPEB_BREAKDOWN_PCT_FI_FOREIGN" hidden="1">"c3265"</definedName>
    <definedName name="IQ_OPEB_BREAKDOWN_PCT_OTHER" hidden="1">"c3272"</definedName>
    <definedName name="IQ_OPEB_BREAKDOWN_PCT_OTHER_DOM" hidden="1">"c3270"</definedName>
    <definedName name="IQ_OPEB_BREAKDOWN_PCT_OTHER_FOREIGN" hidden="1">"c3271"</definedName>
    <definedName name="IQ_OPEB_BREAKDOWN_PCT_RE" hidden="1">"c3269"</definedName>
    <definedName name="IQ_OPEB_BREAKDOWN_PCT_RE_DOM" hidden="1">"c3267"</definedName>
    <definedName name="IQ_OPEB_BREAKDOWN_PCT_RE_FOREIGN" hidden="1">"c3268"</definedName>
    <definedName name="IQ_OPEB_BREAKDOWN_RE" hidden="1">"c3281"</definedName>
    <definedName name="IQ_OPEB_BREAKDOWN_RE_DOM" hidden="1">"c3279"</definedName>
    <definedName name="IQ_OPEB_BREAKDOWN_RE_FOREIGN" hidden="1">"c3280"</definedName>
    <definedName name="IQ_OPEB_DECREASE_EFFECT_PBO" hidden="1">"c3458"</definedName>
    <definedName name="IQ_OPEB_DECREASE_EFFECT_PBO_DOM" hidden="1">"c3456"</definedName>
    <definedName name="IQ_OPEB_DECREASE_EFFECT_PBO_FOREIGN" hidden="1">"c3457"</definedName>
    <definedName name="IQ_OPEB_DECREASE_EFFECT_SERVICE_INT_COST" hidden="1">"c3455"</definedName>
    <definedName name="IQ_OPEB_DECREASE_EFFECT_SERVICE_INT_COST_DOM" hidden="1">"c3453"</definedName>
    <definedName name="IQ_OPEB_DECREASE_EFFECT_SERVICE_INT_COST_FOREIGN" hidden="1">"c3454"</definedName>
    <definedName name="IQ_OPEB_DISC_RATE_MAX" hidden="1">"c3422"</definedName>
    <definedName name="IQ_OPEB_DISC_RATE_MAX_DOM" hidden="1">"c3420"</definedName>
    <definedName name="IQ_OPEB_DISC_RATE_MAX_FOREIGN" hidden="1">"c3421"</definedName>
    <definedName name="IQ_OPEB_DISC_RATE_MIN" hidden="1">"c3419"</definedName>
    <definedName name="IQ_OPEB_DISC_RATE_MIN_DOM" hidden="1">"c3417"</definedName>
    <definedName name="IQ_OPEB_DISC_RATE_MIN_FOREIGN" hidden="1">"c3418"</definedName>
    <definedName name="IQ_OPEB_EST_BENEFIT_1YR" hidden="1">"c3287"</definedName>
    <definedName name="IQ_OPEB_EST_BENEFIT_1YR_DOM" hidden="1">"c3285"</definedName>
    <definedName name="IQ_OPEB_EST_BENEFIT_1YR_FOREIGN" hidden="1">"c3286"</definedName>
    <definedName name="IQ_OPEB_EST_BENEFIT_2YR" hidden="1">"c3290"</definedName>
    <definedName name="IQ_OPEB_EST_BENEFIT_2YR_DOM" hidden="1">"c3288"</definedName>
    <definedName name="IQ_OPEB_EST_BENEFIT_2YR_FOREIGN" hidden="1">"c3289"</definedName>
    <definedName name="IQ_OPEB_EST_BENEFIT_3YR" hidden="1">"c3293"</definedName>
    <definedName name="IQ_OPEB_EST_BENEFIT_3YR_DOM" hidden="1">"c3291"</definedName>
    <definedName name="IQ_OPEB_EST_BENEFIT_3YR_FOREIGN" hidden="1">"c3292"</definedName>
    <definedName name="IQ_OPEB_EST_BENEFIT_4YR" hidden="1">"c3296"</definedName>
    <definedName name="IQ_OPEB_EST_BENEFIT_4YR_DOM" hidden="1">"c3294"</definedName>
    <definedName name="IQ_OPEB_EST_BENEFIT_4YR_FOREIGN" hidden="1">"c3295"</definedName>
    <definedName name="IQ_OPEB_EST_BENEFIT_5YR" hidden="1">"c3299"</definedName>
    <definedName name="IQ_OPEB_EST_BENEFIT_5YR_DOM" hidden="1">"c3297"</definedName>
    <definedName name="IQ_OPEB_EST_BENEFIT_5YR_FOREIGN" hidden="1">"c3298"</definedName>
    <definedName name="IQ_OPEB_EST_BENEFIT_AFTER5" hidden="1">"c3302"</definedName>
    <definedName name="IQ_OPEB_EST_BENEFIT_AFTER5_DOM" hidden="1">"c3300"</definedName>
    <definedName name="IQ_OPEB_EST_BENEFIT_AFTER5_FOREIGN" hidden="1">"c3301"</definedName>
    <definedName name="IQ_OPEB_EXP_RATE_RETURN_MAX" hidden="1">"c3434"</definedName>
    <definedName name="IQ_OPEB_EXP_RATE_RETURN_MAX_DOM" hidden="1">"c3432"</definedName>
    <definedName name="IQ_OPEB_EXP_RATE_RETURN_MAX_FOREIGN" hidden="1">"c3433"</definedName>
    <definedName name="IQ_OPEB_EXP_RATE_RETURN_MIN" hidden="1">"c3431"</definedName>
    <definedName name="IQ_OPEB_EXP_RATE_RETURN_MIN_DOM" hidden="1">"c3429"</definedName>
    <definedName name="IQ_OPEB_EXP_RATE_RETURN_MIN_FOREIGN" hidden="1">"c3430"</definedName>
    <definedName name="IQ_OPEB_EXP_RETURN" hidden="1">"c3398"</definedName>
    <definedName name="IQ_OPEB_EXP_RETURN_DOM" hidden="1">"c3396"</definedName>
    <definedName name="IQ_OPEB_EXP_RETURN_FOREIGN" hidden="1">"c3397"</definedName>
    <definedName name="IQ_OPEB_HEALTH_COST_TREND_INITIAL" hidden="1">"c3413"</definedName>
    <definedName name="IQ_OPEB_HEALTH_COST_TREND_INITIAL_DOM" hidden="1">"c3411"</definedName>
    <definedName name="IQ_OPEB_HEALTH_COST_TREND_INITIAL_FOREIGN" hidden="1">"c3412"</definedName>
    <definedName name="IQ_OPEB_HEALTH_COST_TREND_ULTIMATE" hidden="1">"c3416"</definedName>
    <definedName name="IQ_OPEB_HEALTH_COST_TREND_ULTIMATE_DOM" hidden="1">"c3414"</definedName>
    <definedName name="IQ_OPEB_HEALTH_COST_TREND_ULTIMATE_FOREIGN" hidden="1">"c3415"</definedName>
    <definedName name="IQ_OPEB_INCREASE_EFFECT_PBO" hidden="1">"c3452"</definedName>
    <definedName name="IQ_OPEB_INCREASE_EFFECT_PBO_DOM" hidden="1">"c3450"</definedName>
    <definedName name="IQ_OPEB_INCREASE_EFFECT_PBO_FOREIGN" hidden="1">"c3451"</definedName>
    <definedName name="IQ_OPEB_INCREASE_EFFECT_SERVICE_INT_COST" hidden="1">"c3449"</definedName>
    <definedName name="IQ_OPEB_INCREASE_EFFECT_SERVICE_INT_COST_DOM" hidden="1">"c3447"</definedName>
    <definedName name="IQ_OPEB_INCREASE_EFFECT_SERVICE_INT_COST_FOREIGN" hidden="1">"c3448"</definedName>
    <definedName name="IQ_OPEB_INTAN_ASSETS" hidden="1">"c3311"</definedName>
    <definedName name="IQ_OPEB_INTAN_ASSETS_DOM" hidden="1">"c3309"</definedName>
    <definedName name="IQ_OPEB_INTAN_ASSETS_FOREIGN" hidden="1">"c3310"</definedName>
    <definedName name="IQ_OPEB_INTEREST_COST" hidden="1">"c3395"</definedName>
    <definedName name="IQ_OPEB_INTEREST_COST_DOM" hidden="1">"c3393"</definedName>
    <definedName name="IQ_OPEB_INTEREST_COST_FOREIGN" hidden="1">"c3394"</definedName>
    <definedName name="IQ_OPEB_NET_ASSET_RECOG" hidden="1">"c3326"</definedName>
    <definedName name="IQ_OPEB_NET_ASSET_RECOG_DOM" hidden="1">"c3324"</definedName>
    <definedName name="IQ_OPEB_NET_ASSET_RECOG_FOREIGN" hidden="1">"c3325"</definedName>
    <definedName name="IQ_OPEB_OBLIGATION_ACCUMULATED" hidden="1">"c3407"</definedName>
    <definedName name="IQ_OPEB_OBLIGATION_ACCUMULATED_DOM" hidden="1">"c3405"</definedName>
    <definedName name="IQ_OPEB_OBLIGATION_ACCUMULATED_FOREIGN" hidden="1">"c3406"</definedName>
    <definedName name="IQ_OPEB_OBLIGATION_ACQ" hidden="1">"c3380"</definedName>
    <definedName name="IQ_OPEB_OBLIGATION_ACQ_DOM" hidden="1">"c3378"</definedName>
    <definedName name="IQ_OPEB_OBLIGATION_ACQ_FOREIGN" hidden="1">"c3379"</definedName>
    <definedName name="IQ_OPEB_OBLIGATION_ACTUARIAL_GAIN_LOSS" hidden="1">"c3371"</definedName>
    <definedName name="IQ_OPEB_OBLIGATION_ACTUARIAL_GAIN_LOSS_DOM" hidden="1">"c3369"</definedName>
    <definedName name="IQ_OPEB_OBLIGATION_ACTUARIAL_GAIN_LOSS_FOREIGN" hidden="1">"c3370"</definedName>
    <definedName name="IQ_OPEB_OBLIGATION_BEG" hidden="1">"c3359"</definedName>
    <definedName name="IQ_OPEB_OBLIGATION_BEG_DOM" hidden="1">"c3357"</definedName>
    <definedName name="IQ_OPEB_OBLIGATION_BEG_FOREIGN" hidden="1">"c3358"</definedName>
    <definedName name="IQ_OPEB_OBLIGATION_CURTAIL" hidden="1">"c3383"</definedName>
    <definedName name="IQ_OPEB_OBLIGATION_CURTAIL_DOM" hidden="1">"c3381"</definedName>
    <definedName name="IQ_OPEB_OBLIGATION_CURTAIL_FOREIGN" hidden="1">"c3382"</definedName>
    <definedName name="IQ_OPEB_OBLIGATION_EMPLOYEE_CONTRIBUTIONS" hidden="1">"c3368"</definedName>
    <definedName name="IQ_OPEB_OBLIGATION_EMPLOYEE_CONTRIBUTIONS_DOM" hidden="1">"c3366"</definedName>
    <definedName name="IQ_OPEB_OBLIGATION_EMPLOYEE_CONTRIBUTIONS_FOREIGN" hidden="1">"c3367"</definedName>
    <definedName name="IQ_OPEB_OBLIGATION_FX_ADJ" hidden="1">"c3377"</definedName>
    <definedName name="IQ_OPEB_OBLIGATION_FX_ADJ_DOM" hidden="1">"c3375"</definedName>
    <definedName name="IQ_OPEB_OBLIGATION_FX_ADJ_FOREIGN" hidden="1">"c3376"</definedName>
    <definedName name="IQ_OPEB_OBLIGATION_INTEREST_COST" hidden="1">"c3365"</definedName>
    <definedName name="IQ_OPEB_OBLIGATION_INTEREST_COST_DOM" hidden="1">"c3363"</definedName>
    <definedName name="IQ_OPEB_OBLIGATION_INTEREST_COST_FOREIGN" hidden="1">"c3364"</definedName>
    <definedName name="IQ_OPEB_OBLIGATION_OTHER_PLAN_ADJ" hidden="1">"c3386"</definedName>
    <definedName name="IQ_OPEB_OBLIGATION_OTHER_PLAN_ADJ_DOM" hidden="1">"c3384"</definedName>
    <definedName name="IQ_OPEB_OBLIGATION_OTHER_PLAN_ADJ_FOREIGN" hidden="1">"c3385"</definedName>
    <definedName name="IQ_OPEB_OBLIGATION_PAID" hidden="1">"c3374"</definedName>
    <definedName name="IQ_OPEB_OBLIGATION_PAID_DOM" hidden="1">"c3372"</definedName>
    <definedName name="IQ_OPEB_OBLIGATION_PAID_FOREIGN" hidden="1">"c3373"</definedName>
    <definedName name="IQ_OPEB_OBLIGATION_PROJECTED" hidden="1">"c3389"</definedName>
    <definedName name="IQ_OPEB_OBLIGATION_PROJECTED_DOM" hidden="1">"c3387"</definedName>
    <definedName name="IQ_OPEB_OBLIGATION_PROJECTED_FOREIGN" hidden="1">"c3388"</definedName>
    <definedName name="IQ_OPEB_OBLIGATION_SERVICE_COST" hidden="1">"c3362"</definedName>
    <definedName name="IQ_OPEB_OBLIGATION_SERVICE_COST_DOM" hidden="1">"c3360"</definedName>
    <definedName name="IQ_OPEB_OBLIGATION_SERVICE_COST_FOREIGN" hidden="1">"c3361"</definedName>
    <definedName name="IQ_OPEB_OTHER" hidden="1">"c3317"</definedName>
    <definedName name="IQ_OPEB_OTHER_ADJ" hidden="1">"c3323"</definedName>
    <definedName name="IQ_OPEB_OTHER_ADJ_DOM" hidden="1">"c3321"</definedName>
    <definedName name="IQ_OPEB_OTHER_ADJ_FOREIGN" hidden="1">"c3322"</definedName>
    <definedName name="IQ_OPEB_OTHER_COST" hidden="1">"c3401"</definedName>
    <definedName name="IQ_OPEB_OTHER_COST_DOM" hidden="1">"c3399"</definedName>
    <definedName name="IQ_OPEB_OTHER_COST_FOREIGN" hidden="1">"c3400"</definedName>
    <definedName name="IQ_OPEB_OTHER_DOM" hidden="1">"c3315"</definedName>
    <definedName name="IQ_OPEB_OTHER_FOREIGN" hidden="1">"c3316"</definedName>
    <definedName name="IQ_OPEB_PBO_ASSUMED_RATE_RET_MAX" hidden="1">"c3440"</definedName>
    <definedName name="IQ_OPEB_PBO_ASSUMED_RATE_RET_MAX_DOM" hidden="1">"c3438"</definedName>
    <definedName name="IQ_OPEB_PBO_ASSUMED_RATE_RET_MAX_FOREIGN" hidden="1">"c3439"</definedName>
    <definedName name="IQ_OPEB_PBO_ASSUMED_RATE_RET_MIN" hidden="1">"c3437"</definedName>
    <definedName name="IQ_OPEB_PBO_ASSUMED_RATE_RET_MIN_DOM" hidden="1">"c3435"</definedName>
    <definedName name="IQ_OPEB_PBO_ASSUMED_RATE_RET_MIN_FOREIGN" hidden="1">"c3436"</definedName>
    <definedName name="IQ_OPEB_PBO_RATE_COMP_INCREASE_MAX" hidden="1">"c3446"</definedName>
    <definedName name="IQ_OPEB_PBO_RATE_COMP_INCREASE_MAX_DOM" hidden="1">"c3444"</definedName>
    <definedName name="IQ_OPEB_PBO_RATE_COMP_INCREASE_MAX_FOREIGN" hidden="1">"c3445"</definedName>
    <definedName name="IQ_OPEB_PBO_RATE_COMP_INCREASE_MIN" hidden="1">"c3443"</definedName>
    <definedName name="IQ_OPEB_PBO_RATE_COMP_INCREASE_MIN_DOM" hidden="1">"c3441"</definedName>
    <definedName name="IQ_OPEB_PBO_RATE_COMP_INCREASE_MIN_FOREIGN" hidden="1">"c3442"</definedName>
    <definedName name="IQ_OPEB_PREPAID_COST" hidden="1">"c3305"</definedName>
    <definedName name="IQ_OPEB_PREPAID_COST_DOM" hidden="1">"c3303"</definedName>
    <definedName name="IQ_OPEB_PREPAID_COST_FOREIGN" hidden="1">"c3304"</definedName>
    <definedName name="IQ_OPEB_RATE_COMP_INCREASE_MAX" hidden="1">"c3428"</definedName>
    <definedName name="IQ_OPEB_RATE_COMP_INCREASE_MAX_DOM" hidden="1">"c3426"</definedName>
    <definedName name="IQ_OPEB_RATE_COMP_INCREASE_MAX_FOREIGN" hidden="1">"c3427"</definedName>
    <definedName name="IQ_OPEB_RATE_COMP_INCREASE_MIN" hidden="1">"c3425"</definedName>
    <definedName name="IQ_OPEB_RATE_COMP_INCREASE_MIN_DOM" hidden="1">"c3423"</definedName>
    <definedName name="IQ_OPEB_RATE_COMP_INCREASE_MIN_FOREIGN" hidden="1">"c3424"</definedName>
    <definedName name="IQ_OPEB_SERVICE_COST" hidden="1">"c3392"</definedName>
    <definedName name="IQ_OPEB_SERVICE_COST_DOM" hidden="1">"c3390"</definedName>
    <definedName name="IQ_OPEB_SERVICE_COST_FOREIGN" hidden="1">"c3391"</definedName>
    <definedName name="IQ_OPEB_TOTAL_COST" hidden="1">"c3404"</definedName>
    <definedName name="IQ_OPEB_TOTAL_COST_DOM" hidden="1">"c3402"</definedName>
    <definedName name="IQ_OPEB_TOTAL_COST_FOREIGN" hidden="1">"c3403"</definedName>
    <definedName name="IQ_OPEB_UNRECOG_PRIOR" hidden="1">"c3320"</definedName>
    <definedName name="IQ_OPEB_UNRECOG_PRIOR_DOM" hidden="1">"c3318"</definedName>
    <definedName name="IQ_OPEB_UNRECOG_PRIOR_FOREIGN" hidden="1">"c3319"</definedName>
    <definedName name="IQ_OPENPRICE" hidden="1">"c848"</definedName>
    <definedName name="IQ_OPER_INC" hidden="1">"c849"</definedName>
    <definedName name="IQ_OPER_INC_BR" hidden="1">"c850"</definedName>
    <definedName name="IQ_OPER_INC_EST" hidden="1">"c1688"</definedName>
    <definedName name="IQ_OPER_INC_FIN" hidden="1">"c851"</definedName>
    <definedName name="IQ_OPER_INC_HIGH_EST" hidden="1">"c1690"</definedName>
    <definedName name="IQ_OPER_INC_INS" hidden="1">"c852"</definedName>
    <definedName name="IQ_OPER_INC_LOW_EST" hidden="1">"c1691"</definedName>
    <definedName name="IQ_OPER_INC_MARGIN" hidden="1">"c1448"</definedName>
    <definedName name="IQ_OPER_INC_MEDIAN_EST" hidden="1">"c1689"</definedName>
    <definedName name="IQ_OPER_INC_NUM_EST" hidden="1">"c1692"</definedName>
    <definedName name="IQ_OPER_INC_REIT" hidden="1">"c853"</definedName>
    <definedName name="IQ_OPER_INC_STDDEV_EST" hidden="1">"c1693"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"c1023"</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NORMALIZED" hidden="1">"c2207"</definedName>
    <definedName name="IQ_PE_RATIO" hidden="1">"c1610"</definedName>
    <definedName name="IQ_PEG_FWD" hidden="1">"c1863"</definedName>
    <definedName name="IQ_PENSION" hidden="1">"c1031"</definedName>
    <definedName name="IQ_PENSION_ACCRUED_LIAB" hidden="1">"c3134"</definedName>
    <definedName name="IQ_PENSION_ACCRUED_LIAB_DOM" hidden="1">"c3132"</definedName>
    <definedName name="IQ_PENSION_ACCRUED_LIAB_FOREIGN" hidden="1">"c3133"</definedName>
    <definedName name="IQ_PENSION_ACCUM_OTHER_CI" hidden="1">"c3140"</definedName>
    <definedName name="IQ_PENSION_ACCUM_OTHER_CI_DOM" hidden="1">"c3138"</definedName>
    <definedName name="IQ_PENSION_ACCUM_OTHER_CI_FOREIGN" hidden="1">"c3139"</definedName>
    <definedName name="IQ_PENSION_ACCUMULATED_OBLIGATION" hidden="1">"c3570"</definedName>
    <definedName name="IQ_PENSION_ACCUMULATED_OBLIGATION_DOMESTIC" hidden="1">"c3568"</definedName>
    <definedName name="IQ_PENSION_ACCUMULATED_OBLIGATION_FOREIGN" hidden="1">"c3569"</definedName>
    <definedName name="IQ_PENSION_ASSETS" hidden="1">"c3182"</definedName>
    <definedName name="IQ_PENSION_ASSETS_ACQ" hidden="1">"c3173"</definedName>
    <definedName name="IQ_PENSION_ASSETS_ACQ_DOM" hidden="1">"c3171"</definedName>
    <definedName name="IQ_PENSION_ASSETS_ACQ_FOREIGN" hidden="1">"c3172"</definedName>
    <definedName name="IQ_PENSION_ASSETS_ACTUAL_RETURN" hidden="1">"c3158"</definedName>
    <definedName name="IQ_PENSION_ASSETS_ACTUAL_RETURN_DOM" hidden="1">"c3156"</definedName>
    <definedName name="IQ_PENSION_ASSETS_ACTUAL_RETURN_FOREIGN" hidden="1">"c3157"</definedName>
    <definedName name="IQ_PENSION_ASSETS_BEG" hidden="1">"c3155"</definedName>
    <definedName name="IQ_PENSION_ASSETS_BEG_DOM" hidden="1">"c3153"</definedName>
    <definedName name="IQ_PENSION_ASSETS_BEG_FOREIGN" hidden="1">"c3154"</definedName>
    <definedName name="IQ_PENSION_ASSETS_BENEFITS_PAID" hidden="1">"c3167"</definedName>
    <definedName name="IQ_PENSION_ASSETS_BENEFITS_PAID_DOM" hidden="1">"c3165"</definedName>
    <definedName name="IQ_PENSION_ASSETS_BENEFITS_PAID_FOREIGN" hidden="1">"c3166"</definedName>
    <definedName name="IQ_PENSION_ASSETS_CURTAIL" hidden="1">"c3176"</definedName>
    <definedName name="IQ_PENSION_ASSETS_CURTAIL_DOM" hidden="1">"c3174"</definedName>
    <definedName name="IQ_PENSION_ASSETS_CURTAIL_FOREIGN" hidden="1">"c3175"</definedName>
    <definedName name="IQ_PENSION_ASSETS_DOM" hidden="1">"c3180"</definedName>
    <definedName name="IQ_PENSION_ASSETS_EMPLOYER_CONTRIBUTIONS" hidden="1">"c3161"</definedName>
    <definedName name="IQ_PENSION_ASSETS_EMPLOYER_CONTRIBUTIONS_DOM" hidden="1">"c3159"</definedName>
    <definedName name="IQ_PENSION_ASSETS_EMPLOYER_CONTRIBUTIONS_FOREIGN" hidden="1">"c3160"</definedName>
    <definedName name="IQ_PENSION_ASSETS_FOREIGN" hidden="1">"c3181"</definedName>
    <definedName name="IQ_PENSION_ASSETS_FX_ADJ" hidden="1">"c3170"</definedName>
    <definedName name="IQ_PENSION_ASSETS_FX_ADJ_DOM" hidden="1">"c3168"</definedName>
    <definedName name="IQ_PENSION_ASSETS_FX_ADJ_FOREIGN" hidden="1">"c3169"</definedName>
    <definedName name="IQ_PENSION_ASSETS_OTHER_PLAN_ADJ" hidden="1">"c3179"</definedName>
    <definedName name="IQ_PENSION_ASSETS_OTHER_PLAN_ADJ_DOM" hidden="1">"c3177"</definedName>
    <definedName name="IQ_PENSION_ASSETS_OTHER_PLAN_ADJ_FOREIGN" hidden="1">"c3178"</definedName>
    <definedName name="IQ_PENSION_ASSETS_PARTICIP_CONTRIBUTIONS" hidden="1">"c3164"</definedName>
    <definedName name="IQ_PENSION_ASSETS_PARTICIP_CONTRIBUTIONS_DOM" hidden="1">"c3162"</definedName>
    <definedName name="IQ_PENSION_ASSETS_PARTICIP_CONTRIBUTIONS_FOREIGN" hidden="1">"c3163"</definedName>
    <definedName name="IQ_PENSION_BENEFIT_INFO_DATE" hidden="1">"c3230"</definedName>
    <definedName name="IQ_PENSION_BENEFIT_INFO_DATE_DOM" hidden="1">"c3228"</definedName>
    <definedName name="IQ_PENSION_BENEFIT_INFO_DATE_FOREIGN" hidden="1">"c3229"</definedName>
    <definedName name="IQ_PENSION_BREAKDOWN_EQ" hidden="1">"c3101"</definedName>
    <definedName name="IQ_PENSION_BREAKDOWN_EQ_DOM" hidden="1">"c3099"</definedName>
    <definedName name="IQ_PENSION_BREAKDOWN_EQ_FOREIGN" hidden="1">"c3100"</definedName>
    <definedName name="IQ_PENSION_BREAKDOWN_FI" hidden="1">"c3104"</definedName>
    <definedName name="IQ_PENSION_BREAKDOWN_FI_DOM" hidden="1">"c3102"</definedName>
    <definedName name="IQ_PENSION_BREAKDOWN_FI_FOREIGN" hidden="1">"c3103"</definedName>
    <definedName name="IQ_PENSION_BREAKDOWN_OTHER" hidden="1">"c3110"</definedName>
    <definedName name="IQ_PENSION_BREAKDOWN_OTHER_DOM" hidden="1">"c3108"</definedName>
    <definedName name="IQ_PENSION_BREAKDOWN_OTHER_FOREIGN" hidden="1">"c3109"</definedName>
    <definedName name="IQ_PENSION_BREAKDOWN_PCT_EQ" hidden="1">"c3089"</definedName>
    <definedName name="IQ_PENSION_BREAKDOWN_PCT_EQ_DOM" hidden="1">"c3087"</definedName>
    <definedName name="IQ_PENSION_BREAKDOWN_PCT_EQ_FOREIGN" hidden="1">"c3088"</definedName>
    <definedName name="IQ_PENSION_BREAKDOWN_PCT_FI" hidden="1">"c3092"</definedName>
    <definedName name="IQ_PENSION_BREAKDOWN_PCT_FI_DOM" hidden="1">"c3090"</definedName>
    <definedName name="IQ_PENSION_BREAKDOWN_PCT_FI_FOREIGN" hidden="1">"c3091"</definedName>
    <definedName name="IQ_PENSION_BREAKDOWN_PCT_OTHER" hidden="1">"c3098"</definedName>
    <definedName name="IQ_PENSION_BREAKDOWN_PCT_OTHER_DOM" hidden="1">"c3096"</definedName>
    <definedName name="IQ_PENSION_BREAKDOWN_PCT_OTHER_FOREIGN" hidden="1">"c3097"</definedName>
    <definedName name="IQ_PENSION_BREAKDOWN_PCT_RE" hidden="1">"c3095"</definedName>
    <definedName name="IQ_PENSION_BREAKDOWN_PCT_RE_DOM" hidden="1">"c3093"</definedName>
    <definedName name="IQ_PENSION_BREAKDOWN_PCT_RE_FOREIGN" hidden="1">"c3094"</definedName>
    <definedName name="IQ_PENSION_BREAKDOWN_RE" hidden="1">"c3107"</definedName>
    <definedName name="IQ_PENSION_BREAKDOWN_RE_DOM" hidden="1">"c3105"</definedName>
    <definedName name="IQ_PENSION_BREAKDOWN_RE_FOREIGN" hidden="1">"c3106"</definedName>
    <definedName name="IQ_PENSION_CONTRIBUTION_TOTAL_COST" hidden="1">"c3559"</definedName>
    <definedName name="IQ_PENSION_DISC_RATE_MAX" hidden="1">"c3236"</definedName>
    <definedName name="IQ_PENSION_DISC_RATE_MAX_DOM" hidden="1">"c3234"</definedName>
    <definedName name="IQ_PENSION_DISC_RATE_MAX_FOREIGN" hidden="1">"c3235"</definedName>
    <definedName name="IQ_PENSION_DISC_RATE_MIN" hidden="1">"c3233"</definedName>
    <definedName name="IQ_PENSION_DISC_RATE_MIN_DOM" hidden="1">"c3231"</definedName>
    <definedName name="IQ_PENSION_DISC_RATE_MIN_FOREIGN" hidden="1">"c3232"</definedName>
    <definedName name="IQ_PENSION_DISCOUNT_RATE_DOMESTIC" hidden="1">"c3573"</definedName>
    <definedName name="IQ_PENSION_DISCOUNT_RATE_FOREIGN" hidden="1">"c3574"</definedName>
    <definedName name="IQ_PENSION_EST_BENEFIT_1YR" hidden="1">"c3113"</definedName>
    <definedName name="IQ_PENSION_EST_BENEFIT_1YR_DOM" hidden="1">"c3111"</definedName>
    <definedName name="IQ_PENSION_EST_BENEFIT_1YR_FOREIGN" hidden="1">"c3112"</definedName>
    <definedName name="IQ_PENSION_EST_BENEFIT_2YR" hidden="1">"c3116"</definedName>
    <definedName name="IQ_PENSION_EST_BENEFIT_2YR_DOM" hidden="1">"c3114"</definedName>
    <definedName name="IQ_PENSION_EST_BENEFIT_2YR_FOREIGN" hidden="1">"c3115"</definedName>
    <definedName name="IQ_PENSION_EST_BENEFIT_3YR" hidden="1">"c3119"</definedName>
    <definedName name="IQ_PENSION_EST_BENEFIT_3YR_DOM" hidden="1">"c3117"</definedName>
    <definedName name="IQ_PENSION_EST_BENEFIT_3YR_FOREIGN" hidden="1">"c3118"</definedName>
    <definedName name="IQ_PENSION_EST_BENEFIT_4YR" hidden="1">"c3122"</definedName>
    <definedName name="IQ_PENSION_EST_BENEFIT_4YR_DOM" hidden="1">"c3120"</definedName>
    <definedName name="IQ_PENSION_EST_BENEFIT_4YR_FOREIGN" hidden="1">"c3121"</definedName>
    <definedName name="IQ_PENSION_EST_BENEFIT_5YR" hidden="1">"c3125"</definedName>
    <definedName name="IQ_PENSION_EST_BENEFIT_5YR_DOM" hidden="1">"c3123"</definedName>
    <definedName name="IQ_PENSION_EST_BENEFIT_5YR_FOREIGN" hidden="1">"c3124"</definedName>
    <definedName name="IQ_PENSION_EST_BENEFIT_AFTER5" hidden="1">"c3128"</definedName>
    <definedName name="IQ_PENSION_EST_BENEFIT_AFTER5_DOM" hidden="1">"c3126"</definedName>
    <definedName name="IQ_PENSION_EST_BENEFIT_AFTER5_FOREIGN" hidden="1">"c3127"</definedName>
    <definedName name="IQ_PENSION_EST_CONTRIBUTIONS_NEXTYR" hidden="1">"c3218"</definedName>
    <definedName name="IQ_PENSION_EST_CONTRIBUTIONS_NEXTYR_DOM" hidden="1">"c3216"</definedName>
    <definedName name="IQ_PENSION_EST_CONTRIBUTIONS_NEXTYR_FOREIGN" hidden="1">"c3217"</definedName>
    <definedName name="IQ_PENSION_EXP_RATE_RETURN_MAX" hidden="1">"c3248"</definedName>
    <definedName name="IQ_PENSION_EXP_RATE_RETURN_MAX_DOM" hidden="1">"c3246"</definedName>
    <definedName name="IQ_PENSION_EXP_RATE_RETURN_MAX_FOREIGN" hidden="1">"c3247"</definedName>
    <definedName name="IQ_PENSION_EXP_RATE_RETURN_MIN" hidden="1">"c3245"</definedName>
    <definedName name="IQ_PENSION_EXP_RATE_RETURN_MIN_DOM" hidden="1">"c3243"</definedName>
    <definedName name="IQ_PENSION_EXP_RATE_RETURN_MIN_FOREIGN" hidden="1">"c3244"</definedName>
    <definedName name="IQ_PENSION_EXP_RETURN_DOMESTIC" hidden="1">"c3571"</definedName>
    <definedName name="IQ_PENSION_EXP_RETURN_FOREIGN" hidden="1">"c3572"</definedName>
    <definedName name="IQ_PENSION_INTAN_ASSETS" hidden="1">"c3137"</definedName>
    <definedName name="IQ_PENSION_INTAN_ASSETS_DOM" hidden="1">"c3135"</definedName>
    <definedName name="IQ_PENSION_INTAN_ASSETS_FOREIGN" hidden="1">"c3136"</definedName>
    <definedName name="IQ_PENSION_INTEREST_COST" hidden="1">"c3582"</definedName>
    <definedName name="IQ_PENSION_INTEREST_COST_DOM" hidden="1">"c3580"</definedName>
    <definedName name="IQ_PENSION_INTEREST_COST_FOREIGN" hidden="1">"c3581"</definedName>
    <definedName name="IQ_PENSION_NET_ASSET_RECOG" hidden="1">"c3152"</definedName>
    <definedName name="IQ_PENSION_NET_ASSET_RECOG_DOM" hidden="1">"c3150"</definedName>
    <definedName name="IQ_PENSION_NET_ASSET_RECOG_FOREIGN" hidden="1">"c3151"</definedName>
    <definedName name="IQ_PENSION_OBLIGATION_ACQ" hidden="1">"c3206"</definedName>
    <definedName name="IQ_PENSION_OBLIGATION_ACQ_DOM" hidden="1">"c3204"</definedName>
    <definedName name="IQ_PENSION_OBLIGATION_ACQ_FOREIGN" hidden="1">"c3205"</definedName>
    <definedName name="IQ_PENSION_OBLIGATION_ACTUARIAL_GAIN_LOSS" hidden="1">"c3197"</definedName>
    <definedName name="IQ_PENSION_OBLIGATION_ACTUARIAL_GAIN_LOSS_DOM" hidden="1">"c3195"</definedName>
    <definedName name="IQ_PENSION_OBLIGATION_ACTUARIAL_GAIN_LOSS_FOREIGN" hidden="1">"c3196"</definedName>
    <definedName name="IQ_PENSION_OBLIGATION_BEG" hidden="1">"c3185"</definedName>
    <definedName name="IQ_PENSION_OBLIGATION_BEG_DOM" hidden="1">"c3183"</definedName>
    <definedName name="IQ_PENSION_OBLIGATION_BEG_FOREIGN" hidden="1">"c3184"</definedName>
    <definedName name="IQ_PENSION_OBLIGATION_CURTAIL" hidden="1">"c3209"</definedName>
    <definedName name="IQ_PENSION_OBLIGATION_CURTAIL_DOM" hidden="1">"c3207"</definedName>
    <definedName name="IQ_PENSION_OBLIGATION_CURTAIL_FOREIGN" hidden="1">"c3208"</definedName>
    <definedName name="IQ_PENSION_OBLIGATION_EMPLOYEE_CONTRIBUTIONS" hidden="1">"c3194"</definedName>
    <definedName name="IQ_PENSION_OBLIGATION_EMPLOYEE_CONTRIBUTIONS_DOM" hidden="1">"c3192"</definedName>
    <definedName name="IQ_PENSION_OBLIGATION_EMPLOYEE_CONTRIBUTIONS_FOREIGN" hidden="1">"c3193"</definedName>
    <definedName name="IQ_PENSION_OBLIGATION_FX_ADJ" hidden="1">"c3203"</definedName>
    <definedName name="IQ_PENSION_OBLIGATION_FX_ADJ_DOM" hidden="1">"c3201"</definedName>
    <definedName name="IQ_PENSION_OBLIGATION_FX_ADJ_FOREIGN" hidden="1">"c3202"</definedName>
    <definedName name="IQ_PENSION_OBLIGATION_INTEREST_COST" hidden="1">"c3191"</definedName>
    <definedName name="IQ_PENSION_OBLIGATION_INTEREST_COST_DOM" hidden="1">"c3189"</definedName>
    <definedName name="IQ_PENSION_OBLIGATION_INTEREST_COST_FOREIGN" hidden="1">"c3190"</definedName>
    <definedName name="IQ_PENSION_OBLIGATION_OTHER_COST" hidden="1">"c3555"</definedName>
    <definedName name="IQ_PENSION_OBLIGATION_OTHER_COST_DOM" hidden="1">"c3553"</definedName>
    <definedName name="IQ_PENSION_OBLIGATION_OTHER_COST_FOREIGN" hidden="1">"c3554"</definedName>
    <definedName name="IQ_PENSION_OBLIGATION_OTHER_PLAN_ADJ" hidden="1">"c3212"</definedName>
    <definedName name="IQ_PENSION_OBLIGATION_OTHER_PLAN_ADJ_DOM" hidden="1">"c3210"</definedName>
    <definedName name="IQ_PENSION_OBLIGATION_OTHER_PLAN_ADJ_FOREIGN" hidden="1">"c3211"</definedName>
    <definedName name="IQ_PENSION_OBLIGATION_PAID" hidden="1">"c3200"</definedName>
    <definedName name="IQ_PENSION_OBLIGATION_PAID_DOM" hidden="1">"c3198"</definedName>
    <definedName name="IQ_PENSION_OBLIGATION_PAID_FOREIGN" hidden="1">"c3199"</definedName>
    <definedName name="IQ_PENSION_OBLIGATION_PROJECTED" hidden="1">"c3215"</definedName>
    <definedName name="IQ_PENSION_OBLIGATION_PROJECTED_DOM" hidden="1">"c3213"</definedName>
    <definedName name="IQ_PENSION_OBLIGATION_PROJECTED_FOREIGN" hidden="1">"c3214"</definedName>
    <definedName name="IQ_PENSION_OBLIGATION_ROA" hidden="1">"c3552"</definedName>
    <definedName name="IQ_PENSION_OBLIGATION_ROA_DOM" hidden="1">"c3550"</definedName>
    <definedName name="IQ_PENSION_OBLIGATION_ROA_FOREIGN" hidden="1">"c3551"</definedName>
    <definedName name="IQ_PENSION_OBLIGATION_SERVICE_COST" hidden="1">"c3188"</definedName>
    <definedName name="IQ_PENSION_OBLIGATION_SERVICE_COST_DOM" hidden="1">"c3186"</definedName>
    <definedName name="IQ_PENSION_OBLIGATION_SERVICE_COST_FOREIGN" hidden="1">"c3187"</definedName>
    <definedName name="IQ_PENSION_OBLIGATION_TOTAL_COST" hidden="1">"c3558"</definedName>
    <definedName name="IQ_PENSION_OBLIGATION_TOTAL_COST_DOM" hidden="1">"c3556"</definedName>
    <definedName name="IQ_PENSION_OBLIGATION_TOTAL_COST_FOREIGN" hidden="1">"c3557"</definedName>
    <definedName name="IQ_PENSION_OTHER" hidden="1">"c3143"</definedName>
    <definedName name="IQ_PENSION_OTHER_ADJ" hidden="1">"c3149"</definedName>
    <definedName name="IQ_PENSION_OTHER_ADJ_DOM" hidden="1">"c3147"</definedName>
    <definedName name="IQ_PENSION_OTHER_ADJ_FOREIGN" hidden="1">"c3148"</definedName>
    <definedName name="IQ_PENSION_OTHER_DOM" hidden="1">"c3141"</definedName>
    <definedName name="IQ_PENSION_OTHER_FOREIGN" hidden="1">"c3142"</definedName>
    <definedName name="IQ_PENSION_PBO_ASSUMED_RATE_RET_MAX" hidden="1">"c3254"</definedName>
    <definedName name="IQ_PENSION_PBO_ASSUMED_RATE_RET_MAX_DOM" hidden="1">"c3252"</definedName>
    <definedName name="IQ_PENSION_PBO_ASSUMED_RATE_RET_MAX_FOREIGN" hidden="1">"c3253"</definedName>
    <definedName name="IQ_PENSION_PBO_ASSUMED_RATE_RET_MIN" hidden="1">"c3251"</definedName>
    <definedName name="IQ_PENSION_PBO_ASSUMED_RATE_RET_MIN_DOM" hidden="1">"c3249"</definedName>
    <definedName name="IQ_PENSION_PBO_ASSUMED_RATE_RET_MIN_FOREIGN" hidden="1">"c3250"</definedName>
    <definedName name="IQ_PENSION_PBO_RATE_COMP_INCREASE_MAX" hidden="1">"c3260"</definedName>
    <definedName name="IQ_PENSION_PBO_RATE_COMP_INCREASE_MAX_DOM" hidden="1">"c3258"</definedName>
    <definedName name="IQ_PENSION_PBO_RATE_COMP_INCREASE_MAX_FOREIGN" hidden="1">"c3259"</definedName>
    <definedName name="IQ_PENSION_PBO_RATE_COMP_INCREASE_MIN" hidden="1">"c3257"</definedName>
    <definedName name="IQ_PENSION_PBO_RATE_COMP_INCREASE_MIN_DOM" hidden="1">"c3255"</definedName>
    <definedName name="IQ_PENSION_PBO_RATE_COMP_INCREASE_MIN_FOREIGN" hidden="1">"c3256"</definedName>
    <definedName name="IQ_PENSION_PREPAID_COST" hidden="1">"c3131"</definedName>
    <definedName name="IQ_PENSION_PREPAID_COST_DOM" hidden="1">"c3129"</definedName>
    <definedName name="IQ_PENSION_PREPAID_COST_FOREIGN" hidden="1">"c3130"</definedName>
    <definedName name="IQ_PENSION_PROJECTED_OBLIGATION" hidden="1">"c3566"</definedName>
    <definedName name="IQ_PENSION_PROJECTED_OBLIGATION_DOMESTIC" hidden="1">"c3564"</definedName>
    <definedName name="IQ_PENSION_PROJECTED_OBLIGATION_FOREIGN" hidden="1">"c3565"</definedName>
    <definedName name="IQ_PENSION_QUART_ADDL_CONTRIBUTIONS_EXP" hidden="1">"c3224"</definedName>
    <definedName name="IQ_PENSION_QUART_ADDL_CONTRIBUTIONS_EXP_DOM" hidden="1">"c3222"</definedName>
    <definedName name="IQ_PENSION_QUART_ADDL_CONTRIBUTIONS_EXP_FOREIGN" hidden="1">"c3223"</definedName>
    <definedName name="IQ_PENSION_QUART_EMPLOYER_CONTRIBUTIONS" hidden="1">"c3221"</definedName>
    <definedName name="IQ_PENSION_QUART_EMPLOYER_CONTRIBUTIONS_DOM" hidden="1">"c3219"</definedName>
    <definedName name="IQ_PENSION_QUART_EMPLOYER_CONTRIBUTIONS_FOREIGN" hidden="1">"c3220"</definedName>
    <definedName name="IQ_PENSION_RATE_COMP_GROWTH_DOMESTIC" hidden="1">"c3575"</definedName>
    <definedName name="IQ_PENSION_RATE_COMP_GROWTH_FOREIGN" hidden="1">"c3576"</definedName>
    <definedName name="IQ_PENSION_RATE_COMP_INCREASE_MAX" hidden="1">"c3242"</definedName>
    <definedName name="IQ_PENSION_RATE_COMP_INCREASE_MAX_DOM" hidden="1">"c3240"</definedName>
    <definedName name="IQ_PENSION_RATE_COMP_INCREASE_MAX_FOREIGN" hidden="1">"c3241"</definedName>
    <definedName name="IQ_PENSION_RATE_COMP_INCREASE_MIN" hidden="1">"c3239"</definedName>
    <definedName name="IQ_PENSION_RATE_COMP_INCREASE_MIN_DOM" hidden="1">"c3237"</definedName>
    <definedName name="IQ_PENSION_RATE_COMP_INCREASE_MIN_FOREIGN" hidden="1">"c3238"</definedName>
    <definedName name="IQ_PENSION_SERVICE_COST" hidden="1">"c3579"</definedName>
    <definedName name="IQ_PENSION_SERVICE_COST_DOM" hidden="1">"c3577"</definedName>
    <definedName name="IQ_PENSION_SERVICE_COST_FOREIGN" hidden="1">"c3578"</definedName>
    <definedName name="IQ_PENSION_TOTAL_ASSETS" hidden="1">"c3563"</definedName>
    <definedName name="IQ_PENSION_TOTAL_ASSETS_DOMESTIC" hidden="1">"c3561"</definedName>
    <definedName name="IQ_PENSION_TOTAL_ASSETS_FOREIGN" hidden="1">"c3562"</definedName>
    <definedName name="IQ_PENSION_TOTAL_EXP" hidden="1">"c3560"</definedName>
    <definedName name="IQ_PENSION_UNFUNDED_ADDL_MIN_LIAB" hidden="1">"c3227"</definedName>
    <definedName name="IQ_PENSION_UNFUNDED_ADDL_MIN_LIAB_DOM" hidden="1">"c3225"</definedName>
    <definedName name="IQ_PENSION_UNFUNDED_ADDL_MIN_LIAB_FOREIGN" hidden="1">"c3226"</definedName>
    <definedName name="IQ_PENSION_UNRECOG_PRIOR" hidden="1">"c3146"</definedName>
    <definedName name="IQ_PENSION_UNRECOG_PRIOR_DOM" hidden="1">"c3144"</definedName>
    <definedName name="IQ_PENSION_UNRECOG_PRIOR_FOREIGN" hidden="1">"c3145"</definedName>
    <definedName name="IQ_PENSION_UV_LIAB" hidden="1">"c3567"</definedName>
    <definedName name="IQ_PERCENT_CHANGE_EST_5YR_GROWTH_RATE_12MONTHS" hidden="1">"c1852"</definedName>
    <definedName name="IQ_PERCENT_CHANGE_EST_5YR_GROWTH_RATE_18MONTHS" hidden="1">"c1853"</definedName>
    <definedName name="IQ_PERCENT_CHANGE_EST_5YR_GROWTH_RATE_3MONTHS" hidden="1">"c1849"</definedName>
    <definedName name="IQ_PERCENT_CHANGE_EST_5YR_GROWTH_RATE_6MONTHS" hidden="1">"c1850"</definedName>
    <definedName name="IQ_PERCENT_CHANGE_EST_5YR_GROWTH_RATE_9MONTHS" hidden="1">"c1851"</definedName>
    <definedName name="IQ_PERCENT_CHANGE_EST_5YR_GROWTH_RATE_DAY" hidden="1">"c1846"</definedName>
    <definedName name="IQ_PERCENT_CHANGE_EST_5YR_GROWTH_RATE_MONTH" hidden="1">"c1848"</definedName>
    <definedName name="IQ_PERCENT_CHANGE_EST_5YR_GROWTH_RATE_WEEK" hidden="1">"c1847"</definedName>
    <definedName name="IQ_PERCENT_CHANGE_EST_CFPS_12MONTHS" hidden="1">"c1812"</definedName>
    <definedName name="IQ_PERCENT_CHANGE_EST_CFPS_18MONTHS" hidden="1">"c1813"</definedName>
    <definedName name="IQ_PERCENT_CHANGE_EST_CFPS_3MONTHS" hidden="1">"c1809"</definedName>
    <definedName name="IQ_PERCENT_CHANGE_EST_CFPS_6MONTHS" hidden="1">"c1810"</definedName>
    <definedName name="IQ_PERCENT_CHANGE_EST_CFPS_9MONTHS" hidden="1">"c1811"</definedName>
    <definedName name="IQ_PERCENT_CHANGE_EST_CFPS_DAY" hidden="1">"c1806"</definedName>
    <definedName name="IQ_PERCENT_CHANGE_EST_CFPS_MONTH" hidden="1">"c1808"</definedName>
    <definedName name="IQ_PERCENT_CHANGE_EST_CFPS_WEEK" hidden="1">"c1807"</definedName>
    <definedName name="IQ_PERCENT_CHANGE_EST_DPS_12MONTHS" hidden="1">"c1820"</definedName>
    <definedName name="IQ_PERCENT_CHANGE_EST_DPS_18MONTHS" hidden="1">"c1821"</definedName>
    <definedName name="IQ_PERCENT_CHANGE_EST_DPS_3MONTHS" hidden="1">"c1817"</definedName>
    <definedName name="IQ_PERCENT_CHANGE_EST_DPS_6MONTHS" hidden="1">"c1818"</definedName>
    <definedName name="IQ_PERCENT_CHANGE_EST_DPS_9MONTHS" hidden="1">"c1819"</definedName>
    <definedName name="IQ_PERCENT_CHANGE_EST_DPS_DAY" hidden="1">"c1814"</definedName>
    <definedName name="IQ_PERCENT_CHANGE_EST_DPS_MONTH" hidden="1">"c1816"</definedName>
    <definedName name="IQ_PERCENT_CHANGE_EST_DPS_WEEK" hidden="1">"c1815"</definedName>
    <definedName name="IQ_PERCENT_CHANGE_EST_EBITDA_12MONTHS" hidden="1">"c1804"</definedName>
    <definedName name="IQ_PERCENT_CHANGE_EST_EBITDA_18MONTHS" hidden="1">"c1805"</definedName>
    <definedName name="IQ_PERCENT_CHANGE_EST_EBITDA_3MONTHS" hidden="1">"c1801"</definedName>
    <definedName name="IQ_PERCENT_CHANGE_EST_EBITDA_6MONTHS" hidden="1">"c1802"</definedName>
    <definedName name="IQ_PERCENT_CHANGE_EST_EBITDA_9MONTHS" hidden="1">"c1803"</definedName>
    <definedName name="IQ_PERCENT_CHANGE_EST_EBITDA_DAY" hidden="1">"c1798"</definedName>
    <definedName name="IQ_PERCENT_CHANGE_EST_EBITDA_MONTH" hidden="1">"c1800"</definedName>
    <definedName name="IQ_PERCENT_CHANGE_EST_EBITDA_WEEK" hidden="1">"c1799"</definedName>
    <definedName name="IQ_PERCENT_CHANGE_EST_EPS_12MONTHS" hidden="1">"c1788"</definedName>
    <definedName name="IQ_PERCENT_CHANGE_EST_EPS_18MONTHS" hidden="1">"c1789"</definedName>
    <definedName name="IQ_PERCENT_CHANGE_EST_EPS_3MONTHS" hidden="1">"c1785"</definedName>
    <definedName name="IQ_PERCENT_CHANGE_EST_EPS_6MONTHS" hidden="1">"c1786"</definedName>
    <definedName name="IQ_PERCENT_CHANGE_EST_EPS_9MONTHS" hidden="1">"c1787"</definedName>
    <definedName name="IQ_PERCENT_CHANGE_EST_EPS_DAY" hidden="1">"c1782"</definedName>
    <definedName name="IQ_PERCENT_CHANGE_EST_EPS_MONTH" hidden="1">"c1784"</definedName>
    <definedName name="IQ_PERCENT_CHANGE_EST_EPS_WEEK" hidden="1">"c1783"</definedName>
    <definedName name="IQ_PERCENT_CHANGE_EST_FFO_12MONTHS" hidden="1">"c1828"</definedName>
    <definedName name="IQ_PERCENT_CHANGE_EST_FFO_18MONTHS" hidden="1">"c1829"</definedName>
    <definedName name="IQ_PERCENT_CHANGE_EST_FFO_3MONTHS" hidden="1">"c1825"</definedName>
    <definedName name="IQ_PERCENT_CHANGE_EST_FFO_6MONTHS" hidden="1">"c1826"</definedName>
    <definedName name="IQ_PERCENT_CHANGE_EST_FFO_9MONTHS" hidden="1">"c1827"</definedName>
    <definedName name="IQ_PERCENT_CHANGE_EST_FFO_DAY" hidden="1">"c1822"</definedName>
    <definedName name="IQ_PERCENT_CHANGE_EST_FFO_MONTH" hidden="1">"c1824"</definedName>
    <definedName name="IQ_PERCENT_CHANGE_EST_FFO_WEEK" hidden="1">"c1823"</definedName>
    <definedName name="IQ_PERCENT_CHANGE_EST_PRICE_TARGET_12MONTHS" hidden="1">"c1844"</definedName>
    <definedName name="IQ_PERCENT_CHANGE_EST_PRICE_TARGET_18MONTHS" hidden="1">"c1845"</definedName>
    <definedName name="IQ_PERCENT_CHANGE_EST_PRICE_TARGET_3MONTHS" hidden="1">"c1841"</definedName>
    <definedName name="IQ_PERCENT_CHANGE_EST_PRICE_TARGET_6MONTHS" hidden="1">"c1842"</definedName>
    <definedName name="IQ_PERCENT_CHANGE_EST_PRICE_TARGET_9MONTHS" hidden="1">"c1843"</definedName>
    <definedName name="IQ_PERCENT_CHANGE_EST_PRICE_TARGET_DAY" hidden="1">"c1838"</definedName>
    <definedName name="IQ_PERCENT_CHANGE_EST_PRICE_TARGET_MONTH" hidden="1">"c1840"</definedName>
    <definedName name="IQ_PERCENT_CHANGE_EST_PRICE_TARGET_WEEK" hidden="1">"c1839"</definedName>
    <definedName name="IQ_PERCENT_CHANGE_EST_RECO_12MONTHS" hidden="1">"c1836"</definedName>
    <definedName name="IQ_PERCENT_CHANGE_EST_RECO_18MONTHS" hidden="1">"c1837"</definedName>
    <definedName name="IQ_PERCENT_CHANGE_EST_RECO_3MONTHS" hidden="1">"c1833"</definedName>
    <definedName name="IQ_PERCENT_CHANGE_EST_RECO_6MONTHS" hidden="1">"c1834"</definedName>
    <definedName name="IQ_PERCENT_CHANGE_EST_RECO_9MONTHS" hidden="1">"c1835"</definedName>
    <definedName name="IQ_PERCENT_CHANGE_EST_RECO_DAY" hidden="1">"c1830"</definedName>
    <definedName name="IQ_PERCENT_CHANGE_EST_RECO_MONTH" hidden="1">"c1832"</definedName>
    <definedName name="IQ_PERCENT_CHANGE_EST_RECO_WEEK" hidden="1">"c1831"</definedName>
    <definedName name="IQ_PERCENT_CHANGE_EST_REV_12MONTHS" hidden="1">"c1796"</definedName>
    <definedName name="IQ_PERCENT_CHANGE_EST_REV_18MONTHS" hidden="1">"c1797"</definedName>
    <definedName name="IQ_PERCENT_CHANGE_EST_REV_3MONTHS" hidden="1">"c1793"</definedName>
    <definedName name="IQ_PERCENT_CHANGE_EST_REV_6MONTHS" hidden="1">"c1794"</definedName>
    <definedName name="IQ_PERCENT_CHANGE_EST_REV_9MONTHS" hidden="1">"c1795"</definedName>
    <definedName name="IQ_PERCENT_CHANGE_EST_REV_DAY" hidden="1">"c1790"</definedName>
    <definedName name="IQ_PERCENT_CHANGE_EST_REV_MONTH" hidden="1">"c1792"</definedName>
    <definedName name="IQ_PERCENT_CHANGE_EST_REV_WEEK" hidden="1">"c1791"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OTENTIAL_UPSIDE" hidden="1">"c1855"</definedName>
    <definedName name="IQ_PRE_OPEN_COST" hidden="1">"c1040"</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GW_INC_EST" hidden="1">"c1702"</definedName>
    <definedName name="IQ_PRETAX_GW_INC_HIGH_EST" hidden="1">"c1704"</definedName>
    <definedName name="IQ_PRETAX_GW_INC_LOW_EST" hidden="1">"c1705"</definedName>
    <definedName name="IQ_PRETAX_GW_INC_MEDIAN_EST" hidden="1">"c1703"</definedName>
    <definedName name="IQ_PRETAX_GW_INC_NUM_EST" hidden="1">"c1706"</definedName>
    <definedName name="IQ_PRETAX_GW_INC_STDDEV_EST" hidden="1">"c1707"</definedName>
    <definedName name="IQ_PRETAX_INC" hidden="1">"IQ_PRETAX_INC"</definedName>
    <definedName name="IQ_PRETAX_INC_10K" hidden="1">"IQ_PRETAX_INC_10K"</definedName>
    <definedName name="IQ_PRETAX_INC_10Q" hidden="1">"IQ_PRETAX_INC_10Q"</definedName>
    <definedName name="IQ_PRETAX_INC_10Q1" hidden="1">"IQ_PRETAX_INC_10Q1"</definedName>
    <definedName name="IQ_PRETAX_INC_EST" hidden="1">"c1695"</definedName>
    <definedName name="IQ_PRETAX_INC_HIGH_EST" hidden="1">"c1697"</definedName>
    <definedName name="IQ_PRETAX_INC_LOW_EST" hidden="1">"c1698"</definedName>
    <definedName name="IQ_PRETAX_INC_MEDIAN_EST" hidden="1">"c1696"</definedName>
    <definedName name="IQ_PRETAX_INC_NUM_EST" hidden="1">"c1699"</definedName>
    <definedName name="IQ_PRETAX_INC_STDDEV_EST" hidden="1">"c1700"</definedName>
    <definedName name="IQ_PRETAX_REPORT_INC_EST" hidden="1">"c1709"</definedName>
    <definedName name="IQ_PRETAX_REPORT_INC_HIGH_EST" hidden="1">"c1711"</definedName>
    <definedName name="IQ_PRETAX_REPORT_INC_LOW_EST" hidden="1">"c1712"</definedName>
    <definedName name="IQ_PRETAX_REPORT_INC_MEDIAN_EST" hidden="1">"c1710"</definedName>
    <definedName name="IQ_PRETAX_REPORT_INC_NUM_EST" hidden="1">"c1713"</definedName>
    <definedName name="IQ_PRETAX_REPORT_INC_STDDEV_EST" hidden="1">"c1714"</definedName>
    <definedName name="IQ_PRICE_OVER_BVPS" hidden="1">"c1412"</definedName>
    <definedName name="IQ_PRICE_OVER_EPS_EST" hidden="1">"IQ_PRICE_OVER_EPS_EST"</definedName>
    <definedName name="IQ_PRICE_OVER_EPS_EST_1" hidden="1">"IQ_PRICE_OVER_EPS_EST_1"</definedName>
    <definedName name="IQ_PRICE_OVER_LTM_EPS" hidden="1">"c1413"</definedName>
    <definedName name="IQ_PRICE_TARGET" hidden="1">"c82"</definedName>
    <definedName name="IQ_PRICEDATE" hidden="1">"c1069"</definedName>
    <definedName name="IQ_PRICEDATETIME" hidden="1">"IQ_PRICEDATETIME"</definedName>
    <definedName name="IQ_PRICING_DATE" hidden="1">"c1613"</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T_DATE_SCHEDULE" hidden="1">"c2483"</definedName>
    <definedName name="IQ_PUT_NOTIFICATION" hidden="1">"c2485"</definedName>
    <definedName name="IQ_PUT_PRICE_SCHEDULE" hidden="1">"c2484"</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_STOCK_COMP" hidden="1">"c3506"</definedName>
    <definedName name="IQ_RESTR_STOCK_COMP_PRETAX" hidden="1">"c3504"</definedName>
    <definedName name="IQ_RESTR_STOCK_COMP_TAX" hidden="1">"c3505"</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"c2895"</definedName>
    <definedName name="IQ_RETAIL_ACQUIRED_OWNED_STORES" hidden="1">"c2903"</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STDDEV_EST" hidden="1">"c1124"</definedName>
    <definedName name="IQ_REV_UTI" hidden="1">"c1125"</definedName>
    <definedName name="IQ_REVENUE" hidden="1">"c1422"</definedName>
    <definedName name="IQ_REVENUE_10K" hidden="1">"IQ_REVENUE_10K"</definedName>
    <definedName name="IQ_REVENUE_10Q" hidden="1">"IQ_REVENUE_10Q"</definedName>
    <definedName name="IQ_REVENUE_10Q1" hidden="1">"IQ_REVENUE_10Q1"</definedName>
    <definedName name="IQ_REVENUE_ACT_OR_EST" hidden="1">"c2214"</definedName>
    <definedName name="IQ_REVENUE_EST" hidden="1">"c1126"</definedName>
    <definedName name="IQ_REVENUE_EST_1" hidden="1">"IQ_REVENUE_EST_1"</definedName>
    <definedName name="IQ_REVENUE_GROWTH_1" hidden="1">"IQ_REVENUE_GROWTH_1"</definedName>
    <definedName name="IQ_REVENUE_GROWTH_2" hidden="1">"IQ_REVENUE_GROWTH_2"</definedName>
    <definedName name="IQ_REVENUE_HIGH_EST" hidden="1">"c1127"</definedName>
    <definedName name="IQ_REVENUE_LOW_EST" hidden="1">"c1128"</definedName>
    <definedName name="IQ_REVENUE_MEDIAN_EST" hidden="1">"c1662"</definedName>
    <definedName name="IQ_REVENUE_NUM_EST" hidden="1">"c1129"</definedName>
    <definedName name="IQ_REVISION_DATE_" hidden="1">39421.5384837963</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UR_RECEIV" hidden="1">"c1151"</definedName>
    <definedName name="IQ_SECURED_DEBT" hidden="1">"c2546"</definedName>
    <definedName name="IQ_SECURED_DEBT_PCT" hidden="1">"c2547"</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 hidden="1">"c2171"</definedName>
    <definedName name="IQ_SP_BANK" hidden="1">"c2637"</definedName>
    <definedName name="IQ_SP_BANK_ACTION" hidden="1">"c2636"</definedName>
    <definedName name="IQ_SP_BANK_DATE" hidden="1">"c2635"</definedName>
    <definedName name="IQ_SP_DATE" hidden="1">"c2172"</definedName>
    <definedName name="IQ_SP_FIN_ENHANCE_FX" hidden="1">"c2631"</definedName>
    <definedName name="IQ_SP_FIN_ENHANCE_FX_ACTION" hidden="1">"c2630"</definedName>
    <definedName name="IQ_SP_FIN_ENHANCE_FX_DATE" hidden="1">"c2629"</definedName>
    <definedName name="IQ_SP_FIN_ENHANCE_LC" hidden="1">"c2634"</definedName>
    <definedName name="IQ_SP_FIN_ENHANCE_LC_ACTION" hidden="1">"c2633"</definedName>
    <definedName name="IQ_SP_FIN_ENHANCE_LC_DATE" hidden="1">"c2632"</definedName>
    <definedName name="IQ_SP_FIN_STRENGTH_LC_ACTION_LT" hidden="1">"c2625"</definedName>
    <definedName name="IQ_SP_FIN_STRENGTH_LC_ACTION_ST" hidden="1">"c2626"</definedName>
    <definedName name="IQ_SP_FIN_STRENGTH_LC_DATE_LT" hidden="1">"c2623"</definedName>
    <definedName name="IQ_SP_FIN_STRENGTH_LC_DATE_ST" hidden="1">"c2624"</definedName>
    <definedName name="IQ_SP_FIN_STRENGTH_LC_LT" hidden="1">"c2627"</definedName>
    <definedName name="IQ_SP_FIN_STRENGTH_LC_ST" hidden="1">"c2628"</definedName>
    <definedName name="IQ_SP_FX_ACTION_LT" hidden="1">"c2613"</definedName>
    <definedName name="IQ_SP_FX_ACTION_ST" hidden="1">"c2614"</definedName>
    <definedName name="IQ_SP_FX_DATE_LT" hidden="1">"c2611"</definedName>
    <definedName name="IQ_SP_FX_DATE_ST" hidden="1">"c2612"</definedName>
    <definedName name="IQ_SP_FX_LT" hidden="1">"c2615"</definedName>
    <definedName name="IQ_SP_FX_ST" hidden="1">"c2616"</definedName>
    <definedName name="IQ_SP_ISSUE_ACTION" hidden="1">"c2644"</definedName>
    <definedName name="IQ_SP_ISSUE_DATE" hidden="1">"c2643"</definedName>
    <definedName name="IQ_SP_ISSUE_LT" hidden="1">"c2645"</definedName>
    <definedName name="IQ_SP_ISSUE_OUTLOOK_WATCH" hidden="1">"c2650"</definedName>
    <definedName name="IQ_SP_ISSUE_OUTLOOK_WATCH_DATE" hidden="1">"c2649"</definedName>
    <definedName name="IQ_SP_ISSUE_RECOVER" hidden="1">"c2648"</definedName>
    <definedName name="IQ_SP_ISSUE_RECOVER_ACTION" hidden="1">"c2647"</definedName>
    <definedName name="IQ_SP_ISSUE_RECOVER_DATE" hidden="1">"c2646"</definedName>
    <definedName name="IQ_SP_LC_ACTION_LT" hidden="1">"c2619"</definedName>
    <definedName name="IQ_SP_LC_ACTION_ST" hidden="1">"c2620"</definedName>
    <definedName name="IQ_SP_LC_DATE_LT" hidden="1">"c2617"</definedName>
    <definedName name="IQ_SP_LC_DATE_ST" hidden="1">"c2618"</definedName>
    <definedName name="IQ_SP_LC_LT" hidden="1">"c2621"</definedName>
    <definedName name="IQ_SP_LC_ST" hidden="1">"c2622"</definedName>
    <definedName name="IQ_SP_OUTLOOK_WATCH" hidden="1">"c2639"</definedName>
    <definedName name="IQ_SP_OUTLOOK_WATCH_DATE" hidden="1">"c2638"</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COMP" hidden="1">"c3512"</definedName>
    <definedName name="IQ_STOCK_BASED_COMP_PRETAX" hidden="1">"c3510"</definedName>
    <definedName name="IQ_STOCK_BASED_COMP_TAX" hidden="1">"c3511"</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OCK_OPTIONS_COMP" hidden="1">"c3509"</definedName>
    <definedName name="IQ_STOCK_OPTIONS_COMP_PRETAX" hidden="1">"c3507"</definedName>
    <definedName name="IQ_STOCK_OPTIONS_COMP_TAX" hidden="1">"c3508"</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RGET_PRICE_NUM" hidden="1">"c1653"</definedName>
    <definedName name="IQ_TARGET_PRICE_STDDEV" hidden="1">"c1654"</definedName>
    <definedName name="IQ_TAX_BENEFIT_CF_1YR" hidden="1">"c3483"</definedName>
    <definedName name="IQ_TAX_BENEFIT_CF_2YR" hidden="1">"c3484"</definedName>
    <definedName name="IQ_TAX_BENEFIT_CF_3YR" hidden="1">"c3485"</definedName>
    <definedName name="IQ_TAX_BENEFIT_CF_4YR" hidden="1">"c3486"</definedName>
    <definedName name="IQ_TAX_BENEFIT_CF_5YR" hidden="1">"c3487"</definedName>
    <definedName name="IQ_TAX_BENEFIT_CF_AFTER_FIVE" hidden="1">"c3488"</definedName>
    <definedName name="IQ_TAX_BENEFIT_CF_MAX_YEAR" hidden="1">"c3491"</definedName>
    <definedName name="IQ_TAX_BENEFIT_CF_NO_EXP" hidden="1">"c3489"</definedName>
    <definedName name="IQ_TAX_BENEFIT_CF_TOTAL" hidden="1">"c3490"</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BITDA_FWD" hidden="1">"c1224"</definedName>
    <definedName name="IQ_TEV_EMPLOYEE_AVG" hidden="1">"c1225"</definedName>
    <definedName name="IQ_TEV_TOTAL_REV" hidden="1">"c1226"</definedName>
    <definedName name="IQ_TEV_TOTAL_REV_AVG" hidden="1">"c1227"</definedName>
    <definedName name="IQ_TEV_TOTAL_REV_FWD" hidden="1">"c1228"</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_EQ_INC" hidden="1">"c3611"</definedName>
    <definedName name="IQ_TR_ACQ_EBITDA" hidden="1">"c2381"</definedName>
    <definedName name="IQ_TR_ACQ_EBITDA_EQ_INC" hidden="1">"c3610"</definedName>
    <definedName name="IQ_TR_ACQ_FILING_CURRENCY" hidden="1">"c3033"</definedName>
    <definedName name="IQ_TR_ACQ_FILINGDATE" hidden="1">"c3607"</definedName>
    <definedName name="IQ_TR_ACQ_MCAP_1DAY" hidden="1">"c2345"</definedName>
    <definedName name="IQ_TR_ACQ_MIN_INT" hidden="1">"c2374"</definedName>
    <definedName name="IQ_TR_ACQ_NET_DEBT" hidden="1">"c2373"</definedName>
    <definedName name="IQ_TR_ACQ_NI" hidden="1">"c2378"</definedName>
    <definedName name="IQ_TR_ACQ_PERIODDATE" hidden="1">"c3606"</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INIT_FILED_DATE" hidden="1">"c3495"</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_EQ_INC" hidden="1">"c3609"</definedName>
    <definedName name="IQ_TR_TARGET_EBITDA" hidden="1">"c2334"</definedName>
    <definedName name="IQ_TR_TARGET_EBITDA_EQ_INC" hidden="1">"c3608"</definedName>
    <definedName name="IQ_TR_TARGET_FILING_CURRENCY" hidden="1">"c3034"</definedName>
    <definedName name="IQ_TR_TARGET_FILINGDATE" hidden="1">"c3605"</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ERIODDATE" hidden="1">"c3604"</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COST_REV_ADJ" hidden="1">"c2951"</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50000</definedName>
    <definedName name="IQ_WEIGHTED_AVG_PRICE" hidden="1">"c1334"</definedName>
    <definedName name="IQ_WIP_INV" hidden="1">"c1335"</definedName>
    <definedName name="IQ_WORKING_CAP" hidden="1">"c3494"</definedName>
    <definedName name="IQ_WORKMEN_WRITTEN" hidden="1">"c1336"</definedName>
    <definedName name="IQ_XDIV_DATE" hidden="1">"c2203"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IsColHidden" hidden="1">FALSE</definedName>
    <definedName name="IsLTMColHidden" hidden="1">FALSE</definedName>
    <definedName name="Item">#N/A</definedName>
    <definedName name="K2_WBEVMODE" hidden="1">-1</definedName>
    <definedName name="lastCol">#REF!</definedName>
    <definedName name="latest1">[1]Inputs!$E$13</definedName>
    <definedName name="latest10">[1]Inputs!$E$472</definedName>
    <definedName name="latest11">[1]Inputs!$E$523</definedName>
    <definedName name="latest12">[1]Inputs!$E$574</definedName>
    <definedName name="latest13">[1]Inputs!$E$625</definedName>
    <definedName name="latest14">[1]Inputs!$E$676</definedName>
    <definedName name="latest15">[1]Inputs!$E$727</definedName>
    <definedName name="latest2">[1]Inputs!$E$64</definedName>
    <definedName name="latest3">[1]Inputs!$E$115</definedName>
    <definedName name="latest4">[1]Inputs!$E$166</definedName>
    <definedName name="latest5">[1]Inputs!$E$217</definedName>
    <definedName name="latest6">[1]Inputs!$E$268</definedName>
    <definedName name="latest7">[1]Inputs!$E$319</definedName>
    <definedName name="latest8">[1]Inputs!$E$370</definedName>
    <definedName name="latest9">[1]Inputs!$E$421</definedName>
    <definedName name="LBO" localSheetId="3">'[9]S&amp;U'!#REF!</definedName>
    <definedName name="LBO">'[9]S&amp;U'!#REF!</definedName>
    <definedName name="left">#REF!</definedName>
    <definedName name="lett" localSheetId="3">#REF!</definedName>
    <definedName name="lett">#REF!</definedName>
    <definedName name="LIBOR">[21]Portfolio!$E$2</definedName>
    <definedName name="Libor_Assumptions">#REF!</definedName>
    <definedName name="Libor_Curve">#REF!</definedName>
    <definedName name="Libor_Down">#REF!</definedName>
    <definedName name="Libor_Down_Up">#REF!</definedName>
    <definedName name="LIBOR_Minus_1SD" localSheetId="3">[10]Revolver!#REF!</definedName>
    <definedName name="LIBOR_Minus_1SD">[10]Revolver!#REF!</definedName>
    <definedName name="Libor_Minus_2SD" localSheetId="3">[10]Revolver!#REF!</definedName>
    <definedName name="Libor_Minus_2SD">[10]Revolver!#REF!</definedName>
    <definedName name="Libor_Plus_0SD" localSheetId="3">[10]Revolver!#REF!</definedName>
    <definedName name="Libor_Plus_0SD">[10]Revolver!#REF!</definedName>
    <definedName name="Libor_Plus_1SD" localSheetId="3">[10]Revolver!#REF!</definedName>
    <definedName name="Libor_Plus_1SD">[10]Revolver!#REF!</definedName>
    <definedName name="Libor_Plus_2SD" localSheetId="3">[10]Revolver!#REF!</definedName>
    <definedName name="Libor_Plus_2SD">[10]Revolver!#REF!</definedName>
    <definedName name="Libor_Scenario">#REF!</definedName>
    <definedName name="Libor_Up">#REF!</definedName>
    <definedName name="longterm" localSheetId="3">[5]Inputs!#REF!</definedName>
    <definedName name="longterm">[5]Inputs!#REF!</definedName>
    <definedName name="LTM_DATE">#REF!</definedName>
    <definedName name="Marketable_securities" localSheetId="3">'[22]Fly-by-night - problem 5'!#REF!</definedName>
    <definedName name="Marketable_securities">'[22]Fly-by-night - problem 5'!#REF!</definedName>
    <definedName name="MaxMarkDate">[7]SaleData!$M$3</definedName>
    <definedName name="mcs03g.ReqArray" localSheetId="0">{"Price","ICTG","TS131","D","0","0","H"}</definedName>
    <definedName name="mcs03g.ReqArray" localSheetId="2">{"Price","ICTG","TS131","D","0","0","H"}</definedName>
    <definedName name="mcs03g.ReqArray">{"Price","ICTG","TS131","D","0","0","H"}</definedName>
    <definedName name="mcs03g.ReqArray___0">#N/A</definedName>
    <definedName name="mcs03g.ReqArray___12">#N/A</definedName>
    <definedName name="mcs03g.ReqArray___2">#N/A</definedName>
    <definedName name="MKVALM" localSheetId="3">#N/A</definedName>
    <definedName name="MKVALM">#N/A</definedName>
    <definedName name="MONTHLYSALES" localSheetId="3">#REF!</definedName>
    <definedName name="MONTHLYSALES">#REF!</definedName>
    <definedName name="MONTHLYSALES___0" localSheetId="3">#REF!</definedName>
    <definedName name="MONTHLYSALES___0">#REF!</definedName>
    <definedName name="moodys">#REF!</definedName>
    <definedName name="mu">'[23]LBO Summary'!$G$130</definedName>
    <definedName name="Name">[5]Info!$C$8</definedName>
    <definedName name="name1">[1]Inputs!$E$10</definedName>
    <definedName name="name10">[1]Inputs!$E$469</definedName>
    <definedName name="name11">[1]Inputs!$E$520</definedName>
    <definedName name="name12">[1]Inputs!$E$571</definedName>
    <definedName name="name13">[1]Inputs!$E$622</definedName>
    <definedName name="name14">[1]Inputs!$E$673</definedName>
    <definedName name="name15">[1]Inputs!$E$724</definedName>
    <definedName name="name2">[1]Inputs!$E$61</definedName>
    <definedName name="name3">[1]Inputs!$E$112</definedName>
    <definedName name="name4">[1]Inputs!$E$163</definedName>
    <definedName name="name5">[1]Inputs!$E$214</definedName>
    <definedName name="name6">[1]Inputs!$E$265</definedName>
    <definedName name="name7">[1]Inputs!$E$316</definedName>
    <definedName name="name8">[1]Inputs!$E$367</definedName>
    <definedName name="name9">[1]Inputs!$E$418</definedName>
    <definedName name="NDY" localSheetId="3">#N/A</definedName>
    <definedName name="NDY">#N/A</definedName>
    <definedName name="NDYWGT" localSheetId="3">#N/A</definedName>
    <definedName name="NDYWGT">#N/A</definedName>
    <definedName name="OC1Actual">OFFSET([6]OCTrends!$C$2,0,0,COUNTA([6]OCTrends!$C$1:$C$65536)-1)</definedName>
    <definedName name="OC1ChartTitle">[6]OCTrends!$W$1</definedName>
    <definedName name="OC1Covenant">OFFSET([6]OCTrends!$D$2,0,0,COUNTA([6]OCTrends!$D$1:$D$65536)-1)</definedName>
    <definedName name="OC1Date">OFFSET([6]OCTrends!$B$2,0,0,COUNTA([6]OCTrends!$B$1:$B$65536)-1)</definedName>
    <definedName name="OC2Actual">OFFSET([6]OCTrends!$H$2,0,0,COUNTA([6]OCTrends!$H$1:$H$65536)-1)</definedName>
    <definedName name="OC2Covenant">OFFSET([6]OCTrends!$I$2,0,0,COUNTA([6]OCTrends!$I$1:$I$65536)-1)</definedName>
    <definedName name="OC2Date">OFFSET([6]OCTrends!$G$2,0,0,COUNTA([6]OCTrends!$G$1:$G$65536)-1)</definedName>
    <definedName name="OC3Actual">OFFSET([6]OCTrends!$M$2,0,0,COUNTA([6]OCTrends!$M$1:$M$65536)-1)</definedName>
    <definedName name="OC3Covenant">OFFSET([6]OCTrends!$N$2,0,0,COUNTA([6]OCTrends!$N$1:$N$65536)-1)</definedName>
    <definedName name="OC3Date">OFFSET([6]OCTrends!$L$2,0,0,COUNTA([6]OCTrends!$L$1:$L$65536)-1)</definedName>
    <definedName name="OC4Actual">OFFSET([6]OCTrends!$R$2,0,0,COUNTA([6]OCTrends!$R$1:$R$65536)-1)</definedName>
    <definedName name="OC4Covenant">OFFSET([6]OCTrends!$S$2,0,0,COUNTA([6]OCTrends!$S$1:$S$65536)-1)</definedName>
    <definedName name="OC4Date">OFFSET([6]OCTrends!$Q$2,0,0,COUNTA([6]OCTrends!$Q$1:$Q$65536)-1)</definedName>
    <definedName name="Order">#N/A</definedName>
    <definedName name="Other_assets" localSheetId="3">'[22]Fly-by-night - problem 5'!#REF!</definedName>
    <definedName name="Other_assets">'[22]Fly-by-night - problem 5'!#REF!</definedName>
    <definedName name="Other_current_liabilities_Sales" localSheetId="3">'[4]Tanning Assumptions'!#REF!</definedName>
    <definedName name="Other_current_liabilities_Sales">'[4]Tanning Assumptions'!#REF!</definedName>
    <definedName name="Other_long_term_liabilities" localSheetId="3">'[4]Tanning Assumptions'!#REF!</definedName>
    <definedName name="Other_long_term_liabilities">'[4]Tanning Assumptions'!#REF!</definedName>
    <definedName name="OtherRev">#REF!</definedName>
    <definedName name="P_L" localSheetId="3">#REF!</definedName>
    <definedName name="P_L">#REF!</definedName>
    <definedName name="PCV">[6]Calcs!$B$1</definedName>
    <definedName name="Percentage">#N/A</definedName>
    <definedName name="Period">#N/A</definedName>
    <definedName name="Period1">#REF!</definedName>
    <definedName name="Period2">#REF!</definedName>
    <definedName name="Period3">#REF!</definedName>
    <definedName name="Period4">#REF!</definedName>
    <definedName name="Period5">#REF!</definedName>
    <definedName name="Period6">#REF!</definedName>
    <definedName name="Period7">#REF!</definedName>
    <definedName name="Period8">#REF!</definedName>
    <definedName name="PERSONAL_FINANCIAL" localSheetId="3">#REF!</definedName>
    <definedName name="PERSONAL_FINANCIAL">#REF!</definedName>
    <definedName name="PERSONAL_FINANCIAL___0" localSheetId="3">#REF!</definedName>
    <definedName name="PERSONAL_FINANCIAL___0">#REF!</definedName>
    <definedName name="PFLTM" localSheetId="3">'[24]VeCTOR Import'!#REF!</definedName>
    <definedName name="PFLTM">'[24]VeCTOR Import'!#REF!</definedName>
    <definedName name="pik" localSheetId="3">'[9]S&amp;U'!#REF!</definedName>
    <definedName name="pik">'[9]S&amp;U'!#REF!</definedName>
    <definedName name="portion1">[1]Inputs!$E$14</definedName>
    <definedName name="portion10">[1]Inputs!$E$473</definedName>
    <definedName name="portion11">[1]Inputs!$E$524</definedName>
    <definedName name="portion12">[1]Inputs!$E$575</definedName>
    <definedName name="portion13">[1]Inputs!$E$626</definedName>
    <definedName name="portion14">[1]Inputs!$E$677</definedName>
    <definedName name="portion15">[1]Inputs!$E$728</definedName>
    <definedName name="portion2">[1]Inputs!$E$65</definedName>
    <definedName name="portion3">[1]Inputs!$E$116</definedName>
    <definedName name="portion4">[1]Inputs!$E$167</definedName>
    <definedName name="portion5">[1]Inputs!$E$218</definedName>
    <definedName name="portion6">[1]Inputs!$E$269</definedName>
    <definedName name="portion7">[1]Inputs!$E$320</definedName>
    <definedName name="portion8">[1]Inputs!$E$371</definedName>
    <definedName name="portion9">[1]Inputs!$E$422</definedName>
    <definedName name="PP_E_Sales" localSheetId="3">'[4]Tanning Assumptions'!#REF!</definedName>
    <definedName name="PP_E_Sales">'[4]Tanning Assumptions'!#REF!</definedName>
    <definedName name="prefbamt">#REF!</definedName>
    <definedName name="prefbamt___0">#REF!</definedName>
    <definedName name="prefbper">#REF!</definedName>
    <definedName name="prefbper___0">#REF!</definedName>
    <definedName name="Preliminary">#REF!</definedName>
    <definedName name="Prepaids_Sales" localSheetId="3">'[4]Tanning Assumptions'!#REF!</definedName>
    <definedName name="Prepaids_Sales">'[4]Tanning Assumptions'!#REF!</definedName>
    <definedName name="PRICES">#REF!</definedName>
    <definedName name="PRICES___0">#REF!</definedName>
    <definedName name="_xlnm.Print_Area" localSheetId="3">#N/A</definedName>
    <definedName name="_xlnm.Print_Area">#REF!</definedName>
    <definedName name="_xlnm.Print_Titles" localSheetId="3">#N/A</definedName>
    <definedName name="_xlnm.Print_Titles">#REF!</definedName>
    <definedName name="project">[12]CONTROL!$D$8</definedName>
    <definedName name="project___0">[8]CONTROL!$D$8</definedName>
    <definedName name="ProjList">#REF!</definedName>
    <definedName name="PublicCompany" localSheetId="3">#N/A</definedName>
    <definedName name="PublicCompany">#N/A</definedName>
    <definedName name="purchase">[25]TRANSACTION!$Q$2</definedName>
    <definedName name="PURCHASE_PRICE">[26]Sheet5:D!$A$1:$H$23</definedName>
    <definedName name="qryWSO_Positions_ByFunds_CrossTab">#REF!</definedName>
    <definedName name="quarterly">#REF!</definedName>
    <definedName name="rate">#REF!</definedName>
    <definedName name="RateTable" localSheetId="3">[27]MASTER!#REF!</definedName>
    <definedName name="RateTable">[27]MASTER!#REF!</definedName>
    <definedName name="Rating">'[7]Actual vs Covenant'!$P$11:$Q$18</definedName>
    <definedName name="RatingFactors">#REF!</definedName>
    <definedName name="RATIOS">#REF!</definedName>
    <definedName name="RATIOS___0">#REF!</definedName>
    <definedName name="recovery">#REF!</definedName>
    <definedName name="refi">'[28]OBS - REFI'!$AP$5</definedName>
    <definedName name="REPORT">#REF!</definedName>
    <definedName name="REPORT___0">#REF!</definedName>
    <definedName name="ReprintRev">#REF!</definedName>
    <definedName name="ret">#REF!</definedName>
    <definedName name="rhl" localSheetId="3">'[20]LBO Summary'!#REF!</definedName>
    <definedName name="rhl">'[20]LBO Summary'!#REF!</definedName>
    <definedName name="RoyaltyRev">#REF!</definedName>
    <definedName name="rptData">#REF!</definedName>
    <definedName name="rr" localSheetId="3">'[20]LBO Summary'!#REF!</definedName>
    <definedName name="rr">'[20]LBO Summary'!#REF!</definedName>
    <definedName name="s" localSheetId="3">#REF!</definedName>
    <definedName name="s">#REF!</definedName>
    <definedName name="s.outstand" localSheetId="3">[5]Inputs!#REF!</definedName>
    <definedName name="s.outstand">[5]Inputs!#REF!</definedName>
    <definedName name="SALES" localSheetId="3">#REF!</definedName>
    <definedName name="SALES">#REF!</definedName>
    <definedName name="SALES___0" localSheetId="3">#REF!</definedName>
    <definedName name="SALES___0">#REF!</definedName>
    <definedName name="sales1">[1]Inputs!$P$29</definedName>
    <definedName name="sales10">[1]Inputs!$P$488</definedName>
    <definedName name="sales11">[1]Inputs!$P$539</definedName>
    <definedName name="sales12">[1]Inputs!$P$590</definedName>
    <definedName name="sales13">[1]Inputs!$P$641</definedName>
    <definedName name="sales14">[1]Inputs!$P$692</definedName>
    <definedName name="sales15">[1]Inputs!$P$743</definedName>
    <definedName name="sales2">[1]Inputs!$P$80</definedName>
    <definedName name="sales3">[1]Inputs!$P$131</definedName>
    <definedName name="sales4">[1]Inputs!$P$182</definedName>
    <definedName name="sales5">[1]Inputs!$P$233</definedName>
    <definedName name="sales6">[1]Inputs!$P$284</definedName>
    <definedName name="sales7">[1]Inputs!$P$335</definedName>
    <definedName name="sales8">[1]Inputs!$P$386</definedName>
    <definedName name="sales9">[1]Inputs!$P$437</definedName>
    <definedName name="scen">#REF!</definedName>
    <definedName name="Scenario_11">#REF!</definedName>
    <definedName name="Scenario_12">#REF!</definedName>
    <definedName name="Scenario_13">#REF!</definedName>
    <definedName name="Scenario_14">#REF!</definedName>
    <definedName name="Scenario_15">#REF!</definedName>
    <definedName name="Scenario_16">#REF!</definedName>
    <definedName name="Scenario_17">#REF!</definedName>
    <definedName name="Scenario_18">#REF!</definedName>
    <definedName name="Scenario_19">#REF!</definedName>
    <definedName name="Scenario_20">#REF!</definedName>
    <definedName name="Scenario_21">#REF!</definedName>
    <definedName name="Scenario_22">#REF!</definedName>
    <definedName name="Scenario_23">#REF!</definedName>
    <definedName name="Scenario_24">#REF!</definedName>
    <definedName name="Scenario_25">#REF!</definedName>
    <definedName name="Scenario_26">#REF!</definedName>
    <definedName name="Scenario_27">#REF!</definedName>
    <definedName name="Scenario_28">#REF!</definedName>
    <definedName name="Scenario_31">#REF!</definedName>
    <definedName name="Scenario_32">#REF!</definedName>
    <definedName name="Scenario_33">#REF!</definedName>
    <definedName name="Scenario_34">#REF!</definedName>
    <definedName name="Scenario_35">#REF!</definedName>
    <definedName name="Scenario_36">#REF!</definedName>
    <definedName name="Scenario_37">#REF!</definedName>
    <definedName name="Scenario_38">#REF!</definedName>
    <definedName name="Scenario_39" localSheetId="3">#REF!</definedName>
    <definedName name="Scenario_39">#REF!</definedName>
    <definedName name="Scenario_41" localSheetId="3">#REF!</definedName>
    <definedName name="Scenario_41">#REF!</definedName>
    <definedName name="Scenario_42" localSheetId="3">#REF!</definedName>
    <definedName name="Scenario_42">#REF!</definedName>
    <definedName name="Scenario_43" localSheetId="3">#REF!</definedName>
    <definedName name="Scenario_43">#REF!</definedName>
    <definedName name="Scenario_44" localSheetId="3">#REF!</definedName>
    <definedName name="Scenario_44">#REF!</definedName>
    <definedName name="Scenario_51">#REF!</definedName>
    <definedName name="Scenario_52">#REF!</definedName>
    <definedName name="Scenario_53">#REF!</definedName>
    <definedName name="Section">#N/A</definedName>
    <definedName name="SENSITIVITY">#REF!</definedName>
    <definedName name="SENSITIVITY___0">#REF!</definedName>
    <definedName name="sh.equity" localSheetId="3">[5]Inputs!#REF!</definedName>
    <definedName name="sh.equity">[5]Inputs!#REF!</definedName>
    <definedName name="sl" localSheetId="3">'[20]LBO Summary'!#REF!</definedName>
    <definedName name="sl">'[20]LBO Summary'!#REF!</definedName>
    <definedName name="snapshotdate">#REF!</definedName>
    <definedName name="sort_range">#REF!</definedName>
    <definedName name="sponsor">'[9]S&amp;U'!$J$21</definedName>
    <definedName name="Start">#N/A</definedName>
    <definedName name="Start_Date">[6]Selections!$C$1</definedName>
    <definedName name="StartDay">[6]Selections!$P$3</definedName>
    <definedName name="StartMonth">[6]Selections!$P$2</definedName>
    <definedName name="StartRefresh" localSheetId="3">'[14]Portfolio Input'!#REF!</definedName>
    <definedName name="StartRefresh">'[14]Portfolio Input'!#REF!</definedName>
    <definedName name="StartYear">[6]Selections!$P$1</definedName>
    <definedName name="Strip_Amount">#REF!</definedName>
    <definedName name="Strip_PV" localSheetId="3">#REF!</definedName>
    <definedName name="Strip_PV">#REF!</definedName>
    <definedName name="stub">#REF!</definedName>
    <definedName name="stubmonths">'[29]D&amp;A'!$C$5</definedName>
    <definedName name="sub" localSheetId="3">'[20]LBO Summary'!#REF!</definedName>
    <definedName name="sub">'[20]LBO Summary'!#REF!</definedName>
    <definedName name="subdebtamount">[15]Inputs!$J$26</definedName>
    <definedName name="subdebtdate">[15]Inputs!$J$28</definedName>
    <definedName name="Subhead1">[19]_01_05_v_Wicks_xls__01_05_v_Wic!$N$2</definedName>
    <definedName name="subHeading" localSheetId="3">#REF!</definedName>
    <definedName name="subHeading">#REF!</definedName>
    <definedName name="summary">#REF!</definedName>
    <definedName name="support">#REF!</definedName>
    <definedName name="sweep___9" localSheetId="3">[30]COVS_ACTUAL!#REF!</definedName>
    <definedName name="sweep___9">[30]COVS_ACTUAL!#REF!</definedName>
    <definedName name="target">#REF!</definedName>
    <definedName name="tax" localSheetId="3">[31]ISCF!#REF!</definedName>
    <definedName name="tax">[31]ISCF!#REF!</definedName>
    <definedName name="Taxes_Receivable_Sales" localSheetId="3">'[4]Tanning Assumptions'!#REF!</definedName>
    <definedName name="Taxes_Receivable_Sales">'[4]Tanning Assumptions'!#REF!</definedName>
    <definedName name="Test">#REF!</definedName>
    <definedName name="tgt">#REF!</definedName>
    <definedName name="ticker1">[1]Inputs!$E$11</definedName>
    <definedName name="ticker10">[1]Inputs!$E$470</definedName>
    <definedName name="ticker11">[1]Inputs!$E$521</definedName>
    <definedName name="ticker12">[1]Inputs!$E$572</definedName>
    <definedName name="ticker13">[1]Inputs!$E$623</definedName>
    <definedName name="ticker14">[1]Inputs!$E$674</definedName>
    <definedName name="ticker15">[1]Inputs!$E$725</definedName>
    <definedName name="ticker2">[1]Inputs!$E$62</definedName>
    <definedName name="ticker3">[1]Inputs!$E$113</definedName>
    <definedName name="ticker4">[1]Inputs!$E$164</definedName>
    <definedName name="ticker5">[1]Inputs!$E$215</definedName>
    <definedName name="ticker6">[1]Inputs!$E$266</definedName>
    <definedName name="ticker7">[1]Inputs!$E$317</definedName>
    <definedName name="ticker8">[1]Inputs!$E$368</definedName>
    <definedName name="ticker9">[1]Inputs!$E$419</definedName>
    <definedName name="TimeEnd">[6]Selections!$L$3</definedName>
    <definedName name="TimeStart">[6]Selections!$L$2</definedName>
    <definedName name="title">[28]SUM!$A$2</definedName>
    <definedName name="today">#REF!</definedName>
    <definedName name="top">#REF!</definedName>
    <definedName name="TopIC">'[7]Actual vs Covenant'!$P$31:$Q$38</definedName>
    <definedName name="TopOC">'[7]Actual vs Covenant'!$P$21:$Q$28</definedName>
    <definedName name="TOTAL">#REF!</definedName>
    <definedName name="TOTAL___0">#REF!</definedName>
    <definedName name="Total_Europe" localSheetId="3">#REF!</definedName>
    <definedName name="Total_Europe">#REF!</definedName>
    <definedName name="TotalRev">#REF!</definedName>
    <definedName name="TradedCash">[6]Principal!$G$5</definedName>
    <definedName name="trigger">[8]OBS!$U$5</definedName>
    <definedName name="TRYN_Top3">[7]TOP10!$S$3</definedName>
    <definedName name="TRYN_Top4">[7]TOP10!$S$8</definedName>
    <definedName name="TryonFitchRatingChartData">[7]TRYN!$G$2:$H$9</definedName>
    <definedName name="TryonFitchRatingChartSerial1">[7]TRYN!$H$2:$H$9</definedName>
    <definedName name="TryonFitchRatingChartXScale">[7]TRYN!$G$2:$G$9</definedName>
    <definedName name="TryonMoodyRatingChartData">[7]TRYN!$A$2:$B$15</definedName>
    <definedName name="TryonMoodyRatingChartSerial1">[7]TRYN!$B$2:$B$15</definedName>
    <definedName name="TryonMoodyRatingChartXScale">[7]TRYN!$A$2:$A$15</definedName>
    <definedName name="TryonSPRatingChartData">[7]TRYN!$D$2:$E$15</definedName>
    <definedName name="TryonSPRatingChartSerial1">[7]TRYN!$E$2:$E$15</definedName>
    <definedName name="TryonSPRatingChartXScale">[7]TRYN!$D$2:$D$15</definedName>
    <definedName name="units">'[9]S&amp;U'!$K$2</definedName>
    <definedName name="version">[28]SUM!$AE$2</definedName>
    <definedName name="version___0">[8]CONTROL!$D$9</definedName>
    <definedName name="WACActual">OFFSET([6]WACTrends!$C$2,0,0,COUNTA([6]WACTrends!$C$1:$C$65536)-1)</definedName>
    <definedName name="WACCovenant">OFFSET([6]WACTrends!$D$2,0,0,COUNTA([6]WACTrends!$D$1:$D$65536)-1)</definedName>
    <definedName name="WACDate">OFFSET([6]WACTrends!$B$2,0,0,COUNTA([6]WACTrends!$B$1:$B$65536)-1)</definedName>
    <definedName name="WALActual">OFFSET([6]WALTrends!$C$2,0,0,COUNTA([6]WALTrends!$C$1:$C$65536)-1)</definedName>
    <definedName name="WALCovenant">OFFSET([6]WALTrends!$D$2,0,0,COUNTA([6]WALTrends!$D$1:$D$65536)-1)</definedName>
    <definedName name="WALDate">OFFSET([6]WALTrends!$B$2,0,0,COUNTA([6]WALTrends!$B$1:$B$65536)-1)</definedName>
    <definedName name="WARFActual">OFFSET([6]WARFTrends!$C$2,0,0,COUNTA([6]WARFTrends!$C$1:$C$65536)-1)</definedName>
    <definedName name="WARFCovenant">OFFSET([6]WARFTrends!$D$2,0,0,COUNTA([6]WARFTrends!$D$1:$D$65536)-1)</definedName>
    <definedName name="WARFDate">OFFSET([6]WARFTrends!$B$2,0,0,COUNTA([6]WARFTrends!$B$1:$B$65536)-1)</definedName>
    <definedName name="WARFFitchActual">OFFSET([6]WARFFitchTrends!$C$2,0,0,COUNTA([6]WARFFitchTrends!$C$1:$C$65536)-1)</definedName>
    <definedName name="WARFFitchCovenant">OFFSET([6]WARFFitchTrends!$D$2,0,0,COUNTA([6]WARFFitchTrends!$D$1:$D$65536)-1)</definedName>
    <definedName name="WARFFitchDate">OFFSET([6]WARFFitchTrends!$B$2,0,0,COUNTA([6]WARFFitchTrends!$B$1:$B$65536)-1)</definedName>
    <definedName name="warrants">[15]Inputs!$O$13</definedName>
    <definedName name="WASActual">OFFSET([6]WASTrends!$C$2,0,0,COUNTA([6]WASTrends!$C$1:$C$65536)-1)</definedName>
    <definedName name="WASCovenant">OFFSET([6]WASTrends!$D$2,0,0,COUNTA([6]WASTrends!$D$1:$D$65536)-1)</definedName>
    <definedName name="WASDate">OFFSET([6]WASTrends!$B$2,0,0,COUNTA([6]WASTrends!$B$1:$B$65536)-1)</definedName>
    <definedName name="WBMIN" localSheetId="3">'[14]Portfolio Input'!#REF!</definedName>
    <definedName name="WBMIN">'[14]Portfolio Input'!#REF!</definedName>
    <definedName name="WHAT_IF">#REF!</definedName>
    <definedName name="WHAT_IF___0">#REF!</definedName>
    <definedName name="whec">[28]WHEC!$AX$2</definedName>
    <definedName name="wicksequity">[15]Inputs!$E$35</definedName>
    <definedName name="WORKING_CAPITAL" localSheetId="3">#REF!</definedName>
    <definedName name="WORKING_CAPITAL">#REF!</definedName>
    <definedName name="WORKING_CAPITAL___0" localSheetId="3">#REF!</definedName>
    <definedName name="WORKING_CAPITAL___0">#REF!</definedName>
    <definedName name="wrn.Alloutput." localSheetId="0" hidden="1">{#N/A,#N/A,TRUE,"Deal Summary";#N/A,#N/A,TRUE,"CGIC &amp;PLICO Results";#N/A,#N/A,TRUE,"Consolidated Results";#N/A,#N/A,TRUE,"Consolidated Sources_Uses";#N/A,#N/A,TRUE,"BS";#N/A,#N/A,TRUE,"Income Statement";#N/A,#N/A,TRUE,"Accretion_Dilution";#N/A,#N/A,TRUE,"Matrix";#N/A,#N/A,TRUE,"Purchase_sensitivity";#N/A,#N/A,TRUE,"TEMPLATE";#N/A,#N/A,TRUE,"NII Reconc";#N/A,#N/A,TRUE,"CG Rollup";#N/A,#N/A,TRUE,"PYR Rollup";#N/A,#N/A,TRUE,"CG New MS";#N/A,#N/A,TRUE,"CG &amp; PYR Stat Info ----&gt;";#N/A,#N/A,TRUE,"CG Med Sup";#N/A,#N/A,TRUE,"CG DI";#N/A,#N/A,TRUE,"CG A&amp;H";#N/A,#N/A,TRUE,"CG LT Care";#N/A,#N/A,TRUE,"CG Universal";#N/A,#N/A,TRUE,"CG Annuities";#N/A,#N/A,TRUE,"PYR MED SUP";#N/A,#N/A,TRUE,"PYR MED SEL";#N/A,#N/A,TRUE,"PYR LT Care";#N/A,#N/A,TRUE,"PYR Universal";#N/A,#N/A,TRUE,"PYR Universal";#N/A,#N/A,TRUE,"PYR Other A&amp;H";#N/A,#N/A,TRUE,"PYR Annuities";#N/A,#N/A,TRUE,"PYR Other Life";#N/A,#N/A,TRUE,"UHCO Statutory Info ----&gt;";#N/A,#N/A,TRUE,"UHCO Source_Use";#N/A,#N/A,TRUE,"UHCO_Debt Paydown";#N/A,#N/A,TRUE,"Union Bankers";#N/A,#N/A,TRUE,"Penn Life";#N/A,#N/A,TRUE,"Constitution"}</definedName>
    <definedName name="wrn.Alloutput." localSheetId="2" hidden="1">{#N/A,#N/A,TRUE,"Deal Summary";#N/A,#N/A,TRUE,"CGIC &amp;PLICO Results";#N/A,#N/A,TRUE,"Consolidated Results";#N/A,#N/A,TRUE,"Consolidated Sources_Uses";#N/A,#N/A,TRUE,"BS";#N/A,#N/A,TRUE,"Income Statement";#N/A,#N/A,TRUE,"Accretion_Dilution";#N/A,#N/A,TRUE,"Matrix";#N/A,#N/A,TRUE,"Purchase_sensitivity";#N/A,#N/A,TRUE,"TEMPLATE";#N/A,#N/A,TRUE,"NII Reconc";#N/A,#N/A,TRUE,"CG Rollup";#N/A,#N/A,TRUE,"PYR Rollup";#N/A,#N/A,TRUE,"CG New MS";#N/A,#N/A,TRUE,"CG &amp; PYR Stat Info ----&gt;";#N/A,#N/A,TRUE,"CG Med Sup";#N/A,#N/A,TRUE,"CG DI";#N/A,#N/A,TRUE,"CG A&amp;H";#N/A,#N/A,TRUE,"CG LT Care";#N/A,#N/A,TRUE,"CG Universal";#N/A,#N/A,TRUE,"CG Annuities";#N/A,#N/A,TRUE,"PYR MED SUP";#N/A,#N/A,TRUE,"PYR MED SEL";#N/A,#N/A,TRUE,"PYR LT Care";#N/A,#N/A,TRUE,"PYR Universal";#N/A,#N/A,TRUE,"PYR Universal";#N/A,#N/A,TRUE,"PYR Other A&amp;H";#N/A,#N/A,TRUE,"PYR Annuities";#N/A,#N/A,TRUE,"PYR Other Life";#N/A,#N/A,TRUE,"UHCO Statutory Info ----&gt;";#N/A,#N/A,TRUE,"UHCO Source_Use";#N/A,#N/A,TRUE,"UHCO_Debt Paydown";#N/A,#N/A,TRUE,"Union Bankers";#N/A,#N/A,TRUE,"Penn Life";#N/A,#N/A,TRUE,"Constitution"}</definedName>
    <definedName name="wrn.Alloutput." hidden="1">{#N/A,#N/A,TRUE,"Deal Summary";#N/A,#N/A,TRUE,"CGIC &amp;PLICO Results";#N/A,#N/A,TRUE,"Consolidated Results";#N/A,#N/A,TRUE,"Consolidated Sources_Uses";#N/A,#N/A,TRUE,"BS";#N/A,#N/A,TRUE,"Income Statement";#N/A,#N/A,TRUE,"Accretion_Dilution";#N/A,#N/A,TRUE,"Matrix";#N/A,#N/A,TRUE,"Purchase_sensitivity";#N/A,#N/A,TRUE,"TEMPLATE";#N/A,#N/A,TRUE,"NII Reconc";#N/A,#N/A,TRUE,"CG Rollup";#N/A,#N/A,TRUE,"PYR Rollup";#N/A,#N/A,TRUE,"CG New MS";#N/A,#N/A,TRUE,"CG &amp; PYR Stat Info ----&gt;";#N/A,#N/A,TRUE,"CG Med Sup";#N/A,#N/A,TRUE,"CG DI";#N/A,#N/A,TRUE,"CG A&amp;H";#N/A,#N/A,TRUE,"CG LT Care";#N/A,#N/A,TRUE,"CG Universal";#N/A,#N/A,TRUE,"CG Annuities";#N/A,#N/A,TRUE,"PYR MED SUP";#N/A,#N/A,TRUE,"PYR MED SEL";#N/A,#N/A,TRUE,"PYR LT Care";#N/A,#N/A,TRUE,"PYR Universal";#N/A,#N/A,TRUE,"PYR Universal";#N/A,#N/A,TRUE,"PYR Other A&amp;H";#N/A,#N/A,TRUE,"PYR Annuities";#N/A,#N/A,TRUE,"PYR Other Life";#N/A,#N/A,TRUE,"UHCO Statutory Info ----&gt;";#N/A,#N/A,TRUE,"UHCO Source_Use";#N/A,#N/A,TRUE,"UHCO_Debt Paydown";#N/A,#N/A,TRUE,"Union Bankers";#N/A,#N/A,TRUE,"Penn Life";#N/A,#N/A,TRUE,"Constitution"}</definedName>
    <definedName name="wrn.CGIC._.PLICO._.Statutory._.Results." localSheetId="0" hidden="1">{#N/A,#N/A,FALSE,"TEMPLATE";#N/A,#N/A,FALSE,"CG Rollup";#N/A,#N/A,FALSE,"PYR Rollup";#N/A,#N/A,FALSE,"CG New MS";#N/A,#N/A,FALSE,"CG &amp; PYR Stat Info ----&gt;";#N/A,#N/A,FALSE,"CG Med Sup";#N/A,#N/A,FALSE,"CG DI";#N/A,#N/A,FALSE,"CG A&amp;H";#N/A,#N/A,FALSE,"CG LT Care";#N/A,#N/A,FALSE,"CG Universal";#N/A,#N/A,FALSE,"CG Universal";#N/A,#N/A,FALSE,"CG Annuities";#N/A,#N/A,FALSE,"PYR MED SUP";#N/A,#N/A,FALSE,"PYR MED SEL";#N/A,#N/A,FALSE,"PYR LT Care";#N/A,#N/A,FALSE,"PYR Universal";#N/A,#N/A,FALSE,"PYR Other A&amp;H";#N/A,#N/A,FALSE,"PYR Annuities";#N/A,#N/A,FALSE,"PYR Other Life"}</definedName>
    <definedName name="wrn.CGIC._.PLICO._.Statutory._.Results." localSheetId="2" hidden="1">{#N/A,#N/A,FALSE,"TEMPLATE";#N/A,#N/A,FALSE,"CG Rollup";#N/A,#N/A,FALSE,"PYR Rollup";#N/A,#N/A,FALSE,"CG New MS";#N/A,#N/A,FALSE,"CG &amp; PYR Stat Info ----&gt;";#N/A,#N/A,FALSE,"CG Med Sup";#N/A,#N/A,FALSE,"CG DI";#N/A,#N/A,FALSE,"CG A&amp;H";#N/A,#N/A,FALSE,"CG LT Care";#N/A,#N/A,FALSE,"CG Universal";#N/A,#N/A,FALSE,"CG Universal";#N/A,#N/A,FALSE,"CG Annuities";#N/A,#N/A,FALSE,"PYR MED SUP";#N/A,#N/A,FALSE,"PYR MED SEL";#N/A,#N/A,FALSE,"PYR LT Care";#N/A,#N/A,FALSE,"PYR Universal";#N/A,#N/A,FALSE,"PYR Other A&amp;H";#N/A,#N/A,FALSE,"PYR Annuities";#N/A,#N/A,FALSE,"PYR Other Life"}</definedName>
    <definedName name="wrn.CGIC._.PLICO._.Statutory._.Results." hidden="1">{#N/A,#N/A,FALSE,"TEMPLATE";#N/A,#N/A,FALSE,"CG Rollup";#N/A,#N/A,FALSE,"PYR Rollup";#N/A,#N/A,FALSE,"CG New MS";#N/A,#N/A,FALSE,"CG &amp; PYR Stat Info ----&gt;";#N/A,#N/A,FALSE,"CG Med Sup";#N/A,#N/A,FALSE,"CG DI";#N/A,#N/A,FALSE,"CG A&amp;H";#N/A,#N/A,FALSE,"CG LT Care";#N/A,#N/A,FALSE,"CG Universal";#N/A,#N/A,FALSE,"CG Universal";#N/A,#N/A,FALSE,"CG Annuities";#N/A,#N/A,FALSE,"PYR MED SUP";#N/A,#N/A,FALSE,"PYR MED SEL";#N/A,#N/A,FALSE,"PYR LT Care";#N/A,#N/A,FALSE,"PYR Universal";#N/A,#N/A,FALSE,"PYR Other A&amp;H";#N/A,#N/A,FALSE,"PYR Annuities";#N/A,#N/A,FALSE,"PYR Other Life"}</definedName>
    <definedName name="wrn.CIS." localSheetId="0" hidden="1">{"bsheet",#N/A,FALSE,"Present";"income",#N/A,FALSE,"Present";"ratios1",#N/A,FALSE,"Present";"expenses",#N/A,FALSE,"Present";"ratios2",#N/A,FALSE,"Present";"cashflow",#N/A,FALSE,"Present";"GAAP",#N/A,FALSE,"Present";"dividends",#N/A,FALSE,"Present";"invest1",#N/A,FALSE,"Present";"earned",#N/A,FALSE,"Present";"reserves1",#N/A,FALSE,"Present";"reserves2",#N/A,FALSE,"Present"}</definedName>
    <definedName name="wrn.CIS." localSheetId="2" hidden="1">{"bsheet",#N/A,FALSE,"Present";"income",#N/A,FALSE,"Present";"ratios1",#N/A,FALSE,"Present";"expenses",#N/A,FALSE,"Present";"ratios2",#N/A,FALSE,"Present";"cashflow",#N/A,FALSE,"Present";"GAAP",#N/A,FALSE,"Present";"dividends",#N/A,FALSE,"Present";"invest1",#N/A,FALSE,"Present";"earned",#N/A,FALSE,"Present";"reserves1",#N/A,FALSE,"Present";"reserves2",#N/A,FALSE,"Present"}</definedName>
    <definedName name="wrn.CIS." hidden="1">{"bsheet",#N/A,FALSE,"Present";"income",#N/A,FALSE,"Present";"ratios1",#N/A,FALSE,"Present";"expenses",#N/A,FALSE,"Present";"ratios2",#N/A,FALSE,"Present";"cashflow",#N/A,FALSE,"Present";"GAAP",#N/A,FALSE,"Present";"dividends",#N/A,FALSE,"Present";"invest1",#N/A,FALSE,"Present";"earned",#N/A,FALSE,"Present";"reserves1",#N/A,FALSE,"Present";"reserves2",#N/A,FALSE,"Present"}</definedName>
    <definedName name="wrn.crossroads." localSheetId="0" hidden="1">{#N/A,#N/A,FALSE,"RENT ROLL";#N/A,#N/A,FALSE,"CAM";#N/A,#N/A,FALSE,"TAXES";#N/A,#N/A,FALSE,"INSURANCE";#N/A,#N/A,FALSE,"HVAC";#N/A,#N/A,FALSE,"MARKETING"}</definedName>
    <definedName name="wrn.crossroads." localSheetId="2" hidden="1">{#N/A,#N/A,FALSE,"RENT ROLL";#N/A,#N/A,FALSE,"CAM";#N/A,#N/A,FALSE,"TAXES";#N/A,#N/A,FALSE,"INSURANCE";#N/A,#N/A,FALSE,"HVAC";#N/A,#N/A,FALSE,"MARKETING"}</definedName>
    <definedName name="wrn.crossroads." hidden="1">{#N/A,#N/A,FALSE,"RENT ROLL";#N/A,#N/A,FALSE,"CAM";#N/A,#N/A,FALSE,"TAXES";#N/A,#N/A,FALSE,"INSURANCE";#N/A,#N/A,FALSE,"HVAC";#N/A,#N/A,FALSE,"MARKETING"}</definedName>
    <definedName name="wrn.crossroads2" localSheetId="0" hidden="1">{#N/A,#N/A,FALSE,"RENT ROLL";#N/A,#N/A,FALSE,"CAM";#N/A,#N/A,FALSE,"TAXES";#N/A,#N/A,FALSE,"INSURANCE";#N/A,#N/A,FALSE,"HVAC";#N/A,#N/A,FALSE,"MARKETING"}</definedName>
    <definedName name="wrn.crossroads2" localSheetId="2" hidden="1">{#N/A,#N/A,FALSE,"RENT ROLL";#N/A,#N/A,FALSE,"CAM";#N/A,#N/A,FALSE,"TAXES";#N/A,#N/A,FALSE,"INSURANCE";#N/A,#N/A,FALSE,"HVAC";#N/A,#N/A,FALSE,"MARKETING"}</definedName>
    <definedName name="wrn.crossroads2" hidden="1">{#N/A,#N/A,FALSE,"RENT ROLL";#N/A,#N/A,FALSE,"CAM";#N/A,#N/A,FALSE,"TAXES";#N/A,#N/A,FALSE,"INSURANCE";#N/A,#N/A,FALSE,"HVAC";#N/A,#N/A,FALSE,"MARKETING"}</definedName>
    <definedName name="wrn.dcf." localSheetId="0" hidden="1">{"mgmt forecast",#N/A,FALSE,"Mgmt Forecast";"dcf table",#N/A,FALSE,"Mgmt Forecast";"sensitivity",#N/A,FALSE,"Mgmt Forecast";"table inputs",#N/A,FALSE,"Mgmt Forecast";"calculations",#N/A,FALSE,"Mgmt Forecast"}</definedName>
    <definedName name="wrn.dcf." localSheetId="2" hidden="1">{"mgmt forecast",#N/A,FALSE,"Mgmt Forecast";"dcf table",#N/A,FALSE,"Mgmt Forecast";"sensitivity",#N/A,FALSE,"Mgmt Forecast";"table inputs",#N/A,FALSE,"Mgmt Forecast";"calculations",#N/A,FALSE,"Mgmt Forecast"}</definedName>
    <definedName name="wrn.dcf." hidden="1">{"mgmt forecast",#N/A,FALSE,"Mgmt Forecast";"dcf table",#N/A,FALSE,"Mgmt Forecast";"sensitivity",#N/A,FALSE,"Mgmt Forecast";"table inputs",#N/A,FALSE,"Mgmt Forecast";"calculations",#N/A,FALSE,"Mgmt Forecast"}</definedName>
    <definedName name="wrn.print._.graphs." localSheetId="0" hidden="1">{"cap_structure",#N/A,FALSE,"Graph-Mkt Cap";"price",#N/A,FALSE,"Graph-Price";"ebit",#N/A,FALSE,"Graph-EBITDA";"ebitda",#N/A,FALSE,"Graph-EBITDA"}</definedName>
    <definedName name="wrn.print._.graphs." localSheetId="2" hidden="1">{"cap_structure",#N/A,FALSE,"Graph-Mkt Cap";"price",#N/A,FALSE,"Graph-Price";"ebit",#N/A,FALSE,"Graph-EBITDA";"ebitda",#N/A,FALSE,"Graph-EBITDA"}</definedName>
    <definedName name="wrn.print._.graphs." hidden="1">{"cap_structure",#N/A,FALSE,"Graph-Mkt Cap";"price",#N/A,FALSE,"Graph-Price";"ebit",#N/A,FALSE,"Graph-EBITDA";"ebitda",#N/A,FALSE,"Graph-EBITDA"}</definedName>
    <definedName name="wrn.print._.raw._.data._.entry." localSheetId="0" hidden="1">{"inputs raw data",#N/A,TRUE,"INPUT"}</definedName>
    <definedName name="wrn.print._.raw._.data._.entry." localSheetId="2" hidden="1">{"inputs raw data",#N/A,TRUE,"INPUT"}</definedName>
    <definedName name="wrn.print._.raw._.data._.entry." hidden="1">{"inputs raw data",#N/A,TRUE,"INPUT"}</definedName>
    <definedName name="wrn.print._.summary._.sheets." localSheetId="0" hidden="1">{"summary1",#N/A,TRUE,"Comps";"summary2",#N/A,TRUE,"Comps";"summary3",#N/A,TRUE,"Comps"}</definedName>
    <definedName name="wrn.print._.summary._.sheets." localSheetId="2" hidden="1">{"summary1",#N/A,TRUE,"Comps";"summary2",#N/A,TRUE,"Comps";"summary3",#N/A,TRUE,"Comps"}</definedName>
    <definedName name="wrn.print._.summary._.sheets." hidden="1">{"summary1",#N/A,TRUE,"Comps";"summary2",#N/A,TRUE,"Comps";"summary3",#N/A,TRUE,"Comps"}</definedName>
    <definedName name="wrn.quick." localSheetId="0" hidden="1">{"bsheet",#N/A,FALSE,"TEMPLATE";"income",#N/A,FALSE,"TEMPLATE";"ratios1",#N/A,FALSE,"TEMPLATE";"ratios2",#N/A,FALSE,"TEMPLATE";"cashflow",#N/A,FALSE,"TEMPLATE";"taxes",#N/A,FALSE,"TEMPLATE";"earned",#N/A,FALSE,"TEMPLATE";"GAAP",#N/A,FALSE,"TEMPLATE";"dividends",#N/A,FALSE,"TEMPLATE";"invest1",#N/A,FALSE,"TEMPLATE";"bonds1",#N/A,FALSE,"TEMPLATE";"bonds2",#N/A,FALSE,"TEMPLATE";"reserves1",#N/A,FALSE,"TEMPLATE";"reserves2",#N/A,FALSE,"TEMPLATE";"reserves3",#N/A,FALSE,"TEMPLATE"}</definedName>
    <definedName name="wrn.quick." localSheetId="2" hidden="1">{"bsheet",#N/A,FALSE,"TEMPLATE";"income",#N/A,FALSE,"TEMPLATE";"ratios1",#N/A,FALSE,"TEMPLATE";"ratios2",#N/A,FALSE,"TEMPLATE";"cashflow",#N/A,FALSE,"TEMPLATE";"taxes",#N/A,FALSE,"TEMPLATE";"earned",#N/A,FALSE,"TEMPLATE";"GAAP",#N/A,FALSE,"TEMPLATE";"dividends",#N/A,FALSE,"TEMPLATE";"invest1",#N/A,FALSE,"TEMPLATE";"bonds1",#N/A,FALSE,"TEMPLATE";"bonds2",#N/A,FALSE,"TEMPLATE";"reserves1",#N/A,FALSE,"TEMPLATE";"reserves2",#N/A,FALSE,"TEMPLATE";"reserves3",#N/A,FALSE,"TEMPLATE"}</definedName>
    <definedName name="wrn.quick." hidden="1">{"bsheet",#N/A,FALSE,"TEMPLATE";"income",#N/A,FALSE,"TEMPLATE";"ratios1",#N/A,FALSE,"TEMPLATE";"ratios2",#N/A,FALSE,"TEMPLATE";"cashflow",#N/A,FALSE,"TEMPLATE";"taxes",#N/A,FALSE,"TEMPLATE";"earned",#N/A,FALSE,"TEMPLATE";"GAAP",#N/A,FALSE,"TEMPLATE";"dividends",#N/A,FALSE,"TEMPLATE";"invest1",#N/A,FALSE,"TEMPLATE";"bonds1",#N/A,FALSE,"TEMPLATE";"bonds2",#N/A,FALSE,"TEMPLATE";"reserves1",#N/A,FALSE,"TEMPLATE";"reserves2",#N/A,FALSE,"TEMPLATE";"reserves3",#N/A,FALSE,"TEMPLATE"}</definedName>
    <definedName name="wrn.Sales._.Activity." localSheetId="0" hidden="1">{#N/A,#N/A,FALSE,"Integration Systems"}</definedName>
    <definedName name="wrn.Sales._.Activity." localSheetId="2" hidden="1">{#N/A,#N/A,FALSE,"Integration Systems"}</definedName>
    <definedName name="wrn.Sales._.Activity." hidden="1">{#N/A,#N/A,FALSE,"Integration Systems"}</definedName>
    <definedName name="wrn.Summary." localSheetId="0" hidden="1">{#N/A,#N/A,FALSE,"Deal Summary";#N/A,#N/A,FALSE,"CGIC &amp;PLICO Results";#N/A,#N/A,FALSE,"Consolidated Results";#N/A,#N/A,FALSE,"Consolidated Source_Uses&amp;Debt ";#N/A,#N/A,FALSE,"Bal_Sht";#N/A,#N/A,FALSE,"Income Statement";#N/A,#N/A,FALSE,"Accretion_Dilution";#N/A,#N/A,FALSE,"Matrix";#N/A,#N/A,FALSE,"Purchase_sensitivity"}</definedName>
    <definedName name="wrn.Summary." localSheetId="2" hidden="1">{#N/A,#N/A,FALSE,"Deal Summary";#N/A,#N/A,FALSE,"CGIC &amp;PLICO Results";#N/A,#N/A,FALSE,"Consolidated Results";#N/A,#N/A,FALSE,"Consolidated Source_Uses&amp;Debt ";#N/A,#N/A,FALSE,"Bal_Sht";#N/A,#N/A,FALSE,"Income Statement";#N/A,#N/A,FALSE,"Accretion_Dilution";#N/A,#N/A,FALSE,"Matrix";#N/A,#N/A,FALSE,"Purchase_sensitivity"}</definedName>
    <definedName name="wrn.Summary." hidden="1">{#N/A,#N/A,FALSE,"Deal Summary";#N/A,#N/A,FALSE,"CGIC &amp;PLICO Results";#N/A,#N/A,FALSE,"Consolidated Results";#N/A,#N/A,FALSE,"Consolidated Source_Uses&amp;Debt ";#N/A,#N/A,FALSE,"Bal_Sht";#N/A,#N/A,FALSE,"Income Statement";#N/A,#N/A,FALSE,"Accretion_Dilution";#N/A,#N/A,FALSE,"Matrix";#N/A,#N/A,FALSE,"Purchase_sensitivity"}</definedName>
    <definedName name="wrn.UHCO._.Statutory._.Results." localSheetId="0" hidden="1">{#N/A,#N/A,FALSE,"UHCO Statutory Info ----&gt;";#N/A,#N/A,FALSE,"UHCO Source_Use";#N/A,#N/A,FALSE,"UHCO_Debt Paydown";#N/A,#N/A,FALSE,"Union Bankers";#N/A,#N/A,FALSE,"Penn Life";#N/A,#N/A,FALSE,"Constitution"}</definedName>
    <definedName name="wrn.UHCO._.Statutory._.Results." localSheetId="2" hidden="1">{#N/A,#N/A,FALSE,"UHCO Statutory Info ----&gt;";#N/A,#N/A,FALSE,"UHCO Source_Use";#N/A,#N/A,FALSE,"UHCO_Debt Paydown";#N/A,#N/A,FALSE,"Union Bankers";#N/A,#N/A,FALSE,"Penn Life";#N/A,#N/A,FALSE,"Constitution"}</definedName>
    <definedName name="wrn.UHCO._.Statutory._.Results." hidden="1">{#N/A,#N/A,FALSE,"UHCO Statutory Info ----&gt;";#N/A,#N/A,FALSE,"UHCO Source_Use";#N/A,#N/A,FALSE,"UHCO_Debt Paydown";#N/A,#N/A,FALSE,"Union Bankers";#N/A,#N/A,FALSE,"Penn Life";#N/A,#N/A,FALSE,"Constitution"}</definedName>
    <definedName name="wrn.Weekly._.Inventory._.Report." localSheetId="0" hidden="1">{#N/A,#N/A,FALSE,"Combo"}</definedName>
    <definedName name="wrn.Weekly._.Inventory._.Report." localSheetId="2" hidden="1">{#N/A,#N/A,FALSE,"Combo"}</definedName>
    <definedName name="wrn.Weekly._.Inventory._.Report." hidden="1">{#N/A,#N/A,FALSE,"Combo"}</definedName>
    <definedName name="wvu.inputs._.raw._.data." localSheetId="0"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hidden="1">{TRUE,TRUE,-1.25,-15.5,604.5,369,FALSE,FALSE,TRUE,TRUE,0,1,83,1,38,4,5,4,TRUE,TRUE,3,TRUE,1,TRUE,75,"Swvu.inputs._.raw._.data.","ACwvu.inputs._.raw._.data.",#N/A,FALSE,FALSE,0.5,0.5,0.5,0.5,2,"&amp;F","&amp;A&amp;RPage &amp;P",FALSE,FALSE,FALSE,FALSE,1,60,#N/A,#N/A,"=R1C61:R53C89","=C1:C5",#N/A,#N/A,FALSE,FALSE,FALSE,1,600,600,FALSE,FALSE,TRUE,TRUE,TRUE}</definedName>
    <definedName name="wvu.summary1." localSheetId="0"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2." localSheetId="0"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3." localSheetId="0"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zip" localSheetId="3">#REF!</definedName>
    <definedName name="zip">#REF!</definedName>
  </definedNames>
  <calcPr calcId="191028"/>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17" i="21" l="1"/>
  <c r="E219" i="21"/>
  <c r="D217" i="21"/>
  <c r="D219" i="21"/>
  <c r="G219" i="21"/>
  <c r="G217" i="21"/>
  <c r="G218" i="21"/>
  <c r="G220" i="21"/>
  <c r="H219" i="21"/>
  <c r="H217" i="21"/>
  <c r="H218" i="21"/>
  <c r="C218" i="21"/>
  <c r="C261" i="21"/>
  <c r="K219" i="21"/>
  <c r="K217" i="21"/>
  <c r="K218" i="21"/>
  <c r="K220" i="21"/>
  <c r="L219" i="21"/>
  <c r="L217" i="21"/>
  <c r="L218" i="21"/>
  <c r="L220" i="21"/>
  <c r="S219" i="21"/>
  <c r="O219" i="21"/>
  <c r="M219" i="21"/>
  <c r="I219" i="21"/>
  <c r="M82" i="21"/>
  <c r="M286" i="21"/>
  <c r="M300" i="21" s="1"/>
  <c r="S217" i="21"/>
  <c r="S218" i="21"/>
  <c r="O217" i="21"/>
  <c r="O239" i="21"/>
  <c r="O218" i="21"/>
  <c r="O220" i="21"/>
  <c r="I217" i="21"/>
  <c r="I238" i="21"/>
  <c r="I218" i="21"/>
  <c r="M217" i="21"/>
  <c r="M226" i="21"/>
  <c r="M218" i="21"/>
  <c r="E218" i="21" s="1"/>
  <c r="M220" i="21"/>
  <c r="S220" i="21"/>
  <c r="R220" i="21"/>
  <c r="Q220" i="21"/>
  <c r="P220" i="21"/>
  <c r="I220" i="21"/>
  <c r="D130" i="21"/>
  <c r="L130" i="21"/>
  <c r="D131" i="21"/>
  <c r="L131" i="21"/>
  <c r="K79" i="21"/>
  <c r="S79" i="21"/>
  <c r="S285" i="21"/>
  <c r="S299" i="21" s="1"/>
  <c r="E70" i="21"/>
  <c r="E199" i="21"/>
  <c r="I66" i="21"/>
  <c r="I248" i="21"/>
  <c r="I67" i="21"/>
  <c r="I249" i="21"/>
  <c r="M66" i="21"/>
  <c r="M67" i="21"/>
  <c r="S66" i="21"/>
  <c r="S195" i="21"/>
  <c r="S67" i="21"/>
  <c r="O66" i="21"/>
  <c r="O195" i="21"/>
  <c r="O67" i="21"/>
  <c r="D66" i="21"/>
  <c r="D248" i="21"/>
  <c r="D67" i="21"/>
  <c r="D196" i="21"/>
  <c r="C66" i="21"/>
  <c r="C195" i="21"/>
  <c r="C67" i="21"/>
  <c r="C196" i="21"/>
  <c r="S90" i="24"/>
  <c r="M90" i="24"/>
  <c r="K90" i="24"/>
  <c r="D90" i="24"/>
  <c r="S88" i="24"/>
  <c r="M88" i="24"/>
  <c r="K88" i="24"/>
  <c r="D88" i="24"/>
  <c r="S79" i="24"/>
  <c r="M79" i="24"/>
  <c r="K79" i="24"/>
  <c r="D79" i="24"/>
  <c r="S77" i="24"/>
  <c r="M77" i="24"/>
  <c r="K77" i="24"/>
  <c r="D77" i="24"/>
  <c r="S68" i="24"/>
  <c r="M68" i="24"/>
  <c r="K68" i="24"/>
  <c r="D68" i="24"/>
  <c r="S66" i="24"/>
  <c r="M66" i="24"/>
  <c r="K66" i="24"/>
  <c r="D66" i="24"/>
  <c r="S23" i="24"/>
  <c r="M23" i="24"/>
  <c r="L23" i="24"/>
  <c r="K23" i="24"/>
  <c r="D23" i="24"/>
  <c r="S21" i="24"/>
  <c r="M21" i="24"/>
  <c r="L21" i="24"/>
  <c r="K21" i="24"/>
  <c r="D21" i="24"/>
  <c r="S10" i="24"/>
  <c r="M10" i="24"/>
  <c r="L10" i="24"/>
  <c r="K10" i="24"/>
  <c r="D10" i="24"/>
  <c r="S8" i="24"/>
  <c r="K8" i="24"/>
  <c r="D8" i="24"/>
  <c r="M8" i="24"/>
  <c r="L8" i="24"/>
  <c r="E50" i="21"/>
  <c r="K270" i="21"/>
  <c r="M261" i="21"/>
  <c r="M260" i="21"/>
  <c r="B262" i="21"/>
  <c r="B261" i="21"/>
  <c r="B260" i="21"/>
  <c r="B258" i="21"/>
  <c r="E65" i="24"/>
  <c r="R111" i="24"/>
  <c r="Q111" i="24"/>
  <c r="P111" i="24"/>
  <c r="J109" i="24"/>
  <c r="J107" i="24"/>
  <c r="J105" i="24"/>
  <c r="J103" i="24"/>
  <c r="B109" i="24"/>
  <c r="B107" i="24"/>
  <c r="B105" i="24"/>
  <c r="B103" i="24"/>
  <c r="S100" i="24"/>
  <c r="S109" i="24"/>
  <c r="O100" i="24"/>
  <c r="O109" i="24"/>
  <c r="M100" i="24"/>
  <c r="M109" i="24"/>
  <c r="K100" i="24"/>
  <c r="K109" i="24"/>
  <c r="I100" i="24"/>
  <c r="I109" i="24"/>
  <c r="G100" i="24"/>
  <c r="G109" i="24"/>
  <c r="D100" i="24"/>
  <c r="D109" i="24"/>
  <c r="C100" i="24"/>
  <c r="C109" i="24"/>
  <c r="L99" i="24"/>
  <c r="H99" i="24"/>
  <c r="E99" i="24"/>
  <c r="L98" i="24"/>
  <c r="H98" i="24"/>
  <c r="E98" i="24"/>
  <c r="S91" i="24"/>
  <c r="S94" i="24"/>
  <c r="O91" i="24"/>
  <c r="O94" i="24"/>
  <c r="M91" i="24"/>
  <c r="M93" i="24"/>
  <c r="K91" i="24"/>
  <c r="K93" i="24"/>
  <c r="I91" i="24"/>
  <c r="I94" i="24"/>
  <c r="G91" i="24"/>
  <c r="G94" i="24"/>
  <c r="D91" i="24"/>
  <c r="D93" i="24"/>
  <c r="C91" i="24"/>
  <c r="C93" i="24"/>
  <c r="L89" i="24"/>
  <c r="H89" i="24"/>
  <c r="E89" i="24"/>
  <c r="L87" i="24"/>
  <c r="H87" i="24"/>
  <c r="E87" i="24"/>
  <c r="S80" i="24"/>
  <c r="S83" i="24"/>
  <c r="O80" i="24"/>
  <c r="O83" i="24"/>
  <c r="M80" i="24"/>
  <c r="M82" i="24"/>
  <c r="K80" i="24"/>
  <c r="K82" i="24"/>
  <c r="I80" i="24"/>
  <c r="I83" i="24"/>
  <c r="G80" i="24"/>
  <c r="G82" i="24"/>
  <c r="D80" i="24"/>
  <c r="D83" i="24"/>
  <c r="C80" i="24"/>
  <c r="C82" i="24"/>
  <c r="L78" i="24"/>
  <c r="H78" i="24"/>
  <c r="E78" i="24"/>
  <c r="L76" i="24"/>
  <c r="H76" i="24"/>
  <c r="E76" i="24"/>
  <c r="H67" i="24"/>
  <c r="L67" i="24"/>
  <c r="L65" i="24"/>
  <c r="H65" i="24"/>
  <c r="S69" i="24"/>
  <c r="S71" i="24"/>
  <c r="O69" i="24"/>
  <c r="O72" i="24"/>
  <c r="M69" i="24"/>
  <c r="M71" i="24"/>
  <c r="K69" i="24"/>
  <c r="K71" i="24"/>
  <c r="I69" i="24"/>
  <c r="I72" i="24"/>
  <c r="G69" i="24"/>
  <c r="G72" i="24"/>
  <c r="D69" i="24"/>
  <c r="D72" i="24"/>
  <c r="C69" i="24"/>
  <c r="C71" i="24"/>
  <c r="E67" i="24"/>
  <c r="R61" i="24"/>
  <c r="Q61" i="24"/>
  <c r="P61" i="24"/>
  <c r="M61" i="24"/>
  <c r="L61" i="24"/>
  <c r="K61" i="24"/>
  <c r="I61" i="24"/>
  <c r="H61" i="24"/>
  <c r="G61" i="24"/>
  <c r="S60" i="24"/>
  <c r="S59" i="24"/>
  <c r="S58" i="24"/>
  <c r="E22" i="24"/>
  <c r="E20" i="24"/>
  <c r="E9" i="24"/>
  <c r="E7" i="24"/>
  <c r="S44" i="24"/>
  <c r="S45" i="24"/>
  <c r="S46" i="24"/>
  <c r="S47" i="24"/>
  <c r="S48" i="24"/>
  <c r="S49" i="24"/>
  <c r="S50" i="24"/>
  <c r="S51" i="24"/>
  <c r="S52" i="24"/>
  <c r="S53" i="24"/>
  <c r="S54" i="24"/>
  <c r="L55" i="24"/>
  <c r="K55" i="24"/>
  <c r="J55" i="24"/>
  <c r="I55" i="24"/>
  <c r="H55" i="24"/>
  <c r="G55" i="24"/>
  <c r="M55" i="24"/>
  <c r="R55" i="24"/>
  <c r="Q55" i="24"/>
  <c r="P55" i="24"/>
  <c r="R47" i="24"/>
  <c r="Q47" i="24"/>
  <c r="P47" i="24"/>
  <c r="R41" i="24"/>
  <c r="Q41" i="24"/>
  <c r="P41" i="24"/>
  <c r="M41" i="24"/>
  <c r="L41" i="24"/>
  <c r="K41" i="24"/>
  <c r="I41" i="24"/>
  <c r="H41" i="24"/>
  <c r="G41" i="24"/>
  <c r="S40" i="24"/>
  <c r="S39" i="24"/>
  <c r="S38" i="24"/>
  <c r="S34" i="24"/>
  <c r="S33" i="24"/>
  <c r="S32" i="24"/>
  <c r="R35" i="24"/>
  <c r="Q35" i="24"/>
  <c r="P35" i="24"/>
  <c r="M35" i="24"/>
  <c r="L35" i="24"/>
  <c r="K35" i="24"/>
  <c r="I35" i="24"/>
  <c r="H35" i="24"/>
  <c r="G35" i="24"/>
  <c r="S24" i="24"/>
  <c r="O24" i="24"/>
  <c r="O28" i="24"/>
  <c r="M24" i="24"/>
  <c r="L24" i="24"/>
  <c r="K24" i="24"/>
  <c r="I24" i="24"/>
  <c r="I27" i="24"/>
  <c r="H24" i="24"/>
  <c r="H28" i="24"/>
  <c r="G24" i="24"/>
  <c r="G28" i="24"/>
  <c r="D24" i="24"/>
  <c r="C24" i="24"/>
  <c r="C28" i="24"/>
  <c r="S11" i="24"/>
  <c r="O11" i="24"/>
  <c r="O15" i="24"/>
  <c r="M11" i="24"/>
  <c r="L11" i="24"/>
  <c r="K11" i="24"/>
  <c r="I11" i="24"/>
  <c r="I15" i="24"/>
  <c r="H11" i="24"/>
  <c r="H14" i="24"/>
  <c r="G11" i="24"/>
  <c r="G14" i="24"/>
  <c r="D11" i="24"/>
  <c r="C11" i="24"/>
  <c r="C15" i="24"/>
  <c r="E3" i="24"/>
  <c r="C13" i="23"/>
  <c r="C18" i="23"/>
  <c r="G17" i="23"/>
  <c r="G13" i="23"/>
  <c r="D13" i="23"/>
  <c r="D18" i="23"/>
  <c r="H13" i="23"/>
  <c r="H18" i="23"/>
  <c r="E13" i="23"/>
  <c r="E18" i="23"/>
  <c r="I13" i="23"/>
  <c r="I18" i="23" s="1"/>
  <c r="D19" i="22"/>
  <c r="D11" i="22"/>
  <c r="D20" i="22"/>
  <c r="C48" i="22"/>
  <c r="C49" i="22" s="1"/>
  <c r="I9" i="22"/>
  <c r="I10" i="22"/>
  <c r="E69" i="21"/>
  <c r="E198" i="21"/>
  <c r="E65" i="21"/>
  <c r="E194" i="21"/>
  <c r="E60" i="21"/>
  <c r="E56" i="21"/>
  <c r="E185" i="21"/>
  <c r="E47" i="21"/>
  <c r="E54" i="21"/>
  <c r="E183" i="21"/>
  <c r="I242" i="21"/>
  <c r="I245" i="21"/>
  <c r="I247" i="21"/>
  <c r="I251" i="21"/>
  <c r="I252" i="21"/>
  <c r="D238" i="21"/>
  <c r="C217" i="21"/>
  <c r="C226" i="21"/>
  <c r="R153" i="21"/>
  <c r="Q153" i="21"/>
  <c r="P153" i="21"/>
  <c r="R152" i="21"/>
  <c r="Q152" i="21"/>
  <c r="P152" i="21"/>
  <c r="K88" i="21"/>
  <c r="M88" i="21"/>
  <c r="E88" i="21"/>
  <c r="E89" i="21"/>
  <c r="L88" i="21"/>
  <c r="S88" i="21"/>
  <c r="C88" i="21"/>
  <c r="D88" i="21"/>
  <c r="E146" i="21"/>
  <c r="E145" i="21"/>
  <c r="E143" i="21"/>
  <c r="E134" i="21"/>
  <c r="E133" i="21"/>
  <c r="E127" i="21"/>
  <c r="E126" i="21"/>
  <c r="E125" i="21"/>
  <c r="E124" i="21"/>
  <c r="E123" i="21"/>
  <c r="E122" i="21"/>
  <c r="E121" i="21"/>
  <c r="E120" i="21"/>
  <c r="E117" i="21"/>
  <c r="E114" i="21"/>
  <c r="E100" i="21"/>
  <c r="E99" i="21"/>
  <c r="E98" i="21"/>
  <c r="E97" i="21"/>
  <c r="E96" i="21"/>
  <c r="M79" i="21"/>
  <c r="M285" i="21"/>
  <c r="M299" i="21" s="1"/>
  <c r="K82" i="21"/>
  <c r="K156" i="21"/>
  <c r="K211" i="21"/>
  <c r="D78" i="21"/>
  <c r="C78" i="21"/>
  <c r="H47" i="21"/>
  <c r="H232" i="21"/>
  <c r="S29" i="21"/>
  <c r="S28" i="21"/>
  <c r="S27" i="21"/>
  <c r="S26" i="21"/>
  <c r="O29" i="21"/>
  <c r="O28" i="21"/>
  <c r="O27" i="21"/>
  <c r="O26" i="21"/>
  <c r="M29" i="21"/>
  <c r="K29" i="21"/>
  <c r="M28" i="21"/>
  <c r="K28" i="21"/>
  <c r="M27" i="21"/>
  <c r="K27" i="21"/>
  <c r="M26" i="21"/>
  <c r="K26" i="21"/>
  <c r="I29" i="21"/>
  <c r="I28" i="21"/>
  <c r="I27" i="21"/>
  <c r="I26" i="21"/>
  <c r="D29" i="21"/>
  <c r="D28" i="21"/>
  <c r="D27" i="21"/>
  <c r="D26" i="21"/>
  <c r="E22" i="21"/>
  <c r="E20" i="21"/>
  <c r="E18" i="21"/>
  <c r="E17" i="21"/>
  <c r="E15" i="21"/>
  <c r="E14" i="21"/>
  <c r="E13" i="21"/>
  <c r="E12" i="21"/>
  <c r="E9" i="21"/>
  <c r="E7" i="21"/>
  <c r="E26" i="21" s="1"/>
  <c r="E3" i="21"/>
  <c r="E53" i="21"/>
  <c r="M8" i="21"/>
  <c r="M174" i="21"/>
  <c r="S146" i="21"/>
  <c r="S145" i="21"/>
  <c r="S143" i="21"/>
  <c r="S134" i="21"/>
  <c r="S261" i="21"/>
  <c r="S133" i="21"/>
  <c r="S127" i="21"/>
  <c r="S126" i="21"/>
  <c r="S125" i="21"/>
  <c r="S124" i="21"/>
  <c r="S123" i="21"/>
  <c r="S122" i="21"/>
  <c r="S121" i="21"/>
  <c r="S120" i="21"/>
  <c r="S114" i="21"/>
  <c r="S100" i="21"/>
  <c r="S106" i="21"/>
  <c r="S99" i="21"/>
  <c r="S105" i="21"/>
  <c r="S98" i="21"/>
  <c r="S104" i="21"/>
  <c r="S97" i="21"/>
  <c r="S96" i="21"/>
  <c r="K142" i="21"/>
  <c r="K131" i="21"/>
  <c r="S131" i="21"/>
  <c r="K130" i="21"/>
  <c r="S130" i="21"/>
  <c r="K116" i="21"/>
  <c r="K115" i="21"/>
  <c r="S115" i="21"/>
  <c r="K110" i="21"/>
  <c r="S110" i="21"/>
  <c r="K109" i="21"/>
  <c r="K95" i="21"/>
  <c r="S95" i="21"/>
  <c r="K135" i="21"/>
  <c r="K291" i="21"/>
  <c r="K305" i="21" s="1"/>
  <c r="K128" i="21"/>
  <c r="M142" i="21"/>
  <c r="E142" i="21"/>
  <c r="M131" i="21"/>
  <c r="E131" i="21"/>
  <c r="D22" i="22"/>
  <c r="M130" i="21"/>
  <c r="E130" i="21"/>
  <c r="D21" i="22"/>
  <c r="M116" i="21"/>
  <c r="E116" i="21"/>
  <c r="M115" i="21"/>
  <c r="E115" i="21"/>
  <c r="M110" i="21"/>
  <c r="E110" i="21"/>
  <c r="M109" i="21"/>
  <c r="M95" i="21"/>
  <c r="E95" i="21"/>
  <c r="M135" i="21"/>
  <c r="M128" i="21"/>
  <c r="L146" i="21"/>
  <c r="L145" i="21"/>
  <c r="L143" i="21"/>
  <c r="L270" i="21"/>
  <c r="L134" i="21"/>
  <c r="L133" i="21"/>
  <c r="L127" i="21"/>
  <c r="L126" i="21"/>
  <c r="L125" i="21"/>
  <c r="L124" i="21"/>
  <c r="L123" i="21"/>
  <c r="L122" i="21"/>
  <c r="L121" i="21"/>
  <c r="L120" i="21"/>
  <c r="L117" i="21"/>
  <c r="L114" i="21"/>
  <c r="L100" i="21"/>
  <c r="L99" i="21"/>
  <c r="L98" i="21"/>
  <c r="L97" i="21"/>
  <c r="L96" i="21"/>
  <c r="H146" i="21"/>
  <c r="H145" i="21"/>
  <c r="H143" i="21"/>
  <c r="H134" i="21"/>
  <c r="H133" i="21"/>
  <c r="H260" i="21"/>
  <c r="H127" i="21"/>
  <c r="H126" i="21"/>
  <c r="H125" i="21"/>
  <c r="H124" i="21"/>
  <c r="H123" i="21"/>
  <c r="H122" i="21"/>
  <c r="H121" i="21"/>
  <c r="H120" i="21"/>
  <c r="H117" i="21"/>
  <c r="H114" i="21"/>
  <c r="H100" i="21"/>
  <c r="H99" i="21"/>
  <c r="H98" i="21"/>
  <c r="H97" i="21"/>
  <c r="H96" i="21"/>
  <c r="D142" i="21"/>
  <c r="L142" i="21"/>
  <c r="C142" i="21"/>
  <c r="C131" i="21"/>
  <c r="H131" i="21"/>
  <c r="C130" i="21"/>
  <c r="H130" i="21"/>
  <c r="D116" i="21"/>
  <c r="L116" i="21"/>
  <c r="D115" i="21"/>
  <c r="C116" i="21"/>
  <c r="H116" i="21"/>
  <c r="C115" i="21"/>
  <c r="H115" i="21"/>
  <c r="D110" i="21"/>
  <c r="L110" i="21"/>
  <c r="D109" i="21"/>
  <c r="C110" i="21"/>
  <c r="H110" i="21"/>
  <c r="C109" i="21"/>
  <c r="H109" i="21"/>
  <c r="C95" i="21"/>
  <c r="H95" i="21"/>
  <c r="D95" i="21"/>
  <c r="L95" i="21"/>
  <c r="I64" i="21"/>
  <c r="M64" i="21"/>
  <c r="M63" i="21"/>
  <c r="M192" i="21"/>
  <c r="I61" i="21"/>
  <c r="I190" i="21"/>
  <c r="I59" i="21"/>
  <c r="I241" i="21"/>
  <c r="M59" i="21"/>
  <c r="M36" i="21"/>
  <c r="I57" i="21"/>
  <c r="I239" i="21"/>
  <c r="I55" i="21"/>
  <c r="I184" i="21"/>
  <c r="M55" i="21"/>
  <c r="H70" i="21"/>
  <c r="H69" i="21"/>
  <c r="H251" i="21"/>
  <c r="H61" i="21"/>
  <c r="H190" i="21"/>
  <c r="H56" i="21"/>
  <c r="H185" i="21"/>
  <c r="L70" i="21"/>
  <c r="L69" i="21"/>
  <c r="L57" i="21"/>
  <c r="L186" i="21"/>
  <c r="L56" i="21"/>
  <c r="L185" i="21"/>
  <c r="S64" i="21"/>
  <c r="S193" i="21"/>
  <c r="O196" i="21"/>
  <c r="S65" i="21"/>
  <c r="S247" i="21"/>
  <c r="O64" i="21"/>
  <c r="O63" i="21"/>
  <c r="O192" i="21"/>
  <c r="S63" i="21"/>
  <c r="S245" i="21"/>
  <c r="S61" i="21"/>
  <c r="S190" i="21"/>
  <c r="O60" i="21"/>
  <c r="O189" i="21"/>
  <c r="S60" i="21"/>
  <c r="L60" i="21"/>
  <c r="O59" i="21"/>
  <c r="O36" i="21"/>
  <c r="S59" i="21"/>
  <c r="O55" i="21"/>
  <c r="S55" i="21"/>
  <c r="S184" i="21"/>
  <c r="C65" i="21"/>
  <c r="C194" i="21"/>
  <c r="C64" i="21"/>
  <c r="C193" i="21"/>
  <c r="D64" i="21"/>
  <c r="C63" i="21"/>
  <c r="C192" i="21"/>
  <c r="D63" i="21"/>
  <c r="D245" i="21"/>
  <c r="D61" i="21"/>
  <c r="C59" i="21"/>
  <c r="C36" i="21"/>
  <c r="D59" i="21"/>
  <c r="D241" i="21"/>
  <c r="S48" i="21"/>
  <c r="S180" i="21"/>
  <c r="M48" i="21"/>
  <c r="M180" i="21"/>
  <c r="K48" i="21"/>
  <c r="K180" i="21"/>
  <c r="L50" i="21"/>
  <c r="L41" i="21"/>
  <c r="H50" i="21"/>
  <c r="L47" i="21"/>
  <c r="L54" i="21"/>
  <c r="L179" i="21"/>
  <c r="H22" i="21"/>
  <c r="H20" i="21"/>
  <c r="H18" i="21"/>
  <c r="H17" i="21"/>
  <c r="H15" i="21"/>
  <c r="H14" i="21"/>
  <c r="H13" i="21"/>
  <c r="H12" i="21"/>
  <c r="H9" i="21"/>
  <c r="H104" i="21" s="1"/>
  <c r="H7" i="21"/>
  <c r="H26" i="21" s="1"/>
  <c r="H173" i="21"/>
  <c r="L22" i="21"/>
  <c r="L20" i="21"/>
  <c r="L18" i="21"/>
  <c r="L17" i="21"/>
  <c r="L15" i="21"/>
  <c r="L14" i="21"/>
  <c r="L13" i="21"/>
  <c r="L12" i="21"/>
  <c r="L9" i="21"/>
  <c r="L7" i="21"/>
  <c r="L28" i="21" s="1"/>
  <c r="S8" i="21"/>
  <c r="S174" i="21"/>
  <c r="S298" i="21"/>
  <c r="S284" i="21"/>
  <c r="S225" i="21"/>
  <c r="S224" i="21"/>
  <c r="S223" i="21"/>
  <c r="S226" i="21"/>
  <c r="S179" i="21"/>
  <c r="S173" i="21"/>
  <c r="S172" i="21"/>
  <c r="S171" i="21"/>
  <c r="S170" i="21"/>
  <c r="S150" i="21"/>
  <c r="S94" i="21"/>
  <c r="S78" i="21"/>
  <c r="S54" i="21"/>
  <c r="S89" i="21"/>
  <c r="S91" i="21"/>
  <c r="S92" i="21"/>
  <c r="S53" i="21"/>
  <c r="S49" i="21"/>
  <c r="S181" i="21"/>
  <c r="S39" i="21"/>
  <c r="S10" i="21"/>
  <c r="S16" i="21"/>
  <c r="O298" i="21"/>
  <c r="O284" i="21"/>
  <c r="O225" i="21"/>
  <c r="O224" i="21"/>
  <c r="O223" i="21"/>
  <c r="O179" i="21"/>
  <c r="O173" i="21"/>
  <c r="O172" i="21"/>
  <c r="O171" i="21"/>
  <c r="O170" i="21"/>
  <c r="O150" i="21"/>
  <c r="O94" i="21"/>
  <c r="O78" i="21"/>
  <c r="O198" i="21"/>
  <c r="O54" i="21"/>
  <c r="O183" i="21"/>
  <c r="O53" i="21"/>
  <c r="O41" i="21"/>
  <c r="O37" i="21"/>
  <c r="O49" i="21"/>
  <c r="O181" i="21"/>
  <c r="O39" i="21"/>
  <c r="O10" i="21"/>
  <c r="O11" i="21"/>
  <c r="K8" i="21"/>
  <c r="K174" i="21"/>
  <c r="C57" i="21"/>
  <c r="C55" i="21"/>
  <c r="C184" i="21"/>
  <c r="D55" i="21"/>
  <c r="D237" i="21"/>
  <c r="C26" i="21"/>
  <c r="M298" i="21"/>
  <c r="M284" i="21"/>
  <c r="M225" i="21"/>
  <c r="M224" i="21"/>
  <c r="M223" i="21"/>
  <c r="M270" i="21"/>
  <c r="M199" i="21"/>
  <c r="M198" i="21"/>
  <c r="M194" i="21"/>
  <c r="M190" i="21"/>
  <c r="M189" i="21"/>
  <c r="M185" i="21"/>
  <c r="M179" i="21"/>
  <c r="M173" i="21"/>
  <c r="M172" i="21"/>
  <c r="M171" i="21"/>
  <c r="M170" i="21"/>
  <c r="M150" i="21"/>
  <c r="M106" i="21"/>
  <c r="M105" i="21"/>
  <c r="M104" i="21"/>
  <c r="M101" i="21"/>
  <c r="M94" i="21"/>
  <c r="M78" i="21"/>
  <c r="M54" i="21"/>
  <c r="M53" i="21"/>
  <c r="M49" i="21"/>
  <c r="M181" i="21"/>
  <c r="M41" i="21"/>
  <c r="M37" i="21"/>
  <c r="M39" i="21"/>
  <c r="M10" i="21"/>
  <c r="L298" i="21"/>
  <c r="L284" i="21"/>
  <c r="L225" i="21"/>
  <c r="L224" i="21"/>
  <c r="L223" i="21"/>
  <c r="L172" i="21"/>
  <c r="L171" i="21"/>
  <c r="L170" i="21"/>
  <c r="L150" i="21"/>
  <c r="L94" i="21"/>
  <c r="L78" i="21"/>
  <c r="L53" i="21"/>
  <c r="L39" i="21"/>
  <c r="K298" i="21"/>
  <c r="I298" i="21"/>
  <c r="H298" i="21"/>
  <c r="G298" i="21"/>
  <c r="D298" i="21"/>
  <c r="C298" i="21"/>
  <c r="B290" i="21"/>
  <c r="B289" i="21"/>
  <c r="D288" i="21"/>
  <c r="D302" i="21" s="1"/>
  <c r="B288" i="21"/>
  <c r="B286" i="21"/>
  <c r="K284" i="21"/>
  <c r="I284" i="21"/>
  <c r="H284" i="21"/>
  <c r="G284" i="21"/>
  <c r="D284" i="21"/>
  <c r="C284" i="21"/>
  <c r="B279" i="21"/>
  <c r="B278" i="21"/>
  <c r="B276" i="21"/>
  <c r="B275" i="21"/>
  <c r="B273" i="21"/>
  <c r="B272" i="21"/>
  <c r="B270" i="21"/>
  <c r="B269" i="21"/>
  <c r="B254" i="21"/>
  <c r="B253" i="21"/>
  <c r="B252" i="21"/>
  <c r="B251" i="21"/>
  <c r="B250" i="21"/>
  <c r="B249" i="21"/>
  <c r="B248" i="21"/>
  <c r="B247" i="21"/>
  <c r="B246" i="21"/>
  <c r="B245" i="21"/>
  <c r="B244" i="21"/>
  <c r="B243" i="21"/>
  <c r="B242" i="21"/>
  <c r="B241" i="21"/>
  <c r="B240" i="21"/>
  <c r="B239" i="21"/>
  <c r="B238" i="21"/>
  <c r="B237" i="21"/>
  <c r="B236" i="21"/>
  <c r="B234" i="21"/>
  <c r="B233" i="21"/>
  <c r="B232" i="21"/>
  <c r="B230" i="21"/>
  <c r="B229" i="21"/>
  <c r="B228" i="21"/>
  <c r="B227" i="21"/>
  <c r="B226" i="21"/>
  <c r="K225" i="21"/>
  <c r="I225" i="21"/>
  <c r="H225" i="21"/>
  <c r="G225" i="21"/>
  <c r="K224" i="21"/>
  <c r="I224" i="21"/>
  <c r="H224" i="21"/>
  <c r="G224" i="21"/>
  <c r="K223" i="21"/>
  <c r="I223" i="21"/>
  <c r="H223" i="21"/>
  <c r="G223" i="21"/>
  <c r="D223" i="21"/>
  <c r="C223" i="21"/>
  <c r="B214" i="21"/>
  <c r="B213" i="21"/>
  <c r="B211" i="21"/>
  <c r="B210" i="21"/>
  <c r="B208" i="21"/>
  <c r="B207" i="21"/>
  <c r="B202" i="21"/>
  <c r="B201" i="21"/>
  <c r="B200" i="21"/>
  <c r="I199" i="21"/>
  <c r="D199" i="21"/>
  <c r="C199" i="21"/>
  <c r="B199" i="21"/>
  <c r="D198" i="21"/>
  <c r="C198" i="21"/>
  <c r="B198" i="21"/>
  <c r="B197" i="21"/>
  <c r="B196" i="21"/>
  <c r="B195" i="21"/>
  <c r="I194" i="21"/>
  <c r="D194" i="21"/>
  <c r="B194" i="21"/>
  <c r="B193" i="21"/>
  <c r="B192" i="21"/>
  <c r="B191" i="21"/>
  <c r="C190" i="21"/>
  <c r="B190" i="21"/>
  <c r="I189" i="21"/>
  <c r="D189" i="21"/>
  <c r="C189" i="21"/>
  <c r="B189" i="21"/>
  <c r="B188" i="21"/>
  <c r="B187" i="21"/>
  <c r="D186" i="21"/>
  <c r="B186" i="21"/>
  <c r="I185" i="21"/>
  <c r="D185" i="21"/>
  <c r="C185" i="21"/>
  <c r="B185" i="21"/>
  <c r="B184" i="21"/>
  <c r="B183" i="21"/>
  <c r="B181" i="21"/>
  <c r="B180" i="21"/>
  <c r="K179" i="21"/>
  <c r="I179" i="21"/>
  <c r="G179" i="21"/>
  <c r="D179" i="21"/>
  <c r="C179" i="21"/>
  <c r="B179" i="21"/>
  <c r="B177" i="21"/>
  <c r="B176" i="21"/>
  <c r="B175" i="21"/>
  <c r="B174" i="21"/>
  <c r="K173" i="21"/>
  <c r="I173" i="21"/>
  <c r="G173" i="21"/>
  <c r="D173" i="21"/>
  <c r="C173" i="21"/>
  <c r="B173" i="21"/>
  <c r="K172" i="21"/>
  <c r="I172" i="21"/>
  <c r="H172" i="21"/>
  <c r="G172" i="21"/>
  <c r="K171" i="21"/>
  <c r="I171" i="21"/>
  <c r="H171" i="21"/>
  <c r="G171" i="21"/>
  <c r="K170" i="21"/>
  <c r="I170" i="21"/>
  <c r="H170" i="21"/>
  <c r="G170" i="21"/>
  <c r="D170" i="21"/>
  <c r="C170" i="21"/>
  <c r="K150" i="21"/>
  <c r="I150" i="21"/>
  <c r="H150" i="21"/>
  <c r="G150" i="21"/>
  <c r="D150" i="21"/>
  <c r="C150" i="21"/>
  <c r="D135" i="21"/>
  <c r="D31" i="21"/>
  <c r="C135" i="21"/>
  <c r="C31" i="21"/>
  <c r="D128" i="21"/>
  <c r="C128" i="21"/>
  <c r="K106" i="21"/>
  <c r="D106" i="21"/>
  <c r="C106" i="21"/>
  <c r="K105" i="21"/>
  <c r="D105" i="21"/>
  <c r="C105" i="21"/>
  <c r="K104" i="21"/>
  <c r="D104" i="21"/>
  <c r="C104" i="21"/>
  <c r="K101" i="21"/>
  <c r="D101" i="21"/>
  <c r="C101" i="21"/>
  <c r="K94" i="21"/>
  <c r="I94" i="21"/>
  <c r="H94" i="21"/>
  <c r="G94" i="21"/>
  <c r="D94" i="21"/>
  <c r="C94" i="21"/>
  <c r="D83" i="21"/>
  <c r="L83" i="21"/>
  <c r="L288" i="21"/>
  <c r="L302" i="21" s="1"/>
  <c r="D82" i="21"/>
  <c r="D156" i="21"/>
  <c r="D211" i="21"/>
  <c r="C82" i="21"/>
  <c r="C286" i="21"/>
  <c r="D79" i="21"/>
  <c r="D285" i="21"/>
  <c r="D299" i="21" s="1"/>
  <c r="C79" i="21"/>
  <c r="C285" i="21"/>
  <c r="B79" i="21"/>
  <c r="B285" i="21"/>
  <c r="K78" i="21"/>
  <c r="I78" i="21"/>
  <c r="H78" i="21"/>
  <c r="G78" i="21"/>
  <c r="I54" i="21"/>
  <c r="D54" i="21"/>
  <c r="D89" i="21"/>
  <c r="C54" i="21"/>
  <c r="C89" i="21"/>
  <c r="C91" i="21"/>
  <c r="C92" i="21"/>
  <c r="K53" i="21"/>
  <c r="I53" i="21"/>
  <c r="H53" i="21"/>
  <c r="G53" i="21"/>
  <c r="D53" i="21"/>
  <c r="C53" i="21"/>
  <c r="K49" i="21"/>
  <c r="K181" i="21"/>
  <c r="I49" i="21"/>
  <c r="I181" i="21"/>
  <c r="G49" i="21"/>
  <c r="G181" i="21"/>
  <c r="D49" i="21"/>
  <c r="D181" i="21"/>
  <c r="C49" i="21"/>
  <c r="C181" i="21"/>
  <c r="D48" i="21"/>
  <c r="D180" i="21"/>
  <c r="I41" i="21"/>
  <c r="I37" i="21"/>
  <c r="D41" i="21"/>
  <c r="D37" i="21"/>
  <c r="C41" i="21"/>
  <c r="C37" i="21"/>
  <c r="K39" i="21"/>
  <c r="I39" i="21"/>
  <c r="H39" i="21"/>
  <c r="G39" i="21"/>
  <c r="D39" i="21"/>
  <c r="C39" i="21"/>
  <c r="B33" i="21"/>
  <c r="B30" i="21"/>
  <c r="G29" i="21"/>
  <c r="C29" i="21"/>
  <c r="B29" i="21"/>
  <c r="G28" i="21"/>
  <c r="C28" i="21"/>
  <c r="B28" i="21"/>
  <c r="G27" i="21"/>
  <c r="C27" i="21"/>
  <c r="B27" i="21"/>
  <c r="G26" i="21"/>
  <c r="B26" i="21"/>
  <c r="K10" i="21"/>
  <c r="K16" i="21"/>
  <c r="K19" i="21"/>
  <c r="K34" i="21"/>
  <c r="I10" i="21"/>
  <c r="I16" i="21"/>
  <c r="I19" i="21"/>
  <c r="I21" i="21"/>
  <c r="I23" i="21"/>
  <c r="G10" i="21"/>
  <c r="G16" i="21"/>
  <c r="D10" i="21"/>
  <c r="D16" i="21"/>
  <c r="C10" i="21"/>
  <c r="C11" i="21"/>
  <c r="D8" i="21"/>
  <c r="D174" i="21"/>
  <c r="C38" i="17"/>
  <c r="D17" i="17"/>
  <c r="D16" i="17"/>
  <c r="C49" i="17"/>
  <c r="BA103" i="19"/>
  <c r="BD222" i="15"/>
  <c r="BD223" i="15"/>
  <c r="O223" i="15"/>
  <c r="BD137" i="15"/>
  <c r="BD136" i="15"/>
  <c r="BD122" i="15"/>
  <c r="D10" i="17"/>
  <c r="BD121" i="15"/>
  <c r="D38" i="17"/>
  <c r="D18" i="17"/>
  <c r="BD116" i="15"/>
  <c r="BD115" i="15"/>
  <c r="O115" i="15"/>
  <c r="BD101" i="15"/>
  <c r="O101" i="15"/>
  <c r="O152" i="15"/>
  <c r="O151" i="15"/>
  <c r="O149" i="15"/>
  <c r="O148" i="15"/>
  <c r="O140" i="15"/>
  <c r="O139" i="15"/>
  <c r="O141" i="15"/>
  <c r="O286" i="15"/>
  <c r="O300" i="15"/>
  <c r="O136" i="15"/>
  <c r="O133" i="15"/>
  <c r="O132" i="15"/>
  <c r="O131" i="15"/>
  <c r="O130" i="15"/>
  <c r="O129" i="15"/>
  <c r="O128" i="15"/>
  <c r="O127" i="15"/>
  <c r="O126" i="15"/>
  <c r="O123" i="15"/>
  <c r="O122" i="15"/>
  <c r="O121" i="15"/>
  <c r="O120" i="15"/>
  <c r="O116" i="15"/>
  <c r="O106" i="15"/>
  <c r="O105" i="15"/>
  <c r="O104" i="15"/>
  <c r="O103" i="15"/>
  <c r="O102" i="15"/>
  <c r="CT86" i="15"/>
  <c r="BD92" i="15"/>
  <c r="O92" i="15"/>
  <c r="CT52" i="15"/>
  <c r="CT44" i="15"/>
  <c r="CT13" i="15"/>
  <c r="CT12" i="15"/>
  <c r="CT9" i="15"/>
  <c r="CT7" i="15"/>
  <c r="CT10" i="15"/>
  <c r="BD22" i="15"/>
  <c r="H9" i="17"/>
  <c r="H10" i="17"/>
  <c r="BD86" i="15"/>
  <c r="O3" i="15"/>
  <c r="BD293" i="15"/>
  <c r="BD279" i="15"/>
  <c r="BD265" i="15"/>
  <c r="BD228" i="15"/>
  <c r="BD227" i="15"/>
  <c r="BD226" i="15"/>
  <c r="BD185" i="15"/>
  <c r="BD179" i="15"/>
  <c r="BD178" i="15"/>
  <c r="BD177" i="15"/>
  <c r="BD176" i="15"/>
  <c r="BD156" i="15"/>
  <c r="BD141" i="15"/>
  <c r="BD286" i="15"/>
  <c r="BD300" i="15"/>
  <c r="BD134" i="15"/>
  <c r="BD112" i="15"/>
  <c r="BD111" i="15"/>
  <c r="BD110" i="15"/>
  <c r="BD107" i="15"/>
  <c r="BD99" i="15"/>
  <c r="BD162" i="15"/>
  <c r="BD217" i="15"/>
  <c r="BD82" i="15"/>
  <c r="BD76" i="15"/>
  <c r="BD205" i="15"/>
  <c r="BD60" i="15"/>
  <c r="BD189" i="15"/>
  <c r="BD59" i="15"/>
  <c r="BD54" i="15"/>
  <c r="BD187" i="15"/>
  <c r="BD53" i="15"/>
  <c r="BD186" i="15"/>
  <c r="BD44" i="15"/>
  <c r="BD37" i="15"/>
  <c r="BD36" i="15"/>
  <c r="BD32" i="15"/>
  <c r="BD31" i="15"/>
  <c r="BD30" i="15"/>
  <c r="BD29" i="15"/>
  <c r="BD10" i="15"/>
  <c r="BD8" i="15"/>
  <c r="BD180" i="15"/>
  <c r="C98" i="17"/>
  <c r="C99" i="17"/>
  <c r="C88" i="17"/>
  <c r="D95" i="17"/>
  <c r="AZ101" i="19"/>
  <c r="AZ102" i="19"/>
  <c r="AZ100" i="19"/>
  <c r="AZ103" i="19"/>
  <c r="AZ148" i="15"/>
  <c r="AZ264" i="15"/>
  <c r="CS86" i="15"/>
  <c r="BC86" i="15"/>
  <c r="CS52" i="15"/>
  <c r="CS44" i="15"/>
  <c r="CS13" i="15"/>
  <c r="CS12" i="15"/>
  <c r="CS9" i="15"/>
  <c r="CS7" i="15"/>
  <c r="BC137" i="15"/>
  <c r="BC136" i="15"/>
  <c r="D72" i="17"/>
  <c r="BC122" i="15"/>
  <c r="BC121" i="15"/>
  <c r="BC116" i="15"/>
  <c r="BC115" i="15"/>
  <c r="BC101" i="15"/>
  <c r="BC141" i="15"/>
  <c r="BC134" i="15"/>
  <c r="BC73" i="15"/>
  <c r="BD73" i="15"/>
  <c r="BC70" i="15"/>
  <c r="BC66" i="15"/>
  <c r="BD66" i="15"/>
  <c r="BC63" i="15"/>
  <c r="BC62" i="15"/>
  <c r="BC55" i="15"/>
  <c r="BC293" i="15"/>
  <c r="BC279" i="15"/>
  <c r="BC265" i="15"/>
  <c r="BC228" i="15"/>
  <c r="BC227" i="15"/>
  <c r="BC226" i="15"/>
  <c r="BC205" i="15"/>
  <c r="BC185" i="15"/>
  <c r="BC179" i="15"/>
  <c r="BC178" i="15"/>
  <c r="BC177" i="15"/>
  <c r="BC176" i="15"/>
  <c r="BC156" i="15"/>
  <c r="BC112" i="15"/>
  <c r="BC111" i="15"/>
  <c r="BC110" i="15"/>
  <c r="BC107" i="15"/>
  <c r="BC99" i="15"/>
  <c r="BC82" i="15"/>
  <c r="BC71" i="15"/>
  <c r="BC67" i="15"/>
  <c r="BD67" i="15"/>
  <c r="BC60" i="15"/>
  <c r="BC189" i="15"/>
  <c r="BC59" i="15"/>
  <c r="BC54" i="15"/>
  <c r="BC187" i="15"/>
  <c r="BC53" i="15"/>
  <c r="BC186" i="15"/>
  <c r="BC44" i="15"/>
  <c r="BC37" i="15"/>
  <c r="BC36" i="15"/>
  <c r="BC32" i="15"/>
  <c r="BC31" i="15"/>
  <c r="BC30" i="15"/>
  <c r="BC29" i="15"/>
  <c r="BC10" i="15"/>
  <c r="BC8" i="15"/>
  <c r="BC180" i="15"/>
  <c r="AZ265" i="15"/>
  <c r="AY265" i="15"/>
  <c r="AV265" i="15"/>
  <c r="AU265" i="15"/>
  <c r="AT265" i="15"/>
  <c r="AD265" i="15"/>
  <c r="U265" i="15"/>
  <c r="M265" i="15"/>
  <c r="L265" i="15"/>
  <c r="AV264" i="15"/>
  <c r="AU264" i="15"/>
  <c r="AT264" i="15"/>
  <c r="AD264" i="15"/>
  <c r="U264" i="15"/>
  <c r="L264" i="15"/>
  <c r="BB265" i="15"/>
  <c r="B265" i="15"/>
  <c r="B264" i="15"/>
  <c r="C145" i="17"/>
  <c r="C146" i="17"/>
  <c r="C135" i="17"/>
  <c r="D144" i="17"/>
  <c r="AY101" i="19"/>
  <c r="AY100" i="19"/>
  <c r="AY102" i="19"/>
  <c r="CR86" i="15"/>
  <c r="CR52" i="15"/>
  <c r="CR44" i="15"/>
  <c r="CR13" i="15"/>
  <c r="CR12" i="15"/>
  <c r="CR9" i="15"/>
  <c r="CR7" i="15"/>
  <c r="BB264" i="15"/>
  <c r="BB137" i="15"/>
  <c r="BB136" i="15"/>
  <c r="BB122" i="15"/>
  <c r="BB121" i="15"/>
  <c r="BB116" i="15"/>
  <c r="BB115" i="15"/>
  <c r="BB117" i="15"/>
  <c r="BB101" i="15"/>
  <c r="BB141" i="15"/>
  <c r="BB134" i="15"/>
  <c r="BA102" i="15"/>
  <c r="BA103" i="15"/>
  <c r="BA104" i="15"/>
  <c r="BA105" i="15"/>
  <c r="BA106" i="15"/>
  <c r="BB75" i="15"/>
  <c r="BB72" i="15"/>
  <c r="BB69" i="15"/>
  <c r="BB65" i="15"/>
  <c r="BB61" i="15"/>
  <c r="BB22" i="15"/>
  <c r="BB19" i="15"/>
  <c r="BB17" i="15"/>
  <c r="BB293" i="15"/>
  <c r="BB279" i="15"/>
  <c r="BB228" i="15"/>
  <c r="BB227" i="15"/>
  <c r="BB226" i="15"/>
  <c r="BB205" i="15"/>
  <c r="BB202" i="15"/>
  <c r="BB200" i="15"/>
  <c r="BB199" i="15"/>
  <c r="BB196" i="15"/>
  <c r="BB195" i="15"/>
  <c r="BB191" i="15"/>
  <c r="BB185" i="15"/>
  <c r="BB179" i="15"/>
  <c r="BB178" i="15"/>
  <c r="BB177" i="15"/>
  <c r="BB176" i="15"/>
  <c r="BB156" i="15"/>
  <c r="BB112" i="15"/>
  <c r="BB111" i="15"/>
  <c r="BB110" i="15"/>
  <c r="BB107" i="15"/>
  <c r="BB99" i="15"/>
  <c r="BB82" i="15"/>
  <c r="BB192" i="15"/>
  <c r="BB60" i="15"/>
  <c r="BB189" i="15"/>
  <c r="BB59" i="15"/>
  <c r="BB54" i="15"/>
  <c r="BB187" i="15"/>
  <c r="BB53" i="15"/>
  <c r="BB186" i="15"/>
  <c r="BB46" i="15"/>
  <c r="BB42" i="15"/>
  <c r="BB44" i="15"/>
  <c r="BB37" i="15"/>
  <c r="BB36" i="15"/>
  <c r="BB32" i="15"/>
  <c r="BB31" i="15"/>
  <c r="BB30" i="15"/>
  <c r="BB29" i="15"/>
  <c r="BB10" i="15"/>
  <c r="BB8" i="15"/>
  <c r="BB180" i="15"/>
  <c r="AT116" i="15"/>
  <c r="AT115" i="15"/>
  <c r="AT136" i="15"/>
  <c r="AU136" i="15"/>
  <c r="AU116" i="15"/>
  <c r="AU115" i="15"/>
  <c r="AV116" i="15"/>
  <c r="AV115" i="15"/>
  <c r="AV136" i="15"/>
  <c r="AX136" i="15"/>
  <c r="AX116" i="15"/>
  <c r="AX115" i="15"/>
  <c r="AY136" i="15"/>
  <c r="AY116" i="15"/>
  <c r="AY115" i="15"/>
  <c r="AZ116" i="15"/>
  <c r="AZ115" i="15"/>
  <c r="AZ136" i="15"/>
  <c r="L136" i="15"/>
  <c r="AS136" i="15"/>
  <c r="L116" i="15"/>
  <c r="L115" i="15"/>
  <c r="AS115" i="15"/>
  <c r="M116" i="15"/>
  <c r="AW116" i="15"/>
  <c r="M115" i="15"/>
  <c r="N116" i="15"/>
  <c r="N115" i="15"/>
  <c r="BA115" i="15"/>
  <c r="M136" i="15"/>
  <c r="AW136" i="15"/>
  <c r="N136" i="15"/>
  <c r="BA136" i="15"/>
  <c r="C193" i="17"/>
  <c r="M102" i="19"/>
  <c r="M101" i="19"/>
  <c r="M100" i="19"/>
  <c r="AX102" i="19"/>
  <c r="AX101" i="19"/>
  <c r="AX100" i="19"/>
  <c r="AX63" i="15"/>
  <c r="AU63" i="15"/>
  <c r="AV63" i="15"/>
  <c r="AW63" i="15"/>
  <c r="AW192" i="15"/>
  <c r="J87" i="15"/>
  <c r="BA152" i="15"/>
  <c r="BA151" i="15"/>
  <c r="BA149" i="15"/>
  <c r="BA140" i="15"/>
  <c r="BA139" i="15"/>
  <c r="BA133" i="15"/>
  <c r="BA132" i="15"/>
  <c r="BA131" i="15"/>
  <c r="BA130" i="15"/>
  <c r="C182" i="17"/>
  <c r="BA129" i="15"/>
  <c r="BA128" i="15"/>
  <c r="BA127" i="15"/>
  <c r="BA126" i="15"/>
  <c r="BA120" i="15"/>
  <c r="CQ86" i="15"/>
  <c r="BA92" i="15"/>
  <c r="N92" i="15"/>
  <c r="CQ44" i="15"/>
  <c r="BA52" i="15"/>
  <c r="O52" i="15"/>
  <c r="O86" i="15"/>
  <c r="O162" i="15"/>
  <c r="O217" i="15"/>
  <c r="BA24" i="15"/>
  <c r="O24" i="15"/>
  <c r="BA15" i="15"/>
  <c r="O15" i="15"/>
  <c r="BA14" i="15"/>
  <c r="O14" i="15"/>
  <c r="BA13" i="15"/>
  <c r="BA12" i="15"/>
  <c r="O12" i="15"/>
  <c r="BA9" i="15"/>
  <c r="BA7" i="15"/>
  <c r="O7" i="15"/>
  <c r="N279" i="15"/>
  <c r="M279" i="15"/>
  <c r="L279" i="15"/>
  <c r="K279" i="15"/>
  <c r="N222" i="15"/>
  <c r="N223" i="15"/>
  <c r="AS133" i="15"/>
  <c r="AO133" i="15"/>
  <c r="AW133" i="15"/>
  <c r="N148" i="15"/>
  <c r="N137" i="15"/>
  <c r="BA137" i="15"/>
  <c r="N134" i="15"/>
  <c r="M134" i="15"/>
  <c r="L134" i="15"/>
  <c r="K134" i="15"/>
  <c r="AY134" i="15"/>
  <c r="AX134" i="15"/>
  <c r="AV134" i="15"/>
  <c r="AU134" i="15"/>
  <c r="AT134" i="15"/>
  <c r="AR134" i="15"/>
  <c r="AQ134" i="15"/>
  <c r="AP134" i="15"/>
  <c r="AN134" i="15"/>
  <c r="AM134" i="15"/>
  <c r="AL134" i="15"/>
  <c r="AJ134" i="15"/>
  <c r="AI134" i="15"/>
  <c r="AH134" i="15"/>
  <c r="AF134" i="15"/>
  <c r="AE134" i="15"/>
  <c r="AD134" i="15"/>
  <c r="AB134" i="15"/>
  <c r="AA134" i="15"/>
  <c r="Z134" i="15"/>
  <c r="X134" i="15"/>
  <c r="W134" i="15"/>
  <c r="V134" i="15"/>
  <c r="AZ132" i="15"/>
  <c r="AZ134" i="15"/>
  <c r="N122" i="15"/>
  <c r="N121" i="15"/>
  <c r="BA121" i="15"/>
  <c r="N101" i="15"/>
  <c r="BA101" i="15"/>
  <c r="BA293" i="15"/>
  <c r="BA279" i="15"/>
  <c r="BA228" i="15"/>
  <c r="BA227" i="15"/>
  <c r="BA226" i="15"/>
  <c r="BA178" i="15"/>
  <c r="BA177" i="15"/>
  <c r="BA176" i="15"/>
  <c r="BA156" i="15"/>
  <c r="BA99" i="15"/>
  <c r="BA82" i="15"/>
  <c r="BA59" i="15"/>
  <c r="BA44" i="15"/>
  <c r="M69" i="15"/>
  <c r="M248" i="15"/>
  <c r="N73" i="15"/>
  <c r="N72" i="15"/>
  <c r="N70" i="15"/>
  <c r="N199" i="15"/>
  <c r="N69" i="15"/>
  <c r="N65" i="15"/>
  <c r="N89" i="15"/>
  <c r="N61" i="15"/>
  <c r="N190" i="15"/>
  <c r="N293" i="15"/>
  <c r="N283" i="15"/>
  <c r="N226" i="15"/>
  <c r="N205" i="15"/>
  <c r="N204" i="15"/>
  <c r="N200" i="15"/>
  <c r="N196" i="15"/>
  <c r="N195" i="15"/>
  <c r="N192" i="15"/>
  <c r="N191" i="15"/>
  <c r="N185" i="15"/>
  <c r="N179" i="15"/>
  <c r="N176" i="15"/>
  <c r="N156" i="15"/>
  <c r="N141" i="15"/>
  <c r="N112" i="15"/>
  <c r="N111" i="15"/>
  <c r="N110" i="15"/>
  <c r="N107" i="15"/>
  <c r="N99" i="15"/>
  <c r="N87" i="15"/>
  <c r="N86" i="15"/>
  <c r="N83" i="15"/>
  <c r="N60" i="15"/>
  <c r="N189" i="15"/>
  <c r="N59" i="15"/>
  <c r="N54" i="15"/>
  <c r="N187" i="15"/>
  <c r="N53" i="15"/>
  <c r="N186" i="15"/>
  <c r="N46" i="15"/>
  <c r="N42" i="15"/>
  <c r="N44" i="15"/>
  <c r="N37" i="15"/>
  <c r="N36" i="15"/>
  <c r="N32" i="15"/>
  <c r="N31" i="15"/>
  <c r="N30" i="15"/>
  <c r="N29" i="15"/>
  <c r="N10" i="15"/>
  <c r="N16" i="15"/>
  <c r="N8" i="15"/>
  <c r="N180" i="15"/>
  <c r="C242" i="17"/>
  <c r="D240" i="17"/>
  <c r="AW102" i="19"/>
  <c r="AW101" i="19"/>
  <c r="AW100" i="19"/>
  <c r="M148" i="15"/>
  <c r="M264" i="15"/>
  <c r="AZ293" i="15"/>
  <c r="AZ279" i="15"/>
  <c r="AZ226" i="15"/>
  <c r="AZ227" i="15"/>
  <c r="AZ228" i="15"/>
  <c r="AX222" i="15"/>
  <c r="AX245" i="15"/>
  <c r="AZ185" i="15"/>
  <c r="AZ177" i="15"/>
  <c r="AZ178" i="15"/>
  <c r="AZ179" i="15"/>
  <c r="AZ176" i="15"/>
  <c r="CP86" i="15"/>
  <c r="AZ156" i="15"/>
  <c r="AY148" i="15"/>
  <c r="AY264" i="15"/>
  <c r="AZ141" i="15"/>
  <c r="J205" i="17"/>
  <c r="J206" i="17"/>
  <c r="J207" i="17"/>
  <c r="C221" i="17"/>
  <c r="AZ137" i="15"/>
  <c r="AZ122" i="15"/>
  <c r="AZ121" i="15"/>
  <c r="AZ110" i="15"/>
  <c r="AZ111" i="15"/>
  <c r="AZ112" i="15"/>
  <c r="AZ107" i="15"/>
  <c r="AV107" i="15"/>
  <c r="AY107" i="15"/>
  <c r="AZ101" i="15"/>
  <c r="AZ99" i="15"/>
  <c r="CP52" i="15"/>
  <c r="CT53" i="15" s="1"/>
  <c r="CP44" i="15"/>
  <c r="CP12" i="15"/>
  <c r="CP13" i="15"/>
  <c r="CP7" i="15"/>
  <c r="CP9" i="15"/>
  <c r="AZ82" i="15"/>
  <c r="AZ76" i="15"/>
  <c r="BA76" i="15"/>
  <c r="AZ60" i="15"/>
  <c r="AZ189" i="15"/>
  <c r="AV60" i="15"/>
  <c r="AY60" i="15"/>
  <c r="AY189" i="15"/>
  <c r="AZ59" i="15"/>
  <c r="AY55" i="15"/>
  <c r="AV54" i="15"/>
  <c r="AV187" i="15"/>
  <c r="AV53" i="15"/>
  <c r="AV186" i="15"/>
  <c r="AY54" i="15"/>
  <c r="AY187" i="15"/>
  <c r="AY53" i="15"/>
  <c r="AY186" i="15"/>
  <c r="AZ53" i="15"/>
  <c r="AZ186" i="15"/>
  <c r="AZ54" i="15"/>
  <c r="AZ187" i="15"/>
  <c r="AZ44" i="15"/>
  <c r="AZ29" i="15"/>
  <c r="AZ30" i="15"/>
  <c r="AZ31" i="15"/>
  <c r="AZ32" i="15"/>
  <c r="AZ36" i="15"/>
  <c r="AZ37" i="15"/>
  <c r="AY36" i="15"/>
  <c r="AY32" i="15"/>
  <c r="AY29" i="15"/>
  <c r="AZ22" i="15"/>
  <c r="AZ10" i="15"/>
  <c r="AZ11" i="15"/>
  <c r="AZ8" i="15"/>
  <c r="AZ180" i="15"/>
  <c r="CO7" i="15"/>
  <c r="C279" i="17"/>
  <c r="AV102" i="19"/>
  <c r="AV101" i="19"/>
  <c r="AV100" i="19"/>
  <c r="CN86" i="15"/>
  <c r="AX92" i="15"/>
  <c r="CO86" i="15"/>
  <c r="CN13" i="15"/>
  <c r="CN12" i="15"/>
  <c r="CN9" i="15"/>
  <c r="CN7" i="15"/>
  <c r="CO52" i="15"/>
  <c r="CO44" i="15"/>
  <c r="CO13" i="15"/>
  <c r="CO12" i="15"/>
  <c r="CO9" i="15"/>
  <c r="AY137" i="15"/>
  <c r="AY122" i="15"/>
  <c r="AY121" i="15"/>
  <c r="AY101" i="15"/>
  <c r="AU75" i="15"/>
  <c r="AY75" i="15"/>
  <c r="AZ75" i="15"/>
  <c r="AY73" i="15"/>
  <c r="AY71" i="15"/>
  <c r="AZ71" i="15"/>
  <c r="AY70" i="15"/>
  <c r="AU66" i="15"/>
  <c r="AY66" i="15"/>
  <c r="AZ66" i="15"/>
  <c r="BA66" i="15"/>
  <c r="BA195" i="15"/>
  <c r="AU62" i="15"/>
  <c r="AU191" i="15"/>
  <c r="AY62" i="15"/>
  <c r="AZ62" i="15"/>
  <c r="BA62" i="15"/>
  <c r="AU55" i="15"/>
  <c r="AY293" i="15"/>
  <c r="AY279" i="15"/>
  <c r="AY228" i="15"/>
  <c r="AY227" i="15"/>
  <c r="AY226" i="15"/>
  <c r="AY205" i="15"/>
  <c r="AY185" i="15"/>
  <c r="AY179" i="15"/>
  <c r="AY178" i="15"/>
  <c r="AY177" i="15"/>
  <c r="AY176" i="15"/>
  <c r="AY156" i="15"/>
  <c r="AY141" i="15"/>
  <c r="AY112" i="15"/>
  <c r="AY110" i="15"/>
  <c r="AY111" i="15"/>
  <c r="AY99" i="15"/>
  <c r="AY82" i="15"/>
  <c r="AY67" i="15"/>
  <c r="AY196" i="15"/>
  <c r="AY59" i="15"/>
  <c r="AY44" i="15"/>
  <c r="AY37" i="15"/>
  <c r="AY31" i="15"/>
  <c r="AY30" i="15"/>
  <c r="AY10" i="15"/>
  <c r="AY8" i="15"/>
  <c r="AY180" i="15"/>
  <c r="C291" i="17"/>
  <c r="C341" i="17"/>
  <c r="AU103" i="19"/>
  <c r="AX148" i="15"/>
  <c r="AX137" i="15"/>
  <c r="AX122" i="15"/>
  <c r="AX121" i="15"/>
  <c r="AX101" i="15"/>
  <c r="AX141" i="15"/>
  <c r="BK73" i="15"/>
  <c r="BK72" i="15"/>
  <c r="BK69" i="15"/>
  <c r="BK65" i="15"/>
  <c r="BK41" i="15"/>
  <c r="BK61" i="15"/>
  <c r="AX72" i="15"/>
  <c r="AX69" i="15"/>
  <c r="AX65" i="15"/>
  <c r="AX194" i="15"/>
  <c r="AX61" i="15"/>
  <c r="AY61" i="15"/>
  <c r="AY190" i="15"/>
  <c r="AX223" i="15"/>
  <c r="BK22" i="15"/>
  <c r="BK19" i="15"/>
  <c r="BK17" i="15"/>
  <c r="BK8" i="15"/>
  <c r="BK60" i="15"/>
  <c r="BK59" i="15"/>
  <c r="BK54" i="15"/>
  <c r="BK53" i="15"/>
  <c r="BK46" i="15"/>
  <c r="BK42" i="15"/>
  <c r="BK44" i="15"/>
  <c r="BK37" i="15"/>
  <c r="BK36" i="15"/>
  <c r="BK32" i="15"/>
  <c r="BK31" i="15"/>
  <c r="BK30" i="15"/>
  <c r="BK29" i="15"/>
  <c r="BK10" i="15"/>
  <c r="AX22" i="15"/>
  <c r="AX17" i="15"/>
  <c r="BA17" i="15"/>
  <c r="BC34" i="15"/>
  <c r="AX19" i="15"/>
  <c r="CK7" i="15"/>
  <c r="CN52" i="15"/>
  <c r="CR53" i="15" s="1"/>
  <c r="CN44" i="15"/>
  <c r="AX293" i="15"/>
  <c r="AX279" i="15"/>
  <c r="AX228" i="15"/>
  <c r="AX227" i="15"/>
  <c r="AX226" i="15"/>
  <c r="AX205" i="15"/>
  <c r="AX204" i="15"/>
  <c r="AX202" i="15"/>
  <c r="AX200" i="15"/>
  <c r="AX199" i="15"/>
  <c r="AX196" i="15"/>
  <c r="AX195" i="15"/>
  <c r="AX191" i="15"/>
  <c r="AX185" i="15"/>
  <c r="AX179" i="15"/>
  <c r="AX178" i="15"/>
  <c r="AX177" i="15"/>
  <c r="AX176" i="15"/>
  <c r="AX156" i="15"/>
  <c r="AX112" i="15"/>
  <c r="AX111" i="15"/>
  <c r="AX110" i="15"/>
  <c r="AX107" i="15"/>
  <c r="AX99" i="15"/>
  <c r="AX82" i="15"/>
  <c r="AX60" i="15"/>
  <c r="AX59" i="15"/>
  <c r="AX54" i="15"/>
  <c r="AX187" i="15"/>
  <c r="AX53" i="15"/>
  <c r="AX186" i="15"/>
  <c r="AX46" i="15"/>
  <c r="AX42" i="15"/>
  <c r="AX44" i="15"/>
  <c r="AX37" i="15"/>
  <c r="AX36" i="15"/>
  <c r="AX32" i="15"/>
  <c r="AX31" i="15"/>
  <c r="AX30" i="15"/>
  <c r="AX29" i="15"/>
  <c r="AX10" i="15"/>
  <c r="AX8" i="15"/>
  <c r="AX180" i="15"/>
  <c r="AT102" i="19"/>
  <c r="AT101" i="19"/>
  <c r="AT100" i="19"/>
  <c r="AT103" i="19"/>
  <c r="CM86" i="15"/>
  <c r="AW92" i="15"/>
  <c r="M92" i="15"/>
  <c r="CL86" i="15"/>
  <c r="M61" i="15"/>
  <c r="M240" i="15"/>
  <c r="M73" i="15"/>
  <c r="L8" i="15"/>
  <c r="L180" i="15"/>
  <c r="M8" i="15"/>
  <c r="M180" i="15"/>
  <c r="L293" i="15"/>
  <c r="L283" i="15"/>
  <c r="L297" i="15"/>
  <c r="L255" i="15"/>
  <c r="L254" i="15"/>
  <c r="L250" i="15"/>
  <c r="L249" i="15"/>
  <c r="L246" i="15"/>
  <c r="L245" i="15"/>
  <c r="L242" i="15"/>
  <c r="L241" i="15"/>
  <c r="L235" i="15"/>
  <c r="L229" i="15"/>
  <c r="L226" i="15"/>
  <c r="L205" i="15"/>
  <c r="L204" i="15"/>
  <c r="L200" i="15"/>
  <c r="L199" i="15"/>
  <c r="L196" i="15"/>
  <c r="L195" i="15"/>
  <c r="L192" i="15"/>
  <c r="L191" i="15"/>
  <c r="L185" i="15"/>
  <c r="L179" i="15"/>
  <c r="L176" i="15"/>
  <c r="L156" i="15"/>
  <c r="L141" i="15"/>
  <c r="L137" i="15"/>
  <c r="AS137" i="15"/>
  <c r="L122" i="15"/>
  <c r="L121" i="15"/>
  <c r="L112" i="15"/>
  <c r="L111" i="15"/>
  <c r="L110" i="15"/>
  <c r="L107" i="15"/>
  <c r="L101" i="15"/>
  <c r="AS101" i="15"/>
  <c r="L99" i="15"/>
  <c r="L87" i="15"/>
  <c r="L86" i="15"/>
  <c r="L161" i="15"/>
  <c r="L216" i="15"/>
  <c r="L83" i="15"/>
  <c r="L280" i="15"/>
  <c r="L294" i="15"/>
  <c r="L73" i="15"/>
  <c r="L72" i="15"/>
  <c r="L69" i="15"/>
  <c r="L65" i="15"/>
  <c r="L194" i="15"/>
  <c r="L61" i="15"/>
  <c r="L190" i="15"/>
  <c r="L60" i="15"/>
  <c r="L59" i="15"/>
  <c r="L54" i="15"/>
  <c r="L187" i="15"/>
  <c r="L46" i="15"/>
  <c r="L42" i="15"/>
  <c r="L44" i="15"/>
  <c r="L37" i="15"/>
  <c r="L36" i="15"/>
  <c r="L32" i="15"/>
  <c r="L31" i="15"/>
  <c r="L30" i="15"/>
  <c r="L29" i="15"/>
  <c r="L10" i="15"/>
  <c r="L11" i="15"/>
  <c r="W66" i="19"/>
  <c r="W40" i="19"/>
  <c r="W33" i="19"/>
  <c r="W39" i="19"/>
  <c r="W27" i="19"/>
  <c r="W38" i="19"/>
  <c r="W22" i="19"/>
  <c r="W15" i="19"/>
  <c r="W21" i="19"/>
  <c r="W9" i="19"/>
  <c r="W8" i="19"/>
  <c r="AV293" i="15"/>
  <c r="V293" i="15"/>
  <c r="AV279" i="15"/>
  <c r="V255" i="15"/>
  <c r="V254" i="15"/>
  <c r="V252" i="15"/>
  <c r="V250" i="15"/>
  <c r="V248" i="15"/>
  <c r="V246" i="15"/>
  <c r="V245" i="15"/>
  <c r="V244" i="15"/>
  <c r="V242" i="15"/>
  <c r="V241" i="15"/>
  <c r="V235" i="15"/>
  <c r="V229" i="15"/>
  <c r="AV228" i="15"/>
  <c r="V228" i="15"/>
  <c r="AV227" i="15"/>
  <c r="V227" i="15"/>
  <c r="AV226" i="15"/>
  <c r="V226" i="15"/>
  <c r="V205" i="15"/>
  <c r="V204" i="15"/>
  <c r="V202" i="15"/>
  <c r="V200" i="15"/>
  <c r="V198" i="15"/>
  <c r="V196" i="15"/>
  <c r="V195" i="15"/>
  <c r="V194" i="15"/>
  <c r="V192" i="15"/>
  <c r="V191" i="15"/>
  <c r="V186" i="15"/>
  <c r="AV185" i="15"/>
  <c r="V185" i="15"/>
  <c r="AV179" i="15"/>
  <c r="V179" i="15"/>
  <c r="AV178" i="15"/>
  <c r="V178" i="15"/>
  <c r="AV177" i="15"/>
  <c r="V177" i="15"/>
  <c r="AV176" i="15"/>
  <c r="V176" i="15"/>
  <c r="AV156" i="15"/>
  <c r="AV141" i="15"/>
  <c r="C428" i="17"/>
  <c r="V141" i="15"/>
  <c r="V286" i="15"/>
  <c r="V124" i="15"/>
  <c r="AV112" i="15"/>
  <c r="V112" i="15"/>
  <c r="AV111" i="15"/>
  <c r="AV110" i="15"/>
  <c r="V110" i="15"/>
  <c r="AV99" i="15"/>
  <c r="Z89" i="15"/>
  <c r="Z284" i="15"/>
  <c r="Z298" i="15"/>
  <c r="AB87" i="15"/>
  <c r="AB283" i="15"/>
  <c r="AA87" i="15"/>
  <c r="AA283" i="15"/>
  <c r="Z87" i="15"/>
  <c r="Z283" i="15"/>
  <c r="Z297" i="15"/>
  <c r="V87" i="15"/>
  <c r="V283" i="15"/>
  <c r="V297" i="15"/>
  <c r="AB86" i="15"/>
  <c r="AA86" i="15"/>
  <c r="AA281" i="15"/>
  <c r="Z86" i="15"/>
  <c r="V86" i="15"/>
  <c r="AB83" i="15"/>
  <c r="AB280" i="15"/>
  <c r="AA83" i="15"/>
  <c r="AA280" i="15"/>
  <c r="AA282" i="15" s="1"/>
  <c r="Z83" i="15"/>
  <c r="Z280" i="15"/>
  <c r="Z294" i="15"/>
  <c r="AV82" i="15"/>
  <c r="BF76" i="15"/>
  <c r="BG76" i="15"/>
  <c r="W76" i="15"/>
  <c r="W255" i="15"/>
  <c r="BF75" i="15"/>
  <c r="BG75" i="15"/>
  <c r="W75" i="15"/>
  <c r="W204" i="15"/>
  <c r="BF73" i="15"/>
  <c r="BG73" i="15"/>
  <c r="W73" i="15"/>
  <c r="W252" i="15"/>
  <c r="W71" i="15"/>
  <c r="W69" i="15"/>
  <c r="W67" i="15"/>
  <c r="BF66" i="15"/>
  <c r="BG66" i="15"/>
  <c r="W66" i="15"/>
  <c r="BF65" i="15"/>
  <c r="W65" i="15"/>
  <c r="W194" i="15"/>
  <c r="V60" i="15"/>
  <c r="AV59" i="15"/>
  <c r="CD54" i="15"/>
  <c r="V54" i="15"/>
  <c r="V187" i="15"/>
  <c r="CD53" i="15"/>
  <c r="BI53" i="15"/>
  <c r="Z53" i="15"/>
  <c r="Z186" i="15"/>
  <c r="AW52" i="15"/>
  <c r="AW86" i="15"/>
  <c r="AW281" i="15"/>
  <c r="CD44" i="15"/>
  <c r="AV44" i="15"/>
  <c r="V41" i="15"/>
  <c r="AV37" i="15"/>
  <c r="V37" i="15"/>
  <c r="AV36" i="15"/>
  <c r="V36" i="15"/>
  <c r="AV32" i="15"/>
  <c r="V32" i="15"/>
  <c r="AV31" i="15"/>
  <c r="V31" i="15"/>
  <c r="AV30" i="15"/>
  <c r="V30" i="15"/>
  <c r="AV29" i="15"/>
  <c r="V29" i="15"/>
  <c r="AW24" i="15"/>
  <c r="AW15" i="15"/>
  <c r="AW14" i="15"/>
  <c r="AW13" i="15"/>
  <c r="AW12" i="15"/>
  <c r="CD10" i="15"/>
  <c r="AV10" i="15"/>
  <c r="V10" i="15"/>
  <c r="V11" i="15"/>
  <c r="AW9" i="15"/>
  <c r="AV8" i="15"/>
  <c r="AV180" i="15"/>
  <c r="Z8" i="15"/>
  <c r="Z180" i="15"/>
  <c r="V8" i="15"/>
  <c r="V180" i="15"/>
  <c r="AW7" i="15"/>
  <c r="W72" i="19"/>
  <c r="L103" i="19"/>
  <c r="CM53" i="15"/>
  <c r="CM54" i="15"/>
  <c r="CM44" i="15"/>
  <c r="CM10" i="15"/>
  <c r="M122" i="15"/>
  <c r="AW122" i="15"/>
  <c r="M137" i="15"/>
  <c r="AW137" i="15"/>
  <c r="M121" i="15"/>
  <c r="AW121" i="15"/>
  <c r="M101" i="15"/>
  <c r="AW101" i="15"/>
  <c r="M70" i="15"/>
  <c r="M72" i="15"/>
  <c r="M201" i="15"/>
  <c r="M65" i="15"/>
  <c r="M89" i="15"/>
  <c r="M53" i="15"/>
  <c r="M186" i="15"/>
  <c r="AW293" i="15"/>
  <c r="AW279" i="15"/>
  <c r="AW228" i="15"/>
  <c r="AW227" i="15"/>
  <c r="AW226" i="15"/>
  <c r="AW223" i="15"/>
  <c r="AZ222" i="15"/>
  <c r="AW178" i="15"/>
  <c r="AW177" i="15"/>
  <c r="AW176" i="15"/>
  <c r="AW156" i="15"/>
  <c r="AW152" i="15"/>
  <c r="AW151" i="15"/>
  <c r="AW149" i="15"/>
  <c r="AW140" i="15"/>
  <c r="AW139" i="15"/>
  <c r="AW132" i="15"/>
  <c r="AW131" i="15"/>
  <c r="AW130" i="15"/>
  <c r="AW129" i="15"/>
  <c r="C379" i="17"/>
  <c r="AW128" i="15"/>
  <c r="AW127" i="15"/>
  <c r="AW126" i="15"/>
  <c r="AW120" i="15"/>
  <c r="AW106" i="15"/>
  <c r="AW105" i="15"/>
  <c r="AW104" i="15"/>
  <c r="AW103" i="15"/>
  <c r="AW102" i="15"/>
  <c r="AW99" i="15"/>
  <c r="AW82" i="15"/>
  <c r="AW59" i="15"/>
  <c r="AW44" i="15"/>
  <c r="M293" i="15"/>
  <c r="M283" i="15"/>
  <c r="M297" i="15"/>
  <c r="M255" i="15"/>
  <c r="M254" i="15"/>
  <c r="M250" i="15"/>
  <c r="M246" i="15"/>
  <c r="M245" i="15"/>
  <c r="M242" i="15"/>
  <c r="M235" i="15"/>
  <c r="M236" i="15"/>
  <c r="M229" i="15"/>
  <c r="M226" i="15"/>
  <c r="M205" i="15"/>
  <c r="M204" i="15"/>
  <c r="M200" i="15"/>
  <c r="M196" i="15"/>
  <c r="M195" i="15"/>
  <c r="M192" i="15"/>
  <c r="M185" i="15"/>
  <c r="M179" i="15"/>
  <c r="M176" i="15"/>
  <c r="M156" i="15"/>
  <c r="M141" i="15"/>
  <c r="M286" i="15"/>
  <c r="M300" i="15"/>
  <c r="M112" i="15"/>
  <c r="M111" i="15"/>
  <c r="M110" i="15"/>
  <c r="M107" i="15"/>
  <c r="M99" i="15"/>
  <c r="M87" i="15"/>
  <c r="M86" i="15"/>
  <c r="M83" i="15"/>
  <c r="M280" i="15"/>
  <c r="M294" i="15"/>
  <c r="M241" i="15"/>
  <c r="M60" i="15"/>
  <c r="M59" i="15"/>
  <c r="M54" i="15"/>
  <c r="M187" i="15"/>
  <c r="M46" i="15"/>
  <c r="M42" i="15"/>
  <c r="M44" i="15"/>
  <c r="M37" i="15"/>
  <c r="M36" i="15"/>
  <c r="M32" i="15"/>
  <c r="M31" i="15"/>
  <c r="M30" i="15"/>
  <c r="M29" i="15"/>
  <c r="M10" i="15"/>
  <c r="M16" i="15"/>
  <c r="C474" i="17"/>
  <c r="AS103" i="19"/>
  <c r="AV137" i="15"/>
  <c r="AV122" i="15"/>
  <c r="AV121" i="15"/>
  <c r="AV101" i="15"/>
  <c r="CL54" i="15"/>
  <c r="CL44" i="15"/>
  <c r="CL10" i="15"/>
  <c r="AR22" i="15"/>
  <c r="AV22" i="15"/>
  <c r="AV76" i="15"/>
  <c r="AW76" i="15"/>
  <c r="D480" i="17"/>
  <c r="C486" i="17"/>
  <c r="AR96" i="19"/>
  <c r="AR103" i="19"/>
  <c r="CK86" i="15"/>
  <c r="AU86" i="15"/>
  <c r="AU161" i="15"/>
  <c r="AU216" i="15"/>
  <c r="CK52" i="15"/>
  <c r="CK44" i="15"/>
  <c r="CK13" i="15"/>
  <c r="CK12" i="15"/>
  <c r="CK9" i="15"/>
  <c r="AU137" i="15"/>
  <c r="AU122" i="15"/>
  <c r="D448" i="17"/>
  <c r="AU121" i="15"/>
  <c r="AU105" i="15"/>
  <c r="AU101" i="15"/>
  <c r="C9" i="19"/>
  <c r="C8" i="19"/>
  <c r="D9" i="19"/>
  <c r="D8" i="19"/>
  <c r="O9" i="19"/>
  <c r="O20" i="19"/>
  <c r="O8" i="19"/>
  <c r="P9" i="19"/>
  <c r="P8" i="19"/>
  <c r="Q9" i="19"/>
  <c r="Q8" i="19"/>
  <c r="R9" i="19"/>
  <c r="R20" i="19"/>
  <c r="S9" i="19"/>
  <c r="S20" i="19"/>
  <c r="S8" i="19"/>
  <c r="T9" i="19"/>
  <c r="T8" i="19"/>
  <c r="U9" i="19"/>
  <c r="U8" i="19"/>
  <c r="V9" i="19"/>
  <c r="V20" i="19"/>
  <c r="E10" i="19"/>
  <c r="F10" i="19"/>
  <c r="E11" i="19"/>
  <c r="E9" i="19" s="1"/>
  <c r="F11" i="19"/>
  <c r="E12" i="19"/>
  <c r="F12" i="19"/>
  <c r="E13" i="19"/>
  <c r="F13" i="19"/>
  <c r="C15" i="19"/>
  <c r="C21" i="19"/>
  <c r="D15" i="19"/>
  <c r="O15" i="19"/>
  <c r="O21" i="19"/>
  <c r="P15" i="19"/>
  <c r="P21" i="19"/>
  <c r="Q15" i="19"/>
  <c r="Q21" i="19"/>
  <c r="R15" i="19"/>
  <c r="R21" i="19"/>
  <c r="S15" i="19"/>
  <c r="S21" i="19"/>
  <c r="T15" i="19"/>
  <c r="T21" i="19"/>
  <c r="U15" i="19"/>
  <c r="U21" i="19"/>
  <c r="V15" i="19"/>
  <c r="V21" i="19"/>
  <c r="E16" i="19"/>
  <c r="F16" i="19"/>
  <c r="E17" i="19"/>
  <c r="F17" i="19"/>
  <c r="C22" i="19"/>
  <c r="O22" i="19"/>
  <c r="P22" i="19"/>
  <c r="Q22" i="19"/>
  <c r="R22" i="19"/>
  <c r="S22" i="19"/>
  <c r="T22" i="19"/>
  <c r="U22" i="19"/>
  <c r="V22" i="19"/>
  <c r="D23" i="19"/>
  <c r="C27" i="19"/>
  <c r="C26" i="19"/>
  <c r="D27" i="19"/>
  <c r="D26" i="19"/>
  <c r="E27" i="19"/>
  <c r="E26" i="19"/>
  <c r="F27" i="19"/>
  <c r="F26" i="19"/>
  <c r="F38" i="19"/>
  <c r="O27" i="19"/>
  <c r="O38" i="19"/>
  <c r="P27" i="19"/>
  <c r="P26" i="19"/>
  <c r="Q27" i="19"/>
  <c r="Q38" i="19"/>
  <c r="R27" i="19"/>
  <c r="R38" i="19"/>
  <c r="R26" i="19"/>
  <c r="S27" i="19"/>
  <c r="S26" i="19"/>
  <c r="T27" i="19"/>
  <c r="T26" i="19"/>
  <c r="U27" i="19"/>
  <c r="U38" i="19"/>
  <c r="U26" i="19"/>
  <c r="V27" i="19"/>
  <c r="V38" i="19"/>
  <c r="C33" i="19"/>
  <c r="C39" i="19"/>
  <c r="D33" i="19"/>
  <c r="D39" i="19"/>
  <c r="O33" i="19"/>
  <c r="O39" i="19"/>
  <c r="P33" i="19"/>
  <c r="P39" i="19"/>
  <c r="Q33" i="19"/>
  <c r="Q39" i="19"/>
  <c r="R33" i="19"/>
  <c r="R39" i="19"/>
  <c r="S33" i="19"/>
  <c r="S39" i="19"/>
  <c r="T33" i="19"/>
  <c r="T39" i="19"/>
  <c r="U33" i="19"/>
  <c r="U39" i="19"/>
  <c r="V33" i="19"/>
  <c r="V39" i="19"/>
  <c r="E34" i="19"/>
  <c r="F34" i="19"/>
  <c r="E35" i="19"/>
  <c r="F35" i="19"/>
  <c r="F33" i="19" s="1"/>
  <c r="F39" i="19" s="1"/>
  <c r="C40" i="19"/>
  <c r="D40" i="19"/>
  <c r="E40" i="19"/>
  <c r="F40" i="19"/>
  <c r="O40" i="19"/>
  <c r="P40" i="19"/>
  <c r="Q40" i="19"/>
  <c r="R40" i="19"/>
  <c r="S40" i="19"/>
  <c r="T40" i="19"/>
  <c r="U40" i="19"/>
  <c r="V40" i="19"/>
  <c r="E64" i="19"/>
  <c r="F64" i="19"/>
  <c r="E65" i="19"/>
  <c r="E66" i="19"/>
  <c r="F65" i="19"/>
  <c r="F66" i="19" s="1"/>
  <c r="C66" i="19"/>
  <c r="D66" i="19"/>
  <c r="O66" i="19"/>
  <c r="P66" i="19"/>
  <c r="Q66" i="19"/>
  <c r="R66" i="19"/>
  <c r="S66" i="19"/>
  <c r="T66" i="19"/>
  <c r="U66" i="19"/>
  <c r="V66" i="19"/>
  <c r="E70" i="19"/>
  <c r="F70" i="19"/>
  <c r="E71" i="19"/>
  <c r="E72" i="19"/>
  <c r="F71" i="19"/>
  <c r="C72" i="19"/>
  <c r="D72" i="19"/>
  <c r="O72" i="19"/>
  <c r="P72" i="19"/>
  <c r="Q72" i="19"/>
  <c r="R72" i="19"/>
  <c r="S72" i="19"/>
  <c r="T72" i="19"/>
  <c r="U72" i="19"/>
  <c r="V72" i="19"/>
  <c r="AC96" i="19"/>
  <c r="AD96" i="19"/>
  <c r="AF96" i="19"/>
  <c r="AI96" i="19"/>
  <c r="AJ96" i="19"/>
  <c r="AO96" i="19"/>
  <c r="AP96" i="19"/>
  <c r="AB100" i="19"/>
  <c r="AC100" i="19"/>
  <c r="AD100" i="19"/>
  <c r="AF100" i="19"/>
  <c r="AG100" i="19"/>
  <c r="AH100" i="19"/>
  <c r="AJ100" i="19"/>
  <c r="AK100" i="19"/>
  <c r="AB101" i="19"/>
  <c r="AF101" i="19"/>
  <c r="AG101" i="19"/>
  <c r="AJ101" i="19"/>
  <c r="AK101" i="19"/>
  <c r="J103" i="19"/>
  <c r="K103" i="19"/>
  <c r="U103" i="19"/>
  <c r="V103" i="19"/>
  <c r="Y103" i="19"/>
  <c r="Z103" i="19"/>
  <c r="AA103" i="19"/>
  <c r="AE103" i="19"/>
  <c r="AI103" i="19"/>
  <c r="AL103" i="19"/>
  <c r="AM103" i="19"/>
  <c r="AN103" i="19"/>
  <c r="AO103" i="19"/>
  <c r="AP103" i="19"/>
  <c r="AQ103" i="19"/>
  <c r="H108" i="19"/>
  <c r="I108" i="19"/>
  <c r="J108" i="19"/>
  <c r="K108" i="19"/>
  <c r="H109" i="19"/>
  <c r="J109" i="19"/>
  <c r="K109" i="19"/>
  <c r="H110" i="19"/>
  <c r="I110" i="19"/>
  <c r="J110" i="19"/>
  <c r="K110" i="19"/>
  <c r="H111" i="19"/>
  <c r="I111" i="19"/>
  <c r="J111" i="19"/>
  <c r="K111" i="19"/>
  <c r="H114" i="19"/>
  <c r="I114" i="19"/>
  <c r="J114" i="19"/>
  <c r="K114" i="19"/>
  <c r="H115" i="19"/>
  <c r="J115" i="19"/>
  <c r="K115" i="19"/>
  <c r="H116" i="19"/>
  <c r="I116" i="19"/>
  <c r="J116" i="19"/>
  <c r="K116" i="19"/>
  <c r="H117" i="19"/>
  <c r="I117" i="19"/>
  <c r="J117" i="19"/>
  <c r="K117" i="19"/>
  <c r="T7" i="15"/>
  <c r="Y7" i="15"/>
  <c r="AC7" i="15"/>
  <c r="AG7" i="15"/>
  <c r="AH83" i="15"/>
  <c r="AH280" i="15"/>
  <c r="AK7" i="15"/>
  <c r="AO7" i="15"/>
  <c r="AO54" i="15"/>
  <c r="AO187" i="15"/>
  <c r="AS7" i="15"/>
  <c r="CF7" i="15"/>
  <c r="CG7" i="15"/>
  <c r="CJ7" i="15"/>
  <c r="C8" i="15"/>
  <c r="C180" i="15"/>
  <c r="D8" i="15"/>
  <c r="D180" i="15"/>
  <c r="E8" i="15"/>
  <c r="E180" i="15"/>
  <c r="F8" i="15"/>
  <c r="F180" i="15"/>
  <c r="H8" i="15"/>
  <c r="H180" i="15"/>
  <c r="I8" i="15"/>
  <c r="I180" i="15"/>
  <c r="J8" i="15"/>
  <c r="J180" i="15"/>
  <c r="K8" i="15"/>
  <c r="K180" i="15"/>
  <c r="Q8" i="15"/>
  <c r="Q180" i="15"/>
  <c r="R8" i="15"/>
  <c r="R180" i="15"/>
  <c r="S8" i="15"/>
  <c r="S180" i="15"/>
  <c r="U8" i="15"/>
  <c r="U180" i="15"/>
  <c r="W8" i="15"/>
  <c r="W180" i="15"/>
  <c r="X8" i="15"/>
  <c r="X180" i="15"/>
  <c r="AA8" i="15"/>
  <c r="AA180" i="15"/>
  <c r="AB8" i="15"/>
  <c r="AB180" i="15"/>
  <c r="AD8" i="15"/>
  <c r="AD180" i="15"/>
  <c r="AE8" i="15"/>
  <c r="AE180" i="15"/>
  <c r="AF8" i="15"/>
  <c r="AF180" i="15"/>
  <c r="AH8" i="15"/>
  <c r="AH180" i="15"/>
  <c r="AI8" i="15"/>
  <c r="AI180" i="15"/>
  <c r="AJ8" i="15"/>
  <c r="AJ180" i="15"/>
  <c r="AL8" i="15"/>
  <c r="AL180" i="15"/>
  <c r="AM8" i="15"/>
  <c r="AM180" i="15"/>
  <c r="AN8" i="15"/>
  <c r="AN180" i="15"/>
  <c r="AP8" i="15"/>
  <c r="AP180" i="15"/>
  <c r="AQ8" i="15"/>
  <c r="AQ180" i="15"/>
  <c r="AR8" i="15"/>
  <c r="AR180" i="15"/>
  <c r="AT8" i="15"/>
  <c r="AT180" i="15"/>
  <c r="AU8" i="15"/>
  <c r="AU180" i="15"/>
  <c r="BG8" i="15"/>
  <c r="BI8" i="15"/>
  <c r="BJ8" i="15"/>
  <c r="BO8" i="15"/>
  <c r="BP8" i="15"/>
  <c r="T9" i="15"/>
  <c r="Y9" i="15"/>
  <c r="AC9" i="15"/>
  <c r="AG9" i="15"/>
  <c r="AK9" i="15"/>
  <c r="AO9" i="15"/>
  <c r="AS9" i="15"/>
  <c r="CF9" i="15"/>
  <c r="CG9" i="15"/>
  <c r="CJ9" i="15"/>
  <c r="C10" i="15"/>
  <c r="D10" i="15"/>
  <c r="D16" i="15"/>
  <c r="D84" i="15"/>
  <c r="E10" i="15"/>
  <c r="E16" i="15"/>
  <c r="F10" i="15"/>
  <c r="G10" i="15"/>
  <c r="G16" i="15"/>
  <c r="H10" i="15"/>
  <c r="I10" i="15"/>
  <c r="J10" i="15"/>
  <c r="K10" i="15"/>
  <c r="Q10" i="15"/>
  <c r="Q11" i="15"/>
  <c r="R10" i="15"/>
  <c r="S10" i="15"/>
  <c r="U10" i="15"/>
  <c r="U11" i="15"/>
  <c r="W10" i="15"/>
  <c r="X10" i="15"/>
  <c r="Z10" i="15"/>
  <c r="AA10" i="15"/>
  <c r="AA16" i="15"/>
  <c r="AB10" i="15"/>
  <c r="AB11" i="15"/>
  <c r="AD10" i="15"/>
  <c r="AE10" i="15"/>
  <c r="AF10" i="15"/>
  <c r="AF16" i="15"/>
  <c r="AH10" i="15"/>
  <c r="AI10" i="15"/>
  <c r="AI11" i="15"/>
  <c r="AJ10" i="15"/>
  <c r="AL10" i="15"/>
  <c r="AL16" i="15"/>
  <c r="AM10" i="15"/>
  <c r="AM11" i="15"/>
  <c r="AN10" i="15"/>
  <c r="AP10" i="15"/>
  <c r="AQ10" i="15"/>
  <c r="AQ16" i="15"/>
  <c r="AQ21" i="15"/>
  <c r="AR10" i="15"/>
  <c r="AR16" i="15"/>
  <c r="AR21" i="15"/>
  <c r="AT10" i="15"/>
  <c r="AT11" i="15"/>
  <c r="AU10" i="15"/>
  <c r="BF10" i="15"/>
  <c r="BF11" i="15"/>
  <c r="BG10" i="15"/>
  <c r="BG16" i="15"/>
  <c r="BH10" i="15"/>
  <c r="BI10" i="15"/>
  <c r="BJ10" i="15"/>
  <c r="BN10" i="15"/>
  <c r="BN16" i="15"/>
  <c r="BO10" i="15"/>
  <c r="BO11" i="15"/>
  <c r="BP10" i="15"/>
  <c r="BP11" i="15"/>
  <c r="BQ10" i="15"/>
  <c r="BQ16" i="15"/>
  <c r="BR10" i="15"/>
  <c r="BR16" i="15"/>
  <c r="BS10" i="15"/>
  <c r="BT10" i="15"/>
  <c r="BU10" i="15"/>
  <c r="BV10" i="15"/>
  <c r="BW10" i="15"/>
  <c r="BX10" i="15"/>
  <c r="BY10" i="15"/>
  <c r="BZ10" i="15"/>
  <c r="CA10" i="15"/>
  <c r="CB10" i="15"/>
  <c r="CC10" i="15"/>
  <c r="CE10" i="15"/>
  <c r="CH10" i="15"/>
  <c r="CI10" i="15"/>
  <c r="T12" i="15"/>
  <c r="Y12" i="15"/>
  <c r="AC12" i="15"/>
  <c r="AG12" i="15"/>
  <c r="AK12" i="15"/>
  <c r="AO12" i="15"/>
  <c r="AS12" i="15"/>
  <c r="CF12" i="15"/>
  <c r="CG12" i="15"/>
  <c r="CJ12" i="15"/>
  <c r="T13" i="15"/>
  <c r="Y13" i="15"/>
  <c r="AC13" i="15"/>
  <c r="AG13" i="15"/>
  <c r="AK13" i="15"/>
  <c r="AK31" i="15"/>
  <c r="AO13" i="15"/>
  <c r="AS13" i="15"/>
  <c r="CF13" i="15"/>
  <c r="CG13" i="15"/>
  <c r="CJ13" i="15"/>
  <c r="T14" i="15"/>
  <c r="Y14" i="15"/>
  <c r="AC14" i="15"/>
  <c r="AG14" i="15"/>
  <c r="AK14" i="15"/>
  <c r="AO14" i="15"/>
  <c r="AS14" i="15"/>
  <c r="T15" i="15"/>
  <c r="Y15" i="15"/>
  <c r="AC15" i="15"/>
  <c r="AG15" i="15"/>
  <c r="AK15" i="15"/>
  <c r="AO15" i="15"/>
  <c r="AS15" i="15"/>
  <c r="T17" i="15"/>
  <c r="Y17" i="15"/>
  <c r="AC17" i="15"/>
  <c r="AG17" i="15"/>
  <c r="AH17" i="15"/>
  <c r="AL17" i="15"/>
  <c r="AO17" i="15"/>
  <c r="AP17" i="15"/>
  <c r="AS17" i="15"/>
  <c r="AT17" i="15"/>
  <c r="T18" i="15"/>
  <c r="Y18" i="15"/>
  <c r="AC18" i="15"/>
  <c r="AG18" i="15"/>
  <c r="T19" i="15"/>
  <c r="Y19" i="15"/>
  <c r="AC19" i="15"/>
  <c r="AG19" i="15"/>
  <c r="AH19" i="15"/>
  <c r="AL19" i="15"/>
  <c r="AO19" i="15"/>
  <c r="AP19" i="15"/>
  <c r="AS19" i="15"/>
  <c r="AT19" i="15"/>
  <c r="AW19" i="15"/>
  <c r="T20" i="15"/>
  <c r="T37" i="15"/>
  <c r="Y20" i="15"/>
  <c r="AC20" i="15"/>
  <c r="AG20" i="15"/>
  <c r="C22" i="15"/>
  <c r="D22" i="15"/>
  <c r="E22" i="15"/>
  <c r="F22" i="15"/>
  <c r="I22" i="15"/>
  <c r="J22" i="15"/>
  <c r="Q22" i="15"/>
  <c r="R22" i="15"/>
  <c r="S22" i="15"/>
  <c r="U22" i="15"/>
  <c r="V22" i="15"/>
  <c r="W22" i="15"/>
  <c r="X22" i="15"/>
  <c r="Z22" i="15"/>
  <c r="AA22" i="15"/>
  <c r="AB22" i="15"/>
  <c r="AD22" i="15"/>
  <c r="AE22" i="15"/>
  <c r="AF22" i="15"/>
  <c r="AH22" i="15"/>
  <c r="AI22" i="15"/>
  <c r="AJ22" i="15"/>
  <c r="AK22" i="15" s="1"/>
  <c r="AL22" i="15"/>
  <c r="AM22" i="15"/>
  <c r="AN22" i="15"/>
  <c r="AP22" i="15"/>
  <c r="AT22" i="15"/>
  <c r="BF22" i="15"/>
  <c r="BG22" i="15"/>
  <c r="BI22" i="15"/>
  <c r="BJ22" i="15"/>
  <c r="T24" i="15"/>
  <c r="Y24" i="15"/>
  <c r="AC24" i="15"/>
  <c r="AG24" i="15"/>
  <c r="AK24" i="15"/>
  <c r="AO24" i="15"/>
  <c r="AS24" i="15"/>
  <c r="B29" i="15"/>
  <c r="C29" i="15"/>
  <c r="D29" i="15"/>
  <c r="E29" i="15"/>
  <c r="F29" i="15"/>
  <c r="G29" i="15"/>
  <c r="H29" i="15"/>
  <c r="I29" i="15"/>
  <c r="J29" i="15"/>
  <c r="K29" i="15"/>
  <c r="Q29" i="15"/>
  <c r="R29" i="15"/>
  <c r="S29" i="15"/>
  <c r="W29" i="15"/>
  <c r="X29" i="15"/>
  <c r="Z29" i="15"/>
  <c r="AA29" i="15"/>
  <c r="AB29" i="15"/>
  <c r="AD29" i="15"/>
  <c r="AE29" i="15"/>
  <c r="AF29" i="15"/>
  <c r="AH29" i="15"/>
  <c r="AI29" i="15"/>
  <c r="AJ29" i="15"/>
  <c r="AL29" i="15"/>
  <c r="AM29" i="15"/>
  <c r="AN29" i="15"/>
  <c r="AP29" i="15"/>
  <c r="AQ29" i="15"/>
  <c r="AR29" i="15"/>
  <c r="AT29" i="15"/>
  <c r="AU29" i="15"/>
  <c r="BF29" i="15"/>
  <c r="BG29" i="15"/>
  <c r="BH29" i="15"/>
  <c r="BI29" i="15"/>
  <c r="BJ29" i="15"/>
  <c r="B30" i="15"/>
  <c r="C30" i="15"/>
  <c r="D30" i="15"/>
  <c r="E30" i="15"/>
  <c r="F30" i="15"/>
  <c r="G30" i="15"/>
  <c r="H30" i="15"/>
  <c r="I30" i="15"/>
  <c r="J30" i="15"/>
  <c r="K30" i="15"/>
  <c r="Q30" i="15"/>
  <c r="R30" i="15"/>
  <c r="S30" i="15"/>
  <c r="W30" i="15"/>
  <c r="X30" i="15"/>
  <c r="Z30" i="15"/>
  <c r="AA30" i="15"/>
  <c r="AB30" i="15"/>
  <c r="AD30" i="15"/>
  <c r="AE30" i="15"/>
  <c r="AF30" i="15"/>
  <c r="AH30" i="15"/>
  <c r="AI30" i="15"/>
  <c r="AJ30" i="15"/>
  <c r="AL30" i="15"/>
  <c r="AM30" i="15"/>
  <c r="AN30" i="15"/>
  <c r="AP30" i="15"/>
  <c r="AQ30" i="15"/>
  <c r="AR30" i="15"/>
  <c r="AT30" i="15"/>
  <c r="AU30" i="15"/>
  <c r="BF30" i="15"/>
  <c r="BG30" i="15"/>
  <c r="BH30" i="15"/>
  <c r="BI30" i="15"/>
  <c r="BJ30" i="15"/>
  <c r="B31" i="15"/>
  <c r="C31" i="15"/>
  <c r="D31" i="15"/>
  <c r="E31" i="15"/>
  <c r="F31" i="15"/>
  <c r="G31" i="15"/>
  <c r="H31" i="15"/>
  <c r="I31" i="15"/>
  <c r="J31" i="15"/>
  <c r="K31" i="15"/>
  <c r="Q31" i="15"/>
  <c r="R31" i="15"/>
  <c r="S31" i="15"/>
  <c r="W31" i="15"/>
  <c r="X31" i="15"/>
  <c r="Z31" i="15"/>
  <c r="AA31" i="15"/>
  <c r="AB31" i="15"/>
  <c r="AD31" i="15"/>
  <c r="AE31" i="15"/>
  <c r="AF31" i="15"/>
  <c r="AH31" i="15"/>
  <c r="AI31" i="15"/>
  <c r="AJ31" i="15"/>
  <c r="AL31" i="15"/>
  <c r="AM31" i="15"/>
  <c r="AN31" i="15"/>
  <c r="AP31" i="15"/>
  <c r="AQ31" i="15"/>
  <c r="AR31" i="15"/>
  <c r="AT31" i="15"/>
  <c r="AU31" i="15"/>
  <c r="BF31" i="15"/>
  <c r="BG31" i="15"/>
  <c r="BH31" i="15"/>
  <c r="BI31" i="15"/>
  <c r="BJ31" i="15"/>
  <c r="B32" i="15"/>
  <c r="C32" i="15"/>
  <c r="D32" i="15"/>
  <c r="E32" i="15"/>
  <c r="F32" i="15"/>
  <c r="G32" i="15"/>
  <c r="H32" i="15"/>
  <c r="I32" i="15"/>
  <c r="J32" i="15"/>
  <c r="K32" i="15"/>
  <c r="Q32" i="15"/>
  <c r="R32" i="15"/>
  <c r="S32" i="15"/>
  <c r="W32" i="15"/>
  <c r="X32" i="15"/>
  <c r="Z32" i="15"/>
  <c r="AA32" i="15"/>
  <c r="AB32" i="15"/>
  <c r="AD32" i="15"/>
  <c r="AE32" i="15"/>
  <c r="AF32" i="15"/>
  <c r="AH32" i="15"/>
  <c r="AI32" i="15"/>
  <c r="AJ32" i="15"/>
  <c r="AL32" i="15"/>
  <c r="AM32" i="15"/>
  <c r="AN32" i="15"/>
  <c r="AP32" i="15"/>
  <c r="AQ32" i="15"/>
  <c r="AR32" i="15"/>
  <c r="AT32" i="15"/>
  <c r="AU32" i="15"/>
  <c r="BF32" i="15"/>
  <c r="BG32" i="15"/>
  <c r="BH32" i="15"/>
  <c r="BI32" i="15"/>
  <c r="BJ32" i="15"/>
  <c r="B33" i="15"/>
  <c r="B36" i="15"/>
  <c r="C36" i="15"/>
  <c r="D36" i="15"/>
  <c r="E36" i="15"/>
  <c r="F36" i="15"/>
  <c r="G36" i="15"/>
  <c r="H36" i="15"/>
  <c r="I36" i="15"/>
  <c r="J36" i="15"/>
  <c r="K36" i="15"/>
  <c r="Q36" i="15"/>
  <c r="R36" i="15"/>
  <c r="S36" i="15"/>
  <c r="W36" i="15"/>
  <c r="X36" i="15"/>
  <c r="Z36" i="15"/>
  <c r="AA36" i="15"/>
  <c r="AB36" i="15"/>
  <c r="AD36" i="15"/>
  <c r="AE36" i="15"/>
  <c r="AF36" i="15"/>
  <c r="AH36" i="15"/>
  <c r="AI36" i="15"/>
  <c r="AJ36" i="15"/>
  <c r="AL36" i="15"/>
  <c r="AM36" i="15"/>
  <c r="AN36" i="15"/>
  <c r="AP36" i="15"/>
  <c r="AQ36" i="15"/>
  <c r="AR36" i="15"/>
  <c r="AT36" i="15"/>
  <c r="AU36" i="15"/>
  <c r="BF36" i="15"/>
  <c r="BG36" i="15"/>
  <c r="BH36" i="15"/>
  <c r="BI36" i="15"/>
  <c r="BJ36" i="15"/>
  <c r="B37" i="15"/>
  <c r="C37" i="15"/>
  <c r="D37" i="15"/>
  <c r="E37" i="15"/>
  <c r="F37" i="15"/>
  <c r="G37" i="15"/>
  <c r="H37" i="15"/>
  <c r="I37" i="15"/>
  <c r="J37" i="15"/>
  <c r="K37" i="15"/>
  <c r="Q37" i="15"/>
  <c r="R37" i="15"/>
  <c r="S37" i="15"/>
  <c r="W37" i="15"/>
  <c r="X37" i="15"/>
  <c r="Z37" i="15"/>
  <c r="AA37" i="15"/>
  <c r="AB37" i="15"/>
  <c r="AD37" i="15"/>
  <c r="AE37" i="15"/>
  <c r="AF37" i="15"/>
  <c r="AH37" i="15"/>
  <c r="AI37" i="15"/>
  <c r="AJ37" i="15"/>
  <c r="AL37" i="15"/>
  <c r="AM37" i="15"/>
  <c r="AN37" i="15"/>
  <c r="AP37" i="15"/>
  <c r="AQ37" i="15"/>
  <c r="AR37" i="15"/>
  <c r="AT37" i="15"/>
  <c r="AU37" i="15"/>
  <c r="BF37" i="15"/>
  <c r="BG37" i="15"/>
  <c r="BH37" i="15"/>
  <c r="BI37" i="15"/>
  <c r="BJ37" i="15"/>
  <c r="B38" i="15"/>
  <c r="C41" i="15"/>
  <c r="D41" i="15"/>
  <c r="E41" i="15"/>
  <c r="F41" i="15"/>
  <c r="G41" i="15"/>
  <c r="H41" i="15"/>
  <c r="I41" i="15"/>
  <c r="J41" i="15"/>
  <c r="K41" i="15"/>
  <c r="Q41" i="15"/>
  <c r="Z41" i="15"/>
  <c r="AD41" i="15"/>
  <c r="AH41" i="15"/>
  <c r="AL41" i="15"/>
  <c r="AP41" i="15"/>
  <c r="BH41" i="15"/>
  <c r="BI41" i="15"/>
  <c r="G44" i="15"/>
  <c r="H44" i="15"/>
  <c r="I44" i="15"/>
  <c r="J44" i="15"/>
  <c r="K44" i="15"/>
  <c r="AA44" i="15"/>
  <c r="AB44" i="15"/>
  <c r="AC44" i="15"/>
  <c r="AE44" i="15"/>
  <c r="AF44" i="15"/>
  <c r="AG44" i="15"/>
  <c r="AH44" i="15"/>
  <c r="AI44" i="15"/>
  <c r="AJ44" i="15"/>
  <c r="AK44" i="15"/>
  <c r="AL44" i="15"/>
  <c r="AM44" i="15"/>
  <c r="AN44" i="15"/>
  <c r="AO44" i="15"/>
  <c r="AP44" i="15"/>
  <c r="AQ44" i="15"/>
  <c r="AR44" i="15"/>
  <c r="AS44" i="15"/>
  <c r="AT44" i="15"/>
  <c r="AU44" i="15"/>
  <c r="BF44" i="15"/>
  <c r="BG44" i="15"/>
  <c r="BH44" i="15"/>
  <c r="BJ44" i="15"/>
  <c r="BM44" i="15"/>
  <c r="BN44" i="15"/>
  <c r="BO44" i="15"/>
  <c r="BP44" i="15"/>
  <c r="BQ44" i="15"/>
  <c r="BR44" i="15"/>
  <c r="BS44" i="15"/>
  <c r="BT44" i="15"/>
  <c r="BU44" i="15"/>
  <c r="BV44" i="15"/>
  <c r="BW44" i="15"/>
  <c r="BX44" i="15"/>
  <c r="BY44" i="15"/>
  <c r="BZ44" i="15"/>
  <c r="CA44" i="15"/>
  <c r="CB44" i="15"/>
  <c r="CC44" i="15"/>
  <c r="CE44" i="15"/>
  <c r="CF44" i="15"/>
  <c r="CG44" i="15"/>
  <c r="CH44" i="15"/>
  <c r="CI44" i="15"/>
  <c r="CJ44" i="15"/>
  <c r="J46" i="15"/>
  <c r="J42" i="15"/>
  <c r="K46" i="15"/>
  <c r="K42" i="15"/>
  <c r="AH46" i="15"/>
  <c r="AH42" i="15"/>
  <c r="AL46" i="15"/>
  <c r="AL42" i="15"/>
  <c r="AP46" i="15"/>
  <c r="AP42" i="15"/>
  <c r="AT46" i="15"/>
  <c r="AT42" i="15"/>
  <c r="BH46" i="15"/>
  <c r="BI46" i="15"/>
  <c r="BI42" i="15"/>
  <c r="C52" i="15"/>
  <c r="I52" i="15"/>
  <c r="I54" i="15"/>
  <c r="I187" i="15"/>
  <c r="J52" i="15"/>
  <c r="J86" i="15"/>
  <c r="J281" i="15"/>
  <c r="K52" i="15"/>
  <c r="Y52" i="15"/>
  <c r="AC52" i="15"/>
  <c r="AS52" i="15"/>
  <c r="CF52" i="15"/>
  <c r="CG52" i="15"/>
  <c r="CJ52" i="15"/>
  <c r="CJ54" i="15"/>
  <c r="E53" i="15"/>
  <c r="E186" i="15"/>
  <c r="F53" i="15"/>
  <c r="F186" i="15"/>
  <c r="H53" i="15"/>
  <c r="H186" i="15"/>
  <c r="U53" i="15"/>
  <c r="U186" i="15"/>
  <c r="W53" i="15"/>
  <c r="W186" i="15"/>
  <c r="X53" i="15"/>
  <c r="X186" i="15"/>
  <c r="AA53" i="15"/>
  <c r="AA186" i="15"/>
  <c r="AB53" i="15"/>
  <c r="AB186" i="15"/>
  <c r="AD53" i="15"/>
  <c r="AD186" i="15"/>
  <c r="AE53" i="15"/>
  <c r="AE186" i="15"/>
  <c r="AF53" i="15"/>
  <c r="AF186" i="15"/>
  <c r="AH53" i="15"/>
  <c r="AH186" i="15"/>
  <c r="AI53" i="15"/>
  <c r="AI186" i="15"/>
  <c r="AJ53" i="15"/>
  <c r="AJ186" i="15"/>
  <c r="AK53" i="15"/>
  <c r="AK186" i="15"/>
  <c r="AL53" i="15"/>
  <c r="AL186" i="15"/>
  <c r="AM53" i="15"/>
  <c r="AM186" i="15"/>
  <c r="AN53" i="15"/>
  <c r="AN186" i="15"/>
  <c r="AO53" i="15"/>
  <c r="AO186" i="15"/>
  <c r="AP53" i="15"/>
  <c r="AP186" i="15"/>
  <c r="AQ53" i="15"/>
  <c r="AQ186" i="15"/>
  <c r="AR53" i="15"/>
  <c r="AR186" i="15"/>
  <c r="AT53" i="15"/>
  <c r="AT186" i="15"/>
  <c r="AU53" i="15"/>
  <c r="AU186" i="15"/>
  <c r="BJ53" i="15"/>
  <c r="BO53" i="15"/>
  <c r="BP53" i="15"/>
  <c r="BR53" i="15"/>
  <c r="BS53" i="15"/>
  <c r="BT53" i="15"/>
  <c r="BU53" i="15"/>
  <c r="BW53" i="15"/>
  <c r="BX53" i="15"/>
  <c r="BY53" i="15"/>
  <c r="BZ53" i="15"/>
  <c r="CA53" i="15"/>
  <c r="CB53" i="15"/>
  <c r="CC53" i="15"/>
  <c r="CE53" i="15"/>
  <c r="CH53" i="15"/>
  <c r="CI53" i="15"/>
  <c r="D54" i="15"/>
  <c r="D187" i="15"/>
  <c r="E54" i="15"/>
  <c r="E187" i="15"/>
  <c r="F54" i="15"/>
  <c r="F187" i="15"/>
  <c r="G54" i="15"/>
  <c r="G187" i="15"/>
  <c r="H54" i="15"/>
  <c r="H187" i="15"/>
  <c r="Q54" i="15"/>
  <c r="Q187" i="15"/>
  <c r="R54" i="15"/>
  <c r="R187" i="15"/>
  <c r="S54" i="15"/>
  <c r="S187" i="15"/>
  <c r="U54" i="15"/>
  <c r="U187" i="15"/>
  <c r="W54" i="15"/>
  <c r="W187" i="15"/>
  <c r="X54" i="15"/>
  <c r="X187" i="15"/>
  <c r="Z54" i="15"/>
  <c r="Z187" i="15"/>
  <c r="AA54" i="15"/>
  <c r="AA187" i="15"/>
  <c r="AB54" i="15"/>
  <c r="AB187" i="15"/>
  <c r="AD54" i="15"/>
  <c r="AD187" i="15"/>
  <c r="AE54" i="15"/>
  <c r="AE187" i="15"/>
  <c r="AF54" i="15"/>
  <c r="AF187" i="15"/>
  <c r="AH54" i="15"/>
  <c r="AH187" i="15"/>
  <c r="AI54" i="15"/>
  <c r="AI187" i="15"/>
  <c r="AJ54" i="15"/>
  <c r="AJ187" i="15"/>
  <c r="AL54" i="15"/>
  <c r="AL187" i="15"/>
  <c r="AM54" i="15"/>
  <c r="AM187" i="15"/>
  <c r="AN54" i="15"/>
  <c r="AN187" i="15"/>
  <c r="AP54" i="15"/>
  <c r="AP187" i="15"/>
  <c r="AQ54" i="15"/>
  <c r="AQ187" i="15"/>
  <c r="AR54" i="15"/>
  <c r="AR187" i="15"/>
  <c r="AT54" i="15"/>
  <c r="AT187" i="15"/>
  <c r="AU54" i="15"/>
  <c r="AU187" i="15"/>
  <c r="BF54" i="15"/>
  <c r="BG54" i="15"/>
  <c r="BH54" i="15"/>
  <c r="BI54" i="15"/>
  <c r="BJ54" i="15"/>
  <c r="BM54" i="15"/>
  <c r="BN54" i="15"/>
  <c r="BO54" i="15"/>
  <c r="BP54" i="15"/>
  <c r="BQ54" i="15"/>
  <c r="BR54" i="15"/>
  <c r="BS54" i="15"/>
  <c r="BT54" i="15"/>
  <c r="BU54" i="15"/>
  <c r="BV54" i="15"/>
  <c r="BW54" i="15"/>
  <c r="BX54" i="15"/>
  <c r="BY54" i="15"/>
  <c r="BZ54" i="15"/>
  <c r="CA54" i="15"/>
  <c r="CB54" i="15"/>
  <c r="CC54" i="15"/>
  <c r="CE54" i="15"/>
  <c r="CH54" i="15"/>
  <c r="CI54" i="15"/>
  <c r="C55" i="15"/>
  <c r="D55" i="15"/>
  <c r="E55" i="15"/>
  <c r="F55" i="15"/>
  <c r="G55" i="15"/>
  <c r="H55" i="15"/>
  <c r="I55" i="15"/>
  <c r="I46" i="15"/>
  <c r="I42" i="15"/>
  <c r="Q55" i="15"/>
  <c r="R55" i="15"/>
  <c r="U55" i="15"/>
  <c r="W55" i="15"/>
  <c r="X55" i="15"/>
  <c r="V55" i="15"/>
  <c r="Z55" i="15"/>
  <c r="AD55" i="15"/>
  <c r="AI55" i="15"/>
  <c r="AM55" i="15"/>
  <c r="AM46" i="15"/>
  <c r="AQ55" i="15"/>
  <c r="BJ55" i="15"/>
  <c r="BJ46" i="15"/>
  <c r="C56" i="15"/>
  <c r="C46" i="15" s="1"/>
  <c r="C42" i="15" s="1"/>
  <c r="D56" i="15"/>
  <c r="E56" i="15"/>
  <c r="F56" i="15"/>
  <c r="G56" i="15"/>
  <c r="H56" i="15"/>
  <c r="Q56" i="15"/>
  <c r="U56" i="15"/>
  <c r="V56" i="15"/>
  <c r="BF56" i="15"/>
  <c r="BG56" i="15"/>
  <c r="Z56" i="15"/>
  <c r="AD56" i="15"/>
  <c r="G59" i="15"/>
  <c r="H59" i="15"/>
  <c r="I59" i="15"/>
  <c r="J59" i="15"/>
  <c r="K59" i="15"/>
  <c r="U59" i="15"/>
  <c r="AA59" i="15"/>
  <c r="AB59" i="15"/>
  <c r="AC59" i="15"/>
  <c r="AD59" i="15"/>
  <c r="AE59" i="15"/>
  <c r="AF59" i="15"/>
  <c r="AG59" i="15"/>
  <c r="AH59" i="15"/>
  <c r="AI59" i="15"/>
  <c r="AJ59" i="15"/>
  <c r="AK59" i="15"/>
  <c r="AL59" i="15"/>
  <c r="AM59" i="15"/>
  <c r="AN59" i="15"/>
  <c r="AO59" i="15"/>
  <c r="AP59" i="15"/>
  <c r="AQ59" i="15"/>
  <c r="AR59" i="15"/>
  <c r="AS59" i="15"/>
  <c r="AT59" i="15"/>
  <c r="AU59" i="15"/>
  <c r="BF59" i="15"/>
  <c r="BG59" i="15"/>
  <c r="BH59" i="15"/>
  <c r="BJ59" i="15"/>
  <c r="D60" i="15"/>
  <c r="E60" i="15"/>
  <c r="F60" i="15"/>
  <c r="G60" i="15"/>
  <c r="H60" i="15"/>
  <c r="Q60" i="15"/>
  <c r="R60" i="15"/>
  <c r="R189" i="15"/>
  <c r="S60" i="15"/>
  <c r="S189" i="15"/>
  <c r="T60" i="15"/>
  <c r="T189" i="15"/>
  <c r="U60" i="15"/>
  <c r="W60" i="15"/>
  <c r="X60" i="15"/>
  <c r="X239" i="15"/>
  <c r="Z60" i="15"/>
  <c r="AA60" i="15"/>
  <c r="AA189" i="15"/>
  <c r="AB60" i="15"/>
  <c r="AB189" i="15"/>
  <c r="AD60" i="15"/>
  <c r="AD189" i="15"/>
  <c r="AE60" i="15"/>
  <c r="AE189" i="15"/>
  <c r="AF60" i="15"/>
  <c r="AF189" i="15"/>
  <c r="AG60" i="15"/>
  <c r="AG189" i="15"/>
  <c r="AH60" i="15"/>
  <c r="AI60" i="15"/>
  <c r="AI189" i="15"/>
  <c r="AJ60" i="15"/>
  <c r="AK60" i="15"/>
  <c r="AL60" i="15"/>
  <c r="AM60" i="15"/>
  <c r="AM189" i="15"/>
  <c r="AN60" i="15"/>
  <c r="AN189" i="15"/>
  <c r="AO60" i="15"/>
  <c r="AP60" i="15"/>
  <c r="AP189" i="15"/>
  <c r="AQ60" i="15"/>
  <c r="AQ189" i="15"/>
  <c r="AR60" i="15"/>
  <c r="AR189" i="15"/>
  <c r="AT60" i="15"/>
  <c r="AU60" i="15"/>
  <c r="BF60" i="15"/>
  <c r="BG60" i="15"/>
  <c r="BH60" i="15"/>
  <c r="BI60" i="15"/>
  <c r="BJ60" i="15"/>
  <c r="C61" i="15"/>
  <c r="D61" i="15"/>
  <c r="D190" i="15"/>
  <c r="E61" i="15"/>
  <c r="F61" i="15"/>
  <c r="G61" i="15"/>
  <c r="H61" i="15"/>
  <c r="I61" i="15"/>
  <c r="I190" i="15"/>
  <c r="J61" i="15"/>
  <c r="K61" i="15"/>
  <c r="K190" i="15"/>
  <c r="Q61" i="15"/>
  <c r="Q190" i="15"/>
  <c r="U61" i="15"/>
  <c r="U190" i="15"/>
  <c r="V61" i="15"/>
  <c r="Z61" i="15"/>
  <c r="AD61" i="15"/>
  <c r="AD190" i="15"/>
  <c r="AH61" i="15"/>
  <c r="AL61" i="15"/>
  <c r="AP61" i="15"/>
  <c r="AT61" i="15"/>
  <c r="AT190" i="15"/>
  <c r="BI61" i="15"/>
  <c r="AC62" i="15"/>
  <c r="AC191" i="15"/>
  <c r="AE62" i="15"/>
  <c r="AI62" i="15"/>
  <c r="AM62" i="15"/>
  <c r="AQ62" i="15"/>
  <c r="BJ62" i="15"/>
  <c r="G63" i="15"/>
  <c r="Y63" i="15"/>
  <c r="AC63" i="15"/>
  <c r="AE63" i="15"/>
  <c r="AI63" i="15"/>
  <c r="AM63" i="15"/>
  <c r="AR63" i="15"/>
  <c r="BJ63" i="15"/>
  <c r="R65" i="15"/>
  <c r="AA65" i="15"/>
  <c r="AE65" i="15"/>
  <c r="AE41" i="15"/>
  <c r="AI65" i="15"/>
  <c r="AM65" i="15"/>
  <c r="AM41" i="15"/>
  <c r="AQ65" i="15"/>
  <c r="AT65" i="15"/>
  <c r="BJ65" i="15"/>
  <c r="BJ41" i="15"/>
  <c r="R66" i="15"/>
  <c r="AA66" i="15"/>
  <c r="AE66" i="15"/>
  <c r="AF66" i="15"/>
  <c r="AG66" i="15"/>
  <c r="AI66" i="15"/>
  <c r="AM66" i="15"/>
  <c r="AP66" i="15"/>
  <c r="BJ66" i="15"/>
  <c r="R67" i="15"/>
  <c r="S67" i="15"/>
  <c r="S246" i="15"/>
  <c r="AA67" i="15"/>
  <c r="AB67" i="15"/>
  <c r="AE67" i="15"/>
  <c r="AF67" i="15"/>
  <c r="AJ67" i="15"/>
  <c r="AM67" i="15"/>
  <c r="AM196" i="15"/>
  <c r="AR67" i="15"/>
  <c r="AU67" i="15"/>
  <c r="BJ67" i="15"/>
  <c r="K69" i="15"/>
  <c r="K198" i="15"/>
  <c r="R69" i="15"/>
  <c r="AC69" i="15"/>
  <c r="AE69" i="15"/>
  <c r="AE198" i="15"/>
  <c r="AI69" i="15"/>
  <c r="AM69" i="15"/>
  <c r="AP69" i="15"/>
  <c r="AT69" i="15"/>
  <c r="BJ69" i="15"/>
  <c r="C70" i="15"/>
  <c r="C199" i="15"/>
  <c r="D70" i="15"/>
  <c r="E70" i="15"/>
  <c r="F70" i="15"/>
  <c r="G70" i="15"/>
  <c r="G199" i="15"/>
  <c r="I70" i="15"/>
  <c r="J70" i="15"/>
  <c r="K70" i="15"/>
  <c r="K199" i="15"/>
  <c r="Q70" i="15"/>
  <c r="U70" i="15"/>
  <c r="U199" i="15"/>
  <c r="V70" i="15"/>
  <c r="AA70" i="15"/>
  <c r="AE70" i="15"/>
  <c r="AI70" i="15"/>
  <c r="AM70" i="15"/>
  <c r="AN70" i="15"/>
  <c r="AQ70" i="15"/>
  <c r="AR70" i="15"/>
  <c r="AU70" i="15"/>
  <c r="BJ70" i="15"/>
  <c r="K71" i="15"/>
  <c r="R71" i="15"/>
  <c r="AA71" i="15"/>
  <c r="AE71" i="15"/>
  <c r="AE200" i="15"/>
  <c r="AI71" i="15"/>
  <c r="AM71" i="15"/>
  <c r="AQ71" i="15"/>
  <c r="AR71" i="15"/>
  <c r="AR200" i="15"/>
  <c r="AU71" i="15"/>
  <c r="BJ71" i="15"/>
  <c r="C72" i="15"/>
  <c r="D72" i="15"/>
  <c r="D201" i="15"/>
  <c r="E72" i="15"/>
  <c r="E201" i="15"/>
  <c r="F72" i="15"/>
  <c r="F201" i="15"/>
  <c r="G72" i="15"/>
  <c r="G201" i="15"/>
  <c r="H72" i="15"/>
  <c r="I72" i="15"/>
  <c r="I201" i="15"/>
  <c r="J72" i="15"/>
  <c r="K72" i="15"/>
  <c r="K201" i="15"/>
  <c r="Q72" i="15"/>
  <c r="U72" i="15"/>
  <c r="U201" i="15"/>
  <c r="V72" i="15"/>
  <c r="Z72" i="15"/>
  <c r="Z251" i="15"/>
  <c r="AD72" i="15"/>
  <c r="AH72" i="15"/>
  <c r="AL72" i="15"/>
  <c r="AP72" i="15"/>
  <c r="AP201" i="15"/>
  <c r="AT72" i="15"/>
  <c r="BI72" i="15"/>
  <c r="I73" i="15"/>
  <c r="I202" i="15"/>
  <c r="Q73" i="15"/>
  <c r="R73" i="15"/>
  <c r="R252" i="15"/>
  <c r="AA73" i="15"/>
  <c r="AE73" i="15"/>
  <c r="AI73" i="15"/>
  <c r="AM73" i="15"/>
  <c r="AM202" i="15"/>
  <c r="AQ73" i="15"/>
  <c r="AU73" i="15"/>
  <c r="AU202" i="15"/>
  <c r="BJ73" i="15"/>
  <c r="R75" i="15"/>
  <c r="R254" i="15"/>
  <c r="AA75" i="15"/>
  <c r="AA204" i="15"/>
  <c r="AE75" i="15"/>
  <c r="AE204" i="15"/>
  <c r="AI75" i="15"/>
  <c r="AM75" i="15"/>
  <c r="AQ75" i="15"/>
  <c r="AQ204" i="15"/>
  <c r="BJ75" i="15"/>
  <c r="R76" i="15"/>
  <c r="AA76" i="15"/>
  <c r="AB76" i="15"/>
  <c r="AE76" i="15"/>
  <c r="AJ76" i="15"/>
  <c r="AN76" i="15"/>
  <c r="AO76" i="15"/>
  <c r="AO205" i="15"/>
  <c r="AR76" i="15"/>
  <c r="BJ76" i="15"/>
  <c r="AA82" i="15"/>
  <c r="AB82" i="15"/>
  <c r="AC82" i="15"/>
  <c r="AD82" i="15"/>
  <c r="AE82" i="15"/>
  <c r="AF82" i="15"/>
  <c r="AG82" i="15"/>
  <c r="AH82" i="15"/>
  <c r="AI82" i="15"/>
  <c r="AJ82" i="15"/>
  <c r="AK82" i="15"/>
  <c r="AL82" i="15"/>
  <c r="AM82" i="15"/>
  <c r="AN82" i="15"/>
  <c r="AO82" i="15"/>
  <c r="AP82" i="15"/>
  <c r="AQ82" i="15"/>
  <c r="AR82" i="15"/>
  <c r="AS82" i="15"/>
  <c r="AT82" i="15"/>
  <c r="AU82" i="15"/>
  <c r="B83" i="15"/>
  <c r="B280" i="15"/>
  <c r="C83" i="15"/>
  <c r="C280" i="15"/>
  <c r="D83" i="15"/>
  <c r="D280" i="15"/>
  <c r="E83" i="15"/>
  <c r="T83" i="15"/>
  <c r="T280" i="15"/>
  <c r="F83" i="15"/>
  <c r="G83" i="15"/>
  <c r="G280" i="15"/>
  <c r="H83" i="15"/>
  <c r="H280" i="15"/>
  <c r="I83" i="15"/>
  <c r="J83" i="15"/>
  <c r="J280" i="15"/>
  <c r="J294" i="15"/>
  <c r="K83" i="15"/>
  <c r="AD83" i="15"/>
  <c r="AD280" i="15"/>
  <c r="AE83" i="15"/>
  <c r="AE280" i="15"/>
  <c r="AF83" i="15"/>
  <c r="AF280" i="15"/>
  <c r="D86" i="15"/>
  <c r="E86" i="15"/>
  <c r="E281" i="15"/>
  <c r="F86" i="15"/>
  <c r="F162" i="15"/>
  <c r="F217" i="15"/>
  <c r="G86" i="15"/>
  <c r="H86" i="15"/>
  <c r="W86" i="15"/>
  <c r="X86" i="15"/>
  <c r="X161" i="15"/>
  <c r="X216" i="15"/>
  <c r="AD86" i="15"/>
  <c r="AD162" i="15"/>
  <c r="AD217" i="15"/>
  <c r="AG86" i="15"/>
  <c r="AG281" i="15"/>
  <c r="AO86" i="15"/>
  <c r="AO281" i="15"/>
  <c r="BQ86" i="15"/>
  <c r="BR86" i="15"/>
  <c r="BS86" i="15"/>
  <c r="BT86" i="15"/>
  <c r="AE92" i="15"/>
  <c r="BU86" i="15"/>
  <c r="BV86" i="15"/>
  <c r="BX86" i="15"/>
  <c r="BY86" i="15"/>
  <c r="AJ92" i="15"/>
  <c r="BZ86" i="15"/>
  <c r="AJ86" i="15"/>
  <c r="CA86" i="15"/>
  <c r="CB86" i="15"/>
  <c r="CC86" i="15"/>
  <c r="CD86" i="15"/>
  <c r="CE86" i="15"/>
  <c r="AO92" i="15"/>
  <c r="CF86" i="15"/>
  <c r="AP86" i="15"/>
  <c r="AP281" i="15"/>
  <c r="CG86" i="15"/>
  <c r="CH86" i="15"/>
  <c r="CI86" i="15"/>
  <c r="AS92" i="15"/>
  <c r="L92" i="15"/>
  <c r="CJ86" i="15"/>
  <c r="AT92" i="15"/>
  <c r="C87" i="15"/>
  <c r="D87" i="15"/>
  <c r="E87" i="15"/>
  <c r="T87" i="15"/>
  <c r="T283" i="15"/>
  <c r="T297" i="15"/>
  <c r="F87" i="15"/>
  <c r="Y87" i="15"/>
  <c r="Y283" i="15"/>
  <c r="Y297" i="15"/>
  <c r="H87" i="15"/>
  <c r="I87" i="15"/>
  <c r="K87" i="15"/>
  <c r="W87" i="15"/>
  <c r="W283" i="15"/>
  <c r="W297" i="15"/>
  <c r="X87" i="15"/>
  <c r="X283" i="15"/>
  <c r="X297" i="15"/>
  <c r="AD87" i="15"/>
  <c r="AD283" i="15"/>
  <c r="C89" i="15"/>
  <c r="D89" i="15"/>
  <c r="E89" i="15"/>
  <c r="T89" i="15"/>
  <c r="T284" i="15"/>
  <c r="T298" i="15"/>
  <c r="F89" i="15"/>
  <c r="Y89" i="15"/>
  <c r="Y284" i="15"/>
  <c r="Y298" i="15"/>
  <c r="G89" i="15"/>
  <c r="H89" i="15"/>
  <c r="I89" i="15"/>
  <c r="J89" i="15"/>
  <c r="K89" i="15"/>
  <c r="AD89" i="15"/>
  <c r="AD284" i="15"/>
  <c r="H92" i="15"/>
  <c r="AG92" i="15"/>
  <c r="I92" i="15"/>
  <c r="F93" i="15"/>
  <c r="E95" i="15"/>
  <c r="G95" i="15"/>
  <c r="G99" i="15"/>
  <c r="H99" i="15"/>
  <c r="I99" i="15"/>
  <c r="J99" i="15"/>
  <c r="K99" i="15"/>
  <c r="AA99" i="15"/>
  <c r="AB99" i="15"/>
  <c r="AC99" i="15"/>
  <c r="AD99" i="15"/>
  <c r="AE99" i="15"/>
  <c r="AF99" i="15"/>
  <c r="AG99" i="15"/>
  <c r="AH99" i="15"/>
  <c r="AI99" i="15"/>
  <c r="AJ99" i="15"/>
  <c r="AK99" i="15"/>
  <c r="AL99" i="15"/>
  <c r="AM99" i="15"/>
  <c r="AN99" i="15"/>
  <c r="AO99" i="15"/>
  <c r="AP99" i="15"/>
  <c r="AQ99" i="15"/>
  <c r="AR99" i="15"/>
  <c r="AS99" i="15"/>
  <c r="AT99" i="15"/>
  <c r="AU99" i="15"/>
  <c r="BM99" i="15"/>
  <c r="BO99" i="15"/>
  <c r="BP99" i="15"/>
  <c r="K101" i="15"/>
  <c r="AO101" i="15"/>
  <c r="T101" i="15"/>
  <c r="Y101" i="15"/>
  <c r="AC101" i="15"/>
  <c r="AG101" i="15"/>
  <c r="AK101" i="15"/>
  <c r="AM101" i="15"/>
  <c r="AN101" i="15"/>
  <c r="AP101" i="15"/>
  <c r="AQ101" i="15"/>
  <c r="AR101" i="15"/>
  <c r="AT101" i="15"/>
  <c r="T102" i="15"/>
  <c r="Y102" i="15"/>
  <c r="AC102" i="15"/>
  <c r="AG102" i="15"/>
  <c r="AK102" i="15"/>
  <c r="AO102" i="15"/>
  <c r="AS102" i="15"/>
  <c r="T103" i="15"/>
  <c r="Y103" i="15"/>
  <c r="AC103" i="15"/>
  <c r="AG103" i="15"/>
  <c r="AK103" i="15"/>
  <c r="AO103" i="15"/>
  <c r="AS103" i="15"/>
  <c r="T104" i="15"/>
  <c r="T110" i="15"/>
  <c r="Y104" i="15"/>
  <c r="AC104" i="15"/>
  <c r="AG104" i="15"/>
  <c r="AG110" i="15"/>
  <c r="AK104" i="15"/>
  <c r="AK110" i="15"/>
  <c r="AO104" i="15"/>
  <c r="AS104" i="15"/>
  <c r="C105" i="15"/>
  <c r="C111" i="15"/>
  <c r="D105" i="15"/>
  <c r="E105" i="15"/>
  <c r="F105" i="15"/>
  <c r="F107" i="15"/>
  <c r="F108" i="15"/>
  <c r="G105" i="15"/>
  <c r="G111" i="15"/>
  <c r="H105" i="15"/>
  <c r="AC105" i="15"/>
  <c r="I105" i="15"/>
  <c r="J105" i="15"/>
  <c r="J107" i="15"/>
  <c r="J108" i="15"/>
  <c r="Q105" i="15"/>
  <c r="Q107" i="15"/>
  <c r="R105" i="15"/>
  <c r="S105" i="15"/>
  <c r="V105" i="15"/>
  <c r="V111" i="15"/>
  <c r="W105" i="15"/>
  <c r="W107" i="15"/>
  <c r="X105" i="15"/>
  <c r="Z105" i="15"/>
  <c r="AA105" i="15"/>
  <c r="AB105" i="15"/>
  <c r="AB111" i="15"/>
  <c r="AD105" i="15"/>
  <c r="AE105" i="15"/>
  <c r="AF105" i="15"/>
  <c r="AH105" i="15"/>
  <c r="AH107" i="15"/>
  <c r="AI105" i="15"/>
  <c r="AJ105" i="15"/>
  <c r="AL105" i="15"/>
  <c r="AL107" i="15"/>
  <c r="AM105" i="15"/>
  <c r="AM111" i="15"/>
  <c r="AN105" i="15"/>
  <c r="AN111" i="15"/>
  <c r="AO105" i="15"/>
  <c r="AP105" i="15"/>
  <c r="AQ105" i="15"/>
  <c r="AQ107" i="15"/>
  <c r="AR105" i="15"/>
  <c r="AS105" i="15"/>
  <c r="T106" i="15"/>
  <c r="Y106" i="15"/>
  <c r="AC106" i="15"/>
  <c r="AG106" i="15"/>
  <c r="AK106" i="15"/>
  <c r="AO106" i="15"/>
  <c r="AO112" i="15"/>
  <c r="AS106" i="15"/>
  <c r="K107" i="15"/>
  <c r="AT107" i="15"/>
  <c r="C110" i="15"/>
  <c r="D110" i="15"/>
  <c r="E110" i="15"/>
  <c r="F110" i="15"/>
  <c r="G110" i="15"/>
  <c r="H110" i="15"/>
  <c r="I110" i="15"/>
  <c r="J110" i="15"/>
  <c r="K110" i="15"/>
  <c r="Q110" i="15"/>
  <c r="R110" i="15"/>
  <c r="S110" i="15"/>
  <c r="W110" i="15"/>
  <c r="X110" i="15"/>
  <c r="Z110" i="15"/>
  <c r="AA110" i="15"/>
  <c r="AB110" i="15"/>
  <c r="AD110" i="15"/>
  <c r="AE110" i="15"/>
  <c r="AF110" i="15"/>
  <c r="AH110" i="15"/>
  <c r="AI110" i="15"/>
  <c r="AJ110" i="15"/>
  <c r="AL110" i="15"/>
  <c r="AM110" i="15"/>
  <c r="AN110" i="15"/>
  <c r="AP110" i="15"/>
  <c r="AQ110" i="15"/>
  <c r="AR110" i="15"/>
  <c r="AT110" i="15"/>
  <c r="AU110" i="15"/>
  <c r="K111" i="15"/>
  <c r="AT111" i="15"/>
  <c r="C112" i="15"/>
  <c r="D112" i="15"/>
  <c r="E112" i="15"/>
  <c r="F112" i="15"/>
  <c r="G112" i="15"/>
  <c r="H112" i="15"/>
  <c r="I112" i="15"/>
  <c r="J112" i="15"/>
  <c r="K112" i="15"/>
  <c r="Q112" i="15"/>
  <c r="R112" i="15"/>
  <c r="S112" i="15"/>
  <c r="W112" i="15"/>
  <c r="X112" i="15"/>
  <c r="Z112" i="15"/>
  <c r="AA112" i="15"/>
  <c r="AB112" i="15"/>
  <c r="AD112" i="15"/>
  <c r="AE112" i="15"/>
  <c r="AF112" i="15"/>
  <c r="AH112" i="15"/>
  <c r="AI112" i="15"/>
  <c r="AJ112" i="15"/>
  <c r="AL112" i="15"/>
  <c r="AM112" i="15"/>
  <c r="AN112" i="15"/>
  <c r="AP112" i="15"/>
  <c r="AQ112" i="15"/>
  <c r="AR112" i="15"/>
  <c r="AT112" i="15"/>
  <c r="AU112" i="15"/>
  <c r="C115" i="15"/>
  <c r="D115" i="15"/>
  <c r="E115" i="15"/>
  <c r="T115" i="15"/>
  <c r="F115" i="15"/>
  <c r="Y115" i="15"/>
  <c r="G115" i="15"/>
  <c r="H115" i="15"/>
  <c r="I115" i="15"/>
  <c r="AG115" i="15"/>
  <c r="J115" i="15"/>
  <c r="K115" i="15"/>
  <c r="Q115" i="15"/>
  <c r="R115" i="15"/>
  <c r="S115" i="15"/>
  <c r="V115" i="15"/>
  <c r="W115" i="15"/>
  <c r="X115" i="15"/>
  <c r="Z115" i="15"/>
  <c r="AA115" i="15"/>
  <c r="AB115" i="15"/>
  <c r="AD115" i="15"/>
  <c r="AE115" i="15"/>
  <c r="AF115" i="15"/>
  <c r="AH115" i="15"/>
  <c r="AI115" i="15"/>
  <c r="AJ115" i="15"/>
  <c r="AL115" i="15"/>
  <c r="AM115" i="15"/>
  <c r="AN115" i="15"/>
  <c r="AP115" i="15"/>
  <c r="AQ115" i="15"/>
  <c r="AR115" i="15"/>
  <c r="C116" i="15"/>
  <c r="C117" i="15" s="1"/>
  <c r="D116" i="15"/>
  <c r="E116" i="15"/>
  <c r="F116" i="15"/>
  <c r="G116" i="15"/>
  <c r="H116" i="15"/>
  <c r="I116" i="15"/>
  <c r="AG116" i="15"/>
  <c r="J116" i="15"/>
  <c r="AK116" i="15"/>
  <c r="K116" i="15"/>
  <c r="AO116" i="15"/>
  <c r="Q116" i="15"/>
  <c r="R116" i="15"/>
  <c r="S116" i="15"/>
  <c r="V116" i="15"/>
  <c r="W116" i="15"/>
  <c r="X116" i="15"/>
  <c r="X117" i="15" s="1"/>
  <c r="Z116" i="15"/>
  <c r="AA116" i="15"/>
  <c r="AB116" i="15"/>
  <c r="AD116" i="15"/>
  <c r="AE116" i="15"/>
  <c r="AF116" i="15"/>
  <c r="AH116" i="15"/>
  <c r="AI116" i="15"/>
  <c r="AI117" i="15" s="1"/>
  <c r="AJ116" i="15"/>
  <c r="AL116" i="15"/>
  <c r="AM116" i="15"/>
  <c r="AN116" i="15"/>
  <c r="AP116" i="15"/>
  <c r="AQ116" i="15"/>
  <c r="AR116" i="15"/>
  <c r="T120" i="15"/>
  <c r="Y120" i="15"/>
  <c r="AC120" i="15"/>
  <c r="AG120" i="15"/>
  <c r="AK120" i="15"/>
  <c r="AO120" i="15"/>
  <c r="AS120" i="15"/>
  <c r="J121" i="15"/>
  <c r="K121" i="15"/>
  <c r="K124" i="15"/>
  <c r="T121" i="15"/>
  <c r="Y121" i="15"/>
  <c r="Y124" i="15" s="1"/>
  <c r="AC121" i="15"/>
  <c r="AG121" i="15"/>
  <c r="D1101" i="17"/>
  <c r="AJ121" i="15"/>
  <c r="AJ124" i="15"/>
  <c r="AL121" i="15"/>
  <c r="AM121" i="15"/>
  <c r="AN121" i="15"/>
  <c r="AN124" i="15"/>
  <c r="AP121" i="15"/>
  <c r="AP124" i="15"/>
  <c r="AQ121" i="15"/>
  <c r="AR121" i="15"/>
  <c r="AT121" i="15"/>
  <c r="AG122" i="15"/>
  <c r="AK122" i="15"/>
  <c r="AO122" i="15"/>
  <c r="AQ122" i="15"/>
  <c r="AR122" i="15"/>
  <c r="AT122" i="15"/>
  <c r="C124" i="15"/>
  <c r="D124" i="15"/>
  <c r="E124" i="15"/>
  <c r="F124" i="15"/>
  <c r="G124" i="15"/>
  <c r="H124" i="15"/>
  <c r="I124" i="15"/>
  <c r="Q124" i="15"/>
  <c r="R124" i="15"/>
  <c r="S124" i="15"/>
  <c r="U124" i="15"/>
  <c r="W124" i="15"/>
  <c r="X124" i="15"/>
  <c r="Z124" i="15"/>
  <c r="AA124" i="15"/>
  <c r="AB124" i="15"/>
  <c r="AD124" i="15"/>
  <c r="AE124" i="15"/>
  <c r="AF124" i="15"/>
  <c r="AH124" i="15"/>
  <c r="AI124" i="15"/>
  <c r="T126" i="15"/>
  <c r="Y126" i="15"/>
  <c r="AC126" i="15"/>
  <c r="AG126" i="15"/>
  <c r="AK126" i="15"/>
  <c r="AO126" i="15"/>
  <c r="AS126" i="15"/>
  <c r="T127" i="15"/>
  <c r="Y127" i="15"/>
  <c r="AC127" i="15"/>
  <c r="AG127" i="15"/>
  <c r="AK127" i="15"/>
  <c r="AO127" i="15"/>
  <c r="AS127" i="15"/>
  <c r="T128" i="15"/>
  <c r="Y128" i="15"/>
  <c r="AC128" i="15"/>
  <c r="AG128" i="15"/>
  <c r="AK128" i="15"/>
  <c r="AO128" i="15"/>
  <c r="AS128" i="15"/>
  <c r="T129" i="15"/>
  <c r="Y129" i="15"/>
  <c r="AC129" i="15"/>
  <c r="AG129" i="15"/>
  <c r="AK129" i="15"/>
  <c r="AO129" i="15"/>
  <c r="AS129" i="15"/>
  <c r="C568" i="17"/>
  <c r="T130" i="15"/>
  <c r="Y130" i="15"/>
  <c r="AC130" i="15"/>
  <c r="AG130" i="15"/>
  <c r="AK130" i="15"/>
  <c r="AO130" i="15"/>
  <c r="AS130" i="15"/>
  <c r="T131" i="15"/>
  <c r="Y131" i="15"/>
  <c r="AC131" i="15"/>
  <c r="AG131" i="15"/>
  <c r="AK131" i="15"/>
  <c r="AO131" i="15"/>
  <c r="AS131" i="15"/>
  <c r="AO132" i="15"/>
  <c r="AS132" i="15"/>
  <c r="C134" i="15"/>
  <c r="D134" i="15"/>
  <c r="E134" i="15"/>
  <c r="F134" i="15"/>
  <c r="G134" i="15"/>
  <c r="H134" i="15"/>
  <c r="I134" i="15"/>
  <c r="J134" i="15"/>
  <c r="Q134" i="15"/>
  <c r="R134" i="15"/>
  <c r="S134" i="15"/>
  <c r="C136" i="15"/>
  <c r="D136" i="15"/>
  <c r="E136" i="15"/>
  <c r="T136" i="15"/>
  <c r="F136" i="15"/>
  <c r="Y136" i="15"/>
  <c r="G136" i="15"/>
  <c r="H136" i="15"/>
  <c r="AC136" i="15"/>
  <c r="I136" i="15"/>
  <c r="AG136" i="15"/>
  <c r="J136" i="15"/>
  <c r="AK136" i="15"/>
  <c r="K136" i="15"/>
  <c r="Q136" i="15"/>
  <c r="R136" i="15"/>
  <c r="S136" i="15"/>
  <c r="V136" i="15"/>
  <c r="W136" i="15"/>
  <c r="X136" i="15"/>
  <c r="Z136" i="15"/>
  <c r="AA136" i="15"/>
  <c r="AB136" i="15"/>
  <c r="AD136" i="15"/>
  <c r="D1257" i="17"/>
  <c r="AE136" i="15"/>
  <c r="AF136" i="15"/>
  <c r="AH136" i="15"/>
  <c r="AI136" i="15"/>
  <c r="AJ136" i="15"/>
  <c r="AL136" i="15"/>
  <c r="AM136" i="15"/>
  <c r="AN136" i="15"/>
  <c r="AP136" i="15"/>
  <c r="AQ136" i="15"/>
  <c r="AR136" i="15"/>
  <c r="H137" i="15"/>
  <c r="I137" i="15"/>
  <c r="AG137" i="15"/>
  <c r="J137" i="15"/>
  <c r="AK137" i="15"/>
  <c r="K137" i="15"/>
  <c r="AO137" i="15"/>
  <c r="AD137" i="15"/>
  <c r="AE137" i="15"/>
  <c r="AF137" i="15"/>
  <c r="AH137" i="15"/>
  <c r="AI137" i="15"/>
  <c r="AJ137" i="15"/>
  <c r="AL137" i="15"/>
  <c r="AM137" i="15"/>
  <c r="AN137" i="15"/>
  <c r="D784" i="17"/>
  <c r="AP137" i="15"/>
  <c r="AQ137" i="15"/>
  <c r="AR137" i="15"/>
  <c r="AT137" i="15"/>
  <c r="D506" i="17"/>
  <c r="AO138" i="15"/>
  <c r="T139" i="15"/>
  <c r="Y139" i="15"/>
  <c r="AC139" i="15"/>
  <c r="AG139" i="15"/>
  <c r="AK139" i="15"/>
  <c r="AO139" i="15"/>
  <c r="AS139" i="15"/>
  <c r="T140" i="15"/>
  <c r="Y140" i="15"/>
  <c r="AC140" i="15"/>
  <c r="AG140" i="15"/>
  <c r="AK140" i="15"/>
  <c r="AO140" i="15"/>
  <c r="AS140" i="15"/>
  <c r="C141" i="15"/>
  <c r="D141" i="15"/>
  <c r="E141" i="15"/>
  <c r="E34" i="15"/>
  <c r="F141" i="15"/>
  <c r="F286" i="15"/>
  <c r="G141" i="15"/>
  <c r="H141" i="15"/>
  <c r="I141" i="15"/>
  <c r="I34" i="15"/>
  <c r="J141" i="15"/>
  <c r="K141" i="15"/>
  <c r="Q141" i="15"/>
  <c r="R141" i="15"/>
  <c r="S141" i="15"/>
  <c r="W141" i="15"/>
  <c r="X141" i="15"/>
  <c r="X286" i="15"/>
  <c r="Z141" i="15"/>
  <c r="AA141" i="15"/>
  <c r="AA286" i="15"/>
  <c r="AB141" i="15"/>
  <c r="AD141" i="15"/>
  <c r="AE141" i="15"/>
  <c r="AE286" i="15"/>
  <c r="AF141" i="15"/>
  <c r="AH141" i="15"/>
  <c r="AI141" i="15"/>
  <c r="AJ141" i="15"/>
  <c r="AJ286" i="15"/>
  <c r="AL141" i="15"/>
  <c r="C893" i="17"/>
  <c r="AM141" i="15"/>
  <c r="AN141" i="15"/>
  <c r="AP141" i="15"/>
  <c r="AQ141" i="15"/>
  <c r="AR141" i="15"/>
  <c r="AT141" i="15"/>
  <c r="AU141" i="15"/>
  <c r="BO143" i="15"/>
  <c r="BO158" i="15"/>
  <c r="BP143" i="15"/>
  <c r="BP158" i="15"/>
  <c r="T148" i="15"/>
  <c r="Y148" i="15"/>
  <c r="AC148" i="15"/>
  <c r="AG148" i="15"/>
  <c r="AK148" i="15"/>
  <c r="AK264" i="15"/>
  <c r="AO148" i="15"/>
  <c r="AO161" i="15"/>
  <c r="AO216" i="15"/>
  <c r="AS148" i="15"/>
  <c r="T149" i="15"/>
  <c r="Y149" i="15"/>
  <c r="AC149" i="15"/>
  <c r="AG149" i="15"/>
  <c r="AG162" i="15"/>
  <c r="AG217" i="15"/>
  <c r="AK149" i="15"/>
  <c r="AK265" i="15"/>
  <c r="AO149" i="15"/>
  <c r="AS149" i="15"/>
  <c r="G151" i="15"/>
  <c r="AC151" i="15"/>
  <c r="AG151" i="15"/>
  <c r="AK151" i="15"/>
  <c r="AO151" i="15"/>
  <c r="AP151" i="15"/>
  <c r="AS151" i="15"/>
  <c r="D152" i="15"/>
  <c r="T152" i="15"/>
  <c r="V152" i="15"/>
  <c r="Y152" i="15"/>
  <c r="AC152" i="15"/>
  <c r="AG152" i="15"/>
  <c r="AK152" i="15"/>
  <c r="AO152" i="15"/>
  <c r="AS152" i="15"/>
  <c r="G156" i="15"/>
  <c r="H156" i="15"/>
  <c r="I156" i="15"/>
  <c r="J156" i="15"/>
  <c r="K156" i="15"/>
  <c r="Y156" i="15"/>
  <c r="Z156" i="15"/>
  <c r="AA156" i="15"/>
  <c r="AB156" i="15"/>
  <c r="AC156" i="15"/>
  <c r="AD156" i="15"/>
  <c r="AE156" i="15"/>
  <c r="AF156" i="15"/>
  <c r="AG156" i="15"/>
  <c r="AH156" i="15"/>
  <c r="AI156" i="15"/>
  <c r="AJ156" i="15"/>
  <c r="AK156" i="15"/>
  <c r="AL156" i="15"/>
  <c r="AM156" i="15"/>
  <c r="AN156" i="15"/>
  <c r="AO156" i="15"/>
  <c r="AP156" i="15"/>
  <c r="AQ156" i="15"/>
  <c r="AR156" i="15"/>
  <c r="AS156" i="15"/>
  <c r="AT156" i="15"/>
  <c r="AU156" i="15"/>
  <c r="BO159" i="15"/>
  <c r="BP159" i="15"/>
  <c r="G176" i="15"/>
  <c r="H176" i="15"/>
  <c r="I176" i="15"/>
  <c r="J176" i="15"/>
  <c r="K176" i="15"/>
  <c r="W176" i="15"/>
  <c r="X176" i="15"/>
  <c r="Y176" i="15"/>
  <c r="Z176" i="15"/>
  <c r="AA176" i="15"/>
  <c r="AB176" i="15"/>
  <c r="AC176" i="15"/>
  <c r="AD176" i="15"/>
  <c r="AE176" i="15"/>
  <c r="AF176" i="15"/>
  <c r="AG176" i="15"/>
  <c r="AH176" i="15"/>
  <c r="AI176" i="15"/>
  <c r="AJ176" i="15"/>
  <c r="AK176" i="15"/>
  <c r="AL176" i="15"/>
  <c r="AM176" i="15"/>
  <c r="AN176" i="15"/>
  <c r="AO176" i="15"/>
  <c r="AP176" i="15"/>
  <c r="AQ176" i="15"/>
  <c r="AR176" i="15"/>
  <c r="AS176" i="15"/>
  <c r="AT176" i="15"/>
  <c r="AU176" i="15"/>
  <c r="W177" i="15"/>
  <c r="X177" i="15"/>
  <c r="Y177" i="15"/>
  <c r="Z177" i="15"/>
  <c r="AA177" i="15"/>
  <c r="AB177" i="15"/>
  <c r="AC177" i="15"/>
  <c r="AD177" i="15"/>
  <c r="AE177" i="15"/>
  <c r="AF177" i="15"/>
  <c r="AG177" i="15"/>
  <c r="AH177" i="15"/>
  <c r="AI177" i="15"/>
  <c r="AJ177" i="15"/>
  <c r="AK177" i="15"/>
  <c r="AL177" i="15"/>
  <c r="AM177" i="15"/>
  <c r="AN177" i="15"/>
  <c r="AO177" i="15"/>
  <c r="AP177" i="15"/>
  <c r="AQ177" i="15"/>
  <c r="AR177" i="15"/>
  <c r="AS177" i="15"/>
  <c r="AT177" i="15"/>
  <c r="AU177" i="15"/>
  <c r="W178" i="15"/>
  <c r="X178" i="15"/>
  <c r="Y178" i="15"/>
  <c r="Z178" i="15"/>
  <c r="AA178" i="15"/>
  <c r="AB178" i="15"/>
  <c r="AC178" i="15"/>
  <c r="AD178" i="15"/>
  <c r="AE178" i="15"/>
  <c r="AF178" i="15"/>
  <c r="AG178" i="15"/>
  <c r="AH178" i="15"/>
  <c r="AI178" i="15"/>
  <c r="AJ178" i="15"/>
  <c r="AK178" i="15"/>
  <c r="AL178" i="15"/>
  <c r="AM178" i="15"/>
  <c r="AN178" i="15"/>
  <c r="AO178" i="15"/>
  <c r="AP178" i="15"/>
  <c r="AQ178" i="15"/>
  <c r="AR178" i="15"/>
  <c r="AS178" i="15"/>
  <c r="AT178" i="15"/>
  <c r="AU178" i="15"/>
  <c r="B179" i="15"/>
  <c r="C179" i="15"/>
  <c r="D179" i="15"/>
  <c r="E179" i="15"/>
  <c r="F179" i="15"/>
  <c r="G179" i="15"/>
  <c r="H179" i="15"/>
  <c r="I179" i="15"/>
  <c r="J179" i="15"/>
  <c r="K179" i="15"/>
  <c r="Q179" i="15"/>
  <c r="R179" i="15"/>
  <c r="S179" i="15"/>
  <c r="U179" i="15"/>
  <c r="W179" i="15"/>
  <c r="X179" i="15"/>
  <c r="Z179" i="15"/>
  <c r="AA179" i="15"/>
  <c r="AB179" i="15"/>
  <c r="AD179" i="15"/>
  <c r="AE179" i="15"/>
  <c r="AF179" i="15"/>
  <c r="AH179" i="15"/>
  <c r="AI179" i="15"/>
  <c r="AJ179" i="15"/>
  <c r="AL179" i="15"/>
  <c r="AM179" i="15"/>
  <c r="AN179" i="15"/>
  <c r="AP179" i="15"/>
  <c r="AQ179" i="15"/>
  <c r="AR179" i="15"/>
  <c r="AT179" i="15"/>
  <c r="AU179" i="15"/>
  <c r="B180" i="15"/>
  <c r="G180" i="15"/>
  <c r="B181" i="15"/>
  <c r="B182" i="15"/>
  <c r="C182" i="15"/>
  <c r="G182" i="15"/>
  <c r="Q182" i="15"/>
  <c r="R182" i="15"/>
  <c r="S182" i="15"/>
  <c r="B183" i="15"/>
  <c r="B185" i="15"/>
  <c r="D185" i="15"/>
  <c r="E185" i="15"/>
  <c r="F185" i="15"/>
  <c r="G185" i="15"/>
  <c r="H185" i="15"/>
  <c r="Q185" i="15"/>
  <c r="R185" i="15"/>
  <c r="S185" i="15"/>
  <c r="T185" i="15"/>
  <c r="U185" i="15"/>
  <c r="W185" i="15"/>
  <c r="X185" i="15"/>
  <c r="Z185" i="15"/>
  <c r="AA185" i="15"/>
  <c r="AB185" i="15"/>
  <c r="AD185" i="15"/>
  <c r="AE185" i="15"/>
  <c r="AF185" i="15"/>
  <c r="AG185" i="15"/>
  <c r="AH185" i="15"/>
  <c r="AI185" i="15"/>
  <c r="AJ185" i="15"/>
  <c r="AK185" i="15"/>
  <c r="AL185" i="15"/>
  <c r="AM185" i="15"/>
  <c r="AN185" i="15"/>
  <c r="AO185" i="15"/>
  <c r="AP185" i="15"/>
  <c r="AQ185" i="15"/>
  <c r="AR185" i="15"/>
  <c r="AT185" i="15"/>
  <c r="AU185" i="15"/>
  <c r="B186" i="15"/>
  <c r="C186" i="15"/>
  <c r="G186" i="15"/>
  <c r="Q186" i="15"/>
  <c r="R186" i="15"/>
  <c r="S186" i="15"/>
  <c r="T186" i="15"/>
  <c r="B187" i="15"/>
  <c r="C187" i="15"/>
  <c r="B189" i="15"/>
  <c r="B190" i="15"/>
  <c r="B191" i="15"/>
  <c r="C191" i="15"/>
  <c r="D191" i="15"/>
  <c r="E191" i="15"/>
  <c r="F191" i="15"/>
  <c r="G191" i="15"/>
  <c r="H191" i="15"/>
  <c r="I191" i="15"/>
  <c r="J191" i="15"/>
  <c r="K191" i="15"/>
  <c r="Q191" i="15"/>
  <c r="R191" i="15"/>
  <c r="S191" i="15"/>
  <c r="T191" i="15"/>
  <c r="U191" i="15"/>
  <c r="W191" i="15"/>
  <c r="X191" i="15"/>
  <c r="Y191" i="15"/>
  <c r="Z191" i="15"/>
  <c r="AA191" i="15"/>
  <c r="AB191" i="15"/>
  <c r="AD191" i="15"/>
  <c r="AH191" i="15"/>
  <c r="AL191" i="15"/>
  <c r="AP191" i="15"/>
  <c r="AT191" i="15"/>
  <c r="B192" i="15"/>
  <c r="C192" i="15"/>
  <c r="D192" i="15"/>
  <c r="E192" i="15"/>
  <c r="F192" i="15"/>
  <c r="H192" i="15"/>
  <c r="I192" i="15"/>
  <c r="J192" i="15"/>
  <c r="K192" i="15"/>
  <c r="Q192" i="15"/>
  <c r="R192" i="15"/>
  <c r="S192" i="15"/>
  <c r="T192" i="15"/>
  <c r="U192" i="15"/>
  <c r="W192" i="15"/>
  <c r="X192" i="15"/>
  <c r="Z192" i="15"/>
  <c r="AA192" i="15"/>
  <c r="AB192" i="15"/>
  <c r="AD192" i="15"/>
  <c r="AH192" i="15"/>
  <c r="AL192" i="15"/>
  <c r="AP192" i="15"/>
  <c r="AQ192" i="15"/>
  <c r="AT192" i="15"/>
  <c r="AU192" i="15"/>
  <c r="B193" i="15"/>
  <c r="B194" i="15"/>
  <c r="C194" i="15"/>
  <c r="D194" i="15"/>
  <c r="E194" i="15"/>
  <c r="F194" i="15"/>
  <c r="G194" i="15"/>
  <c r="H194" i="15"/>
  <c r="I194" i="15"/>
  <c r="J194" i="15"/>
  <c r="K194" i="15"/>
  <c r="Q194" i="15"/>
  <c r="U194" i="15"/>
  <c r="Z194" i="15"/>
  <c r="AD194" i="15"/>
  <c r="AH194" i="15"/>
  <c r="AL194" i="15"/>
  <c r="AP194" i="15"/>
  <c r="B195" i="15"/>
  <c r="C195" i="15"/>
  <c r="D195" i="15"/>
  <c r="E195" i="15"/>
  <c r="F195" i="15"/>
  <c r="G195" i="15"/>
  <c r="H195" i="15"/>
  <c r="I195" i="15"/>
  <c r="J195" i="15"/>
  <c r="K195" i="15"/>
  <c r="Q195" i="15"/>
  <c r="U195" i="15"/>
  <c r="Z195" i="15"/>
  <c r="AD195" i="15"/>
  <c r="AH195" i="15"/>
  <c r="AL195" i="15"/>
  <c r="AT195" i="15"/>
  <c r="B196" i="15"/>
  <c r="C196" i="15"/>
  <c r="D196" i="15"/>
  <c r="E196" i="15"/>
  <c r="F196" i="15"/>
  <c r="G196" i="15"/>
  <c r="H196" i="15"/>
  <c r="I196" i="15"/>
  <c r="J196" i="15"/>
  <c r="K196" i="15"/>
  <c r="Q196" i="15"/>
  <c r="U196" i="15"/>
  <c r="Z196" i="15"/>
  <c r="AD196" i="15"/>
  <c r="AH196" i="15"/>
  <c r="AI196" i="15"/>
  <c r="AL196" i="15"/>
  <c r="AP196" i="15"/>
  <c r="AQ196" i="15"/>
  <c r="AT196" i="15"/>
  <c r="B197" i="15"/>
  <c r="B198" i="15"/>
  <c r="C198" i="15"/>
  <c r="D198" i="15"/>
  <c r="E198" i="15"/>
  <c r="F198" i="15"/>
  <c r="G198" i="15"/>
  <c r="H198" i="15"/>
  <c r="I198" i="15"/>
  <c r="J198" i="15"/>
  <c r="Q198" i="15"/>
  <c r="U198" i="15"/>
  <c r="Z198" i="15"/>
  <c r="AA198" i="15"/>
  <c r="AB198" i="15"/>
  <c r="AD198" i="15"/>
  <c r="AH198" i="15"/>
  <c r="AL198" i="15"/>
  <c r="B199" i="15"/>
  <c r="H199" i="15"/>
  <c r="Z199" i="15"/>
  <c r="AD199" i="15"/>
  <c r="AH199" i="15"/>
  <c r="AL199" i="15"/>
  <c r="AP199" i="15"/>
  <c r="AT199" i="15"/>
  <c r="B200" i="15"/>
  <c r="C200" i="15"/>
  <c r="D200" i="15"/>
  <c r="E200" i="15"/>
  <c r="F200" i="15"/>
  <c r="G200" i="15"/>
  <c r="H200" i="15"/>
  <c r="I200" i="15"/>
  <c r="J200" i="15"/>
  <c r="Q200" i="15"/>
  <c r="U200" i="15"/>
  <c r="Z200" i="15"/>
  <c r="AD200" i="15"/>
  <c r="AH200" i="15"/>
  <c r="AL200" i="15"/>
  <c r="AP200" i="15"/>
  <c r="AT200" i="15"/>
  <c r="B201" i="15"/>
  <c r="B202" i="15"/>
  <c r="C202" i="15"/>
  <c r="D202" i="15"/>
  <c r="E202" i="15"/>
  <c r="F202" i="15"/>
  <c r="G202" i="15"/>
  <c r="H202" i="15"/>
  <c r="J202" i="15"/>
  <c r="K202" i="15"/>
  <c r="U202" i="15"/>
  <c r="Z202" i="15"/>
  <c r="AD202" i="15"/>
  <c r="AH202" i="15"/>
  <c r="AL202" i="15"/>
  <c r="AP202" i="15"/>
  <c r="AT202" i="15"/>
  <c r="B203" i="15"/>
  <c r="B204" i="15"/>
  <c r="C204" i="15"/>
  <c r="D204" i="15"/>
  <c r="E204" i="15"/>
  <c r="F204" i="15"/>
  <c r="G204" i="15"/>
  <c r="H204" i="15"/>
  <c r="I204" i="15"/>
  <c r="J204" i="15"/>
  <c r="K204" i="15"/>
  <c r="Q204" i="15"/>
  <c r="U204" i="15"/>
  <c r="Z204" i="15"/>
  <c r="AD204" i="15"/>
  <c r="AH204" i="15"/>
  <c r="AL204" i="15"/>
  <c r="AP204" i="15"/>
  <c r="AT204" i="15"/>
  <c r="B205" i="15"/>
  <c r="C205" i="15"/>
  <c r="D205" i="15"/>
  <c r="E205" i="15"/>
  <c r="F205" i="15"/>
  <c r="G205" i="15"/>
  <c r="H205" i="15"/>
  <c r="I205" i="15"/>
  <c r="J205" i="15"/>
  <c r="K205" i="15"/>
  <c r="Q205" i="15"/>
  <c r="U205" i="15"/>
  <c r="Z205" i="15"/>
  <c r="AD205" i="15"/>
  <c r="AH205" i="15"/>
  <c r="AI205" i="15"/>
  <c r="AL205" i="15"/>
  <c r="AM205" i="15"/>
  <c r="AP205" i="15"/>
  <c r="AQ205" i="15"/>
  <c r="AT205" i="15"/>
  <c r="AU205" i="15"/>
  <c r="B206" i="15"/>
  <c r="B207" i="15"/>
  <c r="B208" i="15"/>
  <c r="U208" i="15"/>
  <c r="AN208" i="15"/>
  <c r="B213" i="15"/>
  <c r="B214" i="15"/>
  <c r="B216" i="15"/>
  <c r="B217" i="15"/>
  <c r="B219" i="15"/>
  <c r="B220" i="15"/>
  <c r="C222" i="15"/>
  <c r="D222" i="15"/>
  <c r="E222" i="15"/>
  <c r="E229" i="15"/>
  <c r="F222" i="15"/>
  <c r="F251" i="15"/>
  <c r="G222" i="15"/>
  <c r="G242" i="15"/>
  <c r="G229" i="15"/>
  <c r="H222" i="15"/>
  <c r="I222" i="15"/>
  <c r="K222" i="15"/>
  <c r="AA222" i="15"/>
  <c r="AA294" i="15"/>
  <c r="AB222" i="15"/>
  <c r="AC222" i="15"/>
  <c r="AE222" i="15"/>
  <c r="AF222" i="15"/>
  <c r="AG222" i="15"/>
  <c r="AH222" i="15"/>
  <c r="AI222" i="15"/>
  <c r="AJ222" i="15"/>
  <c r="AL222" i="15"/>
  <c r="AM222" i="15"/>
  <c r="C223" i="15"/>
  <c r="D223" i="15"/>
  <c r="D265" i="15"/>
  <c r="E223" i="15"/>
  <c r="F223" i="15"/>
  <c r="F264" i="15"/>
  <c r="G223" i="15"/>
  <c r="H223" i="15"/>
  <c r="H264" i="15"/>
  <c r="I223" i="15"/>
  <c r="I265" i="15"/>
  <c r="Q223" i="15"/>
  <c r="R223" i="15"/>
  <c r="S223" i="15"/>
  <c r="S265" i="15"/>
  <c r="T223" i="15"/>
  <c r="V223" i="15"/>
  <c r="W223" i="15"/>
  <c r="X223" i="15"/>
  <c r="X265" i="15"/>
  <c r="Y223" i="15"/>
  <c r="Y265" i="15"/>
  <c r="Z223" i="15"/>
  <c r="AA223" i="15"/>
  <c r="AB223" i="15"/>
  <c r="AB264" i="15"/>
  <c r="AC223" i="15"/>
  <c r="AE223" i="15"/>
  <c r="AF223" i="15"/>
  <c r="AG223" i="15"/>
  <c r="D1107" i="17"/>
  <c r="AH223" i="15"/>
  <c r="AI223" i="15"/>
  <c r="AJ223" i="15"/>
  <c r="AL223" i="15"/>
  <c r="K223" i="15"/>
  <c r="AM223" i="15"/>
  <c r="AN223" i="15"/>
  <c r="AO223" i="15"/>
  <c r="J223" i="15"/>
  <c r="AP223" i="15"/>
  <c r="AQ223" i="15"/>
  <c r="D633" i="17"/>
  <c r="AR223" i="15"/>
  <c r="AS223" i="15"/>
  <c r="G226" i="15"/>
  <c r="H226" i="15"/>
  <c r="I226" i="15"/>
  <c r="J226" i="15"/>
  <c r="K226" i="15"/>
  <c r="W226" i="15"/>
  <c r="X226" i="15"/>
  <c r="Y226" i="15"/>
  <c r="Z226" i="15"/>
  <c r="AA226" i="15"/>
  <c r="AB226" i="15"/>
  <c r="AC226" i="15"/>
  <c r="AD226" i="15"/>
  <c r="AE226" i="15"/>
  <c r="AF226" i="15"/>
  <c r="AG226" i="15"/>
  <c r="AH226" i="15"/>
  <c r="AI226" i="15"/>
  <c r="AJ226" i="15"/>
  <c r="AK226" i="15"/>
  <c r="AL226" i="15"/>
  <c r="AM226" i="15"/>
  <c r="AN226" i="15"/>
  <c r="AO226" i="15"/>
  <c r="AP226" i="15"/>
  <c r="AQ226" i="15"/>
  <c r="AR226" i="15"/>
  <c r="AS226" i="15"/>
  <c r="AT226" i="15"/>
  <c r="AU226" i="15"/>
  <c r="W227" i="15"/>
  <c r="X227" i="15"/>
  <c r="Y227" i="15"/>
  <c r="Z227" i="15"/>
  <c r="AA227" i="15"/>
  <c r="AB227" i="15"/>
  <c r="AC227" i="15"/>
  <c r="AD227" i="15"/>
  <c r="AE227" i="15"/>
  <c r="AF227" i="15"/>
  <c r="AG227" i="15"/>
  <c r="AH227" i="15"/>
  <c r="AI227" i="15"/>
  <c r="AJ227" i="15"/>
  <c r="AK227" i="15"/>
  <c r="AL227" i="15"/>
  <c r="AM227" i="15"/>
  <c r="AN227" i="15"/>
  <c r="AO227" i="15"/>
  <c r="AP227" i="15"/>
  <c r="AQ227" i="15"/>
  <c r="AR227" i="15"/>
  <c r="AS227" i="15"/>
  <c r="AT227" i="15"/>
  <c r="AU227" i="15"/>
  <c r="W228" i="15"/>
  <c r="X228" i="15"/>
  <c r="Y228" i="15"/>
  <c r="Z228" i="15"/>
  <c r="AA228" i="15"/>
  <c r="AB228" i="15"/>
  <c r="AC228" i="15"/>
  <c r="AD228" i="15"/>
  <c r="AE228" i="15"/>
  <c r="AF228" i="15"/>
  <c r="AG228" i="15"/>
  <c r="AH228" i="15"/>
  <c r="AI228" i="15"/>
  <c r="AJ228" i="15"/>
  <c r="AK228" i="15"/>
  <c r="AL228" i="15"/>
  <c r="AM228" i="15"/>
  <c r="AN228" i="15"/>
  <c r="AO228" i="15"/>
  <c r="AP228" i="15"/>
  <c r="AQ228" i="15"/>
  <c r="AR228" i="15"/>
  <c r="AS228" i="15"/>
  <c r="AT228" i="15"/>
  <c r="AU228" i="15"/>
  <c r="B229" i="15"/>
  <c r="J229" i="15"/>
  <c r="Q229" i="15"/>
  <c r="R229" i="15"/>
  <c r="S229" i="15"/>
  <c r="W229" i="15"/>
  <c r="X229" i="15"/>
  <c r="Z229" i="15"/>
  <c r="AD229" i="15"/>
  <c r="AT229" i="15"/>
  <c r="B230" i="15"/>
  <c r="B231" i="15"/>
  <c r="B232" i="15"/>
  <c r="B233" i="15"/>
  <c r="B235" i="15"/>
  <c r="Q235" i="15"/>
  <c r="R235" i="15"/>
  <c r="S235" i="15"/>
  <c r="T235" i="15"/>
  <c r="W235" i="15"/>
  <c r="X235" i="15"/>
  <c r="Z235" i="15"/>
  <c r="Z236" i="15"/>
  <c r="AD235" i="15"/>
  <c r="AK235" i="15"/>
  <c r="AT235" i="15"/>
  <c r="B236" i="15"/>
  <c r="B237" i="15"/>
  <c r="B239" i="15"/>
  <c r="B240" i="15"/>
  <c r="B241" i="15"/>
  <c r="J241" i="15"/>
  <c r="Q241" i="15"/>
  <c r="R241" i="15"/>
  <c r="S241" i="15"/>
  <c r="T241" i="15"/>
  <c r="W241" i="15"/>
  <c r="X241" i="15"/>
  <c r="Y241" i="15"/>
  <c r="Z241" i="15"/>
  <c r="AD241" i="15"/>
  <c r="AT241" i="15"/>
  <c r="B242" i="15"/>
  <c r="J242" i="15"/>
  <c r="Q242" i="15"/>
  <c r="R242" i="15"/>
  <c r="S242" i="15"/>
  <c r="T242" i="15"/>
  <c r="W242" i="15"/>
  <c r="X242" i="15"/>
  <c r="Z242" i="15"/>
  <c r="AD242" i="15"/>
  <c r="AT242" i="15"/>
  <c r="B243" i="15"/>
  <c r="B244" i="15"/>
  <c r="J244" i="15"/>
  <c r="Q244" i="15"/>
  <c r="Z244" i="15"/>
  <c r="AD244" i="15"/>
  <c r="B245" i="15"/>
  <c r="J245" i="15"/>
  <c r="Q245" i="15"/>
  <c r="Z245" i="15"/>
  <c r="AD245" i="15"/>
  <c r="AT245" i="15"/>
  <c r="B246" i="15"/>
  <c r="J246" i="15"/>
  <c r="Q246" i="15"/>
  <c r="Z246" i="15"/>
  <c r="AD246" i="15"/>
  <c r="AT246" i="15"/>
  <c r="B247" i="15"/>
  <c r="B248" i="15"/>
  <c r="J248" i="15"/>
  <c r="Q248" i="15"/>
  <c r="Z248" i="15"/>
  <c r="AD248" i="15"/>
  <c r="B249" i="15"/>
  <c r="Z249" i="15"/>
  <c r="AD249" i="15"/>
  <c r="AT249" i="15"/>
  <c r="B250" i="15"/>
  <c r="J250" i="15"/>
  <c r="Q250" i="15"/>
  <c r="Z250" i="15"/>
  <c r="AD250" i="15"/>
  <c r="AT250" i="15"/>
  <c r="B251" i="15"/>
  <c r="B252" i="15"/>
  <c r="J252" i="15"/>
  <c r="Z252" i="15"/>
  <c r="AD252" i="15"/>
  <c r="AT252" i="15"/>
  <c r="B253" i="15"/>
  <c r="B254" i="15"/>
  <c r="J254" i="15"/>
  <c r="Q254" i="15"/>
  <c r="Z254" i="15"/>
  <c r="AD254" i="15"/>
  <c r="AT254" i="15"/>
  <c r="B255" i="15"/>
  <c r="J255" i="15"/>
  <c r="Q255" i="15"/>
  <c r="Z255" i="15"/>
  <c r="AD255" i="15"/>
  <c r="AT255" i="15"/>
  <c r="B256" i="15"/>
  <c r="B257" i="15"/>
  <c r="B267" i="15"/>
  <c r="B268" i="15"/>
  <c r="B270" i="15"/>
  <c r="B271" i="15"/>
  <c r="B273" i="15"/>
  <c r="B274" i="15"/>
  <c r="AA279" i="15"/>
  <c r="AB279" i="15"/>
  <c r="AC279" i="15"/>
  <c r="AD279" i="15"/>
  <c r="AE279" i="15"/>
  <c r="AF279" i="15"/>
  <c r="AG279" i="15"/>
  <c r="AH279" i="15"/>
  <c r="AI279" i="15"/>
  <c r="AJ279" i="15"/>
  <c r="AK279" i="15"/>
  <c r="AL279" i="15"/>
  <c r="AM279" i="15"/>
  <c r="AN279" i="15"/>
  <c r="AO279" i="15"/>
  <c r="AP279" i="15"/>
  <c r="AQ279" i="15"/>
  <c r="AR279" i="15"/>
  <c r="AS279" i="15"/>
  <c r="AT279" i="15"/>
  <c r="AU279" i="15"/>
  <c r="B281" i="15"/>
  <c r="B283" i="15"/>
  <c r="C283" i="15"/>
  <c r="D283" i="15"/>
  <c r="D297" i="15" s="1"/>
  <c r="E283" i="15"/>
  <c r="F283" i="15"/>
  <c r="H283" i="15"/>
  <c r="I283" i="15"/>
  <c r="J283" i="15"/>
  <c r="J297" i="15"/>
  <c r="K283" i="15"/>
  <c r="B284" i="15"/>
  <c r="C284" i="15"/>
  <c r="D284" i="15"/>
  <c r="E284" i="15"/>
  <c r="F284" i="15"/>
  <c r="G284" i="15"/>
  <c r="H284" i="15"/>
  <c r="I284" i="15"/>
  <c r="J284" i="15"/>
  <c r="J298" i="15"/>
  <c r="K284" i="15"/>
  <c r="B285" i="15"/>
  <c r="C293" i="15"/>
  <c r="D293" i="15"/>
  <c r="E293" i="15"/>
  <c r="F293" i="15"/>
  <c r="G293" i="15"/>
  <c r="H293" i="15"/>
  <c r="I293" i="15"/>
  <c r="J293" i="15"/>
  <c r="K293" i="15"/>
  <c r="Q293" i="15"/>
  <c r="R293" i="15"/>
  <c r="S293" i="15"/>
  <c r="T293" i="15"/>
  <c r="W293" i="15"/>
  <c r="X293" i="15"/>
  <c r="Y293" i="15"/>
  <c r="Z293" i="15"/>
  <c r="AA293" i="15"/>
  <c r="AB293" i="15"/>
  <c r="AC293" i="15"/>
  <c r="AD293" i="15"/>
  <c r="AE293" i="15"/>
  <c r="AF293" i="15"/>
  <c r="AG293" i="15"/>
  <c r="AH293" i="15"/>
  <c r="AI293" i="15"/>
  <c r="AJ293" i="15"/>
  <c r="AK293" i="15"/>
  <c r="AL293" i="15"/>
  <c r="AM293" i="15"/>
  <c r="AN293" i="15"/>
  <c r="AO293" i="15"/>
  <c r="AP293" i="15"/>
  <c r="AQ293" i="15"/>
  <c r="AR293" i="15"/>
  <c r="AS293" i="15"/>
  <c r="AT293" i="15"/>
  <c r="AU293" i="15"/>
  <c r="D499" i="17"/>
  <c r="C521" i="17"/>
  <c r="D521" i="17"/>
  <c r="C533" i="17"/>
  <c r="C580" i="17"/>
  <c r="C614" i="17"/>
  <c r="D603" i="17"/>
  <c r="C625" i="17"/>
  <c r="C626" i="17"/>
  <c r="C660" i="17"/>
  <c r="C671" i="17"/>
  <c r="C672" i="17"/>
  <c r="C707" i="17"/>
  <c r="C718" i="17"/>
  <c r="C719" i="17"/>
  <c r="C764" i="17"/>
  <c r="C765" i="17"/>
  <c r="C811" i="17"/>
  <c r="C832" i="17"/>
  <c r="C846" i="17"/>
  <c r="C858" i="17"/>
  <c r="C892" i="17"/>
  <c r="C894" i="17"/>
  <c r="C904" i="17"/>
  <c r="D948" i="17"/>
  <c r="C950" i="17"/>
  <c r="D956" i="17"/>
  <c r="D973" i="17"/>
  <c r="C997" i="17"/>
  <c r="C1044" i="17"/>
  <c r="C1092" i="17"/>
  <c r="C1141" i="17"/>
  <c r="C1191" i="17"/>
  <c r="C1239" i="17"/>
  <c r="H1248" i="17"/>
  <c r="D1253" i="17"/>
  <c r="D1255" i="17"/>
  <c r="C1287" i="17"/>
  <c r="H1295" i="17"/>
  <c r="K1297" i="17"/>
  <c r="K1299" i="17"/>
  <c r="C1334" i="17"/>
  <c r="H1336" i="17"/>
  <c r="D1225" i="17"/>
  <c r="H1344" i="17"/>
  <c r="H1346" i="17"/>
  <c r="D1345" i="17"/>
  <c r="C1383" i="17"/>
  <c r="H1386" i="17"/>
  <c r="D1417" i="17"/>
  <c r="D1391" i="17"/>
  <c r="H1394" i="17"/>
  <c r="H1396" i="17"/>
  <c r="D1397" i="17"/>
  <c r="D1398" i="17"/>
  <c r="C1433" i="17"/>
  <c r="H1437" i="17"/>
  <c r="D1380" i="17"/>
  <c r="D1450" i="17"/>
  <c r="D1457" i="17"/>
  <c r="C1484" i="17"/>
  <c r="Z281" i="15"/>
  <c r="Z295" i="15"/>
  <c r="Z296" i="15"/>
  <c r="M191" i="15"/>
  <c r="M198" i="15"/>
  <c r="E11" i="15"/>
  <c r="AD201" i="15"/>
  <c r="AK112" i="15"/>
  <c r="G189" i="15"/>
  <c r="D1262" i="17"/>
  <c r="C391" i="17"/>
  <c r="AK67" i="15"/>
  <c r="AJ196" i="15"/>
  <c r="H111" i="15"/>
  <c r="V16" i="15"/>
  <c r="V33" i="15"/>
  <c r="AX41" i="15"/>
  <c r="AY195" i="15"/>
  <c r="AN63" i="15"/>
  <c r="AM194" i="15"/>
  <c r="AB281" i="15"/>
  <c r="AB282" i="15" s="1"/>
  <c r="AB161" i="15"/>
  <c r="AB216" i="15"/>
  <c r="AB162" i="15"/>
  <c r="AB217" i="15"/>
  <c r="AS121" i="15"/>
  <c r="S76" i="15"/>
  <c r="S255" i="15"/>
  <c r="AM199" i="15"/>
  <c r="AM192" i="15"/>
  <c r="AL190" i="15"/>
  <c r="AY202" i="15"/>
  <c r="AX16" i="15"/>
  <c r="AX11" i="15"/>
  <c r="Q16" i="15"/>
  <c r="D11" i="15"/>
  <c r="W254" i="15"/>
  <c r="E248" i="15"/>
  <c r="AI192" i="15"/>
  <c r="L240" i="15"/>
  <c r="AN11" i="15"/>
  <c r="AN16" i="15"/>
  <c r="AN45" i="15"/>
  <c r="J249" i="15"/>
  <c r="J199" i="15"/>
  <c r="M11" i="15"/>
  <c r="V107" i="15"/>
  <c r="T229" i="15"/>
  <c r="T237" i="15"/>
  <c r="BF41" i="15"/>
  <c r="BG65" i="15"/>
  <c r="BG41" i="15"/>
  <c r="Y60" i="15"/>
  <c r="Y185" i="15"/>
  <c r="AU69" i="15"/>
  <c r="AU198" i="15"/>
  <c r="D1481" i="17"/>
  <c r="Y116" i="15"/>
  <c r="AT16" i="15"/>
  <c r="AT45" i="15"/>
  <c r="AT47" i="15"/>
  <c r="AS37" i="15"/>
  <c r="AI86" i="15"/>
  <c r="F161" i="15"/>
  <c r="F216" i="15"/>
  <c r="AF75" i="15"/>
  <c r="AF254" i="15"/>
  <c r="AW83" i="15"/>
  <c r="AW280" i="15"/>
  <c r="N202" i="15"/>
  <c r="M41" i="15"/>
  <c r="M284" i="15"/>
  <c r="M298" i="15"/>
  <c r="M244" i="15"/>
  <c r="AW148" i="15"/>
  <c r="N252" i="15"/>
  <c r="G192" i="15"/>
  <c r="AL189" i="15"/>
  <c r="AH286" i="15"/>
  <c r="AU107" i="15"/>
  <c r="AU111" i="15"/>
  <c r="D46" i="15"/>
  <c r="D42" i="15"/>
  <c r="AG83" i="15"/>
  <c r="AG280" i="15"/>
  <c r="X281" i="15"/>
  <c r="X295" i="15"/>
  <c r="X162" i="15"/>
  <c r="X217" i="15"/>
  <c r="AR62" i="15"/>
  <c r="AR191" i="15"/>
  <c r="AQ191" i="15"/>
  <c r="BG11" i="15"/>
  <c r="AM16" i="15"/>
  <c r="AM33" i="15"/>
  <c r="AG30" i="15"/>
  <c r="AE194" i="15"/>
  <c r="AF65" i="15"/>
  <c r="AG65" i="15"/>
  <c r="AY69" i="15"/>
  <c r="AY198" i="15"/>
  <c r="AX198" i="15"/>
  <c r="AQ11" i="15"/>
  <c r="CK53" i="15"/>
  <c r="X69" i="15"/>
  <c r="CO53" i="15"/>
  <c r="AN86" i="15"/>
  <c r="AN162" i="15"/>
  <c r="AN217" i="15"/>
  <c r="AN92" i="15"/>
  <c r="AV71" i="15"/>
  <c r="AU200" i="15"/>
  <c r="BF70" i="15"/>
  <c r="BG70" i="15"/>
  <c r="AA196" i="15"/>
  <c r="AZ83" i="15"/>
  <c r="Y235" i="15"/>
  <c r="Y236" i="15"/>
  <c r="Y53" i="15"/>
  <c r="Y186" i="15"/>
  <c r="AS83" i="15"/>
  <c r="AS280" i="15"/>
  <c r="AS179" i="15"/>
  <c r="AE61" i="15"/>
  <c r="AD240" i="15"/>
  <c r="L281" i="15"/>
  <c r="L282" i="15"/>
  <c r="L162" i="15"/>
  <c r="L217" i="15"/>
  <c r="AX64" i="15"/>
  <c r="BA60" i="15"/>
  <c r="BA86" i="15"/>
  <c r="BA162" i="15"/>
  <c r="BA217" i="15"/>
  <c r="BA36" i="15"/>
  <c r="Q202" i="15"/>
  <c r="F190" i="15"/>
  <c r="W202" i="15"/>
  <c r="X73" i="15"/>
  <c r="X252" i="15"/>
  <c r="AD11" i="15"/>
  <c r="AD16" i="15"/>
  <c r="AD45" i="15"/>
  <c r="M190" i="15"/>
  <c r="AS116" i="15"/>
  <c r="AS117" i="15"/>
  <c r="L117" i="15"/>
  <c r="O82" i="15"/>
  <c r="O44" i="15"/>
  <c r="AZ286" i="15"/>
  <c r="AZ300" i="15"/>
  <c r="N11" i="15"/>
  <c r="K254" i="15"/>
  <c r="K241" i="15"/>
  <c r="K246" i="15"/>
  <c r="X144" i="15"/>
  <c r="F189" i="15"/>
  <c r="AZ92" i="15"/>
  <c r="AZ86" i="15"/>
  <c r="AZ191" i="15"/>
  <c r="AZ195" i="15"/>
  <c r="AY83" i="15"/>
  <c r="AY108" i="15" s="1"/>
  <c r="AY280" i="15"/>
  <c r="D203" i="17"/>
  <c r="BG33" i="15"/>
  <c r="K53" i="15"/>
  <c r="K186" i="15"/>
  <c r="J235" i="15"/>
  <c r="J237" i="15"/>
  <c r="Y37" i="15"/>
  <c r="AC29" i="15"/>
  <c r="F34" i="15"/>
  <c r="AM249" i="15"/>
  <c r="AC235" i="15"/>
  <c r="AM45" i="15"/>
  <c r="AM47" i="15"/>
  <c r="E254" i="15"/>
  <c r="E252" i="15"/>
  <c r="E246" i="15"/>
  <c r="E255" i="15"/>
  <c r="AM244" i="15"/>
  <c r="R205" i="15"/>
  <c r="R255" i="15"/>
  <c r="S239" i="15"/>
  <c r="AN65" i="15"/>
  <c r="AO65" i="15"/>
  <c r="E295" i="15"/>
  <c r="AT248" i="15"/>
  <c r="AT198" i="15"/>
  <c r="AC229" i="15"/>
  <c r="Y86" i="15"/>
  <c r="Y161" i="15"/>
  <c r="Y216" i="15"/>
  <c r="F281" i="15"/>
  <c r="F295" i="15"/>
  <c r="E161" i="15"/>
  <c r="E216" i="15"/>
  <c r="T86" i="15"/>
  <c r="AE72" i="15"/>
  <c r="AD251" i="15"/>
  <c r="X300" i="15"/>
  <c r="AW36" i="15"/>
  <c r="BB92" i="15"/>
  <c r="BB86" i="15"/>
  <c r="AG36" i="15"/>
  <c r="AY286" i="15"/>
  <c r="AY300" i="15"/>
  <c r="CK54" i="15"/>
  <c r="Y31" i="15"/>
  <c r="AM92" i="15"/>
  <c r="AM86" i="15"/>
  <c r="F280" i="15"/>
  <c r="Y83" i="15"/>
  <c r="Y280" i="15"/>
  <c r="Y294" i="15"/>
  <c r="R204" i="15"/>
  <c r="AB73" i="15"/>
  <c r="AC73" i="15"/>
  <c r="AA202" i="15"/>
  <c r="AV124" i="15"/>
  <c r="W196" i="15"/>
  <c r="R111" i="15"/>
  <c r="R107" i="15"/>
  <c r="AA162" i="15"/>
  <c r="AA217" i="15"/>
  <c r="J960" i="17"/>
  <c r="J961" i="17"/>
  <c r="J962" i="17"/>
  <c r="C975" i="17"/>
  <c r="G94" i="15"/>
  <c r="W72" i="15"/>
  <c r="BF16" i="15"/>
  <c r="BF33" i="15"/>
  <c r="R202" i="15"/>
  <c r="AN107" i="15"/>
  <c r="G96" i="15"/>
  <c r="AI194" i="15"/>
  <c r="AJ65" i="15"/>
  <c r="AJ89" i="15" s="1"/>
  <c r="AJ284" i="15" s="1"/>
  <c r="AJ298" i="15" s="1"/>
  <c r="AJ194" i="15"/>
  <c r="AI191" i="15"/>
  <c r="AJ62" i="15"/>
  <c r="AK62" i="15"/>
  <c r="AK241" i="15"/>
  <c r="AI41" i="15"/>
  <c r="R198" i="15"/>
  <c r="V190" i="15"/>
  <c r="AM124" i="15"/>
  <c r="AM235" i="15"/>
  <c r="AM255" i="15"/>
  <c r="F241" i="15"/>
  <c r="J240" i="15"/>
  <c r="J190" i="15"/>
  <c r="AF195" i="15"/>
  <c r="S205" i="15"/>
  <c r="AT41" i="15"/>
  <c r="AO110" i="15"/>
  <c r="L201" i="15"/>
  <c r="L251" i="15"/>
  <c r="BA116" i="15"/>
  <c r="AP111" i="15"/>
  <c r="AP107" i="15"/>
  <c r="AT239" i="15"/>
  <c r="CL53" i="15"/>
  <c r="CG53" i="15"/>
  <c r="CG54" i="15"/>
  <c r="C60" i="15"/>
  <c r="AI83" i="15"/>
  <c r="AI280" i="15"/>
  <c r="AJ83" i="15"/>
  <c r="AJ280" i="15"/>
  <c r="AG179" i="15"/>
  <c r="AG29" i="15"/>
  <c r="AG54" i="15"/>
  <c r="AG187" i="15"/>
  <c r="AG10" i="15"/>
  <c r="BI11" i="15"/>
  <c r="BI16" i="15"/>
  <c r="BI45" i="15"/>
  <c r="E199" i="15"/>
  <c r="E249" i="15"/>
  <c r="N255" i="15"/>
  <c r="N254" i="15"/>
  <c r="N246" i="15"/>
  <c r="CQ13" i="15"/>
  <c r="AQ200" i="15"/>
  <c r="X189" i="15"/>
  <c r="AL64" i="15"/>
  <c r="CR10" i="15"/>
  <c r="X111" i="15"/>
  <c r="X107" i="15"/>
  <c r="AN205" i="15"/>
  <c r="BA185" i="15"/>
  <c r="AG32" i="15"/>
  <c r="O264" i="15"/>
  <c r="N249" i="15"/>
  <c r="T38" i="19"/>
  <c r="T41" i="19" s="1"/>
  <c r="F15" i="19"/>
  <c r="U20" i="19"/>
  <c r="U23" i="19"/>
  <c r="C20" i="19"/>
  <c r="C23" i="19" s="1"/>
  <c r="AN73" i="15"/>
  <c r="AO73" i="15"/>
  <c r="AO202" i="15"/>
  <c r="R16" i="15"/>
  <c r="R21" i="15"/>
  <c r="R11" i="15"/>
  <c r="L237" i="15"/>
  <c r="M230" i="15"/>
  <c r="C1418" i="17"/>
  <c r="D1418" i="17"/>
  <c r="D1419" i="17"/>
  <c r="AI250" i="15"/>
  <c r="AI200" i="15"/>
  <c r="AJ71" i="15"/>
  <c r="AK71" i="15"/>
  <c r="AD64" i="15"/>
  <c r="AD239" i="15"/>
  <c r="CJ10" i="15"/>
  <c r="AD161" i="15"/>
  <c r="AD216" i="15"/>
  <c r="AD281" i="15"/>
  <c r="G254" i="15"/>
  <c r="AM191" i="15"/>
  <c r="AI61" i="15"/>
  <c r="AV192" i="15"/>
  <c r="BB11" i="15"/>
  <c r="BB16" i="15"/>
  <c r="AB16" i="15"/>
  <c r="AB45" i="15"/>
  <c r="Y30" i="15"/>
  <c r="L248" i="15"/>
  <c r="L198" i="15"/>
  <c r="N250" i="15"/>
  <c r="N229" i="15"/>
  <c r="AJ191" i="15"/>
  <c r="AL286" i="15"/>
  <c r="Z111" i="15"/>
  <c r="Z107" i="15"/>
  <c r="I280" i="15"/>
  <c r="I294" i="15"/>
  <c r="AI161" i="15"/>
  <c r="AI216" i="15"/>
  <c r="AI281" i="15"/>
  <c r="AI282" i="15" s="1"/>
  <c r="AI162" i="15"/>
  <c r="AI217" i="15"/>
  <c r="C249" i="15"/>
  <c r="AG195" i="15"/>
  <c r="D21" i="15"/>
  <c r="D38" i="15"/>
  <c r="D33" i="15"/>
  <c r="D45" i="15"/>
  <c r="AR286" i="15"/>
  <c r="AR300" i="15"/>
  <c r="AV62" i="15"/>
  <c r="AV191" i="15"/>
  <c r="AF107" i="15"/>
  <c r="AF108" i="15"/>
  <c r="AF111" i="15"/>
  <c r="Q199" i="15"/>
  <c r="R70" i="15"/>
  <c r="S70" i="15"/>
  <c r="S249" i="15"/>
  <c r="Q249" i="15"/>
  <c r="AK92" i="15"/>
  <c r="J92" i="15"/>
  <c r="AK86" i="15"/>
  <c r="BB64" i="15"/>
  <c r="BB193" i="15"/>
  <c r="BK16" i="15"/>
  <c r="BK11" i="15"/>
  <c r="AO136" i="15"/>
  <c r="E245" i="15"/>
  <c r="D286" i="15"/>
  <c r="D300" i="15"/>
  <c r="D34" i="15"/>
  <c r="AG112" i="15"/>
  <c r="AY63" i="15"/>
  <c r="AW60" i="15"/>
  <c r="AX286" i="15"/>
  <c r="C330" i="17"/>
  <c r="AJ235" i="15"/>
  <c r="E241" i="15"/>
  <c r="E244" i="15"/>
  <c r="E250" i="15"/>
  <c r="E242" i="15"/>
  <c r="E235" i="15"/>
  <c r="E237" i="15"/>
  <c r="AI107" i="15"/>
  <c r="AI111" i="15"/>
  <c r="K60" i="15"/>
  <c r="K86" i="15"/>
  <c r="K281" i="15"/>
  <c r="K54" i="15"/>
  <c r="K187" i="15"/>
  <c r="N41" i="15"/>
  <c r="BB83" i="15"/>
  <c r="BB108" i="15"/>
  <c r="AN75" i="15"/>
  <c r="AN204" i="15"/>
  <c r="AZ73" i="15"/>
  <c r="N242" i="15"/>
  <c r="N241" i="15"/>
  <c r="N297" i="15"/>
  <c r="N235" i="15"/>
  <c r="AY65" i="15"/>
  <c r="AY194" i="15"/>
  <c r="N245" i="15"/>
  <c r="BB194" i="15"/>
  <c r="AM162" i="15"/>
  <c r="AM217" i="15"/>
  <c r="O185" i="15"/>
  <c r="AS71" i="15"/>
  <c r="AS200" i="15"/>
  <c r="O179" i="15"/>
  <c r="BK33" i="15"/>
  <c r="J295" i="15"/>
  <c r="J273" i="15" s="1"/>
  <c r="J296" i="15"/>
  <c r="J282" i="15"/>
  <c r="D88" i="17"/>
  <c r="D410" i="17"/>
  <c r="K402" i="17"/>
  <c r="D527" i="17"/>
  <c r="D493" i="17"/>
  <c r="J1055" i="17"/>
  <c r="C1080" i="17"/>
  <c r="C1081" i="17"/>
  <c r="D94" i="17"/>
  <c r="D59" i="17"/>
  <c r="K62" i="17"/>
  <c r="D73" i="17"/>
  <c r="D97" i="17"/>
  <c r="D1390" i="17"/>
  <c r="S38" i="19"/>
  <c r="S41" i="19"/>
  <c r="AG75" i="15"/>
  <c r="AF204" i="15"/>
  <c r="AD294" i="15"/>
  <c r="R196" i="15"/>
  <c r="AA11" i="15"/>
  <c r="AK8" i="15"/>
  <c r="AK180" i="15"/>
  <c r="AM83" i="15"/>
  <c r="AK29" i="15"/>
  <c r="AL83" i="15"/>
  <c r="AL280" i="15"/>
  <c r="AK83" i="15"/>
  <c r="AK280" i="15"/>
  <c r="AY16" i="15"/>
  <c r="AY45" i="15"/>
  <c r="AY11" i="15"/>
  <c r="N161" i="15"/>
  <c r="N216" i="15"/>
  <c r="N162" i="15"/>
  <c r="N217" i="15"/>
  <c r="N281" i="15"/>
  <c r="N198" i="15"/>
  <c r="N248" i="15"/>
  <c r="BK45" i="15"/>
  <c r="BK47" i="15"/>
  <c r="O60" i="15"/>
  <c r="O189" i="15"/>
  <c r="AO264" i="15"/>
  <c r="AM286" i="15"/>
  <c r="AM300" i="15"/>
  <c r="J822" i="17"/>
  <c r="J823" i="17"/>
  <c r="J824" i="17"/>
  <c r="C837" i="17"/>
  <c r="AJ41" i="15"/>
  <c r="AK65" i="15"/>
  <c r="AC115" i="15"/>
  <c r="AR92" i="15"/>
  <c r="AR86" i="15"/>
  <c r="AR281" i="15"/>
  <c r="M202" i="15"/>
  <c r="M252" i="15"/>
  <c r="BB198" i="15"/>
  <c r="BC69" i="15"/>
  <c r="BC198" i="15"/>
  <c r="AF61" i="15"/>
  <c r="AE190" i="15"/>
  <c r="AW71" i="15"/>
  <c r="AW200" i="15"/>
  <c r="AV200" i="15"/>
  <c r="AE244" i="15"/>
  <c r="AR45" i="15"/>
  <c r="AR33" i="15"/>
  <c r="AH64" i="15"/>
  <c r="AH193" i="15"/>
  <c r="AH189" i="15"/>
  <c r="AH239" i="15"/>
  <c r="Z189" i="15"/>
  <c r="Z239" i="15"/>
  <c r="J60" i="15"/>
  <c r="J239" i="15"/>
  <c r="AW265" i="15"/>
  <c r="X75" i="15"/>
  <c r="X204" i="15"/>
  <c r="AB241" i="15"/>
  <c r="AD297" i="15"/>
  <c r="K286" i="15"/>
  <c r="K34" i="15"/>
  <c r="AW37" i="15"/>
  <c r="AW179" i="15"/>
  <c r="AW31" i="15"/>
  <c r="AX83" i="15"/>
  <c r="AW30" i="15"/>
  <c r="AR39" i="15"/>
  <c r="AM242" i="15"/>
  <c r="J54" i="15"/>
  <c r="J187" i="15"/>
  <c r="J185" i="15"/>
  <c r="W245" i="15"/>
  <c r="AR11" i="15"/>
  <c r="AM229" i="15"/>
  <c r="AM237" i="15"/>
  <c r="L189" i="15"/>
  <c r="AN55" i="15"/>
  <c r="AO55" i="15"/>
  <c r="AO46" i="15"/>
  <c r="M194" i="15"/>
  <c r="BA10" i="15"/>
  <c r="F111" i="15"/>
  <c r="Y105" i="15"/>
  <c r="Y107" i="15" s="1"/>
  <c r="Y108" i="15" s="1"/>
  <c r="Y111" i="15"/>
  <c r="BA223" i="15"/>
  <c r="N265" i="15"/>
  <c r="AF63" i="15"/>
  <c r="AF192" i="15"/>
  <c r="AB75" i="15"/>
  <c r="AC75" i="15"/>
  <c r="V249" i="15"/>
  <c r="AI92" i="15"/>
  <c r="AE195" i="15"/>
  <c r="H107" i="15"/>
  <c r="N240" i="15"/>
  <c r="BB286" i="15"/>
  <c r="BB300" i="15"/>
  <c r="AE196" i="15"/>
  <c r="AB117" i="15"/>
  <c r="Z162" i="15"/>
  <c r="Z217" i="15"/>
  <c r="AX117" i="15"/>
  <c r="AE87" i="15"/>
  <c r="AE283" i="15"/>
  <c r="AE297" i="15"/>
  <c r="AQ72" i="15"/>
  <c r="AQ201" i="15"/>
  <c r="Q251" i="15"/>
  <c r="BC161" i="15"/>
  <c r="BC216" i="15"/>
  <c r="AW62" i="15"/>
  <c r="AW191" i="15"/>
  <c r="AM42" i="15"/>
  <c r="Z282" i="15"/>
  <c r="BA281" i="15"/>
  <c r="X198" i="15"/>
  <c r="X248" i="15"/>
  <c r="F250" i="15"/>
  <c r="F252" i="15"/>
  <c r="F235" i="15"/>
  <c r="F236" i="15"/>
  <c r="F248" i="15"/>
  <c r="E162" i="15"/>
  <c r="E217" i="15"/>
  <c r="E94" i="15"/>
  <c r="AS76" i="15"/>
  <c r="AR205" i="15"/>
  <c r="Y117" i="15"/>
  <c r="AP264" i="15"/>
  <c r="AM264" i="15"/>
  <c r="AM265" i="15"/>
  <c r="Q264" i="15"/>
  <c r="Q265" i="15"/>
  <c r="AL11" i="15"/>
  <c r="AR264" i="15"/>
  <c r="AR265" i="15"/>
  <c r="X264" i="15"/>
  <c r="E96" i="15"/>
  <c r="AF264" i="15"/>
  <c r="W264" i="15"/>
  <c r="W265" i="15"/>
  <c r="AQ265" i="15"/>
  <c r="F265" i="15"/>
  <c r="Y264" i="15"/>
  <c r="D624" i="17"/>
  <c r="AI264" i="15"/>
  <c r="AI265" i="15"/>
  <c r="R265" i="15"/>
  <c r="R264" i="15"/>
  <c r="AA56" i="15"/>
  <c r="AB56" i="15"/>
  <c r="AC56" i="15"/>
  <c r="N264" i="15"/>
  <c r="BA148" i="15"/>
  <c r="BA161" i="15"/>
  <c r="BA216" i="15"/>
  <c r="BA122" i="15"/>
  <c r="N124" i="15"/>
  <c r="AN264" i="15"/>
  <c r="AN265" i="15"/>
  <c r="BC196" i="15"/>
  <c r="BA83" i="15"/>
  <c r="BA280" i="15"/>
  <c r="BA282" i="15"/>
  <c r="BC83" i="15"/>
  <c r="BC280" i="15"/>
  <c r="BC16" i="15"/>
  <c r="BC33" i="15"/>
  <c r="BC11" i="15"/>
  <c r="Z265" i="15"/>
  <c r="Z264" i="15"/>
  <c r="AG264" i="15"/>
  <c r="L239" i="15"/>
  <c r="AV117" i="15"/>
  <c r="BC264" i="15"/>
  <c r="BC281" i="15"/>
  <c r="J1056" i="17"/>
  <c r="J1057" i="17"/>
  <c r="C1070" i="17"/>
  <c r="AR162" i="15"/>
  <c r="AR217" i="15"/>
  <c r="AH68" i="15"/>
  <c r="AH247" i="15"/>
  <c r="AH243" i="15"/>
  <c r="AM280" i="15"/>
  <c r="AK194" i="15"/>
  <c r="AY21" i="15"/>
  <c r="AY23" i="15"/>
  <c r="AY25" i="15"/>
  <c r="AS205" i="15"/>
  <c r="AH197" i="15"/>
  <c r="D485" i="17"/>
  <c r="D500" i="17"/>
  <c r="D667" i="17"/>
  <c r="D637" i="17"/>
  <c r="D669" i="17"/>
  <c r="D528" i="17"/>
  <c r="C985" i="17"/>
  <c r="C986" i="17"/>
  <c r="D68" i="17"/>
  <c r="D1246" i="17"/>
  <c r="D1259" i="17"/>
  <c r="D1263" i="17"/>
  <c r="D64" i="17"/>
  <c r="D1394" i="17"/>
  <c r="D116" i="17"/>
  <c r="D1374" i="17"/>
  <c r="D119" i="17"/>
  <c r="D1399" i="17"/>
  <c r="D124" i="17"/>
  <c r="D1377" i="17"/>
  <c r="D1396" i="17"/>
  <c r="D98" i="17"/>
  <c r="D531" i="17"/>
  <c r="D1378" i="17"/>
  <c r="D1428" i="17"/>
  <c r="D501" i="17"/>
  <c r="D1401" i="17"/>
  <c r="D482" i="17"/>
  <c r="D529" i="17"/>
  <c r="D1480" i="17"/>
  <c r="D1426" i="17"/>
  <c r="D1476" i="17"/>
  <c r="D1446" i="17"/>
  <c r="D1429" i="17"/>
  <c r="D483" i="17"/>
  <c r="D530" i="17"/>
  <c r="D1381" i="17"/>
  <c r="D503" i="17"/>
  <c r="K496" i="17"/>
  <c r="D484" i="17"/>
  <c r="D1427" i="17"/>
  <c r="D504" i="17"/>
  <c r="D108" i="17"/>
  <c r="D481" i="17"/>
  <c r="D1477" i="17"/>
  <c r="C847" i="17"/>
  <c r="C848" i="17"/>
  <c r="D1375" i="17"/>
  <c r="D1479" i="17"/>
  <c r="D1273" i="17"/>
  <c r="D1177" i="17"/>
  <c r="D1431" i="17"/>
  <c r="D1478" i="17"/>
  <c r="D1468" i="17"/>
  <c r="D1128" i="17"/>
  <c r="D1441" i="17"/>
  <c r="D1395" i="17"/>
  <c r="D1356" i="17"/>
  <c r="D1344" i="17"/>
  <c r="D494" i="17"/>
  <c r="D1341" i="17"/>
  <c r="D1445" i="17"/>
  <c r="D1379" i="17"/>
  <c r="D1430" i="17"/>
  <c r="D1449" i="17"/>
  <c r="D1348" i="17"/>
  <c r="D1340" i="17"/>
  <c r="D1349" i="17"/>
  <c r="D1448" i="17"/>
  <c r="D1425" i="17"/>
  <c r="D1475" i="17"/>
  <c r="D1482" i="17"/>
  <c r="D1406" i="17"/>
  <c r="D1347" i="17"/>
  <c r="D1367" i="17"/>
  <c r="D1424" i="17"/>
  <c r="D1452" i="17"/>
  <c r="D1376" i="17"/>
  <c r="D1320" i="17"/>
  <c r="D1447" i="17"/>
  <c r="D1346" i="17"/>
  <c r="D1351" i="17"/>
  <c r="D446" i="17"/>
  <c r="D456" i="17"/>
  <c r="AJ103" i="19"/>
  <c r="AF103" i="19"/>
  <c r="E15" i="19"/>
  <c r="AV103" i="19"/>
  <c r="AX103" i="19"/>
  <c r="AY103" i="19"/>
  <c r="M103" i="19"/>
  <c r="AB103" i="19"/>
  <c r="P38" i="19"/>
  <c r="P41" i="19" s="1"/>
  <c r="W20" i="19"/>
  <c r="W23" i="19"/>
  <c r="T20" i="19"/>
  <c r="T23" i="19"/>
  <c r="AG103" i="19"/>
  <c r="P20" i="19"/>
  <c r="P23" i="19" s="1"/>
  <c r="AW103" i="19"/>
  <c r="Q26" i="19"/>
  <c r="E33" i="19"/>
  <c r="E39" i="19"/>
  <c r="AC101" i="19"/>
  <c r="AC103" i="19" s="1"/>
  <c r="O26" i="19"/>
  <c r="Q20" i="19"/>
  <c r="Q23" i="19" s="1"/>
  <c r="F22" i="19"/>
  <c r="AK103" i="19"/>
  <c r="D38" i="19"/>
  <c r="D41" i="19"/>
  <c r="F9" i="19"/>
  <c r="F8" i="19" s="1"/>
  <c r="V8" i="19"/>
  <c r="R8" i="19"/>
  <c r="F72" i="19"/>
  <c r="W26" i="19"/>
  <c r="C38" i="19"/>
  <c r="C41" i="19" s="1"/>
  <c r="E38" i="19"/>
  <c r="E41" i="19" s="1"/>
  <c r="D1279" i="17"/>
  <c r="D1287" i="17"/>
  <c r="G252" i="15"/>
  <c r="S73" i="15"/>
  <c r="T73" i="15"/>
  <c r="S75" i="15"/>
  <c r="T75" i="15"/>
  <c r="T204" i="15"/>
  <c r="I53" i="15"/>
  <c r="I186" i="15"/>
  <c r="AO41" i="15"/>
  <c r="D364" i="17"/>
  <c r="AY200" i="15"/>
  <c r="R239" i="15"/>
  <c r="G87" i="15"/>
  <c r="BC21" i="15"/>
  <c r="BC23" i="15"/>
  <c r="BC25" i="15"/>
  <c r="G241" i="15"/>
  <c r="J53" i="15"/>
  <c r="J186" i="15"/>
  <c r="D264" i="15"/>
  <c r="S264" i="15"/>
  <c r="D1282" i="17"/>
  <c r="D454" i="17"/>
  <c r="G250" i="15"/>
  <c r="G246" i="15"/>
  <c r="AP92" i="15"/>
  <c r="AQ199" i="15"/>
  <c r="L41" i="15"/>
  <c r="AY93" i="15"/>
  <c r="AY95" i="15"/>
  <c r="W111" i="15"/>
  <c r="AW222" i="15"/>
  <c r="AE240" i="15"/>
  <c r="Q240" i="15"/>
  <c r="G283" i="15"/>
  <c r="G297" i="15"/>
  <c r="M34" i="15"/>
  <c r="G107" i="15"/>
  <c r="G108" i="15"/>
  <c r="CJ53" i="15"/>
  <c r="AY222" i="15"/>
  <c r="BA222" i="15"/>
  <c r="D1252" i="17"/>
  <c r="G298" i="15"/>
  <c r="AO121" i="15"/>
  <c r="AU61" i="15"/>
  <c r="Z201" i="15"/>
  <c r="AI16" i="15"/>
  <c r="AB265" i="15"/>
  <c r="AL264" i="15"/>
  <c r="D459" i="17"/>
  <c r="D1247" i="17"/>
  <c r="D1280" i="17"/>
  <c r="D451" i="17"/>
  <c r="AH111" i="15"/>
  <c r="G255" i="15"/>
  <c r="AG161" i="15"/>
  <c r="AG216" i="15"/>
  <c r="I185" i="15"/>
  <c r="AT240" i="15"/>
  <c r="AA72" i="15"/>
  <c r="AA201" i="15"/>
  <c r="AW264" i="15"/>
  <c r="AQ111" i="15"/>
  <c r="D1251" i="17"/>
  <c r="X230" i="15"/>
  <c r="W144" i="15"/>
  <c r="W143" i="15" s="1"/>
  <c r="W154" i="15" s="1"/>
  <c r="C144" i="15"/>
  <c r="C211" i="15"/>
  <c r="AN117" i="15"/>
  <c r="AD117" i="15"/>
  <c r="R117" i="15"/>
  <c r="AM254" i="15"/>
  <c r="AL108" i="15"/>
  <c r="D879" i="17"/>
  <c r="AV34" i="15"/>
  <c r="D1250" i="17"/>
  <c r="D1284" i="17"/>
  <c r="D457" i="17"/>
  <c r="D453" i="17"/>
  <c r="D1404" i="17"/>
  <c r="G251" i="15"/>
  <c r="V45" i="15"/>
  <c r="AM144" i="15"/>
  <c r="AA205" i="15"/>
  <c r="L89" i="15"/>
  <c r="AA161" i="15"/>
  <c r="AA216" i="15"/>
  <c r="T162" i="15"/>
  <c r="T217" i="15"/>
  <c r="I86" i="15"/>
  <c r="D463" i="17"/>
  <c r="E286" i="15"/>
  <c r="E300" i="15"/>
  <c r="AV286" i="15"/>
  <c r="AV300" i="15"/>
  <c r="E298" i="15"/>
  <c r="Q117" i="15"/>
  <c r="J117" i="15"/>
  <c r="AW111" i="15"/>
  <c r="D1285" i="17"/>
  <c r="D458" i="17"/>
  <c r="AB144" i="15"/>
  <c r="AL265" i="15"/>
  <c r="K265" i="15"/>
  <c r="I60" i="15"/>
  <c r="I189" i="15"/>
  <c r="R246" i="15"/>
  <c r="D1281" i="17"/>
  <c r="D452" i="17"/>
  <c r="R199" i="15"/>
  <c r="AI190" i="15"/>
  <c r="AI108" i="15"/>
  <c r="D47" i="15"/>
  <c r="G244" i="15"/>
  <c r="D1283" i="17"/>
  <c r="L244" i="15"/>
  <c r="L284" i="15"/>
  <c r="L298" i="15"/>
  <c r="M251" i="15"/>
  <c r="Z46" i="15"/>
  <c r="Z42" i="15"/>
  <c r="Q64" i="15"/>
  <c r="Q68" i="15"/>
  <c r="Q74" i="15"/>
  <c r="J403" i="17"/>
  <c r="J404" i="17"/>
  <c r="J405" i="17"/>
  <c r="C418" i="17"/>
  <c r="D502" i="17"/>
  <c r="BB222" i="15"/>
  <c r="BC222" i="15"/>
  <c r="K449" i="17"/>
  <c r="AW239" i="15"/>
  <c r="AL300" i="15"/>
  <c r="G248" i="15"/>
  <c r="G240" i="15"/>
  <c r="AQ83" i="15"/>
  <c r="Q252" i="15"/>
  <c r="AO10" i="15"/>
  <c r="AO11" i="15"/>
  <c r="D474" i="17"/>
  <c r="C153" i="15"/>
  <c r="C262" i="15"/>
  <c r="W153" i="15"/>
  <c r="W287" i="15"/>
  <c r="W301" i="15"/>
  <c r="W159" i="15"/>
  <c r="W214" i="15"/>
  <c r="W35" i="15"/>
  <c r="W211" i="15"/>
  <c r="W262" i="15"/>
  <c r="AH89" i="15"/>
  <c r="AH284" i="15"/>
  <c r="AI89" i="15"/>
  <c r="AI284" i="15"/>
  <c r="AI298" i="15"/>
  <c r="AG41" i="15"/>
  <c r="D666" i="17"/>
  <c r="D1061" i="17"/>
  <c r="AH264" i="15"/>
  <c r="AB235" i="15"/>
  <c r="AB236" i="15"/>
  <c r="AB248" i="15"/>
  <c r="AT201" i="15"/>
  <c r="AU72" i="15"/>
  <c r="AA200" i="15"/>
  <c r="AB71" i="15"/>
  <c r="AB250" i="15"/>
  <c r="AE199" i="15"/>
  <c r="AF70" i="15"/>
  <c r="AF199" i="15"/>
  <c r="AN69" i="15"/>
  <c r="AM198" i="15"/>
  <c r="AM248" i="15"/>
  <c r="AS67" i="15"/>
  <c r="AS196" i="15"/>
  <c r="AR196" i="15"/>
  <c r="AN66" i="15"/>
  <c r="AM195" i="15"/>
  <c r="AQ41" i="15"/>
  <c r="AQ194" i="15"/>
  <c r="CO54" i="15"/>
  <c r="D211" i="17"/>
  <c r="O9" i="15"/>
  <c r="O110" i="15"/>
  <c r="CQ9" i="15"/>
  <c r="BC75" i="15"/>
  <c r="BD75" i="15"/>
  <c r="BD254" i="15"/>
  <c r="BC192" i="15"/>
  <c r="BD63" i="15"/>
  <c r="AJ229" i="15"/>
  <c r="AJ237" i="15"/>
  <c r="AJ246" i="15"/>
  <c r="AJ244" i="15"/>
  <c r="T116" i="15"/>
  <c r="T117" i="15"/>
  <c r="E117" i="15"/>
  <c r="H161" i="15"/>
  <c r="H216" i="15"/>
  <c r="H281" i="15"/>
  <c r="S71" i="15"/>
  <c r="R250" i="15"/>
  <c r="AJ69" i="15"/>
  <c r="AJ248" i="15"/>
  <c r="AI198" i="15"/>
  <c r="BA191" i="15"/>
  <c r="AV75" i="15"/>
  <c r="AU204" i="15"/>
  <c r="BA205" i="15"/>
  <c r="O76" i="15"/>
  <c r="D202" i="17"/>
  <c r="AZ124" i="15"/>
  <c r="Q45" i="15"/>
  <c r="Q21" i="15"/>
  <c r="Q38" i="15"/>
  <c r="C246" i="15"/>
  <c r="C229" i="15"/>
  <c r="AP265" i="15"/>
  <c r="AX300" i="15"/>
  <c r="AZ69" i="15"/>
  <c r="AR199" i="15"/>
  <c r="AS70" i="15"/>
  <c r="AA229" i="15"/>
  <c r="AI241" i="15"/>
  <c r="AI255" i="15"/>
  <c r="K242" i="15"/>
  <c r="K252" i="15"/>
  <c r="K244" i="15"/>
  <c r="Z286" i="15"/>
  <c r="Z300" i="15"/>
  <c r="D1455" i="17"/>
  <c r="Z34" i="15"/>
  <c r="F95" i="15"/>
  <c r="F96" i="15"/>
  <c r="F94" i="15"/>
  <c r="G162" i="15"/>
  <c r="G217" i="15"/>
  <c r="G161" i="15"/>
  <c r="G216" i="15"/>
  <c r="Y179" i="15"/>
  <c r="AV205" i="15"/>
  <c r="D1134" i="17"/>
  <c r="D1109" i="17"/>
  <c r="AJ241" i="15"/>
  <c r="D1327" i="17"/>
  <c r="D641" i="17"/>
  <c r="D1042" i="17"/>
  <c r="AK244" i="15"/>
  <c r="D668" i="17"/>
  <c r="J274" i="15"/>
  <c r="J868" i="17"/>
  <c r="J869" i="17"/>
  <c r="J870" i="17"/>
  <c r="C883" i="17"/>
  <c r="BB68" i="15"/>
  <c r="BB197" i="15"/>
  <c r="AM204" i="15"/>
  <c r="AA255" i="15"/>
  <c r="AS62" i="15"/>
  <c r="AM252" i="15"/>
  <c r="AA248" i="15"/>
  <c r="H265" i="15"/>
  <c r="D1117" i="17"/>
  <c r="D638" i="17"/>
  <c r="AZ65" i="15"/>
  <c r="AA250" i="15"/>
  <c r="Q33" i="15"/>
  <c r="AN33" i="15"/>
  <c r="K251" i="15"/>
  <c r="AL111" i="15"/>
  <c r="L16" i="15"/>
  <c r="L53" i="15"/>
  <c r="L186" i="15"/>
  <c r="K185" i="15"/>
  <c r="C1470" i="17"/>
  <c r="D1469" i="17"/>
  <c r="AN46" i="15"/>
  <c r="AN42" i="15"/>
  <c r="I264" i="15"/>
  <c r="AH265" i="15"/>
  <c r="AG265" i="15"/>
  <c r="D1136" i="17"/>
  <c r="L295" i="15"/>
  <c r="L273" i="15" s="1"/>
  <c r="D1106" i="17"/>
  <c r="D670" i="17"/>
  <c r="AJ255" i="15"/>
  <c r="C254" i="15"/>
  <c r="CR54" i="15"/>
  <c r="AN21" i="15"/>
  <c r="AN23" i="15"/>
  <c r="AN25" i="15"/>
  <c r="AT251" i="15"/>
  <c r="AJ16" i="15"/>
  <c r="AJ33" i="15"/>
  <c r="AJ11" i="15"/>
  <c r="D181" i="15"/>
  <c r="D85" i="15"/>
  <c r="D170" i="15" s="1"/>
  <c r="D219" i="15" s="1"/>
  <c r="AD68" i="15"/>
  <c r="AD243" i="15"/>
  <c r="AQ93" i="15"/>
  <c r="AQ95" i="15"/>
  <c r="AA252" i="15"/>
  <c r="AA241" i="15"/>
  <c r="AA242" i="15"/>
  <c r="AB294" i="15"/>
  <c r="AQ264" i="15"/>
  <c r="AA34" i="15"/>
  <c r="D644" i="17"/>
  <c r="AM245" i="15"/>
  <c r="AO194" i="15"/>
  <c r="K205" i="17"/>
  <c r="K635" i="17"/>
  <c r="AB93" i="15"/>
  <c r="AB95" i="15"/>
  <c r="S204" i="15"/>
  <c r="AN41" i="15"/>
  <c r="AA235" i="15"/>
  <c r="AB229" i="15"/>
  <c r="C298" i="15"/>
  <c r="AI246" i="15"/>
  <c r="AK115" i="15"/>
  <c r="AK117" i="15"/>
  <c r="AZ281" i="15"/>
  <c r="AZ162" i="15"/>
  <c r="AZ217" i="15"/>
  <c r="D313" i="17"/>
  <c r="AR65" i="15"/>
  <c r="AH144" i="15"/>
  <c r="D636" i="17"/>
  <c r="AN202" i="15"/>
  <c r="AP93" i="15"/>
  <c r="AP95" i="15"/>
  <c r="S254" i="15"/>
  <c r="AN194" i="15"/>
  <c r="AA246" i="15"/>
  <c r="C242" i="15"/>
  <c r="Z108" i="15"/>
  <c r="BA112" i="15"/>
  <c r="I286" i="15"/>
  <c r="I300" i="15"/>
  <c r="G281" i="15"/>
  <c r="G295" i="15"/>
  <c r="V21" i="15"/>
  <c r="V38" i="15"/>
  <c r="AR192" i="15"/>
  <c r="AS63" i="15"/>
  <c r="AT87" i="15"/>
  <c r="AT283" i="15"/>
  <c r="AM61" i="15"/>
  <c r="AR55" i="15"/>
  <c r="AQ46" i="15"/>
  <c r="AQ42" i="15"/>
  <c r="N236" i="15"/>
  <c r="AA295" i="15"/>
  <c r="AA296" i="15"/>
  <c r="E297" i="15"/>
  <c r="E274" i="15"/>
  <c r="D781" i="17"/>
  <c r="AH251" i="15"/>
  <c r="AO162" i="15"/>
  <c r="AO217" i="15"/>
  <c r="D692" i="17"/>
  <c r="D691" i="17"/>
  <c r="CG10" i="15"/>
  <c r="T29" i="15"/>
  <c r="AW107" i="15"/>
  <c r="AW108" i="15"/>
  <c r="AW10" i="15"/>
  <c r="AA297" i="15"/>
  <c r="BC200" i="15"/>
  <c r="BD71" i="15"/>
  <c r="BC199" i="15"/>
  <c r="BD70" i="15"/>
  <c r="O66" i="15"/>
  <c r="BA107" i="15"/>
  <c r="D135" i="17"/>
  <c r="AH300" i="15"/>
  <c r="AW22" i="15"/>
  <c r="AG22" i="15"/>
  <c r="T32" i="15"/>
  <c r="AK30" i="15"/>
  <c r="AS110" i="15"/>
  <c r="BC61" i="15"/>
  <c r="BD61" i="15"/>
  <c r="D639" i="17"/>
  <c r="K297" i="15"/>
  <c r="AS264" i="15"/>
  <c r="Y36" i="15"/>
  <c r="BC65" i="15"/>
  <c r="BD65" i="15"/>
  <c r="AE89" i="15"/>
  <c r="AE284" i="15"/>
  <c r="AE298" i="15"/>
  <c r="BD69" i="15"/>
  <c r="BD55" i="15"/>
  <c r="BD46" i="15"/>
  <c r="BD42" i="15"/>
  <c r="AG37" i="15"/>
  <c r="BC72" i="15"/>
  <c r="BD72" i="15"/>
  <c r="BC191" i="15"/>
  <c r="BD62" i="15"/>
  <c r="O62" i="15"/>
  <c r="O281" i="15"/>
  <c r="AF33" i="15"/>
  <c r="AF21" i="15"/>
  <c r="AF45" i="15"/>
  <c r="G33" i="15"/>
  <c r="G84" i="15"/>
  <c r="G21" i="15"/>
  <c r="G23" i="15"/>
  <c r="G25" i="15"/>
  <c r="G88" i="15"/>
  <c r="G45" i="15"/>
  <c r="D1214" i="17"/>
  <c r="K1200" i="17"/>
  <c r="D1207" i="17"/>
  <c r="D1236" i="17"/>
  <c r="D1231" i="17"/>
  <c r="D1233" i="17"/>
  <c r="D1198" i="17"/>
  <c r="D1235" i="17"/>
  <c r="D1232" i="17"/>
  <c r="D1234" i="17"/>
  <c r="D1202" i="17"/>
  <c r="D1206" i="17"/>
  <c r="D1237" i="17"/>
  <c r="D1209" i="17"/>
  <c r="AH74" i="15"/>
  <c r="AS112" i="15"/>
  <c r="AO42" i="15"/>
  <c r="AW162" i="15"/>
  <c r="AW217" i="15"/>
  <c r="O54" i="15"/>
  <c r="O187" i="15"/>
  <c r="AK294" i="15"/>
  <c r="D455" i="17"/>
  <c r="D682" i="17"/>
  <c r="C329" i="17"/>
  <c r="O36" i="15"/>
  <c r="AO179" i="15"/>
  <c r="Q111" i="15"/>
  <c r="BB190" i="15"/>
  <c r="BA110" i="15"/>
  <c r="AH252" i="15"/>
  <c r="AO31" i="15"/>
  <c r="D786" i="17"/>
  <c r="AR83" i="15"/>
  <c r="AR280" i="15"/>
  <c r="AR282" i="15"/>
  <c r="AF11" i="15"/>
  <c r="D236" i="17"/>
  <c r="D241" i="17"/>
  <c r="AO83" i="15"/>
  <c r="AO280" i="15"/>
  <c r="AO282" i="15"/>
  <c r="BA30" i="15"/>
  <c r="AF71" i="15"/>
  <c r="AG71" i="15"/>
  <c r="AM107" i="15"/>
  <c r="AM108" i="15"/>
  <c r="AY204" i="15"/>
  <c r="D214" i="17"/>
  <c r="BB41" i="15"/>
  <c r="BB124" i="15"/>
  <c r="BB144" i="15"/>
  <c r="BB287" i="15"/>
  <c r="BB301" i="15"/>
  <c r="D588" i="17"/>
  <c r="N144" i="15"/>
  <c r="AW112" i="15"/>
  <c r="AS29" i="15"/>
  <c r="D771" i="17"/>
  <c r="D772" i="17"/>
  <c r="K682" i="17"/>
  <c r="D713" i="17"/>
  <c r="O37" i="15"/>
  <c r="D717" i="17"/>
  <c r="AB202" i="15"/>
  <c r="AG134" i="15"/>
  <c r="BI47" i="15"/>
  <c r="BI49" i="15"/>
  <c r="W244" i="15"/>
  <c r="AO37" i="15"/>
  <c r="AM64" i="15"/>
  <c r="AM68" i="15"/>
  <c r="D207" i="17"/>
  <c r="AO36" i="15"/>
  <c r="CO10" i="15"/>
  <c r="AX86" i="15"/>
  <c r="AX162" i="15"/>
  <c r="AX217" i="15"/>
  <c r="AC30" i="15"/>
  <c r="C121" i="17"/>
  <c r="C125" i="17"/>
  <c r="D622" i="17"/>
  <c r="AF87" i="15"/>
  <c r="AF283" i="15"/>
  <c r="AF297" i="15"/>
  <c r="AO265" i="15"/>
  <c r="AS10" i="15"/>
  <c r="D775" i="17"/>
  <c r="AW54" i="15"/>
  <c r="AW187" i="15"/>
  <c r="AE250" i="15"/>
  <c r="D689" i="17"/>
  <c r="AK191" i="15"/>
  <c r="E251" i="15"/>
  <c r="AV69" i="15"/>
  <c r="W41" i="15"/>
  <c r="AP83" i="15"/>
  <c r="AP280" i="15"/>
  <c r="AP282" i="15"/>
  <c r="AW235" i="15"/>
  <c r="BA53" i="15"/>
  <c r="BA186" i="15"/>
  <c r="AW282" i="15"/>
  <c r="C427" i="17"/>
  <c r="AY191" i="15"/>
  <c r="D774" i="17"/>
  <c r="Z237" i="15"/>
  <c r="AC265" i="15"/>
  <c r="AO32" i="15"/>
  <c r="S196" i="15"/>
  <c r="BC202" i="15"/>
  <c r="AE265" i="15"/>
  <c r="Q39" i="15"/>
  <c r="AZ255" i="15"/>
  <c r="G11" i="15"/>
  <c r="D807" i="17"/>
  <c r="AO8" i="15"/>
  <c r="AO180" i="15"/>
  <c r="R249" i="15"/>
  <c r="AE93" i="15"/>
  <c r="AE95" i="15"/>
  <c r="AE239" i="15"/>
  <c r="AY64" i="15"/>
  <c r="AD282" i="15"/>
  <c r="AC236" i="15"/>
  <c r="D115" i="17"/>
  <c r="AN222" i="15"/>
  <c r="AR75" i="15"/>
  <c r="AT86" i="15"/>
  <c r="AE64" i="15"/>
  <c r="D238" i="17"/>
  <c r="CP53" i="15"/>
  <c r="AU92" i="15"/>
  <c r="D773" i="17"/>
  <c r="AM239" i="15"/>
  <c r="AG282" i="15"/>
  <c r="AE264" i="15"/>
  <c r="AW161" i="15"/>
  <c r="AW216" i="15"/>
  <c r="AZ245" i="15"/>
  <c r="AO89" i="15"/>
  <c r="AO284" i="15"/>
  <c r="AO298" i="15"/>
  <c r="AP89" i="15"/>
  <c r="AP284" i="15"/>
  <c r="C1353" i="17"/>
  <c r="C1357" i="17"/>
  <c r="AZ93" i="15"/>
  <c r="AZ95" i="15"/>
  <c r="AQ222" i="15"/>
  <c r="AO29" i="15"/>
  <c r="AU87" i="15"/>
  <c r="AU283" i="15"/>
  <c r="K204" i="17"/>
  <c r="X65" i="15"/>
  <c r="Y65" i="15"/>
  <c r="U16" i="15"/>
  <c r="AV73" i="15"/>
  <c r="AB107" i="15"/>
  <c r="AB108" i="15"/>
  <c r="T239" i="15"/>
  <c r="H162" i="15"/>
  <c r="H217" i="15"/>
  <c r="D294" i="15"/>
  <c r="BB201" i="15"/>
  <c r="Q23" i="15"/>
  <c r="Q25" i="15"/>
  <c r="O161" i="15"/>
  <c r="O216" i="15"/>
  <c r="AS87" i="15"/>
  <c r="AS283" i="15"/>
  <c r="AV87" i="15"/>
  <c r="AV283" i="15"/>
  <c r="AS192" i="15"/>
  <c r="AZ235" i="15"/>
  <c r="D696" i="17"/>
  <c r="AR89" i="15"/>
  <c r="AR284" i="15"/>
  <c r="AQ89" i="15"/>
  <c r="AQ284" i="15"/>
  <c r="AI64" i="15"/>
  <c r="R45" i="15"/>
  <c r="CQ7" i="15"/>
  <c r="AW185" i="15"/>
  <c r="I251" i="15"/>
  <c r="C107" i="15"/>
  <c r="C108" i="15"/>
  <c r="V39" i="15"/>
  <c r="M124" i="15"/>
  <c r="M144" i="15"/>
  <c r="M287" i="15"/>
  <c r="M301" i="15"/>
  <c r="M153" i="15"/>
  <c r="AO111" i="15"/>
  <c r="AC32" i="15"/>
  <c r="D239" i="17"/>
  <c r="D237" i="17"/>
  <c r="BA37" i="15"/>
  <c r="G46" i="15"/>
  <c r="G42" i="15"/>
  <c r="E21" i="15"/>
  <c r="E33" i="15"/>
  <c r="E84" i="15"/>
  <c r="T84" i="15"/>
  <c r="E45" i="15"/>
  <c r="AC252" i="15"/>
  <c r="AC202" i="15"/>
  <c r="AG294" i="15"/>
  <c r="AC141" i="15"/>
  <c r="D1210" i="17"/>
  <c r="E144" i="15"/>
  <c r="E211" i="15"/>
  <c r="E262" i="15"/>
  <c r="E268" i="15"/>
  <c r="AR117" i="15"/>
  <c r="AH117" i="15"/>
  <c r="W117" i="15"/>
  <c r="W146" i="15"/>
  <c r="AQ117" i="15"/>
  <c r="V117" i="15"/>
  <c r="T36" i="15"/>
  <c r="AS32" i="15"/>
  <c r="AW32" i="15"/>
  <c r="BK21" i="15"/>
  <c r="BK39" i="15"/>
  <c r="CN10" i="15"/>
  <c r="BC286" i="15"/>
  <c r="BC300" i="15"/>
  <c r="I239" i="15"/>
  <c r="AK41" i="15"/>
  <c r="C1419" i="17"/>
  <c r="J305" i="17"/>
  <c r="J306" i="17"/>
  <c r="J307" i="17"/>
  <c r="C320" i="17"/>
  <c r="D783" i="17"/>
  <c r="C1454" i="17"/>
  <c r="C1458" i="17"/>
  <c r="D1254" i="17"/>
  <c r="D1199" i="17"/>
  <c r="D690" i="17"/>
  <c r="D681" i="17"/>
  <c r="D586" i="17"/>
  <c r="F117" i="15"/>
  <c r="O32" i="15"/>
  <c r="D66" i="17"/>
  <c r="I64" i="15"/>
  <c r="AW241" i="15"/>
  <c r="BA264" i="15"/>
  <c r="D1020" i="17"/>
  <c r="D1037" i="17"/>
  <c r="AY33" i="15"/>
  <c r="T67" i="15"/>
  <c r="T196" i="15"/>
  <c r="AN89" i="15"/>
  <c r="AN284" i="15"/>
  <c r="AY41" i="15"/>
  <c r="D683" i="17"/>
  <c r="D1058" i="17"/>
  <c r="D715" i="17"/>
  <c r="BB74" i="15"/>
  <c r="BB203" i="15"/>
  <c r="D117" i="15"/>
  <c r="AC110" i="15"/>
  <c r="AW141" i="15"/>
  <c r="D209" i="17"/>
  <c r="BA141" i="15"/>
  <c r="AU117" i="15"/>
  <c r="AM89" i="15"/>
  <c r="AM284" i="15"/>
  <c r="AZ248" i="15"/>
  <c r="AA144" i="15"/>
  <c r="I144" i="15"/>
  <c r="I287" i="15"/>
  <c r="I301" i="15"/>
  <c r="AL117" i="15"/>
  <c r="AA117" i="15"/>
  <c r="D69" i="17"/>
  <c r="BC38" i="15"/>
  <c r="BC45" i="15"/>
  <c r="D1005" i="17"/>
  <c r="D1040" i="17"/>
  <c r="Q243" i="15"/>
  <c r="AW93" i="15"/>
  <c r="AY87" i="15"/>
  <c r="AY283" i="15"/>
  <c r="AZ241" i="15"/>
  <c r="T76" i="15"/>
  <c r="T205" i="15"/>
  <c r="AK141" i="15"/>
  <c r="BK64" i="15"/>
  <c r="BK68" i="15"/>
  <c r="BK74" i="15"/>
  <c r="BK77" i="15"/>
  <c r="D201" i="17"/>
  <c r="D219" i="17"/>
  <c r="K144" i="15"/>
  <c r="K287" i="15"/>
  <c r="K301" i="15"/>
  <c r="W289" i="15"/>
  <c r="D1038" i="17"/>
  <c r="D1012" i="17"/>
  <c r="X254" i="15"/>
  <c r="Q193" i="15"/>
  <c r="AW189" i="15"/>
  <c r="AD193" i="15"/>
  <c r="BA108" i="15"/>
  <c r="BB164" i="15"/>
  <c r="W286" i="15"/>
  <c r="W300" i="15"/>
  <c r="G34" i="15"/>
  <c r="G286" i="15"/>
  <c r="G300" i="15"/>
  <c r="AC116" i="15"/>
  <c r="AC117" i="15"/>
  <c r="H117" i="15"/>
  <c r="AH86" i="15"/>
  <c r="AH92" i="15"/>
  <c r="AH164" i="15"/>
  <c r="AJ70" i="15"/>
  <c r="AI199" i="15"/>
  <c r="AI249" i="15"/>
  <c r="I199" i="15"/>
  <c r="I249" i="15"/>
  <c r="AP198" i="15"/>
  <c r="AQ69" i="15"/>
  <c r="AU196" i="15"/>
  <c r="AV67" i="15"/>
  <c r="AV196" i="15"/>
  <c r="R245" i="15"/>
  <c r="R195" i="15"/>
  <c r="S66" i="15"/>
  <c r="T66" i="15"/>
  <c r="AK19" i="15"/>
  <c r="X34" i="15"/>
  <c r="V34" i="15"/>
  <c r="W34" i="15"/>
  <c r="BH16" i="15"/>
  <c r="BH11" i="15"/>
  <c r="W200" i="15"/>
  <c r="X71" i="15"/>
  <c r="X250" i="15"/>
  <c r="AX251" i="15"/>
  <c r="AX201" i="15"/>
  <c r="AY72" i="15"/>
  <c r="AV66" i="15"/>
  <c r="AX235" i="15"/>
  <c r="D1442" i="17"/>
  <c r="E287" i="15"/>
  <c r="E301" i="15"/>
  <c r="E303" i="15"/>
  <c r="BF21" i="15"/>
  <c r="BF45" i="15"/>
  <c r="AM161" i="15"/>
  <c r="AM216" i="15"/>
  <c r="AM281" i="15"/>
  <c r="Y281" i="15"/>
  <c r="Y162" i="15"/>
  <c r="Y217" i="15"/>
  <c r="I161" i="15"/>
  <c r="I216" i="15"/>
  <c r="AW11" i="15"/>
  <c r="AW16" i="15"/>
  <c r="H250" i="15"/>
  <c r="H242" i="15"/>
  <c r="H248" i="15"/>
  <c r="H244" i="15"/>
  <c r="H246" i="15"/>
  <c r="H249" i="15"/>
  <c r="H229" i="15"/>
  <c r="H298" i="15"/>
  <c r="H235" i="15"/>
  <c r="H239" i="15"/>
  <c r="H1298" i="17"/>
  <c r="H1299" i="17"/>
  <c r="H297" i="15"/>
  <c r="H252" i="15"/>
  <c r="D921" i="17"/>
  <c r="D922" i="17"/>
  <c r="D913" i="17"/>
  <c r="D946" i="17"/>
  <c r="D918" i="17"/>
  <c r="D944" i="17"/>
  <c r="D947" i="17"/>
  <c r="K913" i="17"/>
  <c r="D914" i="17"/>
  <c r="V236" i="15"/>
  <c r="Q237" i="15"/>
  <c r="AJ264" i="15"/>
  <c r="AJ265" i="15"/>
  <c r="Y192" i="15"/>
  <c r="Y242" i="15"/>
  <c r="E190" i="15"/>
  <c r="E64" i="15"/>
  <c r="E240" i="15"/>
  <c r="H254" i="15"/>
  <c r="AZ67" i="15"/>
  <c r="N117" i="15"/>
  <c r="AT49" i="15"/>
  <c r="AT183" i="15"/>
  <c r="AT51" i="15"/>
  <c r="W250" i="15"/>
  <c r="AJ294" i="15"/>
  <c r="AG245" i="15"/>
  <c r="AG235" i="15"/>
  <c r="AG229" i="15"/>
  <c r="AG244" i="15"/>
  <c r="D541" i="17"/>
  <c r="AV222" i="15"/>
  <c r="AU222" i="15"/>
  <c r="AU245" i="15"/>
  <c r="AS265" i="15"/>
  <c r="R194" i="15"/>
  <c r="S65" i="15"/>
  <c r="T65" i="15"/>
  <c r="R41" i="15"/>
  <c r="R244" i="15"/>
  <c r="AX246" i="15"/>
  <c r="AX248" i="15"/>
  <c r="AX239" i="15"/>
  <c r="AX229" i="15"/>
  <c r="AX252" i="15"/>
  <c r="AX254" i="15"/>
  <c r="AX242" i="15"/>
  <c r="AX241" i="15"/>
  <c r="AX249" i="15"/>
  <c r="AX240" i="15"/>
  <c r="AX255" i="15"/>
  <c r="AX250" i="15"/>
  <c r="AX244" i="15"/>
  <c r="H255" i="15"/>
  <c r="H295" i="15"/>
  <c r="H274" i="15"/>
  <c r="X41" i="15"/>
  <c r="AU195" i="15"/>
  <c r="AX45" i="15"/>
  <c r="AX47" i="15"/>
  <c r="AX231" i="15"/>
  <c r="AX33" i="15"/>
  <c r="AX21" i="15"/>
  <c r="AT181" i="15"/>
  <c r="BA32" i="15"/>
  <c r="AG239" i="15"/>
  <c r="J64" i="15"/>
  <c r="J189" i="15"/>
  <c r="D865" i="17"/>
  <c r="AL124" i="15"/>
  <c r="AL144" i="15"/>
  <c r="D917" i="17"/>
  <c r="H294" i="15"/>
  <c r="AW124" i="15"/>
  <c r="D208" i="17"/>
  <c r="BC108" i="15"/>
  <c r="D590" i="17"/>
  <c r="D598" i="17"/>
  <c r="D594" i="17"/>
  <c r="D593" i="17"/>
  <c r="AM181" i="15"/>
  <c r="AM49" i="15"/>
  <c r="AM183" i="15"/>
  <c r="H108" i="15"/>
  <c r="AF190" i="15"/>
  <c r="AF240" i="15"/>
  <c r="AG61" i="15"/>
  <c r="AH153" i="15"/>
  <c r="AH143" i="15"/>
  <c r="J590" i="17"/>
  <c r="C615" i="17"/>
  <c r="C616" i="17"/>
  <c r="D601" i="17"/>
  <c r="AB159" i="15"/>
  <c r="AB289" i="15"/>
  <c r="AB211" i="15"/>
  <c r="AB262" i="15"/>
  <c r="E265" i="15"/>
  <c r="E270" i="15"/>
  <c r="E264" i="15"/>
  <c r="E271" i="15"/>
  <c r="D1008" i="17"/>
  <c r="AO134" i="15"/>
  <c r="AE107" i="15"/>
  <c r="AE108" i="15"/>
  <c r="AE111" i="15"/>
  <c r="AU189" i="15"/>
  <c r="AU64" i="15"/>
  <c r="N201" i="15"/>
  <c r="N251" i="15"/>
  <c r="Y75" i="15"/>
  <c r="Y254" i="15"/>
  <c r="H245" i="15"/>
  <c r="H241" i="15"/>
  <c r="D250" i="15"/>
  <c r="AH93" i="15"/>
  <c r="AH95" i="15"/>
  <c r="AI93" i="15"/>
  <c r="AI95" i="15"/>
  <c r="AN93" i="15"/>
  <c r="AN95" i="15"/>
  <c r="AR93" i="15"/>
  <c r="AR95" i="15"/>
  <c r="AQ286" i="15"/>
  <c r="AQ300" i="15"/>
  <c r="AK76" i="15"/>
  <c r="AK255" i="15"/>
  <c r="AJ205" i="15"/>
  <c r="AJ73" i="15"/>
  <c r="AI202" i="15"/>
  <c r="U189" i="15"/>
  <c r="U64" i="15"/>
  <c r="E189" i="15"/>
  <c r="E239" i="15"/>
  <c r="D251" i="15"/>
  <c r="Z11" i="15"/>
  <c r="Z16" i="15"/>
  <c r="J16" i="15"/>
  <c r="J11" i="15"/>
  <c r="C16" i="15"/>
  <c r="C11" i="15"/>
  <c r="AC8" i="15"/>
  <c r="AC180" i="15"/>
  <c r="AG8" i="15"/>
  <c r="AG180" i="15"/>
  <c r="AC179" i="15"/>
  <c r="AC111" i="15"/>
  <c r="AC83" i="15"/>
  <c r="AC280" i="15"/>
  <c r="AC294" i="15"/>
  <c r="AC10" i="15"/>
  <c r="AC16" i="15" s="1"/>
  <c r="M21" i="15"/>
  <c r="M23" i="15"/>
  <c r="M25" i="15"/>
  <c r="M88" i="15"/>
  <c r="M33" i="15"/>
  <c r="BD16" i="15"/>
  <c r="BD11" i="15"/>
  <c r="AH298" i="15"/>
  <c r="AL193" i="15"/>
  <c r="AL68" i="15"/>
  <c r="AL74" i="15"/>
  <c r="BA71" i="15"/>
  <c r="AZ250" i="15"/>
  <c r="AB252" i="15"/>
  <c r="AB295" i="15"/>
  <c r="AB242" i="15"/>
  <c r="AB239" i="15"/>
  <c r="D1264" i="17"/>
  <c r="H1251" i="17"/>
  <c r="H1252" i="17"/>
  <c r="D248" i="15"/>
  <c r="D241" i="15"/>
  <c r="D254" i="15"/>
  <c r="D244" i="15"/>
  <c r="D245" i="15"/>
  <c r="D255" i="15"/>
  <c r="D235" i="15"/>
  <c r="D252" i="15"/>
  <c r="D240" i="15"/>
  <c r="D298" i="15"/>
  <c r="D242" i="15"/>
  <c r="D246" i="15"/>
  <c r="AB286" i="15"/>
  <c r="AB300" i="15"/>
  <c r="AB34" i="15"/>
  <c r="C286" i="15"/>
  <c r="C300" i="15"/>
  <c r="C34" i="15"/>
  <c r="K117" i="15"/>
  <c r="AO115" i="15"/>
  <c r="AO117" i="15"/>
  <c r="AL92" i="15"/>
  <c r="AL86" i="15"/>
  <c r="W161" i="15"/>
  <c r="W216" i="15"/>
  <c r="W162" i="15"/>
  <c r="W217" i="15"/>
  <c r="W281" i="15"/>
  <c r="W295" i="15"/>
  <c r="W303" i="15"/>
  <c r="AE294" i="15"/>
  <c r="D199" i="15"/>
  <c r="D249" i="15"/>
  <c r="AC198" i="15"/>
  <c r="AC248" i="15"/>
  <c r="AF196" i="15"/>
  <c r="AG67" i="15"/>
  <c r="AJ66" i="15"/>
  <c r="AI195" i="15"/>
  <c r="AI245" i="15"/>
  <c r="D53" i="15"/>
  <c r="D186" i="15"/>
  <c r="C235" i="15"/>
  <c r="C237" i="15"/>
  <c r="AV55" i="15"/>
  <c r="AU46" i="15"/>
  <c r="AU42" i="15"/>
  <c r="AY92" i="15"/>
  <c r="AY86" i="15"/>
  <c r="AY281" i="15"/>
  <c r="AY282" i="15"/>
  <c r="AD33" i="15"/>
  <c r="AD21" i="15"/>
  <c r="C800" i="17"/>
  <c r="J775" i="17"/>
  <c r="K775" i="17"/>
  <c r="D1137" i="17"/>
  <c r="D1135" i="17"/>
  <c r="K1103" i="17"/>
  <c r="D1110" i="17"/>
  <c r="D1138" i="17"/>
  <c r="D1139" i="17"/>
  <c r="D1105" i="17"/>
  <c r="BF72" i="15"/>
  <c r="BG72" i="15"/>
  <c r="V251" i="15"/>
  <c r="V201" i="15"/>
  <c r="AJ239" i="15"/>
  <c r="AJ189" i="15"/>
  <c r="Q189" i="15"/>
  <c r="Q239" i="15"/>
  <c r="S55" i="15"/>
  <c r="T55" i="15"/>
  <c r="BC282" i="15"/>
  <c r="AB146" i="15"/>
  <c r="C1211" i="17"/>
  <c r="C1215" i="17"/>
  <c r="J162" i="15"/>
  <c r="J217" i="15"/>
  <c r="D239" i="15"/>
  <c r="W201" i="15"/>
  <c r="X72" i="15"/>
  <c r="AB255" i="15"/>
  <c r="W236" i="15"/>
  <c r="W237" i="15"/>
  <c r="R237" i="15"/>
  <c r="W230" i="15"/>
  <c r="D732" i="17"/>
  <c r="AO252" i="15"/>
  <c r="AJ111" i="15"/>
  <c r="AJ107" i="15"/>
  <c r="AG105" i="15"/>
  <c r="AG107" i="15"/>
  <c r="AG108" i="15"/>
  <c r="I107" i="15"/>
  <c r="I108" i="15"/>
  <c r="I111" i="15"/>
  <c r="AO107" i="15"/>
  <c r="AM241" i="15"/>
  <c r="AN62" i="15"/>
  <c r="AO62" i="15"/>
  <c r="AO191" i="15"/>
  <c r="AH190" i="15"/>
  <c r="AH240" i="15"/>
  <c r="BJ61" i="15"/>
  <c r="BI64" i="15"/>
  <c r="BI68" i="15"/>
  <c r="BI74" i="15"/>
  <c r="BI77" i="15"/>
  <c r="AS122" i="15"/>
  <c r="L124" i="15"/>
  <c r="L144" i="15"/>
  <c r="L146" i="15"/>
  <c r="AN144" i="15"/>
  <c r="C35" i="15"/>
  <c r="J161" i="15"/>
  <c r="J216" i="15"/>
  <c r="D229" i="15"/>
  <c r="D230" i="15"/>
  <c r="AC134" i="15"/>
  <c r="AP16" i="15"/>
  <c r="AP11" i="15"/>
  <c r="AE16" i="15"/>
  <c r="AE11" i="15"/>
  <c r="F16" i="15"/>
  <c r="F11" i="15"/>
  <c r="AS8" i="15"/>
  <c r="AS180" i="15"/>
  <c r="AS111" i="15"/>
  <c r="AV83" i="15"/>
  <c r="AV280" i="15"/>
  <c r="AW8" i="15"/>
  <c r="AW180" i="15"/>
  <c r="AT83" i="15"/>
  <c r="AS54" i="15"/>
  <c r="AS187" i="15"/>
  <c r="AU83" i="15"/>
  <c r="AU280" i="15"/>
  <c r="AS36" i="15"/>
  <c r="AU124" i="15"/>
  <c r="AU144" i="15"/>
  <c r="AU281" i="15"/>
  <c r="AU162" i="15"/>
  <c r="AU217" i="15"/>
  <c r="K109" i="17"/>
  <c r="D113" i="17"/>
  <c r="D141" i="17"/>
  <c r="D143" i="17"/>
  <c r="D111" i="17"/>
  <c r="D106" i="17"/>
  <c r="D112" i="17"/>
  <c r="D142" i="17"/>
  <c r="D117" i="17"/>
  <c r="D1108" i="17"/>
  <c r="D107" i="17"/>
  <c r="BA117" i="15"/>
  <c r="AZ16" i="15"/>
  <c r="BA54" i="15"/>
  <c r="BA187" i="15"/>
  <c r="D212" i="17"/>
  <c r="Y141" i="15"/>
  <c r="D64" i="15"/>
  <c r="D243" i="15"/>
  <c r="K235" i="15"/>
  <c r="AC22" i="15"/>
  <c r="AC37" i="15"/>
  <c r="C413" i="17"/>
  <c r="C415" i="17"/>
  <c r="O124" i="15"/>
  <c r="BA179" i="15"/>
  <c r="AE144" i="15"/>
  <c r="AS31" i="15"/>
  <c r="AD295" i="15"/>
  <c r="AD296" i="15"/>
  <c r="AZ205" i="15"/>
  <c r="AY124" i="15"/>
  <c r="F144" i="15"/>
  <c r="O17" i="15"/>
  <c r="AY117" i="15"/>
  <c r="D62" i="17"/>
  <c r="D70" i="17"/>
  <c r="BD124" i="15"/>
  <c r="BD144" i="15"/>
  <c r="BD159" i="15"/>
  <c r="BA111" i="15"/>
  <c r="BA8" i="15"/>
  <c r="BA180" i="15"/>
  <c r="N64" i="15"/>
  <c r="N243" i="15"/>
  <c r="AJ300" i="15"/>
  <c r="AS141" i="15"/>
  <c r="AO141" i="15"/>
  <c r="AO34" i="15"/>
  <c r="M237" i="15"/>
  <c r="AB297" i="15"/>
  <c r="BA22" i="15"/>
  <c r="O22" i="15"/>
  <c r="D77" i="17"/>
  <c r="BA29" i="15"/>
  <c r="BB204" i="15"/>
  <c r="AS22" i="15"/>
  <c r="AC36" i="15"/>
  <c r="AC31" i="15"/>
  <c r="AI295" i="15"/>
  <c r="AG16" i="15"/>
  <c r="AG45" i="15"/>
  <c r="G282" i="15"/>
  <c r="AP222" i="15"/>
  <c r="AD298" i="15"/>
  <c r="H46" i="15"/>
  <c r="H42" i="15"/>
  <c r="T22" i="15"/>
  <c r="L64" i="15"/>
  <c r="N239" i="15"/>
  <c r="O265" i="15"/>
  <c r="AX280" i="15"/>
  <c r="AX108" i="15"/>
  <c r="BC39" i="15"/>
  <c r="S111" i="15"/>
  <c r="S107" i="15"/>
  <c r="T105" i="15"/>
  <c r="T111" i="15"/>
  <c r="E107" i="15"/>
  <c r="E108" i="15"/>
  <c r="E111" i="15"/>
  <c r="AY38" i="15"/>
  <c r="N164" i="15"/>
  <c r="AR72" i="15"/>
  <c r="AS199" i="15"/>
  <c r="AS134" i="15"/>
  <c r="AY39" i="15"/>
  <c r="AN47" i="15"/>
  <c r="AN49" i="15"/>
  <c r="AN183" i="15"/>
  <c r="AS11" i="15"/>
  <c r="AK281" i="15"/>
  <c r="AK295" i="15"/>
  <c r="AK296" i="15"/>
  <c r="BB33" i="15"/>
  <c r="BB45" i="15"/>
  <c r="BB47" i="15"/>
  <c r="BB21" i="15"/>
  <c r="D660" i="17"/>
  <c r="AB204" i="15"/>
  <c r="AB254" i="15"/>
  <c r="X143" i="15"/>
  <c r="X210" i="15"/>
  <c r="X261" i="15"/>
  <c r="X159" i="15"/>
  <c r="X287" i="15"/>
  <c r="X301" i="15"/>
  <c r="X303" i="15"/>
  <c r="X211" i="15"/>
  <c r="X262" i="15"/>
  <c r="AZ280" i="15"/>
  <c r="AZ108" i="15"/>
  <c r="AG63" i="15"/>
  <c r="AF242" i="15"/>
  <c r="AG254" i="15"/>
  <c r="AG204" i="15"/>
  <c r="AE251" i="15"/>
  <c r="AF72" i="15"/>
  <c r="AG72" i="15"/>
  <c r="AE201" i="15"/>
  <c r="AH211" i="15"/>
  <c r="AH262" i="15"/>
  <c r="AH35" i="15"/>
  <c r="AZ194" i="15"/>
  <c r="AZ41" i="15"/>
  <c r="BA65" i="15"/>
  <c r="O65" i="15"/>
  <c r="AZ244" i="15"/>
  <c r="D231" i="15"/>
  <c r="D49" i="15"/>
  <c r="D183" i="15"/>
  <c r="D51" i="15"/>
  <c r="AQ280" i="15"/>
  <c r="AQ108" i="15"/>
  <c r="AW242" i="15"/>
  <c r="AW87" i="15"/>
  <c r="AW283" i="15"/>
  <c r="I162" i="15"/>
  <c r="I217" i="15"/>
  <c r="I281" i="15"/>
  <c r="C1226" i="17"/>
  <c r="D1212" i="17"/>
  <c r="D1258" i="17"/>
  <c r="AD144" i="15"/>
  <c r="T134" i="15"/>
  <c r="AD107" i="15"/>
  <c r="AD108" i="15"/>
  <c r="AD111" i="15"/>
  <c r="D111" i="15"/>
  <c r="D107" i="15"/>
  <c r="D108" i="15"/>
  <c r="AZ63" i="15"/>
  <c r="AY192" i="15"/>
  <c r="K35" i="15"/>
  <c r="K153" i="15"/>
  <c r="AG89" i="15"/>
  <c r="AG284" i="15"/>
  <c r="AG298" i="15"/>
  <c r="AG194" i="15"/>
  <c r="AH248" i="15"/>
  <c r="AH241" i="15"/>
  <c r="AH254" i="15"/>
  <c r="AH245" i="15"/>
  <c r="AH246" i="15"/>
  <c r="AH235" i="15"/>
  <c r="AH244" i="15"/>
  <c r="AH229" i="15"/>
  <c r="AH230" i="15" s="1"/>
  <c r="AH255" i="15"/>
  <c r="AH249" i="15"/>
  <c r="AH250" i="15"/>
  <c r="I250" i="15"/>
  <c r="I246" i="15"/>
  <c r="I242" i="15"/>
  <c r="I248" i="15"/>
  <c r="I245" i="15"/>
  <c r="I252" i="15"/>
  <c r="I254" i="15"/>
  <c r="I240" i="15"/>
  <c r="I241" i="15"/>
  <c r="BA19" i="15"/>
  <c r="O19" i="15"/>
  <c r="AV239" i="15"/>
  <c r="AV189" i="15"/>
  <c r="C230" i="17"/>
  <c r="D230" i="17"/>
  <c r="D210" i="17"/>
  <c r="BA134" i="15"/>
  <c r="AX192" i="15"/>
  <c r="AX87" i="15"/>
  <c r="AX283" i="15"/>
  <c r="AX297" i="15"/>
  <c r="AW115" i="15"/>
  <c r="AW117" i="15"/>
  <c r="M117" i="15"/>
  <c r="J1201" i="17"/>
  <c r="I244" i="15"/>
  <c r="Y22" i="15"/>
  <c r="AK17" i="15"/>
  <c r="L34" i="15"/>
  <c r="L286" i="15"/>
  <c r="L300" i="15"/>
  <c r="BB34" i="15"/>
  <c r="BB143" i="15"/>
  <c r="BB288" i="15"/>
  <c r="BB302" i="15"/>
  <c r="BC162" i="15"/>
  <c r="BC217" i="15"/>
  <c r="D23" i="15"/>
  <c r="D25" i="15"/>
  <c r="D88" i="15"/>
  <c r="K143" i="15"/>
  <c r="AT231" i="15"/>
  <c r="AT233" i="15" s="1"/>
  <c r="BB280" i="15"/>
  <c r="AH108" i="15"/>
  <c r="I229" i="15"/>
  <c r="J230" i="15"/>
  <c r="Z64" i="15"/>
  <c r="H189" i="15"/>
  <c r="AR38" i="15"/>
  <c r="AR23" i="15"/>
  <c r="AR25" i="15"/>
  <c r="X16" i="15"/>
  <c r="X11" i="15"/>
  <c r="I16" i="15"/>
  <c r="I11" i="15"/>
  <c r="Y112" i="15"/>
  <c r="Y29" i="15"/>
  <c r="Y10" i="15"/>
  <c r="AW134" i="15"/>
  <c r="AW144" i="15" s="1"/>
  <c r="AW143" i="15" s="1"/>
  <c r="M199" i="15"/>
  <c r="M249" i="15"/>
  <c r="AV11" i="15"/>
  <c r="AV16" i="15"/>
  <c r="W195" i="15"/>
  <c r="X66" i="15"/>
  <c r="X245" i="15"/>
  <c r="L202" i="15"/>
  <c r="L252" i="15"/>
  <c r="CN54" i="15"/>
  <c r="D39" i="15"/>
  <c r="AO75" i="15"/>
  <c r="AO204" i="15"/>
  <c r="K161" i="15"/>
  <c r="K216" i="15"/>
  <c r="K162" i="15"/>
  <c r="K217" i="15"/>
  <c r="AQ86" i="15"/>
  <c r="AQ92" i="15"/>
  <c r="AJ281" i="15"/>
  <c r="AJ161" i="15"/>
  <c r="AJ216" i="15"/>
  <c r="AJ162" i="15"/>
  <c r="AJ217" i="15"/>
  <c r="AB70" i="15"/>
  <c r="AB249" i="15"/>
  <c r="AA249" i="15"/>
  <c r="AA199" i="15"/>
  <c r="F199" i="15"/>
  <c r="F249" i="15"/>
  <c r="AJ198" i="15"/>
  <c r="AK69" i="15"/>
  <c r="AO66" i="15"/>
  <c r="AO195" i="15"/>
  <c r="AN195" i="15"/>
  <c r="AB65" i="15"/>
  <c r="AA194" i="15"/>
  <c r="AA41" i="15"/>
  <c r="AA89" i="15"/>
  <c r="AA284" i="15"/>
  <c r="AA298" i="15"/>
  <c r="AA244" i="15"/>
  <c r="AE192" i="15"/>
  <c r="AE242" i="15"/>
  <c r="AF62" i="15"/>
  <c r="AF64" i="15"/>
  <c r="AE191" i="15"/>
  <c r="Z190" i="15"/>
  <c r="AA61" i="15"/>
  <c r="Z240" i="15"/>
  <c r="G190" i="15"/>
  <c r="G64" i="15"/>
  <c r="AO189" i="15"/>
  <c r="AC86" i="15"/>
  <c r="AG53" i="15"/>
  <c r="AG186" i="15"/>
  <c r="AC54" i="15"/>
  <c r="AC187" i="15"/>
  <c r="AC185" i="15"/>
  <c r="AC60" i="15"/>
  <c r="AC53" i="15"/>
  <c r="AC186" i="15"/>
  <c r="BH42" i="15"/>
  <c r="AE34" i="15"/>
  <c r="AD34" i="15"/>
  <c r="BJ16" i="15"/>
  <c r="BJ11" i="15"/>
  <c r="AH16" i="15"/>
  <c r="AH21" i="15"/>
  <c r="AH11" i="15"/>
  <c r="W16" i="15"/>
  <c r="W11" i="15"/>
  <c r="H11" i="15"/>
  <c r="H16" i="15"/>
  <c r="M189" i="15"/>
  <c r="M64" i="15"/>
  <c r="M239" i="15"/>
  <c r="X76" i="15"/>
  <c r="Y76" i="15"/>
  <c r="W205" i="15"/>
  <c r="V162" i="15"/>
  <c r="V217" i="15"/>
  <c r="V161" i="15"/>
  <c r="V216" i="15"/>
  <c r="V281" i="15"/>
  <c r="V144" i="15"/>
  <c r="V211" i="15"/>
  <c r="V262" i="15"/>
  <c r="V237" i="15"/>
  <c r="V230" i="15"/>
  <c r="Z230" i="15"/>
  <c r="D495" i="17"/>
  <c r="AT124" i="15"/>
  <c r="AT144" i="15"/>
  <c r="AT164" i="15" s="1"/>
  <c r="AR124" i="15"/>
  <c r="AR144" i="15"/>
  <c r="AR143" i="15"/>
  <c r="AC124" i="15"/>
  <c r="K200" i="15"/>
  <c r="K250" i="15"/>
  <c r="AT244" i="15"/>
  <c r="AU65" i="15"/>
  <c r="AT194" i="15"/>
  <c r="AC192" i="15"/>
  <c r="AC242" i="15"/>
  <c r="AC87" i="15"/>
  <c r="AC283" i="15"/>
  <c r="AC297" i="15"/>
  <c r="W61" i="15"/>
  <c r="V240" i="15"/>
  <c r="BF61" i="15"/>
  <c r="BG61" i="15"/>
  <c r="BG64" i="15"/>
  <c r="BG68" i="15"/>
  <c r="BG74" i="15"/>
  <c r="F64" i="15"/>
  <c r="F240" i="15"/>
  <c r="AI46" i="15"/>
  <c r="AI42" i="15"/>
  <c r="AJ55" i="15"/>
  <c r="R33" i="15"/>
  <c r="G239" i="15"/>
  <c r="G245" i="15"/>
  <c r="AA55" i="15"/>
  <c r="AB200" i="15"/>
  <c r="AC71" i="15"/>
  <c r="I298" i="15"/>
  <c r="T112" i="15"/>
  <c r="AM200" i="15"/>
  <c r="AN71" i="15"/>
  <c r="X67" i="15"/>
  <c r="X246" i="15"/>
  <c r="W246" i="15"/>
  <c r="Z161" i="15"/>
  <c r="Z216" i="15"/>
  <c r="AX124" i="15"/>
  <c r="AX144" i="15"/>
  <c r="AX211" i="15"/>
  <c r="AX262" i="15"/>
  <c r="AZ70" i="15"/>
  <c r="AY199" i="15"/>
  <c r="N280" i="15"/>
  <c r="N108" i="15"/>
  <c r="N286" i="15"/>
  <c r="N300" i="15"/>
  <c r="N34" i="15"/>
  <c r="N244" i="15"/>
  <c r="N194" i="15"/>
  <c r="N284" i="15"/>
  <c r="N298" i="15"/>
  <c r="AF229" i="15"/>
  <c r="AJ230" i="15"/>
  <c r="AF239" i="15"/>
  <c r="AU286" i="15"/>
  <c r="AU300" i="15"/>
  <c r="J34" i="15"/>
  <c r="J286" i="15"/>
  <c r="AA111" i="15"/>
  <c r="AA107" i="15"/>
  <c r="AA108" i="15"/>
  <c r="AK105" i="15"/>
  <c r="J111" i="15"/>
  <c r="AF92" i="15"/>
  <c r="AF86" i="15"/>
  <c r="AQ202" i="15"/>
  <c r="AR73" i="15"/>
  <c r="AR202" i="15"/>
  <c r="R248" i="15"/>
  <c r="S69" i="15"/>
  <c r="AC67" i="15"/>
  <c r="AC246" i="15"/>
  <c r="AB246" i="15"/>
  <c r="AB196" i="15"/>
  <c r="AE55" i="15"/>
  <c r="AD46" i="15"/>
  <c r="W248" i="15"/>
  <c r="Y69" i="15"/>
  <c r="W198" i="15"/>
  <c r="W251" i="15"/>
  <c r="D340" i="17"/>
  <c r="M164" i="15"/>
  <c r="AF194" i="15"/>
  <c r="AF244" i="15"/>
  <c r="AF41" i="15"/>
  <c r="D189" i="15"/>
  <c r="F246" i="15"/>
  <c r="F254" i="15"/>
  <c r="F297" i="15"/>
  <c r="F274" i="15"/>
  <c r="F229" i="15"/>
  <c r="F237" i="15"/>
  <c r="F244" i="15"/>
  <c r="F245" i="15"/>
  <c r="F242" i="15"/>
  <c r="AT286" i="15"/>
  <c r="AT300" i="15"/>
  <c r="AI286" i="15"/>
  <c r="AI300" i="15"/>
  <c r="AK121" i="15"/>
  <c r="J124" i="15"/>
  <c r="J144" i="15"/>
  <c r="J153" i="15"/>
  <c r="AF117" i="15"/>
  <c r="G117" i="15"/>
  <c r="AR111" i="15"/>
  <c r="AR107" i="15"/>
  <c r="AR108" i="15"/>
  <c r="E46" i="15"/>
  <c r="D449" i="17"/>
  <c r="M45" i="15"/>
  <c r="M47" i="15"/>
  <c r="M84" i="15"/>
  <c r="M281" i="15"/>
  <c r="M162" i="15"/>
  <c r="M217" i="15"/>
  <c r="M161" i="15"/>
  <c r="M216" i="15"/>
  <c r="O13" i="15"/>
  <c r="O31" i="15"/>
  <c r="BA31" i="15"/>
  <c r="AF245" i="15"/>
  <c r="AF246" i="15"/>
  <c r="S144" i="15"/>
  <c r="AF294" i="15"/>
  <c r="AM72" i="15"/>
  <c r="AL201" i="15"/>
  <c r="J201" i="15"/>
  <c r="J251" i="15"/>
  <c r="Y8" i="15"/>
  <c r="Y180" i="15"/>
  <c r="Y229" i="15"/>
  <c r="Y54" i="15"/>
  <c r="Y187" i="15"/>
  <c r="D496" i="17"/>
  <c r="D532" i="17"/>
  <c r="D533" i="17"/>
  <c r="D505" i="17"/>
  <c r="AB96" i="15"/>
  <c r="AB167" i="15"/>
  <c r="G249" i="15"/>
  <c r="G235" i="15"/>
  <c r="AI294" i="15"/>
  <c r="AF235" i="15"/>
  <c r="AJ236" i="15"/>
  <c r="D144" i="15"/>
  <c r="AE202" i="15"/>
  <c r="AF73" i="15"/>
  <c r="AE252" i="15"/>
  <c r="AH201" i="15"/>
  <c r="BJ72" i="15"/>
  <c r="AI72" i="15"/>
  <c r="AI251" i="15"/>
  <c r="W56" i="15"/>
  <c r="X56" i="15"/>
  <c r="X46" i="15"/>
  <c r="U46" i="15"/>
  <c r="K16" i="15"/>
  <c r="K11" i="15"/>
  <c r="V83" i="15"/>
  <c r="V280" i="15"/>
  <c r="V294" i="15"/>
  <c r="T179" i="15"/>
  <c r="T10" i="15"/>
  <c r="X83" i="15"/>
  <c r="X280" i="15"/>
  <c r="X294" i="15"/>
  <c r="X296" i="15"/>
  <c r="W83" i="15"/>
  <c r="W280" i="15"/>
  <c r="T54" i="15"/>
  <c r="T187" i="15"/>
  <c r="T31" i="15"/>
  <c r="T8" i="15"/>
  <c r="T180" i="15"/>
  <c r="L108" i="15"/>
  <c r="AV86" i="15"/>
  <c r="AV162" i="15"/>
  <c r="AV217" i="15"/>
  <c r="AV92" i="15"/>
  <c r="CK10" i="15"/>
  <c r="AX190" i="15"/>
  <c r="AZ61" i="15"/>
  <c r="AZ117" i="15"/>
  <c r="AT117" i="15"/>
  <c r="X237" i="15"/>
  <c r="AS222" i="15"/>
  <c r="AS241" i="15"/>
  <c r="Z144" i="15"/>
  <c r="AJ144" i="15"/>
  <c r="AG31" i="15"/>
  <c r="AX264" i="15"/>
  <c r="BD199" i="15"/>
  <c r="D1113" i="17"/>
  <c r="F294" i="15"/>
  <c r="F296" i="15"/>
  <c r="G144" i="15"/>
  <c r="G287" i="15"/>
  <c r="AP144" i="15"/>
  <c r="F239" i="15"/>
  <c r="AO22" i="15"/>
  <c r="D65" i="17"/>
  <c r="BD117" i="15"/>
  <c r="BD161" i="15"/>
  <c r="BD216" i="15"/>
  <c r="Y55" i="15"/>
  <c r="F300" i="15"/>
  <c r="T124" i="15"/>
  <c r="R200" i="15"/>
  <c r="CQ52" i="15"/>
  <c r="H282" i="15"/>
  <c r="T141" i="15"/>
  <c r="T286" i="15"/>
  <c r="T300" i="15"/>
  <c r="BD251" i="15"/>
  <c r="BD244" i="15"/>
  <c r="Q253" i="15"/>
  <c r="Q77" i="15"/>
  <c r="Q206" i="15"/>
  <c r="BA124" i="15"/>
  <c r="Q203" i="15"/>
  <c r="AH253" i="15"/>
  <c r="W173" i="15"/>
  <c r="D614" i="17"/>
  <c r="D621" i="17"/>
  <c r="D591" i="17"/>
  <c r="D596" i="17"/>
  <c r="D595" i="17"/>
  <c r="D599" i="17"/>
  <c r="K589" i="17"/>
  <c r="D592" i="17"/>
  <c r="D620" i="17"/>
  <c r="D597" i="17"/>
  <c r="D625" i="17"/>
  <c r="D623" i="17"/>
  <c r="D589" i="17"/>
  <c r="W158" i="15"/>
  <c r="X154" i="15"/>
  <c r="X173" i="15"/>
  <c r="X158" i="15"/>
  <c r="X288" i="15"/>
  <c r="X302" i="15"/>
  <c r="X304" i="15"/>
  <c r="AS191" i="15"/>
  <c r="BB162" i="15"/>
  <c r="BB217" i="15"/>
  <c r="BB161" i="15"/>
  <c r="BB216" i="15"/>
  <c r="BB281" i="15"/>
  <c r="C417" i="17"/>
  <c r="AY193" i="15"/>
  <c r="AY68" i="15"/>
  <c r="AY247" i="15"/>
  <c r="AY243" i="15"/>
  <c r="H296" i="15"/>
  <c r="H271" i="15"/>
  <c r="H270" i="15"/>
  <c r="AB214" i="15"/>
  <c r="AK250" i="15"/>
  <c r="AK200" i="15"/>
  <c r="C270" i="15"/>
  <c r="C271" i="15"/>
  <c r="E159" i="15"/>
  <c r="AQ239" i="15"/>
  <c r="K295" i="15"/>
  <c r="N230" i="15"/>
  <c r="N237" i="15"/>
  <c r="AU146" i="15"/>
  <c r="AU153" i="15"/>
  <c r="AU143" i="15"/>
  <c r="AU165" i="15" s="1"/>
  <c r="BB159" i="15"/>
  <c r="BB211" i="15"/>
  <c r="BB262" i="15"/>
  <c r="D1100" i="17"/>
  <c r="C1114" i="17"/>
  <c r="BD235" i="15"/>
  <c r="BD255" i="15"/>
  <c r="BD239" i="15"/>
  <c r="BD229" i="15"/>
  <c r="AI68" i="15"/>
  <c r="BB146" i="15"/>
  <c r="BB153" i="15"/>
  <c r="M159" i="15"/>
  <c r="H84" i="15"/>
  <c r="D498" i="17"/>
  <c r="D915" i="17"/>
  <c r="AK134" i="15"/>
  <c r="F153" i="15"/>
  <c r="F287" i="15"/>
  <c r="F301" i="15"/>
  <c r="F303" i="15"/>
  <c r="F146" i="15"/>
  <c r="AQ124" i="15"/>
  <c r="AQ144" i="15"/>
  <c r="BJ42" i="15"/>
  <c r="BF55" i="15"/>
  <c r="V46" i="15"/>
  <c r="V42" i="15"/>
  <c r="K189" i="15"/>
  <c r="K64" i="15"/>
  <c r="K239" i="15"/>
  <c r="AV235" i="15"/>
  <c r="AB35" i="15"/>
  <c r="AB164" i="15"/>
  <c r="AB153" i="15"/>
  <c r="AB143" i="15"/>
  <c r="AB287" i="15"/>
  <c r="AB301" i="15"/>
  <c r="AB303" i="15"/>
  <c r="BI51" i="15"/>
  <c r="AQ254" i="15"/>
  <c r="AJ250" i="15"/>
  <c r="AJ200" i="15"/>
  <c r="M146" i="15"/>
  <c r="M143" i="15"/>
  <c r="M154" i="15"/>
  <c r="AJ93" i="15"/>
  <c r="AJ95" i="15"/>
  <c r="AT93" i="15"/>
  <c r="AT95" i="15"/>
  <c r="BB93" i="15"/>
  <c r="BB95" i="15"/>
  <c r="AU93" i="15"/>
  <c r="AU95" i="15"/>
  <c r="AD93" i="15"/>
  <c r="AD95" i="15"/>
  <c r="BC93" i="15"/>
  <c r="AV93" i="15"/>
  <c r="AV95" i="15"/>
  <c r="AG93" i="15"/>
  <c r="AF93" i="15"/>
  <c r="AF95" i="15"/>
  <c r="V153" i="15"/>
  <c r="AC11" i="15"/>
  <c r="AF230" i="15"/>
  <c r="AB33" i="15"/>
  <c r="D809" i="17"/>
  <c r="D805" i="17"/>
  <c r="D806" i="17"/>
  <c r="D777" i="17"/>
  <c r="K774" i="17"/>
  <c r="D782" i="17"/>
  <c r="D810" i="17"/>
  <c r="D788" i="17"/>
  <c r="D808" i="17"/>
  <c r="W239" i="15"/>
  <c r="W189" i="15"/>
  <c r="AW17" i="15"/>
  <c r="AT21" i="15"/>
  <c r="AU34" i="15"/>
  <c r="BG21" i="15"/>
  <c r="BG45" i="15"/>
  <c r="AW110" i="15"/>
  <c r="AW29" i="15"/>
  <c r="V64" i="15"/>
  <c r="V239" i="15"/>
  <c r="V189" i="15"/>
  <c r="AS124" i="15"/>
  <c r="AS144" i="15"/>
  <c r="AS211" i="15"/>
  <c r="AS262" i="15"/>
  <c r="C280" i="17"/>
  <c r="J255" i="17"/>
  <c r="AZ55" i="15"/>
  <c r="AY46" i="15"/>
  <c r="CP10" i="15"/>
  <c r="CP54" i="15"/>
  <c r="D217" i="17"/>
  <c r="C231" i="17"/>
  <c r="BD195" i="15"/>
  <c r="BD245" i="15"/>
  <c r="O117" i="15"/>
  <c r="BC117" i="15"/>
  <c r="AB230" i="15"/>
  <c r="AB21" i="15"/>
  <c r="AB38" i="15"/>
  <c r="AQ61" i="15"/>
  <c r="AP190" i="15"/>
  <c r="AT64" i="15"/>
  <c r="AT189" i="15"/>
  <c r="CF53" i="15"/>
  <c r="CF54" i="15"/>
  <c r="C185" i="15"/>
  <c r="C86" i="15"/>
  <c r="AL93" i="15"/>
  <c r="AL95" i="15"/>
  <c r="AM93" i="15"/>
  <c r="AM95" i="15"/>
  <c r="AO93" i="15"/>
  <c r="AN245" i="15"/>
  <c r="AB72" i="15"/>
  <c r="AA251" i="15"/>
  <c r="H230" i="15"/>
  <c r="AP161" i="15"/>
  <c r="AP216" i="15"/>
  <c r="AP162" i="15"/>
  <c r="AP217" i="15"/>
  <c r="D684" i="17"/>
  <c r="D680" i="17"/>
  <c r="D688" i="17"/>
  <c r="D685" i="17"/>
  <c r="AV144" i="15"/>
  <c r="AV143" i="15"/>
  <c r="X202" i="15"/>
  <c r="Y73" i="15"/>
  <c r="AR222" i="15"/>
  <c r="R56" i="15"/>
  <c r="Q46" i="15"/>
  <c r="AI235" i="15"/>
  <c r="AI252" i="15"/>
  <c r="AI229" i="15"/>
  <c r="AI239" i="15"/>
  <c r="AI248" i="15"/>
  <c r="AI244" i="15"/>
  <c r="K240" i="15"/>
  <c r="K249" i="15"/>
  <c r="K248" i="15"/>
  <c r="K245" i="15"/>
  <c r="K255" i="15"/>
  <c r="AN286" i="15"/>
  <c r="AN300" i="15"/>
  <c r="AN80" i="15"/>
  <c r="AQ66" i="15"/>
  <c r="AP195" i="15"/>
  <c r="AG11" i="15"/>
  <c r="V146" i="15"/>
  <c r="AE86" i="15"/>
  <c r="AS73" i="15"/>
  <c r="K229" i="15"/>
  <c r="AB199" i="15"/>
  <c r="Q201" i="15"/>
  <c r="R72" i="15"/>
  <c r="AX161" i="15"/>
  <c r="AX216" i="15"/>
  <c r="AX281" i="15"/>
  <c r="BJ64" i="15"/>
  <c r="BJ68" i="15"/>
  <c r="AQ33" i="15"/>
  <c r="AJ108" i="15"/>
  <c r="AA239" i="15"/>
  <c r="AZ200" i="15"/>
  <c r="AA254" i="15"/>
  <c r="AQ45" i="15"/>
  <c r="AQ47" i="15"/>
  <c r="AN259" i="15"/>
  <c r="I117" i="15"/>
  <c r="F21" i="15"/>
  <c r="F39" i="15"/>
  <c r="Z45" i="15"/>
  <c r="Z47" i="15"/>
  <c r="D510" i="17"/>
  <c r="T264" i="15"/>
  <c r="I297" i="15"/>
  <c r="AP117" i="15"/>
  <c r="AE117" i="15"/>
  <c r="S117" i="15"/>
  <c r="S146" i="15"/>
  <c r="D776" i="17"/>
  <c r="BD201" i="15"/>
  <c r="BD252" i="15"/>
  <c r="BD202" i="15"/>
  <c r="BD264" i="15"/>
  <c r="AS107" i="15"/>
  <c r="AS108" i="15"/>
  <c r="F46" i="15"/>
  <c r="F42" i="15"/>
  <c r="F84" i="15"/>
  <c r="Y84" i="15"/>
  <c r="AT33" i="15"/>
  <c r="AG295" i="15"/>
  <c r="AG296" i="15"/>
  <c r="Z84" i="15"/>
  <c r="G294" i="15"/>
  <c r="R61" i="15"/>
  <c r="AF69" i="15"/>
  <c r="D1112" i="17"/>
  <c r="Q144" i="15"/>
  <c r="Q146" i="15"/>
  <c r="D1102" i="17"/>
  <c r="AP64" i="15"/>
  <c r="K298" i="15"/>
  <c r="AC241" i="15"/>
  <c r="BD45" i="15"/>
  <c r="BD47" i="15"/>
  <c r="BD33" i="15"/>
  <c r="BD21" i="15"/>
  <c r="BD39" i="15"/>
  <c r="AG117" i="15"/>
  <c r="BD246" i="15"/>
  <c r="BD196" i="15"/>
  <c r="D779" i="17"/>
  <c r="BD34" i="15"/>
  <c r="AG124" i="15"/>
  <c r="AG144" i="15"/>
  <c r="AG159" i="15"/>
  <c r="AE249" i="15"/>
  <c r="AX265" i="15"/>
  <c r="BC46" i="15"/>
  <c r="BC42" i="15"/>
  <c r="CS10" i="15"/>
  <c r="D114" i="17"/>
  <c r="BC124" i="15"/>
  <c r="BC144" i="15"/>
  <c r="BD281" i="15"/>
  <c r="AE300" i="15"/>
  <c r="Y134" i="15"/>
  <c r="Y144" i="15"/>
  <c r="AJ117" i="15"/>
  <c r="AT34" i="15"/>
  <c r="CF10" i="15"/>
  <c r="D120" i="17"/>
  <c r="D109" i="17"/>
  <c r="O134" i="15"/>
  <c r="AG141" i="15"/>
  <c r="T30" i="15"/>
  <c r="AO30" i="15"/>
  <c r="D206" i="17"/>
  <c r="BC195" i="15"/>
  <c r="CS53" i="15"/>
  <c r="Y110" i="15"/>
  <c r="M108" i="15"/>
  <c r="BC92" i="15"/>
  <c r="BD83" i="15"/>
  <c r="K92" i="15"/>
  <c r="K164" i="15"/>
  <c r="BB173" i="15"/>
  <c r="BB165" i="15"/>
  <c r="C331" i="17"/>
  <c r="N295" i="15"/>
  <c r="N273" i="15" s="1"/>
  <c r="AA84" i="15"/>
  <c r="AB84" i="15"/>
  <c r="AA45" i="15"/>
  <c r="AA33" i="15"/>
  <c r="AA21" i="15"/>
  <c r="K1251" i="17"/>
  <c r="AK189" i="15"/>
  <c r="AK239" i="15"/>
  <c r="AK93" i="15"/>
  <c r="O107" i="15"/>
  <c r="O112" i="15"/>
  <c r="N35" i="15"/>
  <c r="N287" i="15"/>
  <c r="N301" i="15"/>
  <c r="N153" i="15"/>
  <c r="N159" i="15"/>
  <c r="N143" i="15"/>
  <c r="BA265" i="15"/>
  <c r="D161" i="17"/>
  <c r="AZ202" i="15"/>
  <c r="BA73" i="15"/>
  <c r="O73" i="15"/>
  <c r="AZ252" i="15"/>
  <c r="AH287" i="15"/>
  <c r="AH301" i="15"/>
  <c r="BA41" i="15"/>
  <c r="AV211" i="15"/>
  <c r="AV262" i="15"/>
  <c r="AQ34" i="15"/>
  <c r="AR34" i="15"/>
  <c r="AP34" i="15"/>
  <c r="R38" i="15"/>
  <c r="AR161" i="15"/>
  <c r="AR216" i="15"/>
  <c r="S199" i="15"/>
  <c r="D1051" i="17"/>
  <c r="D1066" i="17"/>
  <c r="T70" i="15"/>
  <c r="C143" i="15"/>
  <c r="C287" i="15"/>
  <c r="C301" i="15"/>
  <c r="C146" i="15"/>
  <c r="AY161" i="15"/>
  <c r="AY216" i="15"/>
  <c r="AY162" i="15"/>
  <c r="AY217" i="15"/>
  <c r="J143" i="15"/>
  <c r="T254" i="15"/>
  <c r="D237" i="15"/>
  <c r="E230" i="15"/>
  <c r="K159" i="15"/>
  <c r="AM287" i="15"/>
  <c r="AM301" i="15"/>
  <c r="AM211" i="15"/>
  <c r="AM262" i="15"/>
  <c r="AM159" i="15"/>
  <c r="K211" i="15"/>
  <c r="K262" i="15"/>
  <c r="AM153" i="15"/>
  <c r="AU159" i="15"/>
  <c r="AU211" i="15"/>
  <c r="AU262" i="15"/>
  <c r="BI33" i="15"/>
  <c r="BI21" i="15"/>
  <c r="AC34" i="15"/>
  <c r="AJ153" i="15"/>
  <c r="AJ287" i="15"/>
  <c r="AJ301" i="15"/>
  <c r="AJ159" i="15"/>
  <c r="AJ35" i="15"/>
  <c r="AJ164" i="15"/>
  <c r="T161" i="15"/>
  <c r="F282" i="15"/>
  <c r="AH294" i="15"/>
  <c r="BA286" i="15"/>
  <c r="BA300" i="15"/>
  <c r="D645" i="17"/>
  <c r="D632" i="17"/>
  <c r="D642" i="17"/>
  <c r="D671" i="17"/>
  <c r="D672" i="17"/>
  <c r="D643" i="17"/>
  <c r="D649" i="17"/>
  <c r="AL161" i="15"/>
  <c r="AL216" i="15"/>
  <c r="D1204" i="17"/>
  <c r="D1203" i="17"/>
  <c r="AZ45" i="15"/>
  <c r="AZ33" i="15"/>
  <c r="AC281" i="15"/>
  <c r="AC162" i="15"/>
  <c r="AC217" i="15"/>
  <c r="AC161" i="15"/>
  <c r="AC216" i="15"/>
  <c r="T271" i="15"/>
  <c r="T281" i="15"/>
  <c r="AC237" i="15"/>
  <c r="AQ23" i="15"/>
  <c r="AQ25" i="15"/>
  <c r="AQ38" i="15"/>
  <c r="AQ39" i="15"/>
  <c r="Y189" i="15"/>
  <c r="Y239" i="15"/>
  <c r="D687" i="17"/>
  <c r="D927" i="17"/>
  <c r="AM21" i="15"/>
  <c r="D945" i="17"/>
  <c r="AZ161" i="15"/>
  <c r="AZ216" i="15"/>
  <c r="AN281" i="15"/>
  <c r="AN161" i="15"/>
  <c r="AN216" i="15"/>
  <c r="D1057" i="17"/>
  <c r="D686" i="17"/>
  <c r="D912" i="17"/>
  <c r="E280" i="15"/>
  <c r="F298" i="15"/>
  <c r="F255" i="15"/>
  <c r="AC112" i="15"/>
  <c r="AC107" i="15"/>
  <c r="AC108" i="15"/>
  <c r="H251" i="15"/>
  <c r="H201" i="15"/>
  <c r="AV70" i="15"/>
  <c r="AU199" i="15"/>
  <c r="V199" i="15"/>
  <c r="W70" i="15"/>
  <c r="AJ45" i="15"/>
  <c r="AJ21" i="15"/>
  <c r="D1205" i="17"/>
  <c r="D916" i="17"/>
  <c r="D920" i="17"/>
  <c r="AH242" i="15"/>
  <c r="D778" i="17"/>
  <c r="R144" i="15"/>
  <c r="D411" i="17"/>
  <c r="C1403" i="17"/>
  <c r="AN67" i="15"/>
  <c r="AM246" i="15"/>
  <c r="D635" i="17"/>
  <c r="H144" i="15"/>
  <c r="CN53" i="15"/>
  <c r="D923" i="17"/>
  <c r="T265" i="15"/>
  <c r="D910" i="17"/>
  <c r="Z117" i="15"/>
  <c r="D145" i="17"/>
  <c r="D96" i="17"/>
  <c r="D99" i="17"/>
  <c r="D67" i="17"/>
  <c r="CS54" i="15"/>
  <c r="AM117" i="15"/>
  <c r="CQ12" i="15"/>
  <c r="D60" i="17"/>
  <c r="D213" i="17"/>
  <c r="D204" i="17"/>
  <c r="D61" i="17"/>
  <c r="D876" i="17"/>
  <c r="C1213" i="17"/>
  <c r="D1304" i="17"/>
  <c r="D1302" i="17"/>
  <c r="D550" i="17"/>
  <c r="K206" i="17"/>
  <c r="K207" i="17"/>
  <c r="D221" i="17"/>
  <c r="E413" i="17"/>
  <c r="D1403" i="17"/>
  <c r="D1407" i="17"/>
  <c r="E1353" i="17"/>
  <c r="D1294" i="17"/>
  <c r="K403" i="17"/>
  <c r="K404" i="17"/>
  <c r="K405" i="17"/>
  <c r="D418" i="17"/>
  <c r="C1306" i="17"/>
  <c r="C1310" i="17"/>
  <c r="D1331" i="17"/>
  <c r="D1296" i="17"/>
  <c r="D1297" i="17"/>
  <c r="D1300" i="17"/>
  <c r="D869" i="17"/>
  <c r="D901" i="17"/>
  <c r="D1383" i="17"/>
  <c r="D486" i="17"/>
  <c r="C1456" i="17"/>
  <c r="D1330" i="17"/>
  <c r="D872" i="17"/>
  <c r="D1063" i="17"/>
  <c r="D1329" i="17"/>
  <c r="D1301" i="17"/>
  <c r="D1086" i="17"/>
  <c r="D1080" i="17"/>
  <c r="D1060" i="17"/>
  <c r="D1298" i="17"/>
  <c r="D1295" i="17"/>
  <c r="K1054" i="17"/>
  <c r="D1088" i="17"/>
  <c r="D1470" i="17"/>
  <c r="D1052" i="17"/>
  <c r="D1328" i="17"/>
  <c r="C423" i="17"/>
  <c r="D1299" i="17"/>
  <c r="D1326" i="17"/>
  <c r="K868" i="17"/>
  <c r="D1089" i="17"/>
  <c r="D1085" i="17"/>
  <c r="D1079" i="17"/>
  <c r="C878" i="17"/>
  <c r="E878" i="17"/>
  <c r="D1309" i="17"/>
  <c r="D1293" i="17"/>
  <c r="K1055" i="17"/>
  <c r="D1064" i="17"/>
  <c r="D1332" i="17"/>
  <c r="D800" i="17"/>
  <c r="D309" i="17"/>
  <c r="D1454" i="17"/>
  <c r="D338" i="17"/>
  <c r="D335" i="17"/>
  <c r="D306" i="17"/>
  <c r="D1484" i="17"/>
  <c r="D339" i="17"/>
  <c r="C1259" i="17"/>
  <c r="E1259" i="17"/>
  <c r="D308" i="17"/>
  <c r="D337" i="17"/>
  <c r="D311" i="17"/>
  <c r="D330" i="17"/>
  <c r="D1433" i="17"/>
  <c r="AO245" i="15"/>
  <c r="T246" i="15"/>
  <c r="E146" i="15"/>
  <c r="AN191" i="15"/>
  <c r="D359" i="17"/>
  <c r="D389" i="17"/>
  <c r="AB237" i="15"/>
  <c r="O10" i="15"/>
  <c r="O11" i="15"/>
  <c r="CQ10" i="15"/>
  <c r="D352" i="17"/>
  <c r="D379" i="17"/>
  <c r="AO16" i="15"/>
  <c r="D71" i="17"/>
  <c r="BC255" i="15"/>
  <c r="BC249" i="15"/>
  <c r="BC235" i="15"/>
  <c r="BC229" i="15"/>
  <c r="BC241" i="15"/>
  <c r="BC245" i="15"/>
  <c r="BC246" i="15"/>
  <c r="BC239" i="15"/>
  <c r="BC250" i="15"/>
  <c r="BC248" i="15"/>
  <c r="BC242" i="15"/>
  <c r="K867" i="17"/>
  <c r="D866" i="17"/>
  <c r="D892" i="17"/>
  <c r="D902" i="17"/>
  <c r="D899" i="17"/>
  <c r="D900" i="17"/>
  <c r="D881" i="17"/>
  <c r="D903" i="17"/>
  <c r="D898" i="17"/>
  <c r="D877" i="17"/>
  <c r="D871" i="17"/>
  <c r="D874" i="17"/>
  <c r="D873" i="17"/>
  <c r="AI33" i="15"/>
  <c r="AI45" i="15"/>
  <c r="AI21" i="15"/>
  <c r="D864" i="17"/>
  <c r="AN249" i="15"/>
  <c r="D358" i="17"/>
  <c r="D357" i="17"/>
  <c r="E121" i="17"/>
  <c r="D362" i="17"/>
  <c r="BD211" i="15"/>
  <c r="BD262" i="15"/>
  <c r="AI296" i="15"/>
  <c r="AO241" i="15"/>
  <c r="BB77" i="15"/>
  <c r="AV61" i="15"/>
  <c r="AU190" i="15"/>
  <c r="C507" i="17"/>
  <c r="D356" i="17"/>
  <c r="AG111" i="15"/>
  <c r="AV35" i="15"/>
  <c r="E273" i="15"/>
  <c r="AX153" i="15"/>
  <c r="E35" i="15"/>
  <c r="T255" i="15"/>
  <c r="AO108" i="15"/>
  <c r="BC252" i="15"/>
  <c r="D353" i="17"/>
  <c r="AB296" i="15"/>
  <c r="D368" i="17"/>
  <c r="C739" i="17"/>
  <c r="AO124" i="15"/>
  <c r="AO144" i="15"/>
  <c r="O222" i="15"/>
  <c r="D20" i="17"/>
  <c r="AW229" i="15"/>
  <c r="AW250" i="15"/>
  <c r="S252" i="15"/>
  <c r="S202" i="15"/>
  <c r="AN252" i="15"/>
  <c r="BF64" i="15"/>
  <c r="BF68" i="15"/>
  <c r="BF74" i="15"/>
  <c r="AX164" i="15"/>
  <c r="E143" i="15"/>
  <c r="AF250" i="15"/>
  <c r="D351" i="17"/>
  <c r="M35" i="15"/>
  <c r="D361" i="17"/>
  <c r="Q247" i="15"/>
  <c r="Q197" i="15"/>
  <c r="T252" i="15"/>
  <c r="T202" i="15"/>
  <c r="D893" i="17"/>
  <c r="D894" i="17" s="1"/>
  <c r="AY245" i="15"/>
  <c r="D388" i="17"/>
  <c r="D363" i="17"/>
  <c r="D390" i="17"/>
  <c r="D354" i="17"/>
  <c r="D387" i="17"/>
  <c r="D386" i="17"/>
  <c r="D385" i="17"/>
  <c r="K354" i="17"/>
  <c r="D360" i="17"/>
  <c r="AV161" i="15"/>
  <c r="AV216" i="15"/>
  <c r="E153" i="15"/>
  <c r="AV108" i="15"/>
  <c r="AF200" i="15"/>
  <c r="M211" i="15"/>
  <c r="M262" i="15"/>
  <c r="AW237" i="15"/>
  <c r="O29" i="15"/>
  <c r="V23" i="15"/>
  <c r="V25" i="15"/>
  <c r="D870" i="17"/>
  <c r="AS55" i="15"/>
  <c r="AS46" i="15"/>
  <c r="AS42" i="15"/>
  <c r="AR46" i="15"/>
  <c r="D307" i="17"/>
  <c r="D318" i="17"/>
  <c r="K304" i="17"/>
  <c r="D312" i="17"/>
  <c r="AA237" i="15"/>
  <c r="AA236" i="15"/>
  <c r="AD197" i="15"/>
  <c r="AD247" i="15"/>
  <c r="AD74" i="15"/>
  <c r="AW75" i="15"/>
  <c r="AV204" i="15"/>
  <c r="S250" i="15"/>
  <c r="S200" i="15"/>
  <c r="D171" i="15"/>
  <c r="D220" i="15"/>
  <c r="BA69" i="15"/>
  <c r="AZ198" i="15"/>
  <c r="AM190" i="15"/>
  <c r="AM240" i="15"/>
  <c r="AN61" i="15"/>
  <c r="AL197" i="15"/>
  <c r="V108" i="15"/>
  <c r="BA200" i="15"/>
  <c r="O71" i="15"/>
  <c r="O200" i="15"/>
  <c r="K305" i="17"/>
  <c r="BK38" i="15"/>
  <c r="D316" i="17"/>
  <c r="L296" i="15"/>
  <c r="BC64" i="15"/>
  <c r="BC240" i="15"/>
  <c r="BC190" i="15"/>
  <c r="AW205" i="15"/>
  <c r="AW255" i="15"/>
  <c r="D310" i="17"/>
  <c r="D1059" i="17"/>
  <c r="D1053" i="17"/>
  <c r="D1090" i="17"/>
  <c r="D1068" i="17"/>
  <c r="D1087" i="17"/>
  <c r="AC70" i="15"/>
  <c r="AC249" i="15"/>
  <c r="AE84" i="15"/>
  <c r="AH146" i="15"/>
  <c r="BK23" i="15"/>
  <c r="BK25" i="15"/>
  <c r="L270" i="15"/>
  <c r="AN38" i="15"/>
  <c r="D1239" i="17"/>
  <c r="AU201" i="15"/>
  <c r="AV72" i="15"/>
  <c r="M39" i="15"/>
  <c r="AF249" i="15"/>
  <c r="L274" i="15"/>
  <c r="BC251" i="15"/>
  <c r="BC201" i="15"/>
  <c r="BC41" i="15"/>
  <c r="BC244" i="15"/>
  <c r="BC194" i="15"/>
  <c r="AZ239" i="15"/>
  <c r="AZ229" i="15"/>
  <c r="AZ237" i="15"/>
  <c r="V35" i="15"/>
  <c r="V143" i="15"/>
  <c r="V173" i="15"/>
  <c r="D301" i="17"/>
  <c r="AU108" i="15"/>
  <c r="D304" i="17"/>
  <c r="L271" i="15"/>
  <c r="D314" i="17"/>
  <c r="AA230" i="15"/>
  <c r="AH33" i="15"/>
  <c r="AB23" i="15"/>
  <c r="AB25" i="15"/>
  <c r="AH45" i="15"/>
  <c r="AH47" i="15"/>
  <c r="AH231" i="15"/>
  <c r="AI84" i="15"/>
  <c r="AB39" i="15"/>
  <c r="V287" i="15"/>
  <c r="V301" i="15"/>
  <c r="AC196" i="15"/>
  <c r="V159" i="15"/>
  <c r="V214" i="15"/>
  <c r="D336" i="17"/>
  <c r="K146" i="15"/>
  <c r="AG70" i="15"/>
  <c r="AN39" i="15"/>
  <c r="D302" i="17"/>
  <c r="D329" i="17"/>
  <c r="AR41" i="15"/>
  <c r="AR194" i="15"/>
  <c r="AS65" i="15"/>
  <c r="AS244" i="15"/>
  <c r="T71" i="15"/>
  <c r="BC204" i="15"/>
  <c r="BC254" i="15"/>
  <c r="AN198" i="15"/>
  <c r="AO69" i="15"/>
  <c r="AO198" i="15"/>
  <c r="BD287" i="15"/>
  <c r="BD301" i="15"/>
  <c r="BD143" i="15"/>
  <c r="BD288" i="15"/>
  <c r="BD302" i="15"/>
  <c r="BD164" i="15"/>
  <c r="BD153" i="15"/>
  <c r="BD146" i="15"/>
  <c r="M288" i="15"/>
  <c r="M302" i="15"/>
  <c r="L164" i="15"/>
  <c r="AP295" i="15"/>
  <c r="AU239" i="15"/>
  <c r="AU246" i="15"/>
  <c r="AV202" i="15"/>
  <c r="AW73" i="15"/>
  <c r="AT281" i="15"/>
  <c r="AT162" i="15"/>
  <c r="AT217" i="15"/>
  <c r="AT161" i="15"/>
  <c r="AT216" i="15"/>
  <c r="D427" i="17"/>
  <c r="C429" i="17"/>
  <c r="X244" i="15"/>
  <c r="V89" i="15"/>
  <c r="V284" i="15"/>
  <c r="V298" i="15"/>
  <c r="AI193" i="15"/>
  <c r="AI243" i="15"/>
  <c r="U45" i="15"/>
  <c r="U47" i="15"/>
  <c r="U21" i="15"/>
  <c r="U23" i="15"/>
  <c r="U25" i="15"/>
  <c r="AR204" i="15"/>
  <c r="AS75" i="15"/>
  <c r="G47" i="15"/>
  <c r="AN242" i="15"/>
  <c r="AN244" i="15"/>
  <c r="AN248" i="15"/>
  <c r="AN239" i="15"/>
  <c r="AN241" i="15"/>
  <c r="AP298" i="15"/>
  <c r="X194" i="15"/>
  <c r="AN229" i="15"/>
  <c r="AN230" i="15"/>
  <c r="AC144" i="15"/>
  <c r="AC146" i="15"/>
  <c r="L143" i="15"/>
  <c r="L173" i="15"/>
  <c r="AN255" i="15"/>
  <c r="I153" i="15"/>
  <c r="AN254" i="15"/>
  <c r="E415" i="17"/>
  <c r="AP108" i="15"/>
  <c r="AM243" i="15"/>
  <c r="AM193" i="15"/>
  <c r="AN235" i="15"/>
  <c r="AN236" i="15"/>
  <c r="G39" i="15"/>
  <c r="D242" i="17"/>
  <c r="AV198" i="15"/>
  <c r="AW69" i="15"/>
  <c r="AF23" i="15"/>
  <c r="AF25" i="15"/>
  <c r="AF38" i="15"/>
  <c r="AF39" i="15"/>
  <c r="X271" i="15"/>
  <c r="G38" i="15"/>
  <c r="AQ246" i="15"/>
  <c r="AQ229" i="15"/>
  <c r="AQ230" i="15"/>
  <c r="AQ244" i="15"/>
  <c r="AE68" i="15"/>
  <c r="AE193" i="15"/>
  <c r="AE243" i="15"/>
  <c r="AH203" i="15"/>
  <c r="AH77" i="15"/>
  <c r="AW67" i="15"/>
  <c r="AW196" i="15"/>
  <c r="M38" i="15"/>
  <c r="I35" i="15"/>
  <c r="H237" i="15"/>
  <c r="BD204" i="15"/>
  <c r="I146" i="15"/>
  <c r="X196" i="15"/>
  <c r="M181" i="15"/>
  <c r="I164" i="15"/>
  <c r="AW286" i="15"/>
  <c r="AW300" i="15"/>
  <c r="D737" i="17"/>
  <c r="BD249" i="15"/>
  <c r="BJ74" i="15"/>
  <c r="Y67" i="15"/>
  <c r="M85" i="15"/>
  <c r="D507" i="17"/>
  <c r="D511" i="17"/>
  <c r="AK205" i="15"/>
  <c r="AG271" i="15"/>
  <c r="AU282" i="15"/>
  <c r="AP248" i="15"/>
  <c r="J159" i="15"/>
  <c r="BD41" i="15"/>
  <c r="G230" i="15"/>
  <c r="M49" i="15"/>
  <c r="M183" i="15"/>
  <c r="D763" i="17"/>
  <c r="AN35" i="15"/>
  <c r="AV281" i="15"/>
  <c r="AG211" i="15"/>
  <c r="AG262" i="15"/>
  <c r="AG268" i="15"/>
  <c r="BD194" i="15"/>
  <c r="F230" i="15"/>
  <c r="M231" i="15"/>
  <c r="I159" i="15"/>
  <c r="I214" i="15"/>
  <c r="AK286" i="15"/>
  <c r="AK300" i="15"/>
  <c r="AG287" i="15"/>
  <c r="AG301" i="15"/>
  <c r="AG303" i="15"/>
  <c r="I143" i="15"/>
  <c r="I173" i="15"/>
  <c r="M51" i="15"/>
  <c r="AY295" i="15"/>
  <c r="AJ270" i="15"/>
  <c r="I243" i="15"/>
  <c r="I68" i="15"/>
  <c r="I193" i="15"/>
  <c r="AI270" i="15"/>
  <c r="I211" i="15"/>
  <c r="I262" i="15"/>
  <c r="Y204" i="15"/>
  <c r="D1141" i="17"/>
  <c r="E23" i="15"/>
  <c r="E25" i="15"/>
  <c r="E88" i="15"/>
  <c r="T88" i="15"/>
  <c r="T245" i="15"/>
  <c r="T195" i="15"/>
  <c r="D764" i="17"/>
  <c r="D762" i="17"/>
  <c r="J776" i="17"/>
  <c r="J777" i="17"/>
  <c r="C790" i="17"/>
  <c r="K776" i="17"/>
  <c r="K777" i="17"/>
  <c r="D790" i="17"/>
  <c r="F273" i="15"/>
  <c r="AV248" i="15"/>
  <c r="K728" i="17"/>
  <c r="AY297" i="15"/>
  <c r="AM35" i="15"/>
  <c r="I154" i="15"/>
  <c r="H33" i="15"/>
  <c r="D738" i="17"/>
  <c r="AH162" i="15"/>
  <c r="AH217" i="15"/>
  <c r="AZ21" i="15"/>
  <c r="AZ84" i="15"/>
  <c r="AU287" i="15"/>
  <c r="AU301" i="15"/>
  <c r="AU35" i="15"/>
  <c r="X251" i="15"/>
  <c r="Y72" i="15"/>
  <c r="X201" i="15"/>
  <c r="AD38" i="15"/>
  <c r="AD39" i="15"/>
  <c r="AD23" i="15"/>
  <c r="AD25" i="15"/>
  <c r="C834" i="17"/>
  <c r="C842" i="17"/>
  <c r="C836" i="17"/>
  <c r="E832" i="17"/>
  <c r="I230" i="15"/>
  <c r="C753" i="17"/>
  <c r="D734" i="17"/>
  <c r="AV195" i="15"/>
  <c r="AW66" i="15"/>
  <c r="D728" i="17"/>
  <c r="AV255" i="15"/>
  <c r="D725" i="17"/>
  <c r="D736" i="17"/>
  <c r="D759" i="17"/>
  <c r="D447" i="17"/>
  <c r="D460" i="17"/>
  <c r="C460" i="17"/>
  <c r="C462" i="17"/>
  <c r="AP33" i="15"/>
  <c r="AP45" i="15"/>
  <c r="AP47" i="15"/>
  <c r="AP21" i="15"/>
  <c r="AW55" i="15"/>
  <c r="AW46" i="15"/>
  <c r="AW42" i="15"/>
  <c r="AV46" i="15"/>
  <c r="AV42" i="15"/>
  <c r="AK66" i="15"/>
  <c r="AJ245" i="15"/>
  <c r="AJ195" i="15"/>
  <c r="AU193" i="15"/>
  <c r="AU243" i="15"/>
  <c r="AG240" i="15"/>
  <c r="AG190" i="15"/>
  <c r="AW45" i="15"/>
  <c r="AW47" i="15" s="1"/>
  <c r="AW33" i="15"/>
  <c r="Y282" i="15"/>
  <c r="Y295" i="15"/>
  <c r="Y296" i="15"/>
  <c r="L193" i="15"/>
  <c r="L243" i="15"/>
  <c r="L68" i="15"/>
  <c r="AH154" i="15"/>
  <c r="AH173" i="15"/>
  <c r="AH288" i="15"/>
  <c r="AH302" i="15"/>
  <c r="AH165" i="15"/>
  <c r="AH158" i="15"/>
  <c r="AH210" i="15"/>
  <c r="AH261" i="15"/>
  <c r="AH267" i="15"/>
  <c r="D575" i="17"/>
  <c r="D553" i="17"/>
  <c r="D579" i="17"/>
  <c r="D577" i="17"/>
  <c r="D576" i="17"/>
  <c r="D551" i="17"/>
  <c r="D568" i="17"/>
  <c r="D574" i="17"/>
  <c r="D540" i="17"/>
  <c r="D549" i="17"/>
  <c r="K543" i="17"/>
  <c r="D557" i="17"/>
  <c r="D552" i="17"/>
  <c r="D578" i="17"/>
  <c r="X200" i="15"/>
  <c r="AX49" i="15"/>
  <c r="AX183" i="15"/>
  <c r="AV252" i="15"/>
  <c r="D733" i="17"/>
  <c r="AP245" i="15"/>
  <c r="AP239" i="15"/>
  <c r="AP241" i="15"/>
  <c r="AP255" i="15"/>
  <c r="AP235" i="15"/>
  <c r="AP250" i="15"/>
  <c r="AP251" i="15"/>
  <c r="AP242" i="15"/>
  <c r="AP240" i="15"/>
  <c r="AP229" i="15"/>
  <c r="AP246" i="15"/>
  <c r="AP254" i="15"/>
  <c r="AP244" i="15"/>
  <c r="AP252" i="15"/>
  <c r="AP249" i="15"/>
  <c r="AN146" i="15"/>
  <c r="AN153" i="15"/>
  <c r="AN159" i="15"/>
  <c r="AN143" i="15"/>
  <c r="AN211" i="15"/>
  <c r="AN262" i="15"/>
  <c r="AN164" i="15"/>
  <c r="AN287" i="15"/>
  <c r="AN301" i="15"/>
  <c r="AG246" i="15"/>
  <c r="AG196" i="15"/>
  <c r="D236" i="15"/>
  <c r="E236" i="15"/>
  <c r="C21" i="15"/>
  <c r="C84" i="15"/>
  <c r="C45" i="15"/>
  <c r="C47" i="15"/>
  <c r="C231" i="15"/>
  <c r="C233" i="15"/>
  <c r="C33" i="15"/>
  <c r="AK73" i="15"/>
  <c r="AJ252" i="15"/>
  <c r="AJ202" i="15"/>
  <c r="S244" i="15"/>
  <c r="S194" i="15"/>
  <c r="S41" i="15"/>
  <c r="W89" i="15"/>
  <c r="W284" i="15"/>
  <c r="W298" i="15"/>
  <c r="E68" i="15"/>
  <c r="E193" i="15"/>
  <c r="E243" i="15"/>
  <c r="AM282" i="15"/>
  <c r="AV229" i="15"/>
  <c r="AV237" i="15"/>
  <c r="AV250" i="15"/>
  <c r="J591" i="17"/>
  <c r="J592" i="17"/>
  <c r="C605" i="17"/>
  <c r="K590" i="17"/>
  <c r="K591" i="17"/>
  <c r="K592" i="17"/>
  <c r="D605" i="17"/>
  <c r="D146" i="17"/>
  <c r="D950" i="17"/>
  <c r="K268" i="15"/>
  <c r="Y71" i="15"/>
  <c r="Y250" i="15"/>
  <c r="AF84" i="15"/>
  <c r="D731" i="17"/>
  <c r="C365" i="17"/>
  <c r="D729" i="17"/>
  <c r="AX48" i="15"/>
  <c r="AX182" i="15"/>
  <c r="AW287" i="15"/>
  <c r="AW301" i="15"/>
  <c r="D742" i="17"/>
  <c r="AX294" i="15"/>
  <c r="F211" i="15"/>
  <c r="F262" i="15"/>
  <c r="F268" i="15"/>
  <c r="F159" i="15"/>
  <c r="F143" i="15"/>
  <c r="F35" i="15"/>
  <c r="AE153" i="15"/>
  <c r="AE35" i="15"/>
  <c r="AE143" i="15"/>
  <c r="AE173" i="15"/>
  <c r="AE211" i="15"/>
  <c r="AE262" i="15"/>
  <c r="AE287" i="15"/>
  <c r="AE301" i="15"/>
  <c r="AE164" i="15"/>
  <c r="K236" i="15"/>
  <c r="L236" i="15"/>
  <c r="F33" i="15"/>
  <c r="F45" i="15"/>
  <c r="F47" i="15"/>
  <c r="L211" i="15"/>
  <c r="L262" i="15"/>
  <c r="L268" i="15"/>
  <c r="L35" i="15"/>
  <c r="L159" i="15"/>
  <c r="L287" i="15"/>
  <c r="L301" i="15"/>
  <c r="L303" i="15"/>
  <c r="L153" i="15"/>
  <c r="H273" i="15"/>
  <c r="AG230" i="15"/>
  <c r="AX236" i="15"/>
  <c r="AX237" i="15"/>
  <c r="AV246" i="15"/>
  <c r="AE45" i="15"/>
  <c r="AE21" i="15"/>
  <c r="AE33" i="15"/>
  <c r="AV241" i="15"/>
  <c r="D735" i="17"/>
  <c r="D546" i="17"/>
  <c r="AY294" i="15"/>
  <c r="D761" i="17"/>
  <c r="D615" i="17"/>
  <c r="D616" i="17"/>
  <c r="AW35" i="15"/>
  <c r="AW297" i="15"/>
  <c r="AK282" i="15"/>
  <c r="AM247" i="15"/>
  <c r="AM197" i="15"/>
  <c r="D68" i="15"/>
  <c r="D193" i="15"/>
  <c r="D545" i="17"/>
  <c r="AL281" i="15"/>
  <c r="AL162" i="15"/>
  <c r="AL217" i="15"/>
  <c r="C1368" i="17"/>
  <c r="D1354" i="17"/>
  <c r="C1355" i="17"/>
  <c r="J21" i="15"/>
  <c r="J84" i="15"/>
  <c r="J45" i="15"/>
  <c r="J47" i="15"/>
  <c r="J231" i="15"/>
  <c r="J233" i="15"/>
  <c r="J33" i="15"/>
  <c r="J193" i="15"/>
  <c r="J243" i="15"/>
  <c r="J68" i="15"/>
  <c r="AK236" i="15"/>
  <c r="AG237" i="15"/>
  <c r="AG236" i="15"/>
  <c r="BA67" i="15"/>
  <c r="AZ246" i="15"/>
  <c r="AZ196" i="15"/>
  <c r="AO286" i="15"/>
  <c r="AO300" i="15"/>
  <c r="U68" i="15"/>
  <c r="U193" i="15"/>
  <c r="AL35" i="15"/>
  <c r="AV297" i="15"/>
  <c r="AS34" i="15"/>
  <c r="AS286" i="15"/>
  <c r="AS300" i="15"/>
  <c r="AX181" i="15"/>
  <c r="AX51" i="15"/>
  <c r="T194" i="15"/>
  <c r="T41" i="15"/>
  <c r="X89" i="15"/>
  <c r="X284" i="15"/>
  <c r="X298" i="15"/>
  <c r="T244" i="15"/>
  <c r="W273" i="15"/>
  <c r="S195" i="15"/>
  <c r="S245" i="15"/>
  <c r="Z146" i="15"/>
  <c r="D727" i="17"/>
  <c r="AV254" i="15"/>
  <c r="AV245" i="15"/>
  <c r="AV242" i="15"/>
  <c r="D730" i="17"/>
  <c r="AH84" i="15"/>
  <c r="D760" i="17"/>
  <c r="D547" i="17"/>
  <c r="AG84" i="15"/>
  <c r="AG33" i="15"/>
  <c r="D543" i="17"/>
  <c r="Y286" i="15"/>
  <c r="Y300" i="15"/>
  <c r="Y34" i="15"/>
  <c r="AT108" i="15"/>
  <c r="AT280" i="15"/>
  <c r="AT282" i="15"/>
  <c r="AP294" i="15"/>
  <c r="AO239" i="15"/>
  <c r="AP270" i="15" s="1"/>
  <c r="AO248" i="15"/>
  <c r="AO255" i="15"/>
  <c r="AO229" i="15"/>
  <c r="AO244" i="15"/>
  <c r="AO235" i="15"/>
  <c r="Z33" i="15"/>
  <c r="Z21" i="15"/>
  <c r="J636" i="17"/>
  <c r="D647" i="17"/>
  <c r="C661" i="17"/>
  <c r="AU252" i="15"/>
  <c r="AU250" i="15"/>
  <c r="AW295" i="15"/>
  <c r="AU241" i="15"/>
  <c r="AU235" i="15"/>
  <c r="AU229" i="15"/>
  <c r="AW294" i="15"/>
  <c r="AU248" i="15"/>
  <c r="AU249" i="15"/>
  <c r="AU255" i="15"/>
  <c r="AU242" i="15"/>
  <c r="AU251" i="15"/>
  <c r="AU240" i="15"/>
  <c r="AU254" i="15"/>
  <c r="BF38" i="15"/>
  <c r="AR69" i="15"/>
  <c r="AR248" i="15"/>
  <c r="AQ198" i="15"/>
  <c r="AJ249" i="15"/>
  <c r="AK70" i="15"/>
  <c r="AJ199" i="15"/>
  <c r="W288" i="15"/>
  <c r="W302" i="15"/>
  <c r="W304" i="15"/>
  <c r="W210" i="15"/>
  <c r="W261" i="15"/>
  <c r="W267" i="15"/>
  <c r="F243" i="15"/>
  <c r="F68" i="15"/>
  <c r="F193" i="15"/>
  <c r="BC95" i="15"/>
  <c r="AQ164" i="15"/>
  <c r="AV287" i="15"/>
  <c r="AV301" i="15"/>
  <c r="AS164" i="15"/>
  <c r="BB210" i="15"/>
  <c r="BB261" i="15"/>
  <c r="BD89" i="15"/>
  <c r="BD284" i="15"/>
  <c r="BD298" i="15"/>
  <c r="D811" i="17"/>
  <c r="AN51" i="15"/>
  <c r="CQ53" i="15"/>
  <c r="CQ54" i="15"/>
  <c r="Z35" i="15"/>
  <c r="Z287" i="15"/>
  <c r="Z301" i="15"/>
  <c r="Z303" i="15"/>
  <c r="Z153" i="15"/>
  <c r="Z159" i="15"/>
  <c r="Z143" i="15"/>
  <c r="Z211" i="15"/>
  <c r="Z262" i="15"/>
  <c r="Z268" i="15"/>
  <c r="K33" i="15"/>
  <c r="K21" i="15"/>
  <c r="K84" i="15"/>
  <c r="K45" i="15"/>
  <c r="K47" i="15"/>
  <c r="K51" i="15"/>
  <c r="AK124" i="15"/>
  <c r="AK144" i="15"/>
  <c r="AX159" i="15"/>
  <c r="AX287" i="15"/>
  <c r="AX301" i="15"/>
  <c r="AX146" i="15"/>
  <c r="AX35" i="15"/>
  <c r="AX143" i="15"/>
  <c r="AG200" i="15"/>
  <c r="AG250" i="15"/>
  <c r="AK55" i="15"/>
  <c r="AK46" i="15"/>
  <c r="AK42" i="15"/>
  <c r="AJ46" i="15"/>
  <c r="AJ42" i="15"/>
  <c r="AH38" i="15"/>
  <c r="AH23" i="15"/>
  <c r="AH25" i="15"/>
  <c r="AH39" i="15"/>
  <c r="AC189" i="15"/>
  <c r="AC239" i="15"/>
  <c r="AC274" i="15"/>
  <c r="AC93" i="15"/>
  <c r="AJ295" i="15"/>
  <c r="AJ282" i="15"/>
  <c r="Z68" i="15"/>
  <c r="AH271" i="15"/>
  <c r="AF161" i="15"/>
  <c r="AF216" i="15"/>
  <c r="AF162" i="15"/>
  <c r="AF217" i="15"/>
  <c r="AF281" i="15"/>
  <c r="V295" i="15"/>
  <c r="V282" i="15"/>
  <c r="AC204" i="15"/>
  <c r="AC254" i="15"/>
  <c r="AV164" i="15"/>
  <c r="AS287" i="15"/>
  <c r="AS301" i="15"/>
  <c r="O16" i="15"/>
  <c r="AS146" i="15"/>
  <c r="BB154" i="15"/>
  <c r="BB282" i="15"/>
  <c r="AR164" i="15"/>
  <c r="AW153" i="15"/>
  <c r="AN231" i="15"/>
  <c r="AS229" i="15"/>
  <c r="AV294" i="15"/>
  <c r="AS235" i="15"/>
  <c r="AS242" i="15"/>
  <c r="AS255" i="15"/>
  <c r="AS246" i="15"/>
  <c r="BK78" i="15"/>
  <c r="G237" i="15"/>
  <c r="H236" i="15"/>
  <c r="G236" i="15"/>
  <c r="AN72" i="15"/>
  <c r="AM251" i="15"/>
  <c r="AM201" i="15"/>
  <c r="AM74" i="15"/>
  <c r="C1032" i="17"/>
  <c r="J1007" i="17"/>
  <c r="D1018" i="17"/>
  <c r="E1454" i="17"/>
  <c r="M243" i="15"/>
  <c r="M193" i="15"/>
  <c r="M68" i="15"/>
  <c r="I21" i="15"/>
  <c r="I45" i="15"/>
  <c r="I47" i="15"/>
  <c r="I49" i="15"/>
  <c r="I33" i="15"/>
  <c r="I84" i="15"/>
  <c r="AJ84" i="15"/>
  <c r="AG270" i="15"/>
  <c r="AI47" i="15"/>
  <c r="AS250" i="15"/>
  <c r="W108" i="15"/>
  <c r="AQ162" i="15"/>
  <c r="AQ217" i="15"/>
  <c r="AQ281" i="15"/>
  <c r="AQ295" i="15"/>
  <c r="AQ161" i="15"/>
  <c r="AQ216" i="15"/>
  <c r="AP287" i="15"/>
  <c r="AP301" i="15"/>
  <c r="AP303" i="15"/>
  <c r="AP143" i="15"/>
  <c r="AP211" i="15"/>
  <c r="AP262" i="15"/>
  <c r="AP268" i="15"/>
  <c r="AP35" i="15"/>
  <c r="AP153" i="15"/>
  <c r="AP159" i="15"/>
  <c r="AS153" i="15"/>
  <c r="BB158" i="15"/>
  <c r="BB213" i="15"/>
  <c r="AR146" i="15"/>
  <c r="AW159" i="15"/>
  <c r="BA144" i="15"/>
  <c r="G146" i="15"/>
  <c r="G35" i="15"/>
  <c r="G153" i="15"/>
  <c r="G143" i="15"/>
  <c r="G211" i="15"/>
  <c r="G262" i="15"/>
  <c r="G268" i="15"/>
  <c r="G301" i="15"/>
  <c r="G303" i="15"/>
  <c r="G159" i="15"/>
  <c r="T11" i="15"/>
  <c r="T16" i="15"/>
  <c r="D143" i="15"/>
  <c r="D153" i="15"/>
  <c r="D211" i="15"/>
  <c r="D262" i="15"/>
  <c r="D159" i="15"/>
  <c r="D287" i="15"/>
  <c r="D301" i="15"/>
  <c r="D35" i="15"/>
  <c r="D146" i="15"/>
  <c r="Y237" i="15"/>
  <c r="AC230" i="15"/>
  <c r="AT287" i="15"/>
  <c r="AT301" i="15"/>
  <c r="AT143" i="15"/>
  <c r="AT146" i="15"/>
  <c r="AT211" i="15"/>
  <c r="AT262" i="15"/>
  <c r="AT153" i="15"/>
  <c r="AT159" i="15"/>
  <c r="AT214" i="15"/>
  <c r="AT35" i="15"/>
  <c r="AB41" i="15"/>
  <c r="AB244" i="15"/>
  <c r="AB194" i="15"/>
  <c r="AF89" i="15"/>
  <c r="AF284" i="15"/>
  <c r="AF298" i="15"/>
  <c r="AC65" i="15"/>
  <c r="AB89" i="15"/>
  <c r="AB284" i="15"/>
  <c r="AB298" i="15"/>
  <c r="T144" i="15"/>
  <c r="AZ294" i="15"/>
  <c r="AZ282" i="15"/>
  <c r="BB51" i="15"/>
  <c r="BB48" i="15"/>
  <c r="BB182" i="15"/>
  <c r="BB181" i="15"/>
  <c r="BB49" i="15"/>
  <c r="BB183" i="15"/>
  <c r="AS249" i="15"/>
  <c r="AJ72" i="15"/>
  <c r="AI201" i="15"/>
  <c r="J497" i="17"/>
  <c r="D508" i="17"/>
  <c r="C522" i="17"/>
  <c r="D522" i="17"/>
  <c r="D523" i="17"/>
  <c r="K1201" i="17"/>
  <c r="K1202" i="17"/>
  <c r="K1203" i="17"/>
  <c r="D1216" i="17"/>
  <c r="J1202" i="17"/>
  <c r="J1203" i="17"/>
  <c r="C1216" i="17"/>
  <c r="AY197" i="15"/>
  <c r="F38" i="15"/>
  <c r="AV159" i="15"/>
  <c r="AV214" i="15"/>
  <c r="AS143" i="15"/>
  <c r="X282" i="15"/>
  <c r="AW246" i="15"/>
  <c r="AW211" i="15"/>
  <c r="AW262" i="15"/>
  <c r="AW268" i="15"/>
  <c r="S143" i="15"/>
  <c r="S153" i="15"/>
  <c r="S211" i="15"/>
  <c r="S262" i="15"/>
  <c r="AK107" i="15"/>
  <c r="AK108" i="15"/>
  <c r="AK111" i="15"/>
  <c r="AN200" i="15"/>
  <c r="AN250" i="15"/>
  <c r="AB55" i="15"/>
  <c r="AA46" i="15"/>
  <c r="AA42" i="15"/>
  <c r="AO71" i="15"/>
  <c r="AF241" i="15"/>
  <c r="AG62" i="15"/>
  <c r="AF191" i="15"/>
  <c r="AL287" i="15"/>
  <c r="AL301" i="15"/>
  <c r="AL164" i="15"/>
  <c r="AL153" i="15"/>
  <c r="AL143" i="15"/>
  <c r="AL211" i="15"/>
  <c r="AL262" i="15"/>
  <c r="AL146" i="15"/>
  <c r="AL159" i="15"/>
  <c r="AL289" i="15"/>
  <c r="Y66" i="15"/>
  <c r="X195" i="15"/>
  <c r="Y11" i="15"/>
  <c r="AP164" i="15"/>
  <c r="J110" i="17"/>
  <c r="K110" i="17"/>
  <c r="K111" i="17"/>
  <c r="K112" i="17"/>
  <c r="C123" i="17"/>
  <c r="C131" i="17"/>
  <c r="D122" i="17"/>
  <c r="C136" i="17"/>
  <c r="C1227" i="17"/>
  <c r="D1226" i="17"/>
  <c r="D1227" i="17"/>
  <c r="AH268" i="15"/>
  <c r="E42" i="15"/>
  <c r="E47" i="15"/>
  <c r="AE46" i="15"/>
  <c r="AF55" i="15"/>
  <c r="AR211" i="15"/>
  <c r="AR262" i="15"/>
  <c r="AR153" i="15"/>
  <c r="AR35" i="15"/>
  <c r="AR287" i="15"/>
  <c r="AR301" i="15"/>
  <c r="AR159" i="15"/>
  <c r="AA240" i="15"/>
  <c r="AB61" i="15"/>
  <c r="AA190" i="15"/>
  <c r="AA64" i="15"/>
  <c r="AA193" i="15"/>
  <c r="C600" i="17"/>
  <c r="D587" i="17"/>
  <c r="D600" i="17" s="1"/>
  <c r="D604" i="17" s="1"/>
  <c r="H45" i="15"/>
  <c r="H47" i="15"/>
  <c r="AD84" i="15"/>
  <c r="H21" i="15"/>
  <c r="AN34" i="15"/>
  <c r="AL34" i="15"/>
  <c r="AK34" i="15"/>
  <c r="AM34" i="15"/>
  <c r="AH236" i="15"/>
  <c r="AH237" i="15"/>
  <c r="AZ87" i="15"/>
  <c r="AZ283" i="15"/>
  <c r="AZ297" i="15"/>
  <c r="AZ242" i="15"/>
  <c r="AI87" i="15"/>
  <c r="AI283" i="15"/>
  <c r="AI297" i="15"/>
  <c r="AG242" i="15"/>
  <c r="AG274" i="15"/>
  <c r="AG192" i="15"/>
  <c r="AH87" i="15"/>
  <c r="AH283" i="15"/>
  <c r="AH297" i="15"/>
  <c r="AG87" i="15"/>
  <c r="AG283" i="15"/>
  <c r="AG297" i="15"/>
  <c r="BB39" i="15"/>
  <c r="BB23" i="15"/>
  <c r="BB25" i="15"/>
  <c r="BB38" i="15"/>
  <c r="AZ192" i="15"/>
  <c r="AV153" i="15"/>
  <c r="W46" i="15"/>
  <c r="W42" i="15"/>
  <c r="BD35" i="15"/>
  <c r="BB35" i="15"/>
  <c r="AW164" i="15"/>
  <c r="AF236" i="15"/>
  <c r="AF237" i="15"/>
  <c r="S248" i="15"/>
  <c r="S198" i="15"/>
  <c r="T69" i="15"/>
  <c r="AZ199" i="15"/>
  <c r="BA70" i="15"/>
  <c r="O70" i="15"/>
  <c r="AZ249" i="15"/>
  <c r="W64" i="15"/>
  <c r="W240" i="15"/>
  <c r="X61" i="15"/>
  <c r="Y61" i="15"/>
  <c r="W190" i="15"/>
  <c r="Y255" i="15"/>
  <c r="Y205" i="15"/>
  <c r="W21" i="15"/>
  <c r="W33" i="15"/>
  <c r="W45" i="15"/>
  <c r="C1464" i="17"/>
  <c r="E1456" i="17"/>
  <c r="AH270" i="15"/>
  <c r="I295" i="15"/>
  <c r="I273" i="15" s="1"/>
  <c r="I282" i="15"/>
  <c r="BA194" i="15"/>
  <c r="BA89" i="15"/>
  <c r="BA284" i="15"/>
  <c r="BA298" i="15"/>
  <c r="BC89" i="15"/>
  <c r="BC284" i="15"/>
  <c r="BC298" i="15"/>
  <c r="BB89" i="15"/>
  <c r="BB284" i="15"/>
  <c r="BB298" i="15"/>
  <c r="BB206" i="15"/>
  <c r="BB78" i="15"/>
  <c r="C475" i="17"/>
  <c r="D461" i="17"/>
  <c r="J450" i="17"/>
  <c r="BJ21" i="15"/>
  <c r="BJ45" i="15"/>
  <c r="BJ47" i="15"/>
  <c r="BJ51" i="15"/>
  <c r="BJ33" i="15"/>
  <c r="AF201" i="15"/>
  <c r="AF251" i="15"/>
  <c r="AC200" i="15"/>
  <c r="AC250" i="15"/>
  <c r="AU89" i="15"/>
  <c r="AU284" i="15"/>
  <c r="AV65" i="15"/>
  <c r="AU244" i="15"/>
  <c r="AU41" i="15"/>
  <c r="AU68" i="15"/>
  <c r="AU194" i="15"/>
  <c r="X21" i="15"/>
  <c r="X45" i="15"/>
  <c r="X33" i="15"/>
  <c r="AR201" i="15"/>
  <c r="AS72" i="15"/>
  <c r="D1458" i="17"/>
  <c r="D1456" i="17"/>
  <c r="AS35" i="15"/>
  <c r="F23" i="15"/>
  <c r="F25" i="15"/>
  <c r="BA63" i="15"/>
  <c r="AK271" i="15"/>
  <c r="AN181" i="15"/>
  <c r="BD64" i="15"/>
  <c r="BD243" i="15"/>
  <c r="V47" i="15"/>
  <c r="BI48" i="15"/>
  <c r="AO254" i="15"/>
  <c r="X268" i="15"/>
  <c r="D233" i="15"/>
  <c r="AJ211" i="15"/>
  <c r="AJ262" i="15"/>
  <c r="AJ268" i="15"/>
  <c r="AJ143" i="15"/>
  <c r="BA61" i="15"/>
  <c r="BA64" i="15" s="1"/>
  <c r="AZ190" i="15"/>
  <c r="AZ240" i="15"/>
  <c r="AZ64" i="15"/>
  <c r="AF252" i="15"/>
  <c r="AF202" i="15"/>
  <c r="AG73" i="15"/>
  <c r="AG202" i="15"/>
  <c r="J164" i="15"/>
  <c r="J287" i="15"/>
  <c r="J301" i="15"/>
  <c r="J303" i="15"/>
  <c r="J146" i="15"/>
  <c r="J35" i="15"/>
  <c r="J211" i="15"/>
  <c r="J262" i="15"/>
  <c r="J268" i="15"/>
  <c r="Y248" i="15"/>
  <c r="Y198" i="15"/>
  <c r="D303" i="17"/>
  <c r="C315" i="17"/>
  <c r="X205" i="15"/>
  <c r="X255" i="15"/>
  <c r="G243" i="15"/>
  <c r="G193" i="15"/>
  <c r="G68" i="15"/>
  <c r="AK248" i="15"/>
  <c r="AK198" i="15"/>
  <c r="AV45" i="15"/>
  <c r="AV21" i="15"/>
  <c r="AY84" i="15"/>
  <c r="AV33" i="15"/>
  <c r="X108" i="15"/>
  <c r="T107" i="15"/>
  <c r="T108" i="15"/>
  <c r="AD35" i="15"/>
  <c r="AD153" i="15"/>
  <c r="AD143" i="15"/>
  <c r="AD146" i="15"/>
  <c r="AD211" i="15"/>
  <c r="AD262" i="15"/>
  <c r="AD287" i="15"/>
  <c r="AD301" i="15"/>
  <c r="AD303" i="15"/>
  <c r="AD159" i="15"/>
  <c r="AD214" i="15"/>
  <c r="AQ294" i="15"/>
  <c r="AQ296" i="15" s="1"/>
  <c r="X214" i="15"/>
  <c r="X289" i="15"/>
  <c r="K193" i="15"/>
  <c r="K243" i="15"/>
  <c r="K68" i="15"/>
  <c r="D634" i="17"/>
  <c r="AG201" i="15"/>
  <c r="AG251" i="15"/>
  <c r="K270" i="15"/>
  <c r="K273" i="15"/>
  <c r="K303" i="15"/>
  <c r="K274" i="15"/>
  <c r="AW214" i="15"/>
  <c r="AW289" i="15"/>
  <c r="BD242" i="15"/>
  <c r="BD192" i="15"/>
  <c r="BD231" i="15"/>
  <c r="BD181" i="15"/>
  <c r="BD51" i="15"/>
  <c r="BD49" i="15"/>
  <c r="BD183" i="15"/>
  <c r="Q211" i="15"/>
  <c r="Q262" i="15"/>
  <c r="Q143" i="15"/>
  <c r="Q153" i="15"/>
  <c r="AT243" i="15"/>
  <c r="AT68" i="15"/>
  <c r="AT193" i="15"/>
  <c r="BG39" i="15"/>
  <c r="BG38" i="15"/>
  <c r="BG23" i="15"/>
  <c r="BG25" i="15"/>
  <c r="AI197" i="15"/>
  <c r="AI74" i="15"/>
  <c r="AI247" i="15"/>
  <c r="BD237" i="15"/>
  <c r="BD236" i="15"/>
  <c r="BB214" i="15"/>
  <c r="BB289" i="15"/>
  <c r="Y246" i="15"/>
  <c r="Y196" i="15"/>
  <c r="AT297" i="15"/>
  <c r="AR298" i="15"/>
  <c r="AS297" i="15"/>
  <c r="AJ271" i="15"/>
  <c r="Q256" i="15"/>
  <c r="BD108" i="15"/>
  <c r="BD280" i="15"/>
  <c r="Y211" i="15"/>
  <c r="Y262" i="15"/>
  <c r="Y35" i="15"/>
  <c r="Y143" i="15"/>
  <c r="Y153" i="15"/>
  <c r="Y287" i="15"/>
  <c r="Y301" i="15"/>
  <c r="Y303" i="15"/>
  <c r="Y159" i="15"/>
  <c r="AQ51" i="15"/>
  <c r="AQ231" i="15"/>
  <c r="AQ48" i="15"/>
  <c r="AQ182" i="15"/>
  <c r="AQ49" i="15"/>
  <c r="AQ183" i="15"/>
  <c r="AQ181" i="15"/>
  <c r="K230" i="15"/>
  <c r="L230" i="15"/>
  <c r="K237" i="15"/>
  <c r="AM236" i="15"/>
  <c r="AI237" i="15"/>
  <c r="AB251" i="15"/>
  <c r="AB201" i="15"/>
  <c r="AC72" i="15"/>
  <c r="D542" i="17"/>
  <c r="AX232" i="15"/>
  <c r="AX233" i="15"/>
  <c r="AZ236" i="15"/>
  <c r="M214" i="15"/>
  <c r="M289" i="15"/>
  <c r="BD154" i="15"/>
  <c r="AU210" i="15"/>
  <c r="AU261" i="15"/>
  <c r="AU154" i="15"/>
  <c r="AU158" i="15"/>
  <c r="AU288" i="15"/>
  <c r="AU302" i="15"/>
  <c r="AU173" i="15"/>
  <c r="AL77" i="15"/>
  <c r="AL253" i="15"/>
  <c r="AL203" i="15"/>
  <c r="BC47" i="15"/>
  <c r="AB268" i="15"/>
  <c r="AF198" i="15"/>
  <c r="AG69" i="15"/>
  <c r="AF248" i="15"/>
  <c r="AR249" i="15"/>
  <c r="AR288" i="15"/>
  <c r="AR302" i="15"/>
  <c r="AQ64" i="15"/>
  <c r="AQ190" i="15"/>
  <c r="AR61" i="15"/>
  <c r="AQ240" i="15"/>
  <c r="AT38" i="15"/>
  <c r="AT23" i="15"/>
  <c r="AT25" i="15"/>
  <c r="AT39" i="15"/>
  <c r="V158" i="15"/>
  <c r="BD289" i="15"/>
  <c r="BD214" i="15"/>
  <c r="E173" i="15"/>
  <c r="E158" i="15"/>
  <c r="W270" i="15"/>
  <c r="AM230" i="15"/>
  <c r="AW158" i="15"/>
  <c r="AW173" i="15"/>
  <c r="AW154" i="15"/>
  <c r="AW165" i="15"/>
  <c r="AW210" i="15"/>
  <c r="AW261" i="15"/>
  <c r="AW267" i="15"/>
  <c r="AW288" i="15"/>
  <c r="AW302" i="15"/>
  <c r="D231" i="17"/>
  <c r="D232" i="17"/>
  <c r="C232" i="17"/>
  <c r="AG146" i="15"/>
  <c r="BD241" i="15"/>
  <c r="BD191" i="15"/>
  <c r="C1263" i="17"/>
  <c r="Z51" i="15"/>
  <c r="Z49" i="15"/>
  <c r="Z183" i="15"/>
  <c r="Z231" i="15"/>
  <c r="Z181" i="15"/>
  <c r="AC164" i="15"/>
  <c r="AC153" i="15"/>
  <c r="S72" i="15"/>
  <c r="R201" i="15"/>
  <c r="R251" i="15"/>
  <c r="I158" i="15"/>
  <c r="I210" i="15"/>
  <c r="I261" i="15"/>
  <c r="I267" i="15"/>
  <c r="I288" i="15"/>
  <c r="I302" i="15"/>
  <c r="I165" i="15"/>
  <c r="C281" i="15"/>
  <c r="C159" i="15"/>
  <c r="C161" i="15"/>
  <c r="C216" i="15"/>
  <c r="C162" i="15"/>
  <c r="C217" i="15"/>
  <c r="V268" i="15"/>
  <c r="X274" i="15"/>
  <c r="W274" i="15"/>
  <c r="X273" i="15"/>
  <c r="V274" i="15"/>
  <c r="AZ34" i="15"/>
  <c r="AY34" i="15"/>
  <c r="AW34" i="15"/>
  <c r="AX34" i="15"/>
  <c r="AW21" i="15"/>
  <c r="AW39" i="15"/>
  <c r="M165" i="15"/>
  <c r="M158" i="15"/>
  <c r="M173" i="15"/>
  <c r="M210" i="15"/>
  <c r="M261" i="15"/>
  <c r="BG55" i="15"/>
  <c r="BG46" i="15"/>
  <c r="BF46" i="15"/>
  <c r="Y146" i="15"/>
  <c r="D1211" i="17"/>
  <c r="K271" i="15"/>
  <c r="BD295" i="15"/>
  <c r="R64" i="15"/>
  <c r="S61" i="15"/>
  <c r="R240" i="15"/>
  <c r="R190" i="15"/>
  <c r="AE146" i="15"/>
  <c r="AX295" i="15"/>
  <c r="AX282" i="15"/>
  <c r="AS202" i="15"/>
  <c r="AS252" i="15"/>
  <c r="AQ195" i="15"/>
  <c r="AR66" i="15"/>
  <c r="AQ245" i="15"/>
  <c r="AY42" i="15"/>
  <c r="AY47" i="15"/>
  <c r="AY181" i="15"/>
  <c r="V243" i="15"/>
  <c r="V68" i="15"/>
  <c r="V193" i="15"/>
  <c r="AB158" i="15"/>
  <c r="AB165" i="15"/>
  <c r="AB210" i="15"/>
  <c r="AB261" i="15"/>
  <c r="AB267" i="15"/>
  <c r="AB168" i="15"/>
  <c r="AB173" i="15"/>
  <c r="AB288" i="15"/>
  <c r="AB302" i="15"/>
  <c r="AB304" i="15"/>
  <c r="AB154" i="15"/>
  <c r="AM48" i="15"/>
  <c r="AM182" i="15"/>
  <c r="E289" i="15"/>
  <c r="E214" i="15"/>
  <c r="X270" i="15"/>
  <c r="W268" i="15"/>
  <c r="M171" i="15"/>
  <c r="M220" i="15"/>
  <c r="M170" i="15"/>
  <c r="M219" i="15"/>
  <c r="W213" i="15"/>
  <c r="W290" i="15"/>
  <c r="AR255" i="15"/>
  <c r="AR250" i="15"/>
  <c r="AR246" i="15"/>
  <c r="AR242" i="15"/>
  <c r="AR254" i="15"/>
  <c r="AR244" i="15"/>
  <c r="AR239" i="15"/>
  <c r="AS294" i="15"/>
  <c r="AU298" i="15"/>
  <c r="AR229" i="15"/>
  <c r="AT295" i="15"/>
  <c r="AT303" i="15"/>
  <c r="AR235" i="15"/>
  <c r="AV236" i="15"/>
  <c r="AR252" i="15"/>
  <c r="AR241" i="15"/>
  <c r="AU294" i="15"/>
  <c r="AU297" i="15"/>
  <c r="AU295" i="15"/>
  <c r="AU303" i="15" s="1"/>
  <c r="AR294" i="15"/>
  <c r="AR295" i="15"/>
  <c r="AR296" i="15" s="1"/>
  <c r="Q78" i="15"/>
  <c r="Q257" i="15"/>
  <c r="AG286" i="15"/>
  <c r="AG300" i="15"/>
  <c r="C1116" i="17"/>
  <c r="AW146" i="15"/>
  <c r="BD240" i="15"/>
  <c r="BD190" i="15"/>
  <c r="C281" i="17"/>
  <c r="AP146" i="15"/>
  <c r="AE281" i="15"/>
  <c r="AE161" i="15"/>
  <c r="AE216" i="15"/>
  <c r="AE162" i="15"/>
  <c r="AE217" i="15"/>
  <c r="AE159" i="15"/>
  <c r="Q42" i="15"/>
  <c r="Q47" i="15"/>
  <c r="AZ46" i="15"/>
  <c r="BA55" i="15"/>
  <c r="O55" i="15"/>
  <c r="C1118" i="17"/>
  <c r="X267" i="15"/>
  <c r="D626" i="17"/>
  <c r="BD250" i="15"/>
  <c r="BD200" i="15"/>
  <c r="AB271" i="15"/>
  <c r="Y56" i="15"/>
  <c r="Y46" i="15"/>
  <c r="Y42" i="15"/>
  <c r="BC164" i="15"/>
  <c r="AG153" i="15"/>
  <c r="AG35" i="15"/>
  <c r="AG143" i="15"/>
  <c r="AG164" i="15"/>
  <c r="BD23" i="15"/>
  <c r="BD25" i="15"/>
  <c r="BD38" i="15"/>
  <c r="AP68" i="15"/>
  <c r="AP243" i="15"/>
  <c r="AP193" i="15"/>
  <c r="AI271" i="15"/>
  <c r="S56" i="15"/>
  <c r="S46" i="15"/>
  <c r="R46" i="15"/>
  <c r="AV146" i="15"/>
  <c r="BD248" i="15"/>
  <c r="BD198" i="15"/>
  <c r="K255" i="17"/>
  <c r="J256" i="17"/>
  <c r="J257" i="17"/>
  <c r="C270" i="17"/>
  <c r="AG95" i="15"/>
  <c r="AJ96" i="15"/>
  <c r="I93" i="15"/>
  <c r="AQ35" i="15"/>
  <c r="AQ153" i="15"/>
  <c r="AQ159" i="15"/>
  <c r="AQ287" i="15"/>
  <c r="AQ301" i="15"/>
  <c r="AQ146" i="15"/>
  <c r="D1114" i="17"/>
  <c r="AJ146" i="15"/>
  <c r="AR251" i="15"/>
  <c r="W271" i="15"/>
  <c r="Y244" i="15"/>
  <c r="Y273" i="15"/>
  <c r="Y41" i="15"/>
  <c r="Y194" i="15"/>
  <c r="H164" i="15"/>
  <c r="H35" i="15"/>
  <c r="H153" i="15"/>
  <c r="H143" i="15"/>
  <c r="H159" i="15"/>
  <c r="H287" i="15"/>
  <c r="H301" i="15"/>
  <c r="H303" i="15"/>
  <c r="H146" i="15"/>
  <c r="H211" i="15"/>
  <c r="H262" i="15"/>
  <c r="H268" i="15"/>
  <c r="T216" i="15"/>
  <c r="T270" i="15"/>
  <c r="BB248" i="15"/>
  <c r="BB241" i="15"/>
  <c r="BB249" i="15"/>
  <c r="BB246" i="15"/>
  <c r="BB242" i="15"/>
  <c r="BB231" i="15"/>
  <c r="BB251" i="15"/>
  <c r="BB254" i="15"/>
  <c r="BB250" i="15"/>
  <c r="BB240" i="15"/>
  <c r="BB243" i="15"/>
  <c r="BB245" i="15"/>
  <c r="BB247" i="15"/>
  <c r="BB239" i="15"/>
  <c r="BB256" i="15"/>
  <c r="BB255" i="15"/>
  <c r="BB229" i="15"/>
  <c r="BB230" i="15"/>
  <c r="BB235" i="15"/>
  <c r="BB244" i="15"/>
  <c r="BB253" i="15"/>
  <c r="BB252" i="15"/>
  <c r="AC282" i="15"/>
  <c r="AC295" i="15"/>
  <c r="J288" i="15"/>
  <c r="J173" i="15"/>
  <c r="J165" i="15"/>
  <c r="J158" i="15"/>
  <c r="J210" i="15"/>
  <c r="J261" i="15"/>
  <c r="J267" i="15"/>
  <c r="J154" i="15"/>
  <c r="J289" i="15"/>
  <c r="J214" i="15"/>
  <c r="T199" i="15"/>
  <c r="T249" i="15"/>
  <c r="AV289" i="15"/>
  <c r="Z270" i="15"/>
  <c r="BA245" i="15"/>
  <c r="BA295" i="15"/>
  <c r="BA241" i="15"/>
  <c r="BB294" i="15"/>
  <c r="BA248" i="15"/>
  <c r="BC295" i="15"/>
  <c r="BA239" i="15"/>
  <c r="BC294" i="15"/>
  <c r="BA229" i="15"/>
  <c r="BA230" i="15"/>
  <c r="BA255" i="15"/>
  <c r="BA294" i="15"/>
  <c r="BA235" i="15"/>
  <c r="BA249" i="15"/>
  <c r="BA250" i="15"/>
  <c r="N158" i="15"/>
  <c r="N288" i="15"/>
  <c r="N302" i="15"/>
  <c r="N304" i="15"/>
  <c r="N154" i="15"/>
  <c r="N173" i="15"/>
  <c r="N165" i="15"/>
  <c r="N210" i="15"/>
  <c r="N261" i="15"/>
  <c r="N267" i="15"/>
  <c r="X42" i="15"/>
  <c r="X47" i="15"/>
  <c r="AD164" i="15"/>
  <c r="O205" i="15"/>
  <c r="D991" i="17"/>
  <c r="D995" i="17"/>
  <c r="D963" i="17"/>
  <c r="D964" i="17"/>
  <c r="D965" i="17"/>
  <c r="D990" i="17"/>
  <c r="K959" i="17"/>
  <c r="D992" i="17"/>
  <c r="D957" i="17"/>
  <c r="D984" i="17"/>
  <c r="D993" i="17"/>
  <c r="D969" i="17"/>
  <c r="D994" i="17"/>
  <c r="D958" i="17"/>
  <c r="D961" i="17"/>
  <c r="D971" i="17"/>
  <c r="K960" i="17"/>
  <c r="D962" i="17"/>
  <c r="D968" i="17"/>
  <c r="D985" i="17"/>
  <c r="D986" i="17"/>
  <c r="D966" i="17"/>
  <c r="BI39" i="15"/>
  <c r="BI23" i="15"/>
  <c r="BI25" i="15"/>
  <c r="BI38" i="15"/>
  <c r="D154" i="17"/>
  <c r="D171" i="17"/>
  <c r="D159" i="17"/>
  <c r="W249" i="15"/>
  <c r="W199" i="15"/>
  <c r="X70" i="15"/>
  <c r="Y70" i="15"/>
  <c r="AA274" i="15"/>
  <c r="Y268" i="15"/>
  <c r="Z274" i="15"/>
  <c r="AB274" i="15"/>
  <c r="Y274" i="15"/>
  <c r="AB270" i="15"/>
  <c r="Y271" i="15"/>
  <c r="Z271" i="15"/>
  <c r="BA202" i="15"/>
  <c r="BA252" i="15"/>
  <c r="BB295" i="15"/>
  <c r="AJ39" i="15"/>
  <c r="AJ23" i="15"/>
  <c r="AJ25" i="15"/>
  <c r="AJ38" i="15"/>
  <c r="T295" i="15"/>
  <c r="AU289" i="15"/>
  <c r="AU214" i="15"/>
  <c r="O191" i="15"/>
  <c r="O241" i="15"/>
  <c r="C1407" i="17"/>
  <c r="C1405" i="17"/>
  <c r="E1403" i="17"/>
  <c r="C288" i="15"/>
  <c r="C302" i="15"/>
  <c r="C158" i="15"/>
  <c r="C154" i="15"/>
  <c r="C173" i="15"/>
  <c r="C210" i="15"/>
  <c r="C261" i="15"/>
  <c r="AV154" i="15"/>
  <c r="AV158" i="15"/>
  <c r="AV288" i="15"/>
  <c r="AV302" i="15"/>
  <c r="AV210" i="15"/>
  <c r="AV261" i="15"/>
  <c r="AV165" i="15"/>
  <c r="AV173" i="15"/>
  <c r="N214" i="15"/>
  <c r="N289" i="15"/>
  <c r="N271" i="15"/>
  <c r="N270" i="15"/>
  <c r="O195" i="15"/>
  <c r="O245" i="15"/>
  <c r="AA23" i="15"/>
  <c r="AA25" i="15"/>
  <c r="AA39" i="15"/>
  <c r="AA38" i="15"/>
  <c r="AG214" i="15"/>
  <c r="AG289" i="15"/>
  <c r="C74" i="17"/>
  <c r="C78" i="17"/>
  <c r="AJ289" i="15"/>
  <c r="AJ214" i="15"/>
  <c r="O194" i="15"/>
  <c r="O89" i="15"/>
  <c r="O41" i="15"/>
  <c r="O284" i="15"/>
  <c r="AO67" i="15"/>
  <c r="AV199" i="15"/>
  <c r="AW70" i="15"/>
  <c r="AV249" i="15"/>
  <c r="E294" i="15"/>
  <c r="E296" i="15"/>
  <c r="E282" i="15"/>
  <c r="AM39" i="15"/>
  <c r="AM23" i="15"/>
  <c r="AM25" i="15"/>
  <c r="AM38" i="15"/>
  <c r="K214" i="15"/>
  <c r="K289" i="15"/>
  <c r="AK95" i="15"/>
  <c r="J93" i="15"/>
  <c r="AM289" i="15"/>
  <c r="AM214" i="15"/>
  <c r="R143" i="15"/>
  <c r="R146" i="15"/>
  <c r="R211" i="15"/>
  <c r="R262" i="15"/>
  <c r="R153" i="15"/>
  <c r="AH51" i="15"/>
  <c r="AV282" i="15"/>
  <c r="AV295" i="15"/>
  <c r="AV303" i="15" s="1"/>
  <c r="Y200" i="15"/>
  <c r="BA244" i="15"/>
  <c r="AS210" i="15"/>
  <c r="AS261" i="15"/>
  <c r="AS288" i="15"/>
  <c r="AS302" i="15"/>
  <c r="AS165" i="15"/>
  <c r="AS154" i="15"/>
  <c r="AS173" i="15"/>
  <c r="AF193" i="15"/>
  <c r="AF243" i="15"/>
  <c r="AF68" i="15"/>
  <c r="Y270" i="15"/>
  <c r="Q207" i="15"/>
  <c r="N303" i="15"/>
  <c r="AK270" i="15"/>
  <c r="D726" i="17"/>
  <c r="C880" i="17"/>
  <c r="C888" i="17"/>
  <c r="D1306" i="17"/>
  <c r="D1310" i="17"/>
  <c r="D1405" i="17"/>
  <c r="D1334" i="17"/>
  <c r="D509" i="17"/>
  <c r="D331" i="17"/>
  <c r="D341" i="17"/>
  <c r="K869" i="17"/>
  <c r="K870" i="17"/>
  <c r="D883" i="17"/>
  <c r="K1056" i="17"/>
  <c r="K1057" i="17"/>
  <c r="D1070" i="17"/>
  <c r="D1081" i="17"/>
  <c r="C882" i="17"/>
  <c r="D365" i="17"/>
  <c r="D1092" i="17"/>
  <c r="AO164" i="15"/>
  <c r="AO143" i="15"/>
  <c r="AO211" i="15"/>
  <c r="AO262" i="15"/>
  <c r="AO35" i="15"/>
  <c r="AO146" i="15"/>
  <c r="AO159" i="15"/>
  <c r="AO153" i="15"/>
  <c r="AO287" i="15"/>
  <c r="AO301" i="15"/>
  <c r="O244" i="15"/>
  <c r="D79" i="17"/>
  <c r="L288" i="15"/>
  <c r="L302" i="15"/>
  <c r="L304" i="15"/>
  <c r="AH49" i="15"/>
  <c r="AH183" i="15"/>
  <c r="O295" i="15"/>
  <c r="AC159" i="15"/>
  <c r="L154" i="15"/>
  <c r="AH181" i="15"/>
  <c r="O235" i="15"/>
  <c r="M233" i="15"/>
  <c r="E123" i="17"/>
  <c r="AC211" i="15"/>
  <c r="AC262" i="15"/>
  <c r="AC268" i="15"/>
  <c r="AW296" i="15"/>
  <c r="AY296" i="15"/>
  <c r="AZ230" i="15"/>
  <c r="AV240" i="15"/>
  <c r="AV64" i="15"/>
  <c r="AV190" i="15"/>
  <c r="AW61" i="15"/>
  <c r="D904" i="17"/>
  <c r="V210" i="15"/>
  <c r="V261" i="15"/>
  <c r="V267" i="15"/>
  <c r="V288" i="15"/>
  <c r="V302" i="15"/>
  <c r="V304" i="15"/>
  <c r="AO33" i="15"/>
  <c r="AO45" i="15"/>
  <c r="AO47" i="15"/>
  <c r="AO21" i="15"/>
  <c r="AO23" i="15"/>
  <c r="AO25" i="15"/>
  <c r="O229" i="15"/>
  <c r="AC287" i="15"/>
  <c r="AC301" i="15"/>
  <c r="C1221" i="17"/>
  <c r="AA273" i="15"/>
  <c r="O255" i="15"/>
  <c r="O239" i="15"/>
  <c r="AC35" i="15"/>
  <c r="AI23" i="15"/>
  <c r="AI25" i="15"/>
  <c r="AI38" i="15"/>
  <c r="AI39" i="15"/>
  <c r="BC237" i="15"/>
  <c r="V154" i="15"/>
  <c r="AC199" i="15"/>
  <c r="AC143" i="15"/>
  <c r="C511" i="17"/>
  <c r="AN233" i="15"/>
  <c r="AQ84" i="15"/>
  <c r="Z273" i="15"/>
  <c r="O298" i="15"/>
  <c r="C509" i="17"/>
  <c r="L165" i="15"/>
  <c r="D391" i="17"/>
  <c r="BD230" i="15"/>
  <c r="AO61" i="15"/>
  <c r="AN190" i="15"/>
  <c r="AN64" i="15"/>
  <c r="AD203" i="15"/>
  <c r="AD77" i="15"/>
  <c r="AD253" i="15"/>
  <c r="AD78" i="15"/>
  <c r="AR42" i="15"/>
  <c r="AR47" i="15"/>
  <c r="V289" i="15"/>
  <c r="V231" i="15"/>
  <c r="V233" i="15"/>
  <c r="BC193" i="15"/>
  <c r="BC68" i="15"/>
  <c r="BC243" i="15"/>
  <c r="AW254" i="15"/>
  <c r="AW204" i="15"/>
  <c r="O250" i="15"/>
  <c r="AG249" i="15"/>
  <c r="AG199" i="15"/>
  <c r="BA198" i="15"/>
  <c r="O69" i="15"/>
  <c r="J51" i="15"/>
  <c r="T200" i="15"/>
  <c r="T250" i="15"/>
  <c r="BD303" i="15"/>
  <c r="D315" i="17"/>
  <c r="D319" i="17"/>
  <c r="V303" i="15"/>
  <c r="AN240" i="15"/>
  <c r="AS41" i="15"/>
  <c r="AT89" i="15"/>
  <c r="AT284" i="15"/>
  <c r="AT298" i="15"/>
  <c r="AS89" i="15"/>
  <c r="AS284" i="15"/>
  <c r="AS298" i="15"/>
  <c r="AS194" i="15"/>
  <c r="K306" i="17"/>
  <c r="K307" i="17"/>
  <c r="D320" i="17"/>
  <c r="BD158" i="15"/>
  <c r="BD213" i="15"/>
  <c r="BD173" i="15"/>
  <c r="BD210" i="15"/>
  <c r="BD261" i="15"/>
  <c r="BD267" i="15"/>
  <c r="BD165" i="15"/>
  <c r="U49" i="15"/>
  <c r="U183" i="15"/>
  <c r="U181" i="15"/>
  <c r="U51" i="15"/>
  <c r="AH206" i="15"/>
  <c r="AH256" i="15"/>
  <c r="AH78" i="15"/>
  <c r="AR236" i="15"/>
  <c r="AH273" i="15"/>
  <c r="AT294" i="15"/>
  <c r="K48" i="15"/>
  <c r="K182" i="15"/>
  <c r="V51" i="15"/>
  <c r="C49" i="15"/>
  <c r="C183" i="15"/>
  <c r="L158" i="15"/>
  <c r="L290" i="15"/>
  <c r="C367" i="17"/>
  <c r="V273" i="15"/>
  <c r="AN237" i="15"/>
  <c r="Z48" i="15"/>
  <c r="Z182" i="15"/>
  <c r="K231" i="15"/>
  <c r="V49" i="15"/>
  <c r="V183" i="15"/>
  <c r="AH274" i="15"/>
  <c r="BD68" i="15"/>
  <c r="BD197" i="15"/>
  <c r="L210" i="15"/>
  <c r="L261" i="15"/>
  <c r="L267" i="15"/>
  <c r="AE197" i="15"/>
  <c r="AE247" i="15"/>
  <c r="AE74" i="15"/>
  <c r="AW198" i="15"/>
  <c r="AW248" i="15"/>
  <c r="BD193" i="15"/>
  <c r="W47" i="15"/>
  <c r="W181" i="15"/>
  <c r="AP296" i="15"/>
  <c r="I289" i="15"/>
  <c r="G85" i="15"/>
  <c r="G181" i="15"/>
  <c r="G49" i="15"/>
  <c r="G183" i="15"/>
  <c r="G231" i="15"/>
  <c r="G233" i="15"/>
  <c r="G51" i="15"/>
  <c r="AW252" i="15"/>
  <c r="AW202" i="15"/>
  <c r="AS204" i="15"/>
  <c r="AS254" i="15"/>
  <c r="C939" i="17"/>
  <c r="J914" i="17"/>
  <c r="D925" i="17"/>
  <c r="C380" i="17"/>
  <c r="D380" i="17"/>
  <c r="J355" i="17"/>
  <c r="D366" i="17"/>
  <c r="AW304" i="15"/>
  <c r="V296" i="15"/>
  <c r="C85" i="15"/>
  <c r="C171" i="15"/>
  <c r="C220" i="15"/>
  <c r="D739" i="17"/>
  <c r="D743" i="17"/>
  <c r="AC271" i="15"/>
  <c r="AV47" i="15"/>
  <c r="J181" i="15"/>
  <c r="D48" i="15"/>
  <c r="D182" i="15"/>
  <c r="AA47" i="15"/>
  <c r="AB273" i="15"/>
  <c r="T56" i="15"/>
  <c r="T46" i="15"/>
  <c r="T42" i="15"/>
  <c r="AD270" i="15"/>
  <c r="C181" i="15"/>
  <c r="BB290" i="15"/>
  <c r="L213" i="15"/>
  <c r="AD274" i="15"/>
  <c r="K85" i="15"/>
  <c r="C51" i="15"/>
  <c r="K181" i="15"/>
  <c r="AD268" i="15"/>
  <c r="I90" i="15"/>
  <c r="I247" i="15"/>
  <c r="I197" i="15"/>
  <c r="I285" i="15"/>
  <c r="I299" i="15"/>
  <c r="I74" i="15"/>
  <c r="Z23" i="15"/>
  <c r="Z25" i="15"/>
  <c r="Z88" i="15"/>
  <c r="Z39" i="15"/>
  <c r="Z38" i="15"/>
  <c r="AO288" i="15"/>
  <c r="AO302" i="15"/>
  <c r="AS69" i="15"/>
  <c r="AR198" i="15"/>
  <c r="D765" i="17"/>
  <c r="C569" i="17"/>
  <c r="J544" i="17"/>
  <c r="D555" i="17"/>
  <c r="D580" i="17"/>
  <c r="BK48" i="15"/>
  <c r="AP49" i="15"/>
  <c r="AP183" i="15"/>
  <c r="AP181" i="15"/>
  <c r="AP51" i="15"/>
  <c r="AP231" i="15"/>
  <c r="AP233" i="15"/>
  <c r="AT48" i="15"/>
  <c r="AT182" i="15"/>
  <c r="AP39" i="15"/>
  <c r="AP38" i="15"/>
  <c r="AP23" i="15"/>
  <c r="AP25" i="15"/>
  <c r="AQ271" i="15"/>
  <c r="AO154" i="15"/>
  <c r="C1369" i="17"/>
  <c r="D1368" i="17"/>
  <c r="D1369" i="17"/>
  <c r="E247" i="15"/>
  <c r="E197" i="15"/>
  <c r="E285" i="15"/>
  <c r="E299" i="15"/>
  <c r="E74" i="15"/>
  <c r="E90" i="15"/>
  <c r="T90" i="15"/>
  <c r="T285" i="15"/>
  <c r="T299" i="15"/>
  <c r="AW195" i="15"/>
  <c r="AW245" i="15"/>
  <c r="AZ23" i="15"/>
  <c r="AZ25" i="15"/>
  <c r="AZ38" i="15"/>
  <c r="AZ39" i="15"/>
  <c r="AU237" i="15"/>
  <c r="J23" i="15"/>
  <c r="J25" i="15"/>
  <c r="J88" i="15"/>
  <c r="J39" i="15"/>
  <c r="J38" i="15"/>
  <c r="AP271" i="15"/>
  <c r="BA196" i="15"/>
  <c r="AE23" i="15"/>
  <c r="AE25" i="15"/>
  <c r="AE38" i="15"/>
  <c r="AE39" i="15"/>
  <c r="F158" i="15"/>
  <c r="F154" i="15"/>
  <c r="F288" i="15"/>
  <c r="F302" i="15"/>
  <c r="F304" i="15"/>
  <c r="F210" i="15"/>
  <c r="F261" i="15"/>
  <c r="F267" i="15"/>
  <c r="F173" i="15"/>
  <c r="AW303" i="15"/>
  <c r="AK252" i="15"/>
  <c r="AK202" i="15"/>
  <c r="L74" i="15"/>
  <c r="L77" i="15"/>
  <c r="L285" i="15"/>
  <c r="L299" i="15"/>
  <c r="L90" i="15"/>
  <c r="L247" i="15"/>
  <c r="L197" i="15"/>
  <c r="AN165" i="15"/>
  <c r="E834" i="17"/>
  <c r="AQ270" i="15"/>
  <c r="D661" i="17"/>
  <c r="D662" i="17"/>
  <c r="C662" i="17"/>
  <c r="AL282" i="15"/>
  <c r="F289" i="15"/>
  <c r="F214" i="15"/>
  <c r="AK245" i="15"/>
  <c r="AK195" i="15"/>
  <c r="Y201" i="15"/>
  <c r="Y251" i="15"/>
  <c r="J90" i="15"/>
  <c r="J197" i="15"/>
  <c r="J285" i="15"/>
  <c r="J299" i="15"/>
  <c r="J247" i="15"/>
  <c r="J74" i="15"/>
  <c r="AE288" i="15"/>
  <c r="AE302" i="15"/>
  <c r="AE154" i="15"/>
  <c r="AE210" i="15"/>
  <c r="AE261" i="15"/>
  <c r="AE267" i="15"/>
  <c r="C39" i="15"/>
  <c r="C38" i="15"/>
  <c r="C23" i="15"/>
  <c r="C25" i="15"/>
  <c r="C88" i="15"/>
  <c r="U197" i="15"/>
  <c r="U74" i="15"/>
  <c r="J85" i="15"/>
  <c r="J49" i="15"/>
  <c r="J183" i="15"/>
  <c r="D90" i="15"/>
  <c r="D197" i="15"/>
  <c r="D74" i="15"/>
  <c r="D285" i="15"/>
  <c r="D299" i="15"/>
  <c r="D247" i="15"/>
  <c r="L214" i="15"/>
  <c r="L289" i="15"/>
  <c r="AP237" i="15"/>
  <c r="AT236" i="15"/>
  <c r="C464" i="17"/>
  <c r="D753" i="17"/>
  <c r="AO237" i="15"/>
  <c r="AO236" i="15"/>
  <c r="AO210" i="15"/>
  <c r="AO261" i="15"/>
  <c r="C1363" i="17"/>
  <c r="E1355" i="17"/>
  <c r="AN214" i="15"/>
  <c r="AN289" i="15"/>
  <c r="AT230" i="15"/>
  <c r="AR270" i="15"/>
  <c r="AO165" i="15"/>
  <c r="AK249" i="15"/>
  <c r="AK199" i="15"/>
  <c r="AU230" i="15"/>
  <c r="K636" i="17"/>
  <c r="K637" i="17"/>
  <c r="K638" i="17"/>
  <c r="D651" i="17"/>
  <c r="J637" i="17"/>
  <c r="J638" i="17"/>
  <c r="C651" i="17"/>
  <c r="C754" i="17"/>
  <c r="D754" i="17"/>
  <c r="D740" i="17"/>
  <c r="J729" i="17"/>
  <c r="K729" i="17"/>
  <c r="K730" i="17"/>
  <c r="K731" i="17"/>
  <c r="D744" i="17"/>
  <c r="AH290" i="15"/>
  <c r="AH213" i="15"/>
  <c r="Y240" i="15"/>
  <c r="Y64" i="15"/>
  <c r="Y68" i="15"/>
  <c r="Y190" i="15"/>
  <c r="AC41" i="15"/>
  <c r="AC89" i="15"/>
  <c r="AC284" i="15"/>
  <c r="AC298" i="15"/>
  <c r="AC244" i="15"/>
  <c r="AD273" i="15"/>
  <c r="AC194" i="15"/>
  <c r="D214" i="15"/>
  <c r="D289" i="15"/>
  <c r="M197" i="15"/>
  <c r="M247" i="15"/>
  <c r="M285" i="15"/>
  <c r="M299" i="15"/>
  <c r="M74" i="15"/>
  <c r="M90" i="15"/>
  <c r="O84" i="15"/>
  <c r="AD289" i="15"/>
  <c r="AU247" i="15"/>
  <c r="AU74" i="15"/>
  <c r="AU197" i="15"/>
  <c r="D475" i="17"/>
  <c r="D476" i="17"/>
  <c r="C476" i="17"/>
  <c r="H85" i="15"/>
  <c r="E231" i="15"/>
  <c r="E49" i="15"/>
  <c r="E183" i="15"/>
  <c r="E181" i="15"/>
  <c r="E48" i="15"/>
  <c r="E182" i="15"/>
  <c r="E51" i="15"/>
  <c r="E85" i="15"/>
  <c r="G214" i="15"/>
  <c r="G289" i="15"/>
  <c r="AI231" i="15"/>
  <c r="AI51" i="15"/>
  <c r="AI49" i="15"/>
  <c r="AI183" i="15"/>
  <c r="AI181" i="15"/>
  <c r="I51" i="15"/>
  <c r="I231" i="15"/>
  <c r="I183" i="15"/>
  <c r="AS236" i="15"/>
  <c r="AW236" i="15"/>
  <c r="AS237" i="15"/>
  <c r="AX214" i="15"/>
  <c r="AX289" i="15"/>
  <c r="Z288" i="15"/>
  <c r="Z302" i="15"/>
  <c r="Z304" i="15"/>
  <c r="Z154" i="15"/>
  <c r="Z173" i="15"/>
  <c r="Z158" i="15"/>
  <c r="Z213" i="15"/>
  <c r="Z210" i="15"/>
  <c r="Z261" i="15"/>
  <c r="Z267" i="15"/>
  <c r="F247" i="15"/>
  <c r="F285" i="15"/>
  <c r="F299" i="15"/>
  <c r="F74" i="15"/>
  <c r="F90" i="15"/>
  <c r="Y90" i="15"/>
  <c r="Y285" i="15"/>
  <c r="Y299" i="15"/>
  <c r="F197" i="15"/>
  <c r="K49" i="15"/>
  <c r="K183" i="15"/>
  <c r="AG273" i="15"/>
  <c r="AR214" i="15"/>
  <c r="AR289" i="15"/>
  <c r="AJ251" i="15"/>
  <c r="AJ201" i="15"/>
  <c r="AK72" i="15"/>
  <c r="AT289" i="15"/>
  <c r="I38" i="15"/>
  <c r="I23" i="15"/>
  <c r="I25" i="15"/>
  <c r="I88" i="15"/>
  <c r="I39" i="15"/>
  <c r="J1008" i="17"/>
  <c r="J1009" i="17"/>
  <c r="C1022" i="17"/>
  <c r="K1007" i="17"/>
  <c r="AF282" i="15"/>
  <c r="AF295" i="15"/>
  <c r="AF296" i="15"/>
  <c r="H93" i="15"/>
  <c r="AC95" i="15"/>
  <c r="H95" i="15" s="1"/>
  <c r="Z289" i="15"/>
  <c r="Z214" i="15"/>
  <c r="W38" i="15"/>
  <c r="W23" i="15"/>
  <c r="W25" i="15"/>
  <c r="W39" i="15"/>
  <c r="AL288" i="15"/>
  <c r="AL302" i="15"/>
  <c r="AL158" i="15"/>
  <c r="AL173" i="15"/>
  <c r="AL210" i="15"/>
  <c r="AL261" i="15"/>
  <c r="AL165" i="15"/>
  <c r="AL154" i="15"/>
  <c r="AQ303" i="15"/>
  <c r="AZ68" i="15"/>
  <c r="AZ193" i="15"/>
  <c r="AZ243" i="15"/>
  <c r="D232" i="15"/>
  <c r="AV89" i="15"/>
  <c r="AV284" i="15"/>
  <c r="AV298" i="15"/>
  <c r="AV41" i="15"/>
  <c r="AV194" i="15"/>
  <c r="AV244" i="15"/>
  <c r="AW65" i="15"/>
  <c r="AO200" i="15"/>
  <c r="AO250" i="15"/>
  <c r="G288" i="15"/>
  <c r="G302" i="15"/>
  <c r="G304" i="15"/>
  <c r="G158" i="15"/>
  <c r="G210" i="15"/>
  <c r="G261" i="15"/>
  <c r="G267" i="15"/>
  <c r="G154" i="15"/>
  <c r="G173" i="15"/>
  <c r="AM253" i="15"/>
  <c r="AM203" i="15"/>
  <c r="AW230" i="15"/>
  <c r="AS230" i="15"/>
  <c r="AE274" i="15"/>
  <c r="AE270" i="15"/>
  <c r="AF274" i="15"/>
  <c r="AE271" i="15"/>
  <c r="AF270" i="15"/>
  <c r="AE268" i="15"/>
  <c r="BD304" i="15"/>
  <c r="BJ39" i="15"/>
  <c r="BJ38" i="15"/>
  <c r="BJ23" i="15"/>
  <c r="BJ25" i="15"/>
  <c r="S173" i="15"/>
  <c r="S210" i="15"/>
  <c r="S261" i="15"/>
  <c r="S154" i="15"/>
  <c r="AX288" i="15"/>
  <c r="AX302" i="15"/>
  <c r="AX304" i="15"/>
  <c r="AX158" i="15"/>
  <c r="AX290" i="15"/>
  <c r="AX154" i="15"/>
  <c r="G285" i="15"/>
  <c r="G299" i="15"/>
  <c r="G247" i="15"/>
  <c r="G197" i="15"/>
  <c r="G74" i="15"/>
  <c r="G90" i="15"/>
  <c r="AS251" i="15"/>
  <c r="AS201" i="15"/>
  <c r="AU296" i="15"/>
  <c r="BJ49" i="15"/>
  <c r="BA199" i="15"/>
  <c r="AA68" i="15"/>
  <c r="AA243" i="15"/>
  <c r="AT173" i="15"/>
  <c r="AT210" i="15"/>
  <c r="AT261" i="15"/>
  <c r="AT165" i="15"/>
  <c r="AT288" i="15"/>
  <c r="AT302" i="15"/>
  <c r="AT304" i="15"/>
  <c r="AT158" i="15"/>
  <c r="AT154" i="15"/>
  <c r="C170" i="15"/>
  <c r="C219" i="15"/>
  <c r="D158" i="15"/>
  <c r="D210" i="15"/>
  <c r="D261" i="15"/>
  <c r="D173" i="15"/>
  <c r="D288" i="15"/>
  <c r="D302" i="15"/>
  <c r="D154" i="15"/>
  <c r="W294" i="15"/>
  <c r="W296" i="15"/>
  <c r="W282" i="15"/>
  <c r="K23" i="15"/>
  <c r="K25" i="15"/>
  <c r="K88" i="15"/>
  <c r="K38" i="15"/>
  <c r="K39" i="15"/>
  <c r="AJ47" i="15"/>
  <c r="C1033" i="17"/>
  <c r="D1032" i="17"/>
  <c r="O33" i="15"/>
  <c r="O45" i="15"/>
  <c r="F88" i="15"/>
  <c r="Y88" i="15"/>
  <c r="AD271" i="15"/>
  <c r="AV23" i="15"/>
  <c r="AV25" i="15"/>
  <c r="AV39" i="15"/>
  <c r="AV38" i="15"/>
  <c r="BA190" i="15"/>
  <c r="X39" i="15"/>
  <c r="X23" i="15"/>
  <c r="X25" i="15"/>
  <c r="X38" i="15"/>
  <c r="J451" i="17"/>
  <c r="J452" i="17"/>
  <c r="C465" i="17"/>
  <c r="K450" i="17"/>
  <c r="K451" i="17"/>
  <c r="K452" i="17"/>
  <c r="D465" i="17"/>
  <c r="I296" i="15"/>
  <c r="I270" i="15"/>
  <c r="I271" i="15"/>
  <c r="I303" i="15"/>
  <c r="H38" i="15"/>
  <c r="H23" i="15"/>
  <c r="H25" i="15"/>
  <c r="AE88" i="15" s="1"/>
  <c r="H88" i="15"/>
  <c r="H39" i="15"/>
  <c r="AF46" i="15"/>
  <c r="AG55" i="15"/>
  <c r="AG46" i="15"/>
  <c r="C137" i="17"/>
  <c r="D136" i="17"/>
  <c r="D137" i="17"/>
  <c r="Y195" i="15"/>
  <c r="Y245" i="15"/>
  <c r="K497" i="17"/>
  <c r="K498" i="17"/>
  <c r="K499" i="17"/>
  <c r="D512" i="17"/>
  <c r="J498" i="17"/>
  <c r="J499" i="17"/>
  <c r="C512" i="17"/>
  <c r="E507" i="17"/>
  <c r="T33" i="15"/>
  <c r="X84" i="15"/>
  <c r="T45" i="15"/>
  <c r="T21" i="15"/>
  <c r="AP173" i="15"/>
  <c r="AP158" i="15"/>
  <c r="AP210" i="15"/>
  <c r="AP261" i="15"/>
  <c r="AP267" i="15"/>
  <c r="AP288" i="15"/>
  <c r="AP302" i="15"/>
  <c r="AP304" i="15"/>
  <c r="AP165" i="15"/>
  <c r="AP154" i="15"/>
  <c r="AN201" i="15"/>
  <c r="AO72" i="15"/>
  <c r="AN251" i="15"/>
  <c r="E600" i="17"/>
  <c r="C602" i="17"/>
  <c r="C604" i="17"/>
  <c r="AP289" i="15"/>
  <c r="AP214" i="15"/>
  <c r="AQ282" i="15"/>
  <c r="C317" i="17"/>
  <c r="C319" i="17"/>
  <c r="E315" i="17"/>
  <c r="AJ173" i="15"/>
  <c r="AJ154" i="15"/>
  <c r="AJ158" i="15"/>
  <c r="AJ288" i="15"/>
  <c r="AJ302" i="15"/>
  <c r="AJ304" i="15"/>
  <c r="AJ210" i="15"/>
  <c r="AJ261" i="15"/>
  <c r="AJ267" i="15"/>
  <c r="AJ165" i="15"/>
  <c r="X64" i="15"/>
  <c r="X190" i="15"/>
  <c r="X240" i="15"/>
  <c r="T248" i="15"/>
  <c r="T198" i="15"/>
  <c r="AC61" i="15"/>
  <c r="AB240" i="15"/>
  <c r="AB190" i="15"/>
  <c r="AB64" i="15"/>
  <c r="AE47" i="15"/>
  <c r="AE42" i="15"/>
  <c r="AL214" i="15"/>
  <c r="AG191" i="15"/>
  <c r="AG241" i="15"/>
  <c r="AG64" i="15"/>
  <c r="T146" i="15"/>
  <c r="T153" i="15"/>
  <c r="T143" i="15"/>
  <c r="T154" i="15"/>
  <c r="T159" i="15"/>
  <c r="T287" i="15"/>
  <c r="T301" i="15"/>
  <c r="T303" i="15"/>
  <c r="T211" i="15"/>
  <c r="T262" i="15"/>
  <c r="BA211" i="15"/>
  <c r="BA262" i="15"/>
  <c r="AE214" i="15"/>
  <c r="AE289" i="15"/>
  <c r="S64" i="15"/>
  <c r="S240" i="15"/>
  <c r="S190" i="15"/>
  <c r="C295" i="15"/>
  <c r="C304" i="15"/>
  <c r="C282" i="15"/>
  <c r="AW213" i="15"/>
  <c r="AW290" i="15"/>
  <c r="K233" i="15"/>
  <c r="K232" i="15"/>
  <c r="AL256" i="15"/>
  <c r="AL78" i="15"/>
  <c r="AL206" i="15"/>
  <c r="AQ233" i="15"/>
  <c r="AI203" i="15"/>
  <c r="AI253" i="15"/>
  <c r="D1118" i="17"/>
  <c r="I95" i="15"/>
  <c r="AP74" i="15"/>
  <c r="AP247" i="15"/>
  <c r="AP197" i="15"/>
  <c r="AX303" i="15"/>
  <c r="AX296" i="15"/>
  <c r="R193" i="15"/>
  <c r="R243" i="15"/>
  <c r="R68" i="15"/>
  <c r="T72" i="15"/>
  <c r="S201" i="15"/>
  <c r="S251" i="15"/>
  <c r="F51" i="15"/>
  <c r="F49" i="15"/>
  <c r="F183" i="15"/>
  <c r="F231" i="15"/>
  <c r="F85" i="15"/>
  <c r="F181" i="15"/>
  <c r="Z85" i="15"/>
  <c r="F48" i="15"/>
  <c r="F182" i="15"/>
  <c r="AG198" i="15"/>
  <c r="AG248" i="15"/>
  <c r="AB213" i="15"/>
  <c r="AB290" i="15"/>
  <c r="M213" i="15"/>
  <c r="M290" i="15"/>
  <c r="AS61" i="15"/>
  <c r="AR64" i="15"/>
  <c r="AR240" i="15"/>
  <c r="AR190" i="15"/>
  <c r="AU304" i="15"/>
  <c r="AC201" i="15"/>
  <c r="AC251" i="15"/>
  <c r="Y289" i="15"/>
  <c r="Y214" i="15"/>
  <c r="BD271" i="15"/>
  <c r="R42" i="15"/>
  <c r="R47" i="15"/>
  <c r="W48" i="15"/>
  <c r="W182" i="15"/>
  <c r="V290" i="15"/>
  <c r="V213" i="15"/>
  <c r="AU213" i="15"/>
  <c r="AU290" i="15"/>
  <c r="BD290" i="15"/>
  <c r="AT197" i="15"/>
  <c r="AT247" i="15"/>
  <c r="AT74" i="15"/>
  <c r="O237" i="15"/>
  <c r="AQ289" i="15"/>
  <c r="AQ214" i="15"/>
  <c r="S42" i="15"/>
  <c r="BA46" i="15"/>
  <c r="O46" i="15"/>
  <c r="O47" i="15" s="1"/>
  <c r="O42" i="15"/>
  <c r="J1104" i="17"/>
  <c r="K1104" i="17"/>
  <c r="D1115" i="17"/>
  <c r="D1116" i="17"/>
  <c r="C1129" i="17"/>
  <c r="AS66" i="15"/>
  <c r="AS195" i="15"/>
  <c r="AR195" i="15"/>
  <c r="AR245" i="15"/>
  <c r="BD270" i="15"/>
  <c r="AQ68" i="15"/>
  <c r="AQ243" i="15"/>
  <c r="AQ193" i="15"/>
  <c r="AG173" i="15"/>
  <c r="AG288" i="15"/>
  <c r="AG302" i="15"/>
  <c r="AG304" i="15"/>
  <c r="AG154" i="15"/>
  <c r="AG165" i="15"/>
  <c r="AG210" i="15"/>
  <c r="AG261" i="15"/>
  <c r="AG267" i="15"/>
  <c r="AG158" i="15"/>
  <c r="AG290" i="15"/>
  <c r="AR303" i="15"/>
  <c r="AR237" i="15"/>
  <c r="D602" i="17"/>
  <c r="V197" i="15"/>
  <c r="V74" i="15"/>
  <c r="V247" i="15"/>
  <c r="K171" i="15"/>
  <c r="K220" i="15"/>
  <c r="K170" i="15"/>
  <c r="K219" i="15"/>
  <c r="BC49" i="15"/>
  <c r="BC183" i="15"/>
  <c r="BC51" i="15"/>
  <c r="BC181" i="15"/>
  <c r="BC231" i="15"/>
  <c r="Y154" i="15"/>
  <c r="Y173" i="15"/>
  <c r="Y210" i="15"/>
  <c r="Y261" i="15"/>
  <c r="Y267" i="15"/>
  <c r="Y158" i="15"/>
  <c r="Y288" i="15"/>
  <c r="Y302" i="15"/>
  <c r="Y304" i="15"/>
  <c r="BD233" i="15"/>
  <c r="Q231" i="15"/>
  <c r="Q233" i="15"/>
  <c r="Q51" i="15"/>
  <c r="Q181" i="15"/>
  <c r="Q49" i="15"/>
  <c r="Q183" i="15"/>
  <c r="U48" i="15"/>
  <c r="U182" i="15"/>
  <c r="AR268" i="15"/>
  <c r="AT296" i="15"/>
  <c r="T61" i="15"/>
  <c r="BF42" i="15"/>
  <c r="BF47" i="15"/>
  <c r="I213" i="15"/>
  <c r="I290" i="15"/>
  <c r="AC158" i="15"/>
  <c r="AC173" i="15"/>
  <c r="AC165" i="15"/>
  <c r="AC288" i="15"/>
  <c r="AC302" i="15"/>
  <c r="AC210" i="15"/>
  <c r="AC261" i="15"/>
  <c r="AC267" i="15"/>
  <c r="AC154" i="15"/>
  <c r="E290" i="15"/>
  <c r="E213" i="15"/>
  <c r="Q173" i="15"/>
  <c r="Q154" i="15"/>
  <c r="Q210" i="15"/>
  <c r="Q261" i="15"/>
  <c r="AR271" i="15"/>
  <c r="AJ167" i="15"/>
  <c r="AJ168" i="15"/>
  <c r="AR230" i="15"/>
  <c r="AV230" i="15"/>
  <c r="AY231" i="15"/>
  <c r="AY49" i="15"/>
  <c r="AY183" i="15"/>
  <c r="AW38" i="15"/>
  <c r="AW23" i="15"/>
  <c r="AW25" i="15"/>
  <c r="C214" i="15"/>
  <c r="C289" i="15"/>
  <c r="AR304" i="15"/>
  <c r="V48" i="15"/>
  <c r="V182" i="15"/>
  <c r="K285" i="15"/>
  <c r="K299" i="15"/>
  <c r="K90" i="15"/>
  <c r="K247" i="15"/>
  <c r="K74" i="15"/>
  <c r="K197" i="15"/>
  <c r="D126" i="17"/>
  <c r="D118" i="17"/>
  <c r="D121" i="17"/>
  <c r="AH233" i="15"/>
  <c r="X249" i="15"/>
  <c r="X199" i="15"/>
  <c r="K961" i="17"/>
  <c r="K962" i="17"/>
  <c r="D975" i="17"/>
  <c r="BA237" i="15"/>
  <c r="BA236" i="15"/>
  <c r="BC270" i="15"/>
  <c r="H210" i="15"/>
  <c r="H261" i="15"/>
  <c r="H267" i="15"/>
  <c r="H165" i="15"/>
  <c r="H154" i="15"/>
  <c r="H158" i="15"/>
  <c r="H288" i="15"/>
  <c r="H302" i="15"/>
  <c r="H304" i="15"/>
  <c r="H173" i="15"/>
  <c r="O271" i="15"/>
  <c r="O270" i="15"/>
  <c r="AV290" i="15"/>
  <c r="AV213" i="15"/>
  <c r="H289" i="15"/>
  <c r="H214" i="15"/>
  <c r="O202" i="15"/>
  <c r="O252" i="15"/>
  <c r="Y249" i="15"/>
  <c r="Y199" i="15"/>
  <c r="D997" i="17"/>
  <c r="BC296" i="15"/>
  <c r="D970" i="17"/>
  <c r="BA296" i="15"/>
  <c r="AW199" i="15"/>
  <c r="AW249" i="15"/>
  <c r="BB296" i="15"/>
  <c r="BB303" i="15"/>
  <c r="BB232" i="15"/>
  <c r="BB233" i="15"/>
  <c r="BB304" i="15"/>
  <c r="D173" i="17"/>
  <c r="D165" i="17"/>
  <c r="C290" i="15"/>
  <c r="C213" i="15"/>
  <c r="X49" i="15"/>
  <c r="X183" i="15"/>
  <c r="X231" i="15"/>
  <c r="X181" i="15"/>
  <c r="X51" i="15"/>
  <c r="E74" i="17"/>
  <c r="C76" i="17"/>
  <c r="E76" i="17"/>
  <c r="AO196" i="15"/>
  <c r="AO246" i="15"/>
  <c r="AF197" i="15"/>
  <c r="AF247" i="15"/>
  <c r="AF74" i="15"/>
  <c r="R210" i="15"/>
  <c r="R261" i="15"/>
  <c r="R173" i="15"/>
  <c r="R154" i="15"/>
  <c r="AM96" i="15"/>
  <c r="AL96" i="15"/>
  <c r="J95" i="15"/>
  <c r="AK96" i="15"/>
  <c r="AN96" i="15"/>
  <c r="C1413" i="17"/>
  <c r="E1405" i="17"/>
  <c r="J213" i="15"/>
  <c r="J290" i="15"/>
  <c r="BB236" i="15"/>
  <c r="BB237" i="15"/>
  <c r="E880" i="17"/>
  <c r="AO51" i="15"/>
  <c r="AO49" i="15"/>
  <c r="AO183" i="15"/>
  <c r="AP85" i="15"/>
  <c r="AO181" i="15"/>
  <c r="AQ85" i="15"/>
  <c r="AV193" i="15"/>
  <c r="AV243" i="15"/>
  <c r="AV68" i="15"/>
  <c r="AO214" i="15"/>
  <c r="AO289" i="15"/>
  <c r="D741" i="17"/>
  <c r="D317" i="17"/>
  <c r="AW64" i="15"/>
  <c r="AW190" i="15"/>
  <c r="AW240" i="15"/>
  <c r="AO173" i="15"/>
  <c r="AO158" i="15"/>
  <c r="AD257" i="15"/>
  <c r="AD207" i="15"/>
  <c r="AF273" i="15"/>
  <c r="AD206" i="15"/>
  <c r="AD256" i="15"/>
  <c r="O198" i="15"/>
  <c r="O248" i="15"/>
  <c r="AV49" i="15"/>
  <c r="AV183" i="15"/>
  <c r="AR51" i="15"/>
  <c r="AR49" i="15"/>
  <c r="AR183" i="15"/>
  <c r="AR181" i="15"/>
  <c r="AR85" i="15"/>
  <c r="AR231" i="15"/>
  <c r="AR232" i="15"/>
  <c r="AR48" i="15"/>
  <c r="AR182" i="15"/>
  <c r="AN193" i="15"/>
  <c r="AN243" i="15"/>
  <c r="AN68" i="15"/>
  <c r="BC247" i="15"/>
  <c r="BC197" i="15"/>
  <c r="BC74" i="15"/>
  <c r="AO190" i="15"/>
  <c r="AO240" i="15"/>
  <c r="AV51" i="15"/>
  <c r="BD247" i="15"/>
  <c r="BD74" i="15"/>
  <c r="W51" i="15"/>
  <c r="AH257" i="15"/>
  <c r="AA49" i="15"/>
  <c r="AA183" i="15"/>
  <c r="AA181" i="15"/>
  <c r="G171" i="15"/>
  <c r="G220" i="15"/>
  <c r="G170" i="15"/>
  <c r="G219" i="15"/>
  <c r="W49" i="15"/>
  <c r="W183" i="15"/>
  <c r="W231" i="15"/>
  <c r="AA231" i="15"/>
  <c r="AA233" i="15"/>
  <c r="AE77" i="15"/>
  <c r="AE253" i="15"/>
  <c r="AE203" i="15"/>
  <c r="AI77" i="15"/>
  <c r="J356" i="17"/>
  <c r="J357" i="17"/>
  <c r="C370" i="17"/>
  <c r="K355" i="17"/>
  <c r="K356" i="17"/>
  <c r="K357" i="17"/>
  <c r="D370" i="17"/>
  <c r="D381" i="17"/>
  <c r="C381" i="17"/>
  <c r="T47" i="15"/>
  <c r="J915" i="17"/>
  <c r="J916" i="17"/>
  <c r="C929" i="17"/>
  <c r="K914" i="17"/>
  <c r="K915" i="17"/>
  <c r="K916" i="17"/>
  <c r="D929" i="17"/>
  <c r="AV48" i="15"/>
  <c r="AV182" i="15"/>
  <c r="D939" i="17"/>
  <c r="I77" i="15"/>
  <c r="I253" i="15"/>
  <c r="I203" i="15"/>
  <c r="U77" i="15"/>
  <c r="U203" i="15"/>
  <c r="J253" i="15"/>
  <c r="J203" i="15"/>
  <c r="J77" i="15"/>
  <c r="AS198" i="15"/>
  <c r="AS248" i="15"/>
  <c r="AD88" i="15"/>
  <c r="J545" i="17"/>
  <c r="J546" i="17"/>
  <c r="C559" i="17"/>
  <c r="K544" i="17"/>
  <c r="K545" i="17"/>
  <c r="K546" i="17"/>
  <c r="D559" i="17"/>
  <c r="AC273" i="15"/>
  <c r="AW231" i="15"/>
  <c r="J170" i="15"/>
  <c r="J219" i="15"/>
  <c r="J171" i="15"/>
  <c r="J220" i="15"/>
  <c r="AE273" i="15"/>
  <c r="J730" i="17"/>
  <c r="J731" i="17"/>
  <c r="C744" i="17"/>
  <c r="E739" i="17"/>
  <c r="D203" i="15"/>
  <c r="D77" i="15"/>
  <c r="D253" i="15"/>
  <c r="L253" i="15"/>
  <c r="L203" i="15"/>
  <c r="F290" i="15"/>
  <c r="F213" i="15"/>
  <c r="E203" i="15"/>
  <c r="E253" i="15"/>
  <c r="E77" i="15"/>
  <c r="D569" i="17"/>
  <c r="D570" i="17"/>
  <c r="C570" i="17"/>
  <c r="D755" i="17"/>
  <c r="AT232" i="15"/>
  <c r="C755" i="17"/>
  <c r="T173" i="15"/>
  <c r="T288" i="15"/>
  <c r="T302" i="15"/>
  <c r="T304" i="15"/>
  <c r="T158" i="15"/>
  <c r="T210" i="15"/>
  <c r="T261" i="15"/>
  <c r="AJ290" i="15"/>
  <c r="AJ213" i="15"/>
  <c r="T85" i="15"/>
  <c r="E170" i="15"/>
  <c r="E219" i="15"/>
  <c r="E171" i="15"/>
  <c r="E220" i="15"/>
  <c r="AU203" i="15"/>
  <c r="AU77" i="15"/>
  <c r="AU253" i="15"/>
  <c r="Y243" i="15"/>
  <c r="Y193" i="15"/>
  <c r="T289" i="15"/>
  <c r="T214" i="15"/>
  <c r="T268" i="15"/>
  <c r="AO251" i="15"/>
  <c r="AO201" i="15"/>
  <c r="D290" i="15"/>
  <c r="D213" i="15"/>
  <c r="AE181" i="15"/>
  <c r="AE231" i="15"/>
  <c r="AE49" i="15"/>
  <c r="AE183" i="15"/>
  <c r="AE51" i="15"/>
  <c r="BJ48" i="15"/>
  <c r="AJ181" i="15"/>
  <c r="AN48" i="15"/>
  <c r="AN182" i="15"/>
  <c r="AJ231" i="15"/>
  <c r="AJ49" i="15"/>
  <c r="AJ183" i="15"/>
  <c r="AJ51" i="15"/>
  <c r="AK201" i="15"/>
  <c r="AK251" i="15"/>
  <c r="AB243" i="15"/>
  <c r="AB193" i="15"/>
  <c r="X193" i="15"/>
  <c r="X68" i="15"/>
  <c r="X243" i="15"/>
  <c r="AG42" i="15"/>
  <c r="AG47" i="15"/>
  <c r="AT290" i="15"/>
  <c r="AT213" i="15"/>
  <c r="J232" i="15"/>
  <c r="AD96" i="15"/>
  <c r="G290" i="15"/>
  <c r="G213" i="15"/>
  <c r="AL213" i="15"/>
  <c r="AL290" i="15"/>
  <c r="H171" i="15"/>
  <c r="H220" i="15"/>
  <c r="H170" i="15"/>
  <c r="H219" i="15"/>
  <c r="AG243" i="15"/>
  <c r="AG68" i="15"/>
  <c r="AG193" i="15"/>
  <c r="C610" i="17"/>
  <c r="E602" i="17"/>
  <c r="AF42" i="15"/>
  <c r="AF47" i="15"/>
  <c r="AF181" i="15"/>
  <c r="AA247" i="15"/>
  <c r="AA74" i="15"/>
  <c r="AA197" i="15"/>
  <c r="AI48" i="15"/>
  <c r="AI182" i="15"/>
  <c r="T38" i="15"/>
  <c r="T39" i="15"/>
  <c r="T23" i="15"/>
  <c r="T25" i="15"/>
  <c r="X88" i="15" s="1"/>
  <c r="AP213" i="15"/>
  <c r="AP290" i="15"/>
  <c r="G253" i="15"/>
  <c r="G77" i="15"/>
  <c r="G206" i="15"/>
  <c r="G203" i="15"/>
  <c r="AX213" i="15"/>
  <c r="AX89" i="15"/>
  <c r="AX284" i="15"/>
  <c r="AX298" i="15"/>
  <c r="AW41" i="15"/>
  <c r="AZ89" i="15"/>
  <c r="AZ284" i="15"/>
  <c r="AZ298" i="15"/>
  <c r="AW194" i="15"/>
  <c r="AW68" i="15"/>
  <c r="AW89" i="15"/>
  <c r="AY89" i="15"/>
  <c r="AY284" i="15"/>
  <c r="AY298" i="15"/>
  <c r="AW244" i="15"/>
  <c r="AW273" i="15" s="1"/>
  <c r="AZ247" i="15"/>
  <c r="AZ197" i="15"/>
  <c r="F77" i="15"/>
  <c r="F78" i="15"/>
  <c r="F203" i="15"/>
  <c r="F253" i="15"/>
  <c r="M203" i="15"/>
  <c r="M253" i="15"/>
  <c r="M77" i="15"/>
  <c r="M256" i="15"/>
  <c r="AC64" i="15"/>
  <c r="C325" i="17"/>
  <c r="E317" i="17"/>
  <c r="O199" i="15"/>
  <c r="O249" i="15"/>
  <c r="AI233" i="15"/>
  <c r="AQ197" i="15"/>
  <c r="AQ247" i="15"/>
  <c r="AQ74" i="15"/>
  <c r="C1130" i="17"/>
  <c r="D1129" i="17"/>
  <c r="D1130" i="17"/>
  <c r="R51" i="15"/>
  <c r="R49" i="15"/>
  <c r="R183" i="15"/>
  <c r="R181" i="15"/>
  <c r="R231" i="15"/>
  <c r="R233" i="15"/>
  <c r="T251" i="15"/>
  <c r="T201" i="15"/>
  <c r="K203" i="15"/>
  <c r="K77" i="15"/>
  <c r="K253" i="15"/>
  <c r="AG213" i="15"/>
  <c r="AL207" i="15"/>
  <c r="AL257" i="15"/>
  <c r="AM77" i="15"/>
  <c r="AC290" i="15"/>
  <c r="AC213" i="15"/>
  <c r="J1105" i="17"/>
  <c r="J1106" i="17"/>
  <c r="C1119" i="17"/>
  <c r="E1114" i="17"/>
  <c r="K1105" i="17"/>
  <c r="K1106" i="17"/>
  <c r="D1119" i="17"/>
  <c r="AR193" i="15"/>
  <c r="AR243" i="15"/>
  <c r="AR68" i="15"/>
  <c r="Z170" i="15"/>
  <c r="Z219" i="15"/>
  <c r="Z171" i="15"/>
  <c r="Z220" i="15"/>
  <c r="AT253" i="15"/>
  <c r="AT203" i="15"/>
  <c r="AT77" i="15"/>
  <c r="AT78" i="15"/>
  <c r="AS190" i="15"/>
  <c r="AS240" i="15"/>
  <c r="AP253" i="15"/>
  <c r="AP203" i="15"/>
  <c r="AP77" i="15"/>
  <c r="V232" i="15"/>
  <c r="Y290" i="15"/>
  <c r="Y213" i="15"/>
  <c r="V203" i="15"/>
  <c r="V77" i="15"/>
  <c r="V78" i="15"/>
  <c r="BF77" i="15"/>
  <c r="V253" i="15"/>
  <c r="AS245" i="15"/>
  <c r="Y85" i="15"/>
  <c r="F170" i="15"/>
  <c r="F219" i="15"/>
  <c r="F171" i="15"/>
  <c r="F220" i="15"/>
  <c r="C303" i="15"/>
  <c r="BF49" i="15"/>
  <c r="BF51" i="15"/>
  <c r="AA85" i="15"/>
  <c r="BC232" i="15"/>
  <c r="BC233" i="15"/>
  <c r="F233" i="15"/>
  <c r="G232" i="15"/>
  <c r="S243" i="15"/>
  <c r="S68" i="15"/>
  <c r="S193" i="15"/>
  <c r="BA42" i="15"/>
  <c r="R197" i="15"/>
  <c r="R74" i="15"/>
  <c r="R247" i="15"/>
  <c r="T64" i="15"/>
  <c r="T243" i="15"/>
  <c r="T240" i="15"/>
  <c r="T190" i="15"/>
  <c r="AL167" i="15"/>
  <c r="AL168" i="15"/>
  <c r="AM167" i="15"/>
  <c r="AF253" i="15"/>
  <c r="AF203" i="15"/>
  <c r="H213" i="15"/>
  <c r="H290" i="15"/>
  <c r="D123" i="17"/>
  <c r="D125" i="17"/>
  <c r="C84" i="17"/>
  <c r="W233" i="15"/>
  <c r="X233" i="15"/>
  <c r="J96" i="15"/>
  <c r="J167" i="15"/>
  <c r="AN167" i="15"/>
  <c r="AN168" i="15"/>
  <c r="D972" i="17"/>
  <c r="D974" i="17"/>
  <c r="AO213" i="15"/>
  <c r="AO290" i="15"/>
  <c r="W232" i="15"/>
  <c r="AV74" i="15"/>
  <c r="AV253" i="15"/>
  <c r="AW243" i="15"/>
  <c r="AW193" i="15"/>
  <c r="T231" i="15"/>
  <c r="T233" i="15"/>
  <c r="AN247" i="15"/>
  <c r="AN74" i="15"/>
  <c r="AN203" i="15"/>
  <c r="AN197" i="15"/>
  <c r="AR233" i="15"/>
  <c r="BC203" i="15"/>
  <c r="BC77" i="15"/>
  <c r="BC253" i="15"/>
  <c r="BD203" i="15"/>
  <c r="BD253" i="15"/>
  <c r="AA232" i="15"/>
  <c r="AE256" i="15"/>
  <c r="I256" i="15"/>
  <c r="I206" i="15"/>
  <c r="E256" i="15"/>
  <c r="E206" i="15"/>
  <c r="O181" i="15"/>
  <c r="L256" i="15"/>
  <c r="L206" i="15"/>
  <c r="J256" i="15"/>
  <c r="E78" i="15"/>
  <c r="E257" i="15"/>
  <c r="O51" i="15"/>
  <c r="D78" i="15"/>
  <c r="D207" i="15"/>
  <c r="L78" i="15"/>
  <c r="L79" i="15"/>
  <c r="G78" i="15"/>
  <c r="G257" i="15"/>
  <c r="G256" i="15"/>
  <c r="T171" i="15"/>
  <c r="T220" i="15"/>
  <c r="T170" i="15"/>
  <c r="T219" i="15"/>
  <c r="AW284" i="15"/>
  <c r="AW298" i="15"/>
  <c r="AF231" i="15"/>
  <c r="AF233" i="15"/>
  <c r="AF49" i="15"/>
  <c r="AF183" i="15"/>
  <c r="AF51" i="15"/>
  <c r="AU206" i="15"/>
  <c r="M206" i="15"/>
  <c r="F206" i="15"/>
  <c r="F256" i="15"/>
  <c r="AW197" i="15"/>
  <c r="AW247" i="15"/>
  <c r="AG197" i="15"/>
  <c r="AG74" i="15"/>
  <c r="AG253" i="15"/>
  <c r="AD167" i="15"/>
  <c r="AD168" i="15"/>
  <c r="AA253" i="15"/>
  <c r="AA203" i="15"/>
  <c r="X197" i="15"/>
  <c r="Y74" i="15"/>
  <c r="Y197" i="15"/>
  <c r="Y247" i="15"/>
  <c r="T290" i="15"/>
  <c r="AC193" i="15"/>
  <c r="AG49" i="15"/>
  <c r="AG183" i="15"/>
  <c r="AI85" i="15"/>
  <c r="AG51" i="15"/>
  <c r="AG231" i="15"/>
  <c r="AG181" i="15"/>
  <c r="AH85" i="15"/>
  <c r="AJ85" i="15"/>
  <c r="AT206" i="15"/>
  <c r="AT256" i="15"/>
  <c r="R77" i="15"/>
  <c r="T68" i="15"/>
  <c r="T193" i="15"/>
  <c r="S247" i="15"/>
  <c r="S74" i="15"/>
  <c r="S197" i="15"/>
  <c r="BF78" i="15"/>
  <c r="BG77" i="15"/>
  <c r="BG78" i="15"/>
  <c r="V207" i="15"/>
  <c r="V257" i="15"/>
  <c r="AR197" i="15"/>
  <c r="AR74" i="15"/>
  <c r="AR203" i="15"/>
  <c r="Y171" i="15"/>
  <c r="Y220" i="15"/>
  <c r="Y170" i="15"/>
  <c r="Y219" i="15"/>
  <c r="V256" i="15"/>
  <c r="V206" i="15"/>
  <c r="AM78" i="15"/>
  <c r="AM256" i="15"/>
  <c r="AM206" i="15"/>
  <c r="AQ253" i="15"/>
  <c r="AQ77" i="15"/>
  <c r="AQ206" i="15"/>
  <c r="AQ203" i="15"/>
  <c r="AP206" i="15"/>
  <c r="J168" i="15"/>
  <c r="AN253" i="15"/>
  <c r="BC78" i="15"/>
  <c r="BC257" i="15"/>
  <c r="BC206" i="15"/>
  <c r="BC256" i="15"/>
  <c r="L207" i="15"/>
  <c r="L257" i="15"/>
  <c r="AH171" i="15"/>
  <c r="AH220" i="15"/>
  <c r="AH170" i="15"/>
  <c r="AH219" i="15"/>
  <c r="AG233" i="15"/>
  <c r="F207" i="15"/>
  <c r="F257" i="15"/>
  <c r="AG203" i="15"/>
  <c r="AJ232" i="15"/>
  <c r="T274" i="15"/>
  <c r="G207" i="15"/>
  <c r="T273" i="15"/>
  <c r="T247" i="15"/>
  <c r="T197" i="15"/>
  <c r="AT257" i="15"/>
  <c r="AT207" i="15"/>
  <c r="AN77" i="15"/>
  <c r="AN206" i="15"/>
  <c r="BD77" i="15"/>
  <c r="BD256" i="15"/>
  <c r="BC207" i="15"/>
  <c r="BD78" i="15"/>
  <c r="BD207" i="15"/>
  <c r="BD257" i="15"/>
  <c r="L208" i="15"/>
  <c r="L259" i="15"/>
  <c r="L80" i="15"/>
  <c r="AS79" i="15"/>
  <c r="E460" i="17"/>
  <c r="C470" i="17"/>
  <c r="E462" i="17"/>
  <c r="AP88" i="15"/>
  <c r="AR88" i="15"/>
  <c r="AQ88" i="15"/>
  <c r="AI78" i="15"/>
  <c r="AI256" i="15"/>
  <c r="AI206" i="15"/>
  <c r="AN78" i="15"/>
  <c r="AR253" i="15"/>
  <c r="AW90" i="15"/>
  <c r="AW285" i="15"/>
  <c r="AW299" i="15"/>
  <c r="AU256" i="15"/>
  <c r="AU78" i="15"/>
  <c r="I78" i="15"/>
  <c r="X85" i="15"/>
  <c r="T181" i="15"/>
  <c r="T48" i="15"/>
  <c r="T182" i="15"/>
  <c r="T51" i="15"/>
  <c r="T49" i="15"/>
  <c r="T183" i="15"/>
  <c r="D828" i="17"/>
  <c r="D854" i="17"/>
  <c r="K821" i="17"/>
  <c r="D826" i="17"/>
  <c r="K822" i="17"/>
  <c r="D856" i="17"/>
  <c r="D825" i="17"/>
  <c r="D853" i="17"/>
  <c r="D857" i="17"/>
  <c r="D852" i="17"/>
  <c r="D846" i="17"/>
  <c r="D855" i="17"/>
  <c r="D831" i="17"/>
  <c r="D835" i="17"/>
  <c r="D819" i="17"/>
  <c r="D821" i="17"/>
  <c r="D847" i="17"/>
  <c r="D848" i="17" s="1"/>
  <c r="D823" i="17"/>
  <c r="D824" i="17"/>
  <c r="D829" i="17"/>
  <c r="D833" i="17"/>
  <c r="D818" i="17"/>
  <c r="D820" i="17"/>
  <c r="D830" i="17"/>
  <c r="D827" i="17"/>
  <c r="T267" i="15"/>
  <c r="T213" i="15"/>
  <c r="T74" i="15"/>
  <c r="AA170" i="15"/>
  <c r="AA219" i="15"/>
  <c r="AA171" i="15"/>
  <c r="AA220" i="15"/>
  <c r="J78" i="15"/>
  <c r="J206" i="15"/>
  <c r="AV197" i="15"/>
  <c r="AV247" i="15"/>
  <c r="AE282" i="15"/>
  <c r="AE295" i="15"/>
  <c r="C1124" i="17"/>
  <c r="E1116" i="17"/>
  <c r="BG47" i="15"/>
  <c r="BG42" i="15"/>
  <c r="Z74" i="15"/>
  <c r="Z90" i="15"/>
  <c r="Z285" i="15"/>
  <c r="Z299" i="15"/>
  <c r="AA90" i="15"/>
  <c r="AA285" i="15"/>
  <c r="AA299" i="15"/>
  <c r="Z197" i="15"/>
  <c r="AK146" i="15"/>
  <c r="AK143" i="15"/>
  <c r="AK164" i="15"/>
  <c r="AK159" i="15"/>
  <c r="AK287" i="15"/>
  <c r="AK301" i="15"/>
  <c r="AK303" i="15"/>
  <c r="AK211" i="15"/>
  <c r="AK262" i="15"/>
  <c r="AK268" i="15"/>
  <c r="AK35" i="15"/>
  <c r="AK153" i="15"/>
  <c r="AK167" i="15"/>
  <c r="Y202" i="15"/>
  <c r="Y252" i="15"/>
  <c r="AO95" i="15"/>
  <c r="K93" i="15"/>
  <c r="AI96" i="15"/>
  <c r="AG96" i="15"/>
  <c r="AF96" i="15"/>
  <c r="AH96" i="15"/>
  <c r="X290" i="15"/>
  <c r="X213" i="15"/>
  <c r="S253" i="15"/>
  <c r="S203" i="15"/>
  <c r="AN256" i="15"/>
  <c r="AC243" i="15"/>
  <c r="Z290" i="15"/>
  <c r="BD206" i="15"/>
  <c r="AQ78" i="15"/>
  <c r="AM257" i="15"/>
  <c r="AM207" i="15"/>
  <c r="AX273" i="15"/>
  <c r="Y253" i="15"/>
  <c r="Y203" i="15"/>
  <c r="AE232" i="15"/>
  <c r="AR247" i="15"/>
  <c r="M78" i="15"/>
  <c r="X247" i="15"/>
  <c r="X74" i="15"/>
  <c r="AC190" i="15"/>
  <c r="AC240" i="15"/>
  <c r="AZ42" i="15"/>
  <c r="AZ47" i="15"/>
  <c r="Z232" i="15"/>
  <c r="Z233" i="15"/>
  <c r="AD165" i="15"/>
  <c r="AD173" i="15"/>
  <c r="AD154" i="15"/>
  <c r="AD158" i="15"/>
  <c r="AD210" i="15"/>
  <c r="AD261" i="15"/>
  <c r="AD267" i="15"/>
  <c r="AD288" i="15"/>
  <c r="AD302" i="15"/>
  <c r="AD304" i="15"/>
  <c r="AO77" i="15"/>
  <c r="K206" i="15"/>
  <c r="R206" i="15"/>
  <c r="R256" i="15"/>
  <c r="R78" i="15"/>
  <c r="R203" i="15"/>
  <c r="D256" i="15"/>
  <c r="D206" i="15"/>
  <c r="AO38" i="15"/>
  <c r="AO39" i="15"/>
  <c r="AQ256" i="15"/>
  <c r="D257" i="15"/>
  <c r="AV203" i="15"/>
  <c r="K256" i="15"/>
  <c r="R253" i="15"/>
  <c r="AN232" i="15"/>
  <c r="AJ233" i="15"/>
  <c r="AW233" i="15"/>
  <c r="E509" i="17"/>
  <c r="C517" i="17"/>
  <c r="C189" i="15"/>
  <c r="C64" i="15"/>
  <c r="C239" i="15"/>
  <c r="C268" i="15"/>
  <c r="K78" i="15"/>
  <c r="AG247" i="15"/>
  <c r="AH90" i="15"/>
  <c r="AH285" i="15"/>
  <c r="AH299" i="15"/>
  <c r="AG90" i="15"/>
  <c r="AG285" i="15"/>
  <c r="AG299" i="15"/>
  <c r="AI90" i="15"/>
  <c r="AI285" i="15"/>
  <c r="AI299" i="15"/>
  <c r="E365" i="17"/>
  <c r="C375" i="17"/>
  <c r="E367" i="17"/>
  <c r="O49" i="15"/>
  <c r="O183" i="15"/>
  <c r="O85" i="15"/>
  <c r="O231" i="15"/>
  <c r="O233" i="15"/>
  <c r="Z247" i="15"/>
  <c r="F232" i="15"/>
  <c r="E233" i="15"/>
  <c r="E232" i="15"/>
  <c r="AI171" i="15"/>
  <c r="AI220" i="15"/>
  <c r="AI170" i="15"/>
  <c r="AI219" i="15"/>
  <c r="AH207" i="15"/>
  <c r="BJ77" i="15"/>
  <c r="BJ78" i="15"/>
  <c r="AW49" i="15"/>
  <c r="AW183" i="15"/>
  <c r="AY85" i="15"/>
  <c r="AW181" i="15"/>
  <c r="V90" i="15"/>
  <c r="V285" i="15"/>
  <c r="V299" i="15"/>
  <c r="AI232" i="15"/>
  <c r="U78" i="15"/>
  <c r="U207" i="15"/>
  <c r="U206" i="15"/>
  <c r="AC296" i="15"/>
  <c r="AC303" i="15"/>
  <c r="AC96" i="15"/>
  <c r="AE96" i="15"/>
  <c r="BB257" i="15"/>
  <c r="BB207" i="15"/>
  <c r="W68" i="15"/>
  <c r="W90" i="15"/>
  <c r="W285" i="15"/>
  <c r="W299" i="15"/>
  <c r="W243" i="15"/>
  <c r="W193" i="15"/>
  <c r="E207" i="15"/>
  <c r="AP78" i="15"/>
  <c r="AP256" i="15"/>
  <c r="AW51" i="15"/>
  <c r="AE206" i="15"/>
  <c r="AE78" i="15"/>
  <c r="AF88" i="15"/>
  <c r="AV231" i="15"/>
  <c r="AC214" i="15"/>
  <c r="AC289" i="15"/>
  <c r="D369" i="17"/>
  <c r="D367" i="17"/>
  <c r="C924" i="17"/>
  <c r="D911" i="17"/>
  <c r="AV251" i="15"/>
  <c r="AV201" i="15"/>
  <c r="AW72" i="15"/>
  <c r="O34" i="15"/>
  <c r="O21" i="15"/>
  <c r="AW74" i="15"/>
  <c r="AJ48" i="15"/>
  <c r="AJ182" i="15"/>
  <c r="AV181" i="15"/>
  <c r="I233" i="15"/>
  <c r="AO231" i="15"/>
  <c r="C267" i="15"/>
  <c r="AB46" i="15"/>
  <c r="AC55" i="15"/>
  <c r="AC46" i="15"/>
  <c r="AC42" i="15"/>
  <c r="E1213" i="17"/>
  <c r="E1211" i="17"/>
  <c r="BA159" i="15"/>
  <c r="BA143" i="15"/>
  <c r="BA146" i="15"/>
  <c r="BA35" i="15"/>
  <c r="BA287" i="15"/>
  <c r="BA301" i="15"/>
  <c r="BA303" i="15"/>
  <c r="BA164" i="15"/>
  <c r="BA153" i="15"/>
  <c r="AX173" i="15"/>
  <c r="AX210" i="15"/>
  <c r="AX261" i="15"/>
  <c r="AX267" i="15"/>
  <c r="AX165" i="15"/>
  <c r="AW270" i="15"/>
  <c r="AX270" i="15"/>
  <c r="AW271" i="15"/>
  <c r="AX271" i="15"/>
  <c r="AW274" i="15"/>
  <c r="AX274" i="15"/>
  <c r="N213" i="15"/>
  <c r="N290" i="15"/>
  <c r="BD294" i="15"/>
  <c r="BD296" i="15"/>
  <c r="BD282" i="15"/>
  <c r="AN154" i="15"/>
  <c r="AN288" i="15"/>
  <c r="AN302" i="15"/>
  <c r="AN158" i="15"/>
  <c r="AN173" i="15"/>
  <c r="AN210" i="15"/>
  <c r="AN261" i="15"/>
  <c r="AA51" i="15"/>
  <c r="AA48" i="15"/>
  <c r="AA182" i="15"/>
  <c r="AE48" i="15"/>
  <c r="AE182" i="15"/>
  <c r="AV296" i="15"/>
  <c r="AV304" i="15"/>
  <c r="D464" i="17"/>
  <c r="D462" i="17"/>
  <c r="AN246" i="15"/>
  <c r="AN196" i="15"/>
  <c r="AC304" i="15"/>
  <c r="H181" i="15"/>
  <c r="H231" i="15"/>
  <c r="I232" i="15"/>
  <c r="H49" i="15"/>
  <c r="H183" i="15"/>
  <c r="H48" i="15"/>
  <c r="H182" i="15"/>
  <c r="H51" i="15"/>
  <c r="AM146" i="15"/>
  <c r="I48" i="15"/>
  <c r="I182" i="15"/>
  <c r="J48" i="15"/>
  <c r="J182" i="15"/>
  <c r="BA240" i="15"/>
  <c r="O61" i="15"/>
  <c r="I304" i="15"/>
  <c r="I274" i="15"/>
  <c r="I268" i="15"/>
  <c r="AJ296" i="15"/>
  <c r="AJ303" i="15"/>
  <c r="C743" i="17"/>
  <c r="C741" i="17"/>
  <c r="AW95" i="15"/>
  <c r="M93" i="15"/>
  <c r="G273" i="15"/>
  <c r="G270" i="15"/>
  <c r="G274" i="15"/>
  <c r="G296" i="15"/>
  <c r="G271" i="15"/>
  <c r="C1065" i="17"/>
  <c r="D1056" i="17"/>
  <c r="D1011" i="17"/>
  <c r="C799" i="17"/>
  <c r="C785" i="17"/>
  <c r="D780" i="17"/>
  <c r="D785" i="17"/>
  <c r="D707" i="17"/>
  <c r="D679" i="17"/>
  <c r="D693" i="17"/>
  <c r="C693" i="17"/>
  <c r="D640" i="17"/>
  <c r="C646" i="17"/>
  <c r="S237" i="15"/>
  <c r="X236" i="15"/>
  <c r="J264" i="15"/>
  <c r="J265" i="15"/>
  <c r="J270" i="15"/>
  <c r="J271" i="15"/>
  <c r="J302" i="15"/>
  <c r="J304" i="15"/>
  <c r="AA265" i="15"/>
  <c r="AA271" i="15"/>
  <c r="AA264" i="15"/>
  <c r="AA270" i="15"/>
  <c r="AA300" i="15"/>
  <c r="AL239" i="15"/>
  <c r="AO267" i="15"/>
  <c r="AL254" i="15"/>
  <c r="AL244" i="15"/>
  <c r="AL250" i="15"/>
  <c r="AL242" i="15"/>
  <c r="AL241" i="15"/>
  <c r="AL251" i="15"/>
  <c r="AL235" i="15"/>
  <c r="AL243" i="15"/>
  <c r="AL252" i="15"/>
  <c r="AL249" i="15"/>
  <c r="AL255" i="15"/>
  <c r="AL248" i="15"/>
  <c r="AL245" i="15"/>
  <c r="AL246" i="15"/>
  <c r="AO295" i="15"/>
  <c r="AO304" i="15" s="1"/>
  <c r="AL240" i="15"/>
  <c r="AL229" i="15"/>
  <c r="AM295" i="15"/>
  <c r="AO294" i="15"/>
  <c r="AN295" i="15"/>
  <c r="AN304" i="15" s="1"/>
  <c r="AN298" i="15"/>
  <c r="AL295" i="15"/>
  <c r="AL304" i="15" s="1"/>
  <c r="C554" i="17"/>
  <c r="D548" i="17"/>
  <c r="K280" i="15"/>
  <c r="K108" i="15"/>
  <c r="T294" i="15"/>
  <c r="T296" i="15"/>
  <c r="T282" i="15"/>
  <c r="AE255" i="15"/>
  <c r="AE205" i="15"/>
  <c r="AF76" i="15"/>
  <c r="AI34" i="15"/>
  <c r="AH34" i="15"/>
  <c r="AJ34" i="15"/>
  <c r="AG21" i="15"/>
  <c r="AG34" i="15"/>
  <c r="AC21" i="15"/>
  <c r="AC45" i="15"/>
  <c r="AC47" i="15"/>
  <c r="AC84" i="15"/>
  <c r="AC33" i="15"/>
  <c r="Y32" i="15"/>
  <c r="Y16" i="15"/>
  <c r="AU11" i="15"/>
  <c r="AU16" i="15"/>
  <c r="AL33" i="15"/>
  <c r="AL45" i="15"/>
  <c r="AL47" i="15"/>
  <c r="AO85" i="15"/>
  <c r="AL21" i="15"/>
  <c r="AO84" i="15"/>
  <c r="S11" i="15"/>
  <c r="S16" i="15"/>
  <c r="BA75" i="15"/>
  <c r="AZ204" i="15"/>
  <c r="AZ254" i="15"/>
  <c r="K254" i="17"/>
  <c r="K256" i="17"/>
  <c r="K257" i="17"/>
  <c r="D270" i="17"/>
  <c r="D263" i="17"/>
  <c r="D266" i="17"/>
  <c r="D286" i="17"/>
  <c r="D287" i="17"/>
  <c r="D288" i="17"/>
  <c r="D259" i="17"/>
  <c r="D289" i="17"/>
  <c r="D290" i="17"/>
  <c r="D252" i="17"/>
  <c r="D253" i="17"/>
  <c r="D260" i="17"/>
  <c r="D268" i="17"/>
  <c r="D262" i="17"/>
  <c r="D257" i="17"/>
  <c r="D256" i="17"/>
  <c r="D251" i="17"/>
  <c r="D285" i="17"/>
  <c r="AZ144" i="15"/>
  <c r="C369" i="17"/>
  <c r="D188" i="17"/>
  <c r="D158" i="17"/>
  <c r="D191" i="17"/>
  <c r="D167" i="17"/>
  <c r="D164" i="17"/>
  <c r="K156" i="17"/>
  <c r="D163" i="17"/>
  <c r="D189" i="17"/>
  <c r="D153" i="17"/>
  <c r="D166" i="17"/>
  <c r="D162" i="17"/>
  <c r="D182" i="17"/>
  <c r="D156" i="17"/>
  <c r="D190" i="17"/>
  <c r="D160" i="17"/>
  <c r="L84" i="15"/>
  <c r="L21" i="15"/>
  <c r="L45" i="15"/>
  <c r="L47" i="15"/>
  <c r="L33" i="15"/>
  <c r="D646" i="17"/>
  <c r="AE158" i="15"/>
  <c r="AE165" i="15"/>
  <c r="BC211" i="15"/>
  <c r="BC262" i="15"/>
  <c r="BC268" i="15"/>
  <c r="BC287" i="15"/>
  <c r="BC301" i="15"/>
  <c r="BC303" i="15"/>
  <c r="BC35" i="15"/>
  <c r="BC159" i="15"/>
  <c r="BC146" i="15"/>
  <c r="AA287" i="15"/>
  <c r="AA301" i="15"/>
  <c r="AA303" i="15"/>
  <c r="AA143" i="15"/>
  <c r="AA146" i="15"/>
  <c r="AA159" i="15"/>
  <c r="AA35" i="15"/>
  <c r="AA153" i="15"/>
  <c r="AA211" i="15"/>
  <c r="AA262" i="15"/>
  <c r="AA268" i="15"/>
  <c r="AY51" i="15"/>
  <c r="BC48" i="15"/>
  <c r="BC182" i="15"/>
  <c r="C523" i="17"/>
  <c r="J111" i="17"/>
  <c r="J112" i="17"/>
  <c r="I181" i="15"/>
  <c r="D192" i="17"/>
  <c r="BC143" i="15"/>
  <c r="D1215" i="17"/>
  <c r="D1213" i="17"/>
  <c r="AL247" i="15"/>
  <c r="E210" i="15"/>
  <c r="E261" i="15"/>
  <c r="E267" i="15"/>
  <c r="E288" i="15"/>
  <c r="E302" i="15"/>
  <c r="E304" i="15"/>
  <c r="E154" i="15"/>
  <c r="AD42" i="15"/>
  <c r="AD47" i="15"/>
  <c r="AG252" i="15"/>
  <c r="AO303" i="15"/>
  <c r="BC153" i="15"/>
  <c r="BA246" i="15"/>
  <c r="O67" i="15"/>
  <c r="AR165" i="15"/>
  <c r="AR173" i="15"/>
  <c r="AR210" i="15"/>
  <c r="AR261" i="15"/>
  <c r="AR267" i="15"/>
  <c r="AR158" i="15"/>
  <c r="AR154" i="15"/>
  <c r="BC271" i="15"/>
  <c r="BD268" i="15"/>
  <c r="I85" i="15"/>
  <c r="D554" i="17"/>
  <c r="AN268" i="15"/>
  <c r="AU164" i="15"/>
  <c r="D1065" i="17"/>
  <c r="D1311" i="17"/>
  <c r="E1306" i="17"/>
  <c r="C168" i="17"/>
  <c r="D155" i="17"/>
  <c r="C970" i="17"/>
  <c r="BH45" i="15"/>
  <c r="BH47" i="15"/>
  <c r="BH21" i="15"/>
  <c r="BH33" i="15"/>
  <c r="R39" i="15"/>
  <c r="R23" i="15"/>
  <c r="R25" i="15"/>
  <c r="V181" i="15"/>
  <c r="AP84" i="15"/>
  <c r="AR84" i="15"/>
  <c r="M295" i="15"/>
  <c r="M282" i="15"/>
  <c r="AX268" i="15"/>
  <c r="K154" i="15"/>
  <c r="K158" i="15"/>
  <c r="K173" i="15"/>
  <c r="K288" i="15"/>
  <c r="K302" i="15"/>
  <c r="K304" i="15"/>
  <c r="K210" i="15"/>
  <c r="K261" i="15"/>
  <c r="K267" i="15"/>
  <c r="K165" i="15"/>
  <c r="AY251" i="15"/>
  <c r="AY201" i="15"/>
  <c r="AY74" i="15"/>
  <c r="AZ72" i="15"/>
  <c r="D280" i="17"/>
  <c r="AQ211" i="15"/>
  <c r="AQ262" i="15"/>
  <c r="AQ268" i="15"/>
  <c r="AQ143" i="15"/>
  <c r="BF23" i="15"/>
  <c r="BF25" i="15"/>
  <c r="BF39" i="15"/>
  <c r="Z193" i="15"/>
  <c r="Z243" i="15"/>
  <c r="AQ252" i="15"/>
  <c r="AQ255" i="15"/>
  <c r="AQ242" i="15"/>
  <c r="AQ251" i="15"/>
  <c r="AQ298" i="15"/>
  <c r="AQ250" i="15"/>
  <c r="AQ241" i="15"/>
  <c r="AQ248" i="15"/>
  <c r="AQ235" i="15"/>
  <c r="AQ249" i="15"/>
  <c r="D74" i="17"/>
  <c r="D1353" i="17"/>
  <c r="N282" i="15"/>
  <c r="N294" i="15"/>
  <c r="N296" i="15"/>
  <c r="BA34" i="15"/>
  <c r="AC286" i="15"/>
  <c r="AC300" i="15"/>
  <c r="E39" i="15"/>
  <c r="E38" i="15"/>
  <c r="J300" i="15"/>
  <c r="AX39" i="15"/>
  <c r="AX23" i="15"/>
  <c r="AX25" i="15"/>
  <c r="AX38" i="15"/>
  <c r="AM143" i="15"/>
  <c r="AM164" i="15"/>
  <c r="AY235" i="15"/>
  <c r="AY255" i="15"/>
  <c r="AY252" i="15"/>
  <c r="AY250" i="15"/>
  <c r="AY239" i="15"/>
  <c r="AY249" i="15"/>
  <c r="AY229" i="15"/>
  <c r="AY246" i="15"/>
  <c r="AY254" i="15"/>
  <c r="AY240" i="15"/>
  <c r="AZ295" i="15"/>
  <c r="AZ296" i="15"/>
  <c r="AY242" i="15"/>
  <c r="V265" i="15"/>
  <c r="V271" i="15"/>
  <c r="V300" i="15"/>
  <c r="AP286" i="15"/>
  <c r="AP300" i="15"/>
  <c r="AF286" i="15"/>
  <c r="AF300" i="15"/>
  <c r="H286" i="15"/>
  <c r="H300" i="15"/>
  <c r="H34" i="15"/>
  <c r="C1163" i="17"/>
  <c r="AF144" i="15"/>
  <c r="C938" i="17"/>
  <c r="D919" i="17"/>
  <c r="AI204" i="15"/>
  <c r="AI254" i="15"/>
  <c r="AJ75" i="15"/>
  <c r="C201" i="15"/>
  <c r="C251" i="15"/>
  <c r="AN199" i="15"/>
  <c r="AO70" i="15"/>
  <c r="AA195" i="15"/>
  <c r="AB66" i="15"/>
  <c r="AA245" i="15"/>
  <c r="H190" i="15"/>
  <c r="H64" i="15"/>
  <c r="H240" i="15"/>
  <c r="AS30" i="15"/>
  <c r="AS16" i="15"/>
  <c r="D406" i="17"/>
  <c r="C435" i="17"/>
  <c r="D404" i="17"/>
  <c r="D402" i="17"/>
  <c r="C437" i="17"/>
  <c r="D416" i="17"/>
  <c r="D414" i="17"/>
  <c r="C434" i="17"/>
  <c r="D399" i="17"/>
  <c r="D428" i="17"/>
  <c r="D429" i="17"/>
  <c r="C436" i="17"/>
  <c r="C433" i="17"/>
  <c r="D407" i="17"/>
  <c r="D405" i="17"/>
  <c r="D408" i="17"/>
  <c r="D409" i="17"/>
  <c r="AY144" i="15"/>
  <c r="D254" i="17"/>
  <c r="AK161" i="15"/>
  <c r="AK216" i="15"/>
  <c r="AK162" i="15"/>
  <c r="AK217" i="15"/>
  <c r="BA189" i="15"/>
  <c r="AN192" i="15"/>
  <c r="AO63" i="15"/>
  <c r="AT237" i="15"/>
  <c r="AX230" i="15"/>
  <c r="AH161" i="15"/>
  <c r="AH216" i="15"/>
  <c r="AH159" i="15"/>
  <c r="AH281" i="15"/>
  <c r="AM298" i="15"/>
  <c r="AX243" i="15"/>
  <c r="AX68" i="15"/>
  <c r="AX193" i="15"/>
  <c r="N146" i="15"/>
  <c r="N211" i="15"/>
  <c r="N262" i="15"/>
  <c r="N268" i="15"/>
  <c r="BK49" i="15"/>
  <c r="BK51" i="15"/>
  <c r="V264" i="15"/>
  <c r="V270" i="15"/>
  <c r="AY248" i="15"/>
  <c r="BA11" i="15"/>
  <c r="BA16" i="15"/>
  <c r="AF34" i="15"/>
  <c r="AM231" i="15"/>
  <c r="AM51" i="15"/>
  <c r="AY241" i="15"/>
  <c r="AY244" i="15"/>
  <c r="D1009" i="17"/>
  <c r="G264" i="15"/>
  <c r="G265" i="15"/>
  <c r="AD286" i="15"/>
  <c r="AD300" i="15"/>
  <c r="AB205" i="15"/>
  <c r="AC76" i="15"/>
  <c r="O99" i="15"/>
  <c r="O59" i="15"/>
  <c r="O279" i="15"/>
  <c r="O176" i="15"/>
  <c r="O293" i="15"/>
  <c r="O226" i="15"/>
  <c r="O156" i="15"/>
  <c r="BI78" i="15"/>
  <c r="D1031" i="17"/>
  <c r="D1033" i="17"/>
  <c r="D1004" i="17"/>
  <c r="D1039" i="17"/>
  <c r="D1041" i="17"/>
  <c r="D1003" i="17"/>
  <c r="D1010" i="17"/>
  <c r="D1013" i="17"/>
  <c r="K1006" i="17"/>
  <c r="K1008" i="17"/>
  <c r="K1009" i="17"/>
  <c r="D1022" i="17"/>
  <c r="AL294" i="15"/>
  <c r="AI240" i="15"/>
  <c r="AJ61" i="15"/>
  <c r="AD237" i="15"/>
  <c r="D401" i="17"/>
  <c r="D75" i="17"/>
  <c r="J63" i="17"/>
  <c r="C89" i="17"/>
  <c r="D8" i="17"/>
  <c r="K264" i="15"/>
  <c r="K300" i="15"/>
  <c r="D1159" i="17"/>
  <c r="AF265" i="15"/>
  <c r="AF271" i="15"/>
  <c r="I255" i="15"/>
  <c r="I235" i="15"/>
  <c r="D162" i="15"/>
  <c r="D217" i="15"/>
  <c r="D281" i="15"/>
  <c r="D161" i="15"/>
  <c r="D216" i="15"/>
  <c r="AS86" i="15"/>
  <c r="AS185" i="15"/>
  <c r="AS53" i="15"/>
  <c r="AS186" i="15"/>
  <c r="AW53" i="15"/>
  <c r="AW186" i="15"/>
  <c r="AS60" i="15"/>
  <c r="AX93" i="15"/>
  <c r="AX95" i="15"/>
  <c r="AZ96" i="15"/>
  <c r="AX189" i="15"/>
  <c r="O111" i="15"/>
  <c r="O83" i="15"/>
  <c r="D1015" i="17"/>
  <c r="AM294" i="15"/>
  <c r="X35" i="15"/>
  <c r="X146" i="15"/>
  <c r="X153" i="15"/>
  <c r="AK36" i="15"/>
  <c r="AK37" i="15"/>
  <c r="AN83" i="15"/>
  <c r="AK179" i="15"/>
  <c r="AK229" i="15"/>
  <c r="AO230" i="15"/>
  <c r="AK54" i="15"/>
  <c r="AK187" i="15"/>
  <c r="AK32" i="15"/>
  <c r="AK10" i="15"/>
  <c r="D412" i="17"/>
  <c r="D279" i="17"/>
  <c r="D281" i="17"/>
  <c r="N84" i="15"/>
  <c r="N21" i="15"/>
  <c r="N33" i="15"/>
  <c r="N45" i="15"/>
  <c r="N47" i="15"/>
  <c r="D716" i="17"/>
  <c r="D714" i="17"/>
  <c r="D718" i="17"/>
  <c r="D719" i="17" s="1"/>
  <c r="C250" i="15"/>
  <c r="C245" i="15"/>
  <c r="C297" i="15"/>
  <c r="C255" i="15"/>
  <c r="C252" i="15"/>
  <c r="C244" i="15"/>
  <c r="C294" i="15"/>
  <c r="C296" i="15"/>
  <c r="C248" i="15"/>
  <c r="C241" i="15"/>
  <c r="D1016" i="17"/>
  <c r="AI144" i="15"/>
  <c r="C190" i="15"/>
  <c r="C240" i="15"/>
  <c r="O30" i="15"/>
  <c r="AL89" i="15"/>
  <c r="AL284" i="15"/>
  <c r="AL298" i="15"/>
  <c r="AK89" i="15"/>
  <c r="AK284" i="15"/>
  <c r="AK298" i="15"/>
  <c r="D400" i="17"/>
  <c r="F271" i="15"/>
  <c r="F270" i="15"/>
  <c r="AK196" i="15"/>
  <c r="AK246" i="15"/>
  <c r="C264" i="15"/>
  <c r="C265" i="15"/>
  <c r="AE245" i="15"/>
  <c r="AE229" i="15"/>
  <c r="AE230" i="15"/>
  <c r="AE246" i="15"/>
  <c r="AE241" i="15"/>
  <c r="AE254" i="15"/>
  <c r="AE235" i="15"/>
  <c r="AE248" i="15"/>
  <c r="AJ63" i="15"/>
  <c r="AI242" i="15"/>
  <c r="D258" i="17"/>
  <c r="CT54" i="15"/>
  <c r="D21" i="17"/>
  <c r="D19" i="17"/>
  <c r="D28" i="17"/>
  <c r="C37" i="17"/>
  <c r="D22" i="17"/>
  <c r="O137" i="15"/>
  <c r="O144" i="15"/>
  <c r="AC264" i="15"/>
  <c r="AC270" i="15"/>
  <c r="AM250" i="15"/>
  <c r="I7" i="17"/>
  <c r="D44" i="17"/>
  <c r="D15" i="17"/>
  <c r="I8" i="17"/>
  <c r="I9" i="17" s="1"/>
  <c r="I10" i="17" s="1"/>
  <c r="D45" i="17"/>
  <c r="D11" i="17"/>
  <c r="D47" i="17"/>
  <c r="D14" i="17"/>
  <c r="D48" i="17"/>
  <c r="D13" i="17"/>
  <c r="D46" i="17"/>
  <c r="D9" i="17"/>
  <c r="D24" i="17"/>
  <c r="D261" i="17"/>
  <c r="D43" i="17"/>
  <c r="D49" i="17"/>
  <c r="D26" i="17"/>
  <c r="C1165" i="17"/>
  <c r="C1167" i="17"/>
  <c r="N38" i="15"/>
  <c r="N39" i="15"/>
  <c r="N23" i="15"/>
  <c r="N25" i="15"/>
  <c r="N88" i="15"/>
  <c r="C787" i="17"/>
  <c r="C789" i="17"/>
  <c r="E785" i="17"/>
  <c r="AF77" i="15"/>
  <c r="AF78" i="15"/>
  <c r="AE257" i="15"/>
  <c r="AE207" i="15"/>
  <c r="AO206" i="15"/>
  <c r="AO256" i="15"/>
  <c r="I170" i="15"/>
  <c r="I219" i="15"/>
  <c r="I171" i="15"/>
  <c r="I220" i="15"/>
  <c r="M257" i="15"/>
  <c r="M79" i="15"/>
  <c r="M207" i="15"/>
  <c r="D832" i="17"/>
  <c r="O143" i="15"/>
  <c r="O164" i="15"/>
  <c r="O287" i="15"/>
  <c r="O301" i="15"/>
  <c r="O303" i="15"/>
  <c r="O146" i="15"/>
  <c r="O211" i="15"/>
  <c r="O262" i="15"/>
  <c r="O268" i="15"/>
  <c r="O159" i="15"/>
  <c r="O35" i="15"/>
  <c r="O153" i="15"/>
  <c r="AK61" i="15"/>
  <c r="AJ240" i="15"/>
  <c r="AJ190" i="15"/>
  <c r="AJ64" i="15"/>
  <c r="D1044" i="17"/>
  <c r="BA33" i="15"/>
  <c r="BD84" i="15"/>
  <c r="BC84" i="15"/>
  <c r="BA45" i="15"/>
  <c r="BA47" i="15"/>
  <c r="BA21" i="15"/>
  <c r="BA84" i="15"/>
  <c r="BB84" i="15"/>
  <c r="C438" i="17"/>
  <c r="D438" i="17"/>
  <c r="D439" i="17"/>
  <c r="AK75" i="15"/>
  <c r="AJ204" i="15"/>
  <c r="AJ254" i="15"/>
  <c r="AA289" i="15"/>
  <c r="AA214" i="15"/>
  <c r="L38" i="15"/>
  <c r="L39" i="15"/>
  <c r="L23" i="15"/>
  <c r="L25" i="15"/>
  <c r="L88" i="15"/>
  <c r="D168" i="17"/>
  <c r="D193" i="17"/>
  <c r="D291" i="17"/>
  <c r="K282" i="15"/>
  <c r="K294" i="15"/>
  <c r="K296" i="15"/>
  <c r="AM303" i="15"/>
  <c r="AM296" i="15"/>
  <c r="C1017" i="17"/>
  <c r="BA214" i="15"/>
  <c r="BA289" i="15"/>
  <c r="AZ49" i="15"/>
  <c r="AZ183" i="15"/>
  <c r="AZ181" i="15"/>
  <c r="AZ48" i="15"/>
  <c r="AZ182" i="15"/>
  <c r="AZ231" i="15"/>
  <c r="AZ51" i="15"/>
  <c r="BD48" i="15"/>
  <c r="BD182" i="15"/>
  <c r="AZ85" i="15"/>
  <c r="AQ257" i="15"/>
  <c r="AR77" i="15"/>
  <c r="AQ207" i="15"/>
  <c r="X90" i="15"/>
  <c r="X285" i="15"/>
  <c r="X299" i="15"/>
  <c r="AN257" i="15"/>
  <c r="AN207" i="15"/>
  <c r="AI146" i="15"/>
  <c r="AI211" i="15"/>
  <c r="AI262" i="15"/>
  <c r="AI268" i="15"/>
  <c r="AI159" i="15"/>
  <c r="AI164" i="15"/>
  <c r="AI287" i="15"/>
  <c r="AI301" i="15"/>
  <c r="AI303" i="15"/>
  <c r="AI153" i="15"/>
  <c r="AI35" i="15"/>
  <c r="AI143" i="15"/>
  <c r="AI167" i="15"/>
  <c r="D1017" i="17"/>
  <c r="AY274" i="15"/>
  <c r="AY271" i="15"/>
  <c r="AY270" i="15"/>
  <c r="AZ270" i="15"/>
  <c r="AZ271" i="15"/>
  <c r="AZ274" i="15"/>
  <c r="BA271" i="15"/>
  <c r="BA270" i="15"/>
  <c r="BB270" i="15"/>
  <c r="AY273" i="15"/>
  <c r="BB267" i="15"/>
  <c r="BB271" i="15"/>
  <c r="BB268" i="15"/>
  <c r="AZ273" i="15"/>
  <c r="AG167" i="15"/>
  <c r="AG168" i="15"/>
  <c r="I96" i="15"/>
  <c r="AE296" i="15"/>
  <c r="AE304" i="15"/>
  <c r="AE303" i="15"/>
  <c r="AN108" i="15"/>
  <c r="AN280" i="15"/>
  <c r="D215" i="17"/>
  <c r="D216" i="17"/>
  <c r="C216" i="17"/>
  <c r="Y21" i="15"/>
  <c r="Y33" i="15"/>
  <c r="Y45" i="15"/>
  <c r="Y47" i="15"/>
  <c r="AO233" i="15"/>
  <c r="C193" i="15"/>
  <c r="C68" i="15"/>
  <c r="C243" i="15"/>
  <c r="AI273" i="15"/>
  <c r="AI274" i="15"/>
  <c r="AJ192" i="15"/>
  <c r="AK63" i="15"/>
  <c r="AJ242" i="15"/>
  <c r="AJ274" i="15"/>
  <c r="AJ87" i="15"/>
  <c r="D295" i="15"/>
  <c r="D282" i="15"/>
  <c r="D23" i="17"/>
  <c r="AX247" i="15"/>
  <c r="AX197" i="15"/>
  <c r="AX74" i="15"/>
  <c r="AZ90" i="15"/>
  <c r="AZ285" i="15"/>
  <c r="AZ299" i="15"/>
  <c r="AX90" i="15"/>
  <c r="AX285" i="15"/>
  <c r="AX299" i="15"/>
  <c r="AY90" i="15"/>
  <c r="AY285" i="15"/>
  <c r="AY299" i="15"/>
  <c r="O196" i="15"/>
  <c r="O246" i="15"/>
  <c r="AL23" i="15"/>
  <c r="AL25" i="15"/>
  <c r="AL38" i="15"/>
  <c r="AL39" i="15"/>
  <c r="AL230" i="15"/>
  <c r="AP230" i="15"/>
  <c r="C695" i="17"/>
  <c r="C697" i="17"/>
  <c r="AW201" i="15"/>
  <c r="AW251" i="15"/>
  <c r="AR96" i="15"/>
  <c r="AQ96" i="15"/>
  <c r="AQ167" i="15"/>
  <c r="AP96" i="15"/>
  <c r="K95" i="15"/>
  <c r="AO96" i="15"/>
  <c r="AK214" i="15"/>
  <c r="AK289" i="15"/>
  <c r="Z203" i="15"/>
  <c r="Z253" i="15"/>
  <c r="Z77" i="15"/>
  <c r="T203" i="15"/>
  <c r="T253" i="15"/>
  <c r="X170" i="15"/>
  <c r="X219" i="15"/>
  <c r="X171" i="15"/>
  <c r="X220" i="15"/>
  <c r="AZ201" i="15"/>
  <c r="BA72" i="15"/>
  <c r="AZ251" i="15"/>
  <c r="AZ74" i="15"/>
  <c r="AH48" i="15"/>
  <c r="AH182" i="15"/>
  <c r="AD51" i="15"/>
  <c r="AD49" i="15"/>
  <c r="AD183" i="15"/>
  <c r="AD181" i="15"/>
  <c r="AD48" i="15"/>
  <c r="AD182" i="15"/>
  <c r="AE85" i="15"/>
  <c r="AD231" i="15"/>
  <c r="AD85" i="15"/>
  <c r="AS162" i="15"/>
  <c r="AS217" i="15"/>
  <c r="AS281" i="15"/>
  <c r="AS161" i="15"/>
  <c r="AS216" i="15"/>
  <c r="AS159" i="15"/>
  <c r="AS158" i="15"/>
  <c r="C170" i="17"/>
  <c r="C172" i="17"/>
  <c r="E168" i="17"/>
  <c r="L231" i="15"/>
  <c r="M48" i="15"/>
  <c r="M182" i="15"/>
  <c r="L49" i="15"/>
  <c r="L183" i="15"/>
  <c r="L181" i="15"/>
  <c r="L51" i="15"/>
  <c r="L85" i="15"/>
  <c r="L48" i="15"/>
  <c r="L182" i="15"/>
  <c r="D799" i="17"/>
  <c r="D801" i="17"/>
  <c r="C801" i="17"/>
  <c r="BA268" i="15"/>
  <c r="C39" i="17"/>
  <c r="D37" i="17"/>
  <c r="D39" i="17"/>
  <c r="AK11" i="15"/>
  <c r="AK16" i="15"/>
  <c r="C23" i="17"/>
  <c r="D1157" i="17"/>
  <c r="AY35" i="15"/>
  <c r="AY159" i="15"/>
  <c r="AY146" i="15"/>
  <c r="AY164" i="15"/>
  <c r="AY211" i="15"/>
  <c r="AY262" i="15"/>
  <c r="AY268" i="15"/>
  <c r="AY153" i="15"/>
  <c r="AY143" i="15"/>
  <c r="AY287" i="15"/>
  <c r="AY301" i="15"/>
  <c r="AY303" i="15"/>
  <c r="AB195" i="15"/>
  <c r="AB245" i="15"/>
  <c r="AC66" i="15"/>
  <c r="AB68" i="15"/>
  <c r="J1153" i="17"/>
  <c r="D1164" i="17"/>
  <c r="C1178" i="17"/>
  <c r="AY237" i="15"/>
  <c r="AY236" i="15"/>
  <c r="BC236" i="15"/>
  <c r="D1357" i="17"/>
  <c r="D1355" i="17"/>
  <c r="AA88" i="15"/>
  <c r="AB88" i="15"/>
  <c r="M270" i="15"/>
  <c r="M303" i="15"/>
  <c r="M271" i="15"/>
  <c r="M296" i="15"/>
  <c r="M273" i="15"/>
  <c r="M274" i="15"/>
  <c r="M268" i="15"/>
  <c r="D1069" i="17"/>
  <c r="D1067" i="17"/>
  <c r="AG76" i="15"/>
  <c r="AF255" i="15"/>
  <c r="AF205" i="15"/>
  <c r="C558" i="17"/>
  <c r="E554" i="17"/>
  <c r="C556" i="17"/>
  <c r="D697" i="17"/>
  <c r="M95" i="15"/>
  <c r="AW96" i="15"/>
  <c r="AX96" i="15"/>
  <c r="AY96" i="15"/>
  <c r="AY167" i="15" s="1"/>
  <c r="AP257" i="15"/>
  <c r="AP207" i="15"/>
  <c r="AY170" i="15"/>
  <c r="AY219" i="15"/>
  <c r="AY171" i="15"/>
  <c r="AY220" i="15"/>
  <c r="K257" i="15"/>
  <c r="K79" i="15"/>
  <c r="K207" i="15"/>
  <c r="R257" i="15"/>
  <c r="R207" i="15"/>
  <c r="S77" i="15"/>
  <c r="AD290" i="15"/>
  <c r="AD213" i="15"/>
  <c r="K823" i="17"/>
  <c r="K824" i="17"/>
  <c r="D837" i="17"/>
  <c r="I207" i="15"/>
  <c r="I257" i="15"/>
  <c r="AY88" i="15"/>
  <c r="AZ88" i="15"/>
  <c r="BC173" i="15"/>
  <c r="BC288" i="15"/>
  <c r="BC302" i="15"/>
  <c r="BC304" i="15"/>
  <c r="BC154" i="15"/>
  <c r="BC165" i="15"/>
  <c r="BC158" i="15"/>
  <c r="BC210" i="15"/>
  <c r="BC261" i="15"/>
  <c r="BC267" i="15"/>
  <c r="AW253" i="15"/>
  <c r="AW203" i="15"/>
  <c r="O280" i="15"/>
  <c r="O108" i="15"/>
  <c r="H68" i="15"/>
  <c r="H193" i="15"/>
  <c r="H243" i="15"/>
  <c r="C648" i="17"/>
  <c r="C650" i="17"/>
  <c r="E646" i="17"/>
  <c r="BA173" i="15"/>
  <c r="BA165" i="15"/>
  <c r="BA288" i="15"/>
  <c r="BA302" i="15"/>
  <c r="BA304" i="15"/>
  <c r="BA154" i="15"/>
  <c r="BA158" i="15"/>
  <c r="BA210" i="15"/>
  <c r="BA261" i="15"/>
  <c r="BA267" i="15"/>
  <c r="O39" i="15"/>
  <c r="O38" i="15"/>
  <c r="O23" i="15"/>
  <c r="O25" i="15"/>
  <c r="O88" i="15"/>
  <c r="AE237" i="15"/>
  <c r="AE236" i="15"/>
  <c r="AI236" i="15"/>
  <c r="AS189" i="15"/>
  <c r="AS93" i="15"/>
  <c r="AS239" i="15"/>
  <c r="AS64" i="15"/>
  <c r="I236" i="15"/>
  <c r="J236" i="15"/>
  <c r="I237" i="15"/>
  <c r="D89" i="17"/>
  <c r="D90" i="17"/>
  <c r="C90" i="17"/>
  <c r="AC255" i="15"/>
  <c r="AC205" i="15"/>
  <c r="AO192" i="15"/>
  <c r="AO87" i="15"/>
  <c r="AO171" i="15" s="1"/>
  <c r="AO220" i="15" s="1"/>
  <c r="AO283" i="15"/>
  <c r="AO297" i="15"/>
  <c r="AQ87" i="15"/>
  <c r="AR87" i="15"/>
  <c r="AP87" i="15"/>
  <c r="AO242" i="15"/>
  <c r="AO64" i="15"/>
  <c r="C265" i="17"/>
  <c r="D264" i="17"/>
  <c r="D265" i="17"/>
  <c r="D413" i="17"/>
  <c r="D1307" i="17"/>
  <c r="D1308" i="17"/>
  <c r="C1308" i="17"/>
  <c r="C1321" i="17"/>
  <c r="D78" i="17"/>
  <c r="D76" i="17"/>
  <c r="AQ158" i="15"/>
  <c r="AQ173" i="15"/>
  <c r="AQ165" i="15"/>
  <c r="AQ154" i="15"/>
  <c r="AQ210" i="15"/>
  <c r="AQ261" i="15"/>
  <c r="AQ267" i="15"/>
  <c r="AQ288" i="15"/>
  <c r="AQ302" i="15"/>
  <c r="AQ304" i="15"/>
  <c r="AQ168" i="15"/>
  <c r="AI230" i="15"/>
  <c r="BH38" i="15"/>
  <c r="BH23" i="15"/>
  <c r="BH25" i="15"/>
  <c r="BH39" i="15"/>
  <c r="AR213" i="15"/>
  <c r="AR290" i="15"/>
  <c r="AA173" i="15"/>
  <c r="AA154" i="15"/>
  <c r="AA210" i="15"/>
  <c r="AA261" i="15"/>
  <c r="AA267" i="15"/>
  <c r="AA288" i="15"/>
  <c r="AA302" i="15"/>
  <c r="AA304" i="15"/>
  <c r="AA158" i="15"/>
  <c r="AE213" i="15"/>
  <c r="AE290" i="15"/>
  <c r="AL49" i="15"/>
  <c r="AL183" i="15"/>
  <c r="AL51" i="15"/>
  <c r="AL181" i="15"/>
  <c r="AL48" i="15"/>
  <c r="AL182" i="15"/>
  <c r="AL231" i="15"/>
  <c r="AP48" i="15"/>
  <c r="AP182" i="15"/>
  <c r="AC48" i="15"/>
  <c r="AC182" i="15"/>
  <c r="AC181" i="15"/>
  <c r="AC49" i="15"/>
  <c r="AC183" i="15"/>
  <c r="AC51" i="15"/>
  <c r="AC231" i="15"/>
  <c r="AG48" i="15"/>
  <c r="AG182" i="15"/>
  <c r="AL296" i="15"/>
  <c r="AL303" i="15"/>
  <c r="AO296" i="15"/>
  <c r="C1067" i="17"/>
  <c r="C1069" i="17"/>
  <c r="E1065" i="17"/>
  <c r="AG85" i="15"/>
  <c r="AV233" i="15"/>
  <c r="AV232" i="15"/>
  <c r="AK154" i="15"/>
  <c r="AK173" i="15"/>
  <c r="AK288" i="15"/>
  <c r="AK302" i="15"/>
  <c r="AK304" i="15"/>
  <c r="AK168" i="15"/>
  <c r="AK210" i="15"/>
  <c r="AK261" i="15"/>
  <c r="AK267" i="15"/>
  <c r="AK158" i="15"/>
  <c r="AK165" i="15"/>
  <c r="BG51" i="15"/>
  <c r="BG49" i="15"/>
  <c r="D858" i="17"/>
  <c r="AI257" i="15"/>
  <c r="AI207" i="15"/>
  <c r="AS208" i="15"/>
  <c r="AS259" i="15"/>
  <c r="AS80" i="15"/>
  <c r="AT79" i="15"/>
  <c r="AM233" i="15"/>
  <c r="AQ232" i="15"/>
  <c r="AM232" i="15"/>
  <c r="D1162" i="17"/>
  <c r="K213" i="15"/>
  <c r="K290" i="15"/>
  <c r="AZ211" i="15"/>
  <c r="AZ262" i="15"/>
  <c r="AZ268" i="15"/>
  <c r="AZ287" i="15"/>
  <c r="AZ301" i="15"/>
  <c r="AZ303" i="15"/>
  <c r="AZ159" i="15"/>
  <c r="AZ35" i="15"/>
  <c r="AZ153" i="15"/>
  <c r="AZ164" i="15"/>
  <c r="AZ143" i="15"/>
  <c r="AZ146" i="15"/>
  <c r="AZ167" i="15"/>
  <c r="N85" i="15"/>
  <c r="N51" i="15"/>
  <c r="N49" i="15"/>
  <c r="N183" i="15"/>
  <c r="N181" i="15"/>
  <c r="N231" i="15"/>
  <c r="N48" i="15"/>
  <c r="N182" i="15"/>
  <c r="K63" i="17"/>
  <c r="K64" i="17"/>
  <c r="K65" i="17"/>
  <c r="J64" i="17"/>
  <c r="J65" i="17"/>
  <c r="AH295" i="15"/>
  <c r="AH282" i="15"/>
  <c r="AS33" i="15"/>
  <c r="AT84" i="15"/>
  <c r="AS21" i="15"/>
  <c r="AS45" i="15"/>
  <c r="AS47" i="15"/>
  <c r="AS84" i="15"/>
  <c r="AO199" i="15"/>
  <c r="AO249" i="15"/>
  <c r="D938" i="17"/>
  <c r="D940" i="17"/>
  <c r="C940" i="17"/>
  <c r="C708" i="17"/>
  <c r="J683" i="17"/>
  <c r="D694" i="17"/>
  <c r="D695" i="17" s="1"/>
  <c r="BC230" i="15"/>
  <c r="AY230" i="15"/>
  <c r="AY233" i="15"/>
  <c r="AM165" i="15"/>
  <c r="AM210" i="15"/>
  <c r="AM261" i="15"/>
  <c r="AM267" i="15"/>
  <c r="AM173" i="15"/>
  <c r="AM154" i="15"/>
  <c r="AM288" i="15"/>
  <c r="AM302" i="15"/>
  <c r="AM304" i="15"/>
  <c r="AM158" i="15"/>
  <c r="AM168" i="15"/>
  <c r="BH51" i="15"/>
  <c r="BH49" i="15"/>
  <c r="D650" i="17"/>
  <c r="D648" i="17"/>
  <c r="O75" i="15"/>
  <c r="BA254" i="15"/>
  <c r="BA204" i="15"/>
  <c r="AC38" i="15"/>
  <c r="AC23" i="15"/>
  <c r="AC25" i="15"/>
  <c r="AC88" i="15"/>
  <c r="AC39" i="15"/>
  <c r="AL270" i="15"/>
  <c r="AM271" i="15"/>
  <c r="AM268" i="15"/>
  <c r="AO274" i="15"/>
  <c r="AN270" i="15"/>
  <c r="AO271" i="15"/>
  <c r="AO273" i="15"/>
  <c r="AO270" i="15"/>
  <c r="AM270" i="15"/>
  <c r="AL271" i="15"/>
  <c r="AN271" i="15"/>
  <c r="AL268" i="15"/>
  <c r="AL267" i="15"/>
  <c r="C749" i="17"/>
  <c r="E741" i="17"/>
  <c r="O190" i="15"/>
  <c r="O240" i="15"/>
  <c r="AN267" i="15"/>
  <c r="D924" i="17"/>
  <c r="AE167" i="15"/>
  <c r="AE168" i="15"/>
  <c r="AH167" i="15"/>
  <c r="AH168" i="15"/>
  <c r="AV77" i="15"/>
  <c r="AU207" i="15"/>
  <c r="AU257" i="15"/>
  <c r="C274" i="15"/>
  <c r="C273" i="15"/>
  <c r="D1151" i="17"/>
  <c r="D1183" i="17"/>
  <c r="D1158" i="17"/>
  <c r="D1188" i="17"/>
  <c r="D1187" i="17"/>
  <c r="D1186" i="17"/>
  <c r="D1166" i="17"/>
  <c r="D1189" i="17"/>
  <c r="K1152" i="17"/>
  <c r="D1150" i="17"/>
  <c r="D1185" i="17"/>
  <c r="D1149" i="17"/>
  <c r="D1155" i="17"/>
  <c r="D1154" i="17"/>
  <c r="D1156" i="17"/>
  <c r="D1184" i="17"/>
  <c r="D1191" i="17" s="1"/>
  <c r="D1161" i="17"/>
  <c r="BC214" i="15"/>
  <c r="BC289" i="15"/>
  <c r="AG39" i="15"/>
  <c r="AG38" i="15"/>
  <c r="AG23" i="15"/>
  <c r="AG25" i="15"/>
  <c r="AN213" i="15"/>
  <c r="AN290" i="15"/>
  <c r="W247" i="15"/>
  <c r="W74" i="15"/>
  <c r="W197" i="15"/>
  <c r="AY253" i="15"/>
  <c r="AY77" i="15"/>
  <c r="AY203" i="15"/>
  <c r="AY78" i="15"/>
  <c r="AK237" i="15"/>
  <c r="AK230" i="15"/>
  <c r="D1260" i="17"/>
  <c r="D1261" i="17"/>
  <c r="C1274" i="17"/>
  <c r="C1261" i="17"/>
  <c r="K1249" i="17"/>
  <c r="K1250" i="17"/>
  <c r="K1252" i="17"/>
  <c r="AH214" i="15"/>
  <c r="AH289" i="15"/>
  <c r="AF211" i="15"/>
  <c r="AF262" i="15"/>
  <c r="AF268" i="15"/>
  <c r="AF164" i="15"/>
  <c r="AF146" i="15"/>
  <c r="AF35" i="15"/>
  <c r="AF143" i="15"/>
  <c r="AF287" i="15"/>
  <c r="AF301" i="15"/>
  <c r="AF303" i="15"/>
  <c r="AF159" i="15"/>
  <c r="AF167" i="15"/>
  <c r="AF153" i="15"/>
  <c r="J157" i="17"/>
  <c r="C183" i="17"/>
  <c r="D169" i="17"/>
  <c r="AQ236" i="15"/>
  <c r="AQ237" i="15"/>
  <c r="AU236" i="15"/>
  <c r="C974" i="17"/>
  <c r="C972" i="17"/>
  <c r="E970" i="17"/>
  <c r="D556" i="17"/>
  <c r="D558" i="17"/>
  <c r="S45" i="15"/>
  <c r="S47" i="15"/>
  <c r="S21" i="15"/>
  <c r="S33" i="15"/>
  <c r="W84" i="15"/>
  <c r="V84" i="15"/>
  <c r="AU45" i="15"/>
  <c r="AU47" i="15"/>
  <c r="AU33" i="15"/>
  <c r="AU21" i="15"/>
  <c r="AV84" i="15"/>
  <c r="AX84" i="15"/>
  <c r="AW84" i="15"/>
  <c r="AU84" i="15"/>
  <c r="AN303" i="15"/>
  <c r="AL236" i="15"/>
  <c r="AL237" i="15"/>
  <c r="AP236" i="15"/>
  <c r="D787" i="17"/>
  <c r="D789" i="17"/>
  <c r="H233" i="15"/>
  <c r="H232" i="15"/>
  <c r="AO268" i="15"/>
  <c r="AB42" i="15"/>
  <c r="AB47" i="15"/>
  <c r="AC85" i="15"/>
  <c r="C928" i="17"/>
  <c r="C926" i="17"/>
  <c r="E924" i="17"/>
  <c r="H96" i="15"/>
  <c r="AC167" i="15"/>
  <c r="AC168" i="15"/>
  <c r="AE233" i="15"/>
  <c r="X203" i="15"/>
  <c r="X253" i="15"/>
  <c r="J257" i="15"/>
  <c r="J207" i="15"/>
  <c r="AC170" i="15"/>
  <c r="AC219" i="15"/>
  <c r="AC171" i="15"/>
  <c r="AC220" i="15"/>
  <c r="D269" i="17"/>
  <c r="D267" i="17"/>
  <c r="AF207" i="15"/>
  <c r="AF257" i="15"/>
  <c r="AP283" i="15"/>
  <c r="AP297" i="15"/>
  <c r="AP171" i="15"/>
  <c r="AP220" i="15"/>
  <c r="AP170" i="15"/>
  <c r="AP219" i="15"/>
  <c r="C656" i="17"/>
  <c r="E648" i="17"/>
  <c r="C1179" i="17"/>
  <c r="D1178" i="17"/>
  <c r="D1179" i="17"/>
  <c r="D273" i="15"/>
  <c r="D270" i="15"/>
  <c r="D296" i="15"/>
  <c r="D274" i="15"/>
  <c r="D271" i="15"/>
  <c r="D267" i="15"/>
  <c r="D304" i="15"/>
  <c r="D303" i="15"/>
  <c r="D268" i="15"/>
  <c r="Y181" i="15"/>
  <c r="Y49" i="15"/>
  <c r="Y183" i="15"/>
  <c r="Y48" i="15"/>
  <c r="Y182" i="15"/>
  <c r="Y51" i="15"/>
  <c r="Y231" i="15"/>
  <c r="Y232" i="15"/>
  <c r="C1021" i="17"/>
  <c r="C1019" i="17"/>
  <c r="E1017" i="17"/>
  <c r="AK254" i="15"/>
  <c r="AK204" i="15"/>
  <c r="D834" i="17"/>
  <c r="D836" i="17"/>
  <c r="S23" i="15"/>
  <c r="S25" i="15"/>
  <c r="S39" i="15"/>
  <c r="S38" i="15"/>
  <c r="AM213" i="15"/>
  <c r="AM290" i="15"/>
  <c r="AK213" i="15"/>
  <c r="AK290" i="15"/>
  <c r="E1308" i="17"/>
  <c r="C1316" i="17"/>
  <c r="AR283" i="15"/>
  <c r="AR297" i="15"/>
  <c r="AR170" i="15"/>
  <c r="AR219" i="15"/>
  <c r="AR171" i="15"/>
  <c r="AR220" i="15"/>
  <c r="S206" i="15"/>
  <c r="T77" i="15"/>
  <c r="S256" i="15"/>
  <c r="S78" i="15"/>
  <c r="C564" i="17"/>
  <c r="E556" i="17"/>
  <c r="AY173" i="15"/>
  <c r="AY154" i="15"/>
  <c r="AY168" i="15"/>
  <c r="AY288" i="15"/>
  <c r="AY302" i="15"/>
  <c r="AY304" i="15"/>
  <c r="AY165" i="15"/>
  <c r="AY158" i="15"/>
  <c r="AY210" i="15"/>
  <c r="AY261" i="15"/>
  <c r="AY267" i="15"/>
  <c r="E23" i="17"/>
  <c r="C27" i="17"/>
  <c r="C25" i="17"/>
  <c r="L232" i="15"/>
  <c r="L233" i="15"/>
  <c r="M232" i="15"/>
  <c r="AS295" i="15"/>
  <c r="AS282" i="15"/>
  <c r="AJ283" i="15"/>
  <c r="AJ297" i="15"/>
  <c r="AJ171" i="15"/>
  <c r="AJ220" i="15"/>
  <c r="AJ170" i="15"/>
  <c r="AJ219" i="15"/>
  <c r="AJ273" i="15"/>
  <c r="AI158" i="15"/>
  <c r="AI210" i="15"/>
  <c r="AI261" i="15"/>
  <c r="AI267" i="15"/>
  <c r="AI154" i="15"/>
  <c r="AI165" i="15"/>
  <c r="AI173" i="15"/>
  <c r="AI168" i="15"/>
  <c r="AI288" i="15"/>
  <c r="AI302" i="15"/>
  <c r="AI304" i="15"/>
  <c r="C439" i="17"/>
  <c r="C934" i="17"/>
  <c r="E926" i="17"/>
  <c r="W203" i="15"/>
  <c r="W77" i="15"/>
  <c r="W78" i="15"/>
  <c r="W253" i="15"/>
  <c r="O214" i="15"/>
  <c r="O289" i="15"/>
  <c r="AU39" i="15"/>
  <c r="AU23" i="15"/>
  <c r="AU25" i="15"/>
  <c r="AU38" i="15"/>
  <c r="O204" i="15"/>
  <c r="O254" i="15"/>
  <c r="K683" i="17"/>
  <c r="K684" i="17"/>
  <c r="K685" i="17"/>
  <c r="D698" i="17"/>
  <c r="J684" i="17"/>
  <c r="J685" i="17"/>
  <c r="C698" i="17"/>
  <c r="E693" i="17"/>
  <c r="AS23" i="15"/>
  <c r="AS25" i="15"/>
  <c r="AS39" i="15"/>
  <c r="AS38" i="15"/>
  <c r="N233" i="15"/>
  <c r="N232" i="15"/>
  <c r="C1075" i="17"/>
  <c r="E1067" i="17"/>
  <c r="D415" i="17"/>
  <c r="D417" i="17"/>
  <c r="BC213" i="15"/>
  <c r="BC290" i="15"/>
  <c r="AB74" i="15"/>
  <c r="AB197" i="15"/>
  <c r="AB247" i="15"/>
  <c r="AB90" i="15"/>
  <c r="AB285" i="15"/>
  <c r="AB299" i="15"/>
  <c r="AD170" i="15"/>
  <c r="AD219" i="15"/>
  <c r="AD171" i="15"/>
  <c r="AD220" i="15"/>
  <c r="AZ203" i="15"/>
  <c r="AZ253" i="15"/>
  <c r="AX77" i="15"/>
  <c r="AX78" i="15" s="1"/>
  <c r="AX203" i="15"/>
  <c r="AX253" i="15"/>
  <c r="AM87" i="15"/>
  <c r="AM283" i="15"/>
  <c r="AM297" i="15"/>
  <c r="AL87" i="15"/>
  <c r="AL283" i="15"/>
  <c r="AL297" i="15"/>
  <c r="AK87" i="15"/>
  <c r="AK283" i="15"/>
  <c r="AK297" i="15"/>
  <c r="AK192" i="15"/>
  <c r="AN87" i="15"/>
  <c r="AN283" i="15"/>
  <c r="AN297" i="15"/>
  <c r="AK242" i="15"/>
  <c r="AL273" i="15" s="1"/>
  <c r="C220" i="17"/>
  <c r="E216" i="17"/>
  <c r="C218" i="17"/>
  <c r="AJ193" i="15"/>
  <c r="AJ68" i="15"/>
  <c r="AJ243" i="15"/>
  <c r="AO170" i="15"/>
  <c r="AO219" i="15"/>
  <c r="C1322" i="17"/>
  <c r="D1321" i="17"/>
  <c r="D1322" i="17"/>
  <c r="AC232" i="15"/>
  <c r="AC233" i="15"/>
  <c r="AG232" i="15"/>
  <c r="AQ283" i="15"/>
  <c r="AQ297" i="15"/>
  <c r="AQ171" i="15"/>
  <c r="AQ220" i="15"/>
  <c r="AQ170" i="15"/>
  <c r="AQ219" i="15"/>
  <c r="AK274" i="15"/>
  <c r="AF154" i="15"/>
  <c r="AF165" i="15"/>
  <c r="AF210" i="15"/>
  <c r="AF261" i="15"/>
  <c r="AF267" i="15"/>
  <c r="AF158" i="15"/>
  <c r="AF168" i="15"/>
  <c r="AF173" i="15"/>
  <c r="AF288" i="15"/>
  <c r="AF302" i="15"/>
  <c r="AF304" i="15"/>
  <c r="AG88" i="15"/>
  <c r="AH88" i="15"/>
  <c r="AI88" i="15"/>
  <c r="AJ88" i="15"/>
  <c r="D926" i="17"/>
  <c r="D928" i="17"/>
  <c r="AL274" i="15"/>
  <c r="D708" i="17"/>
  <c r="D709" i="17"/>
  <c r="C709" i="17"/>
  <c r="AL233" i="15"/>
  <c r="AL232" i="15"/>
  <c r="AP232" i="15"/>
  <c r="AA213" i="15"/>
  <c r="AA290" i="15"/>
  <c r="AS193" i="15"/>
  <c r="AS243" i="15"/>
  <c r="AS68" i="15"/>
  <c r="H247" i="15"/>
  <c r="H74" i="15"/>
  <c r="AD90" i="15"/>
  <c r="AD285" i="15"/>
  <c r="AD299" i="15"/>
  <c r="H197" i="15"/>
  <c r="H90" i="15"/>
  <c r="H285" i="15"/>
  <c r="H299" i="15"/>
  <c r="AF90" i="15"/>
  <c r="AF285" i="15"/>
  <c r="AF299" i="15"/>
  <c r="AE90" i="15"/>
  <c r="AE285" i="15"/>
  <c r="AE299" i="15"/>
  <c r="AX167" i="15"/>
  <c r="AX168" i="15"/>
  <c r="AC245" i="15"/>
  <c r="AC195" i="15"/>
  <c r="AC68" i="15"/>
  <c r="L171" i="15"/>
  <c r="L220" i="15"/>
  <c r="L170" i="15"/>
  <c r="L219" i="15"/>
  <c r="AD233" i="15"/>
  <c r="AD232" i="15"/>
  <c r="AH232" i="15"/>
  <c r="Z256" i="15"/>
  <c r="Z206" i="15"/>
  <c r="AP167" i="15"/>
  <c r="AP168" i="15"/>
  <c r="AO88" i="15"/>
  <c r="C74" i="15"/>
  <c r="C285" i="15"/>
  <c r="C299" i="15"/>
  <c r="C90" i="15"/>
  <c r="C247" i="15"/>
  <c r="C197" i="15"/>
  <c r="D220" i="17"/>
  <c r="D218" i="17"/>
  <c r="X48" i="15"/>
  <c r="X182" i="15"/>
  <c r="S231" i="15"/>
  <c r="V85" i="15"/>
  <c r="S181" i="15"/>
  <c r="S49" i="15"/>
  <c r="S183" i="15"/>
  <c r="S51" i="15"/>
  <c r="W85" i="15"/>
  <c r="M80" i="15"/>
  <c r="M208" i="15"/>
  <c r="M259" i="15"/>
  <c r="AW79" i="15"/>
  <c r="AU231" i="15"/>
  <c r="AU48" i="15"/>
  <c r="AU182" i="15"/>
  <c r="AU181" i="15"/>
  <c r="AU49" i="15"/>
  <c r="AU183" i="15"/>
  <c r="AU51" i="15"/>
  <c r="AU85" i="15"/>
  <c r="AY48" i="15"/>
  <c r="AY182" i="15"/>
  <c r="AW85" i="15"/>
  <c r="AV85" i="15"/>
  <c r="AX85" i="15"/>
  <c r="AQ213" i="15"/>
  <c r="AQ290" i="15"/>
  <c r="C267" i="17"/>
  <c r="C269" i="17"/>
  <c r="E265" i="17"/>
  <c r="AV268" i="15"/>
  <c r="AS273" i="15"/>
  <c r="AU267" i="15"/>
  <c r="AT273" i="15"/>
  <c r="AV267" i="15"/>
  <c r="AU268" i="15"/>
  <c r="AS274" i="15"/>
  <c r="AS270" i="15"/>
  <c r="AV271" i="15"/>
  <c r="AU273" i="15"/>
  <c r="AS267" i="15"/>
  <c r="AT271" i="15"/>
  <c r="AU271" i="15"/>
  <c r="AU274" i="15"/>
  <c r="AT274" i="15"/>
  <c r="AV270" i="15"/>
  <c r="AV274" i="15"/>
  <c r="AT270" i="15"/>
  <c r="AV273" i="15"/>
  <c r="AU270" i="15"/>
  <c r="AS271" i="15"/>
  <c r="AS268" i="15"/>
  <c r="AT267" i="15"/>
  <c r="AT268" i="15"/>
  <c r="K80" i="15"/>
  <c r="AO79" i="15"/>
  <c r="K208" i="15"/>
  <c r="K259" i="15"/>
  <c r="M96" i="15"/>
  <c r="AW167" i="15"/>
  <c r="AW168" i="15"/>
  <c r="E170" i="17"/>
  <c r="C178" i="17"/>
  <c r="AE170" i="15"/>
  <c r="AE219" i="15"/>
  <c r="AE171" i="15"/>
  <c r="AE220" i="15"/>
  <c r="O72" i="15"/>
  <c r="BA201" i="15"/>
  <c r="BA251" i="15"/>
  <c r="E695" i="17"/>
  <c r="C703" i="17"/>
  <c r="AK273" i="15"/>
  <c r="AN294" i="15"/>
  <c r="AN296" i="15"/>
  <c r="AN282" i="15"/>
  <c r="AS77" i="15"/>
  <c r="AR206" i="15"/>
  <c r="AR256" i="15"/>
  <c r="AR78" i="15"/>
  <c r="BA23" i="15"/>
  <c r="BA25" i="15"/>
  <c r="BA39" i="15"/>
  <c r="BA38" i="15"/>
  <c r="C795" i="17"/>
  <c r="E787" i="17"/>
  <c r="AG170" i="15"/>
  <c r="AG219" i="15"/>
  <c r="AG171" i="15"/>
  <c r="AG220" i="15"/>
  <c r="BA213" i="15"/>
  <c r="BA290" i="15"/>
  <c r="K1153" i="17"/>
  <c r="K1154" i="17"/>
  <c r="K1155" i="17"/>
  <c r="D1168" i="17"/>
  <c r="J1154" i="17"/>
  <c r="J1155" i="17"/>
  <c r="C1168" i="17"/>
  <c r="E1163" i="17"/>
  <c r="AK21" i="15"/>
  <c r="AK33" i="15"/>
  <c r="AK84" i="15"/>
  <c r="AK45" i="15"/>
  <c r="AK47" i="15"/>
  <c r="AN84" i="15"/>
  <c r="AL84" i="15"/>
  <c r="AM84" i="15"/>
  <c r="K96" i="15"/>
  <c r="AO167" i="15"/>
  <c r="AO168" i="15"/>
  <c r="Y39" i="15"/>
  <c r="Y38" i="15"/>
  <c r="Y23" i="15"/>
  <c r="Y25" i="15"/>
  <c r="I167" i="15"/>
  <c r="I168" i="15"/>
  <c r="AF256" i="15"/>
  <c r="AF206" i="15"/>
  <c r="AG77" i="15"/>
  <c r="H168" i="15"/>
  <c r="H167" i="15"/>
  <c r="AY257" i="15"/>
  <c r="AY207" i="15"/>
  <c r="C184" i="17"/>
  <c r="D183" i="17"/>
  <c r="D184" i="17"/>
  <c r="C1269" i="17"/>
  <c r="E1261" i="17"/>
  <c r="D1163" i="17"/>
  <c r="AV206" i="15"/>
  <c r="AV256" i="15"/>
  <c r="AV78" i="15"/>
  <c r="AW77" i="15"/>
  <c r="AZ214" i="15"/>
  <c r="AZ289" i="15"/>
  <c r="AO68" i="15"/>
  <c r="AO243" i="15"/>
  <c r="AO193" i="15"/>
  <c r="O282" i="15"/>
  <c r="O294" i="15"/>
  <c r="O296" i="15"/>
  <c r="AY214" i="15"/>
  <c r="AY289" i="15"/>
  <c r="AS290" i="15"/>
  <c r="AS213" i="15"/>
  <c r="AR167" i="15"/>
  <c r="AR168" i="15"/>
  <c r="D27" i="17"/>
  <c r="D25" i="17"/>
  <c r="AI214" i="15"/>
  <c r="AI289" i="15"/>
  <c r="BA51" i="15"/>
  <c r="BA231" i="15"/>
  <c r="BA49" i="15"/>
  <c r="BA183" i="15"/>
  <c r="BA48" i="15"/>
  <c r="BA182" i="15"/>
  <c r="BD85" i="15"/>
  <c r="BA181" i="15"/>
  <c r="BC85" i="15"/>
  <c r="BA85" i="15"/>
  <c r="BB85" i="15"/>
  <c r="AK190" i="15"/>
  <c r="AK240" i="15"/>
  <c r="AK64" i="15"/>
  <c r="AF214" i="15"/>
  <c r="AF289" i="15"/>
  <c r="AS231" i="15"/>
  <c r="AS48" i="15"/>
  <c r="AS182" i="15"/>
  <c r="AS49" i="15"/>
  <c r="AS183" i="15"/>
  <c r="AS181" i="15"/>
  <c r="AS85" i="15"/>
  <c r="AT85" i="15"/>
  <c r="AS51" i="15"/>
  <c r="AW48" i="15"/>
  <c r="AW182" i="15"/>
  <c r="AZ288" i="15"/>
  <c r="AZ302" i="15"/>
  <c r="AZ304" i="15"/>
  <c r="AZ173" i="15"/>
  <c r="AZ154" i="15"/>
  <c r="AZ210" i="15"/>
  <c r="AZ261" i="15"/>
  <c r="AZ267" i="15"/>
  <c r="AZ168" i="15"/>
  <c r="AZ165" i="15"/>
  <c r="AZ158" i="15"/>
  <c r="AZ232" i="15"/>
  <c r="AZ233" i="15"/>
  <c r="BD232" i="15"/>
  <c r="AB51" i="15"/>
  <c r="AF85" i="15"/>
  <c r="AB49" i="15"/>
  <c r="AB183" i="15"/>
  <c r="AF48" i="15"/>
  <c r="AF182" i="15"/>
  <c r="AB48" i="15"/>
  <c r="AB182" i="15"/>
  <c r="AB181" i="15"/>
  <c r="AB231" i="15"/>
  <c r="AB85" i="15"/>
  <c r="AY256" i="15"/>
  <c r="AY206" i="15"/>
  <c r="C980" i="17"/>
  <c r="E972" i="17"/>
  <c r="K157" i="17"/>
  <c r="K158" i="17"/>
  <c r="K159" i="17"/>
  <c r="J158" i="17"/>
  <c r="J159" i="17"/>
  <c r="D1274" i="17"/>
  <c r="D1275" i="17"/>
  <c r="C1275" i="17"/>
  <c r="AM273" i="15"/>
  <c r="AH296" i="15"/>
  <c r="AH303" i="15"/>
  <c r="AH304" i="15"/>
  <c r="N170" i="15"/>
  <c r="N219" i="15"/>
  <c r="N171" i="15"/>
  <c r="N220" i="15"/>
  <c r="AT80" i="15"/>
  <c r="AT208" i="15"/>
  <c r="AT259" i="15"/>
  <c r="AU79" i="15"/>
  <c r="AQ274" i="15"/>
  <c r="AP274" i="15"/>
  <c r="AP273" i="15"/>
  <c r="AQ273" i="15"/>
  <c r="AR274" i="15"/>
  <c r="AR273" i="15"/>
  <c r="L93" i="15"/>
  <c r="AS95" i="15"/>
  <c r="AG255" i="15"/>
  <c r="AG205" i="15"/>
  <c r="AG78" i="15"/>
  <c r="AS289" i="15"/>
  <c r="AS214" i="15"/>
  <c r="Z78" i="15"/>
  <c r="D1021" i="17"/>
  <c r="D1019" i="17"/>
  <c r="AZ170" i="15"/>
  <c r="AZ219" i="15"/>
  <c r="AZ171" i="15"/>
  <c r="AZ220" i="15"/>
  <c r="D170" i="17"/>
  <c r="D172" i="17"/>
  <c r="O154" i="15"/>
  <c r="O165" i="15"/>
  <c r="O158" i="15"/>
  <c r="O210" i="15"/>
  <c r="O261" i="15"/>
  <c r="O267" i="15"/>
  <c r="O173" i="15"/>
  <c r="O288" i="15"/>
  <c r="O302" i="15"/>
  <c r="O304" i="15"/>
  <c r="C1173" i="17"/>
  <c r="E1165" i="17"/>
  <c r="E25" i="17"/>
  <c r="C33" i="17"/>
  <c r="AB170" i="15"/>
  <c r="AB219" i="15"/>
  <c r="AB171" i="15"/>
  <c r="AB220" i="15"/>
  <c r="AG256" i="15"/>
  <c r="AG206" i="15"/>
  <c r="AS256" i="15"/>
  <c r="AS206" i="15"/>
  <c r="O251" i="15"/>
  <c r="O201" i="15"/>
  <c r="AN273" i="15"/>
  <c r="AN274" i="15"/>
  <c r="AM274" i="15"/>
  <c r="AX256" i="15"/>
  <c r="AX206" i="15"/>
  <c r="AO90" i="15"/>
  <c r="AO285" i="15"/>
  <c r="AO299" i="15"/>
  <c r="AO197" i="15"/>
  <c r="AP90" i="15"/>
  <c r="AP285" i="15"/>
  <c r="AP299" i="15"/>
  <c r="AO247" i="15"/>
  <c r="AO74" i="15"/>
  <c r="AQ90" i="15"/>
  <c r="AQ285" i="15"/>
  <c r="AQ299" i="15"/>
  <c r="AR90" i="15"/>
  <c r="AR285" i="15"/>
  <c r="AR299" i="15"/>
  <c r="AC74" i="15"/>
  <c r="AC90" i="15"/>
  <c r="AC285" i="15"/>
  <c r="AC299" i="15"/>
  <c r="AC197" i="15"/>
  <c r="AC247" i="15"/>
  <c r="AW256" i="15"/>
  <c r="AW206" i="15"/>
  <c r="AW78" i="15"/>
  <c r="K167" i="15"/>
  <c r="K168" i="15"/>
  <c r="AV170" i="15"/>
  <c r="AV219" i="15"/>
  <c r="AV171" i="15"/>
  <c r="AV220" i="15"/>
  <c r="AU233" i="15"/>
  <c r="AU232" i="15"/>
  <c r="AY232" i="15"/>
  <c r="V170" i="15"/>
  <c r="V219" i="15"/>
  <c r="V171" i="15"/>
  <c r="V220" i="15"/>
  <c r="AF290" i="15"/>
  <c r="AF213" i="15"/>
  <c r="AJ247" i="15"/>
  <c r="AJ197" i="15"/>
  <c r="AJ74" i="15"/>
  <c r="AJ90" i="15"/>
  <c r="AJ285" i="15"/>
  <c r="AJ299" i="15"/>
  <c r="AB253" i="15"/>
  <c r="AB203" i="15"/>
  <c r="W256" i="15"/>
  <c r="W206" i="15"/>
  <c r="AX257" i="15"/>
  <c r="AX207" i="15"/>
  <c r="W257" i="15"/>
  <c r="W207" i="15"/>
  <c r="X77" i="15"/>
  <c r="Y77" i="15" s="1"/>
  <c r="C1027" i="17"/>
  <c r="E1019" i="17"/>
  <c r="AZ290" i="15"/>
  <c r="AZ213" i="15"/>
  <c r="AV257" i="15"/>
  <c r="AV207" i="15"/>
  <c r="AW171" i="15"/>
  <c r="AW220" i="15"/>
  <c r="AW170" i="15"/>
  <c r="AW219" i="15"/>
  <c r="AW208" i="15"/>
  <c r="AW259" i="15"/>
  <c r="AW80" i="15"/>
  <c r="AX79" i="15"/>
  <c r="X232" i="15"/>
  <c r="S233" i="15"/>
  <c r="C77" i="15"/>
  <c r="C78" i="15"/>
  <c r="C253" i="15"/>
  <c r="C203" i="15"/>
  <c r="AS296" i="15"/>
  <c r="AS303" i="15"/>
  <c r="AS304" i="15"/>
  <c r="W88" i="15"/>
  <c r="V88" i="15"/>
  <c r="M168" i="15"/>
  <c r="M167" i="15"/>
  <c r="AK68" i="15"/>
  <c r="AK243" i="15"/>
  <c r="AK193" i="15"/>
  <c r="BB88" i="15"/>
  <c r="BA88" i="15"/>
  <c r="BC88" i="15"/>
  <c r="BD88" i="15"/>
  <c r="H253" i="15"/>
  <c r="H203" i="15"/>
  <c r="H77" i="15"/>
  <c r="H78" i="15"/>
  <c r="E218" i="17"/>
  <c r="C226" i="17"/>
  <c r="AU88" i="15"/>
  <c r="AV88" i="15"/>
  <c r="AW88" i="15"/>
  <c r="AX88" i="15"/>
  <c r="AY213" i="15"/>
  <c r="AY290" i="15"/>
  <c r="S207" i="15"/>
  <c r="S257" i="15"/>
  <c r="AG257" i="15"/>
  <c r="AG207" i="15"/>
  <c r="AO208" i="15"/>
  <c r="AO259" i="15"/>
  <c r="AP79" i="15"/>
  <c r="AO80" i="15"/>
  <c r="AX170" i="15"/>
  <c r="AX219" i="15"/>
  <c r="AX171" i="15"/>
  <c r="AX220" i="15"/>
  <c r="AS96" i="15"/>
  <c r="AT96" i="15"/>
  <c r="AU96" i="15"/>
  <c r="L95" i="15"/>
  <c r="AV96" i="15"/>
  <c r="AU80" i="15"/>
  <c r="AU208" i="15"/>
  <c r="AU259" i="15"/>
  <c r="AV79" i="15"/>
  <c r="AT171" i="15"/>
  <c r="AT220" i="15"/>
  <c r="AT170" i="15"/>
  <c r="AT219" i="15"/>
  <c r="AZ77" i="15"/>
  <c r="O213" i="15"/>
  <c r="O290" i="15"/>
  <c r="AS170" i="15"/>
  <c r="AS219" i="15"/>
  <c r="AS171" i="15"/>
  <c r="AS220" i="15"/>
  <c r="AR257" i="15"/>
  <c r="AR207" i="15"/>
  <c r="AU171" i="15"/>
  <c r="AU220" i="15"/>
  <c r="AU170" i="15"/>
  <c r="AU219" i="15"/>
  <c r="AS88" i="15"/>
  <c r="AT88" i="15"/>
  <c r="AI290" i="15"/>
  <c r="AI213" i="15"/>
  <c r="AB233" i="15"/>
  <c r="AB232" i="15"/>
  <c r="AF232" i="15"/>
  <c r="AS232" i="15"/>
  <c r="AS233" i="15"/>
  <c r="AW232" i="15"/>
  <c r="AK38" i="15"/>
  <c r="AK39" i="15"/>
  <c r="AK23" i="15"/>
  <c r="AK25" i="15"/>
  <c r="Z257" i="15"/>
  <c r="Z207" i="15"/>
  <c r="AA77" i="15"/>
  <c r="AF170" i="15"/>
  <c r="AF219" i="15"/>
  <c r="AF171" i="15"/>
  <c r="AF220" i="15"/>
  <c r="BA233" i="15"/>
  <c r="BA232" i="15"/>
  <c r="D1165" i="17"/>
  <c r="D1167" i="17"/>
  <c r="AK49" i="15"/>
  <c r="AK183" i="15"/>
  <c r="AK51" i="15"/>
  <c r="AK85" i="15"/>
  <c r="AK181" i="15"/>
  <c r="AK231" i="15"/>
  <c r="AK48" i="15"/>
  <c r="AK182" i="15"/>
  <c r="AO48" i="15"/>
  <c r="AO182" i="15"/>
  <c r="AM85" i="15"/>
  <c r="AN85" i="15"/>
  <c r="AL85" i="15"/>
  <c r="C275" i="17"/>
  <c r="E267" i="17"/>
  <c r="W171" i="15"/>
  <c r="W220" i="15"/>
  <c r="W170" i="15"/>
  <c r="W219" i="15"/>
  <c r="AS197" i="15"/>
  <c r="AS74" i="15"/>
  <c r="AS90" i="15"/>
  <c r="AS285" i="15"/>
  <c r="AS299" i="15"/>
  <c r="AU90" i="15"/>
  <c r="AU285" i="15"/>
  <c r="AU299" i="15"/>
  <c r="AS247" i="15"/>
  <c r="AT90" i="15"/>
  <c r="AT285" i="15"/>
  <c r="AT299" i="15"/>
  <c r="AV90" i="15"/>
  <c r="AV285" i="15"/>
  <c r="AV299" i="15"/>
  <c r="T206" i="15"/>
  <c r="T256" i="15"/>
  <c r="T78" i="15"/>
  <c r="C257" i="15"/>
  <c r="C79" i="15"/>
  <c r="C207" i="15"/>
  <c r="AK233" i="15"/>
  <c r="AK232" i="15"/>
  <c r="AO232" i="15"/>
  <c r="AQ79" i="15"/>
  <c r="AP208" i="15"/>
  <c r="AP259" i="15"/>
  <c r="AP80" i="15"/>
  <c r="Y206" i="15"/>
  <c r="Y78" i="15"/>
  <c r="Y256" i="15"/>
  <c r="H207" i="15"/>
  <c r="H257" i="15"/>
  <c r="AK171" i="15"/>
  <c r="AK220" i="15"/>
  <c r="AK170" i="15"/>
  <c r="AK219" i="15"/>
  <c r="AZ206" i="15"/>
  <c r="AZ256" i="15"/>
  <c r="AZ78" i="15"/>
  <c r="AU168" i="15"/>
  <c r="AU167" i="15"/>
  <c r="H256" i="15"/>
  <c r="H206" i="15"/>
  <c r="AA206" i="15"/>
  <c r="AA256" i="15"/>
  <c r="AA78" i="15"/>
  <c r="L96" i="15"/>
  <c r="AS167" i="15"/>
  <c r="AS168" i="15"/>
  <c r="AM170" i="15"/>
  <c r="AM219" i="15"/>
  <c r="AM171" i="15"/>
  <c r="AM220" i="15"/>
  <c r="AV208" i="15"/>
  <c r="AV259" i="15"/>
  <c r="AV80" i="15"/>
  <c r="AW257" i="15"/>
  <c r="AW207" i="15"/>
  <c r="AV168" i="15"/>
  <c r="AV167" i="15"/>
  <c r="AT168" i="15"/>
  <c r="AT167" i="15"/>
  <c r="X206" i="15"/>
  <c r="X256" i="15"/>
  <c r="X78" i="15"/>
  <c r="AS203" i="15"/>
  <c r="AS253" i="15"/>
  <c r="AS78" i="15"/>
  <c r="AK88" i="15"/>
  <c r="AM88" i="15"/>
  <c r="AN88" i="15"/>
  <c r="AL88" i="15"/>
  <c r="AX208" i="15"/>
  <c r="AX259" i="15"/>
  <c r="AY79" i="15"/>
  <c r="AX80" i="15"/>
  <c r="AO253" i="15"/>
  <c r="AO203" i="15"/>
  <c r="AO78" i="15"/>
  <c r="AL171" i="15"/>
  <c r="AL220" i="15"/>
  <c r="AL170" i="15"/>
  <c r="AL219" i="15"/>
  <c r="AK197" i="15"/>
  <c r="AL90" i="15"/>
  <c r="AL285" i="15"/>
  <c r="AL299" i="15"/>
  <c r="AM90" i="15"/>
  <c r="AM285" i="15"/>
  <c r="AM299" i="15"/>
  <c r="AK74" i="15"/>
  <c r="AK90" i="15"/>
  <c r="AK285" i="15"/>
  <c r="AK299" i="15"/>
  <c r="AK247" i="15"/>
  <c r="AN90" i="15"/>
  <c r="AN285" i="15"/>
  <c r="AN299" i="15"/>
  <c r="C256" i="15"/>
  <c r="C206" i="15"/>
  <c r="AC203" i="15"/>
  <c r="AC253" i="15"/>
  <c r="AN171" i="15"/>
  <c r="AN220" i="15"/>
  <c r="AN170" i="15"/>
  <c r="AN219" i="15"/>
  <c r="T207" i="15"/>
  <c r="T257" i="15"/>
  <c r="AJ253" i="15"/>
  <c r="AJ203" i="15"/>
  <c r="AJ77" i="15"/>
  <c r="AJ206" i="15"/>
  <c r="AJ256" i="15"/>
  <c r="AK77" i="15"/>
  <c r="AO207" i="15"/>
  <c r="AO257" i="15"/>
  <c r="L167" i="15"/>
  <c r="L168" i="15"/>
  <c r="AK253" i="15"/>
  <c r="AK203" i="15"/>
  <c r="AS207" i="15"/>
  <c r="AS257" i="15"/>
  <c r="AA207" i="15"/>
  <c r="AB77" i="15"/>
  <c r="AA257" i="15"/>
  <c r="AZ257" i="15"/>
  <c r="AZ207" i="15"/>
  <c r="X207" i="15"/>
  <c r="X257" i="15"/>
  <c r="Y207" i="15"/>
  <c r="Y257" i="15"/>
  <c r="AJ78" i="15"/>
  <c r="AY80" i="15"/>
  <c r="AY208" i="15"/>
  <c r="AY259" i="15"/>
  <c r="AZ79" i="15"/>
  <c r="D79" i="15"/>
  <c r="C208" i="15"/>
  <c r="C259" i="15"/>
  <c r="C80" i="15"/>
  <c r="AR79" i="15"/>
  <c r="AQ208" i="15"/>
  <c r="AQ259" i="15"/>
  <c r="AQ80" i="15"/>
  <c r="D208" i="15"/>
  <c r="D259" i="15"/>
  <c r="E79" i="15"/>
  <c r="Q79" i="15"/>
  <c r="D80" i="15"/>
  <c r="AB256" i="15"/>
  <c r="AB206" i="15"/>
  <c r="AB78" i="15"/>
  <c r="AC77" i="15"/>
  <c r="AZ80" i="15"/>
  <c r="AZ208" i="15"/>
  <c r="AZ259" i="15"/>
  <c r="AJ207" i="15"/>
  <c r="AJ257" i="15"/>
  <c r="AK256" i="15"/>
  <c r="AK206" i="15"/>
  <c r="AK78" i="15"/>
  <c r="AR208" i="15"/>
  <c r="AR259" i="15"/>
  <c r="AR80" i="15"/>
  <c r="AC256" i="15"/>
  <c r="AC206" i="15"/>
  <c r="AC78" i="15"/>
  <c r="AB257" i="15"/>
  <c r="AB207" i="15"/>
  <c r="AK257" i="15"/>
  <c r="AK207" i="15"/>
  <c r="R79" i="15"/>
  <c r="Q80" i="15"/>
  <c r="Q208" i="15"/>
  <c r="Q259" i="15"/>
  <c r="F79" i="15"/>
  <c r="E208" i="15"/>
  <c r="E259" i="15"/>
  <c r="V79" i="15"/>
  <c r="G79" i="15"/>
  <c r="E80" i="15"/>
  <c r="AC207" i="15"/>
  <c r="AC257" i="15"/>
  <c r="R80" i="15"/>
  <c r="S79" i="15"/>
  <c r="R208" i="15"/>
  <c r="R259" i="15"/>
  <c r="F208" i="15"/>
  <c r="F259" i="15"/>
  <c r="F80" i="15"/>
  <c r="Z79" i="15"/>
  <c r="H79" i="15"/>
  <c r="G80" i="15"/>
  <c r="G208" i="15"/>
  <c r="G259" i="15"/>
  <c r="V80" i="15"/>
  <c r="BF79" i="15"/>
  <c r="V208" i="15"/>
  <c r="V259" i="15"/>
  <c r="W79" i="15"/>
  <c r="AA79" i="15"/>
  <c r="Z208" i="15"/>
  <c r="Z259" i="15"/>
  <c r="Z80" i="15"/>
  <c r="T79" i="15"/>
  <c r="S80" i="15"/>
  <c r="S208" i="15"/>
  <c r="S259" i="15"/>
  <c r="W208" i="15"/>
  <c r="W259" i="15"/>
  <c r="W80" i="15"/>
  <c r="X79" i="15"/>
  <c r="BG79" i="15"/>
  <c r="BG80" i="15"/>
  <c r="BF80" i="15"/>
  <c r="H208" i="15"/>
  <c r="H259" i="15"/>
  <c r="I79" i="15"/>
  <c r="H80" i="15"/>
  <c r="I80" i="15"/>
  <c r="J79" i="15"/>
  <c r="I208" i="15"/>
  <c r="I259" i="15"/>
  <c r="T208" i="15"/>
  <c r="T259" i="15"/>
  <c r="T80" i="15"/>
  <c r="X208" i="15"/>
  <c r="X259" i="15"/>
  <c r="Y79" i="15"/>
  <c r="X80" i="15"/>
  <c r="AA80" i="15"/>
  <c r="AB79" i="15"/>
  <c r="AA208" i="15"/>
  <c r="AA259" i="15"/>
  <c r="AB80" i="15"/>
  <c r="AB208" i="15"/>
  <c r="AB259" i="15"/>
  <c r="AC79" i="15"/>
  <c r="J208" i="15"/>
  <c r="J259" i="15"/>
  <c r="J80" i="15"/>
  <c r="Y80" i="15"/>
  <c r="Y208" i="15"/>
  <c r="Y259" i="15"/>
  <c r="BI79" i="15"/>
  <c r="AC80" i="15"/>
  <c r="AD79" i="15"/>
  <c r="AC208" i="15"/>
  <c r="AC259" i="15"/>
  <c r="AD80" i="15"/>
  <c r="AD208" i="15"/>
  <c r="AD259" i="15"/>
  <c r="AE79" i="15"/>
  <c r="AE208" i="15"/>
  <c r="AE259" i="15"/>
  <c r="AE80" i="15"/>
  <c r="AF79" i="15"/>
  <c r="AG79" i="15"/>
  <c r="AF80" i="15"/>
  <c r="AF208" i="15"/>
  <c r="AF259" i="15"/>
  <c r="AG208" i="15"/>
  <c r="AG259" i="15"/>
  <c r="AG80" i="15"/>
  <c r="AH79" i="15"/>
  <c r="AH80" i="15"/>
  <c r="AI79" i="15"/>
  <c r="AH208" i="15"/>
  <c r="AH259" i="15"/>
  <c r="BJ79" i="15"/>
  <c r="BK79" i="15"/>
  <c r="AJ79" i="15"/>
  <c r="AI80" i="15"/>
  <c r="AI208" i="15"/>
  <c r="AI259" i="15"/>
  <c r="AJ80" i="15"/>
  <c r="AJ208" i="15"/>
  <c r="AJ259" i="15"/>
  <c r="AK79" i="15"/>
  <c r="AK208" i="15"/>
  <c r="AK259" i="15"/>
  <c r="AK80" i="15"/>
  <c r="AL79" i="15"/>
  <c r="AM79" i="15"/>
  <c r="AL80" i="15"/>
  <c r="AL208" i="15"/>
  <c r="AL259" i="15"/>
  <c r="AM80" i="15"/>
  <c r="AM208" i="15"/>
  <c r="AM259" i="15"/>
  <c r="S41" i="21"/>
  <c r="S37" i="21"/>
  <c r="S198" i="21"/>
  <c r="S185" i="21"/>
  <c r="O199" i="21"/>
  <c r="O190" i="21"/>
  <c r="O185" i="21"/>
  <c r="O186" i="21"/>
  <c r="O194" i="21"/>
  <c r="N193" i="15"/>
  <c r="BB87" i="15"/>
  <c r="BA87" i="15"/>
  <c r="BA170" i="15"/>
  <c r="BA219" i="15"/>
  <c r="O63" i="15"/>
  <c r="O87" i="15"/>
  <c r="O170" i="15"/>
  <c r="O219" i="15"/>
  <c r="BA193" i="15"/>
  <c r="BA243" i="15"/>
  <c r="BA68" i="15"/>
  <c r="BC90" i="15"/>
  <c r="BC285" i="15"/>
  <c r="BC299" i="15"/>
  <c r="N274" i="15"/>
  <c r="BC87" i="15"/>
  <c r="BA192" i="15"/>
  <c r="BA242" i="15"/>
  <c r="BD87" i="15"/>
  <c r="O242" i="15"/>
  <c r="BA283" i="15"/>
  <c r="BA297" i="15"/>
  <c r="O171" i="15"/>
  <c r="O220" i="15"/>
  <c r="N68" i="15"/>
  <c r="M186" i="21"/>
  <c r="M195" i="21"/>
  <c r="G232" i="21"/>
  <c r="I198" i="21"/>
  <c r="I192" i="21"/>
  <c r="D247" i="21"/>
  <c r="S186" i="21"/>
  <c r="S199" i="21"/>
  <c r="O64" i="15"/>
  <c r="BA171" i="15"/>
  <c r="BA220" i="15"/>
  <c r="BA74" i="15"/>
  <c r="BA247" i="15"/>
  <c r="O283" i="15"/>
  <c r="O297" i="15"/>
  <c r="O274" i="15"/>
  <c r="BB90" i="15"/>
  <c r="BB285" i="15"/>
  <c r="BB299" i="15"/>
  <c r="O192" i="15"/>
  <c r="BB170" i="15"/>
  <c r="BB219" i="15"/>
  <c r="BB171" i="15"/>
  <c r="BB220" i="15"/>
  <c r="BB283" i="15"/>
  <c r="BB297" i="15"/>
  <c r="BD171" i="15"/>
  <c r="BD220" i="15"/>
  <c r="BD170" i="15"/>
  <c r="BD219" i="15"/>
  <c r="BD283" i="15"/>
  <c r="BD297" i="15"/>
  <c r="BC171" i="15"/>
  <c r="BC220" i="15"/>
  <c r="BC283" i="15"/>
  <c r="BC297" i="15"/>
  <c r="BC170" i="15"/>
  <c r="BC219" i="15"/>
  <c r="BA274" i="15"/>
  <c r="BC274" i="15"/>
  <c r="BD273" i="15"/>
  <c r="BB273" i="15"/>
  <c r="BC273" i="15"/>
  <c r="BB274" i="15"/>
  <c r="BD274" i="15"/>
  <c r="BA273" i="15"/>
  <c r="BA197" i="15"/>
  <c r="BD90" i="15"/>
  <c r="BD285" i="15"/>
  <c r="BD299" i="15"/>
  <c r="BA90" i="15"/>
  <c r="BA285" i="15"/>
  <c r="BA299" i="15"/>
  <c r="N90" i="15"/>
  <c r="N247" i="15"/>
  <c r="N197" i="15"/>
  <c r="N74" i="15"/>
  <c r="N285" i="15"/>
  <c r="N299" i="15"/>
  <c r="O193" i="15"/>
  <c r="O243" i="15"/>
  <c r="O68" i="15"/>
  <c r="BA253" i="15"/>
  <c r="BA203" i="15"/>
  <c r="O273" i="15"/>
  <c r="O247" i="15"/>
  <c r="O285" i="15"/>
  <c r="O299" i="15"/>
  <c r="O90" i="15"/>
  <c r="O74" i="15"/>
  <c r="O197" i="15"/>
  <c r="N77" i="15"/>
  <c r="N78" i="15"/>
  <c r="N203" i="15"/>
  <c r="N253" i="15"/>
  <c r="K36" i="21"/>
  <c r="G36" i="21"/>
  <c r="N206" i="15"/>
  <c r="BA77" i="15"/>
  <c r="N256" i="15"/>
  <c r="N79" i="15"/>
  <c r="N257" i="15"/>
  <c r="N207" i="15"/>
  <c r="O253" i="15"/>
  <c r="O203" i="15"/>
  <c r="BA256" i="15"/>
  <c r="O77" i="15"/>
  <c r="BA206" i="15"/>
  <c r="BA78" i="15"/>
  <c r="N208" i="15"/>
  <c r="N259" i="15"/>
  <c r="N80" i="15"/>
  <c r="BA79" i="15"/>
  <c r="BA257" i="15"/>
  <c r="BA207" i="15"/>
  <c r="O206" i="15"/>
  <c r="O256" i="15"/>
  <c r="O78" i="15"/>
  <c r="O79" i="15"/>
  <c r="O257" i="15"/>
  <c r="O207" i="15"/>
  <c r="BB79" i="15"/>
  <c r="BA80" i="15"/>
  <c r="BA208" i="15"/>
  <c r="BA259" i="15"/>
  <c r="O208" i="15"/>
  <c r="O259" i="15"/>
  <c r="O80" i="15"/>
  <c r="BB80" i="15"/>
  <c r="BC79" i="15"/>
  <c r="BB208" i="15"/>
  <c r="BB259" i="15"/>
  <c r="BC208" i="15"/>
  <c r="BC259" i="15"/>
  <c r="BC80" i="15"/>
  <c r="BD79" i="15"/>
  <c r="BD208" i="15"/>
  <c r="BD259" i="15"/>
  <c r="BD80" i="15"/>
  <c r="M242" i="21"/>
  <c r="D242" i="21"/>
  <c r="G226" i="21"/>
  <c r="M247" i="21"/>
  <c r="D251" i="21"/>
  <c r="M269" i="21"/>
  <c r="K232" i="21"/>
  <c r="K226" i="21"/>
  <c r="S232" i="21"/>
  <c r="K264" i="21" s="1"/>
  <c r="S252" i="21"/>
  <c r="H142" i="21"/>
  <c r="S236" i="21"/>
  <c r="D252" i="21"/>
  <c r="S239" i="21"/>
  <c r="O252" i="21"/>
  <c r="E223" i="21"/>
  <c r="D239" i="21"/>
  <c r="D232" i="21"/>
  <c r="D264" i="21" s="1"/>
  <c r="S238" i="21"/>
  <c r="D226" i="21"/>
  <c r="S251" i="21"/>
  <c r="M232" i="21"/>
  <c r="M291" i="21"/>
  <c r="M305" i="21" s="1"/>
  <c r="I226" i="21"/>
  <c r="I232" i="21"/>
  <c r="E252" i="21"/>
  <c r="D289" i="21"/>
  <c r="D303" i="21" s="1"/>
  <c r="S246" i="21"/>
  <c r="L68" i="24"/>
  <c r="L66" i="24"/>
  <c r="E11" i="24"/>
  <c r="E14" i="24"/>
  <c r="L79" i="24"/>
  <c r="L88" i="24"/>
  <c r="L77" i="24"/>
  <c r="L80" i="24"/>
  <c r="L90" i="24"/>
  <c r="L28" i="24"/>
  <c r="L25" i="24"/>
  <c r="K27" i="24"/>
  <c r="K25" i="24"/>
  <c r="M28" i="24"/>
  <c r="M25" i="24"/>
  <c r="D28" i="24"/>
  <c r="D25" i="24"/>
  <c r="S28" i="24"/>
  <c r="S25" i="24"/>
  <c r="D15" i="24"/>
  <c r="D12" i="24"/>
  <c r="S14" i="24"/>
  <c r="S12" i="24"/>
  <c r="M14" i="24"/>
  <c r="M12" i="24"/>
  <c r="K15" i="24"/>
  <c r="K12" i="24"/>
  <c r="L14" i="24"/>
  <c r="L12" i="24"/>
  <c r="O105" i="24"/>
  <c r="K103" i="24"/>
  <c r="O103" i="24"/>
  <c r="K105" i="24"/>
  <c r="M105" i="24"/>
  <c r="C14" i="24"/>
  <c r="C16" i="24"/>
  <c r="C103" i="24"/>
  <c r="M107" i="24"/>
  <c r="H69" i="24"/>
  <c r="H72" i="24"/>
  <c r="S15" i="24"/>
  <c r="C105" i="24"/>
  <c r="C107" i="24"/>
  <c r="M103" i="24"/>
  <c r="G107" i="24"/>
  <c r="O107" i="24"/>
  <c r="G105" i="24"/>
  <c r="K106" i="24" s="1"/>
  <c r="D103" i="24"/>
  <c r="D104" i="24"/>
  <c r="G103" i="24"/>
  <c r="I107" i="24"/>
  <c r="S103" i="24"/>
  <c r="C94" i="24"/>
  <c r="C95" i="24"/>
  <c r="D105" i="24"/>
  <c r="I105" i="24"/>
  <c r="S105" i="24"/>
  <c r="L69" i="24"/>
  <c r="L72" i="24"/>
  <c r="E100" i="24"/>
  <c r="E109" i="24"/>
  <c r="D107" i="24"/>
  <c r="D108" i="24"/>
  <c r="I103" i="24"/>
  <c r="K107" i="24"/>
  <c r="K108" i="24"/>
  <c r="S107" i="24"/>
  <c r="S108" i="24"/>
  <c r="C85" i="21"/>
  <c r="C188" i="21"/>
  <c r="C289" i="21"/>
  <c r="O236" i="21"/>
  <c r="S183" i="21"/>
  <c r="L65" i="21"/>
  <c r="L247" i="21"/>
  <c r="D13" i="22"/>
  <c r="D236" i="21"/>
  <c r="M193" i="21"/>
  <c r="M31" i="21"/>
  <c r="D183" i="21"/>
  <c r="D8" i="22"/>
  <c r="E78" i="21"/>
  <c r="E150" i="21"/>
  <c r="D243" i="21"/>
  <c r="E298" i="21"/>
  <c r="E284" i="21"/>
  <c r="O188" i="21"/>
  <c r="D42" i="22"/>
  <c r="E170" i="21"/>
  <c r="E39" i="21"/>
  <c r="E251" i="21"/>
  <c r="E94" i="21"/>
  <c r="L82" i="21"/>
  <c r="L286" i="21"/>
  <c r="L300" i="21" s="1"/>
  <c r="E226" i="21"/>
  <c r="D9" i="22"/>
  <c r="S109" i="21"/>
  <c r="H41" i="21"/>
  <c r="H37" i="21"/>
  <c r="E41" i="21"/>
  <c r="E37" i="21"/>
  <c r="E64" i="21"/>
  <c r="E193" i="21"/>
  <c r="I193" i="21"/>
  <c r="I246" i="21"/>
  <c r="E109" i="21"/>
  <c r="C252" i="21"/>
  <c r="L173" i="21"/>
  <c r="L226" i="21"/>
  <c r="L8" i="21"/>
  <c r="L174" i="21"/>
  <c r="I186" i="21"/>
  <c r="D10" i="22"/>
  <c r="E91" i="24"/>
  <c r="E94" i="24"/>
  <c r="D94" i="24"/>
  <c r="D95" i="24"/>
  <c r="O93" i="24"/>
  <c r="O95" i="24"/>
  <c r="S93" i="24"/>
  <c r="S95" i="24"/>
  <c r="H91" i="24"/>
  <c r="M94" i="24"/>
  <c r="M95" i="24"/>
  <c r="K94" i="24"/>
  <c r="K95" i="24"/>
  <c r="G93" i="24"/>
  <c r="G95" i="24"/>
  <c r="C83" i="24"/>
  <c r="C84" i="24"/>
  <c r="O82" i="24"/>
  <c r="O84" i="24"/>
  <c r="S82" i="24"/>
  <c r="S84" i="24"/>
  <c r="M83" i="24"/>
  <c r="M84" i="24"/>
  <c r="K83" i="24"/>
  <c r="K84" i="24"/>
  <c r="G83" i="24"/>
  <c r="G84" i="24"/>
  <c r="H80" i="24"/>
  <c r="D82" i="24"/>
  <c r="D84" i="24"/>
  <c r="E80" i="24"/>
  <c r="H100" i="24"/>
  <c r="H109" i="24"/>
  <c r="L100" i="24"/>
  <c r="L109" i="24"/>
  <c r="L91" i="24"/>
  <c r="I93" i="24"/>
  <c r="I95" i="24"/>
  <c r="I82" i="24"/>
  <c r="I84" i="24"/>
  <c r="D71" i="24"/>
  <c r="D73" i="24"/>
  <c r="S72" i="24"/>
  <c r="S73" i="24"/>
  <c r="E69" i="24"/>
  <c r="E15" i="24"/>
  <c r="E16" i="24"/>
  <c r="G71" i="24"/>
  <c r="G73" i="24"/>
  <c r="I71" i="24"/>
  <c r="I73" i="24"/>
  <c r="H15" i="24"/>
  <c r="H16" i="24"/>
  <c r="E24" i="24"/>
  <c r="E27" i="24"/>
  <c r="O71" i="24"/>
  <c r="O73" i="24"/>
  <c r="K14" i="24"/>
  <c r="K72" i="24"/>
  <c r="K73" i="24"/>
  <c r="C72" i="24"/>
  <c r="C73" i="24"/>
  <c r="M72" i="24"/>
  <c r="M73" i="24"/>
  <c r="S61" i="24"/>
  <c r="S55" i="24"/>
  <c r="S41" i="24"/>
  <c r="S35" i="24"/>
  <c r="L15" i="24"/>
  <c r="I14" i="24"/>
  <c r="I16" i="24"/>
  <c r="G15" i="24"/>
  <c r="G16" i="24"/>
  <c r="L27" i="24"/>
  <c r="L29" i="24"/>
  <c r="M27" i="24"/>
  <c r="I28" i="24"/>
  <c r="I29" i="24"/>
  <c r="K28" i="24"/>
  <c r="C27" i="24"/>
  <c r="C29" i="24"/>
  <c r="O27" i="24"/>
  <c r="O29" i="24"/>
  <c r="D27" i="24"/>
  <c r="S27" i="24"/>
  <c r="S29" i="24"/>
  <c r="G27" i="24"/>
  <c r="G29" i="24"/>
  <c r="H27" i="24"/>
  <c r="H29" i="24"/>
  <c r="O14" i="24"/>
  <c r="O16" i="24"/>
  <c r="M15" i="24"/>
  <c r="D14" i="24"/>
  <c r="D16" i="24"/>
  <c r="W41" i="19"/>
  <c r="E20" i="19"/>
  <c r="O23" i="19"/>
  <c r="F41" i="19"/>
  <c r="S23" i="19"/>
  <c r="F20" i="19"/>
  <c r="V26" i="19"/>
  <c r="G18" i="23"/>
  <c r="D16" i="22"/>
  <c r="D26" i="22"/>
  <c r="D18" i="22"/>
  <c r="J7" i="22"/>
  <c r="D43" i="22"/>
  <c r="D45" i="22"/>
  <c r="D14" i="22"/>
  <c r="D46" i="22"/>
  <c r="J8" i="22"/>
  <c r="J9" i="22" s="1"/>
  <c r="J10" i="22" s="1"/>
  <c r="D15" i="22"/>
  <c r="D44" i="22"/>
  <c r="D47" i="22"/>
  <c r="S104" i="24"/>
  <c r="K104" i="24"/>
  <c r="S106" i="24"/>
  <c r="M108" i="24"/>
  <c r="D106" i="24"/>
  <c r="M104" i="24"/>
  <c r="M106" i="24"/>
  <c r="M111" i="24" s="1"/>
  <c r="K29" i="24"/>
  <c r="M29" i="24"/>
  <c r="M16" i="24"/>
  <c r="D29" i="24"/>
  <c r="K111" i="24"/>
  <c r="O111" i="24"/>
  <c r="S16" i="24"/>
  <c r="L16" i="24"/>
  <c r="K16" i="24"/>
  <c r="H103" i="24"/>
  <c r="H71" i="24"/>
  <c r="H73" i="24"/>
  <c r="E82" i="24"/>
  <c r="E105" i="24"/>
  <c r="I111" i="24"/>
  <c r="E93" i="24"/>
  <c r="E95" i="24"/>
  <c r="E107" i="24"/>
  <c r="S111" i="24"/>
  <c r="S112" i="24" s="1"/>
  <c r="E72" i="24"/>
  <c r="E103" i="24"/>
  <c r="L83" i="24"/>
  <c r="L105" i="24"/>
  <c r="H82" i="24"/>
  <c r="H105" i="24"/>
  <c r="C111" i="24"/>
  <c r="L71" i="24"/>
  <c r="L73" i="24"/>
  <c r="L103" i="24"/>
  <c r="L104" i="24"/>
  <c r="G111" i="24"/>
  <c r="L94" i="24"/>
  <c r="L107" i="24"/>
  <c r="H93" i="24"/>
  <c r="H107" i="24"/>
  <c r="D111" i="24"/>
  <c r="D112" i="24" s="1"/>
  <c r="C23" i="22"/>
  <c r="H94" i="24"/>
  <c r="H83" i="24"/>
  <c r="H84" i="24"/>
  <c r="L82" i="24"/>
  <c r="E83" i="24"/>
  <c r="L93" i="24"/>
  <c r="E71" i="24"/>
  <c r="E28" i="24"/>
  <c r="E29" i="24"/>
  <c r="L108" i="24"/>
  <c r="L106" i="24"/>
  <c r="E84" i="24"/>
  <c r="L84" i="24"/>
  <c r="H111" i="24"/>
  <c r="E111" i="24"/>
  <c r="L111" i="24"/>
  <c r="L112" i="24" s="1"/>
  <c r="H95" i="24"/>
  <c r="E73" i="24"/>
  <c r="L95" i="24"/>
  <c r="D286" i="21"/>
  <c r="D300" i="21" s="1"/>
  <c r="D301" i="21" s="1"/>
  <c r="K111" i="21"/>
  <c r="S111" i="21"/>
  <c r="H226" i="21"/>
  <c r="H29" i="21"/>
  <c r="L64" i="21"/>
  <c r="H105" i="21"/>
  <c r="D193" i="21"/>
  <c r="D246" i="21"/>
  <c r="C102" i="21"/>
  <c r="C248" i="21"/>
  <c r="C232" i="21"/>
  <c r="C264" i="21" s="1"/>
  <c r="C243" i="21"/>
  <c r="C245" i="21"/>
  <c r="D85" i="21"/>
  <c r="L85" i="21"/>
  <c r="L289" i="21"/>
  <c r="L303" i="21" s="1"/>
  <c r="C242" i="21"/>
  <c r="C251" i="21"/>
  <c r="O184" i="21"/>
  <c r="C241" i="21"/>
  <c r="C238" i="21"/>
  <c r="L105" i="21"/>
  <c r="C25" i="22"/>
  <c r="E25" i="22"/>
  <c r="L193" i="21"/>
  <c r="L246" i="21"/>
  <c r="L89" i="21"/>
  <c r="L91" i="21"/>
  <c r="L92" i="21"/>
  <c r="D91" i="21"/>
  <c r="D92" i="21"/>
  <c r="E173" i="21"/>
  <c r="E10" i="21"/>
  <c r="E11" i="21"/>
  <c r="E49" i="21"/>
  <c r="E181" i="21"/>
  <c r="E79" i="21"/>
  <c r="E285" i="21"/>
  <c r="E299" i="21" s="1"/>
  <c r="C288" i="21"/>
  <c r="C186" i="21"/>
  <c r="C83" i="21"/>
  <c r="H57" i="21"/>
  <c r="H186" i="21"/>
  <c r="C239" i="21"/>
  <c r="K83" i="21"/>
  <c r="K288" i="21"/>
  <c r="K302" i="21" s="1"/>
  <c r="E61" i="21"/>
  <c r="E190" i="21"/>
  <c r="D190" i="21"/>
  <c r="H60" i="21"/>
  <c r="H189" i="21"/>
  <c r="M183" i="21"/>
  <c r="M58" i="21"/>
  <c r="M187" i="21"/>
  <c r="S237" i="21"/>
  <c r="M11" i="21"/>
  <c r="M16" i="21"/>
  <c r="M19" i="21"/>
  <c r="L239" i="21"/>
  <c r="M156" i="21"/>
  <c r="M211" i="21"/>
  <c r="D28" i="22"/>
  <c r="S36" i="21"/>
  <c r="M184" i="21"/>
  <c r="D24" i="22"/>
  <c r="C37" i="22"/>
  <c r="D37" i="22"/>
  <c r="D17" i="22"/>
  <c r="S83" i="21"/>
  <c r="S288" i="21"/>
  <c r="S302" i="21" s="1"/>
  <c r="C33" i="22"/>
  <c r="D23" i="22"/>
  <c r="D38" i="22"/>
  <c r="D48" i="22"/>
  <c r="C38" i="22"/>
  <c r="E23" i="22"/>
  <c r="C27" i="22"/>
  <c r="O58" i="21"/>
  <c r="O187" i="21"/>
  <c r="M239" i="21"/>
  <c r="S58" i="21"/>
  <c r="S187" i="21"/>
  <c r="M83" i="21"/>
  <c r="M288" i="21"/>
  <c r="M302" i="21" s="1"/>
  <c r="H243" i="21"/>
  <c r="O237" i="21"/>
  <c r="O251" i="21"/>
  <c r="M252" i="21"/>
  <c r="M248" i="21"/>
  <c r="O232" i="21"/>
  <c r="O246" i="21"/>
  <c r="C237" i="21"/>
  <c r="M236" i="21"/>
  <c r="E57" i="21"/>
  <c r="O16" i="21"/>
  <c r="O30" i="21"/>
  <c r="S11" i="21"/>
  <c r="K269" i="21"/>
  <c r="K275" i="21" s="1"/>
  <c r="E27" i="21"/>
  <c r="K11" i="21"/>
  <c r="M238" i="21"/>
  <c r="O249" i="21"/>
  <c r="D218" i="21"/>
  <c r="D36" i="21"/>
  <c r="S192" i="21"/>
  <c r="S194" i="21"/>
  <c r="O247" i="21"/>
  <c r="O226" i="21"/>
  <c r="O243" i="21"/>
  <c r="M243" i="21"/>
  <c r="K260" i="21"/>
  <c r="E260" i="21"/>
  <c r="M249" i="21"/>
  <c r="M237" i="21"/>
  <c r="K31" i="21"/>
  <c r="K40" i="21"/>
  <c r="K41" i="21"/>
  <c r="K37" i="21"/>
  <c r="D188" i="21"/>
  <c r="O238" i="21"/>
  <c r="M251" i="21"/>
  <c r="M102" i="21"/>
  <c r="M196" i="21"/>
  <c r="K261" i="21"/>
  <c r="K262" i="21" s="1"/>
  <c r="L194" i="21"/>
  <c r="L29" i="21"/>
  <c r="L251" i="21"/>
  <c r="H261" i="21"/>
  <c r="S270" i="21"/>
  <c r="E28" i="21"/>
  <c r="E105" i="21"/>
  <c r="C219" i="21"/>
  <c r="D118" i="21"/>
  <c r="D138" i="21"/>
  <c r="D147" i="21"/>
  <c r="E220" i="21"/>
  <c r="I237" i="21"/>
  <c r="E67" i="21"/>
  <c r="E196" i="21"/>
  <c r="D269" i="21"/>
  <c r="D275" i="21" s="1"/>
  <c r="E242" i="21"/>
  <c r="D155" i="21"/>
  <c r="D210" i="21"/>
  <c r="H220" i="21"/>
  <c r="M111" i="21"/>
  <c r="H55" i="21"/>
  <c r="H237" i="21"/>
  <c r="C58" i="21"/>
  <c r="C187" i="21"/>
  <c r="E270" i="21"/>
  <c r="C269" i="21"/>
  <c r="C275" i="21" s="1"/>
  <c r="L269" i="21"/>
  <c r="L260" i="21"/>
  <c r="M287" i="21"/>
  <c r="S142" i="21"/>
  <c r="S269" i="21"/>
  <c r="D234" i="21"/>
  <c r="H27" i="21"/>
  <c r="L238" i="21"/>
  <c r="H28" i="21"/>
  <c r="L198" i="21"/>
  <c r="E29" i="21"/>
  <c r="E106" i="21"/>
  <c r="H239" i="21"/>
  <c r="K42" i="21"/>
  <c r="K46" i="21"/>
  <c r="S243" i="21"/>
  <c r="H66" i="21"/>
  <c r="K155" i="21"/>
  <c r="K210" i="21"/>
  <c r="C236" i="21"/>
  <c r="H10" i="21"/>
  <c r="H11" i="21"/>
  <c r="H118" i="21"/>
  <c r="C183" i="21"/>
  <c r="L61" i="21"/>
  <c r="L115" i="21"/>
  <c r="L118" i="21"/>
  <c r="M245" i="21"/>
  <c r="C118" i="21"/>
  <c r="C138" i="21"/>
  <c r="C158" i="21"/>
  <c r="C220" i="21"/>
  <c r="E247" i="21"/>
  <c r="K33" i="21"/>
  <c r="O240" i="21"/>
  <c r="C111" i="21"/>
  <c r="O248" i="21"/>
  <c r="E261" i="21"/>
  <c r="K21" i="21"/>
  <c r="K23" i="21"/>
  <c r="K30" i="21"/>
  <c r="I234" i="21"/>
  <c r="M246" i="21"/>
  <c r="M262" i="21"/>
  <c r="L242" i="21"/>
  <c r="L189" i="21"/>
  <c r="M33" i="21"/>
  <c r="M34" i="21"/>
  <c r="E91" i="21"/>
  <c r="E92" i="21"/>
  <c r="M89" i="21"/>
  <c r="M91" i="21"/>
  <c r="M92" i="21"/>
  <c r="M188" i="21"/>
  <c r="S128" i="21"/>
  <c r="C156" i="21"/>
  <c r="C211" i="21"/>
  <c r="I36" i="21"/>
  <c r="M227" i="21"/>
  <c r="S242" i="21"/>
  <c r="K286" i="21"/>
  <c r="K300" i="21" s="1"/>
  <c r="L156" i="21"/>
  <c r="L211" i="21"/>
  <c r="C246" i="21"/>
  <c r="I188" i="21"/>
  <c r="E189" i="21"/>
  <c r="D249" i="21"/>
  <c r="D58" i="21"/>
  <c r="L37" i="21"/>
  <c r="H128" i="21"/>
  <c r="L155" i="21"/>
  <c r="L210" i="21"/>
  <c r="M85" i="21"/>
  <c r="M289" i="21"/>
  <c r="M303" i="21" s="1"/>
  <c r="M278" i="21"/>
  <c r="C291" i="21"/>
  <c r="C305" i="21"/>
  <c r="H65" i="21"/>
  <c r="H238" i="21"/>
  <c r="L106" i="21"/>
  <c r="L128" i="21"/>
  <c r="L138" i="21" s="1"/>
  <c r="L205" i="21" s="1"/>
  <c r="L67" i="21"/>
  <c r="L249" i="21"/>
  <c r="C155" i="21"/>
  <c r="C210" i="21"/>
  <c r="M30" i="21"/>
  <c r="M155" i="21"/>
  <c r="M210" i="21"/>
  <c r="S82" i="21"/>
  <c r="C247" i="21"/>
  <c r="C16" i="21"/>
  <c r="O242" i="21"/>
  <c r="I196" i="21"/>
  <c r="C234" i="21"/>
  <c r="K233" i="21"/>
  <c r="L27" i="21"/>
  <c r="H59" i="21"/>
  <c r="H241" i="21"/>
  <c r="H234" i="21"/>
  <c r="E238" i="21"/>
  <c r="H67" i="21"/>
  <c r="H196" i="21"/>
  <c r="S240" i="21"/>
  <c r="S189" i="21"/>
  <c r="E249" i="21"/>
  <c r="M40" i="21"/>
  <c r="M42" i="21"/>
  <c r="H242" i="21"/>
  <c r="E111" i="21"/>
  <c r="E59" i="21"/>
  <c r="E36" i="21"/>
  <c r="L232" i="21"/>
  <c r="L233" i="21"/>
  <c r="M241" i="21"/>
  <c r="D11" i="21"/>
  <c r="I195" i="21"/>
  <c r="H106" i="21"/>
  <c r="E104" i="21"/>
  <c r="D19" i="21"/>
  <c r="D21" i="21"/>
  <c r="D23" i="21"/>
  <c r="D84" i="21"/>
  <c r="L84" i="21"/>
  <c r="M80" i="21"/>
  <c r="D30" i="21"/>
  <c r="D80" i="21"/>
  <c r="L80" i="21"/>
  <c r="D40" i="21"/>
  <c r="D42" i="21"/>
  <c r="D44" i="21"/>
  <c r="D177" i="21"/>
  <c r="L236" i="21"/>
  <c r="L183" i="21"/>
  <c r="G40" i="21"/>
  <c r="G30" i="21"/>
  <c r="G19" i="21"/>
  <c r="H262" i="21"/>
  <c r="L196" i="21"/>
  <c r="S40" i="21"/>
  <c r="S42" i="21"/>
  <c r="S19" i="21"/>
  <c r="S30" i="21"/>
  <c r="C287" i="21"/>
  <c r="D240" i="21"/>
  <c r="D187" i="21"/>
  <c r="D62" i="21"/>
  <c r="D191" i="21"/>
  <c r="M240" i="21"/>
  <c r="S249" i="21"/>
  <c r="H49" i="21"/>
  <c r="H181" i="21"/>
  <c r="C270" i="21"/>
  <c r="C276" i="21" s="1"/>
  <c r="D287" i="21"/>
  <c r="K80" i="21"/>
  <c r="S80" i="21"/>
  <c r="O19" i="21"/>
  <c r="L49" i="21"/>
  <c r="L181" i="21"/>
  <c r="H63" i="21"/>
  <c r="H192" i="21"/>
  <c r="D184" i="21"/>
  <c r="O241" i="21"/>
  <c r="E55" i="21"/>
  <c r="E58" i="21"/>
  <c r="E118" i="21"/>
  <c r="E16" i="21"/>
  <c r="E30" i="21"/>
  <c r="E243" i="21"/>
  <c r="E236" i="21"/>
  <c r="M62" i="21"/>
  <c r="M191" i="21"/>
  <c r="I33" i="21"/>
  <c r="O62" i="21"/>
  <c r="O191" i="21"/>
  <c r="C260" i="21"/>
  <c r="C262" i="21"/>
  <c r="I11" i="21"/>
  <c r="O40" i="21"/>
  <c r="O42" i="21"/>
  <c r="E232" i="21"/>
  <c r="E264" i="21" s="1"/>
  <c r="E234" i="21"/>
  <c r="S248" i="21"/>
  <c r="G234" i="21"/>
  <c r="L48" i="21"/>
  <c r="L180" i="21"/>
  <c r="H198" i="21"/>
  <c r="H111" i="21"/>
  <c r="I34" i="21"/>
  <c r="L55" i="21"/>
  <c r="L184" i="21"/>
  <c r="E63" i="21"/>
  <c r="C249" i="21"/>
  <c r="E246" i="21"/>
  <c r="H16" i="21"/>
  <c r="E101" i="21"/>
  <c r="E102" i="21"/>
  <c r="K227" i="21"/>
  <c r="H135" i="21"/>
  <c r="E135" i="21"/>
  <c r="E31" i="21"/>
  <c r="K285" i="21"/>
  <c r="K299" i="21" s="1"/>
  <c r="H179" i="21"/>
  <c r="G11" i="21"/>
  <c r="L79" i="21"/>
  <c r="L285" i="21"/>
  <c r="L299" i="21" s="1"/>
  <c r="S196" i="21"/>
  <c r="L135" i="21"/>
  <c r="L31" i="21"/>
  <c r="O245" i="21"/>
  <c r="M279" i="21"/>
  <c r="I243" i="21"/>
  <c r="I30" i="21"/>
  <c r="H64" i="21"/>
  <c r="H193" i="21"/>
  <c r="H54" i="21"/>
  <c r="S101" i="21"/>
  <c r="S102" i="21"/>
  <c r="D102" i="21"/>
  <c r="O193" i="21"/>
  <c r="E82" i="21"/>
  <c r="E155" i="21"/>
  <c r="E210" i="21"/>
  <c r="H101" i="21"/>
  <c r="D227" i="21"/>
  <c r="E179" i="21"/>
  <c r="K175" i="21"/>
  <c r="K44" i="21"/>
  <c r="K177" i="21"/>
  <c r="I40" i="21"/>
  <c r="I42" i="21"/>
  <c r="E289" i="21"/>
  <c r="E303" i="21" s="1"/>
  <c r="L63" i="21"/>
  <c r="K89" i="21"/>
  <c r="K91" i="21"/>
  <c r="K92" i="21"/>
  <c r="D192" i="21"/>
  <c r="K102" i="21"/>
  <c r="L59" i="21"/>
  <c r="L188" i="21"/>
  <c r="E128" i="21"/>
  <c r="D291" i="21"/>
  <c r="D305" i="21" s="1"/>
  <c r="L261" i="21"/>
  <c r="L262" i="21"/>
  <c r="D32" i="21"/>
  <c r="D137" i="21"/>
  <c r="D293" i="21"/>
  <c r="D307" i="21" s="1"/>
  <c r="D309" i="21" s="1"/>
  <c r="D205" i="21"/>
  <c r="D258" i="21"/>
  <c r="D161" i="21"/>
  <c r="D292" i="21"/>
  <c r="D306" i="21" s="1"/>
  <c r="D308" i="21" s="1"/>
  <c r="M234" i="21"/>
  <c r="M233" i="21"/>
  <c r="E269" i="21"/>
  <c r="E275" i="21" s="1"/>
  <c r="I46" i="21"/>
  <c r="I236" i="21"/>
  <c r="I58" i="21"/>
  <c r="M21" i="21"/>
  <c r="M23" i="21"/>
  <c r="H249" i="21"/>
  <c r="D233" i="21"/>
  <c r="K85" i="21"/>
  <c r="S188" i="21"/>
  <c r="M244" i="21"/>
  <c r="S233" i="21"/>
  <c r="S234" i="21"/>
  <c r="H199" i="21"/>
  <c r="H252" i="21"/>
  <c r="S260" i="21"/>
  <c r="S262" i="21"/>
  <c r="S135" i="21"/>
  <c r="L279" i="21"/>
  <c r="I183" i="21"/>
  <c r="K234" i="21"/>
  <c r="O234" i="21"/>
  <c r="S227" i="21"/>
  <c r="L199" i="21"/>
  <c r="L252" i="21"/>
  <c r="L104" i="21"/>
  <c r="L101" i="21"/>
  <c r="L66" i="21"/>
  <c r="D195" i="21"/>
  <c r="E66" i="21"/>
  <c r="L227" i="21"/>
  <c r="L10" i="21"/>
  <c r="L26" i="21"/>
  <c r="S116" i="21"/>
  <c r="S118" i="21"/>
  <c r="K118" i="21"/>
  <c r="K138" i="21"/>
  <c r="E241" i="21"/>
  <c r="E85" i="21"/>
  <c r="S62" i="21"/>
  <c r="L278" i="21"/>
  <c r="D158" i="21"/>
  <c r="D153" i="21"/>
  <c r="M118" i="21"/>
  <c r="M138" i="21"/>
  <c r="C205" i="21"/>
  <c r="C161" i="21"/>
  <c r="C292" i="21"/>
  <c r="C306" i="21"/>
  <c r="L109" i="21"/>
  <c r="L111" i="21"/>
  <c r="D111" i="21"/>
  <c r="D140" i="21"/>
  <c r="S241" i="21"/>
  <c r="D27" i="22"/>
  <c r="F23" i="22"/>
  <c r="D25" i="22"/>
  <c r="F25" i="22"/>
  <c r="D260" i="21"/>
  <c r="D261" i="21"/>
  <c r="E288" i="21"/>
  <c r="E302" i="21" s="1"/>
  <c r="E83" i="21"/>
  <c r="E239" i="21"/>
  <c r="E186" i="21"/>
  <c r="C62" i="21"/>
  <c r="D270" i="21"/>
  <c r="D276" i="21" s="1"/>
  <c r="L287" i="21"/>
  <c r="D244" i="21"/>
  <c r="C240" i="21"/>
  <c r="E188" i="21"/>
  <c r="D220" i="21"/>
  <c r="K228" i="21"/>
  <c r="K230" i="21"/>
  <c r="M68" i="21"/>
  <c r="C147" i="21"/>
  <c r="E262" i="21"/>
  <c r="M81" i="21"/>
  <c r="H184" i="21"/>
  <c r="L36" i="21"/>
  <c r="H195" i="21"/>
  <c r="H248" i="21"/>
  <c r="C137" i="21"/>
  <c r="C162" i="21"/>
  <c r="L190" i="21"/>
  <c r="L243" i="21"/>
  <c r="E291" i="21"/>
  <c r="E305" i="21" s="1"/>
  <c r="C258" i="21"/>
  <c r="C266" i="21"/>
  <c r="C272" i="21" s="1"/>
  <c r="H138" i="21"/>
  <c r="H140" i="21"/>
  <c r="C153" i="21"/>
  <c r="H246" i="21"/>
  <c r="C32" i="21"/>
  <c r="C140" i="21"/>
  <c r="L237" i="21"/>
  <c r="L234" i="21"/>
  <c r="S138" i="21"/>
  <c r="S153" i="21"/>
  <c r="H188" i="21"/>
  <c r="L58" i="21"/>
  <c r="L187" i="21"/>
  <c r="L291" i="21"/>
  <c r="L305" i="21" s="1"/>
  <c r="H36" i="21"/>
  <c r="C30" i="21"/>
  <c r="C19" i="21"/>
  <c r="C40" i="21"/>
  <c r="C42" i="21"/>
  <c r="C80" i="21"/>
  <c r="H247" i="21"/>
  <c r="H194" i="21"/>
  <c r="O68" i="21"/>
  <c r="O71" i="21"/>
  <c r="M43" i="21"/>
  <c r="M176" i="21"/>
  <c r="S43" i="21"/>
  <c r="S176" i="21"/>
  <c r="S156" i="21"/>
  <c r="S211" i="21"/>
  <c r="S155" i="21"/>
  <c r="S210" i="21"/>
  <c r="S286" i="21"/>
  <c r="S300" i="21" s="1"/>
  <c r="S301" i="21" s="1"/>
  <c r="I175" i="21"/>
  <c r="L102" i="21"/>
  <c r="I228" i="21"/>
  <c r="I230" i="21"/>
  <c r="O44" i="21"/>
  <c r="O177" i="21"/>
  <c r="D228" i="21"/>
  <c r="D81" i="21"/>
  <c r="O46" i="21"/>
  <c r="M175" i="21"/>
  <c r="M46" i="21"/>
  <c r="M228" i="21"/>
  <c r="M230" i="21"/>
  <c r="M44" i="21"/>
  <c r="M177" i="21"/>
  <c r="E62" i="21"/>
  <c r="E187" i="21"/>
  <c r="E240" i="21"/>
  <c r="O33" i="21"/>
  <c r="O34" i="21"/>
  <c r="O21" i="21"/>
  <c r="O23" i="21"/>
  <c r="O228" i="21"/>
  <c r="O230" i="21"/>
  <c r="E19" i="21"/>
  <c r="E80" i="21"/>
  <c r="O244" i="21"/>
  <c r="H183" i="21"/>
  <c r="H236" i="21"/>
  <c r="H58" i="21"/>
  <c r="E40" i="21"/>
  <c r="E42" i="21"/>
  <c r="E44" i="21"/>
  <c r="E177" i="21"/>
  <c r="I44" i="21"/>
  <c r="I177" i="21"/>
  <c r="L241" i="21"/>
  <c r="K287" i="21"/>
  <c r="E184" i="21"/>
  <c r="E237" i="21"/>
  <c r="S44" i="21"/>
  <c r="S177" i="21"/>
  <c r="S46" i="21"/>
  <c r="S175" i="21"/>
  <c r="S228" i="21"/>
  <c r="G34" i="21"/>
  <c r="G33" i="21"/>
  <c r="G21" i="21"/>
  <c r="G23" i="21"/>
  <c r="D34" i="21"/>
  <c r="D33" i="21"/>
  <c r="G41" i="21"/>
  <c r="G37" i="21"/>
  <c r="E156" i="21"/>
  <c r="E211" i="21"/>
  <c r="E286" i="21"/>
  <c r="E300" i="21" s="1"/>
  <c r="E301" i="21" s="1"/>
  <c r="H30" i="21"/>
  <c r="H19" i="21"/>
  <c r="H40" i="21"/>
  <c r="H42" i="21"/>
  <c r="H245" i="21"/>
  <c r="E245" i="21"/>
  <c r="E192" i="21"/>
  <c r="E138" i="21"/>
  <c r="D86" i="21"/>
  <c r="L86" i="21"/>
  <c r="L290" i="21"/>
  <c r="L304" i="21" s="1"/>
  <c r="D68" i="21"/>
  <c r="D290" i="21"/>
  <c r="D304" i="21" s="1"/>
  <c r="S34" i="21"/>
  <c r="S33" i="21"/>
  <c r="S21" i="21"/>
  <c r="S23" i="21"/>
  <c r="D46" i="21"/>
  <c r="D175" i="21"/>
  <c r="C204" i="21"/>
  <c r="O175" i="21"/>
  <c r="L245" i="21"/>
  <c r="L192" i="21"/>
  <c r="L147" i="21"/>
  <c r="L292" i="21"/>
  <c r="L306" i="21" s="1"/>
  <c r="L308" i="21" s="1"/>
  <c r="L137" i="21"/>
  <c r="L159" i="21"/>
  <c r="L140" i="21"/>
  <c r="L153" i="21"/>
  <c r="L294" i="21"/>
  <c r="D162" i="21"/>
  <c r="L161" i="21"/>
  <c r="D167" i="21"/>
  <c r="L32" i="21"/>
  <c r="D152" i="21"/>
  <c r="D295" i="21"/>
  <c r="L158" i="21"/>
  <c r="D159" i="21"/>
  <c r="L258" i="21"/>
  <c r="L267" i="21"/>
  <c r="D204" i="21"/>
  <c r="D148" i="21"/>
  <c r="D267" i="21"/>
  <c r="D273" i="21" s="1"/>
  <c r="E248" i="21"/>
  <c r="E195" i="21"/>
  <c r="S244" i="21"/>
  <c r="S191" i="21"/>
  <c r="S68" i="21"/>
  <c r="C68" i="21"/>
  <c r="C191" i="21"/>
  <c r="C86" i="21"/>
  <c r="C244" i="21"/>
  <c r="C290" i="21"/>
  <c r="C304" i="21" s="1"/>
  <c r="K86" i="21"/>
  <c r="S137" i="21"/>
  <c r="S258" i="21"/>
  <c r="S292" i="21"/>
  <c r="S306" i="21" s="1"/>
  <c r="S308" i="21" s="1"/>
  <c r="S147" i="21"/>
  <c r="S32" i="21"/>
  <c r="S31" i="21"/>
  <c r="S291" i="21"/>
  <c r="S305" i="21" s="1"/>
  <c r="L11" i="21"/>
  <c r="L16" i="21"/>
  <c r="I240" i="21"/>
  <c r="I187" i="21"/>
  <c r="I62" i="21"/>
  <c r="K258" i="21"/>
  <c r="K205" i="21"/>
  <c r="K32" i="21"/>
  <c r="K161" i="21"/>
  <c r="K137" i="21"/>
  <c r="K292" i="21"/>
  <c r="K306" i="21" s="1"/>
  <c r="K308" i="21" s="1"/>
  <c r="K158" i="21"/>
  <c r="K140" i="21"/>
  <c r="K153" i="21"/>
  <c r="K147" i="21"/>
  <c r="M161" i="21"/>
  <c r="M137" i="21"/>
  <c r="M292" i="21"/>
  <c r="M306" i="21" s="1"/>
  <c r="M308" i="21" s="1"/>
  <c r="M153" i="21"/>
  <c r="M147" i="21"/>
  <c r="M32" i="21"/>
  <c r="M140" i="21"/>
  <c r="M205" i="21"/>
  <c r="M258" i="21"/>
  <c r="M158" i="21"/>
  <c r="L195" i="21"/>
  <c r="L248" i="21"/>
  <c r="S85" i="21"/>
  <c r="S289" i="21"/>
  <c r="S303" i="21" s="1"/>
  <c r="K289" i="21"/>
  <c r="K303" i="21" s="1"/>
  <c r="M165" i="21"/>
  <c r="M214" i="21"/>
  <c r="M164" i="21"/>
  <c r="M213" i="21"/>
  <c r="M84" i="21"/>
  <c r="D294" i="21"/>
  <c r="D208" i="21"/>
  <c r="M197" i="21"/>
  <c r="M71" i="21"/>
  <c r="M72" i="21"/>
  <c r="M250" i="21"/>
  <c r="D262" i="21"/>
  <c r="D266" i="21"/>
  <c r="D272" i="21" s="1"/>
  <c r="C167" i="21"/>
  <c r="C152" i="21"/>
  <c r="C159" i="21"/>
  <c r="C148" i="21"/>
  <c r="C293" i="21"/>
  <c r="C307" i="21"/>
  <c r="S161" i="21"/>
  <c r="C267" i="21"/>
  <c r="C273" i="21" s="1"/>
  <c r="H258" i="21"/>
  <c r="H147" i="21"/>
  <c r="L208" i="21"/>
  <c r="H137" i="21"/>
  <c r="H148" i="21"/>
  <c r="S140" i="21"/>
  <c r="S205" i="21"/>
  <c r="S158" i="21"/>
  <c r="O72" i="21"/>
  <c r="O73" i="21"/>
  <c r="C208" i="21"/>
  <c r="C294" i="21"/>
  <c r="O197" i="21"/>
  <c r="S278" i="21"/>
  <c r="S287" i="21"/>
  <c r="C81" i="21"/>
  <c r="C46" i="21"/>
  <c r="C228" i="21"/>
  <c r="C230" i="21"/>
  <c r="C44" i="21"/>
  <c r="C177" i="21"/>
  <c r="C175" i="21"/>
  <c r="D43" i="21"/>
  <c r="D176" i="21"/>
  <c r="C33" i="21"/>
  <c r="C21" i="21"/>
  <c r="C23" i="21"/>
  <c r="C84" i="21"/>
  <c r="C34" i="21"/>
  <c r="L240" i="21"/>
  <c r="O250" i="21"/>
  <c r="K81" i="21"/>
  <c r="L62" i="21"/>
  <c r="E244" i="21"/>
  <c r="E86" i="21"/>
  <c r="E191" i="21"/>
  <c r="E290" i="21"/>
  <c r="E304" i="21" s="1"/>
  <c r="H46" i="21"/>
  <c r="H44" i="21"/>
  <c r="H177" i="21"/>
  <c r="H175" i="21"/>
  <c r="H228" i="21"/>
  <c r="H230" i="21"/>
  <c r="E175" i="21"/>
  <c r="D250" i="21"/>
  <c r="D197" i="21"/>
  <c r="D71" i="21"/>
  <c r="D230" i="21"/>
  <c r="D229" i="21"/>
  <c r="E81" i="21"/>
  <c r="E165" i="21"/>
  <c r="E214" i="21"/>
  <c r="E228" i="21"/>
  <c r="E230" i="21"/>
  <c r="E287" i="21"/>
  <c r="H62" i="21"/>
  <c r="H240" i="21"/>
  <c r="H187" i="21"/>
  <c r="C295" i="21"/>
  <c r="C207" i="21"/>
  <c r="H33" i="21"/>
  <c r="H21" i="21"/>
  <c r="H23" i="21"/>
  <c r="H34" i="21"/>
  <c r="M229" i="21"/>
  <c r="E68" i="21"/>
  <c r="E197" i="21"/>
  <c r="E46" i="21"/>
  <c r="E158" i="21"/>
  <c r="E137" i="21"/>
  <c r="E161" i="21"/>
  <c r="E147" i="21"/>
  <c r="E258" i="21"/>
  <c r="E205" i="21"/>
  <c r="E140" i="21"/>
  <c r="E32" i="21"/>
  <c r="E153" i="21"/>
  <c r="E292" i="21"/>
  <c r="E306" i="21" s="1"/>
  <c r="E308" i="21" s="1"/>
  <c r="S230" i="21"/>
  <c r="S229" i="21"/>
  <c r="G42" i="21"/>
  <c r="E34" i="21"/>
  <c r="E21" i="21"/>
  <c r="E23" i="21"/>
  <c r="E84" i="21"/>
  <c r="E33" i="21"/>
  <c r="L81" i="21"/>
  <c r="D165" i="21"/>
  <c r="D214" i="21"/>
  <c r="D164" i="21"/>
  <c r="D213" i="21"/>
  <c r="L266" i="21"/>
  <c r="L152" i="21"/>
  <c r="L207" i="21"/>
  <c r="L148" i="21"/>
  <c r="L293" i="21"/>
  <c r="L307" i="21" s="1"/>
  <c r="L309" i="21" s="1"/>
  <c r="L162" i="21"/>
  <c r="L204" i="21"/>
  <c r="L167" i="21"/>
  <c r="D207" i="21"/>
  <c r="C250" i="21"/>
  <c r="C197" i="21"/>
  <c r="C71" i="21"/>
  <c r="C72" i="21"/>
  <c r="K204" i="21"/>
  <c r="K167" i="21"/>
  <c r="K293" i="21"/>
  <c r="K307" i="21" s="1"/>
  <c r="K309" i="21" s="1"/>
  <c r="K162" i="21"/>
  <c r="K152" i="21"/>
  <c r="K159" i="21"/>
  <c r="K148" i="21"/>
  <c r="L19" i="21"/>
  <c r="L30" i="21"/>
  <c r="L40" i="21"/>
  <c r="L42" i="21"/>
  <c r="S294" i="21"/>
  <c r="S208" i="21"/>
  <c r="S197" i="21"/>
  <c r="S250" i="21"/>
  <c r="S71" i="21"/>
  <c r="K294" i="21"/>
  <c r="K208" i="21"/>
  <c r="K266" i="21"/>
  <c r="K272" i="21" s="1"/>
  <c r="K267" i="21"/>
  <c r="K273" i="21" s="1"/>
  <c r="K290" i="21"/>
  <c r="K304" i="21" s="1"/>
  <c r="S86" i="21"/>
  <c r="S290" i="21"/>
  <c r="S304" i="21" s="1"/>
  <c r="O200" i="21"/>
  <c r="O76" i="21"/>
  <c r="O253" i="21"/>
  <c r="M267" i="21"/>
  <c r="M266" i="21"/>
  <c r="M254" i="21"/>
  <c r="M201" i="21"/>
  <c r="S162" i="21"/>
  <c r="S204" i="21"/>
  <c r="S159" i="21"/>
  <c r="S148" i="21"/>
  <c r="S167" i="21"/>
  <c r="S293" i="21"/>
  <c r="S307" i="21" s="1"/>
  <c r="S309" i="21" s="1"/>
  <c r="S152" i="21"/>
  <c r="M253" i="21"/>
  <c r="M200" i="21"/>
  <c r="M76" i="21"/>
  <c r="O201" i="21"/>
  <c r="M293" i="21"/>
  <c r="M307" i="21" s="1"/>
  <c r="M309" i="21" s="1"/>
  <c r="M159" i="21"/>
  <c r="M204" i="21"/>
  <c r="M167" i="21"/>
  <c r="M152" i="21"/>
  <c r="M162" i="21"/>
  <c r="M148" i="21"/>
  <c r="I68" i="21"/>
  <c r="I244" i="21"/>
  <c r="M86" i="21"/>
  <c r="M290" i="21"/>
  <c r="M304" i="21" s="1"/>
  <c r="I191" i="21"/>
  <c r="M208" i="21"/>
  <c r="M294" i="21"/>
  <c r="S267" i="21"/>
  <c r="S266" i="21"/>
  <c r="E164" i="21"/>
  <c r="E213" i="21"/>
  <c r="O254" i="21"/>
  <c r="C164" i="21"/>
  <c r="C213" i="21"/>
  <c r="C165" i="21"/>
  <c r="C214" i="21"/>
  <c r="E250" i="21"/>
  <c r="K84" i="21"/>
  <c r="S84" i="21"/>
  <c r="S279" i="21"/>
  <c r="L244" i="21"/>
  <c r="L68" i="21"/>
  <c r="L191" i="21"/>
  <c r="S81" i="21"/>
  <c r="K164" i="21"/>
  <c r="K213" i="21"/>
  <c r="K165" i="21"/>
  <c r="K214" i="21"/>
  <c r="L164" i="21"/>
  <c r="L213" i="21"/>
  <c r="L165" i="21"/>
  <c r="L214" i="21"/>
  <c r="E294" i="21"/>
  <c r="E208" i="21"/>
  <c r="E159" i="21"/>
  <c r="E167" i="21"/>
  <c r="E293" i="21"/>
  <c r="E307" i="21" s="1"/>
  <c r="E309" i="21" s="1"/>
  <c r="E152" i="21"/>
  <c r="E148" i="21"/>
  <c r="E204" i="21"/>
  <c r="E162" i="21"/>
  <c r="G44" i="21"/>
  <c r="G177" i="21"/>
  <c r="G228" i="21"/>
  <c r="K43" i="21"/>
  <c r="K176" i="21"/>
  <c r="G175" i="21"/>
  <c r="G46" i="21"/>
  <c r="E267" i="21"/>
  <c r="E273" i="21" s="1"/>
  <c r="E266" i="21"/>
  <c r="E272" i="21" s="1"/>
  <c r="D76" i="21"/>
  <c r="D72" i="21"/>
  <c r="D253" i="21"/>
  <c r="D200" i="21"/>
  <c r="H244" i="21"/>
  <c r="H68" i="21"/>
  <c r="H191" i="21"/>
  <c r="L295" i="21"/>
  <c r="O202" i="21"/>
  <c r="O256" i="21"/>
  <c r="M295" i="21"/>
  <c r="M207" i="21"/>
  <c r="S200" i="21"/>
  <c r="S76" i="21"/>
  <c r="S253" i="21"/>
  <c r="L71" i="21"/>
  <c r="L175" i="21"/>
  <c r="L43" i="21"/>
  <c r="L176" i="21"/>
  <c r="L46" i="21"/>
  <c r="L44" i="21"/>
  <c r="L177" i="21"/>
  <c r="L228" i="21"/>
  <c r="K295" i="21"/>
  <c r="K207" i="21"/>
  <c r="I197" i="21"/>
  <c r="I71" i="21"/>
  <c r="I250" i="21"/>
  <c r="S72" i="21"/>
  <c r="L33" i="21"/>
  <c r="L34" i="21"/>
  <c r="L21" i="21"/>
  <c r="L23" i="21"/>
  <c r="C76" i="21"/>
  <c r="C200" i="21"/>
  <c r="H71" i="21"/>
  <c r="C253" i="21"/>
  <c r="C201" i="21"/>
  <c r="C254" i="21"/>
  <c r="C73" i="21"/>
  <c r="S295" i="21"/>
  <c r="S207" i="21"/>
  <c r="S165" i="21"/>
  <c r="S214" i="21"/>
  <c r="S164" i="21"/>
  <c r="S213" i="21"/>
  <c r="L250" i="21"/>
  <c r="L197" i="21"/>
  <c r="G230" i="21"/>
  <c r="K229" i="21"/>
  <c r="D254" i="21"/>
  <c r="D201" i="21"/>
  <c r="H250" i="21"/>
  <c r="H197" i="21"/>
  <c r="E295" i="21"/>
  <c r="E207" i="21"/>
  <c r="H253" i="21"/>
  <c r="H200" i="21"/>
  <c r="H76" i="21"/>
  <c r="H72" i="21"/>
  <c r="I200" i="21"/>
  <c r="I253" i="21"/>
  <c r="I76" i="21"/>
  <c r="E71" i="21"/>
  <c r="L253" i="21"/>
  <c r="L200" i="21"/>
  <c r="L76" i="21"/>
  <c r="L72" i="21"/>
  <c r="C75" i="21"/>
  <c r="S73" i="21"/>
  <c r="C202" i="21"/>
  <c r="C256" i="21"/>
  <c r="D73" i="21"/>
  <c r="L230" i="21"/>
  <c r="L229" i="21"/>
  <c r="S201" i="21"/>
  <c r="S254" i="21"/>
  <c r="I72" i="21"/>
  <c r="E200" i="21"/>
  <c r="E253" i="21"/>
  <c r="E76" i="21"/>
  <c r="E72" i="21"/>
  <c r="L73" i="21"/>
  <c r="S202" i="21"/>
  <c r="S256" i="21"/>
  <c r="S75" i="21"/>
  <c r="I73" i="21"/>
  <c r="I201" i="21"/>
  <c r="I254" i="21"/>
  <c r="L201" i="21"/>
  <c r="L254" i="21"/>
  <c r="H201" i="21"/>
  <c r="H254" i="21"/>
  <c r="H73" i="21"/>
  <c r="D75" i="21"/>
  <c r="D202" i="21"/>
  <c r="D256" i="21"/>
  <c r="E73" i="21"/>
  <c r="I202" i="21"/>
  <c r="I256" i="21"/>
  <c r="H75" i="21"/>
  <c r="H202" i="21"/>
  <c r="H256" i="21"/>
  <c r="M73" i="21"/>
  <c r="L75" i="21"/>
  <c r="L202" i="21"/>
  <c r="L256" i="21"/>
  <c r="E201" i="21"/>
  <c r="E254" i="21"/>
  <c r="M202" i="21"/>
  <c r="M256" i="21"/>
  <c r="M75" i="21"/>
  <c r="E75" i="21"/>
  <c r="E202" i="21"/>
  <c r="E256" i="21"/>
  <c r="E279" i="21" l="1"/>
  <c r="E278" i="21"/>
  <c r="K301" i="21"/>
  <c r="E276" i="21"/>
  <c r="C302" i="21"/>
  <c r="C279" i="21"/>
  <c r="C278" i="21"/>
  <c r="K112" i="24"/>
  <c r="M112" i="24"/>
  <c r="L301" i="21"/>
  <c r="C303" i="21"/>
  <c r="M264" i="21"/>
  <c r="D279" i="21"/>
  <c r="D278" i="21"/>
  <c r="L264" i="21"/>
  <c r="K279" i="21"/>
  <c r="K278" i="21"/>
  <c r="S264" i="21"/>
  <c r="M275" i="21"/>
  <c r="M267" i="15"/>
  <c r="M304" i="15"/>
  <c r="D878" i="17"/>
  <c r="BA93" i="15"/>
  <c r="BD93" i="15"/>
  <c r="V41" i="19"/>
  <c r="U41" i="19"/>
  <c r="R41" i="19"/>
  <c r="Q41" i="19"/>
  <c r="O41" i="19"/>
  <c r="E22" i="19"/>
  <c r="V23" i="19"/>
  <c r="F21" i="19"/>
  <c r="F23" i="19" s="1"/>
  <c r="R23" i="19"/>
  <c r="E21" i="19"/>
  <c r="E23" i="19" s="1"/>
  <c r="E8" i="19"/>
  <c r="C299" i="21"/>
  <c r="C300" i="21"/>
  <c r="M276" i="21"/>
  <c r="L276" i="21"/>
  <c r="K276" i="21"/>
  <c r="M301" i="21"/>
  <c r="C301" i="21" l="1"/>
  <c r="C308" i="21"/>
  <c r="C309" i="21"/>
  <c r="BD95" i="15"/>
  <c r="O93" i="15"/>
  <c r="N93" i="15"/>
  <c r="BA95" i="15"/>
  <c r="D880" i="17"/>
  <c r="D882" i="17"/>
  <c r="S272" i="21"/>
  <c r="S273" i="21"/>
  <c r="S275" i="21"/>
  <c r="S276" i="21"/>
  <c r="L272" i="21"/>
  <c r="L273" i="21"/>
  <c r="L275" i="21"/>
  <c r="M272" i="21"/>
  <c r="M273" i="21"/>
  <c r="BB96" i="15" l="1"/>
  <c r="N95" i="15"/>
  <c r="BC96" i="15"/>
  <c r="BA96" i="15"/>
  <c r="O95" i="15"/>
  <c r="BD96" i="15"/>
  <c r="O96" i="15" l="1"/>
  <c r="BD168" i="15"/>
  <c r="BD167" i="15"/>
  <c r="N96" i="15"/>
  <c r="BA167" i="15"/>
  <c r="BA168" i="15"/>
  <c r="BC167" i="15"/>
  <c r="BC168" i="15"/>
  <c r="BB167" i="15"/>
  <c r="BB168" i="15"/>
  <c r="N168" i="15" l="1"/>
  <c r="N167" i="15"/>
  <c r="O167" i="15"/>
  <c r="O168" i="1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CRISIL</author>
  </authors>
  <commentList>
    <comment ref="C41" authorId="0" shapeId="0" xr:uid="{F3B22157-0F4B-4A62-A8E1-93A004EB128C}">
      <text>
        <r>
          <rPr>
            <b/>
            <sz val="9"/>
            <color indexed="81"/>
            <rFont val="Tahoma"/>
            <charset val="1"/>
          </rPr>
          <t>CRISIL:</t>
        </r>
        <r>
          <rPr>
            <sz val="9"/>
            <color indexed="81"/>
            <rFont val="Tahoma"/>
            <charset val="1"/>
          </rPr>
          <t xml:space="preserve">
from FS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CRISIL</author>
    <author>Crisil GR&amp;A</author>
    <author>Crisil Intergral IQ</author>
    <author>Akhil G</author>
    <author>CRISIL GR&amp;RS</author>
  </authors>
  <commentList>
    <comment ref="G41" authorId="0" shapeId="0" xr:uid="{565DE141-87F8-42CE-B2C2-C00E8B776078}">
      <text>
        <r>
          <rPr>
            <b/>
            <sz val="9"/>
            <color indexed="81"/>
            <rFont val="Tahoma"/>
            <charset val="1"/>
          </rPr>
          <t>CRISIL:</t>
        </r>
        <r>
          <rPr>
            <sz val="9"/>
            <color indexed="81"/>
            <rFont val="Tahoma"/>
            <charset val="1"/>
          </rPr>
          <t xml:space="preserve">
D&amp;A Back calculated from reported EBITDA </t>
        </r>
      </text>
    </comment>
    <comment ref="K41" authorId="0" shapeId="0" xr:uid="{061FA9C1-E5B7-495B-98A4-B9F4BA1BB438}">
      <text>
        <r>
          <rPr>
            <b/>
            <sz val="9"/>
            <color indexed="81"/>
            <rFont val="Tahoma"/>
            <charset val="1"/>
          </rPr>
          <t>CRISIL:</t>
        </r>
        <r>
          <rPr>
            <sz val="9"/>
            <color indexed="81"/>
            <rFont val="Tahoma"/>
            <charset val="1"/>
          </rPr>
          <t xml:space="preserve">
D&amp;A Back calculated from reported EBITDA </t>
        </r>
      </text>
    </comment>
    <comment ref="G42" authorId="0" shapeId="0" xr:uid="{43C61A52-4406-45C6-878E-1CD7A09C93B6}">
      <text>
        <r>
          <rPr>
            <b/>
            <sz val="9"/>
            <color indexed="81"/>
            <rFont val="Tahoma"/>
            <charset val="1"/>
          </rPr>
          <t>CRISIL:</t>
        </r>
        <r>
          <rPr>
            <sz val="9"/>
            <color indexed="81"/>
            <rFont val="Tahoma"/>
            <charset val="1"/>
          </rPr>
          <t xml:space="preserve">
Assumed same as reported EBITDA as D&amp;A is not available for 3Q25/3Q24</t>
        </r>
      </text>
    </comment>
    <comment ref="K42" authorId="0" shapeId="0" xr:uid="{74B93E9D-2194-468B-8748-9682D26F3968}">
      <text>
        <r>
          <rPr>
            <b/>
            <sz val="9"/>
            <color indexed="81"/>
            <rFont val="Tahoma"/>
            <charset val="1"/>
          </rPr>
          <t>CRISIL:</t>
        </r>
        <r>
          <rPr>
            <sz val="9"/>
            <color indexed="81"/>
            <rFont val="Tahoma"/>
            <charset val="1"/>
          </rPr>
          <t xml:space="preserve">
Assumed same as reported EBITDA as D&amp;A is not available for 3Q25/3Q24</t>
        </r>
      </text>
    </comment>
    <comment ref="B46" authorId="0" shapeId="0" xr:uid="{123484F0-8CBF-4197-BC80-678F267999BA}">
      <text>
        <r>
          <rPr>
            <b/>
            <sz val="9"/>
            <color indexed="81"/>
            <rFont val="Tahoma"/>
            <family val="2"/>
          </rPr>
          <t>CRISIL:</t>
        </r>
        <r>
          <rPr>
            <sz val="9"/>
            <color indexed="81"/>
            <rFont val="Tahoma"/>
            <family val="2"/>
          </rPr>
          <t xml:space="preserve">
Includes effect of
1) Provision for income and social contribution taxes
2) Non-controlling Interest
3) Net Exchange Variation
4) Net Financial Charges
5) Depreciation &amp; Amortization
6) Equivalence of non-controlled companies
7) Expenses related to the restructuring and merger with BRF
8) Hyperinflation
9) Other Operational Revenues/Expenses</t>
        </r>
      </text>
    </comment>
    <comment ref="G50" authorId="0" shapeId="0" xr:uid="{1DBA5982-2D20-4138-A743-CBBCB24D938E}">
      <text>
        <r>
          <rPr>
            <b/>
            <sz val="9"/>
            <color indexed="81"/>
            <rFont val="Tahoma"/>
            <charset val="1"/>
          </rPr>
          <t>CRISIL:</t>
        </r>
        <r>
          <rPr>
            <sz val="9"/>
            <color indexed="81"/>
            <rFont val="Tahoma"/>
            <charset val="1"/>
          </rPr>
          <t xml:space="preserve">
Data NA</t>
        </r>
      </text>
    </comment>
    <comment ref="K50" authorId="0" shapeId="0" xr:uid="{2C2387FD-9385-4E3C-AE85-FCC3BE3747B9}">
      <text>
        <r>
          <rPr>
            <b/>
            <sz val="9"/>
            <color indexed="81"/>
            <rFont val="Tahoma"/>
            <charset val="1"/>
          </rPr>
          <t>CRISIL:</t>
        </r>
        <r>
          <rPr>
            <sz val="9"/>
            <color indexed="81"/>
            <rFont val="Tahoma"/>
            <charset val="1"/>
          </rPr>
          <t xml:space="preserve">
Data NA</t>
        </r>
      </text>
    </comment>
    <comment ref="B55" authorId="1" shapeId="0" xr:uid="{9EB6BF51-11E8-4B15-8626-EA14E538072B}">
      <text>
        <r>
          <rPr>
            <b/>
            <sz val="9"/>
            <color indexed="81"/>
            <rFont val="Tahoma"/>
            <family val="2"/>
          </rPr>
          <t>Crisil GR&amp;A:</t>
        </r>
        <r>
          <rPr>
            <sz val="9"/>
            <color indexed="81"/>
            <rFont val="Tahoma"/>
            <family val="2"/>
          </rPr>
          <t xml:space="preserve">
Includes 
Trade accounts receivable, current inventory and biological assets and trade payables and supplier chain financing</t>
        </r>
      </text>
    </comment>
    <comment ref="B57" authorId="0" shapeId="0" xr:uid="{04AA94A9-1C00-4D2F-AE86-381B79FD740A}">
      <text>
        <r>
          <rPr>
            <b/>
            <sz val="9"/>
            <color indexed="81"/>
            <rFont val="Tahoma"/>
            <family val="2"/>
          </rPr>
          <t>CRISIL:</t>
        </r>
        <r>
          <rPr>
            <sz val="9"/>
            <color indexed="81"/>
            <rFont val="Tahoma"/>
            <family val="2"/>
          </rPr>
          <t xml:space="preserve">
Interest expenses on financial debt</t>
        </r>
      </text>
    </comment>
    <comment ref="C57" authorId="0" shapeId="0" xr:uid="{D143F339-D334-42CB-8D23-FE990EEEA973}">
      <text>
        <r>
          <rPr>
            <b/>
            <sz val="9"/>
            <color indexed="81"/>
            <rFont val="Tahoma"/>
            <charset val="1"/>
          </rPr>
          <t>CRISIL:</t>
        </r>
        <r>
          <rPr>
            <sz val="9"/>
            <color indexed="81"/>
            <rFont val="Tahoma"/>
            <charset val="1"/>
          </rPr>
          <t xml:space="preserve">
As per company's calculations, Calculation of OCF does not deduct Interest expenses (The company adds back Interest expense to PAT to arrive at OCF).
Hence, while we have represented the cash interest expense, we have not subtracted the same from EBITDA to arrive at OCF - so that OCF calculations follow same format as reported by company.
Further this also ensures the balancing figure is inline with remaining non cash items and is minimal for most periods</t>
        </r>
      </text>
    </comment>
    <comment ref="D57" authorId="0" shapeId="0" xr:uid="{7BF346B6-8D38-4295-8535-1836F798EE31}">
      <text>
        <r>
          <rPr>
            <b/>
            <sz val="9"/>
            <color indexed="81"/>
            <rFont val="Tahoma"/>
            <charset val="1"/>
          </rPr>
          <t>CRISIL:</t>
        </r>
        <r>
          <rPr>
            <sz val="9"/>
            <color indexed="81"/>
            <rFont val="Tahoma"/>
            <charset val="1"/>
          </rPr>
          <t xml:space="preserve">
As per company's calculations, Calculation of OCF does not deduct Interest expenses (The company adds back Interest expense to PAT to arrive at OCF).
Hence, while we have represented the cash interest expense, we have not subtracted the same from EBITDA to arrive at OCF - so that OCF calculations follow same format as reported by company.
Further this also ensures the balancing figure is inline with remaining non cash items and is minimal for most periods</t>
        </r>
      </text>
    </comment>
    <comment ref="E57" authorId="0" shapeId="0" xr:uid="{2CA59FA9-5E74-42E3-8ED1-1308A10374EF}">
      <text>
        <r>
          <rPr>
            <b/>
            <sz val="9"/>
            <color indexed="81"/>
            <rFont val="Tahoma"/>
            <charset val="1"/>
          </rPr>
          <t>CRISIL:</t>
        </r>
        <r>
          <rPr>
            <sz val="9"/>
            <color indexed="81"/>
            <rFont val="Tahoma"/>
            <charset val="1"/>
          </rPr>
          <t xml:space="preserve">
As per company's calculations, Calculation of OCF does not deduct Interest expenses (The company adds back Interest expense to PAT to arrive at OCF).
Hence, while we have represented the cash interest expense, we have not subtracted the same from EBITDA to arrive at OCF - so that OCF calculations follow same format as reported by company.
Further this also ensures the balancing figure is inline with remaining non cash items and is minimal for most periods</t>
        </r>
      </text>
    </comment>
    <comment ref="H57" authorId="0" shapeId="0" xr:uid="{0FE564A9-742B-4CA9-99EC-0940913C068B}">
      <text>
        <r>
          <rPr>
            <b/>
            <sz val="9"/>
            <color indexed="81"/>
            <rFont val="Tahoma"/>
            <charset val="1"/>
          </rPr>
          <t>CRISIL:</t>
        </r>
        <r>
          <rPr>
            <sz val="9"/>
            <color indexed="81"/>
            <rFont val="Tahoma"/>
            <charset val="1"/>
          </rPr>
          <t xml:space="preserve">
As per company's calculations, Calculation of OCF does not deduct Interest expenses (The company adds back Interest expense to PAT to arrive at OCF).
Hence, while we have represented the cash interest expense, we have not subtracted the same from EBITDA to arrive at OCF - so that OCF calculations follow same format as reported by company.
Further this also ensures the balancing figure is inline with remaining non cash items and is minimal for most periods</t>
        </r>
      </text>
    </comment>
    <comment ref="I57" authorId="0" shapeId="0" xr:uid="{515DC775-A75F-40F3-A880-49829D53F58A}">
      <text>
        <r>
          <rPr>
            <b/>
            <sz val="9"/>
            <color indexed="81"/>
            <rFont val="Tahoma"/>
            <charset val="1"/>
          </rPr>
          <t>CRISIL:</t>
        </r>
        <r>
          <rPr>
            <sz val="9"/>
            <color indexed="81"/>
            <rFont val="Tahoma"/>
            <charset val="1"/>
          </rPr>
          <t xml:space="preserve">
As per company's calculations, Calculation of OCF does not deduct Interest expenses (The company adds back Interest expense to PAT to arrive at OCF).
Hence, while we have represented the cash interest expense, we have not subtracted the same from EBITDA to arrive at OCF - so that OCF calculations follow same format as reported by company.
Further this also ensures the balancing figure is inline with remaining non cash items and is minimal for most periods</t>
        </r>
      </text>
    </comment>
    <comment ref="L57" authorId="0" shapeId="0" xr:uid="{E3E589DB-AB92-4D1D-B0BA-071D5D56B0DD}">
      <text>
        <r>
          <rPr>
            <b/>
            <sz val="9"/>
            <color indexed="81"/>
            <rFont val="Tahoma"/>
            <charset val="1"/>
          </rPr>
          <t>CRISIL:</t>
        </r>
        <r>
          <rPr>
            <sz val="9"/>
            <color indexed="81"/>
            <rFont val="Tahoma"/>
            <charset val="1"/>
          </rPr>
          <t xml:space="preserve">
As per company's calculations, Calculation of OCF does not deduct Interest expenses (The company adds back Interest expense to PAT to arrive at OCF).
Hence, while we have represented the cash interest expense, we have not subtracted the same from EBITDA to arrive at OCF - so that OCF calculations follow same format as reported by company.
Further this also ensures the balancing figure is inline with remaining non cash items and is minimal for most periods</t>
        </r>
      </text>
    </comment>
    <comment ref="M57" authorId="0" shapeId="0" xr:uid="{D8EA469C-744D-4243-880A-01606DCB6B2A}">
      <text>
        <r>
          <rPr>
            <b/>
            <sz val="9"/>
            <color indexed="81"/>
            <rFont val="Tahoma"/>
            <charset val="1"/>
          </rPr>
          <t>CRISIL:</t>
        </r>
        <r>
          <rPr>
            <sz val="9"/>
            <color indexed="81"/>
            <rFont val="Tahoma"/>
            <charset val="1"/>
          </rPr>
          <t xml:space="preserve">
As per company's calculations, Calculation of OCF does not deduct Interest expenses (The company adds back Interest expense to PAT to arrive at OCF).
Hence, while we have represented the cash interest expense, we have not subtracted the same from EBITDA to arrive at OCF - so that OCF calculations follow same format as reported by company.
Further this also ensures the balancing figure is inline with remaining non cash items and is minimal for most periods</t>
        </r>
      </text>
    </comment>
    <comment ref="O57" authorId="0" shapeId="0" xr:uid="{9C478788-B7B2-4F1E-BE4F-C5FE0A1DE69A}">
      <text>
        <r>
          <rPr>
            <b/>
            <sz val="9"/>
            <color indexed="81"/>
            <rFont val="Tahoma"/>
            <charset val="1"/>
          </rPr>
          <t>CRISIL:</t>
        </r>
        <r>
          <rPr>
            <sz val="9"/>
            <color indexed="81"/>
            <rFont val="Tahoma"/>
            <charset val="1"/>
          </rPr>
          <t xml:space="preserve">
As per company's calculations, Calculation of OCF does not deduct Interest expenses (The company adds back Interest expense to PAT to arrive at OCF).
Hence, while we have represented the cash interest expense, we have not subtracted the same from EBITDA to arrive at OCF - so that OCF calculations follow same format as reported by company.
Further this also ensures the balancing figure is inline with remaining non cash items and is minimal for most periods</t>
        </r>
      </text>
    </comment>
    <comment ref="P57" authorId="0" shapeId="0" xr:uid="{3FFA019B-DFF0-4DA9-80EB-DB567BF08928}">
      <text>
        <r>
          <rPr>
            <b/>
            <sz val="9"/>
            <color indexed="81"/>
            <rFont val="Tahoma"/>
            <charset val="1"/>
          </rPr>
          <t>CRISIL:</t>
        </r>
        <r>
          <rPr>
            <sz val="9"/>
            <color indexed="81"/>
            <rFont val="Tahoma"/>
            <charset val="1"/>
          </rPr>
          <t xml:space="preserve">
As per company's calculations, Calculation of OCF does not deduct Interest expenses (The company adds back Interest expense to PAT to arrive at OCF).
Hence, while we have represented the cash interest expense, we have not subtracted the same from EBITDA to arrive at OCF - so that OCF calculations follow same format as reported by company.
Further this also ensures the balancing figure is inline with remaining non cash items and is minimal for most periods</t>
        </r>
      </text>
    </comment>
    <comment ref="Q57" authorId="0" shapeId="0" xr:uid="{EE025E0F-F4E3-45C6-872E-FFF1CD03416A}">
      <text>
        <r>
          <rPr>
            <b/>
            <sz val="9"/>
            <color indexed="81"/>
            <rFont val="Tahoma"/>
            <charset val="1"/>
          </rPr>
          <t>CRISIL:</t>
        </r>
        <r>
          <rPr>
            <sz val="9"/>
            <color indexed="81"/>
            <rFont val="Tahoma"/>
            <charset val="1"/>
          </rPr>
          <t xml:space="preserve">
As per company's calculations, Calculation of OCF does not deduct Interest expenses (The company adds back Interest expense to PAT to arrive at OCF).
Hence, while we have represented the cash interest expense, we have not subtracted the same from EBITDA to arrive at OCF - so that OCF calculations follow same format as reported by company.
Further this also ensures the balancing figure is inline with remaining non cash items and is minimal for most periods</t>
        </r>
      </text>
    </comment>
    <comment ref="R57" authorId="0" shapeId="0" xr:uid="{3287FCCA-6FF5-448F-87F8-4AC51259F0AB}">
      <text>
        <r>
          <rPr>
            <b/>
            <sz val="9"/>
            <color indexed="81"/>
            <rFont val="Tahoma"/>
            <charset val="1"/>
          </rPr>
          <t>CRISIL:</t>
        </r>
        <r>
          <rPr>
            <sz val="9"/>
            <color indexed="81"/>
            <rFont val="Tahoma"/>
            <charset val="1"/>
          </rPr>
          <t xml:space="preserve">
As per company's calculations, Calculation of OCF does not deduct Interest expenses (The company adds back Interest expense to PAT to arrive at OCF).
Hence, while we have represented the cash interest expense, we have not subtracted the same from EBITDA to arrive at OCF - so that OCF calculations follow same format as reported by company.
Further this also ensures the balancing figure is inline with remaining non cash items and is minimal for most periods</t>
        </r>
      </text>
    </comment>
    <comment ref="S57" authorId="0" shapeId="0" xr:uid="{DDADB557-50F1-4A3D-BE2B-762FC82B0282}">
      <text>
        <r>
          <rPr>
            <b/>
            <sz val="9"/>
            <color indexed="81"/>
            <rFont val="Tahoma"/>
            <charset val="1"/>
          </rPr>
          <t>CRISIL:</t>
        </r>
        <r>
          <rPr>
            <sz val="9"/>
            <color indexed="81"/>
            <rFont val="Tahoma"/>
            <charset val="1"/>
          </rPr>
          <t xml:space="preserve">
As per company's calculations, Calculation of OCF does not deduct Interest expenses (The company adds back Interest expense to PAT to arrive at OCF).
Hence, while we have represented the cash interest expense, we have not subtracted the same from EBITDA to arrive at OCF - so that OCF calculations follow same format as reported by company.
Further this also ensures the balancing figure is inline with remaining non cash items and is minimal for most periods</t>
        </r>
      </text>
    </comment>
    <comment ref="C63" authorId="0" shapeId="0" xr:uid="{E112EB7D-7E1E-4BE5-A787-8D1B95A04C2B}">
      <text>
        <r>
          <rPr>
            <b/>
            <sz val="9"/>
            <color indexed="81"/>
            <rFont val="Tahoma"/>
            <charset val="1"/>
          </rPr>
          <t>CRISIL:</t>
        </r>
        <r>
          <rPr>
            <sz val="9"/>
            <color indexed="81"/>
            <rFont val="Tahoma"/>
            <charset val="1"/>
          </rPr>
          <t xml:space="preserve">
FY includes:
* Financial investments and marketable securities: (2,383.832)</t>
        </r>
      </text>
    </comment>
    <comment ref="D63" authorId="0" shapeId="0" xr:uid="{A7B27FDF-CFB4-4255-B3EE-A2933A91C4A2}">
      <text>
        <r>
          <rPr>
            <b/>
            <sz val="9"/>
            <color indexed="81"/>
            <rFont val="Tahoma"/>
            <charset val="1"/>
          </rPr>
          <t>CRISIL:</t>
        </r>
        <r>
          <rPr>
            <sz val="9"/>
            <color indexed="81"/>
            <rFont val="Tahoma"/>
            <charset val="1"/>
          </rPr>
          <t xml:space="preserve">
FY includes:
* Financial investments and marketable securities: (2,245.002)
* Acquisition of related party, net of cash: (32.728)</t>
        </r>
      </text>
    </comment>
    <comment ref="I63" authorId="0" shapeId="0" xr:uid="{6D958F0F-C63C-41C2-898B-97340012B570}">
      <text>
        <r>
          <rPr>
            <b/>
            <sz val="9"/>
            <color indexed="81"/>
            <rFont val="Tahoma"/>
            <charset val="1"/>
          </rPr>
          <t>CRISIL:</t>
        </r>
        <r>
          <rPr>
            <sz val="9"/>
            <color indexed="81"/>
            <rFont val="Tahoma"/>
            <charset val="1"/>
          </rPr>
          <t xml:space="preserve">
FY includes:
* Financial investments and marketable securities: 1,819.717
</t>
        </r>
      </text>
    </comment>
    <comment ref="M63" authorId="0" shapeId="0" xr:uid="{9916AD05-2674-4547-B209-C551700AEB41}">
      <text>
        <r>
          <rPr>
            <b/>
            <sz val="9"/>
            <color indexed="81"/>
            <rFont val="Tahoma"/>
            <charset val="1"/>
          </rPr>
          <t>CRISIL:</t>
        </r>
        <r>
          <rPr>
            <sz val="9"/>
            <color indexed="81"/>
            <rFont val="Tahoma"/>
            <charset val="1"/>
          </rPr>
          <t xml:space="preserve">
FY includes:
* Financial investments and marketable securities: 900.616
</t>
        </r>
      </text>
    </comment>
    <comment ref="O63" authorId="0" shapeId="0" xr:uid="{8B2EA477-8263-4291-BF19-C49CC04A2C74}">
      <text>
        <r>
          <rPr>
            <b/>
            <sz val="9"/>
            <color indexed="81"/>
            <rFont val="Tahoma"/>
            <charset val="1"/>
          </rPr>
          <t>CRISIL:</t>
        </r>
        <r>
          <rPr>
            <sz val="9"/>
            <color indexed="81"/>
            <rFont val="Tahoma"/>
            <charset val="1"/>
          </rPr>
          <t xml:space="preserve">
FY includes:
* Financial investments and marketable securities: (264.372)</t>
        </r>
      </text>
    </comment>
    <comment ref="S63" authorId="0" shapeId="0" xr:uid="{486C6FE0-1C4A-4F35-A846-D4CC58E865D7}">
      <text>
        <r>
          <rPr>
            <b/>
            <sz val="9"/>
            <color indexed="81"/>
            <rFont val="Tahoma"/>
            <charset val="1"/>
          </rPr>
          <t>CRISIL:</t>
        </r>
        <r>
          <rPr>
            <sz val="9"/>
            <color indexed="81"/>
            <rFont val="Tahoma"/>
            <charset val="1"/>
          </rPr>
          <t xml:space="preserve">
FY includes:
* Financial investments and marketable securities: 1,371.190
* Acquisition of related party, net of cash: (32.728)</t>
        </r>
      </text>
    </comment>
    <comment ref="C67" authorId="0" shapeId="0" xr:uid="{6ED803C9-CEA4-4921-9CE3-CB653BD6679B}">
      <text>
        <r>
          <rPr>
            <b/>
            <sz val="9"/>
            <color indexed="81"/>
            <rFont val="Tahoma"/>
            <charset val="1"/>
          </rPr>
          <t>CRISIL:</t>
        </r>
        <r>
          <rPr>
            <sz val="9"/>
            <color indexed="81"/>
            <rFont val="Tahoma"/>
            <charset val="1"/>
          </rPr>
          <t xml:space="preserve">
FY includes:
* Payment of derivatives - fair value hedge: (110.043)</t>
        </r>
      </text>
    </comment>
    <comment ref="D67" authorId="0" shapeId="0" xr:uid="{6B8ECC3B-8689-4A89-B80F-9ACDEC8092A3}">
      <text>
        <r>
          <rPr>
            <b/>
            <sz val="9"/>
            <color indexed="81"/>
            <rFont val="Tahoma"/>
            <charset val="1"/>
          </rPr>
          <t>CRISIL:</t>
        </r>
        <r>
          <rPr>
            <sz val="9"/>
            <color indexed="81"/>
            <rFont val="Tahoma"/>
            <charset val="1"/>
          </rPr>
          <t xml:space="preserve">
FY includes:
* Payment of derivatives - fair value hedge: (251.337)</t>
        </r>
      </text>
    </comment>
    <comment ref="I67" authorId="0" shapeId="0" xr:uid="{64D60BA0-3DCF-47F7-8DA4-79389747B2CB}">
      <text>
        <r>
          <rPr>
            <b/>
            <sz val="9"/>
            <color indexed="81"/>
            <rFont val="Tahoma"/>
            <charset val="1"/>
          </rPr>
          <t>CRISIL:</t>
        </r>
        <r>
          <rPr>
            <sz val="9"/>
            <color indexed="81"/>
            <rFont val="Tahoma"/>
            <charset val="1"/>
          </rPr>
          <t xml:space="preserve">
FY includes:
* Payment of derivatives - fair value hedge: (52.867)</t>
        </r>
      </text>
    </comment>
    <comment ref="M67" authorId="0" shapeId="0" xr:uid="{4383CFC5-E24D-431D-804B-7F0DE3EEEB0F}">
      <text>
        <r>
          <rPr>
            <b/>
            <sz val="9"/>
            <color indexed="81"/>
            <rFont val="Tahoma"/>
            <charset val="1"/>
          </rPr>
          <t>CRISIL:</t>
        </r>
        <r>
          <rPr>
            <sz val="9"/>
            <color indexed="81"/>
            <rFont val="Tahoma"/>
            <charset val="1"/>
          </rPr>
          <t xml:space="preserve">
FY includes:
* Payment of derivatives - fair value hedge: (119.385)</t>
        </r>
      </text>
    </comment>
    <comment ref="O67" authorId="0" shapeId="0" xr:uid="{E16E26D6-F22D-429D-B429-E22BE7562C54}">
      <text>
        <r>
          <rPr>
            <b/>
            <sz val="9"/>
            <color indexed="81"/>
            <rFont val="Tahoma"/>
            <charset val="1"/>
          </rPr>
          <t>CRISIL:</t>
        </r>
        <r>
          <rPr>
            <sz val="9"/>
            <color indexed="81"/>
            <rFont val="Tahoma"/>
            <charset val="1"/>
          </rPr>
          <t xml:space="preserve">
FY includes:
* Payment of derivatives - fair value hedge: (205.539)</t>
        </r>
      </text>
    </comment>
    <comment ref="S67" authorId="0" shapeId="0" xr:uid="{C3CC4E36-FDA1-46FC-B1E5-78A6AD4E8921}">
      <text>
        <r>
          <rPr>
            <b/>
            <sz val="9"/>
            <color indexed="81"/>
            <rFont val="Tahoma"/>
            <charset val="1"/>
          </rPr>
          <t>CRISIL:</t>
        </r>
        <r>
          <rPr>
            <sz val="9"/>
            <color indexed="81"/>
            <rFont val="Tahoma"/>
            <charset val="1"/>
          </rPr>
          <t xml:space="preserve">
FY includes:
* Payment of derivatives - fair value hedge: (144.191)</t>
        </r>
      </text>
    </comment>
    <comment ref="C71" authorId="2" shapeId="0" xr:uid="{2E19D82B-13D7-4416-A9F3-776EC83FB21E}">
      <text>
        <r>
          <rPr>
            <b/>
            <sz val="9"/>
            <color indexed="81"/>
            <rFont val="Tahoma"/>
            <family val="2"/>
          </rPr>
          <t>Crisil Intergral IQ:</t>
        </r>
        <r>
          <rPr>
            <sz val="9"/>
            <color indexed="81"/>
            <rFont val="Tahoma"/>
            <family val="2"/>
          </rPr>
          <t xml:space="preserve">
It is due to use of EBITDA instead of net income to calculate CFO and other adjustments apart from working capital, majolry:
* Deferred taxes and tax liabilities: (2,696.132)
* Exchange variation on financing: 2,566.791
* Exchange variation on other assets and liabilities: (2,284.281)
* Cost with issue of financial operations: 194.476
* Other non-cash effects: 671.572
* Judicial deposits and contingencies: (413.025)
* Current and deferred taxes: (363.958)
* Notes receivable and payable: (1,342.712)
* Other assets and liabilities: 680.394
</t>
        </r>
      </text>
    </comment>
    <comment ref="D71" authorId="2" shapeId="0" xr:uid="{BC439685-DEEF-47C1-99D5-88EC88DC55DF}">
      <text>
        <r>
          <rPr>
            <b/>
            <sz val="9"/>
            <color indexed="81"/>
            <rFont val="Tahoma"/>
            <family val="2"/>
          </rPr>
          <t>Crisil Intergral IQ:</t>
        </r>
        <r>
          <rPr>
            <sz val="9"/>
            <color indexed="81"/>
            <rFont val="Tahoma"/>
            <family val="2"/>
          </rPr>
          <t xml:space="preserve">
It is due to use of EBITDA instead of net income to calculate CFO and other adjustments apart from working capital, majolry:
* Deferred taxes and tax liabilities: (1,721.310)
* Exchange variation on financing: (1,525.931)
* Exchange variation on other assets and liabilities: 1,505.885
* Cost with issue of financial operations: 200.496
* Adjustment to present value and market-to-market: 1,249.827
* Estimated losses on non-realization of recoverable taxes: 155.285
* Other non-cash effects: (752.942)
* Judicial deposits and contingencies: (623.488)
* Personnel, charges and employee benefits: 493.539
* Current and deferred taxes: (413.047)
* Notes receivable and payable: (2,131.454)
* Other assets and liabilities: 533.102</t>
        </r>
      </text>
    </comment>
    <comment ref="H71" authorId="2" shapeId="0" xr:uid="{7C1FFB01-7422-47C6-87D2-54ACAD59A4BE}">
      <text>
        <r>
          <rPr>
            <b/>
            <sz val="9"/>
            <color indexed="81"/>
            <rFont val="Tahoma"/>
            <family val="2"/>
          </rPr>
          <t>Crisil Intergral IQ:</t>
        </r>
        <r>
          <rPr>
            <sz val="9"/>
            <color indexed="81"/>
            <rFont val="Tahoma"/>
            <family val="2"/>
          </rPr>
          <t xml:space="preserve">
Higher balancing due to difference in reported cash from operations and calculated numbers mainly due to line items under equity changes including market adjustments and deferred taxes</t>
        </r>
      </text>
    </comment>
    <comment ref="I71" authorId="2" shapeId="0" xr:uid="{59F1CEB1-6578-4174-8AAA-EEE2159CB1F1}">
      <text>
        <r>
          <rPr>
            <b/>
            <sz val="9"/>
            <color indexed="81"/>
            <rFont val="Tahoma"/>
            <family val="2"/>
          </rPr>
          <t>Crisil Intergral IQ:</t>
        </r>
        <r>
          <rPr>
            <sz val="9"/>
            <color indexed="81"/>
            <rFont val="Tahoma"/>
            <family val="2"/>
          </rPr>
          <t xml:space="preserve">
It is due to use of EBITDA instead of net income to calculate CFO and other adjustments apart from working capital, majolry:
* Exchange variation on financing: (837.547)
* Deferred taxes and tax liabilities: (579.634) 
* Exchange variation on other assets and liabilities: 928.796 
* Adjustment to present value and market-to-market : 293.076
* Estimated losses on non-realization of recoverable taxes: 95.809
* Other non-cash effects: (187.752)
* Judicial deposits and tax, civil and labor risks: (203.895) 
* Notes receivable and payable:  (1,147.704)
* Other assets and liabilities: (271.949)</t>
        </r>
      </text>
    </comment>
    <comment ref="L71" authorId="2" shapeId="0" xr:uid="{AED6EFB5-2D42-445D-A6FB-4D759FC62895}">
      <text>
        <r>
          <rPr>
            <b/>
            <sz val="9"/>
            <color indexed="81"/>
            <rFont val="Tahoma"/>
            <family val="2"/>
          </rPr>
          <t>Crisil Intergral IQ:</t>
        </r>
        <r>
          <rPr>
            <sz val="9"/>
            <color indexed="81"/>
            <rFont val="Tahoma"/>
            <family val="2"/>
          </rPr>
          <t xml:space="preserve">
Higher balancing due to difference in reported cash from operations and calculated numbers mainly due to line items under equity changes including market adjustments and deferred taxes</t>
        </r>
      </text>
    </comment>
    <comment ref="M71" authorId="2" shapeId="0" xr:uid="{F581E385-FCB9-40F6-8C8B-25C7A5C61135}">
      <text>
        <r>
          <rPr>
            <b/>
            <sz val="9"/>
            <color indexed="81"/>
            <rFont val="Tahoma"/>
            <family val="2"/>
          </rPr>
          <t>Crisil Intergral IQ:</t>
        </r>
        <r>
          <rPr>
            <sz val="9"/>
            <color indexed="81"/>
            <rFont val="Tahoma"/>
            <family val="2"/>
          </rPr>
          <t xml:space="preserve">
It is due to use of EBITDA instead of net income to calculate CFO and other adjustments apart from working capital, majolry:
* Exchange variation on financing: (1,001.649)
* Exchange variation on other assets and liabilities: 631.709
* Other non-cash effects: 83.838
* Judicial deposits and tax, civil and labor risks: (116.723)
* Notes receivable and payable:  (489.336)
* Other assets and liabilities: (553.331)</t>
        </r>
      </text>
    </comment>
    <comment ref="O71" authorId="2" shapeId="0" xr:uid="{E6A9F45C-6A8A-4C17-8A1A-92635E2C83AE}">
      <text>
        <r>
          <rPr>
            <b/>
            <sz val="9"/>
            <color indexed="81"/>
            <rFont val="Tahoma"/>
            <family val="2"/>
          </rPr>
          <t>Crisil Intergral IQ:</t>
        </r>
        <r>
          <rPr>
            <sz val="9"/>
            <color indexed="81"/>
            <rFont val="Tahoma"/>
            <family val="2"/>
          </rPr>
          <t xml:space="preserve">
It is due to use of EBITDA instead of net income to calculate CFO and other adjustments apart from working capital, majolry:
* Provision for contingencies: 252.649
* Deferred taxes and tax liabilities:  (1,259.417)
* Exchange variation on financing: 1,221.204 
* Exchange variation on other assets and liabilities: (949.576)
* Adjustment to present value and market-to-market : 504.358
* Other non-cash effects: 139.518
* Judicial deposits and contingencies: (316.578)
* Current and deferred taxes: 155.898 
* Notes receivable and payable: (876.974)
* Derivative financial instruments: 278.794</t>
        </r>
      </text>
    </comment>
    <comment ref="P71" authorId="2" shapeId="0" xr:uid="{A07FF151-2AE4-4DE0-ACC6-E8A8282ED0DD}">
      <text>
        <r>
          <rPr>
            <b/>
            <sz val="9"/>
            <color indexed="81"/>
            <rFont val="Tahoma"/>
            <family val="2"/>
          </rPr>
          <t>Crisil Intergral IQ:</t>
        </r>
        <r>
          <rPr>
            <sz val="9"/>
            <color indexed="81"/>
            <rFont val="Tahoma"/>
            <family val="2"/>
          </rPr>
          <t xml:space="preserve">
Higher balancing due to difference in reported cash from operations and calculated numbers mainly due to line items under equity changes including market adjustments and deferred taxes</t>
        </r>
      </text>
    </comment>
    <comment ref="Q71" authorId="2" shapeId="0" xr:uid="{C7EE2DE8-09AB-459C-93E8-271469E18481}">
      <text>
        <r>
          <rPr>
            <b/>
            <sz val="9"/>
            <color indexed="81"/>
            <rFont val="Tahoma"/>
            <family val="2"/>
          </rPr>
          <t>Crisil Intergral IQ:</t>
        </r>
        <r>
          <rPr>
            <sz val="9"/>
            <color indexed="81"/>
            <rFont val="Tahoma"/>
            <family val="2"/>
          </rPr>
          <t xml:space="preserve">
Higher balancing due to difference in reported cash from operations and calculated numbers mainly due to line items under equity changes including market adjustments and deferred taxes</t>
        </r>
      </text>
    </comment>
    <comment ref="R71" authorId="2" shapeId="0" xr:uid="{BFE2A8B6-E05B-4FF2-8BB0-6E9C672FF698}">
      <text>
        <r>
          <rPr>
            <b/>
            <sz val="9"/>
            <color indexed="81"/>
            <rFont val="Tahoma"/>
            <family val="2"/>
          </rPr>
          <t>Crisil Intergral IQ:</t>
        </r>
        <r>
          <rPr>
            <sz val="9"/>
            <color indexed="81"/>
            <rFont val="Tahoma"/>
            <family val="2"/>
          </rPr>
          <t xml:space="preserve">
Higher balancing due to difference in reported cash from operations and calculated numbers mainly due to line items under equity changes including market adjustments and deferred taxes</t>
        </r>
      </text>
    </comment>
    <comment ref="S71" authorId="2" shapeId="0" xr:uid="{5815AF09-1DE2-46AF-8E69-9B97E1A46A1D}">
      <text>
        <r>
          <rPr>
            <b/>
            <sz val="9"/>
            <color indexed="81"/>
            <rFont val="Tahoma"/>
            <family val="2"/>
          </rPr>
          <t>Crisil Intergral IQ:</t>
        </r>
        <r>
          <rPr>
            <sz val="9"/>
            <color indexed="81"/>
            <rFont val="Tahoma"/>
            <family val="2"/>
          </rPr>
          <t xml:space="preserve">
It is due to use of EBITDA instead of net income to calculate CFO and other adjustments apart from working capital, majolry:
* Provision for contingencies: 437.022
* Deferred taxes and tax liabilities: (1,410.160)
* Exchange variation on financing: (1,818.375) 
* Exchange variation on other assets and liabilities: 1,959.283
* Adjustment to present value and market-to-market : 952.031
* Other non-cash effects: (673.261)
* Judicial deposits and contingencies: (549.278)
* Current and deferred taxes: (138.465)
* Notes receivable and payable: (1,888.868)
* Derivative financial instruments: 359.329
* Other assets and liabilities: (458.459)</t>
        </r>
      </text>
    </comment>
    <comment ref="B73" authorId="0" shapeId="0" xr:uid="{7D3C4892-3AC5-4154-96DE-FAB4004D7C57}">
      <text>
        <r>
          <rPr>
            <b/>
            <sz val="9"/>
            <color indexed="81"/>
            <rFont val="Tahoma"/>
            <family val="2"/>
          </rPr>
          <t>CRISIL:</t>
        </r>
        <r>
          <rPr>
            <sz val="9"/>
            <color indexed="81"/>
            <rFont val="Tahoma"/>
            <family val="2"/>
          </rPr>
          <t xml:space="preserve">
Marketable securitues not included in cash &amp; cash equivalents</t>
        </r>
      </text>
    </comment>
    <comment ref="I73" authorId="0" shapeId="0" xr:uid="{8BD7489C-DD86-46DB-9314-38B71671FAA3}">
      <text>
        <r>
          <rPr>
            <b/>
            <sz val="9"/>
            <color indexed="81"/>
            <rFont val="Tahoma"/>
            <charset val="1"/>
          </rPr>
          <t>CRISIL:</t>
        </r>
        <r>
          <rPr>
            <sz val="9"/>
            <color indexed="81"/>
            <rFont val="Tahoma"/>
            <charset val="1"/>
          </rPr>
          <t xml:space="preserve">
Starting cash balance restated</t>
        </r>
      </text>
    </comment>
    <comment ref="E75" authorId="0" shapeId="0" xr:uid="{64A52F1D-A641-4739-87D7-DA8ED064A7DD}">
      <text>
        <r>
          <rPr>
            <b/>
            <sz val="9"/>
            <color indexed="81"/>
            <rFont val="Tahoma"/>
            <family val="2"/>
          </rPr>
          <t>CRISIL:</t>
        </r>
        <r>
          <rPr>
            <sz val="9"/>
            <color indexed="81"/>
            <rFont val="Tahoma"/>
            <family val="2"/>
          </rPr>
          <t xml:space="preserve">
Excludes impact of discontinued operations</t>
        </r>
      </text>
    </comment>
    <comment ref="B88" authorId="0" shapeId="0" xr:uid="{BF4E885C-D959-4CA9-B3F2-2B5D623409E1}">
      <text>
        <r>
          <rPr>
            <b/>
            <sz val="9"/>
            <color indexed="81"/>
            <rFont val="Tahoma"/>
            <family val="2"/>
          </rPr>
          <t>CRISIL:</t>
        </r>
        <r>
          <rPr>
            <sz val="9"/>
            <color indexed="81"/>
            <rFont val="Tahoma"/>
            <family val="2"/>
          </rPr>
          <t xml:space="preserve">
All are LTM values</t>
        </r>
      </text>
    </comment>
    <comment ref="S89" authorId="0" shapeId="0" xr:uid="{205FEBC7-21CC-49A8-BE08-A12DB5343355}">
      <text>
        <r>
          <rPr>
            <b/>
            <sz val="9"/>
            <color indexed="81"/>
            <rFont val="Tahoma"/>
            <charset val="1"/>
          </rPr>
          <t>CRISIL:</t>
        </r>
        <r>
          <rPr>
            <sz val="9"/>
            <color indexed="81"/>
            <rFont val="Tahoma"/>
            <charset val="1"/>
          </rPr>
          <t xml:space="preserve">
Annualized</t>
        </r>
      </text>
    </comment>
    <comment ref="C90" authorId="0" shapeId="0" xr:uid="{B62C707B-2029-4928-B636-9CB2521A9D0B}">
      <text>
        <r>
          <rPr>
            <b/>
            <sz val="9"/>
            <color indexed="81"/>
            <rFont val="Tahoma"/>
            <charset val="1"/>
          </rPr>
          <t>CRISIL:</t>
        </r>
        <r>
          <rPr>
            <sz val="9"/>
            <color indexed="81"/>
            <rFont val="Tahoma"/>
            <charset val="1"/>
          </rPr>
          <t xml:space="preserve">
Retained same share as in Pre merger Marfrig model</t>
        </r>
      </text>
    </comment>
    <comment ref="B95" authorId="0" shapeId="0" xr:uid="{B260D1AE-5562-4CED-96E9-7D5DC6340F3A}">
      <text>
        <r>
          <rPr>
            <b/>
            <sz val="9"/>
            <color indexed="81"/>
            <rFont val="Tahoma"/>
            <family val="2"/>
          </rPr>
          <t>CRISIL:</t>
        </r>
        <r>
          <rPr>
            <sz val="9"/>
            <color indexed="81"/>
            <rFont val="Tahoma"/>
            <family val="2"/>
          </rPr>
          <t xml:space="preserve">
Includes:
* Property, plant and equipment
* Right-of-use assets</t>
        </r>
      </text>
    </comment>
    <comment ref="B109" authorId="0" shapeId="0" xr:uid="{7BC87A28-F70D-4BAF-BABF-734C7A8ECB8B}">
      <text>
        <r>
          <rPr>
            <b/>
            <sz val="9"/>
            <color indexed="81"/>
            <rFont val="Tahoma"/>
            <family val="2"/>
          </rPr>
          <t>CRISIL:</t>
        </r>
        <r>
          <rPr>
            <sz val="9"/>
            <color indexed="81"/>
            <rFont val="Tahoma"/>
            <family val="2"/>
          </rPr>
          <t xml:space="preserve">
Inlcudes:
* Loans, financing and debentures 
* Lease payable
* Notes payable</t>
        </r>
      </text>
    </comment>
    <comment ref="B110" authorId="0" shapeId="0" xr:uid="{01D8B53B-BC1D-4A9A-8DEE-53066F6DA852}">
      <text>
        <r>
          <rPr>
            <b/>
            <sz val="9"/>
            <color indexed="81"/>
            <rFont val="Tahoma"/>
            <family val="2"/>
          </rPr>
          <t>CRISIL:</t>
        </r>
        <r>
          <rPr>
            <sz val="9"/>
            <color indexed="81"/>
            <rFont val="Tahoma"/>
            <family val="2"/>
          </rPr>
          <t xml:space="preserve">
Inlcudes:
* Loans, financing and debentures 
* Lease payable
* Notes payable</t>
        </r>
      </text>
    </comment>
    <comment ref="B115" authorId="3" shapeId="0" xr:uid="{4D72959F-5D62-4BAE-81B5-8CE0F65EB15B}">
      <text>
        <r>
          <rPr>
            <b/>
            <sz val="9"/>
            <color indexed="81"/>
            <rFont val="Tahoma"/>
            <family val="2"/>
          </rPr>
          <t>Crisil GR&amp;A:</t>
        </r>
        <r>
          <rPr>
            <sz val="9"/>
            <color indexed="81"/>
            <rFont val="Tahoma"/>
            <family val="2"/>
          </rPr>
          <t xml:space="preserve">
Includes Credit Notes</t>
        </r>
      </text>
    </comment>
    <comment ref="B116" authorId="0" shapeId="0" xr:uid="{56A05058-D0D1-4FDE-9911-5DBE9DECA75D}">
      <text>
        <r>
          <rPr>
            <b/>
            <sz val="9"/>
            <color indexed="81"/>
            <rFont val="Tahoma"/>
            <family val="2"/>
          </rPr>
          <t>CRISIL:</t>
        </r>
        <r>
          <rPr>
            <sz val="9"/>
            <color indexed="81"/>
            <rFont val="Tahoma"/>
            <family val="2"/>
          </rPr>
          <t xml:space="preserve">
Includes:
* CRA
* Debentures </t>
        </r>
      </text>
    </comment>
    <comment ref="B126" authorId="4" shapeId="0" xr:uid="{8F3CD3E4-772F-47A2-BE7B-9ABE976C6B9D}">
      <text>
        <r>
          <rPr>
            <b/>
            <sz val="9"/>
            <color indexed="81"/>
            <rFont val="Tahoma"/>
            <family val="2"/>
          </rPr>
          <t>CRISIL GR&amp;RS:</t>
        </r>
        <r>
          <rPr>
            <sz val="9"/>
            <color indexed="81"/>
            <rFont val="Tahoma"/>
            <family val="2"/>
          </rPr>
          <t xml:space="preserve">
working capital</t>
        </r>
      </text>
    </comment>
    <comment ref="B142" authorId="0" shapeId="0" xr:uid="{804DFB0C-AF24-4B04-8099-34ADC11ABE19}">
      <text>
        <r>
          <rPr>
            <b/>
            <sz val="9"/>
            <color indexed="81"/>
            <rFont val="Tahoma"/>
            <family val="2"/>
          </rPr>
          <t>CRISIL:</t>
        </r>
        <r>
          <rPr>
            <sz val="9"/>
            <color indexed="81"/>
            <rFont val="Tahoma"/>
            <family val="2"/>
          </rPr>
          <t xml:space="preserve">
company excludes notes payable and leases</t>
        </r>
      </text>
    </comment>
    <comment ref="B145" authorId="0" shapeId="0" xr:uid="{F8D2C7AD-F4E4-48DE-BB03-FA4FFB457A73}">
      <text>
        <r>
          <rPr>
            <b/>
            <sz val="9"/>
            <color indexed="81"/>
            <rFont val="Tahoma"/>
            <charset val="1"/>
          </rPr>
          <t>CRISIL:</t>
        </r>
        <r>
          <rPr>
            <sz val="9"/>
            <color indexed="81"/>
            <rFont val="Tahoma"/>
            <charset val="1"/>
          </rPr>
          <t xml:space="preserve">
https://stockanalysis.com/quote/bvmf/MBRF3/market-cap/</t>
        </r>
      </text>
    </comment>
    <comment ref="B256" authorId="0" shapeId="0" xr:uid="{10FB0837-C8B9-4C84-8ABC-FD7067F1B615}">
      <text>
        <r>
          <rPr>
            <b/>
            <sz val="9"/>
            <color indexed="81"/>
            <rFont val="Tahoma"/>
            <family val="2"/>
          </rPr>
          <t>CRISIL:</t>
        </r>
        <r>
          <rPr>
            <sz val="9"/>
            <color indexed="81"/>
            <rFont val="Tahoma"/>
            <family val="2"/>
          </rPr>
          <t xml:space="preserve">
excludes marketable securities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CRISIL GR&amp;RS</author>
    <author>CRISIL GR&amp;A</author>
    <author>Vijay Nema</author>
    <author>Yogesh Sheth</author>
  </authors>
  <commentList>
    <comment ref="K453" authorId="0" shapeId="0" xr:uid="{DD085495-0621-4B29-AC35-8AAAA0152C96}">
      <text>
        <r>
          <rPr>
            <b/>
            <sz val="9"/>
            <color indexed="81"/>
            <rFont val="Tahoma"/>
            <family val="2"/>
          </rPr>
          <t>CRISIL GR&amp;RS:</t>
        </r>
        <r>
          <rPr>
            <sz val="9"/>
            <color indexed="81"/>
            <rFont val="Tahoma"/>
            <family val="2"/>
          </rPr>
          <t xml:space="preserve">
Page 3/24</t>
        </r>
      </text>
    </comment>
    <comment ref="K500" authorId="0" shapeId="0" xr:uid="{795005F4-ED31-4ACB-88CF-5717CD6D5BDD}">
      <text>
        <r>
          <rPr>
            <b/>
            <sz val="9"/>
            <color indexed="81"/>
            <rFont val="Tahoma"/>
            <family val="2"/>
          </rPr>
          <t>CRISIL GR&amp;RS:</t>
        </r>
        <r>
          <rPr>
            <sz val="9"/>
            <color indexed="81"/>
            <rFont val="Tahoma"/>
            <family val="2"/>
          </rPr>
          <t xml:space="preserve">
Page 1/25</t>
        </r>
      </text>
    </comment>
    <comment ref="K547" authorId="0" shapeId="0" xr:uid="{20AA569C-36C2-4C54-B2D4-7283F45BF180}">
      <text>
        <r>
          <rPr>
            <b/>
            <sz val="9"/>
            <color indexed="81"/>
            <rFont val="Tahoma"/>
            <family val="2"/>
          </rPr>
          <t>CRISIL GR&amp;RS:</t>
        </r>
        <r>
          <rPr>
            <sz val="9"/>
            <color indexed="81"/>
            <rFont val="Tahoma"/>
            <family val="2"/>
          </rPr>
          <t xml:space="preserve">
Page 3/25</t>
        </r>
      </text>
    </comment>
    <comment ref="B984" authorId="1" shapeId="0" xr:uid="{EA1BE30E-1C2E-4878-8B46-7A12B1EFFEEF}">
      <text>
        <r>
          <rPr>
            <b/>
            <sz val="9"/>
            <color indexed="81"/>
            <rFont val="Tahoma"/>
            <family val="2"/>
          </rPr>
          <t>CRISIL GR&amp;A:</t>
        </r>
        <r>
          <rPr>
            <sz val="9"/>
            <color indexed="81"/>
            <rFont val="Tahoma"/>
            <family val="2"/>
          </rPr>
          <t xml:space="preserve">
Details not available</t>
        </r>
      </text>
    </comment>
    <comment ref="B1031" authorId="1" shapeId="0" xr:uid="{AA338B72-3A5B-4FE8-A960-B18C68DCC1B0}">
      <text>
        <r>
          <rPr>
            <b/>
            <sz val="9"/>
            <color indexed="81"/>
            <rFont val="Tahoma"/>
            <family val="2"/>
          </rPr>
          <t>CRISIL GR&amp;A:</t>
        </r>
        <r>
          <rPr>
            <sz val="9"/>
            <color indexed="81"/>
            <rFont val="Tahoma"/>
            <family val="2"/>
          </rPr>
          <t xml:space="preserve">
Details not available</t>
        </r>
      </text>
    </comment>
    <comment ref="K1054" authorId="2" shapeId="0" xr:uid="{AADB4EF0-EC5A-434E-82D0-8E539672BBB8}">
      <text>
        <r>
          <rPr>
            <sz val="9"/>
            <color indexed="81"/>
            <rFont val="Tahoma"/>
            <family val="2"/>
          </rPr>
          <t>Excluding Leases, From  3Q19 presentation</t>
        </r>
      </text>
    </comment>
    <comment ref="B1079" authorId="1" shapeId="0" xr:uid="{C7AAC1BB-FAC9-44E9-8FBF-C2C6193F096C}">
      <text>
        <r>
          <rPr>
            <b/>
            <sz val="9"/>
            <color indexed="81"/>
            <rFont val="Tahoma"/>
            <family val="2"/>
          </rPr>
          <t>CRISIL GR&amp;A:</t>
        </r>
        <r>
          <rPr>
            <sz val="9"/>
            <color indexed="81"/>
            <rFont val="Tahoma"/>
            <family val="2"/>
          </rPr>
          <t xml:space="preserve">
Details not available</t>
        </r>
      </text>
    </comment>
    <comment ref="K1103" authorId="2" shapeId="0" xr:uid="{95673849-AE91-4CAD-85C8-1FA7053F16A0}">
      <text>
        <r>
          <rPr>
            <sz val="9"/>
            <color indexed="81"/>
            <rFont val="Tahoma"/>
            <family val="2"/>
          </rPr>
          <t>Excluding Leases, From  3Q19 presentation</t>
        </r>
      </text>
    </comment>
    <comment ref="B1128" authorId="1" shapeId="0" xr:uid="{06EA1BF4-810C-4756-9AB8-DA922B10CA50}">
      <text>
        <r>
          <rPr>
            <b/>
            <sz val="9"/>
            <color indexed="81"/>
            <rFont val="Tahoma"/>
            <family val="2"/>
          </rPr>
          <t>CRISIL GR&amp;A:</t>
        </r>
        <r>
          <rPr>
            <sz val="9"/>
            <color indexed="81"/>
            <rFont val="Tahoma"/>
            <family val="2"/>
          </rPr>
          <t xml:space="preserve">
Details not available</t>
        </r>
      </text>
    </comment>
    <comment ref="K1152" authorId="2" shapeId="0" xr:uid="{A640C272-A9E6-42AC-A317-5F3FE263701C}">
      <text>
        <r>
          <rPr>
            <sz val="9"/>
            <color indexed="81"/>
            <rFont val="Tahoma"/>
            <family val="2"/>
          </rPr>
          <t>Excluding Leases, From  3Q19 presentation</t>
        </r>
      </text>
    </comment>
    <comment ref="B1177" authorId="1" shapeId="0" xr:uid="{4E262A7A-0331-4A24-8FE0-D695A77011E1}">
      <text>
        <r>
          <rPr>
            <b/>
            <sz val="9"/>
            <color indexed="81"/>
            <rFont val="Tahoma"/>
            <family val="2"/>
          </rPr>
          <t>CRISIL GR&amp;A:</t>
        </r>
        <r>
          <rPr>
            <sz val="9"/>
            <color indexed="81"/>
            <rFont val="Tahoma"/>
            <family val="2"/>
          </rPr>
          <t xml:space="preserve">
Details not available</t>
        </r>
      </text>
    </comment>
    <comment ref="K1200" authorId="2" shapeId="0" xr:uid="{5F87204B-2127-47DC-AA2A-281ECD1C346D}">
      <text>
        <r>
          <rPr>
            <sz val="9"/>
            <color indexed="81"/>
            <rFont val="Tahoma"/>
            <family val="2"/>
          </rPr>
          <t>Excluding Leases, From  2Q19 presentation</t>
        </r>
      </text>
    </comment>
    <comment ref="B1225" authorId="1" shapeId="0" xr:uid="{BFE1E991-7665-4EA8-A87B-68AB9905F0B3}">
      <text>
        <r>
          <rPr>
            <b/>
            <sz val="9"/>
            <color indexed="81"/>
            <rFont val="Tahoma"/>
            <family val="2"/>
          </rPr>
          <t>CRISIL GR&amp;A:</t>
        </r>
        <r>
          <rPr>
            <sz val="9"/>
            <color indexed="81"/>
            <rFont val="Tahoma"/>
            <family val="2"/>
          </rPr>
          <t xml:space="preserve">
Details not available</t>
        </r>
      </text>
    </comment>
    <comment ref="H1248" authorId="2" shapeId="0" xr:uid="{A7C3027C-A66C-4784-8C3F-5CECC62CD1C6}">
      <text>
        <r>
          <rPr>
            <sz val="9"/>
            <color indexed="81"/>
            <rFont val="Tahoma"/>
            <family val="2"/>
          </rPr>
          <t>Excluding Leases</t>
        </r>
      </text>
    </comment>
    <comment ref="H1249" authorId="2" shapeId="0" xr:uid="{94B07DA4-71BB-4F6F-BDBE-959EAF2C1683}">
      <text>
        <r>
          <rPr>
            <sz val="9"/>
            <color indexed="81"/>
            <rFont val="Tahoma"/>
            <family val="2"/>
          </rPr>
          <t>From ER 1Q19</t>
        </r>
      </text>
    </comment>
    <comment ref="H1250" authorId="2" shapeId="0" xr:uid="{4C0E38B8-128D-40BE-8B59-2F0BE99CBF60}">
      <text>
        <r>
          <rPr>
            <sz val="9"/>
            <color indexed="81"/>
            <rFont val="Tahoma"/>
            <family val="2"/>
          </rPr>
          <t>From ER 1Q19</t>
        </r>
      </text>
    </comment>
    <comment ref="G1251" authorId="2" shapeId="0" xr:uid="{088773D6-8CAA-4D05-8511-86591A4AFC2B}">
      <text>
        <r>
          <rPr>
            <sz val="9"/>
            <color indexed="81"/>
            <rFont val="Tahoma"/>
            <family val="2"/>
          </rPr>
          <t>PF for National Beef  inclusion but exclusing Keystone</t>
        </r>
      </text>
    </comment>
    <comment ref="B1273" authorId="1" shapeId="0" xr:uid="{4C0427C0-4743-4497-9ABA-8EF222031CFF}">
      <text>
        <r>
          <rPr>
            <b/>
            <sz val="9"/>
            <color indexed="81"/>
            <rFont val="Tahoma"/>
            <family val="2"/>
          </rPr>
          <t>CRISIL GR&amp;A:</t>
        </r>
        <r>
          <rPr>
            <sz val="9"/>
            <color indexed="81"/>
            <rFont val="Tahoma"/>
            <family val="2"/>
          </rPr>
          <t xml:space="preserve">
Details not available</t>
        </r>
      </text>
    </comment>
    <comment ref="G1295" authorId="1" shapeId="0" xr:uid="{10578C27-550D-4F4D-9D44-E0535686A81F}">
      <text>
        <r>
          <rPr>
            <sz val="9"/>
            <color indexed="81"/>
            <rFont val="Tahoma"/>
            <family val="2"/>
          </rPr>
          <t>ProForma debt should include debt from the North American operaions but exluding Kestone's</t>
        </r>
      </text>
    </comment>
    <comment ref="G1298" authorId="2" shapeId="0" xr:uid="{B19478F3-51BF-4444-903C-DEF098313ACF}">
      <text>
        <r>
          <rPr>
            <sz val="9"/>
            <color indexed="81"/>
            <rFont val="Tahoma"/>
            <family val="2"/>
          </rPr>
          <t>PF for National Beef  inclusion but exclusing Keystone</t>
        </r>
      </text>
    </comment>
    <comment ref="B1320" authorId="1" shapeId="0" xr:uid="{F618AF39-3264-4B41-BBB0-6CFA28268CB5}">
      <text>
        <r>
          <rPr>
            <b/>
            <sz val="9"/>
            <color indexed="81"/>
            <rFont val="Tahoma"/>
            <family val="2"/>
          </rPr>
          <t>CRISIL GR&amp;A:</t>
        </r>
        <r>
          <rPr>
            <sz val="9"/>
            <color indexed="81"/>
            <rFont val="Tahoma"/>
            <family val="2"/>
          </rPr>
          <t xml:space="preserve">
Details not available</t>
        </r>
      </text>
    </comment>
    <comment ref="G1342" authorId="1" shapeId="0" xr:uid="{7EB475DE-C6A9-4B18-9C2A-239649FABCE1}">
      <text>
        <r>
          <rPr>
            <sz val="9"/>
            <color indexed="81"/>
            <rFont val="Tahoma"/>
            <family val="2"/>
          </rPr>
          <t>ProForma debt should include debt from the North American operaions but exluding Kestone's</t>
        </r>
      </text>
    </comment>
    <comment ref="G1345" authorId="2" shapeId="0" xr:uid="{573B1813-8D68-4720-AFBE-2AF1379C89C8}">
      <text>
        <r>
          <rPr>
            <sz val="9"/>
            <color indexed="81"/>
            <rFont val="Tahoma"/>
            <family val="2"/>
          </rPr>
          <t>PF for National Beef  inclusion but exclusing Keystone</t>
        </r>
      </text>
    </comment>
    <comment ref="B1367" authorId="1" shapeId="0" xr:uid="{B45B732F-AB2D-4E6D-91A5-B1C075B5E4B4}">
      <text>
        <r>
          <rPr>
            <b/>
            <sz val="9"/>
            <color indexed="81"/>
            <rFont val="Tahoma"/>
            <family val="2"/>
          </rPr>
          <t>CRISIL GR&amp;A:</t>
        </r>
        <r>
          <rPr>
            <sz val="9"/>
            <color indexed="81"/>
            <rFont val="Tahoma"/>
            <family val="2"/>
          </rPr>
          <t xml:space="preserve">
Details not available</t>
        </r>
      </text>
    </comment>
    <comment ref="G1391" authorId="1" shapeId="0" xr:uid="{B76A7D02-30AE-476E-86AD-1494ECFCC318}">
      <text>
        <r>
          <rPr>
            <b/>
            <sz val="9"/>
            <color indexed="81"/>
            <rFont val="Tahoma"/>
            <family val="2"/>
          </rPr>
          <t>CRISIL GR&amp;A:</t>
        </r>
        <r>
          <rPr>
            <sz val="9"/>
            <color indexed="81"/>
            <rFont val="Tahoma"/>
            <family val="2"/>
          </rPr>
          <t xml:space="preserve">
Gross debt also includes Keystone (discontinued)
Adj EBITDA is pro-forma of acquisitions</t>
        </r>
      </text>
    </comment>
    <comment ref="B1417" authorId="1" shapeId="0" xr:uid="{FFF6BD2B-A878-4272-90F1-16807DD02BB2}">
      <text>
        <r>
          <rPr>
            <b/>
            <sz val="9"/>
            <color indexed="81"/>
            <rFont val="Tahoma"/>
            <family val="2"/>
          </rPr>
          <t>CRISIL GR&amp;A:</t>
        </r>
        <r>
          <rPr>
            <sz val="9"/>
            <color indexed="81"/>
            <rFont val="Tahoma"/>
            <family val="2"/>
          </rPr>
          <t xml:space="preserve">
Details not available</t>
        </r>
      </text>
    </comment>
    <comment ref="D1461" authorId="3" shapeId="0" xr:uid="{DFCE92D4-59F2-489D-AF61-DDF984A1C59D}">
      <text>
        <r>
          <rPr>
            <b/>
            <sz val="9"/>
            <color indexed="81"/>
            <rFont val="Tahoma"/>
            <family val="2"/>
          </rPr>
          <t xml:space="preserve">CRISIL GR&amp;A: </t>
        </r>
        <r>
          <rPr>
            <sz val="9"/>
            <color indexed="81"/>
            <rFont val="Tahoma"/>
            <family val="2"/>
          </rPr>
          <t xml:space="preserve">The difference is attributed to debt issuance costs
</t>
        </r>
      </text>
    </comment>
    <comment ref="B1468" authorId="1" shapeId="0" xr:uid="{25D146DE-219D-4250-9944-92BF1BF7E319}">
      <text>
        <r>
          <rPr>
            <b/>
            <sz val="9"/>
            <color indexed="81"/>
            <rFont val="Tahoma"/>
            <family val="2"/>
          </rPr>
          <t>CRISIL GR&amp;A:</t>
        </r>
        <r>
          <rPr>
            <sz val="9"/>
            <color indexed="81"/>
            <rFont val="Tahoma"/>
            <family val="2"/>
          </rPr>
          <t xml:space="preserve">
Details not available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CRISIL GR&amp;A</author>
    <author>CRISIL GR&amp;RS</author>
    <author>Crisil GR&amp;A</author>
    <author>CRISIL</author>
    <author>Dion Babu</author>
    <author>Meghana Ramesh Gollapudi</author>
    <author>Crisil Intergral IQ</author>
    <author>Yogeeta Wanarase</author>
    <author>Roshni Arunkumar</author>
    <author>Vijay Nema</author>
    <author>Akhil G</author>
  </authors>
  <commentList>
    <comment ref="U2" authorId="0" shapeId="0" xr:uid="{F6F745A6-29B6-4E94-8CE6-6E2F55A5DAE1}">
      <text>
        <r>
          <rPr>
            <b/>
            <sz val="9"/>
            <color indexed="81"/>
            <rFont val="Tahoma"/>
            <family val="2"/>
          </rPr>
          <t>CRISIL GR&amp;A:</t>
        </r>
        <r>
          <rPr>
            <sz val="9"/>
            <color indexed="81"/>
            <rFont val="Tahoma"/>
            <family val="2"/>
          </rPr>
          <t xml:space="preserve">
Original numbers for 1Q17 which includes Keystone performance</t>
        </r>
      </text>
    </comment>
    <comment ref="L3" authorId="1" shapeId="0" xr:uid="{2D2D32A6-1837-4B3A-9F25-BF20FA4CF699}">
      <text>
        <r>
          <rPr>
            <b/>
            <sz val="9"/>
            <color indexed="81"/>
            <rFont val="Tahoma"/>
            <family val="2"/>
          </rPr>
          <t>CRISIL GR&amp;RS:</t>
        </r>
        <r>
          <rPr>
            <sz val="9"/>
            <color indexed="81"/>
            <rFont val="Tahoma"/>
            <family val="2"/>
          </rPr>
          <t xml:space="preserve">
Restated</t>
        </r>
      </text>
    </comment>
    <comment ref="V3" authorId="2" shapeId="0" xr:uid="{772EE613-BEAC-4565-BA7C-4409407DC4AC}">
      <text>
        <r>
          <rPr>
            <b/>
            <sz val="9"/>
            <color indexed="81"/>
            <rFont val="Tahoma"/>
            <family val="2"/>
          </rPr>
          <t>Crisil GR&amp;A:</t>
        </r>
        <r>
          <rPr>
            <sz val="9"/>
            <color indexed="81"/>
            <rFont val="Tahoma"/>
            <family val="2"/>
          </rPr>
          <t xml:space="preserve">
Reclassified</t>
        </r>
      </text>
    </comment>
    <comment ref="AR3" authorId="3" shapeId="0" xr:uid="{0EB2C161-4F87-4E3D-B5D6-00C8BBBDB168}">
      <text>
        <r>
          <rPr>
            <b/>
            <sz val="9"/>
            <color indexed="81"/>
            <rFont val="Tahoma"/>
            <family val="2"/>
          </rPr>
          <t>CRISIL:</t>
        </r>
        <r>
          <rPr>
            <sz val="9"/>
            <color indexed="81"/>
            <rFont val="Tahoma"/>
            <family val="2"/>
          </rPr>
          <t xml:space="preserve">
Restated </t>
        </r>
      </text>
    </comment>
    <comment ref="J17" authorId="4" shapeId="0" xr:uid="{D3C17BFE-3626-4481-8E3F-301F96EA5E46}">
      <text>
        <r>
          <rPr>
            <b/>
            <sz val="9"/>
            <color indexed="81"/>
            <rFont val="Tahoma"/>
            <family val="2"/>
          </rPr>
          <t>Crisil GR&amp;A:</t>
        </r>
        <r>
          <rPr>
            <sz val="9"/>
            <color indexed="81"/>
            <rFont val="Tahoma"/>
            <family val="2"/>
          </rPr>
          <t xml:space="preserve">
Includes exchange gains as well, as breakup isn't available</t>
        </r>
      </text>
    </comment>
    <comment ref="K17" authorId="4" shapeId="0" xr:uid="{49A48804-DA7F-48E9-9601-EBD7FFD78380}">
      <text>
        <r>
          <rPr>
            <b/>
            <sz val="9"/>
            <color indexed="81"/>
            <rFont val="Tahoma"/>
            <family val="2"/>
          </rPr>
          <t>Crisil GR&amp;A:</t>
        </r>
        <r>
          <rPr>
            <sz val="9"/>
            <color indexed="81"/>
            <rFont val="Tahoma"/>
            <family val="2"/>
          </rPr>
          <t xml:space="preserve">
Includes exchange gains as well, as breakup isn't available</t>
        </r>
      </text>
    </comment>
    <comment ref="L17" authorId="4" shapeId="0" xr:uid="{DBFB7B35-4448-45E4-8B73-4FF37753C3D8}">
      <text>
        <r>
          <rPr>
            <b/>
            <sz val="9"/>
            <color indexed="81"/>
            <rFont val="Tahoma"/>
            <family val="2"/>
          </rPr>
          <t>Crisil GR&amp;A:</t>
        </r>
        <r>
          <rPr>
            <sz val="9"/>
            <color indexed="81"/>
            <rFont val="Tahoma"/>
            <family val="2"/>
          </rPr>
          <t xml:space="preserve">
Includes exchange gains as well, as breakup isn't available</t>
        </r>
      </text>
    </comment>
    <comment ref="M17" authorId="4" shapeId="0" xr:uid="{564378DF-350E-478D-B1C8-11E08515F34C}">
      <text>
        <r>
          <rPr>
            <b/>
            <sz val="9"/>
            <color indexed="81"/>
            <rFont val="Tahoma"/>
            <family val="2"/>
          </rPr>
          <t>Crisil GR&amp;A:</t>
        </r>
        <r>
          <rPr>
            <sz val="9"/>
            <color indexed="81"/>
            <rFont val="Tahoma"/>
            <family val="2"/>
          </rPr>
          <t xml:space="preserve">
Includes exchange gains as well, as breakup isn't available</t>
        </r>
      </text>
    </comment>
    <comment ref="N17" authorId="4" shapeId="0" xr:uid="{A84F615D-5F1D-4B6A-9719-54519A072F2D}">
      <text>
        <r>
          <rPr>
            <b/>
            <sz val="9"/>
            <color indexed="81"/>
            <rFont val="Tahoma"/>
            <family val="2"/>
          </rPr>
          <t>Crisil GR&amp;A:</t>
        </r>
        <r>
          <rPr>
            <sz val="9"/>
            <color indexed="81"/>
            <rFont val="Tahoma"/>
            <family val="2"/>
          </rPr>
          <t xml:space="preserve">
Includes exchange gains as well, as breakup isn't available</t>
        </r>
      </text>
    </comment>
    <comment ref="AH17" authorId="5" shapeId="0" xr:uid="{FB5B2336-AF07-4999-99D4-A15AD30D3373}">
      <text>
        <r>
          <rPr>
            <b/>
            <sz val="9"/>
            <color indexed="81"/>
            <rFont val="Tahoma"/>
            <family val="2"/>
          </rPr>
          <t>Rishabh Saraf:</t>
        </r>
        <r>
          <rPr>
            <sz val="9"/>
            <color indexed="81"/>
            <rFont val="Tahoma"/>
            <family val="2"/>
          </rPr>
          <t xml:space="preserve">
Includes exchange gains as well, as breakup isn't available</t>
        </r>
      </text>
    </comment>
    <comment ref="AI17" authorId="5" shapeId="0" xr:uid="{21739A2A-F998-4394-AE68-8C43DBD27AC3}">
      <text>
        <r>
          <rPr>
            <b/>
            <sz val="9"/>
            <color indexed="81"/>
            <rFont val="Tahoma"/>
            <family val="2"/>
          </rPr>
          <t>Rishabh Saraf:</t>
        </r>
        <r>
          <rPr>
            <sz val="9"/>
            <color indexed="81"/>
            <rFont val="Tahoma"/>
            <family val="2"/>
          </rPr>
          <t xml:space="preserve">
Includes exchange gains as well, as breakup isn't available</t>
        </r>
      </text>
    </comment>
    <comment ref="AJ17" authorId="5" shapeId="0" xr:uid="{052F8397-EA65-4C10-821C-40A9D22DEABC}">
      <text>
        <r>
          <rPr>
            <b/>
            <sz val="9"/>
            <color indexed="81"/>
            <rFont val="Tahoma"/>
            <family val="2"/>
          </rPr>
          <t>Crisil GR&amp;A:</t>
        </r>
        <r>
          <rPr>
            <sz val="9"/>
            <color indexed="81"/>
            <rFont val="Tahoma"/>
            <family val="2"/>
          </rPr>
          <t xml:space="preserve">
Includes exchange gains as well, as breakup isn't available</t>
        </r>
      </text>
    </comment>
    <comment ref="AK17" authorId="4" shapeId="0" xr:uid="{D3738AD1-01AB-468B-8991-FA41DE91A060}">
      <text>
        <r>
          <rPr>
            <b/>
            <sz val="9"/>
            <color indexed="81"/>
            <rFont val="Tahoma"/>
            <family val="2"/>
          </rPr>
          <t xml:space="preserve">Crisil GR&amp;A:
</t>
        </r>
        <r>
          <rPr>
            <sz val="9"/>
            <color indexed="81"/>
            <rFont val="Tahoma"/>
            <family val="2"/>
          </rPr>
          <t>Includes exchange gains as well, as breakup isn't available</t>
        </r>
      </text>
    </comment>
    <comment ref="AL17" authorId="5" shapeId="0" xr:uid="{2DF6A154-4C4F-42A6-ABA5-B76AAF1D023B}">
      <text>
        <r>
          <rPr>
            <sz val="9"/>
            <color indexed="81"/>
            <rFont val="Tahoma"/>
            <family val="2"/>
          </rPr>
          <t>Includes exchange gains as well, as breakup isn't available</t>
        </r>
      </text>
    </comment>
    <comment ref="AM17" authorId="5" shapeId="0" xr:uid="{0639E5B7-CEDB-48BA-8582-680186ADDE1E}">
      <text>
        <r>
          <rPr>
            <b/>
            <sz val="9"/>
            <color indexed="81"/>
            <rFont val="Tahoma"/>
            <family val="2"/>
          </rPr>
          <t>Rishabh Saraf:</t>
        </r>
        <r>
          <rPr>
            <sz val="9"/>
            <color indexed="81"/>
            <rFont val="Tahoma"/>
            <family val="2"/>
          </rPr>
          <t xml:space="preserve">
Includes exchange gains as well, as breakup isn't available</t>
        </r>
      </text>
    </comment>
    <comment ref="AN17" authorId="5" shapeId="0" xr:uid="{CED6EEC5-C95F-485D-8B7A-1D81417DB9A6}">
      <text>
        <r>
          <rPr>
            <b/>
            <sz val="9"/>
            <color indexed="81"/>
            <rFont val="Tahoma"/>
            <family val="2"/>
          </rPr>
          <t>Crisil GR&amp;A:</t>
        </r>
        <r>
          <rPr>
            <sz val="9"/>
            <color indexed="81"/>
            <rFont val="Tahoma"/>
            <family val="2"/>
          </rPr>
          <t xml:space="preserve">
Includes exchange gains as well, as breakup isn't available</t>
        </r>
      </text>
    </comment>
    <comment ref="AO17" authorId="4" shapeId="0" xr:uid="{49D2F285-3051-4B94-A084-4E52A6E4E6DC}">
      <text>
        <r>
          <rPr>
            <b/>
            <sz val="9"/>
            <color indexed="81"/>
            <rFont val="Tahoma"/>
            <family val="2"/>
          </rPr>
          <t xml:space="preserve">Crisil GR&amp;A:
</t>
        </r>
        <r>
          <rPr>
            <sz val="9"/>
            <color indexed="81"/>
            <rFont val="Tahoma"/>
            <family val="2"/>
          </rPr>
          <t>Includes exchange gains as well, as breakup isn't available</t>
        </r>
      </text>
    </comment>
    <comment ref="AP17" authorId="5" shapeId="0" xr:uid="{2AB31A88-7823-431D-90C6-CBE2125F466A}">
      <text>
        <r>
          <rPr>
            <sz val="9"/>
            <color indexed="81"/>
            <rFont val="Tahoma"/>
            <family val="2"/>
          </rPr>
          <t>Includes exchange gains as well, as breakup isn't available</t>
        </r>
      </text>
    </comment>
    <comment ref="AQ17" authorId="5" shapeId="0" xr:uid="{3CD483DB-EC0B-4F96-8FEA-3DECD57CDB1C}">
      <text>
        <r>
          <rPr>
            <sz val="9"/>
            <color indexed="81"/>
            <rFont val="Tahoma"/>
            <family val="2"/>
          </rPr>
          <t>Includes exchange gains as well, as breakup isn't available</t>
        </r>
      </text>
    </comment>
    <comment ref="AR17" authorId="5" shapeId="0" xr:uid="{38C1B8EE-4E74-421E-B736-C7D2190BE5CA}">
      <text>
        <r>
          <rPr>
            <b/>
            <sz val="9"/>
            <color indexed="81"/>
            <rFont val="Tahoma"/>
            <family val="2"/>
          </rPr>
          <t>Crisil GR&amp;A:</t>
        </r>
        <r>
          <rPr>
            <sz val="9"/>
            <color indexed="81"/>
            <rFont val="Tahoma"/>
            <family val="2"/>
          </rPr>
          <t xml:space="preserve">
Includes exchange gains as well, as breakup isn't available</t>
        </r>
      </text>
    </comment>
    <comment ref="AS17" authorId="4" shapeId="0" xr:uid="{3B93F4F9-E49F-4356-8C7D-5D5228D11203}">
      <text>
        <r>
          <rPr>
            <b/>
            <sz val="9"/>
            <color indexed="81"/>
            <rFont val="Tahoma"/>
            <family val="2"/>
          </rPr>
          <t xml:space="preserve">Crisil GR&amp;A:
</t>
        </r>
        <r>
          <rPr>
            <sz val="9"/>
            <color indexed="81"/>
            <rFont val="Tahoma"/>
            <family val="2"/>
          </rPr>
          <t>Includes exchange gains as well, as breakup isn't available</t>
        </r>
      </text>
    </comment>
    <comment ref="AT17" authorId="5" shapeId="0" xr:uid="{BC34C2F9-70FC-416F-B0C9-913A8CBEC671}">
      <text>
        <r>
          <rPr>
            <sz val="9"/>
            <color indexed="81"/>
            <rFont val="Tahoma"/>
            <family val="2"/>
          </rPr>
          <t>Includes exchange gains as well, as breakup isn't available</t>
        </r>
      </text>
    </comment>
    <comment ref="AU17" authorId="5" shapeId="0" xr:uid="{84DCAFB8-6795-413D-9226-D18C09CEB086}">
      <text>
        <r>
          <rPr>
            <sz val="9"/>
            <color indexed="81"/>
            <rFont val="Tahoma"/>
            <family val="2"/>
          </rPr>
          <t>Includes exchange gains as well, as breakup isn't available</t>
        </r>
      </text>
    </comment>
    <comment ref="AV17" authorId="5" shapeId="0" xr:uid="{7C6C781B-D588-4276-BB58-80D1649011EB}">
      <text>
        <r>
          <rPr>
            <b/>
            <sz val="9"/>
            <color indexed="81"/>
            <rFont val="Tahoma"/>
            <family val="2"/>
          </rPr>
          <t>Crisil GR&amp;A:</t>
        </r>
        <r>
          <rPr>
            <sz val="9"/>
            <color indexed="81"/>
            <rFont val="Tahoma"/>
            <family val="2"/>
          </rPr>
          <t xml:space="preserve">
Includes exchange gains as well, as breakup isn't available</t>
        </r>
      </text>
    </comment>
    <comment ref="AW17" authorId="4" shapeId="0" xr:uid="{9A462E2D-28BB-47D0-942D-ECC63A4310F5}">
      <text>
        <r>
          <rPr>
            <b/>
            <sz val="9"/>
            <color indexed="81"/>
            <rFont val="Tahoma"/>
            <family val="2"/>
          </rPr>
          <t xml:space="preserve">Crisil GR&amp;A:
</t>
        </r>
        <r>
          <rPr>
            <sz val="9"/>
            <color indexed="81"/>
            <rFont val="Tahoma"/>
            <family val="2"/>
          </rPr>
          <t>Includes exchange gains as well, as breakup isn't available</t>
        </r>
      </text>
    </comment>
    <comment ref="AX17" authorId="5" shapeId="0" xr:uid="{6D816A25-D568-4CD4-87B9-B75F1FE90BCB}">
      <text>
        <r>
          <rPr>
            <sz val="9"/>
            <color indexed="81"/>
            <rFont val="Tahoma"/>
            <family val="2"/>
          </rPr>
          <t>Includes exchange gains as well, as breakup isn't available</t>
        </r>
      </text>
    </comment>
    <comment ref="AY17" authorId="5" shapeId="0" xr:uid="{CF6E83AA-0576-4DED-9241-90DFF8970654}">
      <text>
        <r>
          <rPr>
            <sz val="9"/>
            <color indexed="81"/>
            <rFont val="Tahoma"/>
            <family val="2"/>
          </rPr>
          <t>Includes exchange gains as well, as breakup isn't available</t>
        </r>
      </text>
    </comment>
    <comment ref="AZ17" authorId="5" shapeId="0" xr:uid="{488C5C39-1995-4110-B592-38F00674F62D}">
      <text>
        <r>
          <rPr>
            <sz val="9"/>
            <color indexed="81"/>
            <rFont val="Tahoma"/>
            <family val="2"/>
          </rPr>
          <t>Includes exchange gains as well, as breakup isn't available</t>
        </r>
      </text>
    </comment>
    <comment ref="BA17" authorId="4" shapeId="0" xr:uid="{612BCD3A-A5AB-4042-9842-73888BE12307}">
      <text>
        <r>
          <rPr>
            <b/>
            <sz val="9"/>
            <color indexed="81"/>
            <rFont val="Tahoma"/>
            <family val="2"/>
          </rPr>
          <t xml:space="preserve">Crisil GR&amp;A:
</t>
        </r>
        <r>
          <rPr>
            <sz val="9"/>
            <color indexed="81"/>
            <rFont val="Tahoma"/>
            <family val="2"/>
          </rPr>
          <t>Includes exchange gains as well, as breakup isn't available</t>
        </r>
      </text>
    </comment>
    <comment ref="BB17" authorId="5" shapeId="0" xr:uid="{724794D5-CE47-4CC9-A785-2CCC387963F3}">
      <text>
        <r>
          <rPr>
            <sz val="9"/>
            <color indexed="81"/>
            <rFont val="Tahoma"/>
            <family val="2"/>
          </rPr>
          <t>Includes exchange gains as well, as breakup isn't available</t>
        </r>
      </text>
    </comment>
    <comment ref="BC17" authorId="5" shapeId="0" xr:uid="{DF9134D5-F703-4E98-BA0F-392A9E6FE827}">
      <text>
        <r>
          <rPr>
            <sz val="9"/>
            <color indexed="81"/>
            <rFont val="Tahoma"/>
            <family val="2"/>
          </rPr>
          <t>Includes exchange gains as well, as breakup isn't available</t>
        </r>
      </text>
    </comment>
    <comment ref="BD17" authorId="5" shapeId="0" xr:uid="{C2F10B81-153B-4FF0-ADD2-3DB69B060469}">
      <text>
        <r>
          <rPr>
            <sz val="9"/>
            <color indexed="81"/>
            <rFont val="Tahoma"/>
            <family val="2"/>
          </rPr>
          <t>Includes exchange gains as well, as breakup isn't available</t>
        </r>
      </text>
    </comment>
    <comment ref="BJ17" authorId="5" shapeId="0" xr:uid="{001041F4-10C9-4041-A2F0-5971F3402258}">
      <text>
        <r>
          <rPr>
            <b/>
            <sz val="9"/>
            <color indexed="81"/>
            <rFont val="Tahoma"/>
            <family val="2"/>
          </rPr>
          <t>Rishabh Saraf:</t>
        </r>
        <r>
          <rPr>
            <sz val="9"/>
            <color indexed="81"/>
            <rFont val="Tahoma"/>
            <family val="2"/>
          </rPr>
          <t xml:space="preserve">
Includes exchange gains as well, as breakup isn't available</t>
        </r>
      </text>
    </comment>
    <comment ref="BK17" authorId="5" shapeId="0" xr:uid="{71BCF772-073A-4F3C-8862-586583E53B1D}">
      <text>
        <r>
          <rPr>
            <sz val="9"/>
            <color indexed="81"/>
            <rFont val="Tahoma"/>
            <family val="2"/>
          </rPr>
          <t>Includes exchange gains as well, as breakup isn't available</t>
        </r>
      </text>
    </comment>
    <comment ref="AH18" authorId="5" shapeId="0" xr:uid="{1A2416FA-21FE-45C3-82ED-4143DE98CBE2}">
      <text>
        <r>
          <rPr>
            <b/>
            <sz val="9"/>
            <color indexed="81"/>
            <rFont val="Tahoma"/>
            <family val="2"/>
          </rPr>
          <t>Rishabh Saraf:</t>
        </r>
        <r>
          <rPr>
            <sz val="9"/>
            <color indexed="81"/>
            <rFont val="Tahoma"/>
            <family val="2"/>
          </rPr>
          <t xml:space="preserve">
Financial Revenue/(expenses) total figure is mentioned as (551) ; breakup not available, however, they are included as part of finance income and finance expenses </t>
        </r>
      </text>
    </comment>
    <comment ref="J19" authorId="4" shapeId="0" xr:uid="{28A2DC8F-8FD7-419E-A908-CD2BBE622105}">
      <text>
        <r>
          <rPr>
            <b/>
            <sz val="9"/>
            <color indexed="81"/>
            <rFont val="Tahoma"/>
            <family val="2"/>
          </rPr>
          <t xml:space="preserve">Crisil GR&amp;A:
</t>
        </r>
        <r>
          <rPr>
            <sz val="9"/>
            <color indexed="81"/>
            <rFont val="Tahoma"/>
            <family val="2"/>
          </rPr>
          <t>Includes exchange loss as well, as breakup isn't available</t>
        </r>
      </text>
    </comment>
    <comment ref="AH19" authorId="5" shapeId="0" xr:uid="{23ABF9F3-4A5E-4862-8AC1-2718842F1232}">
      <text>
        <r>
          <rPr>
            <b/>
            <sz val="9"/>
            <color indexed="81"/>
            <rFont val="Tahoma"/>
            <family val="2"/>
          </rPr>
          <t>Rishabh Saraf:</t>
        </r>
        <r>
          <rPr>
            <sz val="9"/>
            <color indexed="81"/>
            <rFont val="Tahoma"/>
            <family val="2"/>
          </rPr>
          <t xml:space="preserve">
Includes exchange loss as well, as breakup isn't available</t>
        </r>
      </text>
    </comment>
    <comment ref="AI19" authorId="5" shapeId="0" xr:uid="{992C5764-2ABE-4D62-ACD3-D0FE56A19E79}">
      <text>
        <r>
          <rPr>
            <b/>
            <sz val="9"/>
            <color indexed="81"/>
            <rFont val="Tahoma"/>
            <family val="2"/>
          </rPr>
          <t>Rishabh Saraf:</t>
        </r>
        <r>
          <rPr>
            <sz val="9"/>
            <color indexed="81"/>
            <rFont val="Tahoma"/>
            <family val="2"/>
          </rPr>
          <t xml:space="preserve">
Includes exchange loss as well, as breakup isn't available</t>
        </r>
      </text>
    </comment>
    <comment ref="AJ19" authorId="5" shapeId="0" xr:uid="{0724917D-837B-428C-B2F2-DA761F4827CF}">
      <text>
        <r>
          <rPr>
            <b/>
            <sz val="9"/>
            <color indexed="81"/>
            <rFont val="Tahoma"/>
            <family val="2"/>
          </rPr>
          <t>Crisil GR&amp;A:</t>
        </r>
        <r>
          <rPr>
            <sz val="9"/>
            <color indexed="81"/>
            <rFont val="Tahoma"/>
            <family val="2"/>
          </rPr>
          <t xml:space="preserve">
Includes exchange loss as well, as breakup isn't available</t>
        </r>
      </text>
    </comment>
    <comment ref="AK19" authorId="4" shapeId="0" xr:uid="{339D53A6-435D-40D4-99BD-D675BEABC32B}">
      <text>
        <r>
          <rPr>
            <b/>
            <sz val="9"/>
            <color indexed="81"/>
            <rFont val="Tahoma"/>
            <family val="2"/>
          </rPr>
          <t>Crisil GR&amp;A:</t>
        </r>
        <r>
          <rPr>
            <sz val="9"/>
            <color indexed="81"/>
            <rFont val="Tahoma"/>
            <family val="2"/>
          </rPr>
          <t xml:space="preserve">
Includes exchange loss as well, as breakup isn't available</t>
        </r>
      </text>
    </comment>
    <comment ref="AL19" authorId="5" shapeId="0" xr:uid="{2D63A3AB-7B45-4253-B16C-59F49964B211}">
      <text>
        <r>
          <rPr>
            <b/>
            <sz val="9"/>
            <color indexed="81"/>
            <rFont val="Tahoma"/>
            <family val="2"/>
          </rPr>
          <t>Rishabh Saraf:</t>
        </r>
        <r>
          <rPr>
            <sz val="9"/>
            <color indexed="81"/>
            <rFont val="Tahoma"/>
            <family val="2"/>
          </rPr>
          <t xml:space="preserve">
Includes exchange loss as well, as breakup isn't available</t>
        </r>
      </text>
    </comment>
    <comment ref="AM19" authorId="5" shapeId="0" xr:uid="{0E16B1E6-946A-48AF-9761-0B587F7EDDF6}">
      <text>
        <r>
          <rPr>
            <b/>
            <sz val="9"/>
            <color indexed="81"/>
            <rFont val="Tahoma"/>
            <family val="2"/>
          </rPr>
          <t>Rishabh Saraf:</t>
        </r>
        <r>
          <rPr>
            <sz val="9"/>
            <color indexed="81"/>
            <rFont val="Tahoma"/>
            <family val="2"/>
          </rPr>
          <t xml:space="preserve">
Includes exchange loss as well, as breakup isn't available</t>
        </r>
      </text>
    </comment>
    <comment ref="AN19" authorId="5" shapeId="0" xr:uid="{8AD09A27-A602-4DF1-8665-16571130BD68}">
      <text>
        <r>
          <rPr>
            <b/>
            <sz val="9"/>
            <color indexed="81"/>
            <rFont val="Tahoma"/>
            <family val="2"/>
          </rPr>
          <t>Crisil GR&amp;A:</t>
        </r>
        <r>
          <rPr>
            <sz val="9"/>
            <color indexed="81"/>
            <rFont val="Tahoma"/>
            <family val="2"/>
          </rPr>
          <t xml:space="preserve">
Includes exchange loss as well, as breakup isn't available</t>
        </r>
      </text>
    </comment>
    <comment ref="AO19" authorId="4" shapeId="0" xr:uid="{D5D82CA0-D696-48D3-9177-9DC465BEF0AB}">
      <text>
        <r>
          <rPr>
            <b/>
            <sz val="9"/>
            <color indexed="81"/>
            <rFont val="Tahoma"/>
            <family val="2"/>
          </rPr>
          <t>Crisil GR&amp;A:</t>
        </r>
        <r>
          <rPr>
            <sz val="9"/>
            <color indexed="81"/>
            <rFont val="Tahoma"/>
            <family val="2"/>
          </rPr>
          <t xml:space="preserve">
Includes exchange loss as well, as breakup isn't available</t>
        </r>
      </text>
    </comment>
    <comment ref="AP19" authorId="5" shapeId="0" xr:uid="{A8EDC9B3-F1EB-447A-9598-F193E696784C}">
      <text>
        <r>
          <rPr>
            <b/>
            <sz val="9"/>
            <color indexed="81"/>
            <rFont val="Tahoma"/>
            <family val="2"/>
          </rPr>
          <t>Rishabh Saraf:</t>
        </r>
        <r>
          <rPr>
            <sz val="9"/>
            <color indexed="81"/>
            <rFont val="Tahoma"/>
            <family val="2"/>
          </rPr>
          <t xml:space="preserve">
Includes exchange loss as well, as breakup isn't available</t>
        </r>
      </text>
    </comment>
    <comment ref="AQ19" authorId="5" shapeId="0" xr:uid="{A79DDE3D-9B2E-45F8-B8B8-21431A901278}">
      <text>
        <r>
          <rPr>
            <b/>
            <sz val="9"/>
            <color indexed="81"/>
            <rFont val="Tahoma"/>
            <family val="2"/>
          </rPr>
          <t>Rishabh Saraf:</t>
        </r>
        <r>
          <rPr>
            <sz val="9"/>
            <color indexed="81"/>
            <rFont val="Tahoma"/>
            <family val="2"/>
          </rPr>
          <t xml:space="preserve">
Includes exchange loss as well, as breakup isn't available</t>
        </r>
      </text>
    </comment>
    <comment ref="AR19" authorId="5" shapeId="0" xr:uid="{D803B8C1-B984-4982-B11E-9C3C2F7724B3}">
      <text>
        <r>
          <rPr>
            <b/>
            <sz val="9"/>
            <color indexed="81"/>
            <rFont val="Tahoma"/>
            <family val="2"/>
          </rPr>
          <t>Crisil GR&amp;A:</t>
        </r>
        <r>
          <rPr>
            <sz val="9"/>
            <color indexed="81"/>
            <rFont val="Tahoma"/>
            <family val="2"/>
          </rPr>
          <t xml:space="preserve">
Includes exchange loss as well, as breakup isn't available</t>
        </r>
      </text>
    </comment>
    <comment ref="AS19" authorId="4" shapeId="0" xr:uid="{6011685F-DC5D-4E41-B448-17F5C05F24DF}">
      <text>
        <r>
          <rPr>
            <b/>
            <sz val="9"/>
            <color indexed="81"/>
            <rFont val="Tahoma"/>
            <family val="2"/>
          </rPr>
          <t>Crisil GR&amp;A:</t>
        </r>
        <r>
          <rPr>
            <sz val="9"/>
            <color indexed="81"/>
            <rFont val="Tahoma"/>
            <family val="2"/>
          </rPr>
          <t xml:space="preserve">
Includes exchange loss as well, as breakup isn't available</t>
        </r>
      </text>
    </comment>
    <comment ref="AT19" authorId="5" shapeId="0" xr:uid="{27AFC169-60DA-4C4A-B1F1-B463B7E80C0A}">
      <text>
        <r>
          <rPr>
            <b/>
            <sz val="9"/>
            <color indexed="81"/>
            <rFont val="Tahoma"/>
            <family val="2"/>
          </rPr>
          <t>Rishabh Saraf:</t>
        </r>
        <r>
          <rPr>
            <sz val="9"/>
            <color indexed="81"/>
            <rFont val="Tahoma"/>
            <family val="2"/>
          </rPr>
          <t xml:space="preserve">
Includes exchange loss as well, as breakup isn't available</t>
        </r>
      </text>
    </comment>
    <comment ref="AU19" authorId="5" shapeId="0" xr:uid="{5F24658F-19EA-43C4-8152-F7BCDD91551F}">
      <text>
        <r>
          <rPr>
            <b/>
            <sz val="9"/>
            <color indexed="81"/>
            <rFont val="Tahoma"/>
            <family val="2"/>
          </rPr>
          <t>Rishabh Saraf:</t>
        </r>
        <r>
          <rPr>
            <sz val="9"/>
            <color indexed="81"/>
            <rFont val="Tahoma"/>
            <family val="2"/>
          </rPr>
          <t xml:space="preserve">
Includes exchange loss as well, as breakup isn't available</t>
        </r>
      </text>
    </comment>
    <comment ref="AV19" authorId="5" shapeId="0" xr:uid="{6714C16B-27D5-4311-B5C0-2BBC873F4098}">
      <text>
        <r>
          <rPr>
            <b/>
            <sz val="9"/>
            <color indexed="81"/>
            <rFont val="Tahoma"/>
            <family val="2"/>
          </rPr>
          <t>Crisil GR&amp;A:</t>
        </r>
        <r>
          <rPr>
            <sz val="9"/>
            <color indexed="81"/>
            <rFont val="Tahoma"/>
            <family val="2"/>
          </rPr>
          <t xml:space="preserve">
Includes exchange loss as well, as breakup isn't available</t>
        </r>
      </text>
    </comment>
    <comment ref="AW19" authorId="4" shapeId="0" xr:uid="{368D2DC3-03BF-4A65-B463-D653632FFDA1}">
      <text>
        <r>
          <rPr>
            <b/>
            <sz val="9"/>
            <color indexed="81"/>
            <rFont val="Tahoma"/>
            <family val="2"/>
          </rPr>
          <t>Crisil GR&amp;A:</t>
        </r>
        <r>
          <rPr>
            <sz val="9"/>
            <color indexed="81"/>
            <rFont val="Tahoma"/>
            <family val="2"/>
          </rPr>
          <t xml:space="preserve">
Includes exchange loss as well, as breakup isn't available</t>
        </r>
      </text>
    </comment>
    <comment ref="AX19" authorId="5" shapeId="0" xr:uid="{26FA73B7-B739-4D63-8AF9-5E9A983488DA}">
      <text>
        <r>
          <rPr>
            <b/>
            <sz val="9"/>
            <color indexed="81"/>
            <rFont val="Tahoma"/>
            <family val="2"/>
          </rPr>
          <t>Rishabh Saraf:</t>
        </r>
        <r>
          <rPr>
            <sz val="9"/>
            <color indexed="81"/>
            <rFont val="Tahoma"/>
            <family val="2"/>
          </rPr>
          <t xml:space="preserve">
Includes exchange loss as well, as breakup isn't available</t>
        </r>
      </text>
    </comment>
    <comment ref="AY19" authorId="5" shapeId="0" xr:uid="{D9EF5C52-93F2-4507-86B0-51AB4062B313}">
      <text>
        <r>
          <rPr>
            <b/>
            <sz val="9"/>
            <color indexed="81"/>
            <rFont val="Tahoma"/>
            <family val="2"/>
          </rPr>
          <t>Rishabh Saraf:</t>
        </r>
        <r>
          <rPr>
            <sz val="9"/>
            <color indexed="81"/>
            <rFont val="Tahoma"/>
            <family val="2"/>
          </rPr>
          <t xml:space="preserve">
Includes exchange loss as well, as breakup isn't available</t>
        </r>
      </text>
    </comment>
    <comment ref="AZ19" authorId="5" shapeId="0" xr:uid="{4EB0E280-A4A7-4722-8B0B-A7522E9D258B}">
      <text>
        <r>
          <rPr>
            <b/>
            <sz val="9"/>
            <color indexed="81"/>
            <rFont val="Tahoma"/>
            <family val="2"/>
          </rPr>
          <t>Rishabh Saraf:</t>
        </r>
        <r>
          <rPr>
            <sz val="9"/>
            <color indexed="81"/>
            <rFont val="Tahoma"/>
            <family val="2"/>
          </rPr>
          <t xml:space="preserve">
Includes exchange loss as well, as breakup isn't available</t>
        </r>
      </text>
    </comment>
    <comment ref="BA19" authorId="4" shapeId="0" xr:uid="{428F8547-E7CC-490F-8C3D-64D05269755C}">
      <text>
        <r>
          <rPr>
            <b/>
            <sz val="9"/>
            <color indexed="81"/>
            <rFont val="Tahoma"/>
            <family val="2"/>
          </rPr>
          <t>Crisil GR&amp;A:</t>
        </r>
        <r>
          <rPr>
            <sz val="9"/>
            <color indexed="81"/>
            <rFont val="Tahoma"/>
            <family val="2"/>
          </rPr>
          <t xml:space="preserve">
Includes exchange loss as well, as breakup isn't available</t>
        </r>
      </text>
    </comment>
    <comment ref="BB19" authorId="5" shapeId="0" xr:uid="{3E05B91E-F021-4088-9C0F-FDA7CEEC7064}">
      <text>
        <r>
          <rPr>
            <b/>
            <sz val="9"/>
            <color indexed="81"/>
            <rFont val="Tahoma"/>
            <family val="2"/>
          </rPr>
          <t>Rishabh Saraf:</t>
        </r>
        <r>
          <rPr>
            <sz val="9"/>
            <color indexed="81"/>
            <rFont val="Tahoma"/>
            <family val="2"/>
          </rPr>
          <t xml:space="preserve">
Includes exchange loss as well, as breakup isn't available</t>
        </r>
      </text>
    </comment>
    <comment ref="BC19" authorId="5" shapeId="0" xr:uid="{7BE1B319-2FCB-44D8-9A52-704BFC61DE26}">
      <text>
        <r>
          <rPr>
            <b/>
            <sz val="9"/>
            <color indexed="81"/>
            <rFont val="Tahoma"/>
            <family val="2"/>
          </rPr>
          <t>Rishabh Saraf:</t>
        </r>
        <r>
          <rPr>
            <sz val="9"/>
            <color indexed="81"/>
            <rFont val="Tahoma"/>
            <family val="2"/>
          </rPr>
          <t xml:space="preserve">
Includes exchange loss as well, as breakup isn't available</t>
        </r>
      </text>
    </comment>
    <comment ref="BD19" authorId="5" shapeId="0" xr:uid="{13562B2F-4C84-405B-86E6-D1573721D1FE}">
      <text>
        <r>
          <rPr>
            <b/>
            <sz val="9"/>
            <color indexed="81"/>
            <rFont val="Tahoma"/>
            <family val="2"/>
          </rPr>
          <t>Rishabh Saraf:</t>
        </r>
        <r>
          <rPr>
            <sz val="9"/>
            <color indexed="81"/>
            <rFont val="Tahoma"/>
            <family val="2"/>
          </rPr>
          <t xml:space="preserve">
Includes exchange loss as well, as breakup isn't available</t>
        </r>
      </text>
    </comment>
    <comment ref="BH19" authorId="2" shapeId="0" xr:uid="{F9F1CDC3-A557-4631-AD4A-1C19F5DDA087}">
      <text>
        <r>
          <rPr>
            <b/>
            <sz val="9"/>
            <color indexed="81"/>
            <rFont val="Tahoma"/>
            <family val="2"/>
          </rPr>
          <t>Crisil GR&amp;A:</t>
        </r>
        <r>
          <rPr>
            <sz val="9"/>
            <color indexed="81"/>
            <rFont val="Tahoma"/>
            <family val="2"/>
          </rPr>
          <t xml:space="preserve">
This is net amount.</t>
        </r>
      </text>
    </comment>
    <comment ref="BJ19" authorId="5" shapeId="0" xr:uid="{2737C710-7A25-4DC0-A72A-D2D87851A4C4}">
      <text>
        <r>
          <rPr>
            <b/>
            <sz val="9"/>
            <color indexed="81"/>
            <rFont val="Tahoma"/>
            <family val="2"/>
          </rPr>
          <t>Rishabh Saraf:</t>
        </r>
        <r>
          <rPr>
            <sz val="9"/>
            <color indexed="81"/>
            <rFont val="Tahoma"/>
            <family val="2"/>
          </rPr>
          <t xml:space="preserve">
Includes exchange loss as well, as breakup isn't available</t>
        </r>
      </text>
    </comment>
    <comment ref="BK19" authorId="5" shapeId="0" xr:uid="{BBB6054A-C2BF-485E-86D5-792FBBBB95EC}">
      <text>
        <r>
          <rPr>
            <b/>
            <sz val="9"/>
            <color indexed="81"/>
            <rFont val="Tahoma"/>
            <family val="2"/>
          </rPr>
          <t>Rishabh Saraf:</t>
        </r>
        <r>
          <rPr>
            <sz val="9"/>
            <color indexed="81"/>
            <rFont val="Tahoma"/>
            <family val="2"/>
          </rPr>
          <t xml:space="preserve">
Includes exchange loss as well, as breakup isn't available</t>
        </r>
      </text>
    </comment>
    <comment ref="BH20" authorId="2" shapeId="0" xr:uid="{DCDDDC04-ED80-46A9-9443-9D49CB23B775}">
      <text>
        <r>
          <rPr>
            <b/>
            <sz val="9"/>
            <color indexed="81"/>
            <rFont val="Tahoma"/>
            <family val="2"/>
          </rPr>
          <t>Crisil GR&amp;A:</t>
        </r>
        <r>
          <rPr>
            <sz val="9"/>
            <color indexed="81"/>
            <rFont val="Tahoma"/>
            <family val="2"/>
          </rPr>
          <t xml:space="preserve">
this is net amount</t>
        </r>
      </text>
    </comment>
    <comment ref="C52" authorId="0" shapeId="0" xr:uid="{52E62423-DF16-46E8-B97C-2CC82FAAC2F1}">
      <text>
        <r>
          <rPr>
            <b/>
            <sz val="9"/>
            <color indexed="81"/>
            <rFont val="Tahoma"/>
            <family val="2"/>
          </rPr>
          <t>CRISIL GR&amp;A:</t>
        </r>
        <r>
          <rPr>
            <sz val="9"/>
            <color indexed="81"/>
            <rFont val="Tahoma"/>
            <family val="2"/>
          </rPr>
          <t xml:space="preserve">
Adj EBITDA calculated from Adj EBITDA margin provided in FY15 report</t>
        </r>
      </text>
    </comment>
    <comment ref="N52" authorId="6" shapeId="0" xr:uid="{E017E3B2-48A4-40C5-8511-5DC77FD13BAF}">
      <text>
        <r>
          <rPr>
            <b/>
            <sz val="9"/>
            <color indexed="81"/>
            <rFont val="Tahoma"/>
            <family val="2"/>
          </rPr>
          <t>Crisil Intergral IQ:</t>
        </r>
        <r>
          <rPr>
            <sz val="9"/>
            <color indexed="81"/>
            <rFont val="Tahoma"/>
            <family val="2"/>
          </rPr>
          <t xml:space="preserve">
</t>
        </r>
        <r>
          <rPr>
            <b/>
            <sz val="9"/>
            <color indexed="81"/>
            <rFont val="Tahoma"/>
            <family val="2"/>
          </rPr>
          <t xml:space="preserve">Adjusted EBITDA Reconciliation
</t>
        </r>
        <r>
          <rPr>
            <sz val="9"/>
            <color indexed="81"/>
            <rFont val="Tahoma"/>
            <family val="2"/>
          </rPr>
          <t>Net Profit / Loss Attributed to the Controller
Provision for income and social contribution taxes
Non-controlling Interest
Net Exchange Variation
Net Financial Charges
Depreciation &amp; Amortization
Equivalence of non-controlled companies
EBITDA
Other Operational Revenues/Expenses
Other BRF adjEBITDA
EBITDA. Adj</t>
        </r>
      </text>
    </comment>
    <comment ref="I55" authorId="7" shapeId="0" xr:uid="{8F8AAECA-6960-4A88-8AAC-5E6283B8703A}">
      <text>
        <r>
          <rPr>
            <b/>
            <sz val="9"/>
            <color indexed="81"/>
            <rFont val="Tahoma"/>
            <family val="2"/>
          </rPr>
          <t xml:space="preserve">Crisil GR&amp;A:
</t>
        </r>
        <r>
          <rPr>
            <sz val="9"/>
            <color indexed="81"/>
            <rFont val="Tahoma"/>
            <family val="2"/>
          </rPr>
          <t>includes both depreciation and amortisation. Breakup not available from 4Q19</t>
        </r>
      </text>
    </comment>
    <comment ref="J55" authorId="7" shapeId="0" xr:uid="{4765A040-E10A-4967-86EE-C01A56183365}">
      <text>
        <r>
          <rPr>
            <b/>
            <sz val="9"/>
            <color indexed="81"/>
            <rFont val="Tahoma"/>
            <family val="2"/>
          </rPr>
          <t xml:space="preserve">Crisil GR&amp;A:
</t>
        </r>
        <r>
          <rPr>
            <sz val="9"/>
            <color indexed="81"/>
            <rFont val="Tahoma"/>
            <family val="2"/>
          </rPr>
          <t>includes both depreciation and amortisation. Breakup not available from 4Q19</t>
        </r>
      </text>
    </comment>
    <comment ref="AE55" authorId="2" shapeId="0" xr:uid="{0DE2B884-6943-4018-B866-AA1F09D196D3}">
      <text>
        <r>
          <rPr>
            <b/>
            <sz val="9"/>
            <color indexed="81"/>
            <rFont val="Tahoma"/>
            <family val="2"/>
          </rPr>
          <t>Crisil GR&amp;A:</t>
        </r>
        <r>
          <rPr>
            <sz val="9"/>
            <color indexed="81"/>
            <rFont val="Tahoma"/>
            <family val="2"/>
          </rPr>
          <t xml:space="preserve">
includes both depreciation and amortisation. Breakup not available from 2Q19</t>
        </r>
      </text>
    </comment>
    <comment ref="AF55" authorId="2" shapeId="0" xr:uid="{150F6D52-FD47-452C-B95B-114C2A33F514}">
      <text>
        <r>
          <rPr>
            <b/>
            <sz val="9"/>
            <color indexed="81"/>
            <rFont val="Tahoma"/>
            <family val="2"/>
          </rPr>
          <t>Crisil GR&amp;A:</t>
        </r>
        <r>
          <rPr>
            <sz val="9"/>
            <color indexed="81"/>
            <rFont val="Tahoma"/>
            <family val="2"/>
          </rPr>
          <t xml:space="preserve">
includes both depreciation and amortisation. Breakup not available from 3Q19</t>
        </r>
      </text>
    </comment>
    <comment ref="AH55" authorId="2" shapeId="0" xr:uid="{31614EE5-D4FC-4DF6-BA57-717DB7EC868F}">
      <text>
        <r>
          <rPr>
            <b/>
            <sz val="9"/>
            <color indexed="81"/>
            <rFont val="Tahoma"/>
            <family val="2"/>
          </rPr>
          <t>Crisil GR&amp;A:</t>
        </r>
        <r>
          <rPr>
            <sz val="9"/>
            <color indexed="81"/>
            <rFont val="Tahoma"/>
            <family val="2"/>
          </rPr>
          <t xml:space="preserve">
includes both depreciation and amortisation. Breakup not available from 1Q20</t>
        </r>
      </text>
    </comment>
    <comment ref="AI55" authorId="2" shapeId="0" xr:uid="{49F95618-294F-4B21-A76E-075631866118}">
      <text>
        <r>
          <rPr>
            <b/>
            <sz val="9"/>
            <color indexed="81"/>
            <rFont val="Tahoma"/>
            <family val="2"/>
          </rPr>
          <t>Crisil GR&amp;A:</t>
        </r>
        <r>
          <rPr>
            <sz val="9"/>
            <color indexed="81"/>
            <rFont val="Tahoma"/>
            <family val="2"/>
          </rPr>
          <t xml:space="preserve">
includes both depreciation and amortisation. Breakup not available from 2Q19</t>
        </r>
      </text>
    </comment>
    <comment ref="AJ55" authorId="2" shapeId="0" xr:uid="{FAC8493B-91DE-4F32-B190-A59632A224DD}">
      <text>
        <r>
          <rPr>
            <b/>
            <sz val="9"/>
            <color indexed="81"/>
            <rFont val="Tahoma"/>
            <family val="2"/>
          </rPr>
          <t>Crisil GR&amp;A:</t>
        </r>
        <r>
          <rPr>
            <sz val="9"/>
            <color indexed="81"/>
            <rFont val="Tahoma"/>
            <family val="2"/>
          </rPr>
          <t xml:space="preserve">
includes both depreciation and amortisation. Breakup not available from 3Q19</t>
        </r>
      </text>
    </comment>
    <comment ref="AL55" authorId="2" shapeId="0" xr:uid="{9D5D2B86-B4DE-4959-B966-C6956C249AAF}">
      <text>
        <r>
          <rPr>
            <b/>
            <sz val="9"/>
            <color indexed="81"/>
            <rFont val="Tahoma"/>
            <family val="2"/>
          </rPr>
          <t>Crisil GR&amp;A:</t>
        </r>
        <r>
          <rPr>
            <sz val="9"/>
            <color indexed="81"/>
            <rFont val="Tahoma"/>
            <family val="2"/>
          </rPr>
          <t xml:space="preserve">
includes both depreciation and amortisation. Breakup not available from 1Q20</t>
        </r>
      </text>
    </comment>
    <comment ref="AM55" authorId="2" shapeId="0" xr:uid="{828D40D4-CC9E-4F87-8D0C-F072306A183C}">
      <text>
        <r>
          <rPr>
            <b/>
            <sz val="9"/>
            <color indexed="81"/>
            <rFont val="Tahoma"/>
            <family val="2"/>
          </rPr>
          <t>Crisil GR&amp;A:</t>
        </r>
        <r>
          <rPr>
            <sz val="9"/>
            <color indexed="81"/>
            <rFont val="Tahoma"/>
            <family val="2"/>
          </rPr>
          <t xml:space="preserve">
includes both depreciation and amortisation. Breakup not available from 2Q19</t>
        </r>
      </text>
    </comment>
    <comment ref="AN55" authorId="2" shapeId="0" xr:uid="{BEDEAEE8-3873-41F0-93E8-8DDEF954EF77}">
      <text>
        <r>
          <rPr>
            <b/>
            <sz val="9"/>
            <color indexed="81"/>
            <rFont val="Tahoma"/>
            <family val="2"/>
          </rPr>
          <t>Crisil GR&amp;A:</t>
        </r>
        <r>
          <rPr>
            <sz val="9"/>
            <color indexed="81"/>
            <rFont val="Tahoma"/>
            <family val="2"/>
          </rPr>
          <t xml:space="preserve">
includes both depreciation and amortisation. Breakup not available</t>
        </r>
      </text>
    </comment>
    <comment ref="AP55" authorId="2" shapeId="0" xr:uid="{C9095B73-7CD1-418A-B0D8-9B2935F6C853}">
      <text>
        <r>
          <rPr>
            <b/>
            <sz val="9"/>
            <color indexed="81"/>
            <rFont val="Tahoma"/>
            <family val="2"/>
          </rPr>
          <t>Crisil GR&amp;A:</t>
        </r>
        <r>
          <rPr>
            <sz val="9"/>
            <color indexed="81"/>
            <rFont val="Tahoma"/>
            <family val="2"/>
          </rPr>
          <t xml:space="preserve">
includes both depreciation and amortisation. Breakup not available from 1Q22</t>
        </r>
      </text>
    </comment>
    <comment ref="AQ55" authorId="2" shapeId="0" xr:uid="{2A87A9C2-4C6C-4E16-B9D5-0B0846E1FDD2}">
      <text>
        <r>
          <rPr>
            <b/>
            <sz val="9"/>
            <color indexed="81"/>
            <rFont val="Tahoma"/>
            <family val="2"/>
          </rPr>
          <t>Crisil GR&amp;A:</t>
        </r>
        <r>
          <rPr>
            <sz val="9"/>
            <color indexed="81"/>
            <rFont val="Tahoma"/>
            <family val="2"/>
          </rPr>
          <t xml:space="preserve">
includes both depreciation and amortisation. Breakup not available for 2Q22</t>
        </r>
      </text>
    </comment>
    <comment ref="AR55" authorId="2" shapeId="0" xr:uid="{23FF471C-8BED-47AA-9656-0E6117767A55}">
      <text>
        <r>
          <rPr>
            <b/>
            <sz val="9"/>
            <color indexed="81"/>
            <rFont val="Tahoma"/>
            <family val="2"/>
          </rPr>
          <t>Crisil GR&amp;A:</t>
        </r>
        <r>
          <rPr>
            <sz val="9"/>
            <color indexed="81"/>
            <rFont val="Tahoma"/>
            <family val="2"/>
          </rPr>
          <t xml:space="preserve">
includes both depreciation and amortisation. Breakup not available</t>
        </r>
      </text>
    </comment>
    <comment ref="AT55" authorId="2" shapeId="0" xr:uid="{1FC70057-8746-4011-A979-ED1085A7F301}">
      <text>
        <r>
          <rPr>
            <b/>
            <sz val="9"/>
            <color indexed="81"/>
            <rFont val="Tahoma"/>
            <family val="2"/>
          </rPr>
          <t>Crisil GR&amp;A:</t>
        </r>
        <r>
          <rPr>
            <sz val="9"/>
            <color indexed="81"/>
            <rFont val="Tahoma"/>
            <family val="2"/>
          </rPr>
          <t xml:space="preserve">
includes both depreciation and amortisation. Breakup not available
</t>
        </r>
      </text>
    </comment>
    <comment ref="AU55" authorId="2" shapeId="0" xr:uid="{ED6F647C-EDA8-4F69-81E2-6E24380888CA}">
      <text>
        <r>
          <rPr>
            <b/>
            <sz val="9"/>
            <color indexed="81"/>
            <rFont val="Tahoma"/>
            <family val="2"/>
          </rPr>
          <t>Crisil GR&amp;A:</t>
        </r>
        <r>
          <rPr>
            <sz val="9"/>
            <color indexed="81"/>
            <rFont val="Tahoma"/>
            <family val="2"/>
          </rPr>
          <t xml:space="preserve">
includes both depreciation and amortisation. Breakup not available for 2Q22</t>
        </r>
      </text>
    </comment>
    <comment ref="AV55" authorId="2" shapeId="0" xr:uid="{DF026E7C-43D8-42F0-863D-CF03AD2CC3DF}">
      <text>
        <r>
          <rPr>
            <b/>
            <sz val="9"/>
            <color indexed="81"/>
            <rFont val="Tahoma"/>
            <family val="2"/>
          </rPr>
          <t>Crisil GR&amp;A:</t>
        </r>
        <r>
          <rPr>
            <sz val="9"/>
            <color indexed="81"/>
            <rFont val="Tahoma"/>
            <family val="2"/>
          </rPr>
          <t xml:space="preserve">
includes both depreciation and amortisation. Breakup not available</t>
        </r>
      </text>
    </comment>
    <comment ref="AX55" authorId="2" shapeId="0" xr:uid="{3888FAAE-B7BB-4C4C-BC69-542ACC2CC709}">
      <text>
        <r>
          <rPr>
            <b/>
            <sz val="9"/>
            <color indexed="81"/>
            <rFont val="Tahoma"/>
            <family val="2"/>
          </rPr>
          <t>Crisil GR&amp;A:</t>
        </r>
        <r>
          <rPr>
            <sz val="9"/>
            <color indexed="81"/>
            <rFont val="Tahoma"/>
            <family val="2"/>
          </rPr>
          <t xml:space="preserve">
includes both depreciation and amortisation. Breakup not available
</t>
        </r>
      </text>
    </comment>
    <comment ref="AY55" authorId="2" shapeId="0" xr:uid="{A55E01AD-3DBD-4C40-BCBB-CEF876867341}">
      <text>
        <r>
          <rPr>
            <b/>
            <sz val="9"/>
            <color indexed="81"/>
            <rFont val="Tahoma"/>
            <family val="2"/>
          </rPr>
          <t>Crisil GR&amp;A:</t>
        </r>
        <r>
          <rPr>
            <sz val="9"/>
            <color indexed="81"/>
            <rFont val="Tahoma"/>
            <family val="2"/>
          </rPr>
          <t xml:space="preserve">
includes both depreciation and amortisation. Breakup not available for 2Q22</t>
        </r>
      </text>
    </comment>
    <comment ref="AZ55" authorId="2" shapeId="0" xr:uid="{4E0F7B59-7DA3-4AF2-8298-695708DCEC61}">
      <text>
        <r>
          <rPr>
            <b/>
            <sz val="9"/>
            <color indexed="81"/>
            <rFont val="Tahoma"/>
            <family val="2"/>
          </rPr>
          <t>Crisil GR&amp;A:</t>
        </r>
        <r>
          <rPr>
            <sz val="9"/>
            <color indexed="81"/>
            <rFont val="Tahoma"/>
            <family val="2"/>
          </rPr>
          <t xml:space="preserve">
includes both depreciation and amortisation. Breakup not available</t>
        </r>
      </text>
    </comment>
    <comment ref="BB55" authorId="2" shapeId="0" xr:uid="{64B82B71-A93A-4061-A132-9FE200641204}">
      <text>
        <r>
          <rPr>
            <b/>
            <sz val="9"/>
            <color indexed="81"/>
            <rFont val="Tahoma"/>
            <family val="2"/>
          </rPr>
          <t>Crisil GR&amp;A:</t>
        </r>
        <r>
          <rPr>
            <sz val="9"/>
            <color indexed="81"/>
            <rFont val="Tahoma"/>
            <family val="2"/>
          </rPr>
          <t xml:space="preserve">
includes both depreciation and amortisation. Breakup not available
</t>
        </r>
      </text>
    </comment>
    <comment ref="BD55" authorId="2" shapeId="0" xr:uid="{3B54110D-1CAC-4CFE-94FA-7E0D94455D5A}">
      <text>
        <r>
          <rPr>
            <b/>
            <sz val="9"/>
            <color indexed="81"/>
            <rFont val="Tahoma"/>
            <family val="2"/>
          </rPr>
          <t>Crisil GR&amp;A:</t>
        </r>
        <r>
          <rPr>
            <sz val="9"/>
            <color indexed="81"/>
            <rFont val="Tahoma"/>
            <family val="2"/>
          </rPr>
          <t xml:space="preserve">
includes both depreciation and amortisation. Breakup not available</t>
        </r>
      </text>
    </comment>
    <comment ref="BH55" authorId="2" shapeId="0" xr:uid="{F9C7B234-E112-49AD-81F9-F51174FED561}">
      <text>
        <r>
          <rPr>
            <b/>
            <sz val="9"/>
            <color indexed="81"/>
            <rFont val="Tahoma"/>
            <family val="2"/>
          </rPr>
          <t>Crisil GR&amp;A:</t>
        </r>
        <r>
          <rPr>
            <sz val="9"/>
            <color indexed="81"/>
            <rFont val="Tahoma"/>
            <family val="2"/>
          </rPr>
          <t xml:space="preserve">
includes D&amp;A</t>
        </r>
      </text>
    </comment>
    <comment ref="BI55" authorId="2" shapeId="0" xr:uid="{181CCB77-D803-4911-9AC1-2351D8D5C888}">
      <text>
        <r>
          <rPr>
            <b/>
            <sz val="9"/>
            <color indexed="81"/>
            <rFont val="Tahoma"/>
            <family val="2"/>
          </rPr>
          <t>Crisil GR&amp;A:</t>
        </r>
        <r>
          <rPr>
            <sz val="9"/>
            <color indexed="81"/>
            <rFont val="Tahoma"/>
            <family val="2"/>
          </rPr>
          <t xml:space="preserve">
includes D&amp;A</t>
        </r>
      </text>
    </comment>
    <comment ref="BJ55" authorId="2" shapeId="0" xr:uid="{94E6B848-CC08-40D2-9497-E6D140AC4B03}">
      <text>
        <r>
          <rPr>
            <b/>
            <sz val="9"/>
            <color indexed="81"/>
            <rFont val="Tahoma"/>
            <family val="2"/>
          </rPr>
          <t>Crisil GR&amp;A:</t>
        </r>
        <r>
          <rPr>
            <sz val="9"/>
            <color indexed="81"/>
            <rFont val="Tahoma"/>
            <family val="2"/>
          </rPr>
          <t xml:space="preserve">
includes both depreciation and amortisation. Breakup not available from 2Q19</t>
        </r>
      </text>
    </comment>
    <comment ref="BK55" authorId="2" shapeId="0" xr:uid="{F934B4A5-61A4-41B5-A8B2-8490802C2E2A}">
      <text>
        <r>
          <rPr>
            <b/>
            <sz val="9"/>
            <color indexed="81"/>
            <rFont val="Tahoma"/>
            <family val="2"/>
          </rPr>
          <t>Crisil GR&amp;A:</t>
        </r>
        <r>
          <rPr>
            <sz val="9"/>
            <color indexed="81"/>
            <rFont val="Tahoma"/>
            <family val="2"/>
          </rPr>
          <t xml:space="preserve">
includes both depreciation and amortisation. Breakup not available
</t>
        </r>
      </text>
    </comment>
    <comment ref="B61" authorId="2" shapeId="0" xr:uid="{A403BC31-7769-4EAD-B6D7-AEF113A58C4C}">
      <text>
        <r>
          <rPr>
            <b/>
            <sz val="9"/>
            <color indexed="81"/>
            <rFont val="Tahoma"/>
            <family val="2"/>
          </rPr>
          <t>Crisil GR&amp;A:</t>
        </r>
        <r>
          <rPr>
            <sz val="9"/>
            <color indexed="81"/>
            <rFont val="Tahoma"/>
            <family val="2"/>
          </rPr>
          <t xml:space="preserve">
Includes 
Trade accounts receivable, current inventory and biological assets and trade payables and supplier chain financing</t>
        </r>
      </text>
    </comment>
    <comment ref="H63" authorId="2" shapeId="0" xr:uid="{97083E3A-7A73-47CB-81FB-A371B3DE67F4}">
      <text>
        <r>
          <rPr>
            <b/>
            <sz val="9"/>
            <color indexed="81"/>
            <rFont val="Tahoma"/>
            <family val="2"/>
          </rPr>
          <t>Crisil GR&amp;A:</t>
        </r>
        <r>
          <rPr>
            <sz val="9"/>
            <color indexed="81"/>
            <rFont val="Tahoma"/>
            <family val="2"/>
          </rPr>
          <t xml:space="preserve">
from press release 22/22</t>
        </r>
      </text>
    </comment>
    <comment ref="K63" authorId="3" shapeId="0" xr:uid="{7A4BF319-842B-4AFB-B379-6256139DD5FF}">
      <text>
        <r>
          <rPr>
            <b/>
            <sz val="9"/>
            <color indexed="81"/>
            <rFont val="Tahoma"/>
            <family val="2"/>
          </rPr>
          <t>CRISIL:</t>
        </r>
        <r>
          <rPr>
            <sz val="9"/>
            <color indexed="81"/>
            <rFont val="Tahoma"/>
            <family val="2"/>
          </rPr>
          <t xml:space="preserve">
Interest expenses on financial debt</t>
        </r>
      </text>
    </comment>
    <comment ref="L63" authorId="3" shapeId="0" xr:uid="{AF8C161A-1746-4F39-9C4F-160892E30799}">
      <text>
        <r>
          <rPr>
            <b/>
            <sz val="9"/>
            <color indexed="81"/>
            <rFont val="Tahoma"/>
            <family val="2"/>
          </rPr>
          <t>CRISIL:</t>
        </r>
        <r>
          <rPr>
            <sz val="9"/>
            <color indexed="81"/>
            <rFont val="Tahoma"/>
            <family val="2"/>
          </rPr>
          <t xml:space="preserve">
Interest expenses on financial debt</t>
        </r>
      </text>
    </comment>
    <comment ref="M63" authorId="3" shapeId="0" xr:uid="{1BFCB863-B1D3-4F09-A427-C27167E785CD}">
      <text>
        <r>
          <rPr>
            <b/>
            <sz val="9"/>
            <color indexed="81"/>
            <rFont val="Tahoma"/>
            <family val="2"/>
          </rPr>
          <t>CRISIL:</t>
        </r>
        <r>
          <rPr>
            <sz val="9"/>
            <color indexed="81"/>
            <rFont val="Tahoma"/>
            <family val="2"/>
          </rPr>
          <t xml:space="preserve">
Interest expenses on financial debt</t>
        </r>
      </text>
    </comment>
    <comment ref="N63" authorId="3" shapeId="0" xr:uid="{481C300C-293F-4A15-BABD-69265DCA35F7}">
      <text>
        <r>
          <rPr>
            <b/>
            <sz val="9"/>
            <color indexed="81"/>
            <rFont val="Tahoma"/>
            <family val="2"/>
          </rPr>
          <t>CRISIL:</t>
        </r>
        <r>
          <rPr>
            <sz val="9"/>
            <color indexed="81"/>
            <rFont val="Tahoma"/>
            <family val="2"/>
          </rPr>
          <t xml:space="preserve">
Interest expenses on financial debt</t>
        </r>
      </text>
    </comment>
    <comment ref="BD69" authorId="3" shapeId="0" xr:uid="{3F0927F8-20BC-41BE-9E46-90E00C8CE60F}">
      <text>
        <r>
          <rPr>
            <b/>
            <sz val="9"/>
            <color indexed="81"/>
            <rFont val="Tahoma"/>
            <family val="2"/>
          </rPr>
          <t>CRISIL:</t>
        </r>
        <r>
          <rPr>
            <sz val="9"/>
            <color indexed="81"/>
            <rFont val="Tahoma"/>
            <family val="2"/>
          </rPr>
          <t xml:space="preserve">
9M includes:
* Investments: (1,261.521)
* Financial investments and marketable securities : 1,371.190</t>
        </r>
      </text>
    </comment>
    <comment ref="AD72" authorId="2" shapeId="0" xr:uid="{FC427D37-7255-4B2F-B83D-EC26FC3F9ED5}">
      <text>
        <r>
          <rPr>
            <b/>
            <sz val="9"/>
            <color indexed="81"/>
            <rFont val="Tahoma"/>
            <family val="2"/>
          </rPr>
          <t>Crisil GR&amp;A:</t>
        </r>
        <r>
          <rPr>
            <sz val="9"/>
            <color indexed="81"/>
            <rFont val="Tahoma"/>
            <family val="2"/>
          </rPr>
          <t xml:space="preserve">
Taken lease payables under this from 1Q19 onwards</t>
        </r>
      </text>
    </comment>
    <comment ref="B73" authorId="2" shapeId="0" xr:uid="{6B8270FD-A4F0-4B9C-BDEB-4ED416E53490}">
      <text>
        <r>
          <rPr>
            <b/>
            <sz val="9"/>
            <color indexed="81"/>
            <rFont val="Tahoma"/>
            <family val="2"/>
          </rPr>
          <t>Crisil GR&amp;A:</t>
        </r>
        <r>
          <rPr>
            <sz val="9"/>
            <color indexed="81"/>
            <rFont val="Tahoma"/>
            <family val="2"/>
          </rPr>
          <t xml:space="preserve">
Includes leasing payables</t>
        </r>
      </text>
    </comment>
    <comment ref="N77" authorId="6" shapeId="0" xr:uid="{CED67C77-FC2C-493E-83FA-2FC1068BD06B}">
      <text>
        <r>
          <rPr>
            <b/>
            <sz val="9"/>
            <color indexed="81"/>
            <rFont val="Tahoma"/>
            <family val="2"/>
          </rPr>
          <t>Crisil Intergral IQ:</t>
        </r>
        <r>
          <rPr>
            <sz val="9"/>
            <color indexed="81"/>
            <rFont val="Tahoma"/>
            <family val="2"/>
          </rPr>
          <t xml:space="preserve">
Higher balancing due to difference in reported cash from operations and calculated numbers mainly due to line items under equity changes</t>
        </r>
      </text>
    </comment>
    <comment ref="K79" authorId="3" shapeId="0" xr:uid="{4C9D6DF4-C2B0-4ABF-8813-33FA24317121}">
      <text>
        <r>
          <rPr>
            <b/>
            <sz val="9"/>
            <color indexed="81"/>
            <rFont val="Tahoma"/>
            <family val="2"/>
          </rPr>
          <t>CRISIL:</t>
        </r>
        <r>
          <rPr>
            <sz val="9"/>
            <color indexed="81"/>
            <rFont val="Tahoma"/>
            <family val="2"/>
          </rPr>
          <t xml:space="preserve">
Marketable securitues not included in cash &amp; cash equivalents</t>
        </r>
      </text>
    </comment>
    <comment ref="L79" authorId="3" shapeId="0" xr:uid="{EDF66A3A-AFCE-48C5-AA25-DDE83B834940}">
      <text>
        <r>
          <rPr>
            <b/>
            <sz val="9"/>
            <color indexed="81"/>
            <rFont val="Tahoma"/>
            <family val="2"/>
          </rPr>
          <t>CRISIL:</t>
        </r>
        <r>
          <rPr>
            <sz val="9"/>
            <color indexed="81"/>
            <rFont val="Tahoma"/>
            <family val="2"/>
          </rPr>
          <t xml:space="preserve">
Marketable securitues not included in cash &amp; cash equivalents</t>
        </r>
      </text>
    </comment>
    <comment ref="M79" authorId="3" shapeId="0" xr:uid="{6D9299BC-55F9-4CC7-9D98-A7FC83158C85}">
      <text>
        <r>
          <rPr>
            <b/>
            <sz val="9"/>
            <color indexed="81"/>
            <rFont val="Tahoma"/>
            <family val="2"/>
          </rPr>
          <t>CRISIL:</t>
        </r>
        <r>
          <rPr>
            <sz val="9"/>
            <color indexed="81"/>
            <rFont val="Tahoma"/>
            <family val="2"/>
          </rPr>
          <t xml:space="preserve">
Marketable securitues not included in cash &amp; cash equivalents</t>
        </r>
      </text>
    </comment>
    <comment ref="N79" authorId="3" shapeId="0" xr:uid="{10D0AFB1-A1A5-4460-A580-9B9676E842EA}">
      <text>
        <r>
          <rPr>
            <b/>
            <sz val="9"/>
            <color indexed="81"/>
            <rFont val="Tahoma"/>
            <family val="2"/>
          </rPr>
          <t>CRISIL:</t>
        </r>
        <r>
          <rPr>
            <sz val="9"/>
            <color indexed="81"/>
            <rFont val="Tahoma"/>
            <family val="2"/>
          </rPr>
          <t xml:space="preserve">
Marketable securitues not included in cash &amp; cash equivalents</t>
        </r>
      </text>
    </comment>
    <comment ref="O79" authorId="0" shapeId="0" xr:uid="{0402A672-DB7E-4E79-811C-87B0143C8684}">
      <text>
        <r>
          <rPr>
            <b/>
            <sz val="9"/>
            <color indexed="81"/>
            <rFont val="Tahoma"/>
            <family val="2"/>
          </rPr>
          <t>CRISIL GR&amp;A:</t>
        </r>
        <r>
          <rPr>
            <sz val="9"/>
            <color indexed="81"/>
            <rFont val="Tahoma"/>
            <family val="2"/>
          </rPr>
          <t xml:space="preserve">
Marketable securities not included in cas and cash equivalents`</t>
        </r>
      </text>
    </comment>
    <comment ref="AN79" authorId="3" shapeId="0" xr:uid="{15B35F98-D0BA-4262-9490-732A99AF2E7E}">
      <text>
        <r>
          <rPr>
            <b/>
            <sz val="9"/>
            <color indexed="81"/>
            <rFont val="Tahoma"/>
            <family val="2"/>
          </rPr>
          <t>CRISIL:</t>
        </r>
        <r>
          <rPr>
            <sz val="9"/>
            <color indexed="81"/>
            <rFont val="Tahoma"/>
            <family val="2"/>
          </rPr>
          <t xml:space="preserve">
Marketable securitues not included in cash &amp; cash equivalents</t>
        </r>
      </text>
    </comment>
    <comment ref="AO79" authorId="3" shapeId="0" xr:uid="{4054B620-FF3C-46A0-B97D-57C215260D87}">
      <text>
        <r>
          <rPr>
            <b/>
            <sz val="9"/>
            <color indexed="81"/>
            <rFont val="Tahoma"/>
            <family val="2"/>
          </rPr>
          <t>CRISIL:</t>
        </r>
        <r>
          <rPr>
            <sz val="9"/>
            <color indexed="81"/>
            <rFont val="Tahoma"/>
            <family val="2"/>
          </rPr>
          <t xml:space="preserve">
Marketable securitues not included in cash &amp; cash equivalents</t>
        </r>
      </text>
    </comment>
    <comment ref="AP79" authorId="0" shapeId="0" xr:uid="{AA1E248A-288B-411D-BDBA-B32CC6C9EE0B}">
      <text>
        <r>
          <rPr>
            <b/>
            <sz val="9"/>
            <color indexed="81"/>
            <rFont val="Tahoma"/>
            <family val="2"/>
          </rPr>
          <t>CRISIL GR&amp;A:</t>
        </r>
        <r>
          <rPr>
            <sz val="9"/>
            <color indexed="81"/>
            <rFont val="Tahoma"/>
            <family val="2"/>
          </rPr>
          <t xml:space="preserve">
Marketable securities not included in cas and cash equivalents`</t>
        </r>
      </text>
    </comment>
    <comment ref="AQ79" authorId="0" shapeId="0" xr:uid="{2669EBC4-0E53-42B0-8040-4960188A8605}">
      <text>
        <r>
          <rPr>
            <b/>
            <sz val="9"/>
            <color indexed="81"/>
            <rFont val="Tahoma"/>
            <family val="2"/>
          </rPr>
          <t>CRISIL GR&amp;A:</t>
        </r>
        <r>
          <rPr>
            <sz val="9"/>
            <color indexed="81"/>
            <rFont val="Tahoma"/>
            <family val="2"/>
          </rPr>
          <t xml:space="preserve">
Marketable securities not included in cas and cash equivalents`</t>
        </r>
      </text>
    </comment>
    <comment ref="AR79" authorId="0" shapeId="0" xr:uid="{D9D52680-1116-442C-9B44-F3DA9FC93BD3}">
      <text>
        <r>
          <rPr>
            <b/>
            <sz val="9"/>
            <color indexed="81"/>
            <rFont val="Tahoma"/>
            <family val="2"/>
          </rPr>
          <t>CRISIL GR&amp;A:</t>
        </r>
        <r>
          <rPr>
            <sz val="9"/>
            <color indexed="81"/>
            <rFont val="Tahoma"/>
            <family val="2"/>
          </rPr>
          <t xml:space="preserve">
Marketable securities not included in cas and cash equivalents`</t>
        </r>
      </text>
    </comment>
    <comment ref="AS79" authorId="3" shapeId="0" xr:uid="{CA0C3891-627F-40EB-90F8-54A4DFE51B67}">
      <text>
        <r>
          <rPr>
            <b/>
            <sz val="9"/>
            <color indexed="81"/>
            <rFont val="Tahoma"/>
            <family val="2"/>
          </rPr>
          <t>CRISIL:</t>
        </r>
        <r>
          <rPr>
            <sz val="9"/>
            <color indexed="81"/>
            <rFont val="Tahoma"/>
            <family val="2"/>
          </rPr>
          <t xml:space="preserve">
Marketable securitues not included in cash &amp; cash equivalents</t>
        </r>
      </text>
    </comment>
    <comment ref="AT79" authorId="0" shapeId="0" xr:uid="{F168045F-999D-444D-8D0C-2E90E15E5B69}">
      <text>
        <r>
          <rPr>
            <b/>
            <sz val="9"/>
            <color indexed="81"/>
            <rFont val="Tahoma"/>
            <family val="2"/>
          </rPr>
          <t>CRISIL GR&amp;A:</t>
        </r>
        <r>
          <rPr>
            <sz val="9"/>
            <color indexed="81"/>
            <rFont val="Tahoma"/>
            <family val="2"/>
          </rPr>
          <t xml:space="preserve">
Marketable securities not included in cas and cash equivalents`</t>
        </r>
      </text>
    </comment>
    <comment ref="AU79" authorId="0" shapeId="0" xr:uid="{FF1F5870-418E-441F-A932-08A4CCD64F80}">
      <text>
        <r>
          <rPr>
            <b/>
            <sz val="9"/>
            <color indexed="81"/>
            <rFont val="Tahoma"/>
            <family val="2"/>
          </rPr>
          <t>CRISIL GR&amp;A:</t>
        </r>
        <r>
          <rPr>
            <sz val="9"/>
            <color indexed="81"/>
            <rFont val="Tahoma"/>
            <family val="2"/>
          </rPr>
          <t xml:space="preserve">
Marketable securities not included in cas and cash equivalents`</t>
        </r>
      </text>
    </comment>
    <comment ref="AV79" authorId="0" shapeId="0" xr:uid="{B18C5225-93EC-42C4-AACC-929335162E28}">
      <text>
        <r>
          <rPr>
            <b/>
            <sz val="9"/>
            <color indexed="81"/>
            <rFont val="Tahoma"/>
            <family val="2"/>
          </rPr>
          <t>CRISIL GR&amp;A:</t>
        </r>
        <r>
          <rPr>
            <sz val="9"/>
            <color indexed="81"/>
            <rFont val="Tahoma"/>
            <family val="2"/>
          </rPr>
          <t xml:space="preserve">
Marketable securities not included in cas and cash equivalents`</t>
        </r>
      </text>
    </comment>
    <comment ref="AW79" authorId="3" shapeId="0" xr:uid="{B6F58F0D-3E57-45A3-81CB-6B32F14377EC}">
      <text>
        <r>
          <rPr>
            <b/>
            <sz val="9"/>
            <color indexed="81"/>
            <rFont val="Tahoma"/>
            <family val="2"/>
          </rPr>
          <t>CRISIL:</t>
        </r>
        <r>
          <rPr>
            <sz val="9"/>
            <color indexed="81"/>
            <rFont val="Tahoma"/>
            <family val="2"/>
          </rPr>
          <t xml:space="preserve">
Marketable securitues not included in cash &amp; cash equivalents</t>
        </r>
      </text>
    </comment>
    <comment ref="AX79" authorId="0" shapeId="0" xr:uid="{9A3600CC-5F7A-43AC-9E92-67D0412B4A5C}">
      <text>
        <r>
          <rPr>
            <b/>
            <sz val="9"/>
            <color indexed="81"/>
            <rFont val="Tahoma"/>
            <family val="2"/>
          </rPr>
          <t>CRISIL GR&amp;A:</t>
        </r>
        <r>
          <rPr>
            <sz val="9"/>
            <color indexed="81"/>
            <rFont val="Tahoma"/>
            <family val="2"/>
          </rPr>
          <t xml:space="preserve">
Marketable securities not included in cas and cash equivalents`</t>
        </r>
      </text>
    </comment>
    <comment ref="AY79" authorId="0" shapeId="0" xr:uid="{65A47C1A-C4DF-4075-BE7E-EB9A4F64EBC0}">
      <text>
        <r>
          <rPr>
            <b/>
            <sz val="9"/>
            <color indexed="81"/>
            <rFont val="Tahoma"/>
            <family val="2"/>
          </rPr>
          <t>CRISIL GR&amp;A:</t>
        </r>
        <r>
          <rPr>
            <sz val="9"/>
            <color indexed="81"/>
            <rFont val="Tahoma"/>
            <family val="2"/>
          </rPr>
          <t xml:space="preserve">
Marketable securities not included in cas and cash equivalents`</t>
        </r>
      </text>
    </comment>
    <comment ref="AZ79" authorId="0" shapeId="0" xr:uid="{7835C0C0-8C1F-466E-B540-966B8F4F01E4}">
      <text>
        <r>
          <rPr>
            <b/>
            <sz val="9"/>
            <color indexed="81"/>
            <rFont val="Tahoma"/>
            <family val="2"/>
          </rPr>
          <t>CRISIL GR&amp;A:</t>
        </r>
        <r>
          <rPr>
            <sz val="9"/>
            <color indexed="81"/>
            <rFont val="Tahoma"/>
            <family val="2"/>
          </rPr>
          <t xml:space="preserve">
Marketable securities not included in cas and cash equivalents`</t>
        </r>
      </text>
    </comment>
    <comment ref="BA79" authorId="3" shapeId="0" xr:uid="{AC1A63CB-A4F8-494F-90DB-65976D037BD0}">
      <text>
        <r>
          <rPr>
            <b/>
            <sz val="9"/>
            <color indexed="81"/>
            <rFont val="Tahoma"/>
            <family val="2"/>
          </rPr>
          <t>CRISIL:</t>
        </r>
        <r>
          <rPr>
            <sz val="9"/>
            <color indexed="81"/>
            <rFont val="Tahoma"/>
            <family val="2"/>
          </rPr>
          <t xml:space="preserve">
Marketable securitues not included in cash &amp; cash equivalents</t>
        </r>
      </text>
    </comment>
    <comment ref="BB79" authorId="0" shapeId="0" xr:uid="{1012565E-3AB1-420F-AAE0-0D08FE200970}">
      <text>
        <r>
          <rPr>
            <b/>
            <sz val="9"/>
            <color indexed="81"/>
            <rFont val="Tahoma"/>
            <family val="2"/>
          </rPr>
          <t>CRISIL GR&amp;A:</t>
        </r>
        <r>
          <rPr>
            <sz val="9"/>
            <color indexed="81"/>
            <rFont val="Tahoma"/>
            <family val="2"/>
          </rPr>
          <t xml:space="preserve">
Marketable securities not included in cas and cash equivalents`</t>
        </r>
      </text>
    </comment>
    <comment ref="BC79" authorId="0" shapeId="0" xr:uid="{E28B1E9E-40FC-4855-B924-22BAF8901A10}">
      <text>
        <r>
          <rPr>
            <b/>
            <sz val="9"/>
            <color indexed="81"/>
            <rFont val="Tahoma"/>
            <family val="2"/>
          </rPr>
          <t>CRISIL GR&amp;A:</t>
        </r>
        <r>
          <rPr>
            <sz val="9"/>
            <color indexed="81"/>
            <rFont val="Tahoma"/>
            <family val="2"/>
          </rPr>
          <t xml:space="preserve">
Marketable securities not included in cas and cash equivalents`</t>
        </r>
      </text>
    </comment>
    <comment ref="BD79" authorId="0" shapeId="0" xr:uid="{BBC1F43B-31E6-4D3B-920F-063678AE4092}">
      <text>
        <r>
          <rPr>
            <b/>
            <sz val="9"/>
            <color indexed="81"/>
            <rFont val="Tahoma"/>
            <family val="2"/>
          </rPr>
          <t>CRISIL GR&amp;A:</t>
        </r>
        <r>
          <rPr>
            <sz val="9"/>
            <color indexed="81"/>
            <rFont val="Tahoma"/>
            <family val="2"/>
          </rPr>
          <t xml:space="preserve">
Marketable securities not included in cas and cash equivalents`</t>
        </r>
      </text>
    </comment>
    <comment ref="BK79" authorId="0" shapeId="0" xr:uid="{9770E3B5-5341-423F-B87A-57322B4E0144}">
      <text>
        <r>
          <rPr>
            <b/>
            <sz val="9"/>
            <color indexed="81"/>
            <rFont val="Tahoma"/>
            <family val="2"/>
          </rPr>
          <t>CRISIL GR&amp;A:</t>
        </r>
        <r>
          <rPr>
            <sz val="9"/>
            <color indexed="81"/>
            <rFont val="Tahoma"/>
            <family val="2"/>
          </rPr>
          <t xml:space="preserve">
Marketable securities not included in cas and cash equivalents`</t>
        </r>
      </text>
    </comment>
    <comment ref="AN80" authorId="3" shapeId="0" xr:uid="{68D5FFEA-89F1-4ADF-BB64-B176408D5627}">
      <text>
        <r>
          <rPr>
            <b/>
            <sz val="9"/>
            <color indexed="81"/>
            <rFont val="Tahoma"/>
            <family val="2"/>
          </rPr>
          <t>CRISIL:</t>
        </r>
        <r>
          <rPr>
            <sz val="9"/>
            <color indexed="81"/>
            <rFont val="Tahoma"/>
            <family val="2"/>
          </rPr>
          <t xml:space="preserve">
Marketable securitues not included in cash &amp; cash equivalents</t>
        </r>
      </text>
    </comment>
    <comment ref="AO80" authorId="3" shapeId="0" xr:uid="{E09EBD2A-F726-44C8-8F9A-806D011B50BF}">
      <text>
        <r>
          <rPr>
            <b/>
            <sz val="9"/>
            <color indexed="81"/>
            <rFont val="Tahoma"/>
            <family val="2"/>
          </rPr>
          <t>CRISIL:</t>
        </r>
        <r>
          <rPr>
            <sz val="9"/>
            <color indexed="81"/>
            <rFont val="Tahoma"/>
            <family val="2"/>
          </rPr>
          <t xml:space="preserve">
Marketable securitues not included in cash &amp; cash equivalents</t>
        </r>
      </text>
    </comment>
    <comment ref="AR80" authorId="3" shapeId="0" xr:uid="{6A8F3695-4BC7-4EB9-A4AA-9153A4BF2EE4}">
      <text>
        <r>
          <rPr>
            <b/>
            <sz val="9"/>
            <color indexed="81"/>
            <rFont val="Tahoma"/>
            <family val="2"/>
          </rPr>
          <t>CRISIL:</t>
        </r>
        <r>
          <rPr>
            <sz val="9"/>
            <color indexed="81"/>
            <rFont val="Tahoma"/>
            <family val="2"/>
          </rPr>
          <t xml:space="preserve">
Marketable securitues not included in cash &amp; cash equivalents</t>
        </r>
      </text>
    </comment>
    <comment ref="AS80" authorId="3" shapeId="0" xr:uid="{3BE91D80-FD65-4F7F-948C-4B32759D6453}">
      <text>
        <r>
          <rPr>
            <b/>
            <sz val="9"/>
            <color indexed="81"/>
            <rFont val="Tahoma"/>
            <family val="2"/>
          </rPr>
          <t>CRISIL:</t>
        </r>
        <r>
          <rPr>
            <sz val="9"/>
            <color indexed="81"/>
            <rFont val="Tahoma"/>
            <family val="2"/>
          </rPr>
          <t xml:space="preserve">
Marketable securitues not included in cash &amp; cash equivalents</t>
        </r>
      </text>
    </comment>
    <comment ref="AV80" authorId="3" shapeId="0" xr:uid="{00524342-E726-41D0-AC93-A6CAC64CD58A}">
      <text>
        <r>
          <rPr>
            <b/>
            <sz val="9"/>
            <color indexed="81"/>
            <rFont val="Tahoma"/>
            <family val="2"/>
          </rPr>
          <t>CRISIL:</t>
        </r>
        <r>
          <rPr>
            <sz val="9"/>
            <color indexed="81"/>
            <rFont val="Tahoma"/>
            <family val="2"/>
          </rPr>
          <t xml:space="preserve">
Marketable securitues not included in cash &amp; cash equivalents</t>
        </r>
      </text>
    </comment>
    <comment ref="AW80" authorId="3" shapeId="0" xr:uid="{42B23D92-609C-48E5-B0A4-9161D1A44CBD}">
      <text>
        <r>
          <rPr>
            <b/>
            <sz val="9"/>
            <color indexed="81"/>
            <rFont val="Tahoma"/>
            <family val="2"/>
          </rPr>
          <t>CRISIL:</t>
        </r>
        <r>
          <rPr>
            <sz val="9"/>
            <color indexed="81"/>
            <rFont val="Tahoma"/>
            <family val="2"/>
          </rPr>
          <t xml:space="preserve">
Marketable securitues not included in cash &amp; cash equivalents</t>
        </r>
      </text>
    </comment>
    <comment ref="AZ80" authorId="3" shapeId="0" xr:uid="{0C80B7E9-1F90-43E5-B8FB-5567A4E741D8}">
      <text>
        <r>
          <rPr>
            <b/>
            <sz val="9"/>
            <color indexed="81"/>
            <rFont val="Tahoma"/>
            <family val="2"/>
          </rPr>
          <t>CRISIL:</t>
        </r>
        <r>
          <rPr>
            <sz val="9"/>
            <color indexed="81"/>
            <rFont val="Tahoma"/>
            <family val="2"/>
          </rPr>
          <t xml:space="preserve">
Marketable securitues not included in cash &amp; cash equivalents</t>
        </r>
      </text>
    </comment>
    <comment ref="BA80" authorId="3" shapeId="0" xr:uid="{1A501A9D-B55E-40B6-96E7-C8B2B528807C}">
      <text>
        <r>
          <rPr>
            <b/>
            <sz val="9"/>
            <color indexed="81"/>
            <rFont val="Tahoma"/>
            <family val="2"/>
          </rPr>
          <t>CRISIL:</t>
        </r>
        <r>
          <rPr>
            <sz val="9"/>
            <color indexed="81"/>
            <rFont val="Tahoma"/>
            <family val="2"/>
          </rPr>
          <t xml:space="preserve">
Marketable securitues not included in cash &amp; cash equivalents</t>
        </r>
      </text>
    </comment>
    <comment ref="BD80" authorId="3" shapeId="0" xr:uid="{9A39CF53-A1DA-4BFA-B46D-CD5CF4DB2E0D}">
      <text>
        <r>
          <rPr>
            <b/>
            <sz val="9"/>
            <color indexed="81"/>
            <rFont val="Tahoma"/>
            <family val="2"/>
          </rPr>
          <t>CRISIL:</t>
        </r>
        <r>
          <rPr>
            <sz val="9"/>
            <color indexed="81"/>
            <rFont val="Tahoma"/>
            <family val="2"/>
          </rPr>
          <t xml:space="preserve">
Marketable securitues not included in cash &amp; cash equivalents</t>
        </r>
      </text>
    </comment>
    <comment ref="AE86" authorId="2" shapeId="0" xr:uid="{13440D13-37C2-4776-9783-A171A6C3062D}">
      <text>
        <r>
          <rPr>
            <b/>
            <sz val="9"/>
            <color indexed="81"/>
            <rFont val="Tahoma"/>
            <family val="2"/>
          </rPr>
          <t>Crisil GR&amp;A:</t>
        </r>
        <r>
          <rPr>
            <sz val="9"/>
            <color indexed="81"/>
            <rFont val="Tahoma"/>
            <family val="2"/>
          </rPr>
          <t xml:space="preserve">
Pro forma LTM EBITDA</t>
        </r>
      </text>
    </comment>
    <comment ref="AF86" authorId="2" shapeId="0" xr:uid="{A1D23F99-4B3B-4703-931F-1D70886708D0}">
      <text>
        <r>
          <rPr>
            <b/>
            <sz val="9"/>
            <color indexed="81"/>
            <rFont val="Tahoma"/>
            <family val="2"/>
          </rPr>
          <t>Crisil GR&amp;A:</t>
        </r>
        <r>
          <rPr>
            <sz val="9"/>
            <color indexed="81"/>
            <rFont val="Tahoma"/>
            <family val="2"/>
          </rPr>
          <t xml:space="preserve">
Pro forma LTM EBITDA</t>
        </r>
      </text>
    </comment>
    <comment ref="BT86" authorId="2" shapeId="0" xr:uid="{CEDE08E4-1B19-412E-B2B8-AFCE87F04E6F}">
      <text>
        <r>
          <rPr>
            <b/>
            <sz val="9"/>
            <color indexed="81"/>
            <rFont val="Tahoma"/>
            <family val="2"/>
          </rPr>
          <t>Crisil GR&amp;A:</t>
        </r>
        <r>
          <rPr>
            <sz val="9"/>
            <color indexed="81"/>
            <rFont val="Tahoma"/>
            <family val="2"/>
          </rPr>
          <t xml:space="preserve">
Backcalculated using leverage and net debt. Leverage calculated by the ratio of net debt to proforma Adj. EBITDA LTM (last 12 months), was 2.65x in Brazilian real</t>
        </r>
      </text>
    </comment>
    <comment ref="BU86" authorId="2" shapeId="0" xr:uid="{1100676D-755F-4C1E-8FAF-A6FFC3FB877B}">
      <text>
        <r>
          <rPr>
            <b/>
            <sz val="9"/>
            <color indexed="81"/>
            <rFont val="Tahoma"/>
            <family val="2"/>
          </rPr>
          <t>Crisil GR&amp;A:</t>
        </r>
        <r>
          <rPr>
            <sz val="9"/>
            <color indexed="81"/>
            <rFont val="Tahoma"/>
            <family val="2"/>
          </rPr>
          <t xml:space="preserve">
Backcalculated using leverage and net debt. Leverage calculated by the ratio of net debt to proforma Adj. EBITDA LTM (last 12 months), was 2.59x in Brazilian real</t>
        </r>
      </text>
    </comment>
    <comment ref="BY86" authorId="8" shapeId="0" xr:uid="{C59F97B6-AFAB-43FB-8684-2D274DF76D29}">
      <text>
        <r>
          <rPr>
            <sz val="9"/>
            <color indexed="81"/>
            <rFont val="Tahoma"/>
            <family val="2"/>
          </rPr>
          <t>In Brazilian real, net debt stood at R$17,382 million in 2Q20, down 10%, which also reflects
the noncash effect from exchange variation of R$1,121 million.
Net Debt / EBITDAAdj LTM In BRL is 2.07x</t>
        </r>
      </text>
    </comment>
    <comment ref="AB92" authorId="9" shapeId="0" xr:uid="{C2D27E91-BD22-4BE6-A8C2-529595638A7A}">
      <text>
        <r>
          <rPr>
            <sz val="9"/>
            <color indexed="81"/>
            <rFont val="Tahoma"/>
            <family val="2"/>
          </rPr>
          <t>Taken from the 4Q18 reported sheet</t>
        </r>
      </text>
    </comment>
    <comment ref="AC92" authorId="9" shapeId="0" xr:uid="{4B96746E-D4D8-4998-B9E7-73AE79C485B2}">
      <text>
        <r>
          <rPr>
            <sz val="9"/>
            <color indexed="81"/>
            <rFont val="Tahoma"/>
            <family val="2"/>
          </rPr>
          <t>Taken from the 4Q18 reported sheet</t>
        </r>
      </text>
    </comment>
    <comment ref="E93" authorId="9" shapeId="0" xr:uid="{161D978A-65C8-44A6-97D2-42DA077296FE}">
      <text>
        <r>
          <rPr>
            <sz val="9"/>
            <color indexed="81"/>
            <rFont val="Tahoma"/>
            <family val="2"/>
          </rPr>
          <t>Actual Reported,Taken from Transaction PPT, dated April 9th 2018</t>
        </r>
      </text>
    </comment>
    <comment ref="G93" authorId="9" shapeId="0" xr:uid="{80B06406-603A-4667-B66B-F2245675108F}">
      <text>
        <r>
          <rPr>
            <sz val="9"/>
            <color indexed="81"/>
            <rFont val="Tahoma"/>
            <family val="2"/>
          </rPr>
          <t>Actual Reported,Taken from Transaction PPT, dated April 9th 2018</t>
        </r>
      </text>
    </comment>
    <comment ref="B101" authorId="3" shapeId="0" xr:uid="{677FA7FE-0477-4561-A75F-D8B627FAE157}">
      <text>
        <r>
          <rPr>
            <b/>
            <sz val="9"/>
            <color indexed="81"/>
            <rFont val="Tahoma"/>
            <family val="2"/>
          </rPr>
          <t>CRISIL:</t>
        </r>
        <r>
          <rPr>
            <sz val="9"/>
            <color indexed="81"/>
            <rFont val="Tahoma"/>
            <family val="2"/>
          </rPr>
          <t xml:space="preserve">
Includes:
* Property, plant and equipment
* Right-of-use assets</t>
        </r>
      </text>
    </comment>
    <comment ref="AD115" authorId="9" shapeId="0" xr:uid="{22D352E1-DAE6-4B9D-BD0F-E7302DACDBC1}">
      <text>
        <r>
          <rPr>
            <b/>
            <sz val="9"/>
            <color indexed="81"/>
            <rFont val="Tahoma"/>
            <family val="2"/>
          </rPr>
          <t>Include Lease payable</t>
        </r>
      </text>
    </comment>
    <comment ref="AE115" authorId="9" shapeId="0" xr:uid="{85BEA814-6709-4870-BB8F-6BC15138EFCE}">
      <text>
        <r>
          <rPr>
            <b/>
            <sz val="9"/>
            <color indexed="81"/>
            <rFont val="Tahoma"/>
            <family val="2"/>
          </rPr>
          <t>Include Lease payable</t>
        </r>
      </text>
    </comment>
    <comment ref="AF115" authorId="9" shapeId="0" xr:uid="{E0044D6E-9550-4212-B6F3-212129A8AC5C}">
      <text>
        <r>
          <rPr>
            <b/>
            <sz val="9"/>
            <color indexed="81"/>
            <rFont val="Tahoma"/>
            <family val="2"/>
          </rPr>
          <t>Include Lease payable</t>
        </r>
      </text>
    </comment>
    <comment ref="AG115" authorId="9" shapeId="0" xr:uid="{0A2E2438-3096-4685-AF4B-DCDDBBCABB83}">
      <text>
        <r>
          <rPr>
            <b/>
            <sz val="9"/>
            <color indexed="81"/>
            <rFont val="Tahoma"/>
            <family val="2"/>
          </rPr>
          <t>Include Lease payable</t>
        </r>
      </text>
    </comment>
    <comment ref="AH115" authorId="9" shapeId="0" xr:uid="{0D14619A-C2DF-4C07-A23D-A9D963DE21F0}">
      <text>
        <r>
          <rPr>
            <b/>
            <sz val="9"/>
            <color indexed="81"/>
            <rFont val="Tahoma"/>
            <family val="2"/>
          </rPr>
          <t>Include Lease payable</t>
        </r>
      </text>
    </comment>
    <comment ref="AI115" authorId="9" shapeId="0" xr:uid="{2C26A3C2-D214-4261-B27F-6EF3D8D572F0}">
      <text>
        <r>
          <rPr>
            <b/>
            <sz val="9"/>
            <color indexed="81"/>
            <rFont val="Tahoma"/>
            <family val="2"/>
          </rPr>
          <t>Include Lease payable</t>
        </r>
      </text>
    </comment>
    <comment ref="AJ115" authorId="9" shapeId="0" xr:uid="{3C0914DC-8D1E-4824-B598-B98DF6E16B53}">
      <text>
        <r>
          <rPr>
            <b/>
            <sz val="9"/>
            <color indexed="81"/>
            <rFont val="Tahoma"/>
            <family val="2"/>
          </rPr>
          <t>Include Lease payable</t>
        </r>
      </text>
    </comment>
    <comment ref="AK115" authorId="4" shapeId="0" xr:uid="{FD7468B6-F8BB-406A-8053-D5F96804F604}">
      <text>
        <r>
          <rPr>
            <b/>
            <sz val="9"/>
            <color indexed="81"/>
            <rFont val="Tahoma"/>
            <family val="2"/>
          </rPr>
          <t xml:space="preserve">CRISIL GR&amp;A:
</t>
        </r>
        <r>
          <rPr>
            <sz val="9"/>
            <color indexed="81"/>
            <rFont val="Tahoma"/>
            <family val="2"/>
          </rPr>
          <t>Include lease payables</t>
        </r>
      </text>
    </comment>
    <comment ref="AL115" authorId="4" shapeId="0" xr:uid="{480F3F84-50EC-4796-A739-32452F03C67F}">
      <text>
        <r>
          <rPr>
            <b/>
            <sz val="9"/>
            <color indexed="81"/>
            <rFont val="Tahoma"/>
            <family val="2"/>
          </rPr>
          <t xml:space="preserve">CRISIL GR&amp;A:
</t>
        </r>
        <r>
          <rPr>
            <sz val="9"/>
            <color indexed="81"/>
            <rFont val="Tahoma"/>
            <family val="2"/>
          </rPr>
          <t>Include lease payables</t>
        </r>
      </text>
    </comment>
    <comment ref="AM115" authorId="9" shapeId="0" xr:uid="{794C2899-8F7E-48C5-B95D-F64DA71CF1F3}">
      <text>
        <r>
          <rPr>
            <b/>
            <sz val="9"/>
            <color indexed="81"/>
            <rFont val="Tahoma"/>
            <family val="2"/>
          </rPr>
          <t>Include Lease payable</t>
        </r>
      </text>
    </comment>
    <comment ref="AN115" authorId="9" shapeId="0" xr:uid="{6CB327D4-D6E5-43A9-93E6-41E93441F518}">
      <text>
        <r>
          <rPr>
            <b/>
            <sz val="9"/>
            <color indexed="81"/>
            <rFont val="Tahoma"/>
            <family val="2"/>
          </rPr>
          <t>Include Lease payable</t>
        </r>
      </text>
    </comment>
    <comment ref="AO115" authorId="4" shapeId="0" xr:uid="{343C9106-F408-4BE4-9E9F-8F4F8871E6B3}">
      <text>
        <r>
          <rPr>
            <b/>
            <sz val="9"/>
            <color indexed="81"/>
            <rFont val="Tahoma"/>
            <family val="2"/>
          </rPr>
          <t xml:space="preserve">CRISIL GR&amp;A:
</t>
        </r>
        <r>
          <rPr>
            <sz val="9"/>
            <color indexed="81"/>
            <rFont val="Tahoma"/>
            <family val="2"/>
          </rPr>
          <t>Include lease payables</t>
        </r>
      </text>
    </comment>
    <comment ref="AR115" authorId="9" shapeId="0" xr:uid="{1684CF6B-58DD-4041-9D2E-A5AA5ED9FC16}">
      <text>
        <r>
          <rPr>
            <b/>
            <sz val="9"/>
            <color indexed="81"/>
            <rFont val="Tahoma"/>
            <family val="2"/>
          </rPr>
          <t>Include Lease payable</t>
        </r>
      </text>
    </comment>
    <comment ref="AS115" authorId="4" shapeId="0" xr:uid="{30EB47EE-F897-4453-B8C6-12269FB6F995}">
      <text>
        <r>
          <rPr>
            <b/>
            <sz val="9"/>
            <color indexed="81"/>
            <rFont val="Tahoma"/>
            <family val="2"/>
          </rPr>
          <t xml:space="preserve">CRISIL GR&amp;A:
</t>
        </r>
        <r>
          <rPr>
            <sz val="9"/>
            <color indexed="81"/>
            <rFont val="Tahoma"/>
            <family val="2"/>
          </rPr>
          <t>Include lease payables</t>
        </r>
      </text>
    </comment>
    <comment ref="AW115" authorId="4" shapeId="0" xr:uid="{EFDE1A42-D4B6-469D-B8F6-81A5A1F35D97}">
      <text>
        <r>
          <rPr>
            <b/>
            <sz val="9"/>
            <color indexed="81"/>
            <rFont val="Tahoma"/>
            <family val="2"/>
          </rPr>
          <t xml:space="preserve">CRISIL GR&amp;A:
</t>
        </r>
        <r>
          <rPr>
            <sz val="9"/>
            <color indexed="81"/>
            <rFont val="Tahoma"/>
            <family val="2"/>
          </rPr>
          <t>Include lease payables</t>
        </r>
      </text>
    </comment>
    <comment ref="BA115" authorId="4" shapeId="0" xr:uid="{2B18FB82-3993-427F-B241-F7AC745C5568}">
      <text>
        <r>
          <rPr>
            <b/>
            <sz val="9"/>
            <color indexed="81"/>
            <rFont val="Tahoma"/>
            <family val="2"/>
          </rPr>
          <t xml:space="preserve">CRISIL GR&amp;A:
</t>
        </r>
        <r>
          <rPr>
            <sz val="9"/>
            <color indexed="81"/>
            <rFont val="Tahoma"/>
            <family val="2"/>
          </rPr>
          <t>Include lease payables</t>
        </r>
      </text>
    </comment>
    <comment ref="BC115" authorId="3" shapeId="0" xr:uid="{7DC240E4-3485-41EF-BD87-DA14E4BB1CB4}">
      <text>
        <r>
          <rPr>
            <b/>
            <sz val="9"/>
            <color indexed="81"/>
            <rFont val="Tahoma"/>
            <family val="2"/>
          </rPr>
          <t>CRISIL:</t>
        </r>
        <r>
          <rPr>
            <sz val="9"/>
            <color indexed="81"/>
            <rFont val="Tahoma"/>
            <family val="2"/>
          </rPr>
          <t xml:space="preserve">
Inlcudes:
* Loans, financing and debentures 
* Lease payable
* Notes payable</t>
        </r>
      </text>
    </comment>
    <comment ref="BD115" authorId="3" shapeId="0" xr:uid="{5F0B6A17-E422-4DAE-AFB9-9A683F195C23}">
      <text>
        <r>
          <rPr>
            <b/>
            <sz val="9"/>
            <color indexed="81"/>
            <rFont val="Tahoma"/>
            <family val="2"/>
          </rPr>
          <t>CRISIL:</t>
        </r>
        <r>
          <rPr>
            <sz val="9"/>
            <color indexed="81"/>
            <rFont val="Tahoma"/>
            <family val="2"/>
          </rPr>
          <t xml:space="preserve">
Inlcudes:
* Loans, financing and debentures 
* Lease payable
* Notes payable</t>
        </r>
      </text>
    </comment>
    <comment ref="AD116" authorId="9" shapeId="0" xr:uid="{931B61FB-A4CC-4B44-B431-5F4A1E61FB1A}">
      <text>
        <r>
          <rPr>
            <b/>
            <sz val="9"/>
            <color indexed="81"/>
            <rFont val="Tahoma"/>
            <family val="2"/>
          </rPr>
          <t>Include Lease payable</t>
        </r>
      </text>
    </comment>
    <comment ref="AE116" authorId="9" shapeId="0" xr:uid="{15AC8BD9-746E-435A-800E-D1A1835617E0}">
      <text>
        <r>
          <rPr>
            <b/>
            <sz val="9"/>
            <color indexed="81"/>
            <rFont val="Tahoma"/>
            <family val="2"/>
          </rPr>
          <t>Include Lease payable</t>
        </r>
      </text>
    </comment>
    <comment ref="AF116" authorId="9" shapeId="0" xr:uid="{9E0E2AD0-4080-42D3-88D4-3921BC62ABE6}">
      <text>
        <r>
          <rPr>
            <b/>
            <sz val="9"/>
            <color indexed="81"/>
            <rFont val="Tahoma"/>
            <family val="2"/>
          </rPr>
          <t>Include Lease payable</t>
        </r>
      </text>
    </comment>
    <comment ref="AG116" authorId="9" shapeId="0" xr:uid="{5503948D-2925-40C2-B8C8-00BD94A6FD36}">
      <text>
        <r>
          <rPr>
            <b/>
            <sz val="9"/>
            <color indexed="81"/>
            <rFont val="Tahoma"/>
            <family val="2"/>
          </rPr>
          <t>Include Lease payable</t>
        </r>
      </text>
    </comment>
    <comment ref="AH116" authorId="9" shapeId="0" xr:uid="{20B48527-CFD4-4A18-B73B-090B0746B6C1}">
      <text>
        <r>
          <rPr>
            <b/>
            <sz val="9"/>
            <color indexed="81"/>
            <rFont val="Tahoma"/>
            <family val="2"/>
          </rPr>
          <t>Include Lease payable</t>
        </r>
      </text>
    </comment>
    <comment ref="AI116" authorId="9" shapeId="0" xr:uid="{5F22DD03-67F6-4BCE-90DE-2ADA677E11D1}">
      <text>
        <r>
          <rPr>
            <b/>
            <sz val="9"/>
            <color indexed="81"/>
            <rFont val="Tahoma"/>
            <family val="2"/>
          </rPr>
          <t>Include Lease payable</t>
        </r>
      </text>
    </comment>
    <comment ref="AJ116" authorId="9" shapeId="0" xr:uid="{D4D7162A-5C72-4315-8E10-DB8FF0DB945F}">
      <text>
        <r>
          <rPr>
            <b/>
            <sz val="9"/>
            <color indexed="81"/>
            <rFont val="Tahoma"/>
            <family val="2"/>
          </rPr>
          <t>Include Lease payable</t>
        </r>
      </text>
    </comment>
    <comment ref="AK116" authorId="4" shapeId="0" xr:uid="{6AF329E1-DAF7-48A5-B51A-24EE03094F69}">
      <text>
        <r>
          <rPr>
            <b/>
            <sz val="9"/>
            <color indexed="81"/>
            <rFont val="Tahoma"/>
            <family val="2"/>
          </rPr>
          <t>CRISIL GR&amp;A:</t>
        </r>
        <r>
          <rPr>
            <sz val="9"/>
            <color indexed="81"/>
            <rFont val="Tahoma"/>
            <family val="2"/>
          </rPr>
          <t xml:space="preserve">
Include lease payables</t>
        </r>
      </text>
    </comment>
    <comment ref="AL116" authorId="4" shapeId="0" xr:uid="{D8E92090-778E-48F8-A158-18494B7AFE48}">
      <text>
        <r>
          <rPr>
            <b/>
            <sz val="9"/>
            <color indexed="81"/>
            <rFont val="Tahoma"/>
            <family val="2"/>
          </rPr>
          <t>CRISIL GR&amp;A:</t>
        </r>
        <r>
          <rPr>
            <sz val="9"/>
            <color indexed="81"/>
            <rFont val="Tahoma"/>
            <family val="2"/>
          </rPr>
          <t xml:space="preserve">
Include lease payables</t>
        </r>
      </text>
    </comment>
    <comment ref="AM116" authorId="9" shapeId="0" xr:uid="{9411C855-F0F5-45C5-94E3-E47B648E5C0D}">
      <text>
        <r>
          <rPr>
            <b/>
            <sz val="9"/>
            <color indexed="81"/>
            <rFont val="Tahoma"/>
            <family val="2"/>
          </rPr>
          <t>Include Lease payable</t>
        </r>
      </text>
    </comment>
    <comment ref="AN116" authorId="9" shapeId="0" xr:uid="{8D7C6C03-5392-4D3F-BFBD-6EA9EFAE4899}">
      <text>
        <r>
          <rPr>
            <b/>
            <sz val="9"/>
            <color indexed="81"/>
            <rFont val="Tahoma"/>
            <family val="2"/>
          </rPr>
          <t>Include Lease payable</t>
        </r>
      </text>
    </comment>
    <comment ref="AO116" authorId="4" shapeId="0" xr:uid="{F248D940-0EC9-4E09-887C-B93173157E9B}">
      <text>
        <r>
          <rPr>
            <b/>
            <sz val="9"/>
            <color indexed="81"/>
            <rFont val="Tahoma"/>
            <family val="2"/>
          </rPr>
          <t>CRISIL GR&amp;A:</t>
        </r>
        <r>
          <rPr>
            <sz val="9"/>
            <color indexed="81"/>
            <rFont val="Tahoma"/>
            <family val="2"/>
          </rPr>
          <t xml:space="preserve">
Include lease payables</t>
        </r>
      </text>
    </comment>
    <comment ref="AR116" authorId="9" shapeId="0" xr:uid="{54B4BBA0-E4B8-4085-AD5B-602C6F9800D6}">
      <text>
        <r>
          <rPr>
            <b/>
            <sz val="9"/>
            <color indexed="81"/>
            <rFont val="Tahoma"/>
            <family val="2"/>
          </rPr>
          <t>Include Lease payable</t>
        </r>
      </text>
    </comment>
    <comment ref="AS116" authorId="4" shapeId="0" xr:uid="{1AD31563-680D-47D9-B03A-6E204E137C5C}">
      <text>
        <r>
          <rPr>
            <b/>
            <sz val="9"/>
            <color indexed="81"/>
            <rFont val="Tahoma"/>
            <family val="2"/>
          </rPr>
          <t>CRISIL GR&amp;A:</t>
        </r>
        <r>
          <rPr>
            <sz val="9"/>
            <color indexed="81"/>
            <rFont val="Tahoma"/>
            <family val="2"/>
          </rPr>
          <t xml:space="preserve">
Include lease payables</t>
        </r>
      </text>
    </comment>
    <comment ref="AW116" authorId="4" shapeId="0" xr:uid="{5CEC9E2A-07B7-431D-8568-A37C1AE17E0A}">
      <text>
        <r>
          <rPr>
            <b/>
            <sz val="9"/>
            <color indexed="81"/>
            <rFont val="Tahoma"/>
            <family val="2"/>
          </rPr>
          <t>CRISIL GR&amp;A:</t>
        </r>
        <r>
          <rPr>
            <sz val="9"/>
            <color indexed="81"/>
            <rFont val="Tahoma"/>
            <family val="2"/>
          </rPr>
          <t xml:space="preserve">
Include lease payables</t>
        </r>
      </text>
    </comment>
    <comment ref="BA116" authorId="4" shapeId="0" xr:uid="{E1296A28-B83C-4499-B302-FA2B0D9D0CC7}">
      <text>
        <r>
          <rPr>
            <b/>
            <sz val="9"/>
            <color indexed="81"/>
            <rFont val="Tahoma"/>
            <family val="2"/>
          </rPr>
          <t>CRISIL GR&amp;A:</t>
        </r>
        <r>
          <rPr>
            <sz val="9"/>
            <color indexed="81"/>
            <rFont val="Tahoma"/>
            <family val="2"/>
          </rPr>
          <t xml:space="preserve">
Include lease payables</t>
        </r>
      </text>
    </comment>
    <comment ref="BC116" authorId="3" shapeId="0" xr:uid="{E5F89899-0952-4933-A5A0-09427AD38482}">
      <text>
        <r>
          <rPr>
            <b/>
            <sz val="9"/>
            <color indexed="81"/>
            <rFont val="Tahoma"/>
            <family val="2"/>
          </rPr>
          <t>CRISIL:</t>
        </r>
        <r>
          <rPr>
            <sz val="9"/>
            <color indexed="81"/>
            <rFont val="Tahoma"/>
            <family val="2"/>
          </rPr>
          <t xml:space="preserve">
Inlcudes:
* Loans, financing and debentures 
* Lease payable
* Notes payable</t>
        </r>
      </text>
    </comment>
    <comment ref="BD116" authorId="3" shapeId="0" xr:uid="{DF29425E-8774-457A-B230-9536286F0E18}">
      <text>
        <r>
          <rPr>
            <b/>
            <sz val="9"/>
            <color indexed="81"/>
            <rFont val="Tahoma"/>
            <family val="2"/>
          </rPr>
          <t>CRISIL:</t>
        </r>
        <r>
          <rPr>
            <sz val="9"/>
            <color indexed="81"/>
            <rFont val="Tahoma"/>
            <family val="2"/>
          </rPr>
          <t xml:space="preserve">
Inlcudes:
* Loans, financing and debentures 
* Lease payable
* Notes payable</t>
        </r>
      </text>
    </comment>
    <comment ref="L121" authorId="10" shapeId="0" xr:uid="{D79C848B-C165-4602-B677-6C1D0F2AC831}">
      <text>
        <r>
          <rPr>
            <b/>
            <sz val="9"/>
            <color indexed="81"/>
            <rFont val="Tahoma"/>
            <family val="2"/>
          </rPr>
          <t>Crisil GR&amp;A:</t>
        </r>
        <r>
          <rPr>
            <sz val="9"/>
            <color indexed="81"/>
            <rFont val="Tahoma"/>
            <family val="2"/>
          </rPr>
          <t xml:space="preserve">
Includes Credit Notes</t>
        </r>
      </text>
    </comment>
    <comment ref="M121" authorId="10" shapeId="0" xr:uid="{3AEA1472-D0EA-4F7E-A0D2-7B8FCC6B5729}">
      <text>
        <r>
          <rPr>
            <b/>
            <sz val="9"/>
            <color indexed="81"/>
            <rFont val="Tahoma"/>
            <family val="2"/>
          </rPr>
          <t>Crisil GR&amp;A:</t>
        </r>
        <r>
          <rPr>
            <sz val="9"/>
            <color indexed="81"/>
            <rFont val="Tahoma"/>
            <family val="2"/>
          </rPr>
          <t xml:space="preserve">
Includes Credit Notes</t>
        </r>
      </text>
    </comment>
    <comment ref="N121" authorId="10" shapeId="0" xr:uid="{885AAD35-6335-46EC-A5A7-D241CE2F4550}">
      <text>
        <r>
          <rPr>
            <b/>
            <sz val="9"/>
            <color indexed="81"/>
            <rFont val="Tahoma"/>
            <family val="2"/>
          </rPr>
          <t>Crisil GR&amp;A:</t>
        </r>
        <r>
          <rPr>
            <sz val="9"/>
            <color indexed="81"/>
            <rFont val="Tahoma"/>
            <family val="2"/>
          </rPr>
          <t xml:space="preserve">
Includes Credit Notes</t>
        </r>
      </text>
    </comment>
    <comment ref="AJ121" authorId="10" shapeId="0" xr:uid="{C90FA130-3ED1-4339-ADC2-B6BB1EB7E7AE}">
      <text>
        <r>
          <rPr>
            <b/>
            <sz val="9"/>
            <color indexed="81"/>
            <rFont val="Tahoma"/>
            <family val="2"/>
          </rPr>
          <t>Crisil GR&amp;A:</t>
        </r>
        <r>
          <rPr>
            <sz val="9"/>
            <color indexed="81"/>
            <rFont val="Tahoma"/>
            <family val="2"/>
          </rPr>
          <t xml:space="preserve">
Includes Credit Notes</t>
        </r>
      </text>
    </comment>
    <comment ref="AK121" authorId="4" shapeId="0" xr:uid="{36A56109-6757-45E6-8BD3-DF048AA0215E}">
      <text>
        <r>
          <rPr>
            <b/>
            <sz val="9"/>
            <color indexed="81"/>
            <rFont val="Tahoma"/>
            <family val="2"/>
          </rPr>
          <t xml:space="preserve">Crisil GR&amp;A:
</t>
        </r>
        <r>
          <rPr>
            <sz val="9"/>
            <color indexed="81"/>
            <rFont val="Tahoma"/>
            <family val="2"/>
          </rPr>
          <t>Includes Credit Notes</t>
        </r>
      </text>
    </comment>
    <comment ref="AL121" authorId="4" shapeId="0" xr:uid="{5CF5AFAC-C618-4DC8-88DB-A20706F89469}">
      <text>
        <r>
          <rPr>
            <b/>
            <sz val="9"/>
            <color indexed="81"/>
            <rFont val="Tahoma"/>
            <family val="2"/>
          </rPr>
          <t xml:space="preserve">Crisil GR&amp;A:
</t>
        </r>
        <r>
          <rPr>
            <sz val="9"/>
            <color indexed="81"/>
            <rFont val="Tahoma"/>
            <family val="2"/>
          </rPr>
          <t>Includes Credit Notes</t>
        </r>
      </text>
    </comment>
    <comment ref="AM121" authorId="4" shapeId="0" xr:uid="{95ADA3EE-BE57-478E-8E50-32521DA81004}">
      <text>
        <r>
          <rPr>
            <b/>
            <sz val="9"/>
            <color indexed="81"/>
            <rFont val="Tahoma"/>
            <family val="2"/>
          </rPr>
          <t xml:space="preserve">Crisil GR&amp;A:
</t>
        </r>
        <r>
          <rPr>
            <sz val="9"/>
            <color indexed="81"/>
            <rFont val="Tahoma"/>
            <family val="2"/>
          </rPr>
          <t>Includes Credit Notes</t>
        </r>
      </text>
    </comment>
    <comment ref="AN121" authorId="10" shapeId="0" xr:uid="{2557AF07-8380-4B61-96E6-0AC19F53FC7F}">
      <text>
        <r>
          <rPr>
            <b/>
            <sz val="9"/>
            <color indexed="81"/>
            <rFont val="Tahoma"/>
            <family val="2"/>
          </rPr>
          <t>Crisil GR&amp;A:</t>
        </r>
        <r>
          <rPr>
            <sz val="9"/>
            <color indexed="81"/>
            <rFont val="Tahoma"/>
            <family val="2"/>
          </rPr>
          <t xml:space="preserve">
Includes Credit Notes</t>
        </r>
      </text>
    </comment>
    <comment ref="AO121" authorId="4" shapeId="0" xr:uid="{013FAB8C-9389-4938-9FAB-4C90418278A6}">
      <text>
        <r>
          <rPr>
            <b/>
            <sz val="9"/>
            <color indexed="81"/>
            <rFont val="Tahoma"/>
            <family val="2"/>
          </rPr>
          <t xml:space="preserve">Crisil GR&amp;A:
</t>
        </r>
        <r>
          <rPr>
            <sz val="9"/>
            <color indexed="81"/>
            <rFont val="Tahoma"/>
            <family val="2"/>
          </rPr>
          <t>Includes Credit Notes</t>
        </r>
      </text>
    </comment>
    <comment ref="AR121" authorId="10" shapeId="0" xr:uid="{FE75B11F-7F13-41AA-A46A-D68649367821}">
      <text>
        <r>
          <rPr>
            <b/>
            <sz val="9"/>
            <color indexed="81"/>
            <rFont val="Tahoma"/>
            <family val="2"/>
          </rPr>
          <t>Crisil GR&amp;A:</t>
        </r>
        <r>
          <rPr>
            <sz val="9"/>
            <color indexed="81"/>
            <rFont val="Tahoma"/>
            <family val="2"/>
          </rPr>
          <t xml:space="preserve">
Includes Credit Notes</t>
        </r>
      </text>
    </comment>
    <comment ref="AS121" authorId="4" shapeId="0" xr:uid="{F90EFE16-C966-4293-B3B6-D75118DF0A20}">
      <text>
        <r>
          <rPr>
            <b/>
            <sz val="9"/>
            <color indexed="81"/>
            <rFont val="Tahoma"/>
            <family val="2"/>
          </rPr>
          <t xml:space="preserve">Crisil GR&amp;A:
</t>
        </r>
        <r>
          <rPr>
            <sz val="9"/>
            <color indexed="81"/>
            <rFont val="Tahoma"/>
            <family val="2"/>
          </rPr>
          <t>Includes Credit Notes</t>
        </r>
      </text>
    </comment>
    <comment ref="AT121" authorId="10" shapeId="0" xr:uid="{FADE9046-A5D0-4327-AC70-C0661B632821}">
      <text>
        <r>
          <rPr>
            <b/>
            <sz val="9"/>
            <color indexed="81"/>
            <rFont val="Tahoma"/>
            <family val="2"/>
          </rPr>
          <t>Crisil GR&amp;A:</t>
        </r>
        <r>
          <rPr>
            <sz val="9"/>
            <color indexed="81"/>
            <rFont val="Tahoma"/>
            <family val="2"/>
          </rPr>
          <t xml:space="preserve">
Includes Credit Notes</t>
        </r>
      </text>
    </comment>
    <comment ref="AU121" authorId="10" shapeId="0" xr:uid="{B99C5EE2-D32A-4339-8378-59DFC42CFC22}">
      <text>
        <r>
          <rPr>
            <b/>
            <sz val="9"/>
            <color indexed="81"/>
            <rFont val="Tahoma"/>
            <family val="2"/>
          </rPr>
          <t>Crisil GR&amp;A:</t>
        </r>
        <r>
          <rPr>
            <sz val="9"/>
            <color indexed="81"/>
            <rFont val="Tahoma"/>
            <family val="2"/>
          </rPr>
          <t xml:space="preserve">
Includes Credit Notes</t>
        </r>
      </text>
    </comment>
    <comment ref="AV121" authorId="10" shapeId="0" xr:uid="{5B3B80DE-D05A-460B-87CB-72B7CDBD1E42}">
      <text>
        <r>
          <rPr>
            <b/>
            <sz val="9"/>
            <color indexed="81"/>
            <rFont val="Tahoma"/>
            <family val="2"/>
          </rPr>
          <t>Crisil GR&amp;A:</t>
        </r>
        <r>
          <rPr>
            <sz val="9"/>
            <color indexed="81"/>
            <rFont val="Tahoma"/>
            <family val="2"/>
          </rPr>
          <t xml:space="preserve">
Includes Credit Notes</t>
        </r>
      </text>
    </comment>
    <comment ref="AW121" authorId="4" shapeId="0" xr:uid="{733027EA-83D6-4028-9349-D9718BEC8080}">
      <text>
        <r>
          <rPr>
            <b/>
            <sz val="9"/>
            <color indexed="81"/>
            <rFont val="Tahoma"/>
            <family val="2"/>
          </rPr>
          <t xml:space="preserve">Crisil GR&amp;A:
</t>
        </r>
        <r>
          <rPr>
            <sz val="9"/>
            <color indexed="81"/>
            <rFont val="Tahoma"/>
            <family val="2"/>
          </rPr>
          <t>Includes Credit Notes</t>
        </r>
      </text>
    </comment>
    <comment ref="AX121" authorId="10" shapeId="0" xr:uid="{970F4EAB-1F2C-4ABE-83CF-07672C969D42}">
      <text>
        <r>
          <rPr>
            <b/>
            <sz val="9"/>
            <color indexed="81"/>
            <rFont val="Tahoma"/>
            <family val="2"/>
          </rPr>
          <t>Crisil GR&amp;A:</t>
        </r>
        <r>
          <rPr>
            <sz val="9"/>
            <color indexed="81"/>
            <rFont val="Tahoma"/>
            <family val="2"/>
          </rPr>
          <t xml:space="preserve">
Includes Credit Notes</t>
        </r>
      </text>
    </comment>
    <comment ref="AY121" authorId="10" shapeId="0" xr:uid="{4507E11D-C835-440C-BF71-450AB3A3B801}">
      <text>
        <r>
          <rPr>
            <b/>
            <sz val="9"/>
            <color indexed="81"/>
            <rFont val="Tahoma"/>
            <family val="2"/>
          </rPr>
          <t>Crisil GR&amp;A:</t>
        </r>
        <r>
          <rPr>
            <sz val="9"/>
            <color indexed="81"/>
            <rFont val="Tahoma"/>
            <family val="2"/>
          </rPr>
          <t xml:space="preserve">
Includes Credit Notes</t>
        </r>
      </text>
    </comment>
    <comment ref="BA121" authorId="4" shapeId="0" xr:uid="{8B7EBFEC-F891-4238-9B1A-FFF6CC23BE72}">
      <text>
        <r>
          <rPr>
            <b/>
            <sz val="9"/>
            <color indexed="81"/>
            <rFont val="Tahoma"/>
            <family val="2"/>
          </rPr>
          <t xml:space="preserve">Crisil GR&amp;A:
</t>
        </r>
        <r>
          <rPr>
            <sz val="9"/>
            <color indexed="81"/>
            <rFont val="Tahoma"/>
            <family val="2"/>
          </rPr>
          <t>Includes Credit Notes</t>
        </r>
      </text>
    </comment>
    <comment ref="BB121" authorId="10" shapeId="0" xr:uid="{C6C0DADD-E209-40F8-A732-9CCA708DFCC3}">
      <text>
        <r>
          <rPr>
            <b/>
            <sz val="9"/>
            <color indexed="81"/>
            <rFont val="Tahoma"/>
            <family val="2"/>
          </rPr>
          <t>Crisil GR&amp;A:</t>
        </r>
        <r>
          <rPr>
            <sz val="9"/>
            <color indexed="81"/>
            <rFont val="Tahoma"/>
            <family val="2"/>
          </rPr>
          <t xml:space="preserve">
Includes Credit Notes</t>
        </r>
      </text>
    </comment>
    <comment ref="BC121" authorId="10" shapeId="0" xr:uid="{7594AA34-BFF8-4EFF-9965-D1E79B9F6FC7}">
      <text>
        <r>
          <rPr>
            <b/>
            <sz val="9"/>
            <color indexed="81"/>
            <rFont val="Tahoma"/>
            <family val="2"/>
          </rPr>
          <t>Crisil GR&amp;A:</t>
        </r>
        <r>
          <rPr>
            <sz val="9"/>
            <color indexed="81"/>
            <rFont val="Tahoma"/>
            <family val="2"/>
          </rPr>
          <t xml:space="preserve">
Includes Credit Notes</t>
        </r>
      </text>
    </comment>
    <comment ref="BD121" authorId="3" shapeId="0" xr:uid="{206B5409-FB67-4723-9523-67CE3BA27651}">
      <text>
        <r>
          <rPr>
            <b/>
            <sz val="9"/>
            <color indexed="81"/>
            <rFont val="Tahoma"/>
            <family val="2"/>
          </rPr>
          <t>CRISIL:</t>
        </r>
        <r>
          <rPr>
            <sz val="9"/>
            <color indexed="81"/>
            <rFont val="Tahoma"/>
            <family val="2"/>
          </rPr>
          <t xml:space="preserve">
Includes:
* NCE/Working capital
* CPR/CCB </t>
        </r>
      </text>
    </comment>
    <comment ref="BC122" authorId="3" shapeId="0" xr:uid="{056A3EE1-9D8B-4BDF-9B0F-74EA12CD3CF4}">
      <text>
        <r>
          <rPr>
            <b/>
            <sz val="9"/>
            <color indexed="81"/>
            <rFont val="Tahoma"/>
            <family val="2"/>
          </rPr>
          <t>CRISIL:</t>
        </r>
        <r>
          <rPr>
            <sz val="9"/>
            <color indexed="81"/>
            <rFont val="Tahoma"/>
            <family val="2"/>
          </rPr>
          <t xml:space="preserve">
Includes:
* CRA
* Debentures </t>
        </r>
      </text>
    </comment>
    <comment ref="BD122" authorId="3" shapeId="0" xr:uid="{5C15BBF9-BD50-49F1-BD39-6057A3AB92BB}">
      <text>
        <r>
          <rPr>
            <b/>
            <sz val="9"/>
            <color indexed="81"/>
            <rFont val="Tahoma"/>
            <family val="2"/>
          </rPr>
          <t>CRISIL:</t>
        </r>
        <r>
          <rPr>
            <sz val="9"/>
            <color indexed="81"/>
            <rFont val="Tahoma"/>
            <family val="2"/>
          </rPr>
          <t xml:space="preserve">
Includes:
* CRA
* Debentures </t>
        </r>
      </text>
    </comment>
    <comment ref="L132" authorId="1" shapeId="0" xr:uid="{500F33FB-7C88-4897-9A8F-58692657029C}">
      <text>
        <r>
          <rPr>
            <b/>
            <sz val="9"/>
            <color indexed="81"/>
            <rFont val="Tahoma"/>
            <family val="2"/>
          </rPr>
          <t>CRISIL GR&amp;RS:</t>
        </r>
        <r>
          <rPr>
            <sz val="9"/>
            <color indexed="81"/>
            <rFont val="Tahoma"/>
            <family val="2"/>
          </rPr>
          <t xml:space="preserve">
working capital</t>
        </r>
      </text>
    </comment>
    <comment ref="M132" authorId="1" shapeId="0" xr:uid="{4903BD69-2664-4D30-9C90-B015DE1985BA}">
      <text>
        <r>
          <rPr>
            <b/>
            <sz val="9"/>
            <color indexed="81"/>
            <rFont val="Tahoma"/>
            <family val="2"/>
          </rPr>
          <t>CRISIL GR&amp;RS:</t>
        </r>
        <r>
          <rPr>
            <sz val="9"/>
            <color indexed="81"/>
            <rFont val="Tahoma"/>
            <family val="2"/>
          </rPr>
          <t xml:space="preserve">
working capital</t>
        </r>
      </text>
    </comment>
    <comment ref="N132" authorId="1" shapeId="0" xr:uid="{436DAE28-A68A-4C7B-BBAC-2685702E1C3D}">
      <text>
        <r>
          <rPr>
            <b/>
            <sz val="9"/>
            <color indexed="81"/>
            <rFont val="Tahoma"/>
            <family val="2"/>
          </rPr>
          <t>CRISIL GR&amp;RS:</t>
        </r>
        <r>
          <rPr>
            <sz val="9"/>
            <color indexed="81"/>
            <rFont val="Tahoma"/>
            <family val="2"/>
          </rPr>
          <t xml:space="preserve">
working capital</t>
        </r>
      </text>
    </comment>
    <comment ref="AT132" authorId="1" shapeId="0" xr:uid="{B199A152-D053-4602-9D2F-BEB38CA20DFB}">
      <text>
        <r>
          <rPr>
            <b/>
            <sz val="9"/>
            <color indexed="81"/>
            <rFont val="Tahoma"/>
            <family val="2"/>
          </rPr>
          <t>CRISIL GR&amp;RS:</t>
        </r>
        <r>
          <rPr>
            <sz val="9"/>
            <color indexed="81"/>
            <rFont val="Tahoma"/>
            <family val="2"/>
          </rPr>
          <t xml:space="preserve">
working capital</t>
        </r>
      </text>
    </comment>
    <comment ref="AU132" authorId="1" shapeId="0" xr:uid="{3035B871-3B92-417B-A0AD-5B3322AA3B3A}">
      <text>
        <r>
          <rPr>
            <b/>
            <sz val="9"/>
            <color indexed="81"/>
            <rFont val="Tahoma"/>
            <family val="2"/>
          </rPr>
          <t>CRISIL GR&amp;RS:</t>
        </r>
        <r>
          <rPr>
            <sz val="9"/>
            <color indexed="81"/>
            <rFont val="Tahoma"/>
            <family val="2"/>
          </rPr>
          <t xml:space="preserve">
working capital</t>
        </r>
      </text>
    </comment>
    <comment ref="AV132" authorId="1" shapeId="0" xr:uid="{B89F5985-18C1-47B9-B63F-DF8B959A6035}">
      <text>
        <r>
          <rPr>
            <b/>
            <sz val="9"/>
            <color indexed="81"/>
            <rFont val="Tahoma"/>
            <family val="2"/>
          </rPr>
          <t>CRISIL GR&amp;RS:</t>
        </r>
        <r>
          <rPr>
            <sz val="9"/>
            <color indexed="81"/>
            <rFont val="Tahoma"/>
            <family val="2"/>
          </rPr>
          <t xml:space="preserve">
working capital</t>
        </r>
      </text>
    </comment>
    <comment ref="AX132" authorId="1" shapeId="0" xr:uid="{D0A3301B-6EDF-4E86-9737-7823738B3651}">
      <text>
        <r>
          <rPr>
            <b/>
            <sz val="9"/>
            <color indexed="81"/>
            <rFont val="Tahoma"/>
            <family val="2"/>
          </rPr>
          <t>CRISIL GR&amp;RS:</t>
        </r>
        <r>
          <rPr>
            <sz val="9"/>
            <color indexed="81"/>
            <rFont val="Tahoma"/>
            <family val="2"/>
          </rPr>
          <t xml:space="preserve">
working capital</t>
        </r>
      </text>
    </comment>
    <comment ref="AY132" authorId="1" shapeId="0" xr:uid="{8E0DD183-5D26-42F1-9984-A006711B7FD3}">
      <text>
        <r>
          <rPr>
            <b/>
            <sz val="9"/>
            <color indexed="81"/>
            <rFont val="Tahoma"/>
            <family val="2"/>
          </rPr>
          <t>CRISIL GR&amp;RS:</t>
        </r>
        <r>
          <rPr>
            <sz val="9"/>
            <color indexed="81"/>
            <rFont val="Tahoma"/>
            <family val="2"/>
          </rPr>
          <t xml:space="preserve">
working capital</t>
        </r>
      </text>
    </comment>
    <comment ref="AZ132" authorId="1" shapeId="0" xr:uid="{8E0BDAF9-9173-440C-AA7C-81B908CE1471}">
      <text>
        <r>
          <rPr>
            <b/>
            <sz val="9"/>
            <color indexed="81"/>
            <rFont val="Tahoma"/>
            <family val="2"/>
          </rPr>
          <t>CRISIL GR&amp;RS:</t>
        </r>
        <r>
          <rPr>
            <sz val="9"/>
            <color indexed="81"/>
            <rFont val="Tahoma"/>
            <family val="2"/>
          </rPr>
          <t xml:space="preserve">
working capital</t>
        </r>
      </text>
    </comment>
    <comment ref="BB132" authorId="1" shapeId="0" xr:uid="{7BDE6B3A-A862-47EE-8B2D-71AC3753F660}">
      <text>
        <r>
          <rPr>
            <b/>
            <sz val="9"/>
            <color indexed="81"/>
            <rFont val="Tahoma"/>
            <family val="2"/>
          </rPr>
          <t>CRISIL GR&amp;RS:</t>
        </r>
        <r>
          <rPr>
            <sz val="9"/>
            <color indexed="81"/>
            <rFont val="Tahoma"/>
            <family val="2"/>
          </rPr>
          <t xml:space="preserve">
working capital</t>
        </r>
      </text>
    </comment>
    <comment ref="BC132" authorId="1" shapeId="0" xr:uid="{761207A2-734C-48AC-B9F7-7BF14575BA8D}">
      <text>
        <r>
          <rPr>
            <b/>
            <sz val="9"/>
            <color indexed="81"/>
            <rFont val="Tahoma"/>
            <family val="2"/>
          </rPr>
          <t>CRISIL GR&amp;RS:</t>
        </r>
        <r>
          <rPr>
            <sz val="9"/>
            <color indexed="81"/>
            <rFont val="Tahoma"/>
            <family val="2"/>
          </rPr>
          <t xml:space="preserve">
working capital</t>
        </r>
      </text>
    </comment>
    <comment ref="BD132" authorId="1" shapeId="0" xr:uid="{7DFCD9F6-56DD-431C-8A7F-83E7E6AAA919}">
      <text>
        <r>
          <rPr>
            <b/>
            <sz val="9"/>
            <color indexed="81"/>
            <rFont val="Tahoma"/>
            <family val="2"/>
          </rPr>
          <t>CRISIL GR&amp;RS:</t>
        </r>
        <r>
          <rPr>
            <sz val="9"/>
            <color indexed="81"/>
            <rFont val="Tahoma"/>
            <family val="2"/>
          </rPr>
          <t xml:space="preserve">
working capital</t>
        </r>
      </text>
    </comment>
    <comment ref="BB148" authorId="3" shapeId="0" xr:uid="{D90A14A7-361D-4FA1-A1D1-91194BCCF21A}">
      <text>
        <r>
          <rPr>
            <b/>
            <sz val="9"/>
            <color indexed="81"/>
            <rFont val="Tahoma"/>
            <family val="2"/>
          </rPr>
          <t>CRISIL:</t>
        </r>
        <r>
          <rPr>
            <sz val="9"/>
            <color indexed="81"/>
            <rFont val="Tahoma"/>
            <family val="2"/>
          </rPr>
          <t xml:space="preserve">
From PPT</t>
        </r>
      </text>
    </comment>
    <comment ref="BC148" authorId="3" shapeId="0" xr:uid="{07DEB449-181A-47A3-A5C1-12F94E6067DE}">
      <text>
        <r>
          <rPr>
            <b/>
            <sz val="9"/>
            <color indexed="81"/>
            <rFont val="Tahoma"/>
            <family val="2"/>
          </rPr>
          <t>CRISIL:</t>
        </r>
        <r>
          <rPr>
            <sz val="9"/>
            <color indexed="81"/>
            <rFont val="Tahoma"/>
            <family val="2"/>
          </rPr>
          <t xml:space="preserve">
From PPT</t>
        </r>
      </text>
    </comment>
    <comment ref="BD148" authorId="3" shapeId="0" xr:uid="{EF39EFD3-5927-441A-BA6F-19B2A3D6BBFE}">
      <text>
        <r>
          <rPr>
            <b/>
            <sz val="9"/>
            <color indexed="81"/>
            <rFont val="Tahoma"/>
            <family val="2"/>
          </rPr>
          <t>CRISIL:</t>
        </r>
        <r>
          <rPr>
            <sz val="9"/>
            <color indexed="81"/>
            <rFont val="Tahoma"/>
            <family val="2"/>
          </rPr>
          <t xml:space="preserve">
from FS</t>
        </r>
      </text>
    </comment>
    <comment ref="BB149" authorId="3" shapeId="0" xr:uid="{2DAAE8A8-721B-4119-93AE-128A462D8A12}">
      <text>
        <r>
          <rPr>
            <b/>
            <sz val="9"/>
            <color indexed="81"/>
            <rFont val="Tahoma"/>
            <family val="2"/>
          </rPr>
          <t>CRISIL:</t>
        </r>
        <r>
          <rPr>
            <sz val="9"/>
            <color indexed="81"/>
            <rFont val="Tahoma"/>
            <family val="2"/>
          </rPr>
          <t xml:space="preserve">
From ITR Debt table</t>
        </r>
      </text>
    </comment>
    <comment ref="BC149" authorId="3" shapeId="0" xr:uid="{CD7A0545-202E-4382-A279-D8C7111CABCD}">
      <text>
        <r>
          <rPr>
            <b/>
            <sz val="9"/>
            <color indexed="81"/>
            <rFont val="Tahoma"/>
            <family val="2"/>
          </rPr>
          <t>CRISIL:</t>
        </r>
        <r>
          <rPr>
            <sz val="9"/>
            <color indexed="81"/>
            <rFont val="Tahoma"/>
            <family val="2"/>
          </rPr>
          <t xml:space="preserve">
From ITR Debt table</t>
        </r>
      </text>
    </comment>
    <comment ref="BD149" authorId="3" shapeId="0" xr:uid="{A4E11162-3295-4628-9AA5-4D92CF809BDF}">
      <text>
        <r>
          <rPr>
            <b/>
            <sz val="9"/>
            <color indexed="81"/>
            <rFont val="Tahoma"/>
            <family val="2"/>
          </rPr>
          <t>CRISIL:</t>
        </r>
        <r>
          <rPr>
            <sz val="9"/>
            <color indexed="81"/>
            <rFont val="Tahoma"/>
            <family val="2"/>
          </rPr>
          <t xml:space="preserve">
From ITR Debt table</t>
        </r>
      </text>
    </comment>
    <comment ref="K151" authorId="2" shapeId="0" xr:uid="{C0784271-5329-453F-8D45-B53371228236}">
      <text>
        <r>
          <rPr>
            <b/>
            <sz val="9"/>
            <color indexed="81"/>
            <rFont val="Tahoma"/>
            <family val="2"/>
          </rPr>
          <t>Crisil GR&amp;A:</t>
        </r>
        <r>
          <rPr>
            <sz val="9"/>
            <color indexed="81"/>
            <rFont val="Tahoma"/>
            <family val="2"/>
          </rPr>
          <t xml:space="preserve">
From Investing. Com</t>
        </r>
      </text>
    </comment>
    <comment ref="N151" authorId="6" shapeId="0" xr:uid="{74AC46AA-C70F-4F7F-8560-719CCDA8050B}">
      <text>
        <r>
          <rPr>
            <b/>
            <sz val="9"/>
            <color indexed="81"/>
            <rFont val="Tahoma"/>
            <family val="2"/>
          </rPr>
          <t>Crisil Intergral IQ:</t>
        </r>
        <r>
          <rPr>
            <sz val="9"/>
            <color indexed="81"/>
            <rFont val="Tahoma"/>
            <family val="2"/>
          </rPr>
          <t xml:space="preserve">
https://finance.yahoo.com/quote/MRFG3.SA/?guccounter=1&amp;guce_referrer=aHR0cHM6Ly93d3cuZ29vZ2xlLmNvbS8&amp;guce_referrer_sig=AQAAAADyENqIT-lnK73cChkuf-AXgeYZhS-haeCduGmeecZxXR7gP2ZnHrqNwk5Ff0Uw5DEgEcM_6yi3m0l2PL4r1au1YsfZJHyRt7mX3frkoZNX2aX8AK85-kpM_9-6WZ5CYn2m6-wKQcDh_35hG3MljD6b5GU_1-ykdidWfcfx7dUi</t>
        </r>
      </text>
    </comment>
    <comment ref="AH151" authorId="5" shapeId="0" xr:uid="{1C26F626-233D-480E-B8A8-8D9E61C27C42}">
      <text>
        <r>
          <rPr>
            <sz val="9"/>
            <color indexed="81"/>
            <rFont val="Tahoma"/>
            <family val="2"/>
          </rPr>
          <t xml:space="preserve">As of 19 may 2020 from bloomberg website
</t>
        </r>
      </text>
    </comment>
    <comment ref="AL151" authorId="5" shapeId="0" xr:uid="{2959928A-E31B-4C21-8112-23775D8FF37D}">
      <text>
        <r>
          <rPr>
            <sz val="9"/>
            <color indexed="81"/>
            <rFont val="Tahoma"/>
            <family val="2"/>
          </rPr>
          <t xml:space="preserve">As of 12 may 2021  from bloomberg website
</t>
        </r>
      </text>
    </comment>
    <comment ref="AP151" authorId="5" shapeId="0" xr:uid="{B965E5EA-1A25-4203-B826-6A28314D4E9D}">
      <text>
        <r>
          <rPr>
            <sz val="9"/>
            <color indexed="81"/>
            <rFont val="Tahoma"/>
            <family val="2"/>
          </rPr>
          <t xml:space="preserve">As of 12 may 2022  from yahoo finance`
</t>
        </r>
      </text>
    </comment>
    <comment ref="AZ151" authorId="3" shapeId="0" xr:uid="{FC85A825-5260-4C71-92B0-98959E398F45}">
      <text>
        <r>
          <rPr>
            <b/>
            <sz val="9"/>
            <color indexed="81"/>
            <rFont val="Tahoma"/>
            <family val="2"/>
          </rPr>
          <t>CRISIL:</t>
        </r>
        <r>
          <rPr>
            <sz val="9"/>
            <color indexed="81"/>
            <rFont val="Tahoma"/>
            <family val="2"/>
          </rPr>
          <t xml:space="preserve">
https://www.reuters.com/markets/companies/MRFG3.SA/</t>
        </r>
      </text>
    </comment>
    <comment ref="BD151" authorId="3" shapeId="0" xr:uid="{15C3B2B1-30AB-465F-8B7A-317F0461A733}">
      <text>
        <r>
          <rPr>
            <b/>
            <sz val="9"/>
            <color indexed="81"/>
            <rFont val="Tahoma"/>
            <family val="2"/>
          </rPr>
          <t>CRISIL:</t>
        </r>
        <r>
          <rPr>
            <sz val="9"/>
            <color indexed="81"/>
            <rFont val="Tahoma"/>
            <family val="2"/>
          </rPr>
          <t xml:space="preserve">
https://www.reuters.com/markets/companies/MRFG3.SA/</t>
        </r>
      </text>
    </comment>
    <comment ref="U175" authorId="0" shapeId="0" xr:uid="{F45D3629-B33A-4762-8908-9162BB6F0FE3}">
      <text>
        <r>
          <rPr>
            <b/>
            <sz val="9"/>
            <color indexed="81"/>
            <rFont val="Tahoma"/>
            <family val="2"/>
          </rPr>
          <t>CRISIL GR&amp;A:</t>
        </r>
        <r>
          <rPr>
            <sz val="9"/>
            <color indexed="81"/>
            <rFont val="Tahoma"/>
            <family val="2"/>
          </rPr>
          <t xml:space="preserve">
Original numbers for 1Q17 which includes Keystone performance</t>
        </r>
      </text>
    </comment>
    <comment ref="B259" authorId="3" shapeId="0" xr:uid="{16D8B40B-89D1-4E05-B261-C6181B0A8ACE}">
      <text>
        <r>
          <rPr>
            <b/>
            <sz val="9"/>
            <color indexed="81"/>
            <rFont val="Tahoma"/>
            <family val="2"/>
          </rPr>
          <t>CRISIL:</t>
        </r>
        <r>
          <rPr>
            <sz val="9"/>
            <color indexed="81"/>
            <rFont val="Tahoma"/>
            <family val="2"/>
          </rPr>
          <t xml:space="preserve">
excludes marketable securities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CRISIL</author>
  </authors>
  <commentList>
    <comment ref="C18" authorId="0" shapeId="0" xr:uid="{2BFA6BDF-EE51-4695-AF3F-46CB53A2B3DF}">
      <text>
        <r>
          <rPr>
            <b/>
            <sz val="9"/>
            <color indexed="81"/>
            <rFont val="Tahoma"/>
            <family val="2"/>
          </rPr>
          <t>CRISIL:</t>
        </r>
        <r>
          <rPr>
            <sz val="9"/>
            <color indexed="81"/>
            <rFont val="Tahoma"/>
            <family val="2"/>
          </rPr>
          <t xml:space="preserve">
Excludes discontinued operations </t>
        </r>
      </text>
    </comment>
    <comment ref="D18" authorId="0" shapeId="0" xr:uid="{5984A86F-1894-4482-B7A9-7C67195EFA15}">
      <text>
        <r>
          <rPr>
            <b/>
            <sz val="9"/>
            <color indexed="81"/>
            <rFont val="Tahoma"/>
            <family val="2"/>
          </rPr>
          <t>CRISIL:</t>
        </r>
        <r>
          <rPr>
            <sz val="9"/>
            <color indexed="81"/>
            <rFont val="Tahoma"/>
            <family val="2"/>
          </rPr>
          <t xml:space="preserve">
Excludes discontinued operations </t>
        </r>
      </text>
    </comment>
    <comment ref="E18" authorId="0" shapeId="0" xr:uid="{9C5C1C6F-0089-44B0-A9B4-9F55C223A427}">
      <text>
        <r>
          <rPr>
            <b/>
            <sz val="9"/>
            <color indexed="81"/>
            <rFont val="Tahoma"/>
            <family val="2"/>
          </rPr>
          <t>CRISIL:</t>
        </r>
        <r>
          <rPr>
            <sz val="9"/>
            <color indexed="81"/>
            <rFont val="Tahoma"/>
            <family val="2"/>
          </rPr>
          <t xml:space="preserve">
Excludes discontinued operations </t>
        </r>
      </text>
    </comment>
    <comment ref="F18" authorId="0" shapeId="0" xr:uid="{9616D46B-A0DC-4CAF-81BB-6A25FEB1FC98}">
      <text>
        <r>
          <rPr>
            <b/>
            <sz val="9"/>
            <color indexed="81"/>
            <rFont val="Tahoma"/>
            <family val="2"/>
          </rPr>
          <t>CRISIL:</t>
        </r>
        <r>
          <rPr>
            <sz val="9"/>
            <color indexed="81"/>
            <rFont val="Tahoma"/>
            <family val="2"/>
          </rPr>
          <t xml:space="preserve">
Excludes discontinued operations </t>
        </r>
      </text>
    </comment>
    <comment ref="G18" authorId="0" shapeId="0" xr:uid="{25828190-5EFB-4E17-803A-F414757B39BF}">
      <text>
        <r>
          <rPr>
            <b/>
            <sz val="9"/>
            <color indexed="81"/>
            <rFont val="Tahoma"/>
            <family val="2"/>
          </rPr>
          <t>CRISIL:</t>
        </r>
        <r>
          <rPr>
            <sz val="9"/>
            <color indexed="81"/>
            <rFont val="Tahoma"/>
            <family val="2"/>
          </rPr>
          <t xml:space="preserve">
Excludes discontinued operations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CRISIL</author>
  </authors>
  <commentList>
    <comment ref="C15" authorId="0" shapeId="0" xr:uid="{0FD915F2-B3BB-4A05-A847-468A4A48B671}">
      <text>
        <r>
          <rPr>
            <b/>
            <sz val="9"/>
            <color indexed="81"/>
            <rFont val="Tahoma"/>
            <family val="2"/>
          </rPr>
          <t>CRISIL:</t>
        </r>
        <r>
          <rPr>
            <sz val="9"/>
            <color indexed="81"/>
            <rFont val="Tahoma"/>
            <family val="2"/>
          </rPr>
          <t xml:space="preserve">
Adj. BRF EBITDA</t>
        </r>
      </text>
    </comment>
    <comment ref="G15" authorId="0" shapeId="0" xr:uid="{F9B20FBA-F58C-4099-B423-77CBAA69C5C7}">
      <text>
        <r>
          <rPr>
            <b/>
            <sz val="9"/>
            <color indexed="81"/>
            <rFont val="Tahoma"/>
            <family val="2"/>
          </rPr>
          <t>CRISIL:</t>
        </r>
        <r>
          <rPr>
            <sz val="9"/>
            <color indexed="81"/>
            <rFont val="Tahoma"/>
            <family val="2"/>
          </rPr>
          <t xml:space="preserve">
Adj. BRF EBITDA</t>
        </r>
      </text>
    </comment>
    <comment ref="C18" authorId="0" shapeId="0" xr:uid="{CDEF6AF6-EED3-4174-BF1F-F69DE5F8DF17}">
      <text>
        <r>
          <rPr>
            <b/>
            <sz val="9"/>
            <color indexed="81"/>
            <rFont val="Tahoma"/>
            <family val="2"/>
          </rPr>
          <t>CRISIL:</t>
        </r>
        <r>
          <rPr>
            <sz val="9"/>
            <color indexed="81"/>
            <rFont val="Tahoma"/>
            <family val="2"/>
          </rPr>
          <t xml:space="preserve">
Excludes impact of discontinued ops</t>
        </r>
      </text>
    </comment>
    <comment ref="E18" authorId="0" shapeId="0" xr:uid="{AF7EDA41-B90A-4F08-B435-76DA484084B3}">
      <text>
        <r>
          <rPr>
            <b/>
            <sz val="9"/>
            <color indexed="81"/>
            <rFont val="Tahoma"/>
            <family val="2"/>
          </rPr>
          <t>CRISIL:</t>
        </r>
        <r>
          <rPr>
            <sz val="9"/>
            <color indexed="81"/>
            <rFont val="Tahoma"/>
            <family val="2"/>
          </rPr>
          <t xml:space="preserve">
Excludes impact of discontinued ops</t>
        </r>
      </text>
    </comment>
    <comment ref="H18" authorId="0" shapeId="0" xr:uid="{5C23D6A3-8869-46D4-86B9-1DB5D438E297}">
      <text>
        <r>
          <rPr>
            <b/>
            <sz val="9"/>
            <color indexed="81"/>
            <rFont val="Tahoma"/>
            <family val="2"/>
          </rPr>
          <t>CRISIL:</t>
        </r>
        <r>
          <rPr>
            <sz val="9"/>
            <color indexed="81"/>
            <rFont val="Tahoma"/>
            <family val="2"/>
          </rPr>
          <t xml:space="preserve">
Excludes impact of discontinued ops</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Crisil GR&amp;A</author>
    <author>CRISIL GR&amp;A</author>
    <author>SAGNIK CHAKRABORTY</author>
    <author>CRISIL</author>
    <author>CRISIL GR&amp;RS</author>
    <author>Nayeem Shakir</author>
  </authors>
  <commentList>
    <comment ref="S3" authorId="0" shapeId="0" xr:uid="{BA77926A-CC8C-4615-BA26-39912D7B00C8}">
      <text>
        <r>
          <rPr>
            <b/>
            <sz val="9"/>
            <color indexed="81"/>
            <rFont val="Tahoma"/>
            <family val="2"/>
          </rPr>
          <t>Crisil GR&amp;A:</t>
        </r>
        <r>
          <rPr>
            <sz val="9"/>
            <color indexed="81"/>
            <rFont val="Tahoma"/>
            <family val="2"/>
          </rPr>
          <t xml:space="preserve">
Reclassified</t>
        </r>
      </text>
    </comment>
    <comment ref="W23" authorId="1" shapeId="0" xr:uid="{101F453C-B5E7-493E-B738-F35D4CAEC05D}">
      <text>
        <r>
          <rPr>
            <b/>
            <sz val="9"/>
            <color indexed="81"/>
            <rFont val="Tahoma"/>
            <family val="2"/>
          </rPr>
          <t>CRISIL GR&amp;A:</t>
        </r>
        <r>
          <rPr>
            <sz val="9"/>
            <color indexed="81"/>
            <rFont val="Tahoma"/>
            <family val="2"/>
          </rPr>
          <t xml:space="preserve">
Includes discontinued operations</t>
        </r>
      </text>
    </comment>
    <comment ref="B80" authorId="0" shapeId="0" xr:uid="{104776B1-90F7-4982-B2CA-270E8BD73A3F}">
      <text>
        <r>
          <rPr>
            <b/>
            <sz val="9"/>
            <color indexed="81"/>
            <rFont val="Tahoma"/>
            <family val="2"/>
          </rPr>
          <t>Crisil GR&amp;A:</t>
        </r>
        <r>
          <rPr>
            <sz val="9"/>
            <color indexed="81"/>
            <rFont val="Tahoma"/>
            <family val="2"/>
          </rPr>
          <t xml:space="preserve">
Actual numbers for the quarters</t>
        </r>
      </text>
    </comment>
    <comment ref="AM81" authorId="1" shapeId="0" xr:uid="{B9AE905B-3C16-40EC-B67A-BF307EE4BB75}">
      <text>
        <r>
          <rPr>
            <b/>
            <sz val="9"/>
            <color indexed="81"/>
            <rFont val="Tahoma"/>
            <family val="2"/>
          </rPr>
          <t>CRISIL GR&amp;A:</t>
        </r>
        <r>
          <rPr>
            <sz val="9"/>
            <color indexed="81"/>
            <rFont val="Tahoma"/>
            <family val="2"/>
          </rPr>
          <t xml:space="preserve">
Presentation</t>
        </r>
      </text>
    </comment>
    <comment ref="AN81" authorId="1" shapeId="0" xr:uid="{A934A0D1-0FFF-4FF3-BA1D-A708E82C604D}">
      <text>
        <r>
          <rPr>
            <b/>
            <sz val="9"/>
            <color indexed="81"/>
            <rFont val="Tahoma"/>
            <family val="2"/>
          </rPr>
          <t>CRISIL GR&amp;A:</t>
        </r>
        <r>
          <rPr>
            <sz val="9"/>
            <color indexed="81"/>
            <rFont val="Tahoma"/>
            <family val="2"/>
          </rPr>
          <t xml:space="preserve">
Presentation</t>
        </r>
      </text>
    </comment>
    <comment ref="AO81" authorId="1" shapeId="0" xr:uid="{9BC404EE-2E54-4A8A-B37A-71FFC09FF80E}">
      <text>
        <r>
          <rPr>
            <b/>
            <sz val="9"/>
            <color indexed="81"/>
            <rFont val="Tahoma"/>
            <family val="2"/>
          </rPr>
          <t>CRISIL GR&amp;A:</t>
        </r>
        <r>
          <rPr>
            <sz val="9"/>
            <color indexed="81"/>
            <rFont val="Tahoma"/>
            <family val="2"/>
          </rPr>
          <t xml:space="preserve">
Presentation</t>
        </r>
      </text>
    </comment>
    <comment ref="AQ81" authorId="1" shapeId="0" xr:uid="{9FAB72E0-8D31-4668-B5E7-99EC9219BB2C}">
      <text>
        <r>
          <rPr>
            <b/>
            <sz val="9"/>
            <color indexed="81"/>
            <rFont val="Tahoma"/>
            <family val="2"/>
          </rPr>
          <t>CRISIL GR&amp;A:</t>
        </r>
        <r>
          <rPr>
            <sz val="9"/>
            <color indexed="81"/>
            <rFont val="Tahoma"/>
            <family val="2"/>
          </rPr>
          <t xml:space="preserve">
Presentation</t>
        </r>
      </text>
    </comment>
    <comment ref="AR81" authorId="1" shapeId="0" xr:uid="{68F5E771-6013-4CF6-A85B-8C10168A2911}">
      <text>
        <r>
          <rPr>
            <b/>
            <sz val="9"/>
            <color indexed="81"/>
            <rFont val="Tahoma"/>
            <family val="2"/>
          </rPr>
          <t>CRISIL GR&amp;A:</t>
        </r>
        <r>
          <rPr>
            <sz val="9"/>
            <color indexed="81"/>
            <rFont val="Tahoma"/>
            <family val="2"/>
          </rPr>
          <t xml:space="preserve">
Presentation</t>
        </r>
      </text>
    </comment>
    <comment ref="AS81" authorId="1" shapeId="0" xr:uid="{8B351FE7-444C-4FB6-96A1-6865C4125C38}">
      <text>
        <r>
          <rPr>
            <b/>
            <sz val="9"/>
            <color indexed="81"/>
            <rFont val="Tahoma"/>
            <family val="2"/>
          </rPr>
          <t>CRISIL GR&amp;A:</t>
        </r>
        <r>
          <rPr>
            <sz val="9"/>
            <color indexed="81"/>
            <rFont val="Tahoma"/>
            <family val="2"/>
          </rPr>
          <t xml:space="preserve">
Presentation</t>
        </r>
      </text>
    </comment>
    <comment ref="AT81" authorId="1" shapeId="0" xr:uid="{13E3A5E2-4DDC-45A8-A0B6-73EDDBAF8285}">
      <text>
        <r>
          <rPr>
            <b/>
            <sz val="9"/>
            <color indexed="81"/>
            <rFont val="Tahoma"/>
            <family val="2"/>
          </rPr>
          <t>CRISIL GR&amp;A:</t>
        </r>
        <r>
          <rPr>
            <sz val="9"/>
            <color indexed="81"/>
            <rFont val="Tahoma"/>
            <family val="2"/>
          </rPr>
          <t xml:space="preserve">
Earnings Release: 4/16
</t>
        </r>
      </text>
    </comment>
    <comment ref="AU81" authorId="1" shapeId="0" xr:uid="{37B5C9D9-6A48-433D-9012-046255DBD54C}">
      <text>
        <r>
          <rPr>
            <b/>
            <sz val="9"/>
            <color indexed="81"/>
            <rFont val="Tahoma"/>
            <family val="2"/>
          </rPr>
          <t>CRISIL GR&amp;A:</t>
        </r>
        <r>
          <rPr>
            <sz val="9"/>
            <color indexed="81"/>
            <rFont val="Tahoma"/>
            <family val="2"/>
          </rPr>
          <t xml:space="preserve">
from ER</t>
        </r>
      </text>
    </comment>
    <comment ref="AV81" authorId="1" shapeId="0" xr:uid="{9D1D7F19-B03B-4085-BE03-7E936A3EEE8B}">
      <text>
        <r>
          <rPr>
            <b/>
            <sz val="9"/>
            <color indexed="81"/>
            <rFont val="Tahoma"/>
            <family val="2"/>
          </rPr>
          <t>CRISIL GR&amp;A:</t>
        </r>
        <r>
          <rPr>
            <sz val="9"/>
            <color indexed="81"/>
            <rFont val="Tahoma"/>
            <family val="2"/>
          </rPr>
          <t xml:space="preserve">
from ER</t>
        </r>
      </text>
    </comment>
    <comment ref="AW81" authorId="1" shapeId="0" xr:uid="{AC4D3AC2-611B-4FC7-934A-10A705B3E9BA}">
      <text>
        <r>
          <rPr>
            <b/>
            <sz val="9"/>
            <color indexed="81"/>
            <rFont val="Tahoma"/>
            <family val="2"/>
          </rPr>
          <t>CRISIL GR&amp;A:</t>
        </r>
        <r>
          <rPr>
            <sz val="9"/>
            <color indexed="81"/>
            <rFont val="Tahoma"/>
            <family val="2"/>
          </rPr>
          <t xml:space="preserve">
from ER</t>
        </r>
      </text>
    </comment>
    <comment ref="AX81" authorId="1" shapeId="0" xr:uid="{521C4A23-9B93-4197-9808-FFE12D2168CE}">
      <text>
        <r>
          <rPr>
            <b/>
            <sz val="9"/>
            <color indexed="81"/>
            <rFont val="Tahoma"/>
            <family val="2"/>
          </rPr>
          <t>CRISIL GR&amp;A:</t>
        </r>
        <r>
          <rPr>
            <sz val="9"/>
            <color indexed="81"/>
            <rFont val="Tahoma"/>
            <family val="2"/>
          </rPr>
          <t xml:space="preserve">
from ER</t>
        </r>
      </text>
    </comment>
    <comment ref="AY81" authorId="1" shapeId="0" xr:uid="{32C89017-DA47-40FA-930A-A2234DACA780}">
      <text>
        <r>
          <rPr>
            <b/>
            <sz val="9"/>
            <color indexed="81"/>
            <rFont val="Tahoma"/>
            <family val="2"/>
          </rPr>
          <t>CRISIL GR&amp;A:</t>
        </r>
        <r>
          <rPr>
            <sz val="9"/>
            <color indexed="81"/>
            <rFont val="Tahoma"/>
            <family val="2"/>
          </rPr>
          <t xml:space="preserve">
from ER</t>
        </r>
      </text>
    </comment>
    <comment ref="AZ81" authorId="1" shapeId="0" xr:uid="{858B6E11-F0BA-4D5F-B14D-AB63E49C4CA8}">
      <text>
        <r>
          <rPr>
            <b/>
            <sz val="9"/>
            <color indexed="81"/>
            <rFont val="Tahoma"/>
            <family val="2"/>
          </rPr>
          <t>CRISIL GR&amp;A:</t>
        </r>
        <r>
          <rPr>
            <sz val="9"/>
            <color indexed="81"/>
            <rFont val="Tahoma"/>
            <family val="2"/>
          </rPr>
          <t xml:space="preserve">
from ER</t>
        </r>
      </text>
    </comment>
    <comment ref="BA81" authorId="1" shapeId="0" xr:uid="{9EB425BF-3D10-4E4D-8466-C56084E2C478}">
      <text>
        <r>
          <rPr>
            <b/>
            <sz val="9"/>
            <color indexed="81"/>
            <rFont val="Tahoma"/>
            <family val="2"/>
          </rPr>
          <t>CRISIL GR&amp;A:</t>
        </r>
        <r>
          <rPr>
            <sz val="9"/>
            <color indexed="81"/>
            <rFont val="Tahoma"/>
            <family val="2"/>
          </rPr>
          <t xml:space="preserve">
from ER</t>
        </r>
      </text>
    </comment>
    <comment ref="AM86" authorId="1" shapeId="0" xr:uid="{D0E828C3-080A-4CF9-B435-1D528853F2A8}">
      <text>
        <r>
          <rPr>
            <b/>
            <sz val="9"/>
            <color indexed="81"/>
            <rFont val="Tahoma"/>
            <family val="2"/>
          </rPr>
          <t>CRISIL GR&amp;A:</t>
        </r>
        <r>
          <rPr>
            <sz val="9"/>
            <color indexed="81"/>
            <rFont val="Tahoma"/>
            <family val="2"/>
          </rPr>
          <t xml:space="preserve">
Presenatation
</t>
        </r>
      </text>
    </comment>
    <comment ref="AN86" authorId="1" shapeId="0" xr:uid="{65FE2133-8703-44AA-AF17-937C7AA056F5}">
      <text>
        <r>
          <rPr>
            <b/>
            <sz val="9"/>
            <color indexed="81"/>
            <rFont val="Tahoma"/>
            <family val="2"/>
          </rPr>
          <t>CRISIL GR&amp;A:</t>
        </r>
        <r>
          <rPr>
            <sz val="9"/>
            <color indexed="81"/>
            <rFont val="Tahoma"/>
            <family val="2"/>
          </rPr>
          <t xml:space="preserve">
Presenatation
</t>
        </r>
      </text>
    </comment>
    <comment ref="AO86" authorId="1" shapeId="0" xr:uid="{8D74D9CA-A1B2-4CCB-9F43-13B160676334}">
      <text>
        <r>
          <rPr>
            <b/>
            <sz val="9"/>
            <color indexed="81"/>
            <rFont val="Tahoma"/>
            <family val="2"/>
          </rPr>
          <t>CRISIL GR&amp;A:</t>
        </r>
        <r>
          <rPr>
            <sz val="9"/>
            <color indexed="81"/>
            <rFont val="Tahoma"/>
            <family val="2"/>
          </rPr>
          <t xml:space="preserve">
Presenatation
</t>
        </r>
      </text>
    </comment>
    <comment ref="AQ86" authorId="1" shapeId="0" xr:uid="{2209D678-2CC0-4093-91CF-C9FBB0B8CAD2}">
      <text>
        <r>
          <rPr>
            <b/>
            <sz val="9"/>
            <color indexed="81"/>
            <rFont val="Tahoma"/>
            <family val="2"/>
          </rPr>
          <t>CRISIL GR&amp;A:</t>
        </r>
        <r>
          <rPr>
            <sz val="9"/>
            <color indexed="81"/>
            <rFont val="Tahoma"/>
            <family val="2"/>
          </rPr>
          <t xml:space="preserve">
Earnings release
</t>
        </r>
      </text>
    </comment>
    <comment ref="AR86" authorId="1" shapeId="0" xr:uid="{3A326CD8-98AC-4293-84E3-9A656886DF1D}">
      <text>
        <r>
          <rPr>
            <b/>
            <sz val="9"/>
            <color indexed="81"/>
            <rFont val="Tahoma"/>
            <family val="2"/>
          </rPr>
          <t>CRISIL GR&amp;A:</t>
        </r>
        <r>
          <rPr>
            <sz val="9"/>
            <color indexed="81"/>
            <rFont val="Tahoma"/>
            <family val="2"/>
          </rPr>
          <t xml:space="preserve">
Presenatation
</t>
        </r>
      </text>
    </comment>
    <comment ref="AS86" authorId="1" shapeId="0" xr:uid="{CDD1A9C9-B736-48D6-B561-96A46E87792C}">
      <text>
        <r>
          <rPr>
            <b/>
            <sz val="9"/>
            <color indexed="81"/>
            <rFont val="Tahoma"/>
            <family val="2"/>
          </rPr>
          <t>CRISIL GR&amp;A:</t>
        </r>
        <r>
          <rPr>
            <sz val="9"/>
            <color indexed="81"/>
            <rFont val="Tahoma"/>
            <family val="2"/>
          </rPr>
          <t xml:space="preserve">
Presenatation
</t>
        </r>
      </text>
    </comment>
    <comment ref="AT86" authorId="1" shapeId="0" xr:uid="{4FB670E1-20E1-4EB7-B224-AB314AFC2122}">
      <text>
        <r>
          <rPr>
            <b/>
            <sz val="9"/>
            <color indexed="81"/>
            <rFont val="Tahoma"/>
            <family val="2"/>
          </rPr>
          <t>CRISIL GR&amp;A:</t>
        </r>
        <r>
          <rPr>
            <sz val="9"/>
            <color indexed="81"/>
            <rFont val="Tahoma"/>
            <family val="2"/>
          </rPr>
          <t xml:space="preserve">
Earnings Release: 4/16
</t>
        </r>
      </text>
    </comment>
    <comment ref="AU86" authorId="1" shapeId="0" xr:uid="{F517C58E-C477-4D62-B761-05038051BD99}">
      <text>
        <r>
          <rPr>
            <b/>
            <sz val="9"/>
            <color indexed="81"/>
            <rFont val="Tahoma"/>
            <family val="2"/>
          </rPr>
          <t>CRISIL GR&amp;A:</t>
        </r>
        <r>
          <rPr>
            <sz val="9"/>
            <color indexed="81"/>
            <rFont val="Tahoma"/>
            <family val="2"/>
          </rPr>
          <t xml:space="preserve">
from ER</t>
        </r>
      </text>
    </comment>
    <comment ref="AV86" authorId="1" shapeId="0" xr:uid="{1EB743F8-E58B-4AD6-8FA1-DE5DE1D05909}">
      <text>
        <r>
          <rPr>
            <b/>
            <sz val="9"/>
            <color indexed="81"/>
            <rFont val="Tahoma"/>
            <family val="2"/>
          </rPr>
          <t>CRISIL GR&amp;A:</t>
        </r>
        <r>
          <rPr>
            <sz val="9"/>
            <color indexed="81"/>
            <rFont val="Tahoma"/>
            <family val="2"/>
          </rPr>
          <t xml:space="preserve">
from ER</t>
        </r>
      </text>
    </comment>
    <comment ref="AW86" authorId="1" shapeId="0" xr:uid="{92F0836D-FB45-4F77-A110-0938AEA09250}">
      <text>
        <r>
          <rPr>
            <b/>
            <sz val="9"/>
            <color indexed="81"/>
            <rFont val="Tahoma"/>
            <family val="2"/>
          </rPr>
          <t>CRISIL GR&amp;A:</t>
        </r>
        <r>
          <rPr>
            <sz val="9"/>
            <color indexed="81"/>
            <rFont val="Tahoma"/>
            <family val="2"/>
          </rPr>
          <t xml:space="preserve">
from ER</t>
        </r>
      </text>
    </comment>
    <comment ref="AX86" authorId="1" shapeId="0" xr:uid="{30DA00B9-4102-40FC-8E18-A01734792E61}">
      <text>
        <r>
          <rPr>
            <b/>
            <sz val="9"/>
            <color indexed="81"/>
            <rFont val="Tahoma"/>
            <family val="2"/>
          </rPr>
          <t>CRISIL GR&amp;A:</t>
        </r>
        <r>
          <rPr>
            <sz val="9"/>
            <color indexed="81"/>
            <rFont val="Tahoma"/>
            <family val="2"/>
          </rPr>
          <t xml:space="preserve">
from ER</t>
        </r>
      </text>
    </comment>
    <comment ref="AY86" authorId="1" shapeId="0" xr:uid="{45F6604B-3423-4E7A-A0DF-B8F8FEFCE529}">
      <text>
        <r>
          <rPr>
            <b/>
            <sz val="9"/>
            <color indexed="81"/>
            <rFont val="Tahoma"/>
            <family val="2"/>
          </rPr>
          <t>CRISIL GR&amp;A:</t>
        </r>
        <r>
          <rPr>
            <sz val="9"/>
            <color indexed="81"/>
            <rFont val="Tahoma"/>
            <family val="2"/>
          </rPr>
          <t xml:space="preserve">
from ER</t>
        </r>
      </text>
    </comment>
    <comment ref="AZ86" authorId="1" shapeId="0" xr:uid="{7D0EC21B-341C-46C3-BE92-65B93A77F6E0}">
      <text>
        <r>
          <rPr>
            <b/>
            <sz val="9"/>
            <color indexed="81"/>
            <rFont val="Tahoma"/>
            <family val="2"/>
          </rPr>
          <t>CRISIL GR&amp;A:</t>
        </r>
        <r>
          <rPr>
            <sz val="9"/>
            <color indexed="81"/>
            <rFont val="Tahoma"/>
            <family val="2"/>
          </rPr>
          <t xml:space="preserve">
from ER</t>
        </r>
      </text>
    </comment>
    <comment ref="BA86" authorId="1" shapeId="0" xr:uid="{D7FFA90A-2B73-4086-8430-8B58B46671C6}">
      <text>
        <r>
          <rPr>
            <b/>
            <sz val="9"/>
            <color indexed="81"/>
            <rFont val="Tahoma"/>
            <family val="2"/>
          </rPr>
          <t>CRISIL GR&amp;A:</t>
        </r>
        <r>
          <rPr>
            <sz val="9"/>
            <color indexed="81"/>
            <rFont val="Tahoma"/>
            <family val="2"/>
          </rPr>
          <t xml:space="preserve">
from ER</t>
        </r>
      </text>
    </comment>
    <comment ref="AC96" authorId="0" shapeId="0" xr:uid="{A06FFC3F-AB8D-4C3E-8FB8-07C03F6C4DDE}">
      <text>
        <r>
          <rPr>
            <b/>
            <sz val="9"/>
            <color indexed="81"/>
            <rFont val="Tahoma"/>
            <family val="2"/>
          </rPr>
          <t>Crisil GR&amp;A:</t>
        </r>
        <r>
          <rPr>
            <sz val="9"/>
            <color indexed="81"/>
            <rFont val="Tahoma"/>
            <family val="2"/>
          </rPr>
          <t xml:space="preserve">
Includes 2% of Argentina</t>
        </r>
      </text>
    </comment>
    <comment ref="AD96" authorId="0" shapeId="0" xr:uid="{960CA81A-EF90-4673-BE09-F33323D83E5D}">
      <text>
        <r>
          <rPr>
            <b/>
            <sz val="9"/>
            <color indexed="81"/>
            <rFont val="Tahoma"/>
            <family val="2"/>
          </rPr>
          <t>Crisil GR&amp;A:</t>
        </r>
        <r>
          <rPr>
            <sz val="9"/>
            <color indexed="81"/>
            <rFont val="Tahoma"/>
            <family val="2"/>
          </rPr>
          <t xml:space="preserve">
Includes 2% of Argentina</t>
        </r>
      </text>
    </comment>
    <comment ref="AF96" authorId="0" shapeId="0" xr:uid="{4F2CA14C-DEBE-4159-9124-8B21772E0DEC}">
      <text>
        <r>
          <rPr>
            <b/>
            <sz val="9"/>
            <color indexed="81"/>
            <rFont val="Tahoma"/>
            <family val="2"/>
          </rPr>
          <t>Crisil GR&amp;A:</t>
        </r>
        <r>
          <rPr>
            <sz val="9"/>
            <color indexed="81"/>
            <rFont val="Tahoma"/>
            <family val="2"/>
          </rPr>
          <t xml:space="preserve">
Includes 1 % of Argentina</t>
        </r>
      </text>
    </comment>
    <comment ref="AG96" authorId="0" shapeId="0" xr:uid="{C8C175E6-A142-47F1-B294-E7E9A6BC990C}">
      <text>
        <r>
          <rPr>
            <b/>
            <sz val="9"/>
            <color indexed="81"/>
            <rFont val="Tahoma"/>
            <family val="2"/>
          </rPr>
          <t>Crisil GR&amp;A:</t>
        </r>
        <r>
          <rPr>
            <sz val="9"/>
            <color indexed="81"/>
            <rFont val="Tahoma"/>
            <family val="2"/>
          </rPr>
          <t xml:space="preserve">
Includes 1 % of Argentina</t>
        </r>
      </text>
    </comment>
    <comment ref="AH96" authorId="0" shapeId="0" xr:uid="{10C16405-7A1A-4A05-A67C-A4B72DEE2800}">
      <text>
        <r>
          <rPr>
            <b/>
            <sz val="9"/>
            <color indexed="81"/>
            <rFont val="Tahoma"/>
            <family val="2"/>
          </rPr>
          <t>Crisil GR&amp;A:</t>
        </r>
        <r>
          <rPr>
            <sz val="9"/>
            <color indexed="81"/>
            <rFont val="Tahoma"/>
            <family val="2"/>
          </rPr>
          <t xml:space="preserve">
Includes 2% of Argentina</t>
        </r>
      </text>
    </comment>
    <comment ref="AI96" authorId="0" shapeId="0" xr:uid="{84B2BC62-11BD-447D-A354-486686C6B473}">
      <text>
        <r>
          <rPr>
            <b/>
            <sz val="9"/>
            <color indexed="81"/>
            <rFont val="Tahoma"/>
            <family val="2"/>
          </rPr>
          <t>Crisil GR&amp;A:</t>
        </r>
        <r>
          <rPr>
            <sz val="9"/>
            <color indexed="81"/>
            <rFont val="Tahoma"/>
            <family val="2"/>
          </rPr>
          <t xml:space="preserve">
Includes 2% of Argentina</t>
        </r>
      </text>
    </comment>
    <comment ref="AJ96" authorId="0" shapeId="0" xr:uid="{B953E324-884F-4BD8-BC35-1C128F0AB31A}">
      <text>
        <r>
          <rPr>
            <b/>
            <sz val="9"/>
            <color indexed="81"/>
            <rFont val="Tahoma"/>
            <family val="2"/>
          </rPr>
          <t>Crisil GR&amp;A:</t>
        </r>
        <r>
          <rPr>
            <sz val="9"/>
            <color indexed="81"/>
            <rFont val="Tahoma"/>
            <family val="2"/>
          </rPr>
          <t xml:space="preserve">
Includes 1 % of Argentina</t>
        </r>
      </text>
    </comment>
    <comment ref="AK96" authorId="0" shapeId="0" xr:uid="{050D395C-99D3-4C69-90B4-259EEAB7B146}">
      <text>
        <r>
          <rPr>
            <b/>
            <sz val="9"/>
            <color indexed="81"/>
            <rFont val="Tahoma"/>
            <family val="2"/>
          </rPr>
          <t>Crisil GR&amp;A:</t>
        </r>
        <r>
          <rPr>
            <sz val="9"/>
            <color indexed="81"/>
            <rFont val="Tahoma"/>
            <family val="2"/>
          </rPr>
          <t xml:space="preserve">
Includes 2 % of Argentina</t>
        </r>
      </text>
    </comment>
    <comment ref="AL96" authorId="0" shapeId="0" xr:uid="{B0E12BE0-BD27-43B7-BF8F-EB8EB110E996}">
      <text>
        <r>
          <rPr>
            <b/>
            <sz val="9"/>
            <color indexed="81"/>
            <rFont val="Tahoma"/>
            <family val="2"/>
          </rPr>
          <t>Crisil GR&amp;A:</t>
        </r>
        <r>
          <rPr>
            <sz val="9"/>
            <color indexed="81"/>
            <rFont val="Tahoma"/>
            <family val="2"/>
          </rPr>
          <t xml:space="preserve">
Includes 2% of Argentina</t>
        </r>
      </text>
    </comment>
    <comment ref="AM96" authorId="0" shapeId="0" xr:uid="{0E937391-24B3-4CA2-9DE0-7ADF1CC66F98}">
      <text>
        <r>
          <rPr>
            <b/>
            <sz val="9"/>
            <color indexed="81"/>
            <rFont val="Tahoma"/>
            <family val="2"/>
          </rPr>
          <t>Crisil GR&amp;A:</t>
        </r>
        <r>
          <rPr>
            <sz val="9"/>
            <color indexed="81"/>
            <rFont val="Tahoma"/>
            <family val="2"/>
          </rPr>
          <t xml:space="preserve">
Includes 2% of Argentina</t>
        </r>
      </text>
    </comment>
    <comment ref="AN96" authorId="2" shapeId="0" xr:uid="{15A2980D-754F-4AA7-9943-D21B17FCA6F2}">
      <text>
        <r>
          <rPr>
            <b/>
            <sz val="9"/>
            <color indexed="81"/>
            <rFont val="Tahoma"/>
            <family val="2"/>
          </rPr>
          <t xml:space="preserve">Crisil GR&amp;A:
</t>
        </r>
        <r>
          <rPr>
            <sz val="9"/>
            <color indexed="81"/>
            <rFont val="Tahoma"/>
            <family val="2"/>
          </rPr>
          <t>Includes 3% of Argentina</t>
        </r>
      </text>
    </comment>
    <comment ref="AO96" authorId="0" shapeId="0" xr:uid="{277EC4C6-80DA-479A-ABBE-1C715D100668}">
      <text>
        <r>
          <rPr>
            <b/>
            <sz val="9"/>
            <color indexed="81"/>
            <rFont val="Tahoma"/>
            <family val="2"/>
          </rPr>
          <t>Crisil GR&amp;A:</t>
        </r>
        <r>
          <rPr>
            <sz val="9"/>
            <color indexed="81"/>
            <rFont val="Tahoma"/>
            <family val="2"/>
          </rPr>
          <t xml:space="preserve">
Includes 2 % of Argentina</t>
        </r>
      </text>
    </comment>
    <comment ref="AP96" authorId="0" shapeId="0" xr:uid="{1E1B4C8E-35F8-494F-9C43-20B7856EA780}">
      <text>
        <r>
          <rPr>
            <b/>
            <sz val="9"/>
            <color indexed="81"/>
            <rFont val="Tahoma"/>
            <family val="2"/>
          </rPr>
          <t>Crisil GR&amp;A:</t>
        </r>
        <r>
          <rPr>
            <sz val="9"/>
            <color indexed="81"/>
            <rFont val="Tahoma"/>
            <family val="2"/>
          </rPr>
          <t xml:space="preserve">
Includes 2% of Argentina</t>
        </r>
      </text>
    </comment>
    <comment ref="AQ96" authorId="0" shapeId="0" xr:uid="{51490989-A0ED-465F-9038-A71F367A2B02}">
      <text>
        <r>
          <rPr>
            <b/>
            <sz val="9"/>
            <color indexed="81"/>
            <rFont val="Tahoma"/>
            <family val="2"/>
          </rPr>
          <t>Crisil GR&amp;A:</t>
        </r>
        <r>
          <rPr>
            <sz val="9"/>
            <color indexed="81"/>
            <rFont val="Tahoma"/>
            <family val="2"/>
          </rPr>
          <t xml:space="preserve">
Includes 2% of Argentina</t>
        </r>
      </text>
    </comment>
    <comment ref="AR96" authorId="2" shapeId="0" xr:uid="{6FB35413-25BB-4663-8F35-132EB74B2E48}">
      <text>
        <r>
          <rPr>
            <b/>
            <sz val="9"/>
            <color indexed="81"/>
            <rFont val="Tahoma"/>
            <family val="2"/>
          </rPr>
          <t xml:space="preserve">Crisil GR&amp;A:
</t>
        </r>
        <r>
          <rPr>
            <sz val="9"/>
            <color indexed="81"/>
            <rFont val="Tahoma"/>
            <family val="2"/>
          </rPr>
          <t>Includes Argentina</t>
        </r>
      </text>
    </comment>
    <comment ref="AV96" authorId="2" shapeId="0" xr:uid="{8B91DE90-95A0-4B42-B284-0305BEDCC41C}">
      <text>
        <r>
          <rPr>
            <b/>
            <sz val="9"/>
            <color indexed="81"/>
            <rFont val="Tahoma"/>
            <family val="2"/>
          </rPr>
          <t xml:space="preserve">Crisil GR&amp;A:
</t>
        </r>
        <r>
          <rPr>
            <sz val="9"/>
            <color indexed="81"/>
            <rFont val="Tahoma"/>
            <family val="2"/>
          </rPr>
          <t>Includes Argentina</t>
        </r>
      </text>
    </comment>
    <comment ref="B98" authorId="0" shapeId="0" xr:uid="{48866A00-8776-46FB-848C-610F528E08DD}">
      <text>
        <r>
          <rPr>
            <b/>
            <sz val="9"/>
            <color indexed="81"/>
            <rFont val="Tahoma"/>
            <family val="2"/>
          </rPr>
          <t>Crisil GR&amp;A:</t>
        </r>
        <r>
          <rPr>
            <sz val="9"/>
            <color indexed="81"/>
            <rFont val="Tahoma"/>
            <family val="2"/>
          </rPr>
          <t xml:space="preserve">
Proforma numbers</t>
        </r>
      </text>
    </comment>
    <comment ref="AM100" authorId="1" shapeId="0" xr:uid="{57636BE1-7B5F-4DFF-9466-4100ABFCDE4F}">
      <text>
        <r>
          <rPr>
            <b/>
            <sz val="9"/>
            <color indexed="81"/>
            <rFont val="Tahoma"/>
            <family val="2"/>
          </rPr>
          <t>CRISIL GR&amp;A:</t>
        </r>
        <r>
          <rPr>
            <sz val="9"/>
            <color indexed="81"/>
            <rFont val="Tahoma"/>
            <family val="2"/>
          </rPr>
          <t xml:space="preserve">
pg 3/22</t>
        </r>
      </text>
    </comment>
    <comment ref="AN100" authorId="1" shapeId="0" xr:uid="{B8D68106-8C8B-4014-B8CE-3DF6652AA816}">
      <text>
        <r>
          <rPr>
            <b/>
            <sz val="9"/>
            <color indexed="81"/>
            <rFont val="Tahoma"/>
            <family val="2"/>
          </rPr>
          <t>CRISIL GR&amp;A:</t>
        </r>
        <r>
          <rPr>
            <sz val="9"/>
            <color indexed="81"/>
            <rFont val="Tahoma"/>
            <family val="2"/>
          </rPr>
          <t xml:space="preserve">
pg 3/22</t>
        </r>
      </text>
    </comment>
    <comment ref="AO100" authorId="3" shapeId="0" xr:uid="{485AACB0-488F-410D-8C6F-FB1E949FE76D}">
      <text>
        <r>
          <rPr>
            <b/>
            <sz val="9"/>
            <color indexed="81"/>
            <rFont val="Tahoma"/>
            <family val="2"/>
          </rPr>
          <t>CRISIL:</t>
        </r>
        <r>
          <rPr>
            <sz val="9"/>
            <color indexed="81"/>
            <rFont val="Tahoma"/>
            <family val="2"/>
          </rPr>
          <t xml:space="preserve">
14/105</t>
        </r>
      </text>
    </comment>
    <comment ref="AQ100" authorId="1" shapeId="0" xr:uid="{1DD26BFF-5437-4167-A203-F64CBD971199}">
      <text>
        <r>
          <rPr>
            <b/>
            <sz val="9"/>
            <color indexed="81"/>
            <rFont val="Tahoma"/>
            <family val="2"/>
          </rPr>
          <t>CRISIL GR&amp;A:</t>
        </r>
        <r>
          <rPr>
            <sz val="9"/>
            <color indexed="81"/>
            <rFont val="Tahoma"/>
            <family val="2"/>
          </rPr>
          <t xml:space="preserve">
pg 3/25</t>
        </r>
      </text>
    </comment>
    <comment ref="AR100" authorId="1" shapeId="0" xr:uid="{E8BFB709-F200-4859-A62D-078B0B8DF081}">
      <text>
        <r>
          <rPr>
            <b/>
            <sz val="9"/>
            <color indexed="81"/>
            <rFont val="Tahoma"/>
            <family val="2"/>
          </rPr>
          <t>CRISIL GR&amp;A:</t>
        </r>
        <r>
          <rPr>
            <sz val="9"/>
            <color indexed="81"/>
            <rFont val="Tahoma"/>
            <family val="2"/>
          </rPr>
          <t xml:space="preserve">
pg 3/24</t>
        </r>
      </text>
    </comment>
    <comment ref="AS100" authorId="3" shapeId="0" xr:uid="{66527540-29B7-4EFF-AF51-D634A30262FE}">
      <text>
        <r>
          <rPr>
            <b/>
            <sz val="9"/>
            <color indexed="81"/>
            <rFont val="Tahoma"/>
            <family val="2"/>
          </rPr>
          <t>CRISIL:</t>
        </r>
        <r>
          <rPr>
            <sz val="9"/>
            <color indexed="81"/>
            <rFont val="Tahoma"/>
            <family val="2"/>
          </rPr>
          <t xml:space="preserve">
14/105</t>
        </r>
      </text>
    </comment>
    <comment ref="AT100" authorId="3" shapeId="0" xr:uid="{847EB6F4-9695-44CC-85E6-1A17C040A54A}">
      <text>
        <r>
          <rPr>
            <b/>
            <sz val="9"/>
            <color indexed="81"/>
            <rFont val="Tahoma"/>
            <family val="2"/>
          </rPr>
          <t>CRISIL:</t>
        </r>
        <r>
          <rPr>
            <sz val="9"/>
            <color indexed="81"/>
            <rFont val="Tahoma"/>
            <family val="2"/>
          </rPr>
          <t xml:space="preserve">
Presentation: 16/24</t>
        </r>
      </text>
    </comment>
    <comment ref="AU100" authorId="1" shapeId="0" xr:uid="{D5AC3753-E6B7-4262-B38E-C51C72EA3243}">
      <text>
        <r>
          <rPr>
            <b/>
            <sz val="9"/>
            <color indexed="81"/>
            <rFont val="Tahoma"/>
            <family val="2"/>
          </rPr>
          <t>CRISIL GR&amp;A:</t>
        </r>
        <r>
          <rPr>
            <sz val="9"/>
            <color indexed="81"/>
            <rFont val="Tahoma"/>
            <family val="2"/>
          </rPr>
          <t xml:space="preserve">
pg 3/25</t>
        </r>
      </text>
    </comment>
    <comment ref="AV100" authorId="4" shapeId="0" xr:uid="{50444F8F-A761-401F-9A40-83410453C9F4}">
      <text>
        <r>
          <rPr>
            <b/>
            <sz val="9"/>
            <color indexed="81"/>
            <rFont val="Tahoma"/>
            <family val="2"/>
          </rPr>
          <t>CRISIL GR&amp;RS:</t>
        </r>
        <r>
          <rPr>
            <sz val="9"/>
            <color indexed="81"/>
            <rFont val="Tahoma"/>
            <family val="2"/>
          </rPr>
          <t xml:space="preserve">
Pg 14/87</t>
        </r>
      </text>
    </comment>
    <comment ref="AW100" authorId="4" shapeId="0" xr:uid="{625DCE3A-0B1D-4874-8899-2B952F6B32E8}">
      <text>
        <r>
          <rPr>
            <b/>
            <sz val="9"/>
            <color indexed="81"/>
            <rFont val="Tahoma"/>
            <family val="2"/>
          </rPr>
          <t>CRISIL GR&amp;RS:</t>
        </r>
        <r>
          <rPr>
            <sz val="9"/>
            <color indexed="81"/>
            <rFont val="Tahoma"/>
            <family val="2"/>
          </rPr>
          <t xml:space="preserve">
Pg 14/89
</t>
        </r>
      </text>
    </comment>
    <comment ref="AX100" authorId="3" shapeId="0" xr:uid="{986CD563-8FFF-4F3E-8640-7A2FDA6A9932}">
      <text>
        <r>
          <rPr>
            <b/>
            <sz val="9"/>
            <color indexed="81"/>
            <rFont val="Tahoma"/>
            <family val="2"/>
          </rPr>
          <t>CRISIL:</t>
        </r>
        <r>
          <rPr>
            <sz val="9"/>
            <color indexed="81"/>
            <rFont val="Tahoma"/>
            <family val="2"/>
          </rPr>
          <t xml:space="preserve">
Presentation: 16/24</t>
        </r>
      </text>
    </comment>
    <comment ref="AZ100" authorId="3" shapeId="0" xr:uid="{E953FBFF-339E-491A-A94C-7BC4CABA3A82}">
      <text>
        <r>
          <rPr>
            <b/>
            <sz val="9"/>
            <color indexed="81"/>
            <rFont val="Tahoma"/>
            <family val="2"/>
          </rPr>
          <t>CRISIL:</t>
        </r>
        <r>
          <rPr>
            <sz val="9"/>
            <color indexed="81"/>
            <rFont val="Tahoma"/>
            <family val="2"/>
          </rPr>
          <t xml:space="preserve">
From ER</t>
        </r>
      </text>
    </comment>
    <comment ref="BA100" authorId="4" shapeId="0" xr:uid="{14236518-734F-47E1-B7C5-D889DE619A65}">
      <text>
        <r>
          <rPr>
            <b/>
            <sz val="9"/>
            <color indexed="81"/>
            <rFont val="Tahoma"/>
            <family val="2"/>
          </rPr>
          <t>CRISIL GR&amp;RS:</t>
        </r>
        <r>
          <rPr>
            <sz val="9"/>
            <color indexed="81"/>
            <rFont val="Tahoma"/>
            <family val="2"/>
          </rPr>
          <t xml:space="preserve">
from FS</t>
        </r>
      </text>
    </comment>
    <comment ref="AX101" authorId="3" shapeId="0" xr:uid="{5786365B-E2B0-49DD-A158-392B4036425D}">
      <text>
        <r>
          <rPr>
            <b/>
            <sz val="9"/>
            <color indexed="81"/>
            <rFont val="Tahoma"/>
            <family val="2"/>
          </rPr>
          <t>CRISIL:</t>
        </r>
        <r>
          <rPr>
            <sz val="9"/>
            <color indexed="81"/>
            <rFont val="Tahoma"/>
            <family val="2"/>
          </rPr>
          <t xml:space="preserve">
Presentation: 16/24</t>
        </r>
      </text>
    </comment>
    <comment ref="AX102" authorId="3" shapeId="0" xr:uid="{17C234A8-FC67-4F3E-AEF1-F2C0812FA09C}">
      <text>
        <r>
          <rPr>
            <b/>
            <sz val="9"/>
            <color indexed="81"/>
            <rFont val="Tahoma"/>
            <family val="2"/>
          </rPr>
          <t>CRISIL:</t>
        </r>
        <r>
          <rPr>
            <sz val="9"/>
            <color indexed="81"/>
            <rFont val="Tahoma"/>
            <family val="2"/>
          </rPr>
          <t xml:space="preserve">
Presentation: 16/24</t>
        </r>
      </text>
    </comment>
    <comment ref="AM108" authorId="1" shapeId="0" xr:uid="{ED2E5BD9-B4FF-438F-AA6D-9FE8D01B01DA}">
      <text>
        <r>
          <rPr>
            <b/>
            <sz val="9"/>
            <color indexed="81"/>
            <rFont val="Tahoma"/>
            <family val="2"/>
          </rPr>
          <t>CRISIL GR&amp;A:</t>
        </r>
        <r>
          <rPr>
            <sz val="9"/>
            <color indexed="81"/>
            <rFont val="Tahoma"/>
            <family val="2"/>
          </rPr>
          <t xml:space="preserve">
pg 22</t>
        </r>
      </text>
    </comment>
    <comment ref="AN108" authorId="1" shapeId="0" xr:uid="{3DC5ED18-ED34-44E5-B464-80FF23AD8723}">
      <text>
        <r>
          <rPr>
            <b/>
            <sz val="9"/>
            <color indexed="81"/>
            <rFont val="Tahoma"/>
            <family val="2"/>
          </rPr>
          <t>CRISIL GR&amp;A:</t>
        </r>
        <r>
          <rPr>
            <sz val="9"/>
            <color indexed="81"/>
            <rFont val="Tahoma"/>
            <family val="2"/>
          </rPr>
          <t xml:space="preserve">
pg 22</t>
        </r>
      </text>
    </comment>
    <comment ref="AO108" authorId="1" shapeId="0" xr:uid="{3B3FC751-B9EF-46AE-A9D4-8CAF47ECC859}">
      <text>
        <r>
          <rPr>
            <b/>
            <sz val="9"/>
            <color indexed="81"/>
            <rFont val="Tahoma"/>
            <family val="2"/>
          </rPr>
          <t>CRISIL GR&amp;A:</t>
        </r>
        <r>
          <rPr>
            <sz val="9"/>
            <color indexed="81"/>
            <rFont val="Tahoma"/>
            <family val="2"/>
          </rPr>
          <t xml:space="preserve">
pg 24
</t>
        </r>
      </text>
    </comment>
    <comment ref="AP108" authorId="4" shapeId="0" xr:uid="{3253BE52-D2AB-4578-8F4F-43FEDD663F02}">
      <text>
        <r>
          <rPr>
            <b/>
            <sz val="9"/>
            <color indexed="81"/>
            <rFont val="Tahoma"/>
            <family val="2"/>
          </rPr>
          <t>CRISIL GR&amp;RS:</t>
        </r>
        <r>
          <rPr>
            <sz val="9"/>
            <color indexed="81"/>
            <rFont val="Tahoma"/>
            <family val="2"/>
          </rPr>
          <t xml:space="preserve">
Page 25</t>
        </r>
      </text>
    </comment>
    <comment ref="AQ108" authorId="1" shapeId="0" xr:uid="{1E55B0D3-151F-4680-8910-127D75DF2C58}">
      <text>
        <r>
          <rPr>
            <b/>
            <sz val="9"/>
            <color indexed="81"/>
            <rFont val="Tahoma"/>
            <family val="2"/>
          </rPr>
          <t>CRISIL GR&amp;A:</t>
        </r>
        <r>
          <rPr>
            <sz val="9"/>
            <color indexed="81"/>
            <rFont val="Tahoma"/>
            <family val="2"/>
          </rPr>
          <t xml:space="preserve">
pg 22</t>
        </r>
      </text>
    </comment>
    <comment ref="AR108" authorId="1" shapeId="0" xr:uid="{6E27AD33-0B67-453F-AE2E-F68964791DA5}">
      <text>
        <r>
          <rPr>
            <b/>
            <sz val="9"/>
            <color indexed="81"/>
            <rFont val="Tahoma"/>
            <family val="2"/>
          </rPr>
          <t>CRISIL GR&amp;A:</t>
        </r>
        <r>
          <rPr>
            <sz val="9"/>
            <color indexed="81"/>
            <rFont val="Tahoma"/>
            <family val="2"/>
          </rPr>
          <t xml:space="preserve">
pg 22</t>
        </r>
      </text>
    </comment>
    <comment ref="AT108" authorId="1" shapeId="0" xr:uid="{316295B5-72E9-4E1C-B8FA-FA171738C9F0}">
      <text>
        <r>
          <rPr>
            <b/>
            <sz val="9"/>
            <color indexed="81"/>
            <rFont val="Tahoma"/>
            <family val="2"/>
          </rPr>
          <t>CRISIL GR&amp;A:</t>
        </r>
        <r>
          <rPr>
            <sz val="9"/>
            <color indexed="81"/>
            <rFont val="Tahoma"/>
            <family val="2"/>
          </rPr>
          <t xml:space="preserve">
pg 7</t>
        </r>
      </text>
    </comment>
    <comment ref="AT114" authorId="5" shapeId="0" xr:uid="{2ADD8399-30C2-4914-9115-DA2095ADE27D}">
      <text>
        <r>
          <rPr>
            <b/>
            <sz val="9"/>
            <color indexed="81"/>
            <rFont val="Tahoma"/>
            <family val="2"/>
          </rPr>
          <t>Crisil:</t>
        </r>
        <r>
          <rPr>
            <sz val="9"/>
            <color indexed="81"/>
            <rFont val="Tahoma"/>
            <family val="2"/>
          </rPr>
          <t xml:space="preserve">
North America</t>
        </r>
      </text>
    </comment>
    <comment ref="AT115" authorId="5" shapeId="0" xr:uid="{DB4DC9A3-893E-44F9-B55A-BD2862F5947A}">
      <text>
        <r>
          <rPr>
            <b/>
            <sz val="9"/>
            <color indexed="81"/>
            <rFont val="Tahoma"/>
            <family val="2"/>
          </rPr>
          <t>Crisil:</t>
        </r>
        <r>
          <rPr>
            <sz val="9"/>
            <color indexed="81"/>
            <rFont val="Tahoma"/>
            <family val="2"/>
          </rPr>
          <t xml:space="preserve">
South America</t>
        </r>
      </text>
    </comment>
    <comment ref="AT126" authorId="5" shapeId="0" xr:uid="{5CE0F976-258F-4652-B8B9-512F4ACF4094}">
      <text>
        <r>
          <rPr>
            <b/>
            <sz val="9"/>
            <color indexed="81"/>
            <rFont val="Tahoma"/>
            <family val="2"/>
          </rPr>
          <t>Crisil:</t>
        </r>
        <r>
          <rPr>
            <sz val="9"/>
            <color indexed="81"/>
            <rFont val="Tahoma"/>
            <family val="2"/>
          </rPr>
          <t xml:space="preserve">
North America</t>
        </r>
      </text>
    </comment>
    <comment ref="AT127" authorId="5" shapeId="0" xr:uid="{AA42E206-9DCC-4627-A11A-9C72A8FB8AD6}">
      <text>
        <r>
          <rPr>
            <b/>
            <sz val="9"/>
            <color indexed="81"/>
            <rFont val="Tahoma"/>
            <family val="2"/>
          </rPr>
          <t>Crisil:</t>
        </r>
        <r>
          <rPr>
            <sz val="9"/>
            <color indexed="81"/>
            <rFont val="Tahoma"/>
            <family val="2"/>
          </rPr>
          <t xml:space="preserve">
South America</t>
        </r>
      </text>
    </comment>
  </commentList>
</comments>
</file>

<file path=xl/sharedStrings.xml><?xml version="1.0" encoding="utf-8"?>
<sst xmlns="http://schemas.openxmlformats.org/spreadsheetml/2006/main" count="2732" uniqueCount="476">
  <si>
    <t>1Q26</t>
  </si>
  <si>
    <t>Exchange rate as at 1Q26</t>
  </si>
  <si>
    <t>Avg. exchange rate as at 1Q26</t>
  </si>
  <si>
    <t xml:space="preserve"> Amount outstanding as on 31-Mar-2026</t>
  </si>
  <si>
    <t>R$ (mn)</t>
  </si>
  <si>
    <t>USD (mn)</t>
  </si>
  <si>
    <t>Leverage (BRL)</t>
  </si>
  <si>
    <t>Leverage (USD)</t>
  </si>
  <si>
    <t>Company reported leverage</t>
  </si>
  <si>
    <t>Local Currency Debt:</t>
  </si>
  <si>
    <t>Gross debt</t>
  </si>
  <si>
    <t>FINAME/FINEP</t>
  </si>
  <si>
    <t>Cash</t>
  </si>
  <si>
    <t>NCE/Working Capital/CDCAS</t>
  </si>
  <si>
    <t>Net debt</t>
  </si>
  <si>
    <t>Non-convertible debentures</t>
  </si>
  <si>
    <t>LTM Adjusted EBITDA</t>
  </si>
  <si>
    <t>Share rental</t>
  </si>
  <si>
    <t>Net leverage</t>
  </si>
  <si>
    <t>Foreign Currency Debt:</t>
  </si>
  <si>
    <t>Prepayment/NCE / ACC (US$)</t>
  </si>
  <si>
    <t>Bonds (US$)</t>
  </si>
  <si>
    <t>Bank loan (US$)</t>
  </si>
  <si>
    <t>Revolving credit facility</t>
  </si>
  <si>
    <t>PAE (US$)</t>
  </si>
  <si>
    <t>Tradable liabilities</t>
  </si>
  <si>
    <t>Bank loan (EUR)</t>
  </si>
  <si>
    <t>CRA</t>
  </si>
  <si>
    <t>Notes payables</t>
  </si>
  <si>
    <t>Leases</t>
  </si>
  <si>
    <t>Total Loans &amp; Borrows</t>
  </si>
  <si>
    <t>Cash &amp; Equivalents</t>
  </si>
  <si>
    <t xml:space="preserve">Net debt </t>
  </si>
  <si>
    <t>Equity</t>
  </si>
  <si>
    <t xml:space="preserve">Total Capitalisation </t>
  </si>
  <si>
    <t xml:space="preserve">LTM Adjusted EBITDA </t>
  </si>
  <si>
    <t>check</t>
  </si>
  <si>
    <t>EV</t>
  </si>
  <si>
    <t>EV/EBITDA</t>
  </si>
  <si>
    <t>Liquidity Table as of 1Q26</t>
  </si>
  <si>
    <t>Cash and marketable securities</t>
  </si>
  <si>
    <t>Total Liquidity</t>
  </si>
  <si>
    <t>Debt Maturity Profile on 31-Mar-2026</t>
  </si>
  <si>
    <t>2031 onwards</t>
  </si>
  <si>
    <t>Total debt (excluding notes payable and leases)</t>
  </si>
  <si>
    <t>MARFRIG GLOBAL FOODS S.A - MBRF</t>
  </si>
  <si>
    <t>Annual</t>
  </si>
  <si>
    <t>LTM</t>
  </si>
  <si>
    <t>Quarterly</t>
  </si>
  <si>
    <t>YTD</t>
  </si>
  <si>
    <t>(Brazilian reais millions)</t>
  </si>
  <si>
    <t>Act</t>
  </si>
  <si>
    <t>FY</t>
  </si>
  <si>
    <t>Q3</t>
  </si>
  <si>
    <t>Q4</t>
  </si>
  <si>
    <t>Q1</t>
  </si>
  <si>
    <t>9M</t>
  </si>
  <si>
    <t>INCOME STATEMENT</t>
  </si>
  <si>
    <t>Revenues</t>
  </si>
  <si>
    <t xml:space="preserve">% y-o-y growth </t>
  </si>
  <si>
    <t>COGS</t>
  </si>
  <si>
    <t>Gross Profit</t>
  </si>
  <si>
    <t>Gross Profit margin</t>
  </si>
  <si>
    <t>Selling Expenses</t>
  </si>
  <si>
    <t>General and Administrative expenses</t>
  </si>
  <si>
    <t>Equity in earnings (losses) of subsidiaries</t>
  </si>
  <si>
    <t>Other operating income (expense)</t>
  </si>
  <si>
    <t>Operating Profit</t>
  </si>
  <si>
    <t>Finance Income</t>
  </si>
  <si>
    <t>Finance expenses</t>
  </si>
  <si>
    <t>Profit before tax</t>
  </si>
  <si>
    <t>Income tax benefit/(expense)</t>
  </si>
  <si>
    <t>Profit/(loss) from continuing operations</t>
  </si>
  <si>
    <t>Loss  from discontinued  Operations</t>
  </si>
  <si>
    <t xml:space="preserve">Profit for the year </t>
  </si>
  <si>
    <t>As % of sales unless stated otherwise</t>
  </si>
  <si>
    <t>Finance Income as a % of cash at end of period</t>
  </si>
  <si>
    <t>Finance costs as a % of debt at end of period</t>
  </si>
  <si>
    <t>Income tax benefit/(expense) as a % of Profit before tax</t>
  </si>
  <si>
    <t>capex/sales</t>
  </si>
  <si>
    <t>D/A/sales</t>
  </si>
  <si>
    <t xml:space="preserve">EBITDA </t>
  </si>
  <si>
    <t xml:space="preserve">Operating profit </t>
  </si>
  <si>
    <t>Depreciation &amp; amortisation</t>
  </si>
  <si>
    <t xml:space="preserve">% growth </t>
  </si>
  <si>
    <t>% margin</t>
  </si>
  <si>
    <t xml:space="preserve">Adjustment </t>
  </si>
  <si>
    <t xml:space="preserve">Adj. EBITDA </t>
  </si>
  <si>
    <t>Depreciation and Amortization</t>
  </si>
  <si>
    <t>CASH FLOW</t>
  </si>
  <si>
    <t xml:space="preserve">Adjusted EBITDA </t>
  </si>
  <si>
    <t>Working Capital</t>
  </si>
  <si>
    <t>Taxes</t>
  </si>
  <si>
    <t>Cash interest paid</t>
  </si>
  <si>
    <t xml:space="preserve">Net cash from operations </t>
  </si>
  <si>
    <t>Net Capex</t>
  </si>
  <si>
    <t>Net Payment for acquisition  of intangible assets</t>
  </si>
  <si>
    <t>Disposals/ Acquisition, of subsidiaries</t>
  </si>
  <si>
    <t xml:space="preserve">Free cash flow </t>
  </si>
  <si>
    <t>Other Investing activities</t>
  </si>
  <si>
    <t>Equity Issuance / Buyback</t>
  </si>
  <si>
    <t xml:space="preserve">Dividends received  / Dividends Paid </t>
  </si>
  <si>
    <t>Change in debt</t>
  </si>
  <si>
    <t>Other Financing activities</t>
  </si>
  <si>
    <t>Cash flow after financing activities</t>
  </si>
  <si>
    <t xml:space="preserve">FX </t>
  </si>
  <si>
    <t>Discontinued operations net of cash</t>
  </si>
  <si>
    <t>Balancing figure</t>
  </si>
  <si>
    <t xml:space="preserve">Net change in cash </t>
  </si>
  <si>
    <t>Cash and cash equivalents</t>
  </si>
  <si>
    <t>Check 1</t>
  </si>
  <si>
    <t>Check2</t>
  </si>
  <si>
    <t xml:space="preserve">LTM </t>
  </si>
  <si>
    <t>EBITDA</t>
  </si>
  <si>
    <t>Adjusted EBITDA</t>
  </si>
  <si>
    <t>Net Income</t>
  </si>
  <si>
    <t>Capex</t>
  </si>
  <si>
    <t>PF Combined EBITDA</t>
  </si>
  <si>
    <t xml:space="preserve">National Beef Adj EBITDA </t>
  </si>
  <si>
    <t xml:space="preserve">Share in Combined EBITDA </t>
  </si>
  <si>
    <t xml:space="preserve">Consolidation @51% </t>
  </si>
  <si>
    <t>Useful EBITDA</t>
  </si>
  <si>
    <t xml:space="preserve">BALANCE SHEET </t>
  </si>
  <si>
    <t>Tangible fixed assets</t>
  </si>
  <si>
    <t>Biological Assets -Non current</t>
  </si>
  <si>
    <t>Biological Assets - Current</t>
  </si>
  <si>
    <t>Inventory</t>
  </si>
  <si>
    <t>Trade debtors/receivables</t>
  </si>
  <si>
    <t>Trade creditors /payables</t>
  </si>
  <si>
    <t>Net working capital</t>
  </si>
  <si>
    <t>% of revenues</t>
  </si>
  <si>
    <t>Inventory Days</t>
  </si>
  <si>
    <t>Receivables Days</t>
  </si>
  <si>
    <t>Payable Days</t>
  </si>
  <si>
    <t xml:space="preserve">Debt  Breakdown </t>
  </si>
  <si>
    <t>Short-term debt</t>
  </si>
  <si>
    <t>Long-term debt</t>
  </si>
  <si>
    <t>Total Debt</t>
  </si>
  <si>
    <t>NCE/Working Capital/CDCAS/Credit note</t>
  </si>
  <si>
    <t>Total local currency loans and financing</t>
  </si>
  <si>
    <t>Total foreign currency loans and financing</t>
  </si>
  <si>
    <t>Cash and equivalents</t>
  </si>
  <si>
    <t>Marketable securities</t>
  </si>
  <si>
    <t>Cash and Marketable Securities</t>
  </si>
  <si>
    <t xml:space="preserve">Gross total debt </t>
  </si>
  <si>
    <t xml:space="preserve">Reported Net debt </t>
  </si>
  <si>
    <t>Reported adjusted net debt (effect of FX variation)</t>
  </si>
  <si>
    <t>Market Cap</t>
  </si>
  <si>
    <t>Equity (as reported on balance sheet)</t>
  </si>
  <si>
    <t>Total debt + Equity</t>
  </si>
  <si>
    <t>Net debt + Market Cap</t>
  </si>
  <si>
    <t>CREDIT RATIOS</t>
  </si>
  <si>
    <t>Total Net Leverage</t>
  </si>
  <si>
    <t xml:space="preserve">Total Gross Leverage </t>
  </si>
  <si>
    <t>Net Leverage (based on company reported debt)</t>
  </si>
  <si>
    <t>Net Leverage (based on company reported adjusted debt)</t>
  </si>
  <si>
    <t>Gross Leverage (on Combined PF EBITDA)</t>
  </si>
  <si>
    <t>Net Leverage (on Combined PF EBITDA)</t>
  </si>
  <si>
    <t>Adj Gross leverage (@51% NF EBITDA)</t>
  </si>
  <si>
    <t>Adj Net leverage (@51% NF EBITDA)</t>
  </si>
  <si>
    <t>EBITDA - Capex / Interest</t>
  </si>
  <si>
    <t>EBITDA/Interest</t>
  </si>
  <si>
    <t xml:space="preserve">Gearing (Net debt / Equity) </t>
  </si>
  <si>
    <t>Summary Financials</t>
  </si>
  <si>
    <t>Net Debt</t>
  </si>
  <si>
    <t>Gross Debt</t>
  </si>
  <si>
    <t>FX rate average - BRL/USD</t>
  </si>
  <si>
    <t>FX rate end - BRL/USD</t>
  </si>
  <si>
    <t>LTM (BRL / USD)</t>
  </si>
  <si>
    <t>USD to BRL (EOP)</t>
  </si>
  <si>
    <t>(USD millions)</t>
  </si>
  <si>
    <t>LTM EBITDA</t>
  </si>
  <si>
    <t>Key  Credit Metrics (Reais mn where applicable)</t>
  </si>
  <si>
    <t>Adjusted EBITDA margin</t>
  </si>
  <si>
    <t>Gross Leverage</t>
  </si>
  <si>
    <t xml:space="preserve">Net Leverage </t>
  </si>
  <si>
    <t>Key  Credit Metrics (USD mn where applicable)</t>
  </si>
  <si>
    <t>3Q25</t>
  </si>
  <si>
    <t>Exchange rate as at 3Q25</t>
  </si>
  <si>
    <t>Avg. exchange rate as at 3Q25</t>
  </si>
  <si>
    <t xml:space="preserve"> Amount outstanding as on 30-Sep-2025</t>
  </si>
  <si>
    <t xml:space="preserve">Leverage </t>
  </si>
  <si>
    <t>PF LTM Adjusted EBITDA</t>
  </si>
  <si>
    <t>Liquidity Table as of 3Q25</t>
  </si>
  <si>
    <t xml:space="preserve">RCF </t>
  </si>
  <si>
    <t>Debt Maturity Profile on 30-Sep-2025</t>
  </si>
  <si>
    <t>2030 onwards</t>
  </si>
  <si>
    <t>2Q25</t>
  </si>
  <si>
    <t xml:space="preserve"> </t>
  </si>
  <si>
    <t>Amount outstanding as on 30-Jun-2025</t>
  </si>
  <si>
    <t>Exchange rate as at 2Q25</t>
  </si>
  <si>
    <t>Avg. exchange rate as at 2Q25</t>
  </si>
  <si>
    <t xml:space="preserve"> (R$)</t>
  </si>
  <si>
    <t>Liquidity Table as of 2Q25</t>
  </si>
  <si>
    <t>(Reais millions)</t>
  </si>
  <si>
    <t>Debt Maturity Profile on 30-Jun-2025</t>
  </si>
  <si>
    <t>2029 onwards</t>
  </si>
  <si>
    <t>1Q25</t>
  </si>
  <si>
    <t>Amount outstanding as on 31-Mar-2025</t>
  </si>
  <si>
    <t>Exchange rate as at 1Q25</t>
  </si>
  <si>
    <t>Avg. exchange rate as at 1Q25</t>
  </si>
  <si>
    <t>Liquidity Table as of 1Q25</t>
  </si>
  <si>
    <t>Debt Maturity Profile on 31-Mar-2025</t>
  </si>
  <si>
    <t>FY24</t>
  </si>
  <si>
    <t>Amount outstanding as on 31-Dec-2024</t>
  </si>
  <si>
    <t>Exchange rate as at FY24</t>
  </si>
  <si>
    <t>Avg. exchange rate as at FY24</t>
  </si>
  <si>
    <t>Liquidity Table as of FY24</t>
  </si>
  <si>
    <t>Debt Maturity Profile on 31-Dec-2024</t>
  </si>
  <si>
    <t>3Q24</t>
  </si>
  <si>
    <t>Amount outstanding as on 30-Sep-2024</t>
  </si>
  <si>
    <t>Exchange rate as at 3Q24</t>
  </si>
  <si>
    <t>Avg. exchange rate as at 3Q24</t>
  </si>
  <si>
    <t xml:space="preserve">PF LTM Adjusted EBITDA </t>
  </si>
  <si>
    <t>Liquidity Table as of 3Q24</t>
  </si>
  <si>
    <t>Debt Maturity Profile on 30-Sep-2024</t>
  </si>
  <si>
    <t>2Q24</t>
  </si>
  <si>
    <t>Amount outstanding as on 30-Jun-2024</t>
  </si>
  <si>
    <t>Exchange rate as at 2Q24</t>
  </si>
  <si>
    <t>Avg. exchange rate as at 2Q24</t>
  </si>
  <si>
    <t>Liquidity Table as of 2Q24</t>
  </si>
  <si>
    <t>Debt Maturity Profile on 30-Jun-2024</t>
  </si>
  <si>
    <t>2028 onwards</t>
  </si>
  <si>
    <t>1Q24</t>
  </si>
  <si>
    <t>Amount outstanding as on 31-Mar-2024</t>
  </si>
  <si>
    <t>Exchange rate as at 1Q24</t>
  </si>
  <si>
    <t>Avg. exchange rate as at 1Q24</t>
  </si>
  <si>
    <t>Liquidity Table as of 1Q24</t>
  </si>
  <si>
    <t>Debt Maturity Profile on 31-Mar-2024</t>
  </si>
  <si>
    <t>FY23</t>
  </si>
  <si>
    <t>Amount outstanding as on 31-Dec-2023</t>
  </si>
  <si>
    <t>Exchange rate as at 4Q23</t>
  </si>
  <si>
    <t>Avg. exchange rate as at 4Q23</t>
  </si>
  <si>
    <t>Liquidity Table as of 4Q23</t>
  </si>
  <si>
    <t>Debt Maturity Profile on 31-Dec-2023</t>
  </si>
  <si>
    <t>3Q23</t>
  </si>
  <si>
    <t>Amount outstanding as on 30-Sep-2023</t>
  </si>
  <si>
    <t>Exchange rate as at 3Q23</t>
  </si>
  <si>
    <t>Avg. exchange rate as at 3Q23</t>
  </si>
  <si>
    <t>Liquidity Table as of 3Q23</t>
  </si>
  <si>
    <t>Debt Maturity Profile on 30-Sep-2023</t>
  </si>
  <si>
    <t>2Q23</t>
  </si>
  <si>
    <t>Amount outstanding as on 30-Jun-2023</t>
  </si>
  <si>
    <t>Exchange rate as at 2Q23</t>
  </si>
  <si>
    <t>Avg. exchange rate as at 2Q23</t>
  </si>
  <si>
    <t>Liquidity Table as of 2Q23</t>
  </si>
  <si>
    <t>Debt Maturity Profile on 30-Jun-2023</t>
  </si>
  <si>
    <t>1Q23</t>
  </si>
  <si>
    <t>Amount outstanding as on 31-Mar-2023</t>
  </si>
  <si>
    <t>Exchange rate as at 1Q23</t>
  </si>
  <si>
    <t>Avg. exchange rate as at 1Q23</t>
  </si>
  <si>
    <t>Liquidity Table as of 1Q23</t>
  </si>
  <si>
    <t>Debt Maturity Profile on 31-Mar-2023</t>
  </si>
  <si>
    <t>FY22</t>
  </si>
  <si>
    <t>Amount outstanding as on 31-Dec-2022</t>
  </si>
  <si>
    <t>Exchange rate as at 4QFY22</t>
  </si>
  <si>
    <t>Avg. exchange rate as at 4QFY22</t>
  </si>
  <si>
    <t>Liquidity Table as of 4Q22</t>
  </si>
  <si>
    <t>Debt Maturity Profile on 31-Dec-2022</t>
  </si>
  <si>
    <t>3Q22</t>
  </si>
  <si>
    <t>Amount outstanding as on 30-Sep-2022</t>
  </si>
  <si>
    <t>Exchange rate as at 3QFY22</t>
  </si>
  <si>
    <t>Avg. exchange rate as at 3QFY22</t>
  </si>
  <si>
    <t>Liquidity Table as of 3Q22</t>
  </si>
  <si>
    <t>Debt Maturity Profile on 30-Sep-2022</t>
  </si>
  <si>
    <t>2027 - 2031</t>
  </si>
  <si>
    <t>2Q22</t>
  </si>
  <si>
    <t>Amount outstanding as on 30-Jun-2022</t>
  </si>
  <si>
    <t>Exchange rate as at 2QFY22</t>
  </si>
  <si>
    <t>Liquidity Table as of 2Q22</t>
  </si>
  <si>
    <t>Debt Maturity Profile on 30-Jun-2022</t>
  </si>
  <si>
    <t>1Q22</t>
  </si>
  <si>
    <t>Amount outstanding as on 31-Mar-2022</t>
  </si>
  <si>
    <t>Exchange rate as at 1QFY22</t>
  </si>
  <si>
    <t>Liquidity Table as of 1Q22</t>
  </si>
  <si>
    <t>Debt Maturity Profile on 31-Mar-2022</t>
  </si>
  <si>
    <t>2026 - 2031</t>
  </si>
  <si>
    <t>4Q21</t>
  </si>
  <si>
    <t>Amount outstanding as on 31-Dec-2021</t>
  </si>
  <si>
    <t>Exchange rate as at 4QFY21</t>
  </si>
  <si>
    <t>Liquidity Table as of 4Q21</t>
  </si>
  <si>
    <t>Debt Maturity Profile on 31-Dec-2021</t>
  </si>
  <si>
    <t>3Q21</t>
  </si>
  <si>
    <t>Amount outstanding as on 30-Sep-2021</t>
  </si>
  <si>
    <t>Exchange rate as at 3QFY21</t>
  </si>
  <si>
    <t>Liquidity Table as of 3Q21</t>
  </si>
  <si>
    <t>Debt Maturity Profile on 30-Sept-2021</t>
  </si>
  <si>
    <t>2Q21</t>
  </si>
  <si>
    <t>Amount outstanding as on 30-Jun-2021</t>
  </si>
  <si>
    <t>Exchange rate as at 2QFY21</t>
  </si>
  <si>
    <t>Liquidity Table as of 2Q21</t>
  </si>
  <si>
    <t>Debt Maturity Profile on 30-Jun-2021</t>
  </si>
  <si>
    <t>1Q21</t>
  </si>
  <si>
    <t>Amount outstanding as on 31-Mar-2021</t>
  </si>
  <si>
    <t>Exchange rate as at 1QFY21</t>
  </si>
  <si>
    <t>Liquidity Table as of 1Q21</t>
  </si>
  <si>
    <t>Debt Maturity Profile on 31-Mar-2021</t>
  </si>
  <si>
    <t>4Q20</t>
  </si>
  <si>
    <t>Amount outstanding as on 31-Dec-2020</t>
  </si>
  <si>
    <t>Exchange rate as at 4QFY20</t>
  </si>
  <si>
    <t>Liquidity Table as of 4Q20</t>
  </si>
  <si>
    <t>Debt Maturity Profile on 31-Dec-2020</t>
  </si>
  <si>
    <t>2025-2029</t>
  </si>
  <si>
    <t>3Q20</t>
  </si>
  <si>
    <t>Amount outstanding as on 30-Sept-2020</t>
  </si>
  <si>
    <t>Exchange rate as at 3QFY20</t>
  </si>
  <si>
    <t>Liquidity Table as of 3Q FY20</t>
  </si>
  <si>
    <t>Debt Maturity Profile on 30-Sept-2020</t>
  </si>
  <si>
    <t>Amount outstanding as on 30-June-2020</t>
  </si>
  <si>
    <t>Exchange rate as at 2QFY20</t>
  </si>
  <si>
    <t>Liquidity Table as of 2Q FY20</t>
  </si>
  <si>
    <t>Debt Maturity Profile on 30-June-2020</t>
  </si>
  <si>
    <t>Amount outstanding as on 31-Mar-2020</t>
  </si>
  <si>
    <t>Exchange rate as at 1QFY20</t>
  </si>
  <si>
    <t>Liquidity Table as of 1Q FY20</t>
  </si>
  <si>
    <t>Debt Maturity Profile on 31-Mar-2020</t>
  </si>
  <si>
    <t>Amount outstanding as on 31-Dec-2019</t>
  </si>
  <si>
    <t>Exchange rate as at 4QFY19</t>
  </si>
  <si>
    <t>Liquidity Table as of 4Q FY19</t>
  </si>
  <si>
    <t>Debt Maturity Profile on 31-Dec-2019</t>
  </si>
  <si>
    <t>Amount outstanding as on 30-Sep-2019</t>
  </si>
  <si>
    <t>Exchange rate as at 3QFY19</t>
  </si>
  <si>
    <t>Liquidity Table as of 3Q FY19</t>
  </si>
  <si>
    <t>Debt Maturity Profile on 30-Sep-2019</t>
  </si>
  <si>
    <t>Amount outstanding as on 30-Jun-2019</t>
  </si>
  <si>
    <t>Exchange rate as at 2QFY19</t>
  </si>
  <si>
    <t>PF LTM Adjusted EBITDA (Jun 2019)</t>
  </si>
  <si>
    <t>Liquidity Table as of 2Q FY19</t>
  </si>
  <si>
    <t>Debt Maturity Profile on 30-Jun-2019</t>
  </si>
  <si>
    <t>Total debt (excluding notes payable)</t>
  </si>
  <si>
    <t>Amount outstanding as on 31-Mar-2019</t>
  </si>
  <si>
    <t>Exchange rate as at 1QFY19</t>
  </si>
  <si>
    <t>Average Exchange rate of 1QFY19</t>
  </si>
  <si>
    <t>Pro forma leverage end-1Q19</t>
  </si>
  <si>
    <t>USD (bn)</t>
  </si>
  <si>
    <t>Company reported leverage (R$)</t>
  </si>
  <si>
    <t>LTM Adj EBITDA</t>
  </si>
  <si>
    <t>PF EBITDA*</t>
  </si>
  <si>
    <t>*including 12 month PF for acquired companies</t>
  </si>
  <si>
    <t>PF LTM Adjusted EBITDA (Mar 2019)</t>
  </si>
  <si>
    <t>Liquidity Table as of1Q FY19</t>
  </si>
  <si>
    <t>Debt Maturity Profile on 31st Mar 2019</t>
  </si>
  <si>
    <t>Amount outstanding as on 31-Dec-2018</t>
  </si>
  <si>
    <t>Exchange rate as at FY18</t>
  </si>
  <si>
    <t>Average Exchange rate of FY18</t>
  </si>
  <si>
    <t>Pro forma leverage end-4Q18</t>
  </si>
  <si>
    <t>LTM Adjusted EBITDA (Dec 2018)</t>
  </si>
  <si>
    <t>Liquidity Table as of FY18</t>
  </si>
  <si>
    <t>Debt Maturity Profile on 31st Dec 2018</t>
  </si>
  <si>
    <t>Exchange rate as at 3Q 2018</t>
  </si>
  <si>
    <t>Amount outstanding as on 30-Sep-2018</t>
  </si>
  <si>
    <t>Pro forma leverage end-3Q18</t>
  </si>
  <si>
    <t>LTM Adjusted EBITDA (Sep 2018)</t>
  </si>
  <si>
    <t>Liquidity Table as of 3Q 2018</t>
  </si>
  <si>
    <t>Debt Maturity Profile on 30th Sep 2018</t>
  </si>
  <si>
    <t>Exchange rate as at 2Q 2018</t>
  </si>
  <si>
    <t>Amount outstanding as on 30-Jun-2018</t>
  </si>
  <si>
    <t>Pro forma leverage end-2Q18</t>
  </si>
  <si>
    <t>LTM Adjusted EBITDA (Jun 2018)</t>
  </si>
  <si>
    <t>Liquidity Table as of 2Q 2018</t>
  </si>
  <si>
    <t>Debt Maturity Profile on 30th Jun 2018</t>
  </si>
  <si>
    <t>Exchange rate as at 1Q 2018</t>
  </si>
  <si>
    <t>USD (m)</t>
  </si>
  <si>
    <t>Amount outstanding as on 31-March-2018</t>
  </si>
  <si>
    <t>LTM Adjusted EBITDA (Mar 2018)</t>
  </si>
  <si>
    <t>Liquidity Table as of 1Q 2018</t>
  </si>
  <si>
    <t>Debt Maturity Profile on 31th Mar 2018</t>
  </si>
  <si>
    <t>2025-2028</t>
  </si>
  <si>
    <t>MARFRIG GLOBAL FOODS S.A</t>
  </si>
  <si>
    <t>Pro forma</t>
  </si>
  <si>
    <t>Restated</t>
  </si>
  <si>
    <t>PF</t>
  </si>
  <si>
    <t>Q2</t>
  </si>
  <si>
    <t>Original</t>
  </si>
  <si>
    <t>Exchange gains</t>
  </si>
  <si>
    <t>Exchange loss</t>
  </si>
  <si>
    <t>% of sales or stated otherwise</t>
  </si>
  <si>
    <t xml:space="preserve">Depreciation </t>
  </si>
  <si>
    <t>Amortisation</t>
  </si>
  <si>
    <t>Other Investing</t>
  </si>
  <si>
    <t>Equity Issuance/Buyback</t>
  </si>
  <si>
    <t>Change in debt /Finance Costs</t>
  </si>
  <si>
    <t>Other Finance</t>
  </si>
  <si>
    <t>Check</t>
  </si>
  <si>
    <t>1Q</t>
  </si>
  <si>
    <t>2Q</t>
  </si>
  <si>
    <t>3Q</t>
  </si>
  <si>
    <t>Net Profit / Loss Attributed to the Controller</t>
  </si>
  <si>
    <t>Provision for income and social contribution taxes</t>
  </si>
  <si>
    <t>Non-controlling Interest</t>
  </si>
  <si>
    <t>Net Exchange Variation</t>
  </si>
  <si>
    <t>Net Financial Charges</t>
  </si>
  <si>
    <t>Depreciation &amp; Amortization</t>
  </si>
  <si>
    <t>Equivalence of non-controlled companies</t>
  </si>
  <si>
    <t>Other Operational Revenues/Expenses</t>
  </si>
  <si>
    <t>Other BRF adj.EBITDA</t>
  </si>
  <si>
    <t>Other Adjustments Depreciation Uruguay discont.</t>
  </si>
  <si>
    <t>EBITDA. Adj</t>
  </si>
  <si>
    <t>Volume sales (Tons Thousand)</t>
  </si>
  <si>
    <t>Domestic Market</t>
  </si>
  <si>
    <t>External Market</t>
  </si>
  <si>
    <t>Consolidated Volume</t>
  </si>
  <si>
    <t>Domestic Market (% of total)</t>
  </si>
  <si>
    <t>External Market (% of total)</t>
  </si>
  <si>
    <t>Consolidated Total</t>
  </si>
  <si>
    <t>Net Revenue (BRL mn)</t>
  </si>
  <si>
    <t>Consolidated Revenue</t>
  </si>
  <si>
    <t>Net Revenue by segment (% of total)</t>
  </si>
  <si>
    <t>North America</t>
  </si>
  <si>
    <t>South America</t>
  </si>
  <si>
    <t>BRF</t>
  </si>
  <si>
    <t>Total</t>
  </si>
  <si>
    <t>Net Revenue by currency (% of total)</t>
  </si>
  <si>
    <t>USD</t>
  </si>
  <si>
    <t>BRL</t>
  </si>
  <si>
    <t>Others</t>
  </si>
  <si>
    <t>Consumer Markets (% of Consolidated Net Revenue) – R$ million</t>
  </si>
  <si>
    <t>USA</t>
  </si>
  <si>
    <t>Brazil</t>
  </si>
  <si>
    <t>Middle East</t>
  </si>
  <si>
    <t>China &amp; Hong Kong</t>
  </si>
  <si>
    <t>European Union</t>
  </si>
  <si>
    <t>Asia &amp; Oceania</t>
  </si>
  <si>
    <t>Japan</t>
  </si>
  <si>
    <t>Argentina</t>
  </si>
  <si>
    <t>Chile</t>
  </si>
  <si>
    <t>Uruguay</t>
  </si>
  <si>
    <t xml:space="preserve">Adj. EBITDA by segment (% of total) </t>
  </si>
  <si>
    <t>Net Revenue by segment (BRL mn)</t>
  </si>
  <si>
    <t>Beef - North America</t>
  </si>
  <si>
    <t>Foreign Market</t>
  </si>
  <si>
    <t xml:space="preserve">Consolidated Total </t>
  </si>
  <si>
    <t>Beef - South America</t>
  </si>
  <si>
    <t>Poultry, pork and processed products - BRF</t>
  </si>
  <si>
    <t>Corporate</t>
  </si>
  <si>
    <t>Segment Totals</t>
  </si>
  <si>
    <t>Total Revenue</t>
  </si>
  <si>
    <t>4Q</t>
  </si>
  <si>
    <t>Expenses related to the restructuring and merger with BRF</t>
  </si>
  <si>
    <t>Hyperinflation</t>
  </si>
  <si>
    <t>Revenue Breakdown (Reais millions)</t>
  </si>
  <si>
    <t>Beef</t>
  </si>
  <si>
    <t xml:space="preserve">    Fresh</t>
  </si>
  <si>
    <t xml:space="preserve">           Domestic Market</t>
  </si>
  <si>
    <t xml:space="preserve">           Export Market</t>
  </si>
  <si>
    <t xml:space="preserve">    Processed</t>
  </si>
  <si>
    <t xml:space="preserve">    Other</t>
  </si>
  <si>
    <t>Keystone Foods</t>
  </si>
  <si>
    <t xml:space="preserve">       USA</t>
  </si>
  <si>
    <t xml:space="preserve">       ASIA</t>
  </si>
  <si>
    <t>Consolidated</t>
  </si>
  <si>
    <t>Fresh</t>
  </si>
  <si>
    <t>Processed</t>
  </si>
  <si>
    <t>Other</t>
  </si>
  <si>
    <t>Volume Breakdown</t>
  </si>
  <si>
    <t>Average price Breakdown</t>
  </si>
  <si>
    <t>Beef (R$ MILLION)</t>
  </si>
  <si>
    <t>Net Revenue</t>
  </si>
  <si>
    <t xml:space="preserve">    % Adjusted EBITDA Margin</t>
  </si>
  <si>
    <t>KEYSTONE (US$ MILLION)</t>
  </si>
  <si>
    <t>New KPIs post disposal of KeyStone and Acqusition of National Beef</t>
  </si>
  <si>
    <t>PF revenues (R$, million)</t>
  </si>
  <si>
    <t>Primary Processing (‘000 head)</t>
  </si>
  <si>
    <t>Revenue by currency (%) – R$ million</t>
  </si>
  <si>
    <t>China/ HongKong</t>
  </si>
  <si>
    <t>Europe</t>
  </si>
  <si>
    <t>Asia/ Oceania</t>
  </si>
  <si>
    <t xml:space="preserve">Revenue by region </t>
  </si>
  <si>
    <t>North America (R$ million)</t>
  </si>
  <si>
    <t>South America (R$ million)</t>
  </si>
  <si>
    <t>Total Revenue (R$ million)</t>
  </si>
  <si>
    <t>North America (US$ million)</t>
  </si>
  <si>
    <t>Beef Primary Processing Units, geography wise</t>
  </si>
  <si>
    <t>Effective Processing  Capacity (/day), geography wise</t>
  </si>
  <si>
    <t>Further Processing Units. Geography wise</t>
  </si>
  <si>
    <t>Beef patty production capacity (ton/year)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</si>
</sst>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9">
    <numFmt numFmtId="5" formatCode="&quot;$&quot;#,##0_);\(&quot;$&quot;#,##0\)"/>
    <numFmt numFmtId="6" formatCode="&quot;$&quot;#,##0_);[Red]\(&quot;$&quot;#,##0\)"/>
    <numFmt numFmtId="7" formatCode="&quot;$&quot;#,##0.00_);\(&quot;$&quot;#,##0.00\)"/>
    <numFmt numFmtId="8" formatCode="&quot;$&quot;#,##0.00_);[Red]\(&quot;$&quot;#,##0.0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00_-;\-* #,##0.00_-;_-* &quot;-&quot;??_-;_-@_-"/>
    <numFmt numFmtId="165" formatCode="#,##0.0_);\(#,##0.0\)"/>
    <numFmt numFmtId="166" formatCode="#0.0%_);\(#0.0%\)"/>
    <numFmt numFmtId="167" formatCode="#0.00\x"/>
    <numFmt numFmtId="168" formatCode="mmm\ yyyy"/>
    <numFmt numFmtId="169" formatCode="0.0%"/>
    <numFmt numFmtId="170" formatCode="_(* #,##0.0_);_(* \(#,##0.0\);_(* &quot;-&quot;??_);_(@_)"/>
    <numFmt numFmtId="171" formatCode="_(* #,##0.000_);_(* \(#,##0.000\);_(* &quot;-&quot;??_);_(@_)"/>
    <numFmt numFmtId="172" formatCode="_(* #,##0_);_(* \(#,##0\);_(* &quot;-&quot;??_);_(@_)"/>
    <numFmt numFmtId="173" formatCode="#,##0.0\ ;\(#,##0.0\)"/>
    <numFmt numFmtId="174" formatCode="&quot;$&quot;#,##0.00_)&quot;per share&quot;;\(&quot;$&quot;#,##0.00\)&quot; per share&quot;"/>
    <numFmt numFmtId="175" formatCode="0.0_)\%;\(0.0\)\%;0.0_)\%;@_)_%"/>
    <numFmt numFmtId="176" formatCode="#,##0.0_)_%;\(#,##0.0\)_%;0.0_)_%;@_)_%"/>
    <numFmt numFmtId="177" formatCode="#,##0.0_);\(#,##0.0\);#,##0.0_);@_)"/>
    <numFmt numFmtId="178" formatCode="&quot;$&quot;_(#,##0.00_);&quot;$&quot;\(#,##0.00\);&quot;$&quot;_(0.00_);@_)"/>
    <numFmt numFmtId="179" formatCode="&quot;$&quot;_(#,##0.00_);&quot;$&quot;\(#,##0.00\)"/>
    <numFmt numFmtId="180" formatCode="#,##0.00_);\(#,##0.00\);0.00_);@_)"/>
    <numFmt numFmtId="181" formatCode="\€_(#,##0.00_);\€\(#,##0.00\);\€_(0.00_);@_)"/>
    <numFmt numFmtId="182" formatCode="#,##0_)\x;\(#,##0\)\x;0_)\x;@_)_x"/>
    <numFmt numFmtId="183" formatCode="#,##0.0_)\x;\(#,##0.0\)\x"/>
    <numFmt numFmtId="184" formatCode="#,##0_)_x;\(#,##0\)_x;0_)_x;@_)_x"/>
    <numFmt numFmtId="185" formatCode="#,##0.0_)_x;\(#,##0.0\)_x"/>
    <numFmt numFmtId="186" formatCode="0.0_)\%;\(0.0\)\%"/>
    <numFmt numFmtId="187" formatCode="#,##0.0_)_%;\(#,##0.0\)_%"/>
    <numFmt numFmtId="188" formatCode="_(\£* #,##0_);_(\£* \(#,##0\);_(\£* &quot;-&quot;_);_(@_)"/>
    <numFmt numFmtId="189" formatCode="_(\£* #,##0.0_);_(\£* \(#,##0.0\);_(\£* &quot;-&quot;_);_(@_)"/>
    <numFmt numFmtId="190" formatCode="_(\£* #,##0.00_);_(\£* \(#,##0.00\);_(\£* &quot;-&quot;_);_(@_)"/>
    <numFmt numFmtId="191" formatCode="_(* #,##0\p_);_(* \(#,##0\p\);_(* &quot;-&quot;\ \p_);_(@_)"/>
    <numFmt numFmtId="192" formatCode="_(* #,##0.00\p_);_(* \(#,##0.00\p\);_(* &quot;-&quot;\ \p_);_(@_)"/>
    <numFmt numFmtId="193" formatCode="\£#,##0.00"/>
    <numFmt numFmtId="194" formatCode="&quot;$&quot;&quot; &quot;#,##0_);\(&quot;$&quot;&quot; &quot;#,##0\);\-_)"/>
    <numFmt numFmtId="195" formatCode="#,##0_);\(#,##0\);\-_)"/>
    <numFmt numFmtId="196" formatCode="&quot;$&quot;#,##0_);[Red]\(&quot;$&quot;#,##0\);&quot;-&quot;"/>
    <numFmt numFmtId="197" formatCode="[Blue]0.0%;[Blue]\-0.0%"/>
    <numFmt numFmtId="198" formatCode="\£#,##0_);\(\£#,##0\)"/>
    <numFmt numFmtId="199" formatCode="&quot;fl&quot;#,##0_);\(&quot;fl&quot;#,##0\)"/>
    <numFmt numFmtId="200" formatCode="&quot;$&quot;\ #,##0_);\(&quot;$&quot;\ #,##0\)"/>
    <numFmt numFmtId="201" formatCode="_(&quot;R$&quot;* #,##0.00_);_(&quot;R$&quot;* \(#,##0.00\);_(&quot;R$&quot;* &quot;-&quot;??_);_(@_)"/>
    <numFmt numFmtId="202" formatCode="0.0\x;[Red]\(0.0\x\)"/>
    <numFmt numFmtId="203" formatCode="#,##0.0_);\(#,##0.0\);&quot;—&quot;_)"/>
    <numFmt numFmtId="204" formatCode="&quot;$&quot;#,##0.0_);\(&quot;$&quot;#,##0.0\);&quot;—&quot;_)"/>
    <numFmt numFmtId="205" formatCode="0.000000000%"/>
    <numFmt numFmtId="206" formatCode="#,##0.0000"/>
    <numFmt numFmtId="207" formatCode="mm/dd/yy"/>
    <numFmt numFmtId="208" formatCode="&quot;$&quot;#,##0.00"/>
    <numFmt numFmtId="209" formatCode="_([$€-2]* #,##0.00_);_([$€-2]* \(#,##0.00\);_([$€-2]* &quot;-&quot;??_)"/>
    <numFmt numFmtId="210" formatCode="#&quot; mon&quot;"/>
    <numFmt numFmtId="211" formatCode="#,##0\ &quot;F&quot;;[Red]\-#,##0\ &quot;F&quot;"/>
    <numFmt numFmtId="212" formatCode="#,##0.00\ &quot;F&quot;;[Red]\-#,##0.00\ &quot;F&quot;"/>
    <numFmt numFmtId="213" formatCode="#,##0.0\x_)_);\(#,##0.0\x\)_);#,##0.0\x_)_);@_%_)"/>
    <numFmt numFmtId="214" formatCode="_(* #,##0.00\ ___);_(* \(#,##0.00\ __\);_(* &quot;-&quot;??_);_(@_)"/>
    <numFmt numFmtId="215" formatCode="0%\);[Red]\(0%"/>
    <numFmt numFmtId="216" formatCode="_(* #,##0\ ___);_(* \(#,##0\ __\);_(* &quot;-&quot;??_);_(@_)"/>
    <numFmt numFmtId="217" formatCode="_(* #,##0\ \x_);_(* \(#,##0\ \x\);_(* &quot;-&quot;??_);_(@_)"/>
    <numFmt numFmtId="218" formatCode="0%_);[Red]\(0%\)"/>
    <numFmt numFmtId="219" formatCode="_(* #,##0.0\ ___);_(* \(#,##0.0\ __\);_(* &quot;-&quot;??_);_(@_)"/>
    <numFmt numFmtId="220" formatCode="_(* #,##0.0\ \x_);_(* \(#,##0.0\ \x\);_(* &quot;-&quot;??_);_(@_)"/>
    <numFmt numFmtId="221" formatCode="#,##0&quot; F&quot;_);\(#,##0&quot; F&quot;\)"/>
    <numFmt numFmtId="222" formatCode="_(* #,##0.00_);_(* \(\ #,##0.00\ \);_(* &quot;&quot;??_);_(\ @_ \)"/>
    <numFmt numFmtId="223" formatCode="0.00_)"/>
    <numFmt numFmtId="224" formatCode="_(* #,##0.0_);_(* \(#,##0.0\);_(* &quot;-&quot;?_);_(@_)"/>
    <numFmt numFmtId="225" formatCode="0.00%\ &quot;Ramped&quot;\ "/>
    <numFmt numFmtId="226" formatCode="0.00%\ &quot;Ramped&quot;"/>
    <numFmt numFmtId="227" formatCode="0.0000"/>
    <numFmt numFmtId="228" formatCode="0.000"/>
    <numFmt numFmtId="229" formatCode="&quot;Diversity =&quot;\ #.0"/>
    <numFmt numFmtId="230" formatCode="&quot;Ratings Factor =&quot;\ #"/>
    <numFmt numFmtId="231" formatCode="&quot;Page &quot;0"/>
    <numFmt numFmtId="232" formatCode="&quot;\&quot;#,##0.00;[Red]\-&quot;\&quot;#,##0.00"/>
    <numFmt numFmtId="233" formatCode="0.0_%"/>
    <numFmt numFmtId="234" formatCode="_(0.0%;_(* \(0.0\)%"/>
    <numFmt numFmtId="235" formatCode="_(* #,##0.0000_);_(* \(#,##0.0000\);_(* &quot;-&quot;??_);_(@_)"/>
    <numFmt numFmtId="236" formatCode="0&quot; bps&quot;"/>
    <numFmt numFmtId="237" formatCode="&quot;WAS =&quot;\ #.00"/>
    <numFmt numFmtId="238" formatCode="&quot;Avg. Px.=&quot;#.00"/>
    <numFmt numFmtId="239" formatCode="&quot;WAL=&quot;#.00"/>
    <numFmt numFmtId="240" formatCode="#.00\ &quot;years&quot;"/>
    <numFmt numFmtId="241" formatCode="&quot;2nd Lien=&quot;#"/>
    <numFmt numFmtId="242" formatCode="&quot;WAPP=&quot;#.00"/>
    <numFmt numFmtId="243" formatCode="&quot;WAS=&quot;#.00"/>
    <numFmt numFmtId="244" formatCode="&quot;WAC=&quot;#.00"/>
    <numFmt numFmtId="245" formatCode="&quot;$&quot;#,##0.0_);\(&quot;$&quot;#,##0.0\)"/>
    <numFmt numFmtId="246" formatCode="#,###,;\(#,###,\)"/>
    <numFmt numFmtId="247" formatCode="000\-00\-0000"/>
    <numFmt numFmtId="248" formatCode="&quot;$&quot;#,##0.0000"/>
    <numFmt numFmtId="249" formatCode="&quot;$&quot;#,##0.000000"/>
    <numFmt numFmtId="250" formatCode="&quot;$&quot;#,##0.000"/>
    <numFmt numFmtId="251" formatCode="000000000"/>
    <numFmt numFmtId="252" formatCode="000"/>
    <numFmt numFmtId="253" formatCode="hh:mm\ AM/PM_)"/>
    <numFmt numFmtId="254" formatCode="#.0&quot;x&quot;"/>
    <numFmt numFmtId="255" formatCode="yyyy"/>
    <numFmt numFmtId="256" formatCode="\¥#,##0_);\(\¥#,##0\)"/>
    <numFmt numFmtId="257" formatCode="#0.0\x"/>
    <numFmt numFmtId="258" formatCode="0.0\x"/>
    <numFmt numFmtId="259" formatCode="0.0"/>
    <numFmt numFmtId="260" formatCode="#,##0.00000_);\(#,##0.00000\)"/>
    <numFmt numFmtId="261" formatCode="#,##0.000_);\(#,##0.000\)"/>
    <numFmt numFmtId="262" formatCode="0.0_);[Red]\(0.0\)"/>
    <numFmt numFmtId="263" formatCode="0.00\x"/>
    <numFmt numFmtId="264" formatCode="0_);[Red]\(0\)"/>
  </numFmts>
  <fonts count="133">
    <font>
      <sz val="10"/>
      <name val="Arial"/>
      <family val="2"/>
    </font>
    <font>
      <sz val="10"/>
      <name val="Arial"/>
      <family val="2"/>
    </font>
    <font>
      <sz val="8"/>
      <name val="Arial"/>
      <family val="2"/>
    </font>
    <font>
      <sz val="10"/>
      <color indexed="12"/>
      <name val="Arial"/>
      <family val="2"/>
    </font>
    <font>
      <sz val="10"/>
      <color indexed="8"/>
      <name val="Arial"/>
      <family val="2"/>
    </font>
    <font>
      <b/>
      <sz val="10"/>
      <name val="Arial"/>
      <family val="2"/>
    </font>
    <font>
      <sz val="10"/>
      <name val="Arial"/>
      <family val="2"/>
    </font>
    <font>
      <b/>
      <i/>
      <sz val="9"/>
      <name val="Arial"/>
      <family val="2"/>
    </font>
    <font>
      <b/>
      <u val="singleAccounting"/>
      <sz val="8"/>
      <color indexed="8"/>
      <name val="Arial"/>
      <family val="2"/>
    </font>
    <font>
      <sz val="1"/>
      <color indexed="9"/>
      <name val="Symbol"/>
      <family val="1"/>
    </font>
    <font>
      <b/>
      <u val="singleAccounting"/>
      <sz val="8"/>
      <color indexed="8"/>
      <name val="Verdana"/>
      <family val="2"/>
    </font>
    <font>
      <b/>
      <sz val="10"/>
      <color indexed="9"/>
      <name val="Arial"/>
      <family val="2"/>
    </font>
    <font>
      <b/>
      <sz val="12"/>
      <color indexed="8"/>
      <name val="Verdana"/>
      <family val="2"/>
    </font>
    <font>
      <b/>
      <sz val="8"/>
      <color indexed="9"/>
      <name val="Verdana"/>
      <family val="2"/>
    </font>
    <font>
      <vertAlign val="subscript"/>
      <sz val="8"/>
      <color indexed="8"/>
      <name val="Arial"/>
      <family val="2"/>
    </font>
    <font>
      <vertAlign val="superscript"/>
      <sz val="8"/>
      <color indexed="8"/>
      <name val="Arial"/>
      <family val="2"/>
    </font>
    <font>
      <b/>
      <sz val="8"/>
      <color indexed="8"/>
      <name val="Arial"/>
      <family val="2"/>
    </font>
    <font>
      <i/>
      <sz val="8"/>
      <color indexed="8"/>
      <name val="Arial"/>
      <family val="2"/>
    </font>
    <font>
      <sz val="8"/>
      <color indexed="8"/>
      <name val="Arial"/>
      <family val="2"/>
    </font>
    <font>
      <b/>
      <sz val="13"/>
      <color indexed="8"/>
      <name val="Verdana"/>
      <family val="2"/>
    </font>
    <font>
      <b/>
      <sz val="8"/>
      <name val="Arial"/>
      <family val="2"/>
    </font>
    <font>
      <u val="singleAccounting"/>
      <sz val="10"/>
      <name val="Arial"/>
      <family val="2"/>
    </font>
    <font>
      <sz val="10"/>
      <name val="Times New Roman"/>
      <family val="1"/>
    </font>
    <font>
      <b/>
      <sz val="10"/>
      <name val="Times New Roman"/>
      <family val="1"/>
    </font>
    <font>
      <b/>
      <sz val="10"/>
      <color indexed="12"/>
      <name val="Times New Roman"/>
      <family val="1"/>
    </font>
    <font>
      <i/>
      <sz val="10"/>
      <name val="Times New Roman"/>
      <family val="1"/>
    </font>
    <font>
      <sz val="9"/>
      <name val="Arial"/>
      <family val="2"/>
    </font>
    <font>
      <sz val="8"/>
      <name val="Times New Roman"/>
      <family val="1"/>
    </font>
    <font>
      <b/>
      <sz val="22"/>
      <color indexed="18"/>
      <name val="Arial"/>
      <family val="2"/>
    </font>
    <font>
      <b/>
      <sz val="14"/>
      <color indexed="18"/>
      <name val="Arial"/>
      <family val="2"/>
    </font>
    <font>
      <sz val="9"/>
      <color indexed="8"/>
      <name val="Arial"/>
      <family val="2"/>
    </font>
    <font>
      <b/>
      <sz val="10"/>
      <color indexed="18"/>
      <name val="Arial"/>
      <family val="2"/>
    </font>
    <font>
      <b/>
      <u val="singleAccounting"/>
      <sz val="10"/>
      <color indexed="18"/>
      <name val="Arial"/>
      <family val="2"/>
    </font>
    <font>
      <sz val="8"/>
      <color indexed="8"/>
      <name val="Times New Roman"/>
      <family val="1"/>
    </font>
    <font>
      <sz val="8"/>
      <color indexed="14"/>
      <name val="Times New Roman"/>
      <family val="1"/>
    </font>
    <font>
      <sz val="10"/>
      <name val="Book Antiqua"/>
      <family val="1"/>
    </font>
    <font>
      <sz val="8"/>
      <name val="Times"/>
      <family val="1"/>
    </font>
    <font>
      <b/>
      <sz val="12"/>
      <name val="Times"/>
      <family val="1"/>
    </font>
    <font>
      <sz val="12"/>
      <name val="Arial"/>
      <family val="2"/>
    </font>
    <font>
      <sz val="10"/>
      <color indexed="8"/>
      <name val="Times New Roman"/>
      <family val="1"/>
    </font>
    <font>
      <sz val="8"/>
      <color indexed="12"/>
      <name val="Times"/>
      <family val="1"/>
    </font>
    <font>
      <sz val="8"/>
      <name val="Helv"/>
    </font>
    <font>
      <sz val="12"/>
      <name val="Times"/>
      <family val="1"/>
    </font>
    <font>
      <b/>
      <i/>
      <sz val="10"/>
      <name val="Arial"/>
      <family val="2"/>
    </font>
    <font>
      <b/>
      <i/>
      <sz val="12"/>
      <name val="Times New Roman"/>
      <family val="1"/>
    </font>
    <font>
      <b/>
      <u/>
      <sz val="8"/>
      <color indexed="8"/>
      <name val="Times New Roman"/>
      <family val="1"/>
    </font>
    <font>
      <b/>
      <sz val="9"/>
      <color indexed="8"/>
      <name val="Times New Roman"/>
      <family val="1"/>
    </font>
    <font>
      <i/>
      <sz val="8"/>
      <name val="Arial"/>
      <family val="2"/>
    </font>
    <font>
      <b/>
      <i/>
      <sz val="8"/>
      <name val="Arial"/>
      <family val="2"/>
    </font>
    <font>
      <b/>
      <sz val="8"/>
      <name val="Book Antiqua"/>
      <family val="1"/>
    </font>
    <font>
      <sz val="14"/>
      <name val="Arial"/>
      <family val="2"/>
    </font>
    <font>
      <sz val="8"/>
      <color indexed="12"/>
      <name val="Times New Roman"/>
      <family val="1"/>
    </font>
    <font>
      <b/>
      <sz val="14"/>
      <name val="Book Antiqua"/>
      <family val="1"/>
    </font>
    <font>
      <sz val="10"/>
      <name val="MS Serif"/>
      <family val="1"/>
    </font>
    <font>
      <sz val="10"/>
      <name val="MS Sans Serif"/>
      <family val="2"/>
    </font>
    <font>
      <sz val="12"/>
      <name val="Times New Roman"/>
      <family val="1"/>
    </font>
    <font>
      <u val="doubleAccounting"/>
      <sz val="10"/>
      <name val="Arial"/>
      <family val="2"/>
    </font>
    <font>
      <sz val="10"/>
      <color indexed="16"/>
      <name val="MS Serif"/>
      <family val="1"/>
    </font>
    <font>
      <b/>
      <i/>
      <sz val="9"/>
      <color indexed="4"/>
      <name val="Times New Roman"/>
      <family val="1"/>
    </font>
    <font>
      <sz val="7"/>
      <name val="Arial"/>
      <family val="2"/>
    </font>
    <font>
      <b/>
      <sz val="14"/>
      <name val="Arial"/>
      <family val="2"/>
    </font>
    <font>
      <u/>
      <sz val="8"/>
      <name val="Times New Roman"/>
      <family val="1"/>
    </font>
    <font>
      <b/>
      <sz val="12"/>
      <color indexed="9"/>
      <name val="Times"/>
      <family val="1"/>
    </font>
    <font>
      <b/>
      <i/>
      <sz val="18"/>
      <color indexed="4"/>
      <name val="Times New Roman"/>
      <family val="1"/>
    </font>
    <font>
      <b/>
      <sz val="12"/>
      <name val="Arial"/>
      <family val="2"/>
    </font>
    <font>
      <b/>
      <sz val="8"/>
      <name val="Palatino"/>
      <family val="1"/>
    </font>
    <font>
      <b/>
      <sz val="9"/>
      <name val="Arial"/>
      <family val="2"/>
    </font>
    <font>
      <b/>
      <sz val="8"/>
      <name val="MS Sans Serif"/>
      <family val="2"/>
    </font>
    <font>
      <b/>
      <i/>
      <sz val="10"/>
      <name val="Times New Roman"/>
      <family val="1"/>
    </font>
    <font>
      <b/>
      <sz val="10"/>
      <name val="Palatino"/>
      <family val="1"/>
    </font>
    <font>
      <sz val="8"/>
      <name val="Book Antiqua"/>
      <family val="1"/>
    </font>
    <font>
      <sz val="10"/>
      <name val="Geneva"/>
      <family val="2"/>
    </font>
    <font>
      <i/>
      <sz val="7"/>
      <name val="Book Antiqua"/>
      <family val="1"/>
    </font>
    <font>
      <sz val="8"/>
      <name val="Palatino"/>
      <family val="1"/>
    </font>
    <font>
      <b/>
      <i/>
      <sz val="16"/>
      <name val="Helv"/>
    </font>
    <font>
      <sz val="10"/>
      <color indexed="12"/>
      <name val="Times New Roman"/>
      <family val="1"/>
    </font>
    <font>
      <b/>
      <sz val="11"/>
      <name val="Times New Roman"/>
      <family val="1"/>
    </font>
    <font>
      <sz val="11"/>
      <name val="Times New Roman"/>
      <family val="1"/>
    </font>
    <font>
      <b/>
      <u/>
      <sz val="10"/>
      <color indexed="12"/>
      <name val="Times New Roman"/>
      <family val="1"/>
    </font>
    <font>
      <b/>
      <sz val="12"/>
      <name val="Times New Roman"/>
      <family val="1"/>
    </font>
    <font>
      <b/>
      <sz val="15"/>
      <name val="Times New Roman"/>
      <family val="1"/>
    </font>
    <font>
      <sz val="8"/>
      <color indexed="72"/>
      <name val="Arial"/>
      <family val="2"/>
    </font>
    <font>
      <sz val="11"/>
      <color indexed="8"/>
      <name val="Times New Roman"/>
      <family val="1"/>
    </font>
    <font>
      <b/>
      <i/>
      <sz val="11"/>
      <color indexed="8"/>
      <name val="Times New Roman"/>
      <family val="1"/>
    </font>
    <font>
      <b/>
      <sz val="11"/>
      <color indexed="16"/>
      <name val="Times New Roman"/>
      <family val="1"/>
    </font>
    <font>
      <u/>
      <sz val="8"/>
      <name val="Book Antiqua"/>
      <family val="1"/>
    </font>
    <font>
      <sz val="9"/>
      <name val="Times New Roman"/>
      <family val="1"/>
    </font>
    <font>
      <b/>
      <sz val="9"/>
      <name val="Times New Roman"/>
      <family val="1"/>
    </font>
    <font>
      <sz val="12"/>
      <name val="Arial MT"/>
    </font>
    <font>
      <b/>
      <sz val="10"/>
      <color indexed="8"/>
      <name val="Arial Narrow"/>
      <family val="2"/>
    </font>
    <font>
      <b/>
      <sz val="10"/>
      <name val="MS Sans Serif"/>
      <family val="2"/>
    </font>
    <font>
      <sz val="7"/>
      <color indexed="12"/>
      <name val="Arial"/>
      <family val="2"/>
    </font>
    <font>
      <sz val="8"/>
      <name val="Wingdings"/>
      <charset val="2"/>
    </font>
    <font>
      <sz val="9"/>
      <color indexed="8"/>
      <name val="Times New Roman"/>
      <family val="1"/>
    </font>
    <font>
      <sz val="8"/>
      <name val="MS Sans Serif"/>
      <family val="2"/>
    </font>
    <font>
      <b/>
      <sz val="8"/>
      <color indexed="10"/>
      <name val="Times New Roman"/>
      <family val="1"/>
    </font>
    <font>
      <b/>
      <sz val="8"/>
      <color indexed="8"/>
      <name val="Helv"/>
    </font>
    <font>
      <b/>
      <sz val="14"/>
      <color indexed="8"/>
      <name val="Times New Roman"/>
      <family val="1"/>
    </font>
    <font>
      <b/>
      <u/>
      <sz val="14"/>
      <name val="Book Antiqua"/>
      <family val="1"/>
    </font>
    <font>
      <b/>
      <sz val="10"/>
      <name val="Book Antiqua"/>
      <family val="1"/>
    </font>
    <font>
      <b/>
      <sz val="7"/>
      <name val="Arial"/>
      <family val="2"/>
    </font>
    <font>
      <b/>
      <sz val="7"/>
      <color indexed="12"/>
      <name val="Arial"/>
      <family val="2"/>
    </font>
    <font>
      <b/>
      <u/>
      <sz val="10"/>
      <name val="Book Antiqua"/>
      <family val="1"/>
    </font>
    <font>
      <b/>
      <sz val="8"/>
      <name val="Times New Roman"/>
      <family val="1"/>
    </font>
    <font>
      <sz val="9"/>
      <color indexed="81"/>
      <name val="Tahoma"/>
      <family val="2"/>
    </font>
    <font>
      <b/>
      <sz val="9"/>
      <color indexed="81"/>
      <name val="Tahoma"/>
      <family val="2"/>
    </font>
    <font>
      <b/>
      <sz val="11"/>
      <color indexed="9"/>
      <name val="Calibri"/>
      <family val="2"/>
    </font>
    <font>
      <sz val="9"/>
      <color indexed="81"/>
      <name val="Tahoma"/>
      <charset val="1"/>
    </font>
    <font>
      <b/>
      <sz val="9"/>
      <color indexed="81"/>
      <name val="Tahoma"/>
      <charset val="1"/>
    </font>
    <font>
      <sz val="10"/>
      <name val="Calibri"/>
      <family val="2"/>
      <scheme val="minor"/>
    </font>
    <font>
      <b/>
      <sz val="10"/>
      <color indexed="9"/>
      <name val="Calibri"/>
      <family val="2"/>
      <scheme val="minor"/>
    </font>
    <font>
      <b/>
      <sz val="10"/>
      <color indexed="12"/>
      <name val="Calibri"/>
      <family val="2"/>
      <scheme val="minor"/>
    </font>
    <font>
      <sz val="10"/>
      <color indexed="12"/>
      <name val="Calibri"/>
      <family val="2"/>
      <scheme val="minor"/>
    </font>
    <font>
      <b/>
      <sz val="10"/>
      <name val="Calibri"/>
      <family val="2"/>
      <scheme val="minor"/>
    </font>
    <font>
      <b/>
      <u/>
      <sz val="16"/>
      <name val="Calibri"/>
      <family val="2"/>
      <scheme val="minor"/>
    </font>
    <font>
      <i/>
      <sz val="10"/>
      <name val="Calibri"/>
      <family val="2"/>
      <scheme val="minor"/>
    </font>
    <font>
      <i/>
      <sz val="10"/>
      <color indexed="8"/>
      <name val="Calibri"/>
      <family val="2"/>
      <scheme val="minor"/>
    </font>
    <font>
      <sz val="10"/>
      <color rgb="FFFF0000"/>
      <name val="Calibri"/>
      <family val="2"/>
      <scheme val="minor"/>
    </font>
    <font>
      <b/>
      <sz val="10"/>
      <color indexed="8"/>
      <name val="Calibri"/>
      <family val="2"/>
      <scheme val="minor"/>
    </font>
    <font>
      <b/>
      <sz val="10"/>
      <color rgb="FFFF0000"/>
      <name val="Calibri"/>
      <family val="2"/>
      <scheme val="minor"/>
    </font>
    <font>
      <i/>
      <sz val="10"/>
      <color rgb="FF0000FF"/>
      <name val="Calibri"/>
      <family val="2"/>
      <scheme val="minor"/>
    </font>
    <font>
      <i/>
      <sz val="10"/>
      <color rgb="FFFF0000"/>
      <name val="Calibri"/>
      <family val="2"/>
      <scheme val="minor"/>
    </font>
    <font>
      <sz val="10"/>
      <color rgb="FF0000FF"/>
      <name val="Calibri"/>
      <family val="2"/>
      <scheme val="minor"/>
    </font>
    <font>
      <b/>
      <sz val="10"/>
      <color rgb="FF0000FF"/>
      <name val="Calibri"/>
      <family val="2"/>
      <scheme val="minor"/>
    </font>
    <font>
      <i/>
      <sz val="8"/>
      <color rgb="FFFF0000"/>
      <name val="Calibri"/>
      <family val="2"/>
      <scheme val="minor"/>
    </font>
    <font>
      <sz val="10"/>
      <color theme="1"/>
      <name val="Calibri"/>
      <family val="2"/>
      <scheme val="minor"/>
    </font>
    <font>
      <b/>
      <sz val="10"/>
      <color theme="1"/>
      <name val="Calibri"/>
      <family val="2"/>
      <scheme val="minor"/>
    </font>
    <font>
      <b/>
      <i/>
      <sz val="10"/>
      <color indexed="8"/>
      <name val="Calibri"/>
      <family val="2"/>
      <scheme val="minor"/>
    </font>
    <font>
      <b/>
      <sz val="8"/>
      <name val="Calibri"/>
      <family val="2"/>
      <scheme val="minor"/>
    </font>
    <font>
      <i/>
      <sz val="8"/>
      <color indexed="8"/>
      <name val="Calibri"/>
      <family val="2"/>
      <scheme val="minor"/>
    </font>
    <font>
      <b/>
      <i/>
      <sz val="10"/>
      <name val="Calibri"/>
      <family val="2"/>
      <scheme val="minor"/>
    </font>
    <font>
      <i/>
      <sz val="10"/>
      <color indexed="12"/>
      <name val="Calibri"/>
      <family val="2"/>
      <scheme val="minor"/>
    </font>
    <font>
      <sz val="8"/>
      <color indexed="12"/>
      <name val="Calibri"/>
      <family val="2"/>
      <scheme val="minor"/>
    </font>
  </fonts>
  <fills count="36">
    <fill>
      <patternFill patternType="none"/>
    </fill>
    <fill>
      <patternFill patternType="gray125"/>
    </fill>
    <fill>
      <patternFill patternType="solid">
        <fgColor indexed="43"/>
      </patternFill>
    </fill>
    <fill>
      <patternFill patternType="solid">
        <fgColor indexed="44"/>
      </patternFill>
    </fill>
    <fill>
      <patternFill patternType="lightGray">
        <fgColor indexed="15"/>
      </patternFill>
    </fill>
    <fill>
      <patternFill patternType="solid">
        <fgColor indexed="60"/>
        <bgColor indexed="64"/>
      </patternFill>
    </fill>
    <fill>
      <patternFill patternType="solid">
        <fgColor indexed="22"/>
        <bgColor indexed="64"/>
      </patternFill>
    </fill>
    <fill>
      <patternFill patternType="solid">
        <fgColor indexed="55"/>
        <bgColor indexed="64"/>
      </patternFill>
    </fill>
    <fill>
      <patternFill patternType="solid">
        <fgColor indexed="65"/>
        <bgColor indexed="64"/>
      </patternFill>
    </fill>
    <fill>
      <patternFill patternType="solid">
        <fgColor indexed="26"/>
        <bgColor indexed="64"/>
      </patternFill>
    </fill>
    <fill>
      <patternFill patternType="solid">
        <fgColor indexed="62"/>
        <bgColor indexed="64"/>
      </patternFill>
    </fill>
    <fill>
      <patternFill patternType="solid">
        <fgColor indexed="63"/>
        <bgColor indexed="64"/>
      </patternFill>
    </fill>
    <fill>
      <patternFill patternType="solid">
        <fgColor indexed="13"/>
        <bgColor indexed="64"/>
      </patternFill>
    </fill>
    <fill>
      <patternFill patternType="solid">
        <fgColor indexed="43"/>
        <bgColor indexed="64"/>
      </patternFill>
    </fill>
    <fill>
      <patternFill patternType="solid">
        <fgColor indexed="52"/>
        <bgColor indexed="64"/>
      </patternFill>
    </fill>
    <fill>
      <patternFill patternType="solid">
        <fgColor indexed="9"/>
        <bgColor indexed="64"/>
      </patternFill>
    </fill>
    <fill>
      <patternFill patternType="solid">
        <fgColor indexed="42"/>
        <bgColor indexed="64"/>
      </patternFill>
    </fill>
    <fill>
      <patternFill patternType="solid">
        <fgColor indexed="41"/>
        <bgColor indexed="64"/>
      </patternFill>
    </fill>
    <fill>
      <patternFill patternType="solid">
        <fgColor indexed="44"/>
        <bgColor indexed="64"/>
      </patternFill>
    </fill>
    <fill>
      <patternFill patternType="solid">
        <fgColor indexed="50"/>
        <bgColor indexed="64"/>
      </patternFill>
    </fill>
    <fill>
      <patternFill patternType="mediumGray">
        <fgColor indexed="22"/>
      </patternFill>
    </fill>
    <fill>
      <patternFill patternType="darkVertical"/>
    </fill>
    <fill>
      <patternFill patternType="solid">
        <fgColor indexed="56"/>
        <bgColor indexed="64"/>
      </patternFill>
    </fill>
    <fill>
      <patternFill patternType="solid">
        <fgColor indexed="15"/>
        <bgColor indexed="64"/>
      </patternFill>
    </fill>
    <fill>
      <patternFill patternType="lightGray">
        <fgColor indexed="13"/>
      </patternFill>
    </fill>
    <fill>
      <patternFill patternType="solid">
        <fgColor rgb="FF4F81BD"/>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
      <patternFill patternType="solid">
        <fgColor theme="7" tint="0.79998168889431442"/>
        <bgColor indexed="64"/>
      </patternFill>
    </fill>
    <fill>
      <patternFill patternType="solid">
        <fgColor theme="3" tint="0.79998168889431442"/>
        <bgColor indexed="64"/>
      </patternFill>
    </fill>
    <fill>
      <patternFill patternType="solid">
        <fgColor theme="0" tint="-0.14999847407452621"/>
        <bgColor indexed="64"/>
      </patternFill>
    </fill>
    <fill>
      <patternFill patternType="solid">
        <fgColor theme="7" tint="0.59999389629810485"/>
        <bgColor indexed="64"/>
      </patternFill>
    </fill>
    <fill>
      <patternFill patternType="solid">
        <fgColor theme="9" tint="0.79998168889431442"/>
        <bgColor indexed="64"/>
      </patternFill>
    </fill>
    <fill>
      <patternFill patternType="solid">
        <fgColor theme="6" tint="0.79998168889431442"/>
        <bgColor indexed="64"/>
      </patternFill>
    </fill>
  </fills>
  <borders count="53">
    <border>
      <left/>
      <right/>
      <top/>
      <bottom/>
      <diagonal/>
    </border>
    <border>
      <left/>
      <right/>
      <top style="hair">
        <color indexed="8"/>
      </top>
      <bottom style="hair">
        <color indexed="8"/>
      </bottom>
      <diagonal/>
    </border>
    <border>
      <left/>
      <right/>
      <top/>
      <bottom style="medium">
        <color indexed="18"/>
      </bottom>
      <diagonal/>
    </border>
    <border>
      <left/>
      <right/>
      <top/>
      <bottom style="thin">
        <color indexed="64"/>
      </bottom>
      <diagonal/>
    </border>
    <border>
      <left/>
      <right/>
      <top style="thin">
        <color indexed="8"/>
      </top>
      <bottom/>
      <diagonal/>
    </border>
    <border>
      <left/>
      <right/>
      <top/>
      <bottom style="thin">
        <color indexed="8"/>
      </bottom>
      <diagonal/>
    </border>
    <border>
      <left/>
      <right/>
      <top style="double">
        <color indexed="64"/>
      </top>
      <bottom style="double">
        <color indexed="64"/>
      </bottom>
      <diagonal/>
    </border>
    <border>
      <left/>
      <right/>
      <top/>
      <bottom style="double">
        <color indexed="64"/>
      </bottom>
      <diagonal/>
    </border>
    <border>
      <left/>
      <right/>
      <top style="thin">
        <color indexed="64"/>
      </top>
      <bottom style="thin">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diagonal/>
    </border>
    <border>
      <left/>
      <right/>
      <top style="medium">
        <color indexed="64"/>
      </top>
      <bottom/>
      <diagonal/>
    </border>
    <border>
      <left style="thin">
        <color indexed="22"/>
      </left>
      <right style="thin">
        <color indexed="22"/>
      </right>
      <top style="thin">
        <color indexed="22"/>
      </top>
      <bottom style="thin">
        <color indexed="22"/>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right/>
      <top/>
      <bottom style="medium">
        <color indexed="45"/>
      </bottom>
      <diagonal/>
    </border>
    <border>
      <left style="thin">
        <color indexed="64"/>
      </left>
      <right style="thin">
        <color indexed="64"/>
      </right>
      <top/>
      <bottom/>
      <diagonal/>
    </border>
    <border>
      <left/>
      <right/>
      <top/>
      <bottom style="thin">
        <color indexed="45"/>
      </bottom>
      <diagonal/>
    </border>
    <border>
      <left/>
      <right/>
      <top style="medium">
        <color indexed="45"/>
      </top>
      <bottom/>
      <diagonal/>
    </border>
    <border>
      <left/>
      <right/>
      <top/>
      <bottom style="double">
        <color indexed="45"/>
      </bottom>
      <diagonal/>
    </border>
    <border>
      <left style="thick">
        <color indexed="9"/>
      </left>
      <right style="thick">
        <color indexed="9"/>
      </right>
      <top/>
      <bottom style="double">
        <color indexed="64"/>
      </bottom>
      <diagonal/>
    </border>
    <border>
      <left style="thick">
        <color indexed="64"/>
      </left>
      <right style="thin">
        <color indexed="64"/>
      </right>
      <top/>
      <bottom/>
      <diagonal/>
    </border>
    <border>
      <left/>
      <right/>
      <top/>
      <bottom style="thin">
        <color indexed="9"/>
      </bottom>
      <diagonal/>
    </border>
    <border>
      <left/>
      <right/>
      <top style="thin">
        <color indexed="64"/>
      </top>
      <bottom style="double">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thin">
        <color indexed="64"/>
      </left>
      <right/>
      <top/>
      <bottom style="thin">
        <color indexed="9"/>
      </bottom>
      <diagonal/>
    </border>
    <border>
      <left style="medium">
        <color indexed="64"/>
      </left>
      <right style="medium">
        <color indexed="64"/>
      </right>
      <top style="thin">
        <color indexed="64"/>
      </top>
      <bottom style="medium">
        <color indexed="64"/>
      </bottom>
      <diagonal/>
    </border>
    <border>
      <left/>
      <right style="thin">
        <color indexed="64"/>
      </right>
      <top/>
      <bottom style="thin">
        <color indexed="9"/>
      </bottom>
      <diagonal/>
    </border>
    <border>
      <left style="medium">
        <color indexed="64"/>
      </left>
      <right style="medium">
        <color indexed="64"/>
      </right>
      <top style="thin">
        <color indexed="64"/>
      </top>
      <bottom/>
      <diagonal/>
    </border>
    <border>
      <left/>
      <right/>
      <top style="thin">
        <color indexed="64"/>
      </top>
      <bottom style="medium">
        <color indexed="64"/>
      </bottom>
      <diagonal/>
    </border>
    <border>
      <left/>
      <right/>
      <top style="medium">
        <color indexed="64"/>
      </top>
      <bottom style="thin">
        <color indexed="64"/>
      </bottom>
      <diagonal/>
    </border>
  </borders>
  <cellStyleXfs count="896">
    <xf numFmtId="0" fontId="0" fillId="0" borderId="0"/>
    <xf numFmtId="173" fontId="26" fillId="0" borderId="0"/>
    <xf numFmtId="0" fontId="27" fillId="0" borderId="0">
      <alignment horizontal="right"/>
    </xf>
    <xf numFmtId="0" fontId="6" fillId="0" borderId="0"/>
    <xf numFmtId="174" fontId="22" fillId="0" borderId="0" applyFont="0" applyFill="0" applyBorder="0" applyAlignment="0"/>
    <xf numFmtId="175" fontId="6" fillId="0" borderId="0" applyFont="0" applyFill="0" applyBorder="0" applyAlignment="0" applyProtection="0"/>
    <xf numFmtId="176" fontId="6" fillId="0" borderId="0" applyFont="0" applyFill="0" applyBorder="0" applyAlignment="0" applyProtection="0"/>
    <xf numFmtId="0" fontId="6" fillId="0" borderId="0">
      <alignment horizontal="left" wrapText="1"/>
    </xf>
    <xf numFmtId="0" fontId="6" fillId="0" borderId="0">
      <alignment horizontal="left" wrapText="1"/>
    </xf>
    <xf numFmtId="0" fontId="6" fillId="0" borderId="0">
      <alignment horizontal="left" wrapText="1"/>
    </xf>
    <xf numFmtId="0" fontId="6" fillId="0" borderId="0">
      <alignment horizontal="left" wrapText="1"/>
    </xf>
    <xf numFmtId="0" fontId="6" fillId="0" borderId="0">
      <alignment horizontal="left" wrapText="1"/>
    </xf>
    <xf numFmtId="0" fontId="6" fillId="0" borderId="0">
      <alignment horizontal="left" wrapText="1"/>
    </xf>
    <xf numFmtId="0" fontId="6" fillId="0" borderId="0">
      <alignment horizontal="left" wrapText="1"/>
    </xf>
    <xf numFmtId="0" fontId="6" fillId="0" borderId="0">
      <alignment horizontal="left" wrapText="1"/>
    </xf>
    <xf numFmtId="0" fontId="6" fillId="0" borderId="0">
      <alignment horizontal="left" wrapText="1"/>
    </xf>
    <xf numFmtId="0" fontId="6" fillId="0" borderId="0">
      <alignment horizontal="left" wrapText="1"/>
    </xf>
    <xf numFmtId="0" fontId="6" fillId="0" borderId="0">
      <alignment horizontal="left" wrapText="1"/>
    </xf>
    <xf numFmtId="0" fontId="6" fillId="0" borderId="0">
      <alignment horizontal="left" wrapText="1"/>
    </xf>
    <xf numFmtId="0" fontId="6" fillId="0" borderId="0">
      <alignment horizontal="left" wrapText="1"/>
    </xf>
    <xf numFmtId="0" fontId="6" fillId="0" borderId="0">
      <alignment horizontal="left" wrapText="1"/>
    </xf>
    <xf numFmtId="0" fontId="6" fillId="0" borderId="0">
      <alignment horizontal="left" wrapText="1"/>
    </xf>
    <xf numFmtId="0" fontId="6" fillId="0" borderId="0">
      <alignment horizontal="left" wrapText="1"/>
    </xf>
    <xf numFmtId="0" fontId="6" fillId="0" borderId="0">
      <alignment horizontal="left" wrapText="1"/>
    </xf>
    <xf numFmtId="0" fontId="6" fillId="0" borderId="0">
      <alignment horizontal="left" wrapText="1"/>
    </xf>
    <xf numFmtId="0" fontId="6" fillId="0" borderId="0">
      <alignment horizontal="left" wrapText="1"/>
    </xf>
    <xf numFmtId="0" fontId="6" fillId="0" borderId="0">
      <alignment horizontal="left" wrapText="1"/>
    </xf>
    <xf numFmtId="0" fontId="6" fillId="0" borderId="0">
      <alignment horizontal="left" wrapText="1"/>
    </xf>
    <xf numFmtId="0" fontId="6" fillId="0" borderId="0">
      <alignment horizontal="left" wrapText="1"/>
    </xf>
    <xf numFmtId="0" fontId="6" fillId="0" borderId="0">
      <alignment horizontal="left" wrapText="1"/>
    </xf>
    <xf numFmtId="0" fontId="6" fillId="0" borderId="0">
      <alignment horizontal="left" wrapText="1"/>
    </xf>
    <xf numFmtId="0" fontId="6" fillId="0" borderId="0">
      <alignment horizontal="left" wrapText="1"/>
    </xf>
    <xf numFmtId="0" fontId="6" fillId="0" borderId="0">
      <alignment horizontal="left" wrapText="1"/>
    </xf>
    <xf numFmtId="0" fontId="6" fillId="0" borderId="0">
      <alignment horizontal="left" wrapText="1"/>
    </xf>
    <xf numFmtId="0" fontId="6" fillId="0" borderId="0">
      <alignment horizontal="left" wrapText="1"/>
    </xf>
    <xf numFmtId="0" fontId="6" fillId="0" borderId="0">
      <alignment horizontal="left" wrapText="1"/>
    </xf>
    <xf numFmtId="0" fontId="6" fillId="0" borderId="0" applyNumberFormat="0" applyFill="0" applyBorder="0" applyAlignment="0" applyProtection="0">
      <alignment horizontal="left" wrapText="1"/>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6" fillId="0" borderId="0" applyNumberFormat="0" applyFill="0" applyBorder="0" applyAlignment="0" applyProtection="0">
      <alignment horizontal="left" wrapText="1"/>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6" fillId="0" borderId="0">
      <alignment horizontal="left" wrapText="1"/>
    </xf>
    <xf numFmtId="0" fontId="6" fillId="0" borderId="0">
      <alignment horizontal="left" wrapText="1"/>
    </xf>
    <xf numFmtId="0" fontId="6" fillId="0" borderId="0">
      <alignment horizontal="left" wrapText="1"/>
    </xf>
    <xf numFmtId="0" fontId="6" fillId="0" borderId="0">
      <alignment horizontal="left" wrapText="1"/>
    </xf>
    <xf numFmtId="0" fontId="6" fillId="0" borderId="0">
      <alignment horizontal="left" wrapText="1"/>
    </xf>
    <xf numFmtId="0" fontId="6" fillId="0" borderId="0">
      <alignment horizontal="left" wrapText="1"/>
    </xf>
    <xf numFmtId="0" fontId="6" fillId="0" borderId="0">
      <alignment horizontal="left" wrapText="1"/>
    </xf>
    <xf numFmtId="0" fontId="6" fillId="0" borderId="0">
      <alignment horizontal="left" wrapText="1"/>
    </xf>
    <xf numFmtId="0" fontId="6" fillId="0" borderId="0">
      <alignment horizontal="left" wrapText="1"/>
    </xf>
    <xf numFmtId="0" fontId="6" fillId="0" borderId="0">
      <alignment vertical="top"/>
    </xf>
    <xf numFmtId="0" fontId="6" fillId="0" borderId="0" applyNumberFormat="0" applyFill="0" applyBorder="0" applyAlignment="0" applyProtection="0">
      <alignment horizontal="left" wrapText="1"/>
    </xf>
    <xf numFmtId="0" fontId="6" fillId="0" borderId="0">
      <alignment vertical="top"/>
    </xf>
    <xf numFmtId="177" fontId="6" fillId="0" borderId="0" applyFont="0" applyFill="0" applyBorder="0" applyAlignment="0" applyProtection="0"/>
    <xf numFmtId="165" fontId="6" fillId="0" borderId="0" applyFont="0" applyFill="0" applyBorder="0" applyAlignment="0" applyProtection="0"/>
    <xf numFmtId="178" fontId="6" fillId="0" borderId="0" applyFont="0" applyFill="0" applyBorder="0" applyAlignment="0" applyProtection="0"/>
    <xf numFmtId="179" fontId="6" fillId="0" borderId="0" applyFont="0" applyFill="0" applyBorder="0" applyAlignment="0" applyProtection="0"/>
    <xf numFmtId="180" fontId="6" fillId="0" borderId="0" applyFont="0" applyFill="0" applyBorder="0" applyAlignment="0" applyProtection="0"/>
    <xf numFmtId="39" fontId="6" fillId="0" borderId="0" applyFont="0" applyFill="0" applyBorder="0" applyAlignment="0" applyProtection="0"/>
    <xf numFmtId="181" fontId="6" fillId="0" borderId="0" applyFont="0" applyFill="0" applyBorder="0" applyAlignment="0" applyProtection="0"/>
    <xf numFmtId="0" fontId="6" fillId="0" borderId="0">
      <alignment horizontal="left" wrapText="1"/>
    </xf>
    <xf numFmtId="0" fontId="6" fillId="0" borderId="0">
      <alignment horizontal="left" wrapText="1"/>
    </xf>
    <xf numFmtId="0" fontId="6" fillId="0" borderId="0">
      <alignment horizontal="left" wrapText="1"/>
    </xf>
    <xf numFmtId="0" fontId="6" fillId="0" borderId="0">
      <alignment horizontal="left" wrapText="1"/>
    </xf>
    <xf numFmtId="0" fontId="28" fillId="0" borderId="0" applyNumberFormat="0" applyFill="0" applyBorder="0" applyAlignment="0" applyProtection="0"/>
    <xf numFmtId="0" fontId="28" fillId="0" borderId="0" applyNumberFormat="0" applyFill="0" applyBorder="0" applyAlignment="0" applyProtection="0"/>
    <xf numFmtId="0" fontId="6" fillId="2" borderId="0" applyNumberFormat="0" applyFont="0" applyAlignment="0" applyProtection="0"/>
    <xf numFmtId="0" fontId="6" fillId="0" borderId="0" applyFont="0" applyFill="0" applyBorder="0" applyAlignment="0" applyProtection="0"/>
    <xf numFmtId="182"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Protection="0">
      <alignment horizontal="right"/>
    </xf>
    <xf numFmtId="185" fontId="6" fillId="0" borderId="0" applyFont="0" applyFill="0" applyBorder="0" applyAlignment="0" applyProtection="0"/>
    <xf numFmtId="0" fontId="6" fillId="0" borderId="0">
      <alignment horizontal="left" wrapText="1"/>
    </xf>
    <xf numFmtId="0" fontId="6" fillId="0" borderId="0">
      <alignment horizontal="left" wrapText="1"/>
    </xf>
    <xf numFmtId="186" fontId="6" fillId="0" borderId="0" applyFont="0" applyFill="0" applyBorder="0" applyAlignment="0" applyProtection="0"/>
    <xf numFmtId="187" fontId="6" fillId="0" borderId="0" applyFont="0" applyFill="0" applyBorder="0" applyAlignment="0" applyProtection="0"/>
    <xf numFmtId="0" fontId="6" fillId="0" borderId="0">
      <alignment horizontal="left" wrapText="1"/>
    </xf>
    <xf numFmtId="0" fontId="6" fillId="0" borderId="0">
      <alignment horizontal="left" wrapText="1"/>
    </xf>
    <xf numFmtId="0" fontId="6" fillId="0" borderId="0">
      <alignment horizontal="left" wrapText="1"/>
    </xf>
    <xf numFmtId="0" fontId="6" fillId="0" borderId="0">
      <alignment horizontal="left" wrapText="1"/>
    </xf>
    <xf numFmtId="0" fontId="6" fillId="0" borderId="0">
      <alignment horizontal="left" wrapText="1"/>
    </xf>
    <xf numFmtId="0" fontId="6" fillId="0" borderId="0">
      <alignment horizontal="left" wrapText="1"/>
    </xf>
    <xf numFmtId="0" fontId="6" fillId="0" borderId="0">
      <alignment horizontal="left" wrapText="1"/>
    </xf>
    <xf numFmtId="0" fontId="6" fillId="0" borderId="0">
      <alignment horizontal="left" wrapText="1"/>
    </xf>
    <xf numFmtId="0" fontId="6" fillId="0" borderId="0" applyFont="0" applyFill="0" applyBorder="0" applyAlignment="0" applyProtection="0"/>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6" fillId="0" borderId="0">
      <alignment horizontal="left" wrapText="1"/>
    </xf>
    <xf numFmtId="0" fontId="6" fillId="0" borderId="0">
      <alignment horizontal="left" wrapText="1"/>
    </xf>
    <xf numFmtId="0" fontId="6" fillId="0" borderId="0">
      <alignment horizontal="left" wrapText="1"/>
    </xf>
    <xf numFmtId="0" fontId="6" fillId="0" borderId="0">
      <alignment horizontal="left" wrapText="1"/>
    </xf>
    <xf numFmtId="0" fontId="29" fillId="0" borderId="0" applyNumberFormat="0" applyFill="0" applyBorder="0" applyProtection="0">
      <alignment vertical="top"/>
    </xf>
    <xf numFmtId="0" fontId="29" fillId="0" borderId="0" applyNumberFormat="0" applyFill="0" applyBorder="0" applyProtection="0">
      <alignment vertical="top"/>
    </xf>
    <xf numFmtId="0" fontId="30" fillId="0" borderId="1" applyNumberFormat="0" applyFill="0" applyAlignment="0" applyProtection="0"/>
    <xf numFmtId="0" fontId="31" fillId="0" borderId="2" applyNumberFormat="0" applyFill="0" applyProtection="0">
      <alignment horizontal="center"/>
    </xf>
    <xf numFmtId="0" fontId="31" fillId="0" borderId="0" applyNumberFormat="0" applyFill="0" applyBorder="0" applyProtection="0">
      <alignment horizontal="left"/>
    </xf>
    <xf numFmtId="0" fontId="32" fillId="0" borderId="0" applyNumberFormat="0" applyFill="0" applyBorder="0" applyProtection="0">
      <alignment horizontal="centerContinuous"/>
    </xf>
    <xf numFmtId="188" fontId="33" fillId="0" borderId="0" applyFont="0" applyFill="0" applyBorder="0" applyAlignment="0" applyProtection="0"/>
    <xf numFmtId="189" fontId="33" fillId="0" borderId="0" applyFont="0" applyFill="0" applyBorder="0" applyAlignment="0" applyProtection="0"/>
    <xf numFmtId="190" fontId="33" fillId="0" borderId="0" applyFont="0" applyFill="0" applyBorder="0" applyAlignment="0" applyProtection="0"/>
    <xf numFmtId="191" fontId="33" fillId="0" borderId="0" applyFont="0" applyFill="0" applyBorder="0" applyAlignment="0" applyProtection="0"/>
    <xf numFmtId="192" fontId="33" fillId="0" borderId="0" applyFont="0" applyFill="0" applyBorder="0" applyAlignment="0" applyProtection="0"/>
    <xf numFmtId="193" fontId="34" fillId="0" borderId="0" applyFont="0" applyFill="0" applyBorder="0" applyAlignment="0" applyProtection="0"/>
    <xf numFmtId="42" fontId="6" fillId="0" borderId="0" applyFont="0" applyFill="0" applyBorder="0" applyAlignment="0" applyProtection="0"/>
    <xf numFmtId="0" fontId="35" fillId="0" borderId="0" applyNumberFormat="0" applyFont="0" applyFill="0" applyBorder="0" applyProtection="0">
      <alignment horizontal="centerContinuous"/>
    </xf>
    <xf numFmtId="0" fontId="3" fillId="0" borderId="0" applyNumberFormat="0" applyFill="0" applyBorder="0" applyAlignment="0">
      <protection locked="0"/>
    </xf>
    <xf numFmtId="0" fontId="36" fillId="0" borderId="0"/>
    <xf numFmtId="0" fontId="37" fillId="0" borderId="0"/>
    <xf numFmtId="0" fontId="27" fillId="0" borderId="0">
      <alignment horizontal="center" wrapText="1"/>
      <protection locked="0"/>
    </xf>
    <xf numFmtId="0" fontId="6" fillId="0" borderId="0" applyNumberFormat="0" applyFill="0" applyBorder="0" applyAlignment="0" applyProtection="0"/>
    <xf numFmtId="0" fontId="38" fillId="0" borderId="0" applyNumberFormat="0" applyFill="0" applyBorder="0" applyAlignment="0" applyProtection="0"/>
    <xf numFmtId="0" fontId="22" fillId="3" borderId="0" applyNumberFormat="0" applyBorder="0" applyAlignment="0">
      <protection locked="0"/>
    </xf>
    <xf numFmtId="194" fontId="22" fillId="0" borderId="0" applyFont="0" applyFill="0" applyBorder="0" applyAlignment="0" applyProtection="0"/>
    <xf numFmtId="195" fontId="39" fillId="0" borderId="0" applyFont="0" applyFill="0" applyBorder="0" applyAlignment="0" applyProtection="0"/>
    <xf numFmtId="196" fontId="22" fillId="0" borderId="0" applyFont="0" applyFill="0" applyBorder="0" applyAlignment="0" applyProtection="0"/>
    <xf numFmtId="0" fontId="106" fillId="25" borderId="0"/>
    <xf numFmtId="0" fontId="40" fillId="0" borderId="0" applyNumberFormat="0" applyFill="0" applyBorder="0" applyAlignment="0" applyProtection="0"/>
    <xf numFmtId="197" fontId="41" fillId="0" borderId="0"/>
    <xf numFmtId="0" fontId="42" fillId="0" borderId="0" applyNumberFormat="0" applyFill="0" applyBorder="0" applyAlignment="0" applyProtection="0"/>
    <xf numFmtId="0" fontId="5" fillId="0" borderId="0"/>
    <xf numFmtId="0" fontId="43" fillId="0" borderId="0"/>
    <xf numFmtId="0" fontId="35" fillId="0" borderId="3" applyNumberFormat="0" applyFont="0" applyFill="0" applyAlignment="0" applyProtection="0"/>
    <xf numFmtId="0" fontId="44" fillId="0" borderId="4" applyFill="0" applyProtection="0">
      <alignment horizontal="right"/>
    </xf>
    <xf numFmtId="198" fontId="21" fillId="0" borderId="0" applyFont="0" applyFill="0" applyBorder="0" applyAlignment="0" applyProtection="0"/>
    <xf numFmtId="0" fontId="7" fillId="0" borderId="0" applyNumberFormat="0" applyFill="0" applyBorder="0" applyAlignment="0" applyProtection="0"/>
    <xf numFmtId="0" fontId="45" fillId="0" borderId="0"/>
    <xf numFmtId="0" fontId="26" fillId="0" borderId="0" applyFill="0" applyBorder="0" applyAlignment="0"/>
    <xf numFmtId="0" fontId="26" fillId="0" borderId="0" applyFill="0" applyBorder="0" applyAlignment="0"/>
    <xf numFmtId="199" fontId="26" fillId="0" borderId="0" applyFill="0" applyBorder="0" applyAlignment="0"/>
    <xf numFmtId="200" fontId="26" fillId="0" borderId="0" applyFill="0" applyBorder="0" applyAlignment="0"/>
    <xf numFmtId="201" fontId="6" fillId="0" borderId="0" applyFill="0" applyBorder="0" applyAlignment="0"/>
    <xf numFmtId="0" fontId="26" fillId="0" borderId="0" applyFill="0" applyBorder="0" applyAlignment="0"/>
    <xf numFmtId="0" fontId="26" fillId="0" borderId="0" applyFill="0" applyBorder="0" applyAlignment="0"/>
    <xf numFmtId="0" fontId="26" fillId="0" borderId="0" applyFill="0" applyBorder="0" applyAlignment="0"/>
    <xf numFmtId="39" fontId="27" fillId="4" borderId="0" applyNumberFormat="0" applyFont="0" applyBorder="0" applyAlignment="0"/>
    <xf numFmtId="0" fontId="46" fillId="0" borderId="0"/>
    <xf numFmtId="0" fontId="35" fillId="0" borderId="0" applyNumberFormat="0" applyFont="0" applyFill="0" applyBorder="0" applyProtection="0">
      <alignment horizontal="center"/>
    </xf>
    <xf numFmtId="49" fontId="20" fillId="0" borderId="0" applyFill="0" applyBorder="0" applyProtection="0">
      <alignment horizontal="center"/>
    </xf>
    <xf numFmtId="49" fontId="47" fillId="0" borderId="0" applyFill="0" applyBorder="0" applyProtection="0">
      <alignment horizontal="center"/>
    </xf>
    <xf numFmtId="8" fontId="6" fillId="0" borderId="5" applyFont="0" applyFill="0" applyBorder="0" applyProtection="0">
      <alignment horizontal="right"/>
    </xf>
    <xf numFmtId="0" fontId="4" fillId="0" borderId="0"/>
    <xf numFmtId="0" fontId="2" fillId="0" borderId="0" applyNumberFormat="0" applyFill="0" applyBorder="0" applyAlignment="0" applyProtection="0"/>
    <xf numFmtId="0" fontId="48" fillId="0" borderId="0" applyNumberFormat="0" applyFill="0" applyBorder="0" applyAlignment="0" applyProtection="0"/>
    <xf numFmtId="0" fontId="2" fillId="0" borderId="0" applyNumberFormat="0" applyFill="0" applyBorder="0" applyAlignment="0" applyProtection="0"/>
    <xf numFmtId="0" fontId="49" fillId="0" borderId="3" applyNumberFormat="0" applyFill="0" applyBorder="0" applyAlignment="0" applyProtection="0">
      <alignment horizontal="center"/>
    </xf>
    <xf numFmtId="0" fontId="8" fillId="5" borderId="0"/>
    <xf numFmtId="43" fontId="1" fillId="0" borderId="0" applyFont="0" applyFill="0" applyBorder="0" applyAlignment="0" applyProtection="0"/>
    <xf numFmtId="202" fontId="6" fillId="0" borderId="0"/>
    <xf numFmtId="202" fontId="6" fillId="0" borderId="0"/>
    <xf numFmtId="202" fontId="6" fillId="0" borderId="0"/>
    <xf numFmtId="202" fontId="6" fillId="0" borderId="0"/>
    <xf numFmtId="202" fontId="6" fillId="0" borderId="0"/>
    <xf numFmtId="202" fontId="6" fillId="0" borderId="0"/>
    <xf numFmtId="202" fontId="6" fillId="0" borderId="0"/>
    <xf numFmtId="202" fontId="6" fillId="0" borderId="0"/>
    <xf numFmtId="203" fontId="50" fillId="0" borderId="0"/>
    <xf numFmtId="0" fontId="26" fillId="0" borderId="0" applyFont="0" applyFill="0" applyBorder="0" applyAlignment="0" applyProtection="0"/>
    <xf numFmtId="170" fontId="51" fillId="0" borderId="0" applyFont="0" applyFill="0" applyBorder="0" applyAlignment="0" applyProtection="0"/>
    <xf numFmtId="40" fontId="6" fillId="0" borderId="0" applyFont="0" applyFill="0" applyBorder="0" applyProtection="0">
      <alignment horizontal="right"/>
    </xf>
    <xf numFmtId="3" fontId="6" fillId="0" borderId="0" applyFill="0" applyBorder="0" applyAlignment="0" applyProtection="0"/>
    <xf numFmtId="3" fontId="2" fillId="0" borderId="0" applyFont="0" applyFill="0" applyBorder="0" applyAlignment="0" applyProtection="0"/>
    <xf numFmtId="3" fontId="20" fillId="0" borderId="0" applyFill="0" applyBorder="0" applyAlignment="0" applyProtection="0"/>
    <xf numFmtId="38" fontId="52" fillId="0" borderId="0" applyNumberFormat="0" applyFill="0" applyBorder="0">
      <alignment vertical="center"/>
    </xf>
    <xf numFmtId="0" fontId="53" fillId="0" borderId="0" applyNumberFormat="0" applyAlignment="0">
      <alignment horizontal="left"/>
    </xf>
    <xf numFmtId="7" fontId="6" fillId="0" borderId="0" applyFont="0" applyFill="0" applyBorder="0" applyAlignment="0" applyProtection="0"/>
    <xf numFmtId="204" fontId="50" fillId="0" borderId="0"/>
    <xf numFmtId="0" fontId="26" fillId="0" borderId="0" applyFont="0" applyFill="0" applyBorder="0" applyAlignment="0" applyProtection="0"/>
    <xf numFmtId="205" fontId="22" fillId="0" borderId="0" applyFont="0" applyFill="0" applyBorder="0" applyAlignment="0" applyProtection="0"/>
    <xf numFmtId="8" fontId="35" fillId="0" borderId="0" applyBorder="0"/>
    <xf numFmtId="206" fontId="6" fillId="0" borderId="0" applyNumberFormat="0">
      <alignment horizontal="right"/>
    </xf>
    <xf numFmtId="15" fontId="6" fillId="0" borderId="0" applyFont="0" applyFill="0" applyBorder="0" applyProtection="0">
      <alignment horizontal="right"/>
    </xf>
    <xf numFmtId="14" fontId="4" fillId="0" borderId="0" applyFill="0" applyBorder="0" applyAlignment="0"/>
    <xf numFmtId="15" fontId="6" fillId="0" borderId="0" applyFont="0" applyFill="0" applyBorder="0" applyProtection="0">
      <alignment horizontal="right"/>
    </xf>
    <xf numFmtId="207" fontId="20" fillId="0" borderId="0" applyFill="0" applyBorder="0" applyProtection="0">
      <alignment horizontal="left"/>
    </xf>
    <xf numFmtId="0" fontId="6" fillId="0" borderId="0">
      <alignment horizontal="left"/>
    </xf>
    <xf numFmtId="38" fontId="54" fillId="0" borderId="6">
      <alignment vertical="center"/>
    </xf>
    <xf numFmtId="208" fontId="34" fillId="0" borderId="0" applyFont="0" applyFill="0" applyBorder="0" applyAlignment="0" applyProtection="0"/>
    <xf numFmtId="4" fontId="55" fillId="0" borderId="0" applyFont="0" applyFill="0" applyBorder="0" applyAlignment="0" applyProtection="0"/>
    <xf numFmtId="0" fontId="34" fillId="0" borderId="0" applyFont="0" applyFill="0" applyBorder="0" applyAlignment="0" applyProtection="0"/>
    <xf numFmtId="0" fontId="35" fillId="0" borderId="7" applyNumberFormat="0" applyFont="0" applyFill="0" applyAlignment="0" applyProtection="0"/>
    <xf numFmtId="42" fontId="56" fillId="0" borderId="0" applyFill="0" applyBorder="0" applyAlignment="0" applyProtection="0"/>
    <xf numFmtId="0" fontId="26" fillId="0" borderId="0" applyFill="0" applyBorder="0" applyAlignment="0"/>
    <xf numFmtId="0" fontId="26" fillId="0" borderId="0" applyFill="0" applyBorder="0" applyAlignment="0"/>
    <xf numFmtId="0" fontId="26" fillId="0" borderId="0" applyFill="0" applyBorder="0" applyAlignment="0"/>
    <xf numFmtId="0" fontId="26" fillId="0" borderId="0" applyFill="0" applyBorder="0" applyAlignment="0"/>
    <xf numFmtId="0" fontId="26" fillId="0" borderId="0" applyFill="0" applyBorder="0" applyAlignment="0"/>
    <xf numFmtId="0" fontId="57" fillId="0" borderId="0" applyNumberFormat="0" applyAlignment="0">
      <alignment horizontal="left"/>
    </xf>
    <xf numFmtId="209" fontId="6" fillId="0" borderId="0" applyFont="0" applyFill="0" applyBorder="0" applyAlignment="0" applyProtection="0"/>
    <xf numFmtId="169" fontId="35" fillId="0" borderId="0" applyNumberFormat="0" applyFont="0" applyAlignment="0">
      <alignment vertical="center"/>
    </xf>
    <xf numFmtId="0" fontId="58" fillId="0" borderId="0">
      <alignment horizontal="center"/>
    </xf>
    <xf numFmtId="0" fontId="59" fillId="0" borderId="0" applyNumberFormat="0" applyFill="0" applyBorder="0" applyAlignment="0" applyProtection="0"/>
    <xf numFmtId="38" fontId="2" fillId="6" borderId="0" applyNumberFormat="0" applyBorder="0" applyAlignment="0" applyProtection="0"/>
    <xf numFmtId="0" fontId="5" fillId="7" borderId="8" applyAlignment="0" applyProtection="0"/>
    <xf numFmtId="0" fontId="60" fillId="0" borderId="3" applyFill="0" applyProtection="0">
      <alignment horizontal="centerContinuous"/>
    </xf>
    <xf numFmtId="41" fontId="61" fillId="0" borderId="0">
      <alignment horizontal="center"/>
    </xf>
    <xf numFmtId="0" fontId="6" fillId="0" borderId="0">
      <alignment horizontal="center"/>
    </xf>
    <xf numFmtId="0" fontId="6" fillId="0" borderId="0">
      <alignment horizontal="left"/>
    </xf>
    <xf numFmtId="0" fontId="6" fillId="0" borderId="0">
      <alignment horizontal="right"/>
    </xf>
    <xf numFmtId="0" fontId="62" fillId="8" borderId="0"/>
    <xf numFmtId="0" fontId="63" fillId="0" borderId="0">
      <alignment horizontal="center" vertical="center"/>
    </xf>
    <xf numFmtId="0" fontId="64" fillId="0" borderId="9" applyNumberFormat="0" applyAlignment="0" applyProtection="0">
      <alignment horizontal="left" vertical="center"/>
    </xf>
    <xf numFmtId="0" fontId="64" fillId="0" borderId="8">
      <alignment horizontal="left" vertical="center"/>
    </xf>
    <xf numFmtId="0" fontId="65" fillId="0" borderId="0">
      <alignment horizontal="center"/>
    </xf>
    <xf numFmtId="0" fontId="66" fillId="0" borderId="0" applyFill="0" applyBorder="0" applyProtection="0">
      <alignment horizontal="right"/>
    </xf>
    <xf numFmtId="0" fontId="67" fillId="0" borderId="10">
      <alignment horizontal="center"/>
    </xf>
    <xf numFmtId="0" fontId="67" fillId="0" borderId="0">
      <alignment horizontal="center"/>
    </xf>
    <xf numFmtId="10" fontId="40" fillId="0" borderId="0" applyNumberFormat="0" applyFill="0" applyBorder="0" applyAlignment="0" applyProtection="0">
      <alignment horizontal="right"/>
    </xf>
    <xf numFmtId="10" fontId="2" fillId="9" borderId="11" applyNumberFormat="0" applyBorder="0" applyAlignment="0" applyProtection="0"/>
    <xf numFmtId="0" fontId="9" fillId="0" borderId="0"/>
    <xf numFmtId="0" fontId="68" fillId="0" borderId="0"/>
    <xf numFmtId="0" fontId="2" fillId="0" borderId="0" applyNumberFormat="0" applyFill="0" applyBorder="0" applyAlignment="0" applyProtection="0"/>
    <xf numFmtId="0" fontId="20" fillId="0" borderId="0" applyNumberFormat="0" applyFill="0" applyBorder="0" applyAlignment="0" applyProtection="0"/>
    <xf numFmtId="0" fontId="2" fillId="0" borderId="0" applyNumberFormat="0" applyFill="0" applyBorder="0" applyAlignment="0" applyProtection="0"/>
    <xf numFmtId="49" fontId="2" fillId="0" borderId="0" applyFont="0" applyFill="0" applyBorder="0" applyProtection="0">
      <alignment horizontal="left"/>
    </xf>
    <xf numFmtId="49" fontId="20" fillId="0" borderId="0" applyFill="0" applyBorder="0" applyProtection="0">
      <alignment horizontal="left"/>
    </xf>
    <xf numFmtId="49" fontId="20" fillId="0" borderId="3" applyFill="0" applyProtection="0">
      <alignment horizontal="left"/>
    </xf>
    <xf numFmtId="49" fontId="20" fillId="0" borderId="12" applyFill="0" applyProtection="0">
      <alignment horizontal="left"/>
    </xf>
    <xf numFmtId="0" fontId="69" fillId="0" borderId="0"/>
    <xf numFmtId="0" fontId="26" fillId="0" borderId="0" applyFill="0" applyBorder="0" applyAlignment="0"/>
    <xf numFmtId="0" fontId="26" fillId="0" borderId="0" applyFill="0" applyBorder="0" applyAlignment="0"/>
    <xf numFmtId="0" fontId="26" fillId="0" borderId="0" applyFill="0" applyBorder="0" applyAlignment="0"/>
    <xf numFmtId="0" fontId="26" fillId="0" borderId="0" applyFill="0" applyBorder="0" applyAlignment="0"/>
    <xf numFmtId="0" fontId="26" fillId="0" borderId="0" applyFill="0" applyBorder="0" applyAlignment="0"/>
    <xf numFmtId="165" fontId="6" fillId="0" borderId="0" applyNumberFormat="0" applyFont="0" applyFill="0" applyBorder="0" applyAlignment="0"/>
    <xf numFmtId="17" fontId="22" fillId="0" borderId="0"/>
    <xf numFmtId="0" fontId="27" fillId="0" borderId="0" applyNumberFormat="0" applyFill="0" applyBorder="0" applyProtection="0"/>
    <xf numFmtId="0" fontId="22" fillId="0" borderId="0" applyNumberFormat="0" applyFill="0" applyBorder="0" applyProtection="0"/>
    <xf numFmtId="38" fontId="70" fillId="0" borderId="0" applyNumberFormat="0" applyFill="0" applyBorder="0">
      <alignment horizontal="left" vertical="center"/>
    </xf>
    <xf numFmtId="164" fontId="6" fillId="0" borderId="0" applyFont="0" applyFill="0" applyBorder="0" applyAlignment="0" applyProtection="0"/>
    <xf numFmtId="38" fontId="71" fillId="0" borderId="0" applyFont="0" applyFill="0" applyBorder="0" applyAlignment="0" applyProtection="0"/>
    <xf numFmtId="40" fontId="71" fillId="0" borderId="0" applyFont="0" applyFill="0" applyBorder="0" applyAlignment="0" applyProtection="0"/>
    <xf numFmtId="169" fontId="72" fillId="0" borderId="0" applyFill="0" applyBorder="0">
      <alignment vertical="center"/>
    </xf>
    <xf numFmtId="210" fontId="27" fillId="0" borderId="0">
      <alignment horizontal="center"/>
    </xf>
    <xf numFmtId="211" fontId="71" fillId="0" borderId="0" applyFont="0" applyFill="0" applyBorder="0" applyAlignment="0" applyProtection="0"/>
    <xf numFmtId="212" fontId="71" fillId="0" borderId="0" applyFont="0" applyFill="0" applyBorder="0" applyAlignment="0" applyProtection="0"/>
    <xf numFmtId="7" fontId="6" fillId="0" borderId="0"/>
    <xf numFmtId="213" fontId="73" fillId="0" borderId="0" applyFont="0" applyFill="0" applyBorder="0" applyProtection="0">
      <alignment horizontal="right"/>
    </xf>
    <xf numFmtId="214" fontId="55" fillId="0" borderId="0" applyFont="0" applyFill="0" applyBorder="0" applyAlignment="0" applyProtection="0"/>
    <xf numFmtId="215" fontId="22" fillId="0" borderId="0" applyFont="0" applyFill="0" applyBorder="0" applyAlignment="0" applyProtection="0"/>
    <xf numFmtId="216" fontId="55" fillId="0" borderId="0" applyFont="0" applyFill="0" applyBorder="0" applyAlignment="0" applyProtection="0"/>
    <xf numFmtId="217" fontId="27" fillId="0" borderId="0" applyFont="0" applyFill="0" applyBorder="0" applyAlignment="0" applyProtection="0"/>
    <xf numFmtId="218" fontId="22" fillId="0" borderId="0" applyFont="0" applyFill="0" applyBorder="0" applyAlignment="0" applyProtection="0"/>
    <xf numFmtId="219" fontId="55" fillId="0" borderId="0" applyFont="0" applyFill="0" applyBorder="0" applyAlignment="0" applyProtection="0"/>
    <xf numFmtId="220" fontId="55" fillId="0" borderId="0" applyFont="0" applyFill="0" applyBorder="0" applyAlignment="0" applyProtection="0"/>
    <xf numFmtId="221" fontId="22" fillId="0" borderId="0" applyFont="0" applyFill="0" applyBorder="0" applyAlignment="0" applyProtection="0"/>
    <xf numFmtId="222" fontId="6" fillId="0" borderId="0"/>
    <xf numFmtId="0" fontId="10" fillId="10" borderId="0"/>
    <xf numFmtId="0" fontId="11" fillId="11" borderId="0"/>
    <xf numFmtId="0" fontId="12" fillId="0" borderId="0"/>
    <xf numFmtId="223" fontId="74" fillId="0" borderId="0"/>
    <xf numFmtId="0" fontId="6" fillId="0" borderId="0"/>
    <xf numFmtId="0" fontId="6" fillId="0" borderId="0"/>
    <xf numFmtId="0" fontId="75" fillId="0" borderId="0">
      <alignment horizontal="center"/>
    </xf>
    <xf numFmtId="0" fontId="23" fillId="0" borderId="0">
      <alignment horizontal="center" vertical="center"/>
    </xf>
    <xf numFmtId="0" fontId="22" fillId="0" borderId="13"/>
    <xf numFmtId="0" fontId="22" fillId="0" borderId="14"/>
    <xf numFmtId="49" fontId="22" fillId="0" borderId="14">
      <alignment horizontal="left"/>
    </xf>
    <xf numFmtId="0" fontId="22" fillId="0" borderId="15"/>
    <xf numFmtId="0" fontId="22" fillId="0" borderId="3"/>
    <xf numFmtId="0" fontId="22" fillId="0" borderId="16"/>
    <xf numFmtId="0" fontId="22" fillId="6" borderId="17"/>
    <xf numFmtId="0" fontId="23" fillId="6" borderId="12">
      <alignment horizontal="left"/>
    </xf>
    <xf numFmtId="0" fontId="23" fillId="6" borderId="18">
      <alignment horizontal="left"/>
    </xf>
    <xf numFmtId="0" fontId="22" fillId="6" borderId="12"/>
    <xf numFmtId="0" fontId="22" fillId="0" borderId="0">
      <alignment horizontal="left"/>
    </xf>
    <xf numFmtId="0" fontId="23" fillId="6" borderId="12">
      <alignment horizontal="left"/>
    </xf>
    <xf numFmtId="0" fontId="39" fillId="6" borderId="12">
      <alignment horizontal="left"/>
    </xf>
    <xf numFmtId="0" fontId="22" fillId="6" borderId="18"/>
    <xf numFmtId="0" fontId="22" fillId="0" borderId="13">
      <alignment horizontal="left"/>
    </xf>
    <xf numFmtId="0" fontId="22" fillId="0" borderId="0">
      <alignment horizontal="left"/>
    </xf>
    <xf numFmtId="0" fontId="22" fillId="0" borderId="14">
      <alignment horizontal="center"/>
    </xf>
    <xf numFmtId="0" fontId="22" fillId="0" borderId="0">
      <alignment horizontal="left"/>
    </xf>
    <xf numFmtId="0" fontId="23" fillId="6" borderId="17">
      <alignment horizontal="left"/>
    </xf>
    <xf numFmtId="0" fontId="22" fillId="0" borderId="13">
      <alignment horizontal="left"/>
    </xf>
    <xf numFmtId="0" fontId="22" fillId="0" borderId="13">
      <alignment horizontal="right"/>
    </xf>
    <xf numFmtId="172" fontId="23" fillId="0" borderId="0"/>
    <xf numFmtId="0" fontId="22" fillId="0" borderId="13"/>
    <xf numFmtId="169" fontId="22" fillId="0" borderId="14"/>
    <xf numFmtId="0" fontId="22" fillId="0" borderId="13"/>
    <xf numFmtId="0" fontId="22" fillId="0" borderId="13">
      <alignment horizontal="left"/>
    </xf>
    <xf numFmtId="0" fontId="23" fillId="6" borderId="17"/>
    <xf numFmtId="0" fontId="76" fillId="6" borderId="13">
      <alignment horizontal="left"/>
    </xf>
    <xf numFmtId="0" fontId="22" fillId="6" borderId="14"/>
    <xf numFmtId="0" fontId="23" fillId="6" borderId="13">
      <alignment horizontal="left"/>
    </xf>
    <xf numFmtId="0" fontId="22" fillId="0" borderId="13">
      <alignment horizontal="left"/>
    </xf>
    <xf numFmtId="0" fontId="22" fillId="0" borderId="13">
      <alignment horizontal="left"/>
    </xf>
    <xf numFmtId="14" fontId="75" fillId="0" borderId="0">
      <alignment horizontal="center"/>
    </xf>
    <xf numFmtId="49" fontId="77" fillId="0" borderId="13">
      <alignment horizontal="left"/>
    </xf>
    <xf numFmtId="0" fontId="77" fillId="0" borderId="13"/>
    <xf numFmtId="0" fontId="23" fillId="6" borderId="13">
      <alignment horizontal="left"/>
    </xf>
    <xf numFmtId="0" fontId="23" fillId="6" borderId="13"/>
    <xf numFmtId="49" fontId="22" fillId="0" borderId="14">
      <alignment horizontal="left"/>
    </xf>
    <xf numFmtId="0" fontId="75" fillId="0" borderId="13"/>
    <xf numFmtId="0" fontId="75" fillId="0" borderId="0">
      <alignment horizontal="center"/>
    </xf>
    <xf numFmtId="14" fontId="75" fillId="0" borderId="0">
      <alignment horizontal="center"/>
    </xf>
    <xf numFmtId="0" fontId="75" fillId="0" borderId="15"/>
    <xf numFmtId="0" fontId="22" fillId="0" borderId="3">
      <alignment horizontal="center"/>
    </xf>
    <xf numFmtId="0" fontId="22" fillId="0" borderId="0"/>
    <xf numFmtId="0" fontId="75" fillId="0" borderId="3">
      <alignment horizontal="center"/>
    </xf>
    <xf numFmtId="14" fontId="75" fillId="0" borderId="3">
      <alignment horizontal="center"/>
    </xf>
    <xf numFmtId="0" fontId="23" fillId="0" borderId="0">
      <alignment horizontal="left" vertical="center" wrapText="1"/>
    </xf>
    <xf numFmtId="0" fontId="23" fillId="6" borderId="9">
      <alignment horizontal="left" wrapText="1"/>
    </xf>
    <xf numFmtId="0" fontId="23" fillId="0" borderId="0">
      <alignment horizontal="right" vertical="center"/>
    </xf>
    <xf numFmtId="172" fontId="23" fillId="0" borderId="0">
      <alignment horizontal="right"/>
    </xf>
    <xf numFmtId="14" fontId="78" fillId="0" borderId="0">
      <alignment horizontal="center"/>
    </xf>
    <xf numFmtId="0" fontId="23" fillId="6" borderId="19">
      <alignment horizontal="center" wrapText="1"/>
    </xf>
    <xf numFmtId="0" fontId="55" fillId="0" borderId="0">
      <alignment horizontal="center" vertical="center"/>
    </xf>
    <xf numFmtId="1" fontId="79" fillId="0" borderId="0">
      <alignment horizontal="center" wrapText="1"/>
    </xf>
    <xf numFmtId="0" fontId="23" fillId="6" borderId="9">
      <alignment horizontal="center" wrapText="1"/>
    </xf>
    <xf numFmtId="0" fontId="79" fillId="6" borderId="20">
      <alignment horizontal="center" wrapText="1"/>
    </xf>
    <xf numFmtId="0" fontId="79" fillId="6" borderId="19">
      <alignment horizontal="left" wrapText="1"/>
    </xf>
    <xf numFmtId="0" fontId="22" fillId="0" borderId="14">
      <alignment horizontal="left"/>
    </xf>
    <xf numFmtId="0" fontId="55" fillId="0" borderId="0">
      <alignment horizontal="center"/>
    </xf>
    <xf numFmtId="2" fontId="55" fillId="12" borderId="0">
      <alignment horizontal="center"/>
    </xf>
    <xf numFmtId="0" fontId="22" fillId="0" borderId="0">
      <alignment horizontal="left" vertical="top"/>
    </xf>
    <xf numFmtId="16" fontId="22" fillId="0" borderId="0"/>
    <xf numFmtId="0" fontId="22" fillId="12" borderId="0"/>
    <xf numFmtId="14" fontId="22" fillId="0" borderId="0">
      <alignment horizontal="center"/>
    </xf>
    <xf numFmtId="2" fontId="55" fillId="0" borderId="12">
      <alignment horizontal="center" vertical="center"/>
    </xf>
    <xf numFmtId="0" fontId="23" fillId="6" borderId="0">
      <alignment horizontal="center"/>
    </xf>
    <xf numFmtId="2" fontId="55" fillId="0" borderId="0">
      <alignment horizontal="center"/>
    </xf>
    <xf numFmtId="2" fontId="55" fillId="0" borderId="0">
      <alignment horizontal="center"/>
    </xf>
    <xf numFmtId="0" fontId="22" fillId="0" borderId="0">
      <alignment horizontal="left" vertical="top"/>
    </xf>
    <xf numFmtId="15" fontId="22" fillId="0" borderId="0">
      <alignment horizontal="left" vertical="top"/>
    </xf>
    <xf numFmtId="0" fontId="22" fillId="0" borderId="0">
      <alignment horizontal="left" vertical="top"/>
    </xf>
    <xf numFmtId="14" fontId="22" fillId="0" borderId="0">
      <alignment horizontal="center" vertical="top"/>
    </xf>
    <xf numFmtId="0" fontId="55" fillId="0" borderId="0"/>
    <xf numFmtId="0" fontId="79" fillId="0" borderId="3"/>
    <xf numFmtId="14" fontId="79" fillId="0" borderId="3"/>
    <xf numFmtId="2" fontId="55" fillId="0" borderId="3">
      <alignment horizontal="center"/>
    </xf>
    <xf numFmtId="0" fontId="22" fillId="0" borderId="0">
      <alignment horizontal="center"/>
    </xf>
    <xf numFmtId="2" fontId="55" fillId="0" borderId="3">
      <alignment horizontal="center"/>
    </xf>
    <xf numFmtId="0" fontId="55" fillId="0" borderId="3"/>
    <xf numFmtId="0" fontId="55" fillId="0" borderId="3">
      <alignment horizontal="center"/>
    </xf>
    <xf numFmtId="0" fontId="55" fillId="0" borderId="3">
      <alignment horizontal="center"/>
    </xf>
    <xf numFmtId="0" fontId="23" fillId="0" borderId="0">
      <alignment horizontal="left" vertical="top"/>
    </xf>
    <xf numFmtId="0" fontId="23" fillId="0" borderId="0">
      <alignment horizontal="left" vertical="top"/>
    </xf>
    <xf numFmtId="0" fontId="22" fillId="0" borderId="0">
      <alignment horizontal="center" vertical="top"/>
    </xf>
    <xf numFmtId="43" fontId="55" fillId="0" borderId="0">
      <alignment horizontal="left"/>
    </xf>
    <xf numFmtId="172" fontId="22" fillId="0" borderId="0"/>
    <xf numFmtId="0" fontId="22" fillId="0" borderId="0">
      <alignment horizontal="center"/>
    </xf>
    <xf numFmtId="0" fontId="75" fillId="0" borderId="0"/>
    <xf numFmtId="43" fontId="22" fillId="0" borderId="0"/>
    <xf numFmtId="1" fontId="22" fillId="0" borderId="0"/>
    <xf numFmtId="0" fontId="23" fillId="0" borderId="0"/>
    <xf numFmtId="43" fontId="22" fillId="0" borderId="0">
      <alignment horizontal="center"/>
    </xf>
    <xf numFmtId="43" fontId="22" fillId="0" borderId="21"/>
    <xf numFmtId="43" fontId="22" fillId="0" borderId="22"/>
    <xf numFmtId="0" fontId="22" fillId="0" borderId="10"/>
    <xf numFmtId="43" fontId="22" fillId="0" borderId="0"/>
    <xf numFmtId="1" fontId="79" fillId="0" borderId="16">
      <alignment horizontal="center" wrapText="1"/>
    </xf>
    <xf numFmtId="0" fontId="55" fillId="0" borderId="0">
      <alignment horizontal="center"/>
    </xf>
    <xf numFmtId="0" fontId="22" fillId="0" borderId="0">
      <alignment horizontal="left"/>
    </xf>
    <xf numFmtId="0" fontId="55" fillId="0" borderId="0"/>
    <xf numFmtId="43" fontId="22" fillId="0" borderId="0">
      <alignment horizontal="center"/>
    </xf>
    <xf numFmtId="0" fontId="23" fillId="0" borderId="3">
      <alignment horizontal="left" vertical="top"/>
    </xf>
    <xf numFmtId="0" fontId="22" fillId="0" borderId="3">
      <alignment horizontal="center" vertical="top"/>
    </xf>
    <xf numFmtId="14" fontId="22" fillId="0" borderId="3">
      <alignment horizontal="center" vertical="top"/>
    </xf>
    <xf numFmtId="15" fontId="22" fillId="0" borderId="3">
      <alignment horizontal="left" vertical="top"/>
    </xf>
    <xf numFmtId="0" fontId="25" fillId="0" borderId="0"/>
    <xf numFmtId="224" fontId="22" fillId="0" borderId="0">
      <alignment vertical="top"/>
    </xf>
    <xf numFmtId="0" fontId="22" fillId="0" borderId="3">
      <alignment horizontal="left" vertical="top"/>
    </xf>
    <xf numFmtId="0" fontId="22" fillId="0" borderId="0">
      <alignment horizontal="center" wrapText="1"/>
    </xf>
    <xf numFmtId="0" fontId="22" fillId="0" borderId="0">
      <alignment horizontal="center"/>
    </xf>
    <xf numFmtId="0" fontId="22" fillId="0" borderId="0">
      <alignment horizontal="center" vertical="top"/>
    </xf>
    <xf numFmtId="0" fontId="23" fillId="0" borderId="0"/>
    <xf numFmtId="14" fontId="22" fillId="0" borderId="0">
      <alignment horizontal="center"/>
    </xf>
    <xf numFmtId="14" fontId="22" fillId="0" borderId="0">
      <alignment horizontal="left" vertical="top"/>
    </xf>
    <xf numFmtId="41" fontId="22" fillId="0" borderId="0"/>
    <xf numFmtId="3" fontId="23" fillId="0" borderId="23">
      <alignment horizontal="right" vertical="center"/>
    </xf>
    <xf numFmtId="172" fontId="23" fillId="0" borderId="22">
      <alignment horizontal="right"/>
    </xf>
    <xf numFmtId="225" fontId="79" fillId="0" borderId="0">
      <alignment wrapText="1"/>
    </xf>
    <xf numFmtId="0" fontId="22" fillId="0" borderId="0">
      <alignment horizontal="center"/>
    </xf>
    <xf numFmtId="226" fontId="23" fillId="0" borderId="10"/>
    <xf numFmtId="226" fontId="23" fillId="0" borderId="0"/>
    <xf numFmtId="0" fontId="22" fillId="0" borderId="0">
      <alignment vertical="top"/>
    </xf>
    <xf numFmtId="3" fontId="23" fillId="0" borderId="21">
      <alignment horizontal="right" vertical="center"/>
    </xf>
    <xf numFmtId="0" fontId="79" fillId="0" borderId="15">
      <alignment horizontal="center" wrapText="1"/>
    </xf>
    <xf numFmtId="3" fontId="23" fillId="0" borderId="24">
      <alignment horizontal="right" vertical="center"/>
    </xf>
    <xf numFmtId="3" fontId="23" fillId="0" borderId="0">
      <alignment horizontal="right" vertical="center"/>
    </xf>
    <xf numFmtId="172" fontId="23" fillId="0" borderId="10">
      <alignment horizontal="right"/>
    </xf>
    <xf numFmtId="0" fontId="4" fillId="0" borderId="25">
      <alignment wrapText="1"/>
    </xf>
    <xf numFmtId="227" fontId="4" fillId="0" borderId="25">
      <alignment horizontal="right" wrapText="1"/>
    </xf>
    <xf numFmtId="4" fontId="22" fillId="0" borderId="0">
      <alignment horizontal="center"/>
    </xf>
    <xf numFmtId="0" fontId="23" fillId="6" borderId="9">
      <alignment horizontal="center"/>
    </xf>
    <xf numFmtId="0" fontId="23" fillId="6" borderId="20">
      <alignment horizontal="center"/>
    </xf>
    <xf numFmtId="14" fontId="22" fillId="0" borderId="0">
      <alignment horizontal="center" vertical="top"/>
    </xf>
    <xf numFmtId="0" fontId="22" fillId="13" borderId="0">
      <alignment vertical="top"/>
    </xf>
    <xf numFmtId="0" fontId="22" fillId="13" borderId="0"/>
    <xf numFmtId="0" fontId="4" fillId="0" borderId="25">
      <alignment wrapText="1"/>
    </xf>
    <xf numFmtId="228" fontId="26" fillId="0" borderId="0">
      <alignment horizontal="right" vertical="center" wrapText="1"/>
    </xf>
    <xf numFmtId="0" fontId="26" fillId="0" borderId="0">
      <alignment horizontal="right" vertical="center" wrapText="1"/>
    </xf>
    <xf numFmtId="0" fontId="4" fillId="0" borderId="0">
      <alignment wrapText="1"/>
    </xf>
    <xf numFmtId="172" fontId="22" fillId="0" borderId="0"/>
    <xf numFmtId="0" fontId="22" fillId="13" borderId="0">
      <alignment horizontal="center"/>
    </xf>
    <xf numFmtId="0" fontId="23" fillId="13" borderId="0"/>
    <xf numFmtId="0" fontId="22" fillId="13" borderId="0">
      <alignment horizontal="center" vertical="top"/>
    </xf>
    <xf numFmtId="0" fontId="22" fillId="0" borderId="0">
      <alignment vertical="top"/>
    </xf>
    <xf numFmtId="14" fontId="22" fillId="13" borderId="0">
      <alignment horizontal="center" vertical="top"/>
    </xf>
    <xf numFmtId="15" fontId="22" fillId="13" borderId="0">
      <alignment horizontal="left" vertical="top"/>
    </xf>
    <xf numFmtId="0" fontId="22" fillId="13" borderId="0">
      <alignment horizontal="left" vertical="top"/>
    </xf>
    <xf numFmtId="14" fontId="22" fillId="13" borderId="0">
      <alignment horizontal="left" vertical="top"/>
    </xf>
    <xf numFmtId="0" fontId="22" fillId="14" borderId="0">
      <alignment horizontal="center"/>
    </xf>
    <xf numFmtId="0" fontId="23" fillId="14" borderId="0"/>
    <xf numFmtId="0" fontId="22" fillId="14" borderId="0">
      <alignment horizontal="center" vertical="top"/>
    </xf>
    <xf numFmtId="14" fontId="22" fillId="14" borderId="0">
      <alignment horizontal="center" vertical="top"/>
    </xf>
    <xf numFmtId="0" fontId="22" fillId="14" borderId="0">
      <alignment vertical="top"/>
    </xf>
    <xf numFmtId="15" fontId="22" fillId="14" borderId="0">
      <alignment horizontal="left" vertical="top"/>
    </xf>
    <xf numFmtId="15" fontId="75" fillId="0" borderId="0">
      <alignment horizontal="left"/>
    </xf>
    <xf numFmtId="0" fontId="22" fillId="14" borderId="0">
      <alignment horizontal="left" vertical="top"/>
    </xf>
    <xf numFmtId="172" fontId="22" fillId="14" borderId="0">
      <alignment vertical="top"/>
    </xf>
    <xf numFmtId="14" fontId="22" fillId="14" borderId="0">
      <alignment horizontal="left" vertical="top"/>
    </xf>
    <xf numFmtId="0" fontId="22" fillId="14" borderId="0">
      <alignment horizontal="center"/>
    </xf>
    <xf numFmtId="0" fontId="22" fillId="14" borderId="0"/>
    <xf numFmtId="0" fontId="23" fillId="14" borderId="0">
      <alignment horizontal="left" vertical="top"/>
    </xf>
    <xf numFmtId="14" fontId="22" fillId="14" borderId="0">
      <alignment horizontal="center" vertical="top"/>
    </xf>
    <xf numFmtId="0" fontId="55" fillId="14" borderId="0">
      <alignment horizontal="center"/>
    </xf>
    <xf numFmtId="0" fontId="75" fillId="14" borderId="0">
      <alignment horizontal="center"/>
    </xf>
    <xf numFmtId="0" fontId="22" fillId="14" borderId="0"/>
    <xf numFmtId="0" fontId="55" fillId="0" borderId="0"/>
    <xf numFmtId="0" fontId="23" fillId="0" borderId="0">
      <alignment horizontal="center"/>
    </xf>
    <xf numFmtId="0" fontId="23" fillId="0" borderId="0">
      <alignment horizontal="center"/>
    </xf>
    <xf numFmtId="172" fontId="23" fillId="6" borderId="23">
      <alignment horizontal="center"/>
    </xf>
    <xf numFmtId="172" fontId="23" fillId="6" borderId="24">
      <alignment horizontal="center"/>
    </xf>
    <xf numFmtId="2" fontId="55" fillId="0" borderId="0"/>
    <xf numFmtId="0" fontId="55" fillId="0" borderId="0"/>
    <xf numFmtId="2" fontId="55" fillId="0" borderId="0">
      <alignment horizontal="center"/>
    </xf>
    <xf numFmtId="0" fontId="55" fillId="0" borderId="0">
      <alignment horizontal="center"/>
    </xf>
    <xf numFmtId="0" fontId="75" fillId="0" borderId="0">
      <alignment wrapText="1"/>
    </xf>
    <xf numFmtId="0" fontId="55" fillId="0" borderId="0">
      <alignment horizontal="center"/>
    </xf>
    <xf numFmtId="0" fontId="79" fillId="0" borderId="0">
      <alignment horizontal="left" vertical="center"/>
    </xf>
    <xf numFmtId="2" fontId="55" fillId="0" borderId="12">
      <alignment horizontal="center" vertical="center"/>
    </xf>
    <xf numFmtId="0" fontId="55" fillId="0" borderId="12">
      <alignment horizontal="center" vertical="center"/>
    </xf>
    <xf numFmtId="0" fontId="55" fillId="0" borderId="18">
      <alignment horizontal="center" vertical="center"/>
    </xf>
    <xf numFmtId="0" fontId="55" fillId="0" borderId="0">
      <alignment horizontal="center" vertical="center"/>
    </xf>
    <xf numFmtId="0" fontId="55" fillId="0" borderId="0">
      <alignment horizontal="left" vertical="center"/>
    </xf>
    <xf numFmtId="0" fontId="79" fillId="0" borderId="0">
      <alignment horizontal="left"/>
    </xf>
    <xf numFmtId="0" fontId="79" fillId="0" borderId="0">
      <alignment horizontal="left"/>
    </xf>
    <xf numFmtId="0" fontId="79" fillId="0" borderId="0">
      <alignment horizontal="center"/>
    </xf>
    <xf numFmtId="0" fontId="22" fillId="0" borderId="0">
      <alignment horizontal="center" vertical="center" wrapText="1"/>
    </xf>
    <xf numFmtId="0" fontId="79" fillId="0" borderId="0">
      <alignment horizontal="center" wrapText="1"/>
    </xf>
    <xf numFmtId="0" fontId="79" fillId="0" borderId="13">
      <alignment horizontal="center" wrapText="1"/>
    </xf>
    <xf numFmtId="1" fontId="79" fillId="0" borderId="14">
      <alignment horizontal="center" wrapText="1"/>
    </xf>
    <xf numFmtId="0" fontId="79" fillId="0" borderId="0">
      <alignment horizontal="center"/>
    </xf>
    <xf numFmtId="229" fontId="79" fillId="0" borderId="0">
      <alignment horizontal="center" wrapText="1"/>
    </xf>
    <xf numFmtId="43" fontId="79" fillId="0" borderId="0"/>
    <xf numFmtId="0" fontId="79" fillId="0" borderId="0"/>
    <xf numFmtId="0" fontId="55" fillId="0" borderId="0">
      <alignment wrapText="1"/>
    </xf>
    <xf numFmtId="0" fontId="79" fillId="0" borderId="0">
      <alignment horizontal="center" wrapText="1"/>
    </xf>
    <xf numFmtId="0" fontId="79" fillId="0" borderId="0">
      <alignment horizontal="center" wrapText="1"/>
    </xf>
    <xf numFmtId="43" fontId="22" fillId="0" borderId="0">
      <alignment horizontal="center" vertical="center" wrapText="1"/>
    </xf>
    <xf numFmtId="0" fontId="79" fillId="0" borderId="0">
      <alignment horizontal="center" wrapText="1"/>
    </xf>
    <xf numFmtId="230" fontId="79" fillId="0" borderId="0">
      <alignment horizontal="center" wrapText="1"/>
    </xf>
    <xf numFmtId="0" fontId="79" fillId="6" borderId="9">
      <alignment horizontal="center" wrapText="1"/>
    </xf>
    <xf numFmtId="2" fontId="79" fillId="6" borderId="9">
      <alignment horizontal="center" wrapText="1"/>
    </xf>
    <xf numFmtId="0" fontId="79" fillId="6" borderId="9">
      <alignment horizontal="center" wrapText="1"/>
    </xf>
    <xf numFmtId="0" fontId="79" fillId="0" borderId="0">
      <alignment horizontal="center" wrapText="1"/>
    </xf>
    <xf numFmtId="0" fontId="22" fillId="0" borderId="0"/>
    <xf numFmtId="0" fontId="22" fillId="0" borderId="0"/>
    <xf numFmtId="0" fontId="80" fillId="0" borderId="0">
      <alignment horizontal="left" vertical="center"/>
    </xf>
    <xf numFmtId="172" fontId="80" fillId="0" borderId="0">
      <alignment horizontal="left" vertical="center"/>
    </xf>
    <xf numFmtId="0" fontId="23" fillId="0" borderId="0">
      <alignment horizontal="center" vertical="center" wrapText="1"/>
    </xf>
    <xf numFmtId="0" fontId="80" fillId="0" borderId="0">
      <alignment horizontal="center" vertical="center"/>
    </xf>
    <xf numFmtId="0" fontId="23" fillId="0" borderId="23">
      <alignment horizontal="left"/>
    </xf>
    <xf numFmtId="41" fontId="23" fillId="0" borderId="26"/>
    <xf numFmtId="0" fontId="23" fillId="0" borderId="23"/>
    <xf numFmtId="41" fontId="23" fillId="0" borderId="0"/>
    <xf numFmtId="0" fontId="23" fillId="0" borderId="21"/>
    <xf numFmtId="172" fontId="23" fillId="0" borderId="27"/>
    <xf numFmtId="172" fontId="23" fillId="0" borderId="0"/>
    <xf numFmtId="43" fontId="23" fillId="0" borderId="27"/>
    <xf numFmtId="43" fontId="23" fillId="0" borderId="0"/>
    <xf numFmtId="0" fontId="22" fillId="0" borderId="0">
      <alignment wrapText="1"/>
    </xf>
    <xf numFmtId="0" fontId="23" fillId="0" borderId="22"/>
    <xf numFmtId="43" fontId="23" fillId="0" borderId="28"/>
    <xf numFmtId="0" fontId="23" fillId="0" borderId="0">
      <alignment horizontal="center"/>
    </xf>
    <xf numFmtId="0" fontId="23" fillId="6" borderId="23">
      <alignment horizontal="center"/>
    </xf>
    <xf numFmtId="172" fontId="23" fillId="6" borderId="24">
      <alignment horizontal="center"/>
    </xf>
    <xf numFmtId="0" fontId="23" fillId="6" borderId="24">
      <alignment horizontal="center"/>
    </xf>
    <xf numFmtId="0" fontId="23" fillId="6" borderId="26">
      <alignment horizontal="center"/>
    </xf>
    <xf numFmtId="0" fontId="23" fillId="6" borderId="22">
      <alignment horizontal="center"/>
    </xf>
    <xf numFmtId="172" fontId="23" fillId="6" borderId="10">
      <alignment horizontal="right"/>
    </xf>
    <xf numFmtId="0" fontId="23" fillId="6" borderId="10">
      <alignment horizontal="center"/>
    </xf>
    <xf numFmtId="0" fontId="22" fillId="0" borderId="0">
      <alignment horizontal="left" vertical="center" wrapText="1"/>
    </xf>
    <xf numFmtId="0" fontId="23" fillId="6" borderId="28">
      <alignment horizontal="center"/>
    </xf>
    <xf numFmtId="0" fontId="23" fillId="15" borderId="0">
      <alignment horizontal="center"/>
    </xf>
    <xf numFmtId="172" fontId="23" fillId="6" borderId="22">
      <alignment horizontal="center"/>
    </xf>
    <xf numFmtId="172" fontId="23" fillId="6" borderId="10">
      <alignment horizontal="center"/>
    </xf>
    <xf numFmtId="0" fontId="23" fillId="6" borderId="10">
      <alignment horizontal="center"/>
    </xf>
    <xf numFmtId="172" fontId="23" fillId="6" borderId="28">
      <alignment horizontal="center"/>
    </xf>
    <xf numFmtId="0" fontId="23" fillId="6" borderId="29">
      <alignment horizontal="center"/>
    </xf>
    <xf numFmtId="0" fontId="23" fillId="6" borderId="3">
      <alignment horizontal="center"/>
    </xf>
    <xf numFmtId="0" fontId="23" fillId="6" borderId="3">
      <alignment horizontal="center"/>
    </xf>
    <xf numFmtId="0" fontId="23" fillId="6" borderId="30">
      <alignment horizontal="center"/>
    </xf>
    <xf numFmtId="0" fontId="22" fillId="0" borderId="0"/>
    <xf numFmtId="0" fontId="23" fillId="6" borderId="21">
      <alignment horizontal="center"/>
    </xf>
    <xf numFmtId="0" fontId="23" fillId="6" borderId="0">
      <alignment horizontal="center"/>
    </xf>
    <xf numFmtId="0" fontId="23" fillId="6" borderId="27">
      <alignment horizontal="center"/>
    </xf>
    <xf numFmtId="0" fontId="39" fillId="0" borderId="0">
      <alignment horizontal="left"/>
    </xf>
    <xf numFmtId="49" fontId="22" fillId="0" borderId="0">
      <alignment horizontal="left"/>
    </xf>
    <xf numFmtId="0" fontId="39" fillId="0" borderId="0">
      <alignment horizontal="left"/>
    </xf>
    <xf numFmtId="15" fontId="75" fillId="15" borderId="0">
      <alignment horizontal="left"/>
    </xf>
    <xf numFmtId="0" fontId="22" fillId="0" borderId="0">
      <alignment horizontal="right"/>
    </xf>
    <xf numFmtId="49" fontId="22" fillId="0" borderId="0">
      <alignment horizontal="left"/>
    </xf>
    <xf numFmtId="49" fontId="22" fillId="0" borderId="0">
      <alignment horizontal="left"/>
    </xf>
    <xf numFmtId="10" fontId="75" fillId="0" borderId="0"/>
    <xf numFmtId="0" fontId="2" fillId="0" borderId="0" applyNumberFormat="0" applyFill="0" applyBorder="0" applyAlignment="0" applyProtection="0"/>
    <xf numFmtId="0" fontId="6" fillId="0" borderId="0" applyNumberFormat="0" applyFill="0" applyBorder="0" applyAlignment="0" applyProtection="0"/>
    <xf numFmtId="0" fontId="48" fillId="0" borderId="0" applyNumberFormat="0" applyFill="0" applyBorder="0" applyAlignment="0" applyProtection="0"/>
    <xf numFmtId="0" fontId="6" fillId="0" borderId="0" applyNumberFormat="0" applyFill="0" applyBorder="0" applyAlignment="0" applyProtection="0"/>
    <xf numFmtId="0" fontId="70" fillId="0" borderId="0" applyNumberFormat="0" applyFill="0" applyBorder="0" applyAlignment="0" applyProtection="0"/>
    <xf numFmtId="0" fontId="2" fillId="0" borderId="0" applyNumberFormat="0" applyFill="0" applyBorder="0" applyAlignment="0" applyProtection="0"/>
    <xf numFmtId="0" fontId="81" fillId="0" borderId="0">
      <alignment horizontal="left" vertical="top"/>
      <protection locked="0"/>
    </xf>
    <xf numFmtId="0" fontId="35" fillId="0" borderId="11" applyNumberFormat="0" applyFont="0" applyFill="0" applyAlignment="0" applyProtection="0"/>
    <xf numFmtId="40" fontId="82" fillId="15" borderId="0">
      <alignment horizontal="right"/>
    </xf>
    <xf numFmtId="0" fontId="83" fillId="15" borderId="0">
      <alignment horizontal="right"/>
    </xf>
    <xf numFmtId="0" fontId="84" fillId="15" borderId="14"/>
    <xf numFmtId="0" fontId="84" fillId="0" borderId="0" applyBorder="0">
      <alignment horizontal="centerContinuous"/>
    </xf>
    <xf numFmtId="231" fontId="85" fillId="0" borderId="0" applyFill="0">
      <alignment horizontal="center" vertical="center"/>
    </xf>
    <xf numFmtId="0" fontId="23" fillId="0" borderId="31" applyNumberFormat="0" applyAlignment="0" applyProtection="0"/>
    <xf numFmtId="0" fontId="22" fillId="16" borderId="0" applyNumberFormat="0" applyFont="0" applyBorder="0" applyAlignment="0" applyProtection="0"/>
    <xf numFmtId="0" fontId="2" fillId="17" borderId="32" applyNumberFormat="0" applyFont="0" applyBorder="0" applyAlignment="0" applyProtection="0">
      <alignment horizontal="center"/>
    </xf>
    <xf numFmtId="0" fontId="2" fillId="18" borderId="32" applyNumberFormat="0" applyFont="0" applyBorder="0" applyAlignment="0" applyProtection="0">
      <alignment horizontal="center"/>
    </xf>
    <xf numFmtId="0" fontId="22" fillId="0" borderId="33" applyNumberFormat="0" applyAlignment="0" applyProtection="0"/>
    <xf numFmtId="0" fontId="22" fillId="0" borderId="34" applyNumberFormat="0" applyAlignment="0" applyProtection="0"/>
    <xf numFmtId="0" fontId="23" fillId="0" borderId="35" applyNumberFormat="0" applyAlignment="0" applyProtection="0"/>
    <xf numFmtId="14" fontId="27" fillId="0" borderId="0">
      <alignment horizontal="center" wrapText="1"/>
      <protection locked="0"/>
    </xf>
    <xf numFmtId="9" fontId="1" fillId="0" borderId="0" applyFont="0" applyFill="0" applyBorder="0" applyAlignment="0" applyProtection="0"/>
    <xf numFmtId="9" fontId="55" fillId="0" borderId="0" applyFont="0" applyFill="0" applyBorder="0" applyAlignment="0" applyProtection="0"/>
    <xf numFmtId="232" fontId="86" fillId="0" borderId="0" applyFont="0" applyFill="0" applyBorder="0" applyAlignment="0" applyProtection="0"/>
    <xf numFmtId="169" fontId="55" fillId="0" borderId="0" applyFont="0" applyFill="0" applyBorder="0" applyAlignment="0" applyProtection="0"/>
    <xf numFmtId="233" fontId="55" fillId="0" borderId="0" applyFont="0" applyFill="0" applyBorder="0" applyAlignment="0" applyProtection="0"/>
    <xf numFmtId="234" fontId="55" fillId="0" borderId="0" applyFont="0" applyFill="0" applyBorder="0" applyAlignment="0" applyProtection="0"/>
    <xf numFmtId="10" fontId="6" fillId="0" borderId="0" applyFont="0" applyFill="0" applyBorder="0" applyAlignment="0" applyProtection="0"/>
    <xf numFmtId="0" fontId="6" fillId="0" borderId="0" applyFont="0" applyFill="0" applyBorder="0" applyProtection="0">
      <alignment horizontal="right"/>
    </xf>
    <xf numFmtId="172" fontId="75" fillId="0" borderId="0">
      <alignment horizontal="right"/>
    </xf>
    <xf numFmtId="172" fontId="23" fillId="0" borderId="0">
      <alignment horizontal="left" vertical="center"/>
    </xf>
    <xf numFmtId="171" fontId="2" fillId="0" borderId="0"/>
    <xf numFmtId="172" fontId="75" fillId="0" borderId="0">
      <alignment horizontal="right"/>
    </xf>
    <xf numFmtId="172" fontId="75" fillId="0" borderId="0">
      <alignment horizontal="center"/>
    </xf>
    <xf numFmtId="170" fontId="75" fillId="0" borderId="0">
      <alignment horizontal="right"/>
    </xf>
    <xf numFmtId="172" fontId="75" fillId="0" borderId="3">
      <alignment horizontal="right"/>
    </xf>
    <xf numFmtId="172" fontId="75" fillId="0" borderId="3">
      <alignment horizontal="center"/>
    </xf>
    <xf numFmtId="170" fontId="75" fillId="0" borderId="3">
      <alignment horizontal="right"/>
    </xf>
    <xf numFmtId="43" fontId="75" fillId="0" borderId="3">
      <alignment horizontal="center"/>
    </xf>
    <xf numFmtId="235" fontId="75" fillId="0" borderId="12"/>
    <xf numFmtId="236" fontId="75" fillId="0" borderId="12">
      <alignment horizontal="center"/>
    </xf>
    <xf numFmtId="172" fontId="23" fillId="0" borderId="0">
      <alignment horizontal="right" vertical="center"/>
    </xf>
    <xf numFmtId="236" fontId="75" fillId="0" borderId="18">
      <alignment horizontal="center" wrapText="1"/>
    </xf>
    <xf numFmtId="236" fontId="75" fillId="0" borderId="0">
      <alignment horizontal="center"/>
    </xf>
    <xf numFmtId="236" fontId="75" fillId="0" borderId="14">
      <alignment horizontal="center" wrapText="1"/>
    </xf>
    <xf numFmtId="235" fontId="75" fillId="0" borderId="14">
      <alignment wrapText="1"/>
    </xf>
    <xf numFmtId="235" fontId="75" fillId="0" borderId="3"/>
    <xf numFmtId="235" fontId="75" fillId="0" borderId="16">
      <alignment wrapText="1"/>
    </xf>
    <xf numFmtId="237" fontId="23" fillId="0" borderId="0">
      <alignment horizontal="left"/>
    </xf>
    <xf numFmtId="238" fontId="23" fillId="0" borderId="0">
      <alignment horizontal="left"/>
    </xf>
    <xf numFmtId="239" fontId="23" fillId="0" borderId="0">
      <alignment horizontal="left"/>
    </xf>
    <xf numFmtId="172" fontId="22" fillId="0" borderId="0">
      <alignment vertical="top"/>
    </xf>
    <xf numFmtId="240" fontId="23" fillId="0" borderId="0">
      <alignment horizontal="center"/>
    </xf>
    <xf numFmtId="235" fontId="78" fillId="0" borderId="0"/>
    <xf numFmtId="172" fontId="55" fillId="0" borderId="0">
      <alignment horizontal="right"/>
    </xf>
    <xf numFmtId="172" fontId="55" fillId="0" borderId="0">
      <alignment horizontal="center"/>
    </xf>
    <xf numFmtId="236" fontId="22" fillId="0" borderId="0">
      <alignment horizontal="center" vertical="top"/>
    </xf>
    <xf numFmtId="172" fontId="20" fillId="0" borderId="3">
      <alignment horizontal="centerContinuous"/>
    </xf>
    <xf numFmtId="172" fontId="2" fillId="0" borderId="3">
      <alignment horizontal="center"/>
    </xf>
    <xf numFmtId="172" fontId="2" fillId="0" borderId="0"/>
    <xf numFmtId="172" fontId="2" fillId="0" borderId="3"/>
    <xf numFmtId="43" fontId="2" fillId="0" borderId="3"/>
    <xf numFmtId="43" fontId="20" fillId="0" borderId="0">
      <alignment horizontal="right"/>
    </xf>
    <xf numFmtId="170" fontId="23" fillId="0" borderId="0">
      <alignment horizontal="right" vertical="center"/>
    </xf>
    <xf numFmtId="165" fontId="79" fillId="0" borderId="0">
      <alignment horizontal="center" wrapText="1"/>
    </xf>
    <xf numFmtId="2" fontId="79" fillId="0" borderId="0">
      <alignment horizontal="center"/>
    </xf>
    <xf numFmtId="43" fontId="55" fillId="0" borderId="0"/>
    <xf numFmtId="0" fontId="2" fillId="0" borderId="0">
      <alignment horizontal="center"/>
    </xf>
    <xf numFmtId="43" fontId="22" fillId="0" borderId="0">
      <alignment horizontal="center" vertical="top"/>
    </xf>
    <xf numFmtId="235" fontId="22" fillId="0" borderId="0">
      <alignment horizontal="center" vertical="top"/>
    </xf>
    <xf numFmtId="236" fontId="22" fillId="0" borderId="0">
      <alignment horizontal="center" vertical="top" wrapText="1"/>
    </xf>
    <xf numFmtId="43" fontId="22" fillId="0" borderId="0">
      <alignment horizontal="left" vertical="top"/>
    </xf>
    <xf numFmtId="172" fontId="22" fillId="0" borderId="0">
      <alignment horizontal="right" vertical="top"/>
    </xf>
    <xf numFmtId="43" fontId="22" fillId="0" borderId="0">
      <alignment horizontal="center" vertical="top"/>
    </xf>
    <xf numFmtId="43" fontId="23" fillId="0" borderId="0">
      <alignment horizontal="center"/>
    </xf>
    <xf numFmtId="235" fontId="22" fillId="0" borderId="0">
      <alignment horizontal="center" vertical="top"/>
    </xf>
    <xf numFmtId="236" fontId="22" fillId="0" borderId="0">
      <alignment horizontal="center" vertical="top" wrapText="1"/>
    </xf>
    <xf numFmtId="172" fontId="22" fillId="0" borderId="0">
      <alignment horizontal="left" vertical="top"/>
    </xf>
    <xf numFmtId="43" fontId="22" fillId="0" borderId="0">
      <alignment horizontal="left" vertical="top"/>
    </xf>
    <xf numFmtId="172" fontId="2" fillId="0" borderId="0">
      <alignment horizontal="left"/>
    </xf>
    <xf numFmtId="172" fontId="20" fillId="0" borderId="0">
      <alignment horizontal="centerContinuous"/>
    </xf>
    <xf numFmtId="172" fontId="20" fillId="0" borderId="0">
      <alignment horizontal="left"/>
    </xf>
    <xf numFmtId="172" fontId="20" fillId="0" borderId="3">
      <alignment horizontal="left"/>
    </xf>
    <xf numFmtId="43" fontId="55" fillId="0" borderId="0"/>
    <xf numFmtId="43" fontId="55" fillId="0" borderId="3">
      <alignment horizontal="center"/>
    </xf>
    <xf numFmtId="235" fontId="23" fillId="0" borderId="0">
      <alignment horizontal="center"/>
    </xf>
    <xf numFmtId="43" fontId="55" fillId="0" borderId="3"/>
    <xf numFmtId="43" fontId="20" fillId="0" borderId="0"/>
    <xf numFmtId="172" fontId="2" fillId="14" borderId="0">
      <alignment horizontal="center"/>
    </xf>
    <xf numFmtId="172" fontId="2" fillId="14" borderId="0">
      <alignment horizontal="center"/>
    </xf>
    <xf numFmtId="172" fontId="20" fillId="14" borderId="0">
      <alignment horizontal="centerContinuous"/>
    </xf>
    <xf numFmtId="172" fontId="20" fillId="14" borderId="3">
      <alignment horizontal="center" wrapText="1"/>
    </xf>
    <xf numFmtId="172" fontId="2" fillId="19" borderId="0">
      <alignment horizontal="center"/>
    </xf>
    <xf numFmtId="172" fontId="2" fillId="19" borderId="0">
      <alignment horizontal="center"/>
    </xf>
    <xf numFmtId="172" fontId="20" fillId="19" borderId="0">
      <alignment horizontal="centerContinuous"/>
    </xf>
    <xf numFmtId="172" fontId="20" fillId="19" borderId="3">
      <alignment horizontal="centerContinuous"/>
    </xf>
    <xf numFmtId="235" fontId="23" fillId="0" borderId="0">
      <alignment horizontal="center" wrapText="1"/>
    </xf>
    <xf numFmtId="172" fontId="22" fillId="0" borderId="0"/>
    <xf numFmtId="43" fontId="22" fillId="0" borderId="0"/>
    <xf numFmtId="43" fontId="22" fillId="0" borderId="0">
      <alignment horizontal="center"/>
    </xf>
    <xf numFmtId="172" fontId="22" fillId="0" borderId="0"/>
    <xf numFmtId="171" fontId="22" fillId="0" borderId="0"/>
    <xf numFmtId="43" fontId="22" fillId="0" borderId="27"/>
    <xf numFmtId="172" fontId="22" fillId="0" borderId="3"/>
    <xf numFmtId="43" fontId="22" fillId="0" borderId="28"/>
    <xf numFmtId="171" fontId="22" fillId="0" borderId="10"/>
    <xf numFmtId="10" fontId="22" fillId="0" borderId="0"/>
    <xf numFmtId="237" fontId="23" fillId="0" borderId="0">
      <alignment horizontal="center"/>
    </xf>
    <xf numFmtId="43" fontId="22" fillId="0" borderId="0"/>
    <xf numFmtId="241" fontId="23" fillId="0" borderId="0">
      <alignment horizontal="center" vertical="top"/>
    </xf>
    <xf numFmtId="14" fontId="20" fillId="0" borderId="0">
      <alignment horizontal="center"/>
    </xf>
    <xf numFmtId="4" fontId="55" fillId="0" borderId="0">
      <alignment horizontal="right" vertical="top"/>
    </xf>
    <xf numFmtId="172" fontId="55" fillId="0" borderId="0">
      <alignment horizontal="center" vertical="top"/>
    </xf>
    <xf numFmtId="172" fontId="22" fillId="0" borderId="3">
      <alignment horizontal="right" vertical="top"/>
    </xf>
    <xf numFmtId="170" fontId="22" fillId="0" borderId="3">
      <alignment horizontal="center" vertical="top"/>
    </xf>
    <xf numFmtId="43" fontId="22" fillId="0" borderId="3">
      <alignment horizontal="center" vertical="top"/>
    </xf>
    <xf numFmtId="235" fontId="22" fillId="0" borderId="3">
      <alignment horizontal="center" vertical="top"/>
    </xf>
    <xf numFmtId="236" fontId="22" fillId="0" borderId="3">
      <alignment horizontal="center" vertical="top" wrapText="1"/>
    </xf>
    <xf numFmtId="237" fontId="23" fillId="0" borderId="0">
      <alignment horizontal="center" wrapText="1"/>
    </xf>
    <xf numFmtId="172" fontId="22" fillId="0" borderId="3">
      <alignment horizontal="center" vertical="top"/>
    </xf>
    <xf numFmtId="172" fontId="22" fillId="0" borderId="3">
      <alignment horizontal="left" vertical="top"/>
    </xf>
    <xf numFmtId="172" fontId="22" fillId="0" borderId="3">
      <alignment vertical="top"/>
    </xf>
    <xf numFmtId="43" fontId="22" fillId="0" borderId="3">
      <alignment horizontal="left" vertical="top"/>
    </xf>
    <xf numFmtId="236" fontId="22" fillId="0" borderId="3">
      <alignment horizontal="center" vertical="top"/>
    </xf>
    <xf numFmtId="43" fontId="2" fillId="0" borderId="0">
      <alignment horizontal="center"/>
    </xf>
    <xf numFmtId="172" fontId="23" fillId="0" borderId="24">
      <alignment horizontal="right" vertical="center"/>
    </xf>
    <xf numFmtId="239" fontId="23" fillId="0" borderId="24">
      <alignment horizontal="left"/>
    </xf>
    <xf numFmtId="242" fontId="23" fillId="0" borderId="24">
      <alignment horizontal="left"/>
    </xf>
    <xf numFmtId="170" fontId="23" fillId="0" borderId="24">
      <alignment horizontal="right" vertical="center"/>
    </xf>
    <xf numFmtId="172" fontId="23" fillId="0" borderId="0">
      <alignment horizontal="left"/>
    </xf>
    <xf numFmtId="172" fontId="23" fillId="0" borderId="10">
      <alignment horizontal="right" vertical="center"/>
    </xf>
    <xf numFmtId="239" fontId="23" fillId="0" borderId="10">
      <alignment horizontal="left"/>
    </xf>
    <xf numFmtId="242" fontId="23" fillId="0" borderId="10">
      <alignment horizontal="left"/>
    </xf>
    <xf numFmtId="170" fontId="23" fillId="0" borderId="10">
      <alignment horizontal="right"/>
    </xf>
    <xf numFmtId="243" fontId="23" fillId="0" borderId="28">
      <alignment horizontal="left"/>
    </xf>
    <xf numFmtId="172" fontId="23" fillId="0" borderId="10">
      <alignment horizontal="left" vertical="center"/>
    </xf>
    <xf numFmtId="171" fontId="2" fillId="0" borderId="0">
      <alignment horizontal="center"/>
    </xf>
    <xf numFmtId="43" fontId="2" fillId="14" borderId="0">
      <alignment horizontal="center"/>
    </xf>
    <xf numFmtId="43" fontId="2" fillId="19" borderId="0">
      <alignment horizontal="center"/>
    </xf>
    <xf numFmtId="242" fontId="23" fillId="0" borderId="0">
      <alignment horizontal="left"/>
    </xf>
    <xf numFmtId="169" fontId="20" fillId="0" borderId="0" applyFill="0" applyBorder="0" applyAlignment="0" applyProtection="0"/>
    <xf numFmtId="172" fontId="75" fillId="0" borderId="0">
      <alignment horizontal="center"/>
    </xf>
    <xf numFmtId="172" fontId="23" fillId="0" borderId="0">
      <alignment horizontal="right"/>
    </xf>
    <xf numFmtId="243" fontId="23" fillId="0" borderId="27">
      <alignment horizontal="left"/>
    </xf>
    <xf numFmtId="43" fontId="22" fillId="0" borderId="26">
      <alignment horizontal="center"/>
    </xf>
    <xf numFmtId="172" fontId="23" fillId="0" borderId="3">
      <alignment horizontal="right" vertical="center"/>
    </xf>
    <xf numFmtId="244" fontId="23" fillId="0" borderId="27">
      <alignment horizontal="left"/>
    </xf>
    <xf numFmtId="172" fontId="22" fillId="13" borderId="0"/>
    <xf numFmtId="172" fontId="22" fillId="13" borderId="0">
      <alignment horizontal="center" vertical="top"/>
    </xf>
    <xf numFmtId="172" fontId="22" fillId="0" borderId="10"/>
    <xf numFmtId="172" fontId="22" fillId="13" borderId="0">
      <alignment horizontal="center" vertical="top"/>
    </xf>
    <xf numFmtId="172" fontId="22" fillId="13" borderId="0">
      <alignment horizontal="right" vertical="top"/>
    </xf>
    <xf numFmtId="170" fontId="22" fillId="13" borderId="0">
      <alignment horizontal="center" vertical="top"/>
    </xf>
    <xf numFmtId="170" fontId="23" fillId="0" borderId="0">
      <alignment horizontal="right"/>
    </xf>
    <xf numFmtId="43" fontId="22" fillId="13" borderId="0">
      <alignment horizontal="center" vertical="top"/>
    </xf>
    <xf numFmtId="235" fontId="22" fillId="13" borderId="0">
      <alignment horizontal="center" vertical="top"/>
    </xf>
    <xf numFmtId="236" fontId="22" fillId="13" borderId="0">
      <alignment horizontal="center" vertical="top"/>
    </xf>
    <xf numFmtId="236" fontId="22" fillId="13" borderId="0">
      <alignment horizontal="center" vertical="top" wrapText="1"/>
    </xf>
    <xf numFmtId="172" fontId="22" fillId="13" borderId="0">
      <alignment horizontal="left" vertical="top"/>
    </xf>
    <xf numFmtId="43" fontId="22" fillId="13" borderId="0">
      <alignment horizontal="left" vertical="top"/>
    </xf>
    <xf numFmtId="43" fontId="22" fillId="13" borderId="0"/>
    <xf numFmtId="172" fontId="22" fillId="14" borderId="0">
      <alignment horizontal="center" vertical="top"/>
    </xf>
    <xf numFmtId="172" fontId="22" fillId="14" borderId="0">
      <alignment horizontal="right" vertical="top"/>
    </xf>
    <xf numFmtId="170" fontId="22" fillId="14" borderId="0">
      <alignment horizontal="center" vertical="top"/>
    </xf>
    <xf numFmtId="172" fontId="22" fillId="0" borderId="0">
      <alignment horizontal="right"/>
    </xf>
    <xf numFmtId="43" fontId="22" fillId="14" borderId="0">
      <alignment horizontal="center" vertical="top"/>
    </xf>
    <xf numFmtId="235" fontId="22" fillId="14" borderId="0">
      <alignment horizontal="center" vertical="top"/>
    </xf>
    <xf numFmtId="236" fontId="22" fillId="14" borderId="0">
      <alignment horizontal="center" vertical="top"/>
    </xf>
    <xf numFmtId="236" fontId="22" fillId="14" borderId="0">
      <alignment horizontal="center" vertical="top" wrapText="1"/>
    </xf>
    <xf numFmtId="172" fontId="22" fillId="14" borderId="0">
      <alignment horizontal="center" vertical="top"/>
    </xf>
    <xf numFmtId="172" fontId="22" fillId="14" borderId="0">
      <alignment horizontal="left" vertical="top"/>
    </xf>
    <xf numFmtId="172" fontId="22" fillId="14" borderId="0"/>
    <xf numFmtId="43" fontId="22" fillId="14" borderId="0">
      <alignment horizontal="left" vertical="top"/>
    </xf>
    <xf numFmtId="235" fontId="22" fillId="14" borderId="0">
      <alignment horizontal="center" vertical="top"/>
    </xf>
    <xf numFmtId="236" fontId="75" fillId="14" borderId="0">
      <alignment horizontal="center" wrapText="1"/>
    </xf>
    <xf numFmtId="172" fontId="22" fillId="0" borderId="0"/>
    <xf numFmtId="172" fontId="22" fillId="14" borderId="0">
      <alignment horizontal="left" vertical="top"/>
    </xf>
    <xf numFmtId="172" fontId="22" fillId="14" borderId="0">
      <alignment horizontal="right"/>
    </xf>
    <xf numFmtId="172" fontId="22" fillId="14" borderId="0">
      <alignment horizontal="right"/>
    </xf>
    <xf numFmtId="4" fontId="55" fillId="14" borderId="0">
      <alignment horizontal="right" vertical="top"/>
    </xf>
    <xf numFmtId="43" fontId="22" fillId="14" borderId="0">
      <alignment horizontal="center" vertical="top"/>
    </xf>
    <xf numFmtId="236" fontId="22" fillId="14" borderId="0">
      <alignment horizontal="center" vertical="top" wrapText="1"/>
    </xf>
    <xf numFmtId="43" fontId="22" fillId="14" borderId="0">
      <alignment horizontal="left" vertical="top"/>
    </xf>
    <xf numFmtId="172" fontId="23" fillId="6" borderId="9">
      <alignment horizontal="right" wrapText="1"/>
    </xf>
    <xf numFmtId="172" fontId="23" fillId="6" borderId="9">
      <alignment horizontal="center" wrapText="1"/>
    </xf>
    <xf numFmtId="170" fontId="23" fillId="6" borderId="9">
      <alignment horizontal="right" wrapText="1"/>
    </xf>
    <xf numFmtId="43" fontId="23" fillId="6" borderId="9">
      <alignment horizontal="center" wrapText="1"/>
    </xf>
    <xf numFmtId="235" fontId="23" fillId="6" borderId="9">
      <alignment horizontal="center" wrapText="1"/>
    </xf>
    <xf numFmtId="235" fontId="23" fillId="6" borderId="9">
      <alignment horizontal="center" wrapText="1"/>
    </xf>
    <xf numFmtId="207" fontId="24" fillId="0" borderId="0">
      <alignment horizontal="left" vertical="center" wrapText="1"/>
    </xf>
    <xf numFmtId="172" fontId="22" fillId="0" borderId="0">
      <alignment horizontal="right"/>
    </xf>
    <xf numFmtId="172" fontId="22" fillId="0" borderId="0"/>
    <xf numFmtId="170" fontId="22" fillId="0" borderId="0">
      <alignment horizontal="right"/>
    </xf>
    <xf numFmtId="43" fontId="22" fillId="0" borderId="0">
      <alignment horizontal="center"/>
    </xf>
    <xf numFmtId="235" fontId="22" fillId="0" borderId="0"/>
    <xf numFmtId="235" fontId="22" fillId="0" borderId="0">
      <alignment wrapText="1"/>
    </xf>
    <xf numFmtId="170" fontId="22" fillId="0" borderId="0">
      <alignment horizontal="center" vertical="top"/>
    </xf>
    <xf numFmtId="172" fontId="22" fillId="0" borderId="0">
      <alignment horizontal="center" vertical="top"/>
    </xf>
    <xf numFmtId="172" fontId="22" fillId="0" borderId="0">
      <alignment horizontal="center" vertical="top"/>
    </xf>
    <xf numFmtId="172" fontId="22" fillId="0" borderId="0">
      <alignment horizontal="left" vertical="top"/>
    </xf>
    <xf numFmtId="172" fontId="22" fillId="0" borderId="0">
      <alignment horizontal="right" vertical="center" wrapText="1"/>
    </xf>
    <xf numFmtId="172" fontId="22" fillId="0" borderId="0">
      <alignment horizontal="right" vertical="top"/>
    </xf>
    <xf numFmtId="170" fontId="22" fillId="0" borderId="0">
      <alignment horizontal="center" vertical="top"/>
    </xf>
    <xf numFmtId="170" fontId="75" fillId="0" borderId="0">
      <alignment horizontal="right"/>
    </xf>
    <xf numFmtId="43" fontId="75" fillId="0" borderId="0">
      <alignment horizontal="center"/>
    </xf>
    <xf numFmtId="235" fontId="75" fillId="0" borderId="0"/>
    <xf numFmtId="236" fontId="75" fillId="0" borderId="0">
      <alignment horizontal="center"/>
    </xf>
    <xf numFmtId="236" fontId="75" fillId="0" borderId="0">
      <alignment horizontal="center" wrapText="1"/>
    </xf>
    <xf numFmtId="235" fontId="75" fillId="0" borderId="0">
      <alignment wrapText="1"/>
    </xf>
    <xf numFmtId="43" fontId="55" fillId="0" borderId="0">
      <alignment horizontal="center"/>
    </xf>
    <xf numFmtId="43" fontId="55" fillId="0" borderId="0"/>
    <xf numFmtId="172" fontId="22" fillId="0" borderId="0">
      <alignment horizontal="center" vertical="center" wrapText="1"/>
    </xf>
    <xf numFmtId="43" fontId="55" fillId="0" borderId="17">
      <alignment horizontal="center" vertical="center"/>
    </xf>
    <xf numFmtId="43" fontId="55" fillId="0" borderId="12">
      <alignment horizontal="center" vertical="center"/>
    </xf>
    <xf numFmtId="43" fontId="79" fillId="0" borderId="12">
      <alignment horizontal="center" vertical="center"/>
    </xf>
    <xf numFmtId="43" fontId="79" fillId="0" borderId="13">
      <alignment horizontal="center"/>
    </xf>
    <xf numFmtId="43" fontId="79" fillId="0" borderId="0">
      <alignment horizontal="center"/>
    </xf>
    <xf numFmtId="2" fontId="79" fillId="0" borderId="0">
      <alignment horizontal="center"/>
    </xf>
    <xf numFmtId="43" fontId="79" fillId="0" borderId="14">
      <alignment horizontal="center"/>
    </xf>
    <xf numFmtId="43" fontId="79" fillId="0" borderId="0">
      <alignment horizontal="center"/>
    </xf>
    <xf numFmtId="172" fontId="79" fillId="0" borderId="0">
      <alignment horizontal="center" wrapText="1"/>
    </xf>
    <xf numFmtId="172" fontId="79" fillId="0" borderId="3">
      <alignment horizontal="center" wrapText="1"/>
    </xf>
    <xf numFmtId="170" fontId="22" fillId="0" borderId="0">
      <alignment horizontal="right" vertical="center" wrapText="1"/>
    </xf>
    <xf numFmtId="165" fontId="79" fillId="0" borderId="3">
      <alignment horizontal="center" wrapText="1"/>
    </xf>
    <xf numFmtId="43" fontId="87" fillId="0" borderId="0">
      <alignment horizontal="left"/>
    </xf>
    <xf numFmtId="43" fontId="79" fillId="0" borderId="0">
      <alignment horizontal="center" wrapText="1"/>
    </xf>
    <xf numFmtId="43" fontId="79" fillId="0" borderId="0">
      <alignment wrapText="1"/>
    </xf>
    <xf numFmtId="43" fontId="79" fillId="6" borderId="9">
      <alignment horizontal="right" wrapText="1"/>
    </xf>
    <xf numFmtId="43" fontId="79" fillId="6" borderId="9">
      <alignment horizontal="center" wrapText="1"/>
    </xf>
    <xf numFmtId="172" fontId="2" fillId="0" borderId="0"/>
    <xf numFmtId="172" fontId="2" fillId="0" borderId="0">
      <alignment horizontal="center"/>
    </xf>
    <xf numFmtId="172" fontId="2" fillId="0" borderId="0">
      <alignment horizontal="left"/>
    </xf>
    <xf numFmtId="172" fontId="2" fillId="0" borderId="0">
      <alignment horizontal="center"/>
    </xf>
    <xf numFmtId="43" fontId="23" fillId="0" borderId="0">
      <alignment horizontal="center" vertical="center" wrapText="1"/>
    </xf>
    <xf numFmtId="172" fontId="20" fillId="0" borderId="0">
      <alignment horizontal="center"/>
    </xf>
    <xf numFmtId="172" fontId="2" fillId="0" borderId="0"/>
    <xf numFmtId="172" fontId="80" fillId="0" borderId="0">
      <alignment horizontal="left" vertical="center"/>
    </xf>
    <xf numFmtId="172" fontId="23" fillId="0" borderId="27"/>
    <xf numFmtId="172" fontId="23" fillId="0" borderId="0"/>
    <xf numFmtId="43" fontId="23" fillId="0" borderId="0"/>
    <xf numFmtId="43" fontId="23" fillId="0" borderId="0">
      <alignment horizontal="center"/>
    </xf>
    <xf numFmtId="172" fontId="23" fillId="0" borderId="0">
      <alignment horizontal="center"/>
    </xf>
    <xf numFmtId="172" fontId="23" fillId="6" borderId="24">
      <alignment horizontal="center"/>
    </xf>
    <xf numFmtId="49" fontId="22" fillId="0" borderId="0">
      <alignment horizontal="left"/>
    </xf>
    <xf numFmtId="235" fontId="23" fillId="0" borderId="0">
      <alignment horizontal="center" vertical="center" wrapText="1"/>
    </xf>
    <xf numFmtId="49" fontId="22" fillId="0" borderId="13">
      <alignment horizontal="left"/>
    </xf>
    <xf numFmtId="49" fontId="22" fillId="0" borderId="15">
      <alignment horizontal="left"/>
    </xf>
    <xf numFmtId="172" fontId="77" fillId="0" borderId="14"/>
    <xf numFmtId="49" fontId="22" fillId="0" borderId="14">
      <alignment horizontal="left"/>
    </xf>
    <xf numFmtId="172" fontId="2" fillId="0" borderId="0">
      <alignment horizontal="center"/>
    </xf>
    <xf numFmtId="172" fontId="2" fillId="0" borderId="0"/>
    <xf numFmtId="172" fontId="2" fillId="0" borderId="0"/>
    <xf numFmtId="172" fontId="20" fillId="0" borderId="0">
      <alignment horizontal="right"/>
    </xf>
    <xf numFmtId="172" fontId="20" fillId="0" borderId="0">
      <alignment horizontal="center"/>
    </xf>
    <xf numFmtId="172" fontId="20" fillId="0" borderId="3"/>
    <xf numFmtId="172" fontId="23" fillId="0" borderId="0">
      <alignment horizontal="left" vertical="center" wrapText="1"/>
    </xf>
    <xf numFmtId="172" fontId="20" fillId="0" borderId="3">
      <alignment horizontal="center"/>
    </xf>
    <xf numFmtId="172" fontId="20" fillId="0" borderId="3">
      <alignment horizontal="center" wrapText="1"/>
    </xf>
    <xf numFmtId="172" fontId="20" fillId="0" borderId="0"/>
    <xf numFmtId="172" fontId="20" fillId="0" borderId="3">
      <alignment horizontal="center" wrapText="1"/>
    </xf>
    <xf numFmtId="172" fontId="20" fillId="0" borderId="0">
      <alignment horizontal="center"/>
    </xf>
    <xf numFmtId="172" fontId="20" fillId="0" borderId="3">
      <alignment horizontal="center"/>
    </xf>
    <xf numFmtId="172" fontId="20" fillId="0" borderId="0"/>
    <xf numFmtId="172" fontId="20" fillId="0" borderId="3">
      <alignment horizontal="left" wrapText="1"/>
    </xf>
    <xf numFmtId="236" fontId="2" fillId="0" borderId="0">
      <alignment horizontal="center"/>
    </xf>
    <xf numFmtId="236" fontId="2" fillId="0" borderId="0">
      <alignment horizontal="left"/>
    </xf>
    <xf numFmtId="0" fontId="88" fillId="0" borderId="0"/>
    <xf numFmtId="10" fontId="6" fillId="0" borderId="0"/>
    <xf numFmtId="0" fontId="26" fillId="0" borderId="0" applyFill="0" applyBorder="0" applyAlignment="0"/>
    <xf numFmtId="0" fontId="26" fillId="0" borderId="0" applyFill="0" applyBorder="0" applyAlignment="0"/>
    <xf numFmtId="0" fontId="26" fillId="0" borderId="0" applyFill="0" applyBorder="0" applyAlignment="0"/>
    <xf numFmtId="0" fontId="26" fillId="0" borderId="0" applyFill="0" applyBorder="0" applyAlignment="0"/>
    <xf numFmtId="0" fontId="26" fillId="0" borderId="0" applyFill="0" applyBorder="0" applyAlignment="0"/>
    <xf numFmtId="227" fontId="6" fillId="0" borderId="0"/>
    <xf numFmtId="0" fontId="89" fillId="6" borderId="0"/>
    <xf numFmtId="0" fontId="54" fillId="0" borderId="0" applyNumberFormat="0" applyFont="0" applyFill="0" applyBorder="0" applyAlignment="0" applyProtection="0">
      <alignment horizontal="left"/>
    </xf>
    <xf numFmtId="15" fontId="54" fillId="0" borderId="0" applyFont="0" applyFill="0" applyBorder="0" applyAlignment="0" applyProtection="0"/>
    <xf numFmtId="4" fontId="54" fillId="0" borderId="0" applyFont="0" applyFill="0" applyBorder="0" applyAlignment="0" applyProtection="0"/>
    <xf numFmtId="0" fontId="90" fillId="0" borderId="10">
      <alignment horizontal="center"/>
    </xf>
    <xf numFmtId="3" fontId="54" fillId="0" borderId="0" applyFont="0" applyFill="0" applyBorder="0" applyAlignment="0" applyProtection="0"/>
    <xf numFmtId="0" fontId="54" fillId="20" borderId="0" applyNumberFormat="0" applyFont="0" applyBorder="0" applyAlignment="0" applyProtection="0"/>
    <xf numFmtId="0" fontId="22" fillId="0" borderId="0">
      <alignment vertical="top"/>
    </xf>
    <xf numFmtId="0" fontId="22" fillId="0" borderId="0">
      <alignment vertical="top"/>
    </xf>
    <xf numFmtId="0" fontId="22" fillId="0" borderId="0">
      <alignment vertical="top"/>
    </xf>
    <xf numFmtId="0" fontId="22" fillId="0" borderId="0">
      <alignment vertical="top"/>
    </xf>
    <xf numFmtId="245" fontId="91" fillId="0" borderId="0"/>
    <xf numFmtId="0" fontId="6" fillId="0" borderId="0" applyFont="0" applyFill="0" applyBorder="0" applyProtection="0">
      <alignment horizontal="right"/>
    </xf>
    <xf numFmtId="0" fontId="6" fillId="0" borderId="0" applyFont="0" applyFill="0" applyBorder="0" applyProtection="0">
      <alignment horizontal="right"/>
    </xf>
    <xf numFmtId="0" fontId="6" fillId="0" borderId="0" applyFont="0" applyFill="0" applyBorder="0" applyProtection="0">
      <alignment horizontal="right"/>
    </xf>
    <xf numFmtId="0" fontId="92" fillId="21" borderId="0" applyNumberFormat="0" applyFont="0" applyBorder="0" applyAlignment="0">
      <alignment horizontal="center"/>
    </xf>
    <xf numFmtId="14" fontId="41" fillId="0" borderId="0" applyNumberFormat="0" applyFill="0" applyBorder="0" applyAlignment="0" applyProtection="0">
      <alignment horizontal="left"/>
    </xf>
    <xf numFmtId="49" fontId="2" fillId="0" borderId="0" applyFont="0" applyFill="0" applyBorder="0" applyProtection="0">
      <alignment horizontal="right"/>
    </xf>
    <xf numFmtId="49" fontId="20" fillId="0" borderId="0" applyFill="0" applyBorder="0" applyProtection="0">
      <alignment horizontal="right"/>
    </xf>
    <xf numFmtId="49" fontId="20" fillId="0" borderId="3" applyFill="0" applyProtection="0">
      <alignment horizontal="right"/>
    </xf>
    <xf numFmtId="49" fontId="20" fillId="0" borderId="12" applyFill="0" applyProtection="0">
      <alignment horizontal="right"/>
    </xf>
    <xf numFmtId="0" fontId="64" fillId="0" borderId="0" applyFill="0" applyBorder="0" applyProtection="0">
      <alignment horizontal="left"/>
    </xf>
    <xf numFmtId="0" fontId="13" fillId="22" borderId="0"/>
    <xf numFmtId="0" fontId="92" fillId="1" borderId="8" applyNumberFormat="0" applyFont="0" applyAlignment="0">
      <alignment horizontal="center"/>
    </xf>
    <xf numFmtId="246" fontId="93" fillId="0" borderId="0" applyFont="0" applyFill="0" applyBorder="0" applyAlignment="0" applyProtection="0"/>
    <xf numFmtId="1" fontId="6" fillId="0" borderId="0"/>
    <xf numFmtId="0" fontId="2" fillId="0" borderId="0" applyFont="0" applyFill="0" applyBorder="0" applyAlignment="0" applyProtection="0"/>
    <xf numFmtId="0" fontId="20" fillId="0" borderId="0" applyFill="0" applyBorder="0" applyAlignment="0" applyProtection="0"/>
    <xf numFmtId="42" fontId="21" fillId="0" borderId="0" applyFill="0" applyBorder="0" applyAlignment="0" applyProtection="0"/>
    <xf numFmtId="0" fontId="94" fillId="0" borderId="0" applyNumberFormat="0" applyFill="0" applyBorder="0" applyAlignment="0">
      <alignment horizontal="center"/>
    </xf>
    <xf numFmtId="12" fontId="6" fillId="0" borderId="0" applyFont="0" applyFill="0" applyBorder="0" applyProtection="0">
      <alignment horizontal="right"/>
    </xf>
    <xf numFmtId="0" fontId="6" fillId="23" borderId="0" applyFont="0" applyFill="0" applyBorder="0" applyProtection="0">
      <alignment horizontal="right"/>
    </xf>
    <xf numFmtId="0" fontId="4" fillId="0" borderId="0">
      <alignment vertical="top"/>
    </xf>
    <xf numFmtId="0" fontId="79" fillId="0" borderId="0" applyNumberFormat="0" applyFill="0" applyBorder="0" applyProtection="0">
      <alignment horizontal="left"/>
    </xf>
    <xf numFmtId="0" fontId="22" fillId="0" borderId="0" applyNumberFormat="0" applyFill="0" applyBorder="0" applyProtection="0">
      <alignment horizontal="left"/>
    </xf>
    <xf numFmtId="0" fontId="22" fillId="0" borderId="0" applyNumberFormat="0" applyFill="0" applyBorder="0" applyProtection="0">
      <alignment horizontal="left"/>
    </xf>
    <xf numFmtId="0" fontId="23" fillId="0" borderId="0" applyNumberFormat="0" applyFill="0" applyBorder="0" applyProtection="0">
      <alignment horizontal="left"/>
    </xf>
    <xf numFmtId="0" fontId="23" fillId="0" borderId="0" applyFill="0" applyBorder="0" applyProtection="0">
      <alignment horizontal="left" wrapText="1"/>
    </xf>
    <xf numFmtId="0" fontId="23" fillId="0" borderId="0" applyNumberFormat="0" applyFill="0" applyBorder="0" applyProtection="0">
      <alignment horizontal="right" wrapText="1"/>
    </xf>
    <xf numFmtId="1" fontId="22" fillId="0" borderId="0" applyFill="0" applyBorder="0" applyProtection="0">
      <alignment horizontal="left"/>
    </xf>
    <xf numFmtId="49" fontId="22" fillId="0" borderId="0" applyFill="0" applyBorder="0" applyProtection="0">
      <alignment horizontal="left"/>
    </xf>
    <xf numFmtId="1" fontId="22" fillId="0" borderId="0" applyFill="0" applyBorder="0" applyProtection="0">
      <alignment horizontal="center"/>
    </xf>
    <xf numFmtId="37" fontId="22" fillId="0" borderId="0" applyFill="0" applyBorder="0" applyProtection="0">
      <alignment horizontal="right"/>
    </xf>
    <xf numFmtId="7" fontId="22" fillId="0" borderId="0" applyFill="0" applyBorder="0" applyProtection="0">
      <alignment horizontal="right"/>
    </xf>
    <xf numFmtId="247" fontId="22" fillId="0" borderId="0" applyFill="0" applyBorder="0" applyProtection="0">
      <alignment horizontal="left"/>
    </xf>
    <xf numFmtId="37" fontId="23" fillId="0" borderId="0" applyFill="0" applyBorder="0" applyProtection="0">
      <alignment horizontal="right"/>
    </xf>
    <xf numFmtId="7" fontId="23" fillId="0" borderId="0" applyFill="0" applyBorder="0" applyProtection="0">
      <alignment horizontal="right"/>
    </xf>
    <xf numFmtId="248" fontId="22" fillId="0" borderId="0" applyFill="0" applyBorder="0" applyProtection="0">
      <alignment horizontal="right"/>
    </xf>
    <xf numFmtId="249" fontId="22" fillId="0" borderId="0" applyFill="0" applyBorder="0" applyProtection="0">
      <alignment horizontal="right"/>
    </xf>
    <xf numFmtId="250" fontId="22" fillId="0" borderId="0" applyFill="0" applyBorder="0" applyProtection="0">
      <alignment horizontal="right"/>
    </xf>
    <xf numFmtId="14" fontId="22" fillId="0" borderId="0" applyFill="0" applyBorder="0" applyProtection="0">
      <alignment horizontal="right"/>
    </xf>
    <xf numFmtId="14" fontId="22" fillId="0" borderId="0" applyFill="0" applyBorder="0" applyProtection="0">
      <alignment horizontal="right"/>
    </xf>
    <xf numFmtId="251" fontId="22" fillId="0" borderId="0" applyFill="0" applyBorder="0" applyProtection="0">
      <alignment horizontal="left"/>
    </xf>
    <xf numFmtId="252" fontId="22" fillId="0" borderId="0" applyFill="0" applyBorder="0" applyProtection="0">
      <alignment horizontal="left"/>
    </xf>
    <xf numFmtId="248" fontId="23" fillId="0" borderId="0" applyFill="0" applyBorder="0" applyProtection="0">
      <alignment horizontal="right"/>
    </xf>
    <xf numFmtId="1" fontId="23" fillId="0" borderId="0" applyFill="0" applyBorder="0" applyProtection="0">
      <alignment horizontal="left"/>
    </xf>
    <xf numFmtId="247" fontId="23" fillId="0" borderId="0" applyFill="0" applyBorder="0" applyProtection="0">
      <alignment horizontal="left"/>
    </xf>
    <xf numFmtId="37" fontId="23" fillId="0" borderId="0" applyFill="0" applyBorder="0" applyProtection="0">
      <alignment horizontal="right"/>
    </xf>
    <xf numFmtId="1" fontId="95" fillId="0" borderId="0" applyFill="0" applyBorder="0" applyProtection="0">
      <alignment horizontal="left"/>
    </xf>
    <xf numFmtId="49" fontId="22" fillId="0" borderId="0" applyFill="0" applyBorder="0" applyProtection="0">
      <alignment horizontal="left"/>
    </xf>
    <xf numFmtId="252" fontId="22" fillId="0" borderId="0" applyFill="0" applyBorder="0" applyProtection="0">
      <alignment horizontal="left"/>
    </xf>
    <xf numFmtId="0" fontId="4" fillId="0" borderId="0" applyNumberFormat="0" applyBorder="0" applyAlignment="0"/>
    <xf numFmtId="0" fontId="14" fillId="0" borderId="0"/>
    <xf numFmtId="40" fontId="96" fillId="0" borderId="0" applyBorder="0">
      <alignment horizontal="right"/>
    </xf>
    <xf numFmtId="6" fontId="70" fillId="0" borderId="36" applyFill="0">
      <alignment vertical="center"/>
    </xf>
    <xf numFmtId="0" fontId="15" fillId="0" borderId="0"/>
    <xf numFmtId="0" fontId="97" fillId="0" borderId="0"/>
    <xf numFmtId="0" fontId="2" fillId="0" borderId="0"/>
    <xf numFmtId="49" fontId="4" fillId="0" borderId="0" applyFill="0" applyBorder="0" applyAlignment="0"/>
    <xf numFmtId="0" fontId="26" fillId="0" borderId="0" applyFill="0" applyBorder="0" applyAlignment="0"/>
    <xf numFmtId="201" fontId="6" fillId="0" borderId="0" applyFill="0" applyBorder="0" applyAlignment="0"/>
    <xf numFmtId="0" fontId="16" fillId="0" borderId="0"/>
    <xf numFmtId="0" fontId="17" fillId="0" borderId="0"/>
    <xf numFmtId="0" fontId="18" fillId="0" borderId="0">
      <alignment vertical="top"/>
    </xf>
    <xf numFmtId="253" fontId="70" fillId="0" borderId="0" applyFill="0" applyBorder="0">
      <alignment vertical="center"/>
    </xf>
    <xf numFmtId="0" fontId="22" fillId="0" borderId="0" applyNumberFormat="0" applyFill="0" applyBorder="0" applyAlignment="0" applyProtection="0"/>
    <xf numFmtId="0" fontId="55"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38" fontId="98" fillId="0" borderId="0" applyNumberFormat="0" applyFill="0" applyBorder="0">
      <alignment horizontal="left" vertical="center"/>
    </xf>
    <xf numFmtId="38" fontId="99" fillId="0" borderId="0" applyNumberFormat="0" applyFill="0" applyBorder="0">
      <alignment horizontal="centerContinuous" vertical="center"/>
    </xf>
    <xf numFmtId="0" fontId="19" fillId="0" borderId="0">
      <alignment vertical="top"/>
    </xf>
    <xf numFmtId="0" fontId="100" fillId="0" borderId="0" applyNumberFormat="0" applyFill="0" applyBorder="0" applyAlignment="0" applyProtection="0"/>
    <xf numFmtId="0" fontId="6" fillId="0" borderId="0" applyNumberFormat="0" applyFill="0" applyBorder="0" applyAlignment="0" applyProtection="0"/>
    <xf numFmtId="0" fontId="25" fillId="0" borderId="0" applyFill="0" applyBorder="0" applyAlignment="0" applyProtection="0"/>
    <xf numFmtId="0" fontId="16" fillId="0" borderId="0">
      <alignment wrapText="1"/>
    </xf>
    <xf numFmtId="0" fontId="101" fillId="0" borderId="0">
      <alignment horizontal="left"/>
      <protection locked="0"/>
    </xf>
    <xf numFmtId="5" fontId="86" fillId="0" borderId="0">
      <alignment vertical="center"/>
    </xf>
    <xf numFmtId="223" fontId="26" fillId="0" borderId="0"/>
    <xf numFmtId="254" fontId="27" fillId="0" borderId="0" applyFill="0" applyBorder="0" applyAlignment="0" applyProtection="0"/>
    <xf numFmtId="14" fontId="22" fillId="0" borderId="0" applyFont="0" applyFill="0" applyBorder="0" applyProtection="0"/>
    <xf numFmtId="255" fontId="102" fillId="0" borderId="0" applyFill="0" applyBorder="0">
      <alignment vertical="center"/>
    </xf>
    <xf numFmtId="0" fontId="70" fillId="24" borderId="37" applyNumberFormat="0" applyFont="0" applyBorder="0" applyAlignment="0" applyProtection="0">
      <alignment horizontal="right"/>
    </xf>
    <xf numFmtId="256" fontId="21" fillId="0" borderId="0" applyFont="0" applyFill="0" applyBorder="0" applyAlignment="0" applyProtection="0"/>
    <xf numFmtId="255" fontId="103" fillId="0" borderId="0">
      <alignment horizontal="center"/>
    </xf>
    <xf numFmtId="43" fontId="6" fillId="0" borderId="0" applyFont="0" applyFill="0" applyBorder="0" applyAlignment="0" applyProtection="0"/>
    <xf numFmtId="41" fontId="6" fillId="0" borderId="0" applyFont="0" applyFill="0" applyBorder="0" applyAlignment="0" applyProtection="0"/>
    <xf numFmtId="0" fontId="6" fillId="0" borderId="0"/>
    <xf numFmtId="44" fontId="6" fillId="0" borderId="0" applyFont="0" applyFill="0" applyBorder="0" applyAlignment="0" applyProtection="0"/>
    <xf numFmtId="42" fontId="6" fillId="0" borderId="0" applyFont="0" applyFill="0" applyBorder="0" applyAlignment="0" applyProtection="0"/>
  </cellStyleXfs>
  <cellXfs count="509">
    <xf numFmtId="0" fontId="0" fillId="0" borderId="0" xfId="0"/>
    <xf numFmtId="0" fontId="109" fillId="0" borderId="0" xfId="0" applyFont="1"/>
    <xf numFmtId="0" fontId="110" fillId="0" borderId="0" xfId="0" applyFont="1"/>
    <xf numFmtId="0" fontId="111" fillId="0" borderId="0" xfId="0" applyFont="1"/>
    <xf numFmtId="165" fontId="112" fillId="0" borderId="0" xfId="0" applyNumberFormat="1" applyFont="1"/>
    <xf numFmtId="0" fontId="113" fillId="0" borderId="0" xfId="0" applyFont="1"/>
    <xf numFmtId="165" fontId="109" fillId="0" borderId="0" xfId="0" applyNumberFormat="1" applyFont="1"/>
    <xf numFmtId="0" fontId="109" fillId="0" borderId="0" xfId="0" applyFont="1" applyAlignment="1">
      <alignment horizontal="left"/>
    </xf>
    <xf numFmtId="165" fontId="113" fillId="0" borderId="0" xfId="0" applyNumberFormat="1" applyFont="1"/>
    <xf numFmtId="167" fontId="109" fillId="0" borderId="0" xfId="0" applyNumberFormat="1" applyFont="1"/>
    <xf numFmtId="0" fontId="114" fillId="26" borderId="0" xfId="0" applyFont="1" applyFill="1" applyAlignment="1">
      <alignment horizontal="left"/>
    </xf>
    <xf numFmtId="0" fontId="113" fillId="26" borderId="0" xfId="0" applyFont="1" applyFill="1"/>
    <xf numFmtId="0" fontId="113" fillId="26" borderId="38" xfId="0" applyFont="1" applyFill="1" applyBorder="1" applyAlignment="1">
      <alignment horizontal="centerContinuous"/>
    </xf>
    <xf numFmtId="168" fontId="113" fillId="26" borderId="0" xfId="0" applyNumberFormat="1" applyFont="1" applyFill="1" applyAlignment="1">
      <alignment horizontal="centerContinuous"/>
    </xf>
    <xf numFmtId="168" fontId="113" fillId="26" borderId="0" xfId="0" applyNumberFormat="1" applyFont="1" applyFill="1" applyAlignment="1">
      <alignment horizontal="center"/>
    </xf>
    <xf numFmtId="0" fontId="113" fillId="0" borderId="0" xfId="0" applyFont="1" applyAlignment="1">
      <alignment horizontal="left"/>
    </xf>
    <xf numFmtId="0" fontId="113" fillId="26" borderId="3" xfId="0" applyFont="1" applyFill="1" applyBorder="1"/>
    <xf numFmtId="0" fontId="109" fillId="26" borderId="3" xfId="0" applyFont="1" applyFill="1" applyBorder="1"/>
    <xf numFmtId="0" fontId="113" fillId="0" borderId="3" xfId="0" applyFont="1" applyBorder="1"/>
    <xf numFmtId="0" fontId="115" fillId="27" borderId="0" xfId="0" applyFont="1" applyFill="1" applyAlignment="1">
      <alignment horizontal="left" indent="1"/>
    </xf>
    <xf numFmtId="169" fontId="116" fillId="27" borderId="0" xfId="543" applyNumberFormat="1" applyFont="1" applyFill="1"/>
    <xf numFmtId="0" fontId="115" fillId="27" borderId="0" xfId="0" applyFont="1" applyFill="1"/>
    <xf numFmtId="0" fontId="115" fillId="27" borderId="0" xfId="0" applyFont="1" applyFill="1" applyAlignment="1">
      <alignment horizontal="left"/>
    </xf>
    <xf numFmtId="43" fontId="111" fillId="0" borderId="0" xfId="162" applyFont="1" applyFill="1" applyBorder="1" applyAlignment="1">
      <alignment horizontal="center"/>
    </xf>
    <xf numFmtId="37" fontId="109" fillId="0" borderId="0" xfId="0" applyNumberFormat="1" applyFont="1"/>
    <xf numFmtId="0" fontId="113" fillId="0" borderId="39" xfId="0" applyFont="1" applyBorder="1"/>
    <xf numFmtId="0" fontId="109" fillId="0" borderId="3" xfId="0" applyFont="1" applyBorder="1"/>
    <xf numFmtId="165" fontId="111" fillId="0" borderId="0" xfId="0" applyNumberFormat="1" applyFont="1"/>
    <xf numFmtId="257" fontId="113" fillId="0" borderId="0" xfId="0" applyNumberFormat="1" applyFont="1"/>
    <xf numFmtId="257" fontId="109" fillId="0" borderId="0" xfId="0" applyNumberFormat="1" applyFont="1"/>
    <xf numFmtId="0" fontId="113" fillId="27" borderId="8" xfId="266" applyFont="1" applyFill="1" applyBorder="1" applyAlignment="1">
      <alignment horizontal="left" wrapText="1"/>
    </xf>
    <xf numFmtId="0" fontId="109" fillId="0" borderId="0" xfId="266" applyFont="1" applyAlignment="1">
      <alignment horizontal="center" wrapText="1"/>
    </xf>
    <xf numFmtId="0" fontId="109" fillId="0" borderId="0" xfId="266" applyFont="1"/>
    <xf numFmtId="169" fontId="115" fillId="27" borderId="0" xfId="543" applyNumberFormat="1" applyFont="1" applyFill="1" applyBorder="1"/>
    <xf numFmtId="166" fontId="113" fillId="0" borderId="0" xfId="0" applyNumberFormat="1" applyFont="1"/>
    <xf numFmtId="172" fontId="109" fillId="0" borderId="0" xfId="162" applyNumberFormat="1" applyFont="1"/>
    <xf numFmtId="165" fontId="117" fillId="0" borderId="0" xfId="0" applyNumberFormat="1" applyFont="1"/>
    <xf numFmtId="165" fontId="118" fillId="0" borderId="0" xfId="0" applyNumberFormat="1" applyFont="1"/>
    <xf numFmtId="169" fontId="115" fillId="27" borderId="0" xfId="0" applyNumberFormat="1" applyFont="1" applyFill="1"/>
    <xf numFmtId="165" fontId="112" fillId="0" borderId="0" xfId="0" applyNumberFormat="1" applyFont="1" applyAlignment="1">
      <alignment horizontal="right"/>
    </xf>
    <xf numFmtId="0" fontId="109" fillId="28" borderId="0" xfId="267" applyFont="1" applyFill="1"/>
    <xf numFmtId="0" fontId="113" fillId="28" borderId="8" xfId="267" applyFont="1" applyFill="1" applyBorder="1"/>
    <xf numFmtId="258" fontId="113" fillId="28" borderId="8" xfId="267" applyNumberFormat="1" applyFont="1" applyFill="1" applyBorder="1"/>
    <xf numFmtId="258" fontId="109" fillId="28" borderId="0" xfId="267" applyNumberFormat="1" applyFont="1" applyFill="1"/>
    <xf numFmtId="168" fontId="113" fillId="26" borderId="3" xfId="0" applyNumberFormat="1" applyFont="1" applyFill="1" applyBorder="1" applyAlignment="1">
      <alignment horizontal="centerContinuous"/>
    </xf>
    <xf numFmtId="165" fontId="112" fillId="29" borderId="0" xfId="0" applyNumberFormat="1" applyFont="1" applyFill="1"/>
    <xf numFmtId="0" fontId="115" fillId="0" borderId="0" xfId="0" applyFont="1"/>
    <xf numFmtId="0" fontId="109" fillId="0" borderId="0" xfId="0" applyFont="1" applyAlignment="1">
      <alignment horizontal="right"/>
    </xf>
    <xf numFmtId="258" fontId="113" fillId="0" borderId="0" xfId="0" applyNumberFormat="1" applyFont="1" applyAlignment="1">
      <alignment horizontal="right"/>
    </xf>
    <xf numFmtId="258" fontId="109" fillId="0" borderId="0" xfId="0" applyNumberFormat="1" applyFont="1" applyAlignment="1">
      <alignment horizontal="right"/>
    </xf>
    <xf numFmtId="9" fontId="115" fillId="27" borderId="0" xfId="543" applyFont="1" applyFill="1" applyAlignment="1">
      <alignment horizontal="right"/>
    </xf>
    <xf numFmtId="37" fontId="109" fillId="0" borderId="0" xfId="0" applyNumberFormat="1" applyFont="1" applyAlignment="1">
      <alignment horizontal="right"/>
    </xf>
    <xf numFmtId="169" fontId="115" fillId="0" borderId="0" xfId="543" applyNumberFormat="1" applyFont="1" applyFill="1" applyBorder="1"/>
    <xf numFmtId="37" fontId="113" fillId="0" borderId="0" xfId="0" applyNumberFormat="1" applyFont="1"/>
    <xf numFmtId="165" fontId="113" fillId="0" borderId="0" xfId="0" applyNumberFormat="1" applyFont="1" applyAlignment="1">
      <alignment horizontal="right"/>
    </xf>
    <xf numFmtId="9" fontId="109" fillId="0" borderId="0" xfId="543" applyFont="1"/>
    <xf numFmtId="0" fontId="109" fillId="29" borderId="0" xfId="0" applyFont="1" applyFill="1" applyAlignment="1">
      <alignment horizontal="left"/>
    </xf>
    <xf numFmtId="9" fontId="109" fillId="0" borderId="0" xfId="543" applyFont="1" applyFill="1"/>
    <xf numFmtId="0" fontId="109" fillId="0" borderId="7" xfId="0" applyFont="1" applyBorder="1"/>
    <xf numFmtId="169" fontId="115" fillId="0" borderId="0" xfId="543" applyNumberFormat="1" applyFont="1" applyFill="1"/>
    <xf numFmtId="165" fontId="119" fillId="0" borderId="0" xfId="0" applyNumberFormat="1" applyFont="1"/>
    <xf numFmtId="165" fontId="113" fillId="0" borderId="39" xfId="0" applyNumberFormat="1" applyFont="1" applyBorder="1"/>
    <xf numFmtId="166" fontId="113" fillId="0" borderId="0" xfId="0" applyNumberFormat="1" applyFont="1" applyAlignment="1">
      <alignment horizontal="right"/>
    </xf>
    <xf numFmtId="0" fontId="115" fillId="0" borderId="0" xfId="0" applyFont="1" applyAlignment="1">
      <alignment horizontal="left" indent="1"/>
    </xf>
    <xf numFmtId="169" fontId="116" fillId="0" borderId="0" xfId="543" applyNumberFormat="1" applyFont="1" applyFill="1"/>
    <xf numFmtId="1" fontId="109" fillId="0" borderId="0" xfId="0" applyNumberFormat="1" applyFont="1" applyAlignment="1">
      <alignment horizontal="right"/>
    </xf>
    <xf numFmtId="0" fontId="113" fillId="0" borderId="7" xfId="0" applyFont="1" applyBorder="1"/>
    <xf numFmtId="9" fontId="109" fillId="0" borderId="0" xfId="543" applyFont="1" applyFill="1" applyBorder="1"/>
    <xf numFmtId="169" fontId="115" fillId="27" borderId="0" xfId="543" applyNumberFormat="1" applyFont="1" applyFill="1" applyAlignment="1">
      <alignment horizontal="right"/>
    </xf>
    <xf numFmtId="0" fontId="113" fillId="0" borderId="0" xfId="266" applyFont="1"/>
    <xf numFmtId="0" fontId="113" fillId="29" borderId="0" xfId="0" applyFont="1" applyFill="1"/>
    <xf numFmtId="0" fontId="113" fillId="28" borderId="0" xfId="267" applyFont="1" applyFill="1"/>
    <xf numFmtId="258" fontId="113" fillId="28" borderId="0" xfId="267" applyNumberFormat="1" applyFont="1" applyFill="1"/>
    <xf numFmtId="0" fontId="109" fillId="0" borderId="21" xfId="266" applyFont="1" applyBorder="1" applyAlignment="1">
      <alignment horizontal="left"/>
    </xf>
    <xf numFmtId="0" fontId="109" fillId="0" borderId="22" xfId="266" applyFont="1" applyBorder="1" applyAlignment="1">
      <alignment horizontal="left"/>
    </xf>
    <xf numFmtId="169" fontId="115" fillId="0" borderId="14" xfId="543" applyNumberFormat="1" applyFont="1" applyFill="1" applyBorder="1"/>
    <xf numFmtId="165" fontId="109" fillId="0" borderId="14" xfId="0" applyNumberFormat="1" applyFont="1" applyBorder="1"/>
    <xf numFmtId="165" fontId="112" fillId="0" borderId="14" xfId="0" applyNumberFormat="1" applyFont="1" applyBorder="1"/>
    <xf numFmtId="0" fontId="110" fillId="0" borderId="8" xfId="0" applyFont="1" applyBorder="1"/>
    <xf numFmtId="0" fontId="113" fillId="26" borderId="8" xfId="0" applyFont="1" applyFill="1" applyBorder="1"/>
    <xf numFmtId="0" fontId="113" fillId="0" borderId="6" xfId="0" applyFont="1" applyBorder="1"/>
    <xf numFmtId="0" fontId="113" fillId="0" borderId="40" xfId="266" applyFont="1" applyBorder="1" applyAlignment="1">
      <alignment horizontal="left" wrapText="1"/>
    </xf>
    <xf numFmtId="0" fontId="113" fillId="0" borderId="41" xfId="266" applyFont="1" applyBorder="1" applyAlignment="1">
      <alignment horizontal="left" wrapText="1"/>
    </xf>
    <xf numFmtId="0" fontId="109" fillId="0" borderId="21" xfId="266" applyFont="1" applyBorder="1" applyAlignment="1">
      <alignment horizontal="left" wrapText="1"/>
    </xf>
    <xf numFmtId="0" fontId="109" fillId="0" borderId="42" xfId="266" applyFont="1" applyBorder="1"/>
    <xf numFmtId="169" fontId="109" fillId="0" borderId="0" xfId="543" applyNumberFormat="1" applyFont="1"/>
    <xf numFmtId="169" fontId="120" fillId="27" borderId="0" xfId="543" applyNumberFormat="1" applyFont="1" applyFill="1"/>
    <xf numFmtId="0" fontId="109" fillId="27" borderId="0" xfId="266" applyFont="1" applyFill="1" applyAlignment="1">
      <alignment horizontal="left" wrapText="1"/>
    </xf>
    <xf numFmtId="0" fontId="109" fillId="27" borderId="0" xfId="266" applyFont="1" applyFill="1" applyAlignment="1">
      <alignment horizontal="right" wrapText="1"/>
    </xf>
    <xf numFmtId="165" fontId="113" fillId="0" borderId="14" xfId="0" applyNumberFormat="1" applyFont="1" applyBorder="1"/>
    <xf numFmtId="0" fontId="121" fillId="0" borderId="0" xfId="0" applyFont="1"/>
    <xf numFmtId="169" fontId="113" fillId="0" borderId="0" xfId="543" applyNumberFormat="1" applyFont="1"/>
    <xf numFmtId="165" fontId="121" fillId="0" borderId="0" xfId="0" applyNumberFormat="1" applyFont="1"/>
    <xf numFmtId="169" fontId="119" fillId="0" borderId="0" xfId="543" applyNumberFormat="1" applyFont="1" applyFill="1"/>
    <xf numFmtId="3" fontId="121" fillId="0" borderId="0" xfId="0" applyNumberFormat="1" applyFont="1"/>
    <xf numFmtId="172" fontId="122" fillId="27" borderId="0" xfId="162" applyNumberFormat="1" applyFont="1" applyFill="1" applyBorder="1" applyAlignment="1">
      <alignment horizontal="center" wrapText="1"/>
    </xf>
    <xf numFmtId="1" fontId="109" fillId="0" borderId="0" xfId="266" applyNumberFormat="1" applyFont="1"/>
    <xf numFmtId="0" fontId="109" fillId="0" borderId="0" xfId="0" applyFont="1" applyAlignment="1">
      <alignment wrapText="1"/>
    </xf>
    <xf numFmtId="165" fontId="111" fillId="0" borderId="0" xfId="0" applyNumberFormat="1" applyFont="1" applyAlignment="1">
      <alignment horizontal="right" vertical="center"/>
    </xf>
    <xf numFmtId="169" fontId="116" fillId="27" borderId="0" xfId="543" applyNumberFormat="1" applyFont="1" applyFill="1" applyAlignment="1">
      <alignment horizontal="right" vertical="center"/>
    </xf>
    <xf numFmtId="165" fontId="112" fillId="0" borderId="0" xfId="0" applyNumberFormat="1" applyFont="1" applyAlignment="1">
      <alignment horizontal="right" vertical="center"/>
    </xf>
    <xf numFmtId="165" fontId="113" fillId="0" borderId="0" xfId="0" applyNumberFormat="1" applyFont="1" applyAlignment="1">
      <alignment horizontal="right" vertical="center"/>
    </xf>
    <xf numFmtId="169" fontId="120" fillId="27" borderId="0" xfId="543" applyNumberFormat="1" applyFont="1" applyFill="1" applyAlignment="1">
      <alignment horizontal="right" vertical="center"/>
    </xf>
    <xf numFmtId="165" fontId="109" fillId="0" borderId="0" xfId="0" applyNumberFormat="1" applyFont="1" applyAlignment="1">
      <alignment horizontal="right" vertical="center"/>
    </xf>
    <xf numFmtId="165" fontId="123" fillId="0" borderId="0" xfId="0" applyNumberFormat="1" applyFont="1"/>
    <xf numFmtId="165" fontId="122" fillId="0" borderId="0" xfId="0" applyNumberFormat="1" applyFont="1"/>
    <xf numFmtId="169" fontId="120" fillId="27" borderId="0" xfId="543" applyNumberFormat="1" applyFont="1" applyFill="1" applyAlignment="1">
      <alignment horizontal="right"/>
    </xf>
    <xf numFmtId="17" fontId="109" fillId="26" borderId="3" xfId="0" applyNumberFormat="1" applyFont="1" applyFill="1" applyBorder="1"/>
    <xf numFmtId="0" fontId="113" fillId="27" borderId="0" xfId="266" applyFont="1" applyFill="1" applyAlignment="1">
      <alignment horizontal="left" wrapText="1"/>
    </xf>
    <xf numFmtId="0" fontId="124" fillId="0" borderId="0" xfId="266" applyFont="1"/>
    <xf numFmtId="43" fontId="109" fillId="0" borderId="0" xfId="266" applyNumberFormat="1" applyFont="1"/>
    <xf numFmtId="0" fontId="113" fillId="0" borderId="0" xfId="266" applyFont="1" applyAlignment="1">
      <alignment horizontal="left" wrapText="1"/>
    </xf>
    <xf numFmtId="1" fontId="109" fillId="0" borderId="0" xfId="266" applyNumberFormat="1" applyFont="1" applyAlignment="1">
      <alignment horizontal="left" wrapText="1"/>
    </xf>
    <xf numFmtId="0" fontId="109" fillId="0" borderId="0" xfId="266" applyFont="1" applyAlignment="1">
      <alignment horizontal="left"/>
    </xf>
    <xf numFmtId="0" fontId="113" fillId="27" borderId="8" xfId="266" applyFont="1" applyFill="1" applyBorder="1" applyAlignment="1">
      <alignment horizontal="center" vertical="center" wrapText="1"/>
    </xf>
    <xf numFmtId="172" fontId="109" fillId="0" borderId="27" xfId="162" applyNumberFormat="1" applyFont="1" applyFill="1" applyBorder="1" applyAlignment="1">
      <alignment horizontal="left" wrapText="1"/>
    </xf>
    <xf numFmtId="172" fontId="109" fillId="0" borderId="43" xfId="162" applyNumberFormat="1" applyFont="1" applyFill="1" applyBorder="1" applyAlignment="1">
      <alignment horizontal="left" wrapText="1"/>
    </xf>
    <xf numFmtId="169" fontId="115" fillId="27" borderId="0" xfId="543" applyNumberFormat="1" applyFont="1" applyFill="1" applyBorder="1" applyAlignment="1">
      <alignment horizontal="right" vertical="center"/>
    </xf>
    <xf numFmtId="261" fontId="112" fillId="0" borderId="0" xfId="543" applyNumberFormat="1" applyFont="1" applyFill="1"/>
    <xf numFmtId="165" fontId="115" fillId="27" borderId="0" xfId="0" applyNumberFormat="1" applyFont="1" applyFill="1"/>
    <xf numFmtId="168" fontId="113" fillId="26" borderId="3" xfId="0" applyNumberFormat="1" applyFont="1" applyFill="1" applyBorder="1" applyAlignment="1">
      <alignment horizontal="center"/>
    </xf>
    <xf numFmtId="262" fontId="121" fillId="0" borderId="0" xfId="0" applyNumberFormat="1" applyFont="1"/>
    <xf numFmtId="1" fontId="109" fillId="0" borderId="27" xfId="266" applyNumberFormat="1" applyFont="1" applyBorder="1"/>
    <xf numFmtId="1" fontId="109" fillId="0" borderId="28" xfId="266" applyNumberFormat="1" applyFont="1" applyBorder="1"/>
    <xf numFmtId="0" fontId="113" fillId="0" borderId="44" xfId="266" applyFont="1" applyBorder="1" applyAlignment="1">
      <alignment horizontal="left" wrapText="1"/>
    </xf>
    <xf numFmtId="0" fontId="109" fillId="0" borderId="45" xfId="266" applyFont="1" applyBorder="1" applyAlignment="1">
      <alignment horizontal="left"/>
    </xf>
    <xf numFmtId="165" fontId="109" fillId="0" borderId="46" xfId="266" applyNumberFormat="1" applyFont="1" applyBorder="1"/>
    <xf numFmtId="169" fontId="120" fillId="0" borderId="0" xfId="543" applyNumberFormat="1" applyFont="1" applyFill="1"/>
    <xf numFmtId="169" fontId="120" fillId="0" borderId="0" xfId="543" applyNumberFormat="1" applyFont="1" applyFill="1" applyBorder="1"/>
    <xf numFmtId="0" fontId="121" fillId="0" borderId="0" xfId="0" applyFont="1" applyAlignment="1">
      <alignment horizontal="left"/>
    </xf>
    <xf numFmtId="170" fontId="109" fillId="0" borderId="0" xfId="0" applyNumberFormat="1" applyFont="1"/>
    <xf numFmtId="170" fontId="113" fillId="0" borderId="8" xfId="162" applyNumberFormat="1" applyFont="1" applyFill="1" applyBorder="1" applyAlignment="1">
      <alignment horizontal="center"/>
    </xf>
    <xf numFmtId="172" fontId="113" fillId="0" borderId="8" xfId="162" applyNumberFormat="1" applyFont="1" applyFill="1" applyBorder="1" applyAlignment="1">
      <alignment horizontal="center"/>
    </xf>
    <xf numFmtId="172" fontId="113" fillId="0" borderId="0" xfId="162" applyNumberFormat="1" applyFont="1" applyFill="1" applyBorder="1" applyAlignment="1">
      <alignment horizontal="center"/>
    </xf>
    <xf numFmtId="259" fontId="124" fillId="0" borderId="0" xfId="266" applyNumberFormat="1" applyFont="1"/>
    <xf numFmtId="43" fontId="113" fillId="0" borderId="8" xfId="162" applyFont="1" applyFill="1" applyBorder="1" applyAlignment="1">
      <alignment horizontal="center"/>
    </xf>
    <xf numFmtId="258" fontId="113" fillId="0" borderId="8" xfId="267" applyNumberFormat="1" applyFont="1" applyBorder="1"/>
    <xf numFmtId="260" fontId="113" fillId="0" borderId="0" xfId="0" applyNumberFormat="1" applyFont="1" applyAlignment="1">
      <alignment horizontal="right"/>
    </xf>
    <xf numFmtId="0" fontId="113" fillId="27" borderId="0" xfId="266" applyFont="1" applyFill="1" applyAlignment="1">
      <alignment horizontal="center" vertical="center" wrapText="1"/>
    </xf>
    <xf numFmtId="172" fontId="109" fillId="27" borderId="0" xfId="162" applyNumberFormat="1" applyFont="1" applyFill="1" applyBorder="1" applyAlignment="1">
      <alignment horizontal="center" wrapText="1"/>
    </xf>
    <xf numFmtId="259" fontId="109" fillId="27" borderId="0" xfId="266" applyNumberFormat="1" applyFont="1" applyFill="1" applyAlignment="1">
      <alignment horizontal="right" wrapText="1"/>
    </xf>
    <xf numFmtId="259" fontId="113" fillId="27" borderId="0" xfId="266" applyNumberFormat="1" applyFont="1" applyFill="1" applyAlignment="1">
      <alignment horizontal="right" wrapText="1"/>
    </xf>
    <xf numFmtId="172" fontId="113" fillId="28" borderId="8" xfId="267" applyNumberFormat="1" applyFont="1" applyFill="1" applyBorder="1"/>
    <xf numFmtId="0" fontId="113" fillId="30" borderId="38" xfId="0" applyFont="1" applyFill="1" applyBorder="1" applyAlignment="1">
      <alignment horizontal="centerContinuous"/>
    </xf>
    <xf numFmtId="168" fontId="113" fillId="30" borderId="0" xfId="0" applyNumberFormat="1" applyFont="1" applyFill="1" applyAlignment="1">
      <alignment horizontal="centerContinuous"/>
    </xf>
    <xf numFmtId="168" fontId="113" fillId="30" borderId="0" xfId="0" applyNumberFormat="1" applyFont="1" applyFill="1" applyAlignment="1">
      <alignment horizontal="center"/>
    </xf>
    <xf numFmtId="43" fontId="111" fillId="30" borderId="0" xfId="162" applyFont="1" applyFill="1" applyBorder="1" applyAlignment="1">
      <alignment horizontal="center"/>
    </xf>
    <xf numFmtId="0" fontId="109" fillId="30" borderId="3" xfId="0" applyFont="1" applyFill="1" applyBorder="1"/>
    <xf numFmtId="165" fontId="111" fillId="30" borderId="0" xfId="0" applyNumberFormat="1" applyFont="1" applyFill="1" applyAlignment="1">
      <alignment horizontal="right" vertical="center"/>
    </xf>
    <xf numFmtId="169" fontId="116" fillId="30" borderId="0" xfId="543" applyNumberFormat="1" applyFont="1" applyFill="1" applyAlignment="1">
      <alignment horizontal="right" vertical="center"/>
    </xf>
    <xf numFmtId="165" fontId="112" fillId="30" borderId="0" xfId="0" applyNumberFormat="1" applyFont="1" applyFill="1" applyAlignment="1">
      <alignment horizontal="right" vertical="center"/>
    </xf>
    <xf numFmtId="165" fontId="113" fillId="30" borderId="0" xfId="0" applyNumberFormat="1" applyFont="1" applyFill="1" applyAlignment="1">
      <alignment horizontal="right" vertical="center"/>
    </xf>
    <xf numFmtId="0" fontId="115" fillId="30" borderId="0" xfId="0" applyFont="1" applyFill="1"/>
    <xf numFmtId="0" fontId="113" fillId="30" borderId="0" xfId="0" applyFont="1" applyFill="1"/>
    <xf numFmtId="165" fontId="109" fillId="30" borderId="0" xfId="0" applyNumberFormat="1" applyFont="1" applyFill="1"/>
    <xf numFmtId="165" fontId="113" fillId="30" borderId="0" xfId="0" applyNumberFormat="1" applyFont="1" applyFill="1"/>
    <xf numFmtId="169" fontId="116" fillId="30" borderId="0" xfId="543" applyNumberFormat="1" applyFont="1" applyFill="1"/>
    <xf numFmtId="165" fontId="123" fillId="30" borderId="0" xfId="0" applyNumberFormat="1" applyFont="1" applyFill="1"/>
    <xf numFmtId="259" fontId="113" fillId="30" borderId="0" xfId="0" applyNumberFormat="1" applyFont="1" applyFill="1"/>
    <xf numFmtId="0" fontId="109" fillId="30" borderId="0" xfId="0" applyFont="1" applyFill="1"/>
    <xf numFmtId="17" fontId="109" fillId="30" borderId="3" xfId="0" applyNumberFormat="1" applyFont="1" applyFill="1" applyBorder="1"/>
    <xf numFmtId="165" fontId="122" fillId="30" borderId="0" xfId="0" applyNumberFormat="1" applyFont="1" applyFill="1"/>
    <xf numFmtId="165" fontId="118" fillId="30" borderId="0" xfId="0" applyNumberFormat="1" applyFont="1" applyFill="1"/>
    <xf numFmtId="0" fontId="121" fillId="30" borderId="0" xfId="0" applyFont="1" applyFill="1"/>
    <xf numFmtId="259" fontId="109" fillId="28" borderId="0" xfId="267" applyNumberFormat="1" applyFont="1" applyFill="1"/>
    <xf numFmtId="259" fontId="113" fillId="28" borderId="0" xfId="267" applyNumberFormat="1" applyFont="1" applyFill="1"/>
    <xf numFmtId="259" fontId="113" fillId="0" borderId="8" xfId="162" applyNumberFormat="1" applyFont="1" applyFill="1" applyBorder="1" applyAlignment="1">
      <alignment horizontal="right"/>
    </xf>
    <xf numFmtId="0" fontId="109" fillId="31" borderId="0" xfId="266" applyFont="1" applyFill="1"/>
    <xf numFmtId="0" fontId="113" fillId="31" borderId="0" xfId="266" applyFont="1" applyFill="1"/>
    <xf numFmtId="0" fontId="113" fillId="31" borderId="3" xfId="266" applyFont="1" applyFill="1" applyBorder="1"/>
    <xf numFmtId="172" fontId="109" fillId="31" borderId="0" xfId="162" applyNumberFormat="1" applyFont="1" applyFill="1"/>
    <xf numFmtId="259" fontId="113" fillId="26" borderId="3" xfId="0" applyNumberFormat="1" applyFont="1" applyFill="1" applyBorder="1"/>
    <xf numFmtId="39" fontId="113" fillId="0" borderId="0" xfId="0" applyNumberFormat="1" applyFont="1" applyAlignment="1">
      <alignment horizontal="right"/>
    </xf>
    <xf numFmtId="170" fontId="109" fillId="27" borderId="0" xfId="162" applyNumberFormat="1" applyFont="1" applyFill="1" applyBorder="1" applyAlignment="1">
      <alignment horizontal="right" wrapText="1"/>
    </xf>
    <xf numFmtId="170" fontId="113" fillId="27" borderId="0" xfId="162" applyNumberFormat="1" applyFont="1" applyFill="1" applyBorder="1" applyAlignment="1">
      <alignment horizontal="right" wrapText="1"/>
    </xf>
    <xf numFmtId="170" fontId="109" fillId="28" borderId="0" xfId="162" applyNumberFormat="1" applyFont="1" applyFill="1"/>
    <xf numFmtId="170" fontId="113" fillId="0" borderId="8" xfId="162" applyNumberFormat="1" applyFont="1" applyFill="1" applyBorder="1" applyAlignment="1">
      <alignment horizontal="right"/>
    </xf>
    <xf numFmtId="170" fontId="113" fillId="28" borderId="0" xfId="162" applyNumberFormat="1" applyFont="1" applyFill="1" applyBorder="1"/>
    <xf numFmtId="170" fontId="113" fillId="0" borderId="0" xfId="162" applyNumberFormat="1" applyFont="1" applyFill="1" applyBorder="1" applyAlignment="1">
      <alignment horizontal="center"/>
    </xf>
    <xf numFmtId="170" fontId="109" fillId="0" borderId="0" xfId="162" applyNumberFormat="1" applyFont="1" applyFill="1"/>
    <xf numFmtId="170" fontId="109" fillId="0" borderId="27" xfId="162" applyNumberFormat="1" applyFont="1" applyFill="1" applyBorder="1" applyAlignment="1">
      <alignment horizontal="left" wrapText="1"/>
    </xf>
    <xf numFmtId="170" fontId="109" fillId="0" borderId="28" xfId="162" applyNumberFormat="1" applyFont="1" applyBorder="1" applyAlignment="1"/>
    <xf numFmtId="170" fontId="109" fillId="0" borderId="0" xfId="266" applyNumberFormat="1" applyFont="1"/>
    <xf numFmtId="170" fontId="109" fillId="0" borderId="46" xfId="266" applyNumberFormat="1" applyFont="1" applyBorder="1"/>
    <xf numFmtId="170" fontId="109" fillId="0" borderId="43" xfId="162" applyNumberFormat="1" applyFont="1" applyFill="1" applyBorder="1" applyAlignment="1">
      <alignment horizontal="left" wrapText="1"/>
    </xf>
    <xf numFmtId="170" fontId="113" fillId="26" borderId="3" xfId="162" applyNumberFormat="1" applyFont="1" applyFill="1" applyBorder="1"/>
    <xf numFmtId="170" fontId="109" fillId="26" borderId="3" xfId="162" applyNumberFormat="1" applyFont="1" applyFill="1" applyBorder="1"/>
    <xf numFmtId="170" fontId="113" fillId="0" borderId="0" xfId="162" applyNumberFormat="1" applyFont="1" applyFill="1" applyBorder="1"/>
    <xf numFmtId="0" fontId="113" fillId="32" borderId="0" xfId="0" applyFont="1" applyFill="1"/>
    <xf numFmtId="165" fontId="112" fillId="32" borderId="0" xfId="0" applyNumberFormat="1" applyFont="1" applyFill="1" applyAlignment="1">
      <alignment horizontal="right" vertical="center"/>
    </xf>
    <xf numFmtId="165" fontId="113" fillId="32" borderId="0" xfId="0" applyNumberFormat="1" applyFont="1" applyFill="1" applyAlignment="1">
      <alignment horizontal="right" vertical="center"/>
    </xf>
    <xf numFmtId="0" fontId="115" fillId="32" borderId="0" xfId="0" applyFont="1" applyFill="1"/>
    <xf numFmtId="0" fontId="109" fillId="32" borderId="0" xfId="0" applyFont="1" applyFill="1"/>
    <xf numFmtId="165" fontId="109" fillId="32" borderId="0" xfId="0" applyNumberFormat="1" applyFont="1" applyFill="1"/>
    <xf numFmtId="165" fontId="113" fillId="32" borderId="0" xfId="0" applyNumberFormat="1" applyFont="1" applyFill="1"/>
    <xf numFmtId="165" fontId="112" fillId="32" borderId="0" xfId="0" applyNumberFormat="1" applyFont="1" applyFill="1"/>
    <xf numFmtId="165" fontId="122" fillId="32" borderId="0" xfId="0" applyNumberFormat="1" applyFont="1" applyFill="1"/>
    <xf numFmtId="165" fontId="121" fillId="32" borderId="0" xfId="0" applyNumberFormat="1" applyFont="1" applyFill="1"/>
    <xf numFmtId="165" fontId="113" fillId="32" borderId="0" xfId="0" applyNumberFormat="1" applyFont="1" applyFill="1" applyAlignment="1">
      <alignment horizontal="right"/>
    </xf>
    <xf numFmtId="165" fontId="112" fillId="32" borderId="0" xfId="0" applyNumberFormat="1" applyFont="1" applyFill="1" applyAlignment="1">
      <alignment horizontal="right"/>
    </xf>
    <xf numFmtId="165" fontId="117" fillId="32" borderId="0" xfId="0" applyNumberFormat="1" applyFont="1" applyFill="1"/>
    <xf numFmtId="165" fontId="111" fillId="32" borderId="0" xfId="0" applyNumberFormat="1" applyFont="1" applyFill="1"/>
    <xf numFmtId="17" fontId="109" fillId="26" borderId="3" xfId="0" applyNumberFormat="1" applyFont="1" applyFill="1" applyBorder="1" applyAlignment="1">
      <alignment horizontal="center"/>
    </xf>
    <xf numFmtId="257" fontId="113" fillId="32" borderId="0" xfId="0" applyNumberFormat="1" applyFont="1" applyFill="1"/>
    <xf numFmtId="257" fontId="109" fillId="32" borderId="0" xfId="0" applyNumberFormat="1" applyFont="1" applyFill="1"/>
    <xf numFmtId="168" fontId="113" fillId="0" borderId="3" xfId="0" applyNumberFormat="1" applyFont="1" applyBorder="1" applyAlignment="1">
      <alignment horizontal="centerContinuous"/>
    </xf>
    <xf numFmtId="169" fontId="113" fillId="0" borderId="0" xfId="543" applyNumberFormat="1" applyFont="1" applyFill="1" applyBorder="1"/>
    <xf numFmtId="168" fontId="113" fillId="32" borderId="0" xfId="0" applyNumberFormat="1" applyFont="1" applyFill="1" applyAlignment="1">
      <alignment horizontal="centerContinuous"/>
    </xf>
    <xf numFmtId="168" fontId="113" fillId="32" borderId="0" xfId="0" applyNumberFormat="1" applyFont="1" applyFill="1" applyAlignment="1">
      <alignment horizontal="center"/>
    </xf>
    <xf numFmtId="43" fontId="111" fillId="32" borderId="0" xfId="162" applyFont="1" applyFill="1" applyBorder="1" applyAlignment="1">
      <alignment horizontal="center"/>
    </xf>
    <xf numFmtId="0" fontId="111" fillId="32" borderId="0" xfId="0" applyFont="1" applyFill="1"/>
    <xf numFmtId="169" fontId="115" fillId="32" borderId="0" xfId="543" applyNumberFormat="1" applyFont="1" applyFill="1" applyBorder="1" applyAlignment="1">
      <alignment horizontal="right"/>
    </xf>
    <xf numFmtId="9" fontId="115" fillId="32" borderId="0" xfId="543" applyFont="1" applyFill="1" applyBorder="1" applyAlignment="1">
      <alignment horizontal="right"/>
    </xf>
    <xf numFmtId="170" fontId="113" fillId="32" borderId="0" xfId="162" applyNumberFormat="1" applyFont="1" applyFill="1" applyBorder="1"/>
    <xf numFmtId="259" fontId="109" fillId="32" borderId="0" xfId="0" applyNumberFormat="1" applyFont="1" applyFill="1"/>
    <xf numFmtId="259" fontId="113" fillId="32" borderId="0" xfId="0" applyNumberFormat="1" applyFont="1" applyFill="1" applyAlignment="1">
      <alignment horizontal="right"/>
    </xf>
    <xf numFmtId="259" fontId="113" fillId="32" borderId="0" xfId="0" applyNumberFormat="1" applyFont="1" applyFill="1"/>
    <xf numFmtId="258" fontId="113" fillId="32" borderId="0" xfId="0" applyNumberFormat="1" applyFont="1" applyFill="1" applyAlignment="1">
      <alignment horizontal="right"/>
    </xf>
    <xf numFmtId="258" fontId="109" fillId="32" borderId="0" xfId="0" applyNumberFormat="1" applyFont="1" applyFill="1" applyAlignment="1">
      <alignment horizontal="right"/>
    </xf>
    <xf numFmtId="39" fontId="113" fillId="32" borderId="0" xfId="0" applyNumberFormat="1" applyFont="1" applyFill="1" applyAlignment="1">
      <alignment horizontal="right"/>
    </xf>
    <xf numFmtId="1" fontId="109" fillId="32" borderId="0" xfId="0" applyNumberFormat="1" applyFont="1" applyFill="1" applyAlignment="1">
      <alignment horizontal="right"/>
    </xf>
    <xf numFmtId="37" fontId="109" fillId="32" borderId="0" xfId="0" applyNumberFormat="1" applyFont="1" applyFill="1"/>
    <xf numFmtId="9" fontId="109" fillId="32" borderId="0" xfId="543" applyFont="1" applyFill="1" applyBorder="1"/>
    <xf numFmtId="168" fontId="113" fillId="26" borderId="16" xfId="0" applyNumberFormat="1" applyFont="1" applyFill="1" applyBorder="1" applyAlignment="1">
      <alignment horizontal="centerContinuous"/>
    </xf>
    <xf numFmtId="165" fontId="123" fillId="0" borderId="14" xfId="0" applyNumberFormat="1" applyFont="1" applyBorder="1"/>
    <xf numFmtId="0" fontId="113" fillId="26" borderId="47" xfId="0" applyFont="1" applyFill="1" applyBorder="1" applyAlignment="1">
      <alignment horizontal="centerContinuous"/>
    </xf>
    <xf numFmtId="168" fontId="113" fillId="26" borderId="13" xfId="0" applyNumberFormat="1" applyFont="1" applyFill="1" applyBorder="1" applyAlignment="1">
      <alignment horizontal="centerContinuous"/>
    </xf>
    <xf numFmtId="168" fontId="113" fillId="26" borderId="13" xfId="0" applyNumberFormat="1" applyFont="1" applyFill="1" applyBorder="1" applyAlignment="1">
      <alignment horizontal="center"/>
    </xf>
    <xf numFmtId="43" fontId="111" fillId="0" borderId="13" xfId="162" applyFont="1" applyFill="1" applyBorder="1" applyAlignment="1">
      <alignment horizontal="center"/>
    </xf>
    <xf numFmtId="0" fontId="109" fillId="26" borderId="15" xfId="0" applyFont="1" applyFill="1" applyBorder="1"/>
    <xf numFmtId="165" fontId="111" fillId="0" borderId="13" xfId="0" applyNumberFormat="1" applyFont="1" applyBorder="1" applyAlignment="1">
      <alignment horizontal="right" vertical="center"/>
    </xf>
    <xf numFmtId="169" fontId="116" fillId="0" borderId="13" xfId="543" applyNumberFormat="1" applyFont="1" applyFill="1" applyBorder="1"/>
    <xf numFmtId="165" fontId="112" fillId="0" borderId="13" xfId="0" applyNumberFormat="1" applyFont="1" applyBorder="1"/>
    <xf numFmtId="165" fontId="112" fillId="29" borderId="13" xfId="0" applyNumberFormat="1" applyFont="1" applyFill="1" applyBorder="1"/>
    <xf numFmtId="169" fontId="115" fillId="27" borderId="13" xfId="543" applyNumberFormat="1" applyFont="1" applyFill="1" applyBorder="1" applyAlignment="1">
      <alignment horizontal="right" vertical="center"/>
    </xf>
    <xf numFmtId="0" fontId="115" fillId="27" borderId="13" xfId="0" applyFont="1" applyFill="1" applyBorder="1"/>
    <xf numFmtId="169" fontId="115" fillId="27" borderId="13" xfId="543" applyNumberFormat="1" applyFont="1" applyFill="1" applyBorder="1"/>
    <xf numFmtId="169" fontId="115" fillId="0" borderId="13" xfId="543" applyNumberFormat="1" applyFont="1" applyFill="1" applyBorder="1"/>
    <xf numFmtId="168" fontId="113" fillId="26" borderId="15" xfId="0" applyNumberFormat="1" applyFont="1" applyFill="1" applyBorder="1" applyAlignment="1">
      <alignment horizontal="centerContinuous"/>
    </xf>
    <xf numFmtId="165" fontId="109" fillId="32" borderId="13" xfId="0" applyNumberFormat="1" applyFont="1" applyFill="1" applyBorder="1"/>
    <xf numFmtId="165" fontId="113" fillId="32" borderId="13" xfId="0" applyNumberFormat="1" applyFont="1" applyFill="1" applyBorder="1"/>
    <xf numFmtId="169" fontId="116" fillId="27" borderId="13" xfId="543" applyNumberFormat="1" applyFont="1" applyFill="1" applyBorder="1"/>
    <xf numFmtId="165" fontId="123" fillId="0" borderId="13" xfId="0" applyNumberFormat="1" applyFont="1" applyBorder="1"/>
    <xf numFmtId="165" fontId="112" fillId="32" borderId="13" xfId="0" applyNumberFormat="1" applyFont="1" applyFill="1" applyBorder="1"/>
    <xf numFmtId="165" fontId="113" fillId="0" borderId="13" xfId="0" applyNumberFormat="1" applyFont="1" applyBorder="1"/>
    <xf numFmtId="9" fontId="109" fillId="0" borderId="13" xfId="543" applyFont="1" applyBorder="1"/>
    <xf numFmtId="165" fontId="122" fillId="32" borderId="13" xfId="0" applyNumberFormat="1" applyFont="1" applyFill="1" applyBorder="1"/>
    <xf numFmtId="165" fontId="121" fillId="32" borderId="13" xfId="0" applyNumberFormat="1" applyFont="1" applyFill="1" applyBorder="1"/>
    <xf numFmtId="9" fontId="109" fillId="0" borderId="13" xfId="543" applyFont="1" applyFill="1" applyBorder="1"/>
    <xf numFmtId="165" fontId="109" fillId="0" borderId="13" xfId="0" applyNumberFormat="1" applyFont="1" applyBorder="1"/>
    <xf numFmtId="168" fontId="113" fillId="26" borderId="15" xfId="0" applyNumberFormat="1" applyFont="1" applyFill="1" applyBorder="1" applyAlignment="1">
      <alignment horizontal="center"/>
    </xf>
    <xf numFmtId="169" fontId="115" fillId="27" borderId="13" xfId="0" applyNumberFormat="1" applyFont="1" applyFill="1" applyBorder="1"/>
    <xf numFmtId="0" fontId="109" fillId="0" borderId="13" xfId="0" applyFont="1" applyBorder="1"/>
    <xf numFmtId="165" fontId="117" fillId="0" borderId="13" xfId="0" applyNumberFormat="1" applyFont="1" applyBorder="1"/>
    <xf numFmtId="0" fontId="109" fillId="32" borderId="13" xfId="0" applyFont="1" applyFill="1" applyBorder="1"/>
    <xf numFmtId="165" fontId="113" fillId="32" borderId="13" xfId="0" applyNumberFormat="1" applyFont="1" applyFill="1" applyBorder="1" applyAlignment="1">
      <alignment horizontal="right"/>
    </xf>
    <xf numFmtId="165" fontId="112" fillId="32" borderId="13" xfId="0" applyNumberFormat="1" applyFont="1" applyFill="1" applyBorder="1" applyAlignment="1">
      <alignment horizontal="right"/>
    </xf>
    <xf numFmtId="165" fontId="117" fillId="32" borderId="13" xfId="0" applyNumberFormat="1" applyFont="1" applyFill="1" applyBorder="1"/>
    <xf numFmtId="165" fontId="111" fillId="32" borderId="13" xfId="0" applyNumberFormat="1" applyFont="1" applyFill="1" applyBorder="1"/>
    <xf numFmtId="257" fontId="113" fillId="32" borderId="13" xfId="0" applyNumberFormat="1" applyFont="1" applyFill="1" applyBorder="1"/>
    <xf numFmtId="257" fontId="109" fillId="32" borderId="13" xfId="0" applyNumberFormat="1" applyFont="1" applyFill="1" applyBorder="1"/>
    <xf numFmtId="257" fontId="109" fillId="0" borderId="13" xfId="0" applyNumberFormat="1" applyFont="1" applyBorder="1"/>
    <xf numFmtId="168" fontId="113" fillId="32" borderId="13" xfId="0" applyNumberFormat="1" applyFont="1" applyFill="1" applyBorder="1" applyAlignment="1">
      <alignment horizontal="centerContinuous"/>
    </xf>
    <xf numFmtId="168" fontId="113" fillId="32" borderId="13" xfId="0" applyNumberFormat="1" applyFont="1" applyFill="1" applyBorder="1" applyAlignment="1">
      <alignment horizontal="center"/>
    </xf>
    <xf numFmtId="43" fontId="111" fillId="32" borderId="13" xfId="162" applyFont="1" applyFill="1" applyBorder="1" applyAlignment="1">
      <alignment horizontal="center"/>
    </xf>
    <xf numFmtId="170" fontId="109" fillId="26" borderId="15" xfId="162" applyNumberFormat="1" applyFont="1" applyFill="1" applyBorder="1"/>
    <xf numFmtId="169" fontId="115" fillId="32" borderId="13" xfId="543" applyNumberFormat="1" applyFont="1" applyFill="1" applyBorder="1" applyAlignment="1">
      <alignment horizontal="right"/>
    </xf>
    <xf numFmtId="9" fontId="115" fillId="32" borderId="13" xfId="543" applyFont="1" applyFill="1" applyBorder="1" applyAlignment="1">
      <alignment horizontal="right"/>
    </xf>
    <xf numFmtId="170" fontId="113" fillId="32" borderId="13" xfId="162" applyNumberFormat="1" applyFont="1" applyFill="1" applyBorder="1"/>
    <xf numFmtId="259" fontId="109" fillId="32" borderId="13" xfId="0" applyNumberFormat="1" applyFont="1" applyFill="1" applyBorder="1"/>
    <xf numFmtId="259" fontId="113" fillId="32" borderId="13" xfId="0" applyNumberFormat="1" applyFont="1" applyFill="1" applyBorder="1" applyAlignment="1">
      <alignment horizontal="right"/>
    </xf>
    <xf numFmtId="259" fontId="113" fillId="32" borderId="13" xfId="0" applyNumberFormat="1" applyFont="1" applyFill="1" applyBorder="1"/>
    <xf numFmtId="258" fontId="113" fillId="32" borderId="13" xfId="0" applyNumberFormat="1" applyFont="1" applyFill="1" applyBorder="1" applyAlignment="1">
      <alignment horizontal="right"/>
    </xf>
    <xf numFmtId="258" fontId="109" fillId="32" borderId="13" xfId="0" applyNumberFormat="1" applyFont="1" applyFill="1" applyBorder="1" applyAlignment="1">
      <alignment horizontal="right"/>
    </xf>
    <xf numFmtId="0" fontId="113" fillId="0" borderId="15" xfId="0" applyFont="1" applyBorder="1"/>
    <xf numFmtId="39" fontId="113" fillId="32" borderId="13" xfId="0" applyNumberFormat="1" applyFont="1" applyFill="1" applyBorder="1" applyAlignment="1">
      <alignment horizontal="right"/>
    </xf>
    <xf numFmtId="1" fontId="109" fillId="32" borderId="13" xfId="0" applyNumberFormat="1" applyFont="1" applyFill="1" applyBorder="1" applyAlignment="1">
      <alignment horizontal="right"/>
    </xf>
    <xf numFmtId="0" fontId="113" fillId="32" borderId="13" xfId="0" applyFont="1" applyFill="1" applyBorder="1"/>
    <xf numFmtId="37" fontId="109" fillId="32" borderId="13" xfId="0" applyNumberFormat="1" applyFont="1" applyFill="1" applyBorder="1"/>
    <xf numFmtId="9" fontId="109" fillId="32" borderId="13" xfId="543" applyFont="1" applyFill="1" applyBorder="1"/>
    <xf numFmtId="0" fontId="113" fillId="0" borderId="13" xfId="0" applyFont="1" applyBorder="1"/>
    <xf numFmtId="0" fontId="121" fillId="0" borderId="13" xfId="0" applyFont="1" applyBorder="1"/>
    <xf numFmtId="169" fontId="113" fillId="0" borderId="13" xfId="543" applyNumberFormat="1" applyFont="1" applyFill="1" applyBorder="1"/>
    <xf numFmtId="169" fontId="116" fillId="27" borderId="13" xfId="543" applyNumberFormat="1" applyFont="1" applyFill="1" applyBorder="1" applyAlignment="1">
      <alignment horizontal="right" vertical="center"/>
    </xf>
    <xf numFmtId="165" fontId="112" fillId="0" borderId="13" xfId="0" applyNumberFormat="1" applyFont="1" applyBorder="1" applyAlignment="1">
      <alignment horizontal="right" vertical="center"/>
    </xf>
    <xf numFmtId="165" fontId="113" fillId="0" borderId="13" xfId="0" applyNumberFormat="1" applyFont="1" applyBorder="1" applyAlignment="1">
      <alignment horizontal="right" vertical="center"/>
    </xf>
    <xf numFmtId="170" fontId="109" fillId="0" borderId="13" xfId="0" applyNumberFormat="1" applyFont="1" applyBorder="1"/>
    <xf numFmtId="165" fontId="117" fillId="33" borderId="13" xfId="0" applyNumberFormat="1" applyFont="1" applyFill="1" applyBorder="1"/>
    <xf numFmtId="165" fontId="118" fillId="0" borderId="13" xfId="0" applyNumberFormat="1" applyFont="1" applyBorder="1"/>
    <xf numFmtId="165" fontId="122" fillId="0" borderId="13" xfId="0" applyNumberFormat="1" applyFont="1" applyBorder="1"/>
    <xf numFmtId="165" fontId="121" fillId="0" borderId="13" xfId="0" applyNumberFormat="1" applyFont="1" applyBorder="1"/>
    <xf numFmtId="165" fontId="111" fillId="0" borderId="14" xfId="0" applyNumberFormat="1" applyFont="1" applyBorder="1" applyAlignment="1">
      <alignment horizontal="right" vertical="center"/>
    </xf>
    <xf numFmtId="169" fontId="116" fillId="27" borderId="14" xfId="543" applyNumberFormat="1" applyFont="1" applyFill="1" applyBorder="1" applyAlignment="1">
      <alignment horizontal="right" vertical="center"/>
    </xf>
    <xf numFmtId="165" fontId="112" fillId="0" borderId="14" xfId="0" applyNumberFormat="1" applyFont="1" applyBorder="1" applyAlignment="1">
      <alignment horizontal="right" vertical="center"/>
    </xf>
    <xf numFmtId="169" fontId="116" fillId="0" borderId="14" xfId="543" applyNumberFormat="1" applyFont="1" applyFill="1" applyBorder="1"/>
    <xf numFmtId="165" fontId="112" fillId="29" borderId="14" xfId="0" applyNumberFormat="1" applyFont="1" applyFill="1" applyBorder="1"/>
    <xf numFmtId="9" fontId="109" fillId="0" borderId="14" xfId="543" applyFont="1" applyBorder="1"/>
    <xf numFmtId="165" fontId="118" fillId="0" borderId="14" xfId="0" applyNumberFormat="1" applyFont="1" applyBorder="1"/>
    <xf numFmtId="9" fontId="109" fillId="0" borderId="14" xfId="543" applyFont="1" applyFill="1" applyBorder="1"/>
    <xf numFmtId="0" fontId="113" fillId="32" borderId="3" xfId="0" applyFont="1" applyFill="1" applyBorder="1"/>
    <xf numFmtId="0" fontId="109" fillId="0" borderId="0" xfId="267" applyFont="1"/>
    <xf numFmtId="169" fontId="116" fillId="0" borderId="0" xfId="543" applyNumberFormat="1" applyFont="1" applyFill="1" applyBorder="1"/>
    <xf numFmtId="169" fontId="116" fillId="0" borderId="0" xfId="543" applyNumberFormat="1" applyFont="1" applyFill="1" applyAlignment="1">
      <alignment horizontal="right" vertical="center"/>
    </xf>
    <xf numFmtId="170" fontId="125" fillId="0" borderId="0" xfId="162" applyNumberFormat="1" applyFont="1" applyFill="1"/>
    <xf numFmtId="170" fontId="109" fillId="0" borderId="27" xfId="162" applyNumberFormat="1" applyFont="1" applyFill="1" applyBorder="1"/>
    <xf numFmtId="170" fontId="109" fillId="0" borderId="21" xfId="162" applyNumberFormat="1" applyFont="1" applyFill="1" applyBorder="1" applyAlignment="1">
      <alignment horizontal="left"/>
    </xf>
    <xf numFmtId="258" fontId="113" fillId="31" borderId="0" xfId="266" applyNumberFormat="1" applyFont="1" applyFill="1"/>
    <xf numFmtId="9" fontId="112" fillId="0" borderId="0" xfId="543" applyFont="1" applyFill="1" applyBorder="1"/>
    <xf numFmtId="37" fontId="112" fillId="0" borderId="0" xfId="0" applyNumberFormat="1" applyFont="1"/>
    <xf numFmtId="37" fontId="111" fillId="0" borderId="0" xfId="0" applyNumberFormat="1" applyFont="1"/>
    <xf numFmtId="37" fontId="122" fillId="0" borderId="0" xfId="0" applyNumberFormat="1" applyFont="1"/>
    <xf numFmtId="169" fontId="115" fillId="32" borderId="0" xfId="543" applyNumberFormat="1" applyFont="1" applyFill="1" applyBorder="1"/>
    <xf numFmtId="37" fontId="112" fillId="32" borderId="0" xfId="0" applyNumberFormat="1" applyFont="1" applyFill="1"/>
    <xf numFmtId="0" fontId="0" fillId="32" borderId="0" xfId="0" applyFill="1"/>
    <xf numFmtId="9" fontId="112" fillId="32" borderId="0" xfId="543" applyFont="1" applyFill="1" applyBorder="1"/>
    <xf numFmtId="37" fontId="111" fillId="32" borderId="0" xfId="0" applyNumberFormat="1" applyFont="1" applyFill="1"/>
    <xf numFmtId="37" fontId="122" fillId="32" borderId="0" xfId="0" applyNumberFormat="1" applyFont="1" applyFill="1"/>
    <xf numFmtId="0" fontId="113" fillId="26" borderId="0" xfId="0" applyFont="1" applyFill="1" applyAlignment="1">
      <alignment horizontal="centerContinuous"/>
    </xf>
    <xf numFmtId="169" fontId="116" fillId="27" borderId="0" xfId="543" applyNumberFormat="1" applyFont="1" applyFill="1" applyBorder="1" applyAlignment="1">
      <alignment horizontal="right" vertical="center"/>
    </xf>
    <xf numFmtId="169" fontId="116" fillId="27" borderId="0" xfId="543" applyNumberFormat="1" applyFont="1" applyFill="1" applyBorder="1"/>
    <xf numFmtId="9" fontId="109" fillId="0" borderId="0" xfId="543" applyFont="1" applyBorder="1"/>
    <xf numFmtId="0" fontId="109" fillId="26" borderId="0" xfId="0" applyFont="1" applyFill="1"/>
    <xf numFmtId="169" fontId="116" fillId="0" borderId="0" xfId="543" applyNumberFormat="1" applyFont="1" applyFill="1" applyBorder="1" applyAlignment="1">
      <alignment horizontal="right" vertical="center"/>
    </xf>
    <xf numFmtId="0" fontId="121" fillId="32" borderId="0" xfId="0" applyFont="1" applyFill="1"/>
    <xf numFmtId="0" fontId="110" fillId="32" borderId="0" xfId="0" applyFont="1" applyFill="1"/>
    <xf numFmtId="165" fontId="117" fillId="33" borderId="0" xfId="0" applyNumberFormat="1" applyFont="1" applyFill="1"/>
    <xf numFmtId="166" fontId="113" fillId="32" borderId="0" xfId="0" applyNumberFormat="1" applyFont="1" applyFill="1" applyAlignment="1">
      <alignment horizontal="right"/>
    </xf>
    <xf numFmtId="170" fontId="109" fillId="0" borderId="46" xfId="162" applyNumberFormat="1" applyFont="1" applyFill="1" applyBorder="1" applyAlignment="1">
      <alignment horizontal="left" wrapText="1"/>
    </xf>
    <xf numFmtId="170" fontId="109" fillId="0" borderId="45" xfId="162" applyNumberFormat="1" applyFont="1" applyBorder="1" applyAlignment="1"/>
    <xf numFmtId="172" fontId="109" fillId="0" borderId="46" xfId="162" applyNumberFormat="1" applyFont="1" applyFill="1" applyBorder="1" applyAlignment="1">
      <alignment horizontal="left" wrapText="1"/>
    </xf>
    <xf numFmtId="170" fontId="109" fillId="0" borderId="48" xfId="162" applyNumberFormat="1" applyFont="1" applyFill="1" applyBorder="1" applyAlignment="1">
      <alignment horizontal="left" wrapText="1"/>
    </xf>
    <xf numFmtId="0" fontId="113" fillId="31" borderId="3" xfId="266" applyFont="1" applyFill="1" applyBorder="1" applyAlignment="1">
      <alignment horizontal="right"/>
    </xf>
    <xf numFmtId="170" fontId="109" fillId="31" borderId="0" xfId="162" applyNumberFormat="1" applyFont="1" applyFill="1"/>
    <xf numFmtId="43" fontId="123" fillId="0" borderId="0" xfId="162" applyFont="1" applyFill="1" applyBorder="1" applyAlignment="1">
      <alignment horizontal="center"/>
    </xf>
    <xf numFmtId="170" fontId="122" fillId="31" borderId="0" xfId="162" applyNumberFormat="1" applyFont="1" applyFill="1"/>
    <xf numFmtId="2" fontId="122" fillId="31" borderId="0" xfId="543" applyNumberFormat="1" applyFont="1" applyFill="1"/>
    <xf numFmtId="259" fontId="109" fillId="0" borderId="0" xfId="266" applyNumberFormat="1" applyFont="1"/>
    <xf numFmtId="259" fontId="113" fillId="0" borderId="0" xfId="266" applyNumberFormat="1" applyFont="1"/>
    <xf numFmtId="0" fontId="113" fillId="0" borderId="3" xfId="266" applyFont="1" applyBorder="1"/>
    <xf numFmtId="165" fontId="113" fillId="0" borderId="14" xfId="0" applyNumberFormat="1" applyFont="1" applyBorder="1" applyAlignment="1">
      <alignment horizontal="right" vertical="center"/>
    </xf>
    <xf numFmtId="169" fontId="115" fillId="27" borderId="14" xfId="543" applyNumberFormat="1" applyFont="1" applyFill="1" applyBorder="1" applyAlignment="1">
      <alignment horizontal="right" vertical="center"/>
    </xf>
    <xf numFmtId="169" fontId="115" fillId="27" borderId="14" xfId="543" applyNumberFormat="1" applyFont="1" applyFill="1" applyBorder="1"/>
    <xf numFmtId="169" fontId="116" fillId="27" borderId="14" xfId="543" applyNumberFormat="1" applyFont="1" applyFill="1" applyBorder="1"/>
    <xf numFmtId="168" fontId="113" fillId="26" borderId="14" xfId="0" applyNumberFormat="1" applyFont="1" applyFill="1" applyBorder="1" applyAlignment="1">
      <alignment horizontal="centerContinuous"/>
    </xf>
    <xf numFmtId="168" fontId="113" fillId="26" borderId="14" xfId="0" applyNumberFormat="1" applyFont="1" applyFill="1" applyBorder="1" applyAlignment="1">
      <alignment horizontal="center"/>
    </xf>
    <xf numFmtId="0" fontId="113" fillId="26" borderId="49" xfId="0" applyFont="1" applyFill="1" applyBorder="1" applyAlignment="1">
      <alignment horizontal="centerContinuous"/>
    </xf>
    <xf numFmtId="0" fontId="113" fillId="30" borderId="0" xfId="0" applyFont="1" applyFill="1" applyAlignment="1">
      <alignment horizontal="centerContinuous"/>
    </xf>
    <xf numFmtId="168" fontId="113" fillId="30" borderId="8" xfId="0" applyNumberFormat="1" applyFont="1" applyFill="1" applyBorder="1" applyAlignment="1">
      <alignment horizontal="centerContinuous"/>
    </xf>
    <xf numFmtId="259" fontId="122" fillId="31" borderId="0" xfId="543" applyNumberFormat="1" applyFont="1" applyFill="1"/>
    <xf numFmtId="170" fontId="122" fillId="0" borderId="0" xfId="162" applyNumberFormat="1" applyFont="1"/>
    <xf numFmtId="170" fontId="109" fillId="0" borderId="0" xfId="162" applyNumberFormat="1" applyFont="1"/>
    <xf numFmtId="170" fontId="113" fillId="0" borderId="0" xfId="162" applyNumberFormat="1" applyFont="1"/>
    <xf numFmtId="170" fontId="109" fillId="0" borderId="0" xfId="162" applyNumberFormat="1" applyFont="1" applyFill="1" applyBorder="1" applyAlignment="1">
      <alignment horizontal="right" wrapText="1"/>
    </xf>
    <xf numFmtId="170" fontId="124" fillId="0" borderId="0" xfId="266" applyNumberFormat="1" applyFont="1"/>
    <xf numFmtId="170" fontId="122" fillId="0" borderId="14" xfId="0" applyNumberFormat="1" applyFont="1" applyBorder="1"/>
    <xf numFmtId="170" fontId="109" fillId="0" borderId="0" xfId="162" applyNumberFormat="1" applyFont="1" applyFill="1" applyBorder="1"/>
    <xf numFmtId="170" fontId="122" fillId="0" borderId="0" xfId="0" applyNumberFormat="1" applyFont="1"/>
    <xf numFmtId="263" fontId="113" fillId="28" borderId="8" xfId="267" applyNumberFormat="1" applyFont="1" applyFill="1" applyBorder="1"/>
    <xf numFmtId="0" fontId="113" fillId="0" borderId="3" xfId="266" applyFont="1" applyBorder="1" applyAlignment="1">
      <alignment horizontal="center"/>
    </xf>
    <xf numFmtId="263" fontId="123" fillId="28" borderId="8" xfId="267" applyNumberFormat="1" applyFont="1" applyFill="1" applyBorder="1"/>
    <xf numFmtId="172" fontId="113" fillId="0" borderId="0" xfId="162" applyNumberFormat="1" applyFont="1"/>
    <xf numFmtId="165" fontId="109" fillId="0" borderId="0" xfId="0" applyNumberFormat="1" applyFont="1" applyAlignment="1">
      <alignment horizontal="right"/>
    </xf>
    <xf numFmtId="165" fontId="109" fillId="32" borderId="0" xfId="0" applyNumberFormat="1" applyFont="1" applyFill="1" applyAlignment="1">
      <alignment horizontal="right"/>
    </xf>
    <xf numFmtId="1" fontId="113" fillId="32" borderId="13" xfId="0" applyNumberFormat="1" applyFont="1" applyFill="1" applyBorder="1" applyAlignment="1">
      <alignment horizontal="right"/>
    </xf>
    <xf numFmtId="1" fontId="113" fillId="32" borderId="0" xfId="0" applyNumberFormat="1" applyFont="1" applyFill="1" applyAlignment="1">
      <alignment horizontal="right"/>
    </xf>
    <xf numFmtId="37" fontId="113" fillId="32" borderId="13" xfId="0" applyNumberFormat="1" applyFont="1" applyFill="1" applyBorder="1"/>
    <xf numFmtId="37" fontId="113" fillId="32" borderId="0" xfId="0" applyNumberFormat="1" applyFont="1" applyFill="1"/>
    <xf numFmtId="165" fontId="113" fillId="0" borderId="0" xfId="162" applyNumberFormat="1" applyFont="1" applyFill="1"/>
    <xf numFmtId="165" fontId="113" fillId="0" borderId="39" xfId="0" applyNumberFormat="1" applyFont="1" applyBorder="1" applyAlignment="1">
      <alignment horizontal="right"/>
    </xf>
    <xf numFmtId="165" fontId="113" fillId="0" borderId="7" xfId="0" applyNumberFormat="1" applyFont="1" applyBorder="1"/>
    <xf numFmtId="165" fontId="113" fillId="0" borderId="6" xfId="0" applyNumberFormat="1" applyFont="1" applyBorder="1"/>
    <xf numFmtId="165" fontId="109" fillId="0" borderId="7" xfId="0" applyNumberFormat="1" applyFont="1" applyBorder="1"/>
    <xf numFmtId="0" fontId="113" fillId="0" borderId="0" xfId="266" applyFont="1" applyAlignment="1">
      <alignment horizontal="center"/>
    </xf>
    <xf numFmtId="170" fontId="122" fillId="0" borderId="46" xfId="162" applyNumberFormat="1" applyFont="1" applyFill="1" applyBorder="1" applyAlignment="1">
      <alignment horizontal="left" wrapText="1"/>
    </xf>
    <xf numFmtId="170" fontId="113" fillId="0" borderId="0" xfId="266" applyNumberFormat="1" applyFont="1"/>
    <xf numFmtId="169" fontId="115" fillId="0" borderId="0" xfId="543" applyNumberFormat="1" applyFont="1" applyFill="1" applyBorder="1" applyAlignment="1">
      <alignment horizontal="right" vertical="center"/>
    </xf>
    <xf numFmtId="170" fontId="122" fillId="0" borderId="0" xfId="162" applyNumberFormat="1" applyFont="1" applyFill="1"/>
    <xf numFmtId="261" fontId="113" fillId="0" borderId="0" xfId="0" applyNumberFormat="1" applyFont="1" applyAlignment="1">
      <alignment horizontal="right" vertical="center"/>
    </xf>
    <xf numFmtId="170" fontId="122" fillId="0" borderId="0" xfId="162" applyNumberFormat="1" applyFont="1" applyFill="1" applyBorder="1" applyAlignment="1">
      <alignment horizontal="left" wrapText="1"/>
    </xf>
    <xf numFmtId="9" fontId="109" fillId="0" borderId="0" xfId="0" applyNumberFormat="1" applyFont="1"/>
    <xf numFmtId="165" fontId="109" fillId="32" borderId="0" xfId="0" applyNumberFormat="1" applyFont="1" applyFill="1" applyAlignment="1">
      <alignment horizontal="right" vertical="center"/>
    </xf>
    <xf numFmtId="165" fontId="111" fillId="0" borderId="0" xfId="0" applyNumberFormat="1" applyFont="1" applyAlignment="1">
      <alignment horizontal="right"/>
    </xf>
    <xf numFmtId="170" fontId="122" fillId="0" borderId="45" xfId="162" applyNumberFormat="1" applyFont="1" applyFill="1" applyBorder="1" applyAlignment="1">
      <alignment horizontal="left" wrapText="1"/>
    </xf>
    <xf numFmtId="170" fontId="109" fillId="0" borderId="45" xfId="266" applyNumberFormat="1" applyFont="1" applyBorder="1"/>
    <xf numFmtId="170" fontId="109" fillId="26" borderId="0" xfId="162" applyNumberFormat="1" applyFont="1" applyFill="1" applyBorder="1"/>
    <xf numFmtId="43" fontId="111" fillId="0" borderId="14" xfId="162" applyFont="1" applyFill="1" applyBorder="1" applyAlignment="1">
      <alignment horizontal="center"/>
    </xf>
    <xf numFmtId="0" fontId="109" fillId="26" borderId="14" xfId="0" applyFont="1" applyFill="1" applyBorder="1"/>
    <xf numFmtId="165" fontId="112" fillId="32" borderId="14" xfId="0" applyNumberFormat="1" applyFont="1" applyFill="1" applyBorder="1" applyAlignment="1">
      <alignment horizontal="right" vertical="center"/>
    </xf>
    <xf numFmtId="165" fontId="122" fillId="0" borderId="14" xfId="0" applyNumberFormat="1" applyFont="1" applyBorder="1"/>
    <xf numFmtId="0" fontId="113" fillId="0" borderId="42" xfId="266" applyFont="1" applyBorder="1"/>
    <xf numFmtId="170" fontId="113" fillId="0" borderId="48" xfId="162" applyNumberFormat="1" applyFont="1" applyFill="1" applyBorder="1" applyAlignment="1">
      <alignment horizontal="left" wrapText="1"/>
    </xf>
    <xf numFmtId="170" fontId="113" fillId="0" borderId="43" xfId="162" applyNumberFormat="1" applyFont="1" applyFill="1" applyBorder="1" applyAlignment="1">
      <alignment horizontal="left" wrapText="1"/>
    </xf>
    <xf numFmtId="0" fontId="113" fillId="26" borderId="38" xfId="0" applyFont="1" applyFill="1" applyBorder="1" applyAlignment="1">
      <alignment horizontal="center"/>
    </xf>
    <xf numFmtId="0" fontId="113" fillId="0" borderId="38" xfId="0" applyFont="1" applyBorder="1" applyAlignment="1">
      <alignment horizontal="centerContinuous"/>
    </xf>
    <xf numFmtId="168" fontId="113" fillId="0" borderId="0" xfId="0" applyNumberFormat="1" applyFont="1" applyAlignment="1">
      <alignment horizontal="centerContinuous"/>
    </xf>
    <xf numFmtId="168" fontId="113" fillId="0" borderId="0" xfId="0" applyNumberFormat="1" applyFont="1" applyAlignment="1">
      <alignment horizontal="center"/>
    </xf>
    <xf numFmtId="168" fontId="113" fillId="0" borderId="3" xfId="0" applyNumberFormat="1" applyFont="1" applyBorder="1" applyAlignment="1">
      <alignment horizontal="center"/>
    </xf>
    <xf numFmtId="169" fontId="115" fillId="0" borderId="0" xfId="0" applyNumberFormat="1" applyFont="1"/>
    <xf numFmtId="170" fontId="113" fillId="0" borderId="3" xfId="162" applyNumberFormat="1" applyFont="1" applyFill="1" applyBorder="1"/>
    <xf numFmtId="169" fontId="115" fillId="0" borderId="0" xfId="543" applyNumberFormat="1" applyFont="1" applyFill="1" applyAlignment="1">
      <alignment horizontal="right"/>
    </xf>
    <xf numFmtId="9" fontId="115" fillId="0" borderId="0" xfId="543" applyFont="1" applyFill="1" applyAlignment="1">
      <alignment horizontal="right"/>
    </xf>
    <xf numFmtId="169" fontId="109" fillId="0" borderId="0" xfId="543" applyNumberFormat="1" applyFont="1" applyFill="1"/>
    <xf numFmtId="0" fontId="113" fillId="0" borderId="0" xfId="0" applyFont="1" applyAlignment="1">
      <alignment horizontal="centerContinuous"/>
    </xf>
    <xf numFmtId="264" fontId="121" fillId="0" borderId="0" xfId="0" applyNumberFormat="1" applyFont="1"/>
    <xf numFmtId="170" fontId="113" fillId="28" borderId="8" xfId="267" applyNumberFormat="1" applyFont="1" applyFill="1" applyBorder="1" applyAlignment="1">
      <alignment horizontal="right"/>
    </xf>
    <xf numFmtId="37" fontId="122" fillId="0" borderId="0" xfId="0" applyNumberFormat="1" applyFont="1" applyAlignment="1">
      <alignment horizontal="right"/>
    </xf>
    <xf numFmtId="170" fontId="122" fillId="0" borderId="50" xfId="162" applyNumberFormat="1" applyFont="1" applyFill="1" applyBorder="1" applyAlignment="1">
      <alignment horizontal="left" wrapText="1"/>
    </xf>
    <xf numFmtId="170" fontId="109" fillId="0" borderId="50" xfId="266" applyNumberFormat="1" applyFont="1" applyBorder="1"/>
    <xf numFmtId="0" fontId="109" fillId="26" borderId="3" xfId="0" applyFont="1" applyFill="1" applyBorder="1" applyAlignment="1">
      <alignment horizontal="center" vertical="center"/>
    </xf>
    <xf numFmtId="263" fontId="123" fillId="0" borderId="8" xfId="267" applyNumberFormat="1" applyFont="1" applyBorder="1"/>
    <xf numFmtId="0" fontId="113" fillId="26" borderId="38" xfId="0" applyFont="1" applyFill="1" applyBorder="1" applyAlignment="1">
      <alignment horizontal="left"/>
    </xf>
    <xf numFmtId="0" fontId="5" fillId="0" borderId="0" xfId="0" applyFont="1"/>
    <xf numFmtId="3" fontId="0" fillId="0" borderId="0" xfId="0" applyNumberFormat="1"/>
    <xf numFmtId="169" fontId="115" fillId="0" borderId="0" xfId="543" applyNumberFormat="1" applyFont="1" applyFill="1" applyBorder="1" applyAlignment="1">
      <alignment horizontal="right"/>
    </xf>
    <xf numFmtId="9" fontId="115" fillId="0" borderId="0" xfId="543" applyFont="1" applyFill="1" applyBorder="1" applyAlignment="1">
      <alignment horizontal="right"/>
    </xf>
    <xf numFmtId="165" fontId="113" fillId="0" borderId="0" xfId="162" applyNumberFormat="1" applyFont="1" applyFill="1" applyBorder="1"/>
    <xf numFmtId="169" fontId="109" fillId="0" borderId="0" xfId="543" applyNumberFormat="1" applyFont="1" applyFill="1" applyBorder="1"/>
    <xf numFmtId="169" fontId="116" fillId="32" borderId="0" xfId="543" applyNumberFormat="1" applyFont="1" applyFill="1" applyBorder="1" applyAlignment="1">
      <alignment horizontal="right" vertical="center"/>
    </xf>
    <xf numFmtId="17" fontId="109" fillId="0" borderId="0" xfId="0" applyNumberFormat="1" applyFont="1"/>
    <xf numFmtId="165" fontId="109" fillId="27" borderId="0" xfId="0" applyNumberFormat="1" applyFont="1" applyFill="1" applyAlignment="1">
      <alignment horizontal="right" vertical="center"/>
    </xf>
    <xf numFmtId="165" fontId="112" fillId="27" borderId="0" xfId="0" applyNumberFormat="1" applyFont="1" applyFill="1" applyAlignment="1">
      <alignment horizontal="right" vertical="center"/>
    </xf>
    <xf numFmtId="0" fontId="109" fillId="34" borderId="0" xfId="0" applyFont="1" applyFill="1"/>
    <xf numFmtId="165" fontId="109" fillId="34" borderId="0" xfId="0" applyNumberFormat="1" applyFont="1" applyFill="1"/>
    <xf numFmtId="165" fontId="117" fillId="34" borderId="0" xfId="0" applyNumberFormat="1" applyFont="1" applyFill="1"/>
    <xf numFmtId="165" fontId="122" fillId="34" borderId="0" xfId="0" applyNumberFormat="1" applyFont="1" applyFill="1"/>
    <xf numFmtId="165" fontId="125" fillId="34" borderId="0" xfId="0" applyNumberFormat="1" applyFont="1" applyFill="1"/>
    <xf numFmtId="165" fontId="112" fillId="34" borderId="0" xfId="0" applyNumberFormat="1" applyFont="1" applyFill="1"/>
    <xf numFmtId="170" fontId="109" fillId="34" borderId="0" xfId="162" applyNumberFormat="1" applyFont="1" applyFill="1" applyBorder="1"/>
    <xf numFmtId="169" fontId="109" fillId="34" borderId="0" xfId="543" applyNumberFormat="1" applyFont="1" applyFill="1"/>
    <xf numFmtId="170" fontId="109" fillId="34" borderId="0" xfId="162" applyNumberFormat="1" applyFont="1" applyFill="1"/>
    <xf numFmtId="0" fontId="113" fillId="34" borderId="0" xfId="0" applyFont="1" applyFill="1"/>
    <xf numFmtId="165" fontId="113" fillId="34" borderId="0" xfId="0" applyNumberFormat="1" applyFont="1" applyFill="1"/>
    <xf numFmtId="170" fontId="113" fillId="34" borderId="0" xfId="162" applyNumberFormat="1" applyFont="1" applyFill="1"/>
    <xf numFmtId="165" fontId="119" fillId="34" borderId="0" xfId="0" applyNumberFormat="1" applyFont="1" applyFill="1"/>
    <xf numFmtId="257" fontId="109" fillId="34" borderId="0" xfId="0" applyNumberFormat="1" applyFont="1" applyFill="1"/>
    <xf numFmtId="257" fontId="113" fillId="34" borderId="0" xfId="0" applyNumberFormat="1" applyFont="1" applyFill="1"/>
    <xf numFmtId="39" fontId="113" fillId="34" borderId="0" xfId="0" applyNumberFormat="1" applyFont="1" applyFill="1" applyAlignment="1">
      <alignment horizontal="right"/>
    </xf>
    <xf numFmtId="39" fontId="113" fillId="34" borderId="0" xfId="0" applyNumberFormat="1" applyFont="1" applyFill="1"/>
    <xf numFmtId="39" fontId="113" fillId="0" borderId="0" xfId="0" applyNumberFormat="1" applyFont="1"/>
    <xf numFmtId="39" fontId="113" fillId="0" borderId="13" xfId="0" applyNumberFormat="1" applyFont="1" applyBorder="1" applyAlignment="1">
      <alignment horizontal="right"/>
    </xf>
    <xf numFmtId="0" fontId="0" fillId="26" borderId="0" xfId="0" applyFill="1"/>
    <xf numFmtId="43" fontId="111" fillId="26" borderId="0" xfId="162" applyFont="1" applyFill="1" applyBorder="1" applyAlignment="1">
      <alignment horizontal="center"/>
    </xf>
    <xf numFmtId="0" fontId="111" fillId="26" borderId="0" xfId="0" applyFont="1" applyFill="1"/>
    <xf numFmtId="0" fontId="0" fillId="27" borderId="0" xfId="0" applyFill="1"/>
    <xf numFmtId="37" fontId="112" fillId="27" borderId="0" xfId="0" applyNumberFormat="1" applyFont="1" applyFill="1"/>
    <xf numFmtId="0" fontId="113" fillId="35" borderId="0" xfId="0" applyFont="1" applyFill="1"/>
    <xf numFmtId="172" fontId="109" fillId="0" borderId="0" xfId="162" applyNumberFormat="1" applyFont="1" applyFill="1" applyBorder="1" applyAlignment="1">
      <alignment horizontal="center" wrapText="1"/>
    </xf>
    <xf numFmtId="0" fontId="113" fillId="0" borderId="0" xfId="266" applyFont="1" applyAlignment="1">
      <alignment horizontal="center" vertical="center" wrapText="1"/>
    </xf>
    <xf numFmtId="172" fontId="122" fillId="0" borderId="0" xfId="162" applyNumberFormat="1" applyFont="1" applyFill="1" applyBorder="1" applyAlignment="1">
      <alignment horizontal="center" wrapText="1"/>
    </xf>
    <xf numFmtId="0" fontId="109" fillId="0" borderId="0" xfId="266" applyFont="1" applyAlignment="1">
      <alignment horizontal="right" wrapText="1"/>
    </xf>
    <xf numFmtId="0" fontId="109" fillId="0" borderId="0" xfId="266" applyFont="1" applyAlignment="1">
      <alignment horizontal="left" wrapText="1"/>
    </xf>
    <xf numFmtId="0" fontId="113" fillId="26" borderId="8" xfId="266" applyFont="1" applyFill="1" applyBorder="1" applyAlignment="1">
      <alignment horizontal="left" wrapText="1"/>
    </xf>
    <xf numFmtId="0" fontId="113" fillId="26" borderId="8" xfId="266" applyFont="1" applyFill="1" applyBorder="1" applyAlignment="1">
      <alignment horizontal="center" vertical="center" wrapText="1"/>
    </xf>
    <xf numFmtId="0" fontId="113" fillId="26" borderId="40" xfId="266" applyFont="1" applyFill="1" applyBorder="1" applyAlignment="1">
      <alignment horizontal="left" wrapText="1"/>
    </xf>
    <xf numFmtId="0" fontId="113" fillId="26" borderId="44" xfId="266" applyFont="1" applyFill="1" applyBorder="1" applyAlignment="1">
      <alignment horizontal="center" wrapText="1"/>
    </xf>
    <xf numFmtId="0" fontId="113" fillId="26" borderId="41" xfId="266" applyFont="1" applyFill="1" applyBorder="1" applyAlignment="1">
      <alignment horizontal="center" wrapText="1"/>
    </xf>
    <xf numFmtId="0" fontId="113" fillId="0" borderId="19" xfId="266" applyFont="1" applyBorder="1"/>
    <xf numFmtId="170" fontId="113" fillId="0" borderId="9" xfId="266" applyNumberFormat="1" applyFont="1" applyBorder="1"/>
    <xf numFmtId="170" fontId="113" fillId="0" borderId="20" xfId="266" applyNumberFormat="1" applyFont="1" applyBorder="1"/>
    <xf numFmtId="0" fontId="119" fillId="26" borderId="40" xfId="266" applyFont="1" applyFill="1" applyBorder="1"/>
    <xf numFmtId="0" fontId="113" fillId="0" borderId="21" xfId="266" applyFont="1" applyBorder="1"/>
    <xf numFmtId="0" fontId="113" fillId="0" borderId="27" xfId="266" applyFont="1" applyBorder="1" applyAlignment="1">
      <alignment horizontal="center"/>
    </xf>
    <xf numFmtId="0" fontId="109" fillId="0" borderId="21" xfId="266" applyFont="1" applyBorder="1"/>
    <xf numFmtId="170" fontId="109" fillId="0" borderId="27" xfId="162" applyNumberFormat="1" applyFont="1" applyBorder="1"/>
    <xf numFmtId="170" fontId="109" fillId="0" borderId="0" xfId="162" applyNumberFormat="1" applyFont="1" applyBorder="1"/>
    <xf numFmtId="170" fontId="113" fillId="0" borderId="0" xfId="162" applyNumberFormat="1" applyFont="1" applyBorder="1"/>
    <xf numFmtId="170" fontId="113" fillId="0" borderId="27" xfId="162" applyNumberFormat="1" applyFont="1" applyBorder="1"/>
    <xf numFmtId="258" fontId="113" fillId="28" borderId="42" xfId="267" applyNumberFormat="1" applyFont="1" applyFill="1" applyBorder="1"/>
    <xf numFmtId="263" fontId="123" fillId="0" borderId="51" xfId="267" applyNumberFormat="1" applyFont="1" applyBorder="1"/>
    <xf numFmtId="263" fontId="123" fillId="0" borderId="43" xfId="267" applyNumberFormat="1" applyFont="1" applyBorder="1"/>
    <xf numFmtId="0" fontId="113" fillId="26" borderId="52" xfId="266" applyFont="1" applyFill="1" applyBorder="1" applyAlignment="1">
      <alignment horizontal="center" vertical="center" wrapText="1"/>
    </xf>
    <xf numFmtId="0" fontId="113" fillId="26" borderId="41" xfId="266" applyFont="1" applyFill="1" applyBorder="1" applyAlignment="1">
      <alignment horizontal="center" vertical="center" wrapText="1"/>
    </xf>
    <xf numFmtId="165" fontId="126" fillId="0" borderId="0" xfId="0" applyNumberFormat="1" applyFont="1" applyAlignment="1">
      <alignment horizontal="right" vertical="center"/>
    </xf>
    <xf numFmtId="9" fontId="125" fillId="0" borderId="0" xfId="543" applyFont="1" applyFill="1" applyBorder="1"/>
    <xf numFmtId="9" fontId="126" fillId="0" borderId="0" xfId="543" applyFont="1" applyFill="1" applyBorder="1"/>
    <xf numFmtId="37" fontId="125" fillId="0" borderId="0" xfId="0" applyNumberFormat="1" applyFont="1"/>
    <xf numFmtId="169" fontId="127" fillId="27" borderId="0" xfId="543" applyNumberFormat="1" applyFont="1" applyFill="1" applyAlignment="1">
      <alignment horizontal="right" vertical="center"/>
    </xf>
    <xf numFmtId="0" fontId="109" fillId="34" borderId="0" xfId="0" applyFont="1" applyFill="1" applyAlignment="1">
      <alignment horizontal="left"/>
    </xf>
    <xf numFmtId="0" fontId="113" fillId="0" borderId="38" xfId="0" applyFont="1" applyBorder="1" applyAlignment="1">
      <alignment horizontal="center"/>
    </xf>
    <xf numFmtId="0" fontId="113" fillId="34" borderId="0" xfId="0" applyFont="1" applyFill="1" applyAlignment="1">
      <alignment horizontal="left"/>
    </xf>
    <xf numFmtId="0" fontId="109" fillId="27" borderId="0" xfId="0" applyFont="1" applyFill="1"/>
    <xf numFmtId="0" fontId="109" fillId="27" borderId="0" xfId="0" applyFont="1" applyFill="1" applyAlignment="1">
      <alignment horizontal="left"/>
    </xf>
    <xf numFmtId="43" fontId="113" fillId="0" borderId="0" xfId="162" applyFont="1" applyFill="1" applyBorder="1" applyAlignment="1">
      <alignment horizontal="center"/>
    </xf>
    <xf numFmtId="0" fontId="124" fillId="0" borderId="0" xfId="0" applyFont="1" applyAlignment="1">
      <alignment horizontal="left"/>
    </xf>
    <xf numFmtId="165" fontId="124" fillId="0" borderId="0" xfId="0" applyNumberFormat="1" applyFont="1"/>
    <xf numFmtId="168" fontId="128" fillId="0" borderId="0" xfId="0" applyNumberFormat="1" applyFont="1" applyAlignment="1">
      <alignment horizontal="centerContinuous"/>
    </xf>
    <xf numFmtId="169" fontId="129" fillId="27" borderId="0" xfId="543" applyNumberFormat="1" applyFont="1" applyFill="1" applyAlignment="1">
      <alignment horizontal="right" vertical="center"/>
    </xf>
    <xf numFmtId="0" fontId="124" fillId="0" borderId="0" xfId="0" applyFont="1"/>
    <xf numFmtId="9" fontId="122" fillId="34" borderId="0" xfId="543" applyFont="1" applyFill="1"/>
    <xf numFmtId="37" fontId="115" fillId="0" borderId="0" xfId="0" applyNumberFormat="1" applyFont="1"/>
    <xf numFmtId="168" fontId="130" fillId="0" borderId="0" xfId="0" applyNumberFormat="1" applyFont="1" applyAlignment="1">
      <alignment horizontal="centerContinuous"/>
    </xf>
    <xf numFmtId="165" fontId="131" fillId="0" borderId="0" xfId="0" applyNumberFormat="1" applyFont="1"/>
    <xf numFmtId="0" fontId="128" fillId="0" borderId="0" xfId="0" applyFont="1"/>
    <xf numFmtId="165" fontId="132" fillId="0" borderId="0" xfId="0" applyNumberFormat="1" applyFont="1"/>
    <xf numFmtId="39" fontId="109" fillId="34" borderId="0" xfId="0" applyNumberFormat="1" applyFont="1" applyFill="1" applyAlignment="1">
      <alignment horizontal="right"/>
    </xf>
    <xf numFmtId="168" fontId="109" fillId="0" borderId="0" xfId="0" applyNumberFormat="1" applyFont="1" applyAlignment="1">
      <alignment horizontal="centerContinuous"/>
    </xf>
    <xf numFmtId="39" fontId="109" fillId="0" borderId="0" xfId="0" applyNumberFormat="1" applyFont="1" applyAlignment="1">
      <alignment horizontal="right"/>
    </xf>
    <xf numFmtId="39" fontId="109" fillId="34" borderId="0" xfId="0" applyNumberFormat="1" applyFont="1" applyFill="1"/>
    <xf numFmtId="39" fontId="122" fillId="34" borderId="0" xfId="0" applyNumberFormat="1" applyFont="1" applyFill="1" applyAlignment="1">
      <alignment horizontal="right"/>
    </xf>
    <xf numFmtId="168" fontId="122" fillId="0" borderId="0" xfId="0" applyNumberFormat="1" applyFont="1" applyAlignment="1">
      <alignment horizontal="centerContinuous"/>
    </xf>
    <xf numFmtId="39" fontId="122" fillId="0" borderId="0" xfId="0" applyNumberFormat="1" applyFont="1" applyAlignment="1">
      <alignment horizontal="right"/>
    </xf>
    <xf numFmtId="0" fontId="122" fillId="0" borderId="0" xfId="0" applyFont="1"/>
    <xf numFmtId="39" fontId="109" fillId="27" borderId="0" xfId="0" applyNumberFormat="1" applyFont="1" applyFill="1"/>
    <xf numFmtId="169" fontId="113" fillId="0" borderId="0" xfId="0" applyNumberFormat="1" applyFont="1" applyAlignment="1">
      <alignment horizontal="centerContinuous"/>
    </xf>
    <xf numFmtId="165" fontId="113" fillId="0" borderId="0" xfId="0" applyNumberFormat="1" applyFont="1" applyAlignment="1">
      <alignment horizontal="centerContinuous"/>
    </xf>
    <xf numFmtId="165" fontId="116" fillId="27" borderId="0" xfId="543" applyNumberFormat="1" applyFont="1" applyFill="1" applyAlignment="1">
      <alignment horizontal="right" vertical="center"/>
    </xf>
    <xf numFmtId="37" fontId="124" fillId="0" borderId="0" xfId="0" applyNumberFormat="1" applyFont="1"/>
    <xf numFmtId="170" fontId="122" fillId="0" borderId="0" xfId="162" applyNumberFormat="1" applyFont="1" applyFill="1" applyBorder="1" applyAlignment="1">
      <alignment horizontal="right" wrapText="1"/>
    </xf>
    <xf numFmtId="17" fontId="113" fillId="27" borderId="8" xfId="266" applyNumberFormat="1" applyFont="1" applyFill="1" applyBorder="1" applyAlignment="1">
      <alignment horizontal="center" vertical="center" wrapText="1"/>
    </xf>
  </cellXfs>
  <cellStyles count="896">
    <cellStyle name="$" xfId="1" xr:uid="{D870C7A2-BFC7-490D-B96D-C9A17714BF8B}"/>
    <cellStyle name="$_TSA Model - 1 8 06 - v2" xfId="2" xr:uid="{6B31F556-05F1-444B-A5C9-671535C148E8}"/>
    <cellStyle name="%" xfId="3" xr:uid="{9D5B3F9A-F61C-42E3-9661-AD4CBA3FE838}"/>
    <cellStyle name=";;;" xfId="4" xr:uid="{3851BB9E-EDF2-43DA-BAA9-F48CF259192D}"/>
    <cellStyle name="_%(SignOnly)" xfId="5" xr:uid="{EAB6E18D-DD45-4071-8B26-5D3202BD9E29}"/>
    <cellStyle name="_%(SignSpaceOnly)" xfId="6" xr:uid="{B29B1E99-D329-4E7B-AEEC-E2496EC4D658}"/>
    <cellStyle name="_0% CADR" xfId="7" xr:uid="{4981D225-E5DE-4041-83E5-1DAA04793631}"/>
    <cellStyle name="_0% IRR" xfId="8" xr:uid="{53224563-1ED8-40B5-8674-D851DF67A993}"/>
    <cellStyle name="_1% CADR" xfId="9" xr:uid="{33B412FF-18FE-4C1D-8497-BCBC5B371DB3}"/>
    <cellStyle name="_10% CADR" xfId="10" xr:uid="{6C23C160-A2E6-4765-9006-5D431CE21D56}"/>
    <cellStyle name="_10% CDR" xfId="11" xr:uid="{A9EC2A5B-B3D9-4877-9CF1-F5EC9583BE06}"/>
    <cellStyle name="_11% CADR" xfId="12" xr:uid="{77FFAD7E-5125-4DF0-A199-681D8670A2C8}"/>
    <cellStyle name="_12% CADR" xfId="13" xr:uid="{D9F8168A-F98A-4066-99A6-182F9A5DDF3A}"/>
    <cellStyle name="_12% CDR" xfId="14" xr:uid="{D674DC9D-8A08-4062-89AB-B9D42D1CC7DF}"/>
    <cellStyle name="_13% CADR" xfId="15" xr:uid="{6DC5FC7E-5FFE-4B3E-BEC8-4F16B77032C9}"/>
    <cellStyle name="_14% CADR" xfId="16" xr:uid="{51F912B8-0AA3-48A6-814E-6327F1ABE980}"/>
    <cellStyle name="_14% CDR" xfId="17" xr:uid="{80274126-E00F-44A2-96F4-9066B618EC39}"/>
    <cellStyle name="_16% CDR" xfId="18" xr:uid="{240462E6-43A4-46E2-B888-927E30F96824}"/>
    <cellStyle name="_18% CDR" xfId="19" xr:uid="{E2B67212-31F5-4114-9B06-33648859A853}"/>
    <cellStyle name="_19.6% CDR BBB Break In Yield" xfId="20" xr:uid="{AC88CAE9-3969-4DB5-82C6-802962501FC2}"/>
    <cellStyle name="_2% CADR" xfId="21" xr:uid="{F5426801-BF6E-4B2F-8408-FEEA5BF5FA21}"/>
    <cellStyle name="_20% CDR" xfId="22" xr:uid="{79B989BF-3511-46D3-8E51-F7321D4A72CA}"/>
    <cellStyle name="_21.5% CDR BBB Break In Yield" xfId="23" xr:uid="{222291AB-0EDA-4A9F-BC40-8D9B53579A2B}"/>
    <cellStyle name="_3% CADR" xfId="24" xr:uid="{0383FCE0-481F-4510-9F20-AAA39CE36674}"/>
    <cellStyle name="_3% CDR" xfId="25" xr:uid="{B2C5DD9C-4CAB-4852-B6C3-448CABEEFF17}"/>
    <cellStyle name="_4% CADR" xfId="26" xr:uid="{25E27C52-61A2-4EB5-AA75-038F3339D06D}"/>
    <cellStyle name="_5% CADR" xfId="27" xr:uid="{B946F181-48C5-4A5F-AAA9-0058B719A3BC}"/>
    <cellStyle name="_5% CDR" xfId="28" xr:uid="{BD5A4050-956D-4E86-9834-76A99566ADAE}"/>
    <cellStyle name="_6% CADR" xfId="29" xr:uid="{CD710FC6-338E-4D79-806C-66925810CC72}"/>
    <cellStyle name="_7% CADR" xfId="30" xr:uid="{A7278F54-98EB-4433-B952-2FF2F65549B5}"/>
    <cellStyle name="_7% CDR" xfId="31" xr:uid="{80F5D45F-2526-409F-8612-67F0355309F6}"/>
    <cellStyle name="_8% CADR" xfId="32" xr:uid="{D2B73D34-12EB-4924-A21E-F2B07FF3F836}"/>
    <cellStyle name="_8.0% CDR BB Break In Yield" xfId="33" xr:uid="{0A088811-A24D-48F6-A494-45F8C974E719}"/>
    <cellStyle name="_8.1% CDR BB Break In Yield" xfId="34" xr:uid="{2EA11492-12DB-4FF5-AA24-C8DE0F709914}"/>
    <cellStyle name="_9% CADR" xfId="35" xr:uid="{BD140E43-E6E0-4A7E-962F-ED34FA1B7784}"/>
    <cellStyle name="_Assets" xfId="36" xr:uid="{A5D44C1B-4940-4398-A77A-FE371084E39D}"/>
    <cellStyle name="_Assets_1" xfId="37" xr:uid="{CCBA25E2-363A-406B-9D22-D5AED47EB3C4}"/>
    <cellStyle name="_Assets_1_COMPS - B2B Publishers" xfId="38" xr:uid="{B324CC81-6B02-4A49-8CF4-B350411BB394}"/>
    <cellStyle name="_Assets_1_COMPS - Directories" xfId="39" xr:uid="{D137800F-B9B1-4F1D-8245-D61FE482CC19}"/>
    <cellStyle name="_Assets_1_F&amp;W Servicing Model" xfId="40" xr:uid="{A91B8782-806A-4A2F-9D29-4815A20DFC3B}"/>
    <cellStyle name="_Assets_1_F&amp;W Servicing Model v2" xfId="41" xr:uid="{4BD8322E-2E0E-4B9D-A26F-CB149777F0C3}"/>
    <cellStyle name="_Assets_1_S&amp;P Analysis" xfId="42" xr:uid="{8C194C48-63E1-4036-B781-BAFC9FFEAB3B}"/>
    <cellStyle name="_Assets_1_Univision Annual Model" xfId="43" xr:uid="{D8694AF4-49BF-43A6-929C-A84F28FA7B0B}"/>
    <cellStyle name="_Assets_1_Yell Servicing Model" xfId="44" xr:uid="{81FCDB1A-CF3E-4004-B37B-4AFF5A3A103E}"/>
    <cellStyle name="_Assets_S&amp;P Analysis" xfId="45" xr:uid="{8532A4F6-FFC0-439C-9313-B56C64AC7149}"/>
    <cellStyle name="_Assets_S&amp;P Analysis_COMPS - B2B Publishers" xfId="46" xr:uid="{AD5ED6F3-0CCD-4E52-B927-82D02F384269}"/>
    <cellStyle name="_Assets_S&amp;P Analysis_COMPS - Directories" xfId="47" xr:uid="{25569C7E-C802-48E7-8C73-D13FA8BF1D9C}"/>
    <cellStyle name="_Assets_S&amp;P Analysis_F&amp;W Servicing Model" xfId="48" xr:uid="{B465A50E-C15B-4080-B5C5-79A21F70B6DE}"/>
    <cellStyle name="_Assets_S&amp;P Analysis_F&amp;W Servicing Model v2" xfId="49" xr:uid="{19838AB7-46F7-4E16-9586-FD0C5F0BB910}"/>
    <cellStyle name="_Assets_S&amp;P Analysis_Univision Annual Model" xfId="50" xr:uid="{734E0A9F-E53E-4DA4-975A-0FC1AAAB3B0F}"/>
    <cellStyle name="_Assets_S&amp;P Analysis_Yell Servicing Model" xfId="51" xr:uid="{FA4BAC62-88A0-490E-89E9-7DE5BF2182A9}"/>
    <cellStyle name="_Assumptions" xfId="52" xr:uid="{C64F80AD-D7AE-4F8A-A102-A92F117A0F93}"/>
    <cellStyle name="_Assumptions_1" xfId="53" xr:uid="{9E8E6906-E89C-4A76-B531-93720E16B4AC}"/>
    <cellStyle name="_Assumptions_1_COMPS - B2B Publishers" xfId="54" xr:uid="{9B73A7FF-E925-4649-8184-5B03B50FE459}"/>
    <cellStyle name="_Assumptions_1_COMPS - Directories" xfId="55" xr:uid="{A314509A-D287-4734-838C-3EF3E21416D7}"/>
    <cellStyle name="_Assumptions_1_F&amp;W Servicing Model" xfId="56" xr:uid="{ABC015FB-DF75-4274-B859-19777B23DD16}"/>
    <cellStyle name="_Assumptions_1_F&amp;W Servicing Model v2" xfId="57" xr:uid="{B017D5D0-F05F-44C8-85DF-5229949AAF67}"/>
    <cellStyle name="_Assumptions_1_Univision Annual Model" xfId="58" xr:uid="{4251C893-E57A-4AE4-8127-D96CE57206CE}"/>
    <cellStyle name="_Assumptions_1_Yell Servicing Model" xfId="59" xr:uid="{8328D0B6-0443-4169-9E34-001A3D82D672}"/>
    <cellStyle name="_Blue Mountain TRS (7-5-05)" xfId="60" xr:uid="{DCC64FC3-939C-4D79-BBE0-765B3FB9A33E}"/>
    <cellStyle name="_Book2" xfId="61" xr:uid="{DB2666EE-0517-4953-9110-AC6B21CEE834}"/>
    <cellStyle name="_CDO of CDO" xfId="62" xr:uid="{537D183B-8508-484E-B755-6053CA753833}"/>
    <cellStyle name="_CLO Portfolio 10_07_2005" xfId="63" xr:uid="{570E4613-2A7D-4E04-B15E-EC9A4B7C175F}"/>
    <cellStyle name="_Comma" xfId="64" xr:uid="{13AC56C7-EC9F-4211-828D-181D4D9618DA}"/>
    <cellStyle name="_Comma_dcf" xfId="65" xr:uid="{6CE1DC94-ECD5-49EB-BEDC-ABFF2BCC3D7B}"/>
    <cellStyle name="_Currency" xfId="66" xr:uid="{38A3A89A-598F-4B32-8675-96D253411733}"/>
    <cellStyle name="_Currency_dcf" xfId="67" xr:uid="{6A9E54A8-AD9A-4520-B97A-FBA4944CF541}"/>
    <cellStyle name="_CurrencySpace" xfId="68" xr:uid="{B9FA8787-6A4E-45E2-8ED0-F0130B033852}"/>
    <cellStyle name="_CurrencySpace_dcf" xfId="69" xr:uid="{DBC14872-E956-4FD3-82E6-C7D86A2BE672}"/>
    <cellStyle name="_Euro" xfId="70" xr:uid="{361ECA47-66E4-43DA-B145-54A1C4469363}"/>
    <cellStyle name="_EV8 Assumption List" xfId="71" xr:uid="{8C7BA9C4-A5D7-41E7-971C-7A5C031F3285}"/>
    <cellStyle name="_Exhibit I Babson Warehouse 2006-II CLO 8 18 06" xfId="72" xr:uid="{3357291D-F170-4AD5-987D-3047E0352EF1}"/>
    <cellStyle name="_First PIK" xfId="73" xr:uid="{D662BEA3-1894-47D9-B03F-47259B2224E6}"/>
    <cellStyle name="_Galaxy VI CLO - WestLB Request" xfId="74" xr:uid="{3B6F504E-75DC-4995-86AB-6E7BEA73AC84}"/>
    <cellStyle name="_Heading" xfId="75" xr:uid="{B5D2EFE9-C381-4F62-887F-BBC8029D64E3}"/>
    <cellStyle name="_Heading_prestemp" xfId="76" xr:uid="{5A8AEB82-48B6-4CDD-BEAC-0BE262EA4792}"/>
    <cellStyle name="_Highlight" xfId="77" xr:uid="{933AE223-6F28-4CB2-8ADF-A2C0B230F1E1}"/>
    <cellStyle name="_Model FINAL (2)" xfId="78" xr:uid="{93DC4837-CD94-4AE1-9F84-94636C71BF1D}"/>
    <cellStyle name="_Multiple" xfId="79" xr:uid="{69C0F4B3-476D-40F5-AE12-ADB0972B428B}"/>
    <cellStyle name="_Multiple_dcf" xfId="80" xr:uid="{87457053-E84A-4152-854B-B8DCAF88E7AD}"/>
    <cellStyle name="_MultipleSpace" xfId="81" xr:uid="{0422E02F-8913-4500-A936-8B68E969DF9D}"/>
    <cellStyle name="_MultipleSpace_dcf" xfId="82" xr:uid="{10C0A746-B6AE-4496-ABC7-5FA46195B6F5}"/>
    <cellStyle name="_Other Defafult Scenario 1" xfId="83" xr:uid="{79D8783F-A9B7-4F48-85EA-3C18963F9654}"/>
    <cellStyle name="_Other Default Scenario 2" xfId="84" xr:uid="{F080209E-CCB7-42DB-87A8-DE5318AB2294}"/>
    <cellStyle name="_Percent" xfId="85" xr:uid="{61A7A997-4BAC-4CE9-AEEA-49F749A6F78E}"/>
    <cellStyle name="_PercentSpace" xfId="86" xr:uid="{6AD23532-DD86-4C8F-93B0-AFA1DCBE139A}"/>
    <cellStyle name="_Port" xfId="87" xr:uid="{247FA9C7-DDEA-4E9A-9201-9451467C4750}"/>
    <cellStyle name="_Port For S&amp;P" xfId="88" xr:uid="{4B57E475-820D-43CB-B8E2-D993BABED30D}"/>
    <cellStyle name="_Port_COMPS - B2B Publishers" xfId="89" xr:uid="{6F9968B6-62F8-4154-AF24-F2F0C0B34C6C}"/>
    <cellStyle name="_Port_COMPS - Directories" xfId="90" xr:uid="{B1C4FBF2-114D-41AA-B566-E5F729098516}"/>
    <cellStyle name="_Port_F&amp;W Servicing Model" xfId="91" xr:uid="{4BD404BD-DAF1-4AD1-9FBF-9175FC67BB0E}"/>
    <cellStyle name="_Port_F&amp;W Servicing Model v2" xfId="92" xr:uid="{F089E799-F4BC-454D-934C-F7CC8197ECA6}"/>
    <cellStyle name="_Port_Univision Annual Model" xfId="93" xr:uid="{729AE18B-2C9E-4FBD-9968-9C2103D4FE94}"/>
    <cellStyle name="_Port_Yell Servicing Model" xfId="94" xr:uid="{00850729-BD9A-4FC4-9CFD-C60F4A5F64CD}"/>
    <cellStyle name="_Pro Forma TTM 9.30.07 (CW NEIRB Acquisition)" xfId="95" xr:uid="{A148D8CA-04C5-49D2-AE8C-CA5B947AB9C1}"/>
    <cellStyle name="_S&amp;P Analysis" xfId="96" xr:uid="{A3DD8902-9DCD-4C6A-A97E-BEAA48B5DB97}"/>
    <cellStyle name="_S&amp;P Analysis_COMPS - B2B Publishers" xfId="97" xr:uid="{16741416-8346-403A-A7B9-A94015E37CD3}"/>
    <cellStyle name="_S&amp;P Analysis_COMPS - Directories" xfId="98" xr:uid="{64555A66-F266-4575-86FB-33EC1B185A2F}"/>
    <cellStyle name="_S&amp;P Analysis_F&amp;W Servicing Model" xfId="99" xr:uid="{83E07BBD-759C-44C7-A882-AAAB3E8FE111}"/>
    <cellStyle name="_S&amp;P Analysis_F&amp;W Servicing Model v2" xfId="100" xr:uid="{3A156532-40E5-4BCF-AAF2-1DEFB584E53A}"/>
    <cellStyle name="_S&amp;P Analysis_Univision Annual Model" xfId="101" xr:uid="{7838B2C3-465F-49AB-9EEF-972384CD45F0}"/>
    <cellStyle name="_S&amp;P Analysis_Yell Servicing Model" xfId="102" xr:uid="{78D48063-3FF5-48F8-BCAB-C937F9526304}"/>
    <cellStyle name="_S&amp;P Hypothetical Port Summary" xfId="103" xr:uid="{8FA6A640-933E-4818-84F4-6594FF231D6D}"/>
    <cellStyle name="_S&amp;P Port 80Div_2099WARF" xfId="104" xr:uid="{ED8CC74E-3521-4A94-9F0E-B495B0BA2178}"/>
    <cellStyle name="_S&amp;P Stress Scenarios" xfId="105" xr:uid="{2EA768D0-EF3D-4E31-BFBE-9083DB3EFCDA}"/>
    <cellStyle name="_Sources and Uses" xfId="106" xr:uid="{C90569BC-682D-498E-9FD3-851A4C8A5C46}"/>
    <cellStyle name="_SubHeading" xfId="107" xr:uid="{D5B4EF4E-B0DD-4F51-A8B4-DB944329578C}"/>
    <cellStyle name="_SubHeading_prestemp" xfId="108" xr:uid="{6D7D2618-1787-4BCF-A5A7-9A35CA0B883A}"/>
    <cellStyle name="_Table" xfId="109" xr:uid="{716DA798-F1B2-4D39-AB1E-8D4B32B8A08F}"/>
    <cellStyle name="_TableHead" xfId="110" xr:uid="{638D6DD6-B090-4E28-8223-A55FE655E0FC}"/>
    <cellStyle name="_TableRowHead" xfId="111" xr:uid="{BC54A2AC-722C-454F-97DD-B100FC6A5943}"/>
    <cellStyle name="_TableSuperHead" xfId="112" xr:uid="{34B8A95C-BCCB-4500-B6F5-791A71DD7850}"/>
    <cellStyle name="£Currency [0]" xfId="113" xr:uid="{237C478E-39E5-4A1B-AA8A-7FC85009F16D}"/>
    <cellStyle name="£Currency [1]" xfId="114" xr:uid="{AE7C2D1C-50B4-4736-8EB9-2379FA52492D}"/>
    <cellStyle name="£Currency [2]" xfId="115" xr:uid="{BE805E68-03F7-4401-875A-1C5A2ED77FAC}"/>
    <cellStyle name="£Currency [p]" xfId="116" xr:uid="{ED4484C9-CD8D-463E-9C76-81D1C7930FE3}"/>
    <cellStyle name="£Currency [p2]" xfId="117" xr:uid="{EB483A27-5642-433F-850B-699CE21FF957}"/>
    <cellStyle name="£Pounds" xfId="118" xr:uid="{EBE4389F-1721-48DA-8E05-4B1CBC20144F}"/>
    <cellStyle name="Accounting $" xfId="119" xr:uid="{75856620-7F6A-4D25-94B8-7FECD10385CE}"/>
    <cellStyle name="Across" xfId="120" xr:uid="{27F79E90-A102-494C-B481-C4CD20CAEE22}"/>
    <cellStyle name="Adjustable" xfId="121" xr:uid="{E3774B9C-C2C9-400D-94DB-A6E665EA2DA2}"/>
    <cellStyle name="AFE" xfId="122" xr:uid="{209BAB04-F937-45C5-B47D-D6E471723674}"/>
    <cellStyle name="Andre's Title" xfId="123" xr:uid="{B35236DD-9E66-48EF-A8AA-6909ABBC4A24}"/>
    <cellStyle name="args.style" xfId="124" xr:uid="{586E0113-0D29-4723-B2D0-C0622F4738DA}"/>
    <cellStyle name="Arial 10" xfId="125" xr:uid="{710AD4BA-BFE4-4A01-8319-8FF696A4C739}"/>
    <cellStyle name="Arial 12" xfId="126" xr:uid="{5427C493-3063-4116-BF49-F03C3347F60D}"/>
    <cellStyle name="Best" xfId="127" xr:uid="{AFA62C95-1808-472B-8056-E0B652C2E655}"/>
    <cellStyle name="Blank [$]" xfId="128" xr:uid="{880F508B-5A5E-4272-9829-2ECA2156835F}"/>
    <cellStyle name="Blank [,]" xfId="129" xr:uid="{9E04B17E-51AB-4D3A-9EB3-33551CB03FE7}"/>
    <cellStyle name="BlankedZeros" xfId="130" xr:uid="{75C4678B-1E39-4A4D-B6BE-786FEAD84B01}"/>
    <cellStyle name="blp_column_header" xfId="131" xr:uid="{31F9FF81-0894-41D1-B75C-0BB828D78E94}"/>
    <cellStyle name="Blue" xfId="132" xr:uid="{24551CFF-6B4C-4A44-8947-F0606671BCE8}"/>
    <cellStyle name="bluepercent" xfId="133" xr:uid="{B13DA2DF-C532-4B2C-B97A-DD39BFCC9FB2}"/>
    <cellStyle name="Body" xfId="134" xr:uid="{2ECC8AB6-3FA9-471F-8476-37D65D5D1533}"/>
    <cellStyle name="Bold" xfId="135" xr:uid="{57AAEAB2-7F32-4454-9CCF-BDF185C016AF}"/>
    <cellStyle name="BoldItalic" xfId="136" xr:uid="{CFDBB872-698F-4B41-8D2D-248CD3B728D3}"/>
    <cellStyle name="Bottom" xfId="137" xr:uid="{CDF97CE1-5096-49AB-B016-C7792D2237CA}"/>
    <cellStyle name="Bottom Edge" xfId="138" xr:uid="{B7D12799-9A1A-420C-8D17-8B7D5826294C}"/>
    <cellStyle name="British Pound" xfId="139" xr:uid="{283EE3BA-D841-48BD-8F36-F7284154332E}"/>
    <cellStyle name="Business Description" xfId="140" xr:uid="{91A3D0AC-A7EA-44C2-95D8-60546319C55C}"/>
    <cellStyle name="c" xfId="141" xr:uid="{70D77473-8CEF-419F-B72B-7C0956020BEA}"/>
    <cellStyle name="Calc Currency (0)" xfId="142" xr:uid="{2AC5AF35-24D8-47C2-901F-5523558B46F4}"/>
    <cellStyle name="Calc Currency (2)" xfId="143" xr:uid="{1F7ADE35-3EDE-4C76-990B-6DF01F70DCA2}"/>
    <cellStyle name="Calc Percent (0)" xfId="144" xr:uid="{91AD96DF-ACDD-4DC6-8662-A719F2A0CDCC}"/>
    <cellStyle name="Calc Percent (1)" xfId="145" xr:uid="{797F6C26-E0DE-4EE6-8FA9-546EA2D1CD33}"/>
    <cellStyle name="Calc Percent (2)" xfId="146" xr:uid="{978EE6F3-7ADF-40CB-A796-CFBCAE259999}"/>
    <cellStyle name="Calc Units (0)" xfId="147" xr:uid="{D7D602F3-450D-48A5-B916-ACD182904F95}"/>
    <cellStyle name="Calc Units (1)" xfId="148" xr:uid="{E3E658C9-FD54-4C8D-973B-4D89D4971199}"/>
    <cellStyle name="Calc Units (2)" xfId="149" xr:uid="{ACFC5AFE-4092-45B3-893A-85161C8A1214}"/>
    <cellStyle name="Case" xfId="150" xr:uid="{9BD6337A-B799-4894-9948-00FDED2354A7}"/>
    <cellStyle name="cc" xfId="151" xr:uid="{928A1D08-1CCE-4C4F-88A3-B1CA7B161F83}"/>
    <cellStyle name="Center" xfId="152" xr:uid="{1B8F212A-3A00-4CF2-A2BA-589E59B09BF6}"/>
    <cellStyle name="CenterBold" xfId="153" xr:uid="{A69DF09C-D741-4BF9-8DFD-F55657F53599}"/>
    <cellStyle name="CenterItalic" xfId="154" xr:uid="{B4C684E2-80A1-4CF7-90A4-21BDD6A14E58}"/>
    <cellStyle name="Cents" xfId="155" xr:uid="{8381AD77-382A-400D-8B52-781184E37574}"/>
    <cellStyle name="ChartingText" xfId="156" xr:uid="{EF736DD1-539E-44BD-862E-1C2C37B879BF}"/>
    <cellStyle name="Co. Names" xfId="157" xr:uid="{40C565CA-CEE9-45C3-B128-B18DF84ABB37}"/>
    <cellStyle name="Co. Names - Bold" xfId="158" xr:uid="{55EBC649-A9C1-403F-8ACE-EEC5930E4493}"/>
    <cellStyle name="Co. Names_Break-Up" xfId="159" xr:uid="{24F46F68-2282-41F7-95E5-3F6A1F775CB2}"/>
    <cellStyle name="COL HEADINGS" xfId="160" xr:uid="{BE0D656E-CDEA-459D-AE90-C5618AD78603}"/>
    <cellStyle name="ColumnHeaderNormal" xfId="161" xr:uid="{25BA84FE-4A2B-46F9-B391-D0F3678EC6AF}"/>
    <cellStyle name="Comma" xfId="162" builtinId="3"/>
    <cellStyle name="Comma  - Style1" xfId="163" xr:uid="{EE6A1979-5D32-4CAD-9EA6-56C5828EF9CF}"/>
    <cellStyle name="Comma  - Style2" xfId="164" xr:uid="{86175788-CF4B-4164-AE3E-B2903E6130D3}"/>
    <cellStyle name="Comma  - Style3" xfId="165" xr:uid="{304B9067-D503-45A1-A91F-35C3D0822D53}"/>
    <cellStyle name="Comma  - Style4" xfId="166" xr:uid="{E75B2B51-444C-4334-9697-90E0A7320E9F}"/>
    <cellStyle name="Comma  - Style5" xfId="167" xr:uid="{742C32AE-3A65-4A3D-A08D-1F749B886DC2}"/>
    <cellStyle name="Comma  - Style6" xfId="168" xr:uid="{741D37B2-D015-4827-A170-42F8C6E781C8}"/>
    <cellStyle name="Comma  - Style7" xfId="169" xr:uid="{AADBC881-A62E-456A-AAF3-B7B8FEE84BD1}"/>
    <cellStyle name="Comma  - Style8" xfId="170" xr:uid="{0D6CC78E-FB20-41D5-95BA-723C84A728E7}"/>
    <cellStyle name="Comma [0]; --" xfId="171" xr:uid="{CCD19F6A-66D8-4B39-9CC1-78146DAFB65D}"/>
    <cellStyle name="Comma [00]" xfId="172" xr:uid="{A3B5A374-467F-4F53-A82A-49A52EEDA914}"/>
    <cellStyle name="Comma [1]" xfId="173" xr:uid="{ACF2EDEA-867B-46BE-897D-572CA4640108}"/>
    <cellStyle name="Comma Cents" xfId="174" xr:uid="{7566E12A-CF22-47DD-8E48-9327969D3581}"/>
    <cellStyle name="Comma0" xfId="175" xr:uid="{AE690206-A0D6-405D-9FD4-C14BED2820B5}"/>
    <cellStyle name="Commas" xfId="176" xr:uid="{87C886D1-1043-4F19-94AD-253DCB8F050E}"/>
    <cellStyle name="CommasBold" xfId="177" xr:uid="{916B4692-A3EC-457A-A034-31B2ACF8FC9F}"/>
    <cellStyle name="CompanyTitle" xfId="178" xr:uid="{F84ABD29-330F-4BF3-B5AE-F0684662BF76}"/>
    <cellStyle name="Copied" xfId="179" xr:uid="{EB6D9F4C-C5EE-4FB9-8FE8-7209AC805A97}"/>
    <cellStyle name="Currency $" xfId="180" xr:uid="{3BA686CB-DC60-4243-95D8-6CCA432F7610}"/>
    <cellStyle name="Currency [0]; --" xfId="181" xr:uid="{595EF51D-6C84-4DFE-9238-11DD92FAAA26}"/>
    <cellStyle name="Currency [00]" xfId="182" xr:uid="{BCF00A4F-4351-44E5-BC4A-B20E812482A9}"/>
    <cellStyle name="Currency [1]" xfId="183" xr:uid="{ACF33C02-ED60-4597-A052-B1713755D768}"/>
    <cellStyle name="Currency [2]" xfId="184" xr:uid="{4A9070C0-6ABB-4A51-B31C-DF7AF42B8280}"/>
    <cellStyle name="data" xfId="185" xr:uid="{30C60279-8C3A-41B2-ACB1-66DE5FAF8309}"/>
    <cellStyle name="Date" xfId="186" xr:uid="{2E5D4A8B-D983-4D97-B97B-57660448E93C}"/>
    <cellStyle name="Date Short" xfId="187" xr:uid="{6903118E-C0CA-4DAB-8902-D062885AC3B6}"/>
    <cellStyle name="Date_COMPS - Directories" xfId="188" xr:uid="{8F0BE40E-4BDE-4CA2-8727-5213B4F73DF8}"/>
    <cellStyle name="DateLeftBold" xfId="189" xr:uid="{A85BCBF6-EBD5-491A-A6B6-AB0D5696B75E}"/>
    <cellStyle name="Default" xfId="190" xr:uid="{AF2FE9F4-B002-47EB-8B37-663678F72911}"/>
    <cellStyle name="DELTA" xfId="191" xr:uid="{E3AF0040-FF6A-46B7-91E3-E87675CD7370}"/>
    <cellStyle name="Dollars" xfId="192" xr:uid="{DBE1DD8E-7514-47F0-B0FB-91A4E0F8D58C}"/>
    <cellStyle name="Dollars []" xfId="193" xr:uid="{905CD507-80F3-41DC-A4DE-B4D684A1E7A6}"/>
    <cellStyle name="Dollars_Pro Forma TTM 9.30.07 (CW NEIRB Acquisition)" xfId="194" xr:uid="{9AC2E6B7-53EA-49C6-86B3-079629B3163D}"/>
    <cellStyle name="Double" xfId="195" xr:uid="{183D86A9-9D36-4F31-809D-B1383C9A0BD1}"/>
    <cellStyle name="Double Accounting" xfId="196" xr:uid="{1BB742F3-2EE1-42BF-87A3-F4D5867C7965}"/>
    <cellStyle name="Enter Currency (0)" xfId="197" xr:uid="{F5BB0B9B-47B9-4394-812A-0B09830F09D2}"/>
    <cellStyle name="Enter Currency (2)" xfId="198" xr:uid="{FB9620CA-86E3-436B-952C-FE4C9D8E05F3}"/>
    <cellStyle name="Enter Units (0)" xfId="199" xr:uid="{C2AAD5A2-97C8-4F60-8707-3B32095FE20A}"/>
    <cellStyle name="Enter Units (1)" xfId="200" xr:uid="{5C75FD44-3A4A-4E6D-9B89-F10026DF6410}"/>
    <cellStyle name="Enter Units (2)" xfId="201" xr:uid="{C718D288-270F-446D-A62D-96EB5FDA9753}"/>
    <cellStyle name="Entered" xfId="202" xr:uid="{C318D0F7-2C27-456E-B8BB-CC6A220ADE0C}"/>
    <cellStyle name="Euro" xfId="203" xr:uid="{DD4FF503-EADE-485C-B6DC-E439F12C4C36}"/>
    <cellStyle name="Fit" xfId="204" xr:uid="{93D11D97-AFF5-4AC7-8146-65E1D843039C}"/>
    <cellStyle name="Footer" xfId="205" xr:uid="{ED880CFB-FE96-402A-8273-CD999F86346C}"/>
    <cellStyle name="Footnotes" xfId="206" xr:uid="{3B126F71-4C41-4D67-9970-B4FC97F2E485}"/>
    <cellStyle name="Grey" xfId="207" xr:uid="{9880F8C6-2BE0-4EA1-B9B9-3A1D823D040E}"/>
    <cellStyle name="GreybarHeader" xfId="208" xr:uid="{61EC8FF1-D1BC-4DE3-BC79-5918C5166E23}"/>
    <cellStyle name="Grouped Head" xfId="209" xr:uid="{9DF4F022-DB66-45D4-BA3D-1DA3496905E4}"/>
    <cellStyle name="h" xfId="210" xr:uid="{95A51284-09DA-42F2-9896-4C6263202ED3}"/>
    <cellStyle name="HAlignCenter" xfId="211" xr:uid="{D463AF0C-4940-4C02-91B9-6A0C116311D0}"/>
    <cellStyle name="HAlignLeft" xfId="212" xr:uid="{8DC4597A-F341-4E3F-81FC-B92438180C0A}"/>
    <cellStyle name="HAlignRight" xfId="213" xr:uid="{8FCA3A59-EE52-4984-BC8D-4FE56D097F0B}"/>
    <cellStyle name="Head 1" xfId="214" xr:uid="{E3358C43-EB22-433E-BCA2-A5D80EA4152B}"/>
    <cellStyle name="Header" xfId="215" xr:uid="{60AFF1B9-813F-467E-A95C-F64056DF53E2}"/>
    <cellStyle name="Header1" xfId="216" xr:uid="{9982FC7C-BBB8-499F-9245-F8ECFB2B20A0}"/>
    <cellStyle name="Header2" xfId="217" xr:uid="{07B85953-C77C-4106-A9CC-4B89E68C0BBF}"/>
    <cellStyle name="headers" xfId="218" xr:uid="{19919CB5-E715-4A4D-B49C-DC584D964FED}"/>
    <cellStyle name="Heading" xfId="219" xr:uid="{759C6296-1217-425B-8045-2701C6069AA5}"/>
    <cellStyle name="HEADINGS" xfId="220" xr:uid="{5C51DA5D-FB9D-41D7-9AE6-B24D5EA2E159}"/>
    <cellStyle name="HEADINGSTOP" xfId="221" xr:uid="{436A3A0F-3FED-498C-B635-94473A9E6954}"/>
    <cellStyle name="imput" xfId="222" xr:uid="{CA2948A8-596B-40FE-9D9E-70AD20D412EA}"/>
    <cellStyle name="Input [yellow]" xfId="223" xr:uid="{B17D67C4-7CF7-4329-B3C7-74C30C89BA95}"/>
    <cellStyle name="Invisible" xfId="224" xr:uid="{7A74B258-229A-49B3-B655-E155353397BA}"/>
    <cellStyle name="ItalicHeader" xfId="225" xr:uid="{AB3029C9-5F9B-4155-A70B-9F4A8DD5DCC3}"/>
    <cellStyle name="Item Descriptions" xfId="226" xr:uid="{F6A159D4-6E0F-4F7F-BE63-1D857C79C44B}"/>
    <cellStyle name="Item Descriptions - Bold" xfId="227" xr:uid="{274E9FFF-8135-4387-9DD4-B886C455021E}"/>
    <cellStyle name="Item Descriptions_6079BX" xfId="228" xr:uid="{3A6F1370-20F7-47BE-8093-65BB39EDD648}"/>
    <cellStyle name="Left" xfId="229" xr:uid="{B1821D6F-7B9A-4C7F-88F9-91965A1AFC05}"/>
    <cellStyle name="LeftBold" xfId="230" xr:uid="{071D213C-EE97-40FC-A7B8-4F34E024A2A3}"/>
    <cellStyle name="LeftBoldBottomRule" xfId="231" xr:uid="{A769AB53-B1BD-42C3-AA1C-7278321C5697}"/>
    <cellStyle name="LeftBoldCenterRule" xfId="232" xr:uid="{A5ED2FD9-6CEE-45A6-BF72-CA2B3B7BFA60}"/>
    <cellStyle name="Line" xfId="233" xr:uid="{6590A9AD-F4E6-4AA7-A505-2D86E4540638}"/>
    <cellStyle name="Link Currency (0)" xfId="234" xr:uid="{A098EB8B-0BDA-407C-A222-0BC20743DF46}"/>
    <cellStyle name="Link Currency (2)" xfId="235" xr:uid="{5FE42E29-9420-4980-8ACE-D3ED0F0539D0}"/>
    <cellStyle name="Link Units (0)" xfId="236" xr:uid="{9530D16C-B6DD-4F30-8DD5-8F1A49C0A581}"/>
    <cellStyle name="Link Units (1)" xfId="237" xr:uid="{86BDC926-3A10-482E-98FC-68998EE501B6}"/>
    <cellStyle name="Link Units (2)" xfId="238" xr:uid="{1041F39C-3B98-4147-9172-6C3108E5F377}"/>
    <cellStyle name="locked" xfId="239" xr:uid="{8CD7D012-2E90-47BA-BDE5-CA2A87A7E87B}"/>
    <cellStyle name="m&amp;a" xfId="240" xr:uid="{F731C435-607B-41FC-8948-07ADC4D2884E}"/>
    <cellStyle name="Map Labels" xfId="241" xr:uid="{4513C0A1-AF22-4550-9C51-80EE0884A2BC}"/>
    <cellStyle name="Map Legend" xfId="242" xr:uid="{69986C91-0A95-40C7-B365-7911A38372BA}"/>
    <cellStyle name="Merrill" xfId="243" xr:uid="{B784F60E-6757-4659-9C91-E1ACD0337A19}"/>
    <cellStyle name="Millares_Inv Detail A7" xfId="244" xr:uid="{505C57B8-1535-498B-AABE-8FF53F2203FB}"/>
    <cellStyle name="Milliers [0]_r00SC" xfId="245" xr:uid="{50048109-C7B7-4F9D-BE15-55E2288E621D}"/>
    <cellStyle name="Milliers_r00SC" xfId="246" xr:uid="{C07CE3BF-FFFE-4900-A8D5-F5CC3C43BA36}"/>
    <cellStyle name="Mix" xfId="247" xr:uid="{26339EA3-1682-401D-8D39-05762406E19F}"/>
    <cellStyle name="mon" xfId="248" xr:uid="{6269A7E8-678C-46D8-9EC5-BE537CEACA3B}"/>
    <cellStyle name="Monétaire [0]_r00SC" xfId="249" xr:uid="{A2AA738B-94DA-4ACC-8C1E-AFA7E7A7D8D7}"/>
    <cellStyle name="Monétaire_r00SC" xfId="250" xr:uid="{2E8870CF-36D1-4823-B846-941BF2CA9B44}"/>
    <cellStyle name="Money" xfId="251" xr:uid="{DE30541A-B35C-474D-A662-C54BD2CC9A95}"/>
    <cellStyle name="Multiple" xfId="252" xr:uid="{A8640A50-037D-4E59-864B-8D6D7FF172AA}"/>
    <cellStyle name="Multiple []" xfId="253" xr:uid="{9CCF3B0D-A0D4-4C94-A1F5-B995E63F4C7E}"/>
    <cellStyle name="Multiple [0]" xfId="254" xr:uid="{AE5CDB75-4F6F-4585-A899-08A7FF8948E8}"/>
    <cellStyle name="Multiple [0] []" xfId="255" xr:uid="{070A9ABA-28B8-40C6-B195-D29E5B468CBA}"/>
    <cellStyle name="Multiple [0]_New MA Public Comps and WACC Model" xfId="256" xr:uid="{7884631F-554C-4615-B6F6-134A5F6EE55B}"/>
    <cellStyle name="Multiple [1]" xfId="257" xr:uid="{2DA31571-EB99-4D9A-A84D-D8E30C7E51BA}"/>
    <cellStyle name="Multiple [1] []" xfId="258" xr:uid="{DB76C11A-6251-4E20-8907-71F4FBBDCC76}"/>
    <cellStyle name="Multiple [1]_New MA Public Comps and WACC Model" xfId="259" xr:uid="{BCA4FF08-A962-463C-8E93-4CD907F722D4}"/>
    <cellStyle name="Multiple_CapitalSum" xfId="260" xr:uid="{EC665076-9431-499B-9C27-117E4B28919C}"/>
    <cellStyle name="N2Style" xfId="261" xr:uid="{96429AD7-B198-447F-97FD-80599AD04169}"/>
    <cellStyle name="NewColumnHeaderNormal" xfId="262" xr:uid="{DBD2733D-D8BC-47D1-B020-5297CBCAFBD0}"/>
    <cellStyle name="NewSectionHeaderNormal" xfId="263" xr:uid="{DEF1AD67-8DA8-498E-AAC4-A98B5FB40F0C}"/>
    <cellStyle name="NewTitleNormal" xfId="264" xr:uid="{1DB066FC-2C26-490F-8DA9-4B236832D391}"/>
    <cellStyle name="Normal" xfId="0" builtinId="0"/>
    <cellStyle name="Normal - Style1" xfId="265" xr:uid="{78A53AE7-D7EA-4216-A98D-F77A14873827}"/>
    <cellStyle name="Normal 2" xfId="266" xr:uid="{FCFDECA4-DE58-4817-AFAC-107F329773CA}"/>
    <cellStyle name="Normal 2 2" xfId="267" xr:uid="{6E8C5B16-5536-4CEB-9110-826D0974A599}"/>
    <cellStyle name="Normal1" xfId="268" xr:uid="{ABFE6010-1604-4E2D-8909-491FE845772F}"/>
    <cellStyle name="Normal10" xfId="269" xr:uid="{18A87AEC-F35B-4EEE-B288-926A06B3822E}"/>
    <cellStyle name="Normal100" xfId="270" xr:uid="{FE330E86-5160-46C2-8249-970FCCF84904}"/>
    <cellStyle name="Normal101" xfId="271" xr:uid="{5EE953BF-D4FB-4CB1-8E3F-13ED44F9C307}"/>
    <cellStyle name="Normal102" xfId="272" xr:uid="{6B46396A-48E7-4D45-8623-A3C67946DF22}"/>
    <cellStyle name="Normal103" xfId="273" xr:uid="{22FF54CF-B5CC-4FFF-B2AB-8C12F856EBA6}"/>
    <cellStyle name="Normal104" xfId="274" xr:uid="{4A40BFBF-C112-48CD-BAD2-F18DA377EB48}"/>
    <cellStyle name="Normal105" xfId="275" xr:uid="{92A7E544-8491-4E5A-B7BF-3037644DF77E}"/>
    <cellStyle name="Normal106" xfId="276" xr:uid="{9902DDD9-85C6-4141-A1A4-92C6B448AC07}"/>
    <cellStyle name="Normal107" xfId="277" xr:uid="{BD4E980E-1E4B-4FCB-8243-30AC7F47F040}"/>
    <cellStyle name="Normal108" xfId="278" xr:uid="{57DEAFB5-DD83-4675-8CCA-C59BE788A362}"/>
    <cellStyle name="Normal109" xfId="279" xr:uid="{CF628849-17D3-4D37-95A9-0D18903556EB}"/>
    <cellStyle name="Normal11" xfId="280" xr:uid="{A6E880DA-E722-451D-A52F-3944EA4ADB7B}"/>
    <cellStyle name="Normal110" xfId="281" xr:uid="{6B0D5287-403F-4F39-A627-FC1A50CD14F4}"/>
    <cellStyle name="Normal111" xfId="282" xr:uid="{65049846-4C83-4492-9AA9-58B36AC681B5}"/>
    <cellStyle name="Normal112" xfId="283" xr:uid="{08987818-DAE1-42BC-BB3E-10D74D1F8E25}"/>
    <cellStyle name="Normal113" xfId="284" xr:uid="{031CE2B1-5B3B-4BCA-9A71-25AD7B24D11E}"/>
    <cellStyle name="Normal114" xfId="285" xr:uid="{57236AFE-8F57-49E8-B342-530EEF3A0289}"/>
    <cellStyle name="Normal115" xfId="286" xr:uid="{72C75A5F-3341-4495-95DE-AFD505583D11}"/>
    <cellStyle name="Normal116" xfId="287" xr:uid="{16F24F7E-9AB5-4429-9201-6E03D0FBBCD2}"/>
    <cellStyle name="Normal117" xfId="288" xr:uid="{B7B81DDC-CF5D-4240-9EB7-2F6EA0C667BA}"/>
    <cellStyle name="Normal118" xfId="289" xr:uid="{24AEF41E-D2AF-49EA-92C9-F7222B05972E}"/>
    <cellStyle name="Normal119" xfId="290" xr:uid="{F233462D-91C9-4843-8728-7DAA4B7EDA9A}"/>
    <cellStyle name="Normal12" xfId="291" xr:uid="{743883E2-8028-4391-A093-E2850020833F}"/>
    <cellStyle name="Normal120" xfId="292" xr:uid="{317C9640-FA74-47C1-B315-A882632DD8CB}"/>
    <cellStyle name="Normal121" xfId="293" xr:uid="{19D7C8A3-649B-4211-86B1-D3C80C891608}"/>
    <cellStyle name="Normal122" xfId="294" xr:uid="{B019678F-1B55-4EA2-B8C0-482AB4C99AD6}"/>
    <cellStyle name="Normal123" xfId="295" xr:uid="{43624C40-E2BA-44BD-8A51-D5ED46632A38}"/>
    <cellStyle name="Normal124" xfId="296" xr:uid="{6E731B94-6A12-4240-8598-A7BBBF532934}"/>
    <cellStyle name="Normal125" xfId="297" xr:uid="{0A75057F-D480-4B11-8EDD-A08C8F681B58}"/>
    <cellStyle name="Normal126" xfId="298" xr:uid="{39BC0112-55A7-4153-AA4B-21E733064D65}"/>
    <cellStyle name="Normal127" xfId="299" xr:uid="{3DCB1877-AF1F-446B-9E6C-6E33B198DF07}"/>
    <cellStyle name="Normal128" xfId="300" xr:uid="{5FB13250-60F3-4822-8CB6-ECE246D05928}"/>
    <cellStyle name="Normal129" xfId="301" xr:uid="{62B641ED-5F53-4F70-A4A3-CAF0C1083EA6}"/>
    <cellStyle name="Normal13" xfId="302" xr:uid="{58F66AC4-BC4D-433D-B2F1-DEB6F970DAC9}"/>
    <cellStyle name="Normal130" xfId="303" xr:uid="{612199E0-1D0A-4E2D-8E53-9FB3DBE40F48}"/>
    <cellStyle name="Normal131" xfId="304" xr:uid="{2A045BCF-17A5-4F79-A2A5-E80B87E83AA7}"/>
    <cellStyle name="Normal132" xfId="305" xr:uid="{E3DA6116-6C3E-4A2C-846F-C0A435A9D587}"/>
    <cellStyle name="Normal133" xfId="306" xr:uid="{8CCBEE14-26C7-4FB5-B373-4EE8A91A6896}"/>
    <cellStyle name="Normal134" xfId="307" xr:uid="{9E5F110F-8C26-4100-AE30-E6D18A96007F}"/>
    <cellStyle name="Normal135" xfId="308" xr:uid="{D7DF3E1A-FBAC-42DA-9E2C-4AA506140876}"/>
    <cellStyle name="Normal136" xfId="309" xr:uid="{7492F222-63D7-4254-A564-73927ED4D24A}"/>
    <cellStyle name="Normal137" xfId="310" xr:uid="{0E9BB907-8703-4670-9E67-A293D1F839FE}"/>
    <cellStyle name="Normal138" xfId="311" xr:uid="{B956FF17-1976-4F4E-92E6-98DC3F5D96B9}"/>
    <cellStyle name="Normal139" xfId="312" xr:uid="{5AAA58CE-D4F3-419E-9A77-07705423DF32}"/>
    <cellStyle name="Normal14" xfId="313" xr:uid="{517ABC2F-4794-4346-9250-7BB58D447728}"/>
    <cellStyle name="Normal140" xfId="314" xr:uid="{025B5DA2-67F3-43FB-9E38-5D5C48580593}"/>
    <cellStyle name="Normal141" xfId="315" xr:uid="{9EC2D23C-82AE-478C-AC29-18E3DE09C5F8}"/>
    <cellStyle name="Normal142" xfId="316" xr:uid="{41BCF514-9AF1-4E11-B61B-505F86FECD5B}"/>
    <cellStyle name="Normal143" xfId="317" xr:uid="{FAC69509-916E-4BEE-9D12-324A5A59DB36}"/>
    <cellStyle name="Normal144" xfId="318" xr:uid="{DEF0207C-903D-4DD1-B8BC-66F89D9D6B64}"/>
    <cellStyle name="Normal145" xfId="319" xr:uid="{8B428515-3FB3-4D40-834A-6F837F8EB788}"/>
    <cellStyle name="Normal146" xfId="320" xr:uid="{C6A46869-6EAE-40D2-9CCC-D4A1D781E3EB}"/>
    <cellStyle name="Normal147" xfId="321" xr:uid="{3D29426E-0B98-4C18-8615-A19BA9E9CFD0}"/>
    <cellStyle name="Normal148" xfId="322" xr:uid="{66AD13D4-84E3-4841-A492-2A9E53B52A18}"/>
    <cellStyle name="Normal149" xfId="323" xr:uid="{04335673-EE26-4A8A-B9E4-E0940748856D}"/>
    <cellStyle name="Normal15" xfId="324" xr:uid="{C84A6749-659E-4313-8900-BF8759AE7C11}"/>
    <cellStyle name="Normal150" xfId="325" xr:uid="{B6ADCDC7-BD34-48E0-921E-EB21703DF5DC}"/>
    <cellStyle name="Normal151" xfId="326" xr:uid="{4CD3B3CE-9DD9-4862-B92E-7BC902FC0EC5}"/>
    <cellStyle name="Normal152" xfId="327" xr:uid="{9293D1E7-C233-4241-A47C-5ECDAA6947C9}"/>
    <cellStyle name="Normal153" xfId="328" xr:uid="{22F483A1-ECD6-4ECF-886B-7A11C1A33BED}"/>
    <cellStyle name="Normal154" xfId="329" xr:uid="{FF63CFF1-2768-48DE-BD7B-C9B7325EC721}"/>
    <cellStyle name="Normal155" xfId="330" xr:uid="{F3419B2D-11E3-495F-B659-8CE4378AEC88}"/>
    <cellStyle name="Normal156" xfId="331" xr:uid="{20D70FB5-B4BF-470D-BA4D-3E9F04527C9C}"/>
    <cellStyle name="Normal157" xfId="332" xr:uid="{3B13AC6E-945B-41FC-8A00-766EC002BB14}"/>
    <cellStyle name="Normal158" xfId="333" xr:uid="{79401EE8-4FF5-4B7B-8229-1F71298C5CE2}"/>
    <cellStyle name="Normal159" xfId="334" xr:uid="{38904EB7-E6A4-43AD-87C0-0668451EA247}"/>
    <cellStyle name="Normal16" xfId="335" xr:uid="{196EB265-953E-4EE8-B427-8FA763A6C02F}"/>
    <cellStyle name="Normal160" xfId="336" xr:uid="{1E849BCB-90FB-4429-9833-F2A18467476D}"/>
    <cellStyle name="Normal161" xfId="337" xr:uid="{AF5282D0-3C53-49FB-AF45-D72ED4B712B8}"/>
    <cellStyle name="Normal162" xfId="338" xr:uid="{BFC26564-A218-497E-8934-5EAABBD7AA83}"/>
    <cellStyle name="Normal163" xfId="339" xr:uid="{5BD00073-A010-4A5A-A506-D7C0F7F367D2}"/>
    <cellStyle name="Normal164" xfId="340" xr:uid="{5A044477-A0EF-43E6-834F-0C8D53E2D67D}"/>
    <cellStyle name="Normal165" xfId="341" xr:uid="{E83E0DD8-8266-46EE-9220-7CB7FFDC7005}"/>
    <cellStyle name="Normal166" xfId="342" xr:uid="{5CD9ADC5-46CE-4F04-8D98-4B6A47F59847}"/>
    <cellStyle name="Normal167" xfId="343" xr:uid="{DF9AD445-E78F-4D3A-BDF6-B7B41B2B613C}"/>
    <cellStyle name="Normal168" xfId="344" xr:uid="{4B59539B-630C-433B-AF9B-27B72B7694F8}"/>
    <cellStyle name="Normal169" xfId="345" xr:uid="{DC827195-27EC-4409-AD2B-6EDF97CE4BDC}"/>
    <cellStyle name="Normal17" xfId="346" xr:uid="{2CF08D41-05E0-44DE-91B3-E69920D77305}"/>
    <cellStyle name="Normal170" xfId="347" xr:uid="{57FB36FF-5B10-4B91-BBEB-C0F6E40A403B}"/>
    <cellStyle name="Normal171" xfId="348" xr:uid="{118907D7-C73B-462A-A7F9-54C2AC55446C}"/>
    <cellStyle name="Normal172" xfId="349" xr:uid="{0C6D559D-9674-45D6-AB55-0CEF1DE5DE01}"/>
    <cellStyle name="Normal173" xfId="350" xr:uid="{36697D85-6786-428A-9E86-A8C9434D9EDD}"/>
    <cellStyle name="Normal174" xfId="351" xr:uid="{77EE2AD3-1443-4366-8F1E-66431C6C99B3}"/>
    <cellStyle name="Normal175" xfId="352" xr:uid="{AE39C420-D946-42C0-9411-80A8EB8F783E}"/>
    <cellStyle name="Normal176" xfId="353" xr:uid="{438AA050-72A2-4E42-9DE5-C156A4805C32}"/>
    <cellStyle name="Normal177" xfId="354" xr:uid="{CC6483F8-283B-44B4-A60B-D18E301819C9}"/>
    <cellStyle name="Normal178" xfId="355" xr:uid="{E0D7D1B7-4BA6-4AC0-AC47-221DED142B41}"/>
    <cellStyle name="Normal179" xfId="356" xr:uid="{8A95553E-F540-4F3B-82BC-D0FB5DEABCED}"/>
    <cellStyle name="Normal18" xfId="357" xr:uid="{4DC01B81-45AA-4D36-813A-60D836B6B340}"/>
    <cellStyle name="Normal180" xfId="358" xr:uid="{6389674E-0023-4047-8C32-37FCD094AF11}"/>
    <cellStyle name="Normal181" xfId="359" xr:uid="{3447E93A-DBC2-4F76-94EA-1B674BCA09E5}"/>
    <cellStyle name="Normal182" xfId="360" xr:uid="{6CF72908-403A-49C1-8FE2-490BCF174DA4}"/>
    <cellStyle name="Normal183" xfId="361" xr:uid="{3A967C35-8843-4463-9DD9-E22F534F64CD}"/>
    <cellStyle name="Normal184" xfId="362" xr:uid="{C75C6CC6-24D5-479A-A484-5A7AD1F56E6E}"/>
    <cellStyle name="Normal185" xfId="363" xr:uid="{8EF9FA67-AB1C-404C-8CA8-FB3E0F8E5637}"/>
    <cellStyle name="Normal186" xfId="364" xr:uid="{C16D8D89-6D1C-41B4-BDF4-0D7217C8CDD9}"/>
    <cellStyle name="Normal187" xfId="365" xr:uid="{673B6D17-FB10-4FDF-98F2-5CDA5896677D}"/>
    <cellStyle name="Normal188" xfId="366" xr:uid="{E2C88498-E47F-4343-BB74-58FF6C97A034}"/>
    <cellStyle name="Normal189" xfId="367" xr:uid="{9832CAA4-F6FD-43F0-9FAD-52A50AEB4949}"/>
    <cellStyle name="Normal19" xfId="368" xr:uid="{7498CB00-AB30-43C1-9F88-11302D7C0AE0}"/>
    <cellStyle name="Normal190" xfId="369" xr:uid="{DFC4D435-2FEE-495E-990F-144A6D5C4EEC}"/>
    <cellStyle name="Normal191" xfId="370" xr:uid="{7700625F-CD0D-4204-96E1-19E7E364FA4B}"/>
    <cellStyle name="Normal192" xfId="371" xr:uid="{3BC4CD6D-ACB6-437C-A6ED-E8C3A4117609}"/>
    <cellStyle name="Normal193" xfId="372" xr:uid="{F8893C1D-D736-484C-8BB0-A02BAEF7B391}"/>
    <cellStyle name="Normal194" xfId="373" xr:uid="{802F3E5A-94F6-40B5-8E5A-B92753811631}"/>
    <cellStyle name="Normal195" xfId="374" xr:uid="{D7866D5E-5862-44AA-8E73-D2A0F4A23147}"/>
    <cellStyle name="Normal196" xfId="375" xr:uid="{A1D866E7-1A36-4C76-B70C-80C367C5615C}"/>
    <cellStyle name="Normal197" xfId="376" xr:uid="{6D51E49D-3823-456F-A616-5B25B19C03B1}"/>
    <cellStyle name="Normal198" xfId="377" xr:uid="{88A4D86B-6FD0-423A-9A48-F26C4A5A0676}"/>
    <cellStyle name="Normal199" xfId="378" xr:uid="{8A52C06E-0629-4050-B8F8-FBE9B323F26A}"/>
    <cellStyle name="Normal2" xfId="379" xr:uid="{1FF43C13-EB93-4822-858E-22B00E257A21}"/>
    <cellStyle name="Normal20" xfId="380" xr:uid="{BF7101BD-1E5E-4BBA-B03A-CDFDA53A28CE}"/>
    <cellStyle name="Normal200" xfId="381" xr:uid="{0F821256-B9CB-4C71-BDA7-F48AF2683873}"/>
    <cellStyle name="Normal201" xfId="382" xr:uid="{15BACAEF-0B2A-484F-A4E6-4BA0DE8C35E9}"/>
    <cellStyle name="Normal202" xfId="383" xr:uid="{C0C762B0-8E59-4638-8366-03CFEF49588E}"/>
    <cellStyle name="Normal203" xfId="384" xr:uid="{1F4215D5-EAB9-4F5E-914E-8F5CF4C2B487}"/>
    <cellStyle name="Normal204" xfId="385" xr:uid="{F3489D0D-1890-453C-AE87-8697784043D7}"/>
    <cellStyle name="Normal205" xfId="386" xr:uid="{1501F0C3-A62C-4F53-A02E-48DB85481875}"/>
    <cellStyle name="Normal206" xfId="387" xr:uid="{7ECA0EB6-6EA9-4FC7-98B9-20F4DD747A26}"/>
    <cellStyle name="Normal207" xfId="388" xr:uid="{B9999CDF-03B0-47C6-95A5-BD7880AD9B41}"/>
    <cellStyle name="Normal208" xfId="389" xr:uid="{B417A060-B7A0-4710-8305-F51249A01A56}"/>
    <cellStyle name="Normal209" xfId="390" xr:uid="{EA52EEA1-2CB7-44D7-B824-150C85914DE4}"/>
    <cellStyle name="Normal21" xfId="391" xr:uid="{CF4FA6C1-98E9-424F-A619-ED2676AA9723}"/>
    <cellStyle name="Normal210" xfId="392" xr:uid="{F7A3B868-36B1-499B-8BDF-F2166BFFD1AF}"/>
    <cellStyle name="Normal211" xfId="393" xr:uid="{77C84B16-2AE3-4F68-BEA8-73C91D2226CF}"/>
    <cellStyle name="Normal212" xfId="394" xr:uid="{0C50FCB0-106E-4B3C-9910-75EA80EE7E5C}"/>
    <cellStyle name="Normal213" xfId="395" xr:uid="{9DA7007B-7159-4943-8F2B-E99446DB0781}"/>
    <cellStyle name="Normal214" xfId="396" xr:uid="{1EEEE755-B36A-4ECD-BEF0-071C632C34F5}"/>
    <cellStyle name="Normal215" xfId="397" xr:uid="{1CFC1C4E-4032-4E1C-A028-A2253290A341}"/>
    <cellStyle name="Normal216" xfId="398" xr:uid="{0C01415F-1115-4D1B-93D1-FCF8CD1688B6}"/>
    <cellStyle name="Normal217" xfId="399" xr:uid="{25C8C465-1A3B-4E9B-9CBE-747584C3B334}"/>
    <cellStyle name="Normal218" xfId="400" xr:uid="{CCEB01D7-7908-439F-8A98-8411730EC36D}"/>
    <cellStyle name="Normal219" xfId="401" xr:uid="{7941168F-40A7-4060-82D0-5F5FC6F72E2F}"/>
    <cellStyle name="Normal22" xfId="402" xr:uid="{F27FCC5C-B646-48A7-9FE2-4A1CA07C98C9}"/>
    <cellStyle name="Normal220" xfId="403" xr:uid="{9A8D79BD-293C-43C3-A6D0-6BE9DD4251E6}"/>
    <cellStyle name="Normal221" xfId="404" xr:uid="{9933AA11-0705-4230-9363-1608ABF12C64}"/>
    <cellStyle name="Normal222" xfId="405" xr:uid="{3185F96B-B4F3-4FB7-A46F-6548219DE896}"/>
    <cellStyle name="Normal223" xfId="406" xr:uid="{493928D4-7A5D-46BF-B8DE-09FB7B98CC4B}"/>
    <cellStyle name="Normal224" xfId="407" xr:uid="{C8B76926-AD74-4347-89CD-A7BEEDDFCECA}"/>
    <cellStyle name="Normal225" xfId="408" xr:uid="{522010D3-FED9-4F2E-9B5F-F04F8411941A}"/>
    <cellStyle name="Normal226" xfId="409" xr:uid="{8C6E9335-C1C5-4E6C-9C10-43A56B651A39}"/>
    <cellStyle name="Normal227" xfId="410" xr:uid="{2A14A465-770A-43D8-86D7-4B1189C46513}"/>
    <cellStyle name="Normal228" xfId="411" xr:uid="{47130E58-A680-42E8-89F6-D2F16AC22EFA}"/>
    <cellStyle name="Normal229" xfId="412" xr:uid="{AE52A58F-8D5B-45D0-B73B-393A0881F25E}"/>
    <cellStyle name="Normal23" xfId="413" xr:uid="{43D97263-04AD-4588-AE8D-0814E3382BFD}"/>
    <cellStyle name="Normal230" xfId="414" xr:uid="{37CAB65B-9CCC-4754-B2F8-351026D2FA91}"/>
    <cellStyle name="Normal231" xfId="415" xr:uid="{4ECA6F3D-024D-4088-B84B-DCAE52C93725}"/>
    <cellStyle name="Normal232" xfId="416" xr:uid="{B431BE50-4649-41A4-BABD-3136DC64B9A7}"/>
    <cellStyle name="Normal233" xfId="417" xr:uid="{3E6F2C56-B118-4533-979E-C17819384704}"/>
    <cellStyle name="Normal234" xfId="418" xr:uid="{DD7A9D46-2669-4798-A04E-B8FA881BEB80}"/>
    <cellStyle name="Normal235" xfId="419" xr:uid="{AB426BA7-CD87-4D8A-B374-5874055C122D}"/>
    <cellStyle name="Normal236" xfId="420" xr:uid="{265DBC6E-2CC9-4559-9688-39FAB500E03F}"/>
    <cellStyle name="Normal237" xfId="421" xr:uid="{C4405DAE-DDA3-4783-9FDA-ABAA7DEB34DC}"/>
    <cellStyle name="Normal238" xfId="422" xr:uid="{E7634478-207C-4F83-B042-F4A3EF8B39CB}"/>
    <cellStyle name="Normal239" xfId="423" xr:uid="{FB1714C1-9886-46E0-B0C2-EF40852FDCE1}"/>
    <cellStyle name="Normal24" xfId="424" xr:uid="{9349D8D0-1164-45F7-9923-C03E93159AF5}"/>
    <cellStyle name="Normal240" xfId="425" xr:uid="{071C742F-9686-48A5-AA2D-6FE213BC0931}"/>
    <cellStyle name="Normal241" xfId="426" xr:uid="{2FCCC234-2C3D-4748-B495-A9E328A60D88}"/>
    <cellStyle name="Normal242" xfId="427" xr:uid="{0B667EBF-67B9-4EC4-9F19-90D1EDA6002F}"/>
    <cellStyle name="Normal243" xfId="428" xr:uid="{72DF5C33-0EA4-492D-9E23-2BA111F8BF41}"/>
    <cellStyle name="Normal244" xfId="429" xr:uid="{032BCA3B-1A51-4A50-9992-7095E29871FC}"/>
    <cellStyle name="Normal245" xfId="430" xr:uid="{E07B72D0-B173-4469-8361-BB01AF97AE43}"/>
    <cellStyle name="Normal246" xfId="431" xr:uid="{2D8C1254-B8BE-4F55-8864-39095141FDD2}"/>
    <cellStyle name="Normal247" xfId="432" xr:uid="{83E1E433-E184-403E-9A8C-7B0028DB58EF}"/>
    <cellStyle name="Normal248" xfId="433" xr:uid="{2D46D63C-A83F-4272-8649-26A816360F6D}"/>
    <cellStyle name="Normal249" xfId="434" xr:uid="{5B11C867-858F-4E05-AFAE-EE88C3606C3E}"/>
    <cellStyle name="Normal25" xfId="435" xr:uid="{F00FCC3E-4A54-4D6F-8E2C-F3A01974EE40}"/>
    <cellStyle name="Normal250" xfId="436" xr:uid="{05D37336-86F6-4A14-A08D-D4A9714515BA}"/>
    <cellStyle name="Normal251" xfId="437" xr:uid="{4BD07FAF-5EF5-4257-BD06-A6DC9E92FD85}"/>
    <cellStyle name="Normal252" xfId="438" xr:uid="{DC6277E4-592A-44B8-B48F-43165D798FAA}"/>
    <cellStyle name="Normal253" xfId="439" xr:uid="{2D7C22FC-8B8E-42D6-A7F8-F1801C2DA4A5}"/>
    <cellStyle name="Normal26" xfId="440" xr:uid="{1EAD59CA-252D-4EE7-AC99-5CE4454752CC}"/>
    <cellStyle name="Normal27" xfId="441" xr:uid="{FBB8AA0D-F724-4664-B921-0E962B34E8D9}"/>
    <cellStyle name="Normal28" xfId="442" xr:uid="{75325BDD-8CC0-4BF9-A3A6-332F0DFD3BC8}"/>
    <cellStyle name="Normal29" xfId="443" xr:uid="{E63F963A-35E1-4436-ABFF-9E3AB65A3A9B}"/>
    <cellStyle name="Normal3" xfId="444" xr:uid="{640F31CB-0AC1-4BEE-9731-067E2BE7BCCD}"/>
    <cellStyle name="Normal30" xfId="445" xr:uid="{2FC46ECC-0E72-4FB1-A6C3-F0898665BB97}"/>
    <cellStyle name="Normal31" xfId="446" xr:uid="{7FC2B245-B635-42F1-B0E4-6488B3DD5A18}"/>
    <cellStyle name="Normal32" xfId="447" xr:uid="{323195E6-769D-4485-9990-2139B443386C}"/>
    <cellStyle name="Normal33" xfId="448" xr:uid="{0C91721A-964D-4F7F-B880-05830E946D82}"/>
    <cellStyle name="Normal34" xfId="449" xr:uid="{2DEC07C3-C950-4149-983E-136A2D1D21A1}"/>
    <cellStyle name="Normal35" xfId="450" xr:uid="{EE36A137-46EE-403B-ACFF-1FB0C679DA87}"/>
    <cellStyle name="Normal36" xfId="451" xr:uid="{C8D3643B-79D4-464E-B527-AD110F2FEAF4}"/>
    <cellStyle name="Normal37" xfId="452" xr:uid="{695107CD-C9E2-44E0-8115-525635BDA3D8}"/>
    <cellStyle name="Normal38" xfId="453" xr:uid="{C740D4D3-DC0F-4AE0-B382-36F14F720D30}"/>
    <cellStyle name="Normal39" xfId="454" xr:uid="{D0B07AE2-9B33-4A92-8C23-82CB5CAC6B95}"/>
    <cellStyle name="Normal4" xfId="455" xr:uid="{B749BF2F-7476-4935-BD30-C880199F0A72}"/>
    <cellStyle name="Normal40" xfId="456" xr:uid="{B47FC6C5-9C12-44F4-A772-B3F591B1DD0F}"/>
    <cellStyle name="Normal41" xfId="457" xr:uid="{E8A69151-79D0-49A5-ABA4-EEED6A0DE94A}"/>
    <cellStyle name="Normal42" xfId="458" xr:uid="{7F296E28-F7E1-46C2-8E09-BC7DC4DF0E82}"/>
    <cellStyle name="Normal43" xfId="459" xr:uid="{348A2ED6-2098-455A-802F-80DB241CABC9}"/>
    <cellStyle name="Normal44" xfId="460" xr:uid="{D9A3B1F5-CECB-4A5C-AAA2-7EC4CE0C8DE7}"/>
    <cellStyle name="Normal45" xfId="461" xr:uid="{C4FC0DB8-139C-418B-B345-B8815DC83C80}"/>
    <cellStyle name="Normal46" xfId="462" xr:uid="{E66A21BD-DEA6-4274-A54A-80147DCD7E1D}"/>
    <cellStyle name="Normal47" xfId="463" xr:uid="{4C890429-A30F-4FEB-8AEB-56F25D17FB27}"/>
    <cellStyle name="Normal48" xfId="464" xr:uid="{459170FD-150B-4AC6-A4D6-02FF1DCB2E49}"/>
    <cellStyle name="Normal49" xfId="465" xr:uid="{FB1C8D0A-8066-499C-A637-A3502B9D61A4}"/>
    <cellStyle name="Normal5" xfId="466" xr:uid="{D86D1012-F600-4392-BB7C-D574C40A79E7}"/>
    <cellStyle name="Normal50" xfId="467" xr:uid="{20B3C5E5-E9E4-4F7B-BFDF-8647D02F9FE8}"/>
    <cellStyle name="Normal51" xfId="468" xr:uid="{FC973561-6AD2-4A53-894F-19CED9900580}"/>
    <cellStyle name="Normal52" xfId="469" xr:uid="{0166A936-BB9A-4346-8F0E-697BC58CC5BA}"/>
    <cellStyle name="Normal53" xfId="470" xr:uid="{4BE7D536-848D-4202-9A28-1F86F98CFC47}"/>
    <cellStyle name="Normal54" xfId="471" xr:uid="{1B13117C-9395-41BB-8C77-CD1AE433EE03}"/>
    <cellStyle name="Normal55" xfId="472" xr:uid="{68463A21-CFC1-4BC4-89C2-2D88ABE5A569}"/>
    <cellStyle name="Normal56" xfId="473" xr:uid="{984F4DBB-11F8-487C-A402-1A1019E66724}"/>
    <cellStyle name="Normal57" xfId="474" xr:uid="{D1F89C27-12A0-4055-BEFC-E68F8425FEB7}"/>
    <cellStyle name="Normal58" xfId="475" xr:uid="{90852085-6656-4093-ABCD-4E9F12C10BFA}"/>
    <cellStyle name="Normal59" xfId="476" xr:uid="{77B6F53B-F4A9-4968-8683-57396A03FD55}"/>
    <cellStyle name="Normal6" xfId="477" xr:uid="{A4176EE6-6965-4CB5-98E3-A5CF7463DFB1}"/>
    <cellStyle name="Normal60" xfId="478" xr:uid="{8E69B495-1471-48AE-BDFE-24659E849828}"/>
    <cellStyle name="Normal61" xfId="479" xr:uid="{6B1CE496-1936-4FC5-A2E3-483F4FC560D0}"/>
    <cellStyle name="Normal62" xfId="480" xr:uid="{7FC38D8E-CB27-45ED-BB15-01756F079914}"/>
    <cellStyle name="Normal63" xfId="481" xr:uid="{B6550850-F1B4-4978-BB54-740745A13D52}"/>
    <cellStyle name="Normal64" xfId="482" xr:uid="{1D3F14E1-0DAD-4E70-A10D-7FE5AC8A02DB}"/>
    <cellStyle name="Normal65" xfId="483" xr:uid="{D0FFEE0E-5F11-4B4C-8277-31B5ED5E6213}"/>
    <cellStyle name="Normal66" xfId="484" xr:uid="{C5C5A169-AB2B-43D1-8989-04FF5205A405}"/>
    <cellStyle name="Normal67" xfId="485" xr:uid="{328DE5C2-3EFA-40AA-BAD8-7D1DEF5D61A6}"/>
    <cellStyle name="Normal68" xfId="486" xr:uid="{3596D83A-3A4A-49D7-93CF-319186D97AC4}"/>
    <cellStyle name="Normal69" xfId="487" xr:uid="{613F1677-E594-4680-A0E4-46F2FDE35FC9}"/>
    <cellStyle name="Normal7" xfId="488" xr:uid="{FE5B8A2F-8916-4C9D-8185-1E2D67D43FC5}"/>
    <cellStyle name="Normal70" xfId="489" xr:uid="{06E0FBD5-8DB2-4D64-8542-9B3B8F9A2C9D}"/>
    <cellStyle name="Normal71" xfId="490" xr:uid="{674F3715-2B5E-4665-869A-071A31DFB3B5}"/>
    <cellStyle name="Normal72" xfId="491" xr:uid="{BCC1A913-0F20-4211-9B3C-B3D6EFDBAF48}"/>
    <cellStyle name="Normal73" xfId="492" xr:uid="{7EC57961-8F6E-4DD6-BCA7-D3ABB846B171}"/>
    <cellStyle name="Normal74" xfId="493" xr:uid="{C6FAFC0E-354F-4734-B4A2-C1962AB77978}"/>
    <cellStyle name="Normal75" xfId="494" xr:uid="{1DCDBC56-B26F-4996-8473-081319934EEC}"/>
    <cellStyle name="Normal76" xfId="495" xr:uid="{DF811C0B-FEF4-4DBA-AA2C-9BF6B82FDF7B}"/>
    <cellStyle name="Normal77" xfId="496" xr:uid="{DC186346-D969-4A3A-A712-846D7353DE69}"/>
    <cellStyle name="Normal78" xfId="497" xr:uid="{D12C413F-BC21-4B41-AF8B-75F8AD6F4206}"/>
    <cellStyle name="Normal79" xfId="498" xr:uid="{82F3947F-70FB-4881-91EF-8F8754ABF843}"/>
    <cellStyle name="Normal8" xfId="499" xr:uid="{6DF0CD06-1A7F-4CD2-9B5B-BED966E0F7D7}"/>
    <cellStyle name="Normal80" xfId="500" xr:uid="{E37F9DA8-BDCD-44D5-82B2-4E8E2BDD7081}"/>
    <cellStyle name="Normal81" xfId="501" xr:uid="{EBFDE9CB-F89B-4BBE-BB4F-27CEB7150BAE}"/>
    <cellStyle name="Normal82" xfId="502" xr:uid="{27093F62-F201-49CF-94A5-501D37D8D689}"/>
    <cellStyle name="Normal83" xfId="503" xr:uid="{33CE018E-570A-4767-844F-8922FDE79A88}"/>
    <cellStyle name="Normal84" xfId="504" xr:uid="{D9295AB8-AB42-4878-814E-8F6864B125C9}"/>
    <cellStyle name="Normal85" xfId="505" xr:uid="{B8606FE1-D7AD-4FCA-95FD-71BBAB00F211}"/>
    <cellStyle name="Normal86" xfId="506" xr:uid="{3BC43DD6-386A-4804-B36C-A29D023E7861}"/>
    <cellStyle name="Normal87" xfId="507" xr:uid="{A4D9A962-28D8-4593-937F-019CCA2C38D2}"/>
    <cellStyle name="Normal88" xfId="508" xr:uid="{AC21542F-1B97-4233-AF93-2EF36B00608F}"/>
    <cellStyle name="Normal89" xfId="509" xr:uid="{7B97B71C-2302-41A2-8819-1FFAD968F188}"/>
    <cellStyle name="Normal9" xfId="510" xr:uid="{EDD143FD-EF6E-48BD-B2F6-815E3EB8BB98}"/>
    <cellStyle name="Normal90" xfId="511" xr:uid="{F8874600-B31B-41FF-84C3-94C2AF1664C4}"/>
    <cellStyle name="Normal91" xfId="512" xr:uid="{D1B8D293-328B-42F7-B146-721981234DDC}"/>
    <cellStyle name="Normal92" xfId="513" xr:uid="{6DB9B43A-ACBB-4779-8B09-76066FCB51C8}"/>
    <cellStyle name="Normal93" xfId="514" xr:uid="{910E4BAD-FFE3-469E-AB71-86B2733739FC}"/>
    <cellStyle name="Normal94" xfId="515" xr:uid="{0799A503-F6BE-47F3-BA82-690542867B04}"/>
    <cellStyle name="Normal95" xfId="516" xr:uid="{B0EE9678-AD60-4C4A-8030-9DA57A4BD812}"/>
    <cellStyle name="Normal96" xfId="517" xr:uid="{D0118AE5-ECCB-40B1-9AB8-7B197FA7D933}"/>
    <cellStyle name="Normal97" xfId="518" xr:uid="{4959C4CC-1173-4EDE-B918-28331C13C26D}"/>
    <cellStyle name="Normal98" xfId="519" xr:uid="{E2DBBCA1-3EE1-4E37-A461-92C216CBC205}"/>
    <cellStyle name="Normal99" xfId="520" xr:uid="{C9E5C663-89E5-45BF-BC69-21C6AF9519D8}"/>
    <cellStyle name="NotDeclared_1" xfId="521" xr:uid="{C928F8AF-D6BD-4766-A86C-2F47B5F34CEA}"/>
    <cellStyle name="Numbers" xfId="522" xr:uid="{DB32DAA4-C894-4254-96DC-42D72E696FD1}"/>
    <cellStyle name="Numbers - Bold" xfId="523" xr:uid="{E07E0111-C041-409F-A47F-F008DBA0C0F0}"/>
    <cellStyle name="Numbers - Bold - Italic" xfId="524" xr:uid="{31B595DA-8EC1-49F2-8E22-B5ECBFD53B7D}"/>
    <cellStyle name="Numbers - Bold_6079BX" xfId="525" xr:uid="{A7D5666E-F9D1-4604-8D2A-A236CA29F63E}"/>
    <cellStyle name="Numbers - Large" xfId="526" xr:uid="{CCA2A9C3-76E9-48C9-8019-66245245A50A}"/>
    <cellStyle name="Numbers_6079BX" xfId="527" xr:uid="{2A51C721-6380-4F0D-B01E-187858C62EFF}"/>
    <cellStyle name="OSW_RowLabels" xfId="528" xr:uid="{9C08AFA7-4E58-4795-B0AA-CAE601DCDAA1}"/>
    <cellStyle name="Outline" xfId="529" xr:uid="{CAFCE6CB-3280-4C68-AD25-4ABE81F6E7E2}"/>
    <cellStyle name="Output Amounts" xfId="530" xr:uid="{0CB8E4D9-11DE-44BA-BD49-9B7C5D6AF50C}"/>
    <cellStyle name="Output Column Headings" xfId="531" xr:uid="{4C20C629-EAB5-400E-ABEF-E592E529C0A4}"/>
    <cellStyle name="Output Line Items" xfId="532" xr:uid="{B5BAE9C4-12F2-4316-8ECE-8A86946EBBDC}"/>
    <cellStyle name="Output Report Heading" xfId="533" xr:uid="{D1BDB405-7E93-472C-92C1-F8C36239FA44}"/>
    <cellStyle name="Page" xfId="534" xr:uid="{2DBFD3EB-8BBF-40E2-A55C-B483B0570379}"/>
    <cellStyle name="PB Table Heading" xfId="535" xr:uid="{1A2FEFE7-147E-4BF6-9DE0-117ED46E3E0A}"/>
    <cellStyle name="PB Table Highlight1" xfId="536" xr:uid="{ADF9136C-9ACA-459C-9AE2-A4BE4E51AD15}"/>
    <cellStyle name="PB Table Highlight2" xfId="537" xr:uid="{E7FEB489-E529-43C3-8151-7CCBC5FB014A}"/>
    <cellStyle name="PB Table Highlight3" xfId="538" xr:uid="{89F408E2-D276-4BC8-ADD8-E6496A350095}"/>
    <cellStyle name="PB Table Standard Row" xfId="539" xr:uid="{4AEC907A-9114-4A81-AD1A-9891FC168D04}"/>
    <cellStyle name="PB Table Subtotal Row" xfId="540" xr:uid="{D252AE1E-A587-4C3E-AFAB-02A08689A01D}"/>
    <cellStyle name="PB Table Total Row" xfId="541" xr:uid="{D8575D09-A4E3-49A0-893A-01DA572C609A}"/>
    <cellStyle name="Per cent" xfId="543" builtinId="5"/>
    <cellStyle name="per.style" xfId="542" xr:uid="{951147FD-9F72-4DE2-908F-526CD4CDB5F2}"/>
    <cellStyle name="Percent [0]" xfId="544" xr:uid="{6FBAA09B-5AF2-49CC-AF64-649F523797C6}"/>
    <cellStyle name="Percent [00]" xfId="545" xr:uid="{14328B63-4DFF-42CF-8432-BBF5A5CA499C}"/>
    <cellStyle name="Percent [1]" xfId="546" xr:uid="{17618AA1-D1CF-4CF2-8A40-9272957ACF82}"/>
    <cellStyle name="Percent [1][]" xfId="547" xr:uid="{DD462FB4-7E25-44C2-B83D-AD00816F4CE8}"/>
    <cellStyle name="Percent [1]_New MA Public Comps and WACC Model" xfId="548" xr:uid="{88E6CFB5-77C0-4C65-A1CF-CD366D4081AA}"/>
    <cellStyle name="Percent [2]" xfId="549" xr:uid="{EF4541EB-5294-4705-B2D9-83858CE934C9}"/>
    <cellStyle name="Percent Comma" xfId="550" xr:uid="{F5E05089-412D-4EA7-96AB-F6F3E6A1C6F0}"/>
    <cellStyle name="Percent1" xfId="551" xr:uid="{BFDB7EC5-DAA0-4202-A37A-7D20CA42A23D}"/>
    <cellStyle name="Percent10" xfId="552" xr:uid="{86F63201-D0EF-4B9E-821C-A41F2AF1EC55}"/>
    <cellStyle name="Percent100" xfId="553" xr:uid="{0F2767A0-7536-464F-90D0-A52B549C2E96}"/>
    <cellStyle name="Percent101" xfId="554" xr:uid="{4A716E15-9E0F-4FE0-9B40-85E86F180262}"/>
    <cellStyle name="Percent102" xfId="555" xr:uid="{B5DB7C85-D215-4B99-BE8F-B444900B540E}"/>
    <cellStyle name="Percent103" xfId="556" xr:uid="{64282B30-DE98-49A3-B578-AE7A94D77FB9}"/>
    <cellStyle name="Percent104" xfId="557" xr:uid="{91E4CECF-9BCE-495F-B7E1-43529E8E21BE}"/>
    <cellStyle name="Percent105" xfId="558" xr:uid="{7EDF329C-536F-418C-9AEE-7B83A9933BED}"/>
    <cellStyle name="Percent106" xfId="559" xr:uid="{C59EE554-3B33-4C26-B31C-6ADE58DBFA5A}"/>
    <cellStyle name="Percent107" xfId="560" xr:uid="{15B840FE-0241-4317-962B-9D921919C77D}"/>
    <cellStyle name="Percent108" xfId="561" xr:uid="{1435DFBC-20E9-4F73-83DF-04CFE3FC9AE3}"/>
    <cellStyle name="Percent109" xfId="562" xr:uid="{30B2DEFB-D4EE-4DF7-A061-E5DCDEFEF9EF}"/>
    <cellStyle name="Percent11" xfId="563" xr:uid="{5EDAA03A-693C-42E9-9D5A-32C7F57A2192}"/>
    <cellStyle name="Percent110" xfId="564" xr:uid="{4CE37ECB-9AB7-461C-AABA-55A9C0001BF1}"/>
    <cellStyle name="Percent111" xfId="565" xr:uid="{79CD947B-7DE7-4EB6-886B-2D8EBAE42BD0}"/>
    <cellStyle name="Percent112" xfId="566" xr:uid="{0DF2A116-F1E4-4754-BFB7-23AEDBBBA9E5}"/>
    <cellStyle name="Percent113" xfId="567" xr:uid="{084EADC6-AFDB-4EA2-A985-7287CE0F8AA5}"/>
    <cellStyle name="Percent114" xfId="568" xr:uid="{0541A356-0DED-4883-9844-9BF520D8D39B}"/>
    <cellStyle name="Percent115" xfId="569" xr:uid="{ED3F514B-111D-4221-9EA0-B4EC16216000}"/>
    <cellStyle name="Percent116" xfId="570" xr:uid="{39D32A22-92BA-4A6C-B8BE-19DE89496C9B}"/>
    <cellStyle name="Percent117" xfId="571" xr:uid="{D908F3F2-CAE4-4CDD-9054-739E0E3B34BF}"/>
    <cellStyle name="Percent118" xfId="572" xr:uid="{A72AADDC-C044-4C82-9733-3BE06BFCB1C5}"/>
    <cellStyle name="Percent119" xfId="573" xr:uid="{6B28927E-EBA2-4999-BB39-05ECCF19A5D2}"/>
    <cellStyle name="Percent12" xfId="574" xr:uid="{36E10878-2DE9-41E9-A865-094B440B3429}"/>
    <cellStyle name="Percent120" xfId="575" xr:uid="{1A3A0EE3-61BC-43A0-8878-C3A78F98C9BA}"/>
    <cellStyle name="Percent121" xfId="576" xr:uid="{2098E032-A9A5-451C-8481-AACA0516FE9E}"/>
    <cellStyle name="Percent122" xfId="577" xr:uid="{5EC89413-670C-4051-81E2-FB6B7F12A51A}"/>
    <cellStyle name="Percent123" xfId="578" xr:uid="{4C54696E-23B6-4CF7-9623-C19E47F211F4}"/>
    <cellStyle name="Percent124" xfId="579" xr:uid="{A3CA4A7C-94F4-4FBE-A51E-1D58EE497DDA}"/>
    <cellStyle name="Percent125" xfId="580" xr:uid="{A6800266-9416-4C7C-80A7-A6BB513DD929}"/>
    <cellStyle name="Percent126" xfId="581" xr:uid="{0DC2C470-B52C-4A7A-B13B-A0458D65F9F1}"/>
    <cellStyle name="Percent127" xfId="582" xr:uid="{CC61573F-1D76-46A3-A44C-499868E725A4}"/>
    <cellStyle name="Percent128" xfId="583" xr:uid="{5DAFA6D4-9AAE-43F7-89C0-2E0CF346CF55}"/>
    <cellStyle name="Percent129" xfId="584" xr:uid="{4C980030-4E69-4A3A-80E4-22AC19594793}"/>
    <cellStyle name="Percent13" xfId="585" xr:uid="{857698B7-A5E8-4A36-858C-A0E31D5EDB18}"/>
    <cellStyle name="Percent130" xfId="586" xr:uid="{3AB030E5-BD0D-4552-92CB-AECC8379C77D}"/>
    <cellStyle name="Percent131" xfId="587" xr:uid="{195DFF22-D3E4-4590-8193-CB2B2745CA5F}"/>
    <cellStyle name="Percent132" xfId="588" xr:uid="{EF2DBF37-169C-4D51-83BF-CE1AC33DEB3B}"/>
    <cellStyle name="Percent133" xfId="589" xr:uid="{DE02F13E-7A7F-4461-84A8-3029F778C979}"/>
    <cellStyle name="Percent134" xfId="590" xr:uid="{7D743BCF-B3E0-4261-8C20-CAB51EA9C8F7}"/>
    <cellStyle name="Percent135" xfId="591" xr:uid="{F91B2FB1-52A7-4316-A2DF-E809806EFE72}"/>
    <cellStyle name="Percent136" xfId="592" xr:uid="{F1FB7921-B527-449C-BEC5-77D90563D15E}"/>
    <cellStyle name="Percent137" xfId="593" xr:uid="{C3EE1362-CC46-47EA-AB13-34D17FA329E0}"/>
    <cellStyle name="Percent138" xfId="594" xr:uid="{8AF5C7A9-AD6E-47E3-887F-C2FEA9BE1856}"/>
    <cellStyle name="Percent139" xfId="595" xr:uid="{74422A70-BAA0-4E42-AB31-5BA5932FC175}"/>
    <cellStyle name="Percent14" xfId="596" xr:uid="{D92EE32B-E76F-494E-B11D-E8FD47D36921}"/>
    <cellStyle name="Percent140" xfId="597" xr:uid="{7D2AB644-D424-4164-9380-9CEC255A28C1}"/>
    <cellStyle name="Percent141" xfId="598" xr:uid="{0EAE585F-7669-4EA9-B071-30C9E5582358}"/>
    <cellStyle name="Percent142" xfId="599" xr:uid="{C84C9807-3354-4D64-BCA0-2A661400BDCC}"/>
    <cellStyle name="Percent143" xfId="600" xr:uid="{4B6F501C-5A60-4FA5-8A32-FAD9BA70CC3C}"/>
    <cellStyle name="Percent144" xfId="601" xr:uid="{4C80DA61-699B-44DF-90AB-BF099B6E6329}"/>
    <cellStyle name="Percent145" xfId="602" xr:uid="{547E398E-A1DD-4DF7-97C2-424E18D29125}"/>
    <cellStyle name="Percent146" xfId="603" xr:uid="{BF8AA6CE-DE86-4C73-8492-0C48F5611B6E}"/>
    <cellStyle name="Percent147" xfId="604" xr:uid="{92228A9B-0A5B-4CFE-AF7F-99C5C2598A54}"/>
    <cellStyle name="Percent148" xfId="605" xr:uid="{AD0FF61D-448D-44ED-AD98-C63B111192EC}"/>
    <cellStyle name="Percent149" xfId="606" xr:uid="{A9B5C947-7BA7-4243-A3AD-228B4407C030}"/>
    <cellStyle name="Percent15" xfId="607" xr:uid="{218DA94C-60E6-4C53-874B-F925A2031F55}"/>
    <cellStyle name="Percent150" xfId="608" xr:uid="{19C4392B-797D-4457-B632-19BBDBC5B781}"/>
    <cellStyle name="Percent151" xfId="609" xr:uid="{B78F3C45-EE58-41B2-B47D-A77298B51FA5}"/>
    <cellStyle name="Percent152" xfId="610" xr:uid="{7DA83788-DFA2-40CA-9B33-F321155E0370}"/>
    <cellStyle name="Percent153" xfId="611" xr:uid="{0805FCE2-E8DA-46B1-AEBF-3A1A3E19FCF6}"/>
    <cellStyle name="Percent154" xfId="612" xr:uid="{B9F53DD0-AAB7-4AF9-8A7D-5A258D5ADB44}"/>
    <cellStyle name="Percent155" xfId="613" xr:uid="{F3C80AF5-3F82-4012-8942-CD0BA449555E}"/>
    <cellStyle name="Percent156" xfId="614" xr:uid="{E18B70AD-458B-4E2E-9A8A-27FD64690CD3}"/>
    <cellStyle name="Percent157" xfId="615" xr:uid="{BDE0C9AC-E23B-40A9-AE8B-60CD65136156}"/>
    <cellStyle name="Percent158" xfId="616" xr:uid="{F4767282-E575-4652-913E-CEEC60728521}"/>
    <cellStyle name="Percent159" xfId="617" xr:uid="{BECEDE6A-9809-496A-A851-7C7771DED6D2}"/>
    <cellStyle name="Percent16" xfId="618" xr:uid="{3B9D0279-D0C0-473E-909F-07E5A0F48E2A}"/>
    <cellStyle name="Percent160" xfId="619" xr:uid="{659DBC1E-C6C7-46B6-A837-5F01BC9B4C52}"/>
    <cellStyle name="Percent161" xfId="620" xr:uid="{28D16BDF-515F-4F3B-B0A3-D4888DEF1D6A}"/>
    <cellStyle name="Percent162" xfId="621" xr:uid="{5B3484E1-B0FC-4842-90C3-6322AFDF643E}"/>
    <cellStyle name="Percent163" xfId="622" xr:uid="{1365B2D3-68C8-4A57-9DEC-96D7774554CC}"/>
    <cellStyle name="Percent164" xfId="623" xr:uid="{D3FBAF5D-55C9-4DFF-91A5-FA980A7101AF}"/>
    <cellStyle name="Percent165" xfId="624" xr:uid="{AA6C61C3-5DB6-4F3B-8C55-FAE52CAADF08}"/>
    <cellStyle name="Percent166" xfId="625" xr:uid="{C429B58D-ADBD-4B98-A2F0-2901C2122735}"/>
    <cellStyle name="Percent167" xfId="626" xr:uid="{FC01EA59-F6DE-4F92-9D51-4CA8C96B5B9D}"/>
    <cellStyle name="Percent168" xfId="627" xr:uid="{98247670-AA06-42E5-B24C-5B63B7629EE0}"/>
    <cellStyle name="Percent169" xfId="628" xr:uid="{78AE6A0C-77E4-4F39-9D09-DD5BF5BE1E57}"/>
    <cellStyle name="Percent17" xfId="629" xr:uid="{30AE3F7E-3F84-4E28-B881-6B9170D39CA5}"/>
    <cellStyle name="Percent170" xfId="630" xr:uid="{68D8434F-952E-42E8-9E91-ECB60726D82D}"/>
    <cellStyle name="Percent171" xfId="631" xr:uid="{AE2E2DF5-E674-4444-9594-6B3F0BE1D11A}"/>
    <cellStyle name="Percent172" xfId="632" xr:uid="{4D3F38DC-F82C-4837-8859-063AA1AE6CD8}"/>
    <cellStyle name="Percent173" xfId="633" xr:uid="{20E145C1-4D2A-4859-A4CD-E8F336677172}"/>
    <cellStyle name="Percent174" xfId="634" xr:uid="{DEE287D7-2BF2-4F83-8A2A-7AA77691B66F}"/>
    <cellStyle name="Percent175" xfId="635" xr:uid="{695E24FF-B260-4491-BAD7-2F32731E5185}"/>
    <cellStyle name="Percent176" xfId="636" xr:uid="{16ED44F2-54CD-43BA-BCC1-EBD84FFA48E8}"/>
    <cellStyle name="Percent177" xfId="637" xr:uid="{5E200BCA-3E15-4AAA-AB79-D252E576B5D0}"/>
    <cellStyle name="Percent178" xfId="638" xr:uid="{0BFBD076-9F56-4720-8970-233FAC476DC0}"/>
    <cellStyle name="Percent179" xfId="639" xr:uid="{998B452E-4552-4BA3-AC78-455DFDE99156}"/>
    <cellStyle name="Percent18" xfId="640" xr:uid="{00C48576-C557-4236-B971-056DCA258E64}"/>
    <cellStyle name="Percent180" xfId="641" xr:uid="{84AF5A44-DEE8-44F6-891B-2476EFC6B9D5}"/>
    <cellStyle name="Percent181" xfId="642" xr:uid="{8A2D1C32-F196-4852-A7B4-F88501F52852}"/>
    <cellStyle name="Percent182" xfId="643" xr:uid="{F35384D9-D186-4727-AD93-FDBAD15C360A}"/>
    <cellStyle name="Percent183" xfId="644" xr:uid="{EB84DE27-00C7-4732-866D-F45EB678F07F}"/>
    <cellStyle name="Percent184" xfId="645" xr:uid="{505B6F68-082A-4CDB-BB27-7C6CACA52A7A}"/>
    <cellStyle name="Percent185" xfId="646" xr:uid="{1180527C-E306-4EA7-964E-9075237A5F23}"/>
    <cellStyle name="Percent186" xfId="647" xr:uid="{CC61221E-5C61-44E8-8865-F7F2D09ABC0E}"/>
    <cellStyle name="Percent187" xfId="648" xr:uid="{62D05466-4E26-4E11-BE5F-FF502CC7095A}"/>
    <cellStyle name="Percent188" xfId="649" xr:uid="{F82C2674-90CE-404A-A8F0-C1660712E96E}"/>
    <cellStyle name="Percent189" xfId="650" xr:uid="{96C89293-437A-487C-B79A-7C5D09812E4C}"/>
    <cellStyle name="Percent19" xfId="651" xr:uid="{595011BD-5160-4731-8F17-EC99B938489B}"/>
    <cellStyle name="Percent190" xfId="652" xr:uid="{BF306228-5237-4F5B-8870-21CAAC790CEF}"/>
    <cellStyle name="Percent191" xfId="653" xr:uid="{6F7F1071-8BE2-4110-972B-860EB75D0808}"/>
    <cellStyle name="Percent192" xfId="654" xr:uid="{EBF6CF08-3F96-44B3-AA4E-F78BD8A81A57}"/>
    <cellStyle name="Percent193" xfId="655" xr:uid="{E6D92393-89CE-484C-A3F6-4DE576D15D4F}"/>
    <cellStyle name="Percent194" xfId="656" xr:uid="{F3E3B87A-48E8-4732-A6F0-F0F27C4EE9B9}"/>
    <cellStyle name="Percent195" xfId="657" xr:uid="{3EFDEC7C-76C1-4D7E-8AEA-ED9D86A1D7B0}"/>
    <cellStyle name="Percent196" xfId="658" xr:uid="{AF79FAB0-B69F-4D00-882F-C84B5BB8AFDA}"/>
    <cellStyle name="Percent197" xfId="659" xr:uid="{A19DA34B-A81C-438F-ADB0-FAADF064E942}"/>
    <cellStyle name="Percent198" xfId="660" xr:uid="{F00439B7-471F-4C8D-8B10-677E020D62FA}"/>
    <cellStyle name="Percent199" xfId="661" xr:uid="{95C67926-F6FE-4E90-86D6-076D3F99B761}"/>
    <cellStyle name="Percent1Bold" xfId="662" xr:uid="{668EB695-96B4-4059-93A5-FF6B50FE54B5}"/>
    <cellStyle name="Percent2" xfId="663" xr:uid="{5610515F-BE26-4B10-B34B-BD120DC3CB90}"/>
    <cellStyle name="Percent20" xfId="664" xr:uid="{1E6517DE-272B-4E12-8721-7CC4264A856E}"/>
    <cellStyle name="Percent200" xfId="665" xr:uid="{2C876A92-5BE1-4125-A742-A6D0E89A0341}"/>
    <cellStyle name="Percent201" xfId="666" xr:uid="{25C71C19-A30D-41E5-8C01-0FE712D32AA8}"/>
    <cellStyle name="Percent202" xfId="667" xr:uid="{1A915DC3-E7A6-41C1-A438-DFB73358B8CA}"/>
    <cellStyle name="Percent203" xfId="668" xr:uid="{71E1C3FE-8F78-4758-8E6A-4FC5C48E043C}"/>
    <cellStyle name="Percent204" xfId="669" xr:uid="{DB3E9EE9-5044-4F86-A83B-4A05F3AA6356}"/>
    <cellStyle name="Percent205" xfId="670" xr:uid="{BC1409EE-DC8A-4B27-96AE-3DDD0C05072D}"/>
    <cellStyle name="Percent206" xfId="671" xr:uid="{FB609A8A-92E9-464D-80E8-D84CA26A7793}"/>
    <cellStyle name="Percent207" xfId="672" xr:uid="{328DD778-EBAB-4BA8-A874-61EEC6708459}"/>
    <cellStyle name="Percent208" xfId="673" xr:uid="{F83E5991-A09C-4173-93C0-15AD01528581}"/>
    <cellStyle name="Percent209" xfId="674" xr:uid="{B238FFCC-E619-4404-960F-98D4B25B6FCB}"/>
    <cellStyle name="Percent21" xfId="675" xr:uid="{1B62D702-7000-47A6-A6A8-53005312CEFE}"/>
    <cellStyle name="Percent210" xfId="676" xr:uid="{549F8B3A-47C8-40CE-A50F-14091D7D9EFC}"/>
    <cellStyle name="Percent211" xfId="677" xr:uid="{A05E924A-E0E5-4116-A1F3-AB9DD7340F66}"/>
    <cellStyle name="Percent212" xfId="678" xr:uid="{4F2363F7-A1A8-4843-A2CB-B307E1E9CE8B}"/>
    <cellStyle name="Percent213" xfId="679" xr:uid="{87C7E6E7-B4EE-42F2-9F02-6E1CBAB9C560}"/>
    <cellStyle name="Percent214" xfId="680" xr:uid="{FF286313-1893-4A75-9E00-2BEEBF8CD73F}"/>
    <cellStyle name="Percent215" xfId="681" xr:uid="{4B3B508F-BD42-4DD3-9448-BBC33B9444D7}"/>
    <cellStyle name="Percent216" xfId="682" xr:uid="{DCFF708E-2430-42EC-8B5A-65561476DBD2}"/>
    <cellStyle name="Percent217" xfId="683" xr:uid="{70872761-EEEA-4505-A32F-0399213F90C4}"/>
    <cellStyle name="Percent218" xfId="684" xr:uid="{D50C9239-8130-4FCD-A9E6-B0E777401B86}"/>
    <cellStyle name="Percent219" xfId="685" xr:uid="{430BCE1F-D86B-49EF-87E4-56860A81E65E}"/>
    <cellStyle name="Percent22" xfId="686" xr:uid="{D5EF0256-B3AD-42F0-92B9-4BBEAF982E5A}"/>
    <cellStyle name="Percent220" xfId="687" xr:uid="{609231FE-1190-47BA-B699-44A06154AB80}"/>
    <cellStyle name="Percent221" xfId="688" xr:uid="{90E2E361-7B31-42AB-BEC9-76FAF971C4A4}"/>
    <cellStyle name="Percent222" xfId="689" xr:uid="{97495D72-A76A-46C0-84AC-298EBD3A12F1}"/>
    <cellStyle name="Percent223" xfId="690" xr:uid="{44A0F383-A3B7-4F05-91FD-FBD319E11C90}"/>
    <cellStyle name="Percent224" xfId="691" xr:uid="{F345999E-B90C-40AD-AD8A-5F5DFBA016CC}"/>
    <cellStyle name="Percent225" xfId="692" xr:uid="{60743FEC-F89F-48E4-8C81-9A3B3372C8BB}"/>
    <cellStyle name="Percent226" xfId="693" xr:uid="{45997CEE-890A-402B-B140-6777959C7614}"/>
    <cellStyle name="Percent227" xfId="694" xr:uid="{72938572-9700-4C1A-88C8-6D1CCB9C568D}"/>
    <cellStyle name="Percent228" xfId="695" xr:uid="{F67C58BA-CC5C-4613-BAE1-E816B13C47D0}"/>
    <cellStyle name="Percent229" xfId="696" xr:uid="{43C91B81-6442-4DA4-8730-038AC11906D5}"/>
    <cellStyle name="Percent23" xfId="697" xr:uid="{48E95CD2-969C-48D8-B21C-E4DC4B596651}"/>
    <cellStyle name="Percent230" xfId="698" xr:uid="{29C9E655-806F-4C56-AFA6-D83331359662}"/>
    <cellStyle name="Percent231" xfId="699" xr:uid="{74ABB39A-AA91-40EF-9F21-A5534916DF7F}"/>
    <cellStyle name="Percent232" xfId="700" xr:uid="{983897E4-16DA-47F6-AE1B-432F3CA62EEF}"/>
    <cellStyle name="Percent233" xfId="701" xr:uid="{F68FE3DE-88FE-4424-A381-62B59FD11007}"/>
    <cellStyle name="Percent234" xfId="702" xr:uid="{DC7DBCC5-8DCB-4DB8-B148-B16000D96921}"/>
    <cellStyle name="Percent235" xfId="703" xr:uid="{8A3061B5-5BFA-4522-9600-3171D99BE781}"/>
    <cellStyle name="Percent236" xfId="704" xr:uid="{9CF7DE0D-8EC3-462D-AAE0-B7A764024228}"/>
    <cellStyle name="Percent24" xfId="705" xr:uid="{AB651538-39D1-4FC3-B505-F067EE5BFE1E}"/>
    <cellStyle name="Percent25" xfId="706" xr:uid="{87F57523-95B3-4F1B-8547-13A146CFD847}"/>
    <cellStyle name="Percent26" xfId="707" xr:uid="{538705BB-6AE7-45A7-83DA-EA984ADF3C86}"/>
    <cellStyle name="Percent27" xfId="708" xr:uid="{F472F888-89A5-40A4-95B2-DE6A888EF7DE}"/>
    <cellStyle name="Percent28" xfId="709" xr:uid="{01F7862B-D8DB-4B1D-887D-A2FC3ED02F29}"/>
    <cellStyle name="Percent29" xfId="710" xr:uid="{26872F44-2718-42A0-AC95-E93F0B4E4157}"/>
    <cellStyle name="Percent3" xfId="711" xr:uid="{82E3D93C-BB02-4C7E-A586-5ECC938E3537}"/>
    <cellStyle name="Percent30" xfId="712" xr:uid="{6A17F00A-33FF-4DAD-9E22-28C2219B0904}"/>
    <cellStyle name="Percent31" xfId="713" xr:uid="{58C902E8-AD32-4E0E-BDF4-8C292FBDC05E}"/>
    <cellStyle name="Percent32" xfId="714" xr:uid="{6388B3C9-C589-4AFE-A194-188F2A401B6F}"/>
    <cellStyle name="Percent33" xfId="715" xr:uid="{FFCA4C8E-27CB-4FBC-9802-FABB448188B5}"/>
    <cellStyle name="Percent34" xfId="716" xr:uid="{E85280A6-C986-4984-A328-64BF223A16E8}"/>
    <cellStyle name="Percent35" xfId="717" xr:uid="{B37481FC-7CDA-4476-A73C-60CE691D90CD}"/>
    <cellStyle name="Percent36" xfId="718" xr:uid="{BB7C1798-2900-495B-B279-53FBA4203C79}"/>
    <cellStyle name="Percent37" xfId="719" xr:uid="{0200CE8C-E296-43BE-B507-02671048EEE3}"/>
    <cellStyle name="Percent38" xfId="720" xr:uid="{1493FD6A-6205-437F-A62A-9D3B2222D208}"/>
    <cellStyle name="Percent39" xfId="721" xr:uid="{3D03A41C-1387-4325-848A-4A1A594A2966}"/>
    <cellStyle name="Percent4" xfId="722" xr:uid="{CE2D0866-2CD7-4338-B1AB-B58E68FC1041}"/>
    <cellStyle name="Percent40" xfId="723" xr:uid="{7E04C13A-597C-44DD-AB86-2EB0722BC0BC}"/>
    <cellStyle name="Percent41" xfId="724" xr:uid="{D92D0EEE-B770-4247-BDBB-3FC1D1216464}"/>
    <cellStyle name="Percent42" xfId="725" xr:uid="{35875CC2-7E95-415B-BC9B-1CEAAB8C2666}"/>
    <cellStyle name="Percent43" xfId="726" xr:uid="{B6C6141C-3034-4A68-8337-DC4B97BCB490}"/>
    <cellStyle name="Percent44" xfId="727" xr:uid="{22947E67-AA65-4E39-9A70-7D4F42DE4AE2}"/>
    <cellStyle name="Percent45" xfId="728" xr:uid="{E5E4C783-CF91-4F2B-A1C3-D07F45441AE6}"/>
    <cellStyle name="Percent46" xfId="729" xr:uid="{A9773744-E4F5-43AE-9223-4D93B267F2AB}"/>
    <cellStyle name="Percent47" xfId="730" xr:uid="{3BD327BB-52F0-40FD-828E-7CE7F4E2406A}"/>
    <cellStyle name="Percent48" xfId="731" xr:uid="{CB260050-F2EA-409B-84C1-EBE9274ECA2D}"/>
    <cellStyle name="Percent49" xfId="732" xr:uid="{17E2B768-1E88-495B-AEB8-0CEA82D9BC61}"/>
    <cellStyle name="Percent5" xfId="733" xr:uid="{035871FD-62EB-4FCD-B52C-292777595ECB}"/>
    <cellStyle name="Percent50" xfId="734" xr:uid="{79B2ED8D-C3F3-4925-8AB1-3441860BF9A2}"/>
    <cellStyle name="Percent51" xfId="735" xr:uid="{FA2DA801-CDDE-4AEA-B95C-A09104D99A6D}"/>
    <cellStyle name="Percent52" xfId="736" xr:uid="{8EA64FDD-210D-45D0-8DB0-FD8DC9025465}"/>
    <cellStyle name="Percent53" xfId="737" xr:uid="{8C0FC506-88FA-47B5-8EC3-61FCB31AAE54}"/>
    <cellStyle name="Percent54" xfId="738" xr:uid="{9762667F-F913-4AC6-8D23-D60B9C17D47D}"/>
    <cellStyle name="Percent55" xfId="739" xr:uid="{A595B382-58FE-4D0F-A94F-DABF9E530B75}"/>
    <cellStyle name="Percent56" xfId="740" xr:uid="{A7B80EDD-8564-4D1D-BEDB-F87A29142ED3}"/>
    <cellStyle name="Percent57" xfId="741" xr:uid="{3CABCD67-3650-4286-8719-F2AFCA526249}"/>
    <cellStyle name="Percent58" xfId="742" xr:uid="{A9D04B21-1133-48C5-BF41-5AF5B7643C76}"/>
    <cellStyle name="Percent59" xfId="743" xr:uid="{C2AF2C71-1B56-4AC5-ADF7-801CD9AC654E}"/>
    <cellStyle name="Percent6" xfId="744" xr:uid="{91D1AC8C-0DAD-43DE-B390-C528EA0ED1B1}"/>
    <cellStyle name="Percent60" xfId="745" xr:uid="{5BEC5FDE-F257-429D-ABB5-4A34DCEAFF5D}"/>
    <cellStyle name="Percent61" xfId="746" xr:uid="{98DA08CC-3F5F-4A00-9C4C-4CA19CCBBCAA}"/>
    <cellStyle name="Percent62" xfId="747" xr:uid="{FAAF417D-864E-4D03-883B-CDB643A90E24}"/>
    <cellStyle name="Percent63" xfId="748" xr:uid="{9B8B80A4-B0DB-4B36-A7DD-5DBFEDD2C3E0}"/>
    <cellStyle name="Percent64" xfId="749" xr:uid="{FF99EF05-5335-4128-923D-C5021079CCC4}"/>
    <cellStyle name="Percent65" xfId="750" xr:uid="{5C51EE55-7526-4B98-BC56-F0465E85BAD7}"/>
    <cellStyle name="Percent66" xfId="751" xr:uid="{3310EBC5-E9E7-4DE8-8C1B-EC34B76CB612}"/>
    <cellStyle name="Percent67" xfId="752" xr:uid="{74B2BF56-CE0C-4A94-9BCA-A94181C856C3}"/>
    <cellStyle name="Percent68" xfId="753" xr:uid="{6CCEBCC9-7522-49BE-B80D-972BD0150A7E}"/>
    <cellStyle name="Percent69" xfId="754" xr:uid="{ED5702EF-FF9F-41F9-A926-30424F240C4D}"/>
    <cellStyle name="Percent7" xfId="755" xr:uid="{A8193FBC-A6FA-408A-A4FF-901593314186}"/>
    <cellStyle name="Percent70" xfId="756" xr:uid="{323C12A5-08E9-4040-BDB6-4D00F1E5DCCC}"/>
    <cellStyle name="Percent71" xfId="757" xr:uid="{D7774DDD-FF24-4E26-8AC7-F1BB377A1B08}"/>
    <cellStyle name="Percent72" xfId="758" xr:uid="{4DF1A8A5-A27E-4035-AF9D-F7BA8E3C6D54}"/>
    <cellStyle name="Percent73" xfId="759" xr:uid="{C993B453-7C58-4EA6-9362-A1AAD538ABBF}"/>
    <cellStyle name="Percent74" xfId="760" xr:uid="{2E29E1A2-6952-4E03-8B8B-5FBE9BB645F4}"/>
    <cellStyle name="Percent75" xfId="761" xr:uid="{9ED3A5E5-909F-4D13-B376-A9B86096C79A}"/>
    <cellStyle name="Percent76" xfId="762" xr:uid="{3CD099AD-5E08-4B85-8436-286AA5DB5ACE}"/>
    <cellStyle name="Percent77" xfId="763" xr:uid="{BF70DC15-BF76-415E-8F24-D06BE13C3354}"/>
    <cellStyle name="Percent78" xfId="764" xr:uid="{8D4D298A-E7AF-4708-9302-A485CAA30350}"/>
    <cellStyle name="Percent79" xfId="765" xr:uid="{936C6551-9E2E-4B08-A7A6-EC821BFE4C7E}"/>
    <cellStyle name="Percent8" xfId="766" xr:uid="{1E61CB61-AD58-4FE2-9DDB-787D87665D7E}"/>
    <cellStyle name="Percent80" xfId="767" xr:uid="{B69B82B3-CB5E-491E-90E4-99DC16FCE2FB}"/>
    <cellStyle name="Percent81" xfId="768" xr:uid="{9193488E-89CA-4998-B356-A5E835E65046}"/>
    <cellStyle name="Percent82" xfId="769" xr:uid="{2FD7BAE5-CFB3-4FB1-8394-90696D8E88CA}"/>
    <cellStyle name="Percent83" xfId="770" xr:uid="{08955CCD-4FA4-4D7B-9013-31FFA11C84B1}"/>
    <cellStyle name="Percent84" xfId="771" xr:uid="{73573F3B-7641-413B-93C1-F81BCF00D6C1}"/>
    <cellStyle name="Percent85" xfId="772" xr:uid="{23ED80CA-FF8C-4FAC-9706-82722F530368}"/>
    <cellStyle name="Percent86" xfId="773" xr:uid="{55C2F11F-DF0C-4316-BF6A-BE601E02EF4C}"/>
    <cellStyle name="Percent87" xfId="774" xr:uid="{FD6D03AC-4BC6-4A43-928B-377841AFB4D1}"/>
    <cellStyle name="Percent88" xfId="775" xr:uid="{A5A3E5C9-FA6A-44DF-8C13-C60BC440EE01}"/>
    <cellStyle name="Percent89" xfId="776" xr:uid="{0FDFC91C-AF74-4E99-9EC1-73249BF689CA}"/>
    <cellStyle name="Percent9" xfId="777" xr:uid="{CB72F3B5-0963-4571-9113-30F10B0C2F82}"/>
    <cellStyle name="Percent90" xfId="778" xr:uid="{2E7E1D82-5B91-4068-AC4F-603F4B6EC966}"/>
    <cellStyle name="Percent91" xfId="779" xr:uid="{94C5EE57-7B06-4AE4-8BDF-0F72447AECDC}"/>
    <cellStyle name="Percent92" xfId="780" xr:uid="{1FE70DF5-1FF0-4DA9-B276-0B71FCFC807A}"/>
    <cellStyle name="Percent93" xfId="781" xr:uid="{7F71BB53-28DB-422D-B0C1-777F9569BD4E}"/>
    <cellStyle name="Percent94" xfId="782" xr:uid="{01024CC0-CF82-48CB-A05B-60643B73C3EB}"/>
    <cellStyle name="Percent95" xfId="783" xr:uid="{533058D7-2E7D-415D-A274-A6E78E9FA0D4}"/>
    <cellStyle name="Percent96" xfId="784" xr:uid="{4820F034-4D56-4476-89A0-BB92DD9BBA60}"/>
    <cellStyle name="Percent97" xfId="785" xr:uid="{C3AC1379-FC1C-45A3-A104-16EF8D102A14}"/>
    <cellStyle name="Percent98" xfId="786" xr:uid="{A058F408-09C0-4132-BD74-DBDB925345FB}"/>
    <cellStyle name="Percent99" xfId="787" xr:uid="{B9CB1BEF-45D9-4439-AB88-3B99F5F541F8}"/>
    <cellStyle name="Percentage" xfId="788" xr:uid="{257713F1-CDD3-4C81-AD78-1B2DD407E7D3}"/>
    <cellStyle name="PercentStyle" xfId="789" xr:uid="{7CD5818E-4B2C-4927-AED7-F02031EBFE1F}"/>
    <cellStyle name="PrePop Currency (0)" xfId="790" xr:uid="{6BAC7DBE-38A5-4FC5-A1CA-FCC59B1AB71B}"/>
    <cellStyle name="PrePop Currency (2)" xfId="791" xr:uid="{443E8431-9B8E-460E-B6E7-848A7FF44FB3}"/>
    <cellStyle name="PrePop Units (0)" xfId="792" xr:uid="{4CA78626-B0F0-4CEA-AB71-C17B963F3F59}"/>
    <cellStyle name="PrePop Units (1)" xfId="793" xr:uid="{A88A74AF-5F6F-4165-8419-AC59D95F079E}"/>
    <cellStyle name="PrePop Units (2)" xfId="794" xr:uid="{22130803-B8CB-4C45-92DF-FBDB10B7EAC0}"/>
    <cellStyle name="Price" xfId="795" xr:uid="{DABC6E48-9825-48C4-9F26-9588B720000F}"/>
    <cellStyle name="Product Header" xfId="796" xr:uid="{AD339032-68E9-4C8D-A08B-9FC535551C20}"/>
    <cellStyle name="PSChar" xfId="797" xr:uid="{B6FF9201-F833-4122-B111-D58425609282}"/>
    <cellStyle name="PSDate" xfId="798" xr:uid="{5BE831D6-FA9E-4D60-93D7-A716CD936E18}"/>
    <cellStyle name="PSDec" xfId="799" xr:uid="{A312D197-CD08-4A12-A408-E04C75E401FC}"/>
    <cellStyle name="PSHeading" xfId="800" xr:uid="{6655E22E-5E32-4BAD-838D-46F531A53F1B}"/>
    <cellStyle name="PSInt" xfId="801" xr:uid="{A51ACF91-E545-4B3F-A763-4D96B3916337}"/>
    <cellStyle name="PSSpacer" xfId="802" xr:uid="{BC5E240E-E20B-4FCC-A316-A8CA7032EF32}"/>
    <cellStyle name="r" xfId="803" xr:uid="{4278164D-7BCA-4B19-A9FE-EE855641E77C}"/>
    <cellStyle name="r_F&amp;W Servicing Model" xfId="804" xr:uid="{845BFB4D-8049-49E3-A572-D36B9B962575}"/>
    <cellStyle name="r_F&amp;W Servicing Model v2" xfId="805" xr:uid="{EC415C73-0C75-4793-9EB3-1DC458F8D7A0}"/>
    <cellStyle name="r_Yell Servicing Model" xfId="806" xr:uid="{8A47616B-60BC-4CDC-B3D3-BF28C9DC2C46}"/>
    <cellStyle name="rate" xfId="807" xr:uid="{2BC9630B-7151-49D7-9ADC-F0657D85219E}"/>
    <cellStyle name="Ratio" xfId="808" xr:uid="{08B6B8CF-E532-4FA6-8300-3521F75E6E61}"/>
    <cellStyle name="Ratio Comma" xfId="809" xr:uid="{8C2D4CF3-F45A-4243-BBCD-093D517BA91A}"/>
    <cellStyle name="Ratio_Private" xfId="810" xr:uid="{827FB70C-80DD-4D1B-A987-EDE74583AAA5}"/>
    <cellStyle name="regstoresfromspecstores" xfId="811" xr:uid="{06E9E605-C062-4C14-9335-CE0ACD297837}"/>
    <cellStyle name="RevList" xfId="812" xr:uid="{F80FE739-8808-4C80-BE07-90BFB94DF4A5}"/>
    <cellStyle name="Right" xfId="813" xr:uid="{481C59B9-301A-47A6-B68B-578DBCB92413}"/>
    <cellStyle name="RightBold" xfId="814" xr:uid="{90240F1A-71F8-4AD5-A2D0-12C843D2066F}"/>
    <cellStyle name="RightBoldBottomRule" xfId="815" xr:uid="{FB3AAE43-9367-4AA6-A61A-091B515535F7}"/>
    <cellStyle name="RightBoldCenterRule" xfId="816" xr:uid="{82A896D5-F44A-47A9-BFA4-87E83EF82F93}"/>
    <cellStyle name="Section" xfId="817" xr:uid="{521B8672-4129-4DDF-A982-AC40BC6E229A}"/>
    <cellStyle name="SectionHeaderNormal" xfId="818" xr:uid="{A00022DF-0070-48FB-A1C1-B89AF31DC819}"/>
    <cellStyle name="SHADEDSTORES" xfId="819" xr:uid="{92D264FF-14FD-459F-BA9F-9225B09761F8}"/>
    <cellStyle name="Short $" xfId="820" xr:uid="{BD012AE2-121B-4DCC-8715-E812F4C40452}"/>
    <cellStyle name="ShOut" xfId="821" xr:uid="{1396A6FB-0C71-4C07-B57D-3D1D463E77B7}"/>
    <cellStyle name="Simple" xfId="822" xr:uid="{27AE1D4E-28A0-47BA-BA02-D331E3C48ACE}"/>
    <cellStyle name="SimpleBold" xfId="823" xr:uid="{F7248276-BDD0-4B48-AEA3-8B99E79C8779}"/>
    <cellStyle name="Single Accounting" xfId="824" xr:uid="{C9F6CCA9-FEAA-4FB0-95DE-403332D72741}"/>
    <cellStyle name="specstores" xfId="825" xr:uid="{98557DD9-5107-4F59-961E-D8B8552B257E}"/>
    <cellStyle name="Stock Comma" xfId="826" xr:uid="{91402605-AE97-4357-8577-BC3F4F81ECD0}"/>
    <cellStyle name="Stock Price" xfId="827" xr:uid="{5EEE6428-4F19-4AA7-8C5D-5FD42713F802}"/>
    <cellStyle name="Style 1" xfId="828" xr:uid="{F6A92AF3-B7DB-4F46-BAB3-97952A775921}"/>
    <cellStyle name="Style 21" xfId="829" xr:uid="{9DEEE35E-BAF8-40AA-AB2A-77027E4A16F4}"/>
    <cellStyle name="Style 22" xfId="830" xr:uid="{B7613A5D-B765-4908-A3EB-D0A0EA345476}"/>
    <cellStyle name="Style 23" xfId="831" xr:uid="{9A710A52-FD45-44F5-9112-FE67B191DD63}"/>
    <cellStyle name="Style 24" xfId="832" xr:uid="{1EF8F62A-8DF0-4F6E-9242-AD34C318E0C7}"/>
    <cellStyle name="Style 25" xfId="833" xr:uid="{98998FAE-7230-4ACA-987A-03CE72B211C0}"/>
    <cellStyle name="Style 26" xfId="834" xr:uid="{34B3CB92-3278-4125-A45D-9A313BD066D8}"/>
    <cellStyle name="Style 27" xfId="835" xr:uid="{1D56DC5A-9BE6-4327-9980-AE8D59D48B9B}"/>
    <cellStyle name="Style 28" xfId="836" xr:uid="{CD2413B8-84AC-4661-94C6-D6CD1CA371DD}"/>
    <cellStyle name="Style 29" xfId="837" xr:uid="{DA2070FC-88FA-4A16-994F-EA7964D03424}"/>
    <cellStyle name="Style 30" xfId="838" xr:uid="{2E5375B9-0D08-44C2-82E2-609FFC7938A4}"/>
    <cellStyle name="Style 31" xfId="839" xr:uid="{020AD0D8-F94B-46EF-9A07-42162B298968}"/>
    <cellStyle name="Style 32" xfId="840" xr:uid="{95320E65-0D04-46B4-A967-D52E6CDFFD1C}"/>
    <cellStyle name="Style 33" xfId="841" xr:uid="{C5827F59-1162-4E9B-9CE3-4459E135B213}"/>
    <cellStyle name="Style 34" xfId="842" xr:uid="{8D15CC0E-D2C8-4F32-BE24-A042AADD2F90}"/>
    <cellStyle name="Style 35" xfId="843" xr:uid="{23B2E08E-F183-4E7B-BBDC-69B6DA0EABE5}"/>
    <cellStyle name="Style 36" xfId="844" xr:uid="{536D14F2-1E00-4B84-8A43-C441071B9E21}"/>
    <cellStyle name="Style 37" xfId="845" xr:uid="{A2A47144-B300-4C76-A9AA-4D358580EF2A}"/>
    <cellStyle name="Style 38" xfId="846" xr:uid="{36F38CA3-75CD-4ED1-82BE-00B3C714738A}"/>
    <cellStyle name="Style 39" xfId="847" xr:uid="{A748E622-662B-4CF7-9B21-AE22A4449A11}"/>
    <cellStyle name="Style 40" xfId="848" xr:uid="{F1C2179C-1BF4-4795-835D-0C53ED8A2A98}"/>
    <cellStyle name="Style 41" xfId="849" xr:uid="{3D12737F-6260-44B0-A8C9-ABDB7567E850}"/>
    <cellStyle name="Style 42" xfId="850" xr:uid="{68E470B4-424B-46FC-8245-9B3BE38AFE7E}"/>
    <cellStyle name="Style 43" xfId="851" xr:uid="{F70441EC-6879-4A2A-97B8-2C2FC76249B2}"/>
    <cellStyle name="Style 44" xfId="852" xr:uid="{605FA1A4-557C-4C51-A6FE-60AB0EBA2312}"/>
    <cellStyle name="Style 45" xfId="853" xr:uid="{37E9DEDE-5F4D-4D2D-AD1C-999AF14E903F}"/>
    <cellStyle name="Style 46" xfId="854" xr:uid="{6B2F1D26-37A9-49D9-89E0-88761C20A95F}"/>
    <cellStyle name="Style 47" xfId="855" xr:uid="{5569FFCF-B0BD-472C-8C34-1EBB1C193F27}"/>
    <cellStyle name="Style 48" xfId="856" xr:uid="{2ABFA855-1D9B-49B9-9554-3848B073BC1D}"/>
    <cellStyle name="STYLE1" xfId="857" xr:uid="{E08FB5E7-9C0B-4E1A-9C2F-7488F1AB291B}"/>
    <cellStyle name="SubScript" xfId="858" xr:uid="{B1F6749D-510E-467E-80B5-60FE10D20968}"/>
    <cellStyle name="Subtotal" xfId="859" xr:uid="{FE288554-28FB-4A7E-BC84-E85001078D62}"/>
    <cellStyle name="Sum" xfId="860" xr:uid="{BE015AE4-F531-40D6-A4C5-AA437E92B72A}"/>
    <cellStyle name="SuperScript" xfId="861" xr:uid="{688F08C6-0FA9-46A5-99C2-3718000891C3}"/>
    <cellStyle name="Table_Title" xfId="862" xr:uid="{2436628A-1ED0-4441-9D1B-74923F6B1D94}"/>
    <cellStyle name="Test" xfId="863" xr:uid="{E3A6E048-28DF-4030-87CC-748D24E3F0FA}"/>
    <cellStyle name="Text Indent A" xfId="864" xr:uid="{B83A06AD-F552-4FF8-85B4-5D6A55223CBB}"/>
    <cellStyle name="Text Indent B" xfId="865" xr:uid="{75A6A86C-6AE0-45C7-8C74-2C83F48B382F}"/>
    <cellStyle name="Text Indent C" xfId="866" xr:uid="{A21B30E8-8F18-4DD5-A1DE-B3B0FC7C0E6D}"/>
    <cellStyle name="TextBold" xfId="867" xr:uid="{35BF7575-0367-4680-B412-35221E6A06DC}"/>
    <cellStyle name="TextItalic" xfId="868" xr:uid="{EEE8C95E-DD84-4E39-8BE1-AE24EEC3AD5B}"/>
    <cellStyle name="TextNormal" xfId="869" xr:uid="{1C355970-5572-4C0D-B10B-6DCC78B0660B}"/>
    <cellStyle name="Time" xfId="870" xr:uid="{7209F233-9469-4680-9E0E-C3CDF77F7D25}"/>
    <cellStyle name="Times 10" xfId="871" xr:uid="{B1DC3338-147A-428E-B23F-00A17DB71298}"/>
    <cellStyle name="Times 12" xfId="872" xr:uid="{634A8A39-909D-4585-849A-994E48F79080}"/>
    <cellStyle name="Title - PROJECT" xfId="873" xr:uid="{00111CAF-3826-4728-8651-B1A27295A81F}"/>
    <cellStyle name="Title - Underline" xfId="874" xr:uid="{03479BEC-E429-43BE-BC4E-BD9AB1FBBE0C}"/>
    <cellStyle name="Title1" xfId="875" xr:uid="{20333455-4CDF-4ACB-9C49-E487C41502C6}"/>
    <cellStyle name="Title2" xfId="876" xr:uid="{B5E7CDD0-ED4C-4AE5-8BF2-9475D1F9A824}"/>
    <cellStyle name="TitleNormal" xfId="877" xr:uid="{F859B435-9421-4123-9C89-1D34FDE216F2}"/>
    <cellStyle name="Titles - Col. Headings" xfId="878" xr:uid="{26886E2B-0439-4212-9533-F53976012751}"/>
    <cellStyle name="Titles - Other" xfId="879" xr:uid="{71E48C6C-DA06-41A9-A9E2-6D621E82A38A}"/>
    <cellStyle name="Top Edge" xfId="880" xr:uid="{7E94E13E-7717-4779-BD53-0BE985290D33}"/>
    <cellStyle name="Total" xfId="881" builtinId="25" customBuiltin="1"/>
    <cellStyle name="ubordinated Debt" xfId="882" xr:uid="{0B691312-2C1B-4FB7-9A84-3A496D74B682}"/>
    <cellStyle name="wheat merger's and acquisitions" xfId="883" xr:uid="{6677B6CF-1CBE-4739-9DA0-09C22EDF60DF}"/>
    <cellStyle name="x" xfId="884" xr:uid="{1ADE42DA-D907-4EDC-8E4E-A123E23781D4}"/>
    <cellStyle name="x_TSA Model - 1 8 06 - v2" xfId="885" xr:uid="{5F527497-F124-40AF-AF0E-645D1EAB721D}"/>
    <cellStyle name="Y2K Compliant Date Fmt" xfId="886" xr:uid="{C82131BE-F995-40D8-A74F-228EA117AF94}"/>
    <cellStyle name="Years" xfId="887" xr:uid="{A8445E78-8FAE-42CE-BB21-D9483B6AF7B6}"/>
    <cellStyle name="yellow" xfId="888" xr:uid="{A2A56910-44B4-4CBD-B091-0CB43A4DBE0B}"/>
    <cellStyle name="Yen" xfId="889" xr:uid="{33A29C5F-2DBF-4D1D-80C6-D3DC016085EA}"/>
    <cellStyle name="YYYY" xfId="890" xr:uid="{A600FFEB-2E3B-4138-82A0-01DB1E02A1D5}"/>
    <cellStyle name="桁区切り [0.00]_Appendix" xfId="891" xr:uid="{3B3978A4-5A5E-468D-B9B2-428B6953C280}"/>
    <cellStyle name="桁区切り_Appendix" xfId="892" xr:uid="{5DFD6789-ECAB-4B5B-9872-E1A7A7402FFD}"/>
    <cellStyle name="標準_Appendix" xfId="893" xr:uid="{52F7ACF6-B954-44AF-A58D-ABE060FA5FDC}"/>
    <cellStyle name="通貨 [0.00]_Appendix" xfId="894" xr:uid="{8E13BA98-52B6-4518-851D-73EE38C6CC45}"/>
    <cellStyle name="通貨_Appendix" xfId="895" xr:uid="{3940E633-2958-4DFC-AFD9-12459591EAAB}"/>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EAEAEA"/>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5.xml"/><Relationship Id="rId18" Type="http://schemas.openxmlformats.org/officeDocument/2006/relationships/externalLink" Target="externalLinks/externalLink10.xml"/><Relationship Id="rId26" Type="http://schemas.openxmlformats.org/officeDocument/2006/relationships/externalLink" Target="externalLinks/externalLink18.xml"/><Relationship Id="rId39" Type="http://schemas.openxmlformats.org/officeDocument/2006/relationships/externalLink" Target="externalLinks/externalLink31.xml"/><Relationship Id="rId21" Type="http://schemas.openxmlformats.org/officeDocument/2006/relationships/externalLink" Target="externalLinks/externalLink13.xml"/><Relationship Id="rId34" Type="http://schemas.openxmlformats.org/officeDocument/2006/relationships/externalLink" Target="externalLinks/externalLink26.xml"/><Relationship Id="rId42"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externalLink" Target="externalLinks/externalLink8.xml"/><Relationship Id="rId29" Type="http://schemas.openxmlformats.org/officeDocument/2006/relationships/externalLink" Target="externalLinks/externalLink2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24" Type="http://schemas.openxmlformats.org/officeDocument/2006/relationships/externalLink" Target="externalLinks/externalLink16.xml"/><Relationship Id="rId32" Type="http://schemas.openxmlformats.org/officeDocument/2006/relationships/externalLink" Target="externalLinks/externalLink24.xml"/><Relationship Id="rId37" Type="http://schemas.openxmlformats.org/officeDocument/2006/relationships/externalLink" Target="externalLinks/externalLink29.xml"/><Relationship Id="rId40" Type="http://schemas.openxmlformats.org/officeDocument/2006/relationships/theme" Target="theme/theme1.xml"/><Relationship Id="rId45"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externalLink" Target="externalLinks/externalLink7.xml"/><Relationship Id="rId23" Type="http://schemas.openxmlformats.org/officeDocument/2006/relationships/externalLink" Target="externalLinks/externalLink15.xml"/><Relationship Id="rId28" Type="http://schemas.openxmlformats.org/officeDocument/2006/relationships/externalLink" Target="externalLinks/externalLink20.xml"/><Relationship Id="rId36" Type="http://schemas.openxmlformats.org/officeDocument/2006/relationships/externalLink" Target="externalLinks/externalLink28.xml"/><Relationship Id="rId10" Type="http://schemas.openxmlformats.org/officeDocument/2006/relationships/externalLink" Target="externalLinks/externalLink2.xml"/><Relationship Id="rId19" Type="http://schemas.openxmlformats.org/officeDocument/2006/relationships/externalLink" Target="externalLinks/externalLink11.xml"/><Relationship Id="rId31" Type="http://schemas.openxmlformats.org/officeDocument/2006/relationships/externalLink" Target="externalLinks/externalLink23.xml"/><Relationship Id="rId44"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externalLink" Target="externalLinks/externalLink6.xml"/><Relationship Id="rId22" Type="http://schemas.openxmlformats.org/officeDocument/2006/relationships/externalLink" Target="externalLinks/externalLink14.xml"/><Relationship Id="rId27" Type="http://schemas.openxmlformats.org/officeDocument/2006/relationships/externalLink" Target="externalLinks/externalLink19.xml"/><Relationship Id="rId30" Type="http://schemas.openxmlformats.org/officeDocument/2006/relationships/externalLink" Target="externalLinks/externalLink22.xml"/><Relationship Id="rId35" Type="http://schemas.openxmlformats.org/officeDocument/2006/relationships/externalLink" Target="externalLinks/externalLink27.xml"/><Relationship Id="rId43"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externalLink" Target="externalLinks/externalLink4.xml"/><Relationship Id="rId17" Type="http://schemas.openxmlformats.org/officeDocument/2006/relationships/externalLink" Target="externalLinks/externalLink9.xml"/><Relationship Id="rId25" Type="http://schemas.openxmlformats.org/officeDocument/2006/relationships/externalLink" Target="externalLinks/externalLink17.xml"/><Relationship Id="rId33" Type="http://schemas.openxmlformats.org/officeDocument/2006/relationships/externalLink" Target="externalLinks/externalLink25.xml"/><Relationship Id="rId38" Type="http://schemas.openxmlformats.org/officeDocument/2006/relationships/externalLink" Target="externalLinks/externalLink30.xml"/><Relationship Id="rId20" Type="http://schemas.openxmlformats.org/officeDocument/2006/relationships/externalLink" Target="externalLinks/externalLink12.xml"/><Relationship Id="rId41"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F:\Office\Media\COMPS%20-%20B2B%20Publisher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tp_sfnt01\GBlank$\My%20Documents\TPG\LBO\Bally\BFT%20Forecast%20Model.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tp_sfnt01\GBlank$\Documents%20and%20Settings\GBlank\Local%20Settings\Temporary%20Internet%20Files\OLK39\TSA%20Model%20-%201%208%2006%20-%20v2.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Punsezfnp05\Barracuda\METG%20Template.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F:\Bank%20Loan%20Team\APPROVAL%20MEMOS\Endurance%20Media\BLT%20Work\EBM%20Quarterly%20Model.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M:\Bank%20Loan%20Team\ELK%20TEAM\Models\Presentation\Draft%20Presentation%20Files\Presentation%20Info%2022%20(Adam%20Silver).xl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resentationChartData.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I:\WCMP%20II\PORTFOLIO%20COMPANIES\Jobson%20Medical%20Information\Bank%20Correspondence\JMI%20Model%20(Wx%20Model%20-%20BMO%20Adjusted%205-18).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E:\WCMP%20II\INACTIVE%20DEALS\Facts%20on%20File\Transaction%20Models\FOF%20Model%20v3%20(Asset%20Purchase).xl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Returns@@@2.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I:\Deals%20-%20In%20Process\TruCom\BridgeCom%20Budget%202001.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Ny-fil01\data\Wicks\Wicks%20Model\JMI%20Model%20(Wx%20Model%20-%20BMO%20Adjusted%205-18).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I:\Deals%20-%20In%20Process\Crescent%20Publishing%20Company,%20LLC\R0%20-%20Aug%202,%202001\CrescentPublishing%20Model%208-01%20R0.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I:\Credit%20Derivatives%20Group\Emerging\CBO\MFS\Jersey%20Street%20CLO\Warehouse\Warehouse%20Report\versions\August\Jersey%20Street%20CLO%208.7.06%20Committed.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http://mail.wicksgroup.com/PORTFOLIO%20COMPANIES/Bressler%20Outdoor/Financial%20Models/SubDebt%20Model%20-%20IRR%20-$30MM%20Equity.xls"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7b7k01_.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ominous.studioholdings.net\temp\TEMP\Consolidated%2012-4-00.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ttc-neptune\accounting\Invoices\Invoice%2099\z.December%201999\DEC99Invoice%20Summary.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I:\Rosetta%20Stone%20Model%20(91"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I:\Documents%20and%20Settings\smarimow\My%20Documents\Companies\Univision\Model\Bank%20Model%20-%20Financing\Company%20Materials\Company%20Materials\Bank%20Model_9.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F:\Bank%20Loan%20Team%20Research\_RAs\Takacs_G\PORTFOLIO%20-%20Takacs.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F:\Documents%20and%20Settings\Kim\Local%20Settings\Temporary%20Internet%20Files\Content.IE5\YTHBT5P6\Spring%202002\Modeling\Problem%204%20worksheet.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I:\Documents%20and%20Settings\smarimow\My%20Documents\Companies\Univision\Model\Bank%20Model%20-%20Financing\Bank%20Model_21.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IMNT14\USERS$\mm93223\My%20Documents\Templates\Servicing%20Template%20-%20MAB.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I:\Documents%20and%20Settings\EMcKee\Local%20Settings\Temporary%20Internet%20Files\OLK12\65%20UVN%207-Year%20Model.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F:\Documents%20and%20Settings\Kim\Local%20Settings\Temporary%20Internet%20Files\Content.IE5\YTHBT5P6\windows\TEMP\financial%20forecast%207.27.98.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I:\Beckett\Deals%20in%20process\UniFocus%20R6\Unifocus%20Model%204-02%20R6.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I:\Documents%20and%20Settings\CRothbard\Local%20Settings\Temporary%20Internet%20Files\OLK146\JMI_WMI%20Financing%20Model%20(02-09-06)_vTD4%2006.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I:\Documents%20and%20Settings\jorr\Local%20Settings\Temporary%20Internet%20Files\OLK27\MC-DW-JOB%20Merger%20Model%20for%20Syndicate%20-%203.31.05%20rjf%205.03.05.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I:\WCMP%20II\PORTFOLIO%20COMPANIES\Jobson%20Medical%20Information\Corporate%20Development\JMI_WMI%20Combination\2005.11\Oct%202005\MEDCON%20Projection%20Model%20September%202005%20(09-13-05)%20v2.xl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dcf.short.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d Page"/>
      <sheetName val="Deal Multiples"/>
      <sheetName val="Asset Coverage"/>
      <sheetName val="Status"/>
      <sheetName val="Output"/>
      <sheetName val="Graphs"/>
      <sheetName val="Inputs"/>
      <sheetName val="WARF"/>
      <sheetName val="Comps"/>
      <sheetName val="Magazines"/>
      <sheetName val="2"/>
      <sheetName val="4"/>
      <sheetName val="5"/>
      <sheetName val="6"/>
      <sheetName val="7"/>
      <sheetName val="8"/>
      <sheetName val="10"/>
      <sheetName val="11"/>
      <sheetName val="12"/>
      <sheetName val="14"/>
      <sheetName val="16"/>
      <sheetName val="1"/>
      <sheetName val="3"/>
      <sheetName val="9"/>
      <sheetName val="13"/>
      <sheetName val="15"/>
      <sheetName val="ARP"/>
      <sheetName val="CNG"/>
      <sheetName val="F&amp;W"/>
      <sheetName val="HNW"/>
      <sheetName val="IMO"/>
      <sheetName val="JMI"/>
      <sheetName val="MMH"/>
      <sheetName val="PRM"/>
      <sheetName val="RDA"/>
      <sheetName val="SRCE"/>
      <sheetName val="SPRG"/>
      <sheetName val="WNM"/>
      <sheetName val="RVDP"/>
      <sheetName val="SMTB"/>
      <sheetName val="TMN"/>
      <sheetName val="Portfolio"/>
      <sheetName val="LBO Summary"/>
      <sheetName val="Char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Name val="attrition"/>
      <sheetName val="Sheet1"/>
      <sheetName val="IncStmt"/>
      <sheetName val="CashFlow"/>
      <sheetName val="BalSht"/>
      <sheetName val="Allowance"/>
      <sheetName val="CashEBITDA"/>
      <sheetName val="FxdChg"/>
      <sheetName val="Ratio"/>
      <sheetName val="Module1"/>
      <sheetName val="LBO Summary"/>
      <sheetName val="Charts"/>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del"/>
      <sheetName val="Returns Summary"/>
      <sheetName val="Case Logic"/>
      <sheetName val="Option Summary"/>
      <sheetName val="TRANSACTION"/>
    </sheetNames>
    <sheetDataSet>
      <sheetData sheetId="0"/>
      <sheetData sheetId="1"/>
      <sheetData sheetId="2"/>
      <sheetData sheetId="3"/>
      <sheetData sheetId="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Tanning Assumptions"/>
      <sheetName val="Tanning P&amp;L"/>
      <sheetName val="Tanning Balance Sheets"/>
      <sheetName val="Tanning Cash Flows"/>
      <sheetName val="Meta P&amp;L"/>
      <sheetName val="Meta Balance Sheet"/>
      <sheetName val="Meta Cash Flow"/>
      <sheetName val="Combined Balance Sheet"/>
      <sheetName val="Combined P&amp;L"/>
      <sheetName val="Combined Cash Flow"/>
      <sheetName val="Shares"/>
      <sheetName val="EssRet"/>
      <sheetName val="Meta Segments"/>
      <sheetName val="Capex"/>
      <sheetName val="Sheet5"/>
      <sheetName val="D"/>
      <sheetName val="TRANSAC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fo"/>
      <sheetName val="Qual. Analysis"/>
      <sheetName val="Inputs"/>
      <sheetName val="Base"/>
      <sheetName val="EV_DCF Analysis"/>
      <sheetName val="VeCTOR Import"/>
      <sheetName val="Annual Summary"/>
    </sheetNames>
    <sheetDataSet>
      <sheetData sheetId="0" refreshError="1"/>
      <sheetData sheetId="1"/>
      <sheetData sheetId="2"/>
      <sheetData sheetId="3"/>
      <sheetData sheetId="4"/>
      <sheetData sheetId="5"/>
      <sheetData sheetId="6"/>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lections"/>
      <sheetName val="Calcs"/>
      <sheetName val="Account"/>
      <sheetName val="OCTrends"/>
      <sheetName val="ICTrends"/>
      <sheetName val="DivTrends"/>
      <sheetName val="WARFTrends"/>
      <sheetName val="WARFFitchTrends"/>
      <sheetName val="WASTrends"/>
      <sheetName val="WACTrends"/>
      <sheetName val="WALTrends"/>
      <sheetName val="Debt Structure"/>
      <sheetName val="Fund Schedule"/>
      <sheetName val="Principal"/>
      <sheetName val="Ineligible"/>
      <sheetName val="S&amp;P Industry"/>
      <sheetName val="Trade Activity Summary"/>
      <sheetName val="Sale Activity Bond"/>
      <sheetName val="Sale Activity"/>
      <sheetName val="Buy Activity Bond"/>
      <sheetName val="Buy Activity"/>
      <sheetName val="Default"/>
      <sheetName val="CCC"/>
      <sheetName val="CCCBond"/>
      <sheetName val="Presentation Info 22 (Adam Silv"/>
    </sheetNames>
    <sheetDataSet>
      <sheetData sheetId="0" refreshError="1"/>
      <sheetData sheetId="1" refreshError="1"/>
      <sheetData sheetId="2"/>
      <sheetData sheetId="3" refreshError="1"/>
      <sheetData sheetId="4" refreshError="1"/>
      <sheetData sheetId="5" refreshError="1"/>
      <sheetData sheetId="6" refreshError="1"/>
      <sheetData sheetId="7"/>
      <sheetData sheetId="8" refreshError="1"/>
      <sheetData sheetId="9" refreshError="1"/>
      <sheetData sheetId="10" refreshError="1"/>
      <sheetData sheetId="11"/>
      <sheetData sheetId="12"/>
      <sheetData sheetId="13" refreshError="1"/>
      <sheetData sheetId="14"/>
      <sheetData sheetId="15"/>
      <sheetData sheetId="16"/>
      <sheetData sheetId="17"/>
      <sheetData sheetId="18"/>
      <sheetData sheetId="19"/>
      <sheetData sheetId="20"/>
      <sheetData sheetId="21"/>
      <sheetData sheetId="22"/>
      <sheetData sheetId="23"/>
      <sheetData sheetId="24"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M YTD 2000"/>
      <sheetName val="AUM_Chart"/>
      <sheetName val="Cap Structure"/>
      <sheetName val="TOP10"/>
      <sheetName val="DefaultHistory"/>
      <sheetName val="DefaultedSecuritySummary"/>
      <sheetName val="DefaultedSecuritySummary2"/>
      <sheetName val="DefaultedSecurityData"/>
      <sheetName val="Actual vs Covenant"/>
      <sheetName val="APEX"/>
      <sheetName val="APEX_MR"/>
      <sheetName val="APEX_SR"/>
      <sheetName val="APEX_MI"/>
      <sheetName val="APEX_SI"/>
      <sheetName val="ELC1"/>
      <sheetName val="ELC1_SR"/>
      <sheetName val="ELC1_MR"/>
      <sheetName val="ELC1_FR"/>
      <sheetName val="ELC1_SI"/>
      <sheetName val="ELC1_MI"/>
      <sheetName val="ELC2"/>
      <sheetName val="ELC2_SR"/>
      <sheetName val="ELC2_FR"/>
      <sheetName val="ELC2_SI"/>
      <sheetName val="ELC2_MI"/>
      <sheetName val="ELC3"/>
      <sheetName val="ELC3_MR"/>
      <sheetName val="ELC3_SR"/>
      <sheetName val="ELC3_FR"/>
      <sheetName val="ELC3_MI"/>
      <sheetName val="ELC3_SI"/>
      <sheetName val="ELC4"/>
      <sheetName val="ELC4_MR"/>
      <sheetName val="ELC4_SR"/>
      <sheetName val="ELC4_MI"/>
      <sheetName val="ELC4_SI"/>
      <sheetName val="ELC5"/>
      <sheetName val="ELC5_MR"/>
      <sheetName val="ELC5_SR"/>
      <sheetName val="ELC5_MI"/>
      <sheetName val="ELC5_SI"/>
      <sheetName val="TRYN"/>
      <sheetName val="TRYN_MR"/>
      <sheetName val="TRYN_SR"/>
      <sheetName val="TRYN_SI"/>
      <sheetName val="TRYN_MI"/>
      <sheetName val="SaleData"/>
      <sheetName val="SH_Results"/>
      <sheetName val="SH_APEX"/>
      <sheetName val="SH_ELC1"/>
      <sheetName val="SH_ELC2"/>
      <sheetName val="SH_ELC3"/>
      <sheetName val="SH_ELC4"/>
      <sheetName val="SH_ELC5"/>
      <sheetName val="SH_TRY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
      <sheetName val="EBITDA SUM"/>
      <sheetName val="RIF SUM"/>
      <sheetName val="OBS"/>
      <sheetName val="AFS"/>
      <sheetName val="MIS"/>
      <sheetName val="MBS"/>
      <sheetName val="MCF"/>
      <sheetName val="MC-MIS"/>
      <sheetName val="ED-MIS"/>
      <sheetName val="MED PUB-MIS"/>
      <sheetName val="OPT-MIS"/>
      <sheetName val="REV"/>
      <sheetName val="EXP"/>
      <sheetName val="MODR"/>
      <sheetName val="D&amp;A"/>
      <sheetName val="DEBT"/>
      <sheetName val="COVS"/>
      <sheetName val="DISPLAY"/>
      <sheetName val="CONTRO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mp;U"/>
      <sheetName val="BS"/>
      <sheetName val="IS"/>
      <sheetName val="CFS"/>
      <sheetName val="REV"/>
      <sheetName val="RATIO"/>
      <sheetName val="RETURN"/>
      <sheetName val="CONTROL"/>
      <sheetName val="D&amp;A"/>
    </sheetNames>
    <sheetDataSet>
      <sheetData sheetId="0" refreshError="1"/>
      <sheetData sheetId="1"/>
      <sheetData sheetId="2"/>
      <sheetData sheetId="3" refreshError="1"/>
      <sheetData sheetId="4" refreshError="1"/>
      <sheetData sheetId="5"/>
      <sheetData sheetId="6" refreshError="1"/>
      <sheetData sheetId="7" refreshError="1"/>
      <sheetData sheetId="8"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shflows"/>
      <sheetName val="OC-IC"/>
      <sheetName val="Sources and Uses"/>
      <sheetName val="After Tax"/>
      <sheetName val="Tax Report"/>
      <sheetName val="Price Yield"/>
      <sheetName val="LIBOR"/>
      <sheetName val="Revolver"/>
      <sheetName val="PV Calc"/>
      <sheetName val="Module1"/>
    </sheetNames>
    <sheetDataSet>
      <sheetData sheetId="0"/>
      <sheetData sheetId="1"/>
      <sheetData sheetId="2"/>
      <sheetData sheetId="3"/>
      <sheetData sheetId="4"/>
      <sheetData sheetId="5"/>
      <sheetData sheetId="6"/>
      <sheetData sheetId="7"/>
      <sheetData sheetId="8"/>
      <sheetData sheetId="9"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STER DRIVER"/>
      <sheetName val="Sheet1"/>
      <sheetName val="Bcom IS-Mnthly"/>
      <sheetName val="Conversion Balance Sheet"/>
      <sheetName val="Bcom BS-Mnthly"/>
      <sheetName val="Bcom FAS95-Mnthly"/>
      <sheetName val="Bcom Rollup-Income"/>
      <sheetName val="Bcom Rollup- Balance"/>
      <sheetName val="Bcom Conversion Charge Adj"/>
      <sheetName val="Bcom Debt"/>
      <sheetName val="Bcom Fixed Assets"/>
      <sheetName val="Bcom Lines"/>
      <sheetName val="Bcom New AE Efficiency"/>
      <sheetName val="Bcom Rev"/>
      <sheetName val="Bcom COGS"/>
      <sheetName val="Bcom-SG&amp;A,Taxes"/>
      <sheetName val="Bcom HEADCOUNT"/>
      <sheetName val="MasterDriverTrucom"/>
      <sheetName val="TruCom IS"/>
      <sheetName val="TruCom BS"/>
      <sheetName val="TruCom FAS95-Mnthly"/>
      <sheetName val="TruCom Rev"/>
      <sheetName val="TruCom COGS"/>
      <sheetName val="TruCom Lines"/>
      <sheetName val="TruCom-SG&amp;A,Taxes"/>
      <sheetName val="TruCom HEADCOUNT"/>
      <sheetName val="TruCom Amort."/>
      <sheetName val="TruCom Fixed Assets"/>
      <sheetName val="TruCom Debt"/>
      <sheetName val="TruCom Debt worksheet"/>
      <sheetName val="Cap Tables"/>
      <sheetName val="TruCom Cash Acct. Recon."/>
      <sheetName val="MASTER"/>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
      <sheetName val="EBITDA SUM"/>
      <sheetName val="RIF SUM"/>
      <sheetName val="OBS"/>
      <sheetName val="AFS"/>
      <sheetName val="MIS"/>
      <sheetName val="MBS"/>
      <sheetName val="MCF"/>
      <sheetName val="MC-MIS"/>
      <sheetName val="ED-MIS"/>
      <sheetName val="MED PUB-MIS"/>
      <sheetName val="DISPLAY"/>
      <sheetName val="OPT-MIS"/>
      <sheetName val="REV"/>
      <sheetName val="EXP"/>
      <sheetName val="MODR"/>
      <sheetName val="D&amp;A"/>
      <sheetName val="DEBT"/>
      <sheetName val="COVS"/>
      <sheetName val="CONTRO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CM 2000 Rev Chart"/>
      <sheetName val="MCM 2001 Rev Chart"/>
      <sheetName val="MCM 1999 P&amp;L"/>
      <sheetName val="MCM 2000 P&amp;L"/>
      <sheetName val="MCM 2001 Plan"/>
      <sheetName val="MCM 2000 and 2001 Plan"/>
      <sheetName val="GSN Hist IS"/>
      <sheetName val="GSN Hist BS"/>
      <sheetName val="CC 2000 Detail"/>
      <sheetName val="CC 2000 IS"/>
      <sheetName val="CC 2000 BS"/>
      <sheetName val="CC 2000 CF"/>
      <sheetName val="Crescent Mo IS 9-00 to 6-01"/>
      <sheetName val="Crescent Qtr IS Sep00-Jun01"/>
      <sheetName val="Target P&amp;L RollUp"/>
      <sheetName val="Target P&amp;L RollUp June"/>
      <sheetName val="Target P&amp;L Pct Sales"/>
      <sheetName val="MASTER DRIVERS"/>
      <sheetName val="Summary"/>
      <sheetName val="IS Sum"/>
      <sheetName val="BS Sum"/>
      <sheetName val="CF Sum"/>
      <sheetName val="Covenants and Capitalization"/>
      <sheetName val="Ret Earn Reconcile"/>
      <sheetName val="GSN IS Sum"/>
      <sheetName val="Maine IS Sum"/>
      <sheetName val="Conversion BS"/>
      <sheetName val="Key Ratios"/>
      <sheetName val="MCG vs Vaxa"/>
      <sheetName val="Exhibits1"/>
      <sheetName val="Exhibits2"/>
      <sheetName val="IS"/>
      <sheetName val="BS"/>
      <sheetName val="CF"/>
      <sheetName val="Debt"/>
      <sheetName val="Fixed Assets"/>
      <sheetName val="Intangibles"/>
      <sheetName val="DCF"/>
      <sheetName val="Initial TTM EBITDA by Cluster"/>
      <sheetName val="Geographic Concentration"/>
    </sheetNames>
    <sheetDataSet>
      <sheetData sheetId="0" refreshError="1"/>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nX"/>
      <sheetName val="Portfolio Input"/>
      <sheetName val="Warehouse Summary"/>
      <sheetName val="Investor Summary"/>
      <sheetName val="Industry"/>
      <sheetName val="Rating"/>
      <sheetName val="Broad Loan Category"/>
      <sheetName val="Diversity Calc"/>
      <sheetName val="Vlookup"/>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s"/>
      <sheetName val="Pipeline"/>
      <sheetName val="Monthly Financials"/>
      <sheetName val="Quarterly Financials"/>
      <sheetName val="Yearly Financials"/>
      <sheetName val="Distributions"/>
      <sheetName val="Returns"/>
      <sheetName val="Operations"/>
      <sheetName val="Payroll"/>
      <sheetName val="Depreciation"/>
      <sheetName val="Debt"/>
      <sheetName val="Equit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s"/>
      <sheetName val="Model"/>
      <sheetName val="Portfolio Input"/>
    </sheetNames>
    <sheetDataSet>
      <sheetData sheetId="0"/>
      <sheetData sheetId="1" refreshError="1"/>
      <sheetData sheetId="2"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_FDSCACHE__"/>
      <sheetName val="TransSum"/>
      <sheetName val="Consolidated"/>
      <sheetName val="JDPC Proj."/>
      <sheetName val="EG Proj."/>
      <sheetName val="KBB Proj. "/>
    </sheetNames>
    <sheetDataSet>
      <sheetData sheetId="0"/>
      <sheetData sheetId="1"/>
      <sheetData sheetId="2"/>
      <sheetData sheetId="3"/>
      <sheetData sheetId="4"/>
      <sheetData sheetId="5"/>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liminary"/>
      <sheetName val="Final"/>
    </sheetNames>
    <sheetDataSet>
      <sheetData sheetId="0" refreshError="1"/>
      <sheetData sheetId="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01_05_v_Wicks_xls__01_05_v_Wic"/>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BO Summary"/>
      <sheetName val="Financials"/>
      <sheetName val="Debt"/>
      <sheetName val="Cap"/>
      <sheetName val="Consolidated"/>
      <sheetName val="Television"/>
      <sheetName val="Corporate"/>
      <sheetName val="Capex"/>
      <sheetName val="Tax"/>
      <sheetName val="Adj 2006"/>
      <sheetName val="Credit"/>
      <sheetName val="For Banks"/>
      <sheetName val="_01_05_v_Wicks_xls__01_05_v_Wic"/>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M Yields"/>
      <sheetName val="Vector Output"/>
      <sheetName val="Portfolio"/>
      <sheetName val="Action Items"/>
      <sheetName val="Defense Comps"/>
      <sheetName val="Telecom"/>
      <sheetName val="WARF"/>
      <sheetName val="Template"/>
      <sheetName val="1"/>
      <sheetName val="2"/>
      <sheetName val="3"/>
      <sheetName val="4"/>
      <sheetName val="Credit Breakdown"/>
      <sheetName val="Auto EVs"/>
      <sheetName val="WARF Tracker"/>
      <sheetName val="Deal Multiples"/>
      <sheetName val="Status"/>
      <sheetName val="Output"/>
      <sheetName val="Graphs"/>
      <sheetName val="Inputs"/>
      <sheetName val="LBO Summary"/>
      <sheetName val="Tanning Assumptions"/>
      <sheetName val="IncStmt"/>
      <sheetName val="BS"/>
      <sheetName val="DCF"/>
    </sheetNames>
    <sheetDataSet>
      <sheetData sheetId="0"/>
      <sheetData sheetId="1"/>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 sheetId="24"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ly-by-night - Base"/>
      <sheetName val="Fly-by-night - problem 5"/>
      <sheetName val="Fly-by-night - problem 6"/>
      <sheetName val="Fly-by-night - Base with ltd"/>
      <sheetName val="Portfolio"/>
      <sheetName val="MASTER DRIVER"/>
      <sheetName val="LBO Summary"/>
      <sheetName val="IncStmt"/>
    </sheetNames>
    <sheetDataSet>
      <sheetData sheetId="0"/>
      <sheetData sheetId="1"/>
      <sheetData sheetId="2"/>
      <sheetData sheetId="3"/>
      <sheetData sheetId="4" refreshError="1"/>
      <sheetData sheetId="5" refreshError="1"/>
      <sheetData sheetId="6" refreshError="1"/>
      <sheetData sheetId="7"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BO Summary"/>
      <sheetName val="Financials"/>
      <sheetName val="Debt"/>
      <sheetName val="Cap"/>
      <sheetName val="Consolidated"/>
      <sheetName val="Television"/>
      <sheetName val="Corporate"/>
      <sheetName val="Capex"/>
      <sheetName val="Tax"/>
      <sheetName val="Credit"/>
      <sheetName val="Summary"/>
      <sheetName val="Segments"/>
      <sheetName val="Adjustments"/>
      <sheetName val="Fly-by-night - problem 5"/>
      <sheetName val="Inputs"/>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al Info"/>
      <sheetName val="Qualitative Analysis"/>
      <sheetName val="Base"/>
      <sheetName val="EV_DCF Analysis"/>
      <sheetName val="VeCTOR Import"/>
      <sheetName val="Annual Summary"/>
      <sheetName val="LBO Summary"/>
      <sheetName val="Fly-by-night - problem 5"/>
      <sheetName val="Segment Info"/>
    </sheetNames>
    <sheetDataSet>
      <sheetData sheetId="0" refreshError="1"/>
      <sheetData sheetId="1"/>
      <sheetData sheetId="2"/>
      <sheetData sheetId="3" refreshError="1"/>
      <sheetData sheetId="4"/>
      <sheetData sheetId="5" refreshError="1"/>
      <sheetData sheetId="6" refreshError="1"/>
      <sheetData sheetId="7" refreshError="1"/>
      <sheetData sheetId="8"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SUMMARY"/>
      <sheetName val="TRANSACTION"/>
      <sheetName val="Capital Structure"/>
      <sheetName val="DEBT DETAIL"/>
      <sheetName val="Sheet2"/>
      <sheetName val="Flat EBITDA"/>
      <sheetName val="Scenario Fan"/>
      <sheetName val="Sheet1"/>
      <sheetName val="Sheet1 (2)"/>
      <sheetName val="Case Comparison"/>
      <sheetName val="INCOME STATEMENT"/>
      <sheetName val="BALANCE SHEET"/>
      <sheetName val="CASH FLOW"/>
      <sheetName val="World Cup"/>
      <sheetName val="Taxes"/>
      <sheetName val="CAPEX &amp; INTANG"/>
      <sheetName val="Drivers"/>
      <sheetName val="WORKING CAPITAL"/>
      <sheetName val="Buildup"/>
      <sheetName val="S&amp;U"/>
      <sheetName val="TV Build"/>
      <sheetName val="TV Group"/>
      <sheetName val="UVN"/>
      <sheetName val="TLF"/>
      <sheetName val="Gala"/>
      <sheetName val="TV Station Group"/>
      <sheetName val="UTG"/>
      <sheetName val="TTG"/>
      <sheetName val="Radio Operating Build"/>
      <sheetName val="Radio Drivers"/>
      <sheetName val="Consolidated"/>
      <sheetName val="Market Build"/>
      <sheetName val="Other"/>
      <sheetName val="Overview"/>
      <sheetName val="Margin Bridge"/>
      <sheetName val="Projections Detail"/>
      <sheetName val="VeCTOR Import"/>
      <sheetName val="LBO Summary"/>
    </sheetNames>
    <sheetDataSet>
      <sheetData sheetId="0" refreshError="1"/>
      <sheetData sheetId="1" refreshError="1"/>
      <sheetData sheetId="2"/>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preciation"/>
      <sheetName val="S&amp;U"/>
      <sheetName val="Sheet1"/>
      <sheetName val="1998 assump"/>
      <sheetName val="1997 assump"/>
      <sheetName val="******"/>
      <sheetName val="1998 P &amp; L"/>
      <sheetName val="1999 P &amp; L"/>
      <sheetName val="summ people"/>
      <sheetName val="people"/>
      <sheetName val="Sheet2"/>
      <sheetName val="B"/>
      <sheetName val="Sheet5"/>
      <sheetName val="Employees"/>
      <sheetName val="Reconcile"/>
      <sheetName val="D"/>
      <sheetName val="TRANSACTION"/>
      <sheetName val="VeCTOR Impor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CovCalcs Table"/>
      <sheetName val="IS Table"/>
      <sheetName val="BS Table"/>
      <sheetName val="SoCF Table"/>
      <sheetName val="RE &amp; DIVS Table"/>
      <sheetName val="Debt Table"/>
      <sheetName val="RE &amp; DIVS"/>
      <sheetName val="Debt"/>
      <sheetName val="BalSh Comb"/>
      <sheetName val="SoCF Comb"/>
      <sheetName val="IS Comb"/>
      <sheetName val="Covenant Summary"/>
      <sheetName val="UF P&amp;L-Mth"/>
      <sheetName val="Sheet1"/>
      <sheetName val="MASTER"/>
      <sheetName val="FC P&amp;L-Mth"/>
      <sheetName val="Headcount"/>
      <sheetName val="New FC Contracts"/>
      <sheetName val="UF Bal-Mth"/>
      <sheetName val="FC Bal-Mth"/>
      <sheetName val="Fixed Assets"/>
      <sheetName val="G&amp;A"/>
      <sheetName val="FC Contracts 2001"/>
      <sheetName val="End Model"/>
      <sheetName val="Combnd Hist BS"/>
      <sheetName val="UF Bal Sheet"/>
      <sheetName val="FC Bal Sheet"/>
      <sheetName val="UF P&amp;L Hist"/>
      <sheetName val="FC P&amp;L Hist"/>
      <sheetName val="UF2000"/>
      <sheetName val="UF2001"/>
      <sheetName val="FC2000"/>
      <sheetName val="FC2001"/>
      <sheetName val="vs. 2001 actuals"/>
      <sheetName val="Sheet3"/>
      <sheetName val="Equity Table"/>
      <sheetName val="Card Count Table"/>
      <sheetName val="BS Tables"/>
      <sheetName val="Concentr Table"/>
      <sheetName val="BS Analysis"/>
      <sheetName val="Table 5"/>
      <sheetName val="Table 4"/>
      <sheetName val="Table 3"/>
      <sheetName val="Table 2"/>
      <sheetName val="Table 1"/>
      <sheetName val="DCF"/>
      <sheetName val="top50hotels"/>
      <sheetName val="Sheet5"/>
      <sheetName val="D"/>
      <sheetName val="MASTER DRIVER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SUM"/>
      <sheetName val="OBS - MEDCON"/>
      <sheetName val="OBS - REFI"/>
      <sheetName val="AFS"/>
      <sheetName val="MBS"/>
      <sheetName val="MMIS (2)"/>
      <sheetName val="WHEC"/>
      <sheetName val="MIS"/>
      <sheetName val="MCF"/>
      <sheetName val="PACING06"/>
      <sheetName val="D&amp;A"/>
      <sheetName val="D&amp;A (2)"/>
      <sheetName val="DEBT"/>
      <sheetName val="CHARTS&gt;&gt;&gt;"/>
      <sheetName val="S&amp;U_CAP_MERGER"/>
      <sheetName val="S&amp;U_CAP_REFI"/>
      <sheetName val="MEDCON IS"/>
      <sheetName val="SUM IS"/>
      <sheetName val="PF IS"/>
      <sheetName val="PF BS"/>
      <sheetName val="COVS"/>
      <sheetName val="ECF"/>
      <sheetName val="Bridge"/>
      <sheetName val="HoldCo INT"/>
      <sheetName val="PACING05"/>
      <sheetName val="MASTER"/>
    </sheetNames>
    <sheetDataSet>
      <sheetData sheetId="0"/>
      <sheetData sheetId="1" refreshError="1"/>
      <sheetData sheetId="2"/>
      <sheetData sheetId="3" refreshError="1"/>
      <sheetData sheetId="4"/>
      <sheetData sheetId="5"/>
      <sheetData sheetId="6"/>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
      <sheetName val="EBITDA SUM"/>
      <sheetName val="RIF SUM"/>
      <sheetName val="OBS"/>
      <sheetName val="AFS"/>
      <sheetName val="MIS"/>
      <sheetName val="MBS"/>
      <sheetName val="MCF"/>
      <sheetName val="MC-MIS"/>
      <sheetName val="ED-MIS"/>
      <sheetName val="MED PUB-MIS"/>
      <sheetName val="OPT-MIS"/>
      <sheetName val="REV"/>
      <sheetName val="EXP"/>
      <sheetName val="MODR"/>
      <sheetName val="D&amp;A"/>
      <sheetName val="DEBT"/>
      <sheetName val="COVS"/>
      <sheetName val="CONTROL"/>
      <sheetName val="OBS - REFI"/>
      <sheetName val="WHE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SUM"/>
      <sheetName val="AFS"/>
      <sheetName val="MIS"/>
      <sheetName val="MBS"/>
      <sheetName val="MCF"/>
      <sheetName val="DEBT"/>
      <sheetName val="D&amp;A"/>
      <sheetName val="COVS_ACTUAL"/>
      <sheetName val="COVS"/>
      <sheetName val="PACING05"/>
      <sheetName val="PACING06"/>
    </sheetNames>
    <sheetDataSet>
      <sheetData sheetId="0" refreshError="1"/>
      <sheetData sheetId="1"/>
      <sheetData sheetId="2" refreshError="1"/>
      <sheetData sheetId="3"/>
      <sheetData sheetId="4" refreshError="1"/>
      <sheetData sheetId="5" refreshError="1"/>
      <sheetData sheetId="6"/>
      <sheetData sheetId="7" refreshError="1"/>
      <sheetData sheetId="8"/>
      <sheetData sheetId="9"/>
      <sheetData sheetId="10" refreshError="1"/>
      <sheetData sheetId="11"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CF"/>
      <sheetName val="DCFnew"/>
      <sheetName val="COVS_ACTUAL"/>
      <sheetName val="D&amp;A"/>
    </sheetNames>
    <sheetDataSet>
      <sheetData sheetId="0"/>
      <sheetData sheetId="1" refreshError="1"/>
      <sheetData sheetId="2" refreshError="1"/>
      <sheetData sheetId="3"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35D3A3-04BE-4D4D-9CE6-5E2BBFA08115}">
  <dimension ref="A2:L51"/>
  <sheetViews>
    <sheetView showGridLines="0" tabSelected="1" zoomScaleNormal="100" workbookViewId="0">
      <selection activeCell="N2" sqref="N2"/>
    </sheetView>
  </sheetViews>
  <sheetFormatPr defaultColWidth="11.42578125" defaultRowHeight="12.75"/>
  <cols>
    <col min="1" max="1" width="7.5703125" style="32" customWidth="1"/>
    <col min="2" max="2" width="50.7109375" style="32" customWidth="1"/>
    <col min="3" max="7" width="12.7109375" style="32" customWidth="1"/>
    <col min="8" max="8" width="24.85546875" style="32" customWidth="1"/>
    <col min="9" max="9" width="11.42578125" style="32"/>
    <col min="10" max="10" width="23.5703125" style="32" customWidth="1"/>
    <col min="11" max="11" width="15" style="32" customWidth="1"/>
    <col min="12" max="12" width="15" style="32" bestFit="1" customWidth="1"/>
    <col min="13" max="16384" width="11.42578125" style="32"/>
  </cols>
  <sheetData>
    <row r="2" spans="1:12">
      <c r="A2" s="69" t="s">
        <v>0</v>
      </c>
      <c r="H2" s="32" t="s">
        <v>1</v>
      </c>
      <c r="I2" s="496">
        <v>0.19297940909704936</v>
      </c>
    </row>
    <row r="3" spans="1:12">
      <c r="A3" s="69"/>
      <c r="H3" s="32" t="s">
        <v>2</v>
      </c>
      <c r="I3" s="496">
        <v>0.18370533664002939</v>
      </c>
    </row>
    <row r="4" spans="1:12" ht="13.5" thickBot="1"/>
    <row r="5" spans="1:12" ht="12.75" customHeight="1">
      <c r="B5" s="451" t="s">
        <v>3</v>
      </c>
      <c r="C5" s="452" t="s">
        <v>4</v>
      </c>
      <c r="D5" s="452" t="s">
        <v>5</v>
      </c>
      <c r="E5" s="452" t="s">
        <v>6</v>
      </c>
      <c r="F5" s="452" t="s">
        <v>7</v>
      </c>
      <c r="G5" s="31"/>
      <c r="H5" s="459" t="s">
        <v>8</v>
      </c>
      <c r="I5" s="470" t="s">
        <v>4</v>
      </c>
      <c r="J5" s="471" t="s">
        <v>5</v>
      </c>
      <c r="K5" s="31"/>
      <c r="L5" s="31"/>
    </row>
    <row r="6" spans="1:12">
      <c r="B6" s="111"/>
      <c r="C6" s="446"/>
      <c r="D6" s="446"/>
      <c r="E6" s="447"/>
      <c r="F6" s="447"/>
      <c r="G6" s="31"/>
      <c r="H6" s="460"/>
      <c r="I6" s="372"/>
      <c r="J6" s="461"/>
      <c r="K6" s="31"/>
      <c r="L6" s="31"/>
    </row>
    <row r="7" spans="1:12">
      <c r="B7" s="111" t="s">
        <v>9</v>
      </c>
      <c r="C7" s="111"/>
      <c r="D7" s="448"/>
      <c r="E7" s="449"/>
      <c r="F7" s="449"/>
      <c r="G7" s="31"/>
      <c r="H7" s="462" t="s">
        <v>10</v>
      </c>
      <c r="I7" s="378">
        <v>66998</v>
      </c>
      <c r="J7" s="463">
        <f>I7*I2</f>
        <v>12929.234450684113</v>
      </c>
    </row>
    <row r="8" spans="1:12">
      <c r="B8" s="450" t="s">
        <v>11</v>
      </c>
      <c r="C8" s="507">
        <v>50.045999999999999</v>
      </c>
      <c r="D8" s="352">
        <f>C8*$I2</f>
        <v>9.6578475076709314</v>
      </c>
      <c r="E8" s="449"/>
      <c r="F8" s="449"/>
      <c r="G8" s="31"/>
      <c r="H8" s="462" t="s">
        <v>12</v>
      </c>
      <c r="I8" s="378">
        <v>23032</v>
      </c>
      <c r="J8" s="463">
        <f>I8*I2</f>
        <v>4444.701750323241</v>
      </c>
    </row>
    <row r="9" spans="1:12">
      <c r="B9" s="450" t="s">
        <v>13</v>
      </c>
      <c r="C9" s="507">
        <v>7434.7310000000007</v>
      </c>
      <c r="D9" s="352">
        <f>C9*$I2</f>
        <v>1434.7499951755151</v>
      </c>
      <c r="E9" s="449"/>
      <c r="F9" s="449"/>
      <c r="G9" s="31"/>
      <c r="H9" s="460" t="s">
        <v>14</v>
      </c>
      <c r="I9" s="465">
        <f>I7-I8</f>
        <v>43966</v>
      </c>
      <c r="J9" s="466">
        <f>J7-J8</f>
        <v>8484.5327003608727</v>
      </c>
    </row>
    <row r="10" spans="1:12">
      <c r="B10" s="450" t="s">
        <v>15</v>
      </c>
      <c r="C10" s="507">
        <v>24900.955000000002</v>
      </c>
      <c r="D10" s="352">
        <f>C10*$I2</f>
        <v>4805.3715818522169</v>
      </c>
      <c r="E10" s="449"/>
      <c r="F10" s="449"/>
      <c r="G10" s="31"/>
      <c r="H10" s="462" t="s">
        <v>16</v>
      </c>
      <c r="I10" s="464">
        <f>I9/I11</f>
        <v>13046.290801186944</v>
      </c>
      <c r="J10" s="463">
        <f>J9/J11</f>
        <v>2417.2457835785963</v>
      </c>
    </row>
    <row r="11" spans="1:12" ht="13.5" thickBot="1">
      <c r="B11" s="450" t="s">
        <v>17</v>
      </c>
      <c r="C11" s="507">
        <v>0</v>
      </c>
      <c r="D11" s="352">
        <f>C11*$I2</f>
        <v>0</v>
      </c>
      <c r="E11" s="449"/>
      <c r="F11" s="449"/>
      <c r="G11" s="31"/>
      <c r="H11" s="467" t="s">
        <v>18</v>
      </c>
      <c r="I11" s="468">
        <v>3.37</v>
      </c>
      <c r="J11" s="469">
        <v>3.51</v>
      </c>
    </row>
    <row r="12" spans="1:12">
      <c r="B12" s="111" t="s">
        <v>19</v>
      </c>
      <c r="C12" s="507"/>
      <c r="D12" s="352"/>
      <c r="E12" s="449"/>
      <c r="F12" s="449"/>
      <c r="G12" s="31"/>
    </row>
    <row r="13" spans="1:12">
      <c r="B13" s="450" t="s">
        <v>20</v>
      </c>
      <c r="C13" s="507">
        <v>10092.251</v>
      </c>
      <c r="D13" s="352">
        <f>C13*$I2</f>
        <v>1947.5966344391056</v>
      </c>
      <c r="E13" s="449"/>
      <c r="F13" s="449"/>
      <c r="G13" s="31"/>
    </row>
    <row r="14" spans="1:12">
      <c r="B14" s="450" t="s">
        <v>21</v>
      </c>
      <c r="C14" s="507">
        <v>16754.530999999999</v>
      </c>
      <c r="D14" s="352">
        <f>C14*$I2</f>
        <v>3233.2794920781953</v>
      </c>
      <c r="E14" s="449"/>
      <c r="F14" s="449"/>
      <c r="G14" s="31"/>
    </row>
    <row r="15" spans="1:12">
      <c r="B15" s="450" t="s">
        <v>22</v>
      </c>
      <c r="C15" s="507">
        <v>2768.4250000000002</v>
      </c>
      <c r="D15" s="352">
        <f>C15*$I2</f>
        <v>534.24902062949889</v>
      </c>
      <c r="E15" s="449"/>
      <c r="F15" s="449"/>
      <c r="G15" s="31"/>
    </row>
    <row r="16" spans="1:12">
      <c r="B16" s="450" t="s">
        <v>23</v>
      </c>
      <c r="C16" s="507">
        <v>2920.3229999999999</v>
      </c>
      <c r="D16" s="352">
        <f>C16*$I2</f>
        <v>563.56220691252247</v>
      </c>
      <c r="E16" s="449"/>
      <c r="F16" s="449"/>
      <c r="G16" s="31"/>
    </row>
    <row r="17" spans="2:9">
      <c r="B17" s="450" t="s">
        <v>24</v>
      </c>
      <c r="C17" s="507">
        <v>0</v>
      </c>
      <c r="D17" s="352">
        <f>C17*$I2</f>
        <v>0</v>
      </c>
      <c r="E17" s="449"/>
      <c r="F17" s="449"/>
      <c r="G17" s="31"/>
    </row>
    <row r="18" spans="2:9">
      <c r="B18" s="450" t="s">
        <v>25</v>
      </c>
      <c r="C18" s="507">
        <v>0</v>
      </c>
      <c r="D18" s="352">
        <f>C18*$I2</f>
        <v>0</v>
      </c>
      <c r="E18" s="449"/>
      <c r="F18" s="449"/>
      <c r="G18" s="31"/>
    </row>
    <row r="19" spans="2:9">
      <c r="B19" s="450" t="s">
        <v>26</v>
      </c>
      <c r="C19" s="507">
        <v>1572.3230000000001</v>
      </c>
      <c r="D19" s="352">
        <f>C19*$I2</f>
        <v>303.42596344969996</v>
      </c>
      <c r="E19" s="449"/>
      <c r="F19" s="449"/>
      <c r="G19" s="31"/>
    </row>
    <row r="20" spans="2:9">
      <c r="B20" s="450" t="s">
        <v>27</v>
      </c>
      <c r="C20" s="507">
        <v>504.80599999999998</v>
      </c>
      <c r="D20" s="352">
        <f>C20*$I3</f>
        <v>92.735556167906665</v>
      </c>
      <c r="E20" s="449"/>
      <c r="F20" s="449"/>
      <c r="G20" s="31"/>
    </row>
    <row r="21" spans="2:9">
      <c r="B21" s="450" t="s">
        <v>28</v>
      </c>
      <c r="C21" s="507">
        <v>561.47800000000007</v>
      </c>
      <c r="D21" s="352">
        <f>C21*$I2</f>
        <v>108.35369266099309</v>
      </c>
      <c r="E21" s="449"/>
      <c r="F21" s="449"/>
      <c r="G21" s="31"/>
    </row>
    <row r="22" spans="2:9">
      <c r="B22" s="450" t="s">
        <v>29</v>
      </c>
      <c r="C22" s="507">
        <v>5747.6180000000004</v>
      </c>
      <c r="D22" s="352">
        <f>C22*$I2</f>
        <v>1109.1719253555648</v>
      </c>
      <c r="E22" s="449"/>
      <c r="F22" s="449"/>
      <c r="G22" s="31"/>
      <c r="I22" s="110"/>
    </row>
    <row r="23" spans="2:9">
      <c r="B23" s="41" t="s">
        <v>30</v>
      </c>
      <c r="C23" s="131">
        <f>SUM(C7:C22)</f>
        <v>73307.487000000008</v>
      </c>
      <c r="D23" s="131">
        <f>SUM(D7:D22)</f>
        <v>14142.153916228886</v>
      </c>
      <c r="E23" s="42">
        <f>+C23/C28</f>
        <v>5.6182929950950342</v>
      </c>
      <c r="F23" s="42">
        <f>+D23/D28</f>
        <v>5.8999704815291185</v>
      </c>
      <c r="G23" s="31"/>
      <c r="H23" s="110"/>
    </row>
    <row r="24" spans="2:9">
      <c r="B24" s="40" t="s">
        <v>31</v>
      </c>
      <c r="C24" s="175">
        <v>23031.398000000001</v>
      </c>
      <c r="D24" s="352">
        <f>C24*$I2</f>
        <v>4444.5855767189651</v>
      </c>
      <c r="E24" s="43"/>
      <c r="F24" s="43"/>
      <c r="G24" s="31"/>
      <c r="I24" s="85"/>
    </row>
    <row r="25" spans="2:9">
      <c r="B25" s="41" t="s">
        <v>32</v>
      </c>
      <c r="C25" s="176">
        <f>+C23-C24</f>
        <v>50276.089000000007</v>
      </c>
      <c r="D25" s="131">
        <f>+D23-D24</f>
        <v>9697.5683395099222</v>
      </c>
      <c r="E25" s="42">
        <f>+C25/C28</f>
        <v>3.8531643930104238</v>
      </c>
      <c r="F25" s="42">
        <f>+D25/D28</f>
        <v>4.0457321624863782</v>
      </c>
      <c r="G25" s="31"/>
    </row>
    <row r="26" spans="2:9">
      <c r="B26" s="71" t="s">
        <v>33</v>
      </c>
      <c r="C26" s="177">
        <v>14034.234</v>
      </c>
      <c r="D26" s="352">
        <f>C26*$I2</f>
        <v>2708.3181844497194</v>
      </c>
      <c r="E26" s="72"/>
      <c r="F26" s="72"/>
      <c r="G26" s="31"/>
    </row>
    <row r="27" spans="2:9">
      <c r="B27" s="71" t="s">
        <v>34</v>
      </c>
      <c r="C27" s="178">
        <f>C23+C26</f>
        <v>87341.721000000005</v>
      </c>
      <c r="D27" s="178">
        <f>D23+D26</f>
        <v>16850.472100678606</v>
      </c>
      <c r="E27" s="72"/>
      <c r="F27" s="72"/>
      <c r="G27" s="31"/>
    </row>
    <row r="28" spans="2:9">
      <c r="B28" s="300" t="s">
        <v>35</v>
      </c>
      <c r="C28" s="303">
        <v>13048</v>
      </c>
      <c r="D28" s="179">
        <f>C28*I3</f>
        <v>2396.9872324791036</v>
      </c>
      <c r="E28" s="40"/>
      <c r="F28" s="40"/>
      <c r="G28" s="40"/>
    </row>
    <row r="29" spans="2:9">
      <c r="B29" s="109" t="s">
        <v>36</v>
      </c>
      <c r="C29" s="353">
        <v>0</v>
      </c>
      <c r="D29" s="134"/>
      <c r="G29" s="110"/>
    </row>
    <row r="30" spans="2:9">
      <c r="B30" s="109"/>
      <c r="C30" s="353"/>
      <c r="D30" s="134"/>
      <c r="G30" s="110"/>
    </row>
    <row r="31" spans="2:9">
      <c r="B31" s="109"/>
      <c r="C31" s="109"/>
      <c r="D31" s="134"/>
    </row>
    <row r="32" spans="2:9">
      <c r="B32" s="41" t="s">
        <v>37</v>
      </c>
      <c r="C32" s="404">
        <v>79566.089000000007</v>
      </c>
      <c r="D32" s="135"/>
    </row>
    <row r="33" spans="2:7">
      <c r="B33" s="41" t="s">
        <v>38</v>
      </c>
      <c r="C33" s="136">
        <f>C32/C28</f>
        <v>6.0979528663396696</v>
      </c>
      <c r="D33" s="136"/>
    </row>
    <row r="35" spans="2:7" ht="13.5" thickBot="1"/>
    <row r="36" spans="2:7">
      <c r="B36" s="453" t="s">
        <v>39</v>
      </c>
      <c r="C36" s="454" t="s">
        <v>4</v>
      </c>
      <c r="D36" s="455" t="s">
        <v>5</v>
      </c>
      <c r="E36" s="111"/>
      <c r="F36" s="111"/>
      <c r="G36" s="111"/>
    </row>
    <row r="37" spans="2:7">
      <c r="B37" s="83" t="s">
        <v>40</v>
      </c>
      <c r="C37" s="327">
        <f>C24</f>
        <v>23031.398000000001</v>
      </c>
      <c r="D37" s="180">
        <f>C37*$I2</f>
        <v>4444.5855767189651</v>
      </c>
      <c r="E37" s="112"/>
      <c r="F37" s="112"/>
      <c r="G37" s="112"/>
    </row>
    <row r="38" spans="2:7" ht="13.5" thickBot="1">
      <c r="B38" s="389" t="s">
        <v>41</v>
      </c>
      <c r="C38" s="390">
        <f>SUM(C37:C37)</f>
        <v>23031.398000000001</v>
      </c>
      <c r="D38" s="391">
        <f>SUM(D37:D37)</f>
        <v>4444.5855767189651</v>
      </c>
      <c r="E38" s="112"/>
      <c r="F38" s="112"/>
      <c r="G38" s="112"/>
    </row>
    <row r="40" spans="2:7" ht="13.5" thickBot="1">
      <c r="E40" s="112"/>
      <c r="F40" s="112"/>
    </row>
    <row r="41" spans="2:7">
      <c r="B41" s="453" t="s">
        <v>42</v>
      </c>
      <c r="C41" s="454" t="s">
        <v>4</v>
      </c>
      <c r="D41" s="455" t="s">
        <v>5</v>
      </c>
      <c r="E41" s="112"/>
      <c r="F41" s="112"/>
      <c r="G41" s="69"/>
    </row>
    <row r="42" spans="2:7">
      <c r="B42" s="73">
        <v>2026</v>
      </c>
      <c r="C42" s="373">
        <v>11480.8</v>
      </c>
      <c r="D42" s="407">
        <f>C42*$I2</f>
        <v>2215.5579999614042</v>
      </c>
      <c r="E42" s="112"/>
      <c r="F42" s="112"/>
    </row>
    <row r="43" spans="2:7">
      <c r="B43" s="73">
        <v>2027</v>
      </c>
      <c r="C43" s="373">
        <v>9774.0139999999992</v>
      </c>
      <c r="D43" s="183">
        <f>C43*$I2</f>
        <v>1886.1834462262877</v>
      </c>
      <c r="E43" s="112"/>
      <c r="F43" s="112"/>
    </row>
    <row r="44" spans="2:7">
      <c r="B44" s="73">
        <v>2028</v>
      </c>
      <c r="C44" s="373">
        <v>4178.2370000000001</v>
      </c>
      <c r="D44" s="183">
        <f>C44*$I2</f>
        <v>806.31370732742823</v>
      </c>
      <c r="E44" s="112"/>
      <c r="F44" s="112"/>
    </row>
    <row r="45" spans="2:7">
      <c r="B45" s="73">
        <v>2029</v>
      </c>
      <c r="C45" s="373">
        <v>5988.1949999999997</v>
      </c>
      <c r="D45" s="183">
        <f>C45*$I2</f>
        <v>1155.5983326579055</v>
      </c>
      <c r="E45" s="112"/>
      <c r="F45" s="112"/>
    </row>
    <row r="46" spans="2:7">
      <c r="B46" s="73">
        <v>2030</v>
      </c>
      <c r="C46" s="373">
        <v>12285.064</v>
      </c>
      <c r="D46" s="183">
        <f>C46*$I2</f>
        <v>2370.7643914394334</v>
      </c>
      <c r="E46" s="112"/>
      <c r="F46" s="112"/>
    </row>
    <row r="47" spans="2:7" ht="13.5" thickBot="1">
      <c r="B47" s="125" t="s">
        <v>43</v>
      </c>
      <c r="C47" s="382">
        <v>23292.080999999998</v>
      </c>
      <c r="D47" s="383">
        <f>C47*$I2</f>
        <v>4494.8920280206103</v>
      </c>
      <c r="E47" s="112"/>
      <c r="F47" s="112"/>
    </row>
    <row r="48" spans="2:7" ht="13.5" thickBot="1">
      <c r="B48" s="456" t="s">
        <v>44</v>
      </c>
      <c r="C48" s="457">
        <f>SUM(C42:C47)</f>
        <v>66998.391000000003</v>
      </c>
      <c r="D48" s="458">
        <f>SUM(D42:D47)</f>
        <v>12929.309905633068</v>
      </c>
      <c r="E48" s="112"/>
      <c r="F48" s="112"/>
      <c r="G48" s="113"/>
    </row>
    <row r="49" spans="2:6">
      <c r="B49" s="90" t="s">
        <v>36</v>
      </c>
      <c r="C49" s="353">
        <f>C48-SUM(C8:C20)</f>
        <v>0</v>
      </c>
      <c r="D49" s="110"/>
      <c r="E49" s="96"/>
      <c r="F49" s="96"/>
    </row>
    <row r="50" spans="2:6">
      <c r="B50" s="90"/>
      <c r="C50" s="353"/>
      <c r="D50" s="110"/>
      <c r="E50" s="96"/>
      <c r="F50" s="96"/>
    </row>
    <row r="51" spans="2:6">
      <c r="B51" s="90"/>
      <c r="C51" s="353"/>
      <c r="D51" s="110"/>
      <c r="E51" s="96"/>
      <c r="F51" s="96"/>
    </row>
  </sheetData>
  <pageMargins left="0.7" right="0.7" top="0.75" bottom="0.75" header="0.3" footer="0.3"/>
  <pageSetup orientation="portrait" horizontalDpi="90" verticalDpi="90"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9FB6FC-3397-4217-A9B9-24AB0F98DEAD}">
  <dimension ref="A2:S310"/>
  <sheetViews>
    <sheetView showGridLines="0" zoomScaleNormal="100" workbookViewId="0">
      <pane xSplit="2" ySplit="6" topLeftCell="C279" activePane="bottomRight" state="frozen"/>
      <selection pane="bottomRight" activeCell="K299" sqref="K299"/>
      <selection pane="bottomLeft" activeCell="H31" sqref="H31"/>
      <selection pane="topRight" activeCell="H31" sqref="H31"/>
    </sheetView>
  </sheetViews>
  <sheetFormatPr defaultColWidth="11.42578125" defaultRowHeight="12.75" outlineLevelRow="1"/>
  <cols>
    <col min="1" max="1" width="2.7109375" style="1" customWidth="1"/>
    <col min="2" max="2" width="50.7109375" style="1" customWidth="1"/>
    <col min="3" max="15" width="12.7109375" style="1" customWidth="1"/>
    <col min="16" max="18" width="12.7109375" style="1" hidden="1" customWidth="1"/>
    <col min="19" max="22" width="12.7109375" style="1" customWidth="1"/>
    <col min="23" max="16384" width="11.42578125" style="1"/>
  </cols>
  <sheetData>
    <row r="2" spans="1:19" s="2" customFormat="1" ht="24.75" customHeight="1">
      <c r="B2" s="10" t="s">
        <v>45</v>
      </c>
      <c r="C2" s="392" t="s">
        <v>46</v>
      </c>
      <c r="D2" s="392" t="s">
        <v>46</v>
      </c>
      <c r="E2" s="392" t="s">
        <v>47</v>
      </c>
      <c r="F2" s="393"/>
      <c r="G2" s="392" t="s">
        <v>48</v>
      </c>
      <c r="H2" s="12" t="s">
        <v>48</v>
      </c>
      <c r="I2" s="12" t="s">
        <v>48</v>
      </c>
      <c r="J2" s="478"/>
      <c r="K2" s="392" t="s">
        <v>48</v>
      </c>
      <c r="L2" s="12" t="s">
        <v>48</v>
      </c>
      <c r="M2" s="12" t="s">
        <v>48</v>
      </c>
      <c r="O2" s="392" t="s">
        <v>49</v>
      </c>
      <c r="P2" s="392"/>
      <c r="Q2" s="392"/>
      <c r="R2" s="392"/>
      <c r="S2" s="392" t="s">
        <v>49</v>
      </c>
    </row>
    <row r="3" spans="1:19" s="2" customFormat="1" ht="13.5" customHeight="1">
      <c r="B3" s="11" t="s">
        <v>50</v>
      </c>
      <c r="C3" s="14">
        <v>45630</v>
      </c>
      <c r="D3" s="14">
        <v>45995</v>
      </c>
      <c r="E3" s="14">
        <f>M3</f>
        <v>46112</v>
      </c>
      <c r="F3" s="394"/>
      <c r="G3" s="14">
        <v>45544</v>
      </c>
      <c r="H3" s="13">
        <v>45635</v>
      </c>
      <c r="I3" s="13">
        <v>45747</v>
      </c>
      <c r="J3" s="395"/>
      <c r="K3" s="14">
        <v>45909</v>
      </c>
      <c r="L3" s="13">
        <v>46000</v>
      </c>
      <c r="M3" s="13">
        <v>46112</v>
      </c>
      <c r="O3" s="14">
        <v>45544</v>
      </c>
      <c r="P3" s="14"/>
      <c r="Q3" s="14"/>
      <c r="R3" s="14"/>
      <c r="S3" s="14">
        <v>45909</v>
      </c>
    </row>
    <row r="4" spans="1:19" s="5" customFormat="1" ht="13.5" customHeight="1">
      <c r="B4" s="11"/>
      <c r="C4" s="14" t="s">
        <v>51</v>
      </c>
      <c r="D4" s="14" t="s">
        <v>51</v>
      </c>
      <c r="E4" s="14" t="s">
        <v>51</v>
      </c>
      <c r="F4" s="395"/>
      <c r="G4" s="14" t="s">
        <v>51</v>
      </c>
      <c r="H4" s="14" t="s">
        <v>51</v>
      </c>
      <c r="I4" s="14" t="s">
        <v>51</v>
      </c>
      <c r="J4" s="395"/>
      <c r="K4" s="14" t="s">
        <v>51</v>
      </c>
      <c r="L4" s="14" t="s">
        <v>51</v>
      </c>
      <c r="M4" s="14" t="s">
        <v>51</v>
      </c>
      <c r="O4" s="14" t="s">
        <v>51</v>
      </c>
      <c r="P4" s="14"/>
      <c r="Q4" s="14"/>
      <c r="R4" s="14"/>
      <c r="S4" s="14" t="s">
        <v>51</v>
      </c>
    </row>
    <row r="5" spans="1:19" s="3" customFormat="1" ht="13.5" customHeight="1">
      <c r="C5" s="23" t="s">
        <v>52</v>
      </c>
      <c r="D5" s="23" t="s">
        <v>52</v>
      </c>
      <c r="E5" s="482" t="s">
        <v>47</v>
      </c>
      <c r="F5" s="23"/>
      <c r="G5" s="23" t="s">
        <v>53</v>
      </c>
      <c r="H5" s="23" t="s">
        <v>54</v>
      </c>
      <c r="I5" s="23" t="s">
        <v>55</v>
      </c>
      <c r="J5" s="23"/>
      <c r="K5" s="23" t="s">
        <v>53</v>
      </c>
      <c r="L5" s="23" t="s">
        <v>54</v>
      </c>
      <c r="M5" s="23" t="s">
        <v>55</v>
      </c>
      <c r="O5" s="23" t="s">
        <v>56</v>
      </c>
      <c r="P5" s="23"/>
      <c r="Q5" s="23"/>
      <c r="R5" s="23"/>
      <c r="S5" s="23" t="s">
        <v>56</v>
      </c>
    </row>
    <row r="6" spans="1:19" ht="13.5" customHeight="1">
      <c r="A6" s="5"/>
      <c r="B6" s="16" t="s">
        <v>57</v>
      </c>
      <c r="C6" s="17"/>
      <c r="D6" s="17"/>
      <c r="E6" s="17"/>
      <c r="F6" s="23"/>
      <c r="G6" s="17"/>
      <c r="H6" s="17"/>
      <c r="I6" s="17"/>
      <c r="J6" s="26"/>
      <c r="K6" s="17"/>
      <c r="L6" s="17"/>
      <c r="M6" s="17"/>
      <c r="O6" s="17"/>
      <c r="P6" s="17"/>
      <c r="Q6" s="17"/>
      <c r="R6" s="17"/>
      <c r="S6" s="17"/>
    </row>
    <row r="7" spans="1:19" s="5" customFormat="1">
      <c r="B7" s="5" t="s">
        <v>58</v>
      </c>
      <c r="C7" s="98">
        <v>149135.14300000001</v>
      </c>
      <c r="D7" s="98">
        <v>163962.73699999999</v>
      </c>
      <c r="E7" s="101">
        <f>D7+M7-I7</f>
        <v>163936.06200000001</v>
      </c>
      <c r="F7" s="23"/>
      <c r="G7" s="98">
        <v>39134.476000000002</v>
      </c>
      <c r="H7" s="101">
        <f>C7-O7</f>
        <v>42208.180000000008</v>
      </c>
      <c r="I7" s="98">
        <v>39479.728999999999</v>
      </c>
      <c r="J7" s="98"/>
      <c r="K7" s="98">
        <v>41765.531999999999</v>
      </c>
      <c r="L7" s="101">
        <f>D7-S7</f>
        <v>43915.297999999995</v>
      </c>
      <c r="M7" s="98">
        <v>39453.053999999996</v>
      </c>
      <c r="O7" s="98">
        <v>106926.963</v>
      </c>
      <c r="P7" s="98"/>
      <c r="Q7" s="98"/>
      <c r="R7" s="98"/>
      <c r="S7" s="98">
        <v>120047.439</v>
      </c>
    </row>
    <row r="8" spans="1:19" s="46" customFormat="1">
      <c r="B8" s="19" t="s">
        <v>59</v>
      </c>
      <c r="C8" s="99"/>
      <c r="D8" s="99">
        <f>D7/C7-1</f>
        <v>9.9423876235529507E-2</v>
      </c>
      <c r="E8" s="99"/>
      <c r="F8" s="23"/>
      <c r="G8" s="99"/>
      <c r="H8" s="99"/>
      <c r="I8" s="99"/>
      <c r="J8" s="302"/>
      <c r="K8" s="99">
        <f>K7/G7-1</f>
        <v>6.7231154442952024E-2</v>
      </c>
      <c r="L8" s="99">
        <f>L7/H7-1</f>
        <v>4.0445193325085116E-2</v>
      </c>
      <c r="M8" s="99">
        <f>M7/I7-1</f>
        <v>-6.7566319920797646E-4</v>
      </c>
      <c r="O8" s="99"/>
      <c r="P8" s="99"/>
      <c r="Q8" s="99"/>
      <c r="R8" s="99"/>
      <c r="S8" s="99">
        <f>S7/O7-1</f>
        <v>0.12270502810409001</v>
      </c>
    </row>
    <row r="9" spans="1:19" s="46" customFormat="1">
      <c r="B9" s="5" t="s">
        <v>60</v>
      </c>
      <c r="C9" s="100">
        <v>-129369.246</v>
      </c>
      <c r="D9" s="100">
        <v>-143778.22500000001</v>
      </c>
      <c r="E9" s="103">
        <f>D9+M9-I9</f>
        <v>-143675.26</v>
      </c>
      <c r="F9" s="23"/>
      <c r="G9" s="100">
        <v>-33825.084999999999</v>
      </c>
      <c r="H9" s="101">
        <f>C9-O9</f>
        <v>-36492.36</v>
      </c>
      <c r="I9" s="100">
        <v>-34785.656000000003</v>
      </c>
      <c r="J9" s="100"/>
      <c r="K9" s="100">
        <v>-36617.96</v>
      </c>
      <c r="L9" s="101">
        <f>D9-S9</f>
        <v>-38387.523000000001</v>
      </c>
      <c r="M9" s="100">
        <v>-34682.690999999999</v>
      </c>
      <c r="O9" s="100">
        <v>-92876.885999999999</v>
      </c>
      <c r="P9" s="100"/>
      <c r="Q9" s="100"/>
      <c r="R9" s="100"/>
      <c r="S9" s="100">
        <v>-105390.702</v>
      </c>
    </row>
    <row r="10" spans="1:19" s="5" customFormat="1">
      <c r="B10" s="5" t="s">
        <v>61</v>
      </c>
      <c r="C10" s="101">
        <f>C7+C9</f>
        <v>19765.897000000012</v>
      </c>
      <c r="D10" s="101">
        <f>D7+D9</f>
        <v>20184.511999999988</v>
      </c>
      <c r="E10" s="101">
        <f>E7+E9</f>
        <v>20260.801999999996</v>
      </c>
      <c r="F10" s="23"/>
      <c r="G10" s="101">
        <f>G7+G9</f>
        <v>5309.3910000000033</v>
      </c>
      <c r="H10" s="101">
        <f>H7+H9</f>
        <v>5715.820000000007</v>
      </c>
      <c r="I10" s="101">
        <f>I7+I9</f>
        <v>4694.0729999999967</v>
      </c>
      <c r="J10" s="101"/>
      <c r="K10" s="101">
        <f>K7+K9</f>
        <v>5147.5720000000001</v>
      </c>
      <c r="L10" s="101">
        <f>L7+L9</f>
        <v>5527.7749999999942</v>
      </c>
      <c r="M10" s="101">
        <f>M7+M9</f>
        <v>4770.3629999999976</v>
      </c>
      <c r="O10" s="101">
        <f>O7+O9</f>
        <v>14050.077000000005</v>
      </c>
      <c r="P10" s="101"/>
      <c r="Q10" s="101"/>
      <c r="R10" s="101"/>
      <c r="S10" s="101">
        <f>S7+S9</f>
        <v>14656.736999999994</v>
      </c>
    </row>
    <row r="11" spans="1:19" s="46" customFormat="1">
      <c r="B11" s="19" t="s">
        <v>62</v>
      </c>
      <c r="C11" s="99">
        <f>C10/C7</f>
        <v>0.13253681595356775</v>
      </c>
      <c r="D11" s="99">
        <f>D10/D7</f>
        <v>0.12310426362302057</v>
      </c>
      <c r="E11" s="99">
        <f>E10/E7</f>
        <v>0.12358965899766457</v>
      </c>
      <c r="F11" s="23"/>
      <c r="G11" s="99">
        <f>G10/G7</f>
        <v>0.13567042522812886</v>
      </c>
      <c r="H11" s="99">
        <f>H10/H7</f>
        <v>0.13541972195910854</v>
      </c>
      <c r="I11" s="99">
        <f>I10/I7</f>
        <v>0.11889830854715332</v>
      </c>
      <c r="J11" s="302"/>
      <c r="K11" s="99">
        <f>K10/K7</f>
        <v>0.12324928603806604</v>
      </c>
      <c r="L11" s="99">
        <f>L10/L7</f>
        <v>0.12587356232900879</v>
      </c>
      <c r="M11" s="99">
        <f>M10/M7</f>
        <v>0.1209123886835224</v>
      </c>
      <c r="O11" s="99">
        <f>O10/O7</f>
        <v>0.131398822203526</v>
      </c>
      <c r="P11" s="99"/>
      <c r="Q11" s="99"/>
      <c r="R11" s="99"/>
      <c r="S11" s="99">
        <f>S10/S7</f>
        <v>0.12209120929268631</v>
      </c>
    </row>
    <row r="12" spans="1:19" s="46" customFormat="1">
      <c r="A12" s="1"/>
      <c r="B12" s="1" t="s">
        <v>63</v>
      </c>
      <c r="C12" s="100">
        <v>-11302.378000000001</v>
      </c>
      <c r="D12" s="100">
        <v>-11991.098</v>
      </c>
      <c r="E12" s="103">
        <f>D12+M12-I12</f>
        <v>-12000.496999999999</v>
      </c>
      <c r="F12" s="23"/>
      <c r="G12" s="100">
        <v>-2829.127</v>
      </c>
      <c r="H12" s="101">
        <f>C12-O12</f>
        <v>-3251.8550000000005</v>
      </c>
      <c r="I12" s="100">
        <v>-2775.482</v>
      </c>
      <c r="J12" s="100"/>
      <c r="K12" s="100">
        <v>-2969.4540000000002</v>
      </c>
      <c r="L12" s="101">
        <f>D12-S12</f>
        <v>-3355.2569999999996</v>
      </c>
      <c r="M12" s="100">
        <v>-2784.8809999999999</v>
      </c>
      <c r="O12" s="100">
        <v>-8050.5230000000001</v>
      </c>
      <c r="P12" s="100"/>
      <c r="Q12" s="100"/>
      <c r="R12" s="100"/>
      <c r="S12" s="100">
        <v>-8635.8410000000003</v>
      </c>
    </row>
    <row r="13" spans="1:19">
      <c r="B13" s="1" t="s">
        <v>64</v>
      </c>
      <c r="C13" s="100">
        <v>-2289.826</v>
      </c>
      <c r="D13" s="100">
        <v>-2548.3510000000001</v>
      </c>
      <c r="E13" s="103">
        <f>D13+M13-I13</f>
        <v>-2447.1550000000002</v>
      </c>
      <c r="F13" s="23"/>
      <c r="G13" s="100">
        <v>-554.74900000000002</v>
      </c>
      <c r="H13" s="101">
        <f>C13-O13</f>
        <v>-681.87300000000005</v>
      </c>
      <c r="I13" s="100">
        <v>-657.57299999999998</v>
      </c>
      <c r="J13" s="100"/>
      <c r="K13" s="100">
        <v>-559.54899999999998</v>
      </c>
      <c r="L13" s="101">
        <f>D13-S13</f>
        <v>-660.77100000000019</v>
      </c>
      <c r="M13" s="100">
        <v>-556.37699999999995</v>
      </c>
      <c r="O13" s="100">
        <v>-1607.953</v>
      </c>
      <c r="P13" s="100"/>
      <c r="Q13" s="100"/>
      <c r="R13" s="100"/>
      <c r="S13" s="100">
        <v>-1887.58</v>
      </c>
    </row>
    <row r="14" spans="1:19">
      <c r="B14" s="1" t="s">
        <v>65</v>
      </c>
      <c r="C14" s="100">
        <v>-34.585000000000001</v>
      </c>
      <c r="D14" s="100">
        <v>10.98</v>
      </c>
      <c r="E14" s="103">
        <f>D14+M14-I14</f>
        <v>18.068000000000001</v>
      </c>
      <c r="F14" s="23"/>
      <c r="G14" s="100">
        <v>10.111000000000001</v>
      </c>
      <c r="H14" s="101">
        <f>C14-O14</f>
        <v>-4.088000000000001</v>
      </c>
      <c r="I14" s="100">
        <v>1.9219999999999999</v>
      </c>
      <c r="J14" s="100"/>
      <c r="K14" s="100">
        <v>4.16</v>
      </c>
      <c r="L14" s="101">
        <f>D14-S14</f>
        <v>5.3400000000000007</v>
      </c>
      <c r="M14" s="100">
        <v>9.01</v>
      </c>
      <c r="O14" s="100">
        <v>-30.497</v>
      </c>
      <c r="P14" s="100"/>
      <c r="Q14" s="100"/>
      <c r="R14" s="100"/>
      <c r="S14" s="100">
        <v>5.64</v>
      </c>
    </row>
    <row r="15" spans="1:19">
      <c r="B15" s="1" t="s">
        <v>66</v>
      </c>
      <c r="C15" s="100">
        <v>-265.02</v>
      </c>
      <c r="D15" s="100">
        <v>-78.658000000000001</v>
      </c>
      <c r="E15" s="103">
        <f>D15+M15-I15</f>
        <v>-143.07400000000001</v>
      </c>
      <c r="F15" s="23"/>
      <c r="G15" s="100">
        <v>21.469000000000001</v>
      </c>
      <c r="H15" s="101">
        <f>C15-O15</f>
        <v>-243.39999999999998</v>
      </c>
      <c r="I15" s="100">
        <v>13.907</v>
      </c>
      <c r="J15" s="100"/>
      <c r="K15" s="100">
        <v>-47.781999999999996</v>
      </c>
      <c r="L15" s="101">
        <f>D15-S15</f>
        <v>73.387999999999991</v>
      </c>
      <c r="M15" s="100">
        <v>-50.509</v>
      </c>
      <c r="O15" s="100">
        <v>-21.62</v>
      </c>
      <c r="P15" s="100"/>
      <c r="Q15" s="100"/>
      <c r="R15" s="100"/>
      <c r="S15" s="100">
        <v>-152.04599999999999</v>
      </c>
    </row>
    <row r="16" spans="1:19" s="5" customFormat="1">
      <c r="B16" s="15" t="s">
        <v>67</v>
      </c>
      <c r="C16" s="101">
        <f>C10+SUM(C12:C15)</f>
        <v>5874.0880000000107</v>
      </c>
      <c r="D16" s="101">
        <f>D10+SUM(D12:D15)</f>
        <v>5577.3849999999875</v>
      </c>
      <c r="E16" s="101">
        <f>E10+SUM(E12:E15)</f>
        <v>5688.1439999999948</v>
      </c>
      <c r="F16" s="23"/>
      <c r="G16" s="101">
        <f>G10+SUM(G12:G15)</f>
        <v>1957.095000000003</v>
      </c>
      <c r="H16" s="101">
        <f>H10+SUM(H12:H15)</f>
        <v>1534.6040000000066</v>
      </c>
      <c r="I16" s="101">
        <f>I10+SUM(I12:I15)</f>
        <v>1276.846999999997</v>
      </c>
      <c r="J16" s="101"/>
      <c r="K16" s="101">
        <f>K10+SUM(K12:K15)</f>
        <v>1574.9469999999997</v>
      </c>
      <c r="L16" s="101">
        <f>L10+SUM(L12:L15)</f>
        <v>1590.4749999999945</v>
      </c>
      <c r="M16" s="101">
        <f>M10+SUM(M12:M15)</f>
        <v>1387.6059999999979</v>
      </c>
      <c r="O16" s="101">
        <f>O10+SUM(O12:O15)</f>
        <v>4339.484000000004</v>
      </c>
      <c r="P16" s="101"/>
      <c r="Q16" s="101"/>
      <c r="R16" s="101"/>
      <c r="S16" s="101">
        <f>S10+SUM(S12:S15)</f>
        <v>3986.9099999999926</v>
      </c>
    </row>
    <row r="17" spans="1:19">
      <c r="B17" s="7" t="s">
        <v>68</v>
      </c>
      <c r="C17" s="100">
        <v>12690.215</v>
      </c>
      <c r="D17" s="100">
        <v>12477.442999999999</v>
      </c>
      <c r="E17" s="103">
        <f>D17+M17-I17</f>
        <v>12274.081999999999</v>
      </c>
      <c r="F17" s="23"/>
      <c r="G17" s="100">
        <v>2991.5949999999998</v>
      </c>
      <c r="H17" s="101">
        <f>C17-O17</f>
        <v>4318.9279999999999</v>
      </c>
      <c r="I17" s="100">
        <v>3738.2489999999998</v>
      </c>
      <c r="J17" s="100"/>
      <c r="K17" s="100">
        <v>3066.076</v>
      </c>
      <c r="L17" s="101">
        <f>D17-S17</f>
        <v>2541.991</v>
      </c>
      <c r="M17" s="100">
        <v>3534.8879999999999</v>
      </c>
      <c r="O17" s="100">
        <v>8371.2870000000003</v>
      </c>
      <c r="P17" s="100"/>
      <c r="Q17" s="100"/>
      <c r="R17" s="100"/>
      <c r="S17" s="100">
        <v>9935.4519999999993</v>
      </c>
    </row>
    <row r="18" spans="1:19">
      <c r="B18" s="7" t="s">
        <v>69</v>
      </c>
      <c r="C18" s="100">
        <v>-18235.984</v>
      </c>
      <c r="D18" s="100">
        <v>-18800.839</v>
      </c>
      <c r="E18" s="103">
        <f>D18+M18-I18</f>
        <v>-18640.310000000001</v>
      </c>
      <c r="F18" s="23"/>
      <c r="G18" s="100">
        <v>-4336.7669999999998</v>
      </c>
      <c r="H18" s="101">
        <f>C18-O18</f>
        <v>-6126.3649999999998</v>
      </c>
      <c r="I18" s="100">
        <v>-5085.0389999999998</v>
      </c>
      <c r="J18" s="100"/>
      <c r="K18" s="100">
        <v>-4478.424</v>
      </c>
      <c r="L18" s="101">
        <f>D18-S18</f>
        <v>-4662.8070000000007</v>
      </c>
      <c r="M18" s="100">
        <v>-4924.51</v>
      </c>
      <c r="O18" s="100">
        <v>-12109.619000000001</v>
      </c>
      <c r="P18" s="100"/>
      <c r="Q18" s="100"/>
      <c r="R18" s="100"/>
      <c r="S18" s="100">
        <v>-14138.031999999999</v>
      </c>
    </row>
    <row r="19" spans="1:19" s="5" customFormat="1">
      <c r="B19" s="5" t="s">
        <v>70</v>
      </c>
      <c r="C19" s="101">
        <f>SUM(C16:C18)</f>
        <v>328.31900000001042</v>
      </c>
      <c r="D19" s="101">
        <f>SUM(D16:D18)</f>
        <v>-746.01100000001315</v>
      </c>
      <c r="E19" s="101">
        <f>SUM(E16:E18)</f>
        <v>-678.0840000000062</v>
      </c>
      <c r="F19" s="23"/>
      <c r="G19" s="101">
        <f>SUM(G16:G18)</f>
        <v>611.9230000000025</v>
      </c>
      <c r="H19" s="101">
        <f>SUM(H16:H18)</f>
        <v>-272.83299999999326</v>
      </c>
      <c r="I19" s="101">
        <f>SUM(I16:I18)</f>
        <v>-69.943000000002939</v>
      </c>
      <c r="J19" s="101"/>
      <c r="K19" s="101">
        <f>SUM(K16:K18)</f>
        <v>162.59899999999925</v>
      </c>
      <c r="L19" s="101">
        <f>SUM(L16:L18)</f>
        <v>-530.34100000000581</v>
      </c>
      <c r="M19" s="101">
        <f>SUM(M16:M18)</f>
        <v>-2.0160000000023501</v>
      </c>
      <c r="O19" s="101">
        <f>SUM(O16:O18)</f>
        <v>601.15200000000368</v>
      </c>
      <c r="P19" s="101"/>
      <c r="Q19" s="101"/>
      <c r="R19" s="101"/>
      <c r="S19" s="101">
        <f>SUM(S16:S18)</f>
        <v>-215.67000000000735</v>
      </c>
    </row>
    <row r="20" spans="1:19" s="5" customFormat="1">
      <c r="B20" s="7" t="s">
        <v>71</v>
      </c>
      <c r="C20" s="100">
        <v>2376.576</v>
      </c>
      <c r="D20" s="100">
        <v>1508.6859999999999</v>
      </c>
      <c r="E20" s="103">
        <f>D20+M20-I20</f>
        <v>986.91599999999983</v>
      </c>
      <c r="F20" s="23"/>
      <c r="G20" s="100">
        <v>37.555999999999997</v>
      </c>
      <c r="H20" s="101">
        <f>C20-O20</f>
        <v>1549.5309999999999</v>
      </c>
      <c r="I20" s="100">
        <v>494.56299999999999</v>
      </c>
      <c r="J20" s="100"/>
      <c r="K20" s="100">
        <v>20.879000000000001</v>
      </c>
      <c r="L20" s="101">
        <f>D20-S20</f>
        <v>487.82599999999991</v>
      </c>
      <c r="M20" s="100">
        <v>-27.207000000000001</v>
      </c>
      <c r="O20" s="100">
        <v>827.04499999999996</v>
      </c>
      <c r="P20" s="100"/>
      <c r="Q20" s="100"/>
      <c r="R20" s="100"/>
      <c r="S20" s="100">
        <v>1020.86</v>
      </c>
    </row>
    <row r="21" spans="1:19" s="5" customFormat="1">
      <c r="B21" s="5" t="s">
        <v>72</v>
      </c>
      <c r="C21" s="101">
        <f>SUM(C19:C20)</f>
        <v>2704.8950000000104</v>
      </c>
      <c r="D21" s="101">
        <f>SUM(D19:D20)</f>
        <v>762.67499999998677</v>
      </c>
      <c r="E21" s="101">
        <f>SUM(E19:E20)</f>
        <v>308.83199999999363</v>
      </c>
      <c r="F21" s="23"/>
      <c r="G21" s="101">
        <f>SUM(G19,G20)</f>
        <v>649.47900000000254</v>
      </c>
      <c r="H21" s="101">
        <f>SUM(H19,H20)</f>
        <v>1276.6980000000067</v>
      </c>
      <c r="I21" s="101">
        <f>SUM(I19,I20)</f>
        <v>424.61999999999705</v>
      </c>
      <c r="J21" s="101"/>
      <c r="K21" s="101">
        <f>SUM(K19,K20)</f>
        <v>183.47799999999924</v>
      </c>
      <c r="L21" s="101">
        <f>SUM(L19,L20)</f>
        <v>-42.515000000005898</v>
      </c>
      <c r="M21" s="101">
        <f>SUM(M19,M20)</f>
        <v>-29.223000000002351</v>
      </c>
      <c r="O21" s="101">
        <f>SUM(O19,O20)</f>
        <v>1428.1970000000038</v>
      </c>
      <c r="P21" s="101"/>
      <c r="Q21" s="101"/>
      <c r="R21" s="101"/>
      <c r="S21" s="101">
        <f>SUM(S19,S20)</f>
        <v>805.18999999999266</v>
      </c>
    </row>
    <row r="22" spans="1:19">
      <c r="B22" s="7" t="s">
        <v>73</v>
      </c>
      <c r="C22" s="100">
        <v>1175.9749999999999</v>
      </c>
      <c r="D22" s="100">
        <v>0</v>
      </c>
      <c r="E22" s="103">
        <f>D22+M22-I22</f>
        <v>0</v>
      </c>
      <c r="F22" s="23"/>
      <c r="G22" s="100">
        <v>-168.489</v>
      </c>
      <c r="H22" s="101">
        <f>C22-O22</f>
        <v>1452.7059999999999</v>
      </c>
      <c r="I22" s="100">
        <v>0</v>
      </c>
      <c r="J22" s="100"/>
      <c r="K22" s="100">
        <v>0</v>
      </c>
      <c r="L22" s="101">
        <f>D22-S22</f>
        <v>0</v>
      </c>
      <c r="M22" s="100">
        <v>0</v>
      </c>
      <c r="O22" s="100">
        <v>-276.73099999999999</v>
      </c>
      <c r="P22" s="100"/>
      <c r="Q22" s="100"/>
      <c r="R22" s="100"/>
      <c r="S22" s="100">
        <v>0</v>
      </c>
    </row>
    <row r="23" spans="1:19" s="5" customFormat="1">
      <c r="B23" s="5" t="s">
        <v>74</v>
      </c>
      <c r="C23" s="101">
        <f>SUM(C21,C22)</f>
        <v>3880.8700000000104</v>
      </c>
      <c r="D23" s="101">
        <f>SUM(D21,D22)</f>
        <v>762.67499999998677</v>
      </c>
      <c r="E23" s="101">
        <f>SUM(E21,E22)</f>
        <v>308.83199999999363</v>
      </c>
      <c r="F23" s="23"/>
      <c r="G23" s="101">
        <f>SUM(G21,G22)</f>
        <v>480.99000000000251</v>
      </c>
      <c r="H23" s="101">
        <f>SUM(H21,H22)</f>
        <v>2729.4040000000068</v>
      </c>
      <c r="I23" s="101">
        <f>SUM(I21,I22)</f>
        <v>424.61999999999705</v>
      </c>
      <c r="J23" s="101"/>
      <c r="K23" s="101">
        <f>SUM(K21,K22)</f>
        <v>183.47799999999924</v>
      </c>
      <c r="L23" s="101">
        <f>SUM(L21,L22)</f>
        <v>-42.515000000005898</v>
      </c>
      <c r="M23" s="101">
        <f>SUM(M21,M22)</f>
        <v>-29.223000000002351</v>
      </c>
      <c r="O23" s="101">
        <f>SUM(O21,O22)</f>
        <v>1151.4660000000038</v>
      </c>
      <c r="P23" s="101"/>
      <c r="Q23" s="101"/>
      <c r="R23" s="101"/>
      <c r="S23" s="101">
        <f>SUM(S21,S22)</f>
        <v>805.18999999999266</v>
      </c>
    </row>
    <row r="24" spans="1:19" s="5" customFormat="1" ht="13.5" customHeight="1">
      <c r="B24" s="7"/>
      <c r="C24" s="4"/>
      <c r="D24" s="4"/>
      <c r="E24" s="4"/>
      <c r="F24" s="23"/>
      <c r="G24" s="4"/>
      <c r="H24" s="4"/>
      <c r="I24" s="4"/>
      <c r="J24" s="101"/>
      <c r="K24" s="4"/>
      <c r="L24" s="4"/>
      <c r="M24" s="4"/>
      <c r="O24" s="4"/>
      <c r="P24" s="4"/>
      <c r="Q24" s="4"/>
      <c r="R24" s="4"/>
      <c r="S24" s="4"/>
    </row>
    <row r="25" spans="1:19" s="5" customFormat="1" ht="13.5" customHeight="1">
      <c r="B25" s="479" t="s">
        <v>75</v>
      </c>
      <c r="C25" s="426"/>
      <c r="D25" s="426"/>
      <c r="E25" s="426"/>
      <c r="F25" s="23"/>
      <c r="G25" s="426"/>
      <c r="H25" s="426"/>
      <c r="I25" s="426"/>
      <c r="J25" s="101"/>
      <c r="K25" s="426"/>
      <c r="L25" s="426"/>
      <c r="M25" s="426"/>
      <c r="O25" s="426"/>
      <c r="P25" s="426"/>
      <c r="Q25" s="426"/>
      <c r="R25" s="426"/>
      <c r="S25" s="426"/>
    </row>
    <row r="26" spans="1:19" s="46" customFormat="1" ht="13.5" customHeight="1">
      <c r="B26" s="480" t="str">
        <f>B9</f>
        <v>COGS</v>
      </c>
      <c r="C26" s="117">
        <f>-C9/C7</f>
        <v>0.86746318404643219</v>
      </c>
      <c r="D26" s="117">
        <f>-D9/D7</f>
        <v>0.87689573637697948</v>
      </c>
      <c r="E26" s="117">
        <f>-E9/E7</f>
        <v>0.87641034100233539</v>
      </c>
      <c r="F26" s="23"/>
      <c r="G26" s="117">
        <f>-G9/G7</f>
        <v>0.86432957477187111</v>
      </c>
      <c r="H26" s="117">
        <f>-H9/H7</f>
        <v>0.86458027804089144</v>
      </c>
      <c r="I26" s="117">
        <f>-I9/I7</f>
        <v>0.88110169145284667</v>
      </c>
      <c r="J26" s="101"/>
      <c r="K26" s="117">
        <f>-K9/K7</f>
        <v>0.87675071396193394</v>
      </c>
      <c r="L26" s="117">
        <f>-L9/L7</f>
        <v>0.87412643767099119</v>
      </c>
      <c r="M26" s="117">
        <f>-M9/M7</f>
        <v>0.87908761131647761</v>
      </c>
      <c r="N26" s="5"/>
      <c r="O26" s="117">
        <f>-O9/O7</f>
        <v>0.86860117779647394</v>
      </c>
      <c r="P26" s="117"/>
      <c r="Q26" s="117"/>
      <c r="R26" s="117"/>
      <c r="S26" s="117">
        <f>-S9/S7</f>
        <v>0.87790879070731365</v>
      </c>
    </row>
    <row r="27" spans="1:19" s="46" customFormat="1" ht="13.5" customHeight="1">
      <c r="B27" s="480" t="str">
        <f>B12</f>
        <v>Selling Expenses</v>
      </c>
      <c r="C27" s="117">
        <f>-C12/C7</f>
        <v>7.5786147869922244E-2</v>
      </c>
      <c r="D27" s="117">
        <f>-D12/D7</f>
        <v>7.3133068033622795E-2</v>
      </c>
      <c r="E27" s="117">
        <f>-E12/E7</f>
        <v>7.3202301272797435E-2</v>
      </c>
      <c r="F27" s="23"/>
      <c r="G27" s="117">
        <f>-G12/G7</f>
        <v>7.2292446179680545E-2</v>
      </c>
      <c r="H27" s="117">
        <f>-H12/H7</f>
        <v>7.7043241381173036E-2</v>
      </c>
      <c r="I27" s="117">
        <f>-I12/I7</f>
        <v>7.0301445078308419E-2</v>
      </c>
      <c r="J27" s="101"/>
      <c r="K27" s="117">
        <f>-K12/K7</f>
        <v>7.1098196474547487E-2</v>
      </c>
      <c r="L27" s="117">
        <f>-L12/L7</f>
        <v>7.6402920002956606E-2</v>
      </c>
      <c r="M27" s="117">
        <f>-M12/M7</f>
        <v>7.0587209801299539E-2</v>
      </c>
      <c r="N27" s="5"/>
      <c r="O27" s="117">
        <f>-O12/O7</f>
        <v>7.5289924768554395E-2</v>
      </c>
      <c r="P27" s="117"/>
      <c r="Q27" s="117"/>
      <c r="R27" s="117"/>
      <c r="S27" s="117">
        <f>-S12/S7</f>
        <v>7.1936903210405023E-2</v>
      </c>
    </row>
    <row r="28" spans="1:19" s="46" customFormat="1" ht="13.5" customHeight="1">
      <c r="B28" s="480" t="str">
        <f>B13</f>
        <v>General and Administrative expenses</v>
      </c>
      <c r="C28" s="117">
        <f>-C13/C7</f>
        <v>1.5354033623047519E-2</v>
      </c>
      <c r="D28" s="117">
        <f>-D13/D7</f>
        <v>1.5542257019044518E-2</v>
      </c>
      <c r="E28" s="117">
        <f>-E13/E7</f>
        <v>1.492749655045392E-2</v>
      </c>
      <c r="F28" s="23"/>
      <c r="G28" s="117">
        <f>-G13/G7</f>
        <v>1.4175454910907713E-2</v>
      </c>
      <c r="H28" s="117">
        <f>-H13/H7</f>
        <v>1.6154996495939884E-2</v>
      </c>
      <c r="I28" s="117">
        <f>-I13/I7</f>
        <v>1.6655965394291334E-2</v>
      </c>
      <c r="J28" s="375"/>
      <c r="K28" s="117">
        <f>-K13/K7</f>
        <v>1.3397387108585136E-2</v>
      </c>
      <c r="L28" s="117">
        <f>-L13/L7</f>
        <v>1.5046487900412296E-2</v>
      </c>
      <c r="M28" s="117">
        <f>-M13/M7</f>
        <v>1.4102254289363758E-2</v>
      </c>
      <c r="O28" s="117">
        <f>-O13/O7</f>
        <v>1.5037862807344485E-2</v>
      </c>
      <c r="P28" s="117"/>
      <c r="Q28" s="117"/>
      <c r="R28" s="117"/>
      <c r="S28" s="117">
        <f>-S13/S7</f>
        <v>1.5723617394286935E-2</v>
      </c>
    </row>
    <row r="29" spans="1:19" s="46" customFormat="1" ht="13.5" customHeight="1">
      <c r="B29" s="480" t="str">
        <f>B14</f>
        <v>Equity in earnings (losses) of subsidiaries</v>
      </c>
      <c r="C29" s="117">
        <f>C14/C7</f>
        <v>-2.3190375725190405E-4</v>
      </c>
      <c r="D29" s="117">
        <f>D14/D7</f>
        <v>6.696643518459929E-5</v>
      </c>
      <c r="E29" s="117">
        <f>E14/E7</f>
        <v>1.1021370026565602E-4</v>
      </c>
      <c r="F29" s="23"/>
      <c r="G29" s="117">
        <f>G14/G7</f>
        <v>2.5836553937760658E-4</v>
      </c>
      <c r="H29" s="117">
        <f>H14/H7</f>
        <v>-9.6853263988165328E-5</v>
      </c>
      <c r="I29" s="117">
        <f>I14/I7</f>
        <v>4.8683211579289206E-5</v>
      </c>
      <c r="J29" s="375"/>
      <c r="K29" s="117">
        <f>K14/K7</f>
        <v>9.9603663614293252E-5</v>
      </c>
      <c r="L29" s="117">
        <f>L14/L7</f>
        <v>1.2159771749698707E-4</v>
      </c>
      <c r="M29" s="117">
        <f>M14/M7</f>
        <v>2.2837268820811692E-4</v>
      </c>
      <c r="O29" s="117">
        <f>O14/O7</f>
        <v>-2.8521337503993263E-4</v>
      </c>
      <c r="P29" s="117"/>
      <c r="Q29" s="117"/>
      <c r="R29" s="117"/>
      <c r="S29" s="117">
        <f>S14/S7</f>
        <v>4.6981427067344599E-5</v>
      </c>
    </row>
    <row r="30" spans="1:19" s="46" customFormat="1" ht="13.5" customHeight="1">
      <c r="B30" s="480" t="str">
        <f>B16</f>
        <v>Operating Profit</v>
      </c>
      <c r="C30" s="117">
        <f>C16/C7</f>
        <v>3.9387684765890559E-2</v>
      </c>
      <c r="D30" s="117">
        <f>D16/D7</f>
        <v>3.4016174053010516E-2</v>
      </c>
      <c r="E30" s="117">
        <f>E16/E7</f>
        <v>3.4697332183079979E-2</v>
      </c>
      <c r="F30" s="23"/>
      <c r="G30" s="117">
        <f>G16/G7</f>
        <v>5.000948524262859E-2</v>
      </c>
      <c r="H30" s="117">
        <f>H16/H7</f>
        <v>3.6357976107948893E-2</v>
      </c>
      <c r="I30" s="117">
        <f>I16/I7</f>
        <v>3.2341838010083529E-2</v>
      </c>
      <c r="J30" s="375"/>
      <c r="K30" s="117">
        <f>K16/K7</f>
        <v>3.7709252691908716E-2</v>
      </c>
      <c r="L30" s="117">
        <f>L16/L7</f>
        <v>3.6216878227719067E-2</v>
      </c>
      <c r="M30" s="117">
        <f>M16/M7</f>
        <v>3.5171066858347595E-2</v>
      </c>
      <c r="O30" s="117">
        <f>O16/O7</f>
        <v>4.0583627162402471E-2</v>
      </c>
      <c r="P30" s="117"/>
      <c r="Q30" s="117"/>
      <c r="R30" s="117"/>
      <c r="S30" s="117">
        <f>S16/S7</f>
        <v>3.3211120813664279E-2</v>
      </c>
    </row>
    <row r="31" spans="1:19" s="46" customFormat="1" ht="13.5" customHeight="1">
      <c r="B31" s="480" t="s">
        <v>76</v>
      </c>
      <c r="C31" s="117">
        <f>C17/C135</f>
        <v>0.5635207951858644</v>
      </c>
      <c r="D31" s="117">
        <f>D17/D135</f>
        <v>0.4950660800677173</v>
      </c>
      <c r="E31" s="117">
        <f>E17/E135</f>
        <v>0.53292822259421668</v>
      </c>
      <c r="F31" s="23"/>
      <c r="G31" s="117"/>
      <c r="H31" s="117"/>
      <c r="I31" s="117"/>
      <c r="J31" s="375"/>
      <c r="K31" s="117">
        <f>(S17+C17-O17)/K135</f>
        <v>0.63629722207020256</v>
      </c>
      <c r="L31" s="117">
        <f>(D17)/L135</f>
        <v>0.4950660800677173</v>
      </c>
      <c r="M31" s="117">
        <f>(M17+D17-I17)/M135</f>
        <v>0.53292822259421668</v>
      </c>
      <c r="O31" s="117"/>
      <c r="P31" s="117"/>
      <c r="Q31" s="117"/>
      <c r="R31" s="117"/>
      <c r="S31" s="117">
        <f>(S17+C17-O17)/S135</f>
        <v>0.63629722207020256</v>
      </c>
    </row>
    <row r="32" spans="1:19" s="46" customFormat="1" ht="13.5" customHeight="1">
      <c r="A32" s="5"/>
      <c r="B32" s="480" t="s">
        <v>77</v>
      </c>
      <c r="C32" s="117">
        <f>-C18/C138</f>
        <v>0.2751370405753561</v>
      </c>
      <c r="D32" s="117">
        <f>-D18/D138</f>
        <v>0.24790705240091354</v>
      </c>
      <c r="E32" s="117">
        <f>-E18/E138</f>
        <v>0.25427566491264392</v>
      </c>
      <c r="F32" s="23"/>
      <c r="G32" s="117"/>
      <c r="H32" s="117"/>
      <c r="I32" s="117"/>
      <c r="J32" s="375"/>
      <c r="K32" s="117">
        <f>-(S18+C18-O18)/K138</f>
        <v>0.29010561805065233</v>
      </c>
      <c r="L32" s="117">
        <f>-(D18)/L138</f>
        <v>0.24790705240091354</v>
      </c>
      <c r="M32" s="117">
        <f>-(M18+D18-I18)/M138</f>
        <v>0.25427566491264392</v>
      </c>
      <c r="O32" s="117"/>
      <c r="P32" s="117"/>
      <c r="Q32" s="117"/>
      <c r="R32" s="117"/>
      <c r="S32" s="117">
        <f>-(S18+C18-O18)/S138</f>
        <v>0.29010561805065233</v>
      </c>
    </row>
    <row r="33" spans="1:19" s="46" customFormat="1" ht="13.5" customHeight="1">
      <c r="A33" s="5"/>
      <c r="B33" s="480" t="str">
        <f>B19</f>
        <v>Profit before tax</v>
      </c>
      <c r="C33" s="117">
        <f>C19/C7</f>
        <v>2.2014864732453465E-3</v>
      </c>
      <c r="D33" s="117">
        <f>D19/D7</f>
        <v>-4.5498813550545521E-3</v>
      </c>
      <c r="E33" s="117">
        <f>E19/E7</f>
        <v>-4.1362711274594739E-3</v>
      </c>
      <c r="F33" s="23"/>
      <c r="G33" s="117">
        <f>G19/G7</f>
        <v>1.5636417362532271E-2</v>
      </c>
      <c r="H33" s="117">
        <f>H19/H7</f>
        <v>-6.4639839955191909E-3</v>
      </c>
      <c r="I33" s="117">
        <f>I19/I7</f>
        <v>-1.7716180371958213E-3</v>
      </c>
      <c r="J33" s="375"/>
      <c r="K33" s="117">
        <f>K19/K7</f>
        <v>3.8931384855818252E-3</v>
      </c>
      <c r="L33" s="117">
        <f>L19/L7</f>
        <v>-1.2076452264994441E-2</v>
      </c>
      <c r="M33" s="117">
        <f>M19/M7</f>
        <v>-5.1098705818879076E-5</v>
      </c>
      <c r="O33" s="117">
        <f>O19/O7</f>
        <v>5.6220805597929835E-3</v>
      </c>
      <c r="P33" s="117"/>
      <c r="Q33" s="117"/>
      <c r="R33" s="117"/>
      <c r="S33" s="117">
        <f>S19/S7</f>
        <v>-1.7965397829103821E-3</v>
      </c>
    </row>
    <row r="34" spans="1:19" s="46" customFormat="1" ht="13.5" customHeight="1">
      <c r="A34" s="5"/>
      <c r="B34" s="481" t="s">
        <v>78</v>
      </c>
      <c r="C34" s="117">
        <f>C20/C19</f>
        <v>7.2386185386770929</v>
      </c>
      <c r="D34" s="117">
        <f>D20/D19</f>
        <v>-2.0223374722356282</v>
      </c>
      <c r="E34" s="117">
        <f>E20/E19</f>
        <v>-1.4554479975932049</v>
      </c>
      <c r="F34" s="23"/>
      <c r="G34" s="117">
        <f>G20/G19</f>
        <v>6.1373734930701813E-2</v>
      </c>
      <c r="H34" s="117">
        <f>H20/H19</f>
        <v>-5.6794119479683109</v>
      </c>
      <c r="I34" s="117">
        <f>I20/I19</f>
        <v>-7.0709434825497794</v>
      </c>
      <c r="J34" s="375"/>
      <c r="K34" s="117">
        <f>K20/K19</f>
        <v>0.12840792378796978</v>
      </c>
      <c r="L34" s="117">
        <f>L20/L19</f>
        <v>-0.91983459698570269</v>
      </c>
      <c r="M34" s="117">
        <f>M20/M19</f>
        <v>13.495535714269982</v>
      </c>
      <c r="O34" s="117">
        <f>O20/O19</f>
        <v>1.3757668609602811</v>
      </c>
      <c r="P34" s="117"/>
      <c r="Q34" s="117"/>
      <c r="R34" s="117"/>
      <c r="S34" s="117">
        <f>S20/S19</f>
        <v>-4.7334353410301162</v>
      </c>
    </row>
    <row r="35" spans="1:19" s="46" customFormat="1" ht="13.5" customHeight="1">
      <c r="A35" s="5"/>
      <c r="B35" s="1"/>
      <c r="C35" s="52"/>
      <c r="D35" s="52"/>
      <c r="E35" s="52"/>
      <c r="F35" s="23"/>
      <c r="G35" s="52"/>
      <c r="H35" s="52"/>
      <c r="I35" s="52"/>
      <c r="J35" s="375"/>
      <c r="K35" s="52"/>
      <c r="L35" s="52"/>
      <c r="M35" s="52"/>
      <c r="O35" s="52"/>
      <c r="P35" s="52"/>
      <c r="Q35" s="52"/>
      <c r="R35" s="52"/>
      <c r="S35" s="52"/>
    </row>
    <row r="36" spans="1:19" s="46" customFormat="1" ht="13.5" customHeight="1">
      <c r="A36" s="5"/>
      <c r="B36" s="21" t="s">
        <v>79</v>
      </c>
      <c r="C36" s="33">
        <f>C59/C7</f>
        <v>-2.5435245668420352E-2</v>
      </c>
      <c r="D36" s="33">
        <f>D59/D7</f>
        <v>-3.2573791446284528E-2</v>
      </c>
      <c r="E36" s="33">
        <f>E59/E7</f>
        <v>-3.3951334026798813E-2</v>
      </c>
      <c r="F36" s="23"/>
      <c r="G36" s="33">
        <f>G59/G7</f>
        <v>0</v>
      </c>
      <c r="H36" s="33">
        <f>H59/H7</f>
        <v>-3.1083074418276273E-2</v>
      </c>
      <c r="I36" s="33">
        <f>I59/I7</f>
        <v>-2.259779949350716E-2</v>
      </c>
      <c r="J36" s="375"/>
      <c r="K36" s="33">
        <f>K59/K7</f>
        <v>0</v>
      </c>
      <c r="L36" s="33">
        <f>L59/L7</f>
        <v>-4.138138832622746E-2</v>
      </c>
      <c r="M36" s="33">
        <f>M59/M7</f>
        <v>-2.8315045015273092E-2</v>
      </c>
      <c r="O36" s="33">
        <f>O59/O7</f>
        <v>-2.3205830693985012E-2</v>
      </c>
      <c r="P36" s="33"/>
      <c r="Q36" s="33"/>
      <c r="R36" s="33"/>
      <c r="S36" s="33">
        <f>S59/S7</f>
        <v>-2.9351829821209263E-2</v>
      </c>
    </row>
    <row r="37" spans="1:19" s="46" customFormat="1" ht="13.5" customHeight="1">
      <c r="A37" s="5"/>
      <c r="B37" s="21" t="s">
        <v>80</v>
      </c>
      <c r="C37" s="33">
        <f>C41/C7</f>
        <v>4.8261622681382343E-2</v>
      </c>
      <c r="D37" s="33">
        <f>D41/D7</f>
        <v>4.4111480037076961E-2</v>
      </c>
      <c r="E37" s="33">
        <f>E41/E7</f>
        <v>4.2989772439452643E-2</v>
      </c>
      <c r="F37" s="23"/>
      <c r="G37" s="33">
        <f>G41/G7</f>
        <v>4.7883738113677486E-2</v>
      </c>
      <c r="H37" s="33">
        <f>H41/H7</f>
        <v>4.6405128105499911E-2</v>
      </c>
      <c r="I37" s="33">
        <f>I41/I7</f>
        <v>4.5460190468885948E-2</v>
      </c>
      <c r="J37" s="375"/>
      <c r="K37" s="33">
        <f>K41/K7</f>
        <v>4.6163736164069463E-2</v>
      </c>
      <c r="L37" s="33">
        <f>L41/L7</f>
        <v>3.7966268610997479E-2</v>
      </c>
      <c r="M37" s="33">
        <f>M41/M7</f>
        <v>4.0800162137004659E-2</v>
      </c>
      <c r="O37" s="33">
        <f>O41/O7</f>
        <v>4.8994452409538654E-2</v>
      </c>
      <c r="P37" s="33"/>
      <c r="Q37" s="33"/>
      <c r="R37" s="33"/>
      <c r="S37" s="33">
        <f>S41/S7</f>
        <v>4.635949793148024E-2</v>
      </c>
    </row>
    <row r="38" spans="1:19" s="46" customFormat="1" ht="13.5" customHeight="1">
      <c r="A38" s="5"/>
      <c r="C38" s="59"/>
      <c r="D38" s="59"/>
      <c r="E38" s="59"/>
      <c r="F38" s="23"/>
      <c r="G38" s="59"/>
      <c r="H38" s="59"/>
      <c r="I38" s="59"/>
      <c r="J38" s="375"/>
      <c r="K38" s="59"/>
      <c r="L38" s="59"/>
      <c r="M38" s="59"/>
      <c r="O38" s="59"/>
      <c r="P38" s="59"/>
      <c r="Q38" s="59"/>
      <c r="R38" s="59"/>
      <c r="S38" s="59"/>
    </row>
    <row r="39" spans="1:19" ht="13.5" customHeight="1">
      <c r="A39" s="5"/>
      <c r="B39" s="16" t="s">
        <v>81</v>
      </c>
      <c r="C39" s="44">
        <f>C3</f>
        <v>45630</v>
      </c>
      <c r="D39" s="44">
        <f>D3</f>
        <v>45995</v>
      </c>
      <c r="E39" s="120">
        <f>E3</f>
        <v>46112</v>
      </c>
      <c r="F39" s="23"/>
      <c r="G39" s="44">
        <f>G3</f>
        <v>45544</v>
      </c>
      <c r="H39" s="44">
        <f>H3</f>
        <v>45635</v>
      </c>
      <c r="I39" s="44">
        <f>I3</f>
        <v>45747</v>
      </c>
      <c r="J39" s="375"/>
      <c r="K39" s="120">
        <f>K3</f>
        <v>45909</v>
      </c>
      <c r="L39" s="44">
        <f>L3</f>
        <v>46000</v>
      </c>
      <c r="M39" s="44">
        <f>M3</f>
        <v>46112</v>
      </c>
      <c r="N39" s="46"/>
      <c r="O39" s="44">
        <f>O3</f>
        <v>45544</v>
      </c>
      <c r="P39" s="14"/>
      <c r="Q39" s="14"/>
      <c r="R39" s="14"/>
      <c r="S39" s="120">
        <f>S3</f>
        <v>45909</v>
      </c>
    </row>
    <row r="40" spans="1:19" s="5" customFormat="1" ht="13.5" customHeight="1">
      <c r="B40" s="15" t="s">
        <v>82</v>
      </c>
      <c r="C40" s="8">
        <f>C16</f>
        <v>5874.0880000000107</v>
      </c>
      <c r="D40" s="8">
        <f>D16</f>
        <v>5577.3849999999875</v>
      </c>
      <c r="E40" s="8">
        <f>E16</f>
        <v>5688.1439999999948</v>
      </c>
      <c r="F40" s="23"/>
      <c r="G40" s="8">
        <f>G16</f>
        <v>1957.095000000003</v>
      </c>
      <c r="H40" s="8">
        <f>H16</f>
        <v>1534.6040000000066</v>
      </c>
      <c r="I40" s="8">
        <f>I16</f>
        <v>1276.846999999997</v>
      </c>
      <c r="J40" s="8"/>
      <c r="K40" s="8">
        <f>K16</f>
        <v>1574.9469999999997</v>
      </c>
      <c r="L40" s="8">
        <f>L16</f>
        <v>1590.4749999999945</v>
      </c>
      <c r="M40" s="8">
        <f>M16</f>
        <v>1387.6059999999979</v>
      </c>
      <c r="N40" s="46"/>
      <c r="O40" s="8">
        <f>O16</f>
        <v>4339.484000000004</v>
      </c>
      <c r="P40" s="8"/>
      <c r="Q40" s="8"/>
      <c r="R40" s="8"/>
      <c r="S40" s="8">
        <f>S16</f>
        <v>3986.9099999999926</v>
      </c>
    </row>
    <row r="41" spans="1:19" ht="13.5" customHeight="1">
      <c r="A41" s="5"/>
      <c r="B41" s="7" t="s">
        <v>83</v>
      </c>
      <c r="C41" s="6">
        <f t="shared" ref="C41:I41" si="0">C50+C51</f>
        <v>7197.5039999999999</v>
      </c>
      <c r="D41" s="6">
        <f>D50+D51</f>
        <v>7232.6390000000001</v>
      </c>
      <c r="E41" s="6">
        <f>E50+E51</f>
        <v>7047.5739999999996</v>
      </c>
      <c r="F41" s="23"/>
      <c r="G41" s="6">
        <f>G47-G40</f>
        <v>1873.904999999997</v>
      </c>
      <c r="H41" s="6">
        <f t="shared" si="0"/>
        <v>1958.6759999999995</v>
      </c>
      <c r="I41" s="6">
        <f t="shared" si="0"/>
        <v>1794.7560000000001</v>
      </c>
      <c r="J41" s="6"/>
      <c r="K41" s="6">
        <f>K47-K40</f>
        <v>1928.0530000000003</v>
      </c>
      <c r="L41" s="6">
        <f>L50+L51</f>
        <v>1667.3000000000002</v>
      </c>
      <c r="M41" s="6">
        <f>M50+M51</f>
        <v>1609.691</v>
      </c>
      <c r="O41" s="6">
        <f>O50+O51</f>
        <v>5238.8280000000004</v>
      </c>
      <c r="P41" s="6"/>
      <c r="Q41" s="6"/>
      <c r="R41" s="6"/>
      <c r="S41" s="6">
        <f>S50+S51</f>
        <v>5565.3389999999999</v>
      </c>
    </row>
    <row r="42" spans="1:19" s="5" customFormat="1" ht="13.5" customHeight="1">
      <c r="B42" s="5" t="s">
        <v>81</v>
      </c>
      <c r="C42" s="8">
        <f>SUM(C40+C41)</f>
        <v>13071.592000000011</v>
      </c>
      <c r="D42" s="8">
        <f>SUM(D40+D41)</f>
        <v>12810.023999999987</v>
      </c>
      <c r="E42" s="8">
        <f>SUM(E40+E41)</f>
        <v>12735.717999999993</v>
      </c>
      <c r="F42" s="23"/>
      <c r="G42" s="8">
        <f>SUM(G40+G41)</f>
        <v>3831</v>
      </c>
      <c r="H42" s="8">
        <f>SUM(H40+H41)</f>
        <v>3493.2800000000061</v>
      </c>
      <c r="I42" s="8">
        <f>SUM(I40+I41)</f>
        <v>3071.6029999999973</v>
      </c>
      <c r="J42" s="8"/>
      <c r="K42" s="8">
        <f>SUM(K40+K41)</f>
        <v>3503</v>
      </c>
      <c r="L42" s="8">
        <f>SUM(L40+L41)</f>
        <v>3257.7749999999946</v>
      </c>
      <c r="M42" s="8">
        <f>SUM(M40+M41)</f>
        <v>2997.2969999999978</v>
      </c>
      <c r="O42" s="8">
        <f>SUM(O40+O41)</f>
        <v>9578.3120000000054</v>
      </c>
      <c r="P42" s="8"/>
      <c r="Q42" s="8"/>
      <c r="R42" s="8"/>
      <c r="S42" s="8">
        <f>SUM(S40+S41)</f>
        <v>9552.2489999999925</v>
      </c>
    </row>
    <row r="43" spans="1:19" s="46" customFormat="1" ht="13.5" customHeight="1">
      <c r="A43" s="5"/>
      <c r="B43" s="19" t="s">
        <v>84</v>
      </c>
      <c r="C43" s="20"/>
      <c r="D43" s="20">
        <f>+D42/C42-1</f>
        <v>-2.001041648178925E-2</v>
      </c>
      <c r="E43" s="20"/>
      <c r="F43" s="23"/>
      <c r="G43" s="99"/>
      <c r="H43" s="99"/>
      <c r="I43" s="99"/>
      <c r="J43" s="302"/>
      <c r="K43" s="99">
        <f>K42/G42-1</f>
        <v>-8.5617332289219528E-2</v>
      </c>
      <c r="L43" s="99">
        <f>L42/H42-1</f>
        <v>-6.7416582695922211E-2</v>
      </c>
      <c r="M43" s="99">
        <f>M42/I42-1</f>
        <v>-2.4191277323273752E-2</v>
      </c>
      <c r="O43" s="99"/>
      <c r="P43" s="99"/>
      <c r="Q43" s="99"/>
      <c r="R43" s="99"/>
      <c r="S43" s="99">
        <f>S42/O42-1</f>
        <v>-2.7210431232572718E-3</v>
      </c>
    </row>
    <row r="44" spans="1:19" s="46" customFormat="1" ht="13.5" customHeight="1">
      <c r="A44" s="5"/>
      <c r="B44" s="19" t="s">
        <v>85</v>
      </c>
      <c r="C44" s="20">
        <f>C42/C7</f>
        <v>8.7649307447272909E-2</v>
      </c>
      <c r="D44" s="20">
        <f>D42/D7</f>
        <v>7.812765409008747E-2</v>
      </c>
      <c r="E44" s="20">
        <f>E42/E7</f>
        <v>7.7687104622532616E-2</v>
      </c>
      <c r="F44" s="23"/>
      <c r="G44" s="20">
        <f>G42/G7</f>
        <v>9.7893223356306083E-2</v>
      </c>
      <c r="H44" s="20">
        <f>H42/H7</f>
        <v>8.2763104213448804E-2</v>
      </c>
      <c r="I44" s="20">
        <f>I42/I7</f>
        <v>7.7802028478969484E-2</v>
      </c>
      <c r="J44" s="64"/>
      <c r="K44" s="20">
        <f>K42/K7</f>
        <v>8.3872988855978187E-2</v>
      </c>
      <c r="L44" s="20">
        <f>L42/L7</f>
        <v>7.4183146838716546E-2</v>
      </c>
      <c r="M44" s="20">
        <f>M42/M7</f>
        <v>7.5971228995352247E-2</v>
      </c>
      <c r="O44" s="20">
        <f>O42/O7</f>
        <v>8.9578079571941124E-2</v>
      </c>
      <c r="P44" s="20"/>
      <c r="Q44" s="20"/>
      <c r="R44" s="20"/>
      <c r="S44" s="20">
        <f>S42/S7</f>
        <v>7.9570618745144511E-2</v>
      </c>
    </row>
    <row r="45" spans="1:19" s="46" customFormat="1" ht="13.5" customHeight="1">
      <c r="A45" s="5"/>
      <c r="B45" s="63"/>
      <c r="C45" s="64"/>
      <c r="D45" s="64"/>
      <c r="E45" s="64"/>
      <c r="F45" s="23"/>
      <c r="G45" s="64"/>
      <c r="H45" s="64"/>
      <c r="I45" s="64"/>
      <c r="J45" s="302"/>
      <c r="K45" s="64"/>
      <c r="L45" s="64"/>
      <c r="M45" s="64"/>
      <c r="O45" s="64"/>
      <c r="P45" s="64"/>
      <c r="Q45" s="64"/>
      <c r="R45" s="64"/>
      <c r="S45" s="64"/>
    </row>
    <row r="46" spans="1:19" ht="13.5" customHeight="1">
      <c r="A46" s="5"/>
      <c r="B46" s="477" t="s">
        <v>86</v>
      </c>
      <c r="C46" s="422">
        <f>C47-C42</f>
        <v>512.40799999998853</v>
      </c>
      <c r="D46" s="422">
        <f>D47-D42</f>
        <v>340.9760000000133</v>
      </c>
      <c r="E46" s="422">
        <f>E47-E42</f>
        <v>312.28200000000652</v>
      </c>
      <c r="F46" s="23"/>
      <c r="G46" s="422">
        <f>G47-G42</f>
        <v>0</v>
      </c>
      <c r="H46" s="422">
        <f>H47-H42</f>
        <v>256.71999999999389</v>
      </c>
      <c r="I46" s="422">
        <f>I47-I42</f>
        <v>127.39700000000266</v>
      </c>
      <c r="J46" s="64"/>
      <c r="K46" s="422">
        <f>K47-K42</f>
        <v>0</v>
      </c>
      <c r="L46" s="422">
        <f>L47-L42</f>
        <v>268.22500000000537</v>
      </c>
      <c r="M46" s="422">
        <f>M47-M42</f>
        <v>98.703000000002248</v>
      </c>
      <c r="N46" s="46"/>
      <c r="O46" s="422">
        <f>O47-O42</f>
        <v>255.68799999999464</v>
      </c>
      <c r="P46" s="422"/>
      <c r="Q46" s="422"/>
      <c r="R46" s="422"/>
      <c r="S46" s="422">
        <f>S47-S42</f>
        <v>72.75100000000748</v>
      </c>
    </row>
    <row r="47" spans="1:19" s="5" customFormat="1" ht="13.5" customHeight="1">
      <c r="B47" s="5" t="s">
        <v>87</v>
      </c>
      <c r="C47" s="104">
        <v>13584</v>
      </c>
      <c r="D47" s="104">
        <v>13151</v>
      </c>
      <c r="E47" s="101">
        <f>D47+M47-I47</f>
        <v>13048</v>
      </c>
      <c r="F47" s="23"/>
      <c r="G47" s="104">
        <v>3831</v>
      </c>
      <c r="H47" s="101">
        <f>C47-O47</f>
        <v>3750</v>
      </c>
      <c r="I47" s="104">
        <v>3199</v>
      </c>
      <c r="J47" s="302"/>
      <c r="K47" s="104">
        <v>3503</v>
      </c>
      <c r="L47" s="101">
        <f>D47-S47</f>
        <v>3526</v>
      </c>
      <c r="M47" s="104">
        <v>3096</v>
      </c>
      <c r="N47" s="46"/>
      <c r="O47" s="104">
        <v>9834</v>
      </c>
      <c r="P47" s="104"/>
      <c r="Q47" s="104"/>
      <c r="R47" s="104"/>
      <c r="S47" s="104">
        <v>9625</v>
      </c>
    </row>
    <row r="48" spans="1:19" s="46" customFormat="1" ht="13.5" customHeight="1">
      <c r="A48" s="5"/>
      <c r="B48" s="19" t="s">
        <v>84</v>
      </c>
      <c r="C48" s="20"/>
      <c r="D48" s="20">
        <f>+D47/C47-1</f>
        <v>-3.1875736160188461E-2</v>
      </c>
      <c r="E48" s="20"/>
      <c r="F48" s="23"/>
      <c r="G48" s="99"/>
      <c r="H48" s="99"/>
      <c r="I48" s="99"/>
      <c r="J48" s="64"/>
      <c r="K48" s="99">
        <f>K47/G47-1</f>
        <v>-8.5617332289219528E-2</v>
      </c>
      <c r="L48" s="99">
        <f>L47/H47-1</f>
        <v>-5.9733333333333305E-2</v>
      </c>
      <c r="M48" s="99">
        <f>M47/I47-1</f>
        <v>-3.2197561738043112E-2</v>
      </c>
      <c r="O48" s="99"/>
      <c r="P48" s="99"/>
      <c r="Q48" s="99"/>
      <c r="R48" s="99"/>
      <c r="S48" s="99">
        <f>S47/O47-1</f>
        <v>-2.1252796420581643E-2</v>
      </c>
    </row>
    <row r="49" spans="1:19" s="46" customFormat="1" ht="13.5" customHeight="1">
      <c r="A49" s="5"/>
      <c r="B49" s="19" t="s">
        <v>85</v>
      </c>
      <c r="C49" s="20">
        <f>C47/C7</f>
        <v>9.1085170984816097E-2</v>
      </c>
      <c r="D49" s="20">
        <f>D47/D7</f>
        <v>8.020724855306606E-2</v>
      </c>
      <c r="E49" s="20">
        <f>E47/E7</f>
        <v>7.9592005815047578E-2</v>
      </c>
      <c r="F49" s="23"/>
      <c r="G49" s="20">
        <f>G47/G7</f>
        <v>9.7893223356306083E-2</v>
      </c>
      <c r="H49" s="20">
        <f>H47/H7</f>
        <v>8.8845337562529339E-2</v>
      </c>
      <c r="I49" s="20">
        <f>I47/I7</f>
        <v>8.1028924995913729E-2</v>
      </c>
      <c r="J49" s="302"/>
      <c r="K49" s="20">
        <f>K47/K7</f>
        <v>8.3872988855978187E-2</v>
      </c>
      <c r="L49" s="20">
        <f>L47/L7</f>
        <v>8.0290927321044259E-2</v>
      </c>
      <c r="M49" s="20">
        <f>M47/M7</f>
        <v>7.8473012507472809E-2</v>
      </c>
      <c r="O49" s="20">
        <f>O47/O7</f>
        <v>9.1969319281985026E-2</v>
      </c>
      <c r="P49" s="20"/>
      <c r="Q49" s="20"/>
      <c r="R49" s="20"/>
      <c r="S49" s="20">
        <f>S47/S7</f>
        <v>8.0176637504112025E-2</v>
      </c>
    </row>
    <row r="50" spans="1:19" s="5" customFormat="1" ht="13.5" customHeight="1">
      <c r="B50" s="5" t="s">
        <v>88</v>
      </c>
      <c r="C50" s="4">
        <v>7197.5039999999999</v>
      </c>
      <c r="D50" s="4">
        <v>7232.6390000000001</v>
      </c>
      <c r="E50" s="101">
        <f>D50+M50-I50</f>
        <v>7047.5739999999996</v>
      </c>
      <c r="F50" s="23"/>
      <c r="G50" s="20"/>
      <c r="H50" s="101">
        <f>C50-O50</f>
        <v>1958.6759999999995</v>
      </c>
      <c r="I50" s="4">
        <v>1794.7560000000001</v>
      </c>
      <c r="J50" s="4"/>
      <c r="K50" s="20"/>
      <c r="L50" s="101">
        <f>D50-S50</f>
        <v>1667.3000000000002</v>
      </c>
      <c r="M50" s="4">
        <v>1609.691</v>
      </c>
      <c r="O50" s="4">
        <v>5238.8280000000004</v>
      </c>
      <c r="P50" s="4"/>
      <c r="Q50" s="4"/>
      <c r="R50" s="4"/>
      <c r="S50" s="4">
        <v>5565.3389999999999</v>
      </c>
    </row>
    <row r="51" spans="1:19" s="5" customFormat="1" ht="13.5" customHeight="1">
      <c r="C51" s="4"/>
      <c r="D51" s="4"/>
      <c r="E51" s="103"/>
      <c r="F51" s="23"/>
      <c r="G51" s="4"/>
      <c r="H51" s="4"/>
      <c r="I51" s="4"/>
      <c r="J51" s="4"/>
      <c r="K51" s="4"/>
      <c r="L51" s="4"/>
      <c r="M51" s="4"/>
      <c r="O51" s="4"/>
      <c r="P51" s="4"/>
      <c r="Q51" s="4"/>
      <c r="R51" s="4"/>
      <c r="S51" s="4"/>
    </row>
    <row r="52" spans="1:19" ht="13.5" customHeight="1">
      <c r="A52" s="5"/>
    </row>
    <row r="53" spans="1:19" ht="13.5" customHeight="1">
      <c r="A53" s="5"/>
      <c r="B53" s="16" t="s">
        <v>89</v>
      </c>
      <c r="C53" s="44">
        <f>C3</f>
        <v>45630</v>
      </c>
      <c r="D53" s="44">
        <f>D3</f>
        <v>45995</v>
      </c>
      <c r="E53" s="120">
        <f>E3</f>
        <v>46112</v>
      </c>
      <c r="F53" s="23"/>
      <c r="G53" s="44">
        <f>+G3</f>
        <v>45544</v>
      </c>
      <c r="H53" s="44">
        <f>+H3</f>
        <v>45635</v>
      </c>
      <c r="I53" s="44">
        <f>+I3</f>
        <v>45747</v>
      </c>
      <c r="J53" s="4"/>
      <c r="K53" s="120">
        <f>+K3</f>
        <v>45909</v>
      </c>
      <c r="L53" s="44">
        <f>+L3</f>
        <v>46000</v>
      </c>
      <c r="M53" s="44">
        <f>+M3</f>
        <v>46112</v>
      </c>
      <c r="O53" s="44">
        <f>+O3</f>
        <v>45544</v>
      </c>
      <c r="P53" s="14"/>
      <c r="Q53" s="14"/>
      <c r="R53" s="14"/>
      <c r="S53" s="120">
        <f>+S3</f>
        <v>45909</v>
      </c>
    </row>
    <row r="54" spans="1:19" s="5" customFormat="1" ht="13.5" customHeight="1">
      <c r="B54" s="5" t="s">
        <v>90</v>
      </c>
      <c r="C54" s="8">
        <f>C47</f>
        <v>13584</v>
      </c>
      <c r="D54" s="8">
        <f>D47</f>
        <v>13151</v>
      </c>
      <c r="E54" s="8">
        <f>E47</f>
        <v>13048</v>
      </c>
      <c r="F54" s="394"/>
      <c r="G54" s="99"/>
      <c r="H54" s="8">
        <f>H47</f>
        <v>3750</v>
      </c>
      <c r="I54" s="8">
        <f>I47</f>
        <v>3199</v>
      </c>
      <c r="J54" s="8"/>
      <c r="K54" s="99"/>
      <c r="L54" s="8">
        <f>L47</f>
        <v>3526</v>
      </c>
      <c r="M54" s="8">
        <f>M47</f>
        <v>3096</v>
      </c>
      <c r="O54" s="8">
        <f>O47</f>
        <v>9834</v>
      </c>
      <c r="P54" s="8"/>
      <c r="Q54" s="8"/>
      <c r="R54" s="8"/>
      <c r="S54" s="8">
        <f>S47</f>
        <v>9625</v>
      </c>
    </row>
    <row r="55" spans="1:19" ht="13.5" customHeight="1">
      <c r="A55" s="5"/>
      <c r="B55" s="7" t="s">
        <v>91</v>
      </c>
      <c r="C55" s="4">
        <f>2324.058+90.95-156.743-3874.321</f>
        <v>-1616.056</v>
      </c>
      <c r="D55" s="4">
        <f>1324.814-1604.333-25.458+1341.558</f>
        <v>1036.5810000000001</v>
      </c>
      <c r="E55" s="103">
        <f>M55+D55-I55</f>
        <v>-523.25900000000001</v>
      </c>
      <c r="F55" s="394"/>
      <c r="G55" s="99"/>
      <c r="H55" s="103">
        <f>C55-O55</f>
        <v>854.16600000000017</v>
      </c>
      <c r="I55" s="4">
        <f>314.229-26.377-166.447+1033.212</f>
        <v>1154.617</v>
      </c>
      <c r="J55" s="4"/>
      <c r="K55" s="99"/>
      <c r="L55" s="103">
        <f>D55-S55</f>
        <v>185.30300000000011</v>
      </c>
      <c r="M55" s="4">
        <f>404.879-806.291-280.737+276.926</f>
        <v>-405.22300000000013</v>
      </c>
      <c r="O55" s="4">
        <f>1332.751-944.71-3.698-2854.565</f>
        <v>-2470.2220000000002</v>
      </c>
      <c r="P55" s="4"/>
      <c r="Q55" s="4"/>
      <c r="R55" s="4"/>
      <c r="S55" s="4">
        <f>1253.461-2883.831-367.442+2849.09</f>
        <v>851.27800000000002</v>
      </c>
    </row>
    <row r="56" spans="1:19" ht="13.5" customHeight="1">
      <c r="A56" s="5"/>
      <c r="B56" s="7" t="s">
        <v>92</v>
      </c>
      <c r="C56" s="4">
        <v>-363.95800000000003</v>
      </c>
      <c r="D56" s="4">
        <v>-413.04700000000003</v>
      </c>
      <c r="E56" s="103">
        <f t="shared" ref="E56:E70" si="1">M56+D56-I56</f>
        <v>-571.13400000000001</v>
      </c>
      <c r="F56" s="394"/>
      <c r="G56" s="99"/>
      <c r="H56" s="103">
        <f>C56-O56</f>
        <v>-519.85599999999999</v>
      </c>
      <c r="I56" s="4">
        <v>7.9950000000000001</v>
      </c>
      <c r="J56" s="4"/>
      <c r="K56" s="99"/>
      <c r="L56" s="103">
        <f>D56-S56</f>
        <v>-274.58199999999999</v>
      </c>
      <c r="M56" s="4">
        <v>-150.09200000000001</v>
      </c>
      <c r="O56" s="4">
        <v>155.898</v>
      </c>
      <c r="P56" s="4"/>
      <c r="Q56" s="4"/>
      <c r="R56" s="4"/>
      <c r="S56" s="4">
        <v>-138.465</v>
      </c>
    </row>
    <row r="57" spans="1:19" ht="13.5" customHeight="1">
      <c r="A57" s="5"/>
      <c r="B57" s="7" t="s">
        <v>93</v>
      </c>
      <c r="C57" s="4">
        <f>-4844.603</f>
        <v>-4844.6030000000001</v>
      </c>
      <c r="D57" s="4">
        <v>-5695.3940000000002</v>
      </c>
      <c r="E57" s="103">
        <f t="shared" si="1"/>
        <v>-5773.2120000000004</v>
      </c>
      <c r="F57" s="394"/>
      <c r="G57" s="99"/>
      <c r="H57" s="103">
        <f>C57-O57</f>
        <v>-1562.4790000000003</v>
      </c>
      <c r="I57" s="4">
        <f>-1461.165</f>
        <v>-1461.165</v>
      </c>
      <c r="J57" s="4"/>
      <c r="K57" s="99"/>
      <c r="L57" s="103">
        <f>D57-S57</f>
        <v>-1517.4490000000005</v>
      </c>
      <c r="M57" s="4">
        <v>-1538.9829999999999</v>
      </c>
      <c r="O57" s="4">
        <v>-3282.1239999999998</v>
      </c>
      <c r="P57" s="4"/>
      <c r="Q57" s="4"/>
      <c r="R57" s="4"/>
      <c r="S57" s="4">
        <v>-4177.9449999999997</v>
      </c>
    </row>
    <row r="58" spans="1:19" s="5" customFormat="1" ht="13.5" customHeight="1">
      <c r="B58" s="5" t="s">
        <v>94</v>
      </c>
      <c r="C58" s="37">
        <f>SUM(C54:C56)</f>
        <v>11603.985999999999</v>
      </c>
      <c r="D58" s="37">
        <f>SUM(D54:D56)</f>
        <v>13774.534</v>
      </c>
      <c r="E58" s="37">
        <f>SUM(E54:E56)</f>
        <v>11953.607</v>
      </c>
      <c r="F58" s="394"/>
      <c r="G58" s="99"/>
      <c r="H58" s="37">
        <f>SUM(H54:H56)</f>
        <v>4084.3100000000004</v>
      </c>
      <c r="I58" s="37">
        <f>SUM(I54:I56)</f>
        <v>4361.6120000000001</v>
      </c>
      <c r="J58" s="37"/>
      <c r="K58" s="99"/>
      <c r="L58" s="37">
        <f>SUM(L54:L56)</f>
        <v>3436.721</v>
      </c>
      <c r="M58" s="37">
        <f>SUM(M54:M56)</f>
        <v>2540.6849999999999</v>
      </c>
      <c r="O58" s="37">
        <f>SUM(O54:O56)</f>
        <v>7519.6760000000004</v>
      </c>
      <c r="P58" s="37"/>
      <c r="Q58" s="37"/>
      <c r="R58" s="37"/>
      <c r="S58" s="37">
        <f>SUM(S54:S56)</f>
        <v>10337.813</v>
      </c>
    </row>
    <row r="59" spans="1:19" ht="13.5" customHeight="1">
      <c r="A59" s="5"/>
      <c r="B59" s="7" t="s">
        <v>95</v>
      </c>
      <c r="C59" s="4">
        <f>-2338.601-1454.688</f>
        <v>-3793.2890000000002</v>
      </c>
      <c r="D59" s="4">
        <f>-3673.036-1667.852</f>
        <v>-5340.8879999999999</v>
      </c>
      <c r="E59" s="103">
        <f t="shared" si="1"/>
        <v>-5565.848</v>
      </c>
      <c r="F59" s="394"/>
      <c r="G59" s="99"/>
      <c r="H59" s="103">
        <f>C59-O59</f>
        <v>-1311.9600000000005</v>
      </c>
      <c r="I59" s="4">
        <f>-502.353-389.802</f>
        <v>-892.15499999999997</v>
      </c>
      <c r="J59" s="4"/>
      <c r="K59" s="99"/>
      <c r="L59" s="103">
        <f>D59-S59</f>
        <v>-1817.2759999999998</v>
      </c>
      <c r="M59" s="4">
        <f>-697.032-420.083</f>
        <v>-1117.115</v>
      </c>
      <c r="O59" s="4">
        <f>-1412.139-1069.19</f>
        <v>-2481.3289999999997</v>
      </c>
      <c r="P59" s="4"/>
      <c r="Q59" s="4"/>
      <c r="R59" s="4"/>
      <c r="S59" s="4">
        <f>-2288.69-1234.922</f>
        <v>-3523.6120000000001</v>
      </c>
    </row>
    <row r="60" spans="1:19" ht="13.5" customHeight="1">
      <c r="A60" s="5"/>
      <c r="B60" s="7" t="s">
        <v>96</v>
      </c>
      <c r="C60" s="4">
        <v>-160.06100000000001</v>
      </c>
      <c r="D60" s="4">
        <v>-243.029</v>
      </c>
      <c r="E60" s="103">
        <f t="shared" si="1"/>
        <v>-251.18199999999999</v>
      </c>
      <c r="F60" s="394"/>
      <c r="G60" s="99"/>
      <c r="H60" s="103">
        <f>C60-O60</f>
        <v>-26.491000000000014</v>
      </c>
      <c r="I60" s="4">
        <v>-48.351999999999997</v>
      </c>
      <c r="J60" s="4"/>
      <c r="K60" s="99"/>
      <c r="L60" s="103">
        <f>D60-S60</f>
        <v>-52.117999999999995</v>
      </c>
      <c r="M60" s="4">
        <v>-56.505000000000003</v>
      </c>
      <c r="O60" s="4">
        <f>-133.57</f>
        <v>-133.57</v>
      </c>
      <c r="P60" s="4"/>
      <c r="Q60" s="4"/>
      <c r="R60" s="4"/>
      <c r="S60" s="4">
        <f>-190.911</f>
        <v>-190.911</v>
      </c>
    </row>
    <row r="61" spans="1:19" ht="13.5" customHeight="1">
      <c r="A61" s="5"/>
      <c r="B61" s="7" t="s">
        <v>97</v>
      </c>
      <c r="C61" s="4">
        <v>-222.73400000000001</v>
      </c>
      <c r="D61" s="4">
        <f>-1293.602-278.198</f>
        <v>-1571.8000000000002</v>
      </c>
      <c r="E61" s="103">
        <f t="shared" si="1"/>
        <v>-1075.9660000000001</v>
      </c>
      <c r="F61" s="394"/>
      <c r="G61" s="99"/>
      <c r="H61" s="103">
        <f>C61-O61</f>
        <v>-45.173000000000002</v>
      </c>
      <c r="I61" s="4">
        <f>-511.106+15.272</f>
        <v>-495.834</v>
      </c>
      <c r="J61" s="4"/>
      <c r="K61" s="99"/>
      <c r="L61" s="103">
        <f>D61-S61</f>
        <v>-310.27900000000022</v>
      </c>
      <c r="M61" s="4">
        <v>0</v>
      </c>
      <c r="O61" s="4">
        <v>-177.56100000000001</v>
      </c>
      <c r="P61" s="4"/>
      <c r="Q61" s="4"/>
      <c r="R61" s="4"/>
      <c r="S61" s="4">
        <f>-1261.521</f>
        <v>-1261.521</v>
      </c>
    </row>
    <row r="62" spans="1:19" s="5" customFormat="1" ht="13.5" customHeight="1">
      <c r="B62" s="15" t="s">
        <v>98</v>
      </c>
      <c r="C62" s="8">
        <f t="shared" ref="C62:I62" si="2">SUM(C58:C61)</f>
        <v>7427.9019999999982</v>
      </c>
      <c r="D62" s="8">
        <f>SUM(D58:D61)</f>
        <v>6618.817</v>
      </c>
      <c r="E62" s="8">
        <f>SUM(E58:E61)</f>
        <v>5060.6109999999999</v>
      </c>
      <c r="F62" s="394"/>
      <c r="G62" s="99"/>
      <c r="H62" s="8">
        <f t="shared" si="2"/>
        <v>2700.6859999999997</v>
      </c>
      <c r="I62" s="8">
        <f t="shared" si="2"/>
        <v>2925.2710000000006</v>
      </c>
      <c r="J62" s="8"/>
      <c r="K62" s="99"/>
      <c r="L62" s="8">
        <f>SUM(L58:L61)</f>
        <v>1257.048</v>
      </c>
      <c r="M62" s="8">
        <f>SUM(M58:M61)</f>
        <v>1367.0649999999998</v>
      </c>
      <c r="O62" s="8">
        <f>SUM(O58:O61)</f>
        <v>4727.2160000000013</v>
      </c>
      <c r="P62" s="8"/>
      <c r="Q62" s="8"/>
      <c r="R62" s="8"/>
      <c r="S62" s="8">
        <f>SUM(S58:S61)</f>
        <v>5361.7690000000002</v>
      </c>
    </row>
    <row r="63" spans="1:19" s="5" customFormat="1" ht="13.5" customHeight="1">
      <c r="B63" s="7" t="s">
        <v>99</v>
      </c>
      <c r="C63" s="4">
        <f>-2383.832</f>
        <v>-2383.8319999999999</v>
      </c>
      <c r="D63" s="4">
        <f>-32.728-2245.002</f>
        <v>-2277.73</v>
      </c>
      <c r="E63" s="103">
        <f t="shared" si="1"/>
        <v>-3196.8310000000001</v>
      </c>
      <c r="F63" s="394"/>
      <c r="G63" s="99"/>
      <c r="H63" s="103">
        <f>C63-O63</f>
        <v>-2119.46</v>
      </c>
      <c r="I63" s="4">
        <v>1819.7170000000001</v>
      </c>
      <c r="J63" s="4"/>
      <c r="K63" s="99"/>
      <c r="L63" s="103">
        <f>D63-S63</f>
        <v>-3616.192</v>
      </c>
      <c r="M63" s="4">
        <f>900.616</f>
        <v>900.61599999999999</v>
      </c>
      <c r="O63" s="4">
        <f>-264.372</f>
        <v>-264.37200000000001</v>
      </c>
      <c r="P63" s="4"/>
      <c r="Q63" s="4"/>
      <c r="R63" s="4"/>
      <c r="S63" s="4">
        <f>-32.728+1371.19</f>
        <v>1338.462</v>
      </c>
    </row>
    <row r="64" spans="1:19" ht="13.5" customHeight="1">
      <c r="A64" s="5"/>
      <c r="B64" s="7" t="s">
        <v>100</v>
      </c>
      <c r="C64" s="4">
        <f>-1849.212</f>
        <v>-1849.212</v>
      </c>
      <c r="D64" s="4">
        <f>-2050.304+196.052</f>
        <v>-1854.2520000000002</v>
      </c>
      <c r="E64" s="103">
        <f t="shared" si="1"/>
        <v>-1223.1490000000001</v>
      </c>
      <c r="F64" s="394"/>
      <c r="G64" s="99"/>
      <c r="H64" s="103">
        <f>C64-O64</f>
        <v>-544.30299999999988</v>
      </c>
      <c r="I64" s="4">
        <f>-799.778</f>
        <v>-799.77800000000002</v>
      </c>
      <c r="J64" s="4"/>
      <c r="K64" s="99"/>
      <c r="L64" s="103">
        <f>D64-S64</f>
        <v>-416.20800000000008</v>
      </c>
      <c r="M64" s="4">
        <f>-164.693-3.982</f>
        <v>-168.67500000000001</v>
      </c>
      <c r="O64" s="4">
        <f>-1304.909</f>
        <v>-1304.9090000000001</v>
      </c>
      <c r="P64" s="4"/>
      <c r="Q64" s="4"/>
      <c r="R64" s="4"/>
      <c r="S64" s="4">
        <f>-1634.096+196.052</f>
        <v>-1438.0440000000001</v>
      </c>
    </row>
    <row r="65" spans="1:19" ht="13.5" customHeight="1">
      <c r="A65" s="5"/>
      <c r="B65" s="7" t="s">
        <v>101</v>
      </c>
      <c r="C65" s="4">
        <f>-3135.078</f>
        <v>-3135.078</v>
      </c>
      <c r="D65" s="4">
        <v>-3847.2689999999998</v>
      </c>
      <c r="E65" s="103">
        <f t="shared" si="1"/>
        <v>-3847.1689999999994</v>
      </c>
      <c r="F65" s="394"/>
      <c r="G65" s="99"/>
      <c r="H65" s="103">
        <f>C65-O65</f>
        <v>-3135.078</v>
      </c>
      <c r="I65" s="4">
        <v>-0.11899999999999999</v>
      </c>
      <c r="J65" s="4"/>
      <c r="K65" s="99"/>
      <c r="L65" s="103">
        <f>D65-S65</f>
        <v>-1.5829999999996289</v>
      </c>
      <c r="M65" s="4">
        <v>-1.9E-2</v>
      </c>
      <c r="O65" s="4">
        <v>0</v>
      </c>
      <c r="P65" s="4"/>
      <c r="Q65" s="4"/>
      <c r="R65" s="4"/>
      <c r="S65" s="4">
        <f>-3845.686</f>
        <v>-3845.6860000000001</v>
      </c>
    </row>
    <row r="66" spans="1:19" ht="13.5" customHeight="1">
      <c r="A66" s="5"/>
      <c r="B66" s="7" t="s">
        <v>102</v>
      </c>
      <c r="C66" s="4">
        <f>-9152.026-1314.51</f>
        <v>-10466.536</v>
      </c>
      <c r="D66" s="4">
        <f>4591.406-1316.349</f>
        <v>3275.0569999999998</v>
      </c>
      <c r="E66" s="103">
        <f t="shared" si="1"/>
        <v>4660.741</v>
      </c>
      <c r="F66" s="394"/>
      <c r="G66" s="99"/>
      <c r="H66" s="103">
        <f>C66-O66</f>
        <v>-4249.6240000000007</v>
      </c>
      <c r="I66" s="4">
        <f>-2411.091-302.362</f>
        <v>-2713.453</v>
      </c>
      <c r="J66" s="4"/>
      <c r="K66" s="99"/>
      <c r="L66" s="103">
        <f>D66-S66</f>
        <v>1369.5869999999995</v>
      </c>
      <c r="M66" s="4">
        <f>-1001.667-326.102</f>
        <v>-1327.769</v>
      </c>
      <c r="O66" s="4">
        <f>-5294.346-922.566</f>
        <v>-6216.9119999999994</v>
      </c>
      <c r="P66" s="4"/>
      <c r="Q66" s="4"/>
      <c r="R66" s="4"/>
      <c r="S66" s="4">
        <f>2879.135-973.665</f>
        <v>1905.4700000000003</v>
      </c>
    </row>
    <row r="67" spans="1:19" ht="13.5" customHeight="1">
      <c r="A67" s="5"/>
      <c r="B67" s="7" t="s">
        <v>103</v>
      </c>
      <c r="C67" s="4">
        <f>-110.043</f>
        <v>-110.04300000000001</v>
      </c>
      <c r="D67" s="4">
        <f>-251.337</f>
        <v>-251.33699999999999</v>
      </c>
      <c r="E67" s="103">
        <f t="shared" si="1"/>
        <v>-317.85499999999996</v>
      </c>
      <c r="F67" s="394"/>
      <c r="G67" s="99"/>
      <c r="H67" s="103">
        <f>C67-O67</f>
        <v>95.495999999999981</v>
      </c>
      <c r="I67" s="4">
        <f>-52.867</f>
        <v>-52.866999999999997</v>
      </c>
      <c r="J67" s="4"/>
      <c r="K67" s="99"/>
      <c r="L67" s="103">
        <f>D67-S67</f>
        <v>-107.14599999999999</v>
      </c>
      <c r="M67" s="4">
        <f>-119.385</f>
        <v>-119.38500000000001</v>
      </c>
      <c r="O67" s="4">
        <f>-205.539</f>
        <v>-205.53899999999999</v>
      </c>
      <c r="P67" s="4"/>
      <c r="Q67" s="4"/>
      <c r="R67" s="4"/>
      <c r="S67" s="4">
        <f>-144.191</f>
        <v>-144.191</v>
      </c>
    </row>
    <row r="68" spans="1:19" s="5" customFormat="1" ht="13.5" customHeight="1">
      <c r="B68" s="15" t="s">
        <v>104</v>
      </c>
      <c r="C68" s="8">
        <f>SUM(C62:C67)</f>
        <v>-10516.799000000001</v>
      </c>
      <c r="D68" s="8">
        <f>SUM(D62:D67)</f>
        <v>1663.2859999999991</v>
      </c>
      <c r="E68" s="8">
        <f>SUM(E62:E67)</f>
        <v>1136.3480000000004</v>
      </c>
      <c r="F68" s="394"/>
      <c r="G68" s="99"/>
      <c r="H68" s="8">
        <f>SUM(H62:H67)</f>
        <v>-7252.2830000000004</v>
      </c>
      <c r="I68" s="8">
        <f>SUM(I62:I67)</f>
        <v>1178.7710000000009</v>
      </c>
      <c r="J68" s="8"/>
      <c r="K68" s="99"/>
      <c r="L68" s="8">
        <f>SUM(L62:L67)</f>
        <v>-1514.4940000000004</v>
      </c>
      <c r="M68" s="8">
        <f>SUM(M62:M67)</f>
        <v>651.83299999999963</v>
      </c>
      <c r="O68" s="8">
        <f>SUM(O62:O67)</f>
        <v>-3264.5159999999987</v>
      </c>
      <c r="P68" s="8"/>
      <c r="Q68" s="8"/>
      <c r="R68" s="8"/>
      <c r="S68" s="8">
        <f>SUM(S62:S67)</f>
        <v>3177.78</v>
      </c>
    </row>
    <row r="69" spans="1:19" ht="13.5" customHeight="1">
      <c r="A69" s="5"/>
      <c r="B69" s="7" t="s">
        <v>105</v>
      </c>
      <c r="C69" s="4">
        <v>2452.134</v>
      </c>
      <c r="D69" s="4">
        <v>-893.529</v>
      </c>
      <c r="E69" s="103">
        <f t="shared" si="1"/>
        <v>-688.89699999999993</v>
      </c>
      <c r="F69" s="394"/>
      <c r="G69" s="99"/>
      <c r="H69" s="103">
        <f>C69-O69</f>
        <v>1389.278</v>
      </c>
      <c r="I69" s="4">
        <v>-574.03700000000003</v>
      </c>
      <c r="J69" s="4"/>
      <c r="K69" s="99"/>
      <c r="L69" s="103">
        <f>D69-S69</f>
        <v>372.59999999999991</v>
      </c>
      <c r="M69" s="4">
        <v>-369.40499999999997</v>
      </c>
      <c r="O69" s="4">
        <v>1062.856</v>
      </c>
      <c r="P69" s="4"/>
      <c r="Q69" s="4"/>
      <c r="R69" s="4"/>
      <c r="S69" s="4">
        <v>-1266.1289999999999</v>
      </c>
    </row>
    <row r="70" spans="1:19" ht="13.5" customHeight="1">
      <c r="A70" s="5"/>
      <c r="B70" s="7" t="s">
        <v>106</v>
      </c>
      <c r="C70" s="4">
        <v>5062.7879999999996</v>
      </c>
      <c r="D70" s="4">
        <v>121.083</v>
      </c>
      <c r="E70" s="103">
        <f t="shared" si="1"/>
        <v>121.083</v>
      </c>
      <c r="F70" s="394"/>
      <c r="G70" s="99"/>
      <c r="H70" s="103">
        <f>C70-O70</f>
        <v>4453.0889999999999</v>
      </c>
      <c r="I70" s="4">
        <v>0</v>
      </c>
      <c r="J70" s="4"/>
      <c r="K70" s="99"/>
      <c r="L70" s="103">
        <f>D70-S70</f>
        <v>0</v>
      </c>
      <c r="M70" s="4">
        <v>0</v>
      </c>
      <c r="O70" s="4">
        <v>609.69899999999996</v>
      </c>
      <c r="P70" s="4"/>
      <c r="Q70" s="4"/>
      <c r="R70" s="4"/>
      <c r="S70" s="4">
        <v>121.083</v>
      </c>
    </row>
    <row r="71" spans="1:19" ht="13.5" customHeight="1">
      <c r="A71" s="5"/>
      <c r="B71" s="7" t="s">
        <v>107</v>
      </c>
      <c r="C71" s="105">
        <f>-1943.525-C69-C68-C70</f>
        <v>1058.3520000000017</v>
      </c>
      <c r="D71" s="105">
        <f>194.446-D69-D68-D70</f>
        <v>-696.39399999999921</v>
      </c>
      <c r="E71" s="103">
        <f>M71+D71-I71</f>
        <v>-504.09499999999844</v>
      </c>
      <c r="F71" s="394"/>
      <c r="G71" s="99"/>
      <c r="H71" s="103">
        <f>C71-O71</f>
        <v>1135.6360000000027</v>
      </c>
      <c r="I71" s="105">
        <f>-677.555-I69-I68-I70</f>
        <v>-1282.2890000000007</v>
      </c>
      <c r="J71" s="105"/>
      <c r="K71" s="99"/>
      <c r="L71" s="103">
        <f>D71-S71</f>
        <v>196.86000000000104</v>
      </c>
      <c r="M71" s="105">
        <f>-807.562-M69-M68-M70</f>
        <v>-1089.9899999999998</v>
      </c>
      <c r="O71" s="105">
        <f>-1669.245-O69-O68-O70</f>
        <v>-77.284000000000901</v>
      </c>
      <c r="P71" s="105"/>
      <c r="Q71" s="105"/>
      <c r="R71" s="105"/>
      <c r="S71" s="105">
        <f>1139.48-S69-S68-S70</f>
        <v>-893.25400000000025</v>
      </c>
    </row>
    <row r="72" spans="1:19" ht="13.5" customHeight="1">
      <c r="A72" s="5"/>
      <c r="B72" s="15" t="s">
        <v>108</v>
      </c>
      <c r="C72" s="8">
        <f>SUM(C68:C71)</f>
        <v>-1943.5249999999996</v>
      </c>
      <c r="D72" s="8">
        <f>SUM(D68:D71)</f>
        <v>194.44599999999991</v>
      </c>
      <c r="E72" s="8">
        <f>SUM(E68:E71)</f>
        <v>64.439000000002011</v>
      </c>
      <c r="F72" s="394"/>
      <c r="G72" s="99"/>
      <c r="H72" s="8">
        <f>SUM(H68:H71)</f>
        <v>-274.27999999999747</v>
      </c>
      <c r="I72" s="8">
        <f>SUM(I68:I71)</f>
        <v>-677.55499999999984</v>
      </c>
      <c r="J72" s="8"/>
      <c r="K72" s="99"/>
      <c r="L72" s="8">
        <f>SUM(L68:L71)</f>
        <v>-945.03399999999942</v>
      </c>
      <c r="M72" s="8">
        <f>SUM(M68:M71)</f>
        <v>-807.56200000000013</v>
      </c>
      <c r="O72" s="8">
        <f>SUM(O68:O71)</f>
        <v>-1669.2449999999999</v>
      </c>
      <c r="P72" s="8"/>
      <c r="Q72" s="8"/>
      <c r="R72" s="8"/>
      <c r="S72" s="8">
        <f>SUM(S68:S71)</f>
        <v>1139.48</v>
      </c>
    </row>
    <row r="73" spans="1:19" s="5" customFormat="1" ht="13.5" customHeight="1">
      <c r="B73" s="15" t="s">
        <v>109</v>
      </c>
      <c r="C73" s="8">
        <f>6460.212+C72</f>
        <v>4516.6870000000008</v>
      </c>
      <c r="D73" s="8">
        <f>C73+D72</f>
        <v>4711.1330000000007</v>
      </c>
      <c r="E73" s="8">
        <f>I73+E72</f>
        <v>4024.6530000000025</v>
      </c>
      <c r="F73" s="394"/>
      <c r="G73" s="476"/>
      <c r="H73" s="8">
        <f>O73+H72</f>
        <v>4516.6870000000035</v>
      </c>
      <c r="I73" s="8">
        <f>4637.769+I72</f>
        <v>3960.2140000000004</v>
      </c>
      <c r="J73" s="8"/>
      <c r="K73" s="476"/>
      <c r="L73" s="8">
        <f>S73+L72</f>
        <v>4711.1330000000016</v>
      </c>
      <c r="M73" s="8">
        <f>L73+M72</f>
        <v>3903.5710000000017</v>
      </c>
      <c r="O73" s="8">
        <f>6460.212+O72</f>
        <v>4790.9670000000006</v>
      </c>
      <c r="P73" s="8"/>
      <c r="Q73" s="8"/>
      <c r="R73" s="8"/>
      <c r="S73" s="8">
        <f>C73+S72</f>
        <v>5656.1670000000013</v>
      </c>
    </row>
    <row r="74" spans="1:19" ht="13.5" customHeight="1">
      <c r="A74" s="5"/>
      <c r="B74" s="15"/>
      <c r="C74" s="6"/>
      <c r="D74" s="6"/>
      <c r="E74" s="6"/>
      <c r="F74" s="394"/>
      <c r="G74" s="99"/>
      <c r="H74" s="6"/>
      <c r="I74" s="6"/>
      <c r="J74" s="6"/>
      <c r="K74" s="99"/>
      <c r="L74" s="6"/>
      <c r="M74" s="6"/>
      <c r="O74" s="6"/>
      <c r="P74" s="6"/>
      <c r="Q74" s="6"/>
      <c r="R74" s="6"/>
      <c r="S74" s="6"/>
    </row>
    <row r="75" spans="1:19" s="90" customFormat="1" ht="13.5" customHeight="1">
      <c r="A75" s="5"/>
      <c r="B75" s="483" t="s">
        <v>110</v>
      </c>
      <c r="C75" s="484">
        <f>C73-C135+C134</f>
        <v>0</v>
      </c>
      <c r="D75" s="484">
        <f>D73-D135+D134</f>
        <v>0</v>
      </c>
      <c r="E75" s="484">
        <f>E73-E135+E134-E70</f>
        <v>-9.9999999784472493E-4</v>
      </c>
      <c r="F75" s="485"/>
      <c r="G75" s="486"/>
      <c r="H75" s="484">
        <f>H73-H135+H134</f>
        <v>0</v>
      </c>
      <c r="I75" s="486"/>
      <c r="J75" s="484"/>
      <c r="K75" s="486"/>
      <c r="L75" s="484">
        <f>L73-L135+L134</f>
        <v>0</v>
      </c>
      <c r="M75" s="484">
        <f>M73-M135+M134</f>
        <v>0</v>
      </c>
      <c r="N75" s="487"/>
      <c r="O75" s="486"/>
      <c r="P75" s="484"/>
      <c r="Q75" s="484"/>
      <c r="R75" s="484"/>
      <c r="S75" s="484">
        <f>S73-S135+S134</f>
        <v>0</v>
      </c>
    </row>
    <row r="76" spans="1:19" s="90" customFormat="1" ht="13.5" customHeight="1">
      <c r="A76" s="5"/>
      <c r="B76" s="483" t="s">
        <v>111</v>
      </c>
      <c r="C76" s="484">
        <f>12662.338-C58-C71</f>
        <v>0</v>
      </c>
      <c r="D76" s="484">
        <f>13078.14-D58-D71</f>
        <v>-1.0231815394945443E-12</v>
      </c>
      <c r="E76" s="484">
        <f>13078.14+1450.695-3079.323-E58-E71</f>
        <v>-2.7284841053187847E-12</v>
      </c>
      <c r="F76" s="485"/>
      <c r="G76" s="486"/>
      <c r="H76" s="484">
        <f>12662.338-7442.392-H58-H71</f>
        <v>-3.1832314562052488E-12</v>
      </c>
      <c r="I76" s="484">
        <f>3079.323-I58-I71</f>
        <v>0</v>
      </c>
      <c r="J76" s="484"/>
      <c r="K76" s="486"/>
      <c r="L76" s="484">
        <f>13078.14-9444.559-L58-L71</f>
        <v>-9.0949470177292824E-13</v>
      </c>
      <c r="M76" s="484">
        <f>1450.695-M58-M71</f>
        <v>0</v>
      </c>
      <c r="N76" s="487"/>
      <c r="O76" s="484">
        <f>7442.392-O58-O71</f>
        <v>3.4106051316484809E-13</v>
      </c>
      <c r="P76" s="484"/>
      <c r="Q76" s="484"/>
      <c r="R76" s="484"/>
      <c r="S76" s="484">
        <f>9444.559-S58-S71</f>
        <v>0</v>
      </c>
    </row>
    <row r="77" spans="1:19" ht="11.25" customHeight="1">
      <c r="A77" s="5"/>
    </row>
    <row r="78" spans="1:19" ht="13.5" customHeight="1">
      <c r="A78" s="5"/>
      <c r="B78" s="16" t="s">
        <v>112</v>
      </c>
      <c r="C78" s="44">
        <f>C3</f>
        <v>45630</v>
      </c>
      <c r="D78" s="44">
        <f>D3</f>
        <v>45995</v>
      </c>
      <c r="E78" s="120">
        <f>E3</f>
        <v>46112</v>
      </c>
      <c r="F78" s="394"/>
      <c r="G78" s="44">
        <f>G3</f>
        <v>45544</v>
      </c>
      <c r="H78" s="44">
        <f>H3</f>
        <v>45635</v>
      </c>
      <c r="I78" s="44">
        <f>I3</f>
        <v>45747</v>
      </c>
      <c r="J78" s="395"/>
      <c r="K78" s="120">
        <f>K3</f>
        <v>45909</v>
      </c>
      <c r="L78" s="44">
        <f>L3</f>
        <v>46000</v>
      </c>
      <c r="M78" s="44">
        <f>M3</f>
        <v>46112</v>
      </c>
      <c r="N78" s="487"/>
      <c r="O78" s="44">
        <f>O3</f>
        <v>45544</v>
      </c>
      <c r="P78" s="14"/>
      <c r="Q78" s="14"/>
      <c r="R78" s="14"/>
      <c r="S78" s="120">
        <f>S3</f>
        <v>45909</v>
      </c>
    </row>
    <row r="79" spans="1:19" ht="13.5" customHeight="1">
      <c r="A79" s="5"/>
      <c r="B79" s="1" t="str">
        <f>+B7</f>
        <v>Revenues</v>
      </c>
      <c r="C79" s="6">
        <f>C7</f>
        <v>149135.14300000001</v>
      </c>
      <c r="D79" s="6">
        <f>D7</f>
        <v>163962.73699999999</v>
      </c>
      <c r="E79" s="6">
        <f>E7</f>
        <v>163936.06200000001</v>
      </c>
      <c r="F79" s="394"/>
      <c r="G79" s="99"/>
      <c r="H79" s="99"/>
      <c r="I79" s="99"/>
      <c r="J79" s="6"/>
      <c r="K79" s="6">
        <f>C7+S7-O7</f>
        <v>162255.61900000001</v>
      </c>
      <c r="L79" s="6">
        <f>D79</f>
        <v>163962.73699999999</v>
      </c>
      <c r="M79" s="6">
        <f>M7+D7-I7</f>
        <v>163936.06200000001</v>
      </c>
      <c r="O79" s="99"/>
      <c r="P79" s="6"/>
      <c r="Q79" s="6"/>
      <c r="R79" s="6"/>
      <c r="S79" s="6">
        <f>K79</f>
        <v>162255.61900000001</v>
      </c>
    </row>
    <row r="80" spans="1:19" ht="13.5" customHeight="1">
      <c r="A80" s="5"/>
      <c r="B80" s="1" t="s">
        <v>82</v>
      </c>
      <c r="C80" s="6">
        <f>C16</f>
        <v>5874.0880000000107</v>
      </c>
      <c r="D80" s="6">
        <f>D16</f>
        <v>5577.3849999999875</v>
      </c>
      <c r="E80" s="6">
        <f>E16</f>
        <v>5688.1439999999948</v>
      </c>
      <c r="F80" s="394"/>
      <c r="G80" s="99"/>
      <c r="H80" s="99"/>
      <c r="I80" s="99"/>
      <c r="J80" s="6"/>
      <c r="K80" s="6">
        <f>C16+S16-O16</f>
        <v>5521.5139999999992</v>
      </c>
      <c r="L80" s="6">
        <f t="shared" ref="L80:L86" si="3">D80</f>
        <v>5577.3849999999875</v>
      </c>
      <c r="M80" s="6">
        <f>M16+D16-I16</f>
        <v>5688.1439999999884</v>
      </c>
      <c r="O80" s="99"/>
      <c r="P80" s="6"/>
      <c r="Q80" s="6"/>
      <c r="R80" s="6"/>
      <c r="S80" s="6">
        <f t="shared" ref="S80:S86" si="4">K80</f>
        <v>5521.5139999999992</v>
      </c>
    </row>
    <row r="81" spans="1:19" ht="13.5" customHeight="1">
      <c r="A81" s="5"/>
      <c r="B81" s="1" t="s">
        <v>113</v>
      </c>
      <c r="C81" s="6">
        <f>C42</f>
        <v>13071.592000000011</v>
      </c>
      <c r="D81" s="6">
        <f>D42</f>
        <v>12810.023999999987</v>
      </c>
      <c r="E81" s="6">
        <f>E42</f>
        <v>12735.717999999993</v>
      </c>
      <c r="F81" s="394"/>
      <c r="G81" s="99"/>
      <c r="H81" s="99"/>
      <c r="I81" s="99"/>
      <c r="J81" s="6"/>
      <c r="K81" s="6">
        <f>C42+S42-O42</f>
        <v>13045.528999999999</v>
      </c>
      <c r="L81" s="6">
        <f t="shared" si="3"/>
        <v>12810.023999999987</v>
      </c>
      <c r="M81" s="6">
        <f>M42+D42-I42</f>
        <v>12735.717999999988</v>
      </c>
      <c r="O81" s="99"/>
      <c r="P81" s="6"/>
      <c r="Q81" s="6"/>
      <c r="R81" s="6"/>
      <c r="S81" s="6">
        <f t="shared" si="4"/>
        <v>13045.528999999999</v>
      </c>
    </row>
    <row r="82" spans="1:19" s="5" customFormat="1" ht="13.5" customHeight="1">
      <c r="B82" s="1" t="s">
        <v>114</v>
      </c>
      <c r="C82" s="6">
        <f>C47</f>
        <v>13584</v>
      </c>
      <c r="D82" s="6">
        <f>D47</f>
        <v>13151</v>
      </c>
      <c r="E82" s="6">
        <f>E47</f>
        <v>13048</v>
      </c>
      <c r="F82" s="394"/>
      <c r="G82" s="99"/>
      <c r="H82" s="99"/>
      <c r="I82" s="99"/>
      <c r="J82" s="6"/>
      <c r="K82" s="6">
        <f>C47+S47-O47</f>
        <v>13375</v>
      </c>
      <c r="L82" s="6">
        <f t="shared" si="3"/>
        <v>13151</v>
      </c>
      <c r="M82" s="6">
        <f>M47+D47-I47</f>
        <v>13048</v>
      </c>
      <c r="O82" s="99"/>
      <c r="P82" s="6"/>
      <c r="Q82" s="6"/>
      <c r="R82" s="6"/>
      <c r="S82" s="6">
        <f t="shared" si="4"/>
        <v>13375</v>
      </c>
    </row>
    <row r="83" spans="1:19" ht="13.5" customHeight="1">
      <c r="A83" s="5"/>
      <c r="B83" s="1" t="s">
        <v>93</v>
      </c>
      <c r="C83" s="6">
        <f>-C57</f>
        <v>4844.6030000000001</v>
      </c>
      <c r="D83" s="6">
        <f>-D57</f>
        <v>5695.3940000000002</v>
      </c>
      <c r="E83" s="6">
        <f>-E57</f>
        <v>5773.2120000000004</v>
      </c>
      <c r="F83" s="394"/>
      <c r="G83" s="99"/>
      <c r="H83" s="99"/>
      <c r="I83" s="99"/>
      <c r="J83" s="6"/>
      <c r="K83" s="6">
        <f>-(C57+S57-O57)</f>
        <v>5740.4239999999991</v>
      </c>
      <c r="L83" s="6">
        <f t="shared" si="3"/>
        <v>5695.3940000000002</v>
      </c>
      <c r="M83" s="6">
        <f>-(M57+D57-I57)</f>
        <v>5773.2120000000004</v>
      </c>
      <c r="O83" s="99"/>
      <c r="P83" s="6"/>
      <c r="Q83" s="6"/>
      <c r="R83" s="6"/>
      <c r="S83" s="6">
        <f t="shared" si="4"/>
        <v>5740.4239999999991</v>
      </c>
    </row>
    <row r="84" spans="1:19" ht="13.5" customHeight="1">
      <c r="A84" s="5"/>
      <c r="B84" s="1" t="s">
        <v>115</v>
      </c>
      <c r="C84" s="6">
        <f>C23</f>
        <v>3880.8700000000104</v>
      </c>
      <c r="D84" s="6">
        <f>D23</f>
        <v>762.67499999998677</v>
      </c>
      <c r="E84" s="6">
        <f>E23</f>
        <v>308.83199999999363</v>
      </c>
      <c r="F84" s="394"/>
      <c r="G84" s="99"/>
      <c r="H84" s="99"/>
      <c r="I84" s="99"/>
      <c r="J84" s="6"/>
      <c r="K84" s="6">
        <f>C23+S23-O23</f>
        <v>3534.5939999999991</v>
      </c>
      <c r="L84" s="6">
        <f t="shared" si="3"/>
        <v>762.67499999998677</v>
      </c>
      <c r="M84" s="6">
        <f>M23+D23-I23</f>
        <v>308.83199999998737</v>
      </c>
      <c r="O84" s="99"/>
      <c r="P84" s="6"/>
      <c r="Q84" s="6"/>
      <c r="R84" s="6"/>
      <c r="S84" s="6">
        <f t="shared" si="4"/>
        <v>3534.5939999999991</v>
      </c>
    </row>
    <row r="85" spans="1:19" ht="13.5" customHeight="1">
      <c r="A85" s="5"/>
      <c r="B85" s="1" t="s">
        <v>116</v>
      </c>
      <c r="C85" s="6">
        <f>-C59</f>
        <v>3793.2890000000002</v>
      </c>
      <c r="D85" s="6">
        <f>-D59</f>
        <v>5340.8879999999999</v>
      </c>
      <c r="E85" s="6">
        <f>-E59</f>
        <v>5565.848</v>
      </c>
      <c r="F85" s="394"/>
      <c r="G85" s="99"/>
      <c r="H85" s="99"/>
      <c r="I85" s="99"/>
      <c r="J85" s="6"/>
      <c r="K85" s="6">
        <f>-(C59+S59-O59)</f>
        <v>4835.5720000000001</v>
      </c>
      <c r="L85" s="6">
        <f t="shared" si="3"/>
        <v>5340.8879999999999</v>
      </c>
      <c r="M85" s="6">
        <f>-(M59+D59-I59)</f>
        <v>5565.848</v>
      </c>
      <c r="O85" s="99"/>
      <c r="P85" s="6"/>
      <c r="Q85" s="6"/>
      <c r="R85" s="6"/>
      <c r="S85" s="6">
        <f t="shared" si="4"/>
        <v>4835.5720000000001</v>
      </c>
    </row>
    <row r="86" spans="1:19" ht="13.5" customHeight="1">
      <c r="A86" s="5"/>
      <c r="B86" s="1" t="s">
        <v>98</v>
      </c>
      <c r="C86" s="6">
        <f>C62</f>
        <v>7427.9019999999982</v>
      </c>
      <c r="D86" s="6">
        <f>D62</f>
        <v>6618.817</v>
      </c>
      <c r="E86" s="6">
        <f>E62</f>
        <v>5060.6109999999999</v>
      </c>
      <c r="F86" s="394"/>
      <c r="G86" s="99"/>
      <c r="H86" s="99"/>
      <c r="I86" s="99"/>
      <c r="J86" s="6"/>
      <c r="K86" s="6">
        <f>C62+S62-O62</f>
        <v>8062.4549999999972</v>
      </c>
      <c r="L86" s="6">
        <f t="shared" si="3"/>
        <v>6618.817</v>
      </c>
      <c r="M86" s="6">
        <f>M62+D62-I62</f>
        <v>5060.610999999999</v>
      </c>
      <c r="O86" s="99"/>
      <c r="P86" s="6"/>
      <c r="Q86" s="6"/>
      <c r="R86" s="6"/>
      <c r="S86" s="6">
        <f t="shared" si="4"/>
        <v>8062.4549999999972</v>
      </c>
    </row>
    <row r="87" spans="1:19" ht="13.5" customHeight="1">
      <c r="A87" s="5"/>
      <c r="C87" s="6"/>
      <c r="D87" s="6"/>
      <c r="E87" s="6"/>
      <c r="F87" s="394"/>
      <c r="G87" s="302"/>
      <c r="H87" s="302"/>
      <c r="I87" s="302"/>
      <c r="J87" s="6"/>
      <c r="K87" s="6"/>
      <c r="L87" s="6"/>
      <c r="M87" s="6"/>
      <c r="O87" s="302"/>
      <c r="P87" s="6"/>
      <c r="Q87" s="6"/>
      <c r="R87" s="6"/>
      <c r="S87" s="6"/>
    </row>
    <row r="88" spans="1:19" ht="13.5" customHeight="1">
      <c r="A88" s="5"/>
      <c r="B88" s="421" t="s">
        <v>117</v>
      </c>
      <c r="C88" s="424">
        <f>38842/2.47</f>
        <v>15725.506072874492</v>
      </c>
      <c r="D88" s="424">
        <f>43446/3.3</f>
        <v>13165.454545454546</v>
      </c>
      <c r="E88" s="422">
        <f>M88</f>
        <v>13046.587537091988</v>
      </c>
      <c r="F88" s="394"/>
      <c r="G88" s="99"/>
      <c r="H88" s="99"/>
      <c r="I88" s="99"/>
      <c r="J88" s="6"/>
      <c r="K88" s="422">
        <f>41349/3.09</f>
        <v>13381.553398058253</v>
      </c>
      <c r="L88" s="422">
        <f>43446/3.3</f>
        <v>13165.454545454546</v>
      </c>
      <c r="M88" s="422">
        <f>43967/3.37</f>
        <v>13046.587537091988</v>
      </c>
      <c r="O88" s="99"/>
      <c r="P88" s="6"/>
      <c r="Q88" s="6"/>
      <c r="R88" s="6"/>
      <c r="S88" s="422">
        <f>41349/3.09</f>
        <v>13381.553398058253</v>
      </c>
    </row>
    <row r="89" spans="1:19" ht="13.5" customHeight="1">
      <c r="A89" s="5"/>
      <c r="B89" s="421" t="s">
        <v>118</v>
      </c>
      <c r="C89" s="422">
        <f>C54*C90</f>
        <v>9352.0409610082716</v>
      </c>
      <c r="D89" s="422">
        <f>D54*C90</f>
        <v>9053.9377707758958</v>
      </c>
      <c r="E89" s="422">
        <f>E88*$C$90</f>
        <v>8982.0539640948391</v>
      </c>
      <c r="F89" s="394"/>
      <c r="G89" s="99"/>
      <c r="H89" s="99"/>
      <c r="I89" s="99"/>
      <c r="J89" s="6"/>
      <c r="K89" s="422">
        <f>S89</f>
        <v>8835.2369699356695</v>
      </c>
      <c r="L89" s="422">
        <f>D89</f>
        <v>9053.9377707758958</v>
      </c>
      <c r="M89" s="422">
        <f>E89</f>
        <v>8982.0539640948391</v>
      </c>
      <c r="O89" s="99"/>
      <c r="P89" s="6"/>
      <c r="Q89" s="6"/>
      <c r="R89" s="6"/>
      <c r="S89" s="422">
        <f>S54*$C$90/3*4</f>
        <v>8835.2369699356695</v>
      </c>
    </row>
    <row r="90" spans="1:19" ht="13.5" customHeight="1">
      <c r="A90" s="5"/>
      <c r="B90" s="421" t="s">
        <v>119</v>
      </c>
      <c r="C90" s="488">
        <v>0.68846002363135095</v>
      </c>
      <c r="D90" s="422"/>
      <c r="E90" s="422"/>
      <c r="F90" s="394"/>
      <c r="G90" s="99"/>
      <c r="H90" s="99"/>
      <c r="I90" s="99"/>
      <c r="J90" s="6"/>
      <c r="K90" s="422"/>
      <c r="L90" s="422"/>
      <c r="M90" s="422"/>
      <c r="O90" s="99"/>
      <c r="P90" s="6"/>
      <c r="Q90" s="6"/>
      <c r="R90" s="6"/>
      <c r="S90" s="422"/>
    </row>
    <row r="91" spans="1:19" ht="13.5" customHeight="1">
      <c r="A91" s="5"/>
      <c r="B91" s="421" t="s">
        <v>120</v>
      </c>
      <c r="C91" s="422">
        <f>C89*51%</f>
        <v>4769.5408901142182</v>
      </c>
      <c r="D91" s="422">
        <f>D89*51%</f>
        <v>4617.5082630957068</v>
      </c>
      <c r="E91" s="422">
        <f>E89*51%</f>
        <v>4580.847521688368</v>
      </c>
      <c r="F91" s="394"/>
      <c r="G91" s="99"/>
      <c r="H91" s="99"/>
      <c r="I91" s="99"/>
      <c r="J91" s="6"/>
      <c r="K91" s="422">
        <f>K89*51%</f>
        <v>4505.9708546671918</v>
      </c>
      <c r="L91" s="422">
        <f>L89*51%</f>
        <v>4617.5082630957068</v>
      </c>
      <c r="M91" s="422">
        <f>M89*51%</f>
        <v>4580.847521688368</v>
      </c>
      <c r="O91" s="99"/>
      <c r="P91" s="6"/>
      <c r="Q91" s="6"/>
      <c r="R91" s="6"/>
      <c r="S91" s="422">
        <f>S89*51%</f>
        <v>4505.9708546671918</v>
      </c>
    </row>
    <row r="92" spans="1:19" ht="13.5" customHeight="1">
      <c r="A92" s="5"/>
      <c r="B92" s="430" t="s">
        <v>121</v>
      </c>
      <c r="C92" s="431">
        <f>C91+C89</f>
        <v>14121.58185112249</v>
      </c>
      <c r="D92" s="431">
        <f>D91+D89</f>
        <v>13671.446033871602</v>
      </c>
      <c r="E92" s="431">
        <f>E91+E89</f>
        <v>13562.901485783208</v>
      </c>
      <c r="F92" s="394"/>
      <c r="G92" s="99"/>
      <c r="H92" s="99"/>
      <c r="I92" s="99"/>
      <c r="J92" s="6"/>
      <c r="K92" s="431">
        <f>K91+K89</f>
        <v>13341.207824602861</v>
      </c>
      <c r="L92" s="431">
        <f>L91+L89</f>
        <v>13671.446033871602</v>
      </c>
      <c r="M92" s="431">
        <f>M91+M89</f>
        <v>13562.901485783208</v>
      </c>
      <c r="O92" s="99"/>
      <c r="P92" s="6"/>
      <c r="Q92" s="6"/>
      <c r="R92" s="6"/>
      <c r="S92" s="431">
        <f>S91+S89</f>
        <v>13341.207824602861</v>
      </c>
    </row>
    <row r="93" spans="1:19" ht="13.5" customHeight="1">
      <c r="A93" s="5"/>
    </row>
    <row r="94" spans="1:19" ht="13.5" customHeight="1">
      <c r="A94" s="5"/>
      <c r="B94" s="16" t="s">
        <v>122</v>
      </c>
      <c r="C94" s="120">
        <f>C3</f>
        <v>45630</v>
      </c>
      <c r="D94" s="120">
        <f>D3</f>
        <v>45995</v>
      </c>
      <c r="E94" s="120">
        <f>E3</f>
        <v>46112</v>
      </c>
      <c r="F94" s="394"/>
      <c r="G94" s="120">
        <f>G3</f>
        <v>45544</v>
      </c>
      <c r="H94" s="120">
        <f>H3</f>
        <v>45635</v>
      </c>
      <c r="I94" s="120">
        <f>I3</f>
        <v>45747</v>
      </c>
      <c r="J94" s="396"/>
      <c r="K94" s="120">
        <f>K3</f>
        <v>45909</v>
      </c>
      <c r="L94" s="120">
        <f>L3</f>
        <v>46000</v>
      </c>
      <c r="M94" s="120">
        <f>M3</f>
        <v>46112</v>
      </c>
      <c r="O94" s="120">
        <f>O3</f>
        <v>45544</v>
      </c>
      <c r="P94" s="120"/>
      <c r="Q94" s="120"/>
      <c r="R94" s="120"/>
      <c r="S94" s="120">
        <f>S3</f>
        <v>45909</v>
      </c>
    </row>
    <row r="95" spans="1:19" s="5" customFormat="1" ht="13.5" customHeight="1">
      <c r="B95" s="7" t="s">
        <v>123</v>
      </c>
      <c r="C95" s="4">
        <f>41246.113+4049.362</f>
        <v>45295.474999999999</v>
      </c>
      <c r="D95" s="4">
        <f>41075.251+4777.991</f>
        <v>45853.241999999998</v>
      </c>
      <c r="E95" s="6">
        <f t="shared" ref="E95:E100" si="5">M95</f>
        <v>45300.858</v>
      </c>
      <c r="F95" s="394"/>
      <c r="G95" s="99"/>
      <c r="H95" s="6">
        <f t="shared" ref="H95:H100" si="6">C95</f>
        <v>45295.474999999999</v>
      </c>
      <c r="I95" s="99"/>
      <c r="J95" s="4"/>
      <c r="K95" s="4">
        <f>39732.788+4794.12</f>
        <v>44526.908000000003</v>
      </c>
      <c r="L95" s="6">
        <f t="shared" ref="L95:L100" si="7">D95</f>
        <v>45853.241999999998</v>
      </c>
      <c r="M95" s="4">
        <f>40764.767+4536.091</f>
        <v>45300.858</v>
      </c>
      <c r="O95" s="99"/>
      <c r="P95" s="4"/>
      <c r="Q95" s="4"/>
      <c r="R95" s="4"/>
      <c r="S95" s="6">
        <f t="shared" ref="S95:S100" si="8">K95</f>
        <v>44526.908000000003</v>
      </c>
    </row>
    <row r="96" spans="1:19" s="5" customFormat="1" ht="13.5" customHeight="1">
      <c r="B96" s="7" t="s">
        <v>124</v>
      </c>
      <c r="C96" s="4">
        <v>1787.2370000000001</v>
      </c>
      <c r="D96" s="4">
        <v>3624.26</v>
      </c>
      <c r="E96" s="6">
        <f t="shared" si="5"/>
        <v>3625.4630000000002</v>
      </c>
      <c r="F96" s="394"/>
      <c r="G96" s="99"/>
      <c r="H96" s="6">
        <f t="shared" si="6"/>
        <v>1787.2370000000001</v>
      </c>
      <c r="I96" s="99"/>
      <c r="J96" s="4"/>
      <c r="K96" s="4">
        <v>3524.5610000000001</v>
      </c>
      <c r="L96" s="6">
        <f t="shared" si="7"/>
        <v>3624.26</v>
      </c>
      <c r="M96" s="4">
        <v>3625.4630000000002</v>
      </c>
      <c r="O96" s="99"/>
      <c r="P96" s="4"/>
      <c r="Q96" s="4"/>
      <c r="R96" s="4"/>
      <c r="S96" s="6">
        <f t="shared" si="8"/>
        <v>3524.5610000000001</v>
      </c>
    </row>
    <row r="97" spans="1:19" s="5" customFormat="1" ht="13.5" customHeight="1">
      <c r="B97" s="7" t="s">
        <v>125</v>
      </c>
      <c r="C97" s="4">
        <v>2926.4209999999998</v>
      </c>
      <c r="D97" s="4">
        <v>3440.085</v>
      </c>
      <c r="E97" s="6">
        <f t="shared" si="5"/>
        <v>3787.1729999999998</v>
      </c>
      <c r="F97" s="394"/>
      <c r="G97" s="99"/>
      <c r="H97" s="6">
        <f t="shared" si="6"/>
        <v>2926.4209999999998</v>
      </c>
      <c r="I97" s="99"/>
      <c r="J97" s="4"/>
      <c r="K97" s="4">
        <v>3800.4630000000002</v>
      </c>
      <c r="L97" s="6">
        <f t="shared" si="7"/>
        <v>3440.085</v>
      </c>
      <c r="M97" s="4">
        <v>3787.1729999999998</v>
      </c>
      <c r="O97" s="99"/>
      <c r="P97" s="4"/>
      <c r="Q97" s="4"/>
      <c r="R97" s="4"/>
      <c r="S97" s="6">
        <f t="shared" si="8"/>
        <v>3800.4630000000002</v>
      </c>
    </row>
    <row r="98" spans="1:19" s="5" customFormat="1" ht="13.5" customHeight="1">
      <c r="B98" s="7" t="s">
        <v>126</v>
      </c>
      <c r="C98" s="4">
        <v>11482.938</v>
      </c>
      <c r="D98" s="4">
        <v>12440.743</v>
      </c>
      <c r="E98" s="6">
        <f t="shared" si="5"/>
        <v>13104.833000000001</v>
      </c>
      <c r="F98" s="394"/>
      <c r="G98" s="99"/>
      <c r="H98" s="6">
        <f t="shared" si="6"/>
        <v>11482.938</v>
      </c>
      <c r="I98" s="99"/>
      <c r="J98" s="4"/>
      <c r="K98" s="4">
        <v>13476.487999999999</v>
      </c>
      <c r="L98" s="6">
        <f t="shared" si="7"/>
        <v>12440.743</v>
      </c>
      <c r="M98" s="4">
        <v>13104.833000000001</v>
      </c>
      <c r="O98" s="99"/>
      <c r="P98" s="4"/>
      <c r="Q98" s="4"/>
      <c r="R98" s="4"/>
      <c r="S98" s="6">
        <f t="shared" si="8"/>
        <v>13476.487999999999</v>
      </c>
    </row>
    <row r="99" spans="1:19" s="5" customFormat="1" ht="13.5" customHeight="1">
      <c r="B99" s="7" t="s">
        <v>127</v>
      </c>
      <c r="C99" s="4">
        <v>9175.8140000000003</v>
      </c>
      <c r="D99" s="4">
        <v>6935.3689999999997</v>
      </c>
      <c r="E99" s="6">
        <f t="shared" si="5"/>
        <v>5857.8940000000002</v>
      </c>
      <c r="F99" s="394"/>
      <c r="G99" s="99"/>
      <c r="H99" s="6">
        <f t="shared" si="6"/>
        <v>9175.8140000000003</v>
      </c>
      <c r="I99" s="99"/>
      <c r="J99" s="4"/>
      <c r="K99" s="4">
        <v>6788.8389999999999</v>
      </c>
      <c r="L99" s="6">
        <f t="shared" si="7"/>
        <v>6935.3689999999997</v>
      </c>
      <c r="M99" s="4">
        <v>5857.8940000000002</v>
      </c>
      <c r="O99" s="99"/>
      <c r="P99" s="4"/>
      <c r="Q99" s="4"/>
      <c r="R99" s="4"/>
      <c r="S99" s="6">
        <f t="shared" si="8"/>
        <v>6788.8389999999999</v>
      </c>
    </row>
    <row r="100" spans="1:19" s="5" customFormat="1" ht="13.5" customHeight="1">
      <c r="B100" s="7" t="s">
        <v>128</v>
      </c>
      <c r="C100" s="4">
        <v>20261.845000000001</v>
      </c>
      <c r="D100" s="4">
        <v>22625.447</v>
      </c>
      <c r="E100" s="6">
        <f t="shared" si="5"/>
        <v>22706.471000000001</v>
      </c>
      <c r="F100" s="394"/>
      <c r="G100" s="99"/>
      <c r="H100" s="6">
        <f t="shared" si="6"/>
        <v>20261.845000000001</v>
      </c>
      <c r="I100" s="99"/>
      <c r="J100" s="4"/>
      <c r="K100" s="4">
        <v>23146.184000000001</v>
      </c>
      <c r="L100" s="6">
        <f t="shared" si="7"/>
        <v>22625.447</v>
      </c>
      <c r="M100" s="4">
        <v>22706.471000000001</v>
      </c>
      <c r="O100" s="99"/>
      <c r="P100" s="4"/>
      <c r="Q100" s="4"/>
      <c r="R100" s="4"/>
      <c r="S100" s="6">
        <f t="shared" si="8"/>
        <v>23146.184000000001</v>
      </c>
    </row>
    <row r="101" spans="1:19" s="5" customFormat="1" ht="13.5" customHeight="1">
      <c r="B101" s="5" t="s">
        <v>129</v>
      </c>
      <c r="C101" s="8">
        <f>C98+C99-C100</f>
        <v>396.90699999999924</v>
      </c>
      <c r="D101" s="8">
        <f>D98+D99-D100</f>
        <v>-3249.3349999999991</v>
      </c>
      <c r="E101" s="8">
        <f>E98+E99-E100</f>
        <v>-3743.7440000000024</v>
      </c>
      <c r="F101" s="394"/>
      <c r="G101" s="99"/>
      <c r="H101" s="8">
        <f>H98+H99-H100</f>
        <v>396.90699999999924</v>
      </c>
      <c r="I101" s="99"/>
      <c r="J101" s="4"/>
      <c r="K101" s="8">
        <f>K98+K99-K100</f>
        <v>-2880.8570000000036</v>
      </c>
      <c r="L101" s="8">
        <f>L98+L99-L100</f>
        <v>-3249.3349999999991</v>
      </c>
      <c r="M101" s="8">
        <f>M98+M99-M100</f>
        <v>-3743.7440000000024</v>
      </c>
      <c r="O101" s="99"/>
      <c r="P101" s="4"/>
      <c r="Q101" s="4"/>
      <c r="R101" s="4"/>
      <c r="S101" s="8">
        <f>S98+S99-S100</f>
        <v>-2880.8570000000036</v>
      </c>
    </row>
    <row r="102" spans="1:19" s="46" customFormat="1" ht="13.5" customHeight="1">
      <c r="A102" s="5"/>
      <c r="B102" s="22" t="s">
        <v>130</v>
      </c>
      <c r="C102" s="38">
        <f>C101/C79</f>
        <v>2.6613914870487585E-3</v>
      </c>
      <c r="D102" s="38">
        <f>D101/D79</f>
        <v>-1.9817521099321483E-2</v>
      </c>
      <c r="E102" s="38">
        <f>E101/E79</f>
        <v>-2.2836610531732807E-2</v>
      </c>
      <c r="F102" s="394"/>
      <c r="G102" s="99"/>
      <c r="H102" s="38"/>
      <c r="I102" s="99"/>
      <c r="J102" s="4"/>
      <c r="K102" s="38">
        <f>K101/K79</f>
        <v>-1.7755052291902468E-2</v>
      </c>
      <c r="L102" s="38">
        <f>L101/L79</f>
        <v>-1.9817521099321483E-2</v>
      </c>
      <c r="M102" s="38">
        <f>M101/M79</f>
        <v>-2.2836610531732807E-2</v>
      </c>
      <c r="O102" s="99"/>
      <c r="P102" s="4"/>
      <c r="Q102" s="4"/>
      <c r="R102" s="4"/>
      <c r="S102" s="38">
        <f>S101/S79</f>
        <v>-1.7755052291902468E-2</v>
      </c>
    </row>
    <row r="103" spans="1:19" ht="13.5" customHeight="1">
      <c r="A103" s="5"/>
      <c r="C103" s="36"/>
      <c r="D103" s="36"/>
      <c r="E103" s="36"/>
      <c r="F103" s="394"/>
      <c r="G103" s="99"/>
      <c r="I103" s="99"/>
      <c r="J103" s="4"/>
      <c r="O103" s="99"/>
      <c r="P103" s="4"/>
      <c r="Q103" s="4"/>
      <c r="R103" s="4"/>
    </row>
    <row r="104" spans="1:19" ht="13.5" customHeight="1">
      <c r="A104" s="5"/>
      <c r="B104" s="46" t="s">
        <v>131</v>
      </c>
      <c r="C104" s="489">
        <f>C98/-C9*365</f>
        <v>32.397749075541491</v>
      </c>
      <c r="D104" s="489">
        <f>D98/-D9*365</f>
        <v>31.582468033667823</v>
      </c>
      <c r="E104" s="489">
        <f>E98/-E9*365</f>
        <v>33.292189935831679</v>
      </c>
      <c r="F104" s="490"/>
      <c r="G104" s="99"/>
      <c r="H104" s="489">
        <f>(H98/-H9)*365/4</f>
        <v>28.713355137897359</v>
      </c>
      <c r="I104" s="99"/>
      <c r="J104" s="491"/>
      <c r="K104" s="489">
        <f>(K98/-K9)*365/4</f>
        <v>33.582688112609219</v>
      </c>
      <c r="L104" s="489">
        <f>(L98/-L9)*365/4</f>
        <v>29.572572284749921</v>
      </c>
      <c r="M104" s="489">
        <f>(M98/-M9)*365/4</f>
        <v>34.478755159165708</v>
      </c>
      <c r="N104" s="46"/>
      <c r="O104" s="99"/>
      <c r="P104" s="491"/>
      <c r="Q104" s="491"/>
      <c r="R104" s="491"/>
      <c r="S104" s="489">
        <f>(S98/-S9)*365*3/4</f>
        <v>35.004877280350591</v>
      </c>
    </row>
    <row r="105" spans="1:19" ht="13.5" customHeight="1">
      <c r="A105" s="5"/>
      <c r="B105" s="46" t="s">
        <v>132</v>
      </c>
      <c r="C105" s="489">
        <f>C99/C7*365</f>
        <v>22.457296399950479</v>
      </c>
      <c r="D105" s="489">
        <f>D99/D7*365</f>
        <v>15.438932841185737</v>
      </c>
      <c r="E105" s="489">
        <f>E99/E7*365</f>
        <v>13.042470850617359</v>
      </c>
      <c r="F105" s="490"/>
      <c r="G105" s="99"/>
      <c r="H105" s="489">
        <f>H99/H7*365/4</f>
        <v>19.83722177786391</v>
      </c>
      <c r="I105" s="99"/>
      <c r="J105" s="491"/>
      <c r="K105" s="489">
        <f>K99/K7*365/4</f>
        <v>14.832363652161787</v>
      </c>
      <c r="L105" s="489">
        <f>L99/L7*365/4</f>
        <v>14.410750924427292</v>
      </c>
      <c r="M105" s="489">
        <f>M99/M7*365/4</f>
        <v>13.548579217720384</v>
      </c>
      <c r="N105" s="46"/>
      <c r="O105" s="99"/>
      <c r="P105" s="491"/>
      <c r="Q105" s="491"/>
      <c r="R105" s="491"/>
      <c r="S105" s="489">
        <f>S99/S7*365*3/4</f>
        <v>15.480918974456422</v>
      </c>
    </row>
    <row r="106" spans="1:19" ht="13.5" customHeight="1">
      <c r="A106" s="5"/>
      <c r="B106" s="46" t="s">
        <v>133</v>
      </c>
      <c r="C106" s="489">
        <f>C100/-C9*365</f>
        <v>57.166395056519072</v>
      </c>
      <c r="D106" s="489">
        <f>D100/-D9*365</f>
        <v>57.437683314006691</v>
      </c>
      <c r="E106" s="489">
        <f>E100/-E9*365</f>
        <v>57.684683605235861</v>
      </c>
      <c r="F106" s="490"/>
      <c r="G106" s="99"/>
      <c r="H106" s="489">
        <f>H100/-H9*365/4</f>
        <v>50.665217493469868</v>
      </c>
      <c r="I106" s="99"/>
      <c r="J106" s="491"/>
      <c r="K106" s="489">
        <f>K100/-K9*365/4</f>
        <v>57.679053939651482</v>
      </c>
      <c r="L106" s="489">
        <f>L100/-L9*365/4</f>
        <v>53.782371911571367</v>
      </c>
      <c r="M106" s="489">
        <f>M100/-M9*365/4</f>
        <v>59.740620436574552</v>
      </c>
      <c r="N106" s="46"/>
      <c r="O106" s="99"/>
      <c r="P106" s="491"/>
      <c r="Q106" s="491"/>
      <c r="R106" s="491"/>
      <c r="S106" s="489">
        <f>S100/-S9*365*3/4</f>
        <v>60.121697168313766</v>
      </c>
    </row>
    <row r="107" spans="1:19" ht="13.5" customHeight="1">
      <c r="A107" s="5"/>
      <c r="C107" s="36"/>
      <c r="D107" s="36"/>
      <c r="E107" s="36"/>
      <c r="F107" s="394"/>
      <c r="G107" s="99"/>
      <c r="I107" s="99"/>
      <c r="J107" s="4"/>
      <c r="O107" s="99"/>
      <c r="P107" s="4"/>
      <c r="Q107" s="4"/>
      <c r="R107" s="4"/>
    </row>
    <row r="108" spans="1:19" ht="13.5" customHeight="1">
      <c r="A108" s="5"/>
      <c r="B108" s="5" t="s">
        <v>134</v>
      </c>
    </row>
    <row r="109" spans="1:19" ht="13.5" customHeight="1">
      <c r="A109" s="5"/>
      <c r="B109" s="1" t="s">
        <v>135</v>
      </c>
      <c r="C109" s="39">
        <f>8352.851+1204.466+220.653</f>
        <v>9777.9700000000012</v>
      </c>
      <c r="D109" s="39">
        <f>13621.763+1319.55+1233.551</f>
        <v>16174.864</v>
      </c>
      <c r="E109" s="6">
        <f>M109</f>
        <v>14720.64</v>
      </c>
      <c r="F109" s="394"/>
      <c r="G109" s="99"/>
      <c r="H109" s="6">
        <f>C109</f>
        <v>9777.9700000000012</v>
      </c>
      <c r="I109" s="99"/>
      <c r="J109" s="4"/>
      <c r="K109" s="39">
        <f>11035.438+1289.99+247.887</f>
        <v>12573.315000000001</v>
      </c>
      <c r="L109" s="6">
        <f>D109</f>
        <v>16174.864</v>
      </c>
      <c r="M109" s="39">
        <f>12997.675+1293.708+429.257</f>
        <v>14720.64</v>
      </c>
      <c r="O109" s="99"/>
      <c r="P109" s="4"/>
      <c r="Q109" s="4"/>
      <c r="R109" s="4"/>
      <c r="S109" s="6">
        <f>K109</f>
        <v>12573.315000000001</v>
      </c>
    </row>
    <row r="110" spans="1:19" ht="13.5" customHeight="1">
      <c r="A110" s="5"/>
      <c r="B110" s="1" t="s">
        <v>136</v>
      </c>
      <c r="C110" s="39">
        <f>52770.78+3691.734+39.156</f>
        <v>56501.67</v>
      </c>
      <c r="D110" s="39">
        <f>55027.702+4593.674+42.018</f>
        <v>59663.393999999993</v>
      </c>
      <c r="E110" s="6">
        <f>M110</f>
        <v>58586.847000000002</v>
      </c>
      <c r="F110" s="394"/>
      <c r="G110" s="99"/>
      <c r="H110" s="6">
        <f>C110</f>
        <v>56501.67</v>
      </c>
      <c r="I110" s="99"/>
      <c r="J110" s="4"/>
      <c r="K110" s="39">
        <f>52715.844+4554.488+8.144</f>
        <v>57278.475999999995</v>
      </c>
      <c r="L110" s="6">
        <f>D110</f>
        <v>59663.393999999993</v>
      </c>
      <c r="M110" s="39">
        <f>54000.716+4453.91+132.221</f>
        <v>58586.847000000002</v>
      </c>
      <c r="O110" s="99"/>
      <c r="P110" s="4"/>
      <c r="Q110" s="4"/>
      <c r="R110" s="4"/>
      <c r="S110" s="6">
        <f>K110</f>
        <v>57278.475999999995</v>
      </c>
    </row>
    <row r="111" spans="1:19" ht="13.5" customHeight="1">
      <c r="A111" s="5"/>
      <c r="B111" s="5" t="s">
        <v>137</v>
      </c>
      <c r="C111" s="8">
        <f>SUM(C109:C110)</f>
        <v>66279.64</v>
      </c>
      <c r="D111" s="8">
        <f>SUM(D109:D110)</f>
        <v>75838.257999999987</v>
      </c>
      <c r="E111" s="8">
        <f>SUM(E109:E110)</f>
        <v>73307.486999999994</v>
      </c>
      <c r="F111" s="394"/>
      <c r="G111" s="99"/>
      <c r="H111" s="8">
        <f>SUM(H109:H110)</f>
        <v>66279.64</v>
      </c>
      <c r="I111" s="99"/>
      <c r="J111" s="4"/>
      <c r="K111" s="8">
        <f>SUM(K109:K110)</f>
        <v>69851.790999999997</v>
      </c>
      <c r="L111" s="8">
        <f>SUM(L109:L110)</f>
        <v>75838.257999999987</v>
      </c>
      <c r="M111" s="8">
        <f>SUM(M109:M110)</f>
        <v>73307.486999999994</v>
      </c>
      <c r="O111" s="99"/>
      <c r="P111" s="4"/>
      <c r="Q111" s="4"/>
      <c r="R111" s="4"/>
      <c r="S111" s="8">
        <f>SUM(S109:S110)</f>
        <v>69851.790999999997</v>
      </c>
    </row>
    <row r="112" spans="1:19" ht="13.5" customHeight="1">
      <c r="A112" s="5"/>
      <c r="B112" s="5"/>
      <c r="C112" s="8"/>
      <c r="D112" s="8"/>
      <c r="E112" s="8"/>
      <c r="F112" s="394"/>
      <c r="G112" s="99"/>
      <c r="H112" s="8"/>
      <c r="I112" s="99"/>
      <c r="J112" s="4"/>
      <c r="K112" s="8"/>
      <c r="L112" s="8"/>
      <c r="M112" s="8"/>
      <c r="O112" s="99"/>
      <c r="P112" s="4"/>
      <c r="Q112" s="4"/>
      <c r="R112" s="4"/>
      <c r="S112" s="8"/>
    </row>
    <row r="113" spans="1:19" ht="13.5" customHeight="1">
      <c r="A113" s="5"/>
      <c r="B113" s="5" t="s">
        <v>134</v>
      </c>
      <c r="C113" s="36"/>
      <c r="D113" s="36"/>
      <c r="E113" s="36"/>
      <c r="F113" s="394"/>
      <c r="G113" s="99"/>
      <c r="H113" s="36"/>
      <c r="I113" s="99"/>
      <c r="J113" s="4"/>
      <c r="K113" s="36"/>
      <c r="L113" s="36"/>
      <c r="M113" s="36"/>
      <c r="O113" s="99"/>
      <c r="P113" s="4"/>
      <c r="Q113" s="4"/>
      <c r="R113" s="4"/>
      <c r="S113" s="36"/>
    </row>
    <row r="114" spans="1:19" ht="13.5" customHeight="1">
      <c r="A114" s="5"/>
      <c r="B114" s="1" t="s">
        <v>11</v>
      </c>
      <c r="C114" s="39">
        <v>0</v>
      </c>
      <c r="D114" s="39">
        <v>50.09</v>
      </c>
      <c r="E114" s="6">
        <f>M114</f>
        <v>50.045999999999999</v>
      </c>
      <c r="F114" s="394"/>
      <c r="G114" s="99"/>
      <c r="H114" s="6">
        <f>C114</f>
        <v>0</v>
      </c>
      <c r="I114" s="99"/>
      <c r="J114" s="4"/>
      <c r="K114" s="39">
        <v>0</v>
      </c>
      <c r="L114" s="6">
        <f>D114</f>
        <v>50.09</v>
      </c>
      <c r="M114" s="39">
        <v>50.045999999999999</v>
      </c>
      <c r="O114" s="99"/>
      <c r="P114" s="4"/>
      <c r="Q114" s="4"/>
      <c r="R114" s="4"/>
      <c r="S114" s="6">
        <f>K114</f>
        <v>0</v>
      </c>
    </row>
    <row r="115" spans="1:19" ht="13.5" customHeight="1">
      <c r="A115" s="5"/>
      <c r="B115" s="1" t="s">
        <v>138</v>
      </c>
      <c r="C115" s="39">
        <f>1266.464+4599.447</f>
        <v>5865.9110000000001</v>
      </c>
      <c r="D115" s="39">
        <f>1343.944+4496.485</f>
        <v>5840.4290000000001</v>
      </c>
      <c r="E115" s="6">
        <f>M115</f>
        <v>7434.7310000000007</v>
      </c>
      <c r="F115" s="394"/>
      <c r="G115" s="99"/>
      <c r="H115" s="6">
        <f>C115</f>
        <v>5865.9110000000001</v>
      </c>
      <c r="I115" s="99"/>
      <c r="J115" s="4"/>
      <c r="K115" s="39">
        <f>1139.281+4499.701</f>
        <v>5638.982</v>
      </c>
      <c r="L115" s="6">
        <f>D115</f>
        <v>5840.4290000000001</v>
      </c>
      <c r="M115" s="39">
        <f>1406.881+6027.85</f>
        <v>7434.7310000000007</v>
      </c>
      <c r="O115" s="99"/>
      <c r="P115" s="4"/>
      <c r="Q115" s="4"/>
      <c r="R115" s="4"/>
      <c r="S115" s="6">
        <f>K115</f>
        <v>5638.982</v>
      </c>
    </row>
    <row r="116" spans="1:19" ht="13.5" customHeight="1">
      <c r="A116" s="5"/>
      <c r="B116" s="1" t="s">
        <v>15</v>
      </c>
      <c r="C116" s="39">
        <f>12186.259+5337.21</f>
        <v>17523.469000000001</v>
      </c>
      <c r="D116" s="39">
        <f>19644.879+5538.472</f>
        <v>25183.351000000002</v>
      </c>
      <c r="E116" s="6">
        <f>M116</f>
        <v>24900.955000000002</v>
      </c>
      <c r="F116" s="394"/>
      <c r="G116" s="99"/>
      <c r="H116" s="6">
        <f>C116</f>
        <v>17523.469000000001</v>
      </c>
      <c r="I116" s="99"/>
      <c r="J116" s="4"/>
      <c r="K116" s="39">
        <f>17313.876+5385.478</f>
        <v>22699.353999999999</v>
      </c>
      <c r="L116" s="6">
        <f>D116</f>
        <v>25183.351000000002</v>
      </c>
      <c r="M116" s="39">
        <f>19494.944+5406.011</f>
        <v>24900.955000000002</v>
      </c>
      <c r="O116" s="99"/>
      <c r="P116" s="4"/>
      <c r="Q116" s="4"/>
      <c r="R116" s="4"/>
      <c r="S116" s="6">
        <f>K116</f>
        <v>22699.353999999999</v>
      </c>
    </row>
    <row r="117" spans="1:19" ht="13.5" customHeight="1">
      <c r="A117" s="5"/>
      <c r="B117" s="1" t="s">
        <v>17</v>
      </c>
      <c r="C117" s="39"/>
      <c r="D117" s="39"/>
      <c r="E117" s="6">
        <f>M117</f>
        <v>0</v>
      </c>
      <c r="F117" s="394"/>
      <c r="G117" s="99"/>
      <c r="H117" s="6">
        <f>C117</f>
        <v>0</v>
      </c>
      <c r="I117" s="99"/>
      <c r="J117" s="4"/>
      <c r="K117" s="39"/>
      <c r="L117" s="6">
        <f>D117</f>
        <v>0</v>
      </c>
      <c r="M117" s="39"/>
      <c r="O117" s="99"/>
      <c r="P117" s="4"/>
      <c r="Q117" s="4"/>
      <c r="R117" s="4"/>
      <c r="S117" s="6"/>
    </row>
    <row r="118" spans="1:19" ht="13.5" customHeight="1">
      <c r="A118" s="5"/>
      <c r="B118" s="5" t="s">
        <v>139</v>
      </c>
      <c r="C118" s="54">
        <f>SUM(C114:C116)</f>
        <v>23389.38</v>
      </c>
      <c r="D118" s="54">
        <f>SUM(D114:D116)</f>
        <v>31073.870000000003</v>
      </c>
      <c r="E118" s="54">
        <f>SUM(E114:E117)</f>
        <v>32385.732000000004</v>
      </c>
      <c r="F118" s="394"/>
      <c r="G118" s="99"/>
      <c r="H118" s="54">
        <f>SUM(H114:H116)</f>
        <v>23389.38</v>
      </c>
      <c r="I118" s="99"/>
      <c r="J118" s="4"/>
      <c r="K118" s="54">
        <f>SUM(K114:K116)</f>
        <v>28338.335999999999</v>
      </c>
      <c r="L118" s="54">
        <f>SUM(L114:L116)</f>
        <v>31073.870000000003</v>
      </c>
      <c r="M118" s="54">
        <f>SUM(M114:M116)</f>
        <v>32385.732000000004</v>
      </c>
      <c r="O118" s="99"/>
      <c r="P118" s="4"/>
      <c r="Q118" s="4"/>
      <c r="R118" s="4"/>
      <c r="S118" s="54">
        <f>SUM(S114:S116)</f>
        <v>28338.335999999999</v>
      </c>
    </row>
    <row r="119" spans="1:19" ht="13.5" customHeight="1">
      <c r="A119" s="5"/>
      <c r="C119" s="39"/>
      <c r="D119" s="39"/>
      <c r="E119" s="39"/>
      <c r="F119" s="394"/>
      <c r="G119" s="99"/>
      <c r="H119" s="39"/>
      <c r="I119" s="99"/>
      <c r="J119" s="4"/>
      <c r="K119" s="39"/>
      <c r="L119" s="39"/>
      <c r="M119" s="39"/>
      <c r="O119" s="99"/>
      <c r="P119" s="4"/>
      <c r="Q119" s="4"/>
      <c r="R119" s="4"/>
      <c r="S119" s="39"/>
    </row>
    <row r="120" spans="1:19" ht="13.5" customHeight="1">
      <c r="A120" s="5"/>
      <c r="B120" s="1" t="s">
        <v>20</v>
      </c>
      <c r="C120" s="39">
        <v>6975.777</v>
      </c>
      <c r="D120" s="39">
        <v>9590.9869999999992</v>
      </c>
      <c r="E120" s="6">
        <f t="shared" ref="E120:E127" si="9">M120</f>
        <v>10092.251</v>
      </c>
      <c r="F120" s="394"/>
      <c r="G120" s="99"/>
      <c r="H120" s="6">
        <f t="shared" ref="H120:H127" si="10">C120</f>
        <v>6975.777</v>
      </c>
      <c r="I120" s="99"/>
      <c r="J120" s="4"/>
      <c r="K120" s="39">
        <v>8799.5540000000001</v>
      </c>
      <c r="L120" s="6">
        <f t="shared" ref="L120:L127" si="11">D120</f>
        <v>9590.9869999999992</v>
      </c>
      <c r="M120" s="39">
        <v>10092.251</v>
      </c>
      <c r="O120" s="99"/>
      <c r="P120" s="4"/>
      <c r="Q120" s="4"/>
      <c r="R120" s="4"/>
      <c r="S120" s="6">
        <f t="shared" ref="S120:S127" si="12">K120</f>
        <v>8799.5540000000001</v>
      </c>
    </row>
    <row r="121" spans="1:19" ht="13.5" customHeight="1">
      <c r="A121" s="5"/>
      <c r="B121" s="1" t="s">
        <v>21</v>
      </c>
      <c r="C121" s="39">
        <v>20525.423999999999</v>
      </c>
      <c r="D121" s="39">
        <v>18328.012999999999</v>
      </c>
      <c r="E121" s="6">
        <f t="shared" si="9"/>
        <v>16754.530999999999</v>
      </c>
      <c r="F121" s="394"/>
      <c r="G121" s="99"/>
      <c r="H121" s="6">
        <f t="shared" si="10"/>
        <v>20525.423999999999</v>
      </c>
      <c r="I121" s="99"/>
      <c r="J121" s="4"/>
      <c r="K121" s="39">
        <v>17496.37</v>
      </c>
      <c r="L121" s="6">
        <f t="shared" si="11"/>
        <v>18328.012999999999</v>
      </c>
      <c r="M121" s="39">
        <v>16754.530999999999</v>
      </c>
      <c r="O121" s="99"/>
      <c r="P121" s="4"/>
      <c r="Q121" s="4"/>
      <c r="R121" s="4"/>
      <c r="S121" s="6">
        <f t="shared" si="12"/>
        <v>17496.37</v>
      </c>
    </row>
    <row r="122" spans="1:19" ht="13.5" customHeight="1">
      <c r="A122" s="5"/>
      <c r="B122" s="1" t="s">
        <v>22</v>
      </c>
      <c r="C122" s="39">
        <v>5340.52</v>
      </c>
      <c r="D122" s="39">
        <v>5252.1729999999998</v>
      </c>
      <c r="E122" s="6">
        <f t="shared" si="9"/>
        <v>2768.4250000000002</v>
      </c>
      <c r="F122" s="394"/>
      <c r="G122" s="99"/>
      <c r="H122" s="6">
        <f t="shared" si="10"/>
        <v>5340.52</v>
      </c>
      <c r="I122" s="99"/>
      <c r="J122" s="4"/>
      <c r="K122" s="39">
        <v>4752.5230000000001</v>
      </c>
      <c r="L122" s="6">
        <f t="shared" si="11"/>
        <v>5252.1729999999998</v>
      </c>
      <c r="M122" s="39">
        <v>2768.4250000000002</v>
      </c>
      <c r="O122" s="99"/>
      <c r="P122" s="4"/>
      <c r="Q122" s="4"/>
      <c r="R122" s="4"/>
      <c r="S122" s="6">
        <f t="shared" si="12"/>
        <v>4752.5230000000001</v>
      </c>
    </row>
    <row r="123" spans="1:19" ht="13.5" customHeight="1">
      <c r="A123" s="5"/>
      <c r="B123" s="1" t="s">
        <v>23</v>
      </c>
      <c r="C123" s="39">
        <v>3057.761</v>
      </c>
      <c r="D123" s="39">
        <v>2337.5439999999999</v>
      </c>
      <c r="E123" s="6">
        <f t="shared" si="9"/>
        <v>2920.3229999999999</v>
      </c>
      <c r="F123" s="394"/>
      <c r="G123" s="99"/>
      <c r="H123" s="6">
        <f t="shared" si="10"/>
        <v>3057.761</v>
      </c>
      <c r="I123" s="99"/>
      <c r="J123" s="4"/>
      <c r="K123" s="39">
        <v>2498.7139999999999</v>
      </c>
      <c r="L123" s="6">
        <f t="shared" si="11"/>
        <v>2337.5439999999999</v>
      </c>
      <c r="M123" s="39">
        <v>2920.3229999999999</v>
      </c>
      <c r="O123" s="99"/>
      <c r="P123" s="4"/>
      <c r="Q123" s="4"/>
      <c r="R123" s="4"/>
      <c r="S123" s="6">
        <f t="shared" si="12"/>
        <v>2498.7139999999999</v>
      </c>
    </row>
    <row r="124" spans="1:19" ht="13.5" customHeight="1">
      <c r="A124" s="5"/>
      <c r="B124" s="1" t="s">
        <v>24</v>
      </c>
      <c r="C124" s="39">
        <v>0</v>
      </c>
      <c r="D124" s="39">
        <v>0</v>
      </c>
      <c r="E124" s="6">
        <f t="shared" si="9"/>
        <v>0</v>
      </c>
      <c r="F124" s="394"/>
      <c r="G124" s="99"/>
      <c r="H124" s="6">
        <f t="shared" si="10"/>
        <v>0</v>
      </c>
      <c r="I124" s="99"/>
      <c r="J124" s="4"/>
      <c r="K124" s="39">
        <v>0</v>
      </c>
      <c r="L124" s="6">
        <f t="shared" si="11"/>
        <v>0</v>
      </c>
      <c r="M124" s="39">
        <v>0</v>
      </c>
      <c r="O124" s="99"/>
      <c r="P124" s="4"/>
      <c r="Q124" s="4"/>
      <c r="R124" s="4"/>
      <c r="S124" s="6">
        <f t="shared" si="12"/>
        <v>0</v>
      </c>
    </row>
    <row r="125" spans="1:19" ht="13.5" customHeight="1">
      <c r="A125" s="5"/>
      <c r="B125" s="1" t="s">
        <v>25</v>
      </c>
      <c r="C125" s="39">
        <v>0</v>
      </c>
      <c r="D125" s="39">
        <v>0</v>
      </c>
      <c r="E125" s="6">
        <f t="shared" si="9"/>
        <v>0</v>
      </c>
      <c r="F125" s="394"/>
      <c r="G125" s="99"/>
      <c r="H125" s="6">
        <f t="shared" si="10"/>
        <v>0</v>
      </c>
      <c r="I125" s="99"/>
      <c r="J125" s="4"/>
      <c r="K125" s="39">
        <v>0</v>
      </c>
      <c r="L125" s="6">
        <f t="shared" si="11"/>
        <v>0</v>
      </c>
      <c r="M125" s="39">
        <v>0</v>
      </c>
      <c r="O125" s="99"/>
      <c r="P125" s="4"/>
      <c r="Q125" s="4"/>
      <c r="R125" s="4"/>
      <c r="S125" s="6">
        <f t="shared" si="12"/>
        <v>0</v>
      </c>
    </row>
    <row r="126" spans="1:19" ht="13.5" customHeight="1">
      <c r="A126" s="5"/>
      <c r="B126" s="1" t="s">
        <v>26</v>
      </c>
      <c r="C126" s="39">
        <v>1258.761</v>
      </c>
      <c r="D126" s="39">
        <v>1526.7819999999999</v>
      </c>
      <c r="E126" s="6">
        <f t="shared" si="9"/>
        <v>1572.3230000000001</v>
      </c>
      <c r="F126" s="394"/>
      <c r="G126" s="99"/>
      <c r="H126" s="6">
        <f t="shared" si="10"/>
        <v>1258.761</v>
      </c>
      <c r="I126" s="99"/>
      <c r="J126" s="4"/>
      <c r="K126" s="39">
        <v>1352.0820000000001</v>
      </c>
      <c r="L126" s="6">
        <f t="shared" si="11"/>
        <v>1526.7819999999999</v>
      </c>
      <c r="M126" s="39">
        <v>1572.3230000000001</v>
      </c>
      <c r="O126" s="99"/>
      <c r="P126" s="4"/>
      <c r="Q126" s="4"/>
      <c r="R126" s="4"/>
      <c r="S126" s="6">
        <f t="shared" si="12"/>
        <v>1352.0820000000001</v>
      </c>
    </row>
    <row r="127" spans="1:19" ht="13.5" customHeight="1">
      <c r="A127" s="5"/>
      <c r="B127" s="1" t="s">
        <v>27</v>
      </c>
      <c r="C127" s="39">
        <v>576.00800000000004</v>
      </c>
      <c r="D127" s="39">
        <v>540.096</v>
      </c>
      <c r="E127" s="6">
        <f t="shared" si="9"/>
        <v>504.80599999999998</v>
      </c>
      <c r="F127" s="394"/>
      <c r="G127" s="99"/>
      <c r="H127" s="6">
        <f t="shared" si="10"/>
        <v>576.00800000000004</v>
      </c>
      <c r="I127" s="99"/>
      <c r="J127" s="4"/>
      <c r="K127" s="39">
        <v>513.70299999999997</v>
      </c>
      <c r="L127" s="6">
        <f t="shared" si="11"/>
        <v>540.096</v>
      </c>
      <c r="M127" s="39">
        <v>504.80599999999998</v>
      </c>
      <c r="O127" s="99"/>
      <c r="P127" s="4"/>
      <c r="Q127" s="4"/>
      <c r="R127" s="4"/>
      <c r="S127" s="6">
        <f t="shared" si="12"/>
        <v>513.70299999999997</v>
      </c>
    </row>
    <row r="128" spans="1:19" ht="13.5" customHeight="1">
      <c r="A128" s="5"/>
      <c r="B128" s="5" t="s">
        <v>140</v>
      </c>
      <c r="C128" s="54">
        <f>SUM(C120:C127)</f>
        <v>37734.251000000004</v>
      </c>
      <c r="D128" s="54">
        <f>SUM(D120:D127)</f>
        <v>37575.595000000001</v>
      </c>
      <c r="E128" s="54">
        <f>SUM(E120:E127)</f>
        <v>34612.658999999992</v>
      </c>
      <c r="F128" s="394"/>
      <c r="G128" s="99"/>
      <c r="H128" s="54">
        <f>SUM(H120:H127)</f>
        <v>37734.251000000004</v>
      </c>
      <c r="I128" s="99"/>
      <c r="J128" s="4"/>
      <c r="K128" s="54">
        <f>SUM(K120:K127)</f>
        <v>35412.946000000004</v>
      </c>
      <c r="L128" s="54">
        <f>SUM(L120:L127)</f>
        <v>37575.595000000001</v>
      </c>
      <c r="M128" s="54">
        <f>SUM(M120:M127)</f>
        <v>34612.658999999992</v>
      </c>
      <c r="O128" s="99"/>
      <c r="P128" s="4"/>
      <c r="Q128" s="4"/>
      <c r="R128" s="4"/>
      <c r="S128" s="54">
        <f>SUM(S120:S127)</f>
        <v>35412.946000000004</v>
      </c>
    </row>
    <row r="129" spans="1:19" ht="13.5" customHeight="1">
      <c r="A129" s="5"/>
      <c r="C129" s="36"/>
      <c r="D129" s="36"/>
      <c r="E129" s="36"/>
      <c r="F129" s="394"/>
      <c r="G129" s="99"/>
      <c r="H129" s="36"/>
      <c r="I129" s="99"/>
      <c r="J129" s="4"/>
      <c r="K129" s="36"/>
      <c r="L129" s="36"/>
      <c r="M129" s="36"/>
      <c r="O129" s="99"/>
      <c r="P129" s="4"/>
      <c r="Q129" s="4"/>
      <c r="R129" s="4"/>
      <c r="S129" s="36"/>
    </row>
    <row r="130" spans="1:19" ht="13.5" customHeight="1">
      <c r="A130" s="5"/>
      <c r="B130" s="1" t="s">
        <v>28</v>
      </c>
      <c r="C130" s="105">
        <f>220.653+39.156</f>
        <v>259.80899999999997</v>
      </c>
      <c r="D130" s="105">
        <f>1233.551+42.018</f>
        <v>1275.569</v>
      </c>
      <c r="E130" s="6">
        <f>M130</f>
        <v>561.47800000000007</v>
      </c>
      <c r="F130" s="394"/>
      <c r="G130" s="99"/>
      <c r="H130" s="6">
        <f>C130</f>
        <v>259.80899999999997</v>
      </c>
      <c r="I130" s="99"/>
      <c r="J130" s="4"/>
      <c r="K130" s="105">
        <f>247.887+8.144</f>
        <v>256.03100000000001</v>
      </c>
      <c r="L130" s="6">
        <f>D130</f>
        <v>1275.569</v>
      </c>
      <c r="M130" s="105">
        <f>429.257+132.221</f>
        <v>561.47800000000007</v>
      </c>
      <c r="O130" s="99"/>
      <c r="P130" s="4"/>
      <c r="Q130" s="4"/>
      <c r="R130" s="4"/>
      <c r="S130" s="6">
        <f>K130</f>
        <v>256.03100000000001</v>
      </c>
    </row>
    <row r="131" spans="1:19" ht="13.5" customHeight="1">
      <c r="A131" s="5"/>
      <c r="B131" s="1" t="s">
        <v>29</v>
      </c>
      <c r="C131" s="105">
        <f>1204.466+3691.734</f>
        <v>4896.2</v>
      </c>
      <c r="D131" s="105">
        <f>1319.55+4593.674</f>
        <v>5913.2240000000002</v>
      </c>
      <c r="E131" s="6">
        <f>M131</f>
        <v>5747.6180000000004</v>
      </c>
      <c r="F131" s="394"/>
      <c r="G131" s="99"/>
      <c r="H131" s="6">
        <f>C131</f>
        <v>4896.2</v>
      </c>
      <c r="I131" s="99"/>
      <c r="J131" s="4"/>
      <c r="K131" s="105">
        <f>1289.99+4554.488</f>
        <v>5844.4780000000001</v>
      </c>
      <c r="L131" s="6">
        <f>D131</f>
        <v>5913.2240000000002</v>
      </c>
      <c r="M131" s="105">
        <f>1293.708+4453.91</f>
        <v>5747.6180000000004</v>
      </c>
      <c r="O131" s="99"/>
      <c r="P131" s="4"/>
      <c r="Q131" s="4"/>
      <c r="R131" s="4"/>
      <c r="S131" s="6">
        <f>K131</f>
        <v>5844.4780000000001</v>
      </c>
    </row>
    <row r="132" spans="1:19" ht="13.5" customHeight="1">
      <c r="A132" s="5"/>
      <c r="C132" s="105"/>
      <c r="D132" s="105"/>
      <c r="E132" s="6"/>
      <c r="F132" s="394"/>
      <c r="G132" s="99"/>
      <c r="H132" s="361"/>
      <c r="I132" s="99"/>
      <c r="J132" s="4"/>
      <c r="K132" s="105"/>
      <c r="L132" s="361"/>
      <c r="M132" s="105"/>
      <c r="O132" s="99"/>
      <c r="P132" s="4"/>
      <c r="Q132" s="4"/>
      <c r="R132" s="4"/>
      <c r="S132" s="361"/>
    </row>
    <row r="133" spans="1:19" ht="13.5" customHeight="1">
      <c r="A133" s="5"/>
      <c r="B133" s="7" t="s">
        <v>141</v>
      </c>
      <c r="C133" s="105">
        <v>4516.6869999999999</v>
      </c>
      <c r="D133" s="105">
        <v>4711.1329999999998</v>
      </c>
      <c r="E133" s="6">
        <f>M133</f>
        <v>3903.5709999999999</v>
      </c>
      <c r="F133" s="394"/>
      <c r="G133" s="99"/>
      <c r="H133" s="6">
        <f>C133</f>
        <v>4516.6869999999999</v>
      </c>
      <c r="I133" s="99"/>
      <c r="J133" s="4"/>
      <c r="K133" s="105">
        <v>5656.1670000000004</v>
      </c>
      <c r="L133" s="6">
        <f>D133</f>
        <v>4711.1329999999998</v>
      </c>
      <c r="M133" s="105">
        <v>3903.5709999999999</v>
      </c>
      <c r="O133" s="99"/>
      <c r="P133" s="4"/>
      <c r="Q133" s="4"/>
      <c r="R133" s="4"/>
      <c r="S133" s="6">
        <f>K133</f>
        <v>5656.1670000000004</v>
      </c>
    </row>
    <row r="134" spans="1:19" ht="13.5" customHeight="1">
      <c r="A134" s="5"/>
      <c r="B134" s="7" t="s">
        <v>142</v>
      </c>
      <c r="C134" s="105">
        <v>18002.828000000001</v>
      </c>
      <c r="D134" s="105">
        <v>20492.457999999999</v>
      </c>
      <c r="E134" s="6">
        <f>M134</f>
        <v>19127.827000000001</v>
      </c>
      <c r="F134" s="394"/>
      <c r="G134" s="99"/>
      <c r="H134" s="6">
        <f>C134</f>
        <v>18002.828000000001</v>
      </c>
      <c r="I134" s="99"/>
      <c r="J134" s="4"/>
      <c r="K134" s="105">
        <v>16745.911</v>
      </c>
      <c r="L134" s="6">
        <f>D134</f>
        <v>20492.457999999999</v>
      </c>
      <c r="M134" s="105">
        <v>19127.827000000001</v>
      </c>
      <c r="O134" s="99"/>
      <c r="P134" s="4"/>
      <c r="Q134" s="4"/>
      <c r="R134" s="4"/>
      <c r="S134" s="6">
        <f>K134</f>
        <v>16745.911</v>
      </c>
    </row>
    <row r="135" spans="1:19" ht="13.5" customHeight="1">
      <c r="A135" s="5"/>
      <c r="B135" s="15" t="s">
        <v>143</v>
      </c>
      <c r="C135" s="8">
        <f>SUM(C133:C134)</f>
        <v>22519.514999999999</v>
      </c>
      <c r="D135" s="8">
        <f>SUM(D133:D134)</f>
        <v>25203.591</v>
      </c>
      <c r="E135" s="8">
        <f>SUM(E133:E134)</f>
        <v>23031.398000000001</v>
      </c>
      <c r="F135" s="394"/>
      <c r="G135" s="99"/>
      <c r="H135" s="8">
        <f>SUM(H133:H134)</f>
        <v>22519.514999999999</v>
      </c>
      <c r="I135" s="99"/>
      <c r="J135" s="4"/>
      <c r="K135" s="8">
        <f>SUM(K133:K134)</f>
        <v>22402.078000000001</v>
      </c>
      <c r="L135" s="8">
        <f>SUM(L133:L134)</f>
        <v>25203.591</v>
      </c>
      <c r="M135" s="8">
        <f>SUM(M133:M134)</f>
        <v>23031.398000000001</v>
      </c>
      <c r="O135" s="99"/>
      <c r="P135" s="4"/>
      <c r="Q135" s="4"/>
      <c r="R135" s="4"/>
      <c r="S135" s="8">
        <f>SUM(S133:S134)</f>
        <v>22402.078000000001</v>
      </c>
    </row>
    <row r="136" spans="1:19" ht="13.5" customHeight="1">
      <c r="A136" s="5"/>
      <c r="B136" s="7"/>
      <c r="C136" s="4"/>
      <c r="D136" s="4"/>
      <c r="E136" s="4"/>
      <c r="F136" s="394"/>
      <c r="G136" s="99"/>
      <c r="H136" s="4"/>
      <c r="I136" s="99"/>
      <c r="J136" s="4"/>
      <c r="K136" s="4"/>
      <c r="L136" s="4"/>
      <c r="M136" s="4"/>
      <c r="O136" s="99"/>
      <c r="P136" s="4"/>
      <c r="Q136" s="4"/>
      <c r="R136" s="4"/>
      <c r="S136" s="4"/>
    </row>
    <row r="137" spans="1:19" ht="13.5" customHeight="1">
      <c r="A137" s="5"/>
      <c r="B137" s="5" t="s">
        <v>32</v>
      </c>
      <c r="C137" s="8">
        <f>C138-C135</f>
        <v>43760.125000000015</v>
      </c>
      <c r="D137" s="8">
        <f>D138-D135</f>
        <v>50634.667000000001</v>
      </c>
      <c r="E137" s="8">
        <f>E138-E135</f>
        <v>50276.089000000007</v>
      </c>
      <c r="F137" s="394"/>
      <c r="G137" s="99"/>
      <c r="H137" s="8">
        <f>H138-H135</f>
        <v>43760.125000000015</v>
      </c>
      <c r="I137" s="99"/>
      <c r="J137" s="4"/>
      <c r="K137" s="8">
        <f>K138-K135</f>
        <v>47449.713000000011</v>
      </c>
      <c r="L137" s="8">
        <f>L138-L135</f>
        <v>50634.667000000001</v>
      </c>
      <c r="M137" s="8">
        <f>M138-M135</f>
        <v>50276.089000000007</v>
      </c>
      <c r="O137" s="99"/>
      <c r="P137" s="4"/>
      <c r="Q137" s="4"/>
      <c r="R137" s="4"/>
      <c r="S137" s="8">
        <f>S138-S135</f>
        <v>47449.713000000011</v>
      </c>
    </row>
    <row r="138" spans="1:19" s="5" customFormat="1" ht="13.5" customHeight="1">
      <c r="B138" s="5" t="s">
        <v>144</v>
      </c>
      <c r="C138" s="8">
        <f>C118+C128+C130+C131</f>
        <v>66279.640000000014</v>
      </c>
      <c r="D138" s="8">
        <f>D118+D128+D130+D131</f>
        <v>75838.258000000002</v>
      </c>
      <c r="E138" s="8">
        <f>E118+E128+E130+E131</f>
        <v>73307.487000000008</v>
      </c>
      <c r="F138" s="394"/>
      <c r="G138" s="99"/>
      <c r="H138" s="8">
        <f>H118+H128+H130+H131</f>
        <v>66279.640000000014</v>
      </c>
      <c r="I138" s="99"/>
      <c r="J138" s="4"/>
      <c r="K138" s="8">
        <f>K118+K128+K130+K131</f>
        <v>69851.791000000012</v>
      </c>
      <c r="L138" s="8">
        <f>L118+L128+L130+L131</f>
        <v>75838.258000000002</v>
      </c>
      <c r="M138" s="8">
        <f>M118+M128+M130+M131</f>
        <v>73307.487000000008</v>
      </c>
      <c r="O138" s="99"/>
      <c r="P138" s="4"/>
      <c r="Q138" s="4"/>
      <c r="R138" s="4"/>
      <c r="S138" s="8">
        <f>S118+S128+S130+S131</f>
        <v>69851.791000000012</v>
      </c>
    </row>
    <row r="139" spans="1:19" s="5" customFormat="1" ht="13.5" customHeight="1">
      <c r="C139" s="8"/>
      <c r="D139" s="8"/>
      <c r="E139" s="8"/>
      <c r="F139" s="394"/>
      <c r="G139" s="99"/>
      <c r="H139" s="8"/>
      <c r="I139" s="99"/>
      <c r="J139" s="4"/>
      <c r="K139" s="8"/>
      <c r="L139" s="8"/>
      <c r="M139" s="8"/>
      <c r="O139" s="99"/>
      <c r="P139" s="4"/>
      <c r="Q139" s="4"/>
      <c r="R139" s="4"/>
      <c r="S139" s="8"/>
    </row>
    <row r="140" spans="1:19" s="487" customFormat="1" ht="13.5" customHeight="1">
      <c r="A140" s="492"/>
      <c r="B140" s="483" t="s">
        <v>36</v>
      </c>
      <c r="C140" s="484">
        <f>C138-C111</f>
        <v>0</v>
      </c>
      <c r="D140" s="484">
        <f>D138-D111</f>
        <v>0</v>
      </c>
      <c r="E140" s="484">
        <f>E138-E111</f>
        <v>0</v>
      </c>
      <c r="F140" s="485"/>
      <c r="G140" s="486"/>
      <c r="H140" s="484">
        <f>H138-H111</f>
        <v>0</v>
      </c>
      <c r="I140" s="486"/>
      <c r="J140" s="493"/>
      <c r="K140" s="484">
        <f>K138-K111</f>
        <v>0</v>
      </c>
      <c r="L140" s="484">
        <f>L138-L111</f>
        <v>0</v>
      </c>
      <c r="M140" s="484">
        <f>M138-M111</f>
        <v>0</v>
      </c>
      <c r="O140" s="486"/>
      <c r="P140" s="493"/>
      <c r="Q140" s="493"/>
      <c r="R140" s="493"/>
      <c r="S140" s="484">
        <f>S138-S111</f>
        <v>0</v>
      </c>
    </row>
    <row r="141" spans="1:19" s="5" customFormat="1" ht="13.5" customHeight="1">
      <c r="C141" s="27"/>
      <c r="D141" s="27"/>
      <c r="E141" s="27"/>
      <c r="F141" s="394"/>
      <c r="G141" s="99"/>
      <c r="H141" s="27"/>
      <c r="I141" s="99"/>
      <c r="J141" s="4"/>
      <c r="K141" s="27"/>
      <c r="L141" s="27"/>
      <c r="M141" s="27"/>
      <c r="O141" s="99"/>
      <c r="P141" s="4"/>
      <c r="Q141" s="4"/>
      <c r="R141" s="4"/>
      <c r="S141" s="27"/>
    </row>
    <row r="142" spans="1:19" s="5" customFormat="1" ht="13.5" customHeight="1">
      <c r="B142" s="5" t="s">
        <v>145</v>
      </c>
      <c r="C142" s="27">
        <f>30482.375+8359.681</f>
        <v>38842.055999999997</v>
      </c>
      <c r="D142" s="27">
        <f>39808.491+3637.383</f>
        <v>43445.874000000003</v>
      </c>
      <c r="E142" s="8">
        <f>M142</f>
        <v>43966.993000000002</v>
      </c>
      <c r="F142" s="394"/>
      <c r="G142" s="99"/>
      <c r="H142" s="8">
        <f>C142</f>
        <v>38842.055999999997</v>
      </c>
      <c r="I142" s="476"/>
      <c r="J142" s="27"/>
      <c r="K142" s="27">
        <f>38861.3+2487.904</f>
        <v>41349.204000000005</v>
      </c>
      <c r="L142" s="8">
        <f>D142</f>
        <v>43445.874000000003</v>
      </c>
      <c r="M142" s="27">
        <f>42370.837+1596.156</f>
        <v>43966.993000000002</v>
      </c>
      <c r="O142" s="476"/>
      <c r="P142" s="27"/>
      <c r="Q142" s="27"/>
      <c r="R142" s="27"/>
      <c r="S142" s="8">
        <f>K142</f>
        <v>41349.204000000005</v>
      </c>
    </row>
    <row r="143" spans="1:19" s="5" customFormat="1" ht="13.5" customHeight="1">
      <c r="B143" s="5" t="s">
        <v>146</v>
      </c>
      <c r="C143" s="27">
        <v>30482.375</v>
      </c>
      <c r="D143" s="27">
        <v>39808.491000000002</v>
      </c>
      <c r="E143" s="8">
        <f>M143</f>
        <v>42370.837</v>
      </c>
      <c r="F143" s="394"/>
      <c r="G143" s="99"/>
      <c r="H143" s="8">
        <f>C143</f>
        <v>30482.375</v>
      </c>
      <c r="I143" s="476"/>
      <c r="J143" s="27"/>
      <c r="K143" s="27">
        <v>38861.300000000003</v>
      </c>
      <c r="L143" s="8">
        <f>D143</f>
        <v>39808.491000000002</v>
      </c>
      <c r="M143" s="27">
        <v>42370.837</v>
      </c>
      <c r="O143" s="476"/>
      <c r="P143" s="27"/>
      <c r="Q143" s="27"/>
      <c r="R143" s="27"/>
      <c r="S143" s="8">
        <f>K143</f>
        <v>38861.300000000003</v>
      </c>
    </row>
    <row r="144" spans="1:19" ht="13.5" customHeight="1">
      <c r="A144" s="5"/>
      <c r="B144" s="5"/>
      <c r="C144" s="6"/>
      <c r="D144" s="6"/>
      <c r="E144" s="6"/>
      <c r="F144" s="394"/>
      <c r="G144" s="99"/>
      <c r="H144" s="6"/>
      <c r="I144" s="99"/>
      <c r="J144" s="4"/>
      <c r="K144" s="6"/>
      <c r="L144" s="6"/>
      <c r="M144" s="6"/>
      <c r="O144" s="99"/>
      <c r="P144" s="4"/>
      <c r="Q144" s="4"/>
      <c r="R144" s="4"/>
      <c r="S144" s="6"/>
    </row>
    <row r="145" spans="1:19" ht="13.5" customHeight="1">
      <c r="A145" s="5"/>
      <c r="B145" s="5" t="s">
        <v>147</v>
      </c>
      <c r="C145" s="4">
        <v>15090</v>
      </c>
      <c r="D145" s="4">
        <v>28560</v>
      </c>
      <c r="E145" s="6">
        <f>M145</f>
        <v>29290</v>
      </c>
      <c r="F145" s="394"/>
      <c r="G145" s="99"/>
      <c r="H145" s="6">
        <f>C145</f>
        <v>15090</v>
      </c>
      <c r="I145" s="99"/>
      <c r="J145" s="4"/>
      <c r="K145" s="4">
        <v>26170</v>
      </c>
      <c r="L145" s="6">
        <f>D145</f>
        <v>28560</v>
      </c>
      <c r="M145" s="4">
        <v>29290</v>
      </c>
      <c r="O145" s="99"/>
      <c r="P145" s="4"/>
      <c r="Q145" s="4"/>
      <c r="R145" s="4"/>
      <c r="S145" s="6">
        <f>K145</f>
        <v>26170</v>
      </c>
    </row>
    <row r="146" spans="1:19" ht="13.5" customHeight="1" outlineLevel="1">
      <c r="A146" s="5"/>
      <c r="B146" s="1" t="s">
        <v>148</v>
      </c>
      <c r="C146" s="4">
        <v>19938.112000000001</v>
      </c>
      <c r="D146" s="4">
        <v>14317.084999999999</v>
      </c>
      <c r="E146" s="6">
        <f>M146</f>
        <v>14034.234</v>
      </c>
      <c r="F146" s="394"/>
      <c r="G146" s="99"/>
      <c r="H146" s="6">
        <f>C146</f>
        <v>19938.112000000001</v>
      </c>
      <c r="I146" s="99"/>
      <c r="J146" s="4"/>
      <c r="K146" s="4">
        <v>14916.224</v>
      </c>
      <c r="L146" s="6">
        <f>D146</f>
        <v>14317.084999999999</v>
      </c>
      <c r="M146" s="4">
        <v>14034.234</v>
      </c>
      <c r="O146" s="99"/>
      <c r="P146" s="4"/>
      <c r="Q146" s="4"/>
      <c r="R146" s="4"/>
      <c r="S146" s="6">
        <f>K146</f>
        <v>14916.224</v>
      </c>
    </row>
    <row r="147" spans="1:19" s="5" customFormat="1" ht="13.5" customHeight="1" outlineLevel="1">
      <c r="B147" s="5" t="s">
        <v>149</v>
      </c>
      <c r="C147" s="8">
        <f>C138+C146</f>
        <v>86217.752000000008</v>
      </c>
      <c r="D147" s="8">
        <f>D138+D146</f>
        <v>90155.342999999993</v>
      </c>
      <c r="E147" s="8">
        <f>E138+E146</f>
        <v>87341.721000000005</v>
      </c>
      <c r="F147" s="394"/>
      <c r="G147" s="99"/>
      <c r="H147" s="8">
        <f>H138+H146</f>
        <v>86217.752000000008</v>
      </c>
      <c r="I147" s="99"/>
      <c r="J147" s="4"/>
      <c r="K147" s="8">
        <f>K138+K146</f>
        <v>84768.015000000014</v>
      </c>
      <c r="L147" s="8">
        <f>L138+L146</f>
        <v>90155.342999999993</v>
      </c>
      <c r="M147" s="8">
        <f>M138+M146</f>
        <v>87341.721000000005</v>
      </c>
      <c r="O147" s="99"/>
      <c r="P147" s="4"/>
      <c r="Q147" s="4"/>
      <c r="R147" s="4"/>
      <c r="S147" s="8">
        <f>S138+S146</f>
        <v>84768.015000000014</v>
      </c>
    </row>
    <row r="148" spans="1:19" s="5" customFormat="1" ht="13.5" customHeight="1" outlineLevel="1">
      <c r="B148" s="5" t="s">
        <v>150</v>
      </c>
      <c r="C148" s="8">
        <f>C137+C145</f>
        <v>58850.125000000015</v>
      </c>
      <c r="D148" s="8">
        <f>D137+D145</f>
        <v>79194.667000000001</v>
      </c>
      <c r="E148" s="8">
        <f>E137+E145</f>
        <v>79566.089000000007</v>
      </c>
      <c r="F148" s="394"/>
      <c r="G148" s="99"/>
      <c r="H148" s="8">
        <f>H137+H145</f>
        <v>58850.125000000015</v>
      </c>
      <c r="I148" s="99"/>
      <c r="J148" s="4"/>
      <c r="K148" s="8">
        <f>K137+K145</f>
        <v>73619.713000000018</v>
      </c>
      <c r="L148" s="8">
        <f>L137+L145</f>
        <v>79194.667000000001</v>
      </c>
      <c r="M148" s="8">
        <f>M137+M145</f>
        <v>79566.089000000007</v>
      </c>
      <c r="O148" s="99"/>
      <c r="P148" s="4"/>
      <c r="Q148" s="4"/>
      <c r="R148" s="4"/>
      <c r="S148" s="8">
        <f>S137+S145</f>
        <v>73619.713000000018</v>
      </c>
    </row>
    <row r="149" spans="1:19" ht="13.5" customHeight="1">
      <c r="A149" s="5"/>
      <c r="F149" s="394"/>
    </row>
    <row r="150" spans="1:19" ht="13.5" customHeight="1">
      <c r="A150" s="5"/>
      <c r="B150" s="16" t="s">
        <v>151</v>
      </c>
      <c r="C150" s="44">
        <f>C3</f>
        <v>45630</v>
      </c>
      <c r="D150" s="44">
        <f>D3</f>
        <v>45995</v>
      </c>
      <c r="E150" s="120">
        <f>E3</f>
        <v>46112</v>
      </c>
      <c r="F150" s="394"/>
      <c r="G150" s="44">
        <f>G3</f>
        <v>45544</v>
      </c>
      <c r="H150" s="44">
        <f>H3</f>
        <v>45635</v>
      </c>
      <c r="I150" s="44">
        <f>I3</f>
        <v>45747</v>
      </c>
      <c r="J150" s="396"/>
      <c r="K150" s="120">
        <f>K3</f>
        <v>45909</v>
      </c>
      <c r="L150" s="44">
        <f>L3</f>
        <v>46000</v>
      </c>
      <c r="M150" s="44">
        <f>M3</f>
        <v>46112</v>
      </c>
      <c r="O150" s="44">
        <f>O3</f>
        <v>45544</v>
      </c>
      <c r="P150" s="120"/>
      <c r="Q150" s="120"/>
      <c r="R150" s="120"/>
      <c r="S150" s="120">
        <f>S3</f>
        <v>45909</v>
      </c>
    </row>
    <row r="151" spans="1:19" ht="13.5" customHeight="1">
      <c r="A151" s="5"/>
      <c r="B151" s="5"/>
      <c r="F151" s="394"/>
    </row>
    <row r="152" spans="1:19" s="5" customFormat="1" ht="13.5" customHeight="1">
      <c r="B152" s="5" t="s">
        <v>152</v>
      </c>
      <c r="C152" s="28">
        <f>+C137/C82</f>
        <v>3.2214461866902249</v>
      </c>
      <c r="D152" s="28">
        <f>+D137/D82</f>
        <v>3.8502522241654629</v>
      </c>
      <c r="E152" s="28">
        <f>+E137/E82</f>
        <v>3.8531643930104238</v>
      </c>
      <c r="F152" s="394"/>
      <c r="G152" s="99"/>
      <c r="H152" s="99"/>
      <c r="I152" s="99"/>
      <c r="J152" s="28"/>
      <c r="K152" s="28">
        <f>+K137/K82</f>
        <v>3.5476420934579447</v>
      </c>
      <c r="L152" s="28">
        <f>+L137/L82</f>
        <v>3.8502522241654629</v>
      </c>
      <c r="M152" s="28">
        <f>+M137/M82</f>
        <v>3.8531643930104238</v>
      </c>
      <c r="O152" s="99"/>
      <c r="P152" s="28" t="e">
        <f>+P137/P82</f>
        <v>#DIV/0!</v>
      </c>
      <c r="Q152" s="28" t="e">
        <f>+Q137/Q82</f>
        <v>#DIV/0!</v>
      </c>
      <c r="R152" s="28" t="e">
        <f>+R137/R82</f>
        <v>#DIV/0!</v>
      </c>
      <c r="S152" s="28">
        <f>+S137/S82</f>
        <v>3.5476420934579447</v>
      </c>
    </row>
    <row r="153" spans="1:19" ht="13.5" customHeight="1">
      <c r="A153" s="5"/>
      <c r="B153" s="1" t="s">
        <v>153</v>
      </c>
      <c r="C153" s="29">
        <f>+C138/C82</f>
        <v>4.8792432273262669</v>
      </c>
      <c r="D153" s="29">
        <f>+D138/D82</f>
        <v>5.7667293741920771</v>
      </c>
      <c r="E153" s="29">
        <f>+E138/E82</f>
        <v>5.6182929950950342</v>
      </c>
      <c r="F153" s="394"/>
      <c r="G153" s="99"/>
      <c r="H153" s="99"/>
      <c r="I153" s="99"/>
      <c r="J153" s="29"/>
      <c r="K153" s="29">
        <f>+K138/K82</f>
        <v>5.222563813084113</v>
      </c>
      <c r="L153" s="29">
        <f>+L138/L82</f>
        <v>5.7667293741920771</v>
      </c>
      <c r="M153" s="29">
        <f>+M138/M82</f>
        <v>5.6182929950950342</v>
      </c>
      <c r="O153" s="99"/>
      <c r="P153" s="29" t="e">
        <f>+P138/P82</f>
        <v>#DIV/0!</v>
      </c>
      <c r="Q153" s="29" t="e">
        <f>+Q138/Q82</f>
        <v>#DIV/0!</v>
      </c>
      <c r="R153" s="29" t="e">
        <f>+R138/R82</f>
        <v>#DIV/0!</v>
      </c>
      <c r="S153" s="29">
        <f>+S138/S82</f>
        <v>5.222563813084113</v>
      </c>
    </row>
    <row r="154" spans="1:19" ht="13.5" customHeight="1">
      <c r="A154" s="5"/>
      <c r="C154" s="29"/>
      <c r="D154" s="29"/>
      <c r="E154" s="29"/>
      <c r="F154" s="394"/>
      <c r="G154" s="29"/>
      <c r="H154" s="29"/>
      <c r="I154" s="29"/>
      <c r="J154" s="29"/>
      <c r="K154" s="29"/>
      <c r="L154" s="29"/>
      <c r="M154" s="29"/>
      <c r="O154" s="29"/>
      <c r="P154" s="29"/>
      <c r="Q154" s="29"/>
      <c r="R154" s="29"/>
      <c r="S154" s="29"/>
    </row>
    <row r="155" spans="1:19" ht="13.5" customHeight="1">
      <c r="A155" s="5"/>
      <c r="B155" s="5" t="s">
        <v>154</v>
      </c>
      <c r="C155" s="28">
        <f>C142/C82</f>
        <v>2.8593975265017666</v>
      </c>
      <c r="D155" s="28">
        <f>D142/D82</f>
        <v>3.3036175195802602</v>
      </c>
      <c r="E155" s="28">
        <f>E142/E82</f>
        <v>3.3696346566523605</v>
      </c>
      <c r="F155" s="394"/>
      <c r="G155" s="99"/>
      <c r="H155" s="99"/>
      <c r="I155" s="99"/>
      <c r="J155" s="28"/>
      <c r="K155" s="28">
        <f>K142/K82</f>
        <v>3.0915292710280378</v>
      </c>
      <c r="L155" s="28">
        <f>L142/L82</f>
        <v>3.3036175195802602</v>
      </c>
      <c r="M155" s="28">
        <f>M142/M82</f>
        <v>3.3696346566523605</v>
      </c>
      <c r="O155" s="99"/>
      <c r="P155" s="28"/>
      <c r="Q155" s="28"/>
      <c r="R155" s="28"/>
      <c r="S155" s="28">
        <f>S142/S82</f>
        <v>3.0915292710280378</v>
      </c>
    </row>
    <row r="156" spans="1:19" ht="13.5" customHeight="1">
      <c r="A156" s="5"/>
      <c r="B156" s="5" t="s">
        <v>155</v>
      </c>
      <c r="C156" s="28">
        <f>C143/C82</f>
        <v>2.2439910924617195</v>
      </c>
      <c r="D156" s="28">
        <f>D143/D82</f>
        <v>3.0270314804957801</v>
      </c>
      <c r="E156" s="28">
        <f>E143/E82</f>
        <v>3.2473051042305334</v>
      </c>
      <c r="F156" s="394"/>
      <c r="G156" s="99"/>
      <c r="H156" s="99"/>
      <c r="I156" s="99"/>
      <c r="J156" s="28"/>
      <c r="K156" s="28">
        <f>K143/K82</f>
        <v>2.905517757009346</v>
      </c>
      <c r="L156" s="28">
        <f>L143/L82</f>
        <v>3.0270314804957801</v>
      </c>
      <c r="M156" s="28">
        <f>M143/M82</f>
        <v>3.2473051042305334</v>
      </c>
      <c r="O156" s="99"/>
      <c r="P156" s="28"/>
      <c r="Q156" s="28"/>
      <c r="R156" s="28"/>
      <c r="S156" s="28">
        <f>S143/S82</f>
        <v>2.905517757009346</v>
      </c>
    </row>
    <row r="157" spans="1:19" ht="13.5" customHeight="1">
      <c r="A157" s="5"/>
      <c r="B157" s="5"/>
      <c r="C157" s="28"/>
      <c r="D157" s="28"/>
      <c r="E157" s="28"/>
      <c r="F157" s="394"/>
      <c r="G157" s="28"/>
      <c r="H157" s="28"/>
      <c r="I157" s="28"/>
      <c r="J157" s="28"/>
      <c r="K157" s="28"/>
      <c r="L157" s="28"/>
      <c r="M157" s="28"/>
      <c r="O157" s="28"/>
      <c r="P157" s="28"/>
      <c r="Q157" s="28"/>
      <c r="R157" s="28"/>
      <c r="S157" s="28"/>
    </row>
    <row r="158" spans="1:19" ht="13.5" customHeight="1">
      <c r="A158" s="5"/>
      <c r="B158" s="421" t="s">
        <v>156</v>
      </c>
      <c r="C158" s="434">
        <f>+C138/C88</f>
        <v>4.2147858194737671</v>
      </c>
      <c r="D158" s="434">
        <f>+D138/D88</f>
        <v>5.760397997514155</v>
      </c>
      <c r="E158" s="434">
        <f>+E138/E88</f>
        <v>5.6189012484363285</v>
      </c>
      <c r="F158" s="394"/>
      <c r="G158" s="99"/>
      <c r="H158" s="99"/>
      <c r="I158" s="99"/>
      <c r="J158" s="29"/>
      <c r="K158" s="434">
        <f>+K138/K88</f>
        <v>5.2200061474279913</v>
      </c>
      <c r="L158" s="434">
        <f>+L138/L88</f>
        <v>5.760397997514155</v>
      </c>
      <c r="M158" s="434">
        <f>+M138/M88</f>
        <v>5.6189012484363285</v>
      </c>
      <c r="O158" s="99"/>
      <c r="P158" s="434"/>
      <c r="Q158" s="434"/>
      <c r="R158" s="434"/>
      <c r="S158" s="434">
        <f>+S138/S88</f>
        <v>5.2200061474279913</v>
      </c>
    </row>
    <row r="159" spans="1:19" ht="13.5" customHeight="1">
      <c r="A159" s="5"/>
      <c r="B159" s="430" t="s">
        <v>157</v>
      </c>
      <c r="C159" s="435">
        <f>+C137/C88</f>
        <v>2.7827482814994093</v>
      </c>
      <c r="D159" s="435">
        <f>+D137/D88</f>
        <v>3.8460249758320675</v>
      </c>
      <c r="E159" s="435">
        <f>+E137/E88</f>
        <v>3.85358154820661</v>
      </c>
      <c r="F159" s="394"/>
      <c r="G159" s="99"/>
      <c r="H159" s="99"/>
      <c r="I159" s="99"/>
      <c r="J159" s="28"/>
      <c r="K159" s="435">
        <f>+K137/K88</f>
        <v>3.5459046934629623</v>
      </c>
      <c r="L159" s="435">
        <f>+L137/L88</f>
        <v>3.8460249758320675</v>
      </c>
      <c r="M159" s="435">
        <f>+M137/M88</f>
        <v>3.85358154820661</v>
      </c>
      <c r="O159" s="99"/>
      <c r="P159" s="435"/>
      <c r="Q159" s="435"/>
      <c r="R159" s="435"/>
      <c r="S159" s="435">
        <f>+S137/S88</f>
        <v>3.5459046934629623</v>
      </c>
    </row>
    <row r="160" spans="1:19" ht="13.5" customHeight="1">
      <c r="A160" s="5"/>
      <c r="B160" s="5"/>
      <c r="C160" s="28"/>
      <c r="D160" s="28"/>
      <c r="E160" s="28"/>
      <c r="F160" s="394"/>
      <c r="G160" s="28"/>
      <c r="H160" s="28"/>
      <c r="I160" s="28"/>
      <c r="J160" s="28"/>
      <c r="K160" s="28"/>
      <c r="L160" s="28"/>
      <c r="M160" s="28"/>
      <c r="O160" s="28"/>
      <c r="P160" s="28"/>
      <c r="Q160" s="28"/>
      <c r="R160" s="28"/>
      <c r="S160" s="28"/>
    </row>
    <row r="161" spans="1:19" ht="13.5" customHeight="1">
      <c r="A161" s="5"/>
      <c r="B161" s="421" t="s">
        <v>158</v>
      </c>
      <c r="C161" s="434">
        <f>+C138/C92</f>
        <v>4.6934996871282948</v>
      </c>
      <c r="D161" s="434">
        <f>+D138/D92</f>
        <v>5.5472009187694864</v>
      </c>
      <c r="E161" s="434">
        <f>+E138/E92</f>
        <v>5.4050003295269651</v>
      </c>
      <c r="F161" s="394"/>
      <c r="G161" s="99"/>
      <c r="H161" s="99"/>
      <c r="I161" s="99"/>
      <c r="J161" s="29"/>
      <c r="K161" s="434">
        <f>+K138/K92</f>
        <v>5.2357921350407679</v>
      </c>
      <c r="L161" s="434">
        <f>+L138/L92</f>
        <v>5.5472009187694864</v>
      </c>
      <c r="M161" s="434">
        <f>+M138/M92</f>
        <v>5.4050003295269651</v>
      </c>
      <c r="O161" s="99"/>
      <c r="P161" s="434"/>
      <c r="Q161" s="434"/>
      <c r="R161" s="434"/>
      <c r="S161" s="434">
        <f>+S138/S92</f>
        <v>5.2357921350407679</v>
      </c>
    </row>
    <row r="162" spans="1:19" ht="13.5" customHeight="1">
      <c r="A162" s="5"/>
      <c r="B162" s="430" t="s">
        <v>159</v>
      </c>
      <c r="C162" s="435">
        <f>+C137/C92</f>
        <v>3.098811837182506</v>
      </c>
      <c r="D162" s="435">
        <f>+D137/D92</f>
        <v>3.7036804208238405</v>
      </c>
      <c r="E162" s="435">
        <f>+E137/E92</f>
        <v>3.7068830038100615</v>
      </c>
      <c r="F162" s="394"/>
      <c r="G162" s="99"/>
      <c r="H162" s="99"/>
      <c r="I162" s="99"/>
      <c r="J162" s="28"/>
      <c r="K162" s="435">
        <f>+K137/K92</f>
        <v>3.5566279773032834</v>
      </c>
      <c r="L162" s="435">
        <f>+L137/L92</f>
        <v>3.7036804208238405</v>
      </c>
      <c r="M162" s="435">
        <f>+M137/M92</f>
        <v>3.7068830038100615</v>
      </c>
      <c r="O162" s="99"/>
      <c r="P162" s="435"/>
      <c r="Q162" s="435"/>
      <c r="R162" s="435"/>
      <c r="S162" s="435">
        <f>+S137/S92</f>
        <v>3.5566279773032834</v>
      </c>
    </row>
    <row r="163" spans="1:19" ht="13.5" customHeight="1">
      <c r="A163" s="5"/>
      <c r="C163" s="29"/>
      <c r="D163" s="29"/>
      <c r="E163" s="29"/>
      <c r="F163" s="394"/>
      <c r="G163" s="28"/>
      <c r="H163" s="28"/>
      <c r="I163" s="28"/>
      <c r="J163" s="29"/>
      <c r="K163" s="29"/>
      <c r="L163" s="29"/>
      <c r="M163" s="29"/>
      <c r="O163" s="29"/>
      <c r="P163" s="29"/>
      <c r="Q163" s="29"/>
      <c r="R163" s="29"/>
      <c r="S163" s="29"/>
    </row>
    <row r="164" spans="1:19" s="5" customFormat="1" ht="13.5" customHeight="1">
      <c r="B164" s="5" t="s">
        <v>160</v>
      </c>
      <c r="C164" s="28">
        <f>+(C81-C85)/C83</f>
        <v>1.9151833493890027</v>
      </c>
      <c r="D164" s="28">
        <f>+(D81-D85)/D83</f>
        <v>1.3114344679226735</v>
      </c>
      <c r="E164" s="28">
        <f>+(E81-E85)/E83</f>
        <v>1.2419204422079066</v>
      </c>
      <c r="F164" s="394"/>
      <c r="G164" s="99"/>
      <c r="H164" s="99"/>
      <c r="I164" s="99"/>
      <c r="J164" s="28"/>
      <c r="K164" s="28">
        <f>+(K81-K85)/K83</f>
        <v>1.4302004520920406</v>
      </c>
      <c r="L164" s="28">
        <f>+(L81-L85)/L83</f>
        <v>1.3114344679226735</v>
      </c>
      <c r="M164" s="28">
        <f>+(M81-M85)/M83</f>
        <v>1.2419204422079058</v>
      </c>
      <c r="O164" s="99"/>
      <c r="P164" s="28"/>
      <c r="Q164" s="28"/>
      <c r="R164" s="28"/>
      <c r="S164" s="28">
        <f>+(S81-S85)/S83</f>
        <v>1.4302004520920406</v>
      </c>
    </row>
    <row r="165" spans="1:19" ht="13.5" customHeight="1">
      <c r="A165" s="5"/>
      <c r="B165" s="1" t="s">
        <v>161</v>
      </c>
      <c r="C165" s="29">
        <f>+C81/C83</f>
        <v>2.6981760940989408</v>
      </c>
      <c r="D165" s="29">
        <f>+D81/D83</f>
        <v>2.2491901350459664</v>
      </c>
      <c r="E165" s="29">
        <f>+E81/E83</f>
        <v>2.206002135379749</v>
      </c>
      <c r="F165" s="394"/>
      <c r="G165" s="99"/>
      <c r="H165" s="99"/>
      <c r="I165" s="99"/>
      <c r="J165" s="29"/>
      <c r="K165" s="29">
        <f>+K81/K83</f>
        <v>2.2725723744448145</v>
      </c>
      <c r="L165" s="29">
        <f>+L81/L83</f>
        <v>2.2491901350459664</v>
      </c>
      <c r="M165" s="29">
        <f>+M81/M83</f>
        <v>2.2060021353797481</v>
      </c>
      <c r="O165" s="99"/>
      <c r="P165" s="29"/>
      <c r="Q165" s="29"/>
      <c r="R165" s="29"/>
      <c r="S165" s="29">
        <f>+S81/S83</f>
        <v>2.2725723744448145</v>
      </c>
    </row>
    <row r="166" spans="1:19" ht="13.5" customHeight="1">
      <c r="A166" s="5"/>
      <c r="C166" s="9"/>
      <c r="D166" s="9"/>
      <c r="E166" s="9"/>
      <c r="F166" s="394"/>
      <c r="G166" s="9"/>
      <c r="H166" s="9"/>
      <c r="I166" s="9"/>
      <c r="J166" s="9"/>
      <c r="K166" s="9"/>
      <c r="L166" s="9"/>
      <c r="M166" s="9"/>
      <c r="O166" s="9"/>
      <c r="P166" s="9"/>
      <c r="Q166" s="9"/>
      <c r="R166" s="9"/>
      <c r="S166" s="9"/>
    </row>
    <row r="167" spans="1:19" s="5" customFormat="1" ht="13.5" customHeight="1">
      <c r="B167" s="5" t="s">
        <v>162</v>
      </c>
      <c r="C167" s="62">
        <f>C137/C146</f>
        <v>2.1947978324126183</v>
      </c>
      <c r="D167" s="62">
        <f>D137/D146</f>
        <v>3.5366603606809628</v>
      </c>
      <c r="E167" s="62">
        <f>E137/E146</f>
        <v>3.5823892490320457</v>
      </c>
      <c r="F167" s="394"/>
      <c r="G167" s="99"/>
      <c r="H167" s="99"/>
      <c r="I167" s="99"/>
      <c r="J167" s="62"/>
      <c r="K167" s="62">
        <f>K137/K146</f>
        <v>3.1810807480499093</v>
      </c>
      <c r="L167" s="62">
        <f>L137/L146</f>
        <v>3.5366603606809628</v>
      </c>
      <c r="M167" s="62">
        <f>M137/M146</f>
        <v>3.5823892490320457</v>
      </c>
      <c r="O167" s="99"/>
      <c r="P167" s="62"/>
      <c r="Q167" s="62"/>
      <c r="R167" s="62"/>
      <c r="S167" s="62">
        <f>S137/S146</f>
        <v>3.1810807480499093</v>
      </c>
    </row>
    <row r="168" spans="1:19" s="5" customFormat="1" ht="13.5" customHeight="1">
      <c r="C168" s="34"/>
      <c r="D168" s="34"/>
      <c r="E168" s="34"/>
      <c r="F168" s="394"/>
      <c r="G168" s="34"/>
      <c r="H168" s="34"/>
      <c r="I168" s="34"/>
      <c r="J168" s="34"/>
      <c r="K168" s="34"/>
      <c r="L168" s="34"/>
      <c r="M168" s="34"/>
      <c r="O168" s="34"/>
      <c r="P168" s="34"/>
      <c r="Q168" s="34"/>
      <c r="R168" s="34"/>
      <c r="S168" s="34"/>
    </row>
    <row r="169" spans="1:19" ht="13.5" customHeight="1">
      <c r="A169" s="5"/>
      <c r="B169" s="16" t="s">
        <v>163</v>
      </c>
      <c r="C169" s="44"/>
      <c r="D169" s="44"/>
      <c r="E169" s="44"/>
      <c r="F169" s="394"/>
      <c r="G169" s="44"/>
      <c r="H169" s="44"/>
      <c r="I169" s="44"/>
      <c r="J169" s="205"/>
      <c r="K169" s="44"/>
      <c r="L169" s="44"/>
      <c r="M169" s="44"/>
      <c r="O169" s="44"/>
      <c r="P169" s="44"/>
      <c r="Q169" s="44"/>
      <c r="R169" s="44"/>
      <c r="S169" s="44"/>
    </row>
    <row r="170" spans="1:19" s="2" customFormat="1" ht="13.5" customHeight="1">
      <c r="A170" s="5"/>
      <c r="B170" s="79" t="s">
        <v>50</v>
      </c>
      <c r="C170" s="44">
        <f>C3</f>
        <v>45630</v>
      </c>
      <c r="D170" s="44">
        <f>D3</f>
        <v>45995</v>
      </c>
      <c r="E170" s="120">
        <f>E3</f>
        <v>46112</v>
      </c>
      <c r="F170" s="394"/>
      <c r="G170" s="44">
        <f t="shared" ref="G170:I172" si="13">G3</f>
        <v>45544</v>
      </c>
      <c r="H170" s="44">
        <f t="shared" si="13"/>
        <v>45635</v>
      </c>
      <c r="I170" s="44">
        <f t="shared" si="13"/>
        <v>45747</v>
      </c>
      <c r="J170" s="396"/>
      <c r="K170" s="120">
        <f t="shared" ref="K170:M172" si="14">K3</f>
        <v>45909</v>
      </c>
      <c r="L170" s="44">
        <f t="shared" si="14"/>
        <v>46000</v>
      </c>
      <c r="M170" s="44">
        <f t="shared" si="14"/>
        <v>46112</v>
      </c>
      <c r="O170" s="44">
        <f>O3</f>
        <v>45544</v>
      </c>
      <c r="P170" s="120"/>
      <c r="Q170" s="120"/>
      <c r="R170" s="120"/>
      <c r="S170" s="120">
        <f>S3</f>
        <v>45909</v>
      </c>
    </row>
    <row r="171" spans="1:19" s="5" customFormat="1" ht="13.5" customHeight="1">
      <c r="B171" s="11"/>
      <c r="C171" s="14" t="s">
        <v>51</v>
      </c>
      <c r="D171" s="14" t="s">
        <v>51</v>
      </c>
      <c r="E171" s="14" t="s">
        <v>51</v>
      </c>
      <c r="F171" s="394"/>
      <c r="G171" s="14" t="str">
        <f t="shared" si="13"/>
        <v>Act</v>
      </c>
      <c r="H171" s="14" t="str">
        <f t="shared" si="13"/>
        <v>Act</v>
      </c>
      <c r="I171" s="14" t="str">
        <f t="shared" si="13"/>
        <v>Act</v>
      </c>
      <c r="J171" s="395"/>
      <c r="K171" s="14" t="str">
        <f t="shared" si="14"/>
        <v>Act</v>
      </c>
      <c r="L171" s="14" t="str">
        <f t="shared" si="14"/>
        <v>Act</v>
      </c>
      <c r="M171" s="14" t="str">
        <f t="shared" si="14"/>
        <v>Act</v>
      </c>
      <c r="O171" s="14" t="str">
        <f>O4</f>
        <v>Act</v>
      </c>
      <c r="P171" s="14"/>
      <c r="Q171" s="14"/>
      <c r="R171" s="14"/>
      <c r="S171" s="14" t="str">
        <f>S4</f>
        <v>Act</v>
      </c>
    </row>
    <row r="172" spans="1:19" s="3" customFormat="1" ht="13.5" customHeight="1">
      <c r="A172" s="5"/>
      <c r="C172" s="23" t="s">
        <v>52</v>
      </c>
      <c r="D172" s="23" t="s">
        <v>52</v>
      </c>
      <c r="E172" s="23" t="s">
        <v>47</v>
      </c>
      <c r="F172" s="394"/>
      <c r="G172" s="23" t="str">
        <f t="shared" si="13"/>
        <v>Q3</v>
      </c>
      <c r="H172" s="23" t="str">
        <f t="shared" si="13"/>
        <v>Q4</v>
      </c>
      <c r="I172" s="23" t="str">
        <f t="shared" si="13"/>
        <v>Q1</v>
      </c>
      <c r="J172" s="23"/>
      <c r="K172" s="23" t="str">
        <f t="shared" si="14"/>
        <v>Q3</v>
      </c>
      <c r="L172" s="23" t="str">
        <f t="shared" si="14"/>
        <v>Q4</v>
      </c>
      <c r="M172" s="23" t="str">
        <f t="shared" si="14"/>
        <v>Q1</v>
      </c>
      <c r="O172" s="23" t="str">
        <f>O5</f>
        <v>9M</v>
      </c>
      <c r="P172" s="23"/>
      <c r="Q172" s="23"/>
      <c r="R172" s="23"/>
      <c r="S172" s="23" t="str">
        <f>S5</f>
        <v>9M</v>
      </c>
    </row>
    <row r="173" spans="1:19" ht="13.5" customHeight="1">
      <c r="A173" s="5"/>
      <c r="B173" s="16" t="str">
        <f>B7</f>
        <v>Revenues</v>
      </c>
      <c r="C173" s="185">
        <f>C7</f>
        <v>149135.14300000001</v>
      </c>
      <c r="D173" s="185">
        <f>D7</f>
        <v>163962.73699999999</v>
      </c>
      <c r="E173" s="185">
        <f>E7</f>
        <v>163936.06200000001</v>
      </c>
      <c r="F173" s="394"/>
      <c r="G173" s="185">
        <f>G7</f>
        <v>39134.476000000002</v>
      </c>
      <c r="H173" s="185">
        <f>H7</f>
        <v>42208.180000000008</v>
      </c>
      <c r="I173" s="185">
        <f>I7</f>
        <v>39479.728999999999</v>
      </c>
      <c r="J173" s="398"/>
      <c r="K173" s="185">
        <f t="shared" ref="K173:M174" si="15">K7</f>
        <v>41765.531999999999</v>
      </c>
      <c r="L173" s="185">
        <f t="shared" si="15"/>
        <v>43915.297999999995</v>
      </c>
      <c r="M173" s="185">
        <f t="shared" si="15"/>
        <v>39453.053999999996</v>
      </c>
      <c r="O173" s="185">
        <f>O7</f>
        <v>106926.963</v>
      </c>
      <c r="P173" s="185"/>
      <c r="Q173" s="185"/>
      <c r="R173" s="185"/>
      <c r="S173" s="185">
        <f>S7</f>
        <v>120047.439</v>
      </c>
    </row>
    <row r="174" spans="1:19" s="46" customFormat="1" ht="13.5" customHeight="1">
      <c r="A174" s="5"/>
      <c r="B174" s="21" t="str">
        <f>B8</f>
        <v xml:space="preserve">% y-o-y growth </v>
      </c>
      <c r="C174" s="68"/>
      <c r="D174" s="68">
        <f>D8</f>
        <v>9.9423876235529507E-2</v>
      </c>
      <c r="E174" s="68"/>
      <c r="F174" s="394"/>
      <c r="G174" s="68"/>
      <c r="H174" s="68"/>
      <c r="I174" s="68"/>
      <c r="J174" s="399"/>
      <c r="K174" s="68">
        <f t="shared" si="15"/>
        <v>6.7231154442952024E-2</v>
      </c>
      <c r="L174" s="68">
        <f t="shared" si="15"/>
        <v>4.0445193325085116E-2</v>
      </c>
      <c r="M174" s="68">
        <f t="shared" si="15"/>
        <v>-6.7566319920797646E-4</v>
      </c>
      <c r="O174" s="68"/>
      <c r="P174" s="68"/>
      <c r="Q174" s="68"/>
      <c r="R174" s="68"/>
      <c r="S174" s="68">
        <f>S8</f>
        <v>0.12270502810409001</v>
      </c>
    </row>
    <row r="175" spans="1:19" s="5" customFormat="1" ht="13.5" customHeight="1" outlineLevel="1" thickBot="1">
      <c r="B175" s="25" t="str">
        <f>B42</f>
        <v xml:space="preserve">EBITDA </v>
      </c>
      <c r="C175" s="61">
        <f>C42</f>
        <v>13071.592000000011</v>
      </c>
      <c r="D175" s="61">
        <f>D42</f>
        <v>12810.023999999987</v>
      </c>
      <c r="E175" s="61">
        <f>E42</f>
        <v>12735.717999999993</v>
      </c>
      <c r="F175" s="394"/>
      <c r="G175" s="61">
        <f>G42</f>
        <v>3831</v>
      </c>
      <c r="H175" s="61">
        <f>H42</f>
        <v>3493.2800000000061</v>
      </c>
      <c r="I175" s="61">
        <f>I42</f>
        <v>3071.6029999999973</v>
      </c>
      <c r="J175" s="61"/>
      <c r="K175" s="61">
        <f t="shared" ref="K175:M177" si="16">K42</f>
        <v>3503</v>
      </c>
      <c r="L175" s="61">
        <f t="shared" si="16"/>
        <v>3257.7749999999946</v>
      </c>
      <c r="M175" s="61">
        <f t="shared" si="16"/>
        <v>2997.2969999999978</v>
      </c>
      <c r="O175" s="61">
        <f>O42</f>
        <v>9578.3120000000054</v>
      </c>
      <c r="P175" s="61"/>
      <c r="Q175" s="61"/>
      <c r="R175" s="61"/>
      <c r="S175" s="61">
        <f>S42</f>
        <v>9552.2489999999925</v>
      </c>
    </row>
    <row r="176" spans="1:19" s="46" customFormat="1" ht="13.5" customHeight="1" outlineLevel="1" thickTop="1">
      <c r="A176" s="5"/>
      <c r="B176" s="21" t="str">
        <f>B43</f>
        <v xml:space="preserve">% growth </v>
      </c>
      <c r="C176" s="68"/>
      <c r="D176" s="68">
        <f>D43</f>
        <v>-2.001041648178925E-2</v>
      </c>
      <c r="E176" s="68"/>
      <c r="F176" s="394"/>
      <c r="G176" s="68"/>
      <c r="H176" s="68"/>
      <c r="I176" s="68"/>
      <c r="J176" s="399"/>
      <c r="K176" s="68">
        <f t="shared" si="16"/>
        <v>-8.5617332289219528E-2</v>
      </c>
      <c r="L176" s="68">
        <f t="shared" si="16"/>
        <v>-6.7416582695922211E-2</v>
      </c>
      <c r="M176" s="68">
        <f t="shared" si="16"/>
        <v>-2.4191277323273752E-2</v>
      </c>
      <c r="O176" s="68"/>
      <c r="P176" s="68"/>
      <c r="Q176" s="68"/>
      <c r="R176" s="68"/>
      <c r="S176" s="68">
        <f>S43</f>
        <v>-2.7210431232572718E-3</v>
      </c>
    </row>
    <row r="177" spans="1:19" s="46" customFormat="1" ht="13.5" customHeight="1" outlineLevel="1">
      <c r="A177" s="5"/>
      <c r="B177" s="21" t="str">
        <f>B44</f>
        <v>% margin</v>
      </c>
      <c r="C177" s="50">
        <f>C44</f>
        <v>8.7649307447272909E-2</v>
      </c>
      <c r="D177" s="50">
        <f>D44</f>
        <v>7.812765409008747E-2</v>
      </c>
      <c r="E177" s="50">
        <f>E44</f>
        <v>7.7687104622532616E-2</v>
      </c>
      <c r="F177" s="394"/>
      <c r="G177" s="50">
        <f>G44</f>
        <v>9.7893223356306083E-2</v>
      </c>
      <c r="H177" s="50">
        <f>H44</f>
        <v>8.2763104213448804E-2</v>
      </c>
      <c r="I177" s="50">
        <f>I44</f>
        <v>7.7802028478969484E-2</v>
      </c>
      <c r="J177" s="400"/>
      <c r="K177" s="50">
        <f t="shared" si="16"/>
        <v>8.3872988855978187E-2</v>
      </c>
      <c r="L177" s="50">
        <f t="shared" si="16"/>
        <v>7.4183146838716546E-2</v>
      </c>
      <c r="M177" s="50">
        <f t="shared" si="16"/>
        <v>7.5971228995352247E-2</v>
      </c>
      <c r="O177" s="50">
        <f>O44</f>
        <v>8.9578079571941124E-2</v>
      </c>
      <c r="P177" s="50"/>
      <c r="Q177" s="50"/>
      <c r="R177" s="50"/>
      <c r="S177" s="50">
        <f>S44</f>
        <v>7.9570618745144511E-2</v>
      </c>
    </row>
    <row r="178" spans="1:19" ht="13.5" customHeight="1">
      <c r="A178" s="5"/>
      <c r="F178" s="394"/>
    </row>
    <row r="179" spans="1:19" s="5" customFormat="1" ht="13.5" customHeight="1" thickBot="1">
      <c r="B179" s="25" t="str">
        <f>B47</f>
        <v xml:space="preserve">Adj. EBITDA </v>
      </c>
      <c r="C179" s="61">
        <f>C47</f>
        <v>13584</v>
      </c>
      <c r="D179" s="61">
        <f>D47</f>
        <v>13151</v>
      </c>
      <c r="E179" s="61">
        <f>E47</f>
        <v>13048</v>
      </c>
      <c r="F179" s="394"/>
      <c r="G179" s="61">
        <f>G47</f>
        <v>3831</v>
      </c>
      <c r="H179" s="61">
        <f>H47</f>
        <v>3750</v>
      </c>
      <c r="I179" s="61">
        <f>I47</f>
        <v>3199</v>
      </c>
      <c r="J179" s="61"/>
      <c r="K179" s="61">
        <f t="shared" ref="K179:M181" si="17">K47</f>
        <v>3503</v>
      </c>
      <c r="L179" s="61">
        <f t="shared" si="17"/>
        <v>3526</v>
      </c>
      <c r="M179" s="61">
        <f t="shared" si="17"/>
        <v>3096</v>
      </c>
      <c r="O179" s="61">
        <f>O47</f>
        <v>9834</v>
      </c>
      <c r="P179" s="61"/>
      <c r="Q179" s="61"/>
      <c r="R179" s="61"/>
      <c r="S179" s="61">
        <f>S47</f>
        <v>9625</v>
      </c>
    </row>
    <row r="180" spans="1:19" s="46" customFormat="1" ht="13.5" customHeight="1" thickTop="1">
      <c r="A180" s="5"/>
      <c r="B180" s="21" t="str">
        <f>B48</f>
        <v xml:space="preserve">% growth </v>
      </c>
      <c r="C180" s="68"/>
      <c r="D180" s="68">
        <f>D48</f>
        <v>-3.1875736160188461E-2</v>
      </c>
      <c r="E180" s="68"/>
      <c r="F180" s="394"/>
      <c r="G180" s="68"/>
      <c r="H180" s="68"/>
      <c r="I180" s="68"/>
      <c r="J180" s="399"/>
      <c r="K180" s="68">
        <f t="shared" si="17"/>
        <v>-8.5617332289219528E-2</v>
      </c>
      <c r="L180" s="68">
        <f t="shared" si="17"/>
        <v>-5.9733333333333305E-2</v>
      </c>
      <c r="M180" s="68">
        <f t="shared" si="17"/>
        <v>-3.2197561738043112E-2</v>
      </c>
      <c r="O180" s="68"/>
      <c r="P180" s="68"/>
      <c r="Q180" s="68"/>
      <c r="R180" s="68"/>
      <c r="S180" s="68">
        <f>S48</f>
        <v>-2.1252796420581643E-2</v>
      </c>
    </row>
    <row r="181" spans="1:19" s="46" customFormat="1" ht="13.5" customHeight="1">
      <c r="A181" s="5"/>
      <c r="B181" s="21" t="str">
        <f>B49</f>
        <v>% margin</v>
      </c>
      <c r="C181" s="68">
        <f>C49</f>
        <v>9.1085170984816097E-2</v>
      </c>
      <c r="D181" s="68">
        <f>D49</f>
        <v>8.020724855306606E-2</v>
      </c>
      <c r="E181" s="68">
        <f>E49</f>
        <v>7.9592005815047578E-2</v>
      </c>
      <c r="F181" s="394"/>
      <c r="G181" s="68">
        <f>G49</f>
        <v>9.7893223356306083E-2</v>
      </c>
      <c r="H181" s="68">
        <f>H49</f>
        <v>8.8845337562529339E-2</v>
      </c>
      <c r="I181" s="68">
        <f>I49</f>
        <v>8.1028924995913729E-2</v>
      </c>
      <c r="J181" s="399"/>
      <c r="K181" s="68">
        <f t="shared" si="17"/>
        <v>8.3872988855978187E-2</v>
      </c>
      <c r="L181" s="68">
        <f t="shared" si="17"/>
        <v>8.0290927321044259E-2</v>
      </c>
      <c r="M181" s="68">
        <f t="shared" si="17"/>
        <v>7.8473012507472809E-2</v>
      </c>
      <c r="O181" s="68">
        <f>O49</f>
        <v>9.1969319281985026E-2</v>
      </c>
      <c r="P181" s="68"/>
      <c r="Q181" s="68"/>
      <c r="R181" s="68"/>
      <c r="S181" s="68">
        <f>S49</f>
        <v>8.0176637504112025E-2</v>
      </c>
    </row>
    <row r="182" spans="1:19" ht="13.5" customHeight="1">
      <c r="A182" s="5"/>
      <c r="F182" s="394"/>
    </row>
    <row r="183" spans="1:19" s="5" customFormat="1" ht="13.5" customHeight="1">
      <c r="B183" s="5" t="str">
        <f t="shared" ref="B183:E202" si="18">B54</f>
        <v xml:space="preserve">Adjusted EBITDA </v>
      </c>
      <c r="C183" s="367">
        <f t="shared" si="18"/>
        <v>13584</v>
      </c>
      <c r="D183" s="367">
        <f t="shared" si="18"/>
        <v>13151</v>
      </c>
      <c r="E183" s="367">
        <f t="shared" si="18"/>
        <v>13048</v>
      </c>
      <c r="F183" s="394"/>
      <c r="G183" s="99"/>
      <c r="H183" s="367">
        <f t="shared" ref="H183:I202" si="19">H54</f>
        <v>3750</v>
      </c>
      <c r="I183" s="367">
        <f t="shared" si="19"/>
        <v>3199</v>
      </c>
      <c r="J183" s="367"/>
      <c r="K183" s="99"/>
      <c r="L183" s="367">
        <f t="shared" ref="L183:M202" si="20">L54</f>
        <v>3526</v>
      </c>
      <c r="M183" s="367">
        <f t="shared" si="20"/>
        <v>3096</v>
      </c>
      <c r="O183" s="367">
        <f t="shared" ref="O183:O202" si="21">O54</f>
        <v>9834</v>
      </c>
      <c r="P183" s="367"/>
      <c r="Q183" s="367"/>
      <c r="R183" s="367"/>
      <c r="S183" s="367">
        <f t="shared" ref="S183:S202" si="22">S54</f>
        <v>9625</v>
      </c>
    </row>
    <row r="184" spans="1:19" ht="13.5" customHeight="1">
      <c r="A184" s="5"/>
      <c r="B184" s="1" t="str">
        <f t="shared" si="18"/>
        <v>Working Capital</v>
      </c>
      <c r="C184" s="6">
        <f t="shared" si="18"/>
        <v>-1616.056</v>
      </c>
      <c r="D184" s="6">
        <f t="shared" si="18"/>
        <v>1036.5810000000001</v>
      </c>
      <c r="E184" s="6">
        <f t="shared" si="18"/>
        <v>-523.25900000000001</v>
      </c>
      <c r="F184" s="394"/>
      <c r="G184" s="99"/>
      <c r="H184" s="6">
        <f t="shared" si="19"/>
        <v>854.16600000000017</v>
      </c>
      <c r="I184" s="6">
        <f t="shared" si="19"/>
        <v>1154.617</v>
      </c>
      <c r="J184" s="6"/>
      <c r="K184" s="99"/>
      <c r="L184" s="6">
        <f t="shared" si="20"/>
        <v>185.30300000000011</v>
      </c>
      <c r="M184" s="6">
        <f t="shared" si="20"/>
        <v>-405.22300000000013</v>
      </c>
      <c r="O184" s="6">
        <f t="shared" si="21"/>
        <v>-2470.2220000000002</v>
      </c>
      <c r="P184" s="6"/>
      <c r="Q184" s="6"/>
      <c r="R184" s="6"/>
      <c r="S184" s="6">
        <f t="shared" si="22"/>
        <v>851.27800000000002</v>
      </c>
    </row>
    <row r="185" spans="1:19" ht="13.5" customHeight="1">
      <c r="A185" s="5"/>
      <c r="B185" s="1" t="str">
        <f t="shared" si="18"/>
        <v>Taxes</v>
      </c>
      <c r="C185" s="6">
        <f t="shared" si="18"/>
        <v>-363.95800000000003</v>
      </c>
      <c r="D185" s="6">
        <f t="shared" si="18"/>
        <v>-413.04700000000003</v>
      </c>
      <c r="E185" s="6">
        <f t="shared" si="18"/>
        <v>-571.13400000000001</v>
      </c>
      <c r="F185" s="394"/>
      <c r="G185" s="99"/>
      <c r="H185" s="6">
        <f t="shared" si="19"/>
        <v>-519.85599999999999</v>
      </c>
      <c r="I185" s="6">
        <f t="shared" si="19"/>
        <v>7.9950000000000001</v>
      </c>
      <c r="J185" s="6"/>
      <c r="K185" s="99"/>
      <c r="L185" s="6">
        <f t="shared" si="20"/>
        <v>-274.58199999999999</v>
      </c>
      <c r="M185" s="6">
        <f t="shared" si="20"/>
        <v>-150.09200000000001</v>
      </c>
      <c r="O185" s="6">
        <f t="shared" si="21"/>
        <v>155.898</v>
      </c>
      <c r="P185" s="6"/>
      <c r="Q185" s="6"/>
      <c r="R185" s="6"/>
      <c r="S185" s="6">
        <f t="shared" si="22"/>
        <v>-138.465</v>
      </c>
    </row>
    <row r="186" spans="1:19" ht="13.5" customHeight="1">
      <c r="A186" s="5"/>
      <c r="B186" s="1" t="str">
        <f t="shared" si="18"/>
        <v>Cash interest paid</v>
      </c>
      <c r="C186" s="6">
        <f t="shared" si="18"/>
        <v>-4844.6030000000001</v>
      </c>
      <c r="D186" s="6">
        <f t="shared" si="18"/>
        <v>-5695.3940000000002</v>
      </c>
      <c r="E186" s="6">
        <f t="shared" si="18"/>
        <v>-5773.2120000000004</v>
      </c>
      <c r="F186" s="394"/>
      <c r="G186" s="99"/>
      <c r="H186" s="6">
        <f t="shared" si="19"/>
        <v>-1562.4790000000003</v>
      </c>
      <c r="I186" s="6">
        <f t="shared" si="19"/>
        <v>-1461.165</v>
      </c>
      <c r="J186" s="6"/>
      <c r="K186" s="99"/>
      <c r="L186" s="6">
        <f t="shared" si="20"/>
        <v>-1517.4490000000005</v>
      </c>
      <c r="M186" s="6">
        <f t="shared" si="20"/>
        <v>-1538.9829999999999</v>
      </c>
      <c r="O186" s="6">
        <f t="shared" si="21"/>
        <v>-3282.1239999999998</v>
      </c>
      <c r="P186" s="6"/>
      <c r="Q186" s="6"/>
      <c r="R186" s="6"/>
      <c r="S186" s="6">
        <f t="shared" si="22"/>
        <v>-4177.9449999999997</v>
      </c>
    </row>
    <row r="187" spans="1:19" s="5" customFormat="1" ht="13.5" customHeight="1" thickBot="1">
      <c r="B187" s="25" t="str">
        <f t="shared" si="18"/>
        <v xml:space="preserve">Net cash from operations </v>
      </c>
      <c r="C187" s="368">
        <f t="shared" si="18"/>
        <v>11603.985999999999</v>
      </c>
      <c r="D187" s="368">
        <f t="shared" si="18"/>
        <v>13774.534</v>
      </c>
      <c r="E187" s="368">
        <f t="shared" si="18"/>
        <v>11953.607</v>
      </c>
      <c r="F187" s="394"/>
      <c r="G187" s="99"/>
      <c r="H187" s="368">
        <f t="shared" si="19"/>
        <v>4084.3100000000004</v>
      </c>
      <c r="I187" s="368">
        <f t="shared" si="19"/>
        <v>4361.6120000000001</v>
      </c>
      <c r="J187" s="368"/>
      <c r="K187" s="99"/>
      <c r="L187" s="368">
        <f t="shared" si="20"/>
        <v>3436.721</v>
      </c>
      <c r="M187" s="368">
        <f t="shared" si="20"/>
        <v>2540.6849999999999</v>
      </c>
      <c r="O187" s="368">
        <f t="shared" si="21"/>
        <v>7519.6760000000004</v>
      </c>
      <c r="P187" s="368"/>
      <c r="Q187" s="368"/>
      <c r="R187" s="368"/>
      <c r="S187" s="368">
        <f t="shared" si="22"/>
        <v>10337.813</v>
      </c>
    </row>
    <row r="188" spans="1:19" s="5" customFormat="1" ht="13.5" customHeight="1" thickTop="1">
      <c r="B188" s="1" t="str">
        <f t="shared" si="18"/>
        <v>Net Capex</v>
      </c>
      <c r="C188" s="6">
        <f t="shared" si="18"/>
        <v>-3793.2890000000002</v>
      </c>
      <c r="D188" s="6">
        <f t="shared" si="18"/>
        <v>-5340.8879999999999</v>
      </c>
      <c r="E188" s="6">
        <f t="shared" si="18"/>
        <v>-5565.848</v>
      </c>
      <c r="F188" s="394"/>
      <c r="G188" s="99"/>
      <c r="H188" s="6">
        <f t="shared" si="19"/>
        <v>-1311.9600000000005</v>
      </c>
      <c r="I188" s="6">
        <f t="shared" si="19"/>
        <v>-892.15499999999997</v>
      </c>
      <c r="J188" s="6"/>
      <c r="K188" s="99"/>
      <c r="L188" s="6">
        <f t="shared" si="20"/>
        <v>-1817.2759999999998</v>
      </c>
      <c r="M188" s="6">
        <f t="shared" si="20"/>
        <v>-1117.115</v>
      </c>
      <c r="O188" s="6">
        <f t="shared" si="21"/>
        <v>-2481.3289999999997</v>
      </c>
      <c r="P188" s="6"/>
      <c r="Q188" s="6"/>
      <c r="R188" s="6"/>
      <c r="S188" s="6">
        <f t="shared" si="22"/>
        <v>-3523.6120000000001</v>
      </c>
    </row>
    <row r="189" spans="1:19" ht="13.5" customHeight="1">
      <c r="A189" s="5"/>
      <c r="B189" s="1" t="str">
        <f t="shared" si="18"/>
        <v>Net Payment for acquisition  of intangible assets</v>
      </c>
      <c r="C189" s="6">
        <f t="shared" si="18"/>
        <v>-160.06100000000001</v>
      </c>
      <c r="D189" s="6">
        <f t="shared" si="18"/>
        <v>-243.029</v>
      </c>
      <c r="E189" s="6">
        <f t="shared" si="18"/>
        <v>-251.18199999999999</v>
      </c>
      <c r="F189" s="394"/>
      <c r="G189" s="99"/>
      <c r="H189" s="6">
        <f t="shared" si="19"/>
        <v>-26.491000000000014</v>
      </c>
      <c r="I189" s="6">
        <f t="shared" si="19"/>
        <v>-48.351999999999997</v>
      </c>
      <c r="J189" s="6"/>
      <c r="K189" s="99"/>
      <c r="L189" s="6">
        <f t="shared" si="20"/>
        <v>-52.117999999999995</v>
      </c>
      <c r="M189" s="6">
        <f t="shared" si="20"/>
        <v>-56.505000000000003</v>
      </c>
      <c r="O189" s="6">
        <f t="shared" si="21"/>
        <v>-133.57</v>
      </c>
      <c r="P189" s="6"/>
      <c r="Q189" s="6"/>
      <c r="R189" s="6"/>
      <c r="S189" s="6">
        <f t="shared" si="22"/>
        <v>-190.911</v>
      </c>
    </row>
    <row r="190" spans="1:19" ht="13.5" customHeight="1">
      <c r="A190" s="5"/>
      <c r="B190" s="1" t="str">
        <f t="shared" si="18"/>
        <v>Disposals/ Acquisition, of subsidiaries</v>
      </c>
      <c r="C190" s="6">
        <f t="shared" si="18"/>
        <v>-222.73400000000001</v>
      </c>
      <c r="D190" s="6">
        <f t="shared" si="18"/>
        <v>-1571.8000000000002</v>
      </c>
      <c r="E190" s="6">
        <f t="shared" si="18"/>
        <v>-1075.9660000000001</v>
      </c>
      <c r="F190" s="394"/>
      <c r="G190" s="99"/>
      <c r="H190" s="6">
        <f t="shared" si="19"/>
        <v>-45.173000000000002</v>
      </c>
      <c r="I190" s="6">
        <f t="shared" si="19"/>
        <v>-495.834</v>
      </c>
      <c r="J190" s="6"/>
      <c r="K190" s="99"/>
      <c r="L190" s="6">
        <f t="shared" si="20"/>
        <v>-310.27900000000022</v>
      </c>
      <c r="M190" s="6">
        <f t="shared" si="20"/>
        <v>0</v>
      </c>
      <c r="O190" s="6">
        <f t="shared" si="21"/>
        <v>-177.56100000000001</v>
      </c>
      <c r="P190" s="6"/>
      <c r="Q190" s="6"/>
      <c r="R190" s="6"/>
      <c r="S190" s="6">
        <f t="shared" si="22"/>
        <v>-1261.521</v>
      </c>
    </row>
    <row r="191" spans="1:19" ht="13.5" customHeight="1" thickBot="1">
      <c r="A191" s="5"/>
      <c r="B191" s="66" t="str">
        <f t="shared" si="18"/>
        <v xml:space="preserve">Free cash flow </v>
      </c>
      <c r="C191" s="369">
        <f t="shared" si="18"/>
        <v>7427.9019999999982</v>
      </c>
      <c r="D191" s="369">
        <f t="shared" si="18"/>
        <v>6618.817</v>
      </c>
      <c r="E191" s="369">
        <f t="shared" si="18"/>
        <v>5060.6109999999999</v>
      </c>
      <c r="F191" s="394"/>
      <c r="G191" s="99"/>
      <c r="H191" s="369">
        <f t="shared" si="19"/>
        <v>2700.6859999999997</v>
      </c>
      <c r="I191" s="369">
        <f t="shared" si="19"/>
        <v>2925.2710000000006</v>
      </c>
      <c r="J191" s="369"/>
      <c r="K191" s="99"/>
      <c r="L191" s="369">
        <f t="shared" si="20"/>
        <v>1257.048</v>
      </c>
      <c r="M191" s="369">
        <f t="shared" si="20"/>
        <v>1367.0649999999998</v>
      </c>
      <c r="O191" s="369">
        <f t="shared" si="21"/>
        <v>4727.2160000000013</v>
      </c>
      <c r="P191" s="369"/>
      <c r="Q191" s="369"/>
      <c r="R191" s="369"/>
      <c r="S191" s="369">
        <f t="shared" si="22"/>
        <v>5361.7690000000002</v>
      </c>
    </row>
    <row r="192" spans="1:19" ht="13.5" customHeight="1" thickTop="1">
      <c r="A192" s="5"/>
      <c r="B192" s="1" t="str">
        <f t="shared" si="18"/>
        <v>Other Investing activities</v>
      </c>
      <c r="C192" s="6">
        <f t="shared" si="18"/>
        <v>-2383.8319999999999</v>
      </c>
      <c r="D192" s="6">
        <f t="shared" si="18"/>
        <v>-2277.73</v>
      </c>
      <c r="E192" s="6">
        <f t="shared" si="18"/>
        <v>-3196.8310000000001</v>
      </c>
      <c r="F192" s="394"/>
      <c r="G192" s="99"/>
      <c r="H192" s="6">
        <f t="shared" si="19"/>
        <v>-2119.46</v>
      </c>
      <c r="I192" s="6">
        <f t="shared" si="19"/>
        <v>1819.7170000000001</v>
      </c>
      <c r="J192" s="6"/>
      <c r="K192" s="99"/>
      <c r="L192" s="6">
        <f t="shared" si="20"/>
        <v>-3616.192</v>
      </c>
      <c r="M192" s="6">
        <f t="shared" si="20"/>
        <v>900.61599999999999</v>
      </c>
      <c r="O192" s="6">
        <f t="shared" si="21"/>
        <v>-264.37200000000001</v>
      </c>
      <c r="P192" s="6"/>
      <c r="Q192" s="6"/>
      <c r="R192" s="6"/>
      <c r="S192" s="6">
        <f t="shared" si="22"/>
        <v>1338.462</v>
      </c>
    </row>
    <row r="193" spans="1:19" ht="13.5" customHeight="1">
      <c r="A193" s="5"/>
      <c r="B193" s="1" t="str">
        <f t="shared" si="18"/>
        <v>Equity Issuance / Buyback</v>
      </c>
      <c r="C193" s="6">
        <f t="shared" si="18"/>
        <v>-1849.212</v>
      </c>
      <c r="D193" s="6">
        <f t="shared" si="18"/>
        <v>-1854.2520000000002</v>
      </c>
      <c r="E193" s="6">
        <f t="shared" si="18"/>
        <v>-1223.1490000000001</v>
      </c>
      <c r="F193" s="394"/>
      <c r="G193" s="99"/>
      <c r="H193" s="6">
        <f t="shared" si="19"/>
        <v>-544.30299999999988</v>
      </c>
      <c r="I193" s="6">
        <f t="shared" si="19"/>
        <v>-799.77800000000002</v>
      </c>
      <c r="J193" s="6"/>
      <c r="K193" s="99"/>
      <c r="L193" s="6">
        <f t="shared" si="20"/>
        <v>-416.20800000000008</v>
      </c>
      <c r="M193" s="6">
        <f t="shared" si="20"/>
        <v>-168.67500000000001</v>
      </c>
      <c r="O193" s="6">
        <f t="shared" si="21"/>
        <v>-1304.9090000000001</v>
      </c>
      <c r="P193" s="6"/>
      <c r="Q193" s="6"/>
      <c r="R193" s="6"/>
      <c r="S193" s="6">
        <f t="shared" si="22"/>
        <v>-1438.0440000000001</v>
      </c>
    </row>
    <row r="194" spans="1:19" s="5" customFormat="1" ht="13.5" customHeight="1">
      <c r="B194" s="1" t="str">
        <f t="shared" si="18"/>
        <v xml:space="preserve">Dividends received  / Dividends Paid </v>
      </c>
      <c r="C194" s="6">
        <f t="shared" si="18"/>
        <v>-3135.078</v>
      </c>
      <c r="D194" s="6">
        <f t="shared" si="18"/>
        <v>-3847.2689999999998</v>
      </c>
      <c r="E194" s="6">
        <f t="shared" si="18"/>
        <v>-3847.1689999999994</v>
      </c>
      <c r="F194" s="394"/>
      <c r="G194" s="99"/>
      <c r="H194" s="6">
        <f t="shared" si="19"/>
        <v>-3135.078</v>
      </c>
      <c r="I194" s="6">
        <f t="shared" si="19"/>
        <v>-0.11899999999999999</v>
      </c>
      <c r="J194" s="6"/>
      <c r="K194" s="99"/>
      <c r="L194" s="6">
        <f t="shared" si="20"/>
        <v>-1.5829999999996289</v>
      </c>
      <c r="M194" s="6">
        <f t="shared" si="20"/>
        <v>-1.9E-2</v>
      </c>
      <c r="O194" s="6">
        <f t="shared" si="21"/>
        <v>0</v>
      </c>
      <c r="P194" s="6"/>
      <c r="Q194" s="6"/>
      <c r="R194" s="6"/>
      <c r="S194" s="6">
        <f t="shared" si="22"/>
        <v>-3845.6860000000001</v>
      </c>
    </row>
    <row r="195" spans="1:19" ht="13.5" customHeight="1">
      <c r="A195" s="5"/>
      <c r="B195" s="1" t="str">
        <f t="shared" si="18"/>
        <v>Change in debt</v>
      </c>
      <c r="C195" s="6">
        <f t="shared" si="18"/>
        <v>-10466.536</v>
      </c>
      <c r="D195" s="6">
        <f t="shared" si="18"/>
        <v>3275.0569999999998</v>
      </c>
      <c r="E195" s="6">
        <f t="shared" si="18"/>
        <v>4660.741</v>
      </c>
      <c r="F195" s="394"/>
      <c r="G195" s="99"/>
      <c r="H195" s="6">
        <f t="shared" si="19"/>
        <v>-4249.6240000000007</v>
      </c>
      <c r="I195" s="6">
        <f t="shared" si="19"/>
        <v>-2713.453</v>
      </c>
      <c r="J195" s="6"/>
      <c r="K195" s="99"/>
      <c r="L195" s="6">
        <f t="shared" si="20"/>
        <v>1369.5869999999995</v>
      </c>
      <c r="M195" s="6">
        <f t="shared" si="20"/>
        <v>-1327.769</v>
      </c>
      <c r="O195" s="6">
        <f t="shared" si="21"/>
        <v>-6216.9119999999994</v>
      </c>
      <c r="P195" s="6"/>
      <c r="Q195" s="6"/>
      <c r="R195" s="6"/>
      <c r="S195" s="6">
        <f t="shared" si="22"/>
        <v>1905.4700000000003</v>
      </c>
    </row>
    <row r="196" spans="1:19" ht="13.5" customHeight="1" thickBot="1">
      <c r="A196" s="5"/>
      <c r="B196" s="1" t="str">
        <f t="shared" si="18"/>
        <v>Other Financing activities</v>
      </c>
      <c r="C196" s="6">
        <f t="shared" si="18"/>
        <v>-110.04300000000001</v>
      </c>
      <c r="D196" s="6">
        <f t="shared" si="18"/>
        <v>-251.33699999999999</v>
      </c>
      <c r="E196" s="6">
        <f t="shared" si="18"/>
        <v>-317.85499999999996</v>
      </c>
      <c r="F196" s="394"/>
      <c r="G196" s="99"/>
      <c r="H196" s="6">
        <f t="shared" si="19"/>
        <v>95.495999999999981</v>
      </c>
      <c r="I196" s="6">
        <f t="shared" si="19"/>
        <v>-52.866999999999997</v>
      </c>
      <c r="J196" s="6"/>
      <c r="K196" s="99"/>
      <c r="L196" s="6">
        <f t="shared" si="20"/>
        <v>-107.14599999999999</v>
      </c>
      <c r="M196" s="6">
        <f t="shared" si="20"/>
        <v>-119.38500000000001</v>
      </c>
      <c r="O196" s="6">
        <f t="shared" si="21"/>
        <v>-205.53899999999999</v>
      </c>
      <c r="P196" s="6"/>
      <c r="Q196" s="6"/>
      <c r="R196" s="6"/>
      <c r="S196" s="6">
        <f t="shared" si="22"/>
        <v>-144.191</v>
      </c>
    </row>
    <row r="197" spans="1:19" ht="13.5" customHeight="1" thickTop="1" thickBot="1">
      <c r="A197" s="5"/>
      <c r="B197" s="80" t="str">
        <f t="shared" si="18"/>
        <v>Cash flow after financing activities</v>
      </c>
      <c r="C197" s="370">
        <f t="shared" si="18"/>
        <v>-10516.799000000001</v>
      </c>
      <c r="D197" s="370">
        <f t="shared" si="18"/>
        <v>1663.2859999999991</v>
      </c>
      <c r="E197" s="370">
        <f t="shared" si="18"/>
        <v>1136.3480000000004</v>
      </c>
      <c r="F197" s="394"/>
      <c r="G197" s="99"/>
      <c r="H197" s="370">
        <f t="shared" si="19"/>
        <v>-7252.2830000000004</v>
      </c>
      <c r="I197" s="370">
        <f t="shared" si="19"/>
        <v>1178.7710000000009</v>
      </c>
      <c r="J197" s="370"/>
      <c r="K197" s="99"/>
      <c r="L197" s="370">
        <f t="shared" si="20"/>
        <v>-1514.4940000000004</v>
      </c>
      <c r="M197" s="370">
        <f t="shared" si="20"/>
        <v>651.83299999999963</v>
      </c>
      <c r="O197" s="370">
        <f t="shared" si="21"/>
        <v>-3264.5159999999987</v>
      </c>
      <c r="P197" s="370"/>
      <c r="Q197" s="370"/>
      <c r="R197" s="370"/>
      <c r="S197" s="370">
        <f t="shared" si="22"/>
        <v>3177.78</v>
      </c>
    </row>
    <row r="198" spans="1:19" s="5" customFormat="1" ht="13.5" customHeight="1" thickTop="1">
      <c r="B198" s="1" t="str">
        <f t="shared" si="18"/>
        <v xml:space="preserve">FX </v>
      </c>
      <c r="C198" s="6">
        <f t="shared" si="18"/>
        <v>2452.134</v>
      </c>
      <c r="D198" s="6">
        <f t="shared" si="18"/>
        <v>-893.529</v>
      </c>
      <c r="E198" s="6">
        <f t="shared" si="18"/>
        <v>-688.89699999999993</v>
      </c>
      <c r="F198" s="394"/>
      <c r="G198" s="99"/>
      <c r="H198" s="6">
        <f t="shared" si="19"/>
        <v>1389.278</v>
      </c>
      <c r="I198" s="6">
        <f t="shared" si="19"/>
        <v>-574.03700000000003</v>
      </c>
      <c r="J198" s="6"/>
      <c r="K198" s="99"/>
      <c r="L198" s="6">
        <f t="shared" si="20"/>
        <v>372.59999999999991</v>
      </c>
      <c r="M198" s="6">
        <f t="shared" si="20"/>
        <v>-369.40499999999997</v>
      </c>
      <c r="O198" s="6">
        <f t="shared" si="21"/>
        <v>1062.856</v>
      </c>
      <c r="P198" s="6"/>
      <c r="Q198" s="6"/>
      <c r="R198" s="6"/>
      <c r="S198" s="6">
        <f t="shared" si="22"/>
        <v>-1266.1289999999999</v>
      </c>
    </row>
    <row r="199" spans="1:19" s="5" customFormat="1" ht="13.5" customHeight="1">
      <c r="B199" s="1" t="str">
        <f t="shared" si="18"/>
        <v>Discontinued operations net of cash</v>
      </c>
      <c r="C199" s="6">
        <f t="shared" si="18"/>
        <v>5062.7879999999996</v>
      </c>
      <c r="D199" s="6">
        <f t="shared" si="18"/>
        <v>121.083</v>
      </c>
      <c r="E199" s="6">
        <f t="shared" si="18"/>
        <v>121.083</v>
      </c>
      <c r="F199" s="394"/>
      <c r="G199" s="99"/>
      <c r="H199" s="6">
        <f t="shared" si="19"/>
        <v>4453.0889999999999</v>
      </c>
      <c r="I199" s="6">
        <f t="shared" si="19"/>
        <v>0</v>
      </c>
      <c r="J199" s="6"/>
      <c r="K199" s="99"/>
      <c r="L199" s="6">
        <f t="shared" si="20"/>
        <v>0</v>
      </c>
      <c r="M199" s="6">
        <f t="shared" si="20"/>
        <v>0</v>
      </c>
      <c r="O199" s="6">
        <f t="shared" si="21"/>
        <v>609.69899999999996</v>
      </c>
      <c r="P199" s="6"/>
      <c r="Q199" s="6"/>
      <c r="R199" s="6"/>
      <c r="S199" s="6">
        <f t="shared" si="22"/>
        <v>121.083</v>
      </c>
    </row>
    <row r="200" spans="1:19" s="5" customFormat="1" ht="13.5" customHeight="1" thickBot="1">
      <c r="B200" s="58" t="str">
        <f t="shared" si="18"/>
        <v>Balancing figure</v>
      </c>
      <c r="C200" s="371">
        <f t="shared" si="18"/>
        <v>1058.3520000000017</v>
      </c>
      <c r="D200" s="371">
        <f t="shared" si="18"/>
        <v>-696.39399999999921</v>
      </c>
      <c r="E200" s="371">
        <f t="shared" si="18"/>
        <v>-504.09499999999844</v>
      </c>
      <c r="F200" s="394"/>
      <c r="G200" s="99"/>
      <c r="H200" s="371">
        <f t="shared" si="19"/>
        <v>1135.6360000000027</v>
      </c>
      <c r="I200" s="371">
        <f t="shared" si="19"/>
        <v>-1282.2890000000007</v>
      </c>
      <c r="J200" s="371"/>
      <c r="K200" s="99"/>
      <c r="L200" s="371">
        <f t="shared" si="20"/>
        <v>196.86000000000104</v>
      </c>
      <c r="M200" s="371">
        <f t="shared" si="20"/>
        <v>-1089.9899999999998</v>
      </c>
      <c r="O200" s="371">
        <f t="shared" si="21"/>
        <v>-77.284000000000901</v>
      </c>
      <c r="P200" s="371"/>
      <c r="Q200" s="371"/>
      <c r="R200" s="371"/>
      <c r="S200" s="371">
        <f t="shared" si="22"/>
        <v>-893.25400000000025</v>
      </c>
    </row>
    <row r="201" spans="1:19" ht="13.5" customHeight="1" thickTop="1">
      <c r="A201" s="5"/>
      <c r="B201" s="1" t="str">
        <f t="shared" si="18"/>
        <v xml:space="preserve">Net change in cash </v>
      </c>
      <c r="C201" s="6">
        <f t="shared" si="18"/>
        <v>-1943.5249999999996</v>
      </c>
      <c r="D201" s="6">
        <f t="shared" si="18"/>
        <v>194.44599999999991</v>
      </c>
      <c r="E201" s="6">
        <f t="shared" si="18"/>
        <v>64.439000000002011</v>
      </c>
      <c r="F201" s="394"/>
      <c r="G201" s="99"/>
      <c r="H201" s="6">
        <f t="shared" si="19"/>
        <v>-274.27999999999747</v>
      </c>
      <c r="I201" s="6">
        <f t="shared" si="19"/>
        <v>-677.55499999999984</v>
      </c>
      <c r="J201" s="6"/>
      <c r="K201" s="99"/>
      <c r="L201" s="6">
        <f t="shared" si="20"/>
        <v>-945.03399999999942</v>
      </c>
      <c r="M201" s="6">
        <f t="shared" si="20"/>
        <v>-807.56200000000013</v>
      </c>
      <c r="O201" s="6">
        <f t="shared" si="21"/>
        <v>-1669.2449999999999</v>
      </c>
      <c r="P201" s="6"/>
      <c r="Q201" s="6"/>
      <c r="R201" s="6"/>
      <c r="S201" s="6">
        <f t="shared" si="22"/>
        <v>1139.48</v>
      </c>
    </row>
    <row r="202" spans="1:19" ht="13.5" customHeight="1">
      <c r="A202" s="5"/>
      <c r="B202" s="1" t="str">
        <f t="shared" si="18"/>
        <v>Cash and cash equivalents</v>
      </c>
      <c r="C202" s="6">
        <f t="shared" si="18"/>
        <v>4516.6870000000008</v>
      </c>
      <c r="D202" s="6">
        <f t="shared" si="18"/>
        <v>4711.1330000000007</v>
      </c>
      <c r="E202" s="6">
        <f t="shared" si="18"/>
        <v>4024.6530000000025</v>
      </c>
      <c r="F202" s="394"/>
      <c r="G202" s="99"/>
      <c r="H202" s="6">
        <f t="shared" si="19"/>
        <v>4516.6870000000035</v>
      </c>
      <c r="I202" s="6">
        <f t="shared" si="19"/>
        <v>3960.2140000000004</v>
      </c>
      <c r="J202" s="6"/>
      <c r="K202" s="99"/>
      <c r="L202" s="6">
        <f t="shared" si="20"/>
        <v>4711.1330000000016</v>
      </c>
      <c r="M202" s="6">
        <f t="shared" si="20"/>
        <v>3903.5710000000017</v>
      </c>
      <c r="O202" s="6">
        <f t="shared" si="21"/>
        <v>4790.9670000000006</v>
      </c>
      <c r="P202" s="6"/>
      <c r="Q202" s="6"/>
      <c r="R202" s="6"/>
      <c r="S202" s="6">
        <f t="shared" si="22"/>
        <v>5656.1670000000013</v>
      </c>
    </row>
    <row r="203" spans="1:19" s="5" customFormat="1" ht="13.5" customHeight="1">
      <c r="B203" s="1"/>
      <c r="C203" s="1"/>
      <c r="D203" s="1"/>
      <c r="E203" s="1"/>
      <c r="F203" s="394"/>
      <c r="G203" s="1"/>
      <c r="H203" s="1"/>
      <c r="I203" s="1"/>
      <c r="J203" s="1"/>
      <c r="K203" s="1"/>
      <c r="L203" s="1"/>
      <c r="M203" s="1"/>
      <c r="O203" s="1"/>
      <c r="P203" s="1"/>
      <c r="Q203" s="1"/>
      <c r="R203" s="1"/>
      <c r="S203" s="1"/>
    </row>
    <row r="204" spans="1:19" s="5" customFormat="1" ht="13.5" customHeight="1">
      <c r="B204" s="1" t="s">
        <v>164</v>
      </c>
      <c r="C204" s="6">
        <f t="shared" ref="C204:E205" si="23">C137</f>
        <v>43760.125000000015</v>
      </c>
      <c r="D204" s="6">
        <f t="shared" si="23"/>
        <v>50634.667000000001</v>
      </c>
      <c r="E204" s="6">
        <f t="shared" si="23"/>
        <v>50276.089000000007</v>
      </c>
      <c r="F204" s="394"/>
      <c r="G204" s="99"/>
      <c r="H204" s="99"/>
      <c r="I204" s="99"/>
      <c r="J204" s="6"/>
      <c r="K204" s="6">
        <f t="shared" ref="K204:M205" si="24">K137</f>
        <v>47449.713000000011</v>
      </c>
      <c r="L204" s="6">
        <f t="shared" si="24"/>
        <v>50634.667000000001</v>
      </c>
      <c r="M204" s="6">
        <f t="shared" si="24"/>
        <v>50276.089000000007</v>
      </c>
      <c r="O204" s="99"/>
      <c r="P204" s="6"/>
      <c r="Q204" s="6"/>
      <c r="R204" s="6"/>
      <c r="S204" s="6">
        <f>S137</f>
        <v>47449.713000000011</v>
      </c>
    </row>
    <row r="205" spans="1:19" s="5" customFormat="1" ht="13.5" customHeight="1">
      <c r="B205" s="1" t="s">
        <v>165</v>
      </c>
      <c r="C205" s="6">
        <f t="shared" si="23"/>
        <v>66279.640000000014</v>
      </c>
      <c r="D205" s="6">
        <f t="shared" si="23"/>
        <v>75838.258000000002</v>
      </c>
      <c r="E205" s="6">
        <f t="shared" si="23"/>
        <v>73307.487000000008</v>
      </c>
      <c r="F205" s="394"/>
      <c r="G205" s="99"/>
      <c r="H205" s="99"/>
      <c r="I205" s="99"/>
      <c r="J205" s="6"/>
      <c r="K205" s="6">
        <f t="shared" si="24"/>
        <v>69851.791000000012</v>
      </c>
      <c r="L205" s="6">
        <f t="shared" si="24"/>
        <v>75838.258000000002</v>
      </c>
      <c r="M205" s="6">
        <f t="shared" si="24"/>
        <v>73307.487000000008</v>
      </c>
      <c r="O205" s="99"/>
      <c r="P205" s="6"/>
      <c r="Q205" s="6"/>
      <c r="R205" s="6"/>
      <c r="S205" s="6">
        <f>S138</f>
        <v>69851.791000000012</v>
      </c>
    </row>
    <row r="206" spans="1:19" s="5" customFormat="1" ht="13.5" customHeight="1">
      <c r="B206" s="1"/>
      <c r="C206" s="1"/>
      <c r="D206" s="1"/>
      <c r="E206" s="1"/>
      <c r="F206" s="394"/>
      <c r="G206" s="99"/>
      <c r="H206" s="99"/>
      <c r="I206" s="99"/>
      <c r="J206" s="1"/>
      <c r="K206" s="1"/>
      <c r="L206" s="1"/>
      <c r="M206" s="1"/>
      <c r="O206" s="99"/>
      <c r="P206" s="1"/>
      <c r="Q206" s="1"/>
      <c r="R206" s="1"/>
      <c r="S206" s="1"/>
    </row>
    <row r="207" spans="1:19" s="5" customFormat="1" ht="13.5" customHeight="1">
      <c r="B207" s="5" t="str">
        <f t="shared" ref="B207:E208" si="25">+B152</f>
        <v>Total Net Leverage</v>
      </c>
      <c r="C207" s="48">
        <f t="shared" si="25"/>
        <v>3.2214461866902249</v>
      </c>
      <c r="D207" s="48">
        <f t="shared" si="25"/>
        <v>3.8502522241654629</v>
      </c>
      <c r="E207" s="48">
        <f t="shared" si="25"/>
        <v>3.8531643930104238</v>
      </c>
      <c r="F207" s="394"/>
      <c r="G207" s="99"/>
      <c r="H207" s="99"/>
      <c r="I207" s="99"/>
      <c r="J207" s="48"/>
      <c r="K207" s="48">
        <f t="shared" ref="K207:M208" si="26">+K152</f>
        <v>3.5476420934579447</v>
      </c>
      <c r="L207" s="48">
        <f t="shared" si="26"/>
        <v>3.8502522241654629</v>
      </c>
      <c r="M207" s="48">
        <f t="shared" si="26"/>
        <v>3.8531643930104238</v>
      </c>
      <c r="O207" s="99"/>
      <c r="P207" s="48"/>
      <c r="Q207" s="48"/>
      <c r="R207" s="48"/>
      <c r="S207" s="48">
        <f>+S152</f>
        <v>3.5476420934579447</v>
      </c>
    </row>
    <row r="208" spans="1:19">
      <c r="A208" s="5"/>
      <c r="B208" s="1" t="str">
        <f t="shared" si="25"/>
        <v xml:space="preserve">Total Gross Leverage </v>
      </c>
      <c r="C208" s="49">
        <f t="shared" si="25"/>
        <v>4.8792432273262669</v>
      </c>
      <c r="D208" s="49">
        <f t="shared" si="25"/>
        <v>5.7667293741920771</v>
      </c>
      <c r="E208" s="49">
        <f t="shared" si="25"/>
        <v>5.6182929950950342</v>
      </c>
      <c r="F208" s="394"/>
      <c r="G208" s="99"/>
      <c r="H208" s="99"/>
      <c r="I208" s="99"/>
      <c r="J208" s="49"/>
      <c r="K208" s="49">
        <f t="shared" si="26"/>
        <v>5.222563813084113</v>
      </c>
      <c r="L208" s="49">
        <f t="shared" si="26"/>
        <v>5.7667293741920771</v>
      </c>
      <c r="M208" s="49">
        <f t="shared" si="26"/>
        <v>5.6182929950950342</v>
      </c>
      <c r="O208" s="99"/>
      <c r="P208" s="49"/>
      <c r="Q208" s="49"/>
      <c r="R208" s="49"/>
      <c r="S208" s="49">
        <f>+S153</f>
        <v>5.222563813084113</v>
      </c>
    </row>
    <row r="209" spans="1:19">
      <c r="A209" s="5"/>
      <c r="C209" s="49"/>
      <c r="D209" s="49"/>
      <c r="E209" s="49"/>
      <c r="F209" s="394"/>
      <c r="G209" s="99"/>
      <c r="H209" s="99"/>
      <c r="I209" s="99"/>
      <c r="J209" s="49"/>
      <c r="K209" s="49"/>
      <c r="L209" s="49"/>
      <c r="M209" s="49"/>
      <c r="O209" s="99"/>
      <c r="P209" s="49"/>
      <c r="Q209" s="49"/>
      <c r="R209" s="49"/>
      <c r="S209" s="49"/>
    </row>
    <row r="210" spans="1:19" s="5" customFormat="1">
      <c r="B210" s="5" t="str">
        <f t="shared" ref="B210:E211" si="27">+B155</f>
        <v>Net Leverage (based on company reported debt)</v>
      </c>
      <c r="C210" s="48">
        <f t="shared" si="27"/>
        <v>2.8593975265017666</v>
      </c>
      <c r="D210" s="48">
        <f t="shared" si="27"/>
        <v>3.3036175195802602</v>
      </c>
      <c r="E210" s="48">
        <f t="shared" si="27"/>
        <v>3.3696346566523605</v>
      </c>
      <c r="F210" s="394"/>
      <c r="G210" s="99"/>
      <c r="H210" s="99"/>
      <c r="I210" s="99"/>
      <c r="J210" s="48"/>
      <c r="K210" s="48">
        <f t="shared" ref="K210:M211" si="28">+K155</f>
        <v>3.0915292710280378</v>
      </c>
      <c r="L210" s="48">
        <f t="shared" si="28"/>
        <v>3.3036175195802602</v>
      </c>
      <c r="M210" s="48">
        <f t="shared" si="28"/>
        <v>3.3696346566523605</v>
      </c>
      <c r="O210" s="99"/>
      <c r="P210" s="48"/>
      <c r="Q210" s="48"/>
      <c r="R210" s="48"/>
      <c r="S210" s="48">
        <f>+S155</f>
        <v>3.0915292710280378</v>
      </c>
    </row>
    <row r="211" spans="1:19" s="5" customFormat="1">
      <c r="B211" s="5" t="str">
        <f t="shared" si="27"/>
        <v>Net Leverage (based on company reported adjusted debt)</v>
      </c>
      <c r="C211" s="48">
        <f t="shared" si="27"/>
        <v>2.2439910924617195</v>
      </c>
      <c r="D211" s="48">
        <f t="shared" si="27"/>
        <v>3.0270314804957801</v>
      </c>
      <c r="E211" s="48">
        <f t="shared" si="27"/>
        <v>3.2473051042305334</v>
      </c>
      <c r="F211" s="394"/>
      <c r="G211" s="99"/>
      <c r="H211" s="99"/>
      <c r="I211" s="99"/>
      <c r="J211" s="48"/>
      <c r="K211" s="48">
        <f t="shared" si="28"/>
        <v>2.905517757009346</v>
      </c>
      <c r="L211" s="48">
        <f t="shared" si="28"/>
        <v>3.0270314804957801</v>
      </c>
      <c r="M211" s="48">
        <f t="shared" si="28"/>
        <v>3.2473051042305334</v>
      </c>
      <c r="O211" s="99"/>
      <c r="P211" s="48"/>
      <c r="Q211" s="48"/>
      <c r="R211" s="48"/>
      <c r="S211" s="48">
        <f>+S156</f>
        <v>2.905517757009346</v>
      </c>
    </row>
    <row r="212" spans="1:19">
      <c r="A212" s="5"/>
      <c r="C212" s="49"/>
      <c r="D212" s="49"/>
      <c r="E212" s="49"/>
      <c r="F212" s="394"/>
      <c r="G212" s="99"/>
      <c r="H212" s="99"/>
      <c r="I212" s="99"/>
      <c r="J212" s="49"/>
      <c r="K212" s="49"/>
      <c r="L212" s="49"/>
      <c r="M212" s="49"/>
      <c r="O212" s="99"/>
      <c r="P212" s="49"/>
      <c r="Q212" s="49"/>
      <c r="R212" s="49"/>
      <c r="S212" s="49"/>
    </row>
    <row r="213" spans="1:19" s="5" customFormat="1">
      <c r="B213" s="5" t="str">
        <f t="shared" ref="B213:E214" si="29">+B164</f>
        <v>EBITDA - Capex / Interest</v>
      </c>
      <c r="C213" s="48">
        <f t="shared" si="29"/>
        <v>1.9151833493890027</v>
      </c>
      <c r="D213" s="48">
        <f t="shared" si="29"/>
        <v>1.3114344679226735</v>
      </c>
      <c r="E213" s="48">
        <f t="shared" si="29"/>
        <v>1.2419204422079066</v>
      </c>
      <c r="F213" s="394"/>
      <c r="G213" s="476"/>
      <c r="H213" s="476"/>
      <c r="I213" s="476"/>
      <c r="J213" s="48"/>
      <c r="K213" s="48">
        <f t="shared" ref="K213:M214" si="30">+K164</f>
        <v>1.4302004520920406</v>
      </c>
      <c r="L213" s="48">
        <f t="shared" si="30"/>
        <v>1.3114344679226735</v>
      </c>
      <c r="M213" s="48">
        <f t="shared" si="30"/>
        <v>1.2419204422079058</v>
      </c>
      <c r="O213" s="476"/>
      <c r="P213" s="48"/>
      <c r="Q213" s="48"/>
      <c r="R213" s="48"/>
      <c r="S213" s="48">
        <f>+S164</f>
        <v>1.4302004520920406</v>
      </c>
    </row>
    <row r="214" spans="1:19">
      <c r="A214" s="5"/>
      <c r="B214" s="1" t="str">
        <f t="shared" si="29"/>
        <v>EBITDA/Interest</v>
      </c>
      <c r="C214" s="49">
        <f t="shared" si="29"/>
        <v>2.6981760940989408</v>
      </c>
      <c r="D214" s="49">
        <f t="shared" si="29"/>
        <v>2.2491901350459664</v>
      </c>
      <c r="E214" s="49">
        <f t="shared" si="29"/>
        <v>2.206002135379749</v>
      </c>
      <c r="F214" s="394"/>
      <c r="G214" s="99"/>
      <c r="H214" s="99"/>
      <c r="I214" s="99"/>
      <c r="J214" s="49"/>
      <c r="K214" s="49">
        <f t="shared" si="30"/>
        <v>2.2725723744448145</v>
      </c>
      <c r="L214" s="49">
        <f t="shared" si="30"/>
        <v>2.2491901350459664</v>
      </c>
      <c r="M214" s="49">
        <f t="shared" si="30"/>
        <v>2.2060021353797481</v>
      </c>
      <c r="O214" s="99"/>
      <c r="P214" s="49"/>
      <c r="Q214" s="49"/>
      <c r="R214" s="49"/>
      <c r="S214" s="49">
        <f>+S165</f>
        <v>2.2725723744448145</v>
      </c>
    </row>
    <row r="215" spans="1:19" s="5" customFormat="1" ht="13.5" customHeight="1" thickBot="1">
      <c r="B215" s="66"/>
      <c r="C215" s="66"/>
      <c r="D215" s="66"/>
      <c r="E215" s="66"/>
      <c r="F215" s="394"/>
      <c r="G215" s="66"/>
      <c r="H215" s="66"/>
      <c r="I215" s="66"/>
      <c r="J215" s="49"/>
      <c r="K215" s="66"/>
      <c r="L215" s="66"/>
      <c r="M215" s="66"/>
      <c r="N215" s="1"/>
      <c r="O215" s="66"/>
      <c r="P215" s="66"/>
      <c r="Q215" s="66"/>
      <c r="R215" s="66"/>
      <c r="S215" s="66"/>
    </row>
    <row r="216" spans="1:19" s="5" customFormat="1" ht="13.5" customHeight="1" thickTop="1">
      <c r="C216" s="57"/>
      <c r="D216" s="57"/>
      <c r="E216" s="57"/>
      <c r="F216" s="394"/>
      <c r="G216" s="57"/>
      <c r="H216" s="57"/>
      <c r="I216" s="57"/>
      <c r="J216" s="49"/>
      <c r="K216" s="57"/>
      <c r="L216" s="57"/>
      <c r="M216" s="57"/>
      <c r="N216" s="1"/>
      <c r="O216" s="57"/>
      <c r="P216" s="57"/>
      <c r="Q216" s="57"/>
      <c r="R216" s="57"/>
      <c r="S216" s="57"/>
    </row>
    <row r="217" spans="1:19" s="5" customFormat="1" ht="13.5" customHeight="1">
      <c r="B217" s="421" t="s">
        <v>166</v>
      </c>
      <c r="C217" s="498">
        <f>1/5.3909</f>
        <v>0.18549778330148953</v>
      </c>
      <c r="D217" s="498">
        <f>1/5.5893</f>
        <v>0.17891328073282881</v>
      </c>
      <c r="E217" s="498">
        <f>1/5.4435</f>
        <v>0.18370533664002939</v>
      </c>
      <c r="F217" s="394"/>
      <c r="G217" s="498">
        <f>1/5.546</f>
        <v>0.18031013342949873</v>
      </c>
      <c r="H217" s="498">
        <f>1/5.843</f>
        <v>0.17114495978093444</v>
      </c>
      <c r="I217" s="498">
        <f>1/5.8533</f>
        <v>0.17084379751593118</v>
      </c>
      <c r="J217" s="49"/>
      <c r="K217" s="498">
        <f>1/5.4494</f>
        <v>0.18350644107608177</v>
      </c>
      <c r="L217" s="498">
        <f>1/5.3992</f>
        <v>0.18521262409245812</v>
      </c>
      <c r="M217" s="498">
        <f>1/5.2586</f>
        <v>0.19016468261514471</v>
      </c>
      <c r="N217" s="1"/>
      <c r="O217" s="498">
        <f>1/5.2386</f>
        <v>0.19089069598747757</v>
      </c>
      <c r="P217" s="498"/>
      <c r="Q217" s="498"/>
      <c r="R217" s="498"/>
      <c r="S217" s="498">
        <f>1/5.6536</f>
        <v>0.17687844912975803</v>
      </c>
    </row>
    <row r="218" spans="1:19" ht="13.5" customHeight="1">
      <c r="A218" s="5"/>
      <c r="B218" s="421" t="s">
        <v>167</v>
      </c>
      <c r="C218" s="497">
        <f>H218</f>
        <v>0.16186992133121822</v>
      </c>
      <c r="D218" s="494">
        <f>L218</f>
        <v>0.18255504034466391</v>
      </c>
      <c r="E218" s="494">
        <f>M218</f>
        <v>0.19297940909704936</v>
      </c>
      <c r="F218" s="499"/>
      <c r="G218" s="498">
        <f>1/5.4482</f>
        <v>0.18354685951323374</v>
      </c>
      <c r="H218" s="498">
        <f>1/6.1778</f>
        <v>0.16186992133121822</v>
      </c>
      <c r="I218" s="498">
        <f>1/5.7047</f>
        <v>0.17529405577856855</v>
      </c>
      <c r="J218" s="500"/>
      <c r="K218" s="498">
        <f>1/5.3229</f>
        <v>0.18786751582783823</v>
      </c>
      <c r="L218" s="498">
        <f>1/5.4778</f>
        <v>0.18255504034466391</v>
      </c>
      <c r="M218" s="498">
        <f>1/5.1819</f>
        <v>0.19297940909704936</v>
      </c>
      <c r="N218" s="501"/>
      <c r="O218" s="498">
        <f>1/5.4482</f>
        <v>0.18354685951323374</v>
      </c>
      <c r="P218" s="498"/>
      <c r="Q218" s="498"/>
      <c r="R218" s="498"/>
      <c r="S218" s="498">
        <f>1/5.3229</f>
        <v>0.18786751582783823</v>
      </c>
    </row>
    <row r="219" spans="1:19" ht="13.5" customHeight="1">
      <c r="A219" s="5"/>
      <c r="B219" s="421" t="s">
        <v>168</v>
      </c>
      <c r="C219" s="497">
        <f>C217</f>
        <v>0.18549778330148953</v>
      </c>
      <c r="D219" s="497">
        <f>D217</f>
        <v>0.17891328073282881</v>
      </c>
      <c r="E219" s="497">
        <f>E217</f>
        <v>0.18370533664002939</v>
      </c>
      <c r="F219" s="499"/>
      <c r="G219" s="498">
        <f>1/5.1675</f>
        <v>0.19351717464925011</v>
      </c>
      <c r="H219" s="498">
        <f>1/5.3909</f>
        <v>0.18549778330148953</v>
      </c>
      <c r="I219" s="498">
        <f>1/5.6139</f>
        <v>0.17812928623595006</v>
      </c>
      <c r="J219" s="500"/>
      <c r="K219" s="498">
        <f>1/5.7015</f>
        <v>0.17539244058581074</v>
      </c>
      <c r="L219" s="498">
        <f>1/5.5893</f>
        <v>0.17891328073282881</v>
      </c>
      <c r="M219" s="498">
        <f>1/5.4435</f>
        <v>0.18370533664002939</v>
      </c>
      <c r="N219" s="501"/>
      <c r="O219" s="498">
        <f>1/5.1675</f>
        <v>0.19351717464925011</v>
      </c>
      <c r="P219" s="498"/>
      <c r="Q219" s="498"/>
      <c r="R219" s="498"/>
      <c r="S219" s="498">
        <f>1/5.7015</f>
        <v>0.17539244058581074</v>
      </c>
    </row>
    <row r="220" spans="1:19" ht="13.5" customHeight="1">
      <c r="A220" s="5"/>
      <c r="B220" s="480" t="s">
        <v>169</v>
      </c>
      <c r="C220" s="502">
        <f>1/C218</f>
        <v>6.1778000000000004</v>
      </c>
      <c r="D220" s="502">
        <f>1/D218</f>
        <v>5.4778000000000002</v>
      </c>
      <c r="E220" s="502">
        <f>1/E218</f>
        <v>5.1818999999999997</v>
      </c>
      <c r="F220" s="495"/>
      <c r="G220" s="502">
        <f>1/G218</f>
        <v>5.4481999999999999</v>
      </c>
      <c r="H220" s="502">
        <f>1/H218</f>
        <v>6.1778000000000004</v>
      </c>
      <c r="I220" s="502">
        <f>1/I218</f>
        <v>5.7046999999999999</v>
      </c>
      <c r="J220" s="496"/>
      <c r="K220" s="502">
        <f>1/K218</f>
        <v>5.3228999999999997</v>
      </c>
      <c r="L220" s="502">
        <f>1/L218</f>
        <v>5.4778000000000002</v>
      </c>
      <c r="M220" s="502">
        <f>1/M218</f>
        <v>5.1818999999999997</v>
      </c>
      <c r="O220" s="502">
        <f>1/O218</f>
        <v>5.4481999999999999</v>
      </c>
      <c r="P220" s="502" t="e">
        <f>1/P218</f>
        <v>#DIV/0!</v>
      </c>
      <c r="Q220" s="502" t="e">
        <f>1/Q218</f>
        <v>#DIV/0!</v>
      </c>
      <c r="R220" s="502" t="e">
        <f>1/R218</f>
        <v>#DIV/0!</v>
      </c>
      <c r="S220" s="502">
        <f>1/S218</f>
        <v>5.3228999999999997</v>
      </c>
    </row>
    <row r="221" spans="1:19" ht="13.5" customHeight="1">
      <c r="A221" s="5"/>
      <c r="B221" s="5"/>
      <c r="C221" s="5"/>
      <c r="D221" s="5"/>
      <c r="E221" s="5"/>
      <c r="F221" s="5"/>
      <c r="G221" s="5"/>
      <c r="H221" s="5"/>
      <c r="I221" s="5"/>
      <c r="J221" s="5"/>
      <c r="K221" s="5"/>
      <c r="L221" s="5"/>
      <c r="M221" s="5"/>
      <c r="N221" s="5"/>
      <c r="O221" s="5"/>
      <c r="P221" s="5"/>
      <c r="Q221" s="5"/>
      <c r="R221" s="5"/>
      <c r="S221" s="5"/>
    </row>
    <row r="222" spans="1:19" ht="13.5" customHeight="1">
      <c r="A222" s="5"/>
      <c r="B222" s="16" t="s">
        <v>163</v>
      </c>
      <c r="C222" s="44"/>
      <c r="D222" s="44"/>
      <c r="E222" s="44"/>
      <c r="F222" s="499"/>
      <c r="G222" s="44"/>
      <c r="H222" s="44"/>
      <c r="I222" s="44"/>
      <c r="J222" s="500"/>
      <c r="K222" s="44"/>
      <c r="L222" s="44"/>
      <c r="M222" s="44"/>
      <c r="N222" s="501"/>
      <c r="O222" s="44"/>
      <c r="P222" s="44"/>
      <c r="Q222" s="44"/>
      <c r="R222" s="44"/>
      <c r="S222" s="44"/>
    </row>
    <row r="223" spans="1:19" s="2" customFormat="1" ht="13.5" customHeight="1">
      <c r="A223" s="5"/>
      <c r="B223" s="79" t="s">
        <v>170</v>
      </c>
      <c r="C223" s="44">
        <f>C3</f>
        <v>45630</v>
      </c>
      <c r="D223" s="44">
        <f>D3</f>
        <v>45995</v>
      </c>
      <c r="E223" s="120">
        <f>E3</f>
        <v>46112</v>
      </c>
      <c r="F223" s="394"/>
      <c r="G223" s="120">
        <f t="shared" ref="G223:I225" si="31">G3</f>
        <v>45544</v>
      </c>
      <c r="H223" s="120">
        <f t="shared" si="31"/>
        <v>45635</v>
      </c>
      <c r="I223" s="120">
        <f t="shared" si="31"/>
        <v>45747</v>
      </c>
      <c r="J223" s="396"/>
      <c r="K223" s="120">
        <f t="shared" ref="K223:M225" si="32">K3</f>
        <v>45909</v>
      </c>
      <c r="L223" s="120">
        <f t="shared" si="32"/>
        <v>46000</v>
      </c>
      <c r="M223" s="120">
        <f t="shared" si="32"/>
        <v>46112</v>
      </c>
      <c r="O223" s="120">
        <f>O3</f>
        <v>45544</v>
      </c>
      <c r="P223" s="120"/>
      <c r="Q223" s="120"/>
      <c r="R223" s="120"/>
      <c r="S223" s="120">
        <f>S3</f>
        <v>45909</v>
      </c>
    </row>
    <row r="224" spans="1:19" s="5" customFormat="1" ht="13.5" customHeight="1">
      <c r="B224" s="11"/>
      <c r="C224" s="14" t="s">
        <v>51</v>
      </c>
      <c r="D224" s="14" t="s">
        <v>51</v>
      </c>
      <c r="E224" s="14" t="s">
        <v>51</v>
      </c>
      <c r="F224" s="394"/>
      <c r="G224" s="14" t="str">
        <f t="shared" si="31"/>
        <v>Act</v>
      </c>
      <c r="H224" s="14" t="str">
        <f t="shared" si="31"/>
        <v>Act</v>
      </c>
      <c r="I224" s="14" t="str">
        <f t="shared" si="31"/>
        <v>Act</v>
      </c>
      <c r="J224" s="395"/>
      <c r="K224" s="14" t="str">
        <f t="shared" si="32"/>
        <v>Act</v>
      </c>
      <c r="L224" s="14" t="str">
        <f t="shared" si="32"/>
        <v>Act</v>
      </c>
      <c r="M224" s="14" t="str">
        <f t="shared" si="32"/>
        <v>Act</v>
      </c>
      <c r="O224" s="14" t="str">
        <f>O4</f>
        <v>Act</v>
      </c>
      <c r="P224" s="14"/>
      <c r="Q224" s="14"/>
      <c r="R224" s="14"/>
      <c r="S224" s="14" t="str">
        <f>S4</f>
        <v>Act</v>
      </c>
    </row>
    <row r="225" spans="1:19" s="3" customFormat="1" ht="13.5" customHeight="1">
      <c r="A225" s="5"/>
      <c r="C225" s="23" t="s">
        <v>52</v>
      </c>
      <c r="D225" s="23" t="s">
        <v>52</v>
      </c>
      <c r="E225" s="482" t="s">
        <v>47</v>
      </c>
      <c r="F225" s="394"/>
      <c r="G225" s="23" t="str">
        <f t="shared" si="31"/>
        <v>Q3</v>
      </c>
      <c r="H225" s="23" t="str">
        <f t="shared" si="31"/>
        <v>Q4</v>
      </c>
      <c r="I225" s="23" t="str">
        <f t="shared" si="31"/>
        <v>Q1</v>
      </c>
      <c r="J225" s="23"/>
      <c r="K225" s="23" t="str">
        <f t="shared" si="32"/>
        <v>Q3</v>
      </c>
      <c r="L225" s="23" t="str">
        <f t="shared" si="32"/>
        <v>Q4</v>
      </c>
      <c r="M225" s="23" t="str">
        <f t="shared" si="32"/>
        <v>Q1</v>
      </c>
      <c r="O225" s="23" t="str">
        <f>O5</f>
        <v>9M</v>
      </c>
      <c r="P225" s="23"/>
      <c r="Q225" s="23"/>
      <c r="R225" s="23"/>
      <c r="S225" s="23" t="str">
        <f>S5</f>
        <v>9M</v>
      </c>
    </row>
    <row r="226" spans="1:19" s="5" customFormat="1" ht="13.5" customHeight="1">
      <c r="B226" s="5" t="str">
        <f>+B7</f>
        <v>Revenues</v>
      </c>
      <c r="C226" s="54">
        <f>+C7*C217</f>
        <v>27664.238438850654</v>
      </c>
      <c r="D226" s="54">
        <f>+D7*D217</f>
        <v>29335.111194603975</v>
      </c>
      <c r="E226" s="54">
        <f>+E7*E217</f>
        <v>30115.929457150731</v>
      </c>
      <c r="F226" s="394"/>
      <c r="G226" s="54">
        <f>+G7*G217</f>
        <v>7056.3425892535161</v>
      </c>
      <c r="H226" s="54">
        <f>+H7*H217</f>
        <v>7223.7172685264431</v>
      </c>
      <c r="I226" s="54">
        <f>+I7*I217</f>
        <v>6744.8668272598361</v>
      </c>
      <c r="J226" s="54"/>
      <c r="K226" s="54">
        <f>+K7*K217</f>
        <v>7664.2441369692078</v>
      </c>
      <c r="L226" s="54">
        <f>+L7*L217</f>
        <v>8133.6675803822773</v>
      </c>
      <c r="M226" s="54">
        <f>+M7*M217</f>
        <v>7502.5774921081647</v>
      </c>
      <c r="O226" s="54">
        <f>+O7*O217</f>
        <v>20411.362386897265</v>
      </c>
      <c r="P226" s="54"/>
      <c r="Q226" s="54"/>
      <c r="R226" s="54"/>
      <c r="S226" s="54">
        <f>+S7*S217</f>
        <v>21233.804832319231</v>
      </c>
    </row>
    <row r="227" spans="1:19" s="46" customFormat="1" ht="13.5" customHeight="1">
      <c r="A227" s="5"/>
      <c r="B227" s="21" t="str">
        <f>+B8</f>
        <v xml:space="preserve">% y-o-y growth </v>
      </c>
      <c r="C227" s="68"/>
      <c r="D227" s="68">
        <f>+D226/C226-1</f>
        <v>6.0398292165050327E-2</v>
      </c>
      <c r="E227" s="68"/>
      <c r="F227" s="394"/>
      <c r="G227" s="68"/>
      <c r="H227" s="68"/>
      <c r="I227" s="68"/>
      <c r="J227" s="399"/>
      <c r="K227" s="68">
        <f>K226/G226-1</f>
        <v>8.6149664649431523E-2</v>
      </c>
      <c r="L227" s="68">
        <f>L226/H226-1</f>
        <v>0.12596704411736392</v>
      </c>
      <c r="M227" s="68">
        <f>M226/I226-1</f>
        <v>0.1123388621678918</v>
      </c>
      <c r="O227" s="68"/>
      <c r="P227" s="68"/>
      <c r="Q227" s="68"/>
      <c r="R227" s="68"/>
      <c r="S227" s="68">
        <f>S226/O226-1</f>
        <v>4.0293363560578443E-2</v>
      </c>
    </row>
    <row r="228" spans="1:19" s="5" customFormat="1" ht="13.5" customHeight="1" outlineLevel="1" thickBot="1">
      <c r="B228" s="25" t="str">
        <f>+B42</f>
        <v xml:space="preserve">EBITDA </v>
      </c>
      <c r="C228" s="61">
        <f>C42*C217</f>
        <v>2424.7513402214863</v>
      </c>
      <c r="D228" s="61">
        <f>D42*D217</f>
        <v>2291.8834201062723</v>
      </c>
      <c r="E228" s="61">
        <f>E42*E217</f>
        <v>2339.6193625424808</v>
      </c>
      <c r="F228" s="394"/>
      <c r="G228" s="61">
        <f>G42*G217</f>
        <v>690.76812116840961</v>
      </c>
      <c r="H228" s="61">
        <f>H42*H217</f>
        <v>597.85726510354368</v>
      </c>
      <c r="I228" s="61">
        <f>I42*I217</f>
        <v>524.76432098132625</v>
      </c>
      <c r="J228" s="61"/>
      <c r="K228" s="61">
        <f>K42*K217</f>
        <v>642.82306308951445</v>
      </c>
      <c r="L228" s="61">
        <f>L42*L217</f>
        <v>603.38105645280677</v>
      </c>
      <c r="M228" s="61">
        <f>M42*M217</f>
        <v>569.98003270832498</v>
      </c>
      <c r="O228" s="61">
        <f>O42*O217</f>
        <v>1828.4106440652092</v>
      </c>
      <c r="P228" s="61"/>
      <c r="Q228" s="61"/>
      <c r="R228" s="61"/>
      <c r="S228" s="61">
        <f>S42*S217</f>
        <v>1689.5869888212808</v>
      </c>
    </row>
    <row r="229" spans="1:19" s="46" customFormat="1" ht="13.5" customHeight="1" outlineLevel="1" thickTop="1">
      <c r="A229" s="5"/>
      <c r="B229" s="21" t="str">
        <f>B43</f>
        <v xml:space="preserve">% growth </v>
      </c>
      <c r="C229" s="68"/>
      <c r="D229" s="68">
        <f>D228/C228-1</f>
        <v>-5.4796513733683438E-2</v>
      </c>
      <c r="E229" s="68"/>
      <c r="F229" s="394"/>
      <c r="G229" s="68"/>
      <c r="H229" s="68"/>
      <c r="I229" s="68"/>
      <c r="J229" s="399"/>
      <c r="K229" s="68">
        <f>K228/G228-1</f>
        <v>-6.9408324746946692E-2</v>
      </c>
      <c r="L229" s="68">
        <f>L228/H228-1</f>
        <v>9.2393145850730996E-3</v>
      </c>
      <c r="M229" s="68">
        <f>M228/I228-1</f>
        <v>8.6163845214255241E-2</v>
      </c>
      <c r="O229" s="68"/>
      <c r="P229" s="68"/>
      <c r="Q229" s="68"/>
      <c r="R229" s="68"/>
      <c r="S229" s="68">
        <f>S228/O228-1</f>
        <v>-7.5925862548729128E-2</v>
      </c>
    </row>
    <row r="230" spans="1:19" s="46" customFormat="1" ht="13.5" customHeight="1" outlineLevel="1">
      <c r="A230" s="5"/>
      <c r="B230" s="21" t="str">
        <f>B44</f>
        <v>% margin</v>
      </c>
      <c r="C230" s="68">
        <f>C228/C226</f>
        <v>8.7649307447272909E-2</v>
      </c>
      <c r="D230" s="68">
        <f>D228/D226</f>
        <v>7.8127654090087484E-2</v>
      </c>
      <c r="E230" s="68">
        <f>E228/E226</f>
        <v>7.7687104622532616E-2</v>
      </c>
      <c r="F230" s="503"/>
      <c r="G230" s="68">
        <f>G228/G226</f>
        <v>9.7893223356306083E-2</v>
      </c>
      <c r="H230" s="68">
        <f>H228/H226</f>
        <v>8.276310421344879E-2</v>
      </c>
      <c r="I230" s="68">
        <f>I228/I226</f>
        <v>7.780202847896947E-2</v>
      </c>
      <c r="J230" s="399"/>
      <c r="K230" s="68">
        <f>K228/K226</f>
        <v>8.3872988855978173E-2</v>
      </c>
      <c r="L230" s="68">
        <f>L228/L226</f>
        <v>7.4183146838716546E-2</v>
      </c>
      <c r="M230" s="68">
        <f>M228/M226</f>
        <v>7.5971228995352247E-2</v>
      </c>
      <c r="N230" s="397"/>
      <c r="O230" s="68">
        <f>O228/O226</f>
        <v>8.9578079571941124E-2</v>
      </c>
      <c r="P230" s="68"/>
      <c r="Q230" s="68"/>
      <c r="R230" s="68"/>
      <c r="S230" s="68">
        <f>S228/S226</f>
        <v>7.9570618745144511E-2</v>
      </c>
    </row>
    <row r="231" spans="1:19" ht="13.5" customHeight="1">
      <c r="A231" s="5"/>
      <c r="F231" s="394"/>
    </row>
    <row r="232" spans="1:19" s="5" customFormat="1" ht="13.5" customHeight="1" thickBot="1">
      <c r="B232" s="25" t="str">
        <f>B47</f>
        <v xml:space="preserve">Adj. EBITDA </v>
      </c>
      <c r="C232" s="61">
        <f>C47*C217</f>
        <v>2519.8018883674335</v>
      </c>
      <c r="D232" s="61">
        <f>D47*D217</f>
        <v>2352.8885549174315</v>
      </c>
      <c r="E232" s="61">
        <f>E47*E217</f>
        <v>2396.9872324791036</v>
      </c>
      <c r="F232" s="394"/>
      <c r="G232" s="61">
        <f>G47*G217</f>
        <v>690.76812116840961</v>
      </c>
      <c r="H232" s="61">
        <f>H47*H217</f>
        <v>641.79359917850411</v>
      </c>
      <c r="I232" s="61">
        <f>I47*I217</f>
        <v>546.5293082534638</v>
      </c>
      <c r="J232" s="61"/>
      <c r="K232" s="61">
        <f>K47*K217</f>
        <v>642.82306308951445</v>
      </c>
      <c r="L232" s="61">
        <f>L47*L217</f>
        <v>653.05971255000736</v>
      </c>
      <c r="M232" s="61">
        <f>M47*M217</f>
        <v>588.74985737648808</v>
      </c>
      <c r="O232" s="61">
        <f>O47*O217</f>
        <v>1877.2191043408545</v>
      </c>
      <c r="P232" s="61"/>
      <c r="Q232" s="61"/>
      <c r="R232" s="61"/>
      <c r="S232" s="61">
        <f>S47*S217</f>
        <v>1702.4550728739212</v>
      </c>
    </row>
    <row r="233" spans="1:19" s="46" customFormat="1" ht="13.5" customHeight="1" thickTop="1">
      <c r="A233" s="5"/>
      <c r="B233" s="21" t="str">
        <f>B48</f>
        <v xml:space="preserve">% growth </v>
      </c>
      <c r="C233" s="68"/>
      <c r="D233" s="68">
        <f>D232/C232-1</f>
        <v>-6.6240657339194375E-2</v>
      </c>
      <c r="E233" s="68"/>
      <c r="F233" s="394"/>
      <c r="G233" s="68"/>
      <c r="H233" s="68"/>
      <c r="I233" s="68"/>
      <c r="J233" s="399"/>
      <c r="K233" s="68">
        <f>K232/G232-1</f>
        <v>-6.9408324746946692E-2</v>
      </c>
      <c r="L233" s="68">
        <f>L232/H232-1</f>
        <v>1.7554106781251688E-2</v>
      </c>
      <c r="M233" s="68">
        <f>M232/I232-1</f>
        <v>7.7252122595122819E-2</v>
      </c>
      <c r="O233" s="68"/>
      <c r="P233" s="68"/>
      <c r="Q233" s="68"/>
      <c r="R233" s="68"/>
      <c r="S233" s="68">
        <f>S232/O232-1</f>
        <v>-9.3097300716155851E-2</v>
      </c>
    </row>
    <row r="234" spans="1:19" s="46" customFormat="1" ht="13.5" customHeight="1">
      <c r="A234" s="5"/>
      <c r="B234" s="21" t="str">
        <f>B49</f>
        <v>% margin</v>
      </c>
      <c r="C234" s="68">
        <f>C232/C226</f>
        <v>9.1085170984816083E-2</v>
      </c>
      <c r="D234" s="68">
        <f>D232/D226</f>
        <v>8.020724855306606E-2</v>
      </c>
      <c r="E234" s="68">
        <f>E232/E226</f>
        <v>7.9592005815047578E-2</v>
      </c>
      <c r="F234" s="394"/>
      <c r="G234" s="68">
        <f>G232/G226</f>
        <v>9.7893223356306083E-2</v>
      </c>
      <c r="H234" s="68">
        <f>H232/H226</f>
        <v>8.8845337562529325E-2</v>
      </c>
      <c r="I234" s="68">
        <f>I232/I226</f>
        <v>8.1028924995913715E-2</v>
      </c>
      <c r="J234" s="399"/>
      <c r="K234" s="68">
        <f>K232/K226</f>
        <v>8.3872988855978173E-2</v>
      </c>
      <c r="L234" s="68">
        <f>L232/L226</f>
        <v>8.0290927321044259E-2</v>
      </c>
      <c r="M234" s="68">
        <f>M232/M226</f>
        <v>7.8473012507472822E-2</v>
      </c>
      <c r="O234" s="68">
        <f>O232/O226</f>
        <v>9.1969319281985026E-2</v>
      </c>
      <c r="P234" s="68"/>
      <c r="Q234" s="68"/>
      <c r="R234" s="68"/>
      <c r="S234" s="68">
        <f>S232/S226</f>
        <v>8.0176637504112025E-2</v>
      </c>
    </row>
    <row r="235" spans="1:19" ht="13.5" customHeight="1">
      <c r="A235" s="5"/>
      <c r="F235" s="394"/>
    </row>
    <row r="236" spans="1:19" s="5" customFormat="1" ht="13.5" customHeight="1">
      <c r="B236" s="5" t="str">
        <f t="shared" ref="B236:B254" si="33">B54</f>
        <v xml:space="preserve">Adjusted EBITDA </v>
      </c>
      <c r="C236" s="8">
        <f>C54*C217</f>
        <v>2519.8018883674335</v>
      </c>
      <c r="D236" s="8">
        <f>D54*D217</f>
        <v>2352.8885549174315</v>
      </c>
      <c r="E236" s="8">
        <f>E54*E217</f>
        <v>2396.9872324791036</v>
      </c>
      <c r="F236" s="394"/>
      <c r="G236" s="99"/>
      <c r="H236" s="8">
        <f>H54*H217</f>
        <v>641.79359917850411</v>
      </c>
      <c r="I236" s="8">
        <f>I54*I217</f>
        <v>546.5293082534638</v>
      </c>
      <c r="J236" s="8"/>
      <c r="K236" s="99"/>
      <c r="L236" s="8">
        <f>L54*L217</f>
        <v>653.05971255000736</v>
      </c>
      <c r="M236" s="8">
        <f>M54*M217</f>
        <v>588.74985737648808</v>
      </c>
      <c r="O236" s="8">
        <f>O54*O217</f>
        <v>1877.2191043408545</v>
      </c>
      <c r="P236" s="8"/>
      <c r="Q236" s="8"/>
      <c r="R236" s="8"/>
      <c r="S236" s="8">
        <f>S54*S217</f>
        <v>1702.4550728739212</v>
      </c>
    </row>
    <row r="237" spans="1:19" ht="13.5" customHeight="1">
      <c r="A237" s="5"/>
      <c r="B237" s="1" t="str">
        <f t="shared" si="33"/>
        <v>Working Capital</v>
      </c>
      <c r="C237" s="6">
        <f>C55*C217</f>
        <v>-299.77480569107195</v>
      </c>
      <c r="D237" s="6">
        <f>D55*D217</f>
        <v>185.45810745531645</v>
      </c>
      <c r="E237" s="6">
        <f>E55*E217</f>
        <v>-96.125470744925138</v>
      </c>
      <c r="F237" s="394"/>
      <c r="G237" s="99"/>
      <c r="H237" s="6">
        <f>H55*H217</f>
        <v>146.18620571624169</v>
      </c>
      <c r="I237" s="6">
        <f>I55*I217</f>
        <v>197.25915295645191</v>
      </c>
      <c r="J237" s="6"/>
      <c r="K237" s="99"/>
      <c r="L237" s="6">
        <f>L55*L217</f>
        <v>34.320454882204785</v>
      </c>
      <c r="M237" s="6">
        <f>M55*M217</f>
        <v>-77.059103183356811</v>
      </c>
      <c r="O237" s="6">
        <f>O55*O217</f>
        <v>-471.54239682357888</v>
      </c>
      <c r="P237" s="6"/>
      <c r="Q237" s="6"/>
      <c r="R237" s="6"/>
      <c r="S237" s="6">
        <f>S55*S217</f>
        <v>150.57273241828216</v>
      </c>
    </row>
    <row r="238" spans="1:19" ht="13.5" customHeight="1">
      <c r="A238" s="5"/>
      <c r="B238" s="1" t="str">
        <f t="shared" si="33"/>
        <v>Taxes</v>
      </c>
      <c r="C238" s="6">
        <f>C56*C217</f>
        <v>-67.513402214843524</v>
      </c>
      <c r="D238" s="6">
        <f>D56*D217</f>
        <v>-73.89959386685274</v>
      </c>
      <c r="E238" s="6">
        <f>E56*E217</f>
        <v>-104.92036373656654</v>
      </c>
      <c r="F238" s="394"/>
      <c r="G238" s="99"/>
      <c r="H238" s="6">
        <f>H56*H217</f>
        <v>-88.970734211877456</v>
      </c>
      <c r="I238" s="6">
        <f>I56*I217</f>
        <v>1.3658961611398699</v>
      </c>
      <c r="J238" s="6"/>
      <c r="K238" s="99"/>
      <c r="L238" s="6">
        <f>L56*L217</f>
        <v>-50.856052748555335</v>
      </c>
      <c r="M238" s="6">
        <f>M56*M217</f>
        <v>-28.542197543072302</v>
      </c>
      <c r="O238" s="6">
        <f>O56*O217</f>
        <v>29.759477723055777</v>
      </c>
      <c r="P238" s="6"/>
      <c r="Q238" s="6"/>
      <c r="R238" s="6"/>
      <c r="S238" s="6">
        <f>S56*S217</f>
        <v>-24.491474458751945</v>
      </c>
    </row>
    <row r="239" spans="1:19" ht="13.5" customHeight="1">
      <c r="A239" s="5"/>
      <c r="B239" s="1" t="str">
        <f t="shared" si="33"/>
        <v>Cash interest paid</v>
      </c>
      <c r="C239" s="6">
        <f>C57*C217</f>
        <v>-898.66311747574605</v>
      </c>
      <c r="D239" s="6">
        <f>D57*D217</f>
        <v>-1018.9816256060689</v>
      </c>
      <c r="E239" s="6">
        <f>E57*E217</f>
        <v>-1060.5698539542575</v>
      </c>
      <c r="F239" s="394"/>
      <c r="G239" s="99"/>
      <c r="H239" s="6">
        <f>H57*H217</f>
        <v>-267.4104056135547</v>
      </c>
      <c r="I239" s="6">
        <f>I57*I217</f>
        <v>-249.63097739736557</v>
      </c>
      <c r="J239" s="6"/>
      <c r="K239" s="99"/>
      <c r="L239" s="6">
        <f>L57*L217</f>
        <v>-281.0507112164766</v>
      </c>
      <c r="M239" s="6">
        <f>M57*M217</f>
        <v>-292.66021374510325</v>
      </c>
      <c r="O239" s="6">
        <f>O57*O217</f>
        <v>-626.52693467720383</v>
      </c>
      <c r="P239" s="6"/>
      <c r="Q239" s="6"/>
      <c r="R239" s="6"/>
      <c r="S239" s="6">
        <f>S57*S217</f>
        <v>-738.9884321494269</v>
      </c>
    </row>
    <row r="240" spans="1:19" s="5" customFormat="1" ht="13.5" customHeight="1" thickBot="1">
      <c r="B240" s="25" t="str">
        <f t="shared" si="33"/>
        <v xml:space="preserve">Net cash from operations </v>
      </c>
      <c r="C240" s="368">
        <f>C58*C217</f>
        <v>2152.5136804615181</v>
      </c>
      <c r="D240" s="368">
        <f>D58*D217</f>
        <v>2464.4470685058955</v>
      </c>
      <c r="E240" s="368">
        <f>E58*E217</f>
        <v>2195.9413979976116</v>
      </c>
      <c r="F240" s="394"/>
      <c r="G240" s="99"/>
      <c r="H240" s="368">
        <f>H58*H217</f>
        <v>699.00907068286847</v>
      </c>
      <c r="I240" s="368">
        <f>I58*I217</f>
        <v>745.15435737105565</v>
      </c>
      <c r="J240" s="368"/>
      <c r="K240" s="99"/>
      <c r="L240" s="368">
        <f>L58*L217</f>
        <v>636.52411468365676</v>
      </c>
      <c r="M240" s="368">
        <f>M58*M217</f>
        <v>483.14855665005894</v>
      </c>
      <c r="O240" s="368">
        <f>O58*O217</f>
        <v>1435.4361852403315</v>
      </c>
      <c r="P240" s="368"/>
      <c r="Q240" s="368"/>
      <c r="R240" s="368"/>
      <c r="S240" s="368">
        <f>S58*S217</f>
        <v>1828.5363308334513</v>
      </c>
    </row>
    <row r="241" spans="1:19" s="5" customFormat="1" ht="13.5" customHeight="1" thickTop="1">
      <c r="B241" s="1" t="str">
        <f t="shared" si="33"/>
        <v>Net Capex</v>
      </c>
      <c r="C241" s="6">
        <f>C59*C217</f>
        <v>-703.64670092192398</v>
      </c>
      <c r="D241" s="6">
        <f>D59*D217</f>
        <v>-955.55579410659652</v>
      </c>
      <c r="E241" s="6">
        <f>E59*E217</f>
        <v>-1022.4759805272342</v>
      </c>
      <c r="F241" s="394"/>
      <c r="G241" s="99"/>
      <c r="H241" s="6">
        <f>H59*H217</f>
        <v>-224.53534143419483</v>
      </c>
      <c r="I241" s="6">
        <f>I59*I217</f>
        <v>-152.41914817282557</v>
      </c>
      <c r="J241" s="6"/>
      <c r="K241" s="99"/>
      <c r="L241" s="6">
        <f>L59*L217</f>
        <v>-336.5824566602459</v>
      </c>
      <c r="M241" s="6">
        <f>M59*M217</f>
        <v>-212.43581941961739</v>
      </c>
      <c r="O241" s="6">
        <f>O59*O217</f>
        <v>-473.66261978391168</v>
      </c>
      <c r="P241" s="6"/>
      <c r="Q241" s="6"/>
      <c r="R241" s="6"/>
      <c r="S241" s="6">
        <f>S59*S217</f>
        <v>-623.251025895005</v>
      </c>
    </row>
    <row r="242" spans="1:19" ht="13.5" customHeight="1">
      <c r="A242" s="5"/>
      <c r="B242" s="1" t="str">
        <f t="shared" si="33"/>
        <v>Net Payment for acquisition  of intangible assets</v>
      </c>
      <c r="C242" s="6">
        <f>C60*C217</f>
        <v>-29.690960693019715</v>
      </c>
      <c r="D242" s="6">
        <f>D60*D217</f>
        <v>-43.481115703218649</v>
      </c>
      <c r="E242" s="6">
        <f>E60*E217</f>
        <v>-46.143473867915858</v>
      </c>
      <c r="F242" s="394"/>
      <c r="G242" s="99"/>
      <c r="H242" s="6">
        <f>H60*H217</f>
        <v>-4.5338011295567364</v>
      </c>
      <c r="I242" s="6">
        <f>I60*I217</f>
        <v>-8.2606392974903038</v>
      </c>
      <c r="J242" s="6"/>
      <c r="K242" s="99"/>
      <c r="L242" s="6">
        <f>L60*L217</f>
        <v>-9.652911542450731</v>
      </c>
      <c r="M242" s="6">
        <f>M60*M217</f>
        <v>-10.745255391168753</v>
      </c>
      <c r="O242" s="6">
        <f>O60*O217</f>
        <v>-25.497270263047376</v>
      </c>
      <c r="P242" s="6"/>
      <c r="Q242" s="6"/>
      <c r="R242" s="6"/>
      <c r="S242" s="6">
        <f>S60*S217</f>
        <v>-33.768041601811234</v>
      </c>
    </row>
    <row r="243" spans="1:19" ht="13.5" customHeight="1">
      <c r="A243" s="5"/>
      <c r="B243" s="1" t="str">
        <f t="shared" si="33"/>
        <v>Disposals/ Acquisition, of subsidiaries</v>
      </c>
      <c r="C243" s="6">
        <f>C61*C217</f>
        <v>-41.31666326587397</v>
      </c>
      <c r="D243" s="6">
        <f>D61*D217</f>
        <v>-281.21589465586032</v>
      </c>
      <c r="E243" s="6">
        <f>E61*E217</f>
        <v>-197.66069624322589</v>
      </c>
      <c r="F243" s="394"/>
      <c r="G243" s="99"/>
      <c r="H243" s="6">
        <f>H61*H217</f>
        <v>-7.7311312681841518</v>
      </c>
      <c r="I243" s="6">
        <f>I61*I217</f>
        <v>-84.710163497514216</v>
      </c>
      <c r="J243" s="6"/>
      <c r="K243" s="99"/>
      <c r="L243" s="6">
        <f>L61*L217</f>
        <v>-57.467587790783853</v>
      </c>
      <c r="M243" s="6">
        <f>M61*M217</f>
        <v>0</v>
      </c>
      <c r="O243" s="6">
        <f>O61*O217</f>
        <v>-33.894742870232506</v>
      </c>
      <c r="P243" s="6"/>
      <c r="Q243" s="6"/>
      <c r="R243" s="6"/>
      <c r="S243" s="6">
        <f>S61*S217</f>
        <v>-223.13587802462146</v>
      </c>
    </row>
    <row r="244" spans="1:19" ht="13.5" customHeight="1" thickBot="1">
      <c r="A244" s="5"/>
      <c r="B244" s="66" t="str">
        <f t="shared" si="33"/>
        <v xml:space="preserve">Free cash flow </v>
      </c>
      <c r="C244" s="369">
        <f>C62*C217</f>
        <v>1377.8593555807004</v>
      </c>
      <c r="D244" s="369">
        <f>D62*D217</f>
        <v>1184.1942640402197</v>
      </c>
      <c r="E244" s="369">
        <f>E62*E217</f>
        <v>929.66124735923574</v>
      </c>
      <c r="F244" s="394"/>
      <c r="G244" s="99"/>
      <c r="H244" s="369">
        <f>H62*H217</f>
        <v>462.20879685093269</v>
      </c>
      <c r="I244" s="369">
        <f>I62*I217</f>
        <v>499.76440640322562</v>
      </c>
      <c r="J244" s="369"/>
      <c r="K244" s="99"/>
      <c r="L244" s="369">
        <f>L62*L217</f>
        <v>232.8211586901763</v>
      </c>
      <c r="M244" s="369">
        <f>M62*M217</f>
        <v>259.96748183927275</v>
      </c>
      <c r="O244" s="369">
        <f>O62*O217</f>
        <v>902.38155232314</v>
      </c>
      <c r="P244" s="369"/>
      <c r="Q244" s="369"/>
      <c r="R244" s="369"/>
      <c r="S244" s="369">
        <f>S62*S217</f>
        <v>948.38138531201366</v>
      </c>
    </row>
    <row r="245" spans="1:19" ht="13.5" customHeight="1" thickTop="1">
      <c r="A245" s="5"/>
      <c r="B245" s="1" t="str">
        <f t="shared" si="33"/>
        <v>Other Investing activities</v>
      </c>
      <c r="C245" s="6">
        <f>C63*C217</f>
        <v>-442.19555176315635</v>
      </c>
      <c r="D245" s="6">
        <f>D63*D217</f>
        <v>-407.51614692358618</v>
      </c>
      <c r="E245" s="6">
        <f>E63*E217</f>
        <v>-587.27491503628175</v>
      </c>
      <c r="F245" s="394"/>
      <c r="G245" s="99"/>
      <c r="H245" s="6">
        <f>H63*H217</f>
        <v>-362.73489645729933</v>
      </c>
      <c r="I245" s="6">
        <f>I63*I217</f>
        <v>310.88736268429773</v>
      </c>
      <c r="J245" s="6"/>
      <c r="K245" s="99"/>
      <c r="L245" s="6">
        <f>L63*L217</f>
        <v>-669.76440954215434</v>
      </c>
      <c r="M245" s="6">
        <f>M63*M217</f>
        <v>171.26535579812116</v>
      </c>
      <c r="O245" s="6">
        <f>O63*O217</f>
        <v>-50.466155079601421</v>
      </c>
      <c r="P245" s="6"/>
      <c r="Q245" s="6"/>
      <c r="R245" s="6"/>
      <c r="S245" s="6">
        <f>S63*S217</f>
        <v>236.7450827791142</v>
      </c>
    </row>
    <row r="246" spans="1:19" ht="13.5" customHeight="1">
      <c r="A246" s="5"/>
      <c r="B246" s="1" t="str">
        <f t="shared" si="33"/>
        <v>Equity Issuance / Buyback</v>
      </c>
      <c r="C246" s="6">
        <f>C64*C217</f>
        <v>-343.02472685451403</v>
      </c>
      <c r="D246" s="6">
        <f>D64*D217</f>
        <v>-331.75030862540933</v>
      </c>
      <c r="E246" s="6">
        <f>E64*E217</f>
        <v>-224.69899880591532</v>
      </c>
      <c r="F246" s="394"/>
      <c r="G246" s="99"/>
      <c r="H246" s="6">
        <f>H64*H217</f>
        <v>-93.154715043641943</v>
      </c>
      <c r="I246" s="6">
        <f>I64*I217</f>
        <v>-136.63711068969641</v>
      </c>
      <c r="J246" s="6"/>
      <c r="K246" s="99"/>
      <c r="L246" s="6">
        <f>L64*L217</f>
        <v>-77.086975848273823</v>
      </c>
      <c r="M246" s="6">
        <f>M64*M217</f>
        <v>-32.076027840109539</v>
      </c>
      <c r="O246" s="6">
        <f>O64*O217</f>
        <v>-249.09498721032338</v>
      </c>
      <c r="P246" s="6"/>
      <c r="Q246" s="6"/>
      <c r="R246" s="6"/>
      <c r="S246" s="6">
        <f>S64*S217</f>
        <v>-254.35899250035376</v>
      </c>
    </row>
    <row r="247" spans="1:19" s="5" customFormat="1" ht="13.5" customHeight="1">
      <c r="B247" s="1" t="str">
        <f t="shared" si="33"/>
        <v xml:space="preserve">Dividends received  / Dividends Paid </v>
      </c>
      <c r="C247" s="6">
        <f>C65*C217</f>
        <v>-581.55001947726714</v>
      </c>
      <c r="D247" s="6">
        <f>D65*D217</f>
        <v>-688.32751865170951</v>
      </c>
      <c r="E247" s="6">
        <f>E65*E217</f>
        <v>-706.74547625608511</v>
      </c>
      <c r="F247" s="394"/>
      <c r="G247" s="99"/>
      <c r="H247" s="6">
        <f>H65*H217</f>
        <v>-536.55279822009243</v>
      </c>
      <c r="I247" s="6">
        <f>I65*I217</f>
        <v>-2.0330411904395808E-2</v>
      </c>
      <c r="J247" s="6"/>
      <c r="K247" s="99"/>
      <c r="L247" s="6">
        <f>L65*L217</f>
        <v>-0.29319158393829248</v>
      </c>
      <c r="M247" s="6">
        <f>M65*M217</f>
        <v>-3.6131289696877495E-3</v>
      </c>
      <c r="O247" s="6">
        <f>O65*O217</f>
        <v>0</v>
      </c>
      <c r="P247" s="6"/>
      <c r="Q247" s="6"/>
      <c r="R247" s="6"/>
      <c r="S247" s="6">
        <f>S65*S217</f>
        <v>-680.2189755200227</v>
      </c>
    </row>
    <row r="248" spans="1:19" ht="13.5" customHeight="1">
      <c r="A248" s="5"/>
      <c r="B248" s="1" t="str">
        <f t="shared" si="33"/>
        <v>Change in debt</v>
      </c>
      <c r="C248" s="6">
        <f>C66*C217</f>
        <v>-1941.519226845239</v>
      </c>
      <c r="D248" s="6">
        <f>D66*D217</f>
        <v>585.95119245701608</v>
      </c>
      <c r="E248" s="6">
        <f>E66*E217</f>
        <v>856.20299439698715</v>
      </c>
      <c r="F248" s="394"/>
      <c r="G248" s="99"/>
      <c r="H248" s="6">
        <f>H66*H217</f>
        <v>-727.30172856409388</v>
      </c>
      <c r="I248" s="6">
        <f>I66*I217</f>
        <v>-463.57661490099599</v>
      </c>
      <c r="J248" s="6"/>
      <c r="K248" s="99"/>
      <c r="L248" s="6">
        <f>L66*L217</f>
        <v>253.66480219291734</v>
      </c>
      <c r="M248" s="6">
        <f>M66*M217</f>
        <v>-252.49477047122809</v>
      </c>
      <c r="O248" s="6">
        <f>O66*O217</f>
        <v>-1186.7506585729011</v>
      </c>
      <c r="P248" s="6"/>
      <c r="Q248" s="6"/>
      <c r="R248" s="6"/>
      <c r="S248" s="6">
        <f>S66*S217</f>
        <v>337.03657846328008</v>
      </c>
    </row>
    <row r="249" spans="1:19" ht="13.5" customHeight="1" thickBot="1">
      <c r="A249" s="5"/>
      <c r="B249" s="1" t="str">
        <f t="shared" si="33"/>
        <v>Other Financing activities</v>
      </c>
      <c r="C249" s="6">
        <f>C67*C217</f>
        <v>-20.412732567845815</v>
      </c>
      <c r="D249" s="6">
        <f>D67*D217</f>
        <v>-44.967527239546989</v>
      </c>
      <c r="E249" s="6">
        <f>E67*E217</f>
        <v>-58.391659777716534</v>
      </c>
      <c r="F249" s="394"/>
      <c r="G249" s="99"/>
      <c r="H249" s="6">
        <f>H67*H217</f>
        <v>16.343659079240112</v>
      </c>
      <c r="I249" s="6">
        <f>I67*I217</f>
        <v>-9.0319990432747339</v>
      </c>
      <c r="J249" s="6"/>
      <c r="K249" s="99"/>
      <c r="L249" s="6">
        <f>L67*L217</f>
        <v>-19.844791821010514</v>
      </c>
      <c r="M249" s="6">
        <f>M67*M217</f>
        <v>-22.702810634009051</v>
      </c>
      <c r="O249" s="6">
        <f>O67*O217</f>
        <v>-39.23548276257015</v>
      </c>
      <c r="P249" s="6"/>
      <c r="Q249" s="6"/>
      <c r="R249" s="6"/>
      <c r="S249" s="6">
        <f>S67*S217</f>
        <v>-25.504280458468941</v>
      </c>
    </row>
    <row r="250" spans="1:19" ht="13.5" customHeight="1" thickTop="1" thickBot="1">
      <c r="A250" s="5"/>
      <c r="B250" s="80" t="str">
        <f t="shared" si="33"/>
        <v>Cash flow after financing activities</v>
      </c>
      <c r="C250" s="370">
        <f>C68*C217</f>
        <v>-1950.8429019273219</v>
      </c>
      <c r="D250" s="370">
        <f>D68*D217</f>
        <v>297.58395505698377</v>
      </c>
      <c r="E250" s="370">
        <f>E68*E217</f>
        <v>208.75319188022419</v>
      </c>
      <c r="F250" s="394"/>
      <c r="G250" s="99"/>
      <c r="H250" s="370">
        <f>H68*H217</f>
        <v>-1241.1916823549545</v>
      </c>
      <c r="I250" s="370">
        <f>I68*I217</f>
        <v>201.38571404165185</v>
      </c>
      <c r="J250" s="370"/>
      <c r="K250" s="99"/>
      <c r="L250" s="370">
        <f>L68*L217</f>
        <v>-280.50340791228331</v>
      </c>
      <c r="M250" s="370">
        <f>M68*M217</f>
        <v>123.95561556307756</v>
      </c>
      <c r="O250" s="370">
        <f>O68*O217</f>
        <v>-623.16573130225606</v>
      </c>
      <c r="P250" s="370"/>
      <c r="Q250" s="370"/>
      <c r="R250" s="370"/>
      <c r="S250" s="370">
        <f>S68*S217</f>
        <v>562.08079807556248</v>
      </c>
    </row>
    <row r="251" spans="1:19" s="5" customFormat="1" ht="13.5" customHeight="1" thickTop="1">
      <c r="B251" s="1" t="str">
        <f t="shared" si="33"/>
        <v xml:space="preserve">FX </v>
      </c>
      <c r="C251" s="6">
        <f>C69*C217</f>
        <v>454.86542135821475</v>
      </c>
      <c r="D251" s="6">
        <f>D69*D217</f>
        <v>-159.8642048199238</v>
      </c>
      <c r="E251" s="6">
        <f>E69*E217</f>
        <v>-126.55405529530631</v>
      </c>
      <c r="F251" s="394"/>
      <c r="G251" s="99"/>
      <c r="H251" s="6">
        <f>H69*H217</f>
        <v>237.76792743453703</v>
      </c>
      <c r="I251" s="6">
        <f>I69*I217</f>
        <v>-98.070660994652599</v>
      </c>
      <c r="J251" s="6"/>
      <c r="K251" s="99"/>
      <c r="L251" s="6">
        <f>L69*L217</f>
        <v>69.010223736849881</v>
      </c>
      <c r="M251" s="6">
        <f>M69*M217</f>
        <v>-70.247784581447533</v>
      </c>
      <c r="O251" s="6">
        <f>O69*O217</f>
        <v>202.88932157446646</v>
      </c>
      <c r="P251" s="6"/>
      <c r="Q251" s="6"/>
      <c r="R251" s="6"/>
      <c r="S251" s="6">
        <f>S69*S217</f>
        <v>-223.95093391821138</v>
      </c>
    </row>
    <row r="252" spans="1:19" s="5" customFormat="1" ht="13.5" customHeight="1">
      <c r="B252" s="1" t="str">
        <f t="shared" si="33"/>
        <v>Discontinued operations net of cash</v>
      </c>
      <c r="C252" s="6">
        <f>C70*C217</f>
        <v>939.13595132538148</v>
      </c>
      <c r="D252" s="6">
        <f>D70*D217</f>
        <v>21.66335677097311</v>
      </c>
      <c r="E252" s="6">
        <f>E70*E217</f>
        <v>22.243593276384679</v>
      </c>
      <c r="F252" s="394"/>
      <c r="G252" s="99"/>
      <c r="H252" s="6">
        <f>H70*H217</f>
        <v>762.12373780592156</v>
      </c>
      <c r="I252" s="6">
        <f>I70*I217</f>
        <v>0</v>
      </c>
      <c r="J252" s="6"/>
      <c r="K252" s="99"/>
      <c r="L252" s="6">
        <f>L70*L217</f>
        <v>0</v>
      </c>
      <c r="M252" s="6">
        <f>M70*M217</f>
        <v>0</v>
      </c>
      <c r="O252" s="6">
        <f>O70*O217</f>
        <v>116.38586645286908</v>
      </c>
      <c r="P252" s="6"/>
      <c r="Q252" s="6"/>
      <c r="R252" s="6"/>
      <c r="S252" s="6">
        <f>S70*S217</f>
        <v>21.41697325597849</v>
      </c>
    </row>
    <row r="253" spans="1:19" s="5" customFormat="1" ht="13.5" customHeight="1" thickBot="1">
      <c r="B253" s="58" t="str">
        <f t="shared" si="33"/>
        <v>Balancing figure</v>
      </c>
      <c r="C253" s="371">
        <f>C71*C217</f>
        <v>196.32194995269836</v>
      </c>
      <c r="D253" s="371">
        <f>D71*D217</f>
        <v>-124.59413522265744</v>
      </c>
      <c r="E253" s="371">
        <f>E71*E217</f>
        <v>-92.604941673555331</v>
      </c>
      <c r="F253" s="394"/>
      <c r="G253" s="99"/>
      <c r="H253" s="371">
        <f>H71*H217</f>
        <v>194.35837754578174</v>
      </c>
      <c r="I253" s="371">
        <f>I71*I217</f>
        <v>-219.071122272906</v>
      </c>
      <c r="J253" s="371"/>
      <c r="K253" s="99"/>
      <c r="L253" s="371">
        <f>L71*L217</f>
        <v>36.460957178841497</v>
      </c>
      <c r="M253" s="371">
        <f>M71*M217</f>
        <v>-207.27760240368156</v>
      </c>
      <c r="O253" s="371">
        <f>O71*O217</f>
        <v>-14.752796548696388</v>
      </c>
      <c r="P253" s="371"/>
      <c r="Q253" s="371"/>
      <c r="R253" s="371"/>
      <c r="S253" s="371">
        <f>S71*S217</f>
        <v>-157.99738219895292</v>
      </c>
    </row>
    <row r="254" spans="1:19" ht="13.5" customHeight="1" thickTop="1">
      <c r="A254" s="5"/>
      <c r="B254" s="5" t="str">
        <f t="shared" si="33"/>
        <v xml:space="preserve">Net change in cash </v>
      </c>
      <c r="C254" s="6">
        <f>C72*C217</f>
        <v>-360.51957929102736</v>
      </c>
      <c r="D254" s="6">
        <f>D72*D217</f>
        <v>34.788971785375615</v>
      </c>
      <c r="E254" s="6">
        <f>E72*E217</f>
        <v>11.837788187747224</v>
      </c>
      <c r="F254" s="394"/>
      <c r="G254" s="99"/>
      <c r="H254" s="6">
        <f>H72*H217</f>
        <v>-46.941639568714265</v>
      </c>
      <c r="I254" s="6">
        <f>I72*I217</f>
        <v>-115.75606922590673</v>
      </c>
      <c r="J254" s="6"/>
      <c r="K254" s="99"/>
      <c r="L254" s="6">
        <f>L72*L217</f>
        <v>-175.03222699659196</v>
      </c>
      <c r="M254" s="6">
        <f>M72*M217</f>
        <v>-153.56977142205153</v>
      </c>
      <c r="O254" s="6">
        <f>O72*O217</f>
        <v>-318.643339823617</v>
      </c>
      <c r="P254" s="6"/>
      <c r="Q254" s="6"/>
      <c r="R254" s="6"/>
      <c r="S254" s="6">
        <f>S72*S217</f>
        <v>201.54945521437668</v>
      </c>
    </row>
    <row r="255" spans="1:19" ht="13.5" customHeight="1">
      <c r="A255" s="5"/>
      <c r="C255" s="47"/>
      <c r="D255" s="47"/>
      <c r="E255" s="47"/>
      <c r="F255" s="394"/>
      <c r="G255" s="99"/>
      <c r="H255" s="65"/>
      <c r="I255" s="65"/>
      <c r="J255" s="65"/>
      <c r="K255" s="65"/>
      <c r="L255" s="65"/>
      <c r="M255" s="65"/>
      <c r="O255" s="65"/>
      <c r="P255" s="65"/>
      <c r="Q255" s="65"/>
      <c r="R255" s="65"/>
      <c r="S255" s="65"/>
    </row>
    <row r="256" spans="1:19" ht="13.5" customHeight="1">
      <c r="A256" s="5"/>
      <c r="B256" s="1" t="s">
        <v>109</v>
      </c>
      <c r="C256" s="361">
        <f>C202*C$218</f>
        <v>731.11576936773611</v>
      </c>
      <c r="D256" s="361">
        <f>D202*D$218</f>
        <v>860.0410748840776</v>
      </c>
      <c r="E256" s="361">
        <f>E202*E$218</f>
        <v>776.6751577606675</v>
      </c>
      <c r="F256" s="394"/>
      <c r="G256" s="99"/>
      <c r="H256" s="361">
        <f>H202*H$218</f>
        <v>731.11576936773656</v>
      </c>
      <c r="I256" s="361">
        <f>I202*I$218</f>
        <v>694.20197381106811</v>
      </c>
      <c r="J256" s="361"/>
      <c r="K256" s="476"/>
      <c r="L256" s="361">
        <f>L202*L$218</f>
        <v>860.04107488407783</v>
      </c>
      <c r="M256" s="361">
        <f>M202*M$218</f>
        <v>753.3088249483784</v>
      </c>
      <c r="O256" s="361">
        <f>O202*O$218</f>
        <v>879.36694688153898</v>
      </c>
      <c r="P256" s="361"/>
      <c r="Q256" s="361"/>
      <c r="R256" s="361"/>
      <c r="S256" s="361">
        <f>S202*S$218</f>
        <v>1062.6100433973966</v>
      </c>
    </row>
    <row r="257" spans="1:19" ht="13.5" customHeight="1">
      <c r="A257" s="5"/>
      <c r="C257" s="361"/>
      <c r="D257" s="361"/>
      <c r="E257" s="361"/>
      <c r="F257" s="394"/>
      <c r="G257" s="99"/>
      <c r="H257" s="361"/>
      <c r="I257" s="361"/>
      <c r="J257" s="361"/>
      <c r="K257" s="361"/>
      <c r="L257" s="361"/>
      <c r="M257" s="361"/>
      <c r="O257" s="361"/>
      <c r="P257" s="361"/>
      <c r="Q257" s="361"/>
      <c r="R257" s="361"/>
      <c r="S257" s="361"/>
    </row>
    <row r="258" spans="1:19" s="5" customFormat="1" ht="13.5" customHeight="1">
      <c r="B258" s="5" t="str">
        <f>B138</f>
        <v xml:space="preserve">Gross total debt </v>
      </c>
      <c r="C258" s="54">
        <f>C138*C218</f>
        <v>10728.680112661466</v>
      </c>
      <c r="D258" s="54">
        <f>D138*D218</f>
        <v>13844.656248859032</v>
      </c>
      <c r="E258" s="54">
        <f>E138*E218</f>
        <v>14146.83552364963</v>
      </c>
      <c r="F258" s="394"/>
      <c r="G258" s="476"/>
      <c r="H258" s="54">
        <f>H138*H218</f>
        <v>10728.680112661466</v>
      </c>
      <c r="I258" s="476"/>
      <c r="J258" s="54"/>
      <c r="K258" s="54">
        <f>K138*K218</f>
        <v>13122.882451295351</v>
      </c>
      <c r="L258" s="54">
        <f>L138*L218</f>
        <v>13844.656248859032</v>
      </c>
      <c r="M258" s="54">
        <f>M138*M218</f>
        <v>14146.83552364963</v>
      </c>
      <c r="O258" s="476"/>
      <c r="P258" s="54"/>
      <c r="Q258" s="54"/>
      <c r="R258" s="54"/>
      <c r="S258" s="54">
        <f>S138*S218</f>
        <v>13122.882451295351</v>
      </c>
    </row>
    <row r="259" spans="1:19" ht="13.5" customHeight="1">
      <c r="A259" s="5"/>
      <c r="C259" s="361"/>
      <c r="D259" s="361"/>
      <c r="E259" s="361"/>
      <c r="F259" s="394"/>
      <c r="G259" s="99"/>
      <c r="H259" s="361"/>
      <c r="I259" s="361"/>
      <c r="J259" s="361"/>
      <c r="K259" s="361"/>
      <c r="L259" s="361"/>
      <c r="M259" s="361"/>
      <c r="O259" s="361"/>
      <c r="P259" s="361"/>
      <c r="Q259" s="361"/>
      <c r="R259" s="361"/>
      <c r="S259" s="361"/>
    </row>
    <row r="260" spans="1:19" ht="13.5" customHeight="1">
      <c r="A260" s="5"/>
      <c r="B260" s="1" t="str">
        <f>B133</f>
        <v>Cash and equivalents</v>
      </c>
      <c r="C260" s="361">
        <f>C133*C218</f>
        <v>731.11576936773599</v>
      </c>
      <c r="D260" s="361">
        <f>D133*D218</f>
        <v>860.04107488407749</v>
      </c>
      <c r="E260" s="361">
        <f>E133*E218</f>
        <v>753.30882494837806</v>
      </c>
      <c r="F260" s="394"/>
      <c r="G260" s="99"/>
      <c r="H260" s="361">
        <f>H133*H218</f>
        <v>731.11576936773599</v>
      </c>
      <c r="I260" s="476"/>
      <c r="J260" s="361"/>
      <c r="K260" s="361">
        <f>K133*K218</f>
        <v>1062.6100433973963</v>
      </c>
      <c r="L260" s="361">
        <f>L133*L218</f>
        <v>860.04107488407749</v>
      </c>
      <c r="M260" s="361">
        <f>M133*M218</f>
        <v>753.30882494837806</v>
      </c>
      <c r="O260" s="476"/>
      <c r="P260" s="361"/>
      <c r="Q260" s="361"/>
      <c r="R260" s="361"/>
      <c r="S260" s="361">
        <f>S133*S218</f>
        <v>1062.6100433973963</v>
      </c>
    </row>
    <row r="261" spans="1:19" ht="13.5" customHeight="1">
      <c r="A261" s="5"/>
      <c r="B261" s="1" t="str">
        <f>B134</f>
        <v>Marketable securities</v>
      </c>
      <c r="C261" s="361">
        <f>C134*C218</f>
        <v>2914.1163520994528</v>
      </c>
      <c r="D261" s="361">
        <f>D134*D218</f>
        <v>3741.0014969513304</v>
      </c>
      <c r="E261" s="361">
        <f>E134*E218</f>
        <v>3691.2767517705865</v>
      </c>
      <c r="F261" s="394"/>
      <c r="G261" s="99"/>
      <c r="H261" s="361">
        <f>H134*H218</f>
        <v>2914.1163520994528</v>
      </c>
      <c r="I261" s="476"/>
      <c r="J261" s="361"/>
      <c r="K261" s="361">
        <f>K134*K218</f>
        <v>3146.0126998440701</v>
      </c>
      <c r="L261" s="361">
        <f>L134*L218</f>
        <v>3741.0014969513304</v>
      </c>
      <c r="M261" s="361">
        <f>M134*M218</f>
        <v>3691.2767517705865</v>
      </c>
      <c r="O261" s="476"/>
      <c r="P261" s="361"/>
      <c r="Q261" s="361"/>
      <c r="R261" s="361"/>
      <c r="S261" s="361">
        <f>S134*S218</f>
        <v>3146.0126998440701</v>
      </c>
    </row>
    <row r="262" spans="1:19" ht="13.5" customHeight="1">
      <c r="A262" s="5"/>
      <c r="B262" s="5" t="str">
        <f>B135</f>
        <v>Cash and Marketable Securities</v>
      </c>
      <c r="C262" s="54">
        <f>SUM(C260:C261)</f>
        <v>3645.2321214671888</v>
      </c>
      <c r="D262" s="54">
        <f>SUM(D260:D261)</f>
        <v>4601.0425718354081</v>
      </c>
      <c r="E262" s="54">
        <f>SUM(E260:E261)</f>
        <v>4444.5855767189641</v>
      </c>
      <c r="F262" s="394"/>
      <c r="G262" s="99"/>
      <c r="H262" s="54">
        <f>SUM(H260:H261)</f>
        <v>3645.2321214671888</v>
      </c>
      <c r="I262" s="476"/>
      <c r="J262" s="361"/>
      <c r="K262" s="54">
        <f>SUM(K260:K261)</f>
        <v>4208.6227432414662</v>
      </c>
      <c r="L262" s="54">
        <f>SUM(L260:L261)</f>
        <v>4601.0425718354081</v>
      </c>
      <c r="M262" s="54">
        <f>SUM(M260:M261)</f>
        <v>4444.5855767189641</v>
      </c>
      <c r="O262" s="476"/>
      <c r="P262" s="361"/>
      <c r="Q262" s="361"/>
      <c r="R262" s="361"/>
      <c r="S262" s="54">
        <f>SUM(S260:S261)</f>
        <v>4208.6227432414662</v>
      </c>
    </row>
    <row r="263" spans="1:19" ht="13.5" customHeight="1">
      <c r="A263" s="5"/>
      <c r="B263" s="5"/>
      <c r="C263" s="54"/>
      <c r="D263" s="54"/>
      <c r="E263" s="54"/>
      <c r="F263" s="394"/>
      <c r="G263" s="394"/>
      <c r="H263" s="394"/>
      <c r="I263" s="394"/>
      <c r="J263" s="394"/>
      <c r="K263" s="394"/>
      <c r="L263" s="394"/>
      <c r="M263" s="394"/>
      <c r="N263" s="394"/>
      <c r="O263" s="394"/>
      <c r="P263" s="394"/>
      <c r="Q263" s="394"/>
      <c r="R263" s="394"/>
      <c r="S263" s="394"/>
    </row>
    <row r="264" spans="1:19" ht="13.5" customHeight="1">
      <c r="A264" s="5"/>
      <c r="B264" s="5" t="s">
        <v>171</v>
      </c>
      <c r="C264" s="54">
        <f>C232</f>
        <v>2519.8018883674335</v>
      </c>
      <c r="D264" s="54">
        <f>D232</f>
        <v>2352.8885549174315</v>
      </c>
      <c r="E264" s="54">
        <f>E232</f>
        <v>2396.9872324791036</v>
      </c>
      <c r="F264" s="394"/>
      <c r="G264" s="99"/>
      <c r="H264" s="99"/>
      <c r="I264" s="476"/>
      <c r="J264" s="361"/>
      <c r="K264" s="54">
        <f>S232+H232</f>
        <v>2344.2486720524253</v>
      </c>
      <c r="L264" s="8">
        <f>D264</f>
        <v>2352.8885549174315</v>
      </c>
      <c r="M264" s="54">
        <f>M232+D232-I232</f>
        <v>2395.1091040404563</v>
      </c>
      <c r="O264" s="476"/>
      <c r="P264" s="361"/>
      <c r="Q264" s="361"/>
      <c r="R264" s="361"/>
      <c r="S264" s="54">
        <f>K264</f>
        <v>2344.2486720524253</v>
      </c>
    </row>
    <row r="265" spans="1:19" ht="13.5" customHeight="1">
      <c r="A265" s="5"/>
      <c r="C265" s="361"/>
      <c r="D265" s="361"/>
      <c r="E265" s="361"/>
      <c r="F265" s="394"/>
      <c r="G265" s="302"/>
      <c r="H265" s="361"/>
      <c r="I265" s="361"/>
      <c r="J265" s="361"/>
      <c r="K265" s="361"/>
      <c r="L265" s="361"/>
      <c r="M265" s="361"/>
      <c r="O265" s="361"/>
      <c r="P265" s="361"/>
      <c r="Q265" s="361"/>
      <c r="R265" s="361"/>
      <c r="S265" s="361"/>
    </row>
    <row r="266" spans="1:19" s="5" customFormat="1" ht="13.5" customHeight="1">
      <c r="B266" s="5" t="s">
        <v>164</v>
      </c>
      <c r="C266" s="54">
        <f>C258-C262</f>
        <v>7083.4479911942781</v>
      </c>
      <c r="D266" s="54">
        <f>D258-D262</f>
        <v>9243.6136770236226</v>
      </c>
      <c r="E266" s="54">
        <f>E258-E262</f>
        <v>9702.2499469306658</v>
      </c>
      <c r="F266" s="394"/>
      <c r="G266" s="99"/>
      <c r="H266" s="99"/>
      <c r="I266" s="99"/>
      <c r="J266" s="54"/>
      <c r="K266" s="54">
        <f>K258-K262</f>
        <v>8914.2597080538835</v>
      </c>
      <c r="L266" s="54">
        <f>L258-L262</f>
        <v>9243.6136770236226</v>
      </c>
      <c r="M266" s="54">
        <f>M258-M262</f>
        <v>9702.2499469306658</v>
      </c>
      <c r="O266" s="99"/>
      <c r="P266" s="54"/>
      <c r="Q266" s="54"/>
      <c r="R266" s="54"/>
      <c r="S266" s="54">
        <f>S258-S262</f>
        <v>8914.2597080538835</v>
      </c>
    </row>
    <row r="267" spans="1:19" ht="13.5" customHeight="1">
      <c r="A267" s="5"/>
      <c r="B267" s="1" t="s">
        <v>165</v>
      </c>
      <c r="C267" s="361">
        <f>C258</f>
        <v>10728.680112661466</v>
      </c>
      <c r="D267" s="361">
        <f>D258</f>
        <v>13844.656248859032</v>
      </c>
      <c r="E267" s="361">
        <f>E258</f>
        <v>14146.83552364963</v>
      </c>
      <c r="F267" s="394"/>
      <c r="G267" s="99"/>
      <c r="H267" s="99"/>
      <c r="I267" s="99"/>
      <c r="J267" s="361"/>
      <c r="K267" s="361">
        <f>K258</f>
        <v>13122.882451295351</v>
      </c>
      <c r="L267" s="361">
        <f>L258</f>
        <v>13844.656248859032</v>
      </c>
      <c r="M267" s="361">
        <f>M258</f>
        <v>14146.83552364963</v>
      </c>
      <c r="O267" s="99"/>
      <c r="P267" s="361"/>
      <c r="Q267" s="361"/>
      <c r="R267" s="361"/>
      <c r="S267" s="361">
        <f>S258</f>
        <v>13122.882451295351</v>
      </c>
    </row>
    <row r="268" spans="1:19" ht="13.5" customHeight="1">
      <c r="A268" s="5"/>
      <c r="C268" s="361"/>
      <c r="D268" s="361"/>
      <c r="E268" s="361"/>
      <c r="F268" s="394"/>
      <c r="G268" s="99"/>
      <c r="H268" s="99"/>
      <c r="I268" s="99"/>
      <c r="J268" s="361"/>
      <c r="K268" s="361"/>
      <c r="L268" s="361"/>
      <c r="M268" s="361"/>
      <c r="O268" s="99"/>
      <c r="P268" s="361"/>
      <c r="Q268" s="361"/>
      <c r="R268" s="361"/>
      <c r="S268" s="361"/>
    </row>
    <row r="269" spans="1:19" s="5" customFormat="1" ht="13.5" customHeight="1">
      <c r="B269" s="5" t="str">
        <f>B142</f>
        <v xml:space="preserve">Reported Net debt </v>
      </c>
      <c r="C269" s="54">
        <f t="shared" ref="C269:E270" si="34">C142*C$218</f>
        <v>6287.3605490627724</v>
      </c>
      <c r="D269" s="54">
        <f t="shared" si="34"/>
        <v>7931.263280879185</v>
      </c>
      <c r="E269" s="54">
        <f t="shared" si="34"/>
        <v>8484.7243289141061</v>
      </c>
      <c r="F269" s="394"/>
      <c r="G269" s="476"/>
      <c r="H269" s="476"/>
      <c r="I269" s="476"/>
      <c r="J269" s="54"/>
      <c r="K269" s="54">
        <f t="shared" ref="K269:M270" si="35">K142*K$218</f>
        <v>7768.1722369385125</v>
      </c>
      <c r="L269" s="54">
        <f t="shared" si="35"/>
        <v>7931.263280879185</v>
      </c>
      <c r="M269" s="54">
        <f t="shared" si="35"/>
        <v>8484.7243289141061</v>
      </c>
      <c r="O269" s="476"/>
      <c r="P269" s="54"/>
      <c r="Q269" s="54"/>
      <c r="R269" s="54"/>
      <c r="S269" s="54">
        <f>S142*S$218</f>
        <v>7768.1722369385125</v>
      </c>
    </row>
    <row r="270" spans="1:19" ht="13.5" customHeight="1">
      <c r="A270" s="5"/>
      <c r="B270" s="1" t="str">
        <f>B143</f>
        <v>Reported adjusted net debt (effect of FX variation)</v>
      </c>
      <c r="C270" s="361">
        <f t="shared" si="34"/>
        <v>4934.1796432386927</v>
      </c>
      <c r="D270" s="361">
        <f t="shared" si="34"/>
        <v>7267.2406805651908</v>
      </c>
      <c r="E270" s="361">
        <f t="shared" si="34"/>
        <v>8176.6990872073957</v>
      </c>
      <c r="F270" s="394"/>
      <c r="G270" s="99"/>
      <c r="H270" s="99"/>
      <c r="I270" s="99"/>
      <c r="J270" s="361"/>
      <c r="K270" s="361">
        <f t="shared" si="35"/>
        <v>7300.77589284037</v>
      </c>
      <c r="L270" s="361">
        <f t="shared" si="35"/>
        <v>7267.2406805651908</v>
      </c>
      <c r="M270" s="361">
        <f t="shared" si="35"/>
        <v>8176.6990872073957</v>
      </c>
      <c r="O270" s="99"/>
      <c r="P270" s="361"/>
      <c r="Q270" s="361"/>
      <c r="R270" s="361"/>
      <c r="S270" s="361">
        <f>S143*S$218</f>
        <v>7300.77589284037</v>
      </c>
    </row>
    <row r="271" spans="1:19" ht="13.5" customHeight="1">
      <c r="A271" s="5"/>
      <c r="C271" s="47"/>
      <c r="D271" s="47"/>
      <c r="E271" s="47"/>
      <c r="F271" s="394"/>
      <c r="G271" s="99"/>
      <c r="H271" s="99"/>
      <c r="I271" s="99"/>
      <c r="J271" s="65"/>
      <c r="K271" s="65"/>
      <c r="L271" s="65"/>
      <c r="M271" s="65"/>
      <c r="O271" s="99"/>
      <c r="P271" s="65"/>
      <c r="Q271" s="65"/>
      <c r="R271" s="65"/>
      <c r="S271" s="65"/>
    </row>
    <row r="272" spans="1:19" s="5" customFormat="1" ht="13.5" customHeight="1">
      <c r="B272" s="5" t="str">
        <f>+B152</f>
        <v>Total Net Leverage</v>
      </c>
      <c r="C272" s="48">
        <f>+C266/C264</f>
        <v>2.8111130576950267</v>
      </c>
      <c r="D272" s="48">
        <f>+D266/D264</f>
        <v>3.9286236731038047</v>
      </c>
      <c r="E272" s="48">
        <f>+E266/E264</f>
        <v>4.0476852840371764</v>
      </c>
      <c r="F272" s="394"/>
      <c r="G272" s="99"/>
      <c r="H272" s="99"/>
      <c r="I272" s="99"/>
      <c r="J272" s="48"/>
      <c r="K272" s="48">
        <f>+K266/K264</f>
        <v>3.8026084068331003</v>
      </c>
      <c r="L272" s="48">
        <f>+L266/L264</f>
        <v>3.9286236731038047</v>
      </c>
      <c r="M272" s="48">
        <f>+M266/M264</f>
        <v>4.0508592825952467</v>
      </c>
      <c r="O272" s="99"/>
      <c r="P272" s="48"/>
      <c r="Q272" s="48"/>
      <c r="R272" s="48"/>
      <c r="S272" s="48">
        <f>+S266/S264</f>
        <v>3.8026084068331003</v>
      </c>
    </row>
    <row r="273" spans="1:19">
      <c r="A273" s="5"/>
      <c r="B273" s="1" t="str">
        <f>+B153</f>
        <v xml:space="preserve">Total Gross Leverage </v>
      </c>
      <c r="C273" s="49">
        <f>+C267/C264</f>
        <v>4.2577474690331796</v>
      </c>
      <c r="D273" s="49">
        <f>+D267/D264</f>
        <v>5.8841104989542838</v>
      </c>
      <c r="E273" s="49">
        <f>+E267/E264</f>
        <v>5.9019236030799176</v>
      </c>
      <c r="F273" s="394"/>
      <c r="G273" s="99"/>
      <c r="H273" s="99"/>
      <c r="I273" s="99"/>
      <c r="J273" s="49"/>
      <c r="K273" s="49">
        <f>+K267/K264</f>
        <v>5.5979054644429285</v>
      </c>
      <c r="L273" s="49">
        <f>+L267/L264</f>
        <v>5.8841104989542838</v>
      </c>
      <c r="M273" s="49">
        <f>+M267/M264</f>
        <v>5.906551605429776</v>
      </c>
      <c r="O273" s="99"/>
      <c r="P273" s="49"/>
      <c r="Q273" s="49"/>
      <c r="R273" s="49"/>
      <c r="S273" s="49">
        <f>+S267/S264</f>
        <v>5.5979054644429285</v>
      </c>
    </row>
    <row r="274" spans="1:19">
      <c r="A274" s="5"/>
      <c r="C274" s="49"/>
      <c r="D274" s="49"/>
      <c r="E274" s="49"/>
      <c r="F274" s="394"/>
      <c r="G274" s="99"/>
      <c r="H274" s="99"/>
      <c r="I274" s="99"/>
      <c r="J274" s="49"/>
      <c r="K274" s="49"/>
      <c r="L274" s="49"/>
      <c r="M274" s="49"/>
      <c r="O274" s="99"/>
      <c r="P274" s="49"/>
      <c r="Q274" s="49"/>
      <c r="R274" s="49"/>
      <c r="S274" s="49"/>
    </row>
    <row r="275" spans="1:19" s="5" customFormat="1">
      <c r="B275" s="5" t="str">
        <f>+B155</f>
        <v>Net Leverage (based on company reported debt)</v>
      </c>
      <c r="C275" s="48">
        <f>C269/C264</f>
        <v>2.4951805052961209</v>
      </c>
      <c r="D275" s="48">
        <f>D269/D264</f>
        <v>3.3708622808773501</v>
      </c>
      <c r="E275" s="48">
        <f>E269/E264</f>
        <v>3.5397453160977879</v>
      </c>
      <c r="F275" s="394"/>
      <c r="G275" s="99"/>
      <c r="H275" s="99"/>
      <c r="I275" s="99"/>
      <c r="J275" s="48"/>
      <c r="K275" s="48">
        <f>K269/K264</f>
        <v>3.3137151060588463</v>
      </c>
      <c r="L275" s="48">
        <f>L269/L264</f>
        <v>3.3708622808773501</v>
      </c>
      <c r="M275" s="48">
        <f>M269/M264</f>
        <v>3.5425210127591704</v>
      </c>
      <c r="O275" s="99"/>
      <c r="P275" s="48"/>
      <c r="Q275" s="48"/>
      <c r="R275" s="48"/>
      <c r="S275" s="48">
        <f>S269/S264</f>
        <v>3.3137151060588463</v>
      </c>
    </row>
    <row r="276" spans="1:19" s="5" customFormat="1">
      <c r="B276" s="5" t="str">
        <f>+B156</f>
        <v>Net Leverage (based on company reported adjusted debt)</v>
      </c>
      <c r="C276" s="48">
        <f>C270/C264</f>
        <v>1.9581617372449553</v>
      </c>
      <c r="D276" s="48">
        <f>D270/D264</f>
        <v>3.0886463642219617</v>
      </c>
      <c r="E276" s="48">
        <f>E270/E264</f>
        <v>3.411240150307592</v>
      </c>
      <c r="F276" s="394"/>
      <c r="G276" s="99"/>
      <c r="H276" s="99"/>
      <c r="I276" s="99"/>
      <c r="J276" s="48"/>
      <c r="K276" s="48">
        <f>K270/K264</f>
        <v>3.1143350873473801</v>
      </c>
      <c r="L276" s="48">
        <f>L270/L264</f>
        <v>3.0886463642219617</v>
      </c>
      <c r="M276" s="48">
        <f>M270/M264</f>
        <v>3.413915079448206</v>
      </c>
      <c r="O276" s="99"/>
      <c r="P276" s="48"/>
      <c r="Q276" s="48"/>
      <c r="R276" s="48"/>
      <c r="S276" s="48">
        <f>S270/S264</f>
        <v>3.1143350873473801</v>
      </c>
    </row>
    <row r="277" spans="1:19">
      <c r="A277" s="5"/>
      <c r="C277" s="49"/>
      <c r="D277" s="49"/>
      <c r="E277" s="49"/>
      <c r="F277" s="394"/>
      <c r="G277" s="99"/>
      <c r="H277" s="99"/>
      <c r="I277" s="99"/>
      <c r="K277" s="49"/>
      <c r="L277" s="49"/>
      <c r="M277" s="49"/>
      <c r="O277" s="99"/>
      <c r="P277" s="49"/>
      <c r="Q277" s="49"/>
      <c r="R277" s="49"/>
      <c r="S277" s="49"/>
    </row>
    <row r="278" spans="1:19" s="5" customFormat="1">
      <c r="B278" s="5" t="str">
        <f>B164</f>
        <v>EBITDA - Capex / Interest</v>
      </c>
      <c r="C278" s="48">
        <f>(C264+C241)/-C239</f>
        <v>2.0209521812210407</v>
      </c>
      <c r="D278" s="48">
        <f>(D264+D241)/-D239</f>
        <v>1.3713031969342242</v>
      </c>
      <c r="E278" s="48">
        <f>(E264+E241)/-E239</f>
        <v>1.2960119947093576</v>
      </c>
      <c r="F278" s="394"/>
      <c r="G278" s="476"/>
      <c r="H278" s="476"/>
      <c r="I278" s="476"/>
      <c r="K278" s="48">
        <f>(K264-K303)/K302</f>
        <v>1.4859811407148504</v>
      </c>
      <c r="L278" s="48">
        <f>(L300-L303)/L302</f>
        <v>1.3713031969342242</v>
      </c>
      <c r="M278" s="48">
        <f>(M300-M303)/M302</f>
        <v>1.2960119947093576</v>
      </c>
      <c r="O278" s="476"/>
      <c r="P278" s="48"/>
      <c r="Q278" s="48"/>
      <c r="R278" s="48"/>
      <c r="S278" s="48">
        <f>(S300-S303)/S302</f>
        <v>1.4875953413894167</v>
      </c>
    </row>
    <row r="279" spans="1:19">
      <c r="A279" s="5"/>
      <c r="B279" s="1" t="str">
        <f>B165</f>
        <v>EBITDA/Interest</v>
      </c>
      <c r="C279" s="49">
        <f>C264/-C239</f>
        <v>2.803944925930979</v>
      </c>
      <c r="D279" s="49">
        <f>D264/-D239</f>
        <v>2.3090588640575169</v>
      </c>
      <c r="E279" s="49">
        <f>E264/-E239</f>
        <v>2.2600936878811999</v>
      </c>
      <c r="F279" s="394"/>
      <c r="G279" s="99"/>
      <c r="H279" s="99"/>
      <c r="I279" s="99"/>
      <c r="K279" s="49">
        <f>K264/K302</f>
        <v>2.3283530630676244</v>
      </c>
      <c r="L279" s="49">
        <f>L300/L302</f>
        <v>2.3090588640575169</v>
      </c>
      <c r="M279" s="49">
        <f>M300/M302</f>
        <v>2.2600936878811999</v>
      </c>
      <c r="O279" s="99"/>
      <c r="P279" s="49"/>
      <c r="Q279" s="49"/>
      <c r="R279" s="49"/>
      <c r="S279" s="49">
        <f>S300/S302</f>
        <v>2.3299672637421907</v>
      </c>
    </row>
    <row r="280" spans="1:19" s="5" customFormat="1" ht="13.5" customHeight="1" thickBot="1">
      <c r="B280" s="66"/>
      <c r="C280" s="66"/>
      <c r="D280" s="66"/>
      <c r="E280" s="66"/>
      <c r="F280" s="394"/>
      <c r="G280" s="66"/>
      <c r="H280" s="66"/>
      <c r="I280" s="66"/>
      <c r="J280" s="1"/>
      <c r="K280" s="66"/>
      <c r="L280" s="66"/>
      <c r="M280" s="66"/>
      <c r="N280" s="1"/>
      <c r="O280" s="66"/>
      <c r="P280" s="66"/>
      <c r="Q280" s="66"/>
      <c r="R280" s="66"/>
      <c r="S280" s="66"/>
    </row>
    <row r="281" spans="1:19" s="5" customFormat="1" ht="13.5" customHeight="1" thickTop="1">
      <c r="F281" s="394"/>
      <c r="J281" s="1"/>
      <c r="N281" s="1"/>
    </row>
    <row r="282" spans="1:19" ht="13.5" customHeight="1">
      <c r="A282" s="5"/>
      <c r="B282" s="91"/>
      <c r="C282" s="6"/>
      <c r="D282" s="6"/>
      <c r="E282" s="6"/>
      <c r="F282" s="394"/>
      <c r="G282" s="6"/>
      <c r="H282" s="6"/>
      <c r="I282" s="6"/>
      <c r="K282" s="6"/>
      <c r="L282" s="6"/>
      <c r="M282" s="6"/>
      <c r="O282" s="6"/>
      <c r="P282" s="6"/>
      <c r="Q282" s="6"/>
      <c r="R282" s="6"/>
      <c r="S282" s="6"/>
    </row>
    <row r="283" spans="1:19" ht="13.5" customHeight="1">
      <c r="A283" s="5"/>
      <c r="C283" s="6"/>
      <c r="D283" s="6"/>
      <c r="E283" s="6"/>
      <c r="F283" s="394"/>
      <c r="G283" s="6"/>
      <c r="H283" s="6"/>
      <c r="I283" s="6"/>
      <c r="J283" s="6"/>
      <c r="K283" s="6"/>
      <c r="L283" s="6"/>
      <c r="M283" s="6"/>
      <c r="O283" s="6"/>
      <c r="P283" s="6"/>
      <c r="Q283" s="6"/>
      <c r="R283" s="6"/>
      <c r="S283" s="6"/>
    </row>
    <row r="284" spans="1:19" ht="13.5" customHeight="1">
      <c r="A284" s="5"/>
      <c r="B284" s="16" t="s">
        <v>172</v>
      </c>
      <c r="C284" s="44">
        <f>C3</f>
        <v>45630</v>
      </c>
      <c r="D284" s="44">
        <f>D3</f>
        <v>45995</v>
      </c>
      <c r="E284" s="120">
        <f>E3</f>
        <v>46112</v>
      </c>
      <c r="F284" s="394"/>
      <c r="G284" s="44">
        <f>G3</f>
        <v>45544</v>
      </c>
      <c r="H284" s="44">
        <f>H3</f>
        <v>45635</v>
      </c>
      <c r="I284" s="44">
        <f>I3</f>
        <v>45747</v>
      </c>
      <c r="J284" s="49"/>
      <c r="K284" s="120">
        <f>K3</f>
        <v>45909</v>
      </c>
      <c r="L284" s="44">
        <f>L3</f>
        <v>46000</v>
      </c>
      <c r="M284" s="44">
        <f>M3</f>
        <v>46112</v>
      </c>
      <c r="O284" s="44">
        <f>O3</f>
        <v>45544</v>
      </c>
      <c r="P284" s="120"/>
      <c r="Q284" s="120"/>
      <c r="R284" s="120"/>
      <c r="S284" s="120">
        <f>S3</f>
        <v>45909</v>
      </c>
    </row>
    <row r="285" spans="1:19" ht="13.5" customHeight="1">
      <c r="A285" s="5"/>
      <c r="B285" s="1" t="str">
        <f>B79</f>
        <v>Revenues</v>
      </c>
      <c r="C285" s="6">
        <f>C79</f>
        <v>149135.14300000001</v>
      </c>
      <c r="D285" s="6">
        <f>D79</f>
        <v>163962.73699999999</v>
      </c>
      <c r="E285" s="6">
        <f>E79</f>
        <v>163936.06200000001</v>
      </c>
      <c r="F285" s="504"/>
      <c r="G285" s="505"/>
      <c r="H285" s="505"/>
      <c r="I285" s="505"/>
      <c r="J285" s="6"/>
      <c r="K285" s="6">
        <f>K79</f>
        <v>162255.61900000001</v>
      </c>
      <c r="L285" s="6">
        <f>L79</f>
        <v>163962.73699999999</v>
      </c>
      <c r="M285" s="6">
        <f>M79</f>
        <v>163936.06200000001</v>
      </c>
      <c r="N285" s="6"/>
      <c r="O285" s="505"/>
      <c r="P285" s="6"/>
      <c r="Q285" s="6"/>
      <c r="R285" s="6"/>
      <c r="S285" s="6">
        <f>S79</f>
        <v>162255.61900000001</v>
      </c>
    </row>
    <row r="286" spans="1:19" ht="13.5" customHeight="1">
      <c r="A286" s="5"/>
      <c r="B286" s="1" t="str">
        <f>B82</f>
        <v>Adjusted EBITDA</v>
      </c>
      <c r="C286" s="6">
        <f>C82</f>
        <v>13584</v>
      </c>
      <c r="D286" s="6">
        <f>D82</f>
        <v>13151</v>
      </c>
      <c r="E286" s="6">
        <f>E82</f>
        <v>13048</v>
      </c>
      <c r="F286" s="504"/>
      <c r="G286" s="505"/>
      <c r="H286" s="505"/>
      <c r="I286" s="505"/>
      <c r="J286" s="6"/>
      <c r="K286" s="6">
        <f>K82</f>
        <v>13375</v>
      </c>
      <c r="L286" s="6">
        <f>L82</f>
        <v>13151</v>
      </c>
      <c r="M286" s="6">
        <f>M82</f>
        <v>13048</v>
      </c>
      <c r="N286" s="6"/>
      <c r="O286" s="505"/>
      <c r="P286" s="6"/>
      <c r="Q286" s="6"/>
      <c r="R286" s="6"/>
      <c r="S286" s="6">
        <f>S82</f>
        <v>13375</v>
      </c>
    </row>
    <row r="287" spans="1:19" ht="13.5" customHeight="1">
      <c r="A287" s="5"/>
      <c r="B287" s="1" t="s">
        <v>173</v>
      </c>
      <c r="C287" s="55">
        <f>C286/C285</f>
        <v>9.1085170984816097E-2</v>
      </c>
      <c r="D287" s="55">
        <f>D286/D285</f>
        <v>8.020724855306606E-2</v>
      </c>
      <c r="E287" s="55">
        <f>E286/E285</f>
        <v>7.9592005815047578E-2</v>
      </c>
      <c r="F287" s="394"/>
      <c r="G287" s="99"/>
      <c r="H287" s="99"/>
      <c r="I287" s="99"/>
      <c r="J287" s="57"/>
      <c r="K287" s="55">
        <f>K286/K285</f>
        <v>8.243165988599753E-2</v>
      </c>
      <c r="L287" s="55">
        <f>L286/L285</f>
        <v>8.020724855306606E-2</v>
      </c>
      <c r="M287" s="55">
        <f>M286/M285</f>
        <v>7.9592005815047578E-2</v>
      </c>
      <c r="O287" s="99"/>
      <c r="P287" s="55"/>
      <c r="Q287" s="55"/>
      <c r="R287" s="55"/>
      <c r="S287" s="55">
        <f>S286/S285</f>
        <v>8.243165988599753E-2</v>
      </c>
    </row>
    <row r="288" spans="1:19" ht="13.5" customHeight="1">
      <c r="A288" s="5"/>
      <c r="B288" s="1" t="str">
        <f>B83</f>
        <v>Cash interest paid</v>
      </c>
      <c r="C288" s="6">
        <f>-C57</f>
        <v>4844.6030000000001</v>
      </c>
      <c r="D288" s="6">
        <f>-D57</f>
        <v>5695.3940000000002</v>
      </c>
      <c r="E288" s="6">
        <f>-E57</f>
        <v>5773.2120000000004</v>
      </c>
      <c r="F288" s="504"/>
      <c r="G288" s="505"/>
      <c r="H288" s="505"/>
      <c r="I288" s="505"/>
      <c r="J288" s="6"/>
      <c r="K288" s="6">
        <f>K83</f>
        <v>5740.4239999999991</v>
      </c>
      <c r="L288" s="6">
        <f>L83</f>
        <v>5695.3940000000002</v>
      </c>
      <c r="M288" s="6">
        <f>M83</f>
        <v>5773.2120000000004</v>
      </c>
      <c r="N288" s="6"/>
      <c r="O288" s="505"/>
      <c r="P288" s="6"/>
      <c r="Q288" s="6"/>
      <c r="R288" s="6"/>
      <c r="S288" s="6">
        <f>S83</f>
        <v>5740.4239999999991</v>
      </c>
    </row>
    <row r="289" spans="1:19" ht="13.5" customHeight="1">
      <c r="A289" s="5"/>
      <c r="B289" s="1" t="str">
        <f>B85</f>
        <v>Capex</v>
      </c>
      <c r="C289" s="6">
        <f>-C59</f>
        <v>3793.2890000000002</v>
      </c>
      <c r="D289" s="6">
        <f>-D59</f>
        <v>5340.8879999999999</v>
      </c>
      <c r="E289" s="6">
        <f>-E59</f>
        <v>5565.848</v>
      </c>
      <c r="F289" s="504"/>
      <c r="G289" s="505"/>
      <c r="H289" s="505"/>
      <c r="I289" s="505"/>
      <c r="J289" s="6"/>
      <c r="K289" s="6">
        <f t="shared" ref="K289:M290" si="36">K85</f>
        <v>4835.5720000000001</v>
      </c>
      <c r="L289" s="6">
        <f t="shared" si="36"/>
        <v>5340.8879999999999</v>
      </c>
      <c r="M289" s="6">
        <f t="shared" si="36"/>
        <v>5565.848</v>
      </c>
      <c r="N289" s="6"/>
      <c r="O289" s="505"/>
      <c r="P289" s="6"/>
      <c r="Q289" s="6"/>
      <c r="R289" s="6"/>
      <c r="S289" s="6">
        <f>S85</f>
        <v>4835.5720000000001</v>
      </c>
    </row>
    <row r="290" spans="1:19" ht="13.5" customHeight="1">
      <c r="A290" s="5"/>
      <c r="B290" s="1" t="str">
        <f>B86</f>
        <v xml:space="preserve">Free cash flow </v>
      </c>
      <c r="C290" s="6">
        <f>C62</f>
        <v>7427.9019999999982</v>
      </c>
      <c r="D290" s="6">
        <f>D62</f>
        <v>6618.817</v>
      </c>
      <c r="E290" s="6">
        <f>E62</f>
        <v>5060.6109999999999</v>
      </c>
      <c r="F290" s="504"/>
      <c r="G290" s="505"/>
      <c r="H290" s="505"/>
      <c r="I290" s="505"/>
      <c r="J290" s="6"/>
      <c r="K290" s="6">
        <f t="shared" si="36"/>
        <v>8062.4549999999972</v>
      </c>
      <c r="L290" s="6">
        <f t="shared" si="36"/>
        <v>6618.817</v>
      </c>
      <c r="M290" s="6">
        <f t="shared" si="36"/>
        <v>5060.610999999999</v>
      </c>
      <c r="N290" s="6"/>
      <c r="O290" s="505"/>
      <c r="P290" s="6"/>
      <c r="Q290" s="6"/>
      <c r="R290" s="6"/>
      <c r="S290" s="6">
        <f>S86</f>
        <v>8062.4549999999972</v>
      </c>
    </row>
    <row r="291" spans="1:19" ht="13.5" customHeight="1">
      <c r="A291" s="5"/>
      <c r="B291" s="1" t="s">
        <v>12</v>
      </c>
      <c r="C291" s="6">
        <f>C135</f>
        <v>22519.514999999999</v>
      </c>
      <c r="D291" s="6">
        <f>D135</f>
        <v>25203.591</v>
      </c>
      <c r="E291" s="6">
        <f>E135</f>
        <v>23031.398000000001</v>
      </c>
      <c r="F291" s="504"/>
      <c r="G291" s="505"/>
      <c r="H291" s="505"/>
      <c r="I291" s="505"/>
      <c r="J291" s="6"/>
      <c r="K291" s="6">
        <f>K135</f>
        <v>22402.078000000001</v>
      </c>
      <c r="L291" s="6">
        <f>L135</f>
        <v>25203.591</v>
      </c>
      <c r="M291" s="6">
        <f>M135</f>
        <v>23031.398000000001</v>
      </c>
      <c r="N291" s="6"/>
      <c r="O291" s="505"/>
      <c r="P291" s="6"/>
      <c r="Q291" s="6"/>
      <c r="R291" s="6"/>
      <c r="S291" s="6">
        <f>S135</f>
        <v>22402.078000000001</v>
      </c>
    </row>
    <row r="292" spans="1:19" ht="13.5" customHeight="1">
      <c r="A292" s="5"/>
      <c r="B292" s="1" t="s">
        <v>137</v>
      </c>
      <c r="C292" s="6">
        <f>C138</f>
        <v>66279.640000000014</v>
      </c>
      <c r="D292" s="6">
        <f>D138</f>
        <v>75838.258000000002</v>
      </c>
      <c r="E292" s="6">
        <f>E138</f>
        <v>73307.487000000008</v>
      </c>
      <c r="F292" s="504"/>
      <c r="G292" s="505"/>
      <c r="H292" s="505"/>
      <c r="I292" s="505"/>
      <c r="J292" s="6"/>
      <c r="K292" s="6">
        <f>K138</f>
        <v>69851.791000000012</v>
      </c>
      <c r="L292" s="6">
        <f>L138</f>
        <v>75838.258000000002</v>
      </c>
      <c r="M292" s="6">
        <f>M138</f>
        <v>73307.487000000008</v>
      </c>
      <c r="N292" s="6"/>
      <c r="O292" s="505"/>
      <c r="P292" s="6"/>
      <c r="Q292" s="6"/>
      <c r="R292" s="6"/>
      <c r="S292" s="6">
        <f>S138</f>
        <v>69851.791000000012</v>
      </c>
    </row>
    <row r="293" spans="1:19" s="5" customFormat="1" ht="13.5" customHeight="1">
      <c r="B293" s="5" t="s">
        <v>164</v>
      </c>
      <c r="C293" s="8">
        <f>C137</f>
        <v>43760.125000000015</v>
      </c>
      <c r="D293" s="8">
        <f>D137</f>
        <v>50634.667000000001</v>
      </c>
      <c r="E293" s="8">
        <f>E137</f>
        <v>50276.089000000007</v>
      </c>
      <c r="F293" s="504"/>
      <c r="G293" s="505"/>
      <c r="H293" s="505"/>
      <c r="I293" s="505"/>
      <c r="J293" s="8"/>
      <c r="K293" s="8">
        <f>K137</f>
        <v>47449.713000000011</v>
      </c>
      <c r="L293" s="8">
        <f>L137</f>
        <v>50634.667000000001</v>
      </c>
      <c r="M293" s="8">
        <f>M137</f>
        <v>50276.089000000007</v>
      </c>
      <c r="N293" s="8"/>
      <c r="O293" s="505"/>
      <c r="P293" s="8"/>
      <c r="Q293" s="8"/>
      <c r="R293" s="8"/>
      <c r="S293" s="8">
        <f>S137</f>
        <v>47449.713000000011</v>
      </c>
    </row>
    <row r="294" spans="1:19" ht="13.5" customHeight="1">
      <c r="A294" s="5"/>
      <c r="B294" s="1" t="s">
        <v>174</v>
      </c>
      <c r="C294" s="49">
        <f>C153</f>
        <v>4.8792432273262669</v>
      </c>
      <c r="D294" s="49">
        <f>D153</f>
        <v>5.7667293741920771</v>
      </c>
      <c r="E294" s="49">
        <f>E153</f>
        <v>5.6182929950950342</v>
      </c>
      <c r="F294" s="394"/>
      <c r="G294" s="99"/>
      <c r="H294" s="99"/>
      <c r="I294" s="99"/>
      <c r="J294" s="49"/>
      <c r="K294" s="49">
        <f>K153</f>
        <v>5.222563813084113</v>
      </c>
      <c r="L294" s="49">
        <f>L153</f>
        <v>5.7667293741920771</v>
      </c>
      <c r="M294" s="49">
        <f>M153</f>
        <v>5.6182929950950342</v>
      </c>
      <c r="O294" s="99"/>
      <c r="P294" s="49"/>
      <c r="Q294" s="49"/>
      <c r="R294" s="49"/>
      <c r="S294" s="49">
        <f>S153</f>
        <v>5.222563813084113</v>
      </c>
    </row>
    <row r="295" spans="1:19" ht="13.5" customHeight="1">
      <c r="A295" s="5"/>
      <c r="B295" s="5" t="s">
        <v>175</v>
      </c>
      <c r="C295" s="48">
        <f>C152</f>
        <v>3.2214461866902249</v>
      </c>
      <c r="D295" s="48">
        <f>D152</f>
        <v>3.8502522241654629</v>
      </c>
      <c r="E295" s="48">
        <f>E152</f>
        <v>3.8531643930104238</v>
      </c>
      <c r="F295" s="394"/>
      <c r="G295" s="99"/>
      <c r="H295" s="99"/>
      <c r="I295" s="99"/>
      <c r="J295" s="48"/>
      <c r="K295" s="48">
        <f>K152</f>
        <v>3.5476420934579447</v>
      </c>
      <c r="L295" s="48">
        <f>L152</f>
        <v>3.8502522241654629</v>
      </c>
      <c r="M295" s="48">
        <f>M152</f>
        <v>3.8531643930104238</v>
      </c>
      <c r="O295" s="99"/>
      <c r="P295" s="48"/>
      <c r="Q295" s="48"/>
      <c r="R295" s="48"/>
      <c r="S295" s="48">
        <f>S152</f>
        <v>3.5476420934579447</v>
      </c>
    </row>
    <row r="296" spans="1:19">
      <c r="A296" s="5"/>
      <c r="B296" s="5"/>
      <c r="C296" s="5"/>
      <c r="D296" s="5"/>
      <c r="E296" s="5"/>
      <c r="F296" s="394"/>
      <c r="G296" s="5"/>
      <c r="H296" s="5"/>
      <c r="I296" s="5"/>
      <c r="J296" s="5"/>
      <c r="K296" s="5"/>
      <c r="L296" s="5"/>
      <c r="M296" s="5"/>
      <c r="O296" s="5"/>
      <c r="P296" s="5"/>
      <c r="Q296" s="5"/>
      <c r="R296" s="5"/>
      <c r="S296" s="5"/>
    </row>
    <row r="297" spans="1:19" s="90" customFormat="1" ht="13.5" customHeight="1">
      <c r="A297" s="5"/>
      <c r="C297" s="94"/>
      <c r="D297" s="94"/>
      <c r="E297" s="94"/>
      <c r="F297" s="394"/>
    </row>
    <row r="298" spans="1:19" ht="13.5" customHeight="1">
      <c r="A298" s="5"/>
      <c r="B298" s="16" t="s">
        <v>176</v>
      </c>
      <c r="C298" s="44">
        <f>C3</f>
        <v>45630</v>
      </c>
      <c r="D298" s="44">
        <f>D3</f>
        <v>45995</v>
      </c>
      <c r="E298" s="120">
        <f>E3</f>
        <v>46112</v>
      </c>
      <c r="F298" s="394"/>
      <c r="G298" s="44">
        <f>G3</f>
        <v>45544</v>
      </c>
      <c r="H298" s="44">
        <f>H3</f>
        <v>45635</v>
      </c>
      <c r="I298" s="44">
        <f>I3</f>
        <v>45747</v>
      </c>
      <c r="J298" s="396"/>
      <c r="K298" s="120">
        <f>K3</f>
        <v>45909</v>
      </c>
      <c r="L298" s="44">
        <f>L3</f>
        <v>46000</v>
      </c>
      <c r="M298" s="44">
        <f>M3</f>
        <v>46112</v>
      </c>
      <c r="O298" s="44">
        <f>O3</f>
        <v>45544</v>
      </c>
      <c r="P298" s="120"/>
      <c r="Q298" s="120"/>
      <c r="R298" s="120"/>
      <c r="S298" s="120">
        <f>S3</f>
        <v>45909</v>
      </c>
    </row>
    <row r="299" spans="1:19" ht="13.5" customHeight="1">
      <c r="A299" s="5"/>
      <c r="B299" s="1" t="s">
        <v>58</v>
      </c>
      <c r="C299" s="6">
        <f t="shared" ref="C299:E300" si="37">C285*C$219</f>
        <v>27664.238438850654</v>
      </c>
      <c r="D299" s="6">
        <f t="shared" si="37"/>
        <v>29335.111194603975</v>
      </c>
      <c r="E299" s="6">
        <f t="shared" si="37"/>
        <v>30115.929457150731</v>
      </c>
      <c r="F299" s="504"/>
      <c r="G299" s="505"/>
      <c r="H299" s="505"/>
      <c r="I299" s="505"/>
      <c r="J299" s="6"/>
      <c r="K299" s="6">
        <f t="shared" ref="K299:M300" si="38">K285*K$219</f>
        <v>28458.409015171444</v>
      </c>
      <c r="L299" s="6">
        <f t="shared" si="38"/>
        <v>29335.111194603975</v>
      </c>
      <c r="M299" s="6">
        <f t="shared" si="38"/>
        <v>30115.929457150731</v>
      </c>
      <c r="N299" s="6"/>
      <c r="O299" s="505"/>
      <c r="P299" s="6"/>
      <c r="Q299" s="6"/>
      <c r="R299" s="6"/>
      <c r="S299" s="6">
        <f>S285*S$219</f>
        <v>28458.409015171444</v>
      </c>
    </row>
    <row r="300" spans="1:19" ht="13.5" customHeight="1">
      <c r="A300" s="5"/>
      <c r="B300" s="1" t="s">
        <v>114</v>
      </c>
      <c r="C300" s="6">
        <f t="shared" si="37"/>
        <v>2519.8018883674335</v>
      </c>
      <c r="D300" s="6">
        <f t="shared" si="37"/>
        <v>2352.8885549174315</v>
      </c>
      <c r="E300" s="6">
        <f t="shared" si="37"/>
        <v>2396.9872324791036</v>
      </c>
      <c r="F300" s="504"/>
      <c r="G300" s="505"/>
      <c r="H300" s="505"/>
      <c r="I300" s="505"/>
      <c r="J300" s="6"/>
      <c r="K300" s="6">
        <f t="shared" si="38"/>
        <v>2345.8738928352186</v>
      </c>
      <c r="L300" s="6">
        <f t="shared" si="38"/>
        <v>2352.8885549174315</v>
      </c>
      <c r="M300" s="6">
        <f t="shared" si="38"/>
        <v>2396.9872324791036</v>
      </c>
      <c r="N300" s="6"/>
      <c r="O300" s="505"/>
      <c r="P300" s="6"/>
      <c r="Q300" s="6"/>
      <c r="R300" s="6"/>
      <c r="S300" s="6">
        <f>S286*S$219</f>
        <v>2345.8738928352186</v>
      </c>
    </row>
    <row r="301" spans="1:19" ht="13.5" customHeight="1">
      <c r="A301" s="5"/>
      <c r="B301" s="1" t="s">
        <v>173</v>
      </c>
      <c r="C301" s="85">
        <f>C300/C299</f>
        <v>9.1085170984816083E-2</v>
      </c>
      <c r="D301" s="85">
        <f>D300/D299</f>
        <v>8.020724855306606E-2</v>
      </c>
      <c r="E301" s="85">
        <f>E300/E299</f>
        <v>7.9592005815047578E-2</v>
      </c>
      <c r="F301" s="394"/>
      <c r="G301" s="99"/>
      <c r="H301" s="99"/>
      <c r="I301" s="99"/>
      <c r="J301" s="401"/>
      <c r="K301" s="85">
        <f>K300/K299</f>
        <v>8.243165988599753E-2</v>
      </c>
      <c r="L301" s="85">
        <f>L300/L299</f>
        <v>8.020724855306606E-2</v>
      </c>
      <c r="M301" s="85">
        <f>M300/M299</f>
        <v>7.9592005815047578E-2</v>
      </c>
      <c r="O301" s="99"/>
      <c r="P301" s="85"/>
      <c r="Q301" s="85"/>
      <c r="R301" s="85"/>
      <c r="S301" s="85">
        <f>S300/S299</f>
        <v>8.243165988599753E-2</v>
      </c>
    </row>
    <row r="302" spans="1:19" ht="13.5" customHeight="1">
      <c r="A302" s="5"/>
      <c r="B302" s="1" t="s">
        <v>93</v>
      </c>
      <c r="C302" s="6">
        <f t="shared" ref="C302:E304" si="39">C288*C$219</f>
        <v>898.66311747574605</v>
      </c>
      <c r="D302" s="6">
        <f t="shared" si="39"/>
        <v>1018.9816256060689</v>
      </c>
      <c r="E302" s="6">
        <f t="shared" si="39"/>
        <v>1060.5698539542575</v>
      </c>
      <c r="F302" s="504"/>
      <c r="G302" s="505"/>
      <c r="H302" s="505"/>
      <c r="I302" s="505"/>
      <c r="J302" s="6"/>
      <c r="K302" s="6">
        <f t="shared" ref="K302:M304" si="40">K288*K$219</f>
        <v>1006.8269753573619</v>
      </c>
      <c r="L302" s="6">
        <f t="shared" si="40"/>
        <v>1018.9816256060689</v>
      </c>
      <c r="M302" s="6">
        <f t="shared" si="40"/>
        <v>1060.5698539542575</v>
      </c>
      <c r="N302" s="6"/>
      <c r="O302" s="505"/>
      <c r="P302" s="6"/>
      <c r="Q302" s="6"/>
      <c r="R302" s="6"/>
      <c r="S302" s="6">
        <f>S288*S$219</f>
        <v>1006.8269753573619</v>
      </c>
    </row>
    <row r="303" spans="1:19" ht="13.5" customHeight="1">
      <c r="A303" s="5"/>
      <c r="B303" s="1" t="s">
        <v>116</v>
      </c>
      <c r="C303" s="6">
        <f t="shared" si="39"/>
        <v>703.64670092192398</v>
      </c>
      <c r="D303" s="6">
        <f t="shared" si="39"/>
        <v>955.55579410659652</v>
      </c>
      <c r="E303" s="6">
        <f t="shared" si="39"/>
        <v>1022.4759805272342</v>
      </c>
      <c r="F303" s="504"/>
      <c r="G303" s="505"/>
      <c r="H303" s="505"/>
      <c r="I303" s="505"/>
      <c r="J303" s="6"/>
      <c r="K303" s="6">
        <f t="shared" si="40"/>
        <v>848.12277470841002</v>
      </c>
      <c r="L303" s="6">
        <f t="shared" si="40"/>
        <v>955.55579410659652</v>
      </c>
      <c r="M303" s="6">
        <f t="shared" si="40"/>
        <v>1022.4759805272342</v>
      </c>
      <c r="N303" s="6"/>
      <c r="O303" s="505"/>
      <c r="P303" s="6"/>
      <c r="Q303" s="6"/>
      <c r="R303" s="6"/>
      <c r="S303" s="6">
        <f>S289*S$219</f>
        <v>848.12277470841002</v>
      </c>
    </row>
    <row r="304" spans="1:19" ht="13.5" customHeight="1">
      <c r="A304" s="5"/>
      <c r="B304" s="1" t="s">
        <v>98</v>
      </c>
      <c r="C304" s="6">
        <f t="shared" si="39"/>
        <v>1377.8593555807004</v>
      </c>
      <c r="D304" s="6">
        <f t="shared" si="39"/>
        <v>1184.1942640402197</v>
      </c>
      <c r="E304" s="6">
        <f t="shared" si="39"/>
        <v>929.66124735923574</v>
      </c>
      <c r="F304" s="504"/>
      <c r="G304" s="505"/>
      <c r="H304" s="505"/>
      <c r="I304" s="505"/>
      <c r="J304" s="6"/>
      <c r="K304" s="6">
        <f t="shared" si="40"/>
        <v>1414.0936595632722</v>
      </c>
      <c r="L304" s="6">
        <f t="shared" si="40"/>
        <v>1184.1942640402197</v>
      </c>
      <c r="M304" s="6">
        <f t="shared" si="40"/>
        <v>929.66124735923552</v>
      </c>
      <c r="N304" s="6"/>
      <c r="O304" s="505"/>
      <c r="P304" s="6"/>
      <c r="Q304" s="6"/>
      <c r="R304" s="6"/>
      <c r="S304" s="6">
        <f>S290*S$219</f>
        <v>1414.0936595632722</v>
      </c>
    </row>
    <row r="305" spans="1:19" ht="13.5" customHeight="1">
      <c r="A305" s="5"/>
      <c r="B305" s="1" t="s">
        <v>12</v>
      </c>
      <c r="C305" s="6">
        <f t="shared" ref="C305:E307" si="41">C291*C$218</f>
        <v>3645.2321214671888</v>
      </c>
      <c r="D305" s="6">
        <f t="shared" si="41"/>
        <v>4601.0425718354081</v>
      </c>
      <c r="E305" s="6">
        <f t="shared" si="41"/>
        <v>4444.5855767189651</v>
      </c>
      <c r="F305" s="504"/>
      <c r="G305" s="505"/>
      <c r="H305" s="505"/>
      <c r="I305" s="505"/>
      <c r="J305" s="6"/>
      <c r="K305" s="6">
        <f t="shared" ref="K305:M307" si="42">K291*K$218</f>
        <v>4208.6227432414671</v>
      </c>
      <c r="L305" s="6">
        <f t="shared" si="42"/>
        <v>4601.0425718354081</v>
      </c>
      <c r="M305" s="6">
        <f t="shared" si="42"/>
        <v>4444.5855767189651</v>
      </c>
      <c r="N305" s="6"/>
      <c r="O305" s="505"/>
      <c r="P305" s="6"/>
      <c r="Q305" s="6"/>
      <c r="R305" s="6"/>
      <c r="S305" s="6">
        <f>S291*S$218</f>
        <v>4208.6227432414671</v>
      </c>
    </row>
    <row r="306" spans="1:19" ht="13.5" customHeight="1">
      <c r="A306" s="5"/>
      <c r="B306" s="1" t="s">
        <v>137</v>
      </c>
      <c r="C306" s="6">
        <f t="shared" si="41"/>
        <v>10728.680112661466</v>
      </c>
      <c r="D306" s="6">
        <f t="shared" si="41"/>
        <v>13844.656248859032</v>
      </c>
      <c r="E306" s="6">
        <f t="shared" si="41"/>
        <v>14146.83552364963</v>
      </c>
      <c r="F306" s="504"/>
      <c r="G306" s="505"/>
      <c r="H306" s="505"/>
      <c r="I306" s="505"/>
      <c r="J306" s="6"/>
      <c r="K306" s="6">
        <f t="shared" si="42"/>
        <v>13122.882451295351</v>
      </c>
      <c r="L306" s="6">
        <f t="shared" si="42"/>
        <v>13844.656248859032</v>
      </c>
      <c r="M306" s="6">
        <f t="shared" si="42"/>
        <v>14146.83552364963</v>
      </c>
      <c r="N306" s="6"/>
      <c r="O306" s="505"/>
      <c r="P306" s="6"/>
      <c r="Q306" s="6"/>
      <c r="R306" s="6"/>
      <c r="S306" s="6">
        <f>S292*S$218</f>
        <v>13122.882451295351</v>
      </c>
    </row>
    <row r="307" spans="1:19" s="5" customFormat="1" ht="13.5" customHeight="1">
      <c r="B307" s="5" t="s">
        <v>164</v>
      </c>
      <c r="C307" s="8">
        <f t="shared" si="41"/>
        <v>7083.4479911942781</v>
      </c>
      <c r="D307" s="8">
        <f t="shared" si="41"/>
        <v>9243.6136770236226</v>
      </c>
      <c r="E307" s="8">
        <f t="shared" si="41"/>
        <v>9702.249946930664</v>
      </c>
      <c r="F307" s="504"/>
      <c r="G307" s="505"/>
      <c r="H307" s="505"/>
      <c r="I307" s="505"/>
      <c r="J307" s="8"/>
      <c r="K307" s="8">
        <f t="shared" si="42"/>
        <v>8914.2597080538835</v>
      </c>
      <c r="L307" s="8">
        <f t="shared" si="42"/>
        <v>9243.6136770236226</v>
      </c>
      <c r="M307" s="8">
        <f t="shared" si="42"/>
        <v>9702.249946930664</v>
      </c>
      <c r="N307" s="8"/>
      <c r="O307" s="505"/>
      <c r="P307" s="8"/>
      <c r="Q307" s="8"/>
      <c r="R307" s="8"/>
      <c r="S307" s="8">
        <f>S293*S$218</f>
        <v>8914.2597080538835</v>
      </c>
    </row>
    <row r="308" spans="1:19" ht="13.5" customHeight="1">
      <c r="A308" s="5"/>
      <c r="B308" s="1" t="s">
        <v>174</v>
      </c>
      <c r="C308" s="49">
        <f>C306/C300</f>
        <v>4.2577474690331796</v>
      </c>
      <c r="D308" s="49">
        <f>D306/D300</f>
        <v>5.8841104989542838</v>
      </c>
      <c r="E308" s="49">
        <f>E306/E300</f>
        <v>5.9019236030799176</v>
      </c>
      <c r="F308" s="394"/>
      <c r="G308" s="99"/>
      <c r="H308" s="99"/>
      <c r="I308" s="99"/>
      <c r="J308" s="49"/>
      <c r="K308" s="49">
        <f>K306/K300</f>
        <v>5.5940272370886319</v>
      </c>
      <c r="L308" s="49">
        <f>L306/L300</f>
        <v>5.8841104989542838</v>
      </c>
      <c r="M308" s="49">
        <f>M306/M300</f>
        <v>5.9019236030799176</v>
      </c>
      <c r="O308" s="99"/>
      <c r="P308" s="49"/>
      <c r="Q308" s="49"/>
      <c r="R308" s="49"/>
      <c r="S308" s="49">
        <f>S306/S300</f>
        <v>5.5940272370886319</v>
      </c>
    </row>
    <row r="309" spans="1:19" ht="13.5" customHeight="1">
      <c r="A309" s="5"/>
      <c r="B309" s="5" t="s">
        <v>175</v>
      </c>
      <c r="C309" s="48">
        <f>C307/C300</f>
        <v>2.8111130576950267</v>
      </c>
      <c r="D309" s="48">
        <f>D307/D300</f>
        <v>3.9286236731038047</v>
      </c>
      <c r="E309" s="48">
        <f>E307/E300</f>
        <v>4.0476852840371755</v>
      </c>
      <c r="F309" s="394"/>
      <c r="G309" s="99"/>
      <c r="H309" s="99"/>
      <c r="I309" s="99"/>
      <c r="J309" s="48"/>
      <c r="K309" s="48">
        <f>K307/K300</f>
        <v>3.7999739607827454</v>
      </c>
      <c r="L309" s="48">
        <f>L307/L300</f>
        <v>3.9286236731038047</v>
      </c>
      <c r="M309" s="48">
        <f>M307/M300</f>
        <v>4.0476852840371755</v>
      </c>
      <c r="O309" s="99"/>
      <c r="P309" s="48"/>
      <c r="Q309" s="48"/>
      <c r="R309" s="48"/>
      <c r="S309" s="48">
        <f>S307/S300</f>
        <v>3.7999739607827454</v>
      </c>
    </row>
    <row r="310" spans="1:19" ht="13.5" customHeight="1">
      <c r="A310" s="5"/>
      <c r="F310" s="394"/>
    </row>
  </sheetData>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4087C6-94FF-48A9-9049-B08F2A3B5A8E}">
  <sheetPr codeName="Sheet5"/>
  <dimension ref="A2:N1486"/>
  <sheetViews>
    <sheetView zoomScale="85" zoomScaleNormal="85" workbookViewId="0">
      <selection activeCell="F37" sqref="F37"/>
    </sheetView>
  </sheetViews>
  <sheetFormatPr defaultColWidth="11.42578125" defaultRowHeight="12.75"/>
  <cols>
    <col min="1" max="1" width="7.5703125" style="32" customWidth="1"/>
    <col min="2" max="2" width="33.140625" style="32" customWidth="1"/>
    <col min="3" max="3" width="17.7109375" style="32" customWidth="1"/>
    <col min="4" max="4" width="15.7109375" style="32" customWidth="1"/>
    <col min="5" max="5" width="10.85546875" style="32" customWidth="1"/>
    <col min="6" max="6" width="12.5703125" style="32" customWidth="1"/>
    <col min="7" max="7" width="24.85546875" style="32" customWidth="1"/>
    <col min="8" max="8" width="11.42578125" style="32"/>
    <col min="9" max="9" width="23.5703125" style="32" customWidth="1"/>
    <col min="10" max="10" width="15" style="32" customWidth="1"/>
    <col min="11" max="11" width="15" style="32" bestFit="1" customWidth="1"/>
    <col min="12" max="16384" width="11.42578125" style="32"/>
  </cols>
  <sheetData>
    <row r="2" spans="1:11">
      <c r="A2" s="69" t="s">
        <v>177</v>
      </c>
      <c r="G2" s="69" t="s">
        <v>178</v>
      </c>
      <c r="H2" s="172">
        <v>0.18786751582783823</v>
      </c>
    </row>
    <row r="3" spans="1:11">
      <c r="A3" s="69"/>
      <c r="G3" s="69" t="s">
        <v>179</v>
      </c>
      <c r="H3" s="172">
        <v>0.17889459182016304</v>
      </c>
    </row>
    <row r="4" spans="1:11" ht="13.5" thickBot="1"/>
    <row r="5" spans="1:11" ht="12.75" customHeight="1">
      <c r="B5" s="451" t="s">
        <v>180</v>
      </c>
      <c r="C5" s="452" t="s">
        <v>4</v>
      </c>
      <c r="D5" s="452" t="s">
        <v>5</v>
      </c>
      <c r="E5" s="452" t="s">
        <v>181</v>
      </c>
      <c r="F5" s="31"/>
      <c r="G5" s="459" t="s">
        <v>8</v>
      </c>
      <c r="H5" s="470" t="s">
        <v>4</v>
      </c>
      <c r="I5" s="471" t="s">
        <v>5</v>
      </c>
      <c r="J5" s="31"/>
      <c r="K5" s="31"/>
    </row>
    <row r="6" spans="1:11">
      <c r="B6" s="111"/>
      <c r="C6" s="446"/>
      <c r="D6" s="446"/>
      <c r="E6" s="447"/>
      <c r="F6" s="31"/>
      <c r="G6" s="460"/>
      <c r="H6" s="372"/>
      <c r="I6" s="461"/>
      <c r="J6" s="31"/>
      <c r="K6" s="31"/>
    </row>
    <row r="7" spans="1:11">
      <c r="B7" s="111" t="s">
        <v>9</v>
      </c>
      <c r="C7" s="111"/>
      <c r="D7" s="448"/>
      <c r="E7" s="449"/>
      <c r="F7" s="31"/>
      <c r="G7" s="462" t="s">
        <v>10</v>
      </c>
      <c r="H7" s="378">
        <v>63751</v>
      </c>
      <c r="I7" s="463">
        <f>H7*H2</f>
        <v>11976.742001540515</v>
      </c>
    </row>
    <row r="8" spans="1:11">
      <c r="B8" s="450" t="s">
        <v>11</v>
      </c>
      <c r="C8" s="352">
        <v>0.01</v>
      </c>
      <c r="D8" s="352">
        <f>C8*$H2</f>
        <v>1.8786751582783824E-3</v>
      </c>
      <c r="E8" s="449"/>
      <c r="F8" s="31"/>
      <c r="G8" s="462" t="s">
        <v>12</v>
      </c>
      <c r="H8" s="378">
        <v>22402</v>
      </c>
      <c r="I8" s="463">
        <f>H8*H2</f>
        <v>4208.608089575232</v>
      </c>
    </row>
    <row r="9" spans="1:11">
      <c r="B9" s="450" t="s">
        <v>13</v>
      </c>
      <c r="C9" s="352">
        <v>5638.982</v>
      </c>
      <c r="D9" s="352">
        <f>C9*$H2</f>
        <v>1059.3815401378949</v>
      </c>
      <c r="E9" s="449"/>
      <c r="F9" s="31"/>
      <c r="G9" s="460" t="s">
        <v>14</v>
      </c>
      <c r="H9" s="465">
        <f>H7-H8</f>
        <v>41349</v>
      </c>
      <c r="I9" s="466">
        <f>I7-I8</f>
        <v>7768.133911965283</v>
      </c>
    </row>
    <row r="10" spans="1:11">
      <c r="B10" s="450" t="s">
        <v>15</v>
      </c>
      <c r="C10" s="352">
        <v>22699.353999999999</v>
      </c>
      <c r="D10" s="352">
        <f>C10*$H2</f>
        <v>4264.4712468767029</v>
      </c>
      <c r="E10" s="449"/>
      <c r="F10" s="31"/>
      <c r="G10" s="462" t="s">
        <v>182</v>
      </c>
      <c r="H10" s="464">
        <f>H9/H11</f>
        <v>13381.553398058253</v>
      </c>
      <c r="I10" s="463">
        <f>I9/I11</f>
        <v>2346.868251349028</v>
      </c>
    </row>
    <row r="11" spans="1:11" ht="13.5" thickBot="1">
      <c r="B11" s="450" t="s">
        <v>17</v>
      </c>
      <c r="C11" s="352">
        <v>0</v>
      </c>
      <c r="D11" s="352">
        <f>C11*$H2</f>
        <v>0</v>
      </c>
      <c r="E11" s="449"/>
      <c r="F11" s="31"/>
      <c r="G11" s="467" t="s">
        <v>18</v>
      </c>
      <c r="H11" s="468">
        <v>3.09</v>
      </c>
      <c r="I11" s="469">
        <v>3.31</v>
      </c>
    </row>
    <row r="12" spans="1:11">
      <c r="B12" s="111" t="s">
        <v>19</v>
      </c>
      <c r="C12" s="352"/>
      <c r="D12" s="352"/>
      <c r="E12" s="449"/>
      <c r="F12" s="31"/>
    </row>
    <row r="13" spans="1:11">
      <c r="B13" s="450" t="s">
        <v>20</v>
      </c>
      <c r="C13" s="352">
        <v>8799.5540000000001</v>
      </c>
      <c r="D13" s="352">
        <f>C13*$H2</f>
        <v>1653.1503503729173</v>
      </c>
      <c r="E13" s="449"/>
      <c r="F13" s="31"/>
    </row>
    <row r="14" spans="1:11">
      <c r="B14" s="450" t="s">
        <v>21</v>
      </c>
      <c r="C14" s="352">
        <v>17496.37</v>
      </c>
      <c r="D14" s="352">
        <f>C14*$H2</f>
        <v>3286.9995679047138</v>
      </c>
      <c r="E14" s="449"/>
      <c r="F14" s="31"/>
    </row>
    <row r="15" spans="1:11">
      <c r="B15" s="450" t="s">
        <v>22</v>
      </c>
      <c r="C15" s="352">
        <v>4752.5230000000001</v>
      </c>
      <c r="D15" s="352">
        <f>C15*$H2</f>
        <v>892.8446899246652</v>
      </c>
      <c r="E15" s="449"/>
      <c r="F15" s="31"/>
    </row>
    <row r="16" spans="1:11">
      <c r="B16" s="450" t="s">
        <v>23</v>
      </c>
      <c r="C16" s="352">
        <v>2498.7139999999999</v>
      </c>
      <c r="D16" s="352">
        <f>C16*$H2</f>
        <v>469.42719194424097</v>
      </c>
      <c r="E16" s="449"/>
      <c r="F16" s="31"/>
    </row>
    <row r="17" spans="2:8">
      <c r="B17" s="450" t="s">
        <v>24</v>
      </c>
      <c r="C17" s="352">
        <v>0</v>
      </c>
      <c r="D17" s="352">
        <f>C17*$H2</f>
        <v>0</v>
      </c>
      <c r="E17" s="449"/>
      <c r="F17" s="31"/>
    </row>
    <row r="18" spans="2:8">
      <c r="B18" s="450" t="s">
        <v>25</v>
      </c>
      <c r="C18" s="352">
        <v>0</v>
      </c>
      <c r="D18" s="352">
        <f>C18*$H2</f>
        <v>0</v>
      </c>
      <c r="E18" s="449"/>
      <c r="F18" s="31"/>
    </row>
    <row r="19" spans="2:8">
      <c r="B19" s="450" t="s">
        <v>26</v>
      </c>
      <c r="C19" s="352">
        <v>1352.0820000000001</v>
      </c>
      <c r="D19" s="352">
        <f>C19*$H2</f>
        <v>254.0122865355352</v>
      </c>
      <c r="E19" s="449"/>
      <c r="F19" s="31"/>
    </row>
    <row r="20" spans="2:8">
      <c r="B20" s="450" t="s">
        <v>27</v>
      </c>
      <c r="C20" s="352">
        <v>513.70299999999997</v>
      </c>
      <c r="D20" s="352">
        <f>C20*$H3</f>
        <v>91.898688501793217</v>
      </c>
      <c r="E20" s="449"/>
      <c r="F20" s="31"/>
    </row>
    <row r="21" spans="2:8">
      <c r="B21" s="450" t="s">
        <v>28</v>
      </c>
      <c r="C21" s="352">
        <v>256.03100000000001</v>
      </c>
      <c r="D21" s="352">
        <f>C21*$H2</f>
        <v>48.099907944917248</v>
      </c>
      <c r="E21" s="449"/>
      <c r="F21" s="31"/>
    </row>
    <row r="22" spans="2:8">
      <c r="B22" s="450" t="s">
        <v>29</v>
      </c>
      <c r="C22" s="352">
        <v>5844.4780000000001</v>
      </c>
      <c r="D22" s="352">
        <f>C22*$H2</f>
        <v>1097.9875631704524</v>
      </c>
      <c r="E22" s="449"/>
      <c r="F22" s="31"/>
      <c r="H22" s="110"/>
    </row>
    <row r="23" spans="2:8">
      <c r="B23" s="41" t="s">
        <v>30</v>
      </c>
      <c r="C23" s="131">
        <f>SUM(C7:C22)</f>
        <v>69851.800999999992</v>
      </c>
      <c r="D23" s="131">
        <f>SUM(D7:D22)</f>
        <v>13118.274911988992</v>
      </c>
      <c r="E23" s="42">
        <f>+C23/C28</f>
        <v>5.220006894725385</v>
      </c>
      <c r="F23" s="31"/>
      <c r="G23" s="110"/>
    </row>
    <row r="24" spans="2:8">
      <c r="B24" s="40" t="s">
        <v>31</v>
      </c>
      <c r="C24" s="175">
        <v>22402.078000000001</v>
      </c>
      <c r="D24" s="352">
        <f>C24*$H2</f>
        <v>4208.6227432414671</v>
      </c>
      <c r="E24" s="43"/>
      <c r="F24" s="31"/>
      <c r="H24" s="85"/>
    </row>
    <row r="25" spans="2:8">
      <c r="B25" s="41" t="s">
        <v>32</v>
      </c>
      <c r="C25" s="176">
        <f>+C23-C24</f>
        <v>47449.722999999991</v>
      </c>
      <c r="D25" s="131">
        <f>+D23-D24</f>
        <v>8909.6521687475251</v>
      </c>
      <c r="E25" s="42">
        <f>+C25/C28</f>
        <v>3.5459054407603561</v>
      </c>
      <c r="F25" s="31"/>
    </row>
    <row r="26" spans="2:8">
      <c r="B26" s="71" t="s">
        <v>33</v>
      </c>
      <c r="C26" s="177">
        <v>6788.8389999999999</v>
      </c>
      <c r="D26" s="352">
        <f>C26*$H2</f>
        <v>1275.4023182851454</v>
      </c>
      <c r="E26" s="72"/>
      <c r="F26" s="31"/>
    </row>
    <row r="27" spans="2:8">
      <c r="B27" s="71" t="s">
        <v>34</v>
      </c>
      <c r="C27" s="178">
        <f>C23+C26</f>
        <v>76640.639999999985</v>
      </c>
      <c r="D27" s="178">
        <f>D23+D26</f>
        <v>14393.677230274137</v>
      </c>
      <c r="E27" s="72"/>
      <c r="F27" s="31"/>
    </row>
    <row r="28" spans="2:8">
      <c r="B28" s="300" t="s">
        <v>35</v>
      </c>
      <c r="C28" s="303">
        <v>13381.553398058253</v>
      </c>
      <c r="D28" s="179">
        <f>C28*H3</f>
        <v>2393.8875330653468</v>
      </c>
      <c r="E28" s="40"/>
      <c r="F28" s="40"/>
    </row>
    <row r="30" spans="2:8">
      <c r="B30" s="109"/>
      <c r="C30" s="353">
        <v>0</v>
      </c>
      <c r="D30" s="134"/>
      <c r="F30" s="110"/>
    </row>
    <row r="31" spans="2:8">
      <c r="B31" s="109"/>
      <c r="C31" s="109"/>
      <c r="D31" s="134"/>
    </row>
    <row r="32" spans="2:8">
      <c r="B32" s="41" t="s">
        <v>37</v>
      </c>
      <c r="C32" s="404">
        <v>84047.322999999989</v>
      </c>
      <c r="D32" s="135"/>
    </row>
    <row r="33" spans="2:6">
      <c r="B33" s="41" t="s">
        <v>38</v>
      </c>
      <c r="C33" s="136">
        <f>C32/C28</f>
        <v>6.2808345563375161</v>
      </c>
      <c r="D33" s="136"/>
    </row>
    <row r="35" spans="2:6" ht="13.5" thickBot="1"/>
    <row r="36" spans="2:6">
      <c r="B36" s="453" t="s">
        <v>183</v>
      </c>
      <c r="C36" s="454" t="s">
        <v>4</v>
      </c>
      <c r="D36" s="455" t="s">
        <v>5</v>
      </c>
      <c r="E36" s="111"/>
      <c r="F36" s="111"/>
    </row>
    <row r="37" spans="2:6">
      <c r="B37" s="83" t="s">
        <v>184</v>
      </c>
      <c r="C37" s="329">
        <f>C17</f>
        <v>0</v>
      </c>
      <c r="D37" s="180">
        <f>C37*$H2</f>
        <v>0</v>
      </c>
      <c r="E37" s="112"/>
      <c r="F37" s="112"/>
    </row>
    <row r="38" spans="2:6">
      <c r="B38" s="83" t="s">
        <v>40</v>
      </c>
      <c r="C38" s="327">
        <f>C24</f>
        <v>22402.078000000001</v>
      </c>
      <c r="D38" s="180">
        <f>C38*$H2</f>
        <v>4208.6227432414671</v>
      </c>
      <c r="E38" s="112"/>
      <c r="F38" s="112"/>
    </row>
    <row r="39" spans="2:6" ht="13.5" thickBot="1">
      <c r="B39" s="389" t="s">
        <v>41</v>
      </c>
      <c r="C39" s="390">
        <f>SUM(C37:C38)</f>
        <v>22402.078000000001</v>
      </c>
      <c r="D39" s="391">
        <f>SUM(D37:D38)</f>
        <v>4208.6227432414671</v>
      </c>
      <c r="E39" s="112"/>
      <c r="F39" s="112"/>
    </row>
    <row r="41" spans="2:6" ht="13.5" thickBot="1">
      <c r="E41" s="112"/>
    </row>
    <row r="42" spans="2:6">
      <c r="B42" s="453" t="s">
        <v>185</v>
      </c>
      <c r="C42" s="454" t="s">
        <v>4</v>
      </c>
      <c r="D42" s="455" t="s">
        <v>5</v>
      </c>
      <c r="E42" s="112"/>
      <c r="F42" s="69"/>
    </row>
    <row r="43" spans="2:6">
      <c r="B43" s="73">
        <v>2025</v>
      </c>
      <c r="C43" s="373">
        <v>2198.2759999999998</v>
      </c>
      <c r="D43" s="407">
        <f>C43*$H2</f>
        <v>412.98465122395686</v>
      </c>
      <c r="E43" s="112"/>
    </row>
    <row r="44" spans="2:6">
      <c r="B44" s="73">
        <v>2026</v>
      </c>
      <c r="C44" s="373">
        <v>10531.567999999999</v>
      </c>
      <c r="D44" s="183">
        <f>C44*$H2</f>
        <v>1978.5395179319544</v>
      </c>
      <c r="E44" s="112"/>
    </row>
    <row r="45" spans="2:6">
      <c r="B45" s="73">
        <v>2027</v>
      </c>
      <c r="C45" s="373">
        <v>10469.358</v>
      </c>
      <c r="D45" s="183">
        <f>C45*$H2</f>
        <v>1966.8522797723049</v>
      </c>
      <c r="E45" s="112"/>
    </row>
    <row r="46" spans="2:6">
      <c r="B46" s="73">
        <v>2028</v>
      </c>
      <c r="C46" s="373">
        <v>9193.0939999999991</v>
      </c>
      <c r="D46" s="183">
        <f>C46*$H2</f>
        <v>1727.0837325518046</v>
      </c>
      <c r="E46" s="112"/>
    </row>
    <row r="47" spans="2:6">
      <c r="B47" s="73">
        <v>2029</v>
      </c>
      <c r="C47" s="373">
        <v>8916.1890000000003</v>
      </c>
      <c r="D47" s="183">
        <f>C47*$H2</f>
        <v>1675.0622780814972</v>
      </c>
      <c r="E47" s="112"/>
    </row>
    <row r="48" spans="2:6" ht="13.5" thickBot="1">
      <c r="B48" s="125" t="s">
        <v>186</v>
      </c>
      <c r="C48" s="382">
        <v>22442.796999999999</v>
      </c>
      <c r="D48" s="383">
        <f>C48*$H2</f>
        <v>4216.2725206184605</v>
      </c>
      <c r="E48" s="112"/>
    </row>
    <row r="49" spans="1:11" ht="13.5" thickBot="1">
      <c r="B49" s="456" t="s">
        <v>44</v>
      </c>
      <c r="C49" s="457">
        <f>SUM(C43:C48)</f>
        <v>63751.281999999992</v>
      </c>
      <c r="D49" s="458">
        <f>SUM(D43:D48)</f>
        <v>11976.794980179979</v>
      </c>
      <c r="E49" s="112"/>
      <c r="F49" s="113"/>
    </row>
    <row r="50" spans="1:11">
      <c r="B50" s="90" t="s">
        <v>36</v>
      </c>
      <c r="C50" s="353">
        <v>0</v>
      </c>
      <c r="D50" s="110"/>
      <c r="E50" s="96"/>
    </row>
    <row r="51" spans="1:11">
      <c r="B51" s="90"/>
      <c r="C51" s="353"/>
      <c r="D51" s="110"/>
      <c r="E51" s="96"/>
    </row>
    <row r="52" spans="1:11">
      <c r="B52" s="90"/>
      <c r="C52" s="353"/>
      <c r="D52" s="110"/>
      <c r="E52" s="96"/>
    </row>
    <row r="53" spans="1:11">
      <c r="B53" s="90"/>
      <c r="C53" s="353"/>
      <c r="D53" s="110"/>
      <c r="E53" s="96"/>
    </row>
    <row r="54" spans="1:11">
      <c r="B54" s="90"/>
      <c r="C54" s="353"/>
      <c r="D54" s="110"/>
      <c r="E54" s="96"/>
    </row>
    <row r="56" spans="1:11">
      <c r="A56" s="69" t="s">
        <v>187</v>
      </c>
      <c r="B56" s="30" t="s">
        <v>188</v>
      </c>
      <c r="C56" s="508" t="s">
        <v>189</v>
      </c>
      <c r="D56" s="508"/>
      <c r="E56" s="114" t="s">
        <v>181</v>
      </c>
      <c r="F56" s="31"/>
      <c r="G56" s="69" t="s">
        <v>190</v>
      </c>
      <c r="H56" s="172">
        <v>0.1832</v>
      </c>
      <c r="I56" s="31"/>
      <c r="J56" s="31"/>
      <c r="K56" s="31"/>
    </row>
    <row r="57" spans="1:11">
      <c r="B57" s="108"/>
      <c r="C57" s="139" t="s">
        <v>4</v>
      </c>
      <c r="D57" s="139" t="s">
        <v>5</v>
      </c>
      <c r="E57" s="138"/>
      <c r="F57" s="31"/>
      <c r="G57" s="69" t="s">
        <v>191</v>
      </c>
      <c r="H57" s="172">
        <v>0.17614248033280455</v>
      </c>
      <c r="I57" s="31"/>
      <c r="J57" s="31"/>
      <c r="K57" s="31"/>
    </row>
    <row r="58" spans="1:11">
      <c r="B58" s="108" t="s">
        <v>9</v>
      </c>
      <c r="C58" s="108"/>
      <c r="D58" s="95"/>
      <c r="E58" s="88"/>
      <c r="F58" s="31"/>
    </row>
    <row r="59" spans="1:11">
      <c r="B59" s="87" t="s">
        <v>11</v>
      </c>
      <c r="C59" s="173">
        <v>0</v>
      </c>
      <c r="D59" s="173">
        <f>C59*$H56</f>
        <v>0</v>
      </c>
      <c r="E59" s="88"/>
      <c r="F59" s="31"/>
    </row>
    <row r="60" spans="1:11">
      <c r="B60" s="87" t="s">
        <v>13</v>
      </c>
      <c r="C60" s="173">
        <v>4293.3919999999998</v>
      </c>
      <c r="D60" s="173">
        <f>C60*$H56</f>
        <v>786.54941439999993</v>
      </c>
      <c r="E60" s="88"/>
      <c r="F60" s="31"/>
      <c r="I60" s="338" t="s">
        <v>8</v>
      </c>
      <c r="J60" s="358" t="s">
        <v>192</v>
      </c>
      <c r="K60" s="358" t="s">
        <v>5</v>
      </c>
    </row>
    <row r="61" spans="1:11">
      <c r="B61" s="87" t="s">
        <v>15</v>
      </c>
      <c r="C61" s="173">
        <v>20602.131000000001</v>
      </c>
      <c r="D61" s="173">
        <f>C61*$H56</f>
        <v>3774.3103992000001</v>
      </c>
      <c r="E61" s="88"/>
      <c r="F61" s="31"/>
      <c r="I61" s="69"/>
      <c r="J61" s="372"/>
      <c r="K61" s="372"/>
    </row>
    <row r="62" spans="1:11">
      <c r="B62" s="87" t="s">
        <v>17</v>
      </c>
      <c r="C62" s="173">
        <v>0</v>
      </c>
      <c r="D62" s="173">
        <f>C62*$H56</f>
        <v>0</v>
      </c>
      <c r="E62" s="88"/>
      <c r="F62" s="31"/>
      <c r="I62" s="32" t="s">
        <v>10</v>
      </c>
      <c r="J62" s="378">
        <v>60682</v>
      </c>
      <c r="K62" s="350">
        <f>J62*H56</f>
        <v>11116.9424</v>
      </c>
    </row>
    <row r="63" spans="1:11">
      <c r="B63" s="108" t="s">
        <v>19</v>
      </c>
      <c r="C63" s="173"/>
      <c r="D63" s="173"/>
      <c r="E63" s="88"/>
      <c r="F63" s="31"/>
      <c r="I63" s="32" t="s">
        <v>12</v>
      </c>
      <c r="J63" s="350">
        <f>C75</f>
        <v>22961.733</v>
      </c>
      <c r="K63" s="350">
        <f>J63*H56</f>
        <v>4206.5894856000004</v>
      </c>
    </row>
    <row r="64" spans="1:11">
      <c r="B64" s="87" t="s">
        <v>20</v>
      </c>
      <c r="C64" s="173">
        <v>7141.2139999999999</v>
      </c>
      <c r="D64" s="173">
        <f>C64*$H56</f>
        <v>1308.2704048000001</v>
      </c>
      <c r="E64" s="88"/>
      <c r="F64" s="31"/>
      <c r="I64" s="69" t="s">
        <v>14</v>
      </c>
      <c r="J64" s="351">
        <f>J62-J63</f>
        <v>37720.267</v>
      </c>
      <c r="K64" s="351">
        <f>K62-K63</f>
        <v>6910.3529143999995</v>
      </c>
    </row>
    <row r="65" spans="2:11">
      <c r="B65" s="87" t="s">
        <v>21</v>
      </c>
      <c r="C65" s="173">
        <v>18063.016</v>
      </c>
      <c r="D65" s="173">
        <f>C65*$H56</f>
        <v>3309.1445312000001</v>
      </c>
      <c r="E65" s="88"/>
      <c r="F65" s="31"/>
      <c r="I65" s="32" t="s">
        <v>182</v>
      </c>
      <c r="J65" s="350">
        <f>J64/J66</f>
        <v>13918.917712177123</v>
      </c>
      <c r="K65" s="350">
        <f>K64/K66</f>
        <v>2433.2228571830983</v>
      </c>
    </row>
    <row r="66" spans="2:11">
      <c r="B66" s="87" t="s">
        <v>22</v>
      </c>
      <c r="C66" s="173">
        <v>4888.5559999999996</v>
      </c>
      <c r="D66" s="173">
        <f>C66*$H56</f>
        <v>895.58345919999988</v>
      </c>
      <c r="E66" s="88"/>
      <c r="F66" s="31"/>
      <c r="I66" s="42" t="s">
        <v>18</v>
      </c>
      <c r="J66" s="409">
        <v>2.71</v>
      </c>
      <c r="K66" s="409">
        <v>2.84</v>
      </c>
    </row>
    <row r="67" spans="2:11">
      <c r="B67" s="87" t="s">
        <v>23</v>
      </c>
      <c r="C67" s="173">
        <v>3590.7089999999998</v>
      </c>
      <c r="D67" s="173">
        <f>C67*$H56</f>
        <v>657.81788879999999</v>
      </c>
      <c r="E67" s="88"/>
      <c r="F67" s="31"/>
    </row>
    <row r="68" spans="2:11">
      <c r="B68" s="87" t="s">
        <v>24</v>
      </c>
      <c r="C68" s="173">
        <v>0</v>
      </c>
      <c r="D68" s="173">
        <f>C68*$H56</f>
        <v>0</v>
      </c>
      <c r="E68" s="88"/>
      <c r="F68" s="31"/>
    </row>
    <row r="69" spans="2:11">
      <c r="B69" s="87" t="s">
        <v>25</v>
      </c>
      <c r="C69" s="173">
        <v>0</v>
      </c>
      <c r="D69" s="173">
        <f>C69*$H56</f>
        <v>0</v>
      </c>
      <c r="E69" s="88"/>
      <c r="F69" s="31"/>
    </row>
    <row r="70" spans="2:11">
      <c r="B70" s="87" t="s">
        <v>26</v>
      </c>
      <c r="C70" s="173">
        <v>1278.838</v>
      </c>
      <c r="D70" s="173">
        <f>C70*$H56</f>
        <v>234.28312159999999</v>
      </c>
      <c r="E70" s="88"/>
      <c r="F70" s="31"/>
    </row>
    <row r="71" spans="2:11">
      <c r="B71" s="87" t="s">
        <v>27</v>
      </c>
      <c r="C71" s="173">
        <v>534.05700000000002</v>
      </c>
      <c r="D71" s="173">
        <f>C71*$H57</f>
        <v>94.070124619096603</v>
      </c>
      <c r="E71" s="88"/>
      <c r="F71" s="31"/>
    </row>
    <row r="72" spans="2:11">
      <c r="B72" s="87" t="s">
        <v>28</v>
      </c>
      <c r="C72" s="173">
        <v>263.94900000000001</v>
      </c>
      <c r="D72" s="173">
        <f>C72*$H56</f>
        <v>48.355456800000006</v>
      </c>
      <c r="E72" s="88"/>
      <c r="F72" s="31"/>
    </row>
    <row r="73" spans="2:11">
      <c r="B73" s="87" t="s">
        <v>29</v>
      </c>
      <c r="C73" s="173">
        <v>5648.0810000000001</v>
      </c>
      <c r="D73" s="173">
        <f>C73*$H56</f>
        <v>1034.7284392000001</v>
      </c>
      <c r="E73" s="88"/>
      <c r="F73" s="31"/>
      <c r="H73" s="110"/>
    </row>
    <row r="74" spans="2:11">
      <c r="B74" s="41" t="s">
        <v>30</v>
      </c>
      <c r="C74" s="131">
        <f>SUM(C58:C73)</f>
        <v>66303.942999999999</v>
      </c>
      <c r="D74" s="131">
        <f>SUM(D58:D73)</f>
        <v>12143.113239819095</v>
      </c>
      <c r="E74" s="42">
        <f>+C74/C79</f>
        <v>4.7780589674520018</v>
      </c>
      <c r="F74" s="31"/>
      <c r="G74" s="110"/>
    </row>
    <row r="75" spans="2:11">
      <c r="B75" s="40" t="s">
        <v>31</v>
      </c>
      <c r="C75" s="175">
        <v>22961.733</v>
      </c>
      <c r="D75" s="352">
        <f>C75*$H56</f>
        <v>4206.5894856000004</v>
      </c>
      <c r="E75" s="43"/>
      <c r="F75" s="31"/>
      <c r="H75" s="85"/>
    </row>
    <row r="76" spans="2:11">
      <c r="B76" s="41" t="s">
        <v>32</v>
      </c>
      <c r="C76" s="176">
        <f>+C74-C75</f>
        <v>43342.21</v>
      </c>
      <c r="D76" s="131">
        <f>+D74-D75</f>
        <v>7936.5237542190944</v>
      </c>
      <c r="E76" s="42">
        <f>+C76/C79</f>
        <v>3.1233683215444343</v>
      </c>
      <c r="F76" s="31"/>
    </row>
    <row r="77" spans="2:11">
      <c r="B77" s="71" t="s">
        <v>33</v>
      </c>
      <c r="C77" s="177">
        <v>6978.5730000000003</v>
      </c>
      <c r="D77" s="352">
        <f>C77*$H56</f>
        <v>1278.4745736</v>
      </c>
      <c r="E77" s="72"/>
      <c r="F77" s="31"/>
    </row>
    <row r="78" spans="2:11">
      <c r="B78" s="71" t="s">
        <v>34</v>
      </c>
      <c r="C78" s="178">
        <f>C74+C77</f>
        <v>73282.516000000003</v>
      </c>
      <c r="D78" s="178">
        <f>D74+D77</f>
        <v>13421.587813419095</v>
      </c>
      <c r="E78" s="72"/>
      <c r="F78" s="31"/>
    </row>
    <row r="79" spans="2:11">
      <c r="B79" s="300" t="s">
        <v>35</v>
      </c>
      <c r="C79" s="303">
        <v>13876.752767527676</v>
      </c>
      <c r="D79" s="179">
        <f>C79*H57</f>
        <v>2444.2856514374348</v>
      </c>
      <c r="E79" s="40"/>
      <c r="F79" s="40"/>
    </row>
    <row r="81" spans="2:6">
      <c r="B81" s="109"/>
      <c r="C81" s="353">
        <v>0</v>
      </c>
      <c r="D81" s="134"/>
      <c r="F81" s="110"/>
    </row>
    <row r="82" spans="2:6">
      <c r="B82" s="109"/>
      <c r="C82" s="109"/>
      <c r="D82" s="134"/>
    </row>
    <row r="83" spans="2:6">
      <c r="B83" s="41" t="s">
        <v>37</v>
      </c>
      <c r="C83" s="404">
        <v>62972.53</v>
      </c>
      <c r="D83" s="135"/>
    </row>
    <row r="84" spans="2:6">
      <c r="B84" s="41" t="s">
        <v>38</v>
      </c>
      <c r="C84" s="136">
        <f>C83/C79</f>
        <v>4.5379874567888097</v>
      </c>
      <c r="D84" s="136"/>
    </row>
    <row r="86" spans="2:6" ht="13.5" thickBot="1"/>
    <row r="87" spans="2:6">
      <c r="B87" s="81" t="s">
        <v>193</v>
      </c>
      <c r="C87" s="124" t="s">
        <v>194</v>
      </c>
      <c r="D87" s="82" t="s">
        <v>170</v>
      </c>
      <c r="E87" s="111"/>
      <c r="F87" s="111"/>
    </row>
    <row r="88" spans="2:6">
      <c r="B88" s="83" t="s">
        <v>184</v>
      </c>
      <c r="C88" s="329">
        <f>C68</f>
        <v>0</v>
      </c>
      <c r="D88" s="180">
        <f>C88*$H56</f>
        <v>0</v>
      </c>
      <c r="E88" s="112"/>
      <c r="F88" s="112"/>
    </row>
    <row r="89" spans="2:6">
      <c r="B89" s="83" t="s">
        <v>40</v>
      </c>
      <c r="C89" s="327">
        <f>C75</f>
        <v>22961.733</v>
      </c>
      <c r="D89" s="180">
        <f>C89*$H56</f>
        <v>4206.5894856000004</v>
      </c>
      <c r="E89" s="112"/>
      <c r="F89" s="112"/>
    </row>
    <row r="90" spans="2:6" ht="13.5" thickBot="1">
      <c r="B90" s="389" t="s">
        <v>41</v>
      </c>
      <c r="C90" s="390">
        <f>SUM(C88:C89)</f>
        <v>22961.733</v>
      </c>
      <c r="D90" s="391">
        <f>SUM(D88:D89)</f>
        <v>4206.5894856000004</v>
      </c>
      <c r="E90" s="112"/>
      <c r="F90" s="112"/>
    </row>
    <row r="92" spans="2:6" ht="13.5" thickBot="1">
      <c r="E92" s="112"/>
    </row>
    <row r="93" spans="2:6">
      <c r="B93" s="81" t="s">
        <v>195</v>
      </c>
      <c r="C93" s="124" t="s">
        <v>194</v>
      </c>
      <c r="D93" s="124" t="s">
        <v>170</v>
      </c>
      <c r="E93" s="112"/>
      <c r="F93" s="69"/>
    </row>
    <row r="94" spans="2:6">
      <c r="B94" s="73">
        <v>2025</v>
      </c>
      <c r="C94" s="373">
        <v>3917.511</v>
      </c>
      <c r="D94" s="407">
        <f>C94*$H56</f>
        <v>717.6880152</v>
      </c>
      <c r="E94" s="112"/>
    </row>
    <row r="95" spans="2:6">
      <c r="B95" s="73">
        <v>2026</v>
      </c>
      <c r="C95" s="373">
        <v>7838.6260000000002</v>
      </c>
      <c r="D95" s="183">
        <f>C95*$H56</f>
        <v>1436.0362832000001</v>
      </c>
      <c r="E95" s="112"/>
    </row>
    <row r="96" spans="2:6">
      <c r="B96" s="73">
        <v>2027</v>
      </c>
      <c r="C96" s="373">
        <v>7215.1689999999999</v>
      </c>
      <c r="D96" s="183">
        <f>C96*$H56</f>
        <v>1321.8189608</v>
      </c>
      <c r="E96" s="112"/>
    </row>
    <row r="97" spans="1:11">
      <c r="B97" s="73">
        <v>2028</v>
      </c>
      <c r="C97" s="373">
        <v>9911.6440000000002</v>
      </c>
      <c r="D97" s="183">
        <f>C97*$H56</f>
        <v>1815.8131808000001</v>
      </c>
      <c r="E97" s="112"/>
    </row>
    <row r="98" spans="1:11" ht="13.5" thickBot="1">
      <c r="B98" s="125" t="s">
        <v>196</v>
      </c>
      <c r="C98" s="382">
        <f>8839.01+22669.953</f>
        <v>31508.963000000003</v>
      </c>
      <c r="D98" s="383">
        <f>C98*$H56</f>
        <v>5772.4420216000008</v>
      </c>
      <c r="E98" s="112"/>
    </row>
    <row r="99" spans="1:11">
      <c r="B99" s="69" t="s">
        <v>44</v>
      </c>
      <c r="C99" s="374">
        <f>SUM(C94:C98)</f>
        <v>60391.913</v>
      </c>
      <c r="D99" s="374">
        <f>SUM(D94:D98)</f>
        <v>11063.798461599999</v>
      </c>
      <c r="E99" s="112"/>
      <c r="F99" s="113"/>
    </row>
    <row r="100" spans="1:11">
      <c r="B100" s="90" t="s">
        <v>36</v>
      </c>
      <c r="C100" s="353">
        <v>0</v>
      </c>
      <c r="D100" s="110"/>
      <c r="E100" s="96"/>
    </row>
    <row r="103" spans="1:11">
      <c r="A103" s="69" t="s">
        <v>197</v>
      </c>
      <c r="B103" s="30" t="s">
        <v>188</v>
      </c>
      <c r="C103" s="508" t="s">
        <v>198</v>
      </c>
      <c r="D103" s="508"/>
      <c r="E103" s="114" t="s">
        <v>181</v>
      </c>
      <c r="F103" s="31"/>
      <c r="G103" s="69" t="s">
        <v>199</v>
      </c>
      <c r="H103" s="172">
        <v>0.17599999999999999</v>
      </c>
      <c r="I103" s="31"/>
      <c r="J103" s="31"/>
      <c r="K103" s="31"/>
    </row>
    <row r="104" spans="1:11">
      <c r="B104" s="108"/>
      <c r="C104" s="139" t="s">
        <v>4</v>
      </c>
      <c r="D104" s="139" t="s">
        <v>5</v>
      </c>
      <c r="E104" s="138"/>
      <c r="F104" s="31"/>
      <c r="G104" s="69" t="s">
        <v>200</v>
      </c>
      <c r="H104" s="172">
        <v>0.17504248033280456</v>
      </c>
      <c r="I104" s="31"/>
      <c r="J104" s="31"/>
      <c r="K104" s="31"/>
    </row>
    <row r="105" spans="1:11">
      <c r="B105" s="108" t="s">
        <v>9</v>
      </c>
      <c r="C105" s="108"/>
      <c r="D105" s="95"/>
      <c r="E105" s="88"/>
      <c r="F105" s="31"/>
    </row>
    <row r="106" spans="1:11">
      <c r="B106" s="87" t="s">
        <v>11</v>
      </c>
      <c r="C106" s="173">
        <v>0</v>
      </c>
      <c r="D106" s="173">
        <f>C106*$H103</f>
        <v>0</v>
      </c>
      <c r="E106" s="88"/>
      <c r="F106" s="31"/>
    </row>
    <row r="107" spans="1:11">
      <c r="B107" s="87" t="s">
        <v>13</v>
      </c>
      <c r="C107" s="173">
        <v>4089.0129999999999</v>
      </c>
      <c r="D107" s="173">
        <f>C107*$H103</f>
        <v>719.66628799999989</v>
      </c>
      <c r="E107" s="88"/>
      <c r="F107" s="31"/>
      <c r="I107" s="338" t="s">
        <v>8</v>
      </c>
      <c r="J107" s="358" t="s">
        <v>192</v>
      </c>
      <c r="K107" s="358" t="s">
        <v>5</v>
      </c>
    </row>
    <row r="108" spans="1:11">
      <c r="B108" s="87" t="s">
        <v>15</v>
      </c>
      <c r="C108" s="173">
        <v>17903.702000000001</v>
      </c>
      <c r="D108" s="173">
        <f>C108*$H103</f>
        <v>3151.0515519999999</v>
      </c>
      <c r="E108" s="88"/>
      <c r="F108" s="31"/>
      <c r="I108" s="69"/>
      <c r="J108" s="372"/>
      <c r="K108" s="372"/>
    </row>
    <row r="109" spans="1:11">
      <c r="B109" s="87" t="s">
        <v>17</v>
      </c>
      <c r="C109" s="173">
        <v>0</v>
      </c>
      <c r="D109" s="173">
        <f>C109*$H103</f>
        <v>0</v>
      </c>
      <c r="E109" s="88"/>
      <c r="F109" s="31"/>
      <c r="I109" s="32" t="s">
        <v>10</v>
      </c>
      <c r="J109" s="378">
        <v>58219</v>
      </c>
      <c r="K109" s="350">
        <f>J109*H103</f>
        <v>10246.544</v>
      </c>
    </row>
    <row r="110" spans="1:11">
      <c r="B110" s="108" t="s">
        <v>19</v>
      </c>
      <c r="C110" s="173"/>
      <c r="D110" s="173"/>
      <c r="E110" s="88"/>
      <c r="F110" s="31"/>
      <c r="I110" s="32" t="s">
        <v>12</v>
      </c>
      <c r="J110" s="350">
        <f>C122</f>
        <v>19976.741999999998</v>
      </c>
      <c r="K110" s="350">
        <f>J110*H103</f>
        <v>3515.9065919999994</v>
      </c>
    </row>
    <row r="111" spans="1:11">
      <c r="B111" s="87" t="s">
        <v>20</v>
      </c>
      <c r="C111" s="173">
        <v>6856.5159999999996</v>
      </c>
      <c r="D111" s="173">
        <f>C111*$H103</f>
        <v>1206.7468159999999</v>
      </c>
      <c r="E111" s="88"/>
      <c r="F111" s="31"/>
      <c r="I111" s="69" t="s">
        <v>14</v>
      </c>
      <c r="J111" s="351">
        <f>J109-J110</f>
        <v>38242.258000000002</v>
      </c>
      <c r="K111" s="351">
        <f>K109-K110</f>
        <v>6730.6374080000005</v>
      </c>
    </row>
    <row r="112" spans="1:11">
      <c r="B112" s="87" t="s">
        <v>21</v>
      </c>
      <c r="C112" s="173">
        <v>18782.028999999999</v>
      </c>
      <c r="D112" s="173">
        <f>C112*$H103</f>
        <v>3305.6371039999995</v>
      </c>
      <c r="E112" s="88"/>
      <c r="F112" s="31"/>
      <c r="I112" s="32" t="s">
        <v>182</v>
      </c>
      <c r="J112" s="350">
        <f>J111/J113</f>
        <v>14216.45278810409</v>
      </c>
      <c r="K112" s="350">
        <f>K111/K113</f>
        <v>2559.1777216730043</v>
      </c>
    </row>
    <row r="113" spans="2:11">
      <c r="B113" s="87" t="s">
        <v>22</v>
      </c>
      <c r="C113" s="173">
        <v>4789.3190000000004</v>
      </c>
      <c r="D113" s="173">
        <f>C113*$H103</f>
        <v>842.92014400000005</v>
      </c>
      <c r="E113" s="88"/>
      <c r="F113" s="31"/>
      <c r="I113" s="42" t="s">
        <v>18</v>
      </c>
      <c r="J113" s="409">
        <v>2.69</v>
      </c>
      <c r="K113" s="409">
        <v>2.63</v>
      </c>
    </row>
    <row r="114" spans="2:11">
      <c r="B114" s="87" t="s">
        <v>23</v>
      </c>
      <c r="C114" s="173">
        <v>3714.2150000000001</v>
      </c>
      <c r="D114" s="173">
        <f>C114*$H103</f>
        <v>653.70183999999995</v>
      </c>
      <c r="E114" s="88"/>
      <c r="F114" s="31"/>
    </row>
    <row r="115" spans="2:11">
      <c r="B115" s="87" t="s">
        <v>24</v>
      </c>
      <c r="C115" s="173">
        <v>0</v>
      </c>
      <c r="D115" s="173">
        <f>C115*$H103</f>
        <v>0</v>
      </c>
      <c r="E115" s="88"/>
      <c r="F115" s="31"/>
    </row>
    <row r="116" spans="2:11">
      <c r="B116" s="87" t="s">
        <v>25</v>
      </c>
      <c r="C116" s="173">
        <v>0</v>
      </c>
      <c r="D116" s="173">
        <f>C116*$H103</f>
        <v>0</v>
      </c>
      <c r="E116" s="88"/>
      <c r="F116" s="31"/>
    </row>
    <row r="117" spans="2:11">
      <c r="B117" s="87" t="s">
        <v>26</v>
      </c>
      <c r="C117" s="173">
        <v>1223.1959999999999</v>
      </c>
      <c r="D117" s="173">
        <f>C117*$H103</f>
        <v>215.28249599999998</v>
      </c>
      <c r="E117" s="88"/>
      <c r="F117" s="31"/>
    </row>
    <row r="118" spans="2:11">
      <c r="B118" s="87" t="s">
        <v>27</v>
      </c>
      <c r="C118" s="173">
        <v>525.57899999999995</v>
      </c>
      <c r="D118" s="173">
        <f>C118*$H104</f>
        <v>91.998651770835082</v>
      </c>
      <c r="E118" s="88"/>
      <c r="F118" s="31"/>
    </row>
    <row r="119" spans="2:11">
      <c r="B119" s="87" t="s">
        <v>28</v>
      </c>
      <c r="C119" s="173">
        <v>304.25900000000001</v>
      </c>
      <c r="D119" s="173">
        <f>C119*$H103</f>
        <v>53.549584000000003</v>
      </c>
      <c r="E119" s="88"/>
      <c r="F119" s="31"/>
    </row>
    <row r="120" spans="2:11">
      <c r="B120" s="87" t="s">
        <v>29</v>
      </c>
      <c r="C120" s="173">
        <v>5691.2860000000001</v>
      </c>
      <c r="D120" s="173">
        <f>C120*$H103</f>
        <v>1001.666336</v>
      </c>
      <c r="E120" s="88"/>
      <c r="F120" s="31"/>
      <c r="H120" s="110"/>
    </row>
    <row r="121" spans="2:11">
      <c r="B121" s="41" t="s">
        <v>30</v>
      </c>
      <c r="C121" s="131">
        <f>SUM(C105:C120)</f>
        <v>63879.113999999987</v>
      </c>
      <c r="D121" s="131">
        <f>SUM(D105:D120)</f>
        <v>11242.220811770834</v>
      </c>
      <c r="E121" s="42">
        <f>+C121/C126</f>
        <v>4.5071427320655726</v>
      </c>
      <c r="F121" s="31"/>
      <c r="G121" s="110"/>
    </row>
    <row r="122" spans="2:11">
      <c r="B122" s="40" t="s">
        <v>31</v>
      </c>
      <c r="C122" s="175">
        <v>19976.741999999998</v>
      </c>
      <c r="D122" s="352">
        <f>C122*$H103</f>
        <v>3515.9065919999994</v>
      </c>
      <c r="E122" s="43"/>
      <c r="F122" s="31"/>
      <c r="H122" s="85"/>
    </row>
    <row r="123" spans="2:11">
      <c r="B123" s="41" t="s">
        <v>32</v>
      </c>
      <c r="C123" s="176">
        <f>+C121-C122</f>
        <v>43902.371999999988</v>
      </c>
      <c r="D123" s="131">
        <f>+D121-D122</f>
        <v>7726.3142197708348</v>
      </c>
      <c r="E123" s="42">
        <f>+C123/C126</f>
        <v>3.0976362145573759</v>
      </c>
      <c r="F123" s="31"/>
    </row>
    <row r="124" spans="2:11">
      <c r="B124" s="71" t="s">
        <v>33</v>
      </c>
      <c r="C124" s="177">
        <v>7919.1329999999998</v>
      </c>
      <c r="D124" s="352">
        <f>C124*$H103</f>
        <v>1393.7674079999999</v>
      </c>
      <c r="E124" s="72"/>
      <c r="F124" s="31"/>
    </row>
    <row r="125" spans="2:11">
      <c r="B125" s="71" t="s">
        <v>34</v>
      </c>
      <c r="C125" s="178">
        <f>C121+C124</f>
        <v>71798.246999999988</v>
      </c>
      <c r="D125" s="178">
        <f>D121+D124</f>
        <v>12635.988219770834</v>
      </c>
      <c r="E125" s="72"/>
      <c r="F125" s="31"/>
    </row>
    <row r="126" spans="2:11">
      <c r="B126" s="300" t="s">
        <v>35</v>
      </c>
      <c r="C126" s="303">
        <v>14172.862453531599</v>
      </c>
      <c r="D126" s="179">
        <f>C126*H104</f>
        <v>2480.8529972818492</v>
      </c>
      <c r="E126" s="40"/>
      <c r="F126" s="40"/>
    </row>
    <row r="128" spans="2:11">
      <c r="B128" s="109"/>
      <c r="C128" s="353">
        <v>0</v>
      </c>
      <c r="D128" s="134"/>
      <c r="F128" s="110"/>
    </row>
    <row r="129" spans="2:6">
      <c r="B129" s="109"/>
      <c r="C129" s="109"/>
      <c r="D129" s="134"/>
    </row>
    <row r="130" spans="2:6">
      <c r="B130" s="41" t="s">
        <v>37</v>
      </c>
      <c r="C130" s="404">
        <v>59328.471999999987</v>
      </c>
      <c r="D130" s="135"/>
    </row>
    <row r="131" spans="2:6">
      <c r="B131" s="41" t="s">
        <v>38</v>
      </c>
      <c r="C131" s="136">
        <f>C130/C126</f>
        <v>4.1860613686557366</v>
      </c>
      <c r="D131" s="136"/>
    </row>
    <row r="133" spans="2:6" ht="13.5" thickBot="1"/>
    <row r="134" spans="2:6">
      <c r="B134" s="81" t="s">
        <v>201</v>
      </c>
      <c r="C134" s="124" t="s">
        <v>194</v>
      </c>
      <c r="D134" s="82" t="s">
        <v>170</v>
      </c>
      <c r="E134" s="111"/>
      <c r="F134" s="111"/>
    </row>
    <row r="135" spans="2:6">
      <c r="B135" s="83" t="s">
        <v>184</v>
      </c>
      <c r="C135" s="329">
        <f>C115</f>
        <v>0</v>
      </c>
      <c r="D135" s="180">
        <f>C135*$H103</f>
        <v>0</v>
      </c>
      <c r="E135" s="112"/>
      <c r="F135" s="112"/>
    </row>
    <row r="136" spans="2:6">
      <c r="B136" s="83" t="s">
        <v>40</v>
      </c>
      <c r="C136" s="327">
        <f>C122</f>
        <v>19976.741999999998</v>
      </c>
      <c r="D136" s="180">
        <f>C136*$H103</f>
        <v>3515.9065919999994</v>
      </c>
      <c r="E136" s="112"/>
      <c r="F136" s="112"/>
    </row>
    <row r="137" spans="2:6" ht="13.5" thickBot="1">
      <c r="B137" s="389" t="s">
        <v>41</v>
      </c>
      <c r="C137" s="390">
        <f>SUM(C135:C136)</f>
        <v>19976.741999999998</v>
      </c>
      <c r="D137" s="391">
        <f>SUM(D135:D136)</f>
        <v>3515.9065919999994</v>
      </c>
      <c r="E137" s="112"/>
      <c r="F137" s="112"/>
    </row>
    <row r="139" spans="2:6" ht="13.5" thickBot="1">
      <c r="E139" s="112"/>
    </row>
    <row r="140" spans="2:6">
      <c r="B140" s="81" t="s">
        <v>202</v>
      </c>
      <c r="C140" s="124" t="s">
        <v>194</v>
      </c>
      <c r="D140" s="124" t="s">
        <v>170</v>
      </c>
      <c r="E140" s="112"/>
      <c r="F140" s="69"/>
    </row>
    <row r="141" spans="2:6">
      <c r="B141" s="73">
        <v>2025</v>
      </c>
      <c r="C141" s="373">
        <v>4711.607</v>
      </c>
      <c r="D141" s="407">
        <f>C141*$H103</f>
        <v>829.24283199999991</v>
      </c>
      <c r="E141" s="112"/>
    </row>
    <row r="142" spans="2:6">
      <c r="B142" s="73">
        <v>2026</v>
      </c>
      <c r="C142" s="373">
        <v>8273.8850000000002</v>
      </c>
      <c r="D142" s="183">
        <f>C142*$H103</f>
        <v>1456.2037599999999</v>
      </c>
      <c r="E142" s="112"/>
    </row>
    <row r="143" spans="2:6">
      <c r="B143" s="73">
        <v>2027</v>
      </c>
      <c r="C143" s="373">
        <v>5632.6490000000003</v>
      </c>
      <c r="D143" s="183">
        <f>C143*$H103</f>
        <v>991.34622400000001</v>
      </c>
      <c r="E143" s="112"/>
    </row>
    <row r="144" spans="2:6">
      <c r="B144" s="73">
        <v>2028</v>
      </c>
      <c r="C144" s="373">
        <v>9683.2669999999998</v>
      </c>
      <c r="D144" s="183">
        <f>C144*$H103</f>
        <v>1704.2549919999999</v>
      </c>
      <c r="E144" s="112"/>
    </row>
    <row r="145" spans="1:11" ht="13.5" thickBot="1">
      <c r="B145" s="125" t="s">
        <v>196</v>
      </c>
      <c r="C145" s="382">
        <f>9353.431+20228.73</f>
        <v>29582.161</v>
      </c>
      <c r="D145" s="383">
        <f>C145*$H103</f>
        <v>5206.4603360000001</v>
      </c>
      <c r="E145" s="112"/>
    </row>
    <row r="146" spans="1:11">
      <c r="B146" s="69" t="s">
        <v>44</v>
      </c>
      <c r="C146" s="374">
        <f>SUM(C141:C145)</f>
        <v>57883.569000000003</v>
      </c>
      <c r="D146" s="374">
        <f>SUM(D141:D145)</f>
        <v>10187.508143999999</v>
      </c>
      <c r="E146" s="112"/>
      <c r="F146" s="113"/>
    </row>
    <row r="147" spans="1:11">
      <c r="B147" s="90" t="s">
        <v>36</v>
      </c>
      <c r="C147" s="353">
        <v>0</v>
      </c>
      <c r="D147" s="110"/>
      <c r="E147" s="96"/>
    </row>
    <row r="150" spans="1:11">
      <c r="A150" s="69" t="s">
        <v>203</v>
      </c>
      <c r="B150" s="30" t="s">
        <v>188</v>
      </c>
      <c r="C150" s="508" t="s">
        <v>204</v>
      </c>
      <c r="D150" s="508"/>
      <c r="E150" s="114" t="s">
        <v>181</v>
      </c>
      <c r="F150" s="31"/>
      <c r="G150" s="69" t="s">
        <v>205</v>
      </c>
      <c r="H150" s="172">
        <v>0.16186992133121822</v>
      </c>
      <c r="I150" s="31"/>
      <c r="J150" s="31"/>
      <c r="K150" s="31"/>
    </row>
    <row r="151" spans="1:11">
      <c r="B151" s="108"/>
      <c r="C151" s="139" t="s">
        <v>4</v>
      </c>
      <c r="D151" s="139" t="s">
        <v>5</v>
      </c>
      <c r="E151" s="138"/>
      <c r="F151" s="31"/>
      <c r="G151" s="69" t="s">
        <v>206</v>
      </c>
      <c r="H151" s="172">
        <v>0.18088696553896133</v>
      </c>
      <c r="I151" s="31"/>
      <c r="J151" s="31"/>
      <c r="K151" s="31"/>
    </row>
    <row r="152" spans="1:11">
      <c r="B152" s="108" t="s">
        <v>9</v>
      </c>
      <c r="C152" s="108"/>
      <c r="D152" s="95"/>
      <c r="E152" s="88"/>
      <c r="F152" s="31"/>
    </row>
    <row r="153" spans="1:11">
      <c r="B153" s="87" t="s">
        <v>11</v>
      </c>
      <c r="C153" s="173">
        <v>0</v>
      </c>
      <c r="D153" s="173">
        <f>C153*$H150</f>
        <v>0</v>
      </c>
      <c r="E153" s="88"/>
      <c r="F153" s="31"/>
    </row>
    <row r="154" spans="1:11">
      <c r="B154" s="87" t="s">
        <v>13</v>
      </c>
      <c r="C154" s="173">
        <v>5865.9110000000001</v>
      </c>
      <c r="D154" s="173">
        <f>C154*$H150</f>
        <v>949.51455210592758</v>
      </c>
      <c r="E154" s="88"/>
      <c r="F154" s="31"/>
      <c r="I154" s="338" t="s">
        <v>8</v>
      </c>
      <c r="J154" s="358" t="s">
        <v>192</v>
      </c>
      <c r="K154" s="358" t="s">
        <v>5</v>
      </c>
    </row>
    <row r="155" spans="1:11">
      <c r="B155" s="87" t="s">
        <v>15</v>
      </c>
      <c r="C155" s="173">
        <v>17523.469000000001</v>
      </c>
      <c r="D155" s="173">
        <f>C155*$H150</f>
        <v>2836.5225484800412</v>
      </c>
      <c r="E155" s="88"/>
      <c r="F155" s="31"/>
      <c r="I155" s="69"/>
      <c r="J155" s="372"/>
      <c r="K155" s="372"/>
    </row>
    <row r="156" spans="1:11">
      <c r="B156" s="87" t="s">
        <v>17</v>
      </c>
      <c r="C156" s="173">
        <v>0</v>
      </c>
      <c r="D156" s="173">
        <f>C156*$H150</f>
        <v>0</v>
      </c>
      <c r="E156" s="88"/>
      <c r="F156" s="31"/>
      <c r="I156" s="32" t="s">
        <v>10</v>
      </c>
      <c r="J156" s="378">
        <v>61483</v>
      </c>
      <c r="K156" s="350">
        <f>J156*H150</f>
        <v>9952.2483732072906</v>
      </c>
    </row>
    <row r="157" spans="1:11">
      <c r="B157" s="108" t="s">
        <v>19</v>
      </c>
      <c r="C157" s="173"/>
      <c r="D157" s="173"/>
      <c r="E157" s="88"/>
      <c r="F157" s="31"/>
      <c r="I157" s="32" t="s">
        <v>12</v>
      </c>
      <c r="J157" s="350">
        <f>C169</f>
        <v>22519.514999999999</v>
      </c>
      <c r="K157" s="350">
        <f>J157*H150</f>
        <v>3645.2321214671888</v>
      </c>
    </row>
    <row r="158" spans="1:11">
      <c r="B158" s="87" t="s">
        <v>20</v>
      </c>
      <c r="C158" s="173">
        <v>6975.777</v>
      </c>
      <c r="D158" s="173">
        <f>C158*$H150</f>
        <v>1129.1684742141215</v>
      </c>
      <c r="E158" s="88"/>
      <c r="F158" s="31"/>
      <c r="I158" s="69" t="s">
        <v>14</v>
      </c>
      <c r="J158" s="351">
        <f>J156-J157</f>
        <v>38963.485000000001</v>
      </c>
      <c r="K158" s="351">
        <f>K156-K157</f>
        <v>6307.0162517401022</v>
      </c>
    </row>
    <row r="159" spans="1:11">
      <c r="B159" s="87" t="s">
        <v>21</v>
      </c>
      <c r="C159" s="173">
        <v>20525.423999999999</v>
      </c>
      <c r="D159" s="173">
        <f>C159*$H150</f>
        <v>3322.4487681698984</v>
      </c>
      <c r="E159" s="88"/>
      <c r="F159" s="31"/>
      <c r="I159" s="32" t="s">
        <v>182</v>
      </c>
      <c r="J159" s="350">
        <f>J158/J160</f>
        <v>13816.838652482271</v>
      </c>
      <c r="K159" s="350">
        <f>K158/K160</f>
        <v>2553.4478751984216</v>
      </c>
    </row>
    <row r="160" spans="1:11">
      <c r="B160" s="87" t="s">
        <v>22</v>
      </c>
      <c r="C160" s="173">
        <v>5340.52</v>
      </c>
      <c r="D160" s="173">
        <f>C160*$H150</f>
        <v>864.46955226779755</v>
      </c>
      <c r="E160" s="88"/>
      <c r="F160" s="31"/>
      <c r="I160" s="42" t="s">
        <v>18</v>
      </c>
      <c r="J160" s="409">
        <v>2.82</v>
      </c>
      <c r="K160" s="409">
        <v>2.4700000000000002</v>
      </c>
    </row>
    <row r="161" spans="2:8">
      <c r="B161" s="87" t="s">
        <v>23</v>
      </c>
      <c r="C161" s="173">
        <v>3057.761</v>
      </c>
      <c r="D161" s="173">
        <f>C161*$H150</f>
        <v>494.95953251966716</v>
      </c>
      <c r="E161" s="88"/>
      <c r="F161" s="31"/>
    </row>
    <row r="162" spans="2:8">
      <c r="B162" s="87" t="s">
        <v>24</v>
      </c>
      <c r="C162" s="173">
        <v>0</v>
      </c>
      <c r="D162" s="173">
        <f>C162*$H150</f>
        <v>0</v>
      </c>
      <c r="E162" s="88"/>
      <c r="F162" s="31"/>
    </row>
    <row r="163" spans="2:8">
      <c r="B163" s="87" t="s">
        <v>25</v>
      </c>
      <c r="C163" s="173">
        <v>0</v>
      </c>
      <c r="D163" s="173">
        <f>C163*$H150</f>
        <v>0</v>
      </c>
      <c r="E163" s="88"/>
      <c r="F163" s="31"/>
    </row>
    <row r="164" spans="2:8">
      <c r="B164" s="87" t="s">
        <v>26</v>
      </c>
      <c r="C164" s="173">
        <v>1258.761</v>
      </c>
      <c r="D164" s="173">
        <f>C164*$H150</f>
        <v>203.75554404480556</v>
      </c>
      <c r="E164" s="88"/>
      <c r="F164" s="31"/>
    </row>
    <row r="165" spans="2:8">
      <c r="B165" s="87" t="s">
        <v>27</v>
      </c>
      <c r="C165" s="173">
        <v>576.00800000000004</v>
      </c>
      <c r="D165" s="173">
        <f>C165*$H151</f>
        <v>104.19233924616604</v>
      </c>
      <c r="E165" s="88"/>
      <c r="F165" s="31"/>
    </row>
    <row r="166" spans="2:8">
      <c r="B166" s="87" t="s">
        <v>28</v>
      </c>
      <c r="C166" s="173">
        <v>259.80899999999997</v>
      </c>
      <c r="D166" s="173">
        <f>C166*$H150</f>
        <v>42.05526239114247</v>
      </c>
      <c r="E166" s="88"/>
      <c r="F166" s="31"/>
    </row>
    <row r="167" spans="2:8">
      <c r="B167" s="87" t="s">
        <v>29</v>
      </c>
      <c r="C167" s="173">
        <v>4896.2</v>
      </c>
      <c r="D167" s="173">
        <f>C167*$H150</f>
        <v>792.54750882191058</v>
      </c>
      <c r="E167" s="88"/>
      <c r="F167" s="31"/>
      <c r="H167" s="110"/>
    </row>
    <row r="168" spans="2:8">
      <c r="B168" s="41" t="s">
        <v>30</v>
      </c>
      <c r="C168" s="131">
        <f>SUM(C152:C167)</f>
        <v>66279.64</v>
      </c>
      <c r="D168" s="131">
        <f>SUM(D152:D167)</f>
        <v>10739.634082261478</v>
      </c>
      <c r="E168" s="42">
        <f>+C168/C173</f>
        <v>4.8584987538484095</v>
      </c>
      <c r="F168" s="31"/>
      <c r="G168" s="110"/>
    </row>
    <row r="169" spans="2:8">
      <c r="B169" s="40" t="s">
        <v>31</v>
      </c>
      <c r="C169" s="175">
        <v>22519.514999999999</v>
      </c>
      <c r="D169" s="352">
        <f>C169*$H150</f>
        <v>3645.2321214671888</v>
      </c>
      <c r="E169" s="43"/>
      <c r="F169" s="31"/>
      <c r="H169" s="85"/>
    </row>
    <row r="170" spans="2:8">
      <c r="B170" s="41" t="s">
        <v>32</v>
      </c>
      <c r="C170" s="176">
        <f>+C168-C169</f>
        <v>43760.125</v>
      </c>
      <c r="D170" s="131">
        <f>+D168-D169</f>
        <v>7094.4019607942901</v>
      </c>
      <c r="E170" s="42">
        <f>+C170/C173</f>
        <v>3.2077499633484825</v>
      </c>
      <c r="F170" s="31"/>
    </row>
    <row r="171" spans="2:8">
      <c r="B171" s="71" t="s">
        <v>33</v>
      </c>
      <c r="C171" s="177">
        <v>9175.8140000000003</v>
      </c>
      <c r="D171" s="352">
        <f>C171*$H150</f>
        <v>1485.2882903298907</v>
      </c>
      <c r="E171" s="72"/>
      <c r="F171" s="31"/>
    </row>
    <row r="172" spans="2:8">
      <c r="B172" s="71" t="s">
        <v>34</v>
      </c>
      <c r="C172" s="178">
        <f>C168+C171</f>
        <v>75455.453999999998</v>
      </c>
      <c r="D172" s="178">
        <f>D168+D171</f>
        <v>12224.922372591369</v>
      </c>
      <c r="E172" s="72"/>
      <c r="F172" s="31"/>
    </row>
    <row r="173" spans="2:8">
      <c r="B173" s="300" t="s">
        <v>35</v>
      </c>
      <c r="C173" s="303">
        <v>13642</v>
      </c>
      <c r="D173" s="179">
        <f>C173*H151</f>
        <v>2467.6599838825105</v>
      </c>
      <c r="E173" s="40"/>
      <c r="F173" s="40"/>
    </row>
    <row r="175" spans="2:8">
      <c r="B175" s="109"/>
      <c r="C175" s="353">
        <v>0</v>
      </c>
      <c r="D175" s="134"/>
      <c r="F175" s="110"/>
    </row>
    <row r="176" spans="2:8">
      <c r="B176" s="109"/>
      <c r="C176" s="109"/>
      <c r="D176" s="134"/>
    </row>
    <row r="177" spans="2:6">
      <c r="B177" s="41" t="s">
        <v>37</v>
      </c>
      <c r="C177" s="404">
        <v>56683.125</v>
      </c>
      <c r="D177" s="135"/>
    </row>
    <row r="178" spans="2:6">
      <c r="B178" s="41" t="s">
        <v>38</v>
      </c>
      <c r="C178" s="136">
        <f>C177/C173</f>
        <v>4.1550450813663682</v>
      </c>
      <c r="D178" s="136"/>
    </row>
    <row r="180" spans="2:6" ht="13.5" thickBot="1"/>
    <row r="181" spans="2:6">
      <c r="B181" s="81" t="s">
        <v>207</v>
      </c>
      <c r="C181" s="124" t="s">
        <v>194</v>
      </c>
      <c r="D181" s="82" t="s">
        <v>170</v>
      </c>
      <c r="E181" s="111"/>
      <c r="F181" s="111"/>
    </row>
    <row r="182" spans="2:6">
      <c r="B182" s="83" t="s">
        <v>184</v>
      </c>
      <c r="C182" s="329">
        <f>C162</f>
        <v>0</v>
      </c>
      <c r="D182" s="180">
        <f>C182*$H150</f>
        <v>0</v>
      </c>
      <c r="E182" s="112"/>
      <c r="F182" s="112"/>
    </row>
    <row r="183" spans="2:6">
      <c r="B183" s="83" t="s">
        <v>40</v>
      </c>
      <c r="C183" s="327">
        <f>C169</f>
        <v>22519.514999999999</v>
      </c>
      <c r="D183" s="180">
        <f>C183*$H150</f>
        <v>3645.2321214671888</v>
      </c>
      <c r="E183" s="112"/>
      <c r="F183" s="112"/>
    </row>
    <row r="184" spans="2:6" ht="13.5" thickBot="1">
      <c r="B184" s="389" t="s">
        <v>41</v>
      </c>
      <c r="C184" s="390">
        <f>SUM(C182:C183)</f>
        <v>22519.514999999999</v>
      </c>
      <c r="D184" s="391">
        <f>SUM(D182:D183)</f>
        <v>3645.2321214671888</v>
      </c>
      <c r="E184" s="112"/>
      <c r="F184" s="112"/>
    </row>
    <row r="186" spans="2:6" ht="13.5" thickBot="1">
      <c r="E186" s="112"/>
    </row>
    <row r="187" spans="2:6">
      <c r="B187" s="81" t="s">
        <v>208</v>
      </c>
      <c r="C187" s="124" t="s">
        <v>194</v>
      </c>
      <c r="D187" s="124" t="s">
        <v>170</v>
      </c>
      <c r="E187" s="112"/>
      <c r="F187" s="69"/>
    </row>
    <row r="188" spans="2:6">
      <c r="B188" s="73">
        <v>2025</v>
      </c>
      <c r="C188" s="373">
        <v>8352.8510000000006</v>
      </c>
      <c r="D188" s="407">
        <f>C188*$H150</f>
        <v>1352.0753342613875</v>
      </c>
      <c r="E188" s="112"/>
    </row>
    <row r="189" spans="2:6">
      <c r="B189" s="73">
        <v>2026</v>
      </c>
      <c r="C189" s="373">
        <v>10004.959000000001</v>
      </c>
      <c r="D189" s="183">
        <f>C189*$H150</f>
        <v>1619.5019262520639</v>
      </c>
      <c r="E189" s="112"/>
    </row>
    <row r="190" spans="2:6">
      <c r="B190" s="73">
        <v>2027</v>
      </c>
      <c r="C190" s="373">
        <v>5364.5039999999999</v>
      </c>
      <c r="D190" s="183">
        <f>C190*$H150</f>
        <v>868.35184046100539</v>
      </c>
      <c r="E190" s="112"/>
    </row>
    <row r="191" spans="2:6">
      <c r="B191" s="73">
        <v>2028</v>
      </c>
      <c r="C191" s="373">
        <v>7381.9650000000001</v>
      </c>
      <c r="D191" s="183">
        <f>C191*$H150</f>
        <v>1194.9180938198062</v>
      </c>
      <c r="E191" s="112"/>
    </row>
    <row r="192" spans="2:6" ht="13.5" thickBot="1">
      <c r="B192" s="125" t="s">
        <v>196</v>
      </c>
      <c r="C192" s="382">
        <v>30019.351999999999</v>
      </c>
      <c r="D192" s="383">
        <f>C192*$H150</f>
        <v>4859.2301466541485</v>
      </c>
      <c r="E192" s="112"/>
    </row>
    <row r="193" spans="1:11">
      <c r="B193" s="69" t="s">
        <v>44</v>
      </c>
      <c r="C193" s="374">
        <f>SUM(C188:C192)</f>
        <v>61123.631000000001</v>
      </c>
      <c r="D193" s="374">
        <f>SUM(D188:D192)</f>
        <v>9894.077341448412</v>
      </c>
      <c r="E193" s="112"/>
      <c r="F193" s="113"/>
    </row>
    <row r="194" spans="1:11">
      <c r="B194" s="90" t="s">
        <v>36</v>
      </c>
      <c r="C194" s="353">
        <v>0</v>
      </c>
      <c r="D194" s="110"/>
      <c r="E194" s="96"/>
    </row>
    <row r="198" spans="1:11">
      <c r="A198" s="69" t="s">
        <v>209</v>
      </c>
      <c r="B198" s="30" t="s">
        <v>188</v>
      </c>
      <c r="C198" s="508" t="s">
        <v>210</v>
      </c>
      <c r="D198" s="508"/>
      <c r="E198" s="114" t="s">
        <v>181</v>
      </c>
      <c r="F198" s="31"/>
      <c r="G198" s="69" t="s">
        <v>211</v>
      </c>
      <c r="H198" s="172">
        <v>0.1835</v>
      </c>
      <c r="I198" s="31"/>
      <c r="J198" s="31"/>
      <c r="K198" s="31"/>
    </row>
    <row r="199" spans="1:11">
      <c r="B199" s="108"/>
      <c r="C199" s="139" t="s">
        <v>4</v>
      </c>
      <c r="D199" s="139" t="s">
        <v>5</v>
      </c>
      <c r="E199" s="138"/>
      <c r="F199" s="31"/>
      <c r="G199" s="69" t="s">
        <v>212</v>
      </c>
      <c r="H199" s="172">
        <v>0.19191948520615679</v>
      </c>
      <c r="I199" s="31"/>
      <c r="J199" s="31"/>
      <c r="K199" s="31"/>
    </row>
    <row r="200" spans="1:11">
      <c r="B200" s="108" t="s">
        <v>9</v>
      </c>
      <c r="C200" s="108"/>
      <c r="D200" s="95"/>
      <c r="E200" s="88"/>
      <c r="F200" s="31"/>
    </row>
    <row r="201" spans="1:11">
      <c r="B201" s="87" t="s">
        <v>11</v>
      </c>
      <c r="C201" s="173">
        <v>0.01</v>
      </c>
      <c r="D201" s="173">
        <f>C201*$H198</f>
        <v>1.835E-3</v>
      </c>
      <c r="E201" s="88"/>
      <c r="F201" s="31"/>
    </row>
    <row r="202" spans="1:11">
      <c r="B202" s="87" t="s">
        <v>13</v>
      </c>
      <c r="C202" s="173">
        <v>5023.0749999999998</v>
      </c>
      <c r="D202" s="173">
        <f>C202*$H198</f>
        <v>921.7342625</v>
      </c>
      <c r="E202" s="88"/>
      <c r="F202" s="31"/>
      <c r="I202" s="338" t="s">
        <v>8</v>
      </c>
      <c r="J202" s="358" t="s">
        <v>192</v>
      </c>
      <c r="K202" s="358" t="s">
        <v>5</v>
      </c>
    </row>
    <row r="203" spans="1:11">
      <c r="B203" s="87" t="s">
        <v>15</v>
      </c>
      <c r="C203" s="173">
        <v>13834.581</v>
      </c>
      <c r="D203" s="173">
        <f>C203*$H198</f>
        <v>2538.6456134999999</v>
      </c>
      <c r="E203" s="88"/>
      <c r="F203" s="31"/>
      <c r="I203" s="69"/>
      <c r="J203" s="372"/>
      <c r="K203" s="372"/>
    </row>
    <row r="204" spans="1:11">
      <c r="B204" s="87" t="s">
        <v>17</v>
      </c>
      <c r="C204" s="173">
        <v>0</v>
      </c>
      <c r="D204" s="173">
        <f>C204*$H198</f>
        <v>0</v>
      </c>
      <c r="E204" s="88"/>
      <c r="F204" s="31"/>
      <c r="I204" s="32" t="s">
        <v>10</v>
      </c>
      <c r="J204" s="378">
        <v>59702</v>
      </c>
      <c r="K204" s="350">
        <f>J204*H198</f>
        <v>10955.316999999999</v>
      </c>
    </row>
    <row r="205" spans="1:11">
      <c r="B205" s="108" t="s">
        <v>19</v>
      </c>
      <c r="C205" s="173"/>
      <c r="D205" s="173"/>
      <c r="E205" s="88"/>
      <c r="F205" s="31"/>
      <c r="I205" s="32" t="s">
        <v>12</v>
      </c>
      <c r="J205" s="350">
        <f>C217</f>
        <v>19835.851999999999</v>
      </c>
      <c r="K205" s="350">
        <f>J205*H198</f>
        <v>3639.8788419999996</v>
      </c>
    </row>
    <row r="206" spans="1:11">
      <c r="B206" s="87" t="s">
        <v>20</v>
      </c>
      <c r="C206" s="173">
        <v>5056.2370000000001</v>
      </c>
      <c r="D206" s="173">
        <f>C206*$H198</f>
        <v>927.81948950000003</v>
      </c>
      <c r="E206" s="88"/>
      <c r="F206" s="31"/>
      <c r="I206" s="69" t="s">
        <v>14</v>
      </c>
      <c r="J206" s="351">
        <f>J204-J205</f>
        <v>39866.148000000001</v>
      </c>
      <c r="K206" s="351">
        <f>K204-K205</f>
        <v>7315.438157999999</v>
      </c>
    </row>
    <row r="207" spans="1:11">
      <c r="B207" s="87" t="s">
        <v>21</v>
      </c>
      <c r="C207" s="173">
        <v>20652.569</v>
      </c>
      <c r="D207" s="173">
        <f>C207*$H198</f>
        <v>3789.7464114999998</v>
      </c>
      <c r="E207" s="88"/>
      <c r="F207" s="31"/>
      <c r="I207" s="32" t="s">
        <v>182</v>
      </c>
      <c r="J207" s="350">
        <f>J206/J208</f>
        <v>13288.716</v>
      </c>
      <c r="K207" s="350">
        <f>K206/K208</f>
        <v>2557.8455097902097</v>
      </c>
    </row>
    <row r="208" spans="1:11">
      <c r="B208" s="87" t="s">
        <v>22</v>
      </c>
      <c r="C208" s="173">
        <v>4498.5429999999997</v>
      </c>
      <c r="D208" s="173">
        <f>C208*$H198</f>
        <v>825.48264049999989</v>
      </c>
      <c r="E208" s="88"/>
      <c r="F208" s="31"/>
      <c r="I208" s="42" t="s">
        <v>18</v>
      </c>
      <c r="J208" s="409">
        <v>3</v>
      </c>
      <c r="K208" s="409">
        <v>2.86</v>
      </c>
    </row>
    <row r="209" spans="2:8">
      <c r="B209" s="87" t="s">
        <v>24</v>
      </c>
      <c r="C209" s="173">
        <v>0</v>
      </c>
      <c r="D209" s="173">
        <f>C209*$H198</f>
        <v>0</v>
      </c>
      <c r="E209" s="88"/>
      <c r="F209" s="31"/>
    </row>
    <row r="210" spans="2:8">
      <c r="B210" s="87" t="s">
        <v>23</v>
      </c>
      <c r="C210" s="173">
        <v>3333.3519999999999</v>
      </c>
      <c r="D210" s="173">
        <f>C210*$H198</f>
        <v>611.67009199999995</v>
      </c>
      <c r="E210" s="88"/>
      <c r="F210" s="31"/>
    </row>
    <row r="211" spans="2:8">
      <c r="B211" s="87" t="s">
        <v>25</v>
      </c>
      <c r="C211" s="173">
        <v>0</v>
      </c>
      <c r="D211" s="173">
        <f>C211*$H198</f>
        <v>0</v>
      </c>
      <c r="E211" s="88"/>
      <c r="F211" s="31"/>
    </row>
    <row r="212" spans="2:8">
      <c r="B212" s="87" t="s">
        <v>26</v>
      </c>
      <c r="C212" s="173">
        <v>1092.4590000000001</v>
      </c>
      <c r="D212" s="173">
        <f>C212*$H198</f>
        <v>200.4662265</v>
      </c>
      <c r="E212" s="88"/>
      <c r="F212" s="31"/>
    </row>
    <row r="213" spans="2:8">
      <c r="B213" s="87" t="s">
        <v>27</v>
      </c>
      <c r="C213" s="173">
        <v>497.12200000000001</v>
      </c>
      <c r="D213" s="173">
        <f>C213*$H198</f>
        <v>91.221886999999995</v>
      </c>
      <c r="E213" s="88"/>
      <c r="F213" s="31"/>
    </row>
    <row r="214" spans="2:8">
      <c r="B214" s="87" t="s">
        <v>28</v>
      </c>
      <c r="C214" s="173">
        <v>267.42899999999997</v>
      </c>
      <c r="D214" s="173">
        <f>C214*$H198</f>
        <v>49.073221499999995</v>
      </c>
      <c r="E214" s="88"/>
      <c r="F214" s="31"/>
    </row>
    <row r="215" spans="2:8">
      <c r="B215" s="87" t="s">
        <v>29</v>
      </c>
      <c r="C215" s="173">
        <v>4558.7669999999998</v>
      </c>
      <c r="D215" s="173">
        <f>C215*$H198</f>
        <v>836.5337444999999</v>
      </c>
      <c r="E215" s="88"/>
      <c r="F215" s="31"/>
      <c r="H215" s="110"/>
    </row>
    <row r="216" spans="2:8">
      <c r="B216" s="41" t="s">
        <v>30</v>
      </c>
      <c r="C216" s="131">
        <f>SUM(C200:C215)</f>
        <v>58814.144</v>
      </c>
      <c r="D216" s="131">
        <f>SUM(D200:D215)</f>
        <v>10792.395424000002</v>
      </c>
      <c r="E216" s="42">
        <f>+C216/C221</f>
        <v>4.4258710924366209</v>
      </c>
      <c r="F216" s="31"/>
      <c r="G216" s="110"/>
    </row>
    <row r="217" spans="2:8">
      <c r="B217" s="40" t="s">
        <v>31</v>
      </c>
      <c r="C217" s="175">
        <v>19835.851999999999</v>
      </c>
      <c r="D217" s="352">
        <f>C217*$H198</f>
        <v>3639.8788419999996</v>
      </c>
      <c r="E217" s="43"/>
      <c r="F217" s="31"/>
      <c r="H217" s="85"/>
    </row>
    <row r="218" spans="2:8">
      <c r="B218" s="41" t="s">
        <v>32</v>
      </c>
      <c r="C218" s="176">
        <f>+C216-C217</f>
        <v>38978.292000000001</v>
      </c>
      <c r="D218" s="131">
        <f>+D216-D217</f>
        <v>7152.516582000002</v>
      </c>
      <c r="E218" s="42">
        <f>+C218/C221</f>
        <v>2.93318722440904</v>
      </c>
      <c r="F218" s="31"/>
    </row>
    <row r="219" spans="2:8">
      <c r="B219" s="71" t="s">
        <v>33</v>
      </c>
      <c r="C219" s="177">
        <v>7911.7439999999997</v>
      </c>
      <c r="D219" s="352">
        <f>C219*$H198</f>
        <v>1451.805024</v>
      </c>
      <c r="E219" s="72"/>
      <c r="F219" s="31"/>
    </row>
    <row r="220" spans="2:8">
      <c r="B220" s="71" t="s">
        <v>34</v>
      </c>
      <c r="C220" s="178">
        <f>C216+C219</f>
        <v>66725.888000000006</v>
      </c>
      <c r="D220" s="178">
        <f>D216+D219</f>
        <v>12244.200448000001</v>
      </c>
      <c r="E220" s="72"/>
      <c r="F220" s="31"/>
    </row>
    <row r="221" spans="2:8">
      <c r="B221" s="300" t="s">
        <v>213</v>
      </c>
      <c r="C221" s="303">
        <f>J207</f>
        <v>13288.716</v>
      </c>
      <c r="D221" s="179">
        <f>K207</f>
        <v>2557.8455097902097</v>
      </c>
      <c r="E221" s="40"/>
      <c r="F221" s="40"/>
    </row>
    <row r="223" spans="2:8">
      <c r="B223" s="109"/>
      <c r="C223" s="353">
        <v>0</v>
      </c>
      <c r="D223" s="134"/>
      <c r="F223" s="110"/>
    </row>
    <row r="224" spans="2:8">
      <c r="B224" s="109"/>
      <c r="C224" s="109"/>
      <c r="D224" s="134"/>
    </row>
    <row r="225" spans="2:6">
      <c r="B225" s="41" t="s">
        <v>37</v>
      </c>
      <c r="C225" s="404">
        <v>53120.952000000005</v>
      </c>
      <c r="D225" s="135"/>
    </row>
    <row r="226" spans="2:6">
      <c r="B226" s="41" t="s">
        <v>38</v>
      </c>
      <c r="C226" s="136">
        <f>C225/C221</f>
        <v>3.9974480604446661</v>
      </c>
      <c r="D226" s="136"/>
    </row>
    <row r="228" spans="2:6" ht="13.5" thickBot="1"/>
    <row r="229" spans="2:6">
      <c r="B229" s="81" t="s">
        <v>214</v>
      </c>
      <c r="C229" s="124" t="s">
        <v>194</v>
      </c>
      <c r="D229" s="82" t="s">
        <v>170</v>
      </c>
      <c r="E229" s="111"/>
      <c r="F229" s="111"/>
    </row>
    <row r="230" spans="2:6">
      <c r="B230" s="83" t="s">
        <v>184</v>
      </c>
      <c r="C230" s="329">
        <f>C210</f>
        <v>3333.3519999999999</v>
      </c>
      <c r="D230" s="180">
        <f>C230*$H198</f>
        <v>611.67009199999995</v>
      </c>
      <c r="E230" s="112"/>
      <c r="F230" s="112"/>
    </row>
    <row r="231" spans="2:6">
      <c r="B231" s="83" t="s">
        <v>40</v>
      </c>
      <c r="C231" s="327">
        <f>C217</f>
        <v>19835.851999999999</v>
      </c>
      <c r="D231" s="180">
        <f>C231*$H198</f>
        <v>3639.8788419999996</v>
      </c>
      <c r="E231" s="112"/>
      <c r="F231" s="112"/>
    </row>
    <row r="232" spans="2:6" ht="13.5" thickBot="1">
      <c r="B232" s="389" t="s">
        <v>41</v>
      </c>
      <c r="C232" s="390">
        <f>SUM(C230:C231)</f>
        <v>23169.203999999998</v>
      </c>
      <c r="D232" s="391">
        <f>SUM(D230:D231)</f>
        <v>4251.5489339999995</v>
      </c>
      <c r="E232" s="112"/>
      <c r="F232" s="112"/>
    </row>
    <row r="234" spans="2:6" ht="13.5" thickBot="1">
      <c r="E234" s="112"/>
    </row>
    <row r="235" spans="2:6">
      <c r="B235" s="81" t="s">
        <v>215</v>
      </c>
      <c r="C235" s="124" t="s">
        <v>194</v>
      </c>
      <c r="D235" s="124" t="s">
        <v>170</v>
      </c>
      <c r="E235" s="112"/>
      <c r="F235" s="69"/>
    </row>
    <row r="236" spans="2:6">
      <c r="B236" s="73">
        <v>2024</v>
      </c>
      <c r="C236" s="373">
        <v>2892.7669999999998</v>
      </c>
      <c r="D236" s="407">
        <f t="shared" ref="D236:D241" si="0">C236*$H$198</f>
        <v>530.8227445</v>
      </c>
      <c r="E236" s="112"/>
    </row>
    <row r="237" spans="2:6">
      <c r="B237" s="73">
        <v>2025</v>
      </c>
      <c r="C237" s="373">
        <v>4742.9040000000005</v>
      </c>
      <c r="D237" s="183">
        <f t="shared" si="0"/>
        <v>870.32288400000004</v>
      </c>
      <c r="E237" s="112"/>
    </row>
    <row r="238" spans="2:6">
      <c r="B238" s="73">
        <v>2026</v>
      </c>
      <c r="C238" s="373">
        <v>10923.605</v>
      </c>
      <c r="D238" s="183">
        <f t="shared" si="0"/>
        <v>2004.4815174999999</v>
      </c>
      <c r="E238" s="112"/>
    </row>
    <row r="239" spans="2:6">
      <c r="B239" s="73">
        <v>2027</v>
      </c>
      <c r="C239" s="373">
        <v>4957.1629999999996</v>
      </c>
      <c r="D239" s="183">
        <f t="shared" si="0"/>
        <v>909.63941049999994</v>
      </c>
      <c r="E239" s="112"/>
    </row>
    <row r="240" spans="2:6">
      <c r="B240" s="73">
        <v>2028</v>
      </c>
      <c r="C240" s="373">
        <v>6715.4229999999998</v>
      </c>
      <c r="D240" s="183">
        <f t="shared" si="0"/>
        <v>1232.2801204999998</v>
      </c>
      <c r="E240" s="112"/>
    </row>
    <row r="241" spans="1:11" ht="13.5" thickBot="1">
      <c r="B241" s="125" t="s">
        <v>196</v>
      </c>
      <c r="C241" s="382">
        <v>23756.076000000001</v>
      </c>
      <c r="D241" s="383">
        <f t="shared" si="0"/>
        <v>4359.2399459999997</v>
      </c>
      <c r="E241" s="112"/>
    </row>
    <row r="242" spans="1:11">
      <c r="B242" s="69" t="s">
        <v>44</v>
      </c>
      <c r="C242" s="374">
        <f>SUM(C236:C241)</f>
        <v>53987.937999999995</v>
      </c>
      <c r="D242" s="374">
        <f>SUM(D236:D241)</f>
        <v>9906.786623</v>
      </c>
      <c r="E242" s="112"/>
      <c r="F242" s="113"/>
    </row>
    <row r="243" spans="1:11">
      <c r="B243" s="90" t="s">
        <v>36</v>
      </c>
      <c r="C243" s="403">
        <v>0</v>
      </c>
      <c r="D243" s="110"/>
      <c r="E243" s="96"/>
    </row>
    <row r="248" spans="1:11">
      <c r="A248" s="69" t="s">
        <v>216</v>
      </c>
      <c r="B248" s="30" t="s">
        <v>188</v>
      </c>
      <c r="C248" s="508" t="s">
        <v>217</v>
      </c>
      <c r="D248" s="508"/>
      <c r="E248" s="114" t="s">
        <v>181</v>
      </c>
      <c r="F248" s="31"/>
      <c r="G248" s="69" t="s">
        <v>218</v>
      </c>
      <c r="H248" s="172">
        <v>0.17879999999999999</v>
      </c>
      <c r="I248" s="31"/>
      <c r="J248" s="31"/>
      <c r="K248" s="31"/>
    </row>
    <row r="249" spans="1:11">
      <c r="B249" s="108"/>
      <c r="C249" s="139" t="s">
        <v>4</v>
      </c>
      <c r="D249" s="139" t="s">
        <v>5</v>
      </c>
      <c r="E249" s="138"/>
      <c r="F249" s="31"/>
      <c r="G249" s="69" t="s">
        <v>219</v>
      </c>
      <c r="H249" s="172">
        <v>0.19459448520615677</v>
      </c>
      <c r="I249" s="31"/>
      <c r="J249" s="31"/>
      <c r="K249" s="31"/>
    </row>
    <row r="250" spans="1:11">
      <c r="B250" s="108" t="s">
        <v>9</v>
      </c>
      <c r="C250" s="108"/>
      <c r="D250" s="95"/>
      <c r="E250" s="88"/>
      <c r="F250" s="31"/>
    </row>
    <row r="251" spans="1:11">
      <c r="B251" s="87" t="s">
        <v>11</v>
      </c>
      <c r="C251" s="173">
        <v>0.01</v>
      </c>
      <c r="D251" s="173">
        <f>C251*$H248</f>
        <v>1.7879999999999999E-3</v>
      </c>
      <c r="E251" s="88"/>
      <c r="F251" s="31"/>
    </row>
    <row r="252" spans="1:11">
      <c r="B252" s="87" t="s">
        <v>13</v>
      </c>
      <c r="C252" s="173">
        <v>5910.518</v>
      </c>
      <c r="D252" s="173">
        <f>C252*$H248</f>
        <v>1056.8006183999998</v>
      </c>
      <c r="E252" s="88"/>
      <c r="F252" s="31"/>
      <c r="I252" s="338" t="s">
        <v>8</v>
      </c>
      <c r="J252" s="358" t="s">
        <v>192</v>
      </c>
      <c r="K252" s="358" t="s">
        <v>5</v>
      </c>
    </row>
    <row r="253" spans="1:11">
      <c r="B253" s="87" t="s">
        <v>15</v>
      </c>
      <c r="C253" s="173">
        <v>14527.799000000001</v>
      </c>
      <c r="D253" s="173">
        <f>C253*$H248</f>
        <v>2597.5704612</v>
      </c>
      <c r="E253" s="88"/>
      <c r="F253" s="31"/>
      <c r="I253" s="69"/>
      <c r="J253" s="372"/>
      <c r="K253" s="372"/>
    </row>
    <row r="254" spans="1:11">
      <c r="B254" s="87" t="s">
        <v>17</v>
      </c>
      <c r="C254" s="173">
        <v>0</v>
      </c>
      <c r="D254" s="173">
        <f>C254*$H248</f>
        <v>0</v>
      </c>
      <c r="E254" s="88"/>
      <c r="F254" s="31"/>
      <c r="I254" s="32" t="s">
        <v>10</v>
      </c>
      <c r="J254" s="378">
        <v>62356</v>
      </c>
      <c r="K254" s="350">
        <f>J254*H248</f>
        <v>11149.252799999998</v>
      </c>
    </row>
    <row r="255" spans="1:11">
      <c r="B255" s="108" t="s">
        <v>19</v>
      </c>
      <c r="C255" s="173"/>
      <c r="D255" s="173"/>
      <c r="E255" s="88"/>
      <c r="F255" s="31"/>
      <c r="I255" s="32" t="s">
        <v>12</v>
      </c>
      <c r="J255" s="350">
        <f>C266</f>
        <v>21950.319</v>
      </c>
      <c r="K255" s="350">
        <f>J255*H248</f>
        <v>3924.7170371999996</v>
      </c>
    </row>
    <row r="256" spans="1:11">
      <c r="B256" s="87" t="s">
        <v>20</v>
      </c>
      <c r="C256" s="173">
        <v>5895.0029999999997</v>
      </c>
      <c r="D256" s="173">
        <f>C256*$H248</f>
        <v>1054.0265363999999</v>
      </c>
      <c r="E256" s="88"/>
      <c r="F256" s="31"/>
      <c r="I256" s="69" t="s">
        <v>14</v>
      </c>
      <c r="J256" s="351">
        <f>J254-J255</f>
        <v>40405.680999999997</v>
      </c>
      <c r="K256" s="351">
        <f>K254-K255</f>
        <v>7224.5357627999983</v>
      </c>
    </row>
    <row r="257" spans="2:11">
      <c r="B257" s="87" t="s">
        <v>21</v>
      </c>
      <c r="C257" s="173">
        <v>21225.202000000001</v>
      </c>
      <c r="D257" s="173">
        <f>C257*$H248</f>
        <v>3795.0661175999999</v>
      </c>
      <c r="E257" s="88"/>
      <c r="F257" s="31"/>
      <c r="I257" s="32" t="s">
        <v>182</v>
      </c>
      <c r="J257" s="350">
        <f>J256/J258</f>
        <v>11954.34349112426</v>
      </c>
      <c r="K257" s="350">
        <f>K256/K258</f>
        <v>2368.7002500983604</v>
      </c>
    </row>
    <row r="258" spans="2:11">
      <c r="B258" s="87" t="s">
        <v>22</v>
      </c>
      <c r="C258" s="173">
        <v>4625.5339999999997</v>
      </c>
      <c r="D258" s="173">
        <f>C258*$H248</f>
        <v>827.04547919999993</v>
      </c>
      <c r="E258" s="88"/>
      <c r="F258" s="31"/>
      <c r="I258" s="42" t="s">
        <v>18</v>
      </c>
      <c r="J258" s="409">
        <v>3.38</v>
      </c>
      <c r="K258" s="409">
        <v>3.05</v>
      </c>
    </row>
    <row r="259" spans="2:11">
      <c r="B259" s="87" t="s">
        <v>24</v>
      </c>
      <c r="C259" s="173">
        <v>0</v>
      </c>
      <c r="D259" s="173">
        <f>C259*$H248</f>
        <v>0</v>
      </c>
      <c r="E259" s="88"/>
      <c r="F259" s="31"/>
    </row>
    <row r="260" spans="2:11">
      <c r="B260" s="87" t="s">
        <v>23</v>
      </c>
      <c r="C260" s="173">
        <v>3442.8069999999998</v>
      </c>
      <c r="D260" s="173">
        <f>C260*$H248</f>
        <v>615.57389159999991</v>
      </c>
      <c r="E260" s="88"/>
      <c r="F260" s="31"/>
    </row>
    <row r="261" spans="2:11">
      <c r="B261" s="87" t="s">
        <v>25</v>
      </c>
      <c r="C261" s="173">
        <v>0</v>
      </c>
      <c r="D261" s="173">
        <f>C261*$H248</f>
        <v>0</v>
      </c>
      <c r="E261" s="88"/>
      <c r="F261" s="31"/>
    </row>
    <row r="262" spans="2:11">
      <c r="B262" s="87" t="s">
        <v>26</v>
      </c>
      <c r="C262" s="173">
        <v>1171.0709999999999</v>
      </c>
      <c r="D262" s="173">
        <f>C262*$H248</f>
        <v>209.38749479999996</v>
      </c>
      <c r="E262" s="88"/>
      <c r="F262" s="31"/>
    </row>
    <row r="263" spans="2:11">
      <c r="B263" s="87" t="s">
        <v>28</v>
      </c>
      <c r="C263" s="173">
        <v>268.27</v>
      </c>
      <c r="D263" s="173">
        <f>C263*$H248</f>
        <v>47.966675999999993</v>
      </c>
      <c r="E263" s="88"/>
      <c r="F263" s="31"/>
    </row>
    <row r="264" spans="2:11">
      <c r="B264" s="87" t="s">
        <v>29</v>
      </c>
      <c r="C264" s="173">
        <v>4535.7370000000001</v>
      </c>
      <c r="D264" s="173">
        <f>C264*$H248</f>
        <v>810.98977559999992</v>
      </c>
      <c r="E264" s="88"/>
      <c r="F264" s="31"/>
      <c r="H264" s="110"/>
    </row>
    <row r="265" spans="2:11">
      <c r="B265" s="41" t="s">
        <v>30</v>
      </c>
      <c r="C265" s="131">
        <f>SUM(C250:C264)</f>
        <v>61601.951000000001</v>
      </c>
      <c r="D265" s="131">
        <f>SUM(D250:D264)</f>
        <v>11014.428838799997</v>
      </c>
      <c r="E265" s="42">
        <f>+C265/C270</f>
        <v>5.1531019704877643</v>
      </c>
      <c r="F265" s="31"/>
      <c r="G265" s="110"/>
    </row>
    <row r="266" spans="2:11">
      <c r="B266" s="40" t="s">
        <v>31</v>
      </c>
      <c r="C266" s="175">
        <v>21950.319</v>
      </c>
      <c r="D266" s="352">
        <f>C266*$H248</f>
        <v>3924.7170371999996</v>
      </c>
      <c r="E266" s="43"/>
      <c r="F266" s="31"/>
      <c r="H266" s="85"/>
    </row>
    <row r="267" spans="2:11">
      <c r="B267" s="41" t="s">
        <v>32</v>
      </c>
      <c r="C267" s="176">
        <f>+C265-C266</f>
        <v>39651.631999999998</v>
      </c>
      <c r="D267" s="131">
        <f>+D265-D266</f>
        <v>7089.7118015999968</v>
      </c>
      <c r="E267" s="42">
        <f>+C267/C270</f>
        <v>3.3169225921473764</v>
      </c>
      <c r="F267" s="31"/>
    </row>
    <row r="268" spans="2:11">
      <c r="B268" s="71" t="s">
        <v>33</v>
      </c>
      <c r="C268" s="177">
        <v>8814.3089999999993</v>
      </c>
      <c r="D268" s="352">
        <f>C268*$H248</f>
        <v>1575.9984491999999</v>
      </c>
      <c r="E268" s="72"/>
      <c r="F268" s="31"/>
    </row>
    <row r="269" spans="2:11">
      <c r="B269" s="71" t="s">
        <v>34</v>
      </c>
      <c r="C269" s="178">
        <f>C265+C268</f>
        <v>70416.259999999995</v>
      </c>
      <c r="D269" s="178">
        <f>D265+D268</f>
        <v>12590.427287999997</v>
      </c>
      <c r="E269" s="72"/>
      <c r="F269" s="31"/>
    </row>
    <row r="270" spans="2:11">
      <c r="B270" s="300" t="s">
        <v>213</v>
      </c>
      <c r="C270" s="303">
        <f>J257</f>
        <v>11954.34349112426</v>
      </c>
      <c r="D270" s="179">
        <f>K257</f>
        <v>2368.7002500983604</v>
      </c>
      <c r="E270" s="40"/>
      <c r="F270" s="40"/>
    </row>
    <row r="272" spans="2:11">
      <c r="B272" s="109"/>
      <c r="C272" s="353">
        <v>0</v>
      </c>
      <c r="D272" s="134"/>
      <c r="F272" s="110"/>
    </row>
    <row r="273" spans="2:6">
      <c r="B273" s="109"/>
      <c r="C273" s="109"/>
      <c r="D273" s="134"/>
    </row>
    <row r="274" spans="2:6">
      <c r="B274" s="41" t="s">
        <v>37</v>
      </c>
      <c r="C274" s="404">
        <v>44544.631999999998</v>
      </c>
      <c r="D274" s="135"/>
    </row>
    <row r="275" spans="2:6">
      <c r="B275" s="41" t="s">
        <v>38</v>
      </c>
      <c r="C275" s="136">
        <f>C274/C270</f>
        <v>3.7262298873269826</v>
      </c>
      <c r="D275" s="136"/>
    </row>
    <row r="277" spans="2:6" ht="13.5" thickBot="1"/>
    <row r="278" spans="2:6">
      <c r="B278" s="81" t="s">
        <v>220</v>
      </c>
      <c r="C278" s="124" t="s">
        <v>194</v>
      </c>
      <c r="D278" s="82" t="s">
        <v>170</v>
      </c>
      <c r="E278" s="111"/>
      <c r="F278" s="111"/>
    </row>
    <row r="279" spans="2:6">
      <c r="B279" s="83" t="s">
        <v>184</v>
      </c>
      <c r="C279" s="329">
        <f>C260</f>
        <v>3442.8069999999998</v>
      </c>
      <c r="D279" s="180">
        <f>C279*$H248</f>
        <v>615.57389159999991</v>
      </c>
      <c r="E279" s="112"/>
      <c r="F279" s="112"/>
    </row>
    <row r="280" spans="2:6">
      <c r="B280" s="83" t="s">
        <v>40</v>
      </c>
      <c r="C280" s="327">
        <f>C266</f>
        <v>21950.319</v>
      </c>
      <c r="D280" s="180">
        <f>C280*$H248</f>
        <v>3924.7170371999996</v>
      </c>
      <c r="E280" s="112"/>
      <c r="F280" s="112"/>
    </row>
    <row r="281" spans="2:6" ht="13.5" thickBot="1">
      <c r="B281" s="389" t="s">
        <v>41</v>
      </c>
      <c r="C281" s="390">
        <f>SUM(C279:C280)</f>
        <v>25393.126</v>
      </c>
      <c r="D281" s="391">
        <f>SUM(D279:D280)</f>
        <v>4540.2909287999992</v>
      </c>
      <c r="E281" s="112"/>
      <c r="F281" s="112"/>
    </row>
    <row r="283" spans="2:6" ht="13.5" thickBot="1">
      <c r="E283" s="112"/>
    </row>
    <row r="284" spans="2:6">
      <c r="B284" s="81" t="s">
        <v>221</v>
      </c>
      <c r="C284" s="124" t="s">
        <v>194</v>
      </c>
      <c r="D284" s="124" t="s">
        <v>170</v>
      </c>
      <c r="E284" s="112"/>
      <c r="F284" s="69"/>
    </row>
    <row r="285" spans="2:6">
      <c r="B285" s="73">
        <v>2024</v>
      </c>
      <c r="C285" s="373">
        <v>4002.1089999999999</v>
      </c>
      <c r="D285" s="407">
        <f t="shared" ref="D285:D290" si="1">C285*$H$248</f>
        <v>715.57708919999993</v>
      </c>
      <c r="E285" s="112"/>
    </row>
    <row r="286" spans="2:6">
      <c r="B286" s="73">
        <v>2025</v>
      </c>
      <c r="C286" s="373">
        <v>5553.7359999999999</v>
      </c>
      <c r="D286" s="183">
        <f t="shared" si="1"/>
        <v>993.00799679999989</v>
      </c>
      <c r="E286" s="112"/>
    </row>
    <row r="287" spans="2:6">
      <c r="B287" s="73">
        <v>2026</v>
      </c>
      <c r="C287" s="373">
        <v>9693.3459999999995</v>
      </c>
      <c r="D287" s="183">
        <f t="shared" si="1"/>
        <v>1733.1702647999998</v>
      </c>
      <c r="E287" s="112"/>
    </row>
    <row r="288" spans="2:6">
      <c r="B288" s="73">
        <v>2027</v>
      </c>
      <c r="C288" s="373">
        <v>6292.1790000000001</v>
      </c>
      <c r="D288" s="183">
        <f t="shared" si="1"/>
        <v>1125.0416051999998</v>
      </c>
      <c r="E288" s="112"/>
    </row>
    <row r="289" spans="1:11">
      <c r="B289" s="73">
        <v>2028</v>
      </c>
      <c r="C289" s="373">
        <v>7322.8450000000003</v>
      </c>
      <c r="D289" s="183">
        <f t="shared" si="1"/>
        <v>1309.3246859999999</v>
      </c>
      <c r="E289" s="112"/>
    </row>
    <row r="290" spans="1:11" ht="13.5" thickBot="1">
      <c r="B290" s="125" t="s">
        <v>222</v>
      </c>
      <c r="C290" s="382">
        <v>23933.719000000001</v>
      </c>
      <c r="D290" s="383">
        <f t="shared" si="1"/>
        <v>4279.3489571999999</v>
      </c>
      <c r="E290" s="112"/>
    </row>
    <row r="291" spans="1:11">
      <c r="B291" s="69" t="s">
        <v>44</v>
      </c>
      <c r="C291" s="374">
        <f>SUM(C285:C290)</f>
        <v>56797.933999999994</v>
      </c>
      <c r="D291" s="374">
        <f>SUM(D285:D290)</f>
        <v>10155.470599199998</v>
      </c>
      <c r="E291" s="112"/>
      <c r="F291" s="113"/>
    </row>
    <row r="292" spans="1:11">
      <c r="B292" s="90" t="s">
        <v>36</v>
      </c>
      <c r="C292" s="403">
        <v>0</v>
      </c>
      <c r="D292" s="110"/>
      <c r="E292" s="96"/>
    </row>
    <row r="298" spans="1:11">
      <c r="A298" s="69" t="s">
        <v>223</v>
      </c>
      <c r="B298" s="30" t="s">
        <v>188</v>
      </c>
      <c r="C298" s="508" t="s">
        <v>224</v>
      </c>
      <c r="D298" s="508"/>
      <c r="E298" s="114" t="s">
        <v>181</v>
      </c>
      <c r="F298" s="31"/>
      <c r="G298" s="69" t="s">
        <v>225</v>
      </c>
      <c r="H298" s="172">
        <v>0.19937794082462715</v>
      </c>
      <c r="I298" s="31"/>
      <c r="J298" s="31"/>
      <c r="K298" s="31"/>
    </row>
    <row r="299" spans="1:11">
      <c r="B299" s="108"/>
      <c r="C299" s="139" t="s">
        <v>4</v>
      </c>
      <c r="D299" s="139" t="s">
        <v>5</v>
      </c>
      <c r="E299" s="138"/>
      <c r="F299" s="31"/>
      <c r="G299" s="69" t="s">
        <v>226</v>
      </c>
      <c r="H299" s="172">
        <v>0.201920941220814</v>
      </c>
      <c r="I299" s="31"/>
      <c r="J299" s="31"/>
      <c r="K299" s="31"/>
    </row>
    <row r="300" spans="1:11">
      <c r="B300" s="108" t="s">
        <v>9</v>
      </c>
      <c r="C300" s="108"/>
      <c r="D300" s="95"/>
      <c r="E300" s="88"/>
      <c r="F300" s="31"/>
    </row>
    <row r="301" spans="1:11">
      <c r="B301" s="87" t="s">
        <v>11</v>
      </c>
      <c r="C301" s="173">
        <v>0</v>
      </c>
      <c r="D301" s="173">
        <f>C301*$H298</f>
        <v>0</v>
      </c>
      <c r="E301" s="88"/>
      <c r="F301" s="31"/>
    </row>
    <row r="302" spans="1:11">
      <c r="B302" s="87" t="s">
        <v>13</v>
      </c>
      <c r="C302" s="173">
        <v>5984.4359999999997</v>
      </c>
      <c r="D302" s="173">
        <f>C302*$H298</f>
        <v>1193.1645266767682</v>
      </c>
      <c r="E302" s="88"/>
      <c r="F302" s="31"/>
      <c r="I302" s="338" t="s">
        <v>8</v>
      </c>
      <c r="J302" s="358" t="s">
        <v>192</v>
      </c>
      <c r="K302" s="358" t="s">
        <v>5</v>
      </c>
    </row>
    <row r="303" spans="1:11">
      <c r="B303" s="87" t="s">
        <v>15</v>
      </c>
      <c r="C303" s="173">
        <v>12517.548000000001</v>
      </c>
      <c r="D303" s="173">
        <f>C303*$H298</f>
        <v>2495.72294441343</v>
      </c>
      <c r="E303" s="88"/>
      <c r="F303" s="31"/>
      <c r="I303" s="69"/>
      <c r="J303" s="372"/>
      <c r="K303" s="372"/>
    </row>
    <row r="304" spans="1:11">
      <c r="B304" s="87" t="s">
        <v>17</v>
      </c>
      <c r="C304" s="173">
        <v>0</v>
      </c>
      <c r="D304" s="173">
        <f>C304*$H298</f>
        <v>0</v>
      </c>
      <c r="E304" s="88"/>
      <c r="F304" s="31"/>
      <c r="I304" s="32" t="s">
        <v>10</v>
      </c>
      <c r="J304" s="378">
        <v>57119</v>
      </c>
      <c r="K304" s="350">
        <f>J304*H298</f>
        <v>11388.268601961878</v>
      </c>
    </row>
    <row r="305" spans="2:11">
      <c r="B305" s="108" t="s">
        <v>19</v>
      </c>
      <c r="C305" s="173"/>
      <c r="D305" s="173"/>
      <c r="E305" s="88"/>
      <c r="F305" s="31"/>
      <c r="I305" s="32" t="s">
        <v>12</v>
      </c>
      <c r="J305" s="350">
        <f>C316</f>
        <v>20762.554</v>
      </c>
      <c r="K305" s="350">
        <f>J305*H298</f>
        <v>4139.5952627801253</v>
      </c>
    </row>
    <row r="306" spans="2:11">
      <c r="B306" s="87" t="s">
        <v>20</v>
      </c>
      <c r="C306" s="173">
        <v>5878.4930000000004</v>
      </c>
      <c r="D306" s="173">
        <f>C306*$H298</f>
        <v>1172.041829491985</v>
      </c>
      <c r="E306" s="88"/>
      <c r="F306" s="31"/>
      <c r="I306" s="69" t="s">
        <v>14</v>
      </c>
      <c r="J306" s="351">
        <f>J304-J305</f>
        <v>36356.445999999996</v>
      </c>
      <c r="K306" s="351">
        <f>K304-K305</f>
        <v>7248.6733391817525</v>
      </c>
    </row>
    <row r="307" spans="2:11">
      <c r="B307" s="87" t="s">
        <v>21</v>
      </c>
      <c r="C307" s="173">
        <v>19384.165000000001</v>
      </c>
      <c r="D307" s="173">
        <f>C307*$H298</f>
        <v>3864.7749023048091</v>
      </c>
      <c r="E307" s="88"/>
      <c r="F307" s="31"/>
      <c r="I307" s="32" t="s">
        <v>182</v>
      </c>
      <c r="J307" s="350">
        <f>J306/J308</f>
        <v>10599.546938775509</v>
      </c>
      <c r="K307" s="350">
        <f>K306/K308</f>
        <v>2138.2517224724934</v>
      </c>
    </row>
    <row r="308" spans="2:11">
      <c r="B308" s="87" t="s">
        <v>22</v>
      </c>
      <c r="C308" s="173">
        <v>3815.924</v>
      </c>
      <c r="D308" s="173">
        <f>C308*$H298</f>
        <v>760.81106946327452</v>
      </c>
      <c r="E308" s="88"/>
      <c r="F308" s="31"/>
      <c r="I308" s="42" t="s">
        <v>18</v>
      </c>
      <c r="J308" s="359">
        <v>3.43</v>
      </c>
      <c r="K308" s="359">
        <v>3.39</v>
      </c>
    </row>
    <row r="309" spans="2:11">
      <c r="B309" s="87" t="s">
        <v>24</v>
      </c>
      <c r="C309" s="173">
        <v>0</v>
      </c>
      <c r="D309" s="173">
        <f>C309*$H298</f>
        <v>0</v>
      </c>
      <c r="E309" s="88"/>
      <c r="F309" s="31"/>
    </row>
    <row r="310" spans="2:11">
      <c r="B310" s="87" t="s">
        <v>23</v>
      </c>
      <c r="C310" s="173">
        <v>3244.3139999999999</v>
      </c>
      <c r="D310" s="173">
        <f>C310*$H298</f>
        <v>646.84464470850935</v>
      </c>
      <c r="E310" s="88"/>
      <c r="F310" s="31"/>
    </row>
    <row r="311" spans="2:11">
      <c r="B311" s="87" t="s">
        <v>25</v>
      </c>
      <c r="C311" s="173">
        <v>0</v>
      </c>
      <c r="D311" s="173">
        <f>C311*$H298</f>
        <v>0</v>
      </c>
      <c r="E311" s="88"/>
      <c r="F311" s="31"/>
    </row>
    <row r="312" spans="2:11">
      <c r="B312" s="87" t="s">
        <v>26</v>
      </c>
      <c r="C312" s="173">
        <v>998.93200000000002</v>
      </c>
      <c r="D312" s="173">
        <f>C312*$H298</f>
        <v>199.16500518382645</v>
      </c>
      <c r="E312" s="88"/>
      <c r="F312" s="31"/>
    </row>
    <row r="313" spans="2:11">
      <c r="B313" s="87" t="s">
        <v>28</v>
      </c>
      <c r="C313" s="173">
        <v>264.13099999999997</v>
      </c>
      <c r="D313" s="173">
        <f>C313*$H298</f>
        <v>52.661894887949586</v>
      </c>
      <c r="E313" s="88"/>
      <c r="F313" s="31"/>
    </row>
    <row r="314" spans="2:11">
      <c r="B314" s="87" t="s">
        <v>29</v>
      </c>
      <c r="C314" s="173">
        <v>4532.317</v>
      </c>
      <c r="D314" s="173">
        <f>C314*$H298</f>
        <v>903.6440306244516</v>
      </c>
      <c r="E314" s="88"/>
      <c r="F314" s="31"/>
      <c r="H314" s="110"/>
    </row>
    <row r="315" spans="2:11">
      <c r="B315" s="41" t="s">
        <v>30</v>
      </c>
      <c r="C315" s="131">
        <f>SUM(C300:C314)</f>
        <v>56620.26</v>
      </c>
      <c r="D315" s="131">
        <f>SUM(D300:D314)</f>
        <v>11288.830847755004</v>
      </c>
      <c r="E315" s="42">
        <f>+C315/C320</f>
        <v>5.3417622778640137</v>
      </c>
      <c r="F315" s="31"/>
      <c r="G315" s="110"/>
    </row>
    <row r="316" spans="2:11">
      <c r="B316" s="40" t="s">
        <v>31</v>
      </c>
      <c r="C316" s="175">
        <v>20762.554</v>
      </c>
      <c r="D316" s="352">
        <f>C316*$H298</f>
        <v>4139.5952627801253</v>
      </c>
      <c r="E316" s="43"/>
      <c r="F316" s="31"/>
      <c r="H316" s="85"/>
    </row>
    <row r="317" spans="2:11">
      <c r="B317" s="41" t="s">
        <v>32</v>
      </c>
      <c r="C317" s="176">
        <f>+C315-C316</f>
        <v>35857.706000000006</v>
      </c>
      <c r="D317" s="131">
        <f>+D315-D316</f>
        <v>7149.2355849748783</v>
      </c>
      <c r="E317" s="42">
        <f>+C317/C320</f>
        <v>3.3829470454840398</v>
      </c>
      <c r="F317" s="31"/>
    </row>
    <row r="318" spans="2:11">
      <c r="B318" s="71" t="s">
        <v>33</v>
      </c>
      <c r="C318" s="177">
        <v>6736.72</v>
      </c>
      <c r="D318" s="352">
        <f>C318*$H298</f>
        <v>1343.1533615120823</v>
      </c>
      <c r="E318" s="72"/>
      <c r="F318" s="31"/>
    </row>
    <row r="319" spans="2:11">
      <c r="B319" s="71" t="s">
        <v>34</v>
      </c>
      <c r="C319" s="178">
        <f>C315+C318</f>
        <v>63356.98</v>
      </c>
      <c r="D319" s="178">
        <f>D315+D318</f>
        <v>12631.984209267086</v>
      </c>
      <c r="E319" s="72"/>
      <c r="F319" s="31"/>
    </row>
    <row r="320" spans="2:11">
      <c r="B320" s="300" t="s">
        <v>213</v>
      </c>
      <c r="C320" s="303">
        <f>J307</f>
        <v>10599.546938775509</v>
      </c>
      <c r="D320" s="179">
        <f>K307</f>
        <v>2138.2517224724934</v>
      </c>
      <c r="E320" s="40"/>
      <c r="F320" s="40"/>
    </row>
    <row r="322" spans="2:6">
      <c r="B322" s="109"/>
      <c r="C322" s="353">
        <v>0</v>
      </c>
      <c r="D322" s="134"/>
      <c r="F322" s="110"/>
    </row>
    <row r="323" spans="2:6">
      <c r="B323" s="109"/>
      <c r="C323" s="109"/>
      <c r="D323" s="134"/>
    </row>
    <row r="324" spans="2:6">
      <c r="B324" s="41" t="s">
        <v>37</v>
      </c>
      <c r="C324" s="404">
        <v>46357.706000000006</v>
      </c>
      <c r="D324" s="135"/>
    </row>
    <row r="325" spans="2:6">
      <c r="B325" s="41" t="s">
        <v>38</v>
      </c>
      <c r="C325" s="136">
        <f>C324/C320</f>
        <v>4.3735554234316529</v>
      </c>
      <c r="D325" s="136"/>
    </row>
    <row r="327" spans="2:6" ht="13.5" thickBot="1"/>
    <row r="328" spans="2:6">
      <c r="B328" s="81" t="s">
        <v>227</v>
      </c>
      <c r="C328" s="124" t="s">
        <v>194</v>
      </c>
      <c r="D328" s="82" t="s">
        <v>170</v>
      </c>
      <c r="E328" s="111"/>
      <c r="F328" s="111"/>
    </row>
    <row r="329" spans="2:6">
      <c r="B329" s="83" t="s">
        <v>184</v>
      </c>
      <c r="C329" s="329">
        <f>C310</f>
        <v>3244.3139999999999</v>
      </c>
      <c r="D329" s="180">
        <f>C329*$H298</f>
        <v>646.84464470850935</v>
      </c>
      <c r="E329" s="112"/>
      <c r="F329" s="112"/>
    </row>
    <row r="330" spans="2:6">
      <c r="B330" s="83" t="s">
        <v>40</v>
      </c>
      <c r="C330" s="327">
        <f>C316</f>
        <v>20762.554</v>
      </c>
      <c r="D330" s="180">
        <f>C330*$H298</f>
        <v>4139.5952627801253</v>
      </c>
      <c r="E330" s="112"/>
      <c r="F330" s="112"/>
    </row>
    <row r="331" spans="2:6" ht="13.5" thickBot="1">
      <c r="B331" s="389" t="s">
        <v>41</v>
      </c>
      <c r="C331" s="390">
        <f>SUM(C329:C330)</f>
        <v>24006.867999999999</v>
      </c>
      <c r="D331" s="391">
        <f>SUM(D329:D330)</f>
        <v>4786.4399074886351</v>
      </c>
      <c r="E331" s="112"/>
      <c r="F331" s="112"/>
    </row>
    <row r="333" spans="2:6" ht="13.5" thickBot="1">
      <c r="E333" s="112"/>
    </row>
    <row r="334" spans="2:6">
      <c r="B334" s="81" t="s">
        <v>228</v>
      </c>
      <c r="C334" s="124" t="s">
        <v>194</v>
      </c>
      <c r="D334" s="124" t="s">
        <v>170</v>
      </c>
      <c r="E334" s="112"/>
      <c r="F334" s="69"/>
    </row>
    <row r="335" spans="2:6">
      <c r="B335" s="73">
        <v>2024</v>
      </c>
      <c r="C335" s="373">
        <v>5902.8410000000003</v>
      </c>
      <c r="D335" s="407">
        <f t="shared" ref="D335:D340" si="2">C335*$H$298</f>
        <v>1176.8962835951829</v>
      </c>
      <c r="E335" s="112"/>
    </row>
    <row r="336" spans="2:6">
      <c r="B336" s="73">
        <v>2025</v>
      </c>
      <c r="C336" s="373">
        <v>3920.43</v>
      </c>
      <c r="D336" s="183">
        <f t="shared" si="2"/>
        <v>781.64726054709297</v>
      </c>
      <c r="E336" s="112"/>
    </row>
    <row r="337" spans="1:11">
      <c r="B337" s="73">
        <v>2026</v>
      </c>
      <c r="C337" s="373">
        <v>8650.3950000000004</v>
      </c>
      <c r="D337" s="183">
        <f t="shared" si="2"/>
        <v>1724.6979424196506</v>
      </c>
      <c r="E337" s="112"/>
    </row>
    <row r="338" spans="1:11">
      <c r="B338" s="73">
        <v>2027</v>
      </c>
      <c r="C338" s="373">
        <v>6075.0929999999998</v>
      </c>
      <c r="D338" s="183">
        <f t="shared" si="2"/>
        <v>1211.2395326581066</v>
      </c>
      <c r="E338" s="112"/>
    </row>
    <row r="339" spans="1:11">
      <c r="B339" s="73">
        <v>2028</v>
      </c>
      <c r="C339" s="373">
        <v>6377.8379999999997</v>
      </c>
      <c r="D339" s="183">
        <f t="shared" si="2"/>
        <v>1271.6002073530583</v>
      </c>
      <c r="E339" s="112"/>
    </row>
    <row r="340" spans="1:11" ht="13.5" thickBot="1">
      <c r="B340" s="125" t="s">
        <v>222</v>
      </c>
      <c r="C340" s="382">
        <v>20897.215</v>
      </c>
      <c r="D340" s="383">
        <f t="shared" si="2"/>
        <v>4166.4436956695108</v>
      </c>
      <c r="E340" s="112"/>
    </row>
    <row r="341" spans="1:11">
      <c r="B341" s="69" t="s">
        <v>44</v>
      </c>
      <c r="C341" s="374">
        <f>SUM(C335:C340)</f>
        <v>51823.812000000005</v>
      </c>
      <c r="D341" s="374">
        <f>SUM(D335:D340)</f>
        <v>10332.524922242603</v>
      </c>
      <c r="E341" s="112"/>
      <c r="F341" s="113"/>
    </row>
    <row r="342" spans="1:11">
      <c r="B342" s="90" t="s">
        <v>36</v>
      </c>
      <c r="C342" s="403">
        <v>0</v>
      </c>
      <c r="D342" s="110"/>
      <c r="E342" s="96"/>
    </row>
    <row r="348" spans="1:11">
      <c r="A348" s="69" t="s">
        <v>229</v>
      </c>
      <c r="B348" s="30" t="s">
        <v>188</v>
      </c>
      <c r="C348" s="508" t="s">
        <v>230</v>
      </c>
      <c r="D348" s="508"/>
      <c r="E348" s="114" t="s">
        <v>181</v>
      </c>
      <c r="F348" s="31"/>
      <c r="G348" s="69" t="s">
        <v>231</v>
      </c>
      <c r="H348" s="172">
        <v>0.20599999999999999</v>
      </c>
      <c r="I348" s="31"/>
      <c r="J348" s="31"/>
      <c r="K348" s="31"/>
    </row>
    <row r="349" spans="1:11">
      <c r="B349" s="108"/>
      <c r="C349" s="139" t="s">
        <v>4</v>
      </c>
      <c r="D349" s="139" t="s">
        <v>5</v>
      </c>
      <c r="E349" s="138"/>
      <c r="F349" s="31"/>
      <c r="G349" s="69" t="s">
        <v>232</v>
      </c>
      <c r="H349" s="172">
        <v>0.2006</v>
      </c>
      <c r="I349" s="31"/>
      <c r="J349" s="31"/>
      <c r="K349" s="31"/>
    </row>
    <row r="350" spans="1:11">
      <c r="B350" s="108" t="s">
        <v>9</v>
      </c>
      <c r="C350" s="108"/>
      <c r="D350" s="95"/>
      <c r="E350" s="88"/>
      <c r="F350" s="31"/>
    </row>
    <row r="351" spans="1:11">
      <c r="B351" s="87" t="s">
        <v>11</v>
      </c>
      <c r="C351" s="173">
        <v>0</v>
      </c>
      <c r="D351" s="173">
        <f>C351*$H348</f>
        <v>0</v>
      </c>
      <c r="E351" s="88"/>
      <c r="F351" s="31"/>
    </row>
    <row r="352" spans="1:11">
      <c r="B352" s="87" t="s">
        <v>13</v>
      </c>
      <c r="C352" s="173">
        <v>6166.9639999999999</v>
      </c>
      <c r="D352" s="173">
        <f>C352*$H348</f>
        <v>1270.3945839999999</v>
      </c>
      <c r="E352" s="88"/>
      <c r="F352" s="31"/>
      <c r="I352" s="338" t="s">
        <v>8</v>
      </c>
      <c r="J352" s="358" t="s">
        <v>192</v>
      </c>
      <c r="K352" s="358" t="s">
        <v>5</v>
      </c>
    </row>
    <row r="353" spans="2:11">
      <c r="B353" s="87" t="s">
        <v>15</v>
      </c>
      <c r="C353" s="173">
        <v>11464.663</v>
      </c>
      <c r="D353" s="173">
        <f>C353*$H348</f>
        <v>2361.7205779999999</v>
      </c>
      <c r="E353" s="88"/>
      <c r="F353" s="31"/>
      <c r="I353" s="69"/>
      <c r="J353" s="372"/>
      <c r="K353" s="372"/>
    </row>
    <row r="354" spans="2:11">
      <c r="B354" s="87" t="s">
        <v>17</v>
      </c>
      <c r="C354" s="173">
        <v>0</v>
      </c>
      <c r="D354" s="173">
        <f>C354*$H348</f>
        <v>0</v>
      </c>
      <c r="E354" s="88"/>
      <c r="F354" s="31"/>
      <c r="I354" s="32" t="s">
        <v>10</v>
      </c>
      <c r="J354" s="378">
        <v>56299.778999999995</v>
      </c>
      <c r="K354" s="350">
        <f>J354*H348</f>
        <v>11597.754473999998</v>
      </c>
    </row>
    <row r="355" spans="2:11">
      <c r="B355" s="108" t="s">
        <v>19</v>
      </c>
      <c r="C355" s="173"/>
      <c r="D355" s="173"/>
      <c r="E355" s="88"/>
      <c r="F355" s="31"/>
      <c r="I355" s="32" t="s">
        <v>12</v>
      </c>
      <c r="J355" s="350">
        <f>C366</f>
        <v>21878.356</v>
      </c>
      <c r="K355" s="350">
        <f>J355*H348</f>
        <v>4506.9413359999999</v>
      </c>
    </row>
    <row r="356" spans="2:11">
      <c r="B356" s="87" t="s">
        <v>20</v>
      </c>
      <c r="C356" s="173">
        <v>6003.5249999999996</v>
      </c>
      <c r="D356" s="173">
        <f>C356*$H348</f>
        <v>1236.72615</v>
      </c>
      <c r="E356" s="88"/>
      <c r="F356" s="31"/>
      <c r="I356" s="69" t="s">
        <v>14</v>
      </c>
      <c r="J356" s="351">
        <f>J354-J355</f>
        <v>34421.422999999995</v>
      </c>
      <c r="K356" s="351">
        <f>K354-K355</f>
        <v>7090.8131379999977</v>
      </c>
    </row>
    <row r="357" spans="2:11">
      <c r="B357" s="87" t="s">
        <v>21</v>
      </c>
      <c r="C357" s="173">
        <v>18891.544999999998</v>
      </c>
      <c r="D357" s="173">
        <f>C357*$H348</f>
        <v>3891.6582699999994</v>
      </c>
      <c r="E357" s="88"/>
      <c r="F357" s="31"/>
      <c r="I357" s="32" t="s">
        <v>182</v>
      </c>
      <c r="J357" s="350">
        <f>J356/J358</f>
        <v>9296.36</v>
      </c>
      <c r="K357" s="350">
        <f>K356/K358</f>
        <v>1820.8557796839555</v>
      </c>
    </row>
    <row r="358" spans="2:11">
      <c r="B358" s="87" t="s">
        <v>22</v>
      </c>
      <c r="C358" s="173">
        <v>5667.8810000000003</v>
      </c>
      <c r="D358" s="173">
        <f>C358*$H348</f>
        <v>1167.583486</v>
      </c>
      <c r="E358" s="88"/>
      <c r="F358" s="31"/>
      <c r="I358" s="42" t="s">
        <v>18</v>
      </c>
      <c r="J358" s="359">
        <v>3.7026774995804801</v>
      </c>
      <c r="K358" s="359">
        <v>3.8942200788855144</v>
      </c>
    </row>
    <row r="359" spans="2:11">
      <c r="B359" s="87" t="s">
        <v>24</v>
      </c>
      <c r="C359" s="173">
        <v>0</v>
      </c>
      <c r="D359" s="173">
        <f>C359*$H348</f>
        <v>0</v>
      </c>
      <c r="E359" s="88"/>
      <c r="F359" s="31"/>
    </row>
    <row r="360" spans="2:11">
      <c r="B360" s="87" t="s">
        <v>23</v>
      </c>
      <c r="C360" s="173">
        <v>2452.259</v>
      </c>
      <c r="D360" s="173">
        <f>C360*$H348</f>
        <v>505.16535399999998</v>
      </c>
      <c r="E360" s="88"/>
      <c r="F360" s="31"/>
    </row>
    <row r="361" spans="2:11">
      <c r="B361" s="87" t="s">
        <v>25</v>
      </c>
      <c r="C361" s="173">
        <v>0</v>
      </c>
      <c r="D361" s="173">
        <f>C361*$H348</f>
        <v>0</v>
      </c>
      <c r="E361" s="88"/>
      <c r="F361" s="31"/>
    </row>
    <row r="362" spans="2:11">
      <c r="B362" s="87" t="s">
        <v>26</v>
      </c>
      <c r="C362" s="173">
        <v>938.755</v>
      </c>
      <c r="D362" s="173">
        <f>C362*$H348</f>
        <v>193.38352999999998</v>
      </c>
      <c r="E362" s="88"/>
      <c r="F362" s="31"/>
    </row>
    <row r="363" spans="2:11">
      <c r="B363" s="87" t="s">
        <v>28</v>
      </c>
      <c r="C363" s="173">
        <v>259.93599999999998</v>
      </c>
      <c r="D363" s="173">
        <f>C363*$H348</f>
        <v>53.546815999999993</v>
      </c>
      <c r="E363" s="88"/>
      <c r="F363" s="31"/>
    </row>
    <row r="364" spans="2:11">
      <c r="B364" s="87" t="s">
        <v>29</v>
      </c>
      <c r="C364" s="173">
        <v>4238.5609999999997</v>
      </c>
      <c r="D364" s="173">
        <f>C364*$H348</f>
        <v>873.14356599999985</v>
      </c>
      <c r="E364" s="88"/>
      <c r="F364" s="31"/>
      <c r="H364" s="110"/>
    </row>
    <row r="365" spans="2:11">
      <c r="B365" s="41" t="s">
        <v>30</v>
      </c>
      <c r="C365" s="131">
        <f>SUM(C350:C364)</f>
        <v>56084.089</v>
      </c>
      <c r="D365" s="131">
        <f>SUM(D350:D364)</f>
        <v>11553.322334</v>
      </c>
      <c r="E365" s="42">
        <f>+C365/C370</f>
        <v>6.0329084717029025</v>
      </c>
      <c r="F365" s="31"/>
      <c r="G365" s="110"/>
    </row>
    <row r="366" spans="2:11">
      <c r="B366" s="40" t="s">
        <v>31</v>
      </c>
      <c r="C366" s="175">
        <v>21878.356</v>
      </c>
      <c r="D366" s="352">
        <f>C366*$H348</f>
        <v>4506.9413359999999</v>
      </c>
      <c r="E366" s="43"/>
      <c r="F366" s="31"/>
      <c r="H366" s="85"/>
    </row>
    <row r="367" spans="2:11">
      <c r="B367" s="41" t="s">
        <v>32</v>
      </c>
      <c r="C367" s="176">
        <f>+C365-C366</f>
        <v>34205.733</v>
      </c>
      <c r="D367" s="131">
        <f>+D365-D366</f>
        <v>7046.3809980000005</v>
      </c>
      <c r="E367" s="42">
        <f>+C367/C370</f>
        <v>3.6794759454238002</v>
      </c>
      <c r="F367" s="31"/>
    </row>
    <row r="368" spans="2:11">
      <c r="B368" s="71" t="s">
        <v>33</v>
      </c>
      <c r="C368" s="177">
        <v>7213.6459999999997</v>
      </c>
      <c r="D368" s="352">
        <f>C368*$H348</f>
        <v>1486.0110759999998</v>
      </c>
      <c r="E368" s="72"/>
      <c r="F368" s="31"/>
    </row>
    <row r="369" spans="2:6">
      <c r="B369" s="71" t="s">
        <v>34</v>
      </c>
      <c r="C369" s="178">
        <f>C365+C368</f>
        <v>63297.735000000001</v>
      </c>
      <c r="D369" s="178">
        <f>D365+D368</f>
        <v>13039.333409999999</v>
      </c>
      <c r="E369" s="72"/>
      <c r="F369" s="31"/>
    </row>
    <row r="370" spans="2:6">
      <c r="B370" s="300" t="s">
        <v>213</v>
      </c>
      <c r="C370" s="303">
        <f>J357</f>
        <v>9296.36</v>
      </c>
      <c r="D370" s="179">
        <f>K357</f>
        <v>1820.8557796839555</v>
      </c>
      <c r="E370" s="40"/>
      <c r="F370" s="40"/>
    </row>
    <row r="372" spans="2:6">
      <c r="B372" s="109"/>
      <c r="C372" s="353">
        <v>0</v>
      </c>
      <c r="D372" s="134"/>
      <c r="F372" s="110"/>
    </row>
    <row r="373" spans="2:6">
      <c r="B373" s="109"/>
      <c r="C373" s="109"/>
      <c r="D373" s="134"/>
    </row>
    <row r="374" spans="2:6">
      <c r="B374" s="41" t="s">
        <v>37</v>
      </c>
      <c r="C374" s="404">
        <v>43655.733</v>
      </c>
      <c r="D374" s="135"/>
    </row>
    <row r="375" spans="2:6">
      <c r="B375" s="41" t="s">
        <v>38</v>
      </c>
      <c r="C375" s="136">
        <f>C374/C370</f>
        <v>4.6960028441239361</v>
      </c>
      <c r="D375" s="136"/>
    </row>
    <row r="377" spans="2:6" ht="13.5" thickBot="1"/>
    <row r="378" spans="2:6">
      <c r="B378" s="81" t="s">
        <v>233</v>
      </c>
      <c r="C378" s="124" t="s">
        <v>194</v>
      </c>
      <c r="D378" s="82" t="s">
        <v>170</v>
      </c>
      <c r="E378" s="111"/>
      <c r="F378" s="111"/>
    </row>
    <row r="379" spans="2:6">
      <c r="B379" s="83" t="s">
        <v>184</v>
      </c>
      <c r="C379" s="329">
        <f>C360</f>
        <v>2452.259</v>
      </c>
      <c r="D379" s="180">
        <f>C379*$H348</f>
        <v>505.16535399999998</v>
      </c>
      <c r="E379" s="112"/>
      <c r="F379" s="112"/>
    </row>
    <row r="380" spans="2:6">
      <c r="B380" s="83" t="s">
        <v>40</v>
      </c>
      <c r="C380" s="327">
        <f>C366</f>
        <v>21878.356</v>
      </c>
      <c r="D380" s="180">
        <f>C380*$H348</f>
        <v>4506.9413359999999</v>
      </c>
      <c r="E380" s="112"/>
      <c r="F380" s="112"/>
    </row>
    <row r="381" spans="2:6" ht="13.5" thickBot="1">
      <c r="B381" s="389" t="s">
        <v>41</v>
      </c>
      <c r="C381" s="390">
        <f>SUM(C379:C380)</f>
        <v>24330.614999999998</v>
      </c>
      <c r="D381" s="391">
        <f>SUM(D379:D380)</f>
        <v>5012.1066899999996</v>
      </c>
      <c r="E381" s="112"/>
      <c r="F381" s="112"/>
    </row>
    <row r="383" spans="2:6" ht="13.5" thickBot="1">
      <c r="E383" s="112"/>
    </row>
    <row r="384" spans="2:6">
      <c r="B384" s="81" t="s">
        <v>234</v>
      </c>
      <c r="C384" s="124" t="s">
        <v>194</v>
      </c>
      <c r="D384" s="124" t="s">
        <v>170</v>
      </c>
      <c r="E384" s="112"/>
      <c r="F384" s="69"/>
    </row>
    <row r="385" spans="1:11">
      <c r="B385" s="73">
        <v>2023</v>
      </c>
      <c r="C385" s="406">
        <v>0</v>
      </c>
      <c r="D385" s="407">
        <f t="shared" ref="D385:D390" si="3">C385*$H$348</f>
        <v>0</v>
      </c>
      <c r="E385" s="112"/>
    </row>
    <row r="386" spans="1:11">
      <c r="B386" s="73">
        <v>2024</v>
      </c>
      <c r="C386" s="373">
        <v>7509.4139999999998</v>
      </c>
      <c r="D386" s="183">
        <f t="shared" si="3"/>
        <v>1546.9392839999998</v>
      </c>
      <c r="E386" s="112"/>
    </row>
    <row r="387" spans="1:11">
      <c r="B387" s="73">
        <v>2025</v>
      </c>
      <c r="C387" s="373">
        <v>7114.2879999999996</v>
      </c>
      <c r="D387" s="183">
        <f t="shared" si="3"/>
        <v>1465.5433279999997</v>
      </c>
      <c r="E387" s="112"/>
    </row>
    <row r="388" spans="1:11">
      <c r="B388" s="73">
        <v>2026</v>
      </c>
      <c r="C388" s="373">
        <v>11385.522000000001</v>
      </c>
      <c r="D388" s="183">
        <f t="shared" si="3"/>
        <v>2345.4175319999999</v>
      </c>
      <c r="E388" s="112"/>
    </row>
    <row r="389" spans="1:11">
      <c r="B389" s="73">
        <v>2027</v>
      </c>
      <c r="C389" s="373">
        <v>4159.8490000000002</v>
      </c>
      <c r="D389" s="183">
        <f t="shared" si="3"/>
        <v>856.92889400000001</v>
      </c>
      <c r="E389" s="112"/>
    </row>
    <row r="390" spans="1:11" ht="13.5" thickBot="1">
      <c r="B390" s="125" t="s">
        <v>222</v>
      </c>
      <c r="C390" s="382">
        <v>21416.519</v>
      </c>
      <c r="D390" s="383">
        <f t="shared" si="3"/>
        <v>4411.8029139999999</v>
      </c>
      <c r="E390" s="112"/>
    </row>
    <row r="391" spans="1:11">
      <c r="B391" s="69" t="s">
        <v>44</v>
      </c>
      <c r="C391" s="374">
        <f>SUM(C385:C390)</f>
        <v>51585.592000000004</v>
      </c>
      <c r="D391" s="374">
        <f>SUM(D385:D390)</f>
        <v>10626.631952</v>
      </c>
      <c r="E391" s="112"/>
      <c r="F391" s="113"/>
    </row>
    <row r="392" spans="1:11">
      <c r="B392" s="90" t="s">
        <v>36</v>
      </c>
      <c r="C392" s="403">
        <v>0</v>
      </c>
      <c r="D392" s="110"/>
      <c r="E392" s="96"/>
    </row>
    <row r="393" spans="1:11">
      <c r="B393" s="90"/>
      <c r="C393" s="403"/>
      <c r="D393" s="110"/>
      <c r="E393" s="96"/>
    </row>
    <row r="394" spans="1:11">
      <c r="B394" s="90"/>
      <c r="C394" s="403"/>
      <c r="D394" s="110"/>
      <c r="E394" s="96"/>
    </row>
    <row r="395" spans="1:11">
      <c r="B395" s="90"/>
      <c r="C395" s="403"/>
      <c r="D395" s="110"/>
      <c r="E395" s="96"/>
    </row>
    <row r="396" spans="1:11">
      <c r="A396" s="69" t="s">
        <v>235</v>
      </c>
      <c r="B396" s="30" t="s">
        <v>188</v>
      </c>
      <c r="C396" s="508" t="s">
        <v>236</v>
      </c>
      <c r="D396" s="508"/>
      <c r="E396" s="114" t="s">
        <v>181</v>
      </c>
      <c r="F396" s="31"/>
      <c r="G396" s="69" t="s">
        <v>237</v>
      </c>
      <c r="H396" s="172">
        <v>0.19420000000000001</v>
      </c>
      <c r="I396" s="31"/>
      <c r="J396" s="31"/>
      <c r="K396" s="31"/>
    </row>
    <row r="397" spans="1:11">
      <c r="B397" s="108"/>
      <c r="C397" s="139" t="s">
        <v>4</v>
      </c>
      <c r="D397" s="139" t="s">
        <v>5</v>
      </c>
      <c r="E397" s="138"/>
      <c r="F397" s="31"/>
      <c r="G397" s="69" t="s">
        <v>238</v>
      </c>
      <c r="H397" s="172">
        <v>0.19637499999999999</v>
      </c>
      <c r="I397" s="31"/>
      <c r="J397" s="31"/>
      <c r="K397" s="31"/>
    </row>
    <row r="398" spans="1:11">
      <c r="B398" s="108" t="s">
        <v>9</v>
      </c>
      <c r="C398" s="108"/>
      <c r="D398" s="95"/>
      <c r="E398" s="88"/>
      <c r="F398" s="31"/>
    </row>
    <row r="399" spans="1:11">
      <c r="B399" s="87" t="s">
        <v>11</v>
      </c>
      <c r="C399" s="173">
        <v>0</v>
      </c>
      <c r="D399" s="173">
        <f>C399*$H396</f>
        <v>0</v>
      </c>
      <c r="E399" s="88"/>
      <c r="F399" s="31"/>
    </row>
    <row r="400" spans="1:11">
      <c r="B400" s="87" t="s">
        <v>13</v>
      </c>
      <c r="C400" s="173">
        <v>5732.335</v>
      </c>
      <c r="D400" s="173">
        <f>C400*$H396</f>
        <v>1113.2194570000001</v>
      </c>
      <c r="E400" s="88"/>
      <c r="F400" s="31"/>
      <c r="I400" s="338" t="s">
        <v>8</v>
      </c>
      <c r="J400" s="358" t="s">
        <v>192</v>
      </c>
      <c r="K400" s="358" t="s">
        <v>5</v>
      </c>
    </row>
    <row r="401" spans="2:11">
      <c r="B401" s="87" t="s">
        <v>15</v>
      </c>
      <c r="C401" s="173">
        <v>11891.736000000001</v>
      </c>
      <c r="D401" s="173">
        <f>C401*$H396</f>
        <v>2309.3751312000004</v>
      </c>
      <c r="E401" s="88"/>
      <c r="F401" s="31"/>
      <c r="I401" s="69"/>
      <c r="J401" s="372"/>
      <c r="K401" s="372"/>
    </row>
    <row r="402" spans="2:11">
      <c r="B402" s="87" t="s">
        <v>17</v>
      </c>
      <c r="C402" s="173">
        <v>0</v>
      </c>
      <c r="D402" s="173">
        <f>C402*$H396</f>
        <v>0</v>
      </c>
      <c r="E402" s="88"/>
      <c r="F402" s="31"/>
      <c r="I402" s="32" t="s">
        <v>10</v>
      </c>
      <c r="J402" s="378">
        <v>57130</v>
      </c>
      <c r="K402" s="350">
        <f>J402*H396</f>
        <v>11094.646000000001</v>
      </c>
    </row>
    <row r="403" spans="2:11">
      <c r="B403" s="108" t="s">
        <v>19</v>
      </c>
      <c r="C403" s="173"/>
      <c r="D403" s="173"/>
      <c r="E403" s="88"/>
      <c r="F403" s="31"/>
      <c r="I403" s="32" t="s">
        <v>12</v>
      </c>
      <c r="J403" s="350">
        <f>C414</f>
        <v>23528.803</v>
      </c>
      <c r="K403" s="350">
        <f>J403*H396</f>
        <v>4569.2935426000004</v>
      </c>
    </row>
    <row r="404" spans="2:11">
      <c r="B404" s="87" t="s">
        <v>20</v>
      </c>
      <c r="C404" s="173">
        <v>5601.6989999999996</v>
      </c>
      <c r="D404" s="173">
        <f>C404*$H396</f>
        <v>1087.8499457999999</v>
      </c>
      <c r="E404" s="88"/>
      <c r="F404" s="31"/>
      <c r="I404" s="69" t="s">
        <v>14</v>
      </c>
      <c r="J404" s="351">
        <f>J402-J403</f>
        <v>33601.197</v>
      </c>
      <c r="K404" s="351">
        <f>K402-K403</f>
        <v>6525.3524574000003</v>
      </c>
    </row>
    <row r="405" spans="2:11">
      <c r="B405" s="87" t="s">
        <v>21</v>
      </c>
      <c r="C405" s="173">
        <v>20892.934000000001</v>
      </c>
      <c r="D405" s="173">
        <f>C405*$H396</f>
        <v>4057.4077828000004</v>
      </c>
      <c r="E405" s="88"/>
      <c r="F405" s="31"/>
      <c r="I405" s="32" t="s">
        <v>182</v>
      </c>
      <c r="J405" s="350">
        <f>J404/J406</f>
        <v>8593.6565217391308</v>
      </c>
      <c r="K405" s="350">
        <f>K404/K406</f>
        <v>1656.180826751269</v>
      </c>
    </row>
    <row r="406" spans="2:11">
      <c r="B406" s="87" t="s">
        <v>22</v>
      </c>
      <c r="C406" s="173">
        <v>4818.45</v>
      </c>
      <c r="D406" s="173">
        <f>C406*$H396</f>
        <v>935.74298999999996</v>
      </c>
      <c r="E406" s="88"/>
      <c r="F406" s="31"/>
      <c r="I406" s="42" t="s">
        <v>18</v>
      </c>
      <c r="J406" s="359">
        <v>3.91</v>
      </c>
      <c r="K406" s="359">
        <v>3.94</v>
      </c>
    </row>
    <row r="407" spans="2:11">
      <c r="B407" s="87" t="s">
        <v>24</v>
      </c>
      <c r="C407" s="173">
        <v>0</v>
      </c>
      <c r="D407" s="173">
        <f>C407*$H396</f>
        <v>0</v>
      </c>
      <c r="E407" s="88"/>
      <c r="F407" s="31"/>
    </row>
    <row r="408" spans="2:11">
      <c r="B408" s="87" t="s">
        <v>23</v>
      </c>
      <c r="C408" s="173">
        <v>2637.866</v>
      </c>
      <c r="D408" s="173">
        <f>C408*$H396</f>
        <v>512.27357719999998</v>
      </c>
      <c r="E408" s="88"/>
      <c r="F408" s="31"/>
    </row>
    <row r="409" spans="2:11">
      <c r="B409" s="87" t="s">
        <v>25</v>
      </c>
      <c r="C409" s="173">
        <v>0</v>
      </c>
      <c r="D409" s="173">
        <f>C409*$H396</f>
        <v>0</v>
      </c>
      <c r="E409" s="88"/>
      <c r="F409" s="31"/>
    </row>
    <row r="410" spans="2:11">
      <c r="B410" s="87" t="s">
        <v>26</v>
      </c>
      <c r="C410" s="173">
        <v>1046.6099999999999</v>
      </c>
      <c r="D410" s="173">
        <f>C410*$H396</f>
        <v>203.25166199999998</v>
      </c>
      <c r="E410" s="88"/>
      <c r="F410" s="31"/>
    </row>
    <row r="411" spans="2:11">
      <c r="B411" s="87" t="s">
        <v>28</v>
      </c>
      <c r="C411" s="173">
        <v>290.57600000000002</v>
      </c>
      <c r="D411" s="173">
        <f>C411*$H396</f>
        <v>56.42985920000001</v>
      </c>
      <c r="E411" s="88"/>
      <c r="F411" s="31"/>
    </row>
    <row r="412" spans="2:11">
      <c r="B412" s="87" t="s">
        <v>29</v>
      </c>
      <c r="C412" s="173">
        <v>4089.8560000000002</v>
      </c>
      <c r="D412" s="173">
        <f>C412*$H396</f>
        <v>794.25003520000007</v>
      </c>
      <c r="E412" s="88"/>
      <c r="F412" s="31"/>
      <c r="H412" s="110"/>
    </row>
    <row r="413" spans="2:11">
      <c r="B413" s="41" t="s">
        <v>30</v>
      </c>
      <c r="C413" s="131">
        <f>SUM(C398:C412)</f>
        <v>57002.061999999998</v>
      </c>
      <c r="D413" s="131">
        <f>SUM(D398:D412)</f>
        <v>11069.800440400002</v>
      </c>
      <c r="E413" s="42">
        <f>+C413/C418</f>
        <v>6.6330393652345174</v>
      </c>
      <c r="F413" s="31"/>
      <c r="G413" s="110"/>
    </row>
    <row r="414" spans="2:11">
      <c r="B414" s="40" t="s">
        <v>31</v>
      </c>
      <c r="C414" s="175">
        <v>23528.803</v>
      </c>
      <c r="D414" s="352">
        <f>C414*$H396</f>
        <v>4569.2935426000004</v>
      </c>
      <c r="E414" s="43"/>
      <c r="F414" s="31"/>
      <c r="H414" s="85"/>
    </row>
    <row r="415" spans="2:11">
      <c r="B415" s="41" t="s">
        <v>32</v>
      </c>
      <c r="C415" s="176">
        <f>+C413-C414</f>
        <v>33473.258999999998</v>
      </c>
      <c r="D415" s="131">
        <f>+D413-D414</f>
        <v>6500.5068978000018</v>
      </c>
      <c r="E415" s="42">
        <f>+C415/C418</f>
        <v>3.8951125071526467</v>
      </c>
      <c r="F415" s="31"/>
    </row>
    <row r="416" spans="2:11">
      <c r="B416" s="71" t="s">
        <v>33</v>
      </c>
      <c r="C416" s="177">
        <v>6585.84</v>
      </c>
      <c r="D416" s="352">
        <f>C416*$H396</f>
        <v>1278.9701280000002</v>
      </c>
      <c r="E416" s="72"/>
      <c r="F416" s="31"/>
    </row>
    <row r="417" spans="2:6">
      <c r="B417" s="71" t="s">
        <v>34</v>
      </c>
      <c r="C417" s="178">
        <f>C413+C416</f>
        <v>63587.902000000002</v>
      </c>
      <c r="D417" s="178">
        <f>D413+D416</f>
        <v>12348.770568400003</v>
      </c>
      <c r="E417" s="72"/>
      <c r="F417" s="31"/>
    </row>
    <row r="418" spans="2:6">
      <c r="B418" s="300" t="s">
        <v>213</v>
      </c>
      <c r="C418" s="303">
        <f>J405</f>
        <v>8593.6565217391308</v>
      </c>
      <c r="D418" s="179">
        <f>K405</f>
        <v>1656.180826751269</v>
      </c>
      <c r="E418" s="40"/>
      <c r="F418" s="40"/>
    </row>
    <row r="420" spans="2:6">
      <c r="B420" s="109"/>
      <c r="C420" s="353">
        <v>0</v>
      </c>
      <c r="D420" s="134"/>
      <c r="F420" s="110"/>
    </row>
    <row r="421" spans="2:6">
      <c r="B421" s="109"/>
      <c r="C421" s="109"/>
      <c r="D421" s="134"/>
    </row>
    <row r="422" spans="2:6">
      <c r="B422" s="41" t="s">
        <v>37</v>
      </c>
      <c r="C422" s="404">
        <v>38345.956095435686</v>
      </c>
      <c r="D422" s="135"/>
    </row>
    <row r="423" spans="2:6">
      <c r="B423" s="41" t="s">
        <v>38</v>
      </c>
      <c r="C423" s="136">
        <f>C422/C418</f>
        <v>4.4621234277205515</v>
      </c>
      <c r="D423" s="136"/>
    </row>
    <row r="425" spans="2:6" ht="13.5" thickBot="1"/>
    <row r="426" spans="2:6">
      <c r="B426" s="81" t="s">
        <v>239</v>
      </c>
      <c r="C426" s="124" t="s">
        <v>194</v>
      </c>
      <c r="D426" s="82" t="s">
        <v>170</v>
      </c>
      <c r="E426" s="111"/>
      <c r="F426" s="111"/>
    </row>
    <row r="427" spans="2:6">
      <c r="B427" s="83" t="s">
        <v>184</v>
      </c>
      <c r="C427" s="329">
        <f>C408</f>
        <v>2637.866</v>
      </c>
      <c r="D427" s="180">
        <f>C427*$H396</f>
        <v>512.27357719999998</v>
      </c>
      <c r="E427" s="112"/>
      <c r="F427" s="112"/>
    </row>
    <row r="428" spans="2:6">
      <c r="B428" s="83" t="s">
        <v>40</v>
      </c>
      <c r="C428" s="327">
        <f>C414</f>
        <v>23528.803</v>
      </c>
      <c r="D428" s="180">
        <f>C428*$H396</f>
        <v>4569.2935426000004</v>
      </c>
      <c r="E428" s="112"/>
      <c r="F428" s="112"/>
    </row>
    <row r="429" spans="2:6" ht="13.5" thickBot="1">
      <c r="B429" s="389" t="s">
        <v>41</v>
      </c>
      <c r="C429" s="390">
        <f>SUM(C427:C428)</f>
        <v>26166.669000000002</v>
      </c>
      <c r="D429" s="391">
        <f>SUM(D427:D428)</f>
        <v>5081.5671198</v>
      </c>
      <c r="E429" s="112"/>
      <c r="F429" s="112"/>
    </row>
    <row r="431" spans="2:6" ht="13.5" thickBot="1">
      <c r="E431" s="112"/>
    </row>
    <row r="432" spans="2:6">
      <c r="B432" s="81" t="s">
        <v>240</v>
      </c>
      <c r="C432" s="124" t="s">
        <v>194</v>
      </c>
      <c r="D432" s="124" t="s">
        <v>170</v>
      </c>
      <c r="E432" s="112"/>
      <c r="F432" s="69"/>
    </row>
    <row r="433" spans="1:11">
      <c r="B433" s="73">
        <v>2023</v>
      </c>
      <c r="C433" s="183">
        <f>D433/H396</f>
        <v>3151.3903192584962</v>
      </c>
      <c r="D433" s="373">
        <v>612</v>
      </c>
      <c r="E433" s="112"/>
    </row>
    <row r="434" spans="1:11">
      <c r="B434" s="73">
        <v>2024</v>
      </c>
      <c r="C434" s="183">
        <f>D434/H396</f>
        <v>9145.2111225540666</v>
      </c>
      <c r="D434" s="373">
        <v>1776</v>
      </c>
      <c r="E434" s="112"/>
    </row>
    <row r="435" spans="1:11">
      <c r="B435" s="73">
        <v>2025</v>
      </c>
      <c r="C435" s="183">
        <f>D435/H396</f>
        <v>8110.1956745623065</v>
      </c>
      <c r="D435" s="373">
        <v>1575</v>
      </c>
      <c r="E435" s="112"/>
    </row>
    <row r="436" spans="1:11">
      <c r="B436" s="73">
        <v>2026</v>
      </c>
      <c r="C436" s="183">
        <f>D436/H396</f>
        <v>10921.730175077239</v>
      </c>
      <c r="D436" s="373">
        <v>2121</v>
      </c>
      <c r="E436" s="112"/>
    </row>
    <row r="437" spans="1:11">
      <c r="B437" s="73">
        <v>2027</v>
      </c>
      <c r="C437" s="183">
        <f>D437/H396</f>
        <v>4711.6374871266735</v>
      </c>
      <c r="D437" s="373">
        <v>915</v>
      </c>
      <c r="E437" s="112"/>
    </row>
    <row r="438" spans="1:11" ht="13.5" thickBot="1">
      <c r="B438" s="125" t="s">
        <v>222</v>
      </c>
      <c r="C438" s="382">
        <f>C413-SUM(C433:C437)-C411-C412</f>
        <v>16581.465221421218</v>
      </c>
      <c r="D438" s="383">
        <f>C438*H396</f>
        <v>3220.1205460000006</v>
      </c>
      <c r="E438" s="112"/>
    </row>
    <row r="439" spans="1:11" ht="12.75" customHeight="1">
      <c r="B439" s="69" t="s">
        <v>44</v>
      </c>
      <c r="C439" s="374">
        <f>SUM(C433:C438)</f>
        <v>52621.63</v>
      </c>
      <c r="D439" s="374">
        <f>SUM(D433:D438)</f>
        <v>10219.120546</v>
      </c>
      <c r="E439" s="112"/>
      <c r="F439" s="113"/>
    </row>
    <row r="440" spans="1:11">
      <c r="B440" s="90" t="s">
        <v>36</v>
      </c>
      <c r="C440" s="403">
        <v>0</v>
      </c>
      <c r="D440" s="110"/>
      <c r="E440" s="96"/>
    </row>
    <row r="441" spans="1:11">
      <c r="B441" s="90"/>
      <c r="C441" s="121"/>
      <c r="D441" s="110"/>
      <c r="E441" s="96"/>
    </row>
    <row r="442" spans="1:11">
      <c r="B442" s="90"/>
      <c r="C442" s="121"/>
      <c r="D442" s="110"/>
      <c r="E442" s="96"/>
    </row>
    <row r="443" spans="1:11">
      <c r="A443" s="69" t="s">
        <v>241</v>
      </c>
      <c r="B443" s="30" t="s">
        <v>188</v>
      </c>
      <c r="C443" s="508" t="s">
        <v>242</v>
      </c>
      <c r="D443" s="508"/>
      <c r="E443" s="114" t="s">
        <v>181</v>
      </c>
      <c r="F443" s="31"/>
      <c r="G443" s="69" t="s">
        <v>243</v>
      </c>
      <c r="H443" s="172">
        <v>0.2059</v>
      </c>
      <c r="I443" s="31"/>
      <c r="J443" s="31"/>
      <c r="K443" s="31"/>
    </row>
    <row r="444" spans="1:11">
      <c r="B444" s="108"/>
      <c r="C444" s="139" t="s">
        <v>4</v>
      </c>
      <c r="D444" s="139" t="s">
        <v>5</v>
      </c>
      <c r="E444" s="138"/>
      <c r="F444" s="31"/>
      <c r="G444" s="69" t="s">
        <v>244</v>
      </c>
      <c r="H444" s="172">
        <v>0.19403572088724583</v>
      </c>
      <c r="I444" s="31"/>
      <c r="J444" s="31"/>
      <c r="K444" s="31"/>
    </row>
    <row r="445" spans="1:11">
      <c r="B445" s="108" t="s">
        <v>9</v>
      </c>
      <c r="C445" s="108"/>
      <c r="D445" s="95"/>
      <c r="E445" s="88"/>
      <c r="F445" s="31"/>
    </row>
    <row r="446" spans="1:11">
      <c r="B446" s="87" t="s">
        <v>11</v>
      </c>
      <c r="C446" s="173">
        <v>0.01</v>
      </c>
      <c r="D446" s="173">
        <f>C446*$H443</f>
        <v>2.0590000000000001E-3</v>
      </c>
      <c r="E446" s="88"/>
      <c r="F446" s="31"/>
    </row>
    <row r="447" spans="1:11">
      <c r="B447" s="87" t="s">
        <v>13</v>
      </c>
      <c r="C447" s="173">
        <v>7949.384</v>
      </c>
      <c r="D447" s="173">
        <f>C447*$H443</f>
        <v>1636.7781656</v>
      </c>
      <c r="E447" s="88"/>
      <c r="F447" s="31"/>
      <c r="I447" s="338" t="s">
        <v>8</v>
      </c>
      <c r="J447" s="358" t="s">
        <v>192</v>
      </c>
      <c r="K447" s="358" t="s">
        <v>5</v>
      </c>
    </row>
    <row r="448" spans="1:11">
      <c r="B448" s="87" t="s">
        <v>15</v>
      </c>
      <c r="C448" s="173">
        <v>12798.582</v>
      </c>
      <c r="D448" s="173">
        <f>C448*$H443</f>
        <v>2635.2280338</v>
      </c>
      <c r="E448" s="88"/>
      <c r="F448" s="31"/>
      <c r="I448" s="69"/>
      <c r="J448" s="372"/>
      <c r="K448" s="372"/>
    </row>
    <row r="449" spans="2:11">
      <c r="B449" s="87" t="s">
        <v>17</v>
      </c>
      <c r="C449" s="173">
        <v>0</v>
      </c>
      <c r="D449" s="173">
        <f>C449*$H443</f>
        <v>0</v>
      </c>
      <c r="E449" s="88"/>
      <c r="F449" s="31"/>
      <c r="I449" s="32" t="s">
        <v>10</v>
      </c>
      <c r="J449" s="378">
        <v>58371.283000000003</v>
      </c>
      <c r="K449" s="350">
        <f>J449*H443</f>
        <v>12018.6471697</v>
      </c>
    </row>
    <row r="450" spans="2:11">
      <c r="B450" s="108" t="s">
        <v>19</v>
      </c>
      <c r="C450" s="173"/>
      <c r="D450" s="173"/>
      <c r="E450" s="88"/>
      <c r="F450" s="31"/>
      <c r="I450" s="32" t="s">
        <v>12</v>
      </c>
      <c r="J450" s="350">
        <f>C461</f>
        <v>18924.07</v>
      </c>
      <c r="K450" s="350">
        <f>J450*H443</f>
        <v>3896.4660129999997</v>
      </c>
    </row>
    <row r="451" spans="2:11">
      <c r="B451" s="87" t="s">
        <v>20</v>
      </c>
      <c r="C451" s="173">
        <v>7572.4639999999999</v>
      </c>
      <c r="D451" s="173">
        <f>C451*$H443</f>
        <v>1559.1703376</v>
      </c>
      <c r="E451" s="88"/>
      <c r="F451" s="31"/>
      <c r="I451" s="69" t="s">
        <v>14</v>
      </c>
      <c r="J451" s="351">
        <f>J449-J450</f>
        <v>39447.213000000003</v>
      </c>
      <c r="K451" s="351">
        <f>K449-K450</f>
        <v>8122.1811567000004</v>
      </c>
    </row>
    <row r="452" spans="2:11">
      <c r="B452" s="87" t="s">
        <v>21</v>
      </c>
      <c r="C452" s="173">
        <v>21692.01</v>
      </c>
      <c r="D452" s="173">
        <f>C452*$H443</f>
        <v>4466.3848589999998</v>
      </c>
      <c r="E452" s="88"/>
      <c r="F452" s="31"/>
      <c r="I452" s="32" t="s">
        <v>182</v>
      </c>
      <c r="J452" s="350">
        <f>J451/J453</f>
        <v>11270.632285714286</v>
      </c>
      <c r="K452" s="350">
        <f>K451/K453</f>
        <v>2300.9011775354111</v>
      </c>
    </row>
    <row r="453" spans="2:11">
      <c r="B453" s="87" t="s">
        <v>22</v>
      </c>
      <c r="C453" s="173">
        <v>5045.7719999999999</v>
      </c>
      <c r="D453" s="173">
        <f>C453*$H443</f>
        <v>1038.9244547999999</v>
      </c>
      <c r="E453" s="88"/>
      <c r="F453" s="31"/>
      <c r="I453" s="42" t="s">
        <v>18</v>
      </c>
      <c r="J453" s="359">
        <v>3.5</v>
      </c>
      <c r="K453" s="359">
        <v>3.53</v>
      </c>
    </row>
    <row r="454" spans="2:11">
      <c r="B454" s="87" t="s">
        <v>24</v>
      </c>
      <c r="C454" s="173">
        <v>0</v>
      </c>
      <c r="D454" s="173">
        <f>C454*$H443</f>
        <v>0</v>
      </c>
      <c r="E454" s="88"/>
      <c r="F454" s="31"/>
    </row>
    <row r="455" spans="2:11">
      <c r="B455" s="87" t="s">
        <v>23</v>
      </c>
      <c r="C455" s="173">
        <v>2269.3429999999998</v>
      </c>
      <c r="D455" s="173">
        <f>C455*$H443</f>
        <v>467.25772369999999</v>
      </c>
      <c r="E455" s="88"/>
      <c r="F455" s="31"/>
    </row>
    <row r="456" spans="2:11">
      <c r="B456" s="87" t="s">
        <v>25</v>
      </c>
      <c r="C456" s="173">
        <v>0</v>
      </c>
      <c r="D456" s="173">
        <f>C456*$H443</f>
        <v>0</v>
      </c>
      <c r="E456" s="88"/>
      <c r="F456" s="31"/>
    </row>
    <row r="457" spans="2:11">
      <c r="B457" s="87" t="s">
        <v>26</v>
      </c>
      <c r="C457" s="173">
        <v>1043.7280000000001</v>
      </c>
      <c r="D457" s="173">
        <f>C457*$H443</f>
        <v>214.90359520000001</v>
      </c>
      <c r="E457" s="88"/>
      <c r="F457" s="31"/>
    </row>
    <row r="458" spans="2:11">
      <c r="B458" s="87" t="s">
        <v>28</v>
      </c>
      <c r="C458" s="173">
        <v>320.93399999999997</v>
      </c>
      <c r="D458" s="173">
        <f>C458*$H443</f>
        <v>66.08031059999999</v>
      </c>
      <c r="E458" s="88"/>
      <c r="F458" s="31"/>
    </row>
    <row r="459" spans="2:11">
      <c r="B459" s="87" t="s">
        <v>29</v>
      </c>
      <c r="C459" s="173">
        <v>3756.42</v>
      </c>
      <c r="D459" s="173">
        <f>C459*$H443</f>
        <v>773.44687799999997</v>
      </c>
      <c r="E459" s="88"/>
      <c r="F459" s="31"/>
      <c r="H459" s="110"/>
    </row>
    <row r="460" spans="2:11">
      <c r="B460" s="41" t="s">
        <v>30</v>
      </c>
      <c r="C460" s="131">
        <f>SUM(C445:C459)</f>
        <v>62448.646999999997</v>
      </c>
      <c r="D460" s="131">
        <f>SUM(D445:D459)</f>
        <v>12858.176417300001</v>
      </c>
      <c r="E460" s="42">
        <f>+C460/C465</f>
        <v>5.5408290694706359</v>
      </c>
      <c r="F460" s="31"/>
      <c r="G460" s="110"/>
    </row>
    <row r="461" spans="2:11">
      <c r="B461" s="40" t="s">
        <v>31</v>
      </c>
      <c r="C461" s="175">
        <v>18924.07</v>
      </c>
      <c r="D461" s="352">
        <f>C461*$H443</f>
        <v>3896.4660129999997</v>
      </c>
      <c r="E461" s="43"/>
      <c r="F461" s="31"/>
      <c r="H461" s="85"/>
    </row>
    <row r="462" spans="2:11">
      <c r="B462" s="41" t="s">
        <v>32</v>
      </c>
      <c r="C462" s="176">
        <f>+C460-C461</f>
        <v>43524.576999999997</v>
      </c>
      <c r="D462" s="131">
        <f>+D460-D461</f>
        <v>8961.7104043000018</v>
      </c>
      <c r="E462" s="42">
        <f>+C462/C465</f>
        <v>3.8617688783235455</v>
      </c>
      <c r="F462" s="31"/>
    </row>
    <row r="463" spans="2:11">
      <c r="B463" s="71" t="s">
        <v>33</v>
      </c>
      <c r="C463" s="177">
        <v>5766.42</v>
      </c>
      <c r="D463" s="352">
        <f>C463*$H443</f>
        <v>1187.3058780000001</v>
      </c>
      <c r="E463" s="72"/>
      <c r="F463" s="31"/>
    </row>
    <row r="464" spans="2:11">
      <c r="B464" s="71" t="s">
        <v>34</v>
      </c>
      <c r="C464" s="178">
        <f>C460+C463</f>
        <v>68215.066999999995</v>
      </c>
      <c r="D464" s="178">
        <f>D460+D463</f>
        <v>14045.4822953</v>
      </c>
      <c r="E464" s="72"/>
      <c r="F464" s="31"/>
    </row>
    <row r="465" spans="2:6">
      <c r="B465" s="300" t="s">
        <v>213</v>
      </c>
      <c r="C465" s="303">
        <f>J452</f>
        <v>11270.632285714286</v>
      </c>
      <c r="D465" s="179">
        <f>K452</f>
        <v>2300.9011775354111</v>
      </c>
      <c r="E465" s="40"/>
      <c r="F465" s="40"/>
    </row>
    <row r="467" spans="2:6">
      <c r="B467" s="109"/>
      <c r="C467" s="353">
        <v>0</v>
      </c>
      <c r="D467" s="134"/>
      <c r="F467" s="110"/>
    </row>
    <row r="468" spans="2:6">
      <c r="B468" s="109"/>
      <c r="C468" s="109"/>
      <c r="D468" s="134"/>
    </row>
    <row r="469" spans="2:6">
      <c r="B469" s="41" t="s">
        <v>37</v>
      </c>
      <c r="C469" s="404">
        <v>48417.576999999997</v>
      </c>
      <c r="D469" s="135"/>
    </row>
    <row r="470" spans="2:6">
      <c r="B470" s="41" t="s">
        <v>38</v>
      </c>
      <c r="C470" s="136">
        <f>C469/C465</f>
        <v>4.295906012422221</v>
      </c>
      <c r="D470" s="136"/>
    </row>
    <row r="472" spans="2:6" ht="13.5" thickBot="1"/>
    <row r="473" spans="2:6">
      <c r="B473" s="81" t="s">
        <v>245</v>
      </c>
      <c r="C473" s="124" t="s">
        <v>194</v>
      </c>
      <c r="D473" s="82" t="s">
        <v>170</v>
      </c>
      <c r="E473" s="111"/>
      <c r="F473" s="111"/>
    </row>
    <row r="474" spans="2:6">
      <c r="B474" s="83" t="s">
        <v>184</v>
      </c>
      <c r="C474" s="329">
        <f>C455</f>
        <v>2269.3429999999998</v>
      </c>
      <c r="D474" s="180">
        <f>C474*$H443</f>
        <v>467.25772369999999</v>
      </c>
      <c r="E474" s="112"/>
      <c r="F474" s="112"/>
    </row>
    <row r="475" spans="2:6">
      <c r="B475" s="83" t="s">
        <v>40</v>
      </c>
      <c r="C475" s="327">
        <f>C461</f>
        <v>18924.07</v>
      </c>
      <c r="D475" s="180">
        <f>C475*$H443</f>
        <v>3896.4660129999997</v>
      </c>
      <c r="E475" s="112"/>
      <c r="F475" s="112"/>
    </row>
    <row r="476" spans="2:6" ht="13.5" thickBot="1">
      <c r="B476" s="389" t="s">
        <v>41</v>
      </c>
      <c r="C476" s="390">
        <f>SUM(C474:C475)</f>
        <v>21193.413</v>
      </c>
      <c r="D476" s="391">
        <f>SUM(D474:D475)</f>
        <v>4363.7237366999998</v>
      </c>
      <c r="E476" s="112"/>
      <c r="F476" s="112"/>
    </row>
    <row r="478" spans="2:6" ht="13.5" thickBot="1">
      <c r="E478" s="112"/>
    </row>
    <row r="479" spans="2:6">
      <c r="B479" s="81" t="s">
        <v>246</v>
      </c>
      <c r="C479" s="124" t="s">
        <v>194</v>
      </c>
      <c r="D479" s="124" t="s">
        <v>170</v>
      </c>
      <c r="E479" s="112"/>
      <c r="F479" s="69"/>
    </row>
    <row r="480" spans="2:6">
      <c r="B480" s="73">
        <v>2023</v>
      </c>
      <c r="C480" s="373">
        <v>6446.8379999999997</v>
      </c>
      <c r="D480" s="183">
        <f t="shared" ref="D480:D485" si="4">C480*$H$490</f>
        <v>1265.5142994</v>
      </c>
      <c r="E480" s="112"/>
    </row>
    <row r="481" spans="1:11">
      <c r="B481" s="73">
        <v>2024</v>
      </c>
      <c r="C481" s="373">
        <v>8186.8549999999996</v>
      </c>
      <c r="D481" s="183">
        <f t="shared" si="4"/>
        <v>1607.0796364999999</v>
      </c>
      <c r="E481" s="112"/>
    </row>
    <row r="482" spans="1:11">
      <c r="B482" s="73">
        <v>2025</v>
      </c>
      <c r="C482" s="373">
        <v>5876.6760000000004</v>
      </c>
      <c r="D482" s="183">
        <f t="shared" si="4"/>
        <v>1153.5914988000002</v>
      </c>
      <c r="E482" s="112"/>
    </row>
    <row r="483" spans="1:11">
      <c r="B483" s="73">
        <v>2026</v>
      </c>
      <c r="C483" s="373">
        <v>10995.406999999999</v>
      </c>
      <c r="D483" s="183">
        <f t="shared" si="4"/>
        <v>2158.3983940999997</v>
      </c>
      <c r="E483" s="112"/>
    </row>
    <row r="484" spans="1:11">
      <c r="B484" s="73">
        <v>2027</v>
      </c>
      <c r="C484" s="373">
        <v>5041.1639999999998</v>
      </c>
      <c r="D484" s="183">
        <f t="shared" si="4"/>
        <v>989.58049319999998</v>
      </c>
      <c r="E484" s="112"/>
    </row>
    <row r="485" spans="1:11" ht="12.75" customHeight="1" thickBot="1">
      <c r="B485" s="125" t="s">
        <v>222</v>
      </c>
      <c r="C485" s="382">
        <v>21824.343000000001</v>
      </c>
      <c r="D485" s="383">
        <f t="shared" si="4"/>
        <v>4284.1185309000002</v>
      </c>
      <c r="E485" s="112"/>
    </row>
    <row r="486" spans="1:11">
      <c r="B486" s="69" t="s">
        <v>44</v>
      </c>
      <c r="C486" s="374">
        <f>SUM(C480:C485)</f>
        <v>58371.282999999996</v>
      </c>
      <c r="D486" s="374">
        <f>SUM(D480:D485)</f>
        <v>11458.2828529</v>
      </c>
      <c r="E486" s="112"/>
      <c r="F486" s="113"/>
    </row>
    <row r="487" spans="1:11">
      <c r="B487" s="90" t="s">
        <v>36</v>
      </c>
      <c r="C487" s="403">
        <v>0</v>
      </c>
      <c r="D487" s="110"/>
      <c r="E487" s="96"/>
    </row>
    <row r="488" spans="1:11">
      <c r="B488" s="90"/>
      <c r="C488" s="121"/>
      <c r="D488" s="110"/>
      <c r="E488" s="96"/>
    </row>
    <row r="489" spans="1:11">
      <c r="B489" s="90"/>
      <c r="C489" s="121"/>
      <c r="D489" s="110"/>
      <c r="E489" s="96"/>
    </row>
    <row r="490" spans="1:11">
      <c r="A490" s="69" t="s">
        <v>247</v>
      </c>
      <c r="B490" s="30" t="s">
        <v>188</v>
      </c>
      <c r="C490" s="508" t="s">
        <v>248</v>
      </c>
      <c r="D490" s="508"/>
      <c r="E490" s="114" t="s">
        <v>181</v>
      </c>
      <c r="F490" s="31"/>
      <c r="G490" s="69" t="s">
        <v>249</v>
      </c>
      <c r="H490" s="172">
        <v>0.1963</v>
      </c>
      <c r="I490" s="31"/>
      <c r="J490" s="31"/>
      <c r="K490" s="31"/>
    </row>
    <row r="491" spans="1:11">
      <c r="B491" s="108"/>
      <c r="C491" s="139" t="s">
        <v>4</v>
      </c>
      <c r="D491" s="139" t="s">
        <v>5</v>
      </c>
      <c r="E491" s="138"/>
      <c r="F491" s="31"/>
      <c r="G491" s="69" t="s">
        <v>250</v>
      </c>
      <c r="H491" s="172">
        <v>0.1925</v>
      </c>
      <c r="I491" s="31"/>
      <c r="J491" s="31"/>
      <c r="K491" s="31"/>
    </row>
    <row r="492" spans="1:11">
      <c r="B492" s="108" t="s">
        <v>9</v>
      </c>
      <c r="C492" s="108"/>
      <c r="D492" s="95"/>
      <c r="E492" s="88"/>
      <c r="F492" s="31"/>
    </row>
    <row r="493" spans="1:11">
      <c r="B493" s="87" t="s">
        <v>11</v>
      </c>
      <c r="C493" s="173">
        <v>0</v>
      </c>
      <c r="D493" s="173">
        <f>C493*$H$490</f>
        <v>0</v>
      </c>
      <c r="E493" s="88"/>
      <c r="F493" s="31"/>
    </row>
    <row r="494" spans="1:11">
      <c r="B494" s="87" t="s">
        <v>13</v>
      </c>
      <c r="C494" s="173">
        <v>10315.217000000001</v>
      </c>
      <c r="D494" s="173">
        <f>C494*$H$490</f>
        <v>2024.8770971000001</v>
      </c>
      <c r="E494" s="88"/>
      <c r="F494" s="31"/>
      <c r="I494" s="338" t="s">
        <v>8</v>
      </c>
      <c r="J494" s="358" t="s">
        <v>192</v>
      </c>
      <c r="K494" s="358" t="s">
        <v>5</v>
      </c>
    </row>
    <row r="495" spans="1:11">
      <c r="B495" s="87" t="s">
        <v>15</v>
      </c>
      <c r="C495" s="173">
        <v>12123.310000000001</v>
      </c>
      <c r="D495" s="173">
        <f>C495*$H$490</f>
        <v>2379.8057530000001</v>
      </c>
      <c r="E495" s="88"/>
      <c r="F495" s="31"/>
      <c r="I495" s="69"/>
      <c r="J495" s="372"/>
      <c r="K495" s="372"/>
    </row>
    <row r="496" spans="1:11">
      <c r="B496" s="87" t="s">
        <v>17</v>
      </c>
      <c r="C496" s="173">
        <v>0</v>
      </c>
      <c r="D496" s="173">
        <f>C496*$H$490</f>
        <v>0</v>
      </c>
      <c r="E496" s="88"/>
      <c r="F496" s="31"/>
      <c r="I496" s="32" t="s">
        <v>10</v>
      </c>
      <c r="J496" s="378">
        <v>59835.303</v>
      </c>
      <c r="K496" s="350">
        <f>J496*H490</f>
        <v>11745.669978899999</v>
      </c>
    </row>
    <row r="497" spans="2:11">
      <c r="B497" s="108" t="s">
        <v>19</v>
      </c>
      <c r="C497" s="173"/>
      <c r="D497" s="173"/>
      <c r="E497" s="88"/>
      <c r="F497" s="31"/>
      <c r="I497" s="32" t="s">
        <v>12</v>
      </c>
      <c r="J497" s="350">
        <f>C508</f>
        <v>19611.825000000001</v>
      </c>
      <c r="K497" s="350">
        <f>J497*H490</f>
        <v>3849.8012475</v>
      </c>
    </row>
    <row r="498" spans="2:11">
      <c r="B498" s="87" t="s">
        <v>20</v>
      </c>
      <c r="C498" s="173">
        <v>4359.9089999999997</v>
      </c>
      <c r="D498" s="173">
        <f t="shared" ref="D498:D506" si="5">C498*$H$490</f>
        <v>855.85013669999989</v>
      </c>
      <c r="E498" s="88"/>
      <c r="F498" s="31"/>
      <c r="I498" s="69" t="s">
        <v>14</v>
      </c>
      <c r="J498" s="351">
        <f>J496-J497</f>
        <v>40223.478000000003</v>
      </c>
      <c r="K498" s="351">
        <f>K496-K497</f>
        <v>7895.8687313999999</v>
      </c>
    </row>
    <row r="499" spans="2:11">
      <c r="B499" s="87" t="s">
        <v>21</v>
      </c>
      <c r="C499" s="173">
        <v>23873.541000000001</v>
      </c>
      <c r="D499" s="173">
        <f t="shared" si="5"/>
        <v>4686.3760983000002</v>
      </c>
      <c r="E499" s="88"/>
      <c r="F499" s="31"/>
      <c r="I499" s="32" t="s">
        <v>182</v>
      </c>
      <c r="J499" s="350">
        <f>J498/J500</f>
        <v>11492.422285714287</v>
      </c>
      <c r="K499" s="350">
        <f>K498/K500</f>
        <v>2099.9650881382981</v>
      </c>
    </row>
    <row r="500" spans="2:11">
      <c r="B500" s="87" t="s">
        <v>22</v>
      </c>
      <c r="C500" s="173">
        <v>5520.5290000000005</v>
      </c>
      <c r="D500" s="173">
        <f t="shared" si="5"/>
        <v>1083.6798427000001</v>
      </c>
      <c r="E500" s="88"/>
      <c r="F500" s="31"/>
      <c r="I500" s="42" t="s">
        <v>18</v>
      </c>
      <c r="J500" s="359">
        <v>3.5</v>
      </c>
      <c r="K500" s="359">
        <v>3.76</v>
      </c>
    </row>
    <row r="501" spans="2:11">
      <c r="B501" s="87" t="s">
        <v>24</v>
      </c>
      <c r="C501" s="173">
        <v>0</v>
      </c>
      <c r="D501" s="173">
        <f t="shared" si="5"/>
        <v>0</v>
      </c>
      <c r="E501" s="88"/>
      <c r="F501" s="31"/>
    </row>
    <row r="502" spans="2:11">
      <c r="B502" s="87" t="s">
        <v>23</v>
      </c>
      <c r="C502" s="173">
        <v>2359.4290000000001</v>
      </c>
      <c r="D502" s="173">
        <f t="shared" si="5"/>
        <v>463.15591270000004</v>
      </c>
      <c r="E502" s="88"/>
      <c r="F502" s="31"/>
    </row>
    <row r="503" spans="2:11">
      <c r="B503" s="87" t="s">
        <v>25</v>
      </c>
      <c r="C503" s="173">
        <v>0</v>
      </c>
      <c r="D503" s="173">
        <f t="shared" si="5"/>
        <v>0</v>
      </c>
      <c r="E503" s="88"/>
      <c r="F503" s="31"/>
    </row>
    <row r="504" spans="2:11">
      <c r="B504" s="87" t="s">
        <v>26</v>
      </c>
      <c r="C504" s="173">
        <v>1283.3679999999999</v>
      </c>
      <c r="D504" s="173">
        <f t="shared" si="5"/>
        <v>251.92513839999998</v>
      </c>
      <c r="E504" s="88"/>
      <c r="F504" s="31"/>
    </row>
    <row r="505" spans="2:11">
      <c r="B505" s="87" t="s">
        <v>28</v>
      </c>
      <c r="C505" s="173">
        <v>919.42900000000009</v>
      </c>
      <c r="D505" s="173">
        <f t="shared" si="5"/>
        <v>180.48391270000002</v>
      </c>
      <c r="E505" s="88"/>
      <c r="F505" s="31"/>
    </row>
    <row r="506" spans="2:11">
      <c r="B506" s="87" t="s">
        <v>29</v>
      </c>
      <c r="C506" s="173">
        <v>3757.681</v>
      </c>
      <c r="D506" s="173">
        <f t="shared" si="5"/>
        <v>737.63278030000004</v>
      </c>
      <c r="E506" s="88"/>
      <c r="F506" s="31"/>
      <c r="H506" s="110"/>
    </row>
    <row r="507" spans="2:11">
      <c r="B507" s="41" t="s">
        <v>30</v>
      </c>
      <c r="C507" s="131">
        <f>SUM(C492:C506)</f>
        <v>64512.413</v>
      </c>
      <c r="D507" s="131">
        <f>SUM(D492:D506)</f>
        <v>12663.786671899999</v>
      </c>
      <c r="E507" s="42">
        <f>+C507/C512</f>
        <v>5.6134739392749671</v>
      </c>
      <c r="F507" s="31"/>
      <c r="G507" s="110"/>
    </row>
    <row r="508" spans="2:11">
      <c r="B508" s="40" t="s">
        <v>31</v>
      </c>
      <c r="C508" s="175">
        <v>19611.825000000001</v>
      </c>
      <c r="D508" s="173">
        <f>C508*$H$490</f>
        <v>3849.8012475</v>
      </c>
      <c r="E508" s="43"/>
      <c r="F508" s="31"/>
      <c r="H508" s="85"/>
    </row>
    <row r="509" spans="2:11">
      <c r="B509" s="41" t="s">
        <v>32</v>
      </c>
      <c r="C509" s="176">
        <f>+C507-C508</f>
        <v>44900.588000000003</v>
      </c>
      <c r="D509" s="131">
        <f>+D507-D508</f>
        <v>8813.9854243999998</v>
      </c>
      <c r="E509" s="42">
        <f>+C509/C512</f>
        <v>3.906973385046415</v>
      </c>
      <c r="F509" s="31"/>
    </row>
    <row r="510" spans="2:11">
      <c r="B510" s="71" t="s">
        <v>33</v>
      </c>
      <c r="C510" s="177">
        <v>6098.7309999999998</v>
      </c>
      <c r="D510" s="173">
        <f>C510*$H$490</f>
        <v>1197.1808953</v>
      </c>
      <c r="E510" s="72"/>
      <c r="F510" s="31"/>
    </row>
    <row r="511" spans="2:11">
      <c r="B511" s="71" t="s">
        <v>34</v>
      </c>
      <c r="C511" s="178">
        <f>C507+C510</f>
        <v>70611.144</v>
      </c>
      <c r="D511" s="178">
        <f>D507+D510</f>
        <v>13860.967567199999</v>
      </c>
      <c r="E511" s="72"/>
      <c r="F511" s="31"/>
    </row>
    <row r="512" spans="2:11">
      <c r="B512" s="300" t="s">
        <v>213</v>
      </c>
      <c r="C512" s="303">
        <f>J499</f>
        <v>11492.422285714287</v>
      </c>
      <c r="D512" s="179">
        <f>K499</f>
        <v>2099.9650881382981</v>
      </c>
      <c r="E512" s="40"/>
      <c r="F512" s="40"/>
    </row>
    <row r="514" spans="2:6">
      <c r="B514" s="109"/>
      <c r="C514" s="353">
        <v>0</v>
      </c>
      <c r="D514" s="134"/>
      <c r="F514" s="110"/>
    </row>
    <row r="515" spans="2:6">
      <c r="B515" s="109"/>
      <c r="C515" s="109"/>
      <c r="D515" s="134"/>
    </row>
    <row r="516" spans="2:6">
      <c r="B516" s="41" t="s">
        <v>37</v>
      </c>
      <c r="C516" s="404">
        <v>49263.188000000002</v>
      </c>
      <c r="D516" s="135"/>
    </row>
    <row r="517" spans="2:6">
      <c r="B517" s="41" t="s">
        <v>38</v>
      </c>
      <c r="C517" s="136">
        <f>C516/C512</f>
        <v>4.2865800416363795</v>
      </c>
      <c r="D517" s="136"/>
    </row>
    <row r="519" spans="2:6" ht="13.5" thickBot="1"/>
    <row r="520" spans="2:6">
      <c r="B520" s="81" t="s">
        <v>251</v>
      </c>
      <c r="C520" s="124" t="s">
        <v>194</v>
      </c>
      <c r="D520" s="82" t="s">
        <v>170</v>
      </c>
      <c r="E520" s="111"/>
      <c r="F520" s="111"/>
    </row>
    <row r="521" spans="2:6">
      <c r="B521" s="83" t="s">
        <v>184</v>
      </c>
      <c r="C521" s="329">
        <f>C502</f>
        <v>2359.4290000000001</v>
      </c>
      <c r="D521" s="180">
        <f>C521*$H$490</f>
        <v>463.15591270000004</v>
      </c>
      <c r="E521" s="112"/>
      <c r="F521" s="112"/>
    </row>
    <row r="522" spans="2:6">
      <c r="B522" s="83" t="s">
        <v>40</v>
      </c>
      <c r="C522" s="327">
        <f>C508</f>
        <v>19611.825000000001</v>
      </c>
      <c r="D522" s="180">
        <f>C522*$H$490</f>
        <v>3849.8012475</v>
      </c>
      <c r="E522" s="112"/>
      <c r="F522" s="112"/>
    </row>
    <row r="523" spans="2:6" ht="13.5" thickBot="1">
      <c r="B523" s="389" t="s">
        <v>41</v>
      </c>
      <c r="C523" s="390">
        <f>SUM(C521:C522)</f>
        <v>21971.254000000001</v>
      </c>
      <c r="D523" s="391">
        <f>SUM(D521:D522)</f>
        <v>4312.9571601999996</v>
      </c>
      <c r="E523" s="112"/>
      <c r="F523" s="112"/>
    </row>
    <row r="525" spans="2:6" ht="13.5" thickBot="1"/>
    <row r="526" spans="2:6">
      <c r="B526" s="81" t="s">
        <v>252</v>
      </c>
      <c r="C526" s="124" t="s">
        <v>194</v>
      </c>
      <c r="D526" s="124" t="s">
        <v>170</v>
      </c>
      <c r="E526" s="69"/>
      <c r="F526" s="69"/>
    </row>
    <row r="527" spans="2:6">
      <c r="B527" s="73">
        <v>2023</v>
      </c>
      <c r="C527" s="373">
        <v>9140.85</v>
      </c>
      <c r="D527" s="183">
        <f t="shared" ref="D527:D532" si="6">C527*$H$490</f>
        <v>1794.3488550000002</v>
      </c>
    </row>
    <row r="528" spans="2:6">
      <c r="B528" s="73">
        <v>2024</v>
      </c>
      <c r="C528" s="373">
        <v>6048.1530000000002</v>
      </c>
      <c r="D528" s="183">
        <f t="shared" si="6"/>
        <v>1187.2524339000001</v>
      </c>
    </row>
    <row r="529" spans="1:11">
      <c r="B529" s="73">
        <v>2025</v>
      </c>
      <c r="C529" s="373">
        <v>4844.7079999999996</v>
      </c>
      <c r="D529" s="183">
        <f t="shared" si="6"/>
        <v>951.01618039999994</v>
      </c>
    </row>
    <row r="530" spans="1:11">
      <c r="B530" s="73">
        <v>2026</v>
      </c>
      <c r="C530" s="373">
        <v>11911.928</v>
      </c>
      <c r="D530" s="183">
        <f t="shared" si="6"/>
        <v>2338.3114664</v>
      </c>
    </row>
    <row r="531" spans="1:11">
      <c r="B531" s="73">
        <v>2027</v>
      </c>
      <c r="C531" s="373">
        <v>5381.0360000000001</v>
      </c>
      <c r="D531" s="183">
        <f t="shared" si="6"/>
        <v>1056.2973668</v>
      </c>
    </row>
    <row r="532" spans="1:11" ht="12.75" customHeight="1" thickBot="1">
      <c r="B532" s="125" t="s">
        <v>222</v>
      </c>
      <c r="C532" s="382">
        <v>22508.628000000001</v>
      </c>
      <c r="D532" s="383">
        <f t="shared" si="6"/>
        <v>4418.4436764000002</v>
      </c>
    </row>
    <row r="533" spans="1:11">
      <c r="B533" s="69" t="s">
        <v>44</v>
      </c>
      <c r="C533" s="374">
        <f>SUM(C527:C532)</f>
        <v>59835.303</v>
      </c>
      <c r="D533" s="374">
        <f>SUM(D527:D532)</f>
        <v>11745.669978899999</v>
      </c>
      <c r="E533" s="113"/>
      <c r="F533" s="113"/>
    </row>
    <row r="534" spans="1:11">
      <c r="B534" s="90" t="s">
        <v>36</v>
      </c>
      <c r="C534" s="403">
        <v>0</v>
      </c>
      <c r="D534" s="110"/>
      <c r="E534" s="96"/>
    </row>
    <row r="535" spans="1:11">
      <c r="B535" s="90"/>
      <c r="C535" s="121"/>
      <c r="D535" s="110"/>
      <c r="E535" s="96"/>
    </row>
    <row r="536" spans="1:11">
      <c r="B536" s="90"/>
      <c r="C536" s="121"/>
      <c r="D536" s="110"/>
      <c r="E536" s="96"/>
    </row>
    <row r="537" spans="1:11">
      <c r="A537" s="69" t="s">
        <v>253</v>
      </c>
      <c r="B537" s="30" t="s">
        <v>188</v>
      </c>
      <c r="C537" s="508" t="s">
        <v>254</v>
      </c>
      <c r="D537" s="508"/>
      <c r="E537" s="114" t="s">
        <v>181</v>
      </c>
      <c r="F537" s="31"/>
      <c r="G537" s="69" t="s">
        <v>255</v>
      </c>
      <c r="H537" s="172">
        <v>0.18909999999999999</v>
      </c>
      <c r="I537" s="31"/>
      <c r="J537" s="31"/>
      <c r="K537" s="31"/>
    </row>
    <row r="538" spans="1:11">
      <c r="B538" s="108"/>
      <c r="C538" s="139" t="s">
        <v>4</v>
      </c>
      <c r="D538" s="139" t="s">
        <v>5</v>
      </c>
      <c r="E538" s="138"/>
      <c r="F538" s="31"/>
      <c r="G538" s="69" t="s">
        <v>256</v>
      </c>
      <c r="H538" s="172">
        <v>0.19292820681068928</v>
      </c>
      <c r="I538" s="31"/>
      <c r="J538" s="31"/>
      <c r="K538" s="31"/>
    </row>
    <row r="539" spans="1:11">
      <c r="B539" s="108" t="s">
        <v>9</v>
      </c>
      <c r="C539" s="108"/>
      <c r="D539" s="95"/>
      <c r="E539" s="88"/>
      <c r="F539" s="31"/>
    </row>
    <row r="540" spans="1:11">
      <c r="B540" s="87" t="s">
        <v>11</v>
      </c>
      <c r="C540" s="173">
        <v>0</v>
      </c>
      <c r="D540" s="173">
        <f>C540*$H$537</f>
        <v>0</v>
      </c>
      <c r="E540" s="88"/>
      <c r="F540" s="31"/>
    </row>
    <row r="541" spans="1:11">
      <c r="B541" s="87" t="s">
        <v>13</v>
      </c>
      <c r="C541" s="173">
        <v>10772.751</v>
      </c>
      <c r="D541" s="173">
        <f t="shared" ref="D541:D553" si="7">C541*$H$537</f>
        <v>2037.1272140999999</v>
      </c>
      <c r="E541" s="88"/>
      <c r="F541" s="31"/>
      <c r="I541" s="338" t="s">
        <v>8</v>
      </c>
      <c r="J541" s="358" t="s">
        <v>192</v>
      </c>
      <c r="K541" s="358" t="s">
        <v>5</v>
      </c>
    </row>
    <row r="542" spans="1:11">
      <c r="B542" s="87" t="s">
        <v>15</v>
      </c>
      <c r="C542" s="173">
        <v>11958.242</v>
      </c>
      <c r="D542" s="173">
        <f t="shared" si="7"/>
        <v>2261.3035621999998</v>
      </c>
      <c r="E542" s="88"/>
      <c r="F542" s="31"/>
      <c r="I542" s="69"/>
      <c r="J542" s="372"/>
      <c r="K542" s="372"/>
    </row>
    <row r="543" spans="1:11">
      <c r="B543" s="87" t="s">
        <v>17</v>
      </c>
      <c r="C543" s="173">
        <v>0</v>
      </c>
      <c r="D543" s="173">
        <f t="shared" si="7"/>
        <v>0</v>
      </c>
      <c r="E543" s="88"/>
      <c r="F543" s="31"/>
      <c r="I543" s="32" t="s">
        <v>10</v>
      </c>
      <c r="J543" s="378">
        <v>61172.790999999997</v>
      </c>
      <c r="K543" s="350">
        <f>J543*H537</f>
        <v>11567.7747781</v>
      </c>
    </row>
    <row r="544" spans="1:11">
      <c r="B544" s="108" t="s">
        <v>19</v>
      </c>
      <c r="C544" s="173"/>
      <c r="D544" s="173"/>
      <c r="E544" s="88"/>
      <c r="F544" s="31"/>
      <c r="I544" s="32" t="s">
        <v>12</v>
      </c>
      <c r="J544" s="350">
        <f>C555</f>
        <v>22492.532999999999</v>
      </c>
      <c r="K544" s="350">
        <f>J544*H537</f>
        <v>4253.3379902999995</v>
      </c>
    </row>
    <row r="545" spans="2:11">
      <c r="B545" s="87" t="s">
        <v>20</v>
      </c>
      <c r="C545" s="173">
        <v>5218.8149999999996</v>
      </c>
      <c r="D545" s="173">
        <f t="shared" si="7"/>
        <v>986.87791649999986</v>
      </c>
      <c r="E545" s="88"/>
      <c r="F545" s="31"/>
      <c r="I545" s="69" t="s">
        <v>14</v>
      </c>
      <c r="J545" s="351">
        <f>J543-J544</f>
        <v>38680.258000000002</v>
      </c>
      <c r="K545" s="351">
        <f>K543-K544</f>
        <v>7314.4367878000003</v>
      </c>
    </row>
    <row r="546" spans="2:11">
      <c r="B546" s="87" t="s">
        <v>21</v>
      </c>
      <c r="C546" s="173">
        <v>24788.824000000001</v>
      </c>
      <c r="D546" s="173">
        <f t="shared" si="7"/>
        <v>4687.5666184000002</v>
      </c>
      <c r="E546" s="88"/>
      <c r="F546" s="31"/>
      <c r="I546" s="32" t="s">
        <v>182</v>
      </c>
      <c r="J546" s="350">
        <f>J545/J547</f>
        <v>14651.612878787879</v>
      </c>
      <c r="K546" s="350">
        <f>K545/K547</f>
        <v>2479.4700975593219</v>
      </c>
    </row>
    <row r="547" spans="2:11">
      <c r="B547" s="87" t="s">
        <v>22</v>
      </c>
      <c r="C547" s="173">
        <v>6263.45</v>
      </c>
      <c r="D547" s="173">
        <f t="shared" si="7"/>
        <v>1184.4183949999999</v>
      </c>
      <c r="E547" s="88"/>
      <c r="F547" s="31"/>
      <c r="I547" s="42" t="s">
        <v>18</v>
      </c>
      <c r="J547" s="359">
        <v>2.64</v>
      </c>
      <c r="K547" s="359">
        <v>2.95</v>
      </c>
    </row>
    <row r="548" spans="2:11">
      <c r="B548" s="87" t="s">
        <v>24</v>
      </c>
      <c r="C548" s="173">
        <v>0</v>
      </c>
      <c r="D548" s="173">
        <f t="shared" si="7"/>
        <v>0</v>
      </c>
      <c r="E548" s="88"/>
      <c r="F548" s="31"/>
    </row>
    <row r="549" spans="2:11">
      <c r="B549" s="87" t="s">
        <v>23</v>
      </c>
      <c r="C549" s="173">
        <v>1656.7049999999999</v>
      </c>
      <c r="D549" s="173">
        <f t="shared" si="7"/>
        <v>313.28291549999994</v>
      </c>
      <c r="E549" s="88"/>
      <c r="F549" s="31"/>
    </row>
    <row r="550" spans="2:11">
      <c r="B550" s="87" t="s">
        <v>25</v>
      </c>
      <c r="C550" s="173">
        <v>0</v>
      </c>
      <c r="D550" s="173">
        <f t="shared" si="7"/>
        <v>0</v>
      </c>
      <c r="E550" s="88"/>
      <c r="F550" s="31"/>
    </row>
    <row r="551" spans="2:11">
      <c r="B551" s="87" t="s">
        <v>26</v>
      </c>
      <c r="C551" s="173">
        <v>514.00400000000002</v>
      </c>
      <c r="D551" s="173">
        <f t="shared" si="7"/>
        <v>97.198156400000002</v>
      </c>
      <c r="E551" s="88"/>
      <c r="F551" s="31"/>
    </row>
    <row r="552" spans="2:11">
      <c r="B552" s="87" t="s">
        <v>28</v>
      </c>
      <c r="C552" s="173">
        <v>934.66099999999994</v>
      </c>
      <c r="D552" s="173">
        <f t="shared" si="7"/>
        <v>176.74439509999999</v>
      </c>
      <c r="E552" s="88"/>
      <c r="F552" s="31"/>
    </row>
    <row r="553" spans="2:11">
      <c r="B553" s="87" t="s">
        <v>29</v>
      </c>
      <c r="C553" s="173">
        <v>3603.098</v>
      </c>
      <c r="D553" s="173">
        <f t="shared" si="7"/>
        <v>681.34583179999993</v>
      </c>
      <c r="E553" s="88"/>
      <c r="F553" s="31"/>
      <c r="H553" s="110"/>
    </row>
    <row r="554" spans="2:11">
      <c r="B554" s="41" t="s">
        <v>30</v>
      </c>
      <c r="C554" s="131">
        <f>SUM(C539:C553)</f>
        <v>65710.55</v>
      </c>
      <c r="D554" s="131">
        <f>SUM(D539:D553)</f>
        <v>12425.865005</v>
      </c>
      <c r="E554" s="42">
        <f>+C554/C559</f>
        <v>4.4848680171678277</v>
      </c>
      <c r="F554" s="31"/>
      <c r="G554" s="110"/>
    </row>
    <row r="555" spans="2:11">
      <c r="B555" s="40" t="s">
        <v>31</v>
      </c>
      <c r="C555" s="175">
        <v>22492.532999999999</v>
      </c>
      <c r="D555" s="173">
        <f>C555*$H$537</f>
        <v>4253.3379902999995</v>
      </c>
      <c r="E555" s="43"/>
      <c r="F555" s="31"/>
      <c r="H555" s="85"/>
    </row>
    <row r="556" spans="2:11">
      <c r="B556" s="41" t="s">
        <v>32</v>
      </c>
      <c r="C556" s="176">
        <f>+C554-C555</f>
        <v>43218.017000000007</v>
      </c>
      <c r="D556" s="131">
        <f>+D554-D555</f>
        <v>8172.5270147000001</v>
      </c>
      <c r="E556" s="42">
        <f>+C556/C559</f>
        <v>2.9497105443298755</v>
      </c>
      <c r="F556" s="31"/>
    </row>
    <row r="557" spans="2:11">
      <c r="B557" s="71" t="s">
        <v>33</v>
      </c>
      <c r="C557" s="177">
        <v>7445.3869999999997</v>
      </c>
      <c r="D557" s="173">
        <f>C557*$H$537</f>
        <v>1407.9226816999999</v>
      </c>
      <c r="E557" s="72"/>
      <c r="F557" s="31"/>
    </row>
    <row r="558" spans="2:11">
      <c r="B558" s="71" t="s">
        <v>34</v>
      </c>
      <c r="C558" s="178">
        <f>C554+C557</f>
        <v>73155.937000000005</v>
      </c>
      <c r="D558" s="178">
        <f>D554+D557</f>
        <v>13833.7876867</v>
      </c>
      <c r="E558" s="72"/>
      <c r="F558" s="31"/>
    </row>
    <row r="559" spans="2:11">
      <c r="B559" s="300" t="s">
        <v>213</v>
      </c>
      <c r="C559" s="303">
        <f>J546</f>
        <v>14651.612878787879</v>
      </c>
      <c r="D559" s="179">
        <f>K546</f>
        <v>2479.4700975593219</v>
      </c>
      <c r="E559" s="40"/>
      <c r="F559" s="40"/>
    </row>
    <row r="561" spans="2:6">
      <c r="B561" s="109"/>
      <c r="C561" s="353">
        <v>0</v>
      </c>
      <c r="D561" s="134"/>
      <c r="F561" s="110"/>
    </row>
    <row r="562" spans="2:6">
      <c r="B562" s="109"/>
      <c r="C562" s="109"/>
      <c r="D562" s="134"/>
    </row>
    <row r="563" spans="2:6">
      <c r="B563" s="41" t="s">
        <v>37</v>
      </c>
      <c r="C563" s="142">
        <v>48883.053000000007</v>
      </c>
      <c r="D563" s="135"/>
    </row>
    <row r="564" spans="2:6">
      <c r="B564" s="41" t="s">
        <v>38</v>
      </c>
      <c r="C564" s="136">
        <f>C563/C559</f>
        <v>3.3363598536493737</v>
      </c>
      <c r="D564" s="136"/>
    </row>
    <row r="566" spans="2:6" ht="13.5" thickBot="1"/>
    <row r="567" spans="2:6">
      <c r="B567" s="81" t="s">
        <v>257</v>
      </c>
      <c r="C567" s="124" t="s">
        <v>194</v>
      </c>
      <c r="D567" s="82" t="s">
        <v>170</v>
      </c>
      <c r="E567" s="111"/>
      <c r="F567" s="111"/>
    </row>
    <row r="568" spans="2:6">
      <c r="B568" s="83" t="s">
        <v>184</v>
      </c>
      <c r="C568" s="329">
        <f>C549</f>
        <v>1656.7049999999999</v>
      </c>
      <c r="D568" s="180">
        <f>C568*$H$537</f>
        <v>313.28291549999994</v>
      </c>
      <c r="E568" s="112"/>
      <c r="F568" s="112"/>
    </row>
    <row r="569" spans="2:6">
      <c r="B569" s="83" t="s">
        <v>40</v>
      </c>
      <c r="C569" s="327">
        <f>C555</f>
        <v>22492.532999999999</v>
      </c>
      <c r="D569" s="180">
        <f>C569*$H$537</f>
        <v>4253.3379902999995</v>
      </c>
      <c r="E569" s="112"/>
      <c r="F569" s="112"/>
    </row>
    <row r="570" spans="2:6" ht="13.5" thickBot="1">
      <c r="B570" s="389" t="s">
        <v>41</v>
      </c>
      <c r="C570" s="390">
        <f>SUM(C568:C569)</f>
        <v>24149.237999999998</v>
      </c>
      <c r="D570" s="391">
        <f>SUM(D568:D569)</f>
        <v>4566.6209057999995</v>
      </c>
      <c r="E570" s="112"/>
      <c r="F570" s="112"/>
    </row>
    <row r="572" spans="2:6" ht="13.5" thickBot="1"/>
    <row r="573" spans="2:6">
      <c r="B573" s="81" t="s">
        <v>258</v>
      </c>
      <c r="C573" s="124" t="s">
        <v>194</v>
      </c>
      <c r="D573" s="124" t="s">
        <v>170</v>
      </c>
      <c r="E573" s="69"/>
      <c r="F573" s="69"/>
    </row>
    <row r="574" spans="2:6">
      <c r="B574" s="73">
        <v>2023</v>
      </c>
      <c r="C574" s="373">
        <v>12813.28</v>
      </c>
      <c r="D574" s="183">
        <f t="shared" ref="D574:D579" si="8">C574*$H$537</f>
        <v>2422.9912479999998</v>
      </c>
    </row>
    <row r="575" spans="2:6">
      <c r="B575" s="73">
        <v>2024</v>
      </c>
      <c r="C575" s="373">
        <v>6694.2160000000003</v>
      </c>
      <c r="D575" s="183">
        <f t="shared" si="8"/>
        <v>1265.8762455999999</v>
      </c>
    </row>
    <row r="576" spans="2:6">
      <c r="B576" s="73">
        <v>2025</v>
      </c>
      <c r="C576" s="373">
        <v>5788.31</v>
      </c>
      <c r="D576" s="183">
        <f t="shared" si="8"/>
        <v>1094.5694209999999</v>
      </c>
    </row>
    <row r="577" spans="1:11">
      <c r="B577" s="73">
        <v>2026</v>
      </c>
      <c r="C577" s="373">
        <v>10303.766</v>
      </c>
      <c r="D577" s="183">
        <f t="shared" si="8"/>
        <v>1948.4421505999999</v>
      </c>
    </row>
    <row r="578" spans="1:11" ht="12.75" customHeight="1">
      <c r="B578" s="73">
        <v>2027</v>
      </c>
      <c r="C578" s="373">
        <v>3619.7779999999998</v>
      </c>
      <c r="D578" s="183">
        <f t="shared" si="8"/>
        <v>684.5000197999999</v>
      </c>
    </row>
    <row r="579" spans="1:11" ht="13.5" thickBot="1">
      <c r="B579" s="125" t="s">
        <v>222</v>
      </c>
      <c r="C579" s="382">
        <v>21953.440999999999</v>
      </c>
      <c r="D579" s="383">
        <f t="shared" si="8"/>
        <v>4151.3956930999993</v>
      </c>
    </row>
    <row r="580" spans="1:11">
      <c r="B580" s="69" t="s">
        <v>44</v>
      </c>
      <c r="C580" s="374">
        <f>SUM(C574:C579)</f>
        <v>61172.790999999997</v>
      </c>
      <c r="D580" s="374">
        <f>SUM(D574:D579)</f>
        <v>11567.7747781</v>
      </c>
      <c r="E580" s="113"/>
      <c r="F580" s="113"/>
    </row>
    <row r="581" spans="1:11">
      <c r="B581" s="90" t="s">
        <v>36</v>
      </c>
      <c r="C581" s="403">
        <v>0</v>
      </c>
      <c r="D581" s="110"/>
      <c r="E581" s="96"/>
    </row>
    <row r="582" spans="1:11">
      <c r="B582" s="90"/>
      <c r="C582" s="121"/>
      <c r="D582" s="110"/>
      <c r="E582" s="96"/>
    </row>
    <row r="583" spans="1:11">
      <c r="A583" s="69" t="s">
        <v>259</v>
      </c>
      <c r="B583" s="30" t="s">
        <v>188</v>
      </c>
      <c r="C583" s="508" t="s">
        <v>260</v>
      </c>
      <c r="D583" s="508"/>
      <c r="E583" s="114" t="s">
        <v>181</v>
      </c>
      <c r="F583" s="31"/>
      <c r="G583" s="69" t="s">
        <v>261</v>
      </c>
      <c r="H583" s="172">
        <v>0.18484288354898337</v>
      </c>
      <c r="I583" s="31"/>
      <c r="J583" s="31"/>
      <c r="K583" s="31"/>
    </row>
    <row r="584" spans="1:11">
      <c r="B584" s="108"/>
      <c r="C584" s="139" t="s">
        <v>4</v>
      </c>
      <c r="D584" s="139" t="s">
        <v>5</v>
      </c>
      <c r="E584" s="138"/>
      <c r="F584" s="31"/>
      <c r="G584" s="69" t="s">
        <v>262</v>
      </c>
      <c r="H584" s="172">
        <v>0.19232967834274323</v>
      </c>
      <c r="I584" s="31"/>
      <c r="J584" s="31"/>
      <c r="K584" s="31"/>
    </row>
    <row r="585" spans="1:11">
      <c r="B585" s="108" t="s">
        <v>9</v>
      </c>
      <c r="C585" s="108"/>
      <c r="D585" s="95"/>
      <c r="E585" s="88"/>
      <c r="F585" s="31"/>
    </row>
    <row r="586" spans="1:11">
      <c r="B586" s="87" t="s">
        <v>11</v>
      </c>
      <c r="C586" s="173">
        <v>0</v>
      </c>
      <c r="D586" s="173">
        <f t="shared" ref="D586:D599" si="9">C586*$H$583</f>
        <v>0</v>
      </c>
      <c r="E586" s="88"/>
      <c r="F586" s="31"/>
    </row>
    <row r="587" spans="1:11">
      <c r="B587" s="87" t="s">
        <v>13</v>
      </c>
      <c r="C587" s="173">
        <v>9912.1510000000017</v>
      </c>
      <c r="D587" s="173">
        <f t="shared" si="9"/>
        <v>1832.1905730129395</v>
      </c>
      <c r="E587" s="88"/>
      <c r="F587" s="31"/>
      <c r="I587" s="338" t="s">
        <v>8</v>
      </c>
      <c r="J587" s="358" t="s">
        <v>192</v>
      </c>
      <c r="K587" s="358" t="s">
        <v>5</v>
      </c>
    </row>
    <row r="588" spans="1:11">
      <c r="B588" s="87" t="s">
        <v>15</v>
      </c>
      <c r="C588" s="173">
        <v>10068.636999999999</v>
      </c>
      <c r="D588" s="173">
        <f t="shared" si="9"/>
        <v>1861.1158964879851</v>
      </c>
      <c r="E588" s="88"/>
      <c r="F588" s="31"/>
      <c r="I588" s="69"/>
      <c r="J588" s="372"/>
      <c r="K588" s="372"/>
    </row>
    <row r="589" spans="1:11">
      <c r="B589" s="87" t="s">
        <v>17</v>
      </c>
      <c r="C589" s="173">
        <v>0</v>
      </c>
      <c r="D589" s="173">
        <f t="shared" si="9"/>
        <v>0</v>
      </c>
      <c r="E589" s="88"/>
      <c r="F589" s="31"/>
      <c r="I589" s="32" t="s">
        <v>10</v>
      </c>
      <c r="J589" s="378">
        <v>59351.894999999997</v>
      </c>
      <c r="K589" s="350">
        <f>J589*H583</f>
        <v>10970.775415896487</v>
      </c>
    </row>
    <row r="590" spans="1:11">
      <c r="B590" s="108" t="s">
        <v>19</v>
      </c>
      <c r="C590" s="173"/>
      <c r="D590" s="173">
        <f t="shared" si="9"/>
        <v>0</v>
      </c>
      <c r="E590" s="88"/>
      <c r="F590" s="31"/>
      <c r="I590" s="32" t="s">
        <v>12</v>
      </c>
      <c r="J590" s="350">
        <f>C601</f>
        <v>20058.79</v>
      </c>
      <c r="K590" s="350">
        <f>J590*H583</f>
        <v>3707.7245841035124</v>
      </c>
    </row>
    <row r="591" spans="1:11">
      <c r="B591" s="87" t="s">
        <v>20</v>
      </c>
      <c r="C591" s="173">
        <v>5657.527</v>
      </c>
      <c r="D591" s="173">
        <f t="shared" si="9"/>
        <v>1045.7536044362294</v>
      </c>
      <c r="E591" s="88"/>
      <c r="F591" s="31"/>
      <c r="I591" s="69" t="s">
        <v>14</v>
      </c>
      <c r="J591" s="351">
        <f>J589-J590</f>
        <v>39293.104999999996</v>
      </c>
      <c r="K591" s="351">
        <f>K589-K590</f>
        <v>7263.0508317929743</v>
      </c>
    </row>
    <row r="592" spans="1:11">
      <c r="B592" s="87" t="s">
        <v>21</v>
      </c>
      <c r="C592" s="173">
        <v>25831.624</v>
      </c>
      <c r="D592" s="173">
        <f t="shared" si="9"/>
        <v>4774.7918669131241</v>
      </c>
      <c r="E592" s="88"/>
      <c r="F592" s="31"/>
      <c r="I592" s="32" t="s">
        <v>182</v>
      </c>
      <c r="J592" s="350">
        <f>J591/J593</f>
        <v>17699.596846846842</v>
      </c>
      <c r="K592" s="350">
        <f>K591/K593</f>
        <v>3613.4581252701369</v>
      </c>
    </row>
    <row r="593" spans="2:11">
      <c r="B593" s="87" t="s">
        <v>22</v>
      </c>
      <c r="C593" s="173">
        <v>6682.0550000000003</v>
      </c>
      <c r="D593" s="173">
        <f t="shared" si="9"/>
        <v>1235.130314232902</v>
      </c>
      <c r="E593" s="88"/>
      <c r="F593" s="31"/>
      <c r="I593" s="42" t="s">
        <v>18</v>
      </c>
      <c r="J593" s="359">
        <v>2.2200000000000002</v>
      </c>
      <c r="K593" s="359">
        <v>2.0099999999999998</v>
      </c>
    </row>
    <row r="594" spans="2:11">
      <c r="B594" s="87" t="s">
        <v>24</v>
      </c>
      <c r="C594" s="173">
        <v>0</v>
      </c>
      <c r="D594" s="173">
        <f t="shared" si="9"/>
        <v>0</v>
      </c>
      <c r="E594" s="88"/>
      <c r="F594" s="31"/>
    </row>
    <row r="595" spans="2:11">
      <c r="B595" s="87" t="s">
        <v>23</v>
      </c>
      <c r="C595" s="173">
        <v>742.26800000000003</v>
      </c>
      <c r="D595" s="173">
        <f t="shared" si="9"/>
        <v>137.2029574861368</v>
      </c>
      <c r="E595" s="88"/>
      <c r="F595" s="31"/>
    </row>
    <row r="596" spans="2:11">
      <c r="B596" s="87" t="s">
        <v>25</v>
      </c>
      <c r="C596" s="173">
        <v>0</v>
      </c>
      <c r="D596" s="173">
        <f t="shared" si="9"/>
        <v>0</v>
      </c>
      <c r="E596" s="88"/>
      <c r="F596" s="31"/>
    </row>
    <row r="597" spans="2:11">
      <c r="B597" s="87" t="s">
        <v>26</v>
      </c>
      <c r="C597" s="173">
        <v>457.63299999999998</v>
      </c>
      <c r="D597" s="173">
        <f t="shared" si="9"/>
        <v>84.590203327171906</v>
      </c>
      <c r="E597" s="88"/>
      <c r="F597" s="31"/>
    </row>
    <row r="598" spans="2:11">
      <c r="B598" s="87" t="s">
        <v>28</v>
      </c>
      <c r="C598" s="173">
        <v>867.97400000000005</v>
      </c>
      <c r="D598" s="173">
        <f t="shared" si="9"/>
        <v>160.4388170055453</v>
      </c>
      <c r="E598" s="88"/>
      <c r="F598" s="31"/>
    </row>
    <row r="599" spans="2:11">
      <c r="B599" s="87" t="s">
        <v>29</v>
      </c>
      <c r="C599" s="173">
        <v>3538.5529999999999</v>
      </c>
      <c r="D599" s="173">
        <f t="shared" si="9"/>
        <v>654.07634011090579</v>
      </c>
      <c r="E599" s="88"/>
      <c r="F599" s="31"/>
      <c r="H599" s="110"/>
    </row>
    <row r="600" spans="2:11">
      <c r="B600" s="41" t="s">
        <v>30</v>
      </c>
      <c r="C600" s="131">
        <f>SUM(C585:C599)</f>
        <v>63758.422000000006</v>
      </c>
      <c r="D600" s="131">
        <f>SUM(D585:D599)</f>
        <v>11785.290573012939</v>
      </c>
      <c r="E600" s="42">
        <f>+C600/C605</f>
        <v>3.6022527830264384</v>
      </c>
      <c r="F600" s="31"/>
      <c r="G600" s="110"/>
    </row>
    <row r="601" spans="2:11">
      <c r="B601" s="40" t="s">
        <v>31</v>
      </c>
      <c r="C601" s="175">
        <v>20058.79</v>
      </c>
      <c r="D601" s="173">
        <f>C601*$H$583</f>
        <v>3707.7245841035124</v>
      </c>
      <c r="E601" s="43"/>
      <c r="F601" s="31"/>
      <c r="H601" s="85"/>
    </row>
    <row r="602" spans="2:11">
      <c r="B602" s="41" t="s">
        <v>32</v>
      </c>
      <c r="C602" s="176">
        <f>+C600-C601</f>
        <v>43699.632000000005</v>
      </c>
      <c r="D602" s="131">
        <f>+D600-D601</f>
        <v>8077.5659889094259</v>
      </c>
      <c r="E602" s="42">
        <f>+C602/C605</f>
        <v>2.4689619982946129</v>
      </c>
      <c r="F602" s="31"/>
    </row>
    <row r="603" spans="2:11">
      <c r="B603" s="71" t="s">
        <v>33</v>
      </c>
      <c r="C603" s="177">
        <v>28904.489000000001</v>
      </c>
      <c r="D603" s="173">
        <f>C603*$H$583</f>
        <v>5342.7890942698714</v>
      </c>
      <c r="E603" s="72"/>
      <c r="F603" s="31"/>
    </row>
    <row r="604" spans="2:11">
      <c r="B604" s="71" t="s">
        <v>34</v>
      </c>
      <c r="C604" s="178">
        <f>C600+C603</f>
        <v>92662.911000000007</v>
      </c>
      <c r="D604" s="178">
        <f>D600+D603</f>
        <v>17128.079667282811</v>
      </c>
      <c r="E604" s="72"/>
      <c r="F604" s="31"/>
    </row>
    <row r="605" spans="2:11">
      <c r="B605" s="300" t="s">
        <v>213</v>
      </c>
      <c r="C605" s="303">
        <f>J592</f>
        <v>17699.596846846842</v>
      </c>
      <c r="D605" s="179">
        <f>K592</f>
        <v>3613.4581252701369</v>
      </c>
      <c r="E605" s="40"/>
      <c r="F605" s="40"/>
    </row>
    <row r="607" spans="2:11">
      <c r="B607" s="109"/>
      <c r="C607" s="353">
        <v>0</v>
      </c>
      <c r="D607" s="134"/>
      <c r="F607" s="110"/>
    </row>
    <row r="608" spans="2:11">
      <c r="B608" s="109"/>
      <c r="C608" s="109"/>
      <c r="D608" s="134"/>
    </row>
    <row r="609" spans="2:6">
      <c r="B609" s="41" t="s">
        <v>37</v>
      </c>
      <c r="C609" s="142">
        <v>50210.674000000006</v>
      </c>
      <c r="D609" s="135"/>
    </row>
    <row r="610" spans="2:6">
      <c r="B610" s="41" t="s">
        <v>38</v>
      </c>
      <c r="C610" s="136">
        <f>C609/C605</f>
        <v>2.836825857360981</v>
      </c>
      <c r="D610" s="136"/>
    </row>
    <row r="612" spans="2:6" ht="13.5" thickBot="1"/>
    <row r="613" spans="2:6">
      <c r="B613" s="81" t="s">
        <v>263</v>
      </c>
      <c r="C613" s="124" t="s">
        <v>194</v>
      </c>
      <c r="D613" s="82" t="s">
        <v>170</v>
      </c>
      <c r="E613" s="111"/>
      <c r="F613" s="111"/>
    </row>
    <row r="614" spans="2:6">
      <c r="B614" s="83" t="s">
        <v>184</v>
      </c>
      <c r="C614" s="329">
        <f>C595</f>
        <v>742.26800000000003</v>
      </c>
      <c r="D614" s="180">
        <f>C614*$H$583</f>
        <v>137.2029574861368</v>
      </c>
      <c r="E614" s="112"/>
      <c r="F614" s="112"/>
    </row>
    <row r="615" spans="2:6">
      <c r="B615" s="83" t="s">
        <v>40</v>
      </c>
      <c r="C615" s="327">
        <f>C601</f>
        <v>20058.79</v>
      </c>
      <c r="D615" s="180">
        <f>C615*$H$583</f>
        <v>3707.7245841035124</v>
      </c>
      <c r="E615" s="112"/>
      <c r="F615" s="112"/>
    </row>
    <row r="616" spans="2:6" ht="13.5" thickBot="1">
      <c r="B616" s="389" t="s">
        <v>41</v>
      </c>
      <c r="C616" s="390">
        <f>SUM(C614:C615)</f>
        <v>20801.058000000001</v>
      </c>
      <c r="D616" s="391">
        <f>SUM(D614:D615)</f>
        <v>3844.9275415896491</v>
      </c>
      <c r="E616" s="112"/>
      <c r="F616" s="112"/>
    </row>
    <row r="618" spans="2:6" ht="13.5" thickBot="1"/>
    <row r="619" spans="2:6">
      <c r="B619" s="81" t="s">
        <v>264</v>
      </c>
      <c r="C619" s="124" t="s">
        <v>194</v>
      </c>
      <c r="D619" s="124" t="s">
        <v>170</v>
      </c>
      <c r="E619" s="69"/>
      <c r="F619" s="69"/>
    </row>
    <row r="620" spans="2:6">
      <c r="B620" s="73">
        <v>2022</v>
      </c>
      <c r="C620" s="373">
        <v>3970.9209999999998</v>
      </c>
      <c r="D620" s="183">
        <f t="shared" ref="D620:D625" si="10">C620*$H$583</f>
        <v>733.99648798521253</v>
      </c>
    </row>
    <row r="621" spans="2:6">
      <c r="B621" s="73">
        <v>2023</v>
      </c>
      <c r="C621" s="373">
        <v>9600.7530000000006</v>
      </c>
      <c r="D621" s="183">
        <f t="shared" si="10"/>
        <v>1774.6308687615528</v>
      </c>
    </row>
    <row r="622" spans="2:6">
      <c r="B622" s="73">
        <v>2024</v>
      </c>
      <c r="C622" s="373">
        <v>5014.951</v>
      </c>
      <c r="D622" s="183">
        <f t="shared" si="10"/>
        <v>926.97800369685774</v>
      </c>
    </row>
    <row r="623" spans="2:6">
      <c r="B623" s="73">
        <v>2025</v>
      </c>
      <c r="C623" s="373">
        <v>3154.8589999999999</v>
      </c>
      <c r="D623" s="183">
        <f t="shared" si="10"/>
        <v>583.15323475046216</v>
      </c>
    </row>
    <row r="624" spans="2:6" ht="12.75" customHeight="1">
      <c r="B624" s="73">
        <v>2026</v>
      </c>
      <c r="C624" s="373">
        <v>9984.5669999999991</v>
      </c>
      <c r="D624" s="183">
        <f t="shared" si="10"/>
        <v>1845.5761552680221</v>
      </c>
    </row>
    <row r="625" spans="1:11" ht="13.5" thickBot="1">
      <c r="B625" s="74" t="s">
        <v>265</v>
      </c>
      <c r="C625" s="382">
        <f>4850.975+22774.869</f>
        <v>27625.843999999997</v>
      </c>
      <c r="D625" s="383">
        <f t="shared" si="10"/>
        <v>5106.4406654343802</v>
      </c>
    </row>
    <row r="626" spans="1:11">
      <c r="B626" s="69" t="s">
        <v>44</v>
      </c>
      <c r="C626" s="374">
        <f>SUM(C620:C625)</f>
        <v>59351.894999999997</v>
      </c>
      <c r="D626" s="374">
        <f>SUM(D620:D625)</f>
        <v>10970.775415896487</v>
      </c>
      <c r="E626" s="113"/>
      <c r="F626" s="113"/>
    </row>
    <row r="627" spans="1:11">
      <c r="B627" s="90" t="s">
        <v>36</v>
      </c>
      <c r="C627" s="403">
        <v>0</v>
      </c>
      <c r="D627" s="110"/>
      <c r="E627" s="96"/>
    </row>
    <row r="628" spans="1:11">
      <c r="B628" s="90"/>
      <c r="C628" s="121"/>
      <c r="D628" s="110"/>
      <c r="E628" s="96"/>
    </row>
    <row r="629" spans="1:11">
      <c r="A629" s="69" t="s">
        <v>266</v>
      </c>
      <c r="B629" s="30" t="s">
        <v>188</v>
      </c>
      <c r="C629" s="508" t="s">
        <v>267</v>
      </c>
      <c r="D629" s="508"/>
      <c r="E629" s="114" t="s">
        <v>181</v>
      </c>
      <c r="F629" s="31"/>
      <c r="G629" s="69" t="s">
        <v>268</v>
      </c>
      <c r="H629" s="172">
        <v>0.19356587046571949</v>
      </c>
      <c r="I629" s="31"/>
      <c r="J629" s="31"/>
      <c r="K629" s="31"/>
    </row>
    <row r="630" spans="1:11">
      <c r="B630" s="108"/>
      <c r="C630" s="139" t="s">
        <v>4</v>
      </c>
      <c r="D630" s="139" t="s">
        <v>5</v>
      </c>
      <c r="E630" s="138"/>
      <c r="F630" s="31"/>
      <c r="G630" s="69"/>
      <c r="H630" s="172">
        <v>0.19160177062547759</v>
      </c>
      <c r="I630" s="31"/>
      <c r="J630" s="31"/>
      <c r="K630" s="31"/>
    </row>
    <row r="631" spans="1:11">
      <c r="B631" s="108" t="s">
        <v>9</v>
      </c>
      <c r="C631" s="108"/>
      <c r="D631" s="95"/>
      <c r="E631" s="88"/>
      <c r="F631" s="31"/>
    </row>
    <row r="632" spans="1:11">
      <c r="B632" s="87" t="s">
        <v>11</v>
      </c>
      <c r="C632" s="173">
        <v>0.01</v>
      </c>
      <c r="D632" s="173">
        <f>C632*$H$629</f>
        <v>1.935658704657195E-3</v>
      </c>
      <c r="E632" s="88"/>
      <c r="F632" s="31"/>
    </row>
    <row r="633" spans="1:11">
      <c r="B633" s="87" t="s">
        <v>13</v>
      </c>
      <c r="C633" s="173">
        <v>9803.7920000000013</v>
      </c>
      <c r="D633" s="173">
        <f>C633*$H$629</f>
        <v>1897.6795323448573</v>
      </c>
      <c r="E633" s="88"/>
      <c r="F633" s="31"/>
      <c r="I633" s="338" t="s">
        <v>8</v>
      </c>
      <c r="J633" s="358" t="s">
        <v>192</v>
      </c>
      <c r="K633" s="358" t="s">
        <v>5</v>
      </c>
    </row>
    <row r="634" spans="1:11">
      <c r="B634" s="87" t="s">
        <v>15</v>
      </c>
      <c r="C634" s="173">
        <v>8900.0059999999994</v>
      </c>
      <c r="D634" s="173">
        <f>C634*$H$629</f>
        <v>1722.7374085401261</v>
      </c>
      <c r="E634" s="88"/>
      <c r="F634" s="31"/>
      <c r="I634" s="69"/>
      <c r="J634" s="372"/>
      <c r="K634" s="372"/>
    </row>
    <row r="635" spans="1:11">
      <c r="B635" s="87" t="s">
        <v>17</v>
      </c>
      <c r="C635" s="173">
        <v>0</v>
      </c>
      <c r="D635" s="173">
        <f>C635*$H$629</f>
        <v>0</v>
      </c>
      <c r="E635" s="88"/>
      <c r="F635" s="31"/>
      <c r="I635" s="32" t="s">
        <v>10</v>
      </c>
      <c r="J635" s="378">
        <v>56565.078999999998</v>
      </c>
      <c r="K635" s="350">
        <f>J635*H629</f>
        <v>10949.068754597189</v>
      </c>
    </row>
    <row r="636" spans="1:11">
      <c r="B636" s="108" t="s">
        <v>19</v>
      </c>
      <c r="C636" s="173"/>
      <c r="D636" s="173">
        <f>C636*$H$629</f>
        <v>0</v>
      </c>
      <c r="E636" s="88"/>
      <c r="F636" s="31"/>
      <c r="I636" s="32" t="s">
        <v>12</v>
      </c>
      <c r="J636" s="350">
        <f>C647</f>
        <v>18866.489999999998</v>
      </c>
      <c r="K636" s="350">
        <f>J636*H629</f>
        <v>3651.9085594827916</v>
      </c>
    </row>
    <row r="637" spans="1:11">
      <c r="B637" s="87" t="s">
        <v>20</v>
      </c>
      <c r="C637" s="173">
        <v>4755.5820000000003</v>
      </c>
      <c r="D637" s="173">
        <f t="shared" ref="D637:D645" si="11">C637*$H$629</f>
        <v>920.51836940110729</v>
      </c>
      <c r="E637" s="88"/>
      <c r="F637" s="31"/>
      <c r="I637" s="69" t="s">
        <v>14</v>
      </c>
      <c r="J637" s="351">
        <f>J635-J636</f>
        <v>37698.589</v>
      </c>
      <c r="K637" s="351">
        <f>K635-K636</f>
        <v>7297.1601951143966</v>
      </c>
    </row>
    <row r="638" spans="1:11">
      <c r="B638" s="87" t="s">
        <v>21</v>
      </c>
      <c r="C638" s="173">
        <v>26254.264999999999</v>
      </c>
      <c r="D638" s="173">
        <f t="shared" si="11"/>
        <v>5081.9296581626731</v>
      </c>
      <c r="E638" s="88"/>
      <c r="F638" s="31"/>
      <c r="I638" s="32" t="s">
        <v>182</v>
      </c>
      <c r="J638" s="350">
        <f>J637/J639</f>
        <v>18849.2945</v>
      </c>
      <c r="K638" s="350">
        <f>K637/K639</f>
        <v>3630.4279577683569</v>
      </c>
    </row>
    <row r="639" spans="1:11">
      <c r="B639" s="87" t="s">
        <v>22</v>
      </c>
      <c r="C639" s="173">
        <v>5064.1019999999999</v>
      </c>
      <c r="D639" s="173">
        <f t="shared" si="11"/>
        <v>980.23731175719104</v>
      </c>
      <c r="E639" s="88"/>
      <c r="F639" s="31"/>
      <c r="I639" s="42" t="s">
        <v>18</v>
      </c>
      <c r="J639" s="359">
        <v>2</v>
      </c>
      <c r="K639" s="359">
        <v>2.0099999999999998</v>
      </c>
    </row>
    <row r="640" spans="1:11">
      <c r="B640" s="87" t="s">
        <v>24</v>
      </c>
      <c r="C640" s="173">
        <v>414.67899999999997</v>
      </c>
      <c r="D640" s="173">
        <f t="shared" si="11"/>
        <v>80.267701598854089</v>
      </c>
      <c r="E640" s="88"/>
      <c r="F640" s="31"/>
    </row>
    <row r="641" spans="2:8">
      <c r="B641" s="87" t="s">
        <v>23</v>
      </c>
      <c r="C641" s="173">
        <v>1372.653</v>
      </c>
      <c r="D641" s="173">
        <f t="shared" si="11"/>
        <v>265.69877279238125</v>
      </c>
      <c r="E641" s="88"/>
      <c r="F641" s="31"/>
    </row>
    <row r="642" spans="2:8">
      <c r="B642" s="87" t="s">
        <v>25</v>
      </c>
      <c r="C642" s="173">
        <v>0</v>
      </c>
      <c r="D642" s="173">
        <f t="shared" si="11"/>
        <v>0</v>
      </c>
      <c r="E642" s="88"/>
      <c r="F642" s="31"/>
    </row>
    <row r="643" spans="2:8">
      <c r="B643" s="87" t="s">
        <v>26</v>
      </c>
      <c r="C643" s="173">
        <v>0</v>
      </c>
      <c r="D643" s="173">
        <f t="shared" si="11"/>
        <v>0</v>
      </c>
      <c r="E643" s="88"/>
      <c r="F643" s="31"/>
    </row>
    <row r="644" spans="2:8">
      <c r="B644" s="87" t="s">
        <v>28</v>
      </c>
      <c r="C644" s="173">
        <v>910.60400000000004</v>
      </c>
      <c r="D644" s="173">
        <f t="shared" si="11"/>
        <v>176.26185590956604</v>
      </c>
      <c r="E644" s="88"/>
      <c r="F644" s="31"/>
    </row>
    <row r="645" spans="2:8">
      <c r="B645" s="87" t="s">
        <v>29</v>
      </c>
      <c r="C645" s="173">
        <v>3268.335</v>
      </c>
      <c r="D645" s="173">
        <f t="shared" si="11"/>
        <v>632.63810924857728</v>
      </c>
      <c r="E645" s="88"/>
      <c r="F645" s="31"/>
      <c r="H645" s="110"/>
    </row>
    <row r="646" spans="2:8">
      <c r="B646" s="41" t="s">
        <v>30</v>
      </c>
      <c r="C646" s="131">
        <f>SUM(C631:C645)</f>
        <v>60744.027999999991</v>
      </c>
      <c r="D646" s="131">
        <f>SUM(D631:D645)</f>
        <v>11757.970655414038</v>
      </c>
      <c r="E646" s="42">
        <f>+C646/C651</f>
        <v>3.2226154671200025</v>
      </c>
      <c r="F646" s="31"/>
      <c r="G646" s="110"/>
    </row>
    <row r="647" spans="2:8">
      <c r="B647" s="40" t="s">
        <v>31</v>
      </c>
      <c r="C647" s="175">
        <v>18866.489999999998</v>
      </c>
      <c r="D647" s="173">
        <f>C647*$H$629</f>
        <v>3651.9085594827916</v>
      </c>
      <c r="E647" s="43"/>
      <c r="F647" s="31"/>
      <c r="H647" s="85"/>
    </row>
    <row r="648" spans="2:8">
      <c r="B648" s="41" t="s">
        <v>32</v>
      </c>
      <c r="C648" s="176">
        <f>+C646-C647</f>
        <v>41877.537999999993</v>
      </c>
      <c r="D648" s="131">
        <f>+D646-D647</f>
        <v>8106.0620959312455</v>
      </c>
      <c r="E648" s="42">
        <f>+C648/C651</f>
        <v>2.2217032048600012</v>
      </c>
      <c r="F648" s="31"/>
    </row>
    <row r="649" spans="2:8">
      <c r="B649" s="71" t="s">
        <v>33</v>
      </c>
      <c r="C649" s="177">
        <v>29606.508999999998</v>
      </c>
      <c r="D649" s="173">
        <f>C649*$H$629</f>
        <v>5730.8096860361584</v>
      </c>
      <c r="E649" s="72"/>
      <c r="F649" s="31"/>
    </row>
    <row r="650" spans="2:8">
      <c r="B650" s="71" t="s">
        <v>34</v>
      </c>
      <c r="C650" s="178">
        <f>C646+C649</f>
        <v>90350.536999999982</v>
      </c>
      <c r="D650" s="178">
        <f>D646+D649</f>
        <v>17488.780341450198</v>
      </c>
      <c r="E650" s="72"/>
      <c r="F650" s="31"/>
    </row>
    <row r="651" spans="2:8">
      <c r="B651" s="300" t="s">
        <v>213</v>
      </c>
      <c r="C651" s="303">
        <f>J638</f>
        <v>18849.2945</v>
      </c>
      <c r="D651" s="179">
        <f>K638</f>
        <v>3630.4279577683569</v>
      </c>
      <c r="E651" s="40"/>
      <c r="F651" s="40"/>
    </row>
    <row r="653" spans="2:8">
      <c r="B653" s="109"/>
      <c r="C653" s="353">
        <v>0</v>
      </c>
      <c r="D653" s="134"/>
      <c r="F653" s="110"/>
    </row>
    <row r="654" spans="2:8">
      <c r="B654" s="109"/>
      <c r="C654" s="109"/>
      <c r="D654" s="134"/>
    </row>
    <row r="655" spans="2:8">
      <c r="B655" s="41" t="s">
        <v>37</v>
      </c>
      <c r="C655" s="142">
        <v>49866.262999999992</v>
      </c>
      <c r="D655" s="135"/>
    </row>
    <row r="656" spans="2:8">
      <c r="B656" s="41" t="s">
        <v>38</v>
      </c>
      <c r="C656" s="136">
        <f>C655/C651</f>
        <v>2.6455241070163127</v>
      </c>
      <c r="D656" s="136"/>
    </row>
    <row r="658" spans="2:6" ht="13.5" thickBot="1"/>
    <row r="659" spans="2:6">
      <c r="B659" s="81" t="s">
        <v>269</v>
      </c>
      <c r="C659" s="124" t="s">
        <v>194</v>
      </c>
      <c r="D659" s="82" t="s">
        <v>170</v>
      </c>
      <c r="E659" s="111"/>
      <c r="F659" s="111"/>
    </row>
    <row r="660" spans="2:6">
      <c r="B660" s="83" t="s">
        <v>184</v>
      </c>
      <c r="C660" s="329">
        <f>C641</f>
        <v>1372.653</v>
      </c>
      <c r="D660" s="180">
        <f>C660*$H$629</f>
        <v>265.69877279238125</v>
      </c>
      <c r="E660" s="112"/>
      <c r="F660" s="112"/>
    </row>
    <row r="661" spans="2:6">
      <c r="B661" s="83" t="s">
        <v>40</v>
      </c>
      <c r="C661" s="327">
        <f>C647</f>
        <v>18866.489999999998</v>
      </c>
      <c r="D661" s="180">
        <f>C661*$H$629</f>
        <v>3651.9085594827916</v>
      </c>
      <c r="E661" s="112"/>
      <c r="F661" s="112"/>
    </row>
    <row r="662" spans="2:6" ht="13.5" thickBot="1">
      <c r="B662" s="389" t="s">
        <v>41</v>
      </c>
      <c r="C662" s="390">
        <f>SUM(C660:C661)</f>
        <v>20239.142999999996</v>
      </c>
      <c r="D662" s="391">
        <f>SUM(D660:D661)</f>
        <v>3917.6073322751727</v>
      </c>
      <c r="E662" s="112"/>
      <c r="F662" s="112"/>
    </row>
    <row r="664" spans="2:6" ht="13.5" thickBot="1"/>
    <row r="665" spans="2:6">
      <c r="B665" s="81" t="s">
        <v>270</v>
      </c>
      <c r="C665" s="124" t="s">
        <v>194</v>
      </c>
      <c r="D665" s="124" t="s">
        <v>170</v>
      </c>
      <c r="E665" s="69"/>
      <c r="F665" s="69"/>
    </row>
    <row r="666" spans="2:6">
      <c r="B666" s="73">
        <v>2022</v>
      </c>
      <c r="C666" s="373">
        <v>4921.4009999999998</v>
      </c>
      <c r="D666" s="183">
        <f t="shared" ref="D666:D671" si="12">C666*$H$629</f>
        <v>952.61526847586231</v>
      </c>
    </row>
    <row r="667" spans="2:6">
      <c r="B667" s="73">
        <v>2023</v>
      </c>
      <c r="C667" s="373">
        <v>8095.2359999999999</v>
      </c>
      <c r="D667" s="183">
        <f t="shared" si="12"/>
        <v>1566.9614029654292</v>
      </c>
    </row>
    <row r="668" spans="2:6">
      <c r="B668" s="73">
        <v>2024</v>
      </c>
      <c r="C668" s="373">
        <v>4382.1970000000001</v>
      </c>
      <c r="D668" s="183">
        <f t="shared" si="12"/>
        <v>848.24377685726461</v>
      </c>
    </row>
    <row r="669" spans="2:6">
      <c r="B669" s="73">
        <v>2025</v>
      </c>
      <c r="C669" s="373">
        <v>2344.1210000000001</v>
      </c>
      <c r="D669" s="183">
        <f t="shared" si="12"/>
        <v>453.74182184197286</v>
      </c>
    </row>
    <row r="670" spans="2:6" ht="12.75" customHeight="1">
      <c r="B670" s="73">
        <v>2026</v>
      </c>
      <c r="C670" s="373">
        <v>10073.786</v>
      </c>
      <c r="D670" s="183">
        <f t="shared" si="12"/>
        <v>1949.9411559753785</v>
      </c>
    </row>
    <row r="671" spans="2:6" ht="13.5" thickBot="1">
      <c r="B671" s="74" t="s">
        <v>265</v>
      </c>
      <c r="C671" s="382">
        <f>4128.044+22620.294</f>
        <v>26748.338000000003</v>
      </c>
      <c r="D671" s="383">
        <f t="shared" si="12"/>
        <v>5177.5653284812834</v>
      </c>
    </row>
    <row r="672" spans="2:6">
      <c r="B672" s="69" t="s">
        <v>44</v>
      </c>
      <c r="C672" s="374">
        <f>SUM(C666:C671)</f>
        <v>56565.078999999998</v>
      </c>
      <c r="D672" s="374">
        <f>SUM(D666:D671)</f>
        <v>10949.06875459719</v>
      </c>
      <c r="E672" s="113"/>
      <c r="F672" s="113"/>
    </row>
    <row r="673" spans="1:11">
      <c r="B673" s="90" t="s">
        <v>36</v>
      </c>
      <c r="C673" s="403">
        <v>0</v>
      </c>
      <c r="D673" s="110"/>
      <c r="E673" s="96"/>
    </row>
    <row r="674" spans="1:11">
      <c r="B674" s="90"/>
      <c r="C674" s="121"/>
      <c r="D674" s="110"/>
      <c r="E674" s="96"/>
    </row>
    <row r="675" spans="1:11">
      <c r="B675" s="90"/>
      <c r="C675" s="121"/>
      <c r="D675" s="110"/>
      <c r="E675" s="96"/>
    </row>
    <row r="676" spans="1:11">
      <c r="A676" s="69" t="s">
        <v>271</v>
      </c>
      <c r="B676" s="30" t="s">
        <v>188</v>
      </c>
      <c r="C676" s="508" t="s">
        <v>272</v>
      </c>
      <c r="D676" s="508"/>
      <c r="E676" s="114" t="s">
        <v>181</v>
      </c>
      <c r="F676" s="31"/>
      <c r="G676" s="69" t="s">
        <v>273</v>
      </c>
      <c r="H676" s="172">
        <v>0.20957594403483992</v>
      </c>
      <c r="I676" s="31"/>
      <c r="J676" s="31"/>
      <c r="K676" s="31"/>
    </row>
    <row r="677" spans="1:11">
      <c r="B677" s="108"/>
      <c r="C677" s="139" t="s">
        <v>4</v>
      </c>
      <c r="D677" s="139" t="s">
        <v>5</v>
      </c>
      <c r="E677" s="138"/>
      <c r="F677" s="31"/>
      <c r="G677" s="69"/>
      <c r="H677" s="172">
        <v>0.19164242381211416</v>
      </c>
      <c r="I677" s="31"/>
      <c r="J677" s="31"/>
      <c r="K677" s="31"/>
    </row>
    <row r="678" spans="1:11">
      <c r="B678" s="108" t="s">
        <v>9</v>
      </c>
      <c r="C678" s="108"/>
      <c r="D678" s="95"/>
      <c r="E678" s="88"/>
      <c r="F678" s="31"/>
    </row>
    <row r="679" spans="1:11">
      <c r="B679" s="87" t="s">
        <v>11</v>
      </c>
      <c r="C679" s="173">
        <v>0.01</v>
      </c>
      <c r="D679" s="173">
        <f>C679*$H$676</f>
        <v>2.0957594403483992E-3</v>
      </c>
      <c r="E679" s="88"/>
      <c r="F679" s="31"/>
    </row>
    <row r="680" spans="1:11">
      <c r="B680" s="87" t="s">
        <v>13</v>
      </c>
      <c r="C680" s="173">
        <v>5404.058</v>
      </c>
      <c r="D680" s="173">
        <f t="shared" ref="D680:D692" si="13">C680*$H$676</f>
        <v>1132.560556969029</v>
      </c>
      <c r="E680" s="88"/>
      <c r="F680" s="31"/>
      <c r="I680" s="338" t="s">
        <v>8</v>
      </c>
      <c r="J680" s="358" t="s">
        <v>192</v>
      </c>
      <c r="K680" s="358" t="s">
        <v>5</v>
      </c>
    </row>
    <row r="681" spans="1:11">
      <c r="B681" s="87" t="s">
        <v>15</v>
      </c>
      <c r="C681" s="173">
        <v>3673.7310000000002</v>
      </c>
      <c r="D681" s="173">
        <f t="shared" si="13"/>
        <v>769.9256424550565</v>
      </c>
      <c r="E681" s="88"/>
      <c r="F681" s="31"/>
      <c r="I681" s="69"/>
      <c r="J681" s="372"/>
      <c r="K681" s="372"/>
    </row>
    <row r="682" spans="1:11">
      <c r="B682" s="87" t="s">
        <v>17</v>
      </c>
      <c r="C682" s="173">
        <v>0</v>
      </c>
      <c r="D682" s="173">
        <f t="shared" si="13"/>
        <v>0</v>
      </c>
      <c r="E682" s="88"/>
      <c r="F682" s="31"/>
      <c r="I682" s="32" t="s">
        <v>10</v>
      </c>
      <c r="J682" s="378">
        <v>32336</v>
      </c>
      <c r="K682" s="350">
        <f>J682*H676</f>
        <v>6776.8477263105833</v>
      </c>
    </row>
    <row r="683" spans="1:11">
      <c r="B683" s="108" t="s">
        <v>19</v>
      </c>
      <c r="C683" s="173"/>
      <c r="D683" s="173">
        <f t="shared" si="13"/>
        <v>0</v>
      </c>
      <c r="E683" s="88"/>
      <c r="F683" s="31"/>
      <c r="I683" s="32" t="s">
        <v>12</v>
      </c>
      <c r="J683" s="350">
        <f>C694</f>
        <v>11167.837</v>
      </c>
      <c r="K683" s="350">
        <f>J683*H676</f>
        <v>2340.5099821022145</v>
      </c>
    </row>
    <row r="684" spans="1:11">
      <c r="B684" s="87" t="s">
        <v>20</v>
      </c>
      <c r="C684" s="173">
        <v>4217.576</v>
      </c>
      <c r="D684" s="173">
        <f t="shared" si="13"/>
        <v>883.90247173868397</v>
      </c>
      <c r="E684" s="88"/>
      <c r="F684" s="31"/>
      <c r="I684" s="69" t="s">
        <v>14</v>
      </c>
      <c r="J684" s="351">
        <f>J682-J683</f>
        <v>21168.163</v>
      </c>
      <c r="K684" s="351">
        <f>K682-K683</f>
        <v>4436.3377442083693</v>
      </c>
    </row>
    <row r="685" spans="1:11">
      <c r="B685" s="87" t="s">
        <v>21</v>
      </c>
      <c r="C685" s="173">
        <v>12964.1</v>
      </c>
      <c r="D685" s="173">
        <f t="shared" si="13"/>
        <v>2716.9634960620683</v>
      </c>
      <c r="E685" s="88"/>
      <c r="F685" s="31"/>
      <c r="I685" s="32" t="s">
        <v>182</v>
      </c>
      <c r="J685" s="350">
        <f>J684/J686</f>
        <v>15564.825735294116</v>
      </c>
      <c r="K685" s="350">
        <f>K684/K686</f>
        <v>2899.5671530773657</v>
      </c>
    </row>
    <row r="686" spans="1:11">
      <c r="B686" s="87" t="s">
        <v>22</v>
      </c>
      <c r="C686" s="173">
        <v>4608.1260000000002</v>
      </c>
      <c r="D686" s="173">
        <f t="shared" si="13"/>
        <v>965.75235668149082</v>
      </c>
      <c r="E686" s="88"/>
      <c r="F686" s="31"/>
      <c r="I686" s="42" t="s">
        <v>18</v>
      </c>
      <c r="J686" s="359">
        <v>1.36</v>
      </c>
      <c r="K686" s="359">
        <v>1.53</v>
      </c>
    </row>
    <row r="687" spans="1:11">
      <c r="B687" s="87" t="s">
        <v>24</v>
      </c>
      <c r="C687" s="173">
        <v>0</v>
      </c>
      <c r="D687" s="173">
        <f t="shared" si="13"/>
        <v>0</v>
      </c>
      <c r="E687" s="88"/>
      <c r="F687" s="31"/>
    </row>
    <row r="688" spans="1:11">
      <c r="B688" s="87" t="s">
        <v>23</v>
      </c>
      <c r="C688" s="173">
        <v>789.26700000000005</v>
      </c>
      <c r="D688" s="173">
        <f t="shared" si="13"/>
        <v>165.41137662054601</v>
      </c>
      <c r="E688" s="88"/>
      <c r="F688" s="31"/>
    </row>
    <row r="689" spans="2:8">
      <c r="B689" s="87" t="s">
        <v>25</v>
      </c>
      <c r="C689" s="173">
        <v>0</v>
      </c>
      <c r="D689" s="173">
        <f t="shared" si="13"/>
        <v>0</v>
      </c>
      <c r="E689" s="88"/>
      <c r="F689" s="31"/>
    </row>
    <row r="690" spans="2:8">
      <c r="B690" s="87" t="s">
        <v>26</v>
      </c>
      <c r="C690" s="173">
        <v>679.06500000000005</v>
      </c>
      <c r="D690" s="173">
        <f t="shared" si="13"/>
        <v>142.31568843601858</v>
      </c>
      <c r="E690" s="88"/>
      <c r="F690" s="31"/>
    </row>
    <row r="691" spans="2:8">
      <c r="B691" s="87" t="s">
        <v>28</v>
      </c>
      <c r="C691" s="173">
        <v>550.69100000000003</v>
      </c>
      <c r="D691" s="173">
        <f t="shared" si="13"/>
        <v>115.41158619649003</v>
      </c>
      <c r="E691" s="88"/>
      <c r="F691" s="31"/>
    </row>
    <row r="692" spans="2:8">
      <c r="B692" s="87" t="s">
        <v>29</v>
      </c>
      <c r="C692" s="173">
        <v>543.43500000000006</v>
      </c>
      <c r="D692" s="173">
        <f t="shared" si="13"/>
        <v>113.89090314657325</v>
      </c>
      <c r="E692" s="88"/>
      <c r="F692" s="31"/>
      <c r="H692" s="110"/>
    </row>
    <row r="693" spans="2:8">
      <c r="B693" s="41" t="s">
        <v>30</v>
      </c>
      <c r="C693" s="131">
        <f>SUM(C678:C692)</f>
        <v>33430.058999999994</v>
      </c>
      <c r="D693" s="131">
        <f>SUM(D678:D692)</f>
        <v>7006.1361740653974</v>
      </c>
      <c r="E693" s="42">
        <f>+C693/C698</f>
        <v>2.1477952640481837</v>
      </c>
      <c r="F693" s="31"/>
      <c r="G693" s="110"/>
    </row>
    <row r="694" spans="2:8">
      <c r="B694" s="40" t="s">
        <v>31</v>
      </c>
      <c r="C694" s="175">
        <v>11167.837</v>
      </c>
      <c r="D694" s="173">
        <f>C694*$H$676</f>
        <v>2340.5099821022145</v>
      </c>
      <c r="E694" s="43"/>
      <c r="F694" s="31"/>
      <c r="H694" s="85"/>
    </row>
    <row r="695" spans="2:8">
      <c r="B695" s="41" t="s">
        <v>32</v>
      </c>
      <c r="C695" s="176">
        <f>+C693-C694</f>
        <v>22262.221999999994</v>
      </c>
      <c r="D695" s="131">
        <f>+D693-D694</f>
        <v>4665.6261919631834</v>
      </c>
      <c r="E695" s="42">
        <f>+C695/C698</f>
        <v>1.4302904753709613</v>
      </c>
      <c r="F695" s="31"/>
    </row>
    <row r="696" spans="2:8">
      <c r="B696" s="71" t="s">
        <v>33</v>
      </c>
      <c r="C696" s="177">
        <v>5110.04</v>
      </c>
      <c r="D696" s="173">
        <f>C696*$H$676</f>
        <v>1070.9414570557933</v>
      </c>
      <c r="E696" s="72"/>
      <c r="F696" s="31"/>
    </row>
    <row r="697" spans="2:8">
      <c r="B697" s="71" t="s">
        <v>34</v>
      </c>
      <c r="C697" s="178">
        <f>C693+C696</f>
        <v>38540.098999999995</v>
      </c>
      <c r="D697" s="178">
        <f>D693+D696</f>
        <v>8077.0776311211903</v>
      </c>
      <c r="E697" s="72"/>
      <c r="F697" s="31"/>
    </row>
    <row r="698" spans="2:8">
      <c r="B698" s="300" t="s">
        <v>213</v>
      </c>
      <c r="C698" s="303">
        <f>J685</f>
        <v>15564.825735294116</v>
      </c>
      <c r="D698" s="179">
        <f>K685</f>
        <v>2899.5671530773657</v>
      </c>
      <c r="E698" s="40"/>
      <c r="F698" s="40"/>
    </row>
    <row r="700" spans="2:8">
      <c r="B700" s="109"/>
      <c r="C700" s="353">
        <v>0</v>
      </c>
      <c r="D700" s="134"/>
      <c r="F700" s="110"/>
    </row>
    <row r="701" spans="2:8">
      <c r="B701" s="109"/>
      <c r="C701" s="109"/>
      <c r="D701" s="134"/>
    </row>
    <row r="702" spans="2:8">
      <c r="B702" s="41" t="s">
        <v>37</v>
      </c>
      <c r="C702" s="142">
        <v>33390.221999999994</v>
      </c>
      <c r="D702" s="135"/>
    </row>
    <row r="703" spans="2:8">
      <c r="B703" s="41" t="s">
        <v>38</v>
      </c>
      <c r="C703" s="136">
        <f>C702/C698</f>
        <v>2.1452358393120838</v>
      </c>
      <c r="D703" s="136"/>
    </row>
    <row r="705" spans="2:6" ht="13.5" thickBot="1"/>
    <row r="706" spans="2:6">
      <c r="B706" s="81" t="s">
        <v>274</v>
      </c>
      <c r="C706" s="124" t="s">
        <v>194</v>
      </c>
      <c r="D706" s="82" t="s">
        <v>170</v>
      </c>
      <c r="E706" s="111"/>
      <c r="F706" s="111"/>
    </row>
    <row r="707" spans="2:6">
      <c r="B707" s="83" t="s">
        <v>184</v>
      </c>
      <c r="C707" s="329">
        <f>C688</f>
        <v>789.26700000000005</v>
      </c>
      <c r="D707" s="180">
        <f>C707*$H$676</f>
        <v>165.41137662054601</v>
      </c>
      <c r="E707" s="112"/>
      <c r="F707" s="112"/>
    </row>
    <row r="708" spans="2:6">
      <c r="B708" s="83" t="s">
        <v>40</v>
      </c>
      <c r="C708" s="327">
        <f>C694</f>
        <v>11167.837</v>
      </c>
      <c r="D708" s="180">
        <f>C708*$H$676</f>
        <v>2340.5099821022145</v>
      </c>
      <c r="E708" s="112"/>
      <c r="F708" s="112"/>
    </row>
    <row r="709" spans="2:6" ht="13.5" thickBot="1">
      <c r="B709" s="389" t="s">
        <v>41</v>
      </c>
      <c r="C709" s="390">
        <f>SUM(C707:C708)</f>
        <v>11957.103999999999</v>
      </c>
      <c r="D709" s="391">
        <f>SUM(D707:D708)</f>
        <v>2505.9213587227605</v>
      </c>
      <c r="E709" s="112"/>
      <c r="F709" s="112"/>
    </row>
    <row r="711" spans="2:6" ht="13.5" thickBot="1"/>
    <row r="712" spans="2:6">
      <c r="B712" s="81" t="s">
        <v>275</v>
      </c>
      <c r="C712" s="124" t="s">
        <v>194</v>
      </c>
      <c r="D712" s="124" t="s">
        <v>170</v>
      </c>
      <c r="E712" s="69"/>
      <c r="F712" s="69"/>
    </row>
    <row r="713" spans="2:6">
      <c r="B713" s="73">
        <v>2021</v>
      </c>
      <c r="C713" s="373">
        <v>0</v>
      </c>
      <c r="D713" s="183">
        <f t="shared" ref="D713:D718" si="14">C713*$H$676</f>
        <v>0</v>
      </c>
    </row>
    <row r="714" spans="2:6">
      <c r="B714" s="73">
        <v>2022</v>
      </c>
      <c r="C714" s="373">
        <v>4264.4120000000003</v>
      </c>
      <c r="D714" s="183">
        <f t="shared" si="14"/>
        <v>893.71817065349978</v>
      </c>
    </row>
    <row r="715" spans="2:6">
      <c r="B715" s="73">
        <v>2023</v>
      </c>
      <c r="C715" s="373">
        <v>7966.201</v>
      </c>
      <c r="D715" s="183">
        <f t="shared" si="14"/>
        <v>1669.5240949462859</v>
      </c>
    </row>
    <row r="716" spans="2:6">
      <c r="B716" s="73">
        <v>2024</v>
      </c>
      <c r="C716" s="373">
        <v>2562.2359999999999</v>
      </c>
      <c r="D716" s="183">
        <f t="shared" si="14"/>
        <v>536.98302854005203</v>
      </c>
    </row>
    <row r="717" spans="2:6">
      <c r="B717" s="73">
        <v>2025</v>
      </c>
      <c r="C717" s="373">
        <v>284.94</v>
      </c>
      <c r="D717" s="183">
        <f t="shared" si="14"/>
        <v>59.716569493287288</v>
      </c>
    </row>
    <row r="718" spans="2:6" ht="13.5" thickBot="1">
      <c r="B718" s="74" t="s">
        <v>276</v>
      </c>
      <c r="C718" s="382">
        <f>5681.039+987.808+10589.287</f>
        <v>17258.133999999998</v>
      </c>
      <c r="D718" s="183">
        <f t="shared" si="14"/>
        <v>3616.8897253297678</v>
      </c>
    </row>
    <row r="719" spans="2:6">
      <c r="B719" s="69" t="s">
        <v>44</v>
      </c>
      <c r="C719" s="374">
        <f>SUM(C713:C718)</f>
        <v>32335.923000000003</v>
      </c>
      <c r="D719" s="374">
        <f>SUM(D713:D718)</f>
        <v>6776.831588962893</v>
      </c>
      <c r="E719" s="113"/>
      <c r="F719" s="113"/>
    </row>
    <row r="720" spans="2:6">
      <c r="B720" s="90" t="s">
        <v>36</v>
      </c>
      <c r="C720" s="121">
        <v>0</v>
      </c>
      <c r="D720" s="110"/>
      <c r="E720" s="96"/>
    </row>
    <row r="722" spans="1:11">
      <c r="A722" s="69" t="s">
        <v>277</v>
      </c>
      <c r="B722" s="30" t="s">
        <v>188</v>
      </c>
      <c r="C722" s="508" t="s">
        <v>278</v>
      </c>
      <c r="D722" s="508"/>
      <c r="E722" s="114" t="s">
        <v>181</v>
      </c>
      <c r="F722" s="31"/>
      <c r="G722" s="69" t="s">
        <v>279</v>
      </c>
      <c r="H722" s="172">
        <v>0.17952354451286287</v>
      </c>
      <c r="I722" s="31"/>
      <c r="J722" s="31"/>
      <c r="K722" s="31"/>
    </row>
    <row r="723" spans="1:11">
      <c r="B723" s="108"/>
      <c r="C723" s="139" t="s">
        <v>4</v>
      </c>
      <c r="D723" s="139" t="s">
        <v>5</v>
      </c>
      <c r="E723" s="138"/>
      <c r="F723" s="31"/>
      <c r="G723" s="69"/>
      <c r="H723" s="172">
        <v>0.18878141692184136</v>
      </c>
      <c r="I723" s="31"/>
      <c r="J723" s="31"/>
      <c r="K723" s="31"/>
    </row>
    <row r="724" spans="1:11">
      <c r="B724" s="108" t="s">
        <v>9</v>
      </c>
      <c r="C724" s="108"/>
      <c r="D724" s="95"/>
      <c r="E724" s="88"/>
      <c r="F724" s="31"/>
    </row>
    <row r="725" spans="1:11">
      <c r="B725" s="87" t="s">
        <v>11</v>
      </c>
      <c r="C725" s="173">
        <v>0</v>
      </c>
      <c r="D725" s="173">
        <f>C725*$H$722</f>
        <v>0</v>
      </c>
      <c r="E725" s="88"/>
      <c r="F725" s="31"/>
    </row>
    <row r="726" spans="1:11">
      <c r="B726" s="87" t="s">
        <v>13</v>
      </c>
      <c r="C726" s="173">
        <v>4412.2939999999999</v>
      </c>
      <c r="D726" s="173">
        <f t="shared" ref="D726:D737" si="15">C726*$H$722</f>
        <v>792.1106583128377</v>
      </c>
      <c r="E726" s="88"/>
      <c r="F726" s="31"/>
      <c r="I726" s="338" t="s">
        <v>8</v>
      </c>
      <c r="J726" s="358" t="s">
        <v>192</v>
      </c>
      <c r="K726" s="358" t="s">
        <v>5</v>
      </c>
    </row>
    <row r="727" spans="1:11">
      <c r="B727" s="87" t="s">
        <v>15</v>
      </c>
      <c r="C727" s="173">
        <v>1701.325</v>
      </c>
      <c r="D727" s="173">
        <f t="shared" si="15"/>
        <v>305.42789436834641</v>
      </c>
      <c r="E727" s="88"/>
      <c r="F727" s="31"/>
      <c r="I727" s="69"/>
      <c r="J727" s="372"/>
      <c r="K727" s="372"/>
    </row>
    <row r="728" spans="1:11">
      <c r="B728" s="87" t="s">
        <v>17</v>
      </c>
      <c r="C728" s="173">
        <v>0</v>
      </c>
      <c r="D728" s="173">
        <f t="shared" si="15"/>
        <v>0</v>
      </c>
      <c r="E728" s="88"/>
      <c r="F728" s="31"/>
      <c r="I728" s="32" t="s">
        <v>10</v>
      </c>
      <c r="J728" s="378">
        <v>30325.797999999999</v>
      </c>
      <c r="K728" s="350">
        <f>J728*H722</f>
        <v>5444.1947471410876</v>
      </c>
    </row>
    <row r="729" spans="1:11">
      <c r="B729" s="108" t="s">
        <v>19</v>
      </c>
      <c r="C729" s="173"/>
      <c r="D729" s="173">
        <f t="shared" si="15"/>
        <v>0</v>
      </c>
      <c r="E729" s="88"/>
      <c r="F729" s="31"/>
      <c r="I729" s="32" t="s">
        <v>12</v>
      </c>
      <c r="J729" s="350">
        <f>C740</f>
        <v>8400.26</v>
      </c>
      <c r="K729" s="350">
        <f>J729*H722</f>
        <v>1508.0444500296214</v>
      </c>
    </row>
    <row r="730" spans="1:11">
      <c r="B730" s="87" t="s">
        <v>20</v>
      </c>
      <c r="C730" s="173">
        <v>4692.8410000000003</v>
      </c>
      <c r="D730" s="173">
        <f t="shared" si="15"/>
        <v>842.47545015528794</v>
      </c>
      <c r="E730" s="88"/>
      <c r="F730" s="31"/>
      <c r="I730" s="69" t="s">
        <v>14</v>
      </c>
      <c r="J730" s="351">
        <f>J728-J729</f>
        <v>21925.538</v>
      </c>
      <c r="K730" s="351">
        <f>K728-K729</f>
        <v>3936.150297111466</v>
      </c>
    </row>
    <row r="731" spans="1:11">
      <c r="B731" s="87" t="s">
        <v>21</v>
      </c>
      <c r="C731" s="173">
        <v>16138.569</v>
      </c>
      <c r="D731" s="173">
        <f t="shared" si="15"/>
        <v>2897.2531102454086</v>
      </c>
      <c r="E731" s="88"/>
      <c r="F731" s="31"/>
      <c r="I731" s="32" t="s">
        <v>182</v>
      </c>
      <c r="J731" s="350">
        <f>J730/J732</f>
        <v>13965.310828025478</v>
      </c>
      <c r="K731" s="350">
        <f>K730/K732</f>
        <v>2714.5864118010113</v>
      </c>
    </row>
    <row r="732" spans="1:11">
      <c r="B732" s="87" t="s">
        <v>22</v>
      </c>
      <c r="C732" s="173">
        <v>2146.1460000000002</v>
      </c>
      <c r="D732" s="173">
        <f t="shared" si="15"/>
        <v>385.28373696210264</v>
      </c>
      <c r="E732" s="88"/>
      <c r="F732" s="31"/>
      <c r="I732" s="42" t="s">
        <v>18</v>
      </c>
      <c r="J732" s="359">
        <v>1.57</v>
      </c>
      <c r="K732" s="359">
        <v>1.45</v>
      </c>
    </row>
    <row r="733" spans="1:11">
      <c r="B733" s="87" t="s">
        <v>24</v>
      </c>
      <c r="C733" s="173">
        <v>0</v>
      </c>
      <c r="D733" s="173">
        <f t="shared" si="15"/>
        <v>0</v>
      </c>
      <c r="E733" s="88"/>
      <c r="F733" s="31"/>
    </row>
    <row r="734" spans="1:11">
      <c r="B734" s="87" t="s">
        <v>23</v>
      </c>
      <c r="C734" s="173">
        <v>0</v>
      </c>
      <c r="D734" s="173">
        <f t="shared" si="15"/>
        <v>0</v>
      </c>
      <c r="E734" s="88"/>
      <c r="F734" s="31"/>
    </row>
    <row r="735" spans="1:11">
      <c r="B735" s="87" t="s">
        <v>25</v>
      </c>
      <c r="C735" s="173">
        <v>0</v>
      </c>
      <c r="D735" s="173">
        <f t="shared" si="15"/>
        <v>0</v>
      </c>
      <c r="E735" s="88"/>
      <c r="F735" s="31"/>
    </row>
    <row r="736" spans="1:11">
      <c r="B736" s="87" t="s">
        <v>26</v>
      </c>
      <c r="C736" s="173">
        <v>1234.623</v>
      </c>
      <c r="D736" s="173">
        <f t="shared" si="15"/>
        <v>221.64389709710431</v>
      </c>
      <c r="E736" s="88"/>
      <c r="F736" s="31"/>
    </row>
    <row r="737" spans="2:8">
      <c r="B737" s="87" t="s">
        <v>28</v>
      </c>
      <c r="C737" s="173">
        <v>336</v>
      </c>
      <c r="D737" s="173">
        <f t="shared" si="15"/>
        <v>60.319910956321927</v>
      </c>
      <c r="E737" s="88"/>
      <c r="F737" s="31"/>
    </row>
    <row r="738" spans="2:8">
      <c r="B738" s="87" t="s">
        <v>29</v>
      </c>
      <c r="C738" s="173">
        <v>642.46199999999999</v>
      </c>
      <c r="D738" s="173">
        <f>C738*$H$722</f>
        <v>115.3370554548229</v>
      </c>
      <c r="E738" s="88"/>
      <c r="F738" s="31"/>
      <c r="H738" s="110"/>
    </row>
    <row r="739" spans="2:8">
      <c r="B739" s="41" t="s">
        <v>30</v>
      </c>
      <c r="C739" s="131">
        <f>SUM(C724:C738)</f>
        <v>31304.26</v>
      </c>
      <c r="D739" s="131">
        <f>SUM(D724:D738)</f>
        <v>5619.8517135522325</v>
      </c>
      <c r="E739" s="42">
        <f>+C739/C744</f>
        <v>2.241572735866276</v>
      </c>
      <c r="F739" s="31"/>
      <c r="G739" s="110"/>
    </row>
    <row r="740" spans="2:8">
      <c r="B740" s="40" t="s">
        <v>31</v>
      </c>
      <c r="C740" s="175">
        <v>8400.26</v>
      </c>
      <c r="D740" s="173">
        <f>C740*$H$722</f>
        <v>1508.0444500296214</v>
      </c>
      <c r="E740" s="43"/>
      <c r="F740" s="31"/>
      <c r="H740" s="85"/>
    </row>
    <row r="741" spans="2:8">
      <c r="B741" s="41" t="s">
        <v>32</v>
      </c>
      <c r="C741" s="176">
        <f>+C739-C740</f>
        <v>22904</v>
      </c>
      <c r="D741" s="131">
        <f>+D739-D740</f>
        <v>4111.8072635226108</v>
      </c>
      <c r="E741" s="42">
        <f>+C741/C744</f>
        <v>1.6400637466683827</v>
      </c>
      <c r="F741" s="31"/>
    </row>
    <row r="742" spans="2:8">
      <c r="B742" s="71" t="s">
        <v>33</v>
      </c>
      <c r="C742" s="177">
        <v>5571.723</v>
      </c>
      <c r="D742" s="173">
        <f>C742*$H$722</f>
        <v>1000.2554620038419</v>
      </c>
      <c r="E742" s="72"/>
      <c r="F742" s="31"/>
    </row>
    <row r="743" spans="2:8">
      <c r="B743" s="71" t="s">
        <v>34</v>
      </c>
      <c r="C743" s="178">
        <f>C739+C742</f>
        <v>36875.983</v>
      </c>
      <c r="D743" s="178">
        <f>D739+D742</f>
        <v>6620.1071755560743</v>
      </c>
      <c r="E743" s="72"/>
      <c r="F743" s="31"/>
    </row>
    <row r="744" spans="2:8">
      <c r="B744" s="300" t="s">
        <v>213</v>
      </c>
      <c r="C744" s="303">
        <f>J731</f>
        <v>13965.310828025478</v>
      </c>
      <c r="D744" s="179">
        <f>K731</f>
        <v>2714.5864118010113</v>
      </c>
      <c r="E744" s="40"/>
      <c r="F744" s="40"/>
    </row>
    <row r="746" spans="2:8">
      <c r="B746" s="109"/>
      <c r="C746" s="353">
        <v>0</v>
      </c>
      <c r="D746" s="134"/>
      <c r="F746" s="110"/>
    </row>
    <row r="747" spans="2:8">
      <c r="B747" s="109"/>
      <c r="C747" s="109"/>
      <c r="D747" s="134"/>
    </row>
    <row r="748" spans="2:8">
      <c r="B748" s="41" t="s">
        <v>37</v>
      </c>
      <c r="C748" s="142">
        <v>37844</v>
      </c>
      <c r="D748" s="135"/>
    </row>
    <row r="749" spans="2:8">
      <c r="B749" s="41" t="s">
        <v>38</v>
      </c>
      <c r="C749" s="136">
        <f>C748/C744</f>
        <v>2.7098573362259115</v>
      </c>
      <c r="D749" s="136"/>
    </row>
    <row r="751" spans="2:8" ht="13.5" thickBot="1"/>
    <row r="752" spans="2:8">
      <c r="B752" s="81" t="s">
        <v>280</v>
      </c>
      <c r="C752" s="124" t="s">
        <v>194</v>
      </c>
      <c r="D752" s="82" t="s">
        <v>170</v>
      </c>
      <c r="E752" s="111"/>
      <c r="F752" s="111"/>
    </row>
    <row r="753" spans="1:14">
      <c r="B753" s="83" t="s">
        <v>184</v>
      </c>
      <c r="C753" s="329">
        <f>C734</f>
        <v>0</v>
      </c>
      <c r="D753" s="180">
        <f>C753*$H$768</f>
        <v>0</v>
      </c>
      <c r="E753" s="112"/>
      <c r="F753" s="112"/>
    </row>
    <row r="754" spans="1:14">
      <c r="B754" s="83" t="s">
        <v>40</v>
      </c>
      <c r="C754" s="327">
        <f>C740</f>
        <v>8400.26</v>
      </c>
      <c r="D754" s="180">
        <f>C754*$H$722</f>
        <v>1508.0444500296214</v>
      </c>
      <c r="E754" s="112"/>
      <c r="F754" s="112"/>
    </row>
    <row r="755" spans="1:14" ht="13.5" thickBot="1">
      <c r="B755" s="389" t="s">
        <v>41</v>
      </c>
      <c r="C755" s="390">
        <f>SUM(C753:C754)</f>
        <v>8400.26</v>
      </c>
      <c r="D755" s="391">
        <f>SUM(D753:D754)</f>
        <v>1508.0444500296214</v>
      </c>
      <c r="E755" s="112"/>
      <c r="F755" s="112"/>
    </row>
    <row r="757" spans="1:14" ht="13.5" thickBot="1"/>
    <row r="758" spans="1:14">
      <c r="B758" s="81" t="s">
        <v>281</v>
      </c>
      <c r="C758" s="124" t="s">
        <v>194</v>
      </c>
      <c r="D758" s="124" t="s">
        <v>170</v>
      </c>
      <c r="E758" s="69"/>
      <c r="F758" s="69"/>
    </row>
    <row r="759" spans="1:14">
      <c r="B759" s="73">
        <v>2021</v>
      </c>
      <c r="C759" s="373">
        <v>0</v>
      </c>
      <c r="D759" s="183">
        <f t="shared" ref="D759:D764" si="16">C759*$H$722</f>
        <v>0</v>
      </c>
    </row>
    <row r="760" spans="1:14">
      <c r="B760" s="73">
        <v>2022</v>
      </c>
      <c r="C760" s="373">
        <v>6842.2939999999999</v>
      </c>
      <c r="D760" s="183">
        <f t="shared" si="16"/>
        <v>1228.3528714790946</v>
      </c>
    </row>
    <row r="761" spans="1:14">
      <c r="B761" s="73">
        <v>2023</v>
      </c>
      <c r="C761" s="373">
        <v>1879.9169999999999</v>
      </c>
      <c r="D761" s="183">
        <f t="shared" si="16"/>
        <v>337.48936322998759</v>
      </c>
    </row>
    <row r="762" spans="1:14">
      <c r="B762" s="73">
        <v>2024</v>
      </c>
      <c r="C762" s="373">
        <v>3686.239</v>
      </c>
      <c r="D762" s="183">
        <f t="shared" si="16"/>
        <v>661.76669120155111</v>
      </c>
    </row>
    <row r="763" spans="1:14">
      <c r="B763" s="73">
        <v>2025</v>
      </c>
      <c r="C763" s="373">
        <v>15.12</v>
      </c>
      <c r="D763" s="183">
        <f t="shared" si="16"/>
        <v>2.7143959930344863</v>
      </c>
    </row>
    <row r="764" spans="1:14" ht="13.5" thickBot="1">
      <c r="B764" s="74" t="s">
        <v>276</v>
      </c>
      <c r="C764" s="382">
        <f>5047.246+12854.982</f>
        <v>17902.227999999999</v>
      </c>
      <c r="D764" s="383">
        <f t="shared" si="16"/>
        <v>3213.8714252374198</v>
      </c>
    </row>
    <row r="765" spans="1:14" s="31" customFormat="1">
      <c r="A765" s="32"/>
      <c r="B765" s="69" t="s">
        <v>44</v>
      </c>
      <c r="C765" s="374">
        <f>SUM(C759:C764)</f>
        <v>30325.797999999999</v>
      </c>
      <c r="D765" s="374">
        <f>SUM(D759:D764)</f>
        <v>5444.1947471410876</v>
      </c>
      <c r="E765" s="113"/>
      <c r="F765" s="113"/>
      <c r="G765" s="32"/>
      <c r="H765" s="32"/>
      <c r="I765" s="32"/>
      <c r="J765" s="32"/>
      <c r="K765" s="32"/>
      <c r="L765" s="32"/>
      <c r="M765" s="32"/>
      <c r="N765" s="32"/>
    </row>
    <row r="766" spans="1:14" s="31" customFormat="1">
      <c r="A766" s="32"/>
      <c r="B766" s="90" t="s">
        <v>36</v>
      </c>
      <c r="C766" s="121">
        <v>0</v>
      </c>
      <c r="D766" s="110"/>
      <c r="E766" s="96"/>
      <c r="F766" s="32"/>
      <c r="G766" s="32"/>
      <c r="H766" s="32"/>
      <c r="I766" s="32"/>
      <c r="J766" s="32"/>
      <c r="K766" s="32"/>
      <c r="L766" s="32"/>
      <c r="M766" s="32"/>
      <c r="N766" s="32"/>
    </row>
    <row r="768" spans="1:14">
      <c r="A768" s="69" t="s">
        <v>282</v>
      </c>
      <c r="B768" s="30" t="s">
        <v>188</v>
      </c>
      <c r="C768" s="508" t="s">
        <v>283</v>
      </c>
      <c r="D768" s="508"/>
      <c r="E768" s="114" t="s">
        <v>181</v>
      </c>
      <c r="F768" s="31"/>
      <c r="G768" s="69" t="s">
        <v>284</v>
      </c>
      <c r="H768" s="172">
        <v>0.18463504114591894</v>
      </c>
      <c r="I768" s="31"/>
      <c r="J768" s="31"/>
      <c r="K768" s="31"/>
    </row>
    <row r="769" spans="2:11">
      <c r="B769" s="108"/>
      <c r="C769" s="139" t="s">
        <v>4</v>
      </c>
      <c r="D769" s="139" t="s">
        <v>5</v>
      </c>
      <c r="E769" s="138"/>
      <c r="F769" s="31"/>
      <c r="G769" s="69"/>
      <c r="H769" s="172">
        <v>0.18698715176169101</v>
      </c>
      <c r="I769" s="31"/>
      <c r="J769" s="31"/>
      <c r="K769" s="31"/>
    </row>
    <row r="770" spans="2:11">
      <c r="B770" s="108" t="s">
        <v>9</v>
      </c>
      <c r="C770" s="108"/>
      <c r="D770" s="95"/>
      <c r="E770" s="88"/>
      <c r="F770" s="31"/>
    </row>
    <row r="771" spans="2:11">
      <c r="B771" s="87" t="s">
        <v>11</v>
      </c>
      <c r="C771" s="173">
        <v>4.0000000000000001E-3</v>
      </c>
      <c r="D771" s="173">
        <f>C771*$H$768</f>
        <v>7.3854016458367578E-4</v>
      </c>
      <c r="E771" s="88"/>
      <c r="F771" s="31"/>
    </row>
    <row r="772" spans="2:11">
      <c r="B772" s="87" t="s">
        <v>13</v>
      </c>
      <c r="C772" s="173">
        <v>4515.78</v>
      </c>
      <c r="D772" s="173">
        <f t="shared" ref="D772:D784" si="17">C772*$H$768</f>
        <v>833.77122610591778</v>
      </c>
      <c r="E772" s="88"/>
      <c r="F772" s="31"/>
      <c r="I772" s="338" t="s">
        <v>8</v>
      </c>
      <c r="J772" s="358" t="s">
        <v>192</v>
      </c>
      <c r="K772" s="358" t="s">
        <v>5</v>
      </c>
    </row>
    <row r="773" spans="2:11">
      <c r="B773" s="87" t="s">
        <v>15</v>
      </c>
      <c r="C773" s="173">
        <v>1664.183</v>
      </c>
      <c r="D773" s="173">
        <f t="shared" si="17"/>
        <v>307.26649667933884</v>
      </c>
      <c r="E773" s="88"/>
      <c r="F773" s="31"/>
      <c r="I773" s="69"/>
      <c r="J773" s="372"/>
      <c r="K773" s="372"/>
    </row>
    <row r="774" spans="2:11">
      <c r="B774" s="87" t="s">
        <v>17</v>
      </c>
      <c r="C774" s="173">
        <v>0</v>
      </c>
      <c r="D774" s="173">
        <f t="shared" si="17"/>
        <v>0</v>
      </c>
      <c r="E774" s="88"/>
      <c r="F774" s="31"/>
      <c r="I774" s="32" t="s">
        <v>10</v>
      </c>
      <c r="J774" s="378">
        <v>29333.334999999999</v>
      </c>
      <c r="K774" s="350">
        <f>J774*H768</f>
        <v>5415.9615146720244</v>
      </c>
    </row>
    <row r="775" spans="2:11">
      <c r="B775" s="108" t="s">
        <v>19</v>
      </c>
      <c r="C775" s="173"/>
      <c r="D775" s="173">
        <f t="shared" si="17"/>
        <v>0</v>
      </c>
      <c r="E775" s="88"/>
      <c r="F775" s="31"/>
      <c r="I775" s="32" t="s">
        <v>12</v>
      </c>
      <c r="J775" s="350">
        <f>C786</f>
        <v>15600.800999999999</v>
      </c>
      <c r="K775" s="350">
        <f>J775*H768</f>
        <v>2880.4545345442934</v>
      </c>
    </row>
    <row r="776" spans="2:11">
      <c r="B776" s="87" t="s">
        <v>20</v>
      </c>
      <c r="C776" s="173">
        <v>3969.7869999999998</v>
      </c>
      <c r="D776" s="173">
        <f t="shared" si="17"/>
        <v>732.96178608553407</v>
      </c>
      <c r="E776" s="88"/>
      <c r="F776" s="31"/>
      <c r="I776" s="69" t="s">
        <v>14</v>
      </c>
      <c r="J776" s="351">
        <f>J774-J775</f>
        <v>13732.534</v>
      </c>
      <c r="K776" s="351">
        <f>K774-K775</f>
        <v>2535.5069801277309</v>
      </c>
    </row>
    <row r="777" spans="2:11">
      <c r="B777" s="87" t="s">
        <v>21</v>
      </c>
      <c r="C777" s="173">
        <v>15981.656000000001</v>
      </c>
      <c r="D777" s="173">
        <f t="shared" si="17"/>
        <v>2950.7737131399226</v>
      </c>
      <c r="E777" s="88"/>
      <c r="F777" s="31"/>
      <c r="I777" s="32" t="s">
        <v>182</v>
      </c>
      <c r="J777" s="350">
        <f>J776/J778</f>
        <v>12484.121818181817</v>
      </c>
      <c r="K777" s="350">
        <f>K776/K778</f>
        <v>2369.6326917081597</v>
      </c>
    </row>
    <row r="778" spans="2:11">
      <c r="B778" s="87" t="s">
        <v>22</v>
      </c>
      <c r="C778" s="173">
        <v>1904.4159999999999</v>
      </c>
      <c r="D778" s="173">
        <f t="shared" si="17"/>
        <v>351.62192651894634</v>
      </c>
      <c r="E778" s="88"/>
      <c r="F778" s="31"/>
      <c r="I778" s="42" t="s">
        <v>18</v>
      </c>
      <c r="J778" s="359">
        <v>1.1000000000000001</v>
      </c>
      <c r="K778" s="359">
        <v>1.07</v>
      </c>
    </row>
    <row r="779" spans="2:11">
      <c r="B779" s="87" t="s">
        <v>24</v>
      </c>
      <c r="C779" s="173">
        <v>0</v>
      </c>
      <c r="D779" s="173">
        <f t="shared" si="17"/>
        <v>0</v>
      </c>
      <c r="E779" s="88"/>
      <c r="F779" s="31"/>
    </row>
    <row r="780" spans="2:11">
      <c r="B780" s="87" t="s">
        <v>23</v>
      </c>
      <c r="C780" s="173">
        <v>868.78899999999999</v>
      </c>
      <c r="D780" s="173">
        <f t="shared" si="17"/>
        <v>160.40889276212178</v>
      </c>
      <c r="E780" s="88"/>
      <c r="F780" s="31"/>
    </row>
    <row r="781" spans="2:11">
      <c r="B781" s="87" t="s">
        <v>25</v>
      </c>
      <c r="C781" s="173">
        <v>0</v>
      </c>
      <c r="D781" s="173">
        <f t="shared" si="17"/>
        <v>0</v>
      </c>
      <c r="E781" s="88"/>
      <c r="F781" s="31"/>
    </row>
    <row r="782" spans="2:11">
      <c r="B782" s="87" t="s">
        <v>26</v>
      </c>
      <c r="C782" s="173">
        <v>428.72399999999999</v>
      </c>
      <c r="D782" s="173">
        <f t="shared" si="17"/>
        <v>79.157473380242948</v>
      </c>
      <c r="E782" s="88"/>
      <c r="F782" s="31"/>
    </row>
    <row r="783" spans="2:11">
      <c r="B783" s="87" t="s">
        <v>28</v>
      </c>
      <c r="C783" s="173">
        <v>276.46299999999997</v>
      </c>
      <c r="D783" s="173">
        <f t="shared" si="17"/>
        <v>51.044757380324185</v>
      </c>
      <c r="E783" s="88"/>
      <c r="F783" s="31"/>
    </row>
    <row r="784" spans="2:11">
      <c r="B784" s="87" t="s">
        <v>29</v>
      </c>
      <c r="C784" s="173">
        <v>634.01499999999999</v>
      </c>
      <c r="D784" s="173">
        <f t="shared" si="17"/>
        <v>117.0613856121298</v>
      </c>
      <c r="E784" s="88"/>
      <c r="F784" s="31"/>
      <c r="H784" s="110"/>
    </row>
    <row r="785" spans="2:8">
      <c r="B785" s="41" t="s">
        <v>30</v>
      </c>
      <c r="C785" s="131">
        <f>SUM(C770:C784)</f>
        <v>30243.816999999999</v>
      </c>
      <c r="D785" s="131">
        <f>SUM(D770:D784)</f>
        <v>5584.0683962046423</v>
      </c>
      <c r="E785" s="42">
        <f>+C785/C790</f>
        <v>2.4225826566313255</v>
      </c>
      <c r="F785" s="31"/>
      <c r="G785" s="110"/>
    </row>
    <row r="786" spans="2:8">
      <c r="B786" s="40" t="s">
        <v>31</v>
      </c>
      <c r="C786" s="175">
        <v>15600.800999999999</v>
      </c>
      <c r="D786" s="173">
        <f>C786*$H$768</f>
        <v>2880.4545345442934</v>
      </c>
      <c r="E786" s="43"/>
      <c r="F786" s="31"/>
      <c r="H786" s="85"/>
    </row>
    <row r="787" spans="2:8">
      <c r="B787" s="41" t="s">
        <v>32</v>
      </c>
      <c r="C787" s="176">
        <f>+C785-C786</f>
        <v>14643.016</v>
      </c>
      <c r="D787" s="131">
        <f>+D785-D786</f>
        <v>2703.6138616603489</v>
      </c>
      <c r="E787" s="42">
        <f>+C787/C790</f>
        <v>1.172931201189817</v>
      </c>
      <c r="F787" s="31"/>
    </row>
    <row r="788" spans="2:8">
      <c r="B788" s="71" t="s">
        <v>33</v>
      </c>
      <c r="C788" s="177">
        <v>6673.8270000000002</v>
      </c>
      <c r="D788" s="173">
        <f>C788*$H$768</f>
        <v>1232.2223227457448</v>
      </c>
      <c r="E788" s="72"/>
      <c r="F788" s="31"/>
    </row>
    <row r="789" spans="2:8">
      <c r="B789" s="71" t="s">
        <v>34</v>
      </c>
      <c r="C789" s="178">
        <f>C785+C788</f>
        <v>36917.644</v>
      </c>
      <c r="D789" s="178">
        <f>D785+D788</f>
        <v>6816.2907189503876</v>
      </c>
      <c r="E789" s="72"/>
      <c r="F789" s="31"/>
    </row>
    <row r="790" spans="2:8">
      <c r="B790" s="300" t="s">
        <v>213</v>
      </c>
      <c r="C790" s="303">
        <f>J777</f>
        <v>12484.121818181817</v>
      </c>
      <c r="D790" s="179">
        <f>K777</f>
        <v>2369.6326917081597</v>
      </c>
      <c r="E790" s="40"/>
      <c r="F790" s="40"/>
    </row>
    <row r="792" spans="2:8">
      <c r="B792" s="109"/>
      <c r="C792" s="353">
        <v>0</v>
      </c>
      <c r="D792" s="134"/>
      <c r="F792" s="110"/>
    </row>
    <row r="793" spans="2:8">
      <c r="B793" s="109"/>
      <c r="C793" s="109"/>
      <c r="D793" s="134"/>
    </row>
    <row r="794" spans="2:8">
      <c r="B794" s="41" t="s">
        <v>37</v>
      </c>
      <c r="C794" s="142">
        <v>32874.436000000002</v>
      </c>
      <c r="D794" s="135"/>
    </row>
    <row r="795" spans="2:8">
      <c r="B795" s="41" t="s">
        <v>38</v>
      </c>
      <c r="C795" s="136">
        <f>C794/C790</f>
        <v>2.6332998410926933</v>
      </c>
      <c r="D795" s="136"/>
    </row>
    <row r="797" spans="2:8" ht="12" customHeight="1" thickBot="1"/>
    <row r="798" spans="2:8">
      <c r="B798" s="81" t="s">
        <v>285</v>
      </c>
      <c r="C798" s="124" t="s">
        <v>194</v>
      </c>
      <c r="D798" s="82" t="s">
        <v>170</v>
      </c>
      <c r="E798" s="111"/>
      <c r="F798" s="111"/>
    </row>
    <row r="799" spans="2:8">
      <c r="B799" s="83" t="s">
        <v>184</v>
      </c>
      <c r="C799" s="329">
        <f>C780</f>
        <v>868.78899999999999</v>
      </c>
      <c r="D799" s="180">
        <f>C799*$H$768</f>
        <v>160.40889276212178</v>
      </c>
      <c r="E799" s="112"/>
      <c r="F799" s="112"/>
    </row>
    <row r="800" spans="2:8">
      <c r="B800" s="83" t="s">
        <v>40</v>
      </c>
      <c r="C800" s="327">
        <f>C786</f>
        <v>15600.800999999999</v>
      </c>
      <c r="D800" s="180">
        <f>C800*$H$768</f>
        <v>2880.4545345442934</v>
      </c>
      <c r="E800" s="112"/>
      <c r="F800" s="112"/>
    </row>
    <row r="801" spans="1:14" ht="13.5" thickBot="1">
      <c r="B801" s="389" t="s">
        <v>41</v>
      </c>
      <c r="C801" s="390">
        <f>SUM(C799:C800)</f>
        <v>16469.59</v>
      </c>
      <c r="D801" s="391">
        <f>SUM(D799:D800)</f>
        <v>3040.8634273064154</v>
      </c>
      <c r="E801" s="112"/>
      <c r="F801" s="112"/>
    </row>
    <row r="803" spans="1:14" ht="13.5" thickBot="1"/>
    <row r="804" spans="1:14">
      <c r="B804" s="81" t="s">
        <v>286</v>
      </c>
      <c r="C804" s="124" t="s">
        <v>194</v>
      </c>
      <c r="D804" s="124" t="s">
        <v>170</v>
      </c>
      <c r="E804" s="69"/>
      <c r="F804" s="69"/>
    </row>
    <row r="805" spans="1:14">
      <c r="B805" s="73">
        <v>2021</v>
      </c>
      <c r="C805" s="373">
        <v>1794.0429999999999</v>
      </c>
      <c r="D805" s="183">
        <f t="shared" ref="D805:D810" si="18">C805*$H$768</f>
        <v>331.24320312254781</v>
      </c>
    </row>
    <row r="806" spans="1:14">
      <c r="B806" s="73">
        <v>2022</v>
      </c>
      <c r="C806" s="373">
        <v>5680.259</v>
      </c>
      <c r="D806" s="183">
        <f t="shared" si="18"/>
        <v>1048.7748541844765</v>
      </c>
    </row>
    <row r="807" spans="1:14">
      <c r="B807" s="73">
        <v>2023</v>
      </c>
      <c r="C807" s="373">
        <v>1867.373</v>
      </c>
      <c r="D807" s="183">
        <f t="shared" si="18"/>
        <v>344.78249068977811</v>
      </c>
    </row>
    <row r="808" spans="1:14">
      <c r="B808" s="73">
        <v>2024</v>
      </c>
      <c r="C808" s="373">
        <v>2885.991</v>
      </c>
      <c r="D808" s="183">
        <f t="shared" si="18"/>
        <v>532.85506703175179</v>
      </c>
    </row>
    <row r="809" spans="1:14">
      <c r="B809" s="73">
        <v>2025</v>
      </c>
      <c r="C809" s="373">
        <v>17.503</v>
      </c>
      <c r="D809" s="183">
        <f t="shared" si="18"/>
        <v>3.2316671251770193</v>
      </c>
    </row>
    <row r="810" spans="1:14" ht="13.5" thickBot="1">
      <c r="B810" s="74" t="s">
        <v>276</v>
      </c>
      <c r="C810" s="382">
        <v>17088.166000000001</v>
      </c>
      <c r="D810" s="383">
        <f t="shared" si="18"/>
        <v>3155.0742325182932</v>
      </c>
    </row>
    <row r="811" spans="1:14">
      <c r="B811" s="69" t="s">
        <v>44</v>
      </c>
      <c r="C811" s="374">
        <f>SUM(C805:C810)</f>
        <v>29333.334999999999</v>
      </c>
      <c r="D811" s="374">
        <f>SUM(D805:D810)</f>
        <v>5415.9615146720244</v>
      </c>
      <c r="E811" s="113"/>
      <c r="F811" s="113"/>
    </row>
    <row r="812" spans="1:14">
      <c r="B812" s="90" t="s">
        <v>36</v>
      </c>
      <c r="C812" s="121">
        <v>0</v>
      </c>
      <c r="D812" s="110"/>
      <c r="E812" s="96"/>
      <c r="N812" s="31"/>
    </row>
    <row r="813" spans="1:14">
      <c r="N813" s="31"/>
    </row>
    <row r="814" spans="1:14" s="31" customFormat="1">
      <c r="A814" s="32"/>
      <c r="B814" s="32"/>
      <c r="C814" s="32"/>
      <c r="D814" s="32"/>
      <c r="E814" s="32"/>
      <c r="F814" s="32"/>
      <c r="G814" s="32"/>
      <c r="H814" s="32"/>
      <c r="I814" s="32"/>
      <c r="J814" s="32"/>
      <c r="K814" s="32"/>
      <c r="L814" s="32"/>
      <c r="M814" s="32"/>
      <c r="N814" s="32"/>
    </row>
    <row r="815" spans="1:14" s="31" customFormat="1">
      <c r="A815" s="69" t="s">
        <v>287</v>
      </c>
      <c r="B815" s="30" t="s">
        <v>188</v>
      </c>
      <c r="C815" s="508" t="s">
        <v>288</v>
      </c>
      <c r="D815" s="508"/>
      <c r="E815" s="114" t="s">
        <v>181</v>
      </c>
      <c r="G815" s="69" t="s">
        <v>289</v>
      </c>
      <c r="H815" s="172">
        <v>0.20122343850611721</v>
      </c>
      <c r="L815" s="32"/>
      <c r="M815" s="32"/>
      <c r="N815" s="32"/>
    </row>
    <row r="816" spans="1:14">
      <c r="B816" s="108"/>
      <c r="C816" s="139" t="s">
        <v>4</v>
      </c>
      <c r="D816" s="139" t="s">
        <v>5</v>
      </c>
      <c r="E816" s="138"/>
      <c r="F816" s="31"/>
      <c r="G816" s="69"/>
      <c r="H816" s="172">
        <v>0.18621419580579512</v>
      </c>
      <c r="I816" s="31"/>
      <c r="J816" s="31"/>
      <c r="K816" s="31"/>
    </row>
    <row r="817" spans="2:11">
      <c r="B817" s="108" t="s">
        <v>9</v>
      </c>
      <c r="C817" s="108"/>
      <c r="D817" s="95"/>
      <c r="E817" s="88"/>
      <c r="F817" s="31"/>
    </row>
    <row r="818" spans="2:11">
      <c r="B818" s="87" t="s">
        <v>11</v>
      </c>
      <c r="C818" s="173">
        <v>0</v>
      </c>
      <c r="D818" s="173">
        <f>C818*$H$815</f>
        <v>0</v>
      </c>
      <c r="E818" s="88"/>
      <c r="F818" s="31"/>
    </row>
    <row r="819" spans="2:11">
      <c r="B819" s="87" t="s">
        <v>13</v>
      </c>
      <c r="C819" s="173">
        <v>5267.0349999999999</v>
      </c>
      <c r="D819" s="173">
        <f>C819*$H$815</f>
        <v>1059.8508934320671</v>
      </c>
      <c r="E819" s="88"/>
      <c r="F819" s="31"/>
      <c r="I819" s="338" t="s">
        <v>8</v>
      </c>
      <c r="J819" s="358" t="s">
        <v>192</v>
      </c>
      <c r="K819" s="358" t="s">
        <v>5</v>
      </c>
    </row>
    <row r="820" spans="2:11">
      <c r="B820" s="87" t="s">
        <v>15</v>
      </c>
      <c r="C820" s="173">
        <v>501.166</v>
      </c>
      <c r="D820" s="173">
        <f>C820*$H$815</f>
        <v>100.84634578235674</v>
      </c>
      <c r="E820" s="88"/>
      <c r="F820" s="31"/>
      <c r="I820" s="69"/>
      <c r="J820" s="372"/>
      <c r="K820" s="372"/>
    </row>
    <row r="821" spans="2:11">
      <c r="B821" s="87" t="s">
        <v>17</v>
      </c>
      <c r="C821" s="173">
        <v>437.28</v>
      </c>
      <c r="D821" s="173">
        <f>C821*$H$815</f>
        <v>87.990985189954927</v>
      </c>
      <c r="E821" s="88"/>
      <c r="F821" s="31"/>
      <c r="I821" s="32" t="s">
        <v>10</v>
      </c>
      <c r="J821" s="378">
        <v>27881.418000000001</v>
      </c>
      <c r="K821" s="350">
        <f>J821*H815</f>
        <v>5610.3948003863497</v>
      </c>
    </row>
    <row r="822" spans="2:11">
      <c r="B822" s="108" t="s">
        <v>19</v>
      </c>
      <c r="C822" s="173"/>
      <c r="D822" s="173"/>
      <c r="E822" s="88"/>
      <c r="F822" s="31"/>
      <c r="I822" s="32" t="s">
        <v>12</v>
      </c>
      <c r="J822" s="350">
        <f>C833</f>
        <v>13503.821</v>
      </c>
      <c r="K822" s="350">
        <f>J822*H815</f>
        <v>2717.2852945911141</v>
      </c>
    </row>
    <row r="823" spans="2:11">
      <c r="B823" s="87" t="s">
        <v>20</v>
      </c>
      <c r="C823" s="173">
        <v>3313.8939999999998</v>
      </c>
      <c r="D823" s="173">
        <f t="shared" ref="D823:D835" si="19">C823*$H$815</f>
        <v>666.83314552479078</v>
      </c>
      <c r="E823" s="88"/>
      <c r="F823" s="31"/>
      <c r="I823" s="69" t="s">
        <v>14</v>
      </c>
      <c r="J823" s="351">
        <f>J821-J822</f>
        <v>14377.597000000002</v>
      </c>
      <c r="K823" s="351">
        <f>K821-K822</f>
        <v>2893.1095057952357</v>
      </c>
    </row>
    <row r="824" spans="2:11">
      <c r="B824" s="87" t="s">
        <v>21</v>
      </c>
      <c r="C824" s="173">
        <v>14719.686</v>
      </c>
      <c r="D824" s="173">
        <f t="shared" si="19"/>
        <v>2961.9458306503543</v>
      </c>
      <c r="E824" s="88"/>
      <c r="F824" s="31"/>
      <c r="I824" s="32" t="s">
        <v>182</v>
      </c>
      <c r="J824" s="350">
        <f>J823/J825</f>
        <v>9915.584137931035</v>
      </c>
      <c r="K824" s="350">
        <f>K823/K825</f>
        <v>1866.5222618033779</v>
      </c>
    </row>
    <row r="825" spans="2:11">
      <c r="B825" s="87" t="s">
        <v>22</v>
      </c>
      <c r="C825" s="173">
        <v>2012.778</v>
      </c>
      <c r="D825" s="173">
        <f t="shared" si="19"/>
        <v>405.01811010946557</v>
      </c>
      <c r="E825" s="88"/>
      <c r="F825" s="31"/>
      <c r="I825" s="42" t="s">
        <v>18</v>
      </c>
      <c r="J825" s="359">
        <v>1.45</v>
      </c>
      <c r="K825" s="359">
        <v>1.55</v>
      </c>
    </row>
    <row r="826" spans="2:11">
      <c r="B826" s="87" t="s">
        <v>24</v>
      </c>
      <c r="C826" s="173">
        <v>0</v>
      </c>
      <c r="D826" s="173">
        <f t="shared" si="19"/>
        <v>0</v>
      </c>
      <c r="E826" s="88"/>
      <c r="F826" s="31"/>
    </row>
    <row r="827" spans="2:11">
      <c r="B827" s="87" t="s">
        <v>23</v>
      </c>
      <c r="C827" s="173">
        <v>1232.43</v>
      </c>
      <c r="D827" s="173">
        <f t="shared" si="19"/>
        <v>247.99380231809405</v>
      </c>
      <c r="E827" s="88"/>
      <c r="F827" s="31"/>
    </row>
    <row r="828" spans="2:11">
      <c r="B828" s="87" t="s">
        <v>25</v>
      </c>
      <c r="C828" s="173">
        <v>0</v>
      </c>
      <c r="D828" s="173">
        <f t="shared" si="19"/>
        <v>0</v>
      </c>
      <c r="E828" s="88"/>
      <c r="F828" s="31"/>
    </row>
    <row r="829" spans="2:11">
      <c r="B829" s="87" t="s">
        <v>26</v>
      </c>
      <c r="C829" s="173">
        <v>397.149</v>
      </c>
      <c r="D829" s="173">
        <f t="shared" si="19"/>
        <v>79.915687379265947</v>
      </c>
      <c r="E829" s="88"/>
      <c r="F829" s="31"/>
    </row>
    <row r="830" spans="2:11">
      <c r="B830" s="87" t="s">
        <v>28</v>
      </c>
      <c r="C830" s="173">
        <v>240.11699999999999</v>
      </c>
      <c r="D830" s="173">
        <f t="shared" si="19"/>
        <v>48.317168383773343</v>
      </c>
      <c r="E830" s="88"/>
      <c r="F830" s="31"/>
    </row>
    <row r="831" spans="2:11">
      <c r="B831" s="87" t="s">
        <v>29</v>
      </c>
      <c r="C831" s="173">
        <v>618.70299999999997</v>
      </c>
      <c r="D831" s="173">
        <f t="shared" si="19"/>
        <v>124.49754507405024</v>
      </c>
      <c r="E831" s="88"/>
      <c r="F831" s="31"/>
      <c r="H831" s="110"/>
    </row>
    <row r="832" spans="2:11">
      <c r="B832" s="41" t="s">
        <v>30</v>
      </c>
      <c r="C832" s="131">
        <f>SUM(C817:C831)</f>
        <v>28740.238000000001</v>
      </c>
      <c r="D832" s="131">
        <f>SUM(D817:D831)</f>
        <v>5783.2095138441737</v>
      </c>
      <c r="E832" s="42">
        <f>+C832/C837</f>
        <v>2.8984916672793095</v>
      </c>
      <c r="F832" s="31"/>
      <c r="G832" s="110"/>
    </row>
    <row r="833" spans="2:8">
      <c r="B833" s="40" t="s">
        <v>31</v>
      </c>
      <c r="C833" s="175">
        <v>13503.821</v>
      </c>
      <c r="D833" s="173">
        <f t="shared" si="19"/>
        <v>2717.2852945911141</v>
      </c>
      <c r="E833" s="43"/>
      <c r="F833" s="31"/>
      <c r="H833" s="85"/>
    </row>
    <row r="834" spans="2:8">
      <c r="B834" s="41" t="s">
        <v>32</v>
      </c>
      <c r="C834" s="176">
        <f>+C832-C833</f>
        <v>15236.417000000001</v>
      </c>
      <c r="D834" s="131">
        <f>+D832-D833</f>
        <v>3065.9242192530596</v>
      </c>
      <c r="E834" s="42">
        <f>+C834/C837</f>
        <v>1.536613152392573</v>
      </c>
      <c r="F834" s="31"/>
    </row>
    <row r="835" spans="2:8">
      <c r="B835" s="71" t="s">
        <v>33</v>
      </c>
      <c r="C835" s="177">
        <v>5868.8779999999997</v>
      </c>
      <c r="D835" s="173">
        <f t="shared" si="19"/>
        <v>1180.955811332904</v>
      </c>
      <c r="E835" s="72"/>
      <c r="F835" s="31"/>
    </row>
    <row r="836" spans="2:8">
      <c r="B836" s="71" t="s">
        <v>34</v>
      </c>
      <c r="C836" s="178">
        <f>C832+C835</f>
        <v>34609.116000000002</v>
      </c>
      <c r="D836" s="178">
        <f>D832+D835</f>
        <v>6964.1653251770776</v>
      </c>
      <c r="E836" s="72"/>
      <c r="F836" s="31"/>
    </row>
    <row r="837" spans="2:8">
      <c r="B837" s="300" t="s">
        <v>213</v>
      </c>
      <c r="C837" s="303">
        <f>J824</f>
        <v>9915.584137931035</v>
      </c>
      <c r="D837" s="179">
        <f>K824</f>
        <v>1866.5222618033779</v>
      </c>
      <c r="E837" s="40"/>
      <c r="F837" s="40"/>
    </row>
    <row r="839" spans="2:8">
      <c r="B839" s="109"/>
      <c r="C839" s="353">
        <v>0</v>
      </c>
      <c r="D839" s="134"/>
      <c r="F839" s="110"/>
    </row>
    <row r="840" spans="2:8">
      <c r="B840" s="109"/>
      <c r="C840" s="109"/>
      <c r="D840" s="134"/>
    </row>
    <row r="841" spans="2:8">
      <c r="B841" s="41" t="s">
        <v>37</v>
      </c>
      <c r="C841" s="142">
        <v>28333.317000000003</v>
      </c>
      <c r="D841" s="135"/>
    </row>
    <row r="842" spans="2:8">
      <c r="B842" s="41" t="s">
        <v>38</v>
      </c>
      <c r="C842" s="136">
        <f>C841/C837</f>
        <v>2.8574531369880516</v>
      </c>
      <c r="D842" s="136"/>
    </row>
    <row r="844" spans="2:8" ht="13.5" thickBot="1"/>
    <row r="845" spans="2:8">
      <c r="B845" s="81" t="s">
        <v>290</v>
      </c>
      <c r="C845" s="124" t="s">
        <v>194</v>
      </c>
      <c r="D845" s="82" t="s">
        <v>170</v>
      </c>
      <c r="E845" s="111"/>
      <c r="F845" s="111"/>
    </row>
    <row r="846" spans="2:8" ht="12" customHeight="1">
      <c r="B846" s="83" t="s">
        <v>184</v>
      </c>
      <c r="C846" s="329">
        <f>C827</f>
        <v>1232.43</v>
      </c>
      <c r="D846" s="180">
        <f>C846*$H$815</f>
        <v>247.99380231809405</v>
      </c>
      <c r="E846" s="112"/>
      <c r="F846" s="112"/>
    </row>
    <row r="847" spans="2:8">
      <c r="B847" s="83" t="s">
        <v>40</v>
      </c>
      <c r="C847" s="327">
        <f>C833</f>
        <v>13503.821</v>
      </c>
      <c r="D847" s="180">
        <f>C847*$H$815</f>
        <v>2717.2852945911141</v>
      </c>
      <c r="E847" s="112"/>
      <c r="F847" s="112"/>
    </row>
    <row r="848" spans="2:8" ht="13.5" thickBot="1">
      <c r="B848" s="84" t="s">
        <v>41</v>
      </c>
      <c r="C848" s="330">
        <f>SUM(C846:C847)</f>
        <v>14736.251</v>
      </c>
      <c r="D848" s="184">
        <f>SUM(D846:D847)</f>
        <v>2965.279096909208</v>
      </c>
      <c r="E848" s="112"/>
      <c r="F848" s="112"/>
    </row>
    <row r="850" spans="1:14" ht="13.5" thickBot="1"/>
    <row r="851" spans="1:14">
      <c r="B851" s="81" t="s">
        <v>291</v>
      </c>
      <c r="C851" s="124" t="s">
        <v>194</v>
      </c>
      <c r="D851" s="124" t="s">
        <v>170</v>
      </c>
      <c r="E851" s="69"/>
      <c r="F851" s="69"/>
    </row>
    <row r="852" spans="1:14">
      <c r="B852" s="73">
        <v>2021</v>
      </c>
      <c r="C852" s="373">
        <v>4225.5379999999996</v>
      </c>
      <c r="D852" s="183">
        <f t="shared" ref="D852:D857" si="20">C852*$H$815</f>
        <v>850.27728589826143</v>
      </c>
    </row>
    <row r="853" spans="1:14">
      <c r="B853" s="73">
        <v>2022</v>
      </c>
      <c r="C853" s="373">
        <v>4720.8819999999996</v>
      </c>
      <c r="D853" s="183">
        <f t="shared" si="20"/>
        <v>949.95210882163553</v>
      </c>
    </row>
    <row r="854" spans="1:14">
      <c r="B854" s="73">
        <v>2023</v>
      </c>
      <c r="C854" s="373">
        <v>2068.306</v>
      </c>
      <c r="D854" s="183">
        <f t="shared" si="20"/>
        <v>416.19164520283329</v>
      </c>
    </row>
    <row r="855" spans="1:14">
      <c r="B855" s="73">
        <v>2024</v>
      </c>
      <c r="C855" s="373">
        <v>2237.9699999999998</v>
      </c>
      <c r="D855" s="183">
        <f t="shared" si="20"/>
        <v>450.33201867353506</v>
      </c>
    </row>
    <row r="856" spans="1:14">
      <c r="B856" s="73">
        <v>2025</v>
      </c>
      <c r="C856" s="373">
        <v>16.100999999999999</v>
      </c>
      <c r="D856" s="183">
        <f t="shared" si="20"/>
        <v>3.2398985833869931</v>
      </c>
    </row>
    <row r="857" spans="1:14" ht="13.5" thickBot="1">
      <c r="B857" s="74" t="s">
        <v>276</v>
      </c>
      <c r="C857" s="382">
        <v>14612.620999999999</v>
      </c>
      <c r="D857" s="383">
        <f t="shared" si="20"/>
        <v>2940.4018432066969</v>
      </c>
    </row>
    <row r="858" spans="1:14">
      <c r="B858" s="69" t="s">
        <v>44</v>
      </c>
      <c r="C858" s="374">
        <f>SUM(C852:C857)</f>
        <v>27881.417999999998</v>
      </c>
      <c r="D858" s="374">
        <f>SUM(D852:D857)</f>
        <v>5610.3948003863488</v>
      </c>
      <c r="E858" s="113"/>
      <c r="F858" s="113"/>
      <c r="M858" s="31"/>
    </row>
    <row r="859" spans="1:14">
      <c r="B859" s="90" t="s">
        <v>36</v>
      </c>
      <c r="C859" s="121">
        <v>0</v>
      </c>
      <c r="D859" s="110"/>
      <c r="E859" s="96"/>
      <c r="M859" s="31"/>
    </row>
    <row r="861" spans="1:14">
      <c r="A861" s="69" t="s">
        <v>292</v>
      </c>
      <c r="B861" s="30" t="s">
        <v>188</v>
      </c>
      <c r="C861" s="508" t="s">
        <v>293</v>
      </c>
      <c r="D861" s="508"/>
      <c r="E861" s="114" t="s">
        <v>181</v>
      </c>
      <c r="F861" s="31"/>
      <c r="G861" s="69" t="s">
        <v>294</v>
      </c>
      <c r="H861" s="172">
        <v>0.17750323943411966</v>
      </c>
      <c r="I861" s="31"/>
      <c r="J861" s="31"/>
      <c r="K861" s="31"/>
      <c r="N861" s="31"/>
    </row>
    <row r="862" spans="1:14">
      <c r="B862" s="108"/>
      <c r="C862" s="139" t="s">
        <v>4</v>
      </c>
      <c r="D862" s="139" t="s">
        <v>5</v>
      </c>
      <c r="E862" s="138"/>
      <c r="F862" s="31"/>
      <c r="G862" s="69"/>
      <c r="H862" s="172">
        <v>0.18459945684853182</v>
      </c>
      <c r="I862" s="31"/>
      <c r="J862" s="31"/>
      <c r="K862" s="31"/>
      <c r="N862" s="31"/>
    </row>
    <row r="863" spans="1:14" s="31" customFormat="1">
      <c r="A863" s="32"/>
      <c r="B863" s="108" t="s">
        <v>9</v>
      </c>
      <c r="C863" s="108"/>
      <c r="D863" s="95"/>
      <c r="E863" s="88"/>
      <c r="G863" s="32"/>
      <c r="H863" s="32"/>
      <c r="I863" s="32"/>
      <c r="J863" s="32"/>
      <c r="K863" s="32"/>
      <c r="L863" s="32"/>
      <c r="M863" s="32"/>
      <c r="N863" s="32"/>
    </row>
    <row r="864" spans="1:14" s="31" customFormat="1">
      <c r="A864" s="32"/>
      <c r="B864" s="87" t="s">
        <v>11</v>
      </c>
      <c r="C864" s="173">
        <v>0.01</v>
      </c>
      <c r="D864" s="173">
        <f>C864*$H$861</f>
        <v>1.7750323943411966E-3</v>
      </c>
      <c r="E864" s="88"/>
      <c r="G864" s="32"/>
      <c r="H864" s="32"/>
      <c r="I864" s="32"/>
      <c r="J864" s="32"/>
      <c r="K864" s="32"/>
      <c r="L864" s="32"/>
      <c r="M864" s="32"/>
      <c r="N864" s="32"/>
    </row>
    <row r="865" spans="2:11">
      <c r="B865" s="87" t="s">
        <v>13</v>
      </c>
      <c r="C865" s="173">
        <v>2482.6509999999998</v>
      </c>
      <c r="D865" s="173">
        <f>C865*$H$861</f>
        <v>440.67859488435658</v>
      </c>
      <c r="E865" s="88"/>
      <c r="F865" s="31"/>
      <c r="I865" s="338" t="s">
        <v>8</v>
      </c>
      <c r="J865" s="358" t="s">
        <v>192</v>
      </c>
      <c r="K865" s="358" t="s">
        <v>5</v>
      </c>
    </row>
    <row r="866" spans="2:11">
      <c r="B866" s="87" t="s">
        <v>15</v>
      </c>
      <c r="C866" s="173">
        <v>494.70400000000001</v>
      </c>
      <c r="D866" s="173">
        <f>C866*$H$861</f>
        <v>87.811562561016729</v>
      </c>
      <c r="E866" s="88"/>
      <c r="F866" s="31"/>
      <c r="I866" s="69"/>
      <c r="J866" s="372"/>
      <c r="K866" s="372"/>
    </row>
    <row r="867" spans="2:11">
      <c r="B867" s="87"/>
      <c r="C867" s="173"/>
      <c r="D867" s="173"/>
      <c r="E867" s="88"/>
      <c r="F867" s="31"/>
      <c r="I867" s="32" t="s">
        <v>10</v>
      </c>
      <c r="J867" s="378">
        <v>28804.025000000001</v>
      </c>
      <c r="K867" s="350">
        <f>J867*H861</f>
        <v>5112.8077462413685</v>
      </c>
    </row>
    <row r="868" spans="2:11">
      <c r="B868" s="108" t="s">
        <v>19</v>
      </c>
      <c r="C868" s="173"/>
      <c r="D868" s="173"/>
      <c r="E868" s="88"/>
      <c r="F868" s="31"/>
      <c r="I868" s="32" t="s">
        <v>12</v>
      </c>
      <c r="J868" s="350">
        <f>C879</f>
        <v>11056.955999999998</v>
      </c>
      <c r="K868" s="350">
        <f>J868*H861</f>
        <v>1962.6455082805257</v>
      </c>
    </row>
    <row r="869" spans="2:11">
      <c r="B869" s="87" t="s">
        <v>20</v>
      </c>
      <c r="C869" s="173">
        <v>3605.6819999999998</v>
      </c>
      <c r="D869" s="173">
        <f t="shared" ref="D869:D874" si="21">C869*$H$861</f>
        <v>640.02023536929539</v>
      </c>
      <c r="E869" s="88"/>
      <c r="F869" s="31"/>
      <c r="I869" s="69" t="s">
        <v>14</v>
      </c>
      <c r="J869" s="351">
        <f>J867-J868</f>
        <v>17747.069000000003</v>
      </c>
      <c r="K869" s="351">
        <f>K867-K868</f>
        <v>3150.1622379608425</v>
      </c>
    </row>
    <row r="870" spans="2:11">
      <c r="B870" s="87" t="s">
        <v>21</v>
      </c>
      <c r="C870" s="173">
        <v>16589.825000000001</v>
      </c>
      <c r="D870" s="173">
        <f t="shared" si="21"/>
        <v>2944.7476791451445</v>
      </c>
      <c r="E870" s="88"/>
      <c r="F870" s="31"/>
      <c r="I870" s="32" t="s">
        <v>182</v>
      </c>
      <c r="J870" s="350">
        <f>J869/J871</f>
        <v>10083.561931818183</v>
      </c>
      <c r="K870" s="350">
        <f>K869/K871</f>
        <v>1875.0965702147873</v>
      </c>
    </row>
    <row r="871" spans="2:11">
      <c r="B871" s="87" t="s">
        <v>22</v>
      </c>
      <c r="C871" s="173">
        <v>2975.9560000000001</v>
      </c>
      <c r="D871" s="173">
        <f t="shared" si="21"/>
        <v>528.24183041340507</v>
      </c>
      <c r="E871" s="88"/>
      <c r="F871" s="31"/>
      <c r="I871" s="42" t="s">
        <v>18</v>
      </c>
      <c r="J871" s="359">
        <v>1.76</v>
      </c>
      <c r="K871" s="359">
        <v>1.68</v>
      </c>
    </row>
    <row r="872" spans="2:11">
      <c r="B872" s="87" t="s">
        <v>24</v>
      </c>
      <c r="C872" s="173">
        <v>0</v>
      </c>
      <c r="D872" s="173">
        <f t="shared" si="21"/>
        <v>0</v>
      </c>
      <c r="E872" s="88"/>
      <c r="F872" s="31"/>
    </row>
    <row r="873" spans="2:11">
      <c r="B873" s="87" t="s">
        <v>23</v>
      </c>
      <c r="C873" s="173">
        <v>2655.1610000000001</v>
      </c>
      <c r="D873" s="173">
        <f t="shared" si="21"/>
        <v>471.29967871913664</v>
      </c>
      <c r="E873" s="88"/>
      <c r="F873" s="31"/>
    </row>
    <row r="874" spans="2:11">
      <c r="B874" s="87" t="s">
        <v>25</v>
      </c>
      <c r="C874" s="173">
        <v>0</v>
      </c>
      <c r="D874" s="173">
        <f t="shared" si="21"/>
        <v>0</v>
      </c>
      <c r="E874" s="88"/>
      <c r="F874" s="31"/>
    </row>
    <row r="875" spans="2:11">
      <c r="B875" s="87"/>
      <c r="C875" s="173"/>
      <c r="D875" s="173"/>
      <c r="E875" s="88"/>
      <c r="F875" s="31"/>
    </row>
    <row r="876" spans="2:11">
      <c r="B876" s="87" t="s">
        <v>28</v>
      </c>
      <c r="C876" s="173">
        <v>389.55500000000001</v>
      </c>
      <c r="D876" s="173">
        <f>C876*$H$861</f>
        <v>69.147274437758483</v>
      </c>
      <c r="E876" s="88"/>
      <c r="F876" s="31"/>
    </row>
    <row r="877" spans="2:11">
      <c r="B877" s="87" t="s">
        <v>29</v>
      </c>
      <c r="C877" s="173">
        <v>714.904</v>
      </c>
      <c r="D877" s="173">
        <f>C877*$H$861</f>
        <v>126.89777588440988</v>
      </c>
      <c r="E877" s="88"/>
      <c r="F877" s="31"/>
      <c r="H877" s="110"/>
    </row>
    <row r="878" spans="2:11">
      <c r="B878" s="41" t="s">
        <v>30</v>
      </c>
      <c r="C878" s="131">
        <f>SUM(C863:C877)</f>
        <v>29908.448</v>
      </c>
      <c r="D878" s="131">
        <f>SUM(D863:D877)</f>
        <v>5308.846406446919</v>
      </c>
      <c r="E878" s="42">
        <f>+C878/C883</f>
        <v>2.9660598310628079</v>
      </c>
      <c r="F878" s="31"/>
      <c r="G878" s="110"/>
    </row>
    <row r="879" spans="2:11">
      <c r="B879" s="40" t="s">
        <v>31</v>
      </c>
      <c r="C879" s="175">
        <v>11056.955999999998</v>
      </c>
      <c r="D879" s="173">
        <f>C879*$H$861</f>
        <v>1962.6455082805257</v>
      </c>
      <c r="E879" s="43"/>
      <c r="F879" s="31"/>
      <c r="H879" s="85"/>
    </row>
    <row r="880" spans="2:11">
      <c r="B880" s="41" t="s">
        <v>32</v>
      </c>
      <c r="C880" s="176">
        <f>+C878-C879</f>
        <v>18851.492000000002</v>
      </c>
      <c r="D880" s="131">
        <f>+D878-D879</f>
        <v>3346.200898166393</v>
      </c>
      <c r="E880" s="42">
        <f>+C880/C883</f>
        <v>1.869527070639101</v>
      </c>
      <c r="F880" s="31"/>
    </row>
    <row r="881" spans="2:6">
      <c r="B881" s="71" t="s">
        <v>33</v>
      </c>
      <c r="C881" s="177">
        <v>3966.14</v>
      </c>
      <c r="D881" s="173">
        <f>C881*$H$861</f>
        <v>704.00269804923937</v>
      </c>
      <c r="E881" s="72"/>
      <c r="F881" s="31"/>
    </row>
    <row r="882" spans="2:6">
      <c r="B882" s="71" t="s">
        <v>34</v>
      </c>
      <c r="C882" s="178">
        <f>C878+C881</f>
        <v>33874.588000000003</v>
      </c>
      <c r="D882" s="178">
        <f>D878+D881</f>
        <v>6012.8491044961584</v>
      </c>
      <c r="E882" s="72"/>
      <c r="F882" s="31"/>
    </row>
    <row r="883" spans="2:6">
      <c r="B883" s="300" t="s">
        <v>213</v>
      </c>
      <c r="C883" s="303">
        <f>J870</f>
        <v>10083.561931818183</v>
      </c>
      <c r="D883" s="179">
        <f>K870</f>
        <v>1875.0965702147873</v>
      </c>
      <c r="E883" s="40"/>
      <c r="F883" s="40"/>
    </row>
    <row r="885" spans="2:6">
      <c r="B885" s="109"/>
      <c r="C885" s="353">
        <v>0</v>
      </c>
      <c r="D885" s="134"/>
      <c r="F885" s="110"/>
    </row>
    <row r="886" spans="2:6">
      <c r="B886" s="109"/>
      <c r="C886" s="109"/>
      <c r="D886" s="134"/>
    </row>
    <row r="887" spans="2:6">
      <c r="B887" s="41" t="s">
        <v>37</v>
      </c>
      <c r="C887" s="142">
        <v>33591.491999999998</v>
      </c>
      <c r="D887" s="135"/>
    </row>
    <row r="888" spans="2:6">
      <c r="B888" s="41" t="s">
        <v>38</v>
      </c>
      <c r="C888" s="136">
        <f>C887/C883</f>
        <v>3.331312112439524</v>
      </c>
      <c r="D888" s="136"/>
    </row>
    <row r="890" spans="2:6" ht="13.5" thickBot="1"/>
    <row r="891" spans="2:6">
      <c r="B891" s="81" t="s">
        <v>295</v>
      </c>
      <c r="C891" s="124" t="s">
        <v>194</v>
      </c>
      <c r="D891" s="82" t="s">
        <v>170</v>
      </c>
      <c r="E891" s="111"/>
      <c r="F891" s="111"/>
    </row>
    <row r="892" spans="2:6">
      <c r="B892" s="83" t="s">
        <v>184</v>
      </c>
      <c r="C892" s="329">
        <f>C873</f>
        <v>2655.1610000000001</v>
      </c>
      <c r="D892" s="180">
        <f>C892*$H$861</f>
        <v>471.29967871913664</v>
      </c>
      <c r="E892" s="112"/>
      <c r="F892" s="112"/>
    </row>
    <row r="893" spans="2:6">
      <c r="B893" s="83" t="s">
        <v>40</v>
      </c>
      <c r="C893" s="327">
        <f>C879</f>
        <v>11056.955999999998</v>
      </c>
      <c r="D893" s="180">
        <f>C893*$H$861</f>
        <v>1962.6455082805257</v>
      </c>
      <c r="E893" s="112"/>
      <c r="F893" s="112"/>
    </row>
    <row r="894" spans="2:6" ht="13.5" thickBot="1">
      <c r="B894" s="84" t="s">
        <v>41</v>
      </c>
      <c r="C894" s="330">
        <f>SUM(C892:C893)</f>
        <v>13712.116999999998</v>
      </c>
      <c r="D894" s="184">
        <f>SUM(D892:D893)</f>
        <v>2433.9451869996624</v>
      </c>
      <c r="E894" s="112"/>
      <c r="F894" s="112"/>
    </row>
    <row r="895" spans="2:6" ht="12" customHeight="1"/>
    <row r="896" spans="2:6" ht="13.5" thickBot="1"/>
    <row r="897" spans="1:14">
      <c r="B897" s="81" t="s">
        <v>296</v>
      </c>
      <c r="C897" s="124" t="s">
        <v>194</v>
      </c>
      <c r="D897" s="124" t="s">
        <v>170</v>
      </c>
      <c r="E897" s="69"/>
      <c r="F897" s="69"/>
    </row>
    <row r="898" spans="1:14">
      <c r="B898" s="73">
        <v>2021</v>
      </c>
      <c r="C898" s="373">
        <v>5734.7510000000002</v>
      </c>
      <c r="D898" s="183">
        <f t="shared" ref="D898:D903" si="22">C898*$H$861</f>
        <v>1017.9368798480572</v>
      </c>
    </row>
    <row r="899" spans="1:14">
      <c r="B899" s="73">
        <v>2022</v>
      </c>
      <c r="C899" s="373">
        <v>5464.1239999999998</v>
      </c>
      <c r="D899" s="183">
        <f t="shared" si="22"/>
        <v>969.89971066971964</v>
      </c>
    </row>
    <row r="900" spans="1:14">
      <c r="B900" s="73">
        <v>2023</v>
      </c>
      <c r="C900" s="373">
        <v>1081.47</v>
      </c>
      <c r="D900" s="183">
        <f t="shared" si="22"/>
        <v>191.9644283508174</v>
      </c>
    </row>
    <row r="901" spans="1:14">
      <c r="B901" s="73">
        <v>2024</v>
      </c>
      <c r="C901" s="373">
        <v>18.169</v>
      </c>
      <c r="D901" s="183">
        <f t="shared" si="22"/>
        <v>3.2250563572785205</v>
      </c>
    </row>
    <row r="902" spans="1:14">
      <c r="B902" s="73">
        <v>2025</v>
      </c>
      <c r="C902" s="373">
        <v>18.506</v>
      </c>
      <c r="D902" s="183">
        <f t="shared" si="22"/>
        <v>3.2848749489678184</v>
      </c>
    </row>
    <row r="903" spans="1:14" ht="13.5" thickBot="1">
      <c r="B903" s="74" t="s">
        <v>276</v>
      </c>
      <c r="C903" s="382">
        <v>16487.005000000001</v>
      </c>
      <c r="D903" s="383">
        <f t="shared" si="22"/>
        <v>2926.4967960665281</v>
      </c>
    </row>
    <row r="904" spans="1:14">
      <c r="B904" s="69" t="s">
        <v>44</v>
      </c>
      <c r="C904" s="374">
        <f>SUM(C898:C903)</f>
        <v>28804.025000000001</v>
      </c>
      <c r="D904" s="374">
        <f>SUM(D898:D903)</f>
        <v>5112.8077462413685</v>
      </c>
      <c r="E904" s="113"/>
      <c r="F904" s="113"/>
    </row>
    <row r="905" spans="1:14">
      <c r="B905" s="90" t="s">
        <v>36</v>
      </c>
      <c r="C905" s="121">
        <v>0</v>
      </c>
      <c r="D905" s="110"/>
      <c r="E905" s="96"/>
    </row>
    <row r="907" spans="1:14">
      <c r="A907" s="69" t="s">
        <v>297</v>
      </c>
      <c r="B907" s="30" t="s">
        <v>188</v>
      </c>
      <c r="C907" s="508" t="s">
        <v>298</v>
      </c>
      <c r="D907" s="508"/>
      <c r="E907" s="114" t="s">
        <v>181</v>
      </c>
      <c r="F907" s="31"/>
      <c r="G907" s="69" t="s">
        <v>299</v>
      </c>
      <c r="H907" s="172">
        <v>0.1925</v>
      </c>
      <c r="I907" s="31"/>
      <c r="J907" s="31"/>
      <c r="K907" s="31"/>
      <c r="M907" s="31"/>
    </row>
    <row r="908" spans="1:14">
      <c r="B908" s="108"/>
      <c r="C908" s="139" t="s">
        <v>4</v>
      </c>
      <c r="D908" s="139" t="s">
        <v>5</v>
      </c>
      <c r="E908" s="138"/>
      <c r="F908" s="31"/>
      <c r="G908" s="69"/>
      <c r="H908" s="172">
        <v>0.19507940238551377</v>
      </c>
      <c r="I908" s="31"/>
      <c r="J908" s="31"/>
      <c r="K908" s="31"/>
      <c r="M908" s="31"/>
    </row>
    <row r="909" spans="1:14">
      <c r="B909" s="108" t="s">
        <v>9</v>
      </c>
      <c r="C909" s="108"/>
      <c r="D909" s="95"/>
      <c r="E909" s="88"/>
      <c r="F909" s="31"/>
    </row>
    <row r="910" spans="1:14">
      <c r="B910" s="87" t="s">
        <v>11</v>
      </c>
      <c r="C910" s="173">
        <v>1E-3</v>
      </c>
      <c r="D910" s="173">
        <f>C910*$H$907</f>
        <v>1.9250000000000002E-4</v>
      </c>
      <c r="E910" s="88"/>
      <c r="F910" s="31"/>
      <c r="N910" s="31"/>
    </row>
    <row r="911" spans="1:14">
      <c r="B911" s="87" t="s">
        <v>13</v>
      </c>
      <c r="C911" s="173">
        <v>2511.971</v>
      </c>
      <c r="D911" s="173">
        <f t="shared" ref="D911:D923" si="23">C911*$H$907</f>
        <v>483.5544175</v>
      </c>
      <c r="E911" s="88"/>
      <c r="F911" s="31"/>
      <c r="I911" s="338" t="s">
        <v>8</v>
      </c>
      <c r="J911" s="358" t="s">
        <v>192</v>
      </c>
      <c r="K911" s="358" t="s">
        <v>5</v>
      </c>
      <c r="N911" s="31"/>
    </row>
    <row r="912" spans="1:14" s="31" customFormat="1">
      <c r="A912" s="32"/>
      <c r="B912" s="87" t="s">
        <v>15</v>
      </c>
      <c r="C912" s="173">
        <v>497.44799999999998</v>
      </c>
      <c r="D912" s="173">
        <f t="shared" si="23"/>
        <v>95.758740000000003</v>
      </c>
      <c r="E912" s="88"/>
      <c r="G912" s="32"/>
      <c r="H912" s="32"/>
      <c r="I912" s="69"/>
      <c r="J912" s="372"/>
      <c r="K912" s="372"/>
      <c r="L912" s="32"/>
      <c r="M912" s="32"/>
      <c r="N912" s="32"/>
    </row>
    <row r="913" spans="1:14" s="31" customFormat="1">
      <c r="A913" s="32"/>
      <c r="B913" s="87"/>
      <c r="C913" s="173"/>
      <c r="D913" s="173">
        <f t="shared" si="23"/>
        <v>0</v>
      </c>
      <c r="E913" s="88"/>
      <c r="G913" s="32"/>
      <c r="H913" s="32"/>
      <c r="I913" s="32" t="s">
        <v>10</v>
      </c>
      <c r="J913" s="378">
        <v>26810.147000000001</v>
      </c>
      <c r="K913" s="350">
        <f>J913*H907</f>
        <v>5160.9532975000002</v>
      </c>
      <c r="L913" s="32"/>
      <c r="M913" s="32"/>
      <c r="N913" s="32"/>
    </row>
    <row r="914" spans="1:14">
      <c r="B914" s="108" t="s">
        <v>19</v>
      </c>
      <c r="C914" s="173"/>
      <c r="D914" s="173">
        <f t="shared" si="23"/>
        <v>0</v>
      </c>
      <c r="E914" s="88"/>
      <c r="F914" s="31"/>
      <c r="I914" s="32" t="s">
        <v>12</v>
      </c>
      <c r="J914" s="350">
        <f>C925</f>
        <v>11757.449000000001</v>
      </c>
      <c r="K914" s="350">
        <f>J914*H907</f>
        <v>2263.3089325000001</v>
      </c>
    </row>
    <row r="915" spans="1:14">
      <c r="B915" s="87" t="s">
        <v>20</v>
      </c>
      <c r="C915" s="173">
        <v>2832.8829999999998</v>
      </c>
      <c r="D915" s="173">
        <f t="shared" si="23"/>
        <v>545.32997749999993</v>
      </c>
      <c r="E915" s="88"/>
      <c r="F915" s="31"/>
      <c r="I915" s="69" t="s">
        <v>14</v>
      </c>
      <c r="J915" s="351">
        <f>J913-J914</f>
        <v>15052.698</v>
      </c>
      <c r="K915" s="351">
        <f>K913-K914</f>
        <v>2897.6443650000001</v>
      </c>
    </row>
    <row r="916" spans="1:14">
      <c r="B916" s="87" t="s">
        <v>21</v>
      </c>
      <c r="C916" s="173">
        <v>16546.53</v>
      </c>
      <c r="D916" s="173">
        <f>C916*$H$907</f>
        <v>3185.2070249999997</v>
      </c>
      <c r="E916" s="88"/>
      <c r="F916" s="31"/>
      <c r="I916" s="32" t="s">
        <v>182</v>
      </c>
      <c r="J916" s="350">
        <f>J915/J917</f>
        <v>9587.7057324840771</v>
      </c>
      <c r="K916" s="350">
        <f>K915/K917</f>
        <v>1811.0277281250001</v>
      </c>
    </row>
    <row r="917" spans="1:14">
      <c r="B917" s="87" t="s">
        <v>22</v>
      </c>
      <c r="C917" s="173">
        <v>2739.3589999999999</v>
      </c>
      <c r="D917" s="173">
        <f>C917*$H$907</f>
        <v>527.32660750000002</v>
      </c>
      <c r="E917" s="88"/>
      <c r="F917" s="31"/>
      <c r="I917" s="42" t="s">
        <v>18</v>
      </c>
      <c r="J917" s="359">
        <v>1.57</v>
      </c>
      <c r="K917" s="359">
        <v>1.6</v>
      </c>
    </row>
    <row r="918" spans="1:14">
      <c r="B918" s="87" t="s">
        <v>24</v>
      </c>
      <c r="C918" s="173">
        <v>0</v>
      </c>
      <c r="D918" s="173">
        <f t="shared" si="23"/>
        <v>0</v>
      </c>
      <c r="E918" s="88"/>
      <c r="F918" s="31"/>
    </row>
    <row r="919" spans="1:14">
      <c r="B919" s="87" t="s">
        <v>23</v>
      </c>
      <c r="C919" s="173">
        <v>1681.991</v>
      </c>
      <c r="D919" s="173">
        <f t="shared" si="23"/>
        <v>323.78326750000002</v>
      </c>
      <c r="E919" s="88"/>
      <c r="F919" s="31"/>
    </row>
    <row r="920" spans="1:14">
      <c r="B920" s="87" t="s">
        <v>25</v>
      </c>
      <c r="C920" s="173">
        <v>0</v>
      </c>
      <c r="D920" s="173">
        <f t="shared" si="23"/>
        <v>0</v>
      </c>
      <c r="E920" s="88"/>
      <c r="F920" s="31"/>
    </row>
    <row r="921" spans="1:14">
      <c r="B921" s="87"/>
      <c r="C921" s="173"/>
      <c r="D921" s="173">
        <f t="shared" si="23"/>
        <v>0</v>
      </c>
      <c r="E921" s="88"/>
      <c r="F921" s="31"/>
    </row>
    <row r="922" spans="1:14">
      <c r="B922" s="87" t="s">
        <v>28</v>
      </c>
      <c r="C922" s="173">
        <v>372.255</v>
      </c>
      <c r="D922" s="173">
        <f>C922*$H$907</f>
        <v>71.659087499999998</v>
      </c>
      <c r="E922" s="88"/>
      <c r="F922" s="31"/>
    </row>
    <row r="923" spans="1:14">
      <c r="B923" s="87" t="s">
        <v>29</v>
      </c>
      <c r="C923" s="173">
        <v>689.43000000000006</v>
      </c>
      <c r="D923" s="173">
        <f t="shared" si="23"/>
        <v>132.71527500000002</v>
      </c>
      <c r="E923" s="88"/>
      <c r="F923" s="31"/>
      <c r="H923" s="110"/>
    </row>
    <row r="924" spans="1:14">
      <c r="B924" s="41" t="s">
        <v>30</v>
      </c>
      <c r="C924" s="131">
        <f>SUM(C909:C923)</f>
        <v>27871.867999999999</v>
      </c>
      <c r="D924" s="131">
        <f>SUM(D909:D923)</f>
        <v>5365.3345900000004</v>
      </c>
      <c r="E924" s="42">
        <f>+C924/C929</f>
        <v>2.9070424956376586</v>
      </c>
      <c r="F924" s="31"/>
      <c r="G924" s="110"/>
    </row>
    <row r="925" spans="1:14">
      <c r="B925" s="40" t="s">
        <v>31</v>
      </c>
      <c r="C925" s="175">
        <v>11757.449000000001</v>
      </c>
      <c r="D925" s="173">
        <f>C925*$H$907</f>
        <v>2263.3089325000001</v>
      </c>
      <c r="E925" s="43"/>
      <c r="F925" s="31"/>
      <c r="H925" s="85"/>
    </row>
    <row r="926" spans="1:14">
      <c r="B926" s="41" t="s">
        <v>32</v>
      </c>
      <c r="C926" s="176">
        <f>+C924-C925</f>
        <v>16114.418999999998</v>
      </c>
      <c r="D926" s="131">
        <f>+D924-D925</f>
        <v>3102.0256575000003</v>
      </c>
      <c r="E926" s="42">
        <f>+C926/C929</f>
        <v>1.6807377541222175</v>
      </c>
      <c r="F926" s="31"/>
    </row>
    <row r="927" spans="1:14">
      <c r="B927" s="71" t="s">
        <v>33</v>
      </c>
      <c r="C927" s="177">
        <v>3514.0630000000001</v>
      </c>
      <c r="D927" s="173">
        <f>C927*$H$907</f>
        <v>676.45712750000007</v>
      </c>
      <c r="E927" s="72"/>
      <c r="F927" s="31"/>
    </row>
    <row r="928" spans="1:14">
      <c r="B928" s="71" t="s">
        <v>34</v>
      </c>
      <c r="C928" s="178">
        <f>C924+C927</f>
        <v>31385.930999999997</v>
      </c>
      <c r="D928" s="178">
        <f>D924+D927</f>
        <v>6041.7917175000002</v>
      </c>
      <c r="E928" s="72"/>
      <c r="F928" s="31"/>
    </row>
    <row r="929" spans="2:6">
      <c r="B929" s="300" t="s">
        <v>213</v>
      </c>
      <c r="C929" s="303">
        <f>J916</f>
        <v>9587.7057324840771</v>
      </c>
      <c r="D929" s="179">
        <f>K916</f>
        <v>1811.0277281250001</v>
      </c>
      <c r="E929" s="40"/>
      <c r="F929" s="40"/>
    </row>
    <row r="931" spans="2:6">
      <c r="B931" s="109"/>
      <c r="C931" s="353">
        <v>0</v>
      </c>
      <c r="D931" s="134"/>
      <c r="F931" s="110"/>
    </row>
    <row r="932" spans="2:6">
      <c r="B932" s="109"/>
      <c r="C932" s="109"/>
      <c r="D932" s="134"/>
    </row>
    <row r="933" spans="2:6">
      <c r="B933" s="41" t="s">
        <v>37</v>
      </c>
      <c r="C933" s="142">
        <v>26154.718999999997</v>
      </c>
      <c r="D933" s="135"/>
    </row>
    <row r="934" spans="2:6">
      <c r="B934" s="41" t="s">
        <v>38</v>
      </c>
      <c r="C934" s="136">
        <f>C933/C929</f>
        <v>2.7279434444243811</v>
      </c>
      <c r="D934" s="136"/>
    </row>
    <row r="936" spans="2:6" ht="13.5" thickBot="1"/>
    <row r="937" spans="2:6">
      <c r="B937" s="81" t="s">
        <v>300</v>
      </c>
      <c r="C937" s="124" t="s">
        <v>194</v>
      </c>
      <c r="D937" s="82" t="s">
        <v>170</v>
      </c>
      <c r="E937" s="111"/>
      <c r="F937" s="111"/>
    </row>
    <row r="938" spans="2:6">
      <c r="B938" s="83" t="s">
        <v>184</v>
      </c>
      <c r="C938" s="329">
        <f>C919</f>
        <v>1681.991</v>
      </c>
      <c r="D938" s="180">
        <f>C938*$H$907</f>
        <v>323.78326750000002</v>
      </c>
      <c r="E938" s="112"/>
      <c r="F938" s="112"/>
    </row>
    <row r="939" spans="2:6">
      <c r="B939" s="83" t="s">
        <v>40</v>
      </c>
      <c r="C939" s="327">
        <f>C925</f>
        <v>11757.449000000001</v>
      </c>
      <c r="D939" s="180">
        <f>C939*$H$907</f>
        <v>2263.3089325000001</v>
      </c>
      <c r="E939" s="112"/>
      <c r="F939" s="112"/>
    </row>
    <row r="940" spans="2:6" ht="13.5" thickBot="1">
      <c r="B940" s="84" t="s">
        <v>41</v>
      </c>
      <c r="C940" s="330">
        <f>SUM(C938:C939)</f>
        <v>13439.44</v>
      </c>
      <c r="D940" s="184">
        <f>SUM(D938:D939)</f>
        <v>2587.0922</v>
      </c>
      <c r="E940" s="112"/>
      <c r="F940" s="112"/>
    </row>
    <row r="942" spans="2:6" ht="13.5" thickBot="1"/>
    <row r="943" spans="2:6" ht="12" customHeight="1">
      <c r="B943" s="81" t="s">
        <v>301</v>
      </c>
      <c r="C943" s="124" t="s">
        <v>194</v>
      </c>
      <c r="D943" s="124" t="s">
        <v>170</v>
      </c>
      <c r="E943" s="69"/>
      <c r="F943" s="69"/>
    </row>
    <row r="944" spans="2:6">
      <c r="B944" s="73">
        <v>2021</v>
      </c>
      <c r="C944" s="373">
        <v>6566.0889999999999</v>
      </c>
      <c r="D944" s="183">
        <f>C944*$H$907</f>
        <v>1263.9721325</v>
      </c>
    </row>
    <row r="945" spans="1:14">
      <c r="B945" s="73">
        <v>2022</v>
      </c>
      <c r="C945" s="373">
        <v>2859.0650000000001</v>
      </c>
      <c r="D945" s="183">
        <f>C945*$H$907</f>
        <v>550.37001250000003</v>
      </c>
    </row>
    <row r="946" spans="1:14">
      <c r="B946" s="73">
        <v>2023</v>
      </c>
      <c r="C946" s="373">
        <v>1214.0540000000001</v>
      </c>
      <c r="D946" s="183">
        <f>C946*$H$907</f>
        <v>233.70539500000001</v>
      </c>
    </row>
    <row r="947" spans="1:14">
      <c r="B947" s="73">
        <v>2024</v>
      </c>
      <c r="C947" s="373">
        <v>3884.7510000000002</v>
      </c>
      <c r="D947" s="183">
        <f>C947*$H$907</f>
        <v>747.81456750000007</v>
      </c>
    </row>
    <row r="948" spans="1:14">
      <c r="B948" s="73" t="s">
        <v>302</v>
      </c>
      <c r="C948" s="373">
        <v>12286.188</v>
      </c>
      <c r="D948" s="183">
        <f>C948*$H$907</f>
        <v>2365.0911900000001</v>
      </c>
    </row>
    <row r="949" spans="1:14" ht="13.5" thickBot="1">
      <c r="B949" s="74"/>
      <c r="C949" s="328"/>
      <c r="D949" s="125"/>
    </row>
    <row r="950" spans="1:14">
      <c r="B950" s="69" t="s">
        <v>44</v>
      </c>
      <c r="C950" s="374">
        <f>SUM(C944:C949)</f>
        <v>26810.147000000001</v>
      </c>
      <c r="D950" s="374">
        <f>SUM(D944:D949)</f>
        <v>5160.9532975000002</v>
      </c>
      <c r="E950" s="113"/>
      <c r="F950" s="113"/>
    </row>
    <row r="951" spans="1:14">
      <c r="B951" s="90" t="s">
        <v>36</v>
      </c>
      <c r="C951" s="121">
        <v>0</v>
      </c>
      <c r="E951" s="96"/>
      <c r="L951" s="31"/>
    </row>
    <row r="952" spans="1:14">
      <c r="L952" s="31"/>
    </row>
    <row r="953" spans="1:14">
      <c r="A953" s="69" t="s">
        <v>303</v>
      </c>
      <c r="B953" s="30" t="s">
        <v>188</v>
      </c>
      <c r="C953" s="508" t="s">
        <v>304</v>
      </c>
      <c r="D953" s="508"/>
      <c r="E953" s="114" t="s">
        <v>181</v>
      </c>
      <c r="F953" s="31"/>
      <c r="G953" s="69" t="s">
        <v>305</v>
      </c>
      <c r="H953" s="172">
        <v>0.1773049645390071</v>
      </c>
      <c r="I953" s="31"/>
      <c r="J953" s="31"/>
      <c r="K953" s="31"/>
    </row>
    <row r="954" spans="1:14">
      <c r="B954" s="108"/>
      <c r="C954" s="139" t="s">
        <v>4</v>
      </c>
      <c r="D954" s="139" t="s">
        <v>5</v>
      </c>
      <c r="E954" s="138"/>
      <c r="F954" s="31"/>
      <c r="G954" s="69"/>
      <c r="H954" s="172" t="e">
        <v>#REF!</v>
      </c>
      <c r="I954" s="31"/>
      <c r="J954" s="31"/>
      <c r="K954" s="31"/>
    </row>
    <row r="955" spans="1:14">
      <c r="B955" s="108" t="s">
        <v>9</v>
      </c>
      <c r="C955" s="108"/>
      <c r="D955" s="95"/>
      <c r="E955" s="88"/>
      <c r="F955" s="31"/>
    </row>
    <row r="956" spans="1:14">
      <c r="B956" s="87" t="s">
        <v>11</v>
      </c>
      <c r="C956" s="173">
        <v>4.0000000000000001E-3</v>
      </c>
      <c r="D956" s="173">
        <f>C956*$H$953</f>
        <v>7.0921985815602842E-4</v>
      </c>
      <c r="E956" s="88"/>
      <c r="F956" s="31"/>
      <c r="M956" s="31"/>
    </row>
    <row r="957" spans="1:14">
      <c r="B957" s="87" t="s">
        <v>13</v>
      </c>
      <c r="C957" s="173">
        <v>1291.5530000000001</v>
      </c>
      <c r="D957" s="173">
        <f>C957*$H$953</f>
        <v>228.99875886524825</v>
      </c>
      <c r="E957" s="88"/>
      <c r="F957" s="31"/>
      <c r="I957" s="338" t="s">
        <v>8</v>
      </c>
      <c r="J957" s="358" t="s">
        <v>192</v>
      </c>
      <c r="K957" s="358" t="s">
        <v>5</v>
      </c>
      <c r="M957" s="31"/>
    </row>
    <row r="958" spans="1:14">
      <c r="B958" s="87" t="s">
        <v>15</v>
      </c>
      <c r="C958" s="173">
        <v>492.608</v>
      </c>
      <c r="D958" s="173">
        <f>C958*$H$953</f>
        <v>87.341843971631207</v>
      </c>
      <c r="E958" s="88"/>
      <c r="F958" s="31"/>
      <c r="I958" s="69"/>
      <c r="J958" s="372"/>
      <c r="K958" s="372"/>
    </row>
    <row r="959" spans="1:14">
      <c r="B959" s="87"/>
      <c r="C959" s="173"/>
      <c r="D959" s="173"/>
      <c r="E959" s="88"/>
      <c r="F959" s="31"/>
      <c r="I959" s="32" t="s">
        <v>10</v>
      </c>
      <c r="J959" s="378">
        <v>26794.566999999999</v>
      </c>
      <c r="K959" s="350">
        <f>J959*H953</f>
        <v>4750.8097517730494</v>
      </c>
      <c r="N959" s="31"/>
    </row>
    <row r="960" spans="1:14" s="31" customFormat="1">
      <c r="A960" s="32"/>
      <c r="B960" s="108" t="s">
        <v>19</v>
      </c>
      <c r="C960" s="174"/>
      <c r="D960" s="173"/>
      <c r="E960" s="88"/>
      <c r="G960" s="32"/>
      <c r="H960" s="32"/>
      <c r="I960" s="32" t="s">
        <v>12</v>
      </c>
      <c r="J960" s="350">
        <f>C971</f>
        <v>9654.4709999999995</v>
      </c>
      <c r="K960" s="350">
        <f>J960*H953</f>
        <v>1711.7856382978723</v>
      </c>
      <c r="L960" s="32"/>
      <c r="M960" s="32"/>
    </row>
    <row r="961" spans="1:14" s="31" customFormat="1">
      <c r="A961" s="32"/>
      <c r="B961" s="87" t="s">
        <v>20</v>
      </c>
      <c r="C961" s="173">
        <v>3225.37</v>
      </c>
      <c r="D961" s="173">
        <f t="shared" ref="D961:D966" si="24">C961*$H$953</f>
        <v>571.8741134751773</v>
      </c>
      <c r="E961" s="88"/>
      <c r="G961" s="32"/>
      <c r="H961" s="32"/>
      <c r="I961" s="69" t="s">
        <v>14</v>
      </c>
      <c r="J961" s="351">
        <f>J959-J960</f>
        <v>17140.095999999998</v>
      </c>
      <c r="K961" s="351">
        <f>K959-K960</f>
        <v>3039.0241134751768</v>
      </c>
      <c r="L961" s="32"/>
      <c r="M961" s="32"/>
      <c r="N961" s="32"/>
    </row>
    <row r="962" spans="1:14">
      <c r="B962" s="87" t="s">
        <v>21</v>
      </c>
      <c r="C962" s="173">
        <v>17871.079000000002</v>
      </c>
      <c r="D962" s="173">
        <f t="shared" si="24"/>
        <v>3168.6310283687949</v>
      </c>
      <c r="E962" s="88"/>
      <c r="F962" s="31"/>
      <c r="I962" s="32" t="s">
        <v>182</v>
      </c>
      <c r="J962" s="350">
        <f>J961/J963</f>
        <v>9117.0723404255314</v>
      </c>
      <c r="K962" s="350">
        <f>K961/K963</f>
        <v>1808.9429246876052</v>
      </c>
    </row>
    <row r="963" spans="1:14">
      <c r="B963" s="87" t="s">
        <v>22</v>
      </c>
      <c r="C963" s="173">
        <v>2793.875</v>
      </c>
      <c r="D963" s="173">
        <f t="shared" si="24"/>
        <v>495.36790780141848</v>
      </c>
      <c r="E963" s="88"/>
      <c r="F963" s="31"/>
      <c r="I963" s="42" t="s">
        <v>18</v>
      </c>
      <c r="J963" s="359">
        <v>1.88</v>
      </c>
      <c r="K963" s="359">
        <v>1.68</v>
      </c>
    </row>
    <row r="964" spans="1:14">
      <c r="B964" s="87" t="s">
        <v>24</v>
      </c>
      <c r="C964" s="173">
        <v>0</v>
      </c>
      <c r="D964" s="173">
        <f t="shared" si="24"/>
        <v>0</v>
      </c>
      <c r="E964" s="88"/>
      <c r="F964" s="31"/>
    </row>
    <row r="965" spans="1:14">
      <c r="B965" s="87" t="s">
        <v>23</v>
      </c>
      <c r="C965" s="173">
        <v>1120.078</v>
      </c>
      <c r="D965" s="173">
        <f t="shared" si="24"/>
        <v>198.59539007092198</v>
      </c>
      <c r="E965" s="88"/>
      <c r="F965" s="31"/>
    </row>
    <row r="966" spans="1:14">
      <c r="B966" s="87" t="s">
        <v>25</v>
      </c>
      <c r="C966" s="173">
        <v>0</v>
      </c>
      <c r="D966" s="173">
        <f t="shared" si="24"/>
        <v>0</v>
      </c>
      <c r="E966" s="88"/>
      <c r="F966" s="31"/>
    </row>
    <row r="967" spans="1:14">
      <c r="B967" s="87"/>
      <c r="C967" s="173"/>
      <c r="D967" s="173"/>
      <c r="E967" s="88"/>
      <c r="F967" s="31"/>
    </row>
    <row r="968" spans="1:14">
      <c r="B968" s="87" t="s">
        <v>28</v>
      </c>
      <c r="C968" s="173">
        <v>477.18200000000002</v>
      </c>
      <c r="D968" s="173">
        <f>C968*$H$953</f>
        <v>84.606737588652493</v>
      </c>
      <c r="E968" s="88"/>
      <c r="F968" s="31"/>
    </row>
    <row r="969" spans="1:14">
      <c r="B969" s="87" t="s">
        <v>29</v>
      </c>
      <c r="C969" s="173">
        <v>636.11099999999999</v>
      </c>
      <c r="D969" s="173">
        <f>C969*$H$953</f>
        <v>112.78563829787234</v>
      </c>
      <c r="E969" s="88"/>
      <c r="F969" s="31"/>
      <c r="H969" s="110"/>
    </row>
    <row r="970" spans="1:14">
      <c r="B970" s="41" t="s">
        <v>30</v>
      </c>
      <c r="C970" s="131">
        <f>SUM(C955:C969)</f>
        <v>27907.860000000004</v>
      </c>
      <c r="D970" s="131">
        <f>SUM(D955:D969)</f>
        <v>4948.2021276595751</v>
      </c>
      <c r="E970" s="42">
        <f>+C970/C975</f>
        <v>3.0610550139275774</v>
      </c>
      <c r="F970" s="31"/>
      <c r="G970" s="110"/>
    </row>
    <row r="971" spans="1:14">
      <c r="B971" s="40" t="s">
        <v>31</v>
      </c>
      <c r="C971" s="175">
        <v>9654.4709999999995</v>
      </c>
      <c r="D971" s="173">
        <f>C971*$H$953</f>
        <v>1711.7856382978723</v>
      </c>
      <c r="E971" s="43"/>
      <c r="F971" s="31"/>
      <c r="H971" s="85"/>
    </row>
    <row r="972" spans="1:14">
      <c r="B972" s="41" t="s">
        <v>32</v>
      </c>
      <c r="C972" s="176">
        <f>+C970-C971</f>
        <v>18253.389000000003</v>
      </c>
      <c r="D972" s="131">
        <f>+D970-D971</f>
        <v>3236.4164893617026</v>
      </c>
      <c r="E972" s="42">
        <f>+C972/C975</f>
        <v>2.002110800312904</v>
      </c>
      <c r="F972" s="31"/>
    </row>
    <row r="973" spans="1:14">
      <c r="B973" s="71" t="s">
        <v>33</v>
      </c>
      <c r="C973" s="177">
        <v>2743.7820000000002</v>
      </c>
      <c r="D973" s="173">
        <f>C973*$H$953</f>
        <v>486.48617021276601</v>
      </c>
      <c r="E973" s="72"/>
      <c r="F973" s="31"/>
    </row>
    <row r="974" spans="1:14">
      <c r="B974" s="71" t="s">
        <v>34</v>
      </c>
      <c r="C974" s="178">
        <f>C970+C973</f>
        <v>30651.642000000003</v>
      </c>
      <c r="D974" s="178">
        <f>D970+D973</f>
        <v>5434.6882978723415</v>
      </c>
      <c r="E974" s="72"/>
      <c r="F974" s="31"/>
    </row>
    <row r="975" spans="1:14">
      <c r="B975" s="300" t="s">
        <v>213</v>
      </c>
      <c r="C975" s="303">
        <f>J962</f>
        <v>9117.0723404255314</v>
      </c>
      <c r="D975" s="179">
        <f>K962</f>
        <v>1808.9429246876052</v>
      </c>
      <c r="E975" s="40"/>
      <c r="F975" s="40"/>
    </row>
    <row r="977" spans="2:6">
      <c r="B977" s="109"/>
      <c r="C977" s="353">
        <v>0</v>
      </c>
      <c r="D977" s="134"/>
      <c r="F977" s="110"/>
    </row>
    <row r="978" spans="2:6">
      <c r="B978" s="109"/>
      <c r="C978" s="109"/>
      <c r="D978" s="134"/>
    </row>
    <row r="979" spans="2:6">
      <c r="B979" s="41" t="s">
        <v>37</v>
      </c>
      <c r="C979" s="142">
        <v>29101.779000000002</v>
      </c>
      <c r="D979" s="135"/>
    </row>
    <row r="980" spans="2:6">
      <c r="B980" s="41" t="s">
        <v>38</v>
      </c>
      <c r="C980" s="136">
        <f>C979/C975</f>
        <v>3.1920092232855644</v>
      </c>
      <c r="D980" s="136"/>
    </row>
    <row r="982" spans="2:6" ht="13.5" thickBot="1"/>
    <row r="983" spans="2:6">
      <c r="B983" s="81" t="s">
        <v>306</v>
      </c>
      <c r="C983" s="124" t="s">
        <v>194</v>
      </c>
      <c r="D983" s="82" t="s">
        <v>170</v>
      </c>
      <c r="E983" s="111"/>
      <c r="F983" s="111"/>
    </row>
    <row r="984" spans="2:6">
      <c r="B984" s="83" t="s">
        <v>184</v>
      </c>
      <c r="C984" s="329"/>
      <c r="D984" s="180">
        <f>C984*$H$953</f>
        <v>0</v>
      </c>
      <c r="E984" s="112"/>
      <c r="F984" s="112"/>
    </row>
    <row r="985" spans="2:6">
      <c r="B985" s="83" t="s">
        <v>40</v>
      </c>
      <c r="C985" s="327">
        <f>C971</f>
        <v>9654.4709999999995</v>
      </c>
      <c r="D985" s="180">
        <f>C985*$H$953</f>
        <v>1711.7856382978723</v>
      </c>
      <c r="E985" s="112"/>
      <c r="F985" s="112"/>
    </row>
    <row r="986" spans="2:6" ht="13.5" thickBot="1">
      <c r="B986" s="84" t="s">
        <v>41</v>
      </c>
      <c r="C986" s="330">
        <f>SUM(C984:C985)</f>
        <v>9654.4709999999995</v>
      </c>
      <c r="D986" s="184">
        <f>SUM(D984:D985)</f>
        <v>1711.7856382978723</v>
      </c>
      <c r="E986" s="112"/>
      <c r="F986" s="112"/>
    </row>
    <row r="988" spans="2:6" ht="13.5" thickBot="1"/>
    <row r="989" spans="2:6">
      <c r="B989" s="81" t="s">
        <v>307</v>
      </c>
      <c r="C989" s="124" t="s">
        <v>194</v>
      </c>
      <c r="D989" s="124" t="s">
        <v>170</v>
      </c>
      <c r="E989" s="69"/>
      <c r="F989" s="69"/>
    </row>
    <row r="990" spans="2:6">
      <c r="B990" s="73">
        <v>2020</v>
      </c>
      <c r="C990" s="373">
        <v>608.42499999999995</v>
      </c>
      <c r="D990" s="183">
        <f t="shared" ref="D990:D995" si="25">C990*$H$953</f>
        <v>107.87677304964538</v>
      </c>
    </row>
    <row r="991" spans="2:6" ht="12" customHeight="1">
      <c r="B991" s="73">
        <v>2021</v>
      </c>
      <c r="C991" s="373">
        <v>4194.8599999999997</v>
      </c>
      <c r="D991" s="183">
        <f t="shared" si="25"/>
        <v>743.76950354609926</v>
      </c>
    </row>
    <row r="992" spans="2:6">
      <c r="B992" s="73">
        <v>2022</v>
      </c>
      <c r="C992" s="373">
        <v>1525.9490000000001</v>
      </c>
      <c r="D992" s="183">
        <f t="shared" si="25"/>
        <v>270.55833333333334</v>
      </c>
    </row>
    <row r="993" spans="1:13">
      <c r="B993" s="73">
        <v>2023</v>
      </c>
      <c r="C993" s="373">
        <v>2884.92</v>
      </c>
      <c r="D993" s="183">
        <f t="shared" si="25"/>
        <v>511.51063829787239</v>
      </c>
    </row>
    <row r="994" spans="1:13">
      <c r="B994" s="73">
        <v>2024</v>
      </c>
      <c r="C994" s="373">
        <v>4213.12</v>
      </c>
      <c r="D994" s="183">
        <f t="shared" si="25"/>
        <v>747.00709219858152</v>
      </c>
    </row>
    <row r="995" spans="1:13">
      <c r="B995" s="73" t="s">
        <v>302</v>
      </c>
      <c r="C995" s="373">
        <v>13367.293</v>
      </c>
      <c r="D995" s="183">
        <f t="shared" si="25"/>
        <v>2370.0874113475179</v>
      </c>
    </row>
    <row r="996" spans="1:13" ht="13.5" thickBot="1">
      <c r="B996" s="74"/>
      <c r="C996" s="328"/>
      <c r="D996" s="125"/>
    </row>
    <row r="997" spans="1:13">
      <c r="B997" s="69" t="s">
        <v>44</v>
      </c>
      <c r="C997" s="374">
        <f>SUM(C990:C996)</f>
        <v>26794.567000000003</v>
      </c>
      <c r="D997" s="374">
        <f>SUM(D990:D996)</f>
        <v>4750.8097517730494</v>
      </c>
      <c r="E997" s="113"/>
      <c r="F997" s="113"/>
    </row>
    <row r="998" spans="1:13">
      <c r="B998" s="90" t="s">
        <v>36</v>
      </c>
      <c r="C998" s="121">
        <v>0</v>
      </c>
      <c r="E998" s="96"/>
    </row>
    <row r="1000" spans="1:13">
      <c r="B1000" s="30" t="s">
        <v>188</v>
      </c>
      <c r="C1000" s="508" t="s">
        <v>308</v>
      </c>
      <c r="D1000" s="508"/>
      <c r="E1000" s="114" t="s">
        <v>181</v>
      </c>
      <c r="F1000" s="31"/>
      <c r="G1000" s="69" t="s">
        <v>309</v>
      </c>
      <c r="H1000" s="172">
        <v>0.18248175182481752</v>
      </c>
      <c r="I1000" s="31"/>
      <c r="J1000" s="31"/>
      <c r="K1000" s="31"/>
      <c r="L1000" s="31"/>
    </row>
    <row r="1001" spans="1:13">
      <c r="B1001" s="108"/>
      <c r="C1001" s="139" t="s">
        <v>4</v>
      </c>
      <c r="D1001" s="139" t="s">
        <v>5</v>
      </c>
      <c r="E1001" s="138"/>
      <c r="F1001" s="31"/>
      <c r="G1001" s="69"/>
      <c r="H1001" s="172" t="e">
        <v>#REF!</v>
      </c>
      <c r="I1001" s="31"/>
      <c r="J1001" s="31"/>
      <c r="K1001" s="31"/>
      <c r="L1001" s="31"/>
    </row>
    <row r="1002" spans="1:13">
      <c r="B1002" s="108" t="s">
        <v>9</v>
      </c>
      <c r="C1002" s="108"/>
      <c r="D1002" s="95"/>
      <c r="E1002" s="88"/>
      <c r="F1002" s="31"/>
    </row>
    <row r="1003" spans="1:13">
      <c r="B1003" s="87" t="s">
        <v>11</v>
      </c>
      <c r="C1003" s="173">
        <v>7.0000000000000001E-3</v>
      </c>
      <c r="D1003" s="173">
        <f>C1003*$H$1000</f>
        <v>1.2773722627737226E-3</v>
      </c>
      <c r="E1003" s="88"/>
      <c r="F1003" s="31"/>
    </row>
    <row r="1004" spans="1:13">
      <c r="B1004" s="87" t="s">
        <v>13</v>
      </c>
      <c r="C1004" s="173">
        <v>764.98500000000001</v>
      </c>
      <c r="D1004" s="173">
        <f>C1004*$H$1000</f>
        <v>139.59580291970804</v>
      </c>
      <c r="E1004" s="88"/>
      <c r="F1004" s="31"/>
      <c r="I1004" s="338" t="s">
        <v>8</v>
      </c>
      <c r="J1004" s="358" t="s">
        <v>192</v>
      </c>
      <c r="K1004" s="358" t="s">
        <v>5</v>
      </c>
    </row>
    <row r="1005" spans="1:13">
      <c r="B1005" s="87" t="s">
        <v>15</v>
      </c>
      <c r="C1005" s="173">
        <v>247.1</v>
      </c>
      <c r="D1005" s="173">
        <f>C1005*$H$1000</f>
        <v>45.091240875912405</v>
      </c>
      <c r="E1005" s="88"/>
      <c r="F1005" s="31"/>
      <c r="I1005" s="69"/>
      <c r="J1005" s="372"/>
      <c r="K1005" s="372"/>
      <c r="M1005" s="31"/>
    </row>
    <row r="1006" spans="1:13">
      <c r="B1006" s="87"/>
      <c r="C1006" s="173"/>
      <c r="D1006" s="173"/>
      <c r="E1006" s="88"/>
      <c r="F1006" s="31"/>
      <c r="I1006" s="32" t="s">
        <v>10</v>
      </c>
      <c r="J1006" s="378">
        <v>25556.325000000001</v>
      </c>
      <c r="K1006" s="350">
        <f>J1006*H1000</f>
        <v>4663.5629562043796</v>
      </c>
      <c r="M1006" s="31"/>
    </row>
    <row r="1007" spans="1:13" s="31" customFormat="1">
      <c r="A1007" s="32"/>
      <c r="B1007" s="108" t="s">
        <v>19</v>
      </c>
      <c r="C1007" s="174"/>
      <c r="D1007" s="173"/>
      <c r="E1007" s="88"/>
      <c r="G1007" s="32"/>
      <c r="H1007" s="32"/>
      <c r="I1007" s="32" t="s">
        <v>12</v>
      </c>
      <c r="J1007" s="350">
        <f>C1018</f>
        <v>8174.0429999999997</v>
      </c>
      <c r="K1007" s="350">
        <f>J1007*H1000</f>
        <v>1491.6136861313869</v>
      </c>
      <c r="L1007" s="32"/>
      <c r="M1007" s="32"/>
    </row>
    <row r="1008" spans="1:13" s="31" customFormat="1">
      <c r="A1008" s="32"/>
      <c r="B1008" s="87" t="s">
        <v>20</v>
      </c>
      <c r="C1008" s="173">
        <v>3504.1909999999998</v>
      </c>
      <c r="D1008" s="173">
        <f t="shared" ref="D1008:D1013" si="26">C1008*$H$1000</f>
        <v>639.45091240875911</v>
      </c>
      <c r="E1008" s="88"/>
      <c r="G1008" s="32"/>
      <c r="H1008" s="32"/>
      <c r="I1008" s="69" t="s">
        <v>14</v>
      </c>
      <c r="J1008" s="351">
        <f>J1006-J1007</f>
        <v>17382.281999999999</v>
      </c>
      <c r="K1008" s="351">
        <f>K1006-K1007</f>
        <v>3171.9492700729925</v>
      </c>
      <c r="L1008" s="32"/>
      <c r="M1008" s="32"/>
    </row>
    <row r="1009" spans="2:11">
      <c r="B1009" s="87" t="s">
        <v>21</v>
      </c>
      <c r="C1009" s="173">
        <v>17986.813999999998</v>
      </c>
      <c r="D1009" s="173">
        <f t="shared" si="26"/>
        <v>3282.2653284671528</v>
      </c>
      <c r="E1009" s="88"/>
      <c r="F1009" s="31"/>
      <c r="I1009" s="32" t="s">
        <v>182</v>
      </c>
      <c r="J1009" s="350">
        <f>J1008/J1010</f>
        <v>8397.2376811594204</v>
      </c>
      <c r="K1009" s="350">
        <f>K1008/K1010</f>
        <v>1772.0386983648002</v>
      </c>
    </row>
    <row r="1010" spans="2:11">
      <c r="B1010" s="87" t="s">
        <v>22</v>
      </c>
      <c r="C1010" s="173">
        <v>3053.2280000000001</v>
      </c>
      <c r="D1010" s="173">
        <f t="shared" si="26"/>
        <v>557.15839416058395</v>
      </c>
      <c r="E1010" s="88"/>
      <c r="F1010" s="31"/>
      <c r="I1010" s="42" t="s">
        <v>18</v>
      </c>
      <c r="J1010" s="359">
        <v>2.0699999999999998</v>
      </c>
      <c r="K1010" s="359">
        <v>1.79</v>
      </c>
    </row>
    <row r="1011" spans="2:11">
      <c r="B1011" s="87" t="s">
        <v>24</v>
      </c>
      <c r="C1011" s="173">
        <v>0</v>
      </c>
      <c r="D1011" s="173">
        <f t="shared" si="26"/>
        <v>0</v>
      </c>
      <c r="E1011" s="88"/>
      <c r="F1011" s="31"/>
    </row>
    <row r="1012" spans="2:11">
      <c r="B1012" s="87" t="s">
        <v>23</v>
      </c>
      <c r="C1012" s="173">
        <v>0</v>
      </c>
      <c r="D1012" s="173">
        <f t="shared" si="26"/>
        <v>0</v>
      </c>
      <c r="E1012" s="88"/>
      <c r="F1012" s="31"/>
    </row>
    <row r="1013" spans="2:11">
      <c r="B1013" s="87" t="s">
        <v>25</v>
      </c>
      <c r="C1013" s="173">
        <v>0</v>
      </c>
      <c r="D1013" s="173">
        <f t="shared" si="26"/>
        <v>0</v>
      </c>
      <c r="E1013" s="88"/>
      <c r="F1013" s="31"/>
    </row>
    <row r="1014" spans="2:11">
      <c r="B1014" s="87"/>
      <c r="C1014" s="173"/>
      <c r="D1014" s="173"/>
      <c r="E1014" s="88"/>
      <c r="F1014" s="31"/>
    </row>
    <row r="1015" spans="2:11">
      <c r="B1015" s="87" t="s">
        <v>28</v>
      </c>
      <c r="C1015" s="173">
        <v>480.79199999999997</v>
      </c>
      <c r="D1015" s="173">
        <f>C1015*$H$1000</f>
        <v>87.73576642335766</v>
      </c>
      <c r="E1015" s="88"/>
      <c r="F1015" s="31"/>
    </row>
    <row r="1016" spans="2:11">
      <c r="B1016" s="87" t="s">
        <v>29</v>
      </c>
      <c r="C1016" s="173">
        <v>658.28199999999993</v>
      </c>
      <c r="D1016" s="173">
        <f>C1016*$H$1000</f>
        <v>120.12445255474451</v>
      </c>
      <c r="E1016" s="88"/>
      <c r="F1016" s="31"/>
      <c r="H1016" s="110"/>
    </row>
    <row r="1017" spans="2:11">
      <c r="B1017" s="41" t="s">
        <v>30</v>
      </c>
      <c r="C1017" s="131">
        <f>SUM(C1002:C1016)</f>
        <v>26695.398999999998</v>
      </c>
      <c r="D1017" s="131">
        <f>SUM(D1002:D1016)</f>
        <v>4871.4231751824818</v>
      </c>
      <c r="E1017" s="42">
        <f>+C1017/C1022</f>
        <v>3.1790691193480805</v>
      </c>
      <c r="F1017" s="31"/>
      <c r="G1017" s="110"/>
    </row>
    <row r="1018" spans="2:11">
      <c r="B1018" s="40" t="s">
        <v>31</v>
      </c>
      <c r="C1018" s="175">
        <v>8174.0429999999997</v>
      </c>
      <c r="D1018" s="173">
        <f>C1018*$H$1000</f>
        <v>1491.6136861313869</v>
      </c>
      <c r="E1018" s="43"/>
      <c r="F1018" s="31"/>
      <c r="H1018" s="85"/>
    </row>
    <row r="1019" spans="2:11">
      <c r="B1019" s="41" t="s">
        <v>32</v>
      </c>
      <c r="C1019" s="176">
        <f>+C1017-C1018</f>
        <v>18521.356</v>
      </c>
      <c r="D1019" s="131">
        <f>+D1017-D1018</f>
        <v>3379.8094890510947</v>
      </c>
      <c r="E1019" s="42">
        <f>+C1019/C1022</f>
        <v>2.2056486553376593</v>
      </c>
      <c r="F1019" s="31"/>
    </row>
    <row r="1020" spans="2:11">
      <c r="B1020" s="71" t="s">
        <v>33</v>
      </c>
      <c r="C1020" s="177">
        <v>2611.1039999999998</v>
      </c>
      <c r="D1020" s="173">
        <f>C1020*$H$1000</f>
        <v>476.47883211678828</v>
      </c>
      <c r="E1020" s="72"/>
      <c r="F1020" s="31"/>
    </row>
    <row r="1021" spans="2:11">
      <c r="B1021" s="71" t="s">
        <v>34</v>
      </c>
      <c r="C1021" s="178">
        <f>C1017+C1020</f>
        <v>29306.502999999997</v>
      </c>
      <c r="D1021" s="178">
        <f>D1017+D1020</f>
        <v>5347.9020072992698</v>
      </c>
      <c r="E1021" s="72"/>
      <c r="F1021" s="31"/>
    </row>
    <row r="1022" spans="2:11">
      <c r="B1022" s="300" t="s">
        <v>213</v>
      </c>
      <c r="C1022" s="303">
        <f>J1009</f>
        <v>8397.2376811594204</v>
      </c>
      <c r="D1022" s="179">
        <f>K1009</f>
        <v>1772.0386983648002</v>
      </c>
      <c r="E1022" s="40"/>
      <c r="F1022" s="40"/>
    </row>
    <row r="1024" spans="2:11">
      <c r="B1024" s="109"/>
      <c r="C1024" s="353">
        <v>0</v>
      </c>
      <c r="D1024" s="134"/>
      <c r="F1024" s="110"/>
    </row>
    <row r="1025" spans="2:6">
      <c r="B1025" s="109"/>
      <c r="C1025" s="109"/>
      <c r="D1025" s="134"/>
    </row>
    <row r="1026" spans="2:6">
      <c r="B1026" s="41" t="s">
        <v>37</v>
      </c>
      <c r="C1026" s="142">
        <v>27491.731</v>
      </c>
      <c r="D1026" s="135"/>
    </row>
    <row r="1027" spans="2:6">
      <c r="B1027" s="41" t="s">
        <v>38</v>
      </c>
      <c r="C1027" s="136">
        <f>C1026/C1022</f>
        <v>3.2739017333857543</v>
      </c>
      <c r="D1027" s="136"/>
    </row>
    <row r="1029" spans="2:6" ht="13.5" thickBot="1"/>
    <row r="1030" spans="2:6">
      <c r="B1030" s="81" t="s">
        <v>310</v>
      </c>
      <c r="C1030" s="124" t="s">
        <v>194</v>
      </c>
      <c r="D1030" s="82" t="s">
        <v>170</v>
      </c>
      <c r="E1030" s="111"/>
      <c r="F1030" s="111"/>
    </row>
    <row r="1031" spans="2:6">
      <c r="B1031" s="83" t="s">
        <v>184</v>
      </c>
      <c r="C1031" s="329"/>
      <c r="D1031" s="180">
        <f>C1031*$H$1000</f>
        <v>0</v>
      </c>
      <c r="E1031" s="112"/>
      <c r="F1031" s="112"/>
    </row>
    <row r="1032" spans="2:6">
      <c r="B1032" s="83" t="s">
        <v>40</v>
      </c>
      <c r="C1032" s="327">
        <f>C1018</f>
        <v>8174.0429999999997</v>
      </c>
      <c r="D1032" s="180">
        <f>C1032*$H$1000</f>
        <v>1491.6136861313869</v>
      </c>
      <c r="E1032" s="112"/>
      <c r="F1032" s="112"/>
    </row>
    <row r="1033" spans="2:6" ht="13.5" thickBot="1">
      <c r="B1033" s="84" t="s">
        <v>41</v>
      </c>
      <c r="C1033" s="330">
        <f>SUM(C1031:C1032)</f>
        <v>8174.0429999999997</v>
      </c>
      <c r="D1033" s="184">
        <f>SUM(D1031:D1032)</f>
        <v>1491.6136861313869</v>
      </c>
      <c r="E1033" s="112"/>
      <c r="F1033" s="112"/>
    </row>
    <row r="1035" spans="2:6" ht="13.5" thickBot="1"/>
    <row r="1036" spans="2:6">
      <c r="B1036" s="81" t="s">
        <v>311</v>
      </c>
      <c r="C1036" s="124" t="s">
        <v>194</v>
      </c>
      <c r="D1036" s="124" t="s">
        <v>170</v>
      </c>
      <c r="E1036" s="69"/>
      <c r="F1036" s="69"/>
    </row>
    <row r="1037" spans="2:6">
      <c r="B1037" s="73">
        <v>2020</v>
      </c>
      <c r="C1037" s="373">
        <v>3195.4760000000001</v>
      </c>
      <c r="D1037" s="183">
        <f t="shared" ref="D1037:D1042" si="27">C1037*$H$1000</f>
        <v>583.11605839416063</v>
      </c>
    </row>
    <row r="1038" spans="2:6" ht="12" customHeight="1">
      <c r="B1038" s="73">
        <v>2021</v>
      </c>
      <c r="C1038" s="373">
        <v>2632.34</v>
      </c>
      <c r="D1038" s="183">
        <f t="shared" si="27"/>
        <v>480.35401459854018</v>
      </c>
    </row>
    <row r="1039" spans="2:6">
      <c r="B1039" s="73">
        <v>2022</v>
      </c>
      <c r="C1039" s="373">
        <v>944.53499999999997</v>
      </c>
      <c r="D1039" s="183">
        <f t="shared" si="27"/>
        <v>172.36040145985402</v>
      </c>
    </row>
    <row r="1040" spans="2:6">
      <c r="B1040" s="73">
        <v>2023</v>
      </c>
      <c r="C1040" s="373">
        <v>1198.788</v>
      </c>
      <c r="D1040" s="183">
        <f t="shared" si="27"/>
        <v>218.75693430656935</v>
      </c>
    </row>
    <row r="1041" spans="1:13">
      <c r="B1041" s="73">
        <v>2024</v>
      </c>
      <c r="C1041" s="373">
        <v>4086.6669999999999</v>
      </c>
      <c r="D1041" s="183">
        <f t="shared" si="27"/>
        <v>745.74215328467153</v>
      </c>
    </row>
    <row r="1042" spans="1:13">
      <c r="B1042" s="73" t="s">
        <v>302</v>
      </c>
      <c r="C1042" s="373">
        <v>13498.519</v>
      </c>
      <c r="D1042" s="183">
        <f t="shared" si="27"/>
        <v>2463.2333941605839</v>
      </c>
    </row>
    <row r="1043" spans="1:13" ht="13.5" thickBot="1">
      <c r="B1043" s="74"/>
      <c r="C1043" s="328"/>
      <c r="D1043" s="125"/>
    </row>
    <row r="1044" spans="1:13">
      <c r="B1044" s="69" t="s">
        <v>44</v>
      </c>
      <c r="C1044" s="374">
        <f>SUM(C1037:C1043)</f>
        <v>25556.325000000001</v>
      </c>
      <c r="D1044" s="374">
        <f>SUM(D1037:D1043)</f>
        <v>4663.5629562043796</v>
      </c>
      <c r="E1044" s="113"/>
      <c r="F1044" s="113"/>
    </row>
    <row r="1045" spans="1:13">
      <c r="B1045" s="90" t="s">
        <v>36</v>
      </c>
      <c r="C1045" s="121">
        <v>0</v>
      </c>
      <c r="E1045" s="96"/>
    </row>
    <row r="1048" spans="1:13">
      <c r="A1048" s="31"/>
      <c r="B1048" s="30"/>
      <c r="C1048" s="508" t="s">
        <v>312</v>
      </c>
      <c r="D1048" s="508"/>
      <c r="E1048" s="114" t="s">
        <v>181</v>
      </c>
      <c r="F1048" s="31"/>
      <c r="G1048" s="69" t="s">
        <v>313</v>
      </c>
      <c r="H1048" s="172">
        <v>0.19230769230769229</v>
      </c>
      <c r="I1048" s="31"/>
      <c r="J1048" s="31"/>
      <c r="K1048" s="31"/>
    </row>
    <row r="1049" spans="1:13">
      <c r="A1049" s="31"/>
      <c r="B1049" s="108"/>
      <c r="C1049" s="139" t="s">
        <v>4</v>
      </c>
      <c r="D1049" s="139" t="s">
        <v>5</v>
      </c>
      <c r="E1049" s="138"/>
      <c r="F1049" s="31"/>
      <c r="G1049" s="69"/>
      <c r="H1049" s="172" t="e">
        <v>#REF!</v>
      </c>
      <c r="I1049" s="31"/>
      <c r="J1049" s="31"/>
      <c r="K1049" s="31"/>
      <c r="L1049" s="31"/>
    </row>
    <row r="1050" spans="1:13">
      <c r="B1050" s="108" t="s">
        <v>9</v>
      </c>
      <c r="C1050" s="108"/>
      <c r="D1050" s="95"/>
      <c r="E1050" s="88"/>
      <c r="F1050" s="31"/>
      <c r="L1050" s="31"/>
    </row>
    <row r="1051" spans="1:13">
      <c r="B1051" s="87" t="s">
        <v>11</v>
      </c>
      <c r="C1051" s="173">
        <v>0.01</v>
      </c>
      <c r="D1051" s="173">
        <f>C1051*$H$1048</f>
        <v>1.923076923076923E-3</v>
      </c>
      <c r="E1051" s="88"/>
      <c r="F1051" s="31"/>
    </row>
    <row r="1052" spans="1:13">
      <c r="B1052" s="87" t="s">
        <v>13</v>
      </c>
      <c r="C1052" s="173">
        <v>570.178</v>
      </c>
      <c r="D1052" s="173">
        <f>C1052*$H$1048</f>
        <v>109.64961538461537</v>
      </c>
      <c r="E1052" s="88"/>
      <c r="F1052" s="31"/>
      <c r="I1052" s="338" t="s">
        <v>8</v>
      </c>
      <c r="J1052" s="358" t="s">
        <v>192</v>
      </c>
      <c r="K1052" s="358" t="s">
        <v>5</v>
      </c>
    </row>
    <row r="1053" spans="1:13">
      <c r="B1053" s="87" t="s">
        <v>15</v>
      </c>
      <c r="C1053" s="173">
        <v>244.76400000000001</v>
      </c>
      <c r="D1053" s="173">
        <f>C1053*$H$1048</f>
        <v>47.07</v>
      </c>
      <c r="E1053" s="88"/>
      <c r="F1053" s="31"/>
      <c r="I1053" s="69"/>
      <c r="J1053" s="372"/>
      <c r="K1053" s="372"/>
      <c r="M1053" s="31"/>
    </row>
    <row r="1054" spans="1:13" s="31" customFormat="1">
      <c r="A1054" s="32"/>
      <c r="B1054" s="87"/>
      <c r="C1054" s="173"/>
      <c r="D1054" s="173"/>
      <c r="E1054" s="88"/>
      <c r="G1054" s="32"/>
      <c r="H1054" s="32"/>
      <c r="I1054" s="32" t="s">
        <v>10</v>
      </c>
      <c r="J1054" s="376">
        <v>26959.485000000001</v>
      </c>
      <c r="K1054" s="350">
        <f>J1054*H1048</f>
        <v>5184.5163461538459</v>
      </c>
      <c r="L1054" s="32"/>
    </row>
    <row r="1055" spans="1:13" s="31" customFormat="1">
      <c r="A1055" s="32"/>
      <c r="B1055" s="108" t="s">
        <v>19</v>
      </c>
      <c r="C1055" s="174"/>
      <c r="D1055" s="173"/>
      <c r="E1055" s="88"/>
      <c r="G1055" s="32"/>
      <c r="H1055" s="32"/>
      <c r="I1055" s="32" t="s">
        <v>12</v>
      </c>
      <c r="J1055" s="350">
        <f>C1066</f>
        <v>7574.1759999999995</v>
      </c>
      <c r="K1055" s="350">
        <f>J1055*H1048</f>
        <v>1456.5723076923075</v>
      </c>
      <c r="L1055" s="32"/>
      <c r="M1055" s="32"/>
    </row>
    <row r="1056" spans="1:13">
      <c r="B1056" s="87" t="s">
        <v>20</v>
      </c>
      <c r="C1056" s="173">
        <v>3358.886</v>
      </c>
      <c r="D1056" s="173">
        <f t="shared" ref="D1056:D1061" si="28">C1056*$H$1048</f>
        <v>645.93961538461531</v>
      </c>
      <c r="E1056" s="88"/>
      <c r="F1056" s="31"/>
      <c r="I1056" s="69" t="s">
        <v>14</v>
      </c>
      <c r="J1056" s="351">
        <f>J1054-J1055</f>
        <v>19385.309000000001</v>
      </c>
      <c r="K1056" s="351">
        <f>K1054-K1055</f>
        <v>3727.9440384615382</v>
      </c>
    </row>
    <row r="1057" spans="2:11">
      <c r="B1057" s="87" t="s">
        <v>21</v>
      </c>
      <c r="C1057" s="173">
        <v>17153.174999999999</v>
      </c>
      <c r="D1057" s="173">
        <f t="shared" si="28"/>
        <v>3298.6874999999995</v>
      </c>
      <c r="E1057" s="88"/>
      <c r="F1057" s="31"/>
      <c r="I1057" s="32" t="s">
        <v>182</v>
      </c>
      <c r="J1057" s="350">
        <f>J1056/J1058</f>
        <v>5445.3115168539325</v>
      </c>
      <c r="K1057" s="350">
        <f>K1056/K1058</f>
        <v>1312.6563515709643</v>
      </c>
    </row>
    <row r="1058" spans="2:11">
      <c r="B1058" s="87" t="s">
        <v>22</v>
      </c>
      <c r="C1058" s="173">
        <v>3323.3429999999998</v>
      </c>
      <c r="D1058" s="173">
        <f t="shared" si="28"/>
        <v>639.10442307692301</v>
      </c>
      <c r="E1058" s="88"/>
      <c r="F1058" s="31"/>
      <c r="I1058" s="42" t="s">
        <v>18</v>
      </c>
      <c r="J1058" s="359">
        <v>3.56</v>
      </c>
      <c r="K1058" s="359">
        <v>2.84</v>
      </c>
    </row>
    <row r="1059" spans="2:11">
      <c r="B1059" s="87" t="s">
        <v>24</v>
      </c>
      <c r="C1059" s="173">
        <v>2309.1280000000002</v>
      </c>
      <c r="D1059" s="173">
        <f t="shared" si="28"/>
        <v>444.06307692307689</v>
      </c>
      <c r="E1059" s="88"/>
      <c r="F1059" s="31"/>
    </row>
    <row r="1060" spans="2:11">
      <c r="B1060" s="87" t="s">
        <v>23</v>
      </c>
      <c r="C1060" s="173">
        <v>0</v>
      </c>
      <c r="D1060" s="173">
        <f t="shared" si="28"/>
        <v>0</v>
      </c>
      <c r="E1060" s="88"/>
      <c r="F1060" s="31"/>
    </row>
    <row r="1061" spans="2:11">
      <c r="B1061" s="87" t="s">
        <v>25</v>
      </c>
      <c r="C1061" s="173">
        <v>0</v>
      </c>
      <c r="D1061" s="173">
        <f t="shared" si="28"/>
        <v>0</v>
      </c>
      <c r="E1061" s="88"/>
      <c r="F1061" s="31"/>
    </row>
    <row r="1062" spans="2:11">
      <c r="B1062" s="87"/>
      <c r="C1062" s="173"/>
      <c r="D1062" s="173"/>
      <c r="E1062" s="88"/>
      <c r="F1062" s="31"/>
    </row>
    <row r="1063" spans="2:11">
      <c r="B1063" s="87" t="s">
        <v>28</v>
      </c>
      <c r="C1063" s="173">
        <v>632.23</v>
      </c>
      <c r="D1063" s="173">
        <f>C1063*$H$1048</f>
        <v>121.5826923076923</v>
      </c>
      <c r="E1063" s="88"/>
      <c r="F1063" s="31"/>
    </row>
    <row r="1064" spans="2:11">
      <c r="B1064" s="87" t="s">
        <v>29</v>
      </c>
      <c r="C1064" s="173">
        <v>587.61799999999994</v>
      </c>
      <c r="D1064" s="173">
        <f>C1064*$H$1048</f>
        <v>113.00346153846152</v>
      </c>
      <c r="E1064" s="88"/>
      <c r="F1064" s="31"/>
      <c r="H1064" s="110"/>
    </row>
    <row r="1065" spans="2:11">
      <c r="B1065" s="41" t="s">
        <v>30</v>
      </c>
      <c r="C1065" s="131">
        <f>SUM(C1050:C1064)</f>
        <v>28179.331999999999</v>
      </c>
      <c r="D1065" s="131">
        <f>SUM(D1050:D1064)</f>
        <v>5419.1023076923057</v>
      </c>
      <c r="E1065" s="42">
        <f>+C1065/C1070</f>
        <v>5.1749715168326693</v>
      </c>
      <c r="F1065" s="31"/>
      <c r="G1065" s="110"/>
    </row>
    <row r="1066" spans="2:11">
      <c r="B1066" s="40" t="s">
        <v>31</v>
      </c>
      <c r="C1066" s="175">
        <v>7574.1759999999995</v>
      </c>
      <c r="D1066" s="173">
        <f>C1066*$H$1048</f>
        <v>1456.5723076923075</v>
      </c>
      <c r="E1066" s="43"/>
      <c r="F1066" s="31"/>
      <c r="H1066" s="85"/>
    </row>
    <row r="1067" spans="2:11">
      <c r="B1067" s="41" t="s">
        <v>32</v>
      </c>
      <c r="C1067" s="176">
        <f>+C1065-C1066</f>
        <v>20605.155999999999</v>
      </c>
      <c r="D1067" s="131">
        <f>+D1065-D1066</f>
        <v>3962.5299999999979</v>
      </c>
      <c r="E1067" s="42">
        <f>+C1067/C1070</f>
        <v>3.7840178539325837</v>
      </c>
      <c r="F1067" s="31"/>
    </row>
    <row r="1068" spans="2:11">
      <c r="B1068" s="71" t="s">
        <v>33</v>
      </c>
      <c r="C1068" s="177">
        <v>572.98699999999997</v>
      </c>
      <c r="D1068" s="173">
        <f>C1068*$H$1048</f>
        <v>110.18980769230768</v>
      </c>
      <c r="E1068" s="72"/>
      <c r="F1068" s="31"/>
    </row>
    <row r="1069" spans="2:11">
      <c r="B1069" s="71" t="s">
        <v>34</v>
      </c>
      <c r="C1069" s="178">
        <f>C1065+C1068</f>
        <v>28752.319</v>
      </c>
      <c r="D1069" s="178">
        <f>D1065+D1068</f>
        <v>5529.2921153846137</v>
      </c>
      <c r="E1069" s="72"/>
      <c r="F1069" s="31"/>
    </row>
    <row r="1070" spans="2:11">
      <c r="B1070" s="300" t="s">
        <v>213</v>
      </c>
      <c r="C1070" s="303">
        <f>J1057</f>
        <v>5445.3115168539325</v>
      </c>
      <c r="D1070" s="179">
        <f>K1057</f>
        <v>1312.6563515709643</v>
      </c>
      <c r="E1070" s="40"/>
      <c r="F1070" s="40"/>
    </row>
    <row r="1072" spans="2:11">
      <c r="B1072" s="109"/>
      <c r="C1072" s="353">
        <v>0</v>
      </c>
      <c r="D1072" s="134"/>
      <c r="F1072" s="110"/>
    </row>
    <row r="1073" spans="2:6">
      <c r="B1073" s="109"/>
      <c r="C1073" s="109"/>
      <c r="D1073" s="134"/>
    </row>
    <row r="1074" spans="2:6">
      <c r="B1074" s="41" t="s">
        <v>37</v>
      </c>
      <c r="C1074" s="142">
        <v>29931.155999999999</v>
      </c>
      <c r="D1074" s="135"/>
    </row>
    <row r="1075" spans="2:6">
      <c r="B1075" s="41" t="s">
        <v>38</v>
      </c>
      <c r="C1075" s="136">
        <f>C1074/C1070</f>
        <v>5.4966838733393413</v>
      </c>
      <c r="D1075" s="136"/>
    </row>
    <row r="1077" spans="2:6" ht="13.5" thickBot="1"/>
    <row r="1078" spans="2:6">
      <c r="B1078" s="81" t="s">
        <v>314</v>
      </c>
      <c r="C1078" s="124" t="s">
        <v>194</v>
      </c>
      <c r="D1078" s="82" t="s">
        <v>170</v>
      </c>
      <c r="E1078" s="111"/>
      <c r="F1078" s="111"/>
    </row>
    <row r="1079" spans="2:6">
      <c r="B1079" s="83" t="s">
        <v>184</v>
      </c>
      <c r="C1079" s="329"/>
      <c r="D1079" s="180">
        <f>C1079*$H$1048</f>
        <v>0</v>
      </c>
      <c r="E1079" s="112"/>
      <c r="F1079" s="112"/>
    </row>
    <row r="1080" spans="2:6">
      <c r="B1080" s="83" t="s">
        <v>40</v>
      </c>
      <c r="C1080" s="327">
        <f>C1066</f>
        <v>7574.1759999999995</v>
      </c>
      <c r="D1080" s="180">
        <f>C1080*$H$1048</f>
        <v>1456.5723076923075</v>
      </c>
      <c r="E1080" s="112"/>
      <c r="F1080" s="112"/>
    </row>
    <row r="1081" spans="2:6" ht="13.5" thickBot="1">
      <c r="B1081" s="84" t="s">
        <v>41</v>
      </c>
      <c r="C1081" s="330">
        <f>SUM(C1079:C1080)</f>
        <v>7574.1759999999995</v>
      </c>
      <c r="D1081" s="184">
        <f>SUM(D1079:D1080)</f>
        <v>1456.5723076923075</v>
      </c>
      <c r="E1081" s="112"/>
      <c r="F1081" s="112"/>
    </row>
    <row r="1083" spans="2:6" ht="13.5" thickBot="1"/>
    <row r="1084" spans="2:6">
      <c r="B1084" s="81" t="s">
        <v>315</v>
      </c>
      <c r="C1084" s="124" t="s">
        <v>194</v>
      </c>
      <c r="D1084" s="124" t="s">
        <v>170</v>
      </c>
      <c r="E1084" s="69"/>
      <c r="F1084" s="69"/>
    </row>
    <row r="1085" spans="2:6" ht="12" customHeight="1">
      <c r="B1085" s="73">
        <v>2020</v>
      </c>
      <c r="C1085" s="373">
        <v>6105.3149999999996</v>
      </c>
      <c r="D1085" s="183">
        <f t="shared" ref="D1085:D1090" si="29">C1085*$H$1048</f>
        <v>1174.0990384615384</v>
      </c>
    </row>
    <row r="1086" spans="2:6">
      <c r="B1086" s="73">
        <v>2021</v>
      </c>
      <c r="C1086" s="373">
        <v>940.30399999999997</v>
      </c>
      <c r="D1086" s="183">
        <f t="shared" si="29"/>
        <v>180.82769230769227</v>
      </c>
    </row>
    <row r="1087" spans="2:6">
      <c r="B1087" s="73">
        <v>2022</v>
      </c>
      <c r="C1087" s="373">
        <v>2793.4520000000002</v>
      </c>
      <c r="D1087" s="183">
        <f t="shared" si="29"/>
        <v>537.20230769230773</v>
      </c>
    </row>
    <row r="1088" spans="2:6">
      <c r="B1088" s="73">
        <v>2023</v>
      </c>
      <c r="C1088" s="373">
        <v>241.45599999999999</v>
      </c>
      <c r="D1088" s="183">
        <f t="shared" si="29"/>
        <v>46.433846153846147</v>
      </c>
    </row>
    <row r="1089" spans="1:14">
      <c r="B1089" s="73">
        <v>2024</v>
      </c>
      <c r="C1089" s="373">
        <v>3876.3969999999999</v>
      </c>
      <c r="D1089" s="183">
        <f t="shared" si="29"/>
        <v>745.46096153846145</v>
      </c>
    </row>
    <row r="1090" spans="1:14">
      <c r="B1090" s="73" t="s">
        <v>302</v>
      </c>
      <c r="C1090" s="373">
        <v>13002.561</v>
      </c>
      <c r="D1090" s="183">
        <f t="shared" si="29"/>
        <v>2500.4924999999998</v>
      </c>
    </row>
    <row r="1091" spans="1:14" ht="13.5" thickBot="1">
      <c r="B1091" s="74"/>
      <c r="C1091" s="328"/>
      <c r="D1091" s="125"/>
    </row>
    <row r="1092" spans="1:14">
      <c r="B1092" s="69" t="s">
        <v>44</v>
      </c>
      <c r="C1092" s="374">
        <f>SUM(C1085:C1091)</f>
        <v>26959.485000000001</v>
      </c>
      <c r="D1092" s="374">
        <f>SUM(D1085:D1091)</f>
        <v>5184.5163461538459</v>
      </c>
      <c r="E1092" s="113"/>
      <c r="F1092" s="113"/>
    </row>
    <row r="1093" spans="1:14">
      <c r="B1093" s="90" t="s">
        <v>36</v>
      </c>
      <c r="C1093" s="121">
        <v>0</v>
      </c>
      <c r="E1093" s="96"/>
    </row>
    <row r="1095" spans="1:14">
      <c r="B1095" s="90"/>
      <c r="C1095" s="121"/>
    </row>
    <row r="1097" spans="1:14">
      <c r="A1097" s="31"/>
      <c r="B1097" s="30"/>
      <c r="C1097" s="508" t="s">
        <v>316</v>
      </c>
      <c r="D1097" s="508"/>
      <c r="E1097" s="114" t="s">
        <v>181</v>
      </c>
      <c r="F1097" s="31"/>
      <c r="G1097" s="69" t="s">
        <v>317</v>
      </c>
      <c r="H1097" s="172">
        <v>0.24813895781637715</v>
      </c>
      <c r="I1097" s="31"/>
      <c r="J1097" s="31"/>
      <c r="K1097" s="31"/>
    </row>
    <row r="1098" spans="1:14">
      <c r="A1098" s="31"/>
      <c r="B1098" s="108"/>
      <c r="C1098" s="139" t="s">
        <v>4</v>
      </c>
      <c r="D1098" s="139" t="s">
        <v>5</v>
      </c>
      <c r="E1098" s="138"/>
      <c r="F1098" s="31"/>
      <c r="G1098" s="69"/>
      <c r="H1098" s="172"/>
      <c r="I1098" s="31"/>
      <c r="J1098" s="31"/>
      <c r="K1098" s="31"/>
      <c r="L1098" s="31"/>
    </row>
    <row r="1099" spans="1:14">
      <c r="B1099" s="108" t="s">
        <v>9</v>
      </c>
      <c r="C1099" s="108"/>
      <c r="D1099" s="95"/>
      <c r="E1099" s="88"/>
      <c r="F1099" s="31"/>
      <c r="L1099" s="31"/>
    </row>
    <row r="1100" spans="1:14">
      <c r="B1100" s="87" t="s">
        <v>11</v>
      </c>
      <c r="C1100" s="173">
        <v>1.0009999999999999</v>
      </c>
      <c r="D1100" s="173">
        <f>C1100*$H$1097</f>
        <v>0.24838709677419352</v>
      </c>
      <c r="E1100" s="88"/>
      <c r="F1100" s="31"/>
      <c r="M1100" s="31"/>
    </row>
    <row r="1101" spans="1:14">
      <c r="B1101" s="87" t="s">
        <v>13</v>
      </c>
      <c r="C1101" s="173">
        <v>618.476</v>
      </c>
      <c r="D1101" s="173">
        <f>C1101*$H$1097</f>
        <v>153.46799007444167</v>
      </c>
      <c r="E1101" s="88"/>
      <c r="F1101" s="31"/>
      <c r="I1101" s="338" t="s">
        <v>8</v>
      </c>
      <c r="J1101" s="358" t="s">
        <v>192</v>
      </c>
      <c r="K1101" s="358" t="s">
        <v>5</v>
      </c>
      <c r="M1101" s="31"/>
      <c r="N1101" s="31"/>
    </row>
    <row r="1102" spans="1:14">
      <c r="B1102" s="87" t="s">
        <v>15</v>
      </c>
      <c r="C1102" s="173">
        <v>247.751</v>
      </c>
      <c r="D1102" s="173">
        <f>C1102*$H$1097</f>
        <v>61.476674937965257</v>
      </c>
      <c r="E1102" s="88"/>
      <c r="F1102" s="31"/>
      <c r="I1102" s="69"/>
      <c r="J1102" s="372"/>
      <c r="K1102" s="372"/>
      <c r="N1102" s="31"/>
    </row>
    <row r="1103" spans="1:14">
      <c r="B1103" s="87"/>
      <c r="C1103" s="173"/>
      <c r="D1103" s="173"/>
      <c r="E1103" s="88"/>
      <c r="F1103" s="31"/>
      <c r="I1103" s="32" t="s">
        <v>10</v>
      </c>
      <c r="J1103" s="349">
        <v>21716.28</v>
      </c>
      <c r="K1103" s="350">
        <f>J1103*H1097</f>
        <v>5388.6550868486347</v>
      </c>
    </row>
    <row r="1104" spans="1:14" s="31" customFormat="1">
      <c r="A1104" s="32"/>
      <c r="B1104" s="108" t="s">
        <v>19</v>
      </c>
      <c r="C1104" s="174"/>
      <c r="D1104" s="173"/>
      <c r="E1104" s="88"/>
      <c r="G1104" s="32"/>
      <c r="H1104" s="32"/>
      <c r="I1104" s="32" t="s">
        <v>12</v>
      </c>
      <c r="J1104" s="350">
        <f>C1115</f>
        <v>8410.1130000000012</v>
      </c>
      <c r="K1104" s="350">
        <f>J1104*H1097</f>
        <v>2086.8766749379656</v>
      </c>
      <c r="L1104" s="32"/>
      <c r="M1104" s="32"/>
      <c r="N1104" s="32"/>
    </row>
    <row r="1105" spans="1:14" s="31" customFormat="1">
      <c r="A1105" s="32"/>
      <c r="B1105" s="87" t="s">
        <v>20</v>
      </c>
      <c r="C1105" s="173">
        <v>1909.018</v>
      </c>
      <c r="D1105" s="173">
        <f t="shared" ref="D1105:D1110" si="30">C1105*$H$1097</f>
        <v>473.70173697270468</v>
      </c>
      <c r="E1105" s="88"/>
      <c r="G1105" s="32"/>
      <c r="H1105" s="32"/>
      <c r="I1105" s="69" t="s">
        <v>14</v>
      </c>
      <c r="J1105" s="351">
        <f>J1103-J1104</f>
        <v>13306.166999999998</v>
      </c>
      <c r="K1105" s="351">
        <f>K1103-K1104</f>
        <v>3301.7784119106691</v>
      </c>
      <c r="L1105" s="32"/>
      <c r="M1105" s="32"/>
      <c r="N1105" s="32"/>
    </row>
    <row r="1106" spans="1:14">
      <c r="B1106" s="87" t="s">
        <v>21</v>
      </c>
      <c r="C1106" s="173">
        <v>15039.625</v>
      </c>
      <c r="D1106" s="173">
        <f t="shared" si="30"/>
        <v>3731.9168734491313</v>
      </c>
      <c r="E1106" s="88"/>
      <c r="F1106" s="31"/>
      <c r="I1106" s="32" t="s">
        <v>182</v>
      </c>
      <c r="J1106" s="350">
        <f>J1105/J1107</f>
        <v>4803.6703971119123</v>
      </c>
      <c r="K1106" s="350">
        <f>K1105/K1107</f>
        <v>1205.0286174856456</v>
      </c>
    </row>
    <row r="1107" spans="1:14">
      <c r="B1107" s="87" t="s">
        <v>22</v>
      </c>
      <c r="C1107" s="173">
        <v>2267.1320000000001</v>
      </c>
      <c r="D1107" s="173">
        <f t="shared" si="30"/>
        <v>562.56377171215877</v>
      </c>
      <c r="E1107" s="88"/>
      <c r="F1107" s="31"/>
      <c r="I1107" s="42" t="s">
        <v>18</v>
      </c>
      <c r="J1107" s="359">
        <v>2.77</v>
      </c>
      <c r="K1107" s="359">
        <v>2.74</v>
      </c>
    </row>
    <row r="1108" spans="1:14">
      <c r="B1108" s="87" t="s">
        <v>24</v>
      </c>
      <c r="C1108" s="173">
        <v>1633.277</v>
      </c>
      <c r="D1108" s="173">
        <f t="shared" si="30"/>
        <v>405.27965260545903</v>
      </c>
      <c r="E1108" s="88"/>
      <c r="F1108" s="31"/>
    </row>
    <row r="1109" spans="1:14">
      <c r="B1109" s="87" t="s">
        <v>23</v>
      </c>
      <c r="C1109" s="173">
        <v>0</v>
      </c>
      <c r="D1109" s="173">
        <f t="shared" si="30"/>
        <v>0</v>
      </c>
      <c r="E1109" s="88"/>
      <c r="F1109" s="31"/>
    </row>
    <row r="1110" spans="1:14">
      <c r="B1110" s="87" t="s">
        <v>25</v>
      </c>
      <c r="C1110" s="173">
        <v>0</v>
      </c>
      <c r="D1110" s="173">
        <f t="shared" si="30"/>
        <v>0</v>
      </c>
      <c r="E1110" s="88"/>
      <c r="F1110" s="31"/>
    </row>
    <row r="1111" spans="1:14">
      <c r="B1111" s="87"/>
      <c r="C1111" s="173"/>
      <c r="D1111" s="173"/>
      <c r="E1111" s="88"/>
      <c r="F1111" s="31"/>
    </row>
    <row r="1112" spans="1:14">
      <c r="B1112" s="87" t="s">
        <v>28</v>
      </c>
      <c r="C1112" s="173">
        <v>341.577</v>
      </c>
      <c r="D1112" s="173">
        <f>C1112*$H$1097</f>
        <v>84.758560794044655</v>
      </c>
      <c r="E1112" s="88"/>
      <c r="F1112" s="31"/>
    </row>
    <row r="1113" spans="1:14">
      <c r="B1113" s="87" t="s">
        <v>29</v>
      </c>
      <c r="C1113" s="173">
        <v>523.83299999999997</v>
      </c>
      <c r="D1113" s="173">
        <f>C1113*$H$1097</f>
        <v>129.98337468982629</v>
      </c>
      <c r="E1113" s="88"/>
      <c r="F1113" s="31"/>
      <c r="H1113" s="110"/>
    </row>
    <row r="1114" spans="1:14">
      <c r="B1114" s="41" t="s">
        <v>30</v>
      </c>
      <c r="C1114" s="131">
        <f>SUM(C1099:C1113)</f>
        <v>22581.69</v>
      </c>
      <c r="D1114" s="131">
        <f>SUM(D1099:D1113)</f>
        <v>5603.3970223325068</v>
      </c>
      <c r="E1114" s="42">
        <f>+C1114/C1119</f>
        <v>4.7009241128568435</v>
      </c>
      <c r="F1114" s="31"/>
      <c r="G1114" s="110"/>
    </row>
    <row r="1115" spans="1:14">
      <c r="B1115" s="40" t="s">
        <v>31</v>
      </c>
      <c r="C1115" s="175">
        <v>8410.1130000000012</v>
      </c>
      <c r="D1115" s="173">
        <f>C1115*$H$1097</f>
        <v>2086.8766749379656</v>
      </c>
      <c r="E1115" s="43"/>
      <c r="F1115" s="31"/>
      <c r="H1115" s="85"/>
    </row>
    <row r="1116" spans="1:14">
      <c r="B1116" s="41" t="s">
        <v>32</v>
      </c>
      <c r="C1116" s="176">
        <f>+C1114-C1115</f>
        <v>14171.576999999997</v>
      </c>
      <c r="D1116" s="131">
        <f>+D1114-D1115</f>
        <v>3516.5203473945412</v>
      </c>
      <c r="E1116" s="42">
        <f>+C1116/C1119</f>
        <v>2.9501559908274113</v>
      </c>
      <c r="F1116" s="31"/>
    </row>
    <row r="1117" spans="1:14">
      <c r="B1117" s="71" t="s">
        <v>33</v>
      </c>
      <c r="C1117" s="177">
        <v>1776.3409999999999</v>
      </c>
      <c r="D1117" s="173">
        <f>C1117*$H$1097</f>
        <v>440.77940446650121</v>
      </c>
      <c r="E1117" s="72"/>
      <c r="F1117" s="31"/>
    </row>
    <row r="1118" spans="1:14">
      <c r="B1118" s="71" t="s">
        <v>34</v>
      </c>
      <c r="C1118" s="178">
        <f>C1114+C1117</f>
        <v>24358.030999999999</v>
      </c>
      <c r="D1118" s="178">
        <f>D1114+D1117</f>
        <v>6044.1764267990084</v>
      </c>
      <c r="E1118" s="72"/>
      <c r="F1118" s="31"/>
    </row>
    <row r="1119" spans="1:14">
      <c r="B1119" s="300" t="s">
        <v>213</v>
      </c>
      <c r="C1119" s="303">
        <f>J1106</f>
        <v>4803.6703971119123</v>
      </c>
      <c r="D1119" s="179">
        <f>K1106</f>
        <v>1205.0286174856456</v>
      </c>
      <c r="E1119" s="40"/>
      <c r="F1119" s="40"/>
    </row>
    <row r="1121" spans="2:6">
      <c r="B1121" s="109"/>
      <c r="C1121" s="353">
        <v>0</v>
      </c>
      <c r="D1121" s="134"/>
      <c r="F1121" s="110"/>
    </row>
    <row r="1122" spans="2:6">
      <c r="B1122" s="109"/>
      <c r="C1122" s="109"/>
      <c r="D1122" s="134"/>
    </row>
    <row r="1123" spans="2:6">
      <c r="B1123" s="41" t="s">
        <v>37</v>
      </c>
      <c r="C1123" s="142">
        <v>19231.576999999997</v>
      </c>
      <c r="D1123" s="135"/>
    </row>
    <row r="1124" spans="2:6">
      <c r="B1124" s="41" t="s">
        <v>38</v>
      </c>
      <c r="C1124" s="136">
        <f>C1123/C1119</f>
        <v>4.0035171879324833</v>
      </c>
      <c r="D1124" s="136"/>
    </row>
    <row r="1126" spans="2:6" ht="13.5" thickBot="1"/>
    <row r="1127" spans="2:6">
      <c r="B1127" s="81" t="s">
        <v>318</v>
      </c>
      <c r="C1127" s="124" t="s">
        <v>194</v>
      </c>
      <c r="D1127" s="82" t="s">
        <v>170</v>
      </c>
      <c r="E1127" s="111"/>
      <c r="F1127" s="111"/>
    </row>
    <row r="1128" spans="2:6">
      <c r="B1128" s="83" t="s">
        <v>184</v>
      </c>
      <c r="C1128" s="329"/>
      <c r="D1128" s="115">
        <f>C1128*$H$1336</f>
        <v>0</v>
      </c>
      <c r="E1128" s="112"/>
      <c r="F1128" s="112"/>
    </row>
    <row r="1129" spans="2:6">
      <c r="B1129" s="83" t="s">
        <v>40</v>
      </c>
      <c r="C1129" s="327">
        <f>C1115</f>
        <v>8410.1130000000012</v>
      </c>
      <c r="D1129" s="180">
        <f>C1129*$H$1097</f>
        <v>2086.8766749379656</v>
      </c>
      <c r="E1129" s="112"/>
      <c r="F1129" s="112"/>
    </row>
    <row r="1130" spans="2:6" ht="13.5" thickBot="1">
      <c r="B1130" s="84" t="s">
        <v>41</v>
      </c>
      <c r="C1130" s="330">
        <f>SUM(C1128:C1129)</f>
        <v>8410.1130000000012</v>
      </c>
      <c r="D1130" s="184">
        <f>SUM(D1128:D1129)</f>
        <v>2086.8766749379656</v>
      </c>
      <c r="E1130" s="112"/>
      <c r="F1130" s="112"/>
    </row>
    <row r="1132" spans="2:6" ht="13.5" thickBot="1"/>
    <row r="1133" spans="2:6">
      <c r="B1133" s="81" t="s">
        <v>319</v>
      </c>
      <c r="C1133" s="124" t="s">
        <v>194</v>
      </c>
      <c r="D1133" s="124" t="s">
        <v>170</v>
      </c>
      <c r="E1133" s="69"/>
      <c r="F1133" s="69"/>
    </row>
    <row r="1134" spans="2:6">
      <c r="B1134" s="73">
        <v>2020</v>
      </c>
      <c r="C1134" s="373">
        <v>4594.4440000000004</v>
      </c>
      <c r="D1134" s="183">
        <f t="shared" ref="D1134:D1139" si="31">C1134*$H$1097</f>
        <v>1140.0605459057072</v>
      </c>
    </row>
    <row r="1135" spans="2:6" ht="12" customHeight="1">
      <c r="B1135" s="73">
        <v>2021</v>
      </c>
      <c r="C1135" s="373">
        <v>259.54899999999998</v>
      </c>
      <c r="D1135" s="183">
        <f t="shared" si="31"/>
        <v>64.404218362282862</v>
      </c>
    </row>
    <row r="1136" spans="2:6">
      <c r="B1136" s="73">
        <v>2022</v>
      </c>
      <c r="C1136" s="373">
        <v>1851.941</v>
      </c>
      <c r="D1136" s="183">
        <f t="shared" si="31"/>
        <v>459.53870967741932</v>
      </c>
    </row>
    <row r="1137" spans="1:14">
      <c r="B1137" s="73">
        <v>2023</v>
      </c>
      <c r="C1137" s="373">
        <v>1917.393</v>
      </c>
      <c r="D1137" s="183">
        <f t="shared" si="31"/>
        <v>475.77990074441686</v>
      </c>
    </row>
    <row r="1138" spans="1:14">
      <c r="B1138" s="73">
        <v>2024</v>
      </c>
      <c r="C1138" s="373">
        <v>3002.9490000000001</v>
      </c>
      <c r="D1138" s="183">
        <f t="shared" si="31"/>
        <v>745.14863523573194</v>
      </c>
    </row>
    <row r="1139" spans="1:14">
      <c r="B1139" s="73" t="s">
        <v>302</v>
      </c>
      <c r="C1139" s="373">
        <v>10090.004000000001</v>
      </c>
      <c r="D1139" s="183">
        <f t="shared" si="31"/>
        <v>2503.7230769230769</v>
      </c>
    </row>
    <row r="1140" spans="1:14" ht="13.5" thickBot="1">
      <c r="B1140" s="74"/>
      <c r="C1140" s="328"/>
      <c r="D1140" s="125"/>
    </row>
    <row r="1141" spans="1:14">
      <c r="B1141" s="69" t="s">
        <v>44</v>
      </c>
      <c r="C1141" s="374">
        <f>SUM(C1134:C1140)</f>
        <v>21716.280000000002</v>
      </c>
      <c r="D1141" s="374">
        <f>SUM(D1134:D1140)</f>
        <v>5388.6550868486347</v>
      </c>
      <c r="E1141" s="113"/>
      <c r="F1141" s="113"/>
    </row>
    <row r="1142" spans="1:14">
      <c r="B1142" s="90" t="s">
        <v>36</v>
      </c>
      <c r="C1142" s="121">
        <v>0</v>
      </c>
      <c r="E1142" s="96"/>
    </row>
    <row r="1144" spans="1:14">
      <c r="B1144" s="90"/>
      <c r="C1144" s="121"/>
    </row>
    <row r="1146" spans="1:14">
      <c r="A1146" s="31"/>
      <c r="B1146" s="30"/>
      <c r="C1146" s="508" t="s">
        <v>320</v>
      </c>
      <c r="D1146" s="508"/>
      <c r="E1146" s="114" t="s">
        <v>181</v>
      </c>
      <c r="F1146" s="31"/>
      <c r="G1146" s="69" t="s">
        <v>321</v>
      </c>
      <c r="H1146" s="172">
        <v>0.24038461538461536</v>
      </c>
      <c r="I1146" s="31"/>
      <c r="J1146" s="31"/>
      <c r="K1146" s="31"/>
      <c r="L1146" s="31"/>
    </row>
    <row r="1147" spans="1:14">
      <c r="A1147" s="31"/>
      <c r="B1147" s="108"/>
      <c r="C1147" s="139" t="s">
        <v>4</v>
      </c>
      <c r="D1147" s="139" t="s">
        <v>5</v>
      </c>
      <c r="E1147" s="138"/>
      <c r="F1147" s="31"/>
      <c r="G1147" s="69"/>
      <c r="H1147" s="172"/>
      <c r="I1147" s="31"/>
      <c r="J1147" s="31"/>
      <c r="K1147" s="31"/>
      <c r="L1147" s="31"/>
      <c r="M1147" s="31"/>
    </row>
    <row r="1148" spans="1:14">
      <c r="B1148" s="108" t="s">
        <v>9</v>
      </c>
      <c r="C1148" s="108"/>
      <c r="D1148" s="95"/>
      <c r="E1148" s="88"/>
      <c r="F1148" s="31"/>
      <c r="M1148" s="31"/>
    </row>
    <row r="1149" spans="1:14">
      <c r="B1149" s="87" t="s">
        <v>11</v>
      </c>
      <c r="C1149" s="173">
        <v>2.4860000000000002</v>
      </c>
      <c r="D1149" s="173">
        <f>C1149*$H$1146</f>
        <v>0.59759615384615383</v>
      </c>
      <c r="E1149" s="88"/>
      <c r="F1149" s="31"/>
    </row>
    <row r="1150" spans="1:14">
      <c r="B1150" s="87" t="s">
        <v>13</v>
      </c>
      <c r="C1150" s="173">
        <v>199.76599999999999</v>
      </c>
      <c r="D1150" s="173">
        <f>C1150*$H$1146</f>
        <v>48.020673076923067</v>
      </c>
      <c r="E1150" s="88"/>
      <c r="F1150" s="31"/>
      <c r="I1150" s="338" t="s">
        <v>8</v>
      </c>
      <c r="J1150" s="358" t="s">
        <v>192</v>
      </c>
      <c r="K1150" s="358" t="s">
        <v>5</v>
      </c>
    </row>
    <row r="1151" spans="1:14">
      <c r="B1151" s="87" t="s">
        <v>15</v>
      </c>
      <c r="C1151" s="173">
        <v>244.102</v>
      </c>
      <c r="D1151" s="173">
        <f>C1151*$H$1146</f>
        <v>58.678365384615383</v>
      </c>
      <c r="E1151" s="88"/>
      <c r="F1151" s="31"/>
      <c r="I1151" s="69"/>
      <c r="J1151" s="372"/>
      <c r="K1151" s="372"/>
      <c r="N1151" s="31"/>
    </row>
    <row r="1152" spans="1:14">
      <c r="B1152" s="87"/>
      <c r="C1152" s="173"/>
      <c r="D1152" s="173"/>
      <c r="E1152" s="88"/>
      <c r="F1152" s="31"/>
      <c r="I1152" s="32" t="s">
        <v>10</v>
      </c>
      <c r="J1152" s="349">
        <v>19084.758999999998</v>
      </c>
      <c r="K1152" s="350">
        <f>J1152*H1146</f>
        <v>4587.6824519230759</v>
      </c>
      <c r="N1152" s="31"/>
    </row>
    <row r="1153" spans="1:14">
      <c r="B1153" s="108" t="s">
        <v>19</v>
      </c>
      <c r="C1153" s="174"/>
      <c r="D1153" s="173"/>
      <c r="E1153" s="88"/>
      <c r="F1153" s="31"/>
      <c r="I1153" s="32" t="s">
        <v>12</v>
      </c>
      <c r="J1153" s="350">
        <f>C1164</f>
        <v>8359.5889999999999</v>
      </c>
      <c r="K1153" s="350">
        <f>J1153*H1146</f>
        <v>2009.5165865384613</v>
      </c>
    </row>
    <row r="1154" spans="1:14">
      <c r="B1154" s="87" t="s">
        <v>20</v>
      </c>
      <c r="C1154" s="173">
        <v>2257.21</v>
      </c>
      <c r="D1154" s="173">
        <f t="shared" ref="D1154:D1159" si="32">C1154*$H$1146</f>
        <v>542.59855769230762</v>
      </c>
      <c r="E1154" s="88"/>
      <c r="F1154" s="31"/>
      <c r="I1154" s="69" t="s">
        <v>14</v>
      </c>
      <c r="J1154" s="351">
        <f>J1152-J1153</f>
        <v>10725.169999999998</v>
      </c>
      <c r="K1154" s="351">
        <f>K1152-K1153</f>
        <v>2578.1658653846143</v>
      </c>
    </row>
    <row r="1155" spans="1:14" s="31" customFormat="1">
      <c r="A1155" s="32"/>
      <c r="B1155" s="87" t="s">
        <v>21</v>
      </c>
      <c r="C1155" s="173">
        <v>15471.263999999999</v>
      </c>
      <c r="D1155" s="173">
        <f t="shared" si="32"/>
        <v>3719.0538461538458</v>
      </c>
      <c r="E1155" s="88"/>
      <c r="G1155" s="32"/>
      <c r="H1155" s="32"/>
      <c r="I1155" s="32" t="s">
        <v>182</v>
      </c>
      <c r="J1155" s="350">
        <f>J1154/J1156</f>
        <v>4140.9922779922772</v>
      </c>
      <c r="K1155" s="350">
        <f>K1154/K1156</f>
        <v>1060.9736071541622</v>
      </c>
      <c r="L1155" s="32"/>
      <c r="M1155" s="32"/>
      <c r="N1155" s="32"/>
    </row>
    <row r="1156" spans="1:14" s="31" customFormat="1">
      <c r="A1156" s="32"/>
      <c r="B1156" s="87" t="s">
        <v>22</v>
      </c>
      <c r="C1156" s="173">
        <v>208.13900000000001</v>
      </c>
      <c r="D1156" s="173">
        <f t="shared" si="32"/>
        <v>50.033413461538458</v>
      </c>
      <c r="E1156" s="88"/>
      <c r="G1156" s="32"/>
      <c r="H1156" s="32"/>
      <c r="I1156" s="42" t="s">
        <v>18</v>
      </c>
      <c r="J1156" s="359">
        <v>2.59</v>
      </c>
      <c r="K1156" s="359">
        <v>2.4300000000000002</v>
      </c>
      <c r="L1156" s="32"/>
      <c r="M1156" s="32"/>
      <c r="N1156" s="32"/>
    </row>
    <row r="1157" spans="1:14">
      <c r="B1157" s="87" t="s">
        <v>24</v>
      </c>
      <c r="C1157" s="173">
        <v>701.79200000000003</v>
      </c>
      <c r="D1157" s="173">
        <f t="shared" si="32"/>
        <v>168.7</v>
      </c>
      <c r="E1157" s="88"/>
      <c r="F1157" s="31"/>
    </row>
    <row r="1158" spans="1:14">
      <c r="B1158" s="87" t="s">
        <v>23</v>
      </c>
      <c r="C1158" s="173">
        <v>0</v>
      </c>
      <c r="D1158" s="173">
        <f t="shared" si="32"/>
        <v>0</v>
      </c>
      <c r="E1158" s="88"/>
      <c r="F1158" s="31"/>
    </row>
    <row r="1159" spans="1:14">
      <c r="B1159" s="87" t="s">
        <v>25</v>
      </c>
      <c r="C1159" s="173">
        <v>0</v>
      </c>
      <c r="D1159" s="173">
        <f t="shared" si="32"/>
        <v>0</v>
      </c>
      <c r="E1159" s="88"/>
      <c r="F1159" s="31"/>
    </row>
    <row r="1160" spans="1:14">
      <c r="B1160" s="87"/>
      <c r="C1160" s="173"/>
      <c r="D1160" s="173"/>
      <c r="E1160" s="88"/>
      <c r="F1160" s="31"/>
    </row>
    <row r="1161" spans="1:14">
      <c r="B1161" s="87" t="s">
        <v>28</v>
      </c>
      <c r="C1161" s="173">
        <v>408.09800000000001</v>
      </c>
      <c r="D1161" s="173">
        <f>C1161*$H$1146</f>
        <v>98.100480769230771</v>
      </c>
      <c r="E1161" s="88"/>
      <c r="F1161" s="31"/>
    </row>
    <row r="1162" spans="1:14">
      <c r="B1162" s="87" t="s">
        <v>29</v>
      </c>
      <c r="C1162" s="173">
        <v>569.76699999999994</v>
      </c>
      <c r="D1162" s="173">
        <f>C1162*$H$1146</f>
        <v>136.96322115384612</v>
      </c>
      <c r="E1162" s="88"/>
      <c r="F1162" s="31"/>
      <c r="H1162" s="110"/>
    </row>
    <row r="1163" spans="1:14">
      <c r="B1163" s="41" t="s">
        <v>30</v>
      </c>
      <c r="C1163" s="131">
        <f>SUM(C1148:C1162)</f>
        <v>20062.624</v>
      </c>
      <c r="D1163" s="131">
        <f>SUM(D1148:D1162)</f>
        <v>4822.7461538461539</v>
      </c>
      <c r="E1163" s="42">
        <f>+C1163/C1168</f>
        <v>4.8448832195666833</v>
      </c>
      <c r="F1163" s="31"/>
      <c r="G1163" s="110"/>
    </row>
    <row r="1164" spans="1:14">
      <c r="B1164" s="40" t="s">
        <v>31</v>
      </c>
      <c r="C1164" s="175">
        <v>8359.5889999999999</v>
      </c>
      <c r="D1164" s="173">
        <f>C1164*$H$1146</f>
        <v>2009.5165865384613</v>
      </c>
      <c r="E1164" s="43"/>
      <c r="F1164" s="31"/>
      <c r="H1164" s="85"/>
    </row>
    <row r="1165" spans="1:14">
      <c r="B1165" s="41" t="s">
        <v>32</v>
      </c>
      <c r="C1165" s="176">
        <f>+C1163-C1164</f>
        <v>11703.035</v>
      </c>
      <c r="D1165" s="131">
        <f>+D1163-D1164</f>
        <v>2813.2295673076924</v>
      </c>
      <c r="E1165" s="42">
        <f>+C1165/C1168</f>
        <v>2.8261426765263398</v>
      </c>
      <c r="F1165" s="31"/>
    </row>
    <row r="1166" spans="1:14">
      <c r="B1166" s="71" t="s">
        <v>33</v>
      </c>
      <c r="C1166" s="177">
        <v>4252.5219999999999</v>
      </c>
      <c r="D1166" s="173">
        <f>C1166*$H$1146</f>
        <v>1022.2408653846153</v>
      </c>
      <c r="E1166" s="72"/>
      <c r="F1166" s="31"/>
    </row>
    <row r="1167" spans="1:14">
      <c r="B1167" s="71" t="s">
        <v>34</v>
      </c>
      <c r="C1167" s="178">
        <f>C1163+C1166</f>
        <v>24315.146000000001</v>
      </c>
      <c r="D1167" s="178">
        <f>D1163+D1166</f>
        <v>5844.987019230769</v>
      </c>
      <c r="E1167" s="72"/>
      <c r="F1167" s="31"/>
    </row>
    <row r="1168" spans="1:14">
      <c r="B1168" s="300" t="s">
        <v>213</v>
      </c>
      <c r="C1168" s="303">
        <f>J1155</f>
        <v>4140.9922779922772</v>
      </c>
      <c r="D1168" s="179">
        <f>K1155</f>
        <v>1060.9736071541622</v>
      </c>
      <c r="E1168" s="40"/>
      <c r="F1168" s="40"/>
    </row>
    <row r="1170" spans="2:6">
      <c r="B1170" s="109"/>
      <c r="C1170" s="353">
        <v>0</v>
      </c>
      <c r="D1170" s="134"/>
      <c r="F1170" s="110"/>
    </row>
    <row r="1171" spans="2:6">
      <c r="B1171" s="109"/>
      <c r="C1171" s="109"/>
      <c r="D1171" s="134"/>
    </row>
    <row r="1172" spans="2:6">
      <c r="B1172" s="41" t="s">
        <v>37</v>
      </c>
      <c r="C1172" s="142">
        <v>18449.235000000001</v>
      </c>
      <c r="D1172" s="135"/>
    </row>
    <row r="1173" spans="2:6">
      <c r="B1173" s="41" t="s">
        <v>38</v>
      </c>
      <c r="C1173" s="136">
        <f>C1172/C1168</f>
        <v>4.455269114615434</v>
      </c>
      <c r="D1173" s="136"/>
    </row>
    <row r="1175" spans="2:6" ht="13.5" thickBot="1"/>
    <row r="1176" spans="2:6">
      <c r="B1176" s="81" t="s">
        <v>322</v>
      </c>
      <c r="C1176" s="124" t="s">
        <v>194</v>
      </c>
      <c r="D1176" s="82" t="s">
        <v>170</v>
      </c>
      <c r="E1176" s="111"/>
      <c r="F1176" s="111"/>
    </row>
    <row r="1177" spans="2:6">
      <c r="B1177" s="83" t="s">
        <v>184</v>
      </c>
      <c r="C1177" s="329"/>
      <c r="D1177" s="115">
        <f>C1177*$H$1336</f>
        <v>0</v>
      </c>
      <c r="E1177" s="112"/>
      <c r="F1177" s="112"/>
    </row>
    <row r="1178" spans="2:6">
      <c r="B1178" s="83" t="s">
        <v>40</v>
      </c>
      <c r="C1178" s="327">
        <f>C1164</f>
        <v>8359.5889999999999</v>
      </c>
      <c r="D1178" s="180">
        <f>C1178*$H$1146</f>
        <v>2009.5165865384613</v>
      </c>
      <c r="E1178" s="112"/>
      <c r="F1178" s="112"/>
    </row>
    <row r="1179" spans="2:6" ht="13.5" thickBot="1">
      <c r="B1179" s="84" t="s">
        <v>41</v>
      </c>
      <c r="C1179" s="330">
        <f>SUM(C1177:C1178)</f>
        <v>8359.5889999999999</v>
      </c>
      <c r="D1179" s="184">
        <f>SUM(D1177:D1178)</f>
        <v>2009.5165865384613</v>
      </c>
      <c r="E1179" s="112"/>
      <c r="F1179" s="112"/>
    </row>
    <row r="1181" spans="2:6" ht="13.5" thickBot="1"/>
    <row r="1182" spans="2:6">
      <c r="B1182" s="81" t="s">
        <v>323</v>
      </c>
      <c r="C1182" s="124" t="s">
        <v>194</v>
      </c>
      <c r="D1182" s="124" t="s">
        <v>170</v>
      </c>
      <c r="E1182" s="69"/>
      <c r="F1182" s="69"/>
    </row>
    <row r="1183" spans="2:6">
      <c r="B1183" s="73">
        <v>2019</v>
      </c>
      <c r="C1183" s="373">
        <v>546.52499999999998</v>
      </c>
      <c r="D1183" s="183">
        <f>C1183*$H$1146</f>
        <v>131.37620192307691</v>
      </c>
    </row>
    <row r="1184" spans="2:6">
      <c r="B1184" s="73">
        <v>2020</v>
      </c>
      <c r="C1184" s="373">
        <v>2155.2330000000002</v>
      </c>
      <c r="D1184" s="183">
        <f t="shared" ref="D1184:D1189" si="33">C1184*$H$1146</f>
        <v>518.08485576923078</v>
      </c>
    </row>
    <row r="1185" spans="1:13">
      <c r="B1185" s="73">
        <v>2021</v>
      </c>
      <c r="C1185" s="373">
        <v>160.22800000000001</v>
      </c>
      <c r="D1185" s="183">
        <f t="shared" si="33"/>
        <v>38.51634615384615</v>
      </c>
    </row>
    <row r="1186" spans="1:13" ht="12" customHeight="1">
      <c r="B1186" s="73">
        <v>2022</v>
      </c>
      <c r="C1186" s="373">
        <v>718.11400000000003</v>
      </c>
      <c r="D1186" s="183">
        <f t="shared" si="33"/>
        <v>172.62355769230768</v>
      </c>
    </row>
    <row r="1187" spans="1:13">
      <c r="B1187" s="73">
        <v>2023</v>
      </c>
      <c r="C1187" s="373">
        <v>1983.625</v>
      </c>
      <c r="D1187" s="183">
        <f t="shared" si="33"/>
        <v>476.83293269230762</v>
      </c>
    </row>
    <row r="1188" spans="1:13">
      <c r="B1188" s="73">
        <v>2024</v>
      </c>
      <c r="C1188" s="373">
        <v>3099.942</v>
      </c>
      <c r="D1188" s="183">
        <f t="shared" si="33"/>
        <v>745.17836538461529</v>
      </c>
    </row>
    <row r="1189" spans="1:13">
      <c r="B1189" s="73" t="s">
        <v>302</v>
      </c>
      <c r="C1189" s="373">
        <v>10421.092000000001</v>
      </c>
      <c r="D1189" s="183">
        <f t="shared" si="33"/>
        <v>2505.0701923076922</v>
      </c>
    </row>
    <row r="1190" spans="1:13" ht="13.5" thickBot="1">
      <c r="B1190" s="74"/>
      <c r="C1190" s="328"/>
      <c r="D1190" s="125"/>
      <c r="E1190" s="113"/>
      <c r="F1190" s="113"/>
    </row>
    <row r="1191" spans="1:13">
      <c r="B1191" s="69" t="s">
        <v>44</v>
      </c>
      <c r="C1191" s="374">
        <f>SUM(C1183:C1190)</f>
        <v>19084.759000000002</v>
      </c>
      <c r="D1191" s="374">
        <f>SUM(D1183:D1190)</f>
        <v>4587.6824519230768</v>
      </c>
      <c r="E1191" s="96"/>
    </row>
    <row r="1192" spans="1:13">
      <c r="B1192" s="90" t="s">
        <v>36</v>
      </c>
      <c r="C1192" s="121">
        <v>0</v>
      </c>
    </row>
    <row r="1193" spans="1:13">
      <c r="B1193" s="90"/>
      <c r="C1193" s="121"/>
      <c r="L1193" s="31"/>
    </row>
    <row r="1194" spans="1:13">
      <c r="L1194" s="31"/>
    </row>
    <row r="1195" spans="1:13">
      <c r="A1195" s="31"/>
      <c r="B1195" s="30"/>
      <c r="C1195" s="508" t="s">
        <v>324</v>
      </c>
      <c r="D1195" s="508"/>
      <c r="E1195" s="114" t="s">
        <v>181</v>
      </c>
      <c r="F1195" s="31"/>
      <c r="G1195" s="69" t="s">
        <v>325</v>
      </c>
      <c r="H1195" s="172">
        <v>0.2610966057441253</v>
      </c>
      <c r="I1195" s="31"/>
      <c r="J1195" s="31"/>
      <c r="K1195" s="31"/>
    </row>
    <row r="1196" spans="1:13">
      <c r="A1196" s="31"/>
      <c r="B1196" s="108"/>
      <c r="C1196" s="139" t="s">
        <v>4</v>
      </c>
      <c r="D1196" s="139" t="s">
        <v>5</v>
      </c>
      <c r="E1196" s="138"/>
      <c r="F1196" s="31"/>
      <c r="G1196" s="69"/>
      <c r="H1196" s="172"/>
      <c r="I1196" s="31"/>
      <c r="J1196" s="31"/>
      <c r="K1196" s="31"/>
    </row>
    <row r="1197" spans="1:13">
      <c r="B1197" s="108" t="s">
        <v>9</v>
      </c>
      <c r="C1197" s="108"/>
      <c r="D1197" s="95"/>
      <c r="E1197" s="88"/>
      <c r="F1197" s="31"/>
      <c r="M1197" s="31"/>
    </row>
    <row r="1198" spans="1:13">
      <c r="B1198" s="87" t="s">
        <v>11</v>
      </c>
      <c r="C1198" s="173">
        <v>3.97</v>
      </c>
      <c r="D1198" s="173">
        <f>C1198*$H$1195</f>
        <v>1.0365535248041775</v>
      </c>
      <c r="E1198" s="88"/>
      <c r="F1198" s="31"/>
      <c r="M1198" s="31"/>
    </row>
    <row r="1199" spans="1:13">
      <c r="B1199" s="87" t="s">
        <v>13</v>
      </c>
      <c r="C1199" s="173">
        <v>203.91800000000001</v>
      </c>
      <c r="D1199" s="173">
        <f>C1199*$H$1195</f>
        <v>53.242297650130546</v>
      </c>
      <c r="E1199" s="88"/>
      <c r="F1199" s="31"/>
      <c r="I1199" s="338" t="s">
        <v>8</v>
      </c>
      <c r="J1199" s="358" t="s">
        <v>192</v>
      </c>
      <c r="K1199" s="358" t="s">
        <v>5</v>
      </c>
    </row>
    <row r="1200" spans="1:13">
      <c r="B1200" s="87"/>
      <c r="C1200" s="173"/>
      <c r="D1200" s="173"/>
      <c r="E1200" s="88"/>
      <c r="F1200" s="31"/>
      <c r="I1200" s="32" t="s">
        <v>10</v>
      </c>
      <c r="J1200" s="349">
        <v>16550.392</v>
      </c>
      <c r="K1200" s="349">
        <f>J1200*H1195</f>
        <v>4321.251174934725</v>
      </c>
    </row>
    <row r="1201" spans="2:14">
      <c r="B1201" s="108" t="s">
        <v>19</v>
      </c>
      <c r="C1201" s="174"/>
      <c r="D1201" s="173"/>
      <c r="E1201" s="88"/>
      <c r="F1201" s="31"/>
      <c r="I1201" s="32" t="s">
        <v>12</v>
      </c>
      <c r="J1201" s="350">
        <f>C1212</f>
        <v>6437.8130000000001</v>
      </c>
      <c r="K1201" s="349">
        <f>J1201*H1195</f>
        <v>1680.8911227154044</v>
      </c>
    </row>
    <row r="1202" spans="2:14">
      <c r="B1202" s="87" t="s">
        <v>20</v>
      </c>
      <c r="C1202" s="173">
        <v>2474.6959999999999</v>
      </c>
      <c r="D1202" s="173">
        <f t="shared" ref="D1202:D1207" si="34">C1202*$H$1195</f>
        <v>646.1347258485639</v>
      </c>
      <c r="E1202" s="88"/>
      <c r="F1202" s="31"/>
      <c r="I1202" s="69" t="s">
        <v>14</v>
      </c>
      <c r="J1202" s="360">
        <f>J1200-J1201</f>
        <v>10112.579</v>
      </c>
      <c r="K1202" s="351">
        <f>K1200-K1201</f>
        <v>2640.3600522193206</v>
      </c>
      <c r="N1202" s="31"/>
    </row>
    <row r="1203" spans="2:14">
      <c r="B1203" s="87" t="s">
        <v>21</v>
      </c>
      <c r="C1203" s="173">
        <v>12321.694</v>
      </c>
      <c r="D1203" s="173">
        <f t="shared" si="34"/>
        <v>3217.1524804177543</v>
      </c>
      <c r="E1203" s="88"/>
      <c r="F1203" s="31"/>
      <c r="I1203" s="32" t="s">
        <v>182</v>
      </c>
      <c r="J1203" s="350">
        <f>J1202/J1204</f>
        <v>3816.0675471698114</v>
      </c>
      <c r="K1203" s="350">
        <f>K1202/K1204</f>
        <v>981.5464878138738</v>
      </c>
      <c r="N1203" s="31"/>
    </row>
    <row r="1204" spans="2:14">
      <c r="B1204" s="87" t="s">
        <v>22</v>
      </c>
      <c r="C1204" s="173">
        <v>401.70600000000002</v>
      </c>
      <c r="D1204" s="173">
        <f t="shared" si="34"/>
        <v>104.8840731070496</v>
      </c>
      <c r="E1204" s="88"/>
      <c r="F1204" s="31"/>
      <c r="I1204" s="42" t="s">
        <v>18</v>
      </c>
      <c r="J1204" s="357">
        <v>2.65</v>
      </c>
      <c r="K1204" s="359">
        <v>2.69</v>
      </c>
    </row>
    <row r="1205" spans="2:14">
      <c r="B1205" s="87" t="s">
        <v>24</v>
      </c>
      <c r="C1205" s="173">
        <v>1144.4079999999999</v>
      </c>
      <c r="D1205" s="173">
        <f t="shared" si="34"/>
        <v>298.80104438642292</v>
      </c>
      <c r="E1205" s="88"/>
      <c r="F1205" s="31"/>
    </row>
    <row r="1206" spans="2:14">
      <c r="B1206" s="87" t="s">
        <v>23</v>
      </c>
      <c r="C1206" s="173">
        <v>0</v>
      </c>
      <c r="D1206" s="173">
        <f t="shared" si="34"/>
        <v>0</v>
      </c>
      <c r="E1206" s="88"/>
      <c r="F1206" s="31"/>
    </row>
    <row r="1207" spans="2:14">
      <c r="B1207" s="87" t="s">
        <v>25</v>
      </c>
      <c r="C1207" s="173">
        <v>0</v>
      </c>
      <c r="D1207" s="173">
        <f t="shared" si="34"/>
        <v>0</v>
      </c>
      <c r="E1207" s="88"/>
      <c r="F1207" s="31"/>
    </row>
    <row r="1208" spans="2:14">
      <c r="B1208" s="87"/>
      <c r="C1208" s="173"/>
      <c r="D1208" s="173"/>
      <c r="E1208" s="88"/>
      <c r="F1208" s="31"/>
    </row>
    <row r="1209" spans="2:14">
      <c r="B1209" s="87" t="s">
        <v>28</v>
      </c>
      <c r="C1209" s="173">
        <v>359.74799999999999</v>
      </c>
      <c r="D1209" s="173">
        <f>C1209*$H$1195</f>
        <v>93.928981723237584</v>
      </c>
      <c r="E1209" s="88"/>
      <c r="F1209" s="31"/>
    </row>
    <row r="1210" spans="2:14">
      <c r="B1210" s="87" t="s">
        <v>29</v>
      </c>
      <c r="C1210" s="173">
        <v>511.63399999999996</v>
      </c>
      <c r="D1210" s="173">
        <f>C1210*$H$1195</f>
        <v>133.58590078328979</v>
      </c>
      <c r="E1210" s="88"/>
      <c r="F1210" s="31"/>
      <c r="H1210" s="110"/>
    </row>
    <row r="1211" spans="2:14">
      <c r="B1211" s="41" t="s">
        <v>30</v>
      </c>
      <c r="C1211" s="131">
        <f>SUM(C1197:C1210)</f>
        <v>17421.773999999998</v>
      </c>
      <c r="D1211" s="131">
        <f>SUM(D1197:D1210)</f>
        <v>4548.766057441253</v>
      </c>
      <c r="E1211" s="42">
        <f>+C1211/C1216</f>
        <v>4.5653735906537785</v>
      </c>
      <c r="F1211" s="31"/>
      <c r="G1211" s="110"/>
    </row>
    <row r="1212" spans="2:14">
      <c r="B1212" s="40" t="s">
        <v>31</v>
      </c>
      <c r="C1212" s="175">
        <v>6437.8130000000001</v>
      </c>
      <c r="D1212" s="173">
        <f>C1212*$H$1195</f>
        <v>1680.8911227154044</v>
      </c>
      <c r="E1212" s="43"/>
      <c r="F1212" s="31"/>
      <c r="H1212" s="85"/>
    </row>
    <row r="1213" spans="2:14">
      <c r="B1213" s="41" t="s">
        <v>32</v>
      </c>
      <c r="C1213" s="176">
        <f>+C1211-C1212</f>
        <v>10983.960999999998</v>
      </c>
      <c r="D1213" s="131">
        <f>+D1211-D1212</f>
        <v>2867.8749347258486</v>
      </c>
      <c r="E1213" s="42">
        <f>+C1213/C1216</f>
        <v>2.8783455387592021</v>
      </c>
      <c r="F1213" s="31"/>
    </row>
    <row r="1214" spans="2:14">
      <c r="B1214" s="71" t="s">
        <v>33</v>
      </c>
      <c r="C1214" s="177">
        <v>4209.277</v>
      </c>
      <c r="D1214" s="173">
        <f>C1214*$H$1195</f>
        <v>1099.0279373368146</v>
      </c>
      <c r="E1214" s="72"/>
      <c r="F1214" s="31"/>
    </row>
    <row r="1215" spans="2:14">
      <c r="B1215" s="71" t="s">
        <v>34</v>
      </c>
      <c r="C1215" s="178">
        <f>C1211+C1214</f>
        <v>21631.050999999999</v>
      </c>
      <c r="D1215" s="178">
        <f>D1211+D1214</f>
        <v>5647.7939947780678</v>
      </c>
      <c r="E1215" s="72"/>
      <c r="F1215" s="31"/>
    </row>
    <row r="1216" spans="2:14">
      <c r="B1216" s="300" t="s">
        <v>326</v>
      </c>
      <c r="C1216" s="303">
        <f>J1203</f>
        <v>3816.0675471698114</v>
      </c>
      <c r="D1216" s="179">
        <f>K1203</f>
        <v>981.5464878138738</v>
      </c>
      <c r="E1216" s="40"/>
      <c r="F1216" s="40"/>
    </row>
    <row r="1218" spans="2:6">
      <c r="B1218" s="109"/>
      <c r="C1218" s="353">
        <v>0</v>
      </c>
      <c r="D1218" s="134"/>
      <c r="F1218" s="110"/>
    </row>
    <row r="1219" spans="2:6">
      <c r="B1219" s="109"/>
      <c r="C1219" s="109"/>
      <c r="D1219" s="134"/>
    </row>
    <row r="1220" spans="2:6">
      <c r="B1220" s="41" t="s">
        <v>37</v>
      </c>
      <c r="C1220" s="142">
        <v>14881.160999999996</v>
      </c>
      <c r="D1220" s="135"/>
    </row>
    <row r="1221" spans="2:6">
      <c r="B1221" s="41" t="s">
        <v>38</v>
      </c>
      <c r="C1221" s="136">
        <f>C1220/C1216</f>
        <v>3.8996062873773338</v>
      </c>
      <c r="D1221" s="136"/>
    </row>
    <row r="1223" spans="2:6" ht="13.5" thickBot="1"/>
    <row r="1224" spans="2:6">
      <c r="B1224" s="81" t="s">
        <v>327</v>
      </c>
      <c r="C1224" s="124" t="s">
        <v>194</v>
      </c>
      <c r="D1224" s="82" t="s">
        <v>170</v>
      </c>
      <c r="E1224" s="111"/>
      <c r="F1224" s="111"/>
    </row>
    <row r="1225" spans="2:6">
      <c r="B1225" s="83" t="s">
        <v>184</v>
      </c>
      <c r="C1225" s="329"/>
      <c r="D1225" s="115">
        <f>C1225*$H$1336</f>
        <v>0</v>
      </c>
      <c r="E1225" s="112"/>
      <c r="F1225" s="112"/>
    </row>
    <row r="1226" spans="2:6">
      <c r="B1226" s="83" t="s">
        <v>40</v>
      </c>
      <c r="C1226" s="327">
        <f>C1212</f>
        <v>6437.8130000000001</v>
      </c>
      <c r="D1226" s="180">
        <f>C1226*$H$1195</f>
        <v>1680.8911227154044</v>
      </c>
      <c r="E1226" s="112"/>
      <c r="F1226" s="112"/>
    </row>
    <row r="1227" spans="2:6" ht="13.5" thickBot="1">
      <c r="B1227" s="84" t="s">
        <v>41</v>
      </c>
      <c r="C1227" s="330">
        <f>SUM(C1225:C1226)</f>
        <v>6437.8130000000001</v>
      </c>
      <c r="D1227" s="184">
        <f>SUM(D1225:D1226)</f>
        <v>1680.8911227154044</v>
      </c>
      <c r="E1227" s="112"/>
      <c r="F1227" s="112"/>
    </row>
    <row r="1229" spans="2:6" ht="13.5" thickBot="1"/>
    <row r="1230" spans="2:6">
      <c r="B1230" s="81" t="s">
        <v>328</v>
      </c>
      <c r="C1230" s="124" t="s">
        <v>194</v>
      </c>
      <c r="D1230" s="124" t="s">
        <v>170</v>
      </c>
      <c r="E1230" s="69"/>
      <c r="F1230" s="69"/>
    </row>
    <row r="1231" spans="2:6">
      <c r="B1231" s="73">
        <v>2019</v>
      </c>
      <c r="C1231" s="327">
        <v>2363.806</v>
      </c>
      <c r="D1231" s="183">
        <f>C1231*$H$1195</f>
        <v>617.18172323759791</v>
      </c>
    </row>
    <row r="1232" spans="2:6">
      <c r="B1232" s="73">
        <v>2020</v>
      </c>
      <c r="C1232" s="327">
        <v>592.64599999999996</v>
      </c>
      <c r="D1232" s="183">
        <f t="shared" ref="D1232:D1237" si="35">C1232*$H$1195</f>
        <v>154.73785900783287</v>
      </c>
    </row>
    <row r="1233" spans="1:13">
      <c r="B1233" s="73">
        <v>2021</v>
      </c>
      <c r="C1233" s="327">
        <v>191.57599999999999</v>
      </c>
      <c r="D1233" s="183">
        <f t="shared" si="35"/>
        <v>50.019843342036545</v>
      </c>
    </row>
    <row r="1234" spans="1:13">
      <c r="B1234" s="73">
        <v>2022</v>
      </c>
      <c r="C1234" s="327">
        <v>1355.105</v>
      </c>
      <c r="D1234" s="183">
        <f t="shared" si="35"/>
        <v>353.81331592689293</v>
      </c>
    </row>
    <row r="1235" spans="1:13">
      <c r="B1235" s="73">
        <v>2023</v>
      </c>
      <c r="C1235" s="327">
        <v>1590.27</v>
      </c>
      <c r="D1235" s="183">
        <f t="shared" si="35"/>
        <v>415.21409921671011</v>
      </c>
    </row>
    <row r="1236" spans="1:13">
      <c r="B1236" s="73">
        <v>2024</v>
      </c>
      <c r="C1236" s="327">
        <v>2795.2489999999998</v>
      </c>
      <c r="D1236" s="183">
        <f t="shared" si="35"/>
        <v>729.83002610966048</v>
      </c>
    </row>
    <row r="1237" spans="1:13">
      <c r="B1237" s="73" t="s">
        <v>302</v>
      </c>
      <c r="C1237" s="327">
        <v>7661.74</v>
      </c>
      <c r="D1237" s="183">
        <f t="shared" si="35"/>
        <v>2000.4543080939945</v>
      </c>
    </row>
    <row r="1238" spans="1:13" ht="13.5" thickBot="1">
      <c r="B1238" s="74"/>
      <c r="C1238" s="328"/>
      <c r="D1238" s="125"/>
      <c r="E1238" s="113"/>
      <c r="F1238" s="113"/>
    </row>
    <row r="1239" spans="1:13">
      <c r="B1239" s="69" t="s">
        <v>329</v>
      </c>
      <c r="C1239" s="182">
        <f>SUM(C1231:C1238)</f>
        <v>16550.392</v>
      </c>
      <c r="D1239" s="182">
        <f>SUM(D1231:D1238)</f>
        <v>4321.251174934725</v>
      </c>
      <c r="E1239" s="96"/>
    </row>
    <row r="1240" spans="1:13">
      <c r="B1240" s="90" t="s">
        <v>36</v>
      </c>
      <c r="C1240" s="121">
        <v>0</v>
      </c>
      <c r="L1240" s="31"/>
    </row>
    <row r="1241" spans="1:13">
      <c r="B1241" s="90"/>
      <c r="C1241" s="121"/>
      <c r="L1241" s="31"/>
    </row>
    <row r="1243" spans="1:13">
      <c r="A1243" s="31"/>
      <c r="B1243" s="30"/>
      <c r="C1243" s="508" t="s">
        <v>330</v>
      </c>
      <c r="D1243" s="508"/>
      <c r="E1243" s="114" t="s">
        <v>181</v>
      </c>
      <c r="F1243" s="31"/>
      <c r="G1243" s="69" t="s">
        <v>331</v>
      </c>
      <c r="H1243" s="172" t="e">
        <v>#REF!</v>
      </c>
      <c r="I1243" s="31"/>
      <c r="J1243" s="31"/>
      <c r="K1243" s="31"/>
    </row>
    <row r="1244" spans="1:13">
      <c r="A1244" s="31"/>
      <c r="B1244" s="108"/>
      <c r="C1244" s="139" t="s">
        <v>4</v>
      </c>
      <c r="D1244" s="139" t="s">
        <v>5</v>
      </c>
      <c r="E1244" s="138"/>
      <c r="F1244" s="31"/>
      <c r="G1244" s="69" t="s">
        <v>332</v>
      </c>
      <c r="H1244" s="172">
        <v>0.2555001885939025</v>
      </c>
      <c r="I1244" s="31"/>
      <c r="J1244" s="31"/>
      <c r="K1244" s="31"/>
    </row>
    <row r="1245" spans="1:13">
      <c r="B1245" s="108" t="s">
        <v>9</v>
      </c>
      <c r="C1245" s="108"/>
      <c r="D1245" s="95"/>
      <c r="E1245" s="88"/>
      <c r="F1245" s="31"/>
    </row>
    <row r="1246" spans="1:13">
      <c r="B1246" s="87" t="s">
        <v>11</v>
      </c>
      <c r="C1246" s="173">
        <v>5.4560000000000004</v>
      </c>
      <c r="D1246" s="173" t="e">
        <f>C1246*$H$1243</f>
        <v>#REF!</v>
      </c>
      <c r="E1246" s="88"/>
      <c r="F1246" s="31"/>
    </row>
    <row r="1247" spans="1:13">
      <c r="B1247" s="87" t="s">
        <v>13</v>
      </c>
      <c r="C1247" s="173">
        <v>199.67400000000001</v>
      </c>
      <c r="D1247" s="173" t="e">
        <f>C1247*$H$1243</f>
        <v>#REF!</v>
      </c>
      <c r="E1247" s="88"/>
      <c r="F1247" s="31"/>
      <c r="G1247" s="169" t="s">
        <v>333</v>
      </c>
      <c r="H1247" s="169" t="s">
        <v>334</v>
      </c>
      <c r="J1247" s="338" t="s">
        <v>335</v>
      </c>
      <c r="K1247" s="338"/>
    </row>
    <row r="1248" spans="1:13">
      <c r="B1248" s="87"/>
      <c r="C1248" s="173"/>
      <c r="D1248" s="173"/>
      <c r="E1248" s="88"/>
      <c r="F1248" s="31"/>
      <c r="G1248" s="167" t="s">
        <v>10</v>
      </c>
      <c r="H1248" s="332">
        <f>H1250+H1249</f>
        <v>4.181</v>
      </c>
      <c r="J1248" s="32" t="s">
        <v>10</v>
      </c>
      <c r="K1248" s="349">
        <v>16292.933999999999</v>
      </c>
      <c r="M1248" s="31"/>
    </row>
    <row r="1249" spans="2:13">
      <c r="B1249" s="108" t="s">
        <v>19</v>
      </c>
      <c r="C1249" s="174"/>
      <c r="D1249" s="173"/>
      <c r="E1249" s="88"/>
      <c r="F1249" s="31"/>
      <c r="G1249" s="167" t="s">
        <v>12</v>
      </c>
      <c r="H1249" s="334">
        <v>1.694</v>
      </c>
      <c r="J1249" s="32" t="s">
        <v>12</v>
      </c>
      <c r="K1249" s="350">
        <f>+C1260</f>
        <v>6601.8609999999999</v>
      </c>
      <c r="M1249" s="31"/>
    </row>
    <row r="1250" spans="2:13">
      <c r="B1250" s="87" t="s">
        <v>20</v>
      </c>
      <c r="C1250" s="173">
        <v>1946.665</v>
      </c>
      <c r="D1250" s="173" t="e">
        <f t="shared" ref="D1250:D1255" si="36">C1250*$H$1243</f>
        <v>#REF!</v>
      </c>
      <c r="E1250" s="88"/>
      <c r="F1250" s="31"/>
      <c r="G1250" s="167" t="s">
        <v>14</v>
      </c>
      <c r="H1250" s="334">
        <v>2.4870000000000001</v>
      </c>
      <c r="J1250" s="69" t="s">
        <v>14</v>
      </c>
      <c r="K1250" s="351">
        <f>K1248-K1249</f>
        <v>9691.0730000000003</v>
      </c>
    </row>
    <row r="1251" spans="2:13">
      <c r="B1251" s="87" t="s">
        <v>21</v>
      </c>
      <c r="C1251" s="173">
        <v>12909.459000000001</v>
      </c>
      <c r="D1251" s="173" t="e">
        <f t="shared" si="36"/>
        <v>#REF!</v>
      </c>
      <c r="E1251" s="88"/>
      <c r="F1251" s="31"/>
      <c r="G1251" s="167" t="s">
        <v>336</v>
      </c>
      <c r="H1251" s="348">
        <f>+D1264/1000</f>
        <v>0.89712040857373532</v>
      </c>
      <c r="J1251" s="32" t="s">
        <v>337</v>
      </c>
      <c r="K1251" s="350">
        <f>+C1264</f>
        <v>3511.2318840579715</v>
      </c>
    </row>
    <row r="1252" spans="2:13">
      <c r="B1252" s="87" t="s">
        <v>22</v>
      </c>
      <c r="C1252" s="173">
        <v>302.92500000000001</v>
      </c>
      <c r="D1252" s="173" t="e">
        <f t="shared" si="36"/>
        <v>#REF!</v>
      </c>
      <c r="E1252" s="88"/>
      <c r="F1252" s="31"/>
      <c r="G1252" s="168" t="s">
        <v>18</v>
      </c>
      <c r="H1252" s="306">
        <f>H1250/H1251</f>
        <v>2.7722031248334829</v>
      </c>
      <c r="J1252" s="42" t="s">
        <v>18</v>
      </c>
      <c r="K1252" s="42">
        <f>K1250/K1251</f>
        <v>2.7600207904241048</v>
      </c>
    </row>
    <row r="1253" spans="2:13">
      <c r="B1253" s="87" t="s">
        <v>24</v>
      </c>
      <c r="C1253" s="173">
        <v>928.755</v>
      </c>
      <c r="D1253" s="173" t="e">
        <f t="shared" si="36"/>
        <v>#REF!</v>
      </c>
      <c r="E1253" s="88"/>
      <c r="F1253" s="31"/>
      <c r="J1253" s="32" t="s">
        <v>338</v>
      </c>
    </row>
    <row r="1254" spans="2:13">
      <c r="B1254" s="87" t="s">
        <v>23</v>
      </c>
      <c r="C1254" s="173">
        <v>0</v>
      </c>
      <c r="D1254" s="173" t="e">
        <f t="shared" si="36"/>
        <v>#REF!</v>
      </c>
      <c r="E1254" s="88"/>
      <c r="F1254" s="31"/>
    </row>
    <row r="1255" spans="2:13">
      <c r="B1255" s="87" t="s">
        <v>25</v>
      </c>
      <c r="C1255" s="173">
        <v>0</v>
      </c>
      <c r="D1255" s="173" t="e">
        <f t="shared" si="36"/>
        <v>#REF!</v>
      </c>
      <c r="E1255" s="88"/>
      <c r="F1255" s="31"/>
    </row>
    <row r="1256" spans="2:13">
      <c r="B1256" s="87"/>
      <c r="C1256" s="173"/>
      <c r="D1256" s="173"/>
      <c r="E1256" s="88"/>
      <c r="F1256" s="31"/>
    </row>
    <row r="1257" spans="2:13">
      <c r="B1257" s="87" t="s">
        <v>28</v>
      </c>
      <c r="C1257" s="173">
        <v>378.68899999999996</v>
      </c>
      <c r="D1257" s="173" t="e">
        <f>C1257*$H$1243</f>
        <v>#REF!</v>
      </c>
      <c r="E1257" s="88"/>
      <c r="F1257" s="31"/>
    </row>
    <row r="1258" spans="2:13">
      <c r="B1258" s="87" t="s">
        <v>29</v>
      </c>
      <c r="C1258" s="173">
        <v>496.553</v>
      </c>
      <c r="D1258" s="173" t="e">
        <f>C1258*$H$1243</f>
        <v>#REF!</v>
      </c>
      <c r="E1258" s="88"/>
      <c r="F1258" s="31"/>
      <c r="H1258" s="110"/>
    </row>
    <row r="1259" spans="2:13">
      <c r="B1259" s="41" t="s">
        <v>30</v>
      </c>
      <c r="C1259" s="131">
        <f>SUM(C1245:C1258)</f>
        <v>17168.175999999999</v>
      </c>
      <c r="D1259" s="131" t="e">
        <f>SUM(D1245:D1258)</f>
        <v>#REF!</v>
      </c>
      <c r="E1259" s="42">
        <f>+C1259/C1264</f>
        <v>4.8895021937880498</v>
      </c>
      <c r="F1259" s="31"/>
      <c r="G1259" s="110"/>
    </row>
    <row r="1260" spans="2:13">
      <c r="B1260" s="40" t="s">
        <v>31</v>
      </c>
      <c r="C1260" s="175">
        <v>6601.8609999999999</v>
      </c>
      <c r="D1260" s="352" t="e">
        <f>C1260*$H$1243</f>
        <v>#REF!</v>
      </c>
      <c r="E1260" s="43"/>
      <c r="F1260" s="31"/>
      <c r="H1260" s="85"/>
    </row>
    <row r="1261" spans="2:13">
      <c r="B1261" s="41" t="s">
        <v>32</v>
      </c>
      <c r="C1261" s="176">
        <f>+C1259-C1260</f>
        <v>10566.314999999999</v>
      </c>
      <c r="D1261" s="131" t="e">
        <f>+D1259-D1260</f>
        <v>#REF!</v>
      </c>
      <c r="E1261" s="42">
        <f>+C1261/C1264</f>
        <v>3.0092900010318844</v>
      </c>
      <c r="F1261" s="31"/>
    </row>
    <row r="1262" spans="2:13">
      <c r="B1262" s="71" t="s">
        <v>33</v>
      </c>
      <c r="C1262" s="177">
        <v>4132.4669999999996</v>
      </c>
      <c r="D1262" s="177" t="e">
        <f>C1262*$H$1243</f>
        <v>#REF!</v>
      </c>
      <c r="E1262" s="72"/>
      <c r="F1262" s="31"/>
    </row>
    <row r="1263" spans="2:13">
      <c r="B1263" s="71" t="s">
        <v>34</v>
      </c>
      <c r="C1263" s="178">
        <f>C1259+C1262</f>
        <v>21300.643</v>
      </c>
      <c r="D1263" s="178" t="e">
        <f>D1259+D1262</f>
        <v>#REF!</v>
      </c>
      <c r="E1263" s="72"/>
      <c r="F1263" s="31"/>
    </row>
    <row r="1264" spans="2:13">
      <c r="B1264" s="300" t="s">
        <v>339</v>
      </c>
      <c r="C1264" s="303">
        <v>3511.2318840579715</v>
      </c>
      <c r="D1264" s="179">
        <f>C1264*H1244</f>
        <v>897.12040857373529</v>
      </c>
      <c r="E1264" s="40"/>
      <c r="F1264" s="40"/>
    </row>
    <row r="1266" spans="2:6">
      <c r="B1266" s="109"/>
      <c r="C1266" s="353">
        <v>0</v>
      </c>
      <c r="D1266" s="134"/>
      <c r="F1266" s="110"/>
    </row>
    <row r="1267" spans="2:6">
      <c r="B1267" s="109"/>
      <c r="C1267" s="109"/>
      <c r="D1267" s="134"/>
    </row>
    <row r="1268" spans="2:6">
      <c r="B1268" s="41" t="s">
        <v>37</v>
      </c>
      <c r="C1268" s="142">
        <v>14267.914999999999</v>
      </c>
      <c r="D1268" s="135"/>
    </row>
    <row r="1269" spans="2:6">
      <c r="B1269" s="41" t="s">
        <v>38</v>
      </c>
      <c r="C1269" s="136">
        <f>C1268/C1264</f>
        <v>4.0635069033123505</v>
      </c>
      <c r="D1269" s="136"/>
    </row>
    <row r="1271" spans="2:6" ht="13.5" thickBot="1"/>
    <row r="1272" spans="2:6">
      <c r="B1272" s="81" t="s">
        <v>340</v>
      </c>
      <c r="C1272" s="124" t="s">
        <v>194</v>
      </c>
      <c r="D1272" s="82" t="s">
        <v>170</v>
      </c>
      <c r="E1272" s="111"/>
      <c r="F1272" s="111"/>
    </row>
    <row r="1273" spans="2:6">
      <c r="B1273" s="83" t="s">
        <v>184</v>
      </c>
      <c r="C1273" s="329"/>
      <c r="D1273" s="115">
        <f>C1273*$H$1336</f>
        <v>0</v>
      </c>
      <c r="E1273" s="112"/>
      <c r="F1273" s="112"/>
    </row>
    <row r="1274" spans="2:6">
      <c r="B1274" s="83" t="s">
        <v>40</v>
      </c>
      <c r="C1274" s="327">
        <f>C1260</f>
        <v>6601.8609999999999</v>
      </c>
      <c r="D1274" s="180" t="e">
        <f>C1274*$H$1243</f>
        <v>#REF!</v>
      </c>
      <c r="E1274" s="112"/>
      <c r="F1274" s="112"/>
    </row>
    <row r="1275" spans="2:6" ht="13.5" thickBot="1">
      <c r="B1275" s="84" t="s">
        <v>41</v>
      </c>
      <c r="C1275" s="330">
        <f>SUM(C1273:C1274)</f>
        <v>6601.8609999999999</v>
      </c>
      <c r="D1275" s="184" t="e">
        <f>SUM(D1273:D1274)</f>
        <v>#REF!</v>
      </c>
      <c r="E1275" s="112"/>
      <c r="F1275" s="112"/>
    </row>
    <row r="1277" spans="2:6" ht="13.5" thickBot="1"/>
    <row r="1278" spans="2:6">
      <c r="B1278" s="81" t="s">
        <v>341</v>
      </c>
      <c r="C1278" s="124" t="s">
        <v>194</v>
      </c>
      <c r="D1278" s="124" t="s">
        <v>170</v>
      </c>
      <c r="E1278" s="69"/>
      <c r="F1278" s="69"/>
    </row>
    <row r="1279" spans="2:6">
      <c r="B1279" s="73">
        <v>2019</v>
      </c>
      <c r="C1279" s="327">
        <v>4090.8510000000001</v>
      </c>
      <c r="D1279" s="183" t="e">
        <f t="shared" ref="D1279:D1285" si="37">C1279*$H$1243</f>
        <v>#REF!</v>
      </c>
    </row>
    <row r="1280" spans="2:6">
      <c r="B1280" s="73">
        <v>2020</v>
      </c>
      <c r="C1280" s="327">
        <v>378.41399999999999</v>
      </c>
      <c r="D1280" s="183" t="e">
        <f t="shared" si="37"/>
        <v>#REF!</v>
      </c>
    </row>
    <row r="1281" spans="1:12">
      <c r="B1281" s="73">
        <v>2021</v>
      </c>
      <c r="C1281" s="327">
        <v>179.33600000000001</v>
      </c>
      <c r="D1281" s="183" t="e">
        <f t="shared" si="37"/>
        <v>#REF!</v>
      </c>
    </row>
    <row r="1282" spans="1:12">
      <c r="B1282" s="73">
        <v>2022</v>
      </c>
      <c r="C1282" s="327">
        <v>1038.556</v>
      </c>
      <c r="D1282" s="183" t="e">
        <f t="shared" si="37"/>
        <v>#REF!</v>
      </c>
    </row>
    <row r="1283" spans="1:12">
      <c r="B1283" s="73">
        <v>2023</v>
      </c>
      <c r="C1283" s="327">
        <v>3843.2049999999999</v>
      </c>
      <c r="D1283" s="183" t="e">
        <f t="shared" si="37"/>
        <v>#REF!</v>
      </c>
    </row>
    <row r="1284" spans="1:12">
      <c r="B1284" s="73">
        <v>2024</v>
      </c>
      <c r="C1284" s="327">
        <v>2854.1979999999999</v>
      </c>
      <c r="D1284" s="183" t="e">
        <f t="shared" si="37"/>
        <v>#REF!</v>
      </c>
    </row>
    <row r="1285" spans="1:12">
      <c r="B1285" s="73" t="s">
        <v>302</v>
      </c>
      <c r="C1285" s="327">
        <v>3908.3739999999998</v>
      </c>
      <c r="D1285" s="183" t="e">
        <f t="shared" si="37"/>
        <v>#REF!</v>
      </c>
    </row>
    <row r="1286" spans="1:12" ht="13.5" thickBot="1">
      <c r="B1286" s="74"/>
      <c r="C1286" s="328"/>
      <c r="D1286" s="125"/>
      <c r="E1286" s="113"/>
      <c r="F1286" s="113"/>
    </row>
    <row r="1287" spans="1:12">
      <c r="B1287" s="69" t="s">
        <v>329</v>
      </c>
      <c r="C1287" s="182">
        <f>SUM(C1279:C1286)</f>
        <v>16292.934000000001</v>
      </c>
      <c r="D1287" s="182" t="e">
        <f>SUM(D1279:D1286)</f>
        <v>#REF!</v>
      </c>
      <c r="E1287" s="96"/>
    </row>
    <row r="1288" spans="1:12">
      <c r="B1288" s="90" t="s">
        <v>36</v>
      </c>
      <c r="C1288" s="121">
        <v>0</v>
      </c>
    </row>
    <row r="1289" spans="1:12">
      <c r="B1289" s="90"/>
      <c r="C1289" s="121"/>
    </row>
    <row r="1290" spans="1:12">
      <c r="A1290" s="31"/>
      <c r="B1290" s="30"/>
      <c r="C1290" s="508" t="s">
        <v>342</v>
      </c>
      <c r="D1290" s="508"/>
      <c r="E1290" s="114" t="s">
        <v>181</v>
      </c>
      <c r="F1290" s="31"/>
      <c r="G1290" s="69" t="s">
        <v>343</v>
      </c>
      <c r="H1290" s="172">
        <v>0.25839793281653745</v>
      </c>
      <c r="I1290" s="31"/>
      <c r="J1290" s="31"/>
      <c r="K1290" s="31"/>
      <c r="L1290" s="31"/>
    </row>
    <row r="1291" spans="1:12">
      <c r="A1291" s="31"/>
      <c r="B1291" s="108"/>
      <c r="C1291" s="139" t="s">
        <v>4</v>
      </c>
      <c r="D1291" s="139" t="s">
        <v>5</v>
      </c>
      <c r="E1291" s="138"/>
      <c r="F1291" s="31"/>
      <c r="G1291" s="69" t="s">
        <v>344</v>
      </c>
      <c r="H1291" s="172">
        <v>0.27397260273972601</v>
      </c>
      <c r="I1291" s="31"/>
      <c r="J1291" s="31"/>
      <c r="K1291" s="31"/>
      <c r="L1291" s="31"/>
    </row>
    <row r="1292" spans="1:12">
      <c r="B1292" s="108" t="s">
        <v>9</v>
      </c>
      <c r="C1292" s="108"/>
      <c r="D1292" s="95"/>
      <c r="E1292" s="88"/>
      <c r="F1292" s="31"/>
    </row>
    <row r="1293" spans="1:12">
      <c r="B1293" s="87" t="s">
        <v>11</v>
      </c>
      <c r="C1293" s="173">
        <v>6.9420000000000002</v>
      </c>
      <c r="D1293" s="173">
        <f>C1293*$H$1290</f>
        <v>1.7937984496124031</v>
      </c>
      <c r="E1293" s="88"/>
      <c r="F1293" s="31"/>
    </row>
    <row r="1294" spans="1:12">
      <c r="B1294" s="87" t="s">
        <v>13</v>
      </c>
      <c r="C1294" s="173">
        <v>203.49600000000001</v>
      </c>
      <c r="D1294" s="173">
        <f t="shared" ref="D1294:D1304" si="38">C1294*$H$1290</f>
        <v>52.582945736434105</v>
      </c>
      <c r="E1294" s="88"/>
      <c r="F1294" s="31"/>
      <c r="G1294" s="169" t="s">
        <v>345</v>
      </c>
      <c r="H1294" s="169" t="s">
        <v>334</v>
      </c>
      <c r="J1294" s="338" t="s">
        <v>335</v>
      </c>
      <c r="K1294" s="338"/>
    </row>
    <row r="1295" spans="1:12">
      <c r="B1295" s="87"/>
      <c r="C1295" s="173"/>
      <c r="D1295" s="173">
        <f t="shared" si="38"/>
        <v>0</v>
      </c>
      <c r="E1295" s="88"/>
      <c r="F1295" s="31"/>
      <c r="G1295" s="167" t="s">
        <v>10</v>
      </c>
      <c r="H1295" s="332">
        <f>H1297+H1296</f>
        <v>3.9750000000000001</v>
      </c>
      <c r="J1295" s="32" t="s">
        <v>10</v>
      </c>
      <c r="K1295" s="336">
        <v>15233.35</v>
      </c>
    </row>
    <row r="1296" spans="1:12">
      <c r="B1296" s="108" t="s">
        <v>19</v>
      </c>
      <c r="C1296" s="174"/>
      <c r="D1296" s="173">
        <f t="shared" si="38"/>
        <v>0</v>
      </c>
      <c r="E1296" s="88"/>
      <c r="F1296" s="31"/>
      <c r="G1296" s="167" t="s">
        <v>12</v>
      </c>
      <c r="H1296" s="334">
        <v>1.9</v>
      </c>
      <c r="J1296" s="32" t="s">
        <v>12</v>
      </c>
      <c r="K1296" s="336">
        <v>7191.7060000000001</v>
      </c>
    </row>
    <row r="1297" spans="2:11">
      <c r="B1297" s="87" t="s">
        <v>20</v>
      </c>
      <c r="C1297" s="173">
        <v>1386.0029999999999</v>
      </c>
      <c r="D1297" s="173">
        <f t="shared" si="38"/>
        <v>358.1403100775193</v>
      </c>
      <c r="E1297" s="88"/>
      <c r="F1297" s="31"/>
      <c r="G1297" s="167" t="s">
        <v>14</v>
      </c>
      <c r="H1297" s="334">
        <v>2.0750000000000002</v>
      </c>
      <c r="J1297" s="69" t="s">
        <v>14</v>
      </c>
      <c r="K1297" s="337">
        <f>K1295-K1296</f>
        <v>8041.6440000000002</v>
      </c>
    </row>
    <row r="1298" spans="2:11">
      <c r="B1298" s="87" t="s">
        <v>21</v>
      </c>
      <c r="C1298" s="173">
        <v>12829.328</v>
      </c>
      <c r="D1298" s="173">
        <f t="shared" si="38"/>
        <v>3315.0718346253225</v>
      </c>
      <c r="E1298" s="88"/>
      <c r="F1298" s="31"/>
      <c r="G1298" s="167" t="s">
        <v>336</v>
      </c>
      <c r="H1298" s="335">
        <f>(3378/1000)*H1291</f>
        <v>0.92547945205479454</v>
      </c>
      <c r="J1298" s="32" t="s">
        <v>337</v>
      </c>
      <c r="K1298" s="336">
        <v>6943.3950000000004</v>
      </c>
    </row>
    <row r="1299" spans="2:11">
      <c r="B1299" s="87" t="s">
        <v>22</v>
      </c>
      <c r="C1299" s="173">
        <v>291.75700000000001</v>
      </c>
      <c r="D1299" s="173">
        <f t="shared" si="38"/>
        <v>75.389405684754522</v>
      </c>
      <c r="E1299" s="88"/>
      <c r="F1299" s="31"/>
      <c r="G1299" s="168" t="s">
        <v>18</v>
      </c>
      <c r="H1299" s="306">
        <f>H1297/H1298</f>
        <v>2.2420811130846658</v>
      </c>
      <c r="J1299" s="42" t="s">
        <v>18</v>
      </c>
      <c r="K1299" s="42">
        <f>K1297/K1298</f>
        <v>1.1581717589162073</v>
      </c>
    </row>
    <row r="1300" spans="2:11">
      <c r="B1300" s="87" t="s">
        <v>24</v>
      </c>
      <c r="C1300" s="173">
        <v>515.82399999999996</v>
      </c>
      <c r="D1300" s="173">
        <f t="shared" si="38"/>
        <v>133.28785529715759</v>
      </c>
      <c r="E1300" s="88"/>
      <c r="F1300" s="31"/>
      <c r="J1300" s="32" t="s">
        <v>338</v>
      </c>
    </row>
    <row r="1301" spans="2:11">
      <c r="B1301" s="87" t="s">
        <v>23</v>
      </c>
      <c r="C1301" s="173">
        <v>0</v>
      </c>
      <c r="D1301" s="173">
        <f t="shared" si="38"/>
        <v>0</v>
      </c>
      <c r="E1301" s="88"/>
      <c r="F1301" s="31"/>
    </row>
    <row r="1302" spans="2:11">
      <c r="B1302" s="87" t="s">
        <v>25</v>
      </c>
      <c r="C1302" s="173">
        <v>0</v>
      </c>
      <c r="D1302" s="173">
        <f t="shared" si="38"/>
        <v>0</v>
      </c>
      <c r="E1302" s="88"/>
      <c r="F1302" s="31"/>
    </row>
    <row r="1303" spans="2:11">
      <c r="B1303" s="87"/>
      <c r="C1303" s="173"/>
      <c r="D1303" s="173"/>
      <c r="E1303" s="88"/>
      <c r="F1303" s="31"/>
    </row>
    <row r="1304" spans="2:11">
      <c r="B1304" s="108" t="s">
        <v>28</v>
      </c>
      <c r="C1304" s="173">
        <v>487.46699999999998</v>
      </c>
      <c r="D1304" s="173">
        <f t="shared" si="38"/>
        <v>125.96046511627905</v>
      </c>
      <c r="E1304" s="88"/>
      <c r="F1304" s="31"/>
    </row>
    <row r="1305" spans="2:11">
      <c r="B1305" s="108"/>
      <c r="C1305" s="173"/>
      <c r="D1305" s="173"/>
      <c r="E1305" s="88"/>
      <c r="F1305" s="31"/>
    </row>
    <row r="1306" spans="2:11">
      <c r="B1306" s="41" t="s">
        <v>30</v>
      </c>
      <c r="C1306" s="131">
        <f>SUM(C1292:C1304)</f>
        <v>15720.817000000001</v>
      </c>
      <c r="D1306" s="131">
        <f>SUM(D1292:D1304)</f>
        <v>4062.2266149870793</v>
      </c>
      <c r="E1306" s="42">
        <f>+C1306/C1311</f>
        <v>6.0441434063821609</v>
      </c>
      <c r="F1306" s="31"/>
      <c r="G1306" s="110"/>
    </row>
    <row r="1307" spans="2:11">
      <c r="B1307" s="40" t="s">
        <v>31</v>
      </c>
      <c r="C1307" s="175">
        <v>7191.7060000000001</v>
      </c>
      <c r="D1307" s="173">
        <f>C1307*$H$1290</f>
        <v>1858.3219638242892</v>
      </c>
      <c r="E1307" s="43"/>
      <c r="F1307" s="31"/>
    </row>
    <row r="1308" spans="2:11">
      <c r="B1308" s="41" t="s">
        <v>32</v>
      </c>
      <c r="C1308" s="176">
        <f>+C1306-C1307</f>
        <v>8529.1110000000008</v>
      </c>
      <c r="D1308" s="131">
        <f>+D1306-D1307</f>
        <v>2203.9046511627903</v>
      </c>
      <c r="E1308" s="42">
        <f>+C1308/C1311</f>
        <v>3.2791660899653983</v>
      </c>
      <c r="F1308" s="31"/>
    </row>
    <row r="1309" spans="2:11">
      <c r="B1309" s="71" t="s">
        <v>33</v>
      </c>
      <c r="C1309" s="177">
        <v>4011.5569999999998</v>
      </c>
      <c r="D1309" s="177">
        <f>C1309*$H$1290</f>
        <v>1036.5780361757104</v>
      </c>
      <c r="E1309" s="72"/>
      <c r="F1309" s="31"/>
    </row>
    <row r="1310" spans="2:11">
      <c r="B1310" s="71" t="s">
        <v>34</v>
      </c>
      <c r="C1310" s="178">
        <f>C1306+C1309</f>
        <v>19732.374</v>
      </c>
      <c r="D1310" s="178">
        <f>D1306+D1309</f>
        <v>5098.8046511627899</v>
      </c>
      <c r="E1310" s="72"/>
      <c r="F1310" s="31"/>
    </row>
    <row r="1311" spans="2:11">
      <c r="B1311" s="300" t="s">
        <v>346</v>
      </c>
      <c r="C1311" s="303">
        <v>2601</v>
      </c>
      <c r="D1311" s="179">
        <f>C1311*H1291</f>
        <v>712.60273972602738</v>
      </c>
      <c r="E1311" s="40"/>
      <c r="F1311" s="40"/>
    </row>
    <row r="1313" spans="2:6">
      <c r="B1313" s="109"/>
      <c r="C1313" s="109"/>
      <c r="D1313" s="134"/>
      <c r="F1313" s="110"/>
    </row>
    <row r="1314" spans="2:6">
      <c r="B1314" s="109"/>
      <c r="C1314" s="109"/>
      <c r="D1314" s="134"/>
    </row>
    <row r="1315" spans="2:6">
      <c r="B1315" s="41" t="s">
        <v>37</v>
      </c>
      <c r="C1315" s="142">
        <v>11909.611000000001</v>
      </c>
      <c r="D1315" s="135"/>
    </row>
    <row r="1316" spans="2:6">
      <c r="B1316" s="41" t="s">
        <v>38</v>
      </c>
      <c r="C1316" s="136">
        <f>C1315/C1311</f>
        <v>4.5788585159554023</v>
      </c>
      <c r="D1316" s="136"/>
    </row>
    <row r="1318" spans="2:6" ht="13.5" thickBot="1"/>
    <row r="1319" spans="2:6">
      <c r="B1319" s="81" t="s">
        <v>347</v>
      </c>
      <c r="C1319" s="124" t="s">
        <v>194</v>
      </c>
      <c r="D1319" s="82" t="s">
        <v>170</v>
      </c>
      <c r="E1319" s="111"/>
      <c r="F1319" s="111"/>
    </row>
    <row r="1320" spans="2:6">
      <c r="B1320" s="83" t="s">
        <v>184</v>
      </c>
      <c r="C1320" s="329"/>
      <c r="D1320" s="115">
        <f>C1320*$H$1336</f>
        <v>0</v>
      </c>
      <c r="E1320" s="112"/>
      <c r="F1320" s="112"/>
    </row>
    <row r="1321" spans="2:6">
      <c r="B1321" s="83" t="s">
        <v>40</v>
      </c>
      <c r="C1321" s="327">
        <f>C1307</f>
        <v>7191.7060000000001</v>
      </c>
      <c r="D1321" s="180">
        <f>C1321*$H$1290</f>
        <v>1858.3219638242892</v>
      </c>
      <c r="E1321" s="112"/>
      <c r="F1321" s="112"/>
    </row>
    <row r="1322" spans="2:6" ht="13.5" thickBot="1">
      <c r="B1322" s="84" t="s">
        <v>41</v>
      </c>
      <c r="C1322" s="330">
        <f>SUM(C1320:C1321)</f>
        <v>7191.7060000000001</v>
      </c>
      <c r="D1322" s="184">
        <f>SUM(D1320:D1321)</f>
        <v>1858.3219638242892</v>
      </c>
      <c r="E1322" s="112"/>
      <c r="F1322" s="112"/>
    </row>
    <row r="1324" spans="2:6" ht="13.5" thickBot="1"/>
    <row r="1325" spans="2:6">
      <c r="B1325" s="81" t="s">
        <v>348</v>
      </c>
      <c r="C1325" s="124" t="s">
        <v>194</v>
      </c>
      <c r="D1325" s="124" t="s">
        <v>170</v>
      </c>
      <c r="E1325" s="69"/>
      <c r="F1325" s="69"/>
    </row>
    <row r="1326" spans="2:6">
      <c r="B1326" s="73">
        <v>2019</v>
      </c>
      <c r="C1326" s="327">
        <v>3665.4630000000002</v>
      </c>
      <c r="D1326" s="183">
        <f t="shared" ref="D1326:D1332" si="39">C1326*$H$1290</f>
        <v>947.1480620155038</v>
      </c>
    </row>
    <row r="1327" spans="2:6">
      <c r="B1327" s="73">
        <v>2020</v>
      </c>
      <c r="C1327" s="327">
        <v>201.36099999999999</v>
      </c>
      <c r="D1327" s="183">
        <f t="shared" si="39"/>
        <v>52.031266149870795</v>
      </c>
    </row>
    <row r="1328" spans="2:6">
      <c r="B1328" s="73">
        <v>2021</v>
      </c>
      <c r="C1328" s="327">
        <v>178.34399999999999</v>
      </c>
      <c r="D1328" s="183">
        <f t="shared" si="39"/>
        <v>46.083720930232552</v>
      </c>
    </row>
    <row r="1329" spans="1:12">
      <c r="B1329" s="73">
        <v>2022</v>
      </c>
      <c r="C1329" s="327">
        <v>650.47500000000002</v>
      </c>
      <c r="D1329" s="183">
        <f t="shared" si="39"/>
        <v>168.08139534883719</v>
      </c>
    </row>
    <row r="1330" spans="1:12">
      <c r="B1330" s="73">
        <v>2023</v>
      </c>
      <c r="C1330" s="327">
        <v>3815.45</v>
      </c>
      <c r="D1330" s="183">
        <f t="shared" si="39"/>
        <v>985.90439276485779</v>
      </c>
    </row>
    <row r="1331" spans="1:12">
      <c r="B1331" s="73">
        <v>2024</v>
      </c>
      <c r="C1331" s="327">
        <v>2838.4549999999999</v>
      </c>
      <c r="D1331" s="183">
        <f t="shared" si="39"/>
        <v>733.45090439276476</v>
      </c>
    </row>
    <row r="1332" spans="1:12">
      <c r="B1332" s="73" t="s">
        <v>302</v>
      </c>
      <c r="C1332" s="327">
        <v>3883.8020000000001</v>
      </c>
      <c r="D1332" s="183">
        <f t="shared" si="39"/>
        <v>1003.5664082687338</v>
      </c>
    </row>
    <row r="1333" spans="1:12" ht="13.5" thickBot="1">
      <c r="B1333" s="74"/>
      <c r="C1333" s="328"/>
      <c r="D1333" s="125"/>
      <c r="E1333" s="113"/>
      <c r="F1333" s="113"/>
    </row>
    <row r="1334" spans="1:12">
      <c r="B1334" s="69" t="s">
        <v>329</v>
      </c>
      <c r="C1334" s="182">
        <f>SUM(C1326:C1333)</f>
        <v>15233.35</v>
      </c>
      <c r="D1334" s="182">
        <f>SUM(D1326:D1333)</f>
        <v>3936.2661498708003</v>
      </c>
      <c r="E1334" s="96"/>
    </row>
    <row r="1335" spans="1:12">
      <c r="B1335" s="90" t="s">
        <v>36</v>
      </c>
      <c r="C1335" s="121">
        <v>0</v>
      </c>
    </row>
    <row r="1336" spans="1:12">
      <c r="G1336" s="69" t="s">
        <v>349</v>
      </c>
      <c r="H1336" s="172">
        <f>1/4</f>
        <v>0.25</v>
      </c>
    </row>
    <row r="1337" spans="1:12">
      <c r="A1337" s="31"/>
      <c r="B1337" s="30"/>
      <c r="C1337" s="508" t="s">
        <v>350</v>
      </c>
      <c r="D1337" s="508"/>
      <c r="E1337" s="114" t="s">
        <v>181</v>
      </c>
      <c r="F1337" s="31"/>
      <c r="G1337" s="31"/>
      <c r="H1337" s="31"/>
      <c r="I1337" s="31"/>
      <c r="J1337" s="31"/>
      <c r="K1337" s="31"/>
    </row>
    <row r="1338" spans="1:12">
      <c r="A1338" s="31"/>
      <c r="B1338" s="108"/>
      <c r="C1338" s="139" t="s">
        <v>4</v>
      </c>
      <c r="D1338" s="139" t="s">
        <v>5</v>
      </c>
      <c r="E1338" s="138"/>
      <c r="F1338" s="31"/>
      <c r="G1338" s="31"/>
      <c r="H1338" s="31"/>
      <c r="I1338" s="31"/>
      <c r="J1338" s="31"/>
      <c r="K1338" s="31"/>
    </row>
    <row r="1339" spans="1:12">
      <c r="B1339" s="108" t="s">
        <v>9</v>
      </c>
      <c r="C1339" s="108"/>
      <c r="D1339" s="95"/>
      <c r="E1339" s="88"/>
      <c r="F1339" s="31"/>
    </row>
    <row r="1340" spans="1:12">
      <c r="B1340" s="87" t="s">
        <v>11</v>
      </c>
      <c r="C1340" s="173">
        <v>8.4250000000000007</v>
      </c>
      <c r="D1340" s="173">
        <f>C1340*$H$1336</f>
        <v>2.1062500000000002</v>
      </c>
      <c r="E1340" s="88"/>
      <c r="F1340" s="31"/>
    </row>
    <row r="1341" spans="1:12">
      <c r="B1341" s="87" t="s">
        <v>13</v>
      </c>
      <c r="C1341" s="173">
        <v>199.25299999999999</v>
      </c>
      <c r="D1341" s="173">
        <f>C1341*$H$1336</f>
        <v>49.813249999999996</v>
      </c>
      <c r="E1341" s="88"/>
      <c r="F1341" s="31"/>
      <c r="G1341" s="169" t="s">
        <v>351</v>
      </c>
      <c r="H1341" s="331" t="s">
        <v>4</v>
      </c>
      <c r="L1341" s="31"/>
    </row>
    <row r="1342" spans="1:12">
      <c r="B1342" s="87"/>
      <c r="C1342" s="173"/>
      <c r="D1342" s="173"/>
      <c r="E1342" s="88"/>
      <c r="F1342" s="31"/>
      <c r="G1342" s="167" t="s">
        <v>10</v>
      </c>
      <c r="H1342" s="170">
        <v>23236</v>
      </c>
      <c r="L1342" s="31"/>
    </row>
    <row r="1343" spans="1:12">
      <c r="B1343" s="108" t="s">
        <v>19</v>
      </c>
      <c r="C1343" s="174"/>
      <c r="D1343" s="174"/>
      <c r="E1343" s="88"/>
      <c r="F1343" s="31"/>
      <c r="G1343" s="167" t="s">
        <v>12</v>
      </c>
      <c r="H1343" s="170">
        <v>6313</v>
      </c>
    </row>
    <row r="1344" spans="1:12">
      <c r="B1344" s="87" t="s">
        <v>20</v>
      </c>
      <c r="C1344" s="173">
        <v>1066.4839999999999</v>
      </c>
      <c r="D1344" s="173">
        <f t="shared" ref="D1344:D1349" si="40">C1344*$H$1336</f>
        <v>266.62099999999998</v>
      </c>
      <c r="E1344" s="88"/>
      <c r="F1344" s="31"/>
      <c r="G1344" s="167" t="s">
        <v>14</v>
      </c>
      <c r="H1344" s="170">
        <f>H1342-H1343</f>
        <v>16923</v>
      </c>
    </row>
    <row r="1345" spans="2:8">
      <c r="B1345" s="87" t="s">
        <v>21</v>
      </c>
      <c r="C1345" s="173">
        <v>13286.273999999999</v>
      </c>
      <c r="D1345" s="173">
        <f t="shared" si="40"/>
        <v>3321.5684999999999</v>
      </c>
      <c r="E1345" s="88"/>
      <c r="F1345" s="31"/>
      <c r="G1345" s="167" t="s">
        <v>336</v>
      </c>
      <c r="H1345" s="170">
        <v>3225</v>
      </c>
    </row>
    <row r="1346" spans="2:8">
      <c r="B1346" s="87" t="s">
        <v>22</v>
      </c>
      <c r="C1346" s="173">
        <v>4225.0910000000003</v>
      </c>
      <c r="D1346" s="173">
        <f t="shared" si="40"/>
        <v>1056.2727500000001</v>
      </c>
      <c r="E1346" s="88"/>
      <c r="F1346" s="31"/>
      <c r="G1346" s="168" t="s">
        <v>18</v>
      </c>
      <c r="H1346" s="306">
        <f>H1344/H1345</f>
        <v>5.2474418604651163</v>
      </c>
    </row>
    <row r="1347" spans="2:8">
      <c r="B1347" s="87" t="s">
        <v>24</v>
      </c>
      <c r="C1347" s="173">
        <v>512.08799999999997</v>
      </c>
      <c r="D1347" s="173">
        <f t="shared" si="40"/>
        <v>128.02199999999999</v>
      </c>
      <c r="E1347" s="88"/>
      <c r="F1347" s="31"/>
    </row>
    <row r="1348" spans="2:8">
      <c r="B1348" s="87" t="s">
        <v>23</v>
      </c>
      <c r="C1348" s="173">
        <v>40.335999999999999</v>
      </c>
      <c r="D1348" s="173">
        <f t="shared" si="40"/>
        <v>10.084</v>
      </c>
      <c r="E1348" s="88"/>
      <c r="F1348" s="31"/>
    </row>
    <row r="1349" spans="2:8">
      <c r="B1349" s="87" t="s">
        <v>25</v>
      </c>
      <c r="C1349" s="173">
        <v>0</v>
      </c>
      <c r="D1349" s="173">
        <f t="shared" si="40"/>
        <v>0</v>
      </c>
      <c r="E1349" s="88"/>
      <c r="F1349" s="31"/>
    </row>
    <row r="1350" spans="2:8">
      <c r="B1350" s="87"/>
      <c r="C1350" s="173"/>
      <c r="D1350" s="173"/>
      <c r="E1350" s="88"/>
      <c r="F1350" s="31"/>
    </row>
    <row r="1351" spans="2:8">
      <c r="B1351" s="108" t="s">
        <v>28</v>
      </c>
      <c r="C1351" s="173">
        <v>542.05200000000002</v>
      </c>
      <c r="D1351" s="173">
        <f>C1351*$H$1336</f>
        <v>135.51300000000001</v>
      </c>
      <c r="E1351" s="88"/>
      <c r="F1351" s="31"/>
    </row>
    <row r="1352" spans="2:8">
      <c r="B1352" s="108"/>
      <c r="C1352" s="173"/>
      <c r="D1352" s="173"/>
      <c r="E1352" s="88"/>
      <c r="F1352" s="31"/>
    </row>
    <row r="1353" spans="2:8">
      <c r="B1353" s="41" t="s">
        <v>30</v>
      </c>
      <c r="C1353" s="131">
        <f>SUM(C1339:C1351)</f>
        <v>19880.003000000001</v>
      </c>
      <c r="D1353" s="131">
        <f>SUM(D1339:D1351)</f>
        <v>4970.0007500000002</v>
      </c>
      <c r="E1353" s="42">
        <f>+C1353/C1358</f>
        <v>6.8492689061154186</v>
      </c>
      <c r="F1353" s="31"/>
      <c r="G1353" s="110"/>
    </row>
    <row r="1354" spans="2:8">
      <c r="B1354" s="40" t="s">
        <v>31</v>
      </c>
      <c r="C1354" s="175">
        <v>5634.1349999999993</v>
      </c>
      <c r="D1354" s="173">
        <f>C1354*$H$1336</f>
        <v>1408.5337499999998</v>
      </c>
      <c r="E1354" s="43"/>
      <c r="F1354" s="31"/>
    </row>
    <row r="1355" spans="2:8">
      <c r="B1355" s="41" t="s">
        <v>32</v>
      </c>
      <c r="C1355" s="176">
        <f>+C1353-C1354</f>
        <v>14245.868000000002</v>
      </c>
      <c r="D1355" s="131">
        <f>+D1353-D1354</f>
        <v>3561.4670000000006</v>
      </c>
      <c r="E1355" s="42">
        <f>+C1355/C1358</f>
        <v>4.9081371231696824</v>
      </c>
      <c r="F1355" s="31"/>
    </row>
    <row r="1356" spans="2:8">
      <c r="B1356" s="71" t="s">
        <v>33</v>
      </c>
      <c r="C1356" s="177">
        <v>2250.8890000000001</v>
      </c>
      <c r="D1356" s="173">
        <f>C1356*$H$1336</f>
        <v>562.72225000000003</v>
      </c>
      <c r="E1356" s="72"/>
      <c r="F1356" s="31"/>
    </row>
    <row r="1357" spans="2:8">
      <c r="B1357" s="71" t="s">
        <v>34</v>
      </c>
      <c r="C1357" s="178">
        <f>C1353+C1356</f>
        <v>22130.892</v>
      </c>
      <c r="D1357" s="178">
        <f>D1353+D1356</f>
        <v>5532.723</v>
      </c>
      <c r="E1357" s="72"/>
      <c r="F1357" s="31"/>
    </row>
    <row r="1358" spans="2:8">
      <c r="B1358" s="300" t="s">
        <v>352</v>
      </c>
      <c r="C1358" s="303">
        <v>2902.4999999999995</v>
      </c>
      <c r="D1358" s="179"/>
      <c r="E1358" s="40"/>
      <c r="F1358" s="40"/>
    </row>
    <row r="1359" spans="2:8">
      <c r="D1359" s="303"/>
    </row>
    <row r="1360" spans="2:8">
      <c r="B1360" s="109"/>
      <c r="C1360" s="109"/>
      <c r="D1360" s="134"/>
      <c r="F1360" s="110"/>
    </row>
    <row r="1361" spans="2:6">
      <c r="B1361" s="109"/>
      <c r="C1361" s="109"/>
      <c r="D1361" s="134"/>
    </row>
    <row r="1362" spans="2:6">
      <c r="B1362" s="41" t="s">
        <v>37</v>
      </c>
      <c r="C1362" s="142">
        <v>18333.868000000002</v>
      </c>
    </row>
    <row r="1363" spans="2:6">
      <c r="B1363" s="41" t="s">
        <v>38</v>
      </c>
      <c r="C1363" s="136">
        <f>C1362/C1358</f>
        <v>6.316578122308357</v>
      </c>
    </row>
    <row r="1365" spans="2:6" ht="13.5" thickBot="1"/>
    <row r="1366" spans="2:6">
      <c r="B1366" s="81" t="s">
        <v>353</v>
      </c>
      <c r="C1366" s="82" t="s">
        <v>194</v>
      </c>
      <c r="D1366" s="82" t="s">
        <v>170</v>
      </c>
      <c r="E1366" s="111"/>
      <c r="F1366" s="111"/>
    </row>
    <row r="1367" spans="2:6">
      <c r="B1367" s="83" t="s">
        <v>184</v>
      </c>
      <c r="C1367" s="115"/>
      <c r="D1367" s="115">
        <f>C1367*$H$1336</f>
        <v>0</v>
      </c>
      <c r="E1367" s="112"/>
      <c r="F1367" s="112"/>
    </row>
    <row r="1368" spans="2:6">
      <c r="B1368" s="83" t="s">
        <v>40</v>
      </c>
      <c r="C1368" s="180">
        <f>C1354</f>
        <v>5634.1349999999993</v>
      </c>
      <c r="D1368" s="180">
        <f>C1368*$H$1336</f>
        <v>1408.5337499999998</v>
      </c>
      <c r="E1368" s="112"/>
      <c r="F1368" s="112"/>
    </row>
    <row r="1369" spans="2:6" ht="13.5" thickBot="1">
      <c r="B1369" s="84" t="s">
        <v>41</v>
      </c>
      <c r="C1369" s="184">
        <f>SUM(C1367:C1368)</f>
        <v>5634.1349999999993</v>
      </c>
      <c r="D1369" s="184">
        <f>SUM(D1367:D1368)</f>
        <v>1408.5337499999998</v>
      </c>
      <c r="E1369" s="112"/>
      <c r="F1369" s="112"/>
    </row>
    <row r="1371" spans="2:6">
      <c r="C1371" s="35"/>
    </row>
    <row r="1372" spans="2:6" ht="13.5" thickBot="1"/>
    <row r="1373" spans="2:6">
      <c r="B1373" s="124" t="s">
        <v>354</v>
      </c>
      <c r="C1373" s="82" t="s">
        <v>194</v>
      </c>
      <c r="D1373" s="124" t="s">
        <v>170</v>
      </c>
      <c r="E1373" s="69"/>
      <c r="F1373" s="69"/>
    </row>
    <row r="1374" spans="2:6">
      <c r="B1374" s="73">
        <v>2018</v>
      </c>
      <c r="C1374" s="180">
        <v>369.46</v>
      </c>
      <c r="D1374" s="183">
        <f t="shared" ref="D1374:D1381" si="41">C1374*$H$1437</f>
        <v>111.28313253012048</v>
      </c>
    </row>
    <row r="1375" spans="2:6">
      <c r="B1375" s="73">
        <v>2019</v>
      </c>
      <c r="C1375" s="180">
        <v>6687.942</v>
      </c>
      <c r="D1375" s="183">
        <f t="shared" si="41"/>
        <v>2014.4403614457833</v>
      </c>
    </row>
    <row r="1376" spans="2:6">
      <c r="B1376" s="73">
        <v>2020</v>
      </c>
      <c r="C1376" s="180">
        <v>124.663</v>
      </c>
      <c r="D1376" s="183">
        <f t="shared" si="41"/>
        <v>37.549096385542171</v>
      </c>
    </row>
    <row r="1377" spans="1:11">
      <c r="B1377" s="73">
        <v>2021</v>
      </c>
      <c r="C1377" s="180">
        <v>182.13900000000001</v>
      </c>
      <c r="D1377" s="183">
        <f t="shared" si="41"/>
        <v>54.861144578313258</v>
      </c>
    </row>
    <row r="1378" spans="1:11">
      <c r="B1378" s="73">
        <v>2022</v>
      </c>
      <c r="C1378" s="180">
        <v>1028.0709999999999</v>
      </c>
      <c r="D1378" s="183">
        <f t="shared" si="41"/>
        <v>309.65993975903615</v>
      </c>
    </row>
    <row r="1379" spans="1:11">
      <c r="B1379" s="73">
        <v>2023</v>
      </c>
      <c r="C1379" s="180">
        <v>3936.2449999999999</v>
      </c>
      <c r="D1379" s="183">
        <f t="shared" si="41"/>
        <v>1185.6159638554218</v>
      </c>
    </row>
    <row r="1380" spans="1:11">
      <c r="B1380" s="73">
        <v>2024</v>
      </c>
      <c r="C1380" s="180">
        <v>2984.23</v>
      </c>
      <c r="D1380" s="183">
        <f t="shared" si="41"/>
        <v>898.86445783132535</v>
      </c>
    </row>
    <row r="1381" spans="1:11">
      <c r="B1381" s="73" t="s">
        <v>302</v>
      </c>
      <c r="C1381" s="180">
        <v>4025.201</v>
      </c>
      <c r="D1381" s="183">
        <f t="shared" si="41"/>
        <v>1212.4099397590362</v>
      </c>
    </row>
    <row r="1382" spans="1:11" ht="13.5" thickBot="1">
      <c r="B1382" s="74"/>
      <c r="C1382" s="181"/>
      <c r="D1382" s="125"/>
      <c r="E1382" s="113"/>
      <c r="F1382" s="113"/>
    </row>
    <row r="1383" spans="1:11">
      <c r="B1383" s="69" t="s">
        <v>329</v>
      </c>
      <c r="C1383" s="182">
        <f>SUM(C1374:C1382)</f>
        <v>19337.951000000001</v>
      </c>
      <c r="D1383" s="182">
        <f>SUM(D1374:D1382)</f>
        <v>5824.6840361445784</v>
      </c>
      <c r="E1383" s="96"/>
    </row>
    <row r="1384" spans="1:11">
      <c r="B1384" s="90" t="s">
        <v>36</v>
      </c>
      <c r="C1384" s="121">
        <v>0</v>
      </c>
    </row>
    <row r="1385" spans="1:11">
      <c r="B1385" s="69"/>
      <c r="C1385" s="96"/>
    </row>
    <row r="1386" spans="1:11">
      <c r="G1386" s="69" t="s">
        <v>355</v>
      </c>
      <c r="H1386" s="137">
        <f>1/3.86</f>
        <v>0.2590673575129534</v>
      </c>
    </row>
    <row r="1387" spans="1:11">
      <c r="A1387" s="31"/>
      <c r="B1387" s="30"/>
      <c r="C1387" s="508" t="s">
        <v>356</v>
      </c>
      <c r="D1387" s="508"/>
      <c r="E1387" s="114" t="s">
        <v>181</v>
      </c>
      <c r="F1387" s="31"/>
      <c r="G1387" s="31"/>
      <c r="H1387" s="31"/>
      <c r="I1387" s="31"/>
      <c r="J1387" s="31"/>
      <c r="K1387" s="31"/>
    </row>
    <row r="1388" spans="1:11">
      <c r="A1388" s="31"/>
      <c r="B1388" s="108"/>
      <c r="C1388" s="139" t="s">
        <v>4</v>
      </c>
      <c r="D1388" s="139" t="s">
        <v>5</v>
      </c>
      <c r="E1388" s="138"/>
      <c r="F1388" s="31"/>
      <c r="G1388" s="31"/>
      <c r="H1388" s="31"/>
      <c r="I1388" s="31"/>
      <c r="J1388" s="31"/>
      <c r="K1388" s="31"/>
    </row>
    <row r="1389" spans="1:11">
      <c r="B1389" s="108" t="s">
        <v>9</v>
      </c>
      <c r="C1389" s="108"/>
      <c r="D1389" s="95"/>
      <c r="E1389" s="88"/>
      <c r="F1389" s="31"/>
    </row>
    <row r="1390" spans="1:11">
      <c r="B1390" s="87" t="s">
        <v>11</v>
      </c>
      <c r="C1390" s="173">
        <v>9.9109999999999996</v>
      </c>
      <c r="D1390" s="173">
        <f>C1390*$H$1386</f>
        <v>2.5676165803108812</v>
      </c>
      <c r="E1390" s="88"/>
      <c r="F1390" s="31"/>
    </row>
    <row r="1391" spans="1:11">
      <c r="B1391" s="87" t="s">
        <v>13</v>
      </c>
      <c r="C1391" s="173">
        <v>144.44999999999999</v>
      </c>
      <c r="D1391" s="173">
        <f>C1391*$H$1386</f>
        <v>37.422279792746117</v>
      </c>
      <c r="E1391" s="88"/>
      <c r="F1391" s="31"/>
      <c r="G1391" s="169" t="s">
        <v>357</v>
      </c>
      <c r="H1391" s="169"/>
    </row>
    <row r="1392" spans="1:11">
      <c r="B1392" s="87"/>
      <c r="C1392" s="173"/>
      <c r="D1392" s="173"/>
      <c r="E1392" s="88"/>
      <c r="F1392" s="31"/>
      <c r="G1392" s="167" t="s">
        <v>10</v>
      </c>
      <c r="H1392" s="170">
        <v>22520</v>
      </c>
    </row>
    <row r="1393" spans="2:8">
      <c r="B1393" s="108" t="s">
        <v>19</v>
      </c>
      <c r="C1393" s="174"/>
      <c r="D1393" s="174"/>
      <c r="E1393" s="88"/>
      <c r="F1393" s="31"/>
      <c r="G1393" s="167" t="s">
        <v>12</v>
      </c>
      <c r="H1393" s="170">
        <v>6249</v>
      </c>
    </row>
    <row r="1394" spans="2:8">
      <c r="B1394" s="87" t="s">
        <v>20</v>
      </c>
      <c r="C1394" s="173">
        <v>727.01499999999999</v>
      </c>
      <c r="D1394" s="173">
        <f>C1394*$H$1386</f>
        <v>188.34585492227981</v>
      </c>
      <c r="E1394" s="88"/>
      <c r="F1394" s="31"/>
      <c r="G1394" s="167" t="s">
        <v>14</v>
      </c>
      <c r="H1394" s="170">
        <f>H1392-H1393</f>
        <v>16271</v>
      </c>
    </row>
    <row r="1395" spans="2:8">
      <c r="B1395" s="87" t="s">
        <v>21</v>
      </c>
      <c r="C1395" s="173">
        <v>12769.71</v>
      </c>
      <c r="D1395" s="173">
        <f t="shared" ref="D1395:D1401" si="42">C1395*$H$1386</f>
        <v>3308.2150259067357</v>
      </c>
      <c r="E1395" s="88"/>
      <c r="F1395" s="31"/>
      <c r="G1395" s="167" t="s">
        <v>336</v>
      </c>
      <c r="H1395" s="170">
        <v>3871</v>
      </c>
    </row>
    <row r="1396" spans="2:8">
      <c r="B1396" s="87" t="s">
        <v>22</v>
      </c>
      <c r="C1396" s="173">
        <v>3829.9369999999999</v>
      </c>
      <c r="D1396" s="173">
        <f t="shared" si="42"/>
        <v>992.21165803108818</v>
      </c>
      <c r="E1396" s="88"/>
      <c r="F1396" s="31"/>
      <c r="G1396" s="168" t="s">
        <v>18</v>
      </c>
      <c r="H1396" s="306">
        <f>H1394/H1395</f>
        <v>4.2033066391113412</v>
      </c>
    </row>
    <row r="1397" spans="2:8">
      <c r="B1397" s="87" t="s">
        <v>24</v>
      </c>
      <c r="C1397" s="173">
        <v>1264.6510000000001</v>
      </c>
      <c r="D1397" s="173">
        <f t="shared" si="42"/>
        <v>327.62979274611405</v>
      </c>
      <c r="E1397" s="88"/>
      <c r="F1397" s="31"/>
    </row>
    <row r="1398" spans="2:8">
      <c r="B1398" s="87" t="s">
        <v>23</v>
      </c>
      <c r="C1398" s="173">
        <v>38.593000000000004</v>
      </c>
      <c r="D1398" s="173">
        <f t="shared" si="42"/>
        <v>9.9981865284974116</v>
      </c>
      <c r="E1398" s="88"/>
      <c r="F1398" s="31"/>
    </row>
    <row r="1399" spans="2:8">
      <c r="B1399" s="87" t="s">
        <v>25</v>
      </c>
      <c r="C1399" s="173">
        <v>0</v>
      </c>
      <c r="D1399" s="173">
        <f t="shared" si="42"/>
        <v>0</v>
      </c>
      <c r="E1399" s="88"/>
      <c r="F1399" s="31"/>
    </row>
    <row r="1400" spans="2:8">
      <c r="B1400" s="87"/>
      <c r="C1400" s="173"/>
      <c r="D1400" s="173"/>
      <c r="E1400" s="88"/>
      <c r="F1400" s="31"/>
    </row>
    <row r="1401" spans="2:8">
      <c r="B1401" s="108" t="s">
        <v>28</v>
      </c>
      <c r="C1401" s="173">
        <v>525.24699999999996</v>
      </c>
      <c r="D1401" s="173">
        <f t="shared" si="42"/>
        <v>136.07435233160624</v>
      </c>
      <c r="E1401" s="88"/>
      <c r="F1401" s="31"/>
    </row>
    <row r="1402" spans="2:8">
      <c r="B1402" s="108"/>
      <c r="C1402" s="173"/>
      <c r="D1402" s="173"/>
      <c r="E1402" s="88"/>
      <c r="F1402" s="31"/>
    </row>
    <row r="1403" spans="2:8">
      <c r="B1403" s="41" t="s">
        <v>30</v>
      </c>
      <c r="C1403" s="131">
        <f>SUM(C1389:C1401)</f>
        <v>19309.514000000003</v>
      </c>
      <c r="D1403" s="131">
        <f>SUM(D1389:D1401)</f>
        <v>5002.4647668393773</v>
      </c>
      <c r="E1403" s="42">
        <f>+C1403/C1408</f>
        <v>9.3712759039068221</v>
      </c>
      <c r="F1403" s="31"/>
      <c r="G1403" s="110"/>
    </row>
    <row r="1404" spans="2:8">
      <c r="B1404" s="40" t="s">
        <v>31</v>
      </c>
      <c r="C1404" s="175">
        <v>5659.8850000000002</v>
      </c>
      <c r="D1404" s="173">
        <f>C1404*$H$1386</f>
        <v>1466.2914507772023</v>
      </c>
      <c r="E1404" s="43"/>
      <c r="F1404" s="31"/>
    </row>
    <row r="1405" spans="2:8">
      <c r="B1405" s="41" t="s">
        <v>32</v>
      </c>
      <c r="C1405" s="176">
        <f>+C1403-C1404</f>
        <v>13649.629000000003</v>
      </c>
      <c r="D1405" s="131">
        <f>+D1403-D1404</f>
        <v>3536.1733160621752</v>
      </c>
      <c r="E1405" s="42">
        <f>+C1405/C1408</f>
        <v>6.6244256248483406</v>
      </c>
      <c r="F1405" s="31"/>
    </row>
    <row r="1406" spans="2:8">
      <c r="B1406" s="71" t="s">
        <v>33</v>
      </c>
      <c r="C1406" s="177">
        <v>2447.4229999999998</v>
      </c>
      <c r="D1406" s="173">
        <f>C1406*$H$1386</f>
        <v>634.04740932642494</v>
      </c>
      <c r="E1406" s="72"/>
      <c r="F1406" s="31"/>
    </row>
    <row r="1407" spans="2:8">
      <c r="B1407" s="71" t="s">
        <v>34</v>
      </c>
      <c r="C1407" s="178">
        <f>C1403+C1406</f>
        <v>21756.937000000002</v>
      </c>
      <c r="D1407" s="178">
        <f>D1403+D1406</f>
        <v>5636.512176165802</v>
      </c>
      <c r="E1407" s="72"/>
      <c r="F1407" s="31"/>
    </row>
    <row r="1408" spans="2:8">
      <c r="B1408" s="40" t="s">
        <v>358</v>
      </c>
      <c r="C1408" s="175">
        <v>2060.4999999999995</v>
      </c>
      <c r="D1408" s="179"/>
      <c r="E1408" s="40"/>
      <c r="F1408" s="40"/>
    </row>
    <row r="1410" spans="2:6">
      <c r="B1410" s="109"/>
      <c r="C1410" s="109"/>
      <c r="D1410" s="134"/>
      <c r="F1410" s="110"/>
    </row>
    <row r="1411" spans="2:6">
      <c r="B1411" s="109"/>
      <c r="C1411" s="109"/>
      <c r="D1411" s="134"/>
    </row>
    <row r="1412" spans="2:6">
      <c r="B1412" s="41" t="s">
        <v>37</v>
      </c>
      <c r="C1412" s="142">
        <v>18703.729000000003</v>
      </c>
      <c r="D1412" s="135"/>
    </row>
    <row r="1413" spans="2:6">
      <c r="B1413" s="41" t="s">
        <v>38</v>
      </c>
      <c r="C1413" s="136">
        <f>C1412/C1408</f>
        <v>9.0772768745450172</v>
      </c>
      <c r="D1413" s="136"/>
    </row>
    <row r="1415" spans="2:6" ht="13.5" thickBot="1"/>
    <row r="1416" spans="2:6">
      <c r="B1416" s="81" t="s">
        <v>359</v>
      </c>
      <c r="C1416" s="82" t="s">
        <v>194</v>
      </c>
      <c r="D1416" s="82" t="s">
        <v>170</v>
      </c>
      <c r="E1416" s="111"/>
      <c r="F1416" s="111"/>
    </row>
    <row r="1417" spans="2:6">
      <c r="B1417" s="83" t="s">
        <v>184</v>
      </c>
      <c r="C1417" s="115"/>
      <c r="D1417" s="115">
        <f>C1417*H1386</f>
        <v>0</v>
      </c>
      <c r="E1417" s="112"/>
      <c r="F1417" s="112"/>
    </row>
    <row r="1418" spans="2:6">
      <c r="B1418" s="83" t="s">
        <v>40</v>
      </c>
      <c r="C1418" s="115">
        <f>C1404</f>
        <v>5659.8850000000002</v>
      </c>
      <c r="D1418" s="115">
        <f>C1418*H1386</f>
        <v>1466.2914507772023</v>
      </c>
      <c r="E1418" s="112"/>
      <c r="F1418" s="112"/>
    </row>
    <row r="1419" spans="2:6" ht="13.5" thickBot="1">
      <c r="B1419" s="84" t="s">
        <v>41</v>
      </c>
      <c r="C1419" s="116">
        <f>SUM(C1417:C1418)</f>
        <v>5659.8850000000002</v>
      </c>
      <c r="D1419" s="116">
        <f>SUM(D1417:D1418)</f>
        <v>1466.2914507772023</v>
      </c>
      <c r="E1419" s="112"/>
      <c r="F1419" s="112"/>
    </row>
    <row r="1421" spans="2:6">
      <c r="C1421" s="35"/>
    </row>
    <row r="1422" spans="2:6" ht="13.5" thickBot="1"/>
    <row r="1423" spans="2:6">
      <c r="B1423" s="124" t="s">
        <v>360</v>
      </c>
      <c r="C1423" s="82" t="s">
        <v>194</v>
      </c>
      <c r="D1423" s="124" t="s">
        <v>170</v>
      </c>
      <c r="E1423" s="69"/>
      <c r="F1423" s="69"/>
    </row>
    <row r="1424" spans="2:6">
      <c r="B1424" s="73">
        <v>2018</v>
      </c>
      <c r="C1424" s="304">
        <v>932.94500000000005</v>
      </c>
      <c r="D1424" s="126">
        <f t="shared" ref="D1424:D1431" si="43">C1424*$H$1437</f>
        <v>281.00753012048199</v>
      </c>
    </row>
    <row r="1425" spans="1:11">
      <c r="B1425" s="73">
        <v>2019</v>
      </c>
      <c r="C1425" s="304">
        <v>5713.277</v>
      </c>
      <c r="D1425" s="126">
        <f t="shared" si="43"/>
        <v>1720.8665662650603</v>
      </c>
    </row>
    <row r="1426" spans="1:11">
      <c r="B1426" s="73">
        <v>2020</v>
      </c>
      <c r="C1426" s="304">
        <v>24.812000000000001</v>
      </c>
      <c r="D1426" s="126">
        <f t="shared" si="43"/>
        <v>7.4734939759036152</v>
      </c>
    </row>
    <row r="1427" spans="1:11">
      <c r="B1427" s="73">
        <v>2021</v>
      </c>
      <c r="C1427" s="304">
        <v>126.952</v>
      </c>
      <c r="D1427" s="126">
        <f t="shared" si="43"/>
        <v>38.23855421686747</v>
      </c>
    </row>
    <row r="1428" spans="1:11">
      <c r="B1428" s="73">
        <v>2022</v>
      </c>
      <c r="C1428" s="304">
        <v>1470.096</v>
      </c>
      <c r="D1428" s="126">
        <f t="shared" si="43"/>
        <v>442.8</v>
      </c>
    </row>
    <row r="1429" spans="1:11">
      <c r="B1429" s="73">
        <v>2023</v>
      </c>
      <c r="C1429" s="304">
        <v>3781.9479999999999</v>
      </c>
      <c r="D1429" s="126">
        <f t="shared" si="43"/>
        <v>1139.1409638554217</v>
      </c>
    </row>
    <row r="1430" spans="1:11">
      <c r="B1430" s="73">
        <v>2024</v>
      </c>
      <c r="C1430" s="304">
        <v>2868.8780000000002</v>
      </c>
      <c r="D1430" s="126">
        <f t="shared" si="43"/>
        <v>864.11987951807237</v>
      </c>
    </row>
    <row r="1431" spans="1:11">
      <c r="B1431" s="305" t="s">
        <v>302</v>
      </c>
      <c r="C1431" s="304">
        <v>3865.3589999999999</v>
      </c>
      <c r="D1431" s="126">
        <f t="shared" si="43"/>
        <v>1164.2647590361446</v>
      </c>
    </row>
    <row r="1432" spans="1:11" ht="13.5" thickBot="1">
      <c r="B1432" s="74"/>
      <c r="C1432" s="123"/>
      <c r="D1432" s="125"/>
      <c r="E1432" s="113"/>
      <c r="F1432" s="113"/>
    </row>
    <row r="1433" spans="1:11">
      <c r="B1433" s="69" t="s">
        <v>329</v>
      </c>
      <c r="C1433" s="182">
        <f>SUM(C1424:C1432)</f>
        <v>18784.267</v>
      </c>
      <c r="D1433" s="96">
        <f>SUM(D1424:D1432)</f>
        <v>5657.9117469879529</v>
      </c>
      <c r="E1433" s="96"/>
    </row>
    <row r="1434" spans="1:11">
      <c r="B1434" s="90" t="s">
        <v>36</v>
      </c>
      <c r="C1434" s="121">
        <v>0</v>
      </c>
    </row>
    <row r="1435" spans="1:11">
      <c r="B1435" s="69"/>
      <c r="C1435" s="96"/>
    </row>
    <row r="1437" spans="1:11">
      <c r="G1437" s="69" t="s">
        <v>361</v>
      </c>
      <c r="H1437" s="137">
        <f>1/3.32</f>
        <v>0.30120481927710846</v>
      </c>
    </row>
    <row r="1438" spans="1:11">
      <c r="A1438" s="31"/>
      <c r="B1438" s="30" t="s">
        <v>362</v>
      </c>
      <c r="C1438" s="508" t="s">
        <v>363</v>
      </c>
      <c r="D1438" s="508"/>
      <c r="E1438" s="114" t="s">
        <v>181</v>
      </c>
      <c r="F1438" s="31"/>
      <c r="G1438" s="31"/>
      <c r="H1438" s="31"/>
      <c r="I1438" s="31"/>
      <c r="J1438" s="31"/>
      <c r="K1438" s="31"/>
    </row>
    <row r="1439" spans="1:11">
      <c r="A1439" s="31"/>
      <c r="B1439" s="108"/>
      <c r="C1439" s="139" t="s">
        <v>4</v>
      </c>
      <c r="D1439" s="139" t="s">
        <v>5</v>
      </c>
      <c r="E1439" s="138"/>
      <c r="F1439" s="31"/>
      <c r="G1439" s="31"/>
      <c r="H1439" s="31"/>
      <c r="I1439" s="31"/>
      <c r="J1439" s="31"/>
      <c r="K1439" s="31"/>
    </row>
    <row r="1440" spans="1:11">
      <c r="B1440" s="108" t="s">
        <v>9</v>
      </c>
      <c r="C1440" s="108"/>
      <c r="D1440" s="95"/>
      <c r="E1440" s="88"/>
      <c r="F1440" s="31"/>
    </row>
    <row r="1441" spans="2:7">
      <c r="B1441" s="87" t="s">
        <v>11</v>
      </c>
      <c r="C1441" s="140">
        <v>11.396000000000001</v>
      </c>
      <c r="D1441" s="140">
        <f>C1441*$H$1437</f>
        <v>3.4325301204819283</v>
      </c>
      <c r="E1441" s="88"/>
      <c r="F1441" s="31"/>
    </row>
    <row r="1442" spans="2:7">
      <c r="B1442" s="87" t="s">
        <v>13</v>
      </c>
      <c r="C1442" s="140">
        <v>217.214</v>
      </c>
      <c r="D1442" s="140">
        <f>C1442*$H$1437</f>
        <v>65.425903614457837</v>
      </c>
      <c r="E1442" s="88"/>
      <c r="F1442" s="31"/>
    </row>
    <row r="1443" spans="2:7">
      <c r="B1443" s="87"/>
      <c r="C1443" s="140"/>
      <c r="D1443" s="140"/>
      <c r="E1443" s="88"/>
      <c r="F1443" s="31"/>
    </row>
    <row r="1444" spans="2:7">
      <c r="B1444" s="108" t="s">
        <v>19</v>
      </c>
      <c r="C1444" s="141"/>
      <c r="D1444" s="141"/>
      <c r="E1444" s="88"/>
      <c r="F1444" s="31"/>
    </row>
    <row r="1445" spans="2:7">
      <c r="B1445" s="87" t="s">
        <v>20</v>
      </c>
      <c r="C1445" s="140">
        <v>550.28899999999999</v>
      </c>
      <c r="D1445" s="140">
        <f t="shared" ref="D1445:D1450" si="44">C1445*$H$1437</f>
        <v>165.74969879518073</v>
      </c>
      <c r="E1445" s="88"/>
      <c r="F1445" s="31"/>
    </row>
    <row r="1446" spans="2:7">
      <c r="B1446" s="87" t="s">
        <v>21</v>
      </c>
      <c r="C1446" s="140">
        <v>11277.927</v>
      </c>
      <c r="D1446" s="140">
        <f t="shared" si="44"/>
        <v>3396.9659638554217</v>
      </c>
      <c r="E1446" s="88"/>
      <c r="F1446" s="31"/>
      <c r="G1446" s="110"/>
    </row>
    <row r="1447" spans="2:7">
      <c r="B1447" s="87" t="s">
        <v>22</v>
      </c>
      <c r="C1447" s="140">
        <v>103.703</v>
      </c>
      <c r="D1447" s="140">
        <f t="shared" si="44"/>
        <v>31.235843373493978</v>
      </c>
      <c r="E1447" s="88"/>
      <c r="F1447" s="31"/>
    </row>
    <row r="1448" spans="2:7">
      <c r="B1448" s="87" t="s">
        <v>24</v>
      </c>
      <c r="C1448" s="140">
        <v>0</v>
      </c>
      <c r="D1448" s="140">
        <f t="shared" si="44"/>
        <v>0</v>
      </c>
      <c r="E1448" s="88"/>
      <c r="F1448" s="31"/>
    </row>
    <row r="1449" spans="2:7">
      <c r="B1449" s="87" t="s">
        <v>23</v>
      </c>
      <c r="C1449" s="140">
        <v>33.125</v>
      </c>
      <c r="D1449" s="140">
        <f t="shared" si="44"/>
        <v>9.9774096385542173</v>
      </c>
      <c r="E1449" s="88"/>
      <c r="F1449" s="31"/>
    </row>
    <row r="1450" spans="2:7">
      <c r="B1450" s="87" t="s">
        <v>25</v>
      </c>
      <c r="C1450" s="140">
        <v>0</v>
      </c>
      <c r="D1450" s="140">
        <f t="shared" si="44"/>
        <v>0</v>
      </c>
      <c r="E1450" s="88"/>
      <c r="F1450" s="31"/>
    </row>
    <row r="1451" spans="2:7">
      <c r="B1451" s="87"/>
      <c r="C1451" s="140"/>
      <c r="D1451" s="140"/>
      <c r="E1451" s="88"/>
      <c r="F1451" s="31"/>
    </row>
    <row r="1452" spans="2:7">
      <c r="B1452" s="108" t="s">
        <v>28</v>
      </c>
      <c r="C1452" s="140">
        <v>490.17199999999997</v>
      </c>
      <c r="D1452" s="140">
        <f>C1452*$H$1437</f>
        <v>147.64216867469881</v>
      </c>
      <c r="E1452" s="88"/>
      <c r="F1452" s="31"/>
    </row>
    <row r="1453" spans="2:7">
      <c r="B1453" s="108"/>
      <c r="C1453" s="140"/>
      <c r="D1453" s="140"/>
      <c r="E1453" s="88"/>
      <c r="F1453" s="31"/>
    </row>
    <row r="1454" spans="2:7">
      <c r="B1454" s="41" t="s">
        <v>30</v>
      </c>
      <c r="C1454" s="131">
        <f>SUM(C1440:C1452)</f>
        <v>12683.825999999999</v>
      </c>
      <c r="D1454" s="131">
        <f>SUM(D1440:D1452)</f>
        <v>3820.4295180722893</v>
      </c>
      <c r="E1454" s="42">
        <f>+C1454/C1459</f>
        <v>7.2334337040205305</v>
      </c>
      <c r="F1454" s="31"/>
    </row>
    <row r="1455" spans="2:7">
      <c r="B1455" s="40" t="s">
        <v>31</v>
      </c>
      <c r="C1455" s="164">
        <v>5859.951</v>
      </c>
      <c r="D1455" s="140">
        <f>C1455*$H$1437</f>
        <v>1765.0454819277111</v>
      </c>
      <c r="E1455" s="43"/>
      <c r="F1455" s="31"/>
    </row>
    <row r="1456" spans="2:7">
      <c r="B1456" s="41" t="s">
        <v>32</v>
      </c>
      <c r="C1456" s="166">
        <f>+C1454-C1455</f>
        <v>6823.8749999999991</v>
      </c>
      <c r="D1456" s="132">
        <f>+D1454-D1455</f>
        <v>2055.3840361445782</v>
      </c>
      <c r="E1456" s="42">
        <f>+C1456/C1459</f>
        <v>3.8915739948674082</v>
      </c>
      <c r="F1456" s="31"/>
    </row>
    <row r="1457" spans="2:6">
      <c r="B1457" s="71" t="s">
        <v>33</v>
      </c>
      <c r="C1457" s="165">
        <v>2434.355</v>
      </c>
      <c r="D1457" s="140">
        <f>C1457*$H$1437</f>
        <v>733.23945783132535</v>
      </c>
      <c r="E1457" s="72"/>
      <c r="F1457" s="31"/>
    </row>
    <row r="1458" spans="2:6">
      <c r="B1458" s="71" t="s">
        <v>34</v>
      </c>
      <c r="C1458" s="133">
        <f>C1454+C1457</f>
        <v>15118.180999999999</v>
      </c>
      <c r="D1458" s="133">
        <f>D1454+D1457</f>
        <v>4553.6689759036144</v>
      </c>
      <c r="E1458" s="72"/>
      <c r="F1458" s="31"/>
    </row>
    <row r="1459" spans="2:6">
      <c r="B1459" s="40" t="s">
        <v>364</v>
      </c>
      <c r="C1459" s="40">
        <v>1753.4999999999998</v>
      </c>
      <c r="D1459" s="6" t="e">
        <v>#REF!</v>
      </c>
      <c r="E1459" s="40"/>
      <c r="F1459" s="40"/>
    </row>
    <row r="1461" spans="2:6">
      <c r="B1461" s="109" t="s">
        <v>36</v>
      </c>
      <c r="C1461" s="109"/>
      <c r="D1461" s="134">
        <v>-5.4788837456200501E-13</v>
      </c>
      <c r="F1461" s="110"/>
    </row>
    <row r="1462" spans="2:6">
      <c r="B1462" s="109"/>
      <c r="C1462" s="109"/>
      <c r="D1462" s="134"/>
    </row>
    <row r="1463" spans="2:6">
      <c r="B1463" s="41" t="s">
        <v>37</v>
      </c>
      <c r="C1463" s="142">
        <v>10504.804999999998</v>
      </c>
      <c r="D1463" s="135"/>
    </row>
    <row r="1464" spans="2:6">
      <c r="B1464" s="41" t="s">
        <v>38</v>
      </c>
      <c r="C1464" s="136">
        <f>C1463/C1459</f>
        <v>5.9907641859138865</v>
      </c>
      <c r="D1464" s="136"/>
    </row>
    <row r="1466" spans="2:6" ht="13.5" thickBot="1"/>
    <row r="1467" spans="2:6">
      <c r="B1467" s="81" t="s">
        <v>365</v>
      </c>
      <c r="C1467" s="82" t="s">
        <v>194</v>
      </c>
      <c r="D1467" s="82" t="s">
        <v>170</v>
      </c>
      <c r="E1467" s="111"/>
      <c r="F1467" s="111"/>
    </row>
    <row r="1468" spans="2:6">
      <c r="B1468" s="83" t="s">
        <v>184</v>
      </c>
      <c r="C1468" s="115"/>
      <c r="D1468" s="115">
        <f>C1468*H1437</f>
        <v>0</v>
      </c>
      <c r="E1468" s="112"/>
      <c r="F1468" s="112"/>
    </row>
    <row r="1469" spans="2:6">
      <c r="B1469" s="83" t="s">
        <v>40</v>
      </c>
      <c r="C1469" s="115">
        <v>5859.951</v>
      </c>
      <c r="D1469" s="115">
        <f>C1469*H1437</f>
        <v>1765.0454819277111</v>
      </c>
      <c r="E1469" s="112"/>
      <c r="F1469" s="112"/>
    </row>
    <row r="1470" spans="2:6" ht="13.5" thickBot="1">
      <c r="B1470" s="84" t="s">
        <v>41</v>
      </c>
      <c r="C1470" s="116">
        <f>SUM(C1468:C1469)</f>
        <v>5859.951</v>
      </c>
      <c r="D1470" s="116">
        <f>SUM(D1468:D1469)</f>
        <v>1765.0454819277111</v>
      </c>
      <c r="E1470" s="112"/>
      <c r="F1470" s="112"/>
    </row>
    <row r="1472" spans="2:6">
      <c r="C1472" s="35"/>
    </row>
    <row r="1473" spans="2:6" ht="13.5" thickBot="1"/>
    <row r="1474" spans="2:6">
      <c r="B1474" s="124" t="s">
        <v>366</v>
      </c>
      <c r="C1474" s="82" t="s">
        <v>194</v>
      </c>
      <c r="D1474" s="124" t="s">
        <v>170</v>
      </c>
      <c r="E1474" s="69"/>
      <c r="F1474" s="69"/>
    </row>
    <row r="1475" spans="2:6">
      <c r="B1475" s="73">
        <v>2018</v>
      </c>
      <c r="C1475" s="122">
        <v>1041.6600000000001</v>
      </c>
      <c r="D1475" s="126">
        <f t="shared" ref="D1475:D1482" si="45">C1475*$H$1437</f>
        <v>313.75301204819283</v>
      </c>
    </row>
    <row r="1476" spans="2:6">
      <c r="B1476" s="73">
        <v>2019</v>
      </c>
      <c r="C1476" s="122">
        <v>1933.405</v>
      </c>
      <c r="D1476" s="126">
        <f t="shared" si="45"/>
        <v>582.35090361445782</v>
      </c>
    </row>
    <row r="1477" spans="2:6">
      <c r="B1477" s="73">
        <v>2020</v>
      </c>
      <c r="C1477" s="122">
        <v>23.911000000000001</v>
      </c>
      <c r="D1477" s="126">
        <f t="shared" si="45"/>
        <v>7.2021084337349404</v>
      </c>
    </row>
    <row r="1478" spans="2:6">
      <c r="B1478" s="73">
        <v>2021</v>
      </c>
      <c r="C1478" s="122">
        <v>111.449</v>
      </c>
      <c r="D1478" s="126">
        <f t="shared" si="45"/>
        <v>33.568975903614458</v>
      </c>
    </row>
    <row r="1479" spans="2:6">
      <c r="B1479" s="73">
        <v>2022</v>
      </c>
      <c r="C1479" s="122">
        <v>22.983000000000001</v>
      </c>
      <c r="D1479" s="126">
        <f t="shared" si="45"/>
        <v>6.922590361445784</v>
      </c>
    </row>
    <row r="1480" spans="2:6">
      <c r="B1480" s="73">
        <v>2023</v>
      </c>
      <c r="C1480" s="122">
        <v>3257.0790000000002</v>
      </c>
      <c r="D1480" s="126">
        <f t="shared" si="45"/>
        <v>981.04789156626521</v>
      </c>
    </row>
    <row r="1481" spans="2:6">
      <c r="B1481" s="73">
        <v>2024</v>
      </c>
      <c r="C1481" s="122">
        <v>2473.1880000000001</v>
      </c>
      <c r="D1481" s="126">
        <f t="shared" si="45"/>
        <v>744.93614457831336</v>
      </c>
    </row>
    <row r="1482" spans="2:6">
      <c r="B1482" s="73" t="s">
        <v>367</v>
      </c>
      <c r="C1482" s="122">
        <v>3329.9789999999998</v>
      </c>
      <c r="D1482" s="126">
        <f t="shared" si="45"/>
        <v>1003.0057228915663</v>
      </c>
    </row>
    <row r="1483" spans="2:6" ht="13.5" thickBot="1">
      <c r="B1483" s="74"/>
      <c r="C1483" s="123"/>
      <c r="D1483" s="125"/>
      <c r="E1483" s="113"/>
      <c r="F1483" s="113"/>
    </row>
    <row r="1484" spans="2:6">
      <c r="B1484" s="69" t="s">
        <v>329</v>
      </c>
      <c r="C1484" s="96">
        <f>SUM(C1475:C1483)</f>
        <v>12193.654</v>
      </c>
      <c r="D1484" s="96">
        <f>SUM(D1475:D1483)</f>
        <v>3672.7873493975908</v>
      </c>
      <c r="E1484" s="96"/>
    </row>
    <row r="1485" spans="2:6">
      <c r="B1485" s="90" t="s">
        <v>36</v>
      </c>
      <c r="C1485" s="121">
        <v>0</v>
      </c>
    </row>
    <row r="1486" spans="2:6">
      <c r="B1486" s="69"/>
      <c r="C1486" s="96"/>
    </row>
  </sheetData>
  <mergeCells count="30">
    <mergeCell ref="C56:D56"/>
    <mergeCell ref="C103:D103"/>
    <mergeCell ref="C537:D537"/>
    <mergeCell ref="C907:D907"/>
    <mergeCell ref="C583:D583"/>
    <mergeCell ref="C443:D443"/>
    <mergeCell ref="C490:D490"/>
    <mergeCell ref="C150:D150"/>
    <mergeCell ref="C298:D298"/>
    <mergeCell ref="C348:D348"/>
    <mergeCell ref="C629:D629"/>
    <mergeCell ref="C396:D396"/>
    <mergeCell ref="C198:D198"/>
    <mergeCell ref="C248:D248"/>
    <mergeCell ref="C768:D768"/>
    <mergeCell ref="C815:D815"/>
    <mergeCell ref="C1438:D1438"/>
    <mergeCell ref="C1387:D1387"/>
    <mergeCell ref="C1337:D1337"/>
    <mergeCell ref="C1290:D1290"/>
    <mergeCell ref="C1243:D1243"/>
    <mergeCell ref="C1195:D1195"/>
    <mergeCell ref="C676:D676"/>
    <mergeCell ref="C722:D722"/>
    <mergeCell ref="C1146:D1146"/>
    <mergeCell ref="C861:D861"/>
    <mergeCell ref="C1097:D1097"/>
    <mergeCell ref="C1000:D1000"/>
    <mergeCell ref="C1048:D1048"/>
    <mergeCell ref="C953:D953"/>
  </mergeCells>
  <pageMargins left="0.7" right="0.7" top="0.75" bottom="0.75" header="0.3" footer="0.3"/>
  <pageSetup orientation="portrait" horizontalDpi="90" verticalDpi="90"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92D11-1399-47D7-A992-42B44A3D2FAF}">
  <sheetPr>
    <pageSetUpPr fitToPage="1"/>
  </sheetPr>
  <dimension ref="A2:CT305"/>
  <sheetViews>
    <sheetView zoomScale="115" zoomScaleNormal="115" zoomScaleSheetLayoutView="85" workbookViewId="0">
      <pane xSplit="2" ySplit="6" topLeftCell="L160" activePane="bottomRight" state="frozen"/>
      <selection pane="bottomRight" activeCell="N167" sqref="N167"/>
      <selection pane="bottomLeft" activeCell="O3" sqref="O3"/>
      <selection pane="topRight" activeCell="O3" sqref="O3"/>
    </sheetView>
  </sheetViews>
  <sheetFormatPr defaultColWidth="11.42578125" defaultRowHeight="13.5" customHeight="1" outlineLevelRow="1" outlineLevelCol="1"/>
  <cols>
    <col min="1" max="1" width="6.28515625" style="1" customWidth="1"/>
    <col min="2" max="2" width="49.42578125" style="1" customWidth="1"/>
    <col min="3" max="7" width="11.42578125" style="1" hidden="1" customWidth="1" outlineLevel="1"/>
    <col min="8" max="8" width="11.42578125" style="1" hidden="1" customWidth="1" outlineLevel="1" collapsed="1"/>
    <col min="9" max="9" width="11.42578125" style="1" hidden="1" customWidth="1" outlineLevel="1"/>
    <col min="10" max="11" width="11.42578125" style="1" hidden="1" customWidth="1" outlineLevel="1" collapsed="1"/>
    <col min="12" max="12" width="12.7109375" style="1" customWidth="1" collapsed="1"/>
    <col min="13" max="16" width="12.7109375" style="1" customWidth="1"/>
    <col min="17" max="20" width="12.7109375" style="1" hidden="1" customWidth="1" outlineLevel="1"/>
    <col min="21" max="21" width="12.7109375" style="1" hidden="1" customWidth="1" outlineLevel="1" collapsed="1"/>
    <col min="22" max="25" width="12.7109375" style="1" hidden="1" customWidth="1" outlineLevel="1"/>
    <col min="26" max="26" width="12.7109375" style="1" hidden="1" customWidth="1" outlineLevel="1" collapsed="1"/>
    <col min="27" max="33" width="12.7109375" style="1" hidden="1" customWidth="1" outlineLevel="1"/>
    <col min="34" max="34" width="12.7109375" style="1" hidden="1" customWidth="1" outlineLevel="1" collapsed="1"/>
    <col min="35" max="37" width="12.7109375" style="1" hidden="1" customWidth="1" outlineLevel="1"/>
    <col min="38" max="38" width="12.7109375" style="1" hidden="1" customWidth="1" outlineLevel="1" collapsed="1"/>
    <col min="39" max="41" width="12.7109375" style="1" hidden="1" customWidth="1" outlineLevel="1"/>
    <col min="42" max="42" width="12.7109375" style="1" hidden="1" customWidth="1" outlineLevel="1" collapsed="1"/>
    <col min="43" max="49" width="12.7109375" style="1" hidden="1" customWidth="1" outlineLevel="1"/>
    <col min="50" max="50" width="12.7109375" style="1" customWidth="1" collapsed="1"/>
    <col min="51" max="57" width="12.7109375" style="1" customWidth="1"/>
    <col min="58" max="61" width="12.7109375" style="1" hidden="1" customWidth="1" outlineLevel="1"/>
    <col min="62" max="62" width="12.7109375" hidden="1" customWidth="1" outlineLevel="1"/>
    <col min="63" max="63" width="12.7109375" style="1" hidden="1" customWidth="1" outlineLevel="1"/>
    <col min="64" max="64" width="12.7109375" style="1" customWidth="1" collapsed="1"/>
    <col min="65" max="79" width="12.7109375" style="1" hidden="1" customWidth="1" outlineLevel="1"/>
    <col min="80" max="80" width="12.7109375" style="1" hidden="1" customWidth="1" outlineLevel="1" collapsed="1"/>
    <col min="81" max="93" width="12.7109375" style="1" hidden="1" customWidth="1" outlineLevel="1"/>
    <col min="94" max="94" width="12.7109375" style="1" customWidth="1" collapsed="1"/>
    <col min="95" max="99" width="12.7109375" style="1" customWidth="1"/>
    <col min="100" max="16384" width="11.42578125" style="1"/>
  </cols>
  <sheetData>
    <row r="2" spans="1:98" s="2" customFormat="1" ht="24.75" customHeight="1">
      <c r="B2" s="10" t="s">
        <v>368</v>
      </c>
      <c r="C2" s="12" t="s">
        <v>46</v>
      </c>
      <c r="D2" s="12" t="s">
        <v>46</v>
      </c>
      <c r="E2" s="12" t="s">
        <v>46</v>
      </c>
      <c r="F2" s="12" t="s">
        <v>46</v>
      </c>
      <c r="G2" s="12" t="s">
        <v>46</v>
      </c>
      <c r="H2" s="12" t="s">
        <v>46</v>
      </c>
      <c r="I2" s="12" t="s">
        <v>46</v>
      </c>
      <c r="J2" s="12" t="s">
        <v>46</v>
      </c>
      <c r="K2" s="12" t="s">
        <v>46</v>
      </c>
      <c r="L2" s="12" t="s">
        <v>46</v>
      </c>
      <c r="M2" s="392" t="s">
        <v>46</v>
      </c>
      <c r="N2" s="392" t="s">
        <v>46</v>
      </c>
      <c r="O2" s="392" t="s">
        <v>47</v>
      </c>
      <c r="P2" s="393"/>
      <c r="Q2" s="12" t="s">
        <v>48</v>
      </c>
      <c r="R2" s="12" t="s">
        <v>48</v>
      </c>
      <c r="S2" s="12" t="s">
        <v>48</v>
      </c>
      <c r="T2" s="12" t="s">
        <v>48</v>
      </c>
      <c r="U2" s="143" t="s">
        <v>48</v>
      </c>
      <c r="V2" s="12" t="s">
        <v>48</v>
      </c>
      <c r="W2" s="12" t="s">
        <v>48</v>
      </c>
      <c r="X2" s="12" t="s">
        <v>48</v>
      </c>
      <c r="Y2" s="12" t="s">
        <v>48</v>
      </c>
      <c r="Z2" s="12" t="s">
        <v>48</v>
      </c>
      <c r="AA2" s="12" t="s">
        <v>48</v>
      </c>
      <c r="AB2" s="12" t="s">
        <v>48</v>
      </c>
      <c r="AC2" s="12" t="s">
        <v>48</v>
      </c>
      <c r="AD2" s="12" t="s">
        <v>48</v>
      </c>
      <c r="AE2" s="12" t="s">
        <v>48</v>
      </c>
      <c r="AF2" s="12" t="s">
        <v>48</v>
      </c>
      <c r="AG2" s="12" t="s">
        <v>48</v>
      </c>
      <c r="AH2" s="12" t="s">
        <v>48</v>
      </c>
      <c r="AI2" s="12" t="s">
        <v>48</v>
      </c>
      <c r="AJ2" s="12" t="s">
        <v>48</v>
      </c>
      <c r="AK2" s="12" t="s">
        <v>48</v>
      </c>
      <c r="AL2" s="12" t="s">
        <v>48</v>
      </c>
      <c r="AM2" s="12" t="s">
        <v>48</v>
      </c>
      <c r="AN2" s="12" t="s">
        <v>48</v>
      </c>
      <c r="AO2" s="12" t="s">
        <v>48</v>
      </c>
      <c r="AP2" s="12" t="s">
        <v>48</v>
      </c>
      <c r="AQ2" s="12" t="s">
        <v>48</v>
      </c>
      <c r="AR2" s="12" t="s">
        <v>48</v>
      </c>
      <c r="AS2" s="12" t="s">
        <v>48</v>
      </c>
      <c r="AT2" s="12" t="s">
        <v>48</v>
      </c>
      <c r="AU2" s="12" t="s">
        <v>48</v>
      </c>
      <c r="AV2" s="392" t="s">
        <v>48</v>
      </c>
      <c r="AW2" s="12" t="s">
        <v>48</v>
      </c>
      <c r="AX2" s="12" t="s">
        <v>48</v>
      </c>
      <c r="AY2" s="410" t="s">
        <v>48</v>
      </c>
      <c r="AZ2" s="392" t="s">
        <v>48</v>
      </c>
      <c r="BA2" s="12" t="s">
        <v>48</v>
      </c>
      <c r="BB2" s="12" t="s">
        <v>48</v>
      </c>
      <c r="BC2" s="392" t="s">
        <v>48</v>
      </c>
      <c r="BD2" s="392" t="s">
        <v>48</v>
      </c>
      <c r="BE2" s="402"/>
      <c r="BF2" s="225" t="s">
        <v>48</v>
      </c>
      <c r="BG2" s="317" t="s">
        <v>48</v>
      </c>
      <c r="BH2" s="317" t="s">
        <v>48</v>
      </c>
      <c r="BI2" s="317" t="s">
        <v>48</v>
      </c>
      <c r="BJ2" s="345" t="s">
        <v>48</v>
      </c>
      <c r="BK2" s="12" t="s">
        <v>48</v>
      </c>
      <c r="BM2" s="225" t="s">
        <v>369</v>
      </c>
      <c r="BN2" s="12" t="s">
        <v>369</v>
      </c>
      <c r="BO2" s="12" t="s">
        <v>369</v>
      </c>
      <c r="BP2" s="12" t="s">
        <v>369</v>
      </c>
      <c r="BQ2" s="12" t="s">
        <v>369</v>
      </c>
      <c r="BR2" s="12" t="s">
        <v>369</v>
      </c>
      <c r="BS2" s="12" t="s">
        <v>369</v>
      </c>
      <c r="BT2" s="12" t="s">
        <v>369</v>
      </c>
      <c r="BU2" s="12" t="s">
        <v>369</v>
      </c>
      <c r="BV2" s="12" t="s">
        <v>369</v>
      </c>
      <c r="BW2" s="12" t="s">
        <v>369</v>
      </c>
      <c r="BX2" s="12" t="s">
        <v>369</v>
      </c>
      <c r="BY2" s="12" t="s">
        <v>369</v>
      </c>
      <c r="BZ2" s="12" t="s">
        <v>369</v>
      </c>
      <c r="CA2" s="12" t="s">
        <v>369</v>
      </c>
      <c r="CB2" s="12" t="s">
        <v>369</v>
      </c>
      <c r="CC2" s="12" t="s">
        <v>369</v>
      </c>
      <c r="CD2" s="12" t="s">
        <v>369</v>
      </c>
      <c r="CE2" s="12" t="s">
        <v>369</v>
      </c>
      <c r="CF2" s="12" t="s">
        <v>369</v>
      </c>
      <c r="CG2" s="12" t="s">
        <v>369</v>
      </c>
      <c r="CH2" s="12" t="s">
        <v>369</v>
      </c>
      <c r="CI2" s="12" t="s">
        <v>369</v>
      </c>
      <c r="CJ2" s="12" t="s">
        <v>369</v>
      </c>
      <c r="CK2" s="12" t="s">
        <v>369</v>
      </c>
      <c r="CL2" s="12" t="s">
        <v>369</v>
      </c>
      <c r="CM2" s="12" t="s">
        <v>369</v>
      </c>
      <c r="CN2" s="12" t="s">
        <v>369</v>
      </c>
      <c r="CO2" s="12" t="s">
        <v>369</v>
      </c>
      <c r="CP2" s="12" t="s">
        <v>369</v>
      </c>
      <c r="CQ2" s="12" t="s">
        <v>369</v>
      </c>
      <c r="CR2" s="12" t="s">
        <v>369</v>
      </c>
      <c r="CS2" s="12" t="s">
        <v>369</v>
      </c>
      <c r="CT2" s="12" t="s">
        <v>369</v>
      </c>
    </row>
    <row r="3" spans="1:98" s="2" customFormat="1" ht="13.5" customHeight="1">
      <c r="B3" s="11" t="s">
        <v>50</v>
      </c>
      <c r="C3" s="13">
        <v>41975</v>
      </c>
      <c r="D3" s="13">
        <v>42341</v>
      </c>
      <c r="E3" s="13">
        <v>42708</v>
      </c>
      <c r="F3" s="13">
        <v>43073</v>
      </c>
      <c r="G3" s="13">
        <v>43073</v>
      </c>
      <c r="H3" s="13">
        <v>43438</v>
      </c>
      <c r="I3" s="13">
        <v>43803</v>
      </c>
      <c r="J3" s="13">
        <v>44169</v>
      </c>
      <c r="K3" s="13">
        <v>44534</v>
      </c>
      <c r="L3" s="13">
        <v>44899</v>
      </c>
      <c r="M3" s="14">
        <v>45264</v>
      </c>
      <c r="N3" s="14">
        <v>45630</v>
      </c>
      <c r="O3" s="14">
        <f>BD3</f>
        <v>45909</v>
      </c>
      <c r="P3" s="394"/>
      <c r="Q3" s="13">
        <v>42437</v>
      </c>
      <c r="R3" s="13">
        <v>42527</v>
      </c>
      <c r="S3" s="13">
        <v>42622</v>
      </c>
      <c r="T3" s="13">
        <v>42714</v>
      </c>
      <c r="U3" s="144">
        <v>42801</v>
      </c>
      <c r="V3" s="13">
        <v>42801</v>
      </c>
      <c r="W3" s="13">
        <v>42892</v>
      </c>
      <c r="X3" s="13">
        <v>42987</v>
      </c>
      <c r="Y3" s="13">
        <v>43079</v>
      </c>
      <c r="Z3" s="13">
        <v>43190</v>
      </c>
      <c r="AA3" s="13">
        <v>43281</v>
      </c>
      <c r="AB3" s="13">
        <v>43352</v>
      </c>
      <c r="AC3" s="13">
        <v>43444</v>
      </c>
      <c r="AD3" s="13">
        <v>43555</v>
      </c>
      <c r="AE3" s="13">
        <v>43646</v>
      </c>
      <c r="AF3" s="13">
        <v>43717</v>
      </c>
      <c r="AG3" s="13">
        <v>43808</v>
      </c>
      <c r="AH3" s="13">
        <v>43921</v>
      </c>
      <c r="AI3" s="13">
        <v>44012</v>
      </c>
      <c r="AJ3" s="13">
        <v>44083</v>
      </c>
      <c r="AK3" s="13">
        <v>44174</v>
      </c>
      <c r="AL3" s="13">
        <v>44286</v>
      </c>
      <c r="AM3" s="13">
        <v>44377</v>
      </c>
      <c r="AN3" s="13">
        <v>44448</v>
      </c>
      <c r="AO3" s="13">
        <v>44539</v>
      </c>
      <c r="AP3" s="13">
        <v>44651</v>
      </c>
      <c r="AQ3" s="13">
        <v>44742</v>
      </c>
      <c r="AR3" s="13">
        <v>44813</v>
      </c>
      <c r="AS3" s="13">
        <v>44904</v>
      </c>
      <c r="AT3" s="13">
        <v>45016</v>
      </c>
      <c r="AU3" s="13">
        <v>45107</v>
      </c>
      <c r="AV3" s="14">
        <v>45178</v>
      </c>
      <c r="AW3" s="13">
        <v>45269</v>
      </c>
      <c r="AX3" s="13">
        <v>45382</v>
      </c>
      <c r="AY3" s="13">
        <v>45473</v>
      </c>
      <c r="AZ3" s="14">
        <v>45544</v>
      </c>
      <c r="BA3" s="13">
        <v>45635</v>
      </c>
      <c r="BB3" s="13">
        <v>45747</v>
      </c>
      <c r="BC3" s="14">
        <v>45838</v>
      </c>
      <c r="BD3" s="14">
        <v>45909</v>
      </c>
      <c r="BE3" s="394"/>
      <c r="BF3" s="226">
        <v>42892</v>
      </c>
      <c r="BG3" s="13">
        <v>42987</v>
      </c>
      <c r="BH3" s="13">
        <v>43078</v>
      </c>
      <c r="BI3" s="13">
        <v>43190</v>
      </c>
      <c r="BJ3" s="343">
        <v>44012</v>
      </c>
      <c r="BK3" s="13">
        <v>45016</v>
      </c>
      <c r="BM3" s="226">
        <v>42892</v>
      </c>
      <c r="BN3" s="13">
        <v>43162</v>
      </c>
      <c r="BO3" s="13">
        <v>43257</v>
      </c>
      <c r="BP3" s="13">
        <v>43350</v>
      </c>
      <c r="BQ3" s="13">
        <v>43078</v>
      </c>
      <c r="BR3" s="13">
        <v>43443</v>
      </c>
      <c r="BS3" s="13">
        <v>43555</v>
      </c>
      <c r="BT3" s="13">
        <v>43646</v>
      </c>
      <c r="BU3" s="13">
        <v>43738</v>
      </c>
      <c r="BV3" s="13">
        <v>43443</v>
      </c>
      <c r="BW3" s="13">
        <v>43808</v>
      </c>
      <c r="BX3" s="13">
        <v>43921</v>
      </c>
      <c r="BY3" s="13">
        <v>44012</v>
      </c>
      <c r="BZ3" s="13">
        <v>44104</v>
      </c>
      <c r="CA3" s="13">
        <v>44195</v>
      </c>
      <c r="CB3" s="13">
        <v>44286</v>
      </c>
      <c r="CC3" s="13">
        <v>44377</v>
      </c>
      <c r="CD3" s="13">
        <v>44469</v>
      </c>
      <c r="CE3" s="13">
        <v>44560</v>
      </c>
      <c r="CF3" s="13">
        <v>44651</v>
      </c>
      <c r="CG3" s="13">
        <v>44742</v>
      </c>
      <c r="CH3" s="13">
        <v>44834</v>
      </c>
      <c r="CI3" s="13">
        <v>44925</v>
      </c>
      <c r="CJ3" s="13">
        <v>45016</v>
      </c>
      <c r="CK3" s="13">
        <v>45107</v>
      </c>
      <c r="CL3" s="13">
        <v>45199</v>
      </c>
      <c r="CM3" s="13">
        <v>45291</v>
      </c>
      <c r="CN3" s="13">
        <v>45382</v>
      </c>
      <c r="CO3" s="13">
        <v>45473</v>
      </c>
      <c r="CP3" s="13">
        <v>45565</v>
      </c>
      <c r="CQ3" s="13">
        <v>45657</v>
      </c>
      <c r="CR3" s="13">
        <v>45747</v>
      </c>
      <c r="CS3" s="13">
        <v>45838</v>
      </c>
      <c r="CT3" s="13">
        <v>45930</v>
      </c>
    </row>
    <row r="4" spans="1:98" s="5" customFormat="1" ht="13.5" customHeight="1">
      <c r="B4" s="11"/>
      <c r="C4" s="14" t="s">
        <v>51</v>
      </c>
      <c r="D4" s="14" t="s">
        <v>51</v>
      </c>
      <c r="E4" s="14" t="s">
        <v>51</v>
      </c>
      <c r="F4" s="14" t="s">
        <v>51</v>
      </c>
      <c r="G4" s="14" t="s">
        <v>51</v>
      </c>
      <c r="H4" s="14" t="s">
        <v>51</v>
      </c>
      <c r="I4" s="14" t="s">
        <v>51</v>
      </c>
      <c r="J4" s="14" t="s">
        <v>51</v>
      </c>
      <c r="K4" s="14" t="s">
        <v>51</v>
      </c>
      <c r="L4" s="14" t="s">
        <v>51</v>
      </c>
      <c r="M4" s="14" t="s">
        <v>51</v>
      </c>
      <c r="N4" s="14" t="s">
        <v>51</v>
      </c>
      <c r="O4" s="14" t="s">
        <v>51</v>
      </c>
      <c r="P4" s="395"/>
      <c r="Q4" s="14" t="s">
        <v>51</v>
      </c>
      <c r="R4" s="14" t="s">
        <v>51</v>
      </c>
      <c r="S4" s="14" t="s">
        <v>51</v>
      </c>
      <c r="T4" s="14" t="s">
        <v>51</v>
      </c>
      <c r="U4" s="145" t="s">
        <v>51</v>
      </c>
      <c r="V4" s="14" t="s">
        <v>51</v>
      </c>
      <c r="W4" s="14" t="s">
        <v>51</v>
      </c>
      <c r="X4" s="14" t="s">
        <v>51</v>
      </c>
      <c r="Y4" s="14" t="s">
        <v>51</v>
      </c>
      <c r="Z4" s="14" t="s">
        <v>51</v>
      </c>
      <c r="AA4" s="14" t="s">
        <v>51</v>
      </c>
      <c r="AB4" s="14" t="s">
        <v>51</v>
      </c>
      <c r="AC4" s="14" t="s">
        <v>51</v>
      </c>
      <c r="AD4" s="14" t="s">
        <v>51</v>
      </c>
      <c r="AE4" s="14" t="s">
        <v>51</v>
      </c>
      <c r="AF4" s="14" t="s">
        <v>51</v>
      </c>
      <c r="AG4" s="14" t="s">
        <v>51</v>
      </c>
      <c r="AH4" s="14" t="s">
        <v>51</v>
      </c>
      <c r="AI4" s="14" t="s">
        <v>51</v>
      </c>
      <c r="AJ4" s="14" t="s">
        <v>51</v>
      </c>
      <c r="AK4" s="14" t="s">
        <v>51</v>
      </c>
      <c r="AL4" s="14" t="s">
        <v>51</v>
      </c>
      <c r="AM4" s="14" t="s">
        <v>51</v>
      </c>
      <c r="AN4" s="14" t="s">
        <v>51</v>
      </c>
      <c r="AO4" s="14" t="s">
        <v>51</v>
      </c>
      <c r="AP4" s="14" t="s">
        <v>51</v>
      </c>
      <c r="AQ4" s="14" t="s">
        <v>51</v>
      </c>
      <c r="AR4" s="14" t="s">
        <v>51</v>
      </c>
      <c r="AS4" s="14" t="s">
        <v>51</v>
      </c>
      <c r="AT4" s="14" t="s">
        <v>51</v>
      </c>
      <c r="AU4" s="14" t="s">
        <v>51</v>
      </c>
      <c r="AV4" s="14" t="s">
        <v>51</v>
      </c>
      <c r="AW4" s="14" t="s">
        <v>51</v>
      </c>
      <c r="AX4" s="14" t="s">
        <v>51</v>
      </c>
      <c r="AY4" s="14" t="s">
        <v>51</v>
      </c>
      <c r="AZ4" s="14" t="s">
        <v>51</v>
      </c>
      <c r="BA4" s="14" t="s">
        <v>51</v>
      </c>
      <c r="BB4" s="14" t="s">
        <v>51</v>
      </c>
      <c r="BC4" s="14" t="s">
        <v>51</v>
      </c>
      <c r="BD4" s="14" t="s">
        <v>51</v>
      </c>
      <c r="BE4" s="395"/>
      <c r="BF4" s="227" t="s">
        <v>51</v>
      </c>
      <c r="BG4" s="14" t="s">
        <v>51</v>
      </c>
      <c r="BH4" s="14" t="s">
        <v>51</v>
      </c>
      <c r="BI4" s="14" t="s">
        <v>370</v>
      </c>
      <c r="BJ4" s="344" t="s">
        <v>51</v>
      </c>
      <c r="BK4" s="14" t="s">
        <v>51</v>
      </c>
      <c r="BM4" s="227" t="s">
        <v>371</v>
      </c>
      <c r="BN4" s="14" t="s">
        <v>371</v>
      </c>
      <c r="BO4" s="14" t="s">
        <v>371</v>
      </c>
      <c r="BP4" s="14" t="s">
        <v>371</v>
      </c>
      <c r="BQ4" s="14" t="s">
        <v>371</v>
      </c>
      <c r="BR4" s="14" t="s">
        <v>371</v>
      </c>
      <c r="BS4" s="14" t="s">
        <v>371</v>
      </c>
      <c r="BT4" s="14" t="s">
        <v>371</v>
      </c>
      <c r="BU4" s="14" t="s">
        <v>371</v>
      </c>
      <c r="BV4" s="14" t="s">
        <v>371</v>
      </c>
      <c r="BW4" s="14" t="s">
        <v>371</v>
      </c>
      <c r="BX4" s="14" t="s">
        <v>371</v>
      </c>
      <c r="BY4" s="14" t="s">
        <v>371</v>
      </c>
      <c r="BZ4" s="14" t="s">
        <v>371</v>
      </c>
      <c r="CA4" s="14" t="s">
        <v>371</v>
      </c>
      <c r="CB4" s="14" t="s">
        <v>371</v>
      </c>
      <c r="CC4" s="14" t="s">
        <v>371</v>
      </c>
      <c r="CD4" s="14" t="s">
        <v>371</v>
      </c>
      <c r="CE4" s="14" t="s">
        <v>371</v>
      </c>
      <c r="CF4" s="14" t="s">
        <v>371</v>
      </c>
      <c r="CG4" s="14" t="s">
        <v>371</v>
      </c>
      <c r="CH4" s="14" t="s">
        <v>371</v>
      </c>
      <c r="CI4" s="14" t="s">
        <v>371</v>
      </c>
      <c r="CJ4" s="14" t="s">
        <v>371</v>
      </c>
      <c r="CK4" s="14" t="s">
        <v>371</v>
      </c>
      <c r="CL4" s="14" t="s">
        <v>371</v>
      </c>
      <c r="CM4" s="14" t="s">
        <v>371</v>
      </c>
      <c r="CN4" s="14" t="s">
        <v>371</v>
      </c>
      <c r="CO4" s="14" t="s">
        <v>371</v>
      </c>
      <c r="CP4" s="14" t="s">
        <v>371</v>
      </c>
      <c r="CQ4" s="14" t="s">
        <v>371</v>
      </c>
      <c r="CR4" s="14" t="s">
        <v>371</v>
      </c>
      <c r="CS4" s="14" t="s">
        <v>371</v>
      </c>
      <c r="CT4" s="14" t="s">
        <v>371</v>
      </c>
    </row>
    <row r="5" spans="1:98" s="3" customFormat="1" ht="13.5" customHeight="1">
      <c r="C5" s="23" t="s">
        <v>52</v>
      </c>
      <c r="D5" s="23" t="s">
        <v>52</v>
      </c>
      <c r="E5" s="23" t="s">
        <v>52</v>
      </c>
      <c r="F5" s="23" t="s">
        <v>52</v>
      </c>
      <c r="G5" s="23" t="s">
        <v>52</v>
      </c>
      <c r="H5" s="23" t="s">
        <v>52</v>
      </c>
      <c r="I5" s="23" t="s">
        <v>52</v>
      </c>
      <c r="J5" s="23" t="s">
        <v>52</v>
      </c>
      <c r="K5" s="23" t="s">
        <v>52</v>
      </c>
      <c r="L5" s="23" t="s">
        <v>52</v>
      </c>
      <c r="M5" s="23" t="s">
        <v>52</v>
      </c>
      <c r="N5" s="23" t="s">
        <v>52</v>
      </c>
      <c r="O5" s="23" t="s">
        <v>47</v>
      </c>
      <c r="P5" s="23"/>
      <c r="Q5" s="23" t="s">
        <v>55</v>
      </c>
      <c r="R5" s="23" t="s">
        <v>372</v>
      </c>
      <c r="S5" s="23" t="s">
        <v>53</v>
      </c>
      <c r="T5" s="23" t="s">
        <v>54</v>
      </c>
      <c r="U5" s="146" t="s">
        <v>55</v>
      </c>
      <c r="V5" s="23" t="s">
        <v>55</v>
      </c>
      <c r="W5" s="23" t="s">
        <v>372</v>
      </c>
      <c r="X5" s="23" t="s">
        <v>53</v>
      </c>
      <c r="Y5" s="23" t="s">
        <v>54</v>
      </c>
      <c r="Z5" s="333" t="s">
        <v>55</v>
      </c>
      <c r="AA5" s="23" t="s">
        <v>372</v>
      </c>
      <c r="AB5" s="23" t="s">
        <v>53</v>
      </c>
      <c r="AC5" s="23" t="s">
        <v>54</v>
      </c>
      <c r="AD5" s="333" t="s">
        <v>55</v>
      </c>
      <c r="AE5" s="23" t="s">
        <v>372</v>
      </c>
      <c r="AF5" s="23" t="s">
        <v>53</v>
      </c>
      <c r="AG5" s="23" t="s">
        <v>54</v>
      </c>
      <c r="AH5" s="333" t="s">
        <v>55</v>
      </c>
      <c r="AI5" s="23" t="s">
        <v>372</v>
      </c>
      <c r="AJ5" s="23" t="s">
        <v>53</v>
      </c>
      <c r="AK5" s="23" t="s">
        <v>54</v>
      </c>
      <c r="AL5" s="333" t="s">
        <v>55</v>
      </c>
      <c r="AM5" s="23" t="s">
        <v>372</v>
      </c>
      <c r="AN5" s="23" t="s">
        <v>53</v>
      </c>
      <c r="AO5" s="23" t="s">
        <v>54</v>
      </c>
      <c r="AP5" s="23" t="s">
        <v>55</v>
      </c>
      <c r="AQ5" s="23" t="s">
        <v>372</v>
      </c>
      <c r="AR5" s="23" t="s">
        <v>53</v>
      </c>
      <c r="AS5" s="23" t="s">
        <v>54</v>
      </c>
      <c r="AT5" s="23" t="s">
        <v>55</v>
      </c>
      <c r="AU5" s="23" t="s">
        <v>372</v>
      </c>
      <c r="AV5" s="23" t="s">
        <v>53</v>
      </c>
      <c r="AW5" s="23" t="s">
        <v>54</v>
      </c>
      <c r="AX5" s="23" t="s">
        <v>55</v>
      </c>
      <c r="AY5" s="23" t="s">
        <v>372</v>
      </c>
      <c r="AZ5" s="23" t="s">
        <v>53</v>
      </c>
      <c r="BA5" s="23" t="s">
        <v>54</v>
      </c>
      <c r="BB5" s="23" t="s">
        <v>55</v>
      </c>
      <c r="BC5" s="23" t="s">
        <v>372</v>
      </c>
      <c r="BD5" s="23" t="s">
        <v>53</v>
      </c>
      <c r="BE5" s="23"/>
      <c r="BF5" s="228" t="s">
        <v>372</v>
      </c>
      <c r="BG5" s="23" t="s">
        <v>53</v>
      </c>
      <c r="BH5" s="23" t="s">
        <v>54</v>
      </c>
      <c r="BI5" s="333" t="s">
        <v>55</v>
      </c>
      <c r="BJ5" s="385" t="s">
        <v>372</v>
      </c>
      <c r="BK5" s="23" t="s">
        <v>55</v>
      </c>
      <c r="BM5" s="228" t="s">
        <v>372</v>
      </c>
      <c r="BN5" s="23" t="s">
        <v>55</v>
      </c>
      <c r="BO5" s="23" t="s">
        <v>372</v>
      </c>
      <c r="BP5" s="23" t="s">
        <v>53</v>
      </c>
      <c r="BQ5" s="23" t="s">
        <v>52</v>
      </c>
      <c r="BR5" s="23" t="s">
        <v>52</v>
      </c>
      <c r="BS5" s="23" t="s">
        <v>55</v>
      </c>
      <c r="BT5" s="23" t="s">
        <v>372</v>
      </c>
      <c r="BU5" s="23" t="s">
        <v>53</v>
      </c>
      <c r="BV5" s="23" t="s">
        <v>54</v>
      </c>
      <c r="BW5" s="23" t="s">
        <v>54</v>
      </c>
      <c r="BX5" s="23" t="s">
        <v>55</v>
      </c>
      <c r="BY5" s="23" t="s">
        <v>372</v>
      </c>
      <c r="BZ5" s="23" t="s">
        <v>53</v>
      </c>
      <c r="CA5" s="23" t="s">
        <v>54</v>
      </c>
      <c r="CB5" s="23" t="s">
        <v>55</v>
      </c>
      <c r="CC5" s="23" t="s">
        <v>372</v>
      </c>
      <c r="CD5" s="23" t="s">
        <v>53</v>
      </c>
      <c r="CE5" s="23" t="s">
        <v>54</v>
      </c>
      <c r="CF5" s="23" t="s">
        <v>55</v>
      </c>
      <c r="CG5" s="23" t="s">
        <v>372</v>
      </c>
      <c r="CH5" s="23" t="s">
        <v>53</v>
      </c>
      <c r="CI5" s="23" t="s">
        <v>54</v>
      </c>
      <c r="CJ5" s="23" t="s">
        <v>55</v>
      </c>
      <c r="CK5" s="23" t="s">
        <v>372</v>
      </c>
      <c r="CL5" s="23" t="s">
        <v>53</v>
      </c>
      <c r="CM5" s="23" t="s">
        <v>54</v>
      </c>
      <c r="CN5" s="23" t="s">
        <v>55</v>
      </c>
      <c r="CO5" s="23" t="s">
        <v>372</v>
      </c>
      <c r="CP5" s="23" t="s">
        <v>53</v>
      </c>
      <c r="CQ5" s="23" t="s">
        <v>54</v>
      </c>
      <c r="CR5" s="23" t="s">
        <v>55</v>
      </c>
      <c r="CS5" s="23" t="s">
        <v>372</v>
      </c>
      <c r="CT5" s="23" t="s">
        <v>53</v>
      </c>
    </row>
    <row r="6" spans="1:98" ht="13.5" customHeight="1">
      <c r="A6" s="26"/>
      <c r="B6" s="16" t="s">
        <v>57</v>
      </c>
      <c r="C6" s="17"/>
      <c r="D6" s="17"/>
      <c r="E6" s="17"/>
      <c r="F6" s="17"/>
      <c r="G6" s="16" t="s">
        <v>370</v>
      </c>
      <c r="H6" s="17"/>
      <c r="I6" s="17"/>
      <c r="J6" s="17"/>
      <c r="K6" s="17"/>
      <c r="L6" s="17"/>
      <c r="M6" s="17"/>
      <c r="N6" s="17"/>
      <c r="O6" s="17"/>
      <c r="P6" s="26"/>
      <c r="Q6" s="17"/>
      <c r="R6" s="17"/>
      <c r="S6" s="17"/>
      <c r="T6" s="17"/>
      <c r="U6" s="147" t="s">
        <v>373</v>
      </c>
      <c r="V6" s="17"/>
      <c r="W6" s="17"/>
      <c r="X6" s="17"/>
      <c r="Y6" s="17"/>
      <c r="Z6" s="17"/>
      <c r="AA6" s="17"/>
      <c r="AB6" s="17"/>
      <c r="AC6" s="17"/>
      <c r="AD6" s="17"/>
      <c r="AE6" s="17"/>
      <c r="AF6" s="17"/>
      <c r="AG6" s="17"/>
      <c r="AH6" s="17"/>
      <c r="AI6" s="17"/>
      <c r="AJ6" s="17"/>
      <c r="AK6" s="17"/>
      <c r="AL6" s="17"/>
      <c r="AM6" s="17"/>
      <c r="AN6" s="17"/>
      <c r="AO6" s="17"/>
      <c r="AP6" s="17"/>
      <c r="AQ6" s="17"/>
      <c r="AR6" s="17"/>
      <c r="AS6" s="17"/>
      <c r="AT6" s="17"/>
      <c r="AU6" s="17"/>
      <c r="AV6" s="17"/>
      <c r="AW6" s="17"/>
      <c r="AX6" s="17"/>
      <c r="AY6" s="17"/>
      <c r="AZ6" s="17"/>
      <c r="BA6" s="17"/>
      <c r="BB6" s="17"/>
      <c r="BC6" s="17"/>
      <c r="BD6" s="17"/>
      <c r="BF6" s="229" t="s">
        <v>370</v>
      </c>
      <c r="BG6" s="321" t="s">
        <v>370</v>
      </c>
      <c r="BH6" s="321" t="s">
        <v>370</v>
      </c>
      <c r="BI6" s="321"/>
      <c r="BJ6" s="386" t="s">
        <v>370</v>
      </c>
      <c r="BK6" s="408" t="s">
        <v>370</v>
      </c>
      <c r="BL6" s="3"/>
      <c r="BM6" s="229"/>
      <c r="BN6" s="17"/>
      <c r="BO6" s="17"/>
      <c r="BP6" s="17"/>
      <c r="BQ6" s="321"/>
      <c r="BR6" s="17"/>
      <c r="BS6" s="17"/>
      <c r="BT6" s="17"/>
      <c r="BU6" s="17"/>
      <c r="BV6" s="17"/>
      <c r="BW6" s="17"/>
      <c r="BX6" s="17"/>
      <c r="BY6" s="17"/>
      <c r="BZ6" s="17"/>
      <c r="CA6" s="17"/>
      <c r="CB6" s="17"/>
      <c r="CC6" s="17"/>
      <c r="CD6" s="17"/>
      <c r="CE6" s="17"/>
      <c r="CF6" s="17"/>
      <c r="CG6" s="17"/>
      <c r="CH6" s="17"/>
      <c r="CI6" s="17"/>
      <c r="CJ6" s="17"/>
      <c r="CK6" s="17"/>
      <c r="CL6" s="17"/>
      <c r="CM6" s="17"/>
      <c r="CN6" s="17"/>
      <c r="CO6" s="17"/>
      <c r="CP6" s="17"/>
      <c r="CQ6" s="17"/>
      <c r="CR6" s="17"/>
      <c r="CS6" s="17"/>
      <c r="CT6" s="17"/>
    </row>
    <row r="7" spans="1:98" s="5" customFormat="1" ht="12.75">
      <c r="B7" s="5" t="s">
        <v>58</v>
      </c>
      <c r="C7" s="98">
        <v>15208.758</v>
      </c>
      <c r="D7" s="98">
        <v>19549.362000000001</v>
      </c>
      <c r="E7" s="98">
        <v>18828.356</v>
      </c>
      <c r="F7" s="98">
        <v>18577.873</v>
      </c>
      <c r="G7" s="98">
        <v>10127.696</v>
      </c>
      <c r="H7" s="98">
        <v>29715.175999999999</v>
      </c>
      <c r="I7" s="98">
        <v>48761.057000000001</v>
      </c>
      <c r="J7" s="98">
        <v>67481.532000000007</v>
      </c>
      <c r="K7" s="98">
        <v>85388.467999999993</v>
      </c>
      <c r="L7" s="98">
        <v>125371.36</v>
      </c>
      <c r="M7" s="98">
        <v>132218.01</v>
      </c>
      <c r="N7" s="98">
        <v>148860.959</v>
      </c>
      <c r="O7" s="101">
        <f>SUM(BA7:BD7)</f>
        <v>162012.84600000002</v>
      </c>
      <c r="P7" s="101"/>
      <c r="Q7" s="98">
        <v>4906.4080000000004</v>
      </c>
      <c r="R7" s="98">
        <v>4675.6689999999999</v>
      </c>
      <c r="S7" s="100">
        <v>4347.1790000000001</v>
      </c>
      <c r="T7" s="101">
        <f>E7-SUM(Q7:S7)</f>
        <v>4899.0999999999985</v>
      </c>
      <c r="U7" s="148">
        <v>4136.1639999999998</v>
      </c>
      <c r="V7" s="98">
        <v>2045.5170000000001</v>
      </c>
      <c r="W7" s="98">
        <v>4312.9560000000001</v>
      </c>
      <c r="X7" s="98">
        <v>4831.1030000000001</v>
      </c>
      <c r="Y7" s="101">
        <f>F7-W7-X7-U7</f>
        <v>5297.6499999999987</v>
      </c>
      <c r="Z7" s="98">
        <v>2947.076</v>
      </c>
      <c r="AA7" s="98">
        <v>5114.9970000000003</v>
      </c>
      <c r="AB7" s="98">
        <v>11088.91</v>
      </c>
      <c r="AC7" s="101">
        <f>H7-AB7-AA7-Z7</f>
        <v>10564.192999999999</v>
      </c>
      <c r="AD7" s="98">
        <v>10079.684999999999</v>
      </c>
      <c r="AE7" s="98">
        <v>11719.125</v>
      </c>
      <c r="AF7" s="98">
        <v>12744.371999999999</v>
      </c>
      <c r="AG7" s="101">
        <f>I7-AF7-AE7-AD7</f>
        <v>14217.874999999998</v>
      </c>
      <c r="AH7" s="98">
        <v>13501.609</v>
      </c>
      <c r="AI7" s="98">
        <v>18880.652999999998</v>
      </c>
      <c r="AJ7" s="98">
        <v>16833.145</v>
      </c>
      <c r="AK7" s="101">
        <f>J7-AJ7-AI7-AH7</f>
        <v>18266.125000000004</v>
      </c>
      <c r="AL7" s="98">
        <v>17235.826000000001</v>
      </c>
      <c r="AM7" s="98">
        <v>20573.672999999999</v>
      </c>
      <c r="AN7" s="98">
        <v>23637.794000000002</v>
      </c>
      <c r="AO7" s="101">
        <f>K7-AN7-AM7-AL7</f>
        <v>23941.174999999988</v>
      </c>
      <c r="AP7" s="98">
        <v>22340.812000000002</v>
      </c>
      <c r="AQ7" s="98">
        <v>34485.644</v>
      </c>
      <c r="AR7" s="98">
        <v>34986.487999999998</v>
      </c>
      <c r="AS7" s="101">
        <f>L7-AR7-AQ7-AP7</f>
        <v>33558.415999999997</v>
      </c>
      <c r="AT7" s="98">
        <v>31757.481</v>
      </c>
      <c r="AU7" s="98">
        <v>31366.087</v>
      </c>
      <c r="AV7" s="98">
        <v>34695.055</v>
      </c>
      <c r="AW7" s="101">
        <f>M7-AV7-AU7-AT7</f>
        <v>34399.387000000017</v>
      </c>
      <c r="AX7" s="98">
        <v>31590.916000000001</v>
      </c>
      <c r="AY7" s="98">
        <v>36059.538999999997</v>
      </c>
      <c r="AZ7" s="98">
        <v>39060.247000000003</v>
      </c>
      <c r="BA7" s="101">
        <f>N7-AZ7-AY7-AX7</f>
        <v>42150.257000000012</v>
      </c>
      <c r="BB7" s="98">
        <v>39405.008999999998</v>
      </c>
      <c r="BC7" s="98">
        <v>38692.048000000003</v>
      </c>
      <c r="BD7" s="98">
        <v>41765.531999999999</v>
      </c>
      <c r="BE7" s="98"/>
      <c r="BF7" s="230">
        <v>2180.0680000000002</v>
      </c>
      <c r="BG7" s="98">
        <v>2687.0430000000001</v>
      </c>
      <c r="BH7" s="98">
        <v>3107</v>
      </c>
      <c r="BI7" s="98">
        <v>3063.4859999999999</v>
      </c>
      <c r="BJ7" s="291">
        <v>18880.652999999998</v>
      </c>
      <c r="BK7" s="98">
        <v>30684.452000000001</v>
      </c>
      <c r="BM7" s="98">
        <v>8200</v>
      </c>
      <c r="BN7" s="98">
        <v>9364</v>
      </c>
      <c r="BO7" s="98">
        <v>11147</v>
      </c>
      <c r="BP7" s="98">
        <v>12302</v>
      </c>
      <c r="BQ7" s="98">
        <v>34577</v>
      </c>
      <c r="BR7" s="98">
        <v>41421</v>
      </c>
      <c r="BS7" s="98">
        <v>10668</v>
      </c>
      <c r="BT7" s="98">
        <v>12241</v>
      </c>
      <c r="BU7" s="98">
        <v>12744</v>
      </c>
      <c r="BV7" s="98">
        <v>11512</v>
      </c>
      <c r="BW7" s="98">
        <v>14218</v>
      </c>
      <c r="BX7" s="98">
        <v>13502</v>
      </c>
      <c r="BY7" s="98">
        <v>18881</v>
      </c>
      <c r="BZ7" s="98">
        <v>16833</v>
      </c>
      <c r="CA7" s="98">
        <v>18266</v>
      </c>
      <c r="CB7" s="98">
        <v>17236</v>
      </c>
      <c r="CC7" s="98">
        <v>20574</v>
      </c>
      <c r="CD7" s="98">
        <v>23638</v>
      </c>
      <c r="CE7" s="98">
        <v>23941</v>
      </c>
      <c r="CF7" s="98">
        <f>AP7</f>
        <v>22340.812000000002</v>
      </c>
      <c r="CG7" s="98">
        <f>AQ7</f>
        <v>34485.644</v>
      </c>
      <c r="CH7" s="98">
        <v>34986.487999999998</v>
      </c>
      <c r="CI7" s="98">
        <v>37389</v>
      </c>
      <c r="CJ7" s="98">
        <f>AT7</f>
        <v>31757.481</v>
      </c>
      <c r="CK7" s="98">
        <f>AU7</f>
        <v>31366.087</v>
      </c>
      <c r="CL7" s="98">
        <v>35649.5</v>
      </c>
      <c r="CM7" s="98">
        <v>36564</v>
      </c>
      <c r="CN7" s="98">
        <f t="shared" ref="CN7:CT7" si="0">AX7</f>
        <v>31590.916000000001</v>
      </c>
      <c r="CO7" s="98">
        <f t="shared" si="0"/>
        <v>36059.538999999997</v>
      </c>
      <c r="CP7" s="98">
        <f t="shared" si="0"/>
        <v>39060.247000000003</v>
      </c>
      <c r="CQ7" s="98">
        <f t="shared" si="0"/>
        <v>42150.257000000012</v>
      </c>
      <c r="CR7" s="98">
        <f t="shared" si="0"/>
        <v>39405.008999999998</v>
      </c>
      <c r="CS7" s="98">
        <f t="shared" si="0"/>
        <v>38692.048000000003</v>
      </c>
      <c r="CT7" s="98">
        <f t="shared" si="0"/>
        <v>41765.531999999999</v>
      </c>
    </row>
    <row r="8" spans="1:98" s="46" customFormat="1" ht="12.75">
      <c r="B8" s="19" t="s">
        <v>59</v>
      </c>
      <c r="C8" s="102">
        <f>C7/18752.376-1</f>
        <v>-0.18896901384656539</v>
      </c>
      <c r="D8" s="99">
        <f>D7/C7-1</f>
        <v>0.28540160873096942</v>
      </c>
      <c r="E8" s="99">
        <f>E7/D7-1</f>
        <v>-3.6881305896325434E-2</v>
      </c>
      <c r="F8" s="99">
        <f>F7/E7-1</f>
        <v>-1.3303498191769902E-2</v>
      </c>
      <c r="G8" s="99"/>
      <c r="H8" s="99">
        <f>H7/F7-1</f>
        <v>0.59949290212071094</v>
      </c>
      <c r="I8" s="99">
        <f t="shared" ref="I8:N8" si="1">I7/H7-1</f>
        <v>0.64094794525194798</v>
      </c>
      <c r="J8" s="99">
        <f t="shared" si="1"/>
        <v>0.38392266599142855</v>
      </c>
      <c r="K8" s="99">
        <f t="shared" si="1"/>
        <v>0.26536054338541071</v>
      </c>
      <c r="L8" s="99">
        <f t="shared" si="1"/>
        <v>0.4682469768634332</v>
      </c>
      <c r="M8" s="99">
        <f t="shared" si="1"/>
        <v>5.4610957398882887E-2</v>
      </c>
      <c r="N8" s="99">
        <f t="shared" si="1"/>
        <v>0.12587505287668455</v>
      </c>
      <c r="O8" s="99"/>
      <c r="P8" s="302"/>
      <c r="Q8" s="102">
        <f>Q7/4227.775-1</f>
        <v>0.16051776643742888</v>
      </c>
      <c r="R8" s="102">
        <f>R7/4722.433-1</f>
        <v>-9.9025227038689323E-3</v>
      </c>
      <c r="S8" s="102">
        <f>S7/5119.617-1</f>
        <v>-0.15087808326286911</v>
      </c>
      <c r="T8" s="102">
        <f>T7/4758.531-1</f>
        <v>2.954041909152183E-2</v>
      </c>
      <c r="U8" s="149">
        <f>U7/Q7-1</f>
        <v>-0.15698735205062453</v>
      </c>
      <c r="V8" s="99">
        <f>V7/Q7-1</f>
        <v>-0.58309276358590645</v>
      </c>
      <c r="W8" s="99">
        <f>W7/R7-1</f>
        <v>-7.757456740415114E-2</v>
      </c>
      <c r="X8" s="99">
        <f>X7/S7-1</f>
        <v>0.11131908761981046</v>
      </c>
      <c r="Y8" s="99">
        <f>Y7/T7-1</f>
        <v>8.1351676838603115E-2</v>
      </c>
      <c r="Z8" s="99">
        <f>Z7/V7-1</f>
        <v>0.44074872025018608</v>
      </c>
      <c r="AA8" s="99">
        <f>AA7/BF7-1</f>
        <v>1.3462557131245445</v>
      </c>
      <c r="AB8" s="99">
        <f>AB7/BG7-1</f>
        <v>3.1268077957814588</v>
      </c>
      <c r="AC8" s="99">
        <f>AC7/BH7-1</f>
        <v>2.4001264885741871</v>
      </c>
      <c r="AD8" s="99">
        <f>AD7/BI7-1</f>
        <v>2.2902663828070375</v>
      </c>
      <c r="AE8" s="99">
        <f t="shared" ref="AE8:BD8" si="2">AE7/AA7-1</f>
        <v>1.2911303760295461</v>
      </c>
      <c r="AF8" s="99">
        <f t="shared" si="2"/>
        <v>0.14928987610143829</v>
      </c>
      <c r="AG8" s="99">
        <f t="shared" si="2"/>
        <v>0.34585528681651301</v>
      </c>
      <c r="AH8" s="99">
        <f t="shared" si="2"/>
        <v>0.33948719627647095</v>
      </c>
      <c r="AI8" s="99">
        <f t="shared" si="2"/>
        <v>0.61109750087997172</v>
      </c>
      <c r="AJ8" s="99">
        <f t="shared" si="2"/>
        <v>0.32082969643384551</v>
      </c>
      <c r="AK8" s="99">
        <f t="shared" si="2"/>
        <v>0.28472960973422579</v>
      </c>
      <c r="AL8" s="99">
        <f t="shared" si="2"/>
        <v>0.27657570294029399</v>
      </c>
      <c r="AM8" s="99">
        <f>AM7/BJ7-1</f>
        <v>8.9669568102332065E-2</v>
      </c>
      <c r="AN8" s="99">
        <f t="shared" si="2"/>
        <v>0.40424109695484711</v>
      </c>
      <c r="AO8" s="99">
        <f t="shared" si="2"/>
        <v>0.31068713260201508</v>
      </c>
      <c r="AP8" s="99">
        <f t="shared" si="2"/>
        <v>0.29618458668589476</v>
      </c>
      <c r="AQ8" s="99">
        <f t="shared" si="2"/>
        <v>0.67620259153530826</v>
      </c>
      <c r="AR8" s="99">
        <f t="shared" si="2"/>
        <v>0.48010799992588127</v>
      </c>
      <c r="AS8" s="99">
        <f t="shared" si="2"/>
        <v>0.40170296570657094</v>
      </c>
      <c r="AT8" s="99">
        <f t="shared" si="2"/>
        <v>0.42150074939084559</v>
      </c>
      <c r="AU8" s="99">
        <f t="shared" si="2"/>
        <v>-9.0459583703873969E-2</v>
      </c>
      <c r="AV8" s="99">
        <f t="shared" si="2"/>
        <v>-8.32987294980847E-3</v>
      </c>
      <c r="AW8" s="99">
        <f t="shared" si="2"/>
        <v>2.5059913435724113E-2</v>
      </c>
      <c r="AX8" s="99">
        <f t="shared" si="2"/>
        <v>-5.2449059168137024E-3</v>
      </c>
      <c r="AY8" s="99">
        <f t="shared" si="2"/>
        <v>0.14963460376807602</v>
      </c>
      <c r="AZ8" s="99">
        <f t="shared" si="2"/>
        <v>0.12581597002800549</v>
      </c>
      <c r="BA8" s="99">
        <f t="shared" si="2"/>
        <v>0.22532000352215564</v>
      </c>
      <c r="BB8" s="99">
        <f t="shared" si="2"/>
        <v>0.2473525300754178</v>
      </c>
      <c r="BC8" s="99">
        <f t="shared" si="2"/>
        <v>7.3004510678852608E-2</v>
      </c>
      <c r="BD8" s="99">
        <f t="shared" si="2"/>
        <v>6.9259290654255068E-2</v>
      </c>
      <c r="BE8" s="322"/>
      <c r="BF8" s="283"/>
      <c r="BG8" s="318">
        <f>BG7/BF7-1</f>
        <v>0.23255008559366042</v>
      </c>
      <c r="BH8" s="318"/>
      <c r="BI8" s="318">
        <f>BI7/U7-1</f>
        <v>-0.25934126403111679</v>
      </c>
      <c r="BJ8" s="292">
        <f>BJ7/AE7-1</f>
        <v>0.61109750087997172</v>
      </c>
      <c r="BK8" s="99">
        <f>BK7/AP7-1</f>
        <v>0.37347075835918586</v>
      </c>
      <c r="BM8" s="417"/>
      <c r="BN8" s="318"/>
      <c r="BO8" s="318">
        <f>BO7/BM7-1</f>
        <v>0.35939024390243901</v>
      </c>
      <c r="BP8" s="318">
        <f>BP7/BN7-1</f>
        <v>0.31375480563861591</v>
      </c>
      <c r="BQ8" s="99"/>
      <c r="BR8" s="318"/>
      <c r="BS8" s="318"/>
      <c r="BT8" s="318"/>
      <c r="BU8" s="318"/>
      <c r="BV8" s="318"/>
      <c r="BW8" s="318"/>
      <c r="BX8" s="318"/>
      <c r="BY8" s="318"/>
      <c r="BZ8" s="318"/>
      <c r="CA8" s="318"/>
      <c r="CB8" s="318"/>
      <c r="CC8" s="318"/>
      <c r="CD8" s="318"/>
      <c r="CE8" s="318"/>
      <c r="CF8" s="318"/>
      <c r="CG8" s="318"/>
      <c r="CH8" s="318"/>
      <c r="CI8" s="318"/>
      <c r="CJ8" s="318"/>
      <c r="CK8" s="318"/>
      <c r="CL8" s="318"/>
      <c r="CM8" s="318"/>
      <c r="CN8" s="318"/>
      <c r="CO8" s="318"/>
      <c r="CP8" s="318"/>
      <c r="CQ8" s="318"/>
      <c r="CR8" s="318"/>
      <c r="CS8" s="318"/>
      <c r="CT8" s="318"/>
    </row>
    <row r="9" spans="1:98" s="46" customFormat="1" ht="12.75">
      <c r="B9" s="5" t="s">
        <v>60</v>
      </c>
      <c r="C9" s="100">
        <v>-13227.442999999999</v>
      </c>
      <c r="D9" s="100">
        <v>-17249.936000000002</v>
      </c>
      <c r="E9" s="100">
        <v>-16661.536</v>
      </c>
      <c r="F9" s="100">
        <v>-16355.35</v>
      </c>
      <c r="G9" s="100">
        <v>-8759.9979999999996</v>
      </c>
      <c r="H9" s="100">
        <v>-25872.891</v>
      </c>
      <c r="I9" s="100">
        <v>-42377.120999999999</v>
      </c>
      <c r="J9" s="100">
        <v>-55759.951000000001</v>
      </c>
      <c r="K9" s="100">
        <v>-68187.862999999998</v>
      </c>
      <c r="L9" s="100">
        <v>-108890.314</v>
      </c>
      <c r="M9" s="100">
        <v>-118840.54</v>
      </c>
      <c r="N9" s="100">
        <v>-129170.289</v>
      </c>
      <c r="O9" s="103">
        <f>SUM(BA9:BD9)</f>
        <v>-141793.269</v>
      </c>
      <c r="P9" s="103"/>
      <c r="Q9" s="100">
        <v>-4330.701</v>
      </c>
      <c r="R9" s="100">
        <v>-4101.692</v>
      </c>
      <c r="S9" s="100">
        <v>-3858.5709999999999</v>
      </c>
      <c r="T9" s="103">
        <f>E9-SUM(Q9:S9)</f>
        <v>-4370.5720000000001</v>
      </c>
      <c r="U9" s="150">
        <v>-3675.7379999999998</v>
      </c>
      <c r="V9" s="100">
        <v>-1784.489</v>
      </c>
      <c r="W9" s="100">
        <v>-3817.1460000000002</v>
      </c>
      <c r="X9" s="100">
        <v>-4202.8639999999996</v>
      </c>
      <c r="Y9" s="103">
        <f>F9-W9-X9-U9</f>
        <v>-4659.6020000000008</v>
      </c>
      <c r="Z9" s="100">
        <v>-2589.0160000000001</v>
      </c>
      <c r="AA9" s="100">
        <v>-4360.4110000000001</v>
      </c>
      <c r="AB9" s="100">
        <v>-9573.2099999999991</v>
      </c>
      <c r="AC9" s="101">
        <f>H9-AB9-AA9-Z9</f>
        <v>-9350.2540000000008</v>
      </c>
      <c r="AD9" s="100">
        <v>-9152.2099999999991</v>
      </c>
      <c r="AE9" s="100">
        <v>-10238.548000000001</v>
      </c>
      <c r="AF9" s="100">
        <v>-10844.446</v>
      </c>
      <c r="AG9" s="103">
        <f>I9-AF9-AE9-AD9</f>
        <v>-12141.917000000001</v>
      </c>
      <c r="AH9" s="100">
        <v>-11825.502</v>
      </c>
      <c r="AI9" s="100">
        <v>-14319.687</v>
      </c>
      <c r="AJ9" s="100">
        <v>-14084.82</v>
      </c>
      <c r="AK9" s="103">
        <f>J9-AJ9-AI9-AH9</f>
        <v>-15529.942000000003</v>
      </c>
      <c r="AL9" s="100">
        <v>-14985.944</v>
      </c>
      <c r="AM9" s="100">
        <v>-16064.939</v>
      </c>
      <c r="AN9" s="100">
        <v>-18222.646000000001</v>
      </c>
      <c r="AO9" s="103">
        <f>K9-AN9-AM9-AL9</f>
        <v>-18914.333999999999</v>
      </c>
      <c r="AP9" s="100">
        <v>-18858.706999999999</v>
      </c>
      <c r="AQ9" s="100">
        <v>-29704.16</v>
      </c>
      <c r="AR9" s="100">
        <v>-29934.281999999999</v>
      </c>
      <c r="AS9" s="103">
        <f>L9-AR9-AQ9-AP9</f>
        <v>-30393.165000000005</v>
      </c>
      <c r="AT9" s="100">
        <v>-28981.685000000001</v>
      </c>
      <c r="AU9" s="100">
        <v>-28674.241999999998</v>
      </c>
      <c r="AV9" s="100">
        <v>-30967.627</v>
      </c>
      <c r="AW9" s="103">
        <f>M9-AV9-AU9-AT9</f>
        <v>-30216.986000000001</v>
      </c>
      <c r="AX9" s="100">
        <v>-27753.192999999999</v>
      </c>
      <c r="AY9" s="100">
        <v>-31199.699000000001</v>
      </c>
      <c r="AZ9" s="100">
        <v>-33748.209000000003</v>
      </c>
      <c r="BA9" s="103">
        <f>N9-AZ9-AY9-AX9</f>
        <v>-36469.188000000002</v>
      </c>
      <c r="BB9" s="100">
        <v>-34762.076000000001</v>
      </c>
      <c r="BC9" s="100">
        <v>-33944.044999999998</v>
      </c>
      <c r="BD9" s="100">
        <v>-36617.96</v>
      </c>
      <c r="BE9" s="100"/>
      <c r="BF9" s="284">
        <v>-1906.7149999999999</v>
      </c>
      <c r="BG9" s="100">
        <v>-2298.5549999999998</v>
      </c>
      <c r="BH9" s="100">
        <v>-2659</v>
      </c>
      <c r="BI9" s="100">
        <v>-2690.2139999999999</v>
      </c>
      <c r="BJ9" s="293">
        <v>-14319.687</v>
      </c>
      <c r="BK9" s="100">
        <v>-28084.639999999999</v>
      </c>
      <c r="BM9" s="189"/>
      <c r="BN9" s="100">
        <v>-8496</v>
      </c>
      <c r="BO9" s="100">
        <v>-9703</v>
      </c>
      <c r="BP9" s="100">
        <v>-10667</v>
      </c>
      <c r="BQ9" s="100">
        <v>-30834</v>
      </c>
      <c r="BR9" s="100">
        <v>-36502</v>
      </c>
      <c r="BS9" s="100">
        <v>-9716</v>
      </c>
      <c r="BT9" s="100">
        <v>-10722</v>
      </c>
      <c r="BU9" s="100">
        <v>-10844</v>
      </c>
      <c r="BV9" s="100">
        <v>-10210</v>
      </c>
      <c r="BW9" s="100">
        <v>-12142</v>
      </c>
      <c r="BX9" s="100">
        <v>-11826</v>
      </c>
      <c r="BY9" s="100">
        <v>-14320</v>
      </c>
      <c r="BZ9" s="100">
        <v>-14085</v>
      </c>
      <c r="CA9" s="100">
        <v>-15530</v>
      </c>
      <c r="CB9" s="100">
        <v>-14986</v>
      </c>
      <c r="CC9" s="100">
        <v>-16065</v>
      </c>
      <c r="CD9" s="100">
        <v>-18223</v>
      </c>
      <c r="CE9" s="100">
        <v>-18914</v>
      </c>
      <c r="CF9" s="100">
        <f>AP9</f>
        <v>-18858.706999999999</v>
      </c>
      <c r="CG9" s="100">
        <f>AQ9</f>
        <v>-29704.16</v>
      </c>
      <c r="CH9" s="100">
        <v>-29934.281999999999</v>
      </c>
      <c r="CI9" s="100">
        <v>-33282</v>
      </c>
      <c r="CJ9" s="100">
        <f>AT9</f>
        <v>-28981.685000000001</v>
      </c>
      <c r="CK9" s="100">
        <f>AU9</f>
        <v>-28674.241999999998</v>
      </c>
      <c r="CL9" s="100">
        <v>-31697.4</v>
      </c>
      <c r="CM9" s="100">
        <v>-31814.853336844506</v>
      </c>
      <c r="CN9" s="100">
        <f t="shared" ref="CN9:CT9" si="3">AX9</f>
        <v>-27753.192999999999</v>
      </c>
      <c r="CO9" s="100">
        <f t="shared" si="3"/>
        <v>-31199.699000000001</v>
      </c>
      <c r="CP9" s="100">
        <f t="shared" si="3"/>
        <v>-33748.209000000003</v>
      </c>
      <c r="CQ9" s="100">
        <f t="shared" si="3"/>
        <v>-36469.188000000002</v>
      </c>
      <c r="CR9" s="100">
        <f t="shared" si="3"/>
        <v>-34762.076000000001</v>
      </c>
      <c r="CS9" s="100">
        <f t="shared" si="3"/>
        <v>-33944.044999999998</v>
      </c>
      <c r="CT9" s="100">
        <f t="shared" si="3"/>
        <v>-36617.96</v>
      </c>
    </row>
    <row r="10" spans="1:98" s="5" customFormat="1" ht="12.75">
      <c r="B10" s="5" t="s">
        <v>61</v>
      </c>
      <c r="C10" s="101">
        <f t="shared" ref="C10:H10" si="4">C7+C9</f>
        <v>1981.3150000000005</v>
      </c>
      <c r="D10" s="101">
        <f t="shared" si="4"/>
        <v>2299.4259999999995</v>
      </c>
      <c r="E10" s="101">
        <f t="shared" si="4"/>
        <v>2166.8199999999997</v>
      </c>
      <c r="F10" s="101">
        <f t="shared" si="4"/>
        <v>2222.5229999999992</v>
      </c>
      <c r="G10" s="101">
        <f t="shared" si="4"/>
        <v>1367.6980000000003</v>
      </c>
      <c r="H10" s="101">
        <f t="shared" si="4"/>
        <v>3842.2849999999999</v>
      </c>
      <c r="I10" s="101">
        <f t="shared" ref="I10:O10" si="5">I7+I9</f>
        <v>6383.9360000000015</v>
      </c>
      <c r="J10" s="101">
        <f t="shared" si="5"/>
        <v>11721.581000000006</v>
      </c>
      <c r="K10" s="101">
        <f t="shared" si="5"/>
        <v>17200.604999999996</v>
      </c>
      <c r="L10" s="101">
        <f t="shared" si="5"/>
        <v>16481.046000000002</v>
      </c>
      <c r="M10" s="101">
        <f t="shared" si="5"/>
        <v>13377.470000000016</v>
      </c>
      <c r="N10" s="101">
        <f>N7+N9</f>
        <v>19690.669999999998</v>
      </c>
      <c r="O10" s="101">
        <f t="shared" si="5"/>
        <v>20219.577000000019</v>
      </c>
      <c r="P10" s="101"/>
      <c r="Q10" s="101">
        <f t="shared" ref="Q10:AA10" si="6">Q7+Q9</f>
        <v>575.70700000000033</v>
      </c>
      <c r="R10" s="101">
        <f t="shared" si="6"/>
        <v>573.97699999999986</v>
      </c>
      <c r="S10" s="101">
        <f t="shared" si="6"/>
        <v>488.60800000000017</v>
      </c>
      <c r="T10" s="101">
        <f t="shared" si="6"/>
        <v>528.52799999999843</v>
      </c>
      <c r="U10" s="151">
        <f>U7+U9</f>
        <v>460.42599999999993</v>
      </c>
      <c r="V10" s="101">
        <f t="shared" si="6"/>
        <v>261.02800000000002</v>
      </c>
      <c r="W10" s="101">
        <f t="shared" si="6"/>
        <v>495.80999999999995</v>
      </c>
      <c r="X10" s="101">
        <f t="shared" si="6"/>
        <v>628.23900000000049</v>
      </c>
      <c r="Y10" s="101">
        <f t="shared" si="6"/>
        <v>638.04799999999796</v>
      </c>
      <c r="Z10" s="101">
        <f t="shared" si="6"/>
        <v>358.05999999999995</v>
      </c>
      <c r="AA10" s="101">
        <f t="shared" si="6"/>
        <v>754.58600000000024</v>
      </c>
      <c r="AB10" s="101">
        <f t="shared" ref="AB10:AG10" si="7">AB7+AB9</f>
        <v>1515.7000000000007</v>
      </c>
      <c r="AC10" s="101">
        <f t="shared" si="7"/>
        <v>1213.9389999999985</v>
      </c>
      <c r="AD10" s="101">
        <f t="shared" si="7"/>
        <v>927.47500000000036</v>
      </c>
      <c r="AE10" s="101">
        <f t="shared" si="7"/>
        <v>1480.5769999999993</v>
      </c>
      <c r="AF10" s="101">
        <f t="shared" si="7"/>
        <v>1899.9259999999995</v>
      </c>
      <c r="AG10" s="101">
        <f t="shared" si="7"/>
        <v>2075.9579999999969</v>
      </c>
      <c r="AH10" s="101">
        <f t="shared" ref="AH10:AM10" si="8">AH7+AH9</f>
        <v>1676.107</v>
      </c>
      <c r="AI10" s="101">
        <f t="shared" si="8"/>
        <v>4560.9659999999985</v>
      </c>
      <c r="AJ10" s="101">
        <f t="shared" si="8"/>
        <v>2748.3250000000007</v>
      </c>
      <c r="AK10" s="101">
        <f t="shared" si="8"/>
        <v>2736.1830000000009</v>
      </c>
      <c r="AL10" s="101">
        <f t="shared" si="8"/>
        <v>2249.8820000000014</v>
      </c>
      <c r="AM10" s="101">
        <f t="shared" si="8"/>
        <v>4508.7339999999986</v>
      </c>
      <c r="AN10" s="101">
        <f t="shared" ref="AN10:AS10" si="9">AN7+AN9</f>
        <v>5415.148000000001</v>
      </c>
      <c r="AO10" s="101">
        <f t="shared" si="9"/>
        <v>5026.8409999999894</v>
      </c>
      <c r="AP10" s="101">
        <f t="shared" si="9"/>
        <v>3482.1050000000032</v>
      </c>
      <c r="AQ10" s="101">
        <f t="shared" si="9"/>
        <v>4781.4840000000004</v>
      </c>
      <c r="AR10" s="101">
        <f t="shared" si="9"/>
        <v>5052.2059999999983</v>
      </c>
      <c r="AS10" s="101">
        <f t="shared" si="9"/>
        <v>3165.2509999999929</v>
      </c>
      <c r="AT10" s="101">
        <f t="shared" ref="AT10:AZ10" si="10">AT7+AT9</f>
        <v>2775.7959999999985</v>
      </c>
      <c r="AU10" s="101">
        <f t="shared" si="10"/>
        <v>2691.8450000000012</v>
      </c>
      <c r="AV10" s="101">
        <f t="shared" si="10"/>
        <v>3727.4279999999999</v>
      </c>
      <c r="AW10" s="101">
        <f t="shared" si="10"/>
        <v>4182.4010000000162</v>
      </c>
      <c r="AX10" s="101">
        <f t="shared" si="10"/>
        <v>3837.7230000000018</v>
      </c>
      <c r="AY10" s="101">
        <f t="shared" si="10"/>
        <v>4859.8399999999965</v>
      </c>
      <c r="AZ10" s="101">
        <f t="shared" si="10"/>
        <v>5312.0380000000005</v>
      </c>
      <c r="BA10" s="101">
        <f>BA7+BA9</f>
        <v>5681.0690000000104</v>
      </c>
      <c r="BB10" s="101">
        <f>BB7+BB9</f>
        <v>4642.9329999999973</v>
      </c>
      <c r="BC10" s="101">
        <f>BC7+BC9</f>
        <v>4748.0030000000042</v>
      </c>
      <c r="BD10" s="101">
        <f>BD7+BD9</f>
        <v>5147.5720000000001</v>
      </c>
      <c r="BE10" s="101"/>
      <c r="BF10" s="285">
        <f t="shared" ref="BF10:BK10" si="11">BF7+BF9</f>
        <v>273.35300000000029</v>
      </c>
      <c r="BG10" s="101">
        <f t="shared" si="11"/>
        <v>388.48800000000028</v>
      </c>
      <c r="BH10" s="101">
        <f t="shared" si="11"/>
        <v>448</v>
      </c>
      <c r="BI10" s="101">
        <f t="shared" si="11"/>
        <v>373.27199999999993</v>
      </c>
      <c r="BJ10" s="339">
        <f t="shared" si="11"/>
        <v>4560.9659999999985</v>
      </c>
      <c r="BK10" s="101">
        <f t="shared" si="11"/>
        <v>2599.8120000000017</v>
      </c>
      <c r="BM10" s="190"/>
      <c r="BN10" s="101">
        <f t="shared" ref="BN10:BX10" si="12">BN7+BN9</f>
        <v>868</v>
      </c>
      <c r="BO10" s="101">
        <f t="shared" si="12"/>
        <v>1444</v>
      </c>
      <c r="BP10" s="101">
        <f t="shared" si="12"/>
        <v>1635</v>
      </c>
      <c r="BQ10" s="101">
        <f t="shared" si="12"/>
        <v>3743</v>
      </c>
      <c r="BR10" s="101">
        <f t="shared" si="12"/>
        <v>4919</v>
      </c>
      <c r="BS10" s="101">
        <f t="shared" si="12"/>
        <v>952</v>
      </c>
      <c r="BT10" s="101">
        <f t="shared" si="12"/>
        <v>1519</v>
      </c>
      <c r="BU10" s="101">
        <f t="shared" si="12"/>
        <v>1900</v>
      </c>
      <c r="BV10" s="101">
        <f t="shared" si="12"/>
        <v>1302</v>
      </c>
      <c r="BW10" s="101">
        <f t="shared" si="12"/>
        <v>2076</v>
      </c>
      <c r="BX10" s="101">
        <f t="shared" si="12"/>
        <v>1676</v>
      </c>
      <c r="BY10" s="101">
        <f t="shared" ref="BY10:CD10" si="13">BY7+BY9</f>
        <v>4561</v>
      </c>
      <c r="BZ10" s="101">
        <f t="shared" si="13"/>
        <v>2748</v>
      </c>
      <c r="CA10" s="101">
        <f t="shared" si="13"/>
        <v>2736</v>
      </c>
      <c r="CB10" s="101">
        <f t="shared" si="13"/>
        <v>2250</v>
      </c>
      <c r="CC10" s="101">
        <f t="shared" si="13"/>
        <v>4509</v>
      </c>
      <c r="CD10" s="101">
        <f t="shared" si="13"/>
        <v>5415</v>
      </c>
      <c r="CE10" s="101">
        <f t="shared" ref="CE10:CJ10" si="14">CE7+CE9</f>
        <v>5027</v>
      </c>
      <c r="CF10" s="101">
        <f t="shared" si="14"/>
        <v>3482.1050000000032</v>
      </c>
      <c r="CG10" s="101">
        <f t="shared" si="14"/>
        <v>4781.4840000000004</v>
      </c>
      <c r="CH10" s="101">
        <f t="shared" si="14"/>
        <v>5052.2059999999983</v>
      </c>
      <c r="CI10" s="101">
        <f t="shared" si="14"/>
        <v>4107</v>
      </c>
      <c r="CJ10" s="101">
        <f t="shared" si="14"/>
        <v>2775.7959999999985</v>
      </c>
      <c r="CK10" s="101">
        <f t="shared" ref="CK10:CP10" si="15">CK7+CK9</f>
        <v>2691.8450000000012</v>
      </c>
      <c r="CL10" s="101">
        <f t="shared" si="15"/>
        <v>3952.0999999999985</v>
      </c>
      <c r="CM10" s="101">
        <f t="shared" si="15"/>
        <v>4749.146663155494</v>
      </c>
      <c r="CN10" s="101">
        <f t="shared" si="15"/>
        <v>3837.7230000000018</v>
      </c>
      <c r="CO10" s="101">
        <f t="shared" si="15"/>
        <v>4859.8399999999965</v>
      </c>
      <c r="CP10" s="101">
        <f t="shared" si="15"/>
        <v>5312.0380000000005</v>
      </c>
      <c r="CQ10" s="101">
        <f>CQ7+CQ9</f>
        <v>5681.0690000000104</v>
      </c>
      <c r="CR10" s="101">
        <f>CR7+CR9</f>
        <v>4642.9329999999973</v>
      </c>
      <c r="CS10" s="101">
        <f>CS7+CS9</f>
        <v>4748.0030000000042</v>
      </c>
      <c r="CT10" s="101">
        <f>CT7+CT9</f>
        <v>5147.5720000000001</v>
      </c>
    </row>
    <row r="11" spans="1:98" s="46" customFormat="1" ht="12.75">
      <c r="B11" s="19" t="s">
        <v>62</v>
      </c>
      <c r="C11" s="99">
        <f t="shared" ref="C11:H11" si="16">C10/C7</f>
        <v>0.13027460887996248</v>
      </c>
      <c r="D11" s="99">
        <f t="shared" si="16"/>
        <v>0.11762153670283457</v>
      </c>
      <c r="E11" s="99">
        <f t="shared" si="16"/>
        <v>0.11508280383056278</v>
      </c>
      <c r="F11" s="99">
        <f t="shared" si="16"/>
        <v>0.11963280188210994</v>
      </c>
      <c r="G11" s="99">
        <f t="shared" si="16"/>
        <v>0.13504532521513288</v>
      </c>
      <c r="H11" s="99">
        <f t="shared" si="16"/>
        <v>0.12930379412862975</v>
      </c>
      <c r="I11" s="99">
        <f t="shared" ref="I11:O11" si="17">I10/I7</f>
        <v>0.13092283869071997</v>
      </c>
      <c r="J11" s="99">
        <f t="shared" si="17"/>
        <v>0.17370057632953567</v>
      </c>
      <c r="K11" s="99">
        <f t="shared" si="17"/>
        <v>0.20143943793440583</v>
      </c>
      <c r="L11" s="99">
        <f t="shared" si="17"/>
        <v>0.13145782258404154</v>
      </c>
      <c r="M11" s="99">
        <f t="shared" si="17"/>
        <v>0.10117736607894806</v>
      </c>
      <c r="N11" s="99">
        <f>N10/N7</f>
        <v>0.13227558207521689</v>
      </c>
      <c r="O11" s="99">
        <f t="shared" si="17"/>
        <v>0.12480230734296228</v>
      </c>
      <c r="P11" s="302"/>
      <c r="Q11" s="99">
        <f t="shared" ref="Q11:AA11" si="18">Q10/Q7</f>
        <v>0.11733777541533445</v>
      </c>
      <c r="R11" s="99">
        <f t="shared" si="18"/>
        <v>0.12275826197277863</v>
      </c>
      <c r="S11" s="99">
        <f t="shared" si="18"/>
        <v>0.11239656798121268</v>
      </c>
      <c r="T11" s="99">
        <f t="shared" si="18"/>
        <v>0.10788267232757008</v>
      </c>
      <c r="U11" s="149">
        <f>U10/U7</f>
        <v>0.11131715280148465</v>
      </c>
      <c r="V11" s="99">
        <f t="shared" si="18"/>
        <v>0.12760979253655677</v>
      </c>
      <c r="W11" s="99">
        <f t="shared" si="18"/>
        <v>0.11495827919413042</v>
      </c>
      <c r="X11" s="99">
        <f t="shared" si="18"/>
        <v>0.1300404897183936</v>
      </c>
      <c r="Y11" s="99">
        <f t="shared" si="18"/>
        <v>0.12043981765499762</v>
      </c>
      <c r="Z11" s="99">
        <f t="shared" si="18"/>
        <v>0.1214966970651588</v>
      </c>
      <c r="AA11" s="99">
        <f t="shared" si="18"/>
        <v>0.14752423119700758</v>
      </c>
      <c r="AB11" s="99">
        <f t="shared" ref="AB11:AG11" si="19">AB10/AB7</f>
        <v>0.13668611252142915</v>
      </c>
      <c r="AC11" s="99">
        <f t="shared" si="19"/>
        <v>0.11491071774247201</v>
      </c>
      <c r="AD11" s="99">
        <f t="shared" si="19"/>
        <v>9.2014284176539285E-2</v>
      </c>
      <c r="AE11" s="99">
        <f t="shared" si="19"/>
        <v>0.12633852783377592</v>
      </c>
      <c r="AF11" s="99">
        <f t="shared" si="19"/>
        <v>0.14907960941504214</v>
      </c>
      <c r="AG11" s="99">
        <f t="shared" si="19"/>
        <v>0.14601042701528866</v>
      </c>
      <c r="AH11" s="99">
        <f t="shared" ref="AH11:AM11" si="20">AH10/AH7</f>
        <v>0.124141278272834</v>
      </c>
      <c r="AI11" s="99">
        <f t="shared" si="20"/>
        <v>0.24156823389530008</v>
      </c>
      <c r="AJ11" s="99">
        <f t="shared" si="20"/>
        <v>0.16326865835231627</v>
      </c>
      <c r="AK11" s="99">
        <f t="shared" si="20"/>
        <v>0.14979548207405788</v>
      </c>
      <c r="AL11" s="99">
        <f t="shared" si="20"/>
        <v>0.13053520034374919</v>
      </c>
      <c r="AM11" s="99">
        <f t="shared" si="20"/>
        <v>0.21915065919439852</v>
      </c>
      <c r="AN11" s="99">
        <f t="shared" ref="AN11:AS11" si="21">AN10/AN7</f>
        <v>0.22908855200277997</v>
      </c>
      <c r="AO11" s="99">
        <f t="shared" si="21"/>
        <v>0.20996634459252697</v>
      </c>
      <c r="AP11" s="99">
        <f t="shared" si="21"/>
        <v>0.15586295610025289</v>
      </c>
      <c r="AQ11" s="99">
        <f t="shared" si="21"/>
        <v>0.13865143420259168</v>
      </c>
      <c r="AR11" s="99">
        <f t="shared" si="21"/>
        <v>0.14440449124244761</v>
      </c>
      <c r="AS11" s="99">
        <f t="shared" si="21"/>
        <v>9.432063182004756E-2</v>
      </c>
      <c r="AT11" s="99">
        <f t="shared" ref="AT11:AZ11" si="22">AT10/AT7</f>
        <v>8.7406050876642216E-2</v>
      </c>
      <c r="AU11" s="99">
        <f t="shared" si="22"/>
        <v>8.5820236359097052E-2</v>
      </c>
      <c r="AV11" s="99">
        <f t="shared" si="22"/>
        <v>0.10743398446839182</v>
      </c>
      <c r="AW11" s="99">
        <f t="shared" si="22"/>
        <v>0.12158359100992161</v>
      </c>
      <c r="AX11" s="99">
        <f t="shared" si="22"/>
        <v>0.12148185256799776</v>
      </c>
      <c r="AY11" s="99">
        <f t="shared" si="22"/>
        <v>0.13477266029385448</v>
      </c>
      <c r="AZ11" s="99">
        <f t="shared" si="22"/>
        <v>0.13599601661505109</v>
      </c>
      <c r="BA11" s="99">
        <f>BA10/BA7</f>
        <v>0.13478136088233125</v>
      </c>
      <c r="BB11" s="99">
        <f>BB10/BB7</f>
        <v>0.11782595963878596</v>
      </c>
      <c r="BC11" s="99">
        <f>BC10/BC7</f>
        <v>0.12271263077105672</v>
      </c>
      <c r="BD11" s="99">
        <f>BD10/BD7</f>
        <v>0.12324928603806604</v>
      </c>
      <c r="BE11" s="322"/>
      <c r="BF11" s="283">
        <f t="shared" ref="BF11:BK11" si="23">BF10/BF7</f>
        <v>0.12538737323789911</v>
      </c>
      <c r="BG11" s="318">
        <f t="shared" si="23"/>
        <v>0.144578259447281</v>
      </c>
      <c r="BH11" s="318">
        <f t="shared" si="23"/>
        <v>0.14419053749597682</v>
      </c>
      <c r="BI11" s="318">
        <f t="shared" si="23"/>
        <v>0.12184550541442003</v>
      </c>
      <c r="BJ11" s="292">
        <f t="shared" si="23"/>
        <v>0.24156823389530008</v>
      </c>
      <c r="BK11" s="99">
        <f t="shared" si="23"/>
        <v>8.4727340087416309E-2</v>
      </c>
      <c r="BM11" s="417"/>
      <c r="BN11" s="318"/>
      <c r="BO11" s="318">
        <f>BO10/BO7</f>
        <v>0.12954158069435723</v>
      </c>
      <c r="BP11" s="318">
        <f>BP10/BP7</f>
        <v>0.13290521866363192</v>
      </c>
      <c r="BQ11" s="99"/>
      <c r="BR11" s="318"/>
      <c r="BS11" s="318"/>
      <c r="BT11" s="318"/>
      <c r="BU11" s="318"/>
      <c r="BV11" s="318"/>
      <c r="BW11" s="318"/>
      <c r="BX11" s="318"/>
      <c r="BY11" s="318"/>
      <c r="BZ11" s="318"/>
      <c r="CA11" s="318"/>
      <c r="CB11" s="318"/>
      <c r="CC11" s="318"/>
      <c r="CD11" s="318"/>
      <c r="CE11" s="318"/>
      <c r="CF11" s="318"/>
      <c r="CG11" s="318"/>
      <c r="CH11" s="318"/>
      <c r="CI11" s="318"/>
      <c r="CJ11" s="318"/>
      <c r="CK11" s="318"/>
      <c r="CL11" s="318"/>
      <c r="CM11" s="318"/>
      <c r="CN11" s="318"/>
      <c r="CO11" s="318"/>
      <c r="CP11" s="318"/>
      <c r="CQ11" s="318"/>
      <c r="CR11" s="318"/>
      <c r="CS11" s="318"/>
      <c r="CT11" s="318"/>
    </row>
    <row r="12" spans="1:98" s="46" customFormat="1" ht="12.75">
      <c r="A12" s="1"/>
      <c r="B12" s="1" t="s">
        <v>63</v>
      </c>
      <c r="C12" s="100">
        <v>-613.10699999999997</v>
      </c>
      <c r="D12" s="100">
        <v>-571.66099999999994</v>
      </c>
      <c r="E12" s="100">
        <v>-577.63</v>
      </c>
      <c r="F12" s="100">
        <v>-586.48299999999995</v>
      </c>
      <c r="G12" s="100">
        <v>-587.673</v>
      </c>
      <c r="H12" s="100">
        <v>-1474.953</v>
      </c>
      <c r="I12" s="100">
        <v>-2054.2130000000002</v>
      </c>
      <c r="J12" s="100">
        <v>-2559.2840000000001</v>
      </c>
      <c r="K12" s="100">
        <v>-3121.7559999999999</v>
      </c>
      <c r="L12" s="100">
        <v>-8868.81</v>
      </c>
      <c r="M12" s="100">
        <v>-10431.075999999999</v>
      </c>
      <c r="N12" s="100">
        <v>-11235.367</v>
      </c>
      <c r="O12" s="103">
        <f>SUM(BA12:BD12)</f>
        <v>-11813.038999999999</v>
      </c>
      <c r="P12" s="103"/>
      <c r="Q12" s="100">
        <v>-145.036</v>
      </c>
      <c r="R12" s="100">
        <v>-150.40700000000001</v>
      </c>
      <c r="S12" s="100">
        <v>-151.655</v>
      </c>
      <c r="T12" s="103">
        <f>E12-SUM(Q12:S12)</f>
        <v>-130.53200000000004</v>
      </c>
      <c r="U12" s="150">
        <v>-139.119</v>
      </c>
      <c r="V12" s="100">
        <v>-133.88300000000001</v>
      </c>
      <c r="W12" s="100">
        <v>-115.083</v>
      </c>
      <c r="X12" s="100">
        <v>-149.11099999999999</v>
      </c>
      <c r="Y12" s="103">
        <f>F12-W12-X12-U12</f>
        <v>-183.17</v>
      </c>
      <c r="Z12" s="100">
        <v>-182.74199999999999</v>
      </c>
      <c r="AA12" s="100">
        <v>-261.55200000000002</v>
      </c>
      <c r="AB12" s="100">
        <v>-518.95000000000005</v>
      </c>
      <c r="AC12" s="103">
        <f>H12-AB12-AA12-Z12</f>
        <v>-511.70899999999995</v>
      </c>
      <c r="AD12" s="100">
        <v>-466.96499999999997</v>
      </c>
      <c r="AE12" s="100">
        <v>-496.358</v>
      </c>
      <c r="AF12" s="100">
        <v>-533.41399999999999</v>
      </c>
      <c r="AG12" s="103">
        <f>I12-AF12-AE12-AD12</f>
        <v>-557.47600000000034</v>
      </c>
      <c r="AH12" s="100">
        <v>-544.83900000000006</v>
      </c>
      <c r="AI12" s="100">
        <v>-610.60500000000002</v>
      </c>
      <c r="AJ12" s="100">
        <v>-664.39800000000002</v>
      </c>
      <c r="AK12" s="103">
        <f>J12-AJ12-AI12-AH12</f>
        <v>-739.44199999999989</v>
      </c>
      <c r="AL12" s="100">
        <v>-660.1</v>
      </c>
      <c r="AM12" s="100">
        <v>-685.45500000000004</v>
      </c>
      <c r="AN12" s="100">
        <v>-784.21900000000005</v>
      </c>
      <c r="AO12" s="103">
        <f>K12-AN12-AM12-AL12</f>
        <v>-991.98199999999986</v>
      </c>
      <c r="AP12" s="100">
        <v>-878.63</v>
      </c>
      <c r="AQ12" s="100">
        <v>-2576.9349999999999</v>
      </c>
      <c r="AR12" s="100">
        <v>-2690.1759999999999</v>
      </c>
      <c r="AS12" s="103">
        <f>L12-AR12-AQ12-AP12</f>
        <v>-2723.069</v>
      </c>
      <c r="AT12" s="100">
        <v>-2610.1819999999998</v>
      </c>
      <c r="AU12" s="100">
        <v>-2444.587</v>
      </c>
      <c r="AV12" s="100">
        <v>-2609.1239999999998</v>
      </c>
      <c r="AW12" s="103">
        <f>M12-AV12-AU12-AT12</f>
        <v>-2767.183</v>
      </c>
      <c r="AX12" s="100">
        <v>-2468.6950000000002</v>
      </c>
      <c r="AY12" s="100">
        <v>-2717.8530000000001</v>
      </c>
      <c r="AZ12" s="100">
        <v>-2813.01</v>
      </c>
      <c r="BA12" s="103">
        <f>N12-AZ12-AY12-AX12</f>
        <v>-3235.8089999999997</v>
      </c>
      <c r="BB12" s="100">
        <v>-2738.1529999999998</v>
      </c>
      <c r="BC12" s="100">
        <v>-2869.623</v>
      </c>
      <c r="BD12" s="100">
        <v>-2969.4540000000002</v>
      </c>
      <c r="BE12" s="100"/>
      <c r="BF12" s="284">
        <v>-115.367</v>
      </c>
      <c r="BG12" s="100">
        <v>-149.54900000000001</v>
      </c>
      <c r="BH12" s="100">
        <v>-184</v>
      </c>
      <c r="BI12" s="100">
        <v>-189.202</v>
      </c>
      <c r="BJ12" s="293">
        <v>-610.60500000000002</v>
      </c>
      <c r="BK12" s="100">
        <v>-2461.357</v>
      </c>
      <c r="BM12" s="189"/>
      <c r="BN12" s="100">
        <v>-420</v>
      </c>
      <c r="BO12" s="100">
        <v>-456</v>
      </c>
      <c r="BP12" s="100">
        <v>-539</v>
      </c>
      <c r="BQ12" s="100">
        <v>-1434</v>
      </c>
      <c r="BR12" s="100">
        <v>-1856</v>
      </c>
      <c r="BS12" s="100">
        <v>-473</v>
      </c>
      <c r="BT12" s="100">
        <v>-502</v>
      </c>
      <c r="BU12" s="100">
        <v>-533</v>
      </c>
      <c r="BV12" s="100">
        <v>-521</v>
      </c>
      <c r="BW12" s="100">
        <v>-557</v>
      </c>
      <c r="BX12" s="100">
        <v>-545</v>
      </c>
      <c r="BY12" s="100">
        <v>-611</v>
      </c>
      <c r="BZ12" s="100">
        <v>-664</v>
      </c>
      <c r="CA12" s="100">
        <v>-739</v>
      </c>
      <c r="CB12" s="100">
        <v>-660</v>
      </c>
      <c r="CC12" s="100">
        <v>-685</v>
      </c>
      <c r="CD12" s="100">
        <v>-784</v>
      </c>
      <c r="CE12" s="100">
        <v>-992</v>
      </c>
      <c r="CF12" s="100">
        <f>AP12</f>
        <v>-878.63</v>
      </c>
      <c r="CG12" s="100">
        <f>AQ12</f>
        <v>-2576.9349999999999</v>
      </c>
      <c r="CH12" s="100">
        <v>-2690.1759999999999</v>
      </c>
      <c r="CI12" s="100">
        <v>-3166</v>
      </c>
      <c r="CJ12" s="100">
        <f>AT12</f>
        <v>-2610.1819999999998</v>
      </c>
      <c r="CK12" s="100">
        <f>AU12</f>
        <v>-2444.587</v>
      </c>
      <c r="CL12" s="100">
        <v>-2742.3</v>
      </c>
      <c r="CM12" s="100">
        <v>-3082.3558549453637</v>
      </c>
      <c r="CN12" s="100">
        <f t="shared" ref="CN12:CT13" si="24">AX12</f>
        <v>-2468.6950000000002</v>
      </c>
      <c r="CO12" s="100">
        <f t="shared" si="24"/>
        <v>-2717.8530000000001</v>
      </c>
      <c r="CP12" s="100">
        <f t="shared" si="24"/>
        <v>-2813.01</v>
      </c>
      <c r="CQ12" s="100">
        <f t="shared" si="24"/>
        <v>-3235.8089999999997</v>
      </c>
      <c r="CR12" s="100">
        <f t="shared" si="24"/>
        <v>-2738.1529999999998</v>
      </c>
      <c r="CS12" s="100">
        <f t="shared" si="24"/>
        <v>-2869.623</v>
      </c>
      <c r="CT12" s="100">
        <f t="shared" si="24"/>
        <v>-2969.4540000000002</v>
      </c>
    </row>
    <row r="13" spans="1:98" ht="12.75">
      <c r="B13" s="1" t="s">
        <v>64</v>
      </c>
      <c r="C13" s="100">
        <v>-343.70100000000002</v>
      </c>
      <c r="D13" s="100">
        <v>-420.31799999999998</v>
      </c>
      <c r="E13" s="100">
        <v>-439.7</v>
      </c>
      <c r="F13" s="100">
        <v>-381.964</v>
      </c>
      <c r="G13" s="100">
        <v>-233.41499999999999</v>
      </c>
      <c r="H13" s="100">
        <v>-419.923</v>
      </c>
      <c r="I13" s="100">
        <v>-756.59799999999996</v>
      </c>
      <c r="J13" s="100">
        <v>-960.04499999999996</v>
      </c>
      <c r="K13" s="100">
        <v>-1097.989</v>
      </c>
      <c r="L13" s="100">
        <v>-1557.383</v>
      </c>
      <c r="M13" s="100">
        <v>-1966.5050000000001</v>
      </c>
      <c r="N13" s="100">
        <v>-2218.4270000000001</v>
      </c>
      <c r="O13" s="103">
        <f>SUM(BA13:BD13)</f>
        <v>-2525.259</v>
      </c>
      <c r="P13" s="103"/>
      <c r="Q13" s="100">
        <v>-110.572</v>
      </c>
      <c r="R13" s="100">
        <v>-116.249</v>
      </c>
      <c r="S13" s="100">
        <v>-100.988</v>
      </c>
      <c r="T13" s="103">
        <f>E13-SUM(Q13:S13)</f>
        <v>-111.89100000000002</v>
      </c>
      <c r="U13" s="150">
        <v>-97.828999999999994</v>
      </c>
      <c r="V13" s="100">
        <v>-55.765000000000001</v>
      </c>
      <c r="W13" s="100">
        <v>-103.60299999999999</v>
      </c>
      <c r="X13" s="100">
        <v>-103.252</v>
      </c>
      <c r="Y13" s="103">
        <f>F13-W13-X13-U13</f>
        <v>-77.279999999999987</v>
      </c>
      <c r="Z13" s="100">
        <v>-60.847999999999999</v>
      </c>
      <c r="AA13" s="100">
        <v>-131.07900000000001</v>
      </c>
      <c r="AB13" s="100">
        <v>-89.427000000000007</v>
      </c>
      <c r="AC13" s="103">
        <f>H13-AB13-AA13-Z13</f>
        <v>-138.56899999999996</v>
      </c>
      <c r="AD13" s="100">
        <v>-175.78100000000001</v>
      </c>
      <c r="AE13" s="100">
        <v>-207.97399999999999</v>
      </c>
      <c r="AF13" s="100">
        <v>-164.46600000000001</v>
      </c>
      <c r="AG13" s="103">
        <f>I13-AF13-AE13-AD13</f>
        <v>-208.37699999999995</v>
      </c>
      <c r="AH13" s="100">
        <v>-212.30600000000001</v>
      </c>
      <c r="AI13" s="100">
        <v>-240.154</v>
      </c>
      <c r="AJ13" s="100">
        <v>-248.489</v>
      </c>
      <c r="AK13" s="103">
        <f>J13-AJ13-AI13-AH13</f>
        <v>-259.09599999999989</v>
      </c>
      <c r="AL13" s="100">
        <v>-251.51300000000001</v>
      </c>
      <c r="AM13" s="100">
        <v>-279.142</v>
      </c>
      <c r="AN13" s="100">
        <v>-282.92399999999998</v>
      </c>
      <c r="AO13" s="103">
        <f>K13-AN13-AM13-AL13</f>
        <v>-284.40999999999997</v>
      </c>
      <c r="AP13" s="100">
        <v>-253.81</v>
      </c>
      <c r="AQ13" s="100">
        <v>-465.64</v>
      </c>
      <c r="AR13" s="100">
        <v>-470.584</v>
      </c>
      <c r="AS13" s="103">
        <f>L13-AR13-AQ13-AP13</f>
        <v>-367.34899999999999</v>
      </c>
      <c r="AT13" s="100">
        <v>-472.685</v>
      </c>
      <c r="AU13" s="100">
        <v>-507.48099999999999</v>
      </c>
      <c r="AV13" s="100">
        <v>-410.64600000000002</v>
      </c>
      <c r="AW13" s="103">
        <f>M13-AV13-AU13-AT13</f>
        <v>-575.69300000000021</v>
      </c>
      <c r="AX13" s="100">
        <v>-464.74400000000003</v>
      </c>
      <c r="AY13" s="100">
        <v>-554.62699999999995</v>
      </c>
      <c r="AZ13" s="100">
        <v>-532.75099999999998</v>
      </c>
      <c r="BA13" s="103">
        <f>N13-AZ13-AY13-AX13</f>
        <v>-666.30500000000018</v>
      </c>
      <c r="BB13" s="100">
        <v>-646.96500000000003</v>
      </c>
      <c r="BC13" s="100">
        <v>-652.44000000000005</v>
      </c>
      <c r="BD13" s="100">
        <v>-559.54899999999998</v>
      </c>
      <c r="BE13" s="100"/>
      <c r="BF13" s="284">
        <v>-64.149000000000001</v>
      </c>
      <c r="BG13" s="100">
        <v>-62.484999999999999</v>
      </c>
      <c r="BH13" s="100">
        <v>-49</v>
      </c>
      <c r="BI13" s="100">
        <v>-63.396000000000001</v>
      </c>
      <c r="BJ13" s="293">
        <v>-240.154</v>
      </c>
      <c r="BK13" s="100">
        <v>-457.245</v>
      </c>
      <c r="BM13" s="189"/>
      <c r="BN13" s="100">
        <v>-104</v>
      </c>
      <c r="BO13" s="100">
        <v>-181</v>
      </c>
      <c r="BP13" s="100">
        <v>-110</v>
      </c>
      <c r="BQ13" s="100">
        <v>-377</v>
      </c>
      <c r="BR13" s="100">
        <v>-489</v>
      </c>
      <c r="BS13" s="100">
        <v>-184</v>
      </c>
      <c r="BT13" s="100">
        <v>-215</v>
      </c>
      <c r="BU13" s="100">
        <v>-164</v>
      </c>
      <c r="BV13" s="100">
        <v>-157</v>
      </c>
      <c r="BW13" s="100">
        <v>-208</v>
      </c>
      <c r="BX13" s="100">
        <v>-212</v>
      </c>
      <c r="BY13" s="100">
        <v>-240</v>
      </c>
      <c r="BZ13" s="100">
        <v>-248</v>
      </c>
      <c r="CA13" s="100">
        <v>-259</v>
      </c>
      <c r="CB13" s="100">
        <v>-251</v>
      </c>
      <c r="CC13" s="100">
        <v>-279</v>
      </c>
      <c r="CD13" s="100">
        <v>-283</v>
      </c>
      <c r="CE13" s="100">
        <v>-284</v>
      </c>
      <c r="CF13" s="100">
        <f>AP13</f>
        <v>-253.81</v>
      </c>
      <c r="CG13" s="100">
        <f>AQ13</f>
        <v>-465.64</v>
      </c>
      <c r="CH13" s="100">
        <v>-470.584</v>
      </c>
      <c r="CI13" s="100">
        <v>-430</v>
      </c>
      <c r="CJ13" s="100">
        <f>AT13</f>
        <v>-472.685</v>
      </c>
      <c r="CK13" s="100">
        <f>AU13</f>
        <v>-507.48099999999999</v>
      </c>
      <c r="CL13" s="100">
        <v>-435.4</v>
      </c>
      <c r="CM13" s="100">
        <v>-603.40542997212833</v>
      </c>
      <c r="CN13" s="100">
        <f t="shared" si="24"/>
        <v>-464.74400000000003</v>
      </c>
      <c r="CO13" s="100">
        <f t="shared" si="24"/>
        <v>-554.62699999999995</v>
      </c>
      <c r="CP13" s="100">
        <f t="shared" si="24"/>
        <v>-532.75099999999998</v>
      </c>
      <c r="CQ13" s="100">
        <f t="shared" si="24"/>
        <v>-666.30500000000018</v>
      </c>
      <c r="CR13" s="100">
        <f t="shared" si="24"/>
        <v>-646.96500000000003</v>
      </c>
      <c r="CS13" s="100">
        <f t="shared" si="24"/>
        <v>-652.44000000000005</v>
      </c>
      <c r="CT13" s="100">
        <f t="shared" si="24"/>
        <v>-559.54899999999998</v>
      </c>
    </row>
    <row r="14" spans="1:98" ht="12.75">
      <c r="B14" s="1" t="s">
        <v>65</v>
      </c>
      <c r="C14" s="100">
        <v>-17.795000000000002</v>
      </c>
      <c r="D14" s="100">
        <v>-23.76</v>
      </c>
      <c r="E14" s="100">
        <v>-6.4340000000000002</v>
      </c>
      <c r="F14" s="100">
        <v>-3.2269999999999999</v>
      </c>
      <c r="G14" s="100"/>
      <c r="H14" s="100">
        <v>0</v>
      </c>
      <c r="I14" s="100">
        <v>0</v>
      </c>
      <c r="J14" s="100">
        <v>-0.65600000000000003</v>
      </c>
      <c r="K14" s="100">
        <v>-20.462</v>
      </c>
      <c r="L14" s="100">
        <v>-64.575000000000003</v>
      </c>
      <c r="M14" s="100">
        <v>-63.503999999999998</v>
      </c>
      <c r="N14" s="100">
        <v>-34.585000000000001</v>
      </c>
      <c r="O14" s="103">
        <f>SUM(BA14:BD14)</f>
        <v>1.5520000000000023</v>
      </c>
      <c r="P14" s="103"/>
      <c r="Q14" s="100">
        <v>-1.9930000000000001</v>
      </c>
      <c r="R14" s="100">
        <v>-1.1879999999999999</v>
      </c>
      <c r="S14" s="100">
        <v>-2.8730000000000002</v>
      </c>
      <c r="T14" s="103">
        <f>E14-SUM(Q14:S14)</f>
        <v>-0.37999999999999989</v>
      </c>
      <c r="U14" s="150">
        <v>1.734</v>
      </c>
      <c r="V14" s="100">
        <v>0</v>
      </c>
      <c r="W14" s="100">
        <v>-0.77400000000000002</v>
      </c>
      <c r="X14" s="100">
        <v>-0.81699999999999995</v>
      </c>
      <c r="Y14" s="103">
        <f>F14-W14-X14-U14</f>
        <v>-3.37</v>
      </c>
      <c r="Z14" s="100">
        <v>0</v>
      </c>
      <c r="AA14" s="100">
        <v>0</v>
      </c>
      <c r="AB14" s="100">
        <v>0</v>
      </c>
      <c r="AC14" s="103">
        <f>H14-AB14-AA14-Z14</f>
        <v>0</v>
      </c>
      <c r="AD14" s="100">
        <v>0</v>
      </c>
      <c r="AE14" s="100">
        <v>0</v>
      </c>
      <c r="AF14" s="100">
        <v>0</v>
      </c>
      <c r="AG14" s="103">
        <f>I14-AF14-AE14-AD14</f>
        <v>0</v>
      </c>
      <c r="AH14" s="100">
        <v>0</v>
      </c>
      <c r="AI14" s="100">
        <v>0</v>
      </c>
      <c r="AJ14" s="100">
        <v>0</v>
      </c>
      <c r="AK14" s="103">
        <f>J14-AJ14-AI14-AH14</f>
        <v>-0.65600000000000003</v>
      </c>
      <c r="AL14" s="100">
        <v>-1.6519999999999999</v>
      </c>
      <c r="AM14" s="100">
        <v>-4.7880000000000003</v>
      </c>
      <c r="AN14" s="100">
        <v>-1.992</v>
      </c>
      <c r="AO14" s="103">
        <f>K14-AN14-AM14-AL14</f>
        <v>-12.03</v>
      </c>
      <c r="AP14" s="100">
        <v>-16.66</v>
      </c>
      <c r="AQ14" s="100">
        <v>-16.100000000000001</v>
      </c>
      <c r="AR14" s="100">
        <v>-12.452</v>
      </c>
      <c r="AS14" s="103">
        <f>L14-AR14-AQ14-AP14</f>
        <v>-19.363000000000003</v>
      </c>
      <c r="AT14" s="100">
        <v>-14.667</v>
      </c>
      <c r="AU14" s="100">
        <v>-15.135</v>
      </c>
      <c r="AV14" s="100">
        <v>-17.434999999999999</v>
      </c>
      <c r="AW14" s="103">
        <f>M14-AV14-AU14-AT14</f>
        <v>-16.267000000000003</v>
      </c>
      <c r="AX14" s="100">
        <v>-14.407</v>
      </c>
      <c r="AY14" s="100">
        <v>-26.201000000000001</v>
      </c>
      <c r="AZ14" s="100">
        <v>10.111000000000001</v>
      </c>
      <c r="BA14" s="103">
        <f>N14-AZ14-AY14-AX14</f>
        <v>-4.0879999999999974</v>
      </c>
      <c r="BB14" s="100">
        <v>1.9219999999999999</v>
      </c>
      <c r="BC14" s="100">
        <v>-0.442</v>
      </c>
      <c r="BD14" s="100">
        <v>4.16</v>
      </c>
      <c r="BE14" s="100"/>
      <c r="BF14" s="284">
        <v>0</v>
      </c>
      <c r="BG14" s="100">
        <v>0</v>
      </c>
      <c r="BH14" s="100">
        <v>0</v>
      </c>
      <c r="BI14" s="100">
        <v>0</v>
      </c>
      <c r="BJ14" s="293">
        <v>0</v>
      </c>
      <c r="BK14" s="100">
        <v>-14.667</v>
      </c>
      <c r="BM14" s="189"/>
      <c r="BN14" s="100"/>
      <c r="BO14" s="189"/>
      <c r="BP14" s="192"/>
      <c r="BQ14" s="100">
        <v>0</v>
      </c>
      <c r="BR14" s="100">
        <v>0</v>
      </c>
      <c r="BS14" s="189"/>
      <c r="BT14" s="189"/>
      <c r="BU14" s="189"/>
      <c r="BV14" s="100"/>
      <c r="BW14" s="100"/>
      <c r="BX14" s="189"/>
      <c r="BY14" s="189"/>
      <c r="BZ14" s="189"/>
      <c r="CA14" s="189"/>
      <c r="CB14" s="189"/>
      <c r="CC14" s="189"/>
      <c r="CD14" s="189"/>
      <c r="CE14" s="189"/>
      <c r="CF14" s="189"/>
      <c r="CG14" s="189"/>
      <c r="CH14" s="189"/>
      <c r="CI14" s="189"/>
      <c r="CJ14" s="189"/>
      <c r="CK14" s="189"/>
      <c r="CL14" s="189"/>
      <c r="CM14" s="189"/>
      <c r="CN14" s="189"/>
      <c r="CO14" s="189"/>
      <c r="CP14" s="189"/>
      <c r="CQ14" s="189"/>
      <c r="CR14" s="189"/>
      <c r="CS14" s="189"/>
      <c r="CT14" s="189"/>
    </row>
    <row r="15" spans="1:98" ht="12.75">
      <c r="B15" s="1" t="s">
        <v>66</v>
      </c>
      <c r="C15" s="100">
        <v>-65.281000000000006</v>
      </c>
      <c r="D15" s="100">
        <v>-249.48400000000001</v>
      </c>
      <c r="E15" s="100">
        <v>-105.625</v>
      </c>
      <c r="F15" s="100">
        <v>-138.49600000000001</v>
      </c>
      <c r="G15" s="100">
        <v>-122.214</v>
      </c>
      <c r="H15" s="100">
        <v>-1525.328</v>
      </c>
      <c r="I15" s="100">
        <v>-160.77199999999999</v>
      </c>
      <c r="J15" s="100">
        <v>-347.73399999999998</v>
      </c>
      <c r="K15" s="100">
        <v>-349.255</v>
      </c>
      <c r="L15" s="100">
        <v>3176.28</v>
      </c>
      <c r="M15" s="100">
        <v>144.80199999999999</v>
      </c>
      <c r="N15" s="100">
        <v>-265.02</v>
      </c>
      <c r="O15" s="103">
        <f>SUM(BA15:BD15)</f>
        <v>-395.44599999999997</v>
      </c>
      <c r="P15" s="103"/>
      <c r="Q15" s="100">
        <v>-18.969000000000001</v>
      </c>
      <c r="R15" s="100">
        <v>-31.577999999999999</v>
      </c>
      <c r="S15" s="100">
        <v>-17.198</v>
      </c>
      <c r="T15" s="103">
        <f>E15-SUM(Q15:S15)</f>
        <v>-37.879999999999995</v>
      </c>
      <c r="U15" s="150">
        <v>-37.698999999999998</v>
      </c>
      <c r="V15" s="100">
        <v>-37.698999999999998</v>
      </c>
      <c r="W15" s="100">
        <v>-72.081999999999994</v>
      </c>
      <c r="X15" s="100">
        <v>-28.478999999999999</v>
      </c>
      <c r="Y15" s="103">
        <f>F15-W15-X15-U15</f>
        <v>-0.23600000000001842</v>
      </c>
      <c r="Z15" s="100">
        <v>-27.779</v>
      </c>
      <c r="AA15" s="100">
        <v>-645.79700000000003</v>
      </c>
      <c r="AB15" s="100">
        <v>-25.515000000000001</v>
      </c>
      <c r="AC15" s="103">
        <f>H15-AB15-AA15-Z15</f>
        <v>-826.23699999999985</v>
      </c>
      <c r="AD15" s="100">
        <v>77.534999999999997</v>
      </c>
      <c r="AE15" s="100">
        <v>-25.587</v>
      </c>
      <c r="AF15" s="100">
        <v>-28.847000000000001</v>
      </c>
      <c r="AG15" s="103">
        <f>I15-AF15-AE15-AD15</f>
        <v>-183.87299999999999</v>
      </c>
      <c r="AH15" s="100">
        <v>-54.530999999999999</v>
      </c>
      <c r="AI15" s="100">
        <v>-129.715</v>
      </c>
      <c r="AJ15" s="100">
        <v>-50.889000000000003</v>
      </c>
      <c r="AK15" s="103">
        <f>J15-AJ15-AI15-AH15</f>
        <v>-112.59899999999996</v>
      </c>
      <c r="AL15" s="100">
        <v>-95.12</v>
      </c>
      <c r="AM15" s="100">
        <v>-88.641000000000005</v>
      </c>
      <c r="AN15" s="100">
        <v>-76.11</v>
      </c>
      <c r="AO15" s="103">
        <f>K15-AN15-AM15-AL15</f>
        <v>-89.383999999999958</v>
      </c>
      <c r="AP15" s="100">
        <v>-22.081</v>
      </c>
      <c r="AQ15" s="100">
        <v>3748.5250000000001</v>
      </c>
      <c r="AR15" s="100">
        <v>8.4949999999999992</v>
      </c>
      <c r="AS15" s="103">
        <f>L15-AR15-AQ15-AP15</f>
        <v>-558.65899999999976</v>
      </c>
      <c r="AT15" s="100">
        <v>55.639000000000003</v>
      </c>
      <c r="AU15" s="100">
        <v>18.643999999999998</v>
      </c>
      <c r="AV15" s="100">
        <v>5.4240000000000004</v>
      </c>
      <c r="AW15" s="103">
        <f>M15-AV15-AU15-AT15</f>
        <v>65.09499999999997</v>
      </c>
      <c r="AX15" s="100">
        <v>-13.207000000000001</v>
      </c>
      <c r="AY15" s="100">
        <v>-29.882000000000001</v>
      </c>
      <c r="AZ15" s="100">
        <v>21.469000000000001</v>
      </c>
      <c r="BA15" s="103">
        <f>N15-AZ15-AY15-AX15</f>
        <v>-243.39999999999998</v>
      </c>
      <c r="BB15" s="100">
        <v>13.907</v>
      </c>
      <c r="BC15" s="100">
        <v>-118.17100000000001</v>
      </c>
      <c r="BD15" s="100">
        <v>-47.781999999999996</v>
      </c>
      <c r="BE15" s="100"/>
      <c r="BF15" s="284">
        <v>-68.430000000000007</v>
      </c>
      <c r="BG15" s="100">
        <v>-21.635999999999999</v>
      </c>
      <c r="BH15" s="100">
        <v>6</v>
      </c>
      <c r="BI15" s="100">
        <v>-28.242999999999999</v>
      </c>
      <c r="BJ15" s="293">
        <v>-129.715</v>
      </c>
      <c r="BK15" s="100">
        <v>81.962000000000003</v>
      </c>
      <c r="BM15" s="189"/>
      <c r="BN15" s="100"/>
      <c r="BO15" s="189"/>
      <c r="BP15" s="192"/>
      <c r="BQ15" s="100">
        <v>-176</v>
      </c>
      <c r="BR15" s="100">
        <v>-1511</v>
      </c>
      <c r="BS15" s="189"/>
      <c r="BT15" s="189"/>
      <c r="BU15" s="189"/>
      <c r="BV15" s="100"/>
      <c r="BW15" s="100"/>
      <c r="BX15" s="189"/>
      <c r="BY15" s="189"/>
      <c r="BZ15" s="189"/>
      <c r="CA15" s="189"/>
      <c r="CB15" s="189"/>
      <c r="CC15" s="189"/>
      <c r="CD15" s="189"/>
      <c r="CE15" s="189"/>
      <c r="CF15" s="189"/>
      <c r="CG15" s="189"/>
      <c r="CH15" s="189"/>
      <c r="CI15" s="189"/>
      <c r="CJ15" s="189"/>
      <c r="CK15" s="189"/>
      <c r="CL15" s="189"/>
      <c r="CM15" s="189"/>
      <c r="CN15" s="189"/>
      <c r="CO15" s="189"/>
      <c r="CP15" s="189"/>
      <c r="CQ15" s="189"/>
      <c r="CR15" s="189"/>
      <c r="CS15" s="189"/>
      <c r="CT15" s="189"/>
    </row>
    <row r="16" spans="1:98" s="5" customFormat="1" ht="12.75">
      <c r="B16" s="15" t="s">
        <v>67</v>
      </c>
      <c r="C16" s="101">
        <f t="shared" ref="C16:H16" si="25">C10+SUM(C12:C15)</f>
        <v>941.43100000000049</v>
      </c>
      <c r="D16" s="101">
        <f t="shared" si="25"/>
        <v>1034.2029999999995</v>
      </c>
      <c r="E16" s="101">
        <f t="shared" si="25"/>
        <v>1037.4309999999998</v>
      </c>
      <c r="F16" s="101">
        <f t="shared" si="25"/>
        <v>1112.3529999999994</v>
      </c>
      <c r="G16" s="101">
        <f t="shared" si="25"/>
        <v>424.39600000000041</v>
      </c>
      <c r="H16" s="101">
        <f t="shared" si="25"/>
        <v>422.08100000000013</v>
      </c>
      <c r="I16" s="101">
        <f t="shared" ref="I16:O16" si="26">I10+SUM(I12:I15)</f>
        <v>3412.3530000000014</v>
      </c>
      <c r="J16" s="101">
        <f t="shared" si="26"/>
        <v>7853.8620000000055</v>
      </c>
      <c r="K16" s="101">
        <f t="shared" si="26"/>
        <v>12611.142999999996</v>
      </c>
      <c r="L16" s="101">
        <f t="shared" si="26"/>
        <v>9166.5580000000027</v>
      </c>
      <c r="M16" s="101">
        <f t="shared" si="26"/>
        <v>1061.1870000000163</v>
      </c>
      <c r="N16" s="101">
        <f>N10+SUM(N12:N15)</f>
        <v>5937.2709999999988</v>
      </c>
      <c r="O16" s="101">
        <f t="shared" si="26"/>
        <v>5487.3850000000202</v>
      </c>
      <c r="P16" s="101"/>
      <c r="Q16" s="101">
        <f t="shared" ref="Q16:AC16" si="27">Q10+SUM(Q12:Q15)</f>
        <v>299.13700000000034</v>
      </c>
      <c r="R16" s="101">
        <f t="shared" si="27"/>
        <v>274.55499999999989</v>
      </c>
      <c r="S16" s="101">
        <f t="shared" si="27"/>
        <v>215.89400000000018</v>
      </c>
      <c r="T16" s="101">
        <f t="shared" si="27"/>
        <v>247.84499999999838</v>
      </c>
      <c r="U16" s="151">
        <f>U10+SUM(U12:U15)</f>
        <v>187.51299999999998</v>
      </c>
      <c r="V16" s="101">
        <f t="shared" si="27"/>
        <v>33.680999999999983</v>
      </c>
      <c r="W16" s="101">
        <f t="shared" si="27"/>
        <v>204.26799999999997</v>
      </c>
      <c r="X16" s="101">
        <f t="shared" si="27"/>
        <v>346.5800000000005</v>
      </c>
      <c r="Y16" s="101">
        <f>Y10+SUM(Y12:Y15)</f>
        <v>373.99199999999792</v>
      </c>
      <c r="Z16" s="101">
        <f t="shared" si="27"/>
        <v>86.690999999999974</v>
      </c>
      <c r="AA16" s="101">
        <f t="shared" si="27"/>
        <v>-283.84199999999987</v>
      </c>
      <c r="AB16" s="101">
        <f t="shared" si="27"/>
        <v>881.80800000000067</v>
      </c>
      <c r="AC16" s="101">
        <f t="shared" si="27"/>
        <v>-262.57600000000139</v>
      </c>
      <c r="AD16" s="101">
        <f t="shared" ref="AD16:AI16" si="28">AD10+SUM(AD12:AD15)</f>
        <v>362.26400000000035</v>
      </c>
      <c r="AE16" s="101">
        <f t="shared" si="28"/>
        <v>750.65799999999933</v>
      </c>
      <c r="AF16" s="101">
        <f t="shared" si="28"/>
        <v>1173.1989999999996</v>
      </c>
      <c r="AG16" s="101">
        <f t="shared" si="28"/>
        <v>1126.2319999999966</v>
      </c>
      <c r="AH16" s="101">
        <f t="shared" si="28"/>
        <v>864.43099999999993</v>
      </c>
      <c r="AI16" s="101">
        <f t="shared" si="28"/>
        <v>3580.4919999999984</v>
      </c>
      <c r="AJ16" s="101">
        <f t="shared" ref="AJ16:AO16" si="29">AJ10+SUM(AJ12:AJ15)</f>
        <v>1784.5490000000007</v>
      </c>
      <c r="AK16" s="101">
        <f t="shared" si="29"/>
        <v>1624.3900000000012</v>
      </c>
      <c r="AL16" s="101">
        <f t="shared" si="29"/>
        <v>1241.4970000000012</v>
      </c>
      <c r="AM16" s="101">
        <f t="shared" si="29"/>
        <v>3450.7079999999987</v>
      </c>
      <c r="AN16" s="101">
        <f t="shared" si="29"/>
        <v>4269.9030000000012</v>
      </c>
      <c r="AO16" s="101">
        <f t="shared" si="29"/>
        <v>3649.0349999999899</v>
      </c>
      <c r="AP16" s="101">
        <f t="shared" ref="AP16:AU16" si="30">AP10+SUM(AP12:AP15)</f>
        <v>2310.9240000000032</v>
      </c>
      <c r="AQ16" s="101">
        <f t="shared" si="30"/>
        <v>5471.3340000000007</v>
      </c>
      <c r="AR16" s="101">
        <f t="shared" si="30"/>
        <v>1887.4889999999982</v>
      </c>
      <c r="AS16" s="101">
        <f t="shared" si="30"/>
        <v>-503.18900000000667</v>
      </c>
      <c r="AT16" s="101">
        <f t="shared" si="30"/>
        <v>-266.09900000000107</v>
      </c>
      <c r="AU16" s="101">
        <f t="shared" si="30"/>
        <v>-256.71399999999949</v>
      </c>
      <c r="AV16" s="101">
        <f t="shared" ref="AV16:BB16" si="31">AV10+SUM(AV12:AV15)</f>
        <v>695.64699999999993</v>
      </c>
      <c r="AW16" s="101">
        <f t="shared" si="31"/>
        <v>888.35300000001598</v>
      </c>
      <c r="AX16" s="101">
        <f t="shared" si="31"/>
        <v>876.67000000000144</v>
      </c>
      <c r="AY16" s="101">
        <f t="shared" si="31"/>
        <v>1531.2769999999964</v>
      </c>
      <c r="AZ16" s="101">
        <f t="shared" si="31"/>
        <v>1997.857</v>
      </c>
      <c r="BA16" s="101">
        <f t="shared" si="31"/>
        <v>1531.4670000000106</v>
      </c>
      <c r="BB16" s="101">
        <f t="shared" si="31"/>
        <v>1273.6439999999975</v>
      </c>
      <c r="BC16" s="101">
        <f>BC10+SUM(BC12:BC15)</f>
        <v>1107.3270000000043</v>
      </c>
      <c r="BD16" s="101">
        <f>BD10+SUM(BD12:BD15)</f>
        <v>1574.9469999999997</v>
      </c>
      <c r="BE16" s="101"/>
      <c r="BF16" s="285">
        <f t="shared" ref="BF16:BK16" si="32">BF10+SUM(BF12:BF15)</f>
        <v>25.407000000000266</v>
      </c>
      <c r="BG16" s="101">
        <f t="shared" si="32"/>
        <v>154.8180000000003</v>
      </c>
      <c r="BH16" s="101">
        <f t="shared" si="32"/>
        <v>221</v>
      </c>
      <c r="BI16" s="101">
        <f t="shared" si="32"/>
        <v>92.430999999999926</v>
      </c>
      <c r="BJ16" s="339">
        <f t="shared" si="32"/>
        <v>3580.4919999999984</v>
      </c>
      <c r="BK16" s="101">
        <f t="shared" si="32"/>
        <v>-251.49499999999807</v>
      </c>
      <c r="BM16" s="190"/>
      <c r="BN16" s="101">
        <f>BN10+SUM(BN12:BN15)</f>
        <v>344</v>
      </c>
      <c r="BO16" s="190"/>
      <c r="BP16" s="188"/>
      <c r="BQ16" s="101">
        <f>BQ10+SUM(BQ12:BQ15)</f>
        <v>1756</v>
      </c>
      <c r="BR16" s="101">
        <f>BR10+SUM(BR12:BR15)</f>
        <v>1063</v>
      </c>
      <c r="BS16" s="190"/>
      <c r="BT16" s="190"/>
      <c r="BU16" s="190"/>
      <c r="BV16" s="101"/>
      <c r="BW16" s="101"/>
      <c r="BX16" s="190"/>
      <c r="BY16" s="190"/>
      <c r="BZ16" s="190"/>
      <c r="CA16" s="190"/>
      <c r="CB16" s="190"/>
      <c r="CC16" s="190"/>
      <c r="CD16" s="190"/>
      <c r="CE16" s="190"/>
      <c r="CF16" s="190"/>
      <c r="CG16" s="190"/>
      <c r="CH16" s="190"/>
      <c r="CI16" s="190"/>
      <c r="CJ16" s="190"/>
      <c r="CK16" s="190"/>
      <c r="CL16" s="190"/>
      <c r="CM16" s="190"/>
      <c r="CN16" s="190"/>
      <c r="CO16" s="190"/>
      <c r="CP16" s="190"/>
      <c r="CQ16" s="190"/>
      <c r="CR16" s="190"/>
      <c r="CS16" s="190"/>
      <c r="CT16" s="190"/>
    </row>
    <row r="17" spans="2:98" ht="12.75">
      <c r="B17" s="7" t="s">
        <v>68</v>
      </c>
      <c r="C17" s="100">
        <v>282.19799999999998</v>
      </c>
      <c r="D17" s="100">
        <v>596.21299999999997</v>
      </c>
      <c r="E17" s="100">
        <v>491.62900000000002</v>
      </c>
      <c r="F17" s="100">
        <v>256.29399999999998</v>
      </c>
      <c r="G17" s="100">
        <v>233.452</v>
      </c>
      <c r="H17" s="100">
        <v>447.25099999999998</v>
      </c>
      <c r="I17" s="100">
        <v>403.68700000000001</v>
      </c>
      <c r="J17" s="100">
        <v>3091.98</v>
      </c>
      <c r="K17" s="100">
        <v>3906.8670000000002</v>
      </c>
      <c r="L17" s="100">
        <v>11069.887000000001</v>
      </c>
      <c r="M17" s="100">
        <v>11521.120999999999</v>
      </c>
      <c r="N17" s="100">
        <v>12654.204</v>
      </c>
      <c r="O17" s="103">
        <f>SUM(BA17:BD17)</f>
        <v>14227.095000000001</v>
      </c>
      <c r="P17" s="101"/>
      <c r="Q17" s="100">
        <v>160.797</v>
      </c>
      <c r="R17" s="100">
        <v>124.59</v>
      </c>
      <c r="S17" s="100">
        <v>143.21799999999999</v>
      </c>
      <c r="T17" s="103">
        <f>E17-SUM(Q17:S17)</f>
        <v>63.024000000000001</v>
      </c>
      <c r="U17" s="150">
        <v>82.28</v>
      </c>
      <c r="V17" s="100">
        <v>79.061000000000007</v>
      </c>
      <c r="W17" s="100">
        <v>53.478000000000002</v>
      </c>
      <c r="X17" s="100">
        <v>69.156999999999996</v>
      </c>
      <c r="Y17" s="103">
        <f>F17-W17-X17-U17</f>
        <v>51.378999999999991</v>
      </c>
      <c r="Z17" s="100">
        <v>55.393999999999998</v>
      </c>
      <c r="AA17" s="100">
        <v>121.288</v>
      </c>
      <c r="AB17" s="100">
        <v>102.239</v>
      </c>
      <c r="AC17" s="103">
        <f>H17-AB17-AA17-Z17</f>
        <v>168.32999999999993</v>
      </c>
      <c r="AD17" s="100">
        <v>59.9</v>
      </c>
      <c r="AE17" s="100">
        <v>126.861</v>
      </c>
      <c r="AF17" s="100">
        <v>112.301</v>
      </c>
      <c r="AG17" s="103">
        <f>I17-AF17-AE17-AD17</f>
        <v>104.62500000000003</v>
      </c>
      <c r="AH17" s="100">
        <f>687.064-AH18</f>
        <v>687.06399999999996</v>
      </c>
      <c r="AI17" s="100">
        <v>723.56799999999998</v>
      </c>
      <c r="AJ17" s="100">
        <v>750.55499999999995</v>
      </c>
      <c r="AK17" s="103">
        <f>J17-AJ17-AI17-AH17</f>
        <v>930.79300000000023</v>
      </c>
      <c r="AL17" s="100">
        <f>401.27-AL18</f>
        <v>401.27</v>
      </c>
      <c r="AM17" s="100">
        <v>1061.3710000000001</v>
      </c>
      <c r="AN17" s="100">
        <v>1158.797</v>
      </c>
      <c r="AO17" s="103">
        <f>K17-AN17-AM17-AL17</f>
        <v>1285.4290000000001</v>
      </c>
      <c r="AP17" s="100">
        <f>3261.098-AP18</f>
        <v>3261.098</v>
      </c>
      <c r="AQ17" s="100">
        <v>3151.2730000000001</v>
      </c>
      <c r="AR17" s="100">
        <v>1868.057</v>
      </c>
      <c r="AS17" s="103">
        <f>L17-AR17-AQ17-AP17</f>
        <v>2789.4589999999998</v>
      </c>
      <c r="AT17" s="100">
        <f>2997.467-AT18</f>
        <v>2997.4670000000001</v>
      </c>
      <c r="AU17" s="100">
        <v>2915.8850000000002</v>
      </c>
      <c r="AV17" s="100">
        <v>2809.6109999999999</v>
      </c>
      <c r="AW17" s="103">
        <f>M17-AV17-AU17-AT17</f>
        <v>2798.1579999999981</v>
      </c>
      <c r="AX17" s="100">
        <f>1926.083-AX18</f>
        <v>1926.0830000000001</v>
      </c>
      <c r="AY17" s="100">
        <v>3435.1469999999999</v>
      </c>
      <c r="AZ17" s="100">
        <v>2984.3609999999999</v>
      </c>
      <c r="BA17" s="103">
        <f>N17-AZ17-AY17-AX17</f>
        <v>4308.6130000000012</v>
      </c>
      <c r="BB17" s="100">
        <f>3731.428-BB18</f>
        <v>3731.4279999999999</v>
      </c>
      <c r="BC17" s="100">
        <v>3120.9780000000001</v>
      </c>
      <c r="BD17" s="100">
        <v>3066.076</v>
      </c>
      <c r="BE17" s="100"/>
      <c r="BF17" s="284">
        <v>47.823</v>
      </c>
      <c r="BG17" s="100">
        <v>63.381999999999998</v>
      </c>
      <c r="BH17" s="100"/>
      <c r="BI17" s="100">
        <v>53.500999999999998</v>
      </c>
      <c r="BJ17" s="293">
        <v>723.56799999999998</v>
      </c>
      <c r="BK17" s="100">
        <f>2896.092-BK18</f>
        <v>2896.0920000000001</v>
      </c>
      <c r="BM17" s="189"/>
      <c r="BN17" s="189"/>
      <c r="BO17" s="189"/>
      <c r="BP17" s="192"/>
      <c r="BQ17" s="189"/>
      <c r="BR17" s="189"/>
      <c r="BS17" s="189"/>
      <c r="BT17" s="189"/>
      <c r="BU17" s="189"/>
      <c r="BV17" s="189"/>
      <c r="BW17" s="189"/>
      <c r="BX17" s="189"/>
      <c r="BY17" s="189"/>
      <c r="BZ17" s="189"/>
      <c r="CA17" s="189"/>
      <c r="CB17" s="189"/>
      <c r="CC17" s="189"/>
      <c r="CD17" s="189"/>
      <c r="CE17" s="189"/>
      <c r="CF17" s="189"/>
      <c r="CG17" s="189"/>
      <c r="CH17" s="189"/>
      <c r="CI17" s="189"/>
      <c r="CJ17" s="189"/>
      <c r="CK17" s="189"/>
      <c r="CL17" s="189"/>
      <c r="CM17" s="189"/>
      <c r="CN17" s="189"/>
      <c r="CO17" s="189"/>
      <c r="CP17" s="189"/>
      <c r="CQ17" s="189"/>
      <c r="CR17" s="189"/>
      <c r="CS17" s="189"/>
      <c r="CT17" s="189"/>
    </row>
    <row r="18" spans="2:98" ht="12.75">
      <c r="B18" s="7" t="s">
        <v>374</v>
      </c>
      <c r="C18" s="100">
        <v>768.56700000000001</v>
      </c>
      <c r="D18" s="100">
        <v>2037.403</v>
      </c>
      <c r="E18" s="100">
        <v>1765.259</v>
      </c>
      <c r="F18" s="100">
        <v>1195.028</v>
      </c>
      <c r="G18" s="100">
        <v>1324.202</v>
      </c>
      <c r="H18" s="100">
        <v>1544.4580000000001</v>
      </c>
      <c r="I18" s="100">
        <v>1709.4829999999999</v>
      </c>
      <c r="J18" s="380"/>
      <c r="K18" s="380"/>
      <c r="L18" s="419"/>
      <c r="M18" s="419"/>
      <c r="N18" s="419"/>
      <c r="O18" s="419"/>
      <c r="P18" s="101"/>
      <c r="Q18" s="420">
        <v>579.63400000000001</v>
      </c>
      <c r="R18" s="420">
        <v>678.05899999999997</v>
      </c>
      <c r="S18" s="420">
        <v>149.751</v>
      </c>
      <c r="T18" s="419">
        <f>E18-SUM(Q18:S18)</f>
        <v>357.81500000000005</v>
      </c>
      <c r="U18" s="420">
        <v>495.291</v>
      </c>
      <c r="V18" s="420">
        <v>493.88400000000001</v>
      </c>
      <c r="W18" s="420">
        <v>364.52100000000002</v>
      </c>
      <c r="X18" s="420">
        <v>164.47399999999999</v>
      </c>
      <c r="Y18" s="419">
        <f>F18-W18-X18-U18</f>
        <v>170.74200000000013</v>
      </c>
      <c r="Z18" s="420">
        <v>261.68</v>
      </c>
      <c r="AA18" s="420">
        <v>366.60399999999998</v>
      </c>
      <c r="AB18" s="420">
        <v>471.435</v>
      </c>
      <c r="AC18" s="419">
        <f>H18-AB18-AA18-Z18</f>
        <v>444.73900000000009</v>
      </c>
      <c r="AD18" s="420">
        <v>420.46100000000001</v>
      </c>
      <c r="AE18" s="420">
        <v>227.673</v>
      </c>
      <c r="AF18" s="420">
        <v>576.95899999999995</v>
      </c>
      <c r="AG18" s="419">
        <f>I18-AF18-AE18-AD18</f>
        <v>484.38999999999987</v>
      </c>
      <c r="AH18" s="420"/>
      <c r="AI18" s="420"/>
      <c r="AJ18" s="420"/>
      <c r="AK18" s="419"/>
      <c r="AL18" s="420"/>
      <c r="AM18" s="420"/>
      <c r="AN18" s="420"/>
      <c r="AO18" s="419"/>
      <c r="AP18" s="420"/>
      <c r="AQ18" s="420"/>
      <c r="AR18" s="420"/>
      <c r="AS18" s="419"/>
      <c r="AT18" s="420"/>
      <c r="AU18" s="420"/>
      <c r="AV18" s="420"/>
      <c r="AW18" s="419"/>
      <c r="AX18" s="420"/>
      <c r="AY18" s="420"/>
      <c r="AZ18" s="420"/>
      <c r="BA18" s="419"/>
      <c r="BB18" s="420"/>
      <c r="BC18" s="420"/>
      <c r="BD18" s="420"/>
      <c r="BE18" s="100"/>
      <c r="BF18" s="284">
        <v>392.34199999999998</v>
      </c>
      <c r="BG18" s="100">
        <v>207.346</v>
      </c>
      <c r="BH18" s="100"/>
      <c r="BI18" s="100">
        <v>294.85899999999998</v>
      </c>
      <c r="BJ18" s="387"/>
      <c r="BK18" s="189"/>
      <c r="BM18" s="189"/>
      <c r="BN18" s="189"/>
      <c r="BO18" s="189"/>
      <c r="BP18" s="192"/>
      <c r="BQ18" s="189"/>
      <c r="BR18" s="189"/>
      <c r="BS18" s="189"/>
      <c r="BT18" s="189"/>
      <c r="BU18" s="189"/>
      <c r="BV18" s="189"/>
      <c r="BW18" s="189"/>
      <c r="BX18" s="189"/>
      <c r="BY18" s="189"/>
      <c r="BZ18" s="189"/>
      <c r="CA18" s="189"/>
      <c r="CB18" s="189"/>
      <c r="CC18" s="189"/>
      <c r="CD18" s="189"/>
      <c r="CE18" s="189"/>
      <c r="CF18" s="189"/>
      <c r="CG18" s="189"/>
      <c r="CH18" s="189"/>
      <c r="CI18" s="189"/>
      <c r="CJ18" s="189"/>
      <c r="CK18" s="189"/>
      <c r="CL18" s="189"/>
      <c r="CM18" s="189"/>
      <c r="CN18" s="189"/>
      <c r="CO18" s="189"/>
      <c r="CP18" s="189"/>
      <c r="CQ18" s="189"/>
      <c r="CR18" s="189"/>
      <c r="CS18" s="189"/>
      <c r="CT18" s="189"/>
    </row>
    <row r="19" spans="2:98" ht="12.75">
      <c r="B19" s="7" t="s">
        <v>69</v>
      </c>
      <c r="C19" s="100">
        <v>-1902.499</v>
      </c>
      <c r="D19" s="100">
        <v>-2642.7739999999999</v>
      </c>
      <c r="E19" s="100">
        <v>-2423.6570000000002</v>
      </c>
      <c r="F19" s="100">
        <v>-1974.34</v>
      </c>
      <c r="G19" s="100">
        <v>-1926.088</v>
      </c>
      <c r="H19" s="100">
        <v>-2373.6799999999998</v>
      </c>
      <c r="I19" s="100">
        <v>-2065.3850000000002</v>
      </c>
      <c r="J19" s="100">
        <v>-5817.5479999999998</v>
      </c>
      <c r="K19" s="100">
        <v>-7615.5810000000001</v>
      </c>
      <c r="L19" s="100">
        <v>-17244.613000000001</v>
      </c>
      <c r="M19" s="100">
        <v>-17123.536</v>
      </c>
      <c r="N19" s="100">
        <v>-18186.363000000001</v>
      </c>
      <c r="O19" s="103">
        <f>SUM(BA19:BD19)</f>
        <v>-20220.614000000001</v>
      </c>
      <c r="P19" s="101"/>
      <c r="Q19" s="100">
        <v>-620.80600000000004</v>
      </c>
      <c r="R19" s="100">
        <v>-637.28899999999999</v>
      </c>
      <c r="S19" s="100">
        <v>-592.61500000000001</v>
      </c>
      <c r="T19" s="103">
        <f>E19-SUM(Q19:S19)</f>
        <v>-572.94700000000012</v>
      </c>
      <c r="U19" s="150">
        <v>-584.00699999999995</v>
      </c>
      <c r="V19" s="100">
        <v>-573.21400000000006</v>
      </c>
      <c r="W19" s="100">
        <v>-469.38799999999998</v>
      </c>
      <c r="X19" s="100">
        <v>-452.89699999999999</v>
      </c>
      <c r="Y19" s="103">
        <f>F19-W19-X19-U19</f>
        <v>-468.04800000000012</v>
      </c>
      <c r="Z19" s="100">
        <v>-470.46499999999997</v>
      </c>
      <c r="AA19" s="100">
        <v>-563.78</v>
      </c>
      <c r="AB19" s="100">
        <v>-674.67200000000003</v>
      </c>
      <c r="AC19" s="103">
        <f>H19-AB19-AA19-Z19</f>
        <v>-664.76299999999992</v>
      </c>
      <c r="AD19" s="100">
        <v>-465.79700000000003</v>
      </c>
      <c r="AE19" s="100">
        <v>-516.03300000000002</v>
      </c>
      <c r="AF19" s="100">
        <v>-535.64300000000003</v>
      </c>
      <c r="AG19" s="103">
        <f>I19-AF19-AE19-AD19</f>
        <v>-547.91200000000015</v>
      </c>
      <c r="AH19" s="100">
        <f>-1870.086-AH20</f>
        <v>-1870.086</v>
      </c>
      <c r="AI19" s="100">
        <v>-1497.4290000000001</v>
      </c>
      <c r="AJ19" s="100">
        <v>-1363.6310000000001</v>
      </c>
      <c r="AK19" s="103">
        <f>J19-AJ19-AI19-AH19</f>
        <v>-1086.4019999999994</v>
      </c>
      <c r="AL19" s="100">
        <f>-1134.331-AL20</f>
        <v>-1134.3309999999999</v>
      </c>
      <c r="AM19" s="100">
        <v>-1008.992</v>
      </c>
      <c r="AN19" s="100">
        <v>-2432.8470000000002</v>
      </c>
      <c r="AO19" s="103">
        <f>K19-AN19-AM19-AL19</f>
        <v>-3039.4110000000001</v>
      </c>
      <c r="AP19" s="100">
        <f>-4316.977-AP20</f>
        <v>-4316.9769999999999</v>
      </c>
      <c r="AQ19" s="100">
        <v>-5531.0349999999999</v>
      </c>
      <c r="AR19" s="100">
        <v>-3747.9540000000002</v>
      </c>
      <c r="AS19" s="103">
        <f>L19-AR19-AQ19-AP19</f>
        <v>-3648.6470000000018</v>
      </c>
      <c r="AT19" s="100">
        <f>-4520.3-AT20</f>
        <v>-4520.3</v>
      </c>
      <c r="AU19" s="100">
        <v>-4437.72</v>
      </c>
      <c r="AV19" s="100">
        <v>-4448.3119999999999</v>
      </c>
      <c r="AW19" s="103">
        <f>M19-AV19-AU19-AT19</f>
        <v>-3717.2040000000006</v>
      </c>
      <c r="AX19" s="100">
        <f>-2898.587-AX20</f>
        <v>-2898.587</v>
      </c>
      <c r="AY19" s="100">
        <v>-4848.2790000000005</v>
      </c>
      <c r="AZ19" s="100">
        <v>-4325.7969999999996</v>
      </c>
      <c r="BA19" s="103">
        <f>N19-AZ19-AY19-AX19</f>
        <v>-6113.7000000000025</v>
      </c>
      <c r="BB19" s="100">
        <f>-5071.509-BB20</f>
        <v>-5071.509</v>
      </c>
      <c r="BC19" s="100">
        <v>-4556.9809999999998</v>
      </c>
      <c r="BD19" s="100">
        <v>-4478.424</v>
      </c>
      <c r="BE19" s="100"/>
      <c r="BF19" s="284">
        <v>-460.05900000000003</v>
      </c>
      <c r="BG19" s="100">
        <v>-446.44299999999998</v>
      </c>
      <c r="BH19" s="100">
        <v>-398</v>
      </c>
      <c r="BI19" s="100">
        <v>-473.08699999999999</v>
      </c>
      <c r="BJ19" s="293">
        <v>-1497.4290000000001</v>
      </c>
      <c r="BK19" s="100">
        <f>-4205.398-BK20</f>
        <v>-4205.3980000000001</v>
      </c>
      <c r="BM19" s="189"/>
      <c r="BN19" s="192"/>
      <c r="BO19" s="192"/>
      <c r="BP19" s="192"/>
      <c r="BQ19" s="192"/>
      <c r="BR19" s="192"/>
      <c r="BS19" s="192"/>
      <c r="BT19" s="192"/>
      <c r="BU19" s="192"/>
      <c r="BV19" s="192"/>
      <c r="BW19" s="192"/>
      <c r="BX19" s="192"/>
      <c r="BY19" s="192"/>
      <c r="BZ19" s="192"/>
      <c r="CA19" s="192"/>
      <c r="CB19" s="192"/>
      <c r="CC19" s="192"/>
      <c r="CD19" s="192"/>
      <c r="CE19" s="192"/>
      <c r="CF19" s="192"/>
      <c r="CG19" s="192"/>
      <c r="CH19" s="192"/>
      <c r="CI19" s="192"/>
      <c r="CJ19" s="192"/>
      <c r="CK19" s="192"/>
      <c r="CL19" s="192"/>
      <c r="CM19" s="192"/>
      <c r="CN19" s="192"/>
      <c r="CO19" s="192"/>
      <c r="CP19" s="192"/>
      <c r="CQ19" s="192"/>
      <c r="CR19" s="192"/>
      <c r="CS19" s="192"/>
      <c r="CT19" s="192"/>
    </row>
    <row r="20" spans="2:98" ht="12.75">
      <c r="B20" s="97" t="s">
        <v>375</v>
      </c>
      <c r="C20" s="100">
        <v>-1210.1859999999999</v>
      </c>
      <c r="D20" s="100">
        <v>-3090.2689999999998</v>
      </c>
      <c r="E20" s="100">
        <v>-1847.924</v>
      </c>
      <c r="F20" s="100">
        <v>-1408.923</v>
      </c>
      <c r="G20" s="100">
        <v>-1520.5409999999999</v>
      </c>
      <c r="H20" s="100">
        <v>-1926.9949999999999</v>
      </c>
      <c r="I20" s="100">
        <v>-2107.511</v>
      </c>
      <c r="J20" s="380"/>
      <c r="K20" s="380"/>
      <c r="L20" s="419"/>
      <c r="M20" s="419"/>
      <c r="N20" s="419"/>
      <c r="O20" s="419"/>
      <c r="P20" s="101"/>
      <c r="Q20" s="420">
        <v>-542.81700000000001</v>
      </c>
      <c r="R20" s="420">
        <v>-678.90300000000002</v>
      </c>
      <c r="S20" s="420">
        <v>-170.64400000000001</v>
      </c>
      <c r="T20" s="419">
        <f>E20-SUM(Q20:S20)</f>
        <v>-455.55999999999995</v>
      </c>
      <c r="U20" s="420">
        <v>-509.03100000000001</v>
      </c>
      <c r="V20" s="420">
        <v>-508.49900000000002</v>
      </c>
      <c r="W20" s="420">
        <v>-436.44099999999997</v>
      </c>
      <c r="X20" s="420">
        <v>-207.98699999999999</v>
      </c>
      <c r="Y20" s="419">
        <f>F20-W20-X20-U20</f>
        <v>-255.464</v>
      </c>
      <c r="Z20" s="420">
        <v>-314.29300000000001</v>
      </c>
      <c r="AA20" s="420">
        <v>-441.59</v>
      </c>
      <c r="AB20" s="420">
        <v>-612.68899999999996</v>
      </c>
      <c r="AC20" s="419">
        <f>H20-AB20-AA20-Z20</f>
        <v>-558.42300000000012</v>
      </c>
      <c r="AD20" s="420">
        <v>-394.83199999999999</v>
      </c>
      <c r="AE20" s="420">
        <v>-242.24299999999999</v>
      </c>
      <c r="AF20" s="420">
        <v>-818.98</v>
      </c>
      <c r="AG20" s="419">
        <f>I20-AF20-AE20-AD20</f>
        <v>-651.45600000000002</v>
      </c>
      <c r="AH20" s="420"/>
      <c r="AI20" s="420">
        <v>0</v>
      </c>
      <c r="AJ20" s="420">
        <v>0</v>
      </c>
      <c r="AK20" s="419"/>
      <c r="AL20" s="419"/>
      <c r="AM20" s="419"/>
      <c r="AN20" s="420">
        <v>0</v>
      </c>
      <c r="AO20" s="419"/>
      <c r="AP20" s="419"/>
      <c r="AQ20" s="419"/>
      <c r="AR20" s="419"/>
      <c r="AS20" s="419"/>
      <c r="AT20" s="419"/>
      <c r="AU20" s="419"/>
      <c r="AV20" s="419"/>
      <c r="AW20" s="419"/>
      <c r="AX20" s="419"/>
      <c r="AY20" s="419"/>
      <c r="AZ20" s="419"/>
      <c r="BA20" s="419"/>
      <c r="BB20" s="419"/>
      <c r="BC20" s="419"/>
      <c r="BD20" s="419"/>
      <c r="BE20" s="103"/>
      <c r="BF20" s="284">
        <v>-457.18599999999998</v>
      </c>
      <c r="BG20" s="100">
        <v>-242.95599999999999</v>
      </c>
      <c r="BH20" s="100">
        <v>-80</v>
      </c>
      <c r="BI20" s="100">
        <v>-346.30599999999998</v>
      </c>
      <c r="BJ20" s="293">
        <v>0</v>
      </c>
      <c r="BK20" s="380"/>
      <c r="BM20" s="189"/>
      <c r="BN20" s="192"/>
      <c r="BO20" s="192"/>
      <c r="BP20" s="192"/>
      <c r="BQ20" s="192"/>
      <c r="BR20" s="192"/>
      <c r="BS20" s="192"/>
      <c r="BT20" s="192"/>
      <c r="BU20" s="192"/>
      <c r="BV20" s="192">
        <v>366</v>
      </c>
      <c r="BW20" s="192">
        <v>398</v>
      </c>
      <c r="BX20" s="192"/>
      <c r="BY20" s="192"/>
      <c r="BZ20" s="192"/>
      <c r="CA20" s="192"/>
      <c r="CB20" s="192"/>
      <c r="CC20" s="192"/>
      <c r="CD20" s="192"/>
      <c r="CE20" s="192"/>
      <c r="CF20" s="192"/>
      <c r="CG20" s="192"/>
      <c r="CH20" s="192"/>
      <c r="CI20" s="192"/>
      <c r="CJ20" s="192"/>
      <c r="CK20" s="192"/>
      <c r="CL20" s="192"/>
      <c r="CM20" s="192"/>
      <c r="CN20" s="192"/>
      <c r="CO20" s="192"/>
      <c r="CP20" s="192"/>
      <c r="CQ20" s="192"/>
      <c r="CR20" s="192"/>
      <c r="CS20" s="192"/>
      <c r="CT20" s="192"/>
    </row>
    <row r="21" spans="2:98" s="5" customFormat="1" ht="12.75">
      <c r="B21" s="5" t="s">
        <v>70</v>
      </c>
      <c r="C21" s="101">
        <f t="shared" ref="C21:Q21" si="33">SUM(C16:C20)</f>
        <v>-1120.4889999999996</v>
      </c>
      <c r="D21" s="101">
        <f t="shared" si="33"/>
        <v>-2065.2240000000002</v>
      </c>
      <c r="E21" s="101">
        <f t="shared" si="33"/>
        <v>-977.26200000000017</v>
      </c>
      <c r="F21" s="101">
        <f t="shared" si="33"/>
        <v>-819.58800000000065</v>
      </c>
      <c r="G21" s="101">
        <f t="shared" si="33"/>
        <v>-1464.5789999999995</v>
      </c>
      <c r="H21" s="101">
        <f t="shared" si="33"/>
        <v>-1886.8849999999998</v>
      </c>
      <c r="I21" s="101">
        <f t="shared" ref="I21:O21" si="34">SUM(I16:I20)</f>
        <v>1352.6270000000009</v>
      </c>
      <c r="J21" s="101">
        <f t="shared" si="34"/>
        <v>5128.2940000000062</v>
      </c>
      <c r="K21" s="101">
        <f t="shared" si="34"/>
        <v>8902.4289999999946</v>
      </c>
      <c r="L21" s="101">
        <f t="shared" si="34"/>
        <v>2991.8320000000022</v>
      </c>
      <c r="M21" s="101">
        <f t="shared" si="34"/>
        <v>-4541.2279999999846</v>
      </c>
      <c r="N21" s="101">
        <f>SUM(N16:N20)</f>
        <v>405.11199999999735</v>
      </c>
      <c r="O21" s="101">
        <f t="shared" si="34"/>
        <v>-506.13399999998001</v>
      </c>
      <c r="P21" s="101"/>
      <c r="Q21" s="101">
        <f t="shared" si="33"/>
        <v>-124.05499999999984</v>
      </c>
      <c r="R21" s="101">
        <f t="shared" ref="R21:AC21" si="35">SUM(R16:R20)</f>
        <v>-238.98800000000028</v>
      </c>
      <c r="S21" s="101">
        <f t="shared" si="35"/>
        <v>-254.39599999999984</v>
      </c>
      <c r="T21" s="101">
        <f t="shared" si="35"/>
        <v>-359.82300000000168</v>
      </c>
      <c r="U21" s="151">
        <f>SUM(U16:U20)</f>
        <v>-327.95399999999989</v>
      </c>
      <c r="V21" s="101">
        <f t="shared" si="35"/>
        <v>-475.0870000000001</v>
      </c>
      <c r="W21" s="101">
        <f t="shared" si="35"/>
        <v>-283.5619999999999</v>
      </c>
      <c r="X21" s="101">
        <f t="shared" si="35"/>
        <v>-80.672999999999519</v>
      </c>
      <c r="Y21" s="101">
        <f>SUM(Y16:Y20)</f>
        <v>-127.3990000000021</v>
      </c>
      <c r="Z21" s="101">
        <f t="shared" si="35"/>
        <v>-380.99299999999999</v>
      </c>
      <c r="AA21" s="101">
        <f t="shared" si="35"/>
        <v>-801.31999999999982</v>
      </c>
      <c r="AB21" s="101">
        <f t="shared" si="35"/>
        <v>168.12100000000066</v>
      </c>
      <c r="AC21" s="101">
        <f t="shared" si="35"/>
        <v>-872.69300000000135</v>
      </c>
      <c r="AD21" s="377">
        <f t="shared" ref="AD21:AI21" si="36">SUM(AD16:AD20)</f>
        <v>-18.003999999999678</v>
      </c>
      <c r="AE21" s="101">
        <f t="shared" si="36"/>
        <v>346.91599999999931</v>
      </c>
      <c r="AF21" s="101">
        <f t="shared" si="36"/>
        <v>507.83599999999933</v>
      </c>
      <c r="AG21" s="101">
        <f t="shared" si="36"/>
        <v>515.87899999999638</v>
      </c>
      <c r="AH21" s="101">
        <f t="shared" si="36"/>
        <v>-318.59100000000012</v>
      </c>
      <c r="AI21" s="101">
        <f t="shared" si="36"/>
        <v>2806.6309999999985</v>
      </c>
      <c r="AJ21" s="101">
        <f t="shared" ref="AJ21:AO21" si="37">SUM(AJ16:AJ20)</f>
        <v>1171.4730000000006</v>
      </c>
      <c r="AK21" s="101">
        <f t="shared" si="37"/>
        <v>1468.781000000002</v>
      </c>
      <c r="AL21" s="101">
        <f t="shared" si="37"/>
        <v>508.43600000000129</v>
      </c>
      <c r="AM21" s="101">
        <f t="shared" si="37"/>
        <v>3503.0869999999986</v>
      </c>
      <c r="AN21" s="101">
        <f t="shared" si="37"/>
        <v>2995.8530000000005</v>
      </c>
      <c r="AO21" s="101">
        <f t="shared" si="37"/>
        <v>1895.0529999999899</v>
      </c>
      <c r="AP21" s="101">
        <f t="shared" ref="AP21:AU21" si="38">SUM(AP16:AP20)</f>
        <v>1255.0450000000028</v>
      </c>
      <c r="AQ21" s="101">
        <f t="shared" si="38"/>
        <v>3091.5720000000001</v>
      </c>
      <c r="AR21" s="101">
        <f t="shared" si="38"/>
        <v>7.5919999999982792</v>
      </c>
      <c r="AS21" s="101">
        <f t="shared" si="38"/>
        <v>-1362.3770000000086</v>
      </c>
      <c r="AT21" s="101">
        <f t="shared" si="38"/>
        <v>-1788.9320000000012</v>
      </c>
      <c r="AU21" s="101">
        <f t="shared" si="38"/>
        <v>-1778.5489999999995</v>
      </c>
      <c r="AV21" s="101">
        <f t="shared" ref="AV21:BB21" si="39">SUM(AV16:AV20)</f>
        <v>-943.05400000000009</v>
      </c>
      <c r="AW21" s="101">
        <f t="shared" si="39"/>
        <v>-30.692999999986569</v>
      </c>
      <c r="AX21" s="101">
        <f t="shared" si="39"/>
        <v>-95.833999999998468</v>
      </c>
      <c r="AY21" s="101">
        <f t="shared" si="39"/>
        <v>118.14499999999589</v>
      </c>
      <c r="AZ21" s="101">
        <f t="shared" si="39"/>
        <v>656.42100000000028</v>
      </c>
      <c r="BA21" s="101">
        <f t="shared" si="39"/>
        <v>-273.6199999999908</v>
      </c>
      <c r="BB21" s="101">
        <f t="shared" si="39"/>
        <v>-66.437000000002627</v>
      </c>
      <c r="BC21" s="101">
        <f>SUM(BC16:BC20)</f>
        <v>-328.67599999999584</v>
      </c>
      <c r="BD21" s="101">
        <f>SUM(BD16:BD20)</f>
        <v>162.59899999999925</v>
      </c>
      <c r="BE21" s="101"/>
      <c r="BF21" s="285">
        <f t="shared" ref="BF21:BK21" si="40">SUM(BF16:BF20)</f>
        <v>-451.67299999999977</v>
      </c>
      <c r="BG21" s="101">
        <f t="shared" si="40"/>
        <v>-263.85299999999972</v>
      </c>
      <c r="BH21" s="101">
        <f t="shared" si="40"/>
        <v>-257</v>
      </c>
      <c r="BI21" s="101">
        <f t="shared" si="40"/>
        <v>-378.60200000000003</v>
      </c>
      <c r="BJ21" s="339">
        <f t="shared" si="40"/>
        <v>2806.6309999999985</v>
      </c>
      <c r="BK21" s="101">
        <f t="shared" si="40"/>
        <v>-1560.8009999999981</v>
      </c>
      <c r="BM21" s="190"/>
      <c r="BN21" s="188"/>
      <c r="BO21" s="188"/>
      <c r="BP21" s="188"/>
      <c r="BQ21" s="188"/>
      <c r="BR21" s="188"/>
      <c r="BS21" s="188"/>
      <c r="BT21" s="188"/>
      <c r="BU21" s="188"/>
      <c r="BV21" s="188"/>
      <c r="BW21" s="188"/>
      <c r="BX21" s="188"/>
      <c r="BY21" s="188"/>
      <c r="BZ21" s="188"/>
      <c r="CA21" s="188"/>
      <c r="CB21" s="188"/>
      <c r="CC21" s="188"/>
      <c r="CD21" s="188"/>
      <c r="CE21" s="188"/>
      <c r="CF21" s="188"/>
      <c r="CG21" s="188"/>
      <c r="CH21" s="188"/>
      <c r="CI21" s="188"/>
      <c r="CJ21" s="188"/>
      <c r="CK21" s="188"/>
      <c r="CL21" s="188"/>
      <c r="CM21" s="188"/>
      <c r="CN21" s="188"/>
      <c r="CO21" s="188"/>
      <c r="CP21" s="188"/>
      <c r="CQ21" s="188"/>
      <c r="CR21" s="188"/>
      <c r="CS21" s="188"/>
      <c r="CT21" s="188"/>
    </row>
    <row r="22" spans="2:98" s="5" customFormat="1" ht="12.75">
      <c r="B22" s="7" t="s">
        <v>71</v>
      </c>
      <c r="C22" s="100">
        <f>203.752+101.448</f>
        <v>305.2</v>
      </c>
      <c r="D22" s="100">
        <f>489.071+199.151</f>
        <v>688.22199999999998</v>
      </c>
      <c r="E22" s="100">
        <f>215.086+120.037</f>
        <v>335.12300000000005</v>
      </c>
      <c r="F22" s="100">
        <f>320.909+76.194</f>
        <v>397.10300000000001</v>
      </c>
      <c r="G22" s="100">
        <v>473.94900000000001</v>
      </c>
      <c r="H22" s="100">
        <v>397.536</v>
      </c>
      <c r="I22" s="100">
        <f>183.754+45.858</f>
        <v>229.61199999999999</v>
      </c>
      <c r="J22" s="100">
        <f>-683.607+86.165</f>
        <v>-597.44200000000001</v>
      </c>
      <c r="K22" s="100">
        <v>-2256.0500000000002</v>
      </c>
      <c r="L22" s="100">
        <v>447.97</v>
      </c>
      <c r="M22" s="100">
        <v>1089.5989999999999</v>
      </c>
      <c r="N22" s="100">
        <v>2391.3090000000002</v>
      </c>
      <c r="O22" s="103">
        <f>SUM(BA22:BD22)</f>
        <v>2565.5620000000004</v>
      </c>
      <c r="P22" s="103"/>
      <c r="Q22" s="100">
        <f>17.673+18.33</f>
        <v>36.003</v>
      </c>
      <c r="R22" s="100">
        <f>25.221+25.511</f>
        <v>50.731999999999999</v>
      </c>
      <c r="S22" s="100">
        <f>84.659+25.662</f>
        <v>110.321</v>
      </c>
      <c r="T22" s="103">
        <f>E22-SUM(Q22:S22)</f>
        <v>138.06700000000006</v>
      </c>
      <c r="U22" s="150">
        <f>66.014+35.829</f>
        <v>101.84299999999999</v>
      </c>
      <c r="V22" s="100">
        <f>111.419+35.829</f>
        <v>147.24799999999999</v>
      </c>
      <c r="W22" s="100">
        <f>87.378+51.662</f>
        <v>139.04</v>
      </c>
      <c r="X22" s="100">
        <f>10.717+21.047</f>
        <v>31.764000000000003</v>
      </c>
      <c r="Y22" s="103">
        <f>F22-W22-X22-U22</f>
        <v>124.45599999999999</v>
      </c>
      <c r="Z22" s="100">
        <f>96.661+33.042</f>
        <v>129.703</v>
      </c>
      <c r="AA22" s="100">
        <f>261.597+105.515</f>
        <v>367.11199999999997</v>
      </c>
      <c r="AB22" s="100">
        <f>34.449+51.57</f>
        <v>86.019000000000005</v>
      </c>
      <c r="AC22" s="103">
        <f>H22-AB22-AA22-Z22</f>
        <v>-185.29799999999997</v>
      </c>
      <c r="AD22" s="100">
        <f>110.067+50.012</f>
        <v>160.07900000000001</v>
      </c>
      <c r="AE22" s="100">
        <f>7.569+45.812</f>
        <v>53.381</v>
      </c>
      <c r="AF22" s="100">
        <f>72+61.158</f>
        <v>133.15800000000002</v>
      </c>
      <c r="AG22" s="103">
        <f>I22-AF22-AE22-AD22</f>
        <v>-117.00600000000003</v>
      </c>
      <c r="AH22" s="100">
        <f>-41.495+327.815</f>
        <v>286.32</v>
      </c>
      <c r="AI22" s="100">
        <f>-626.685+21.793</f>
        <v>-604.89199999999994</v>
      </c>
      <c r="AJ22" s="100">
        <f>-232.416-1.235</f>
        <v>-233.65100000000001</v>
      </c>
      <c r="AK22" s="103">
        <f>J22-AJ22-AI22-AH22</f>
        <v>-45.219000000000051</v>
      </c>
      <c r="AL22" s="100">
        <f>-104.363+102.262</f>
        <v>-2.1009999999999991</v>
      </c>
      <c r="AM22" s="100">
        <f>-841.951-284.735</f>
        <v>-1126.6860000000001</v>
      </c>
      <c r="AN22" s="100">
        <f>-188.519-365.211</f>
        <v>-553.73</v>
      </c>
      <c r="AO22" s="103">
        <f>K22-AN22-AM22-AL22</f>
        <v>-573.53300000000002</v>
      </c>
      <c r="AP22" s="100">
        <f>-541.82-220.822</f>
        <v>-762.64200000000005</v>
      </c>
      <c r="AQ22" s="100">
        <v>777.31500000000005</v>
      </c>
      <c r="AR22" s="100">
        <f>-30.08+213.762</f>
        <v>183.68200000000002</v>
      </c>
      <c r="AS22" s="103">
        <f>L22-AR22-AQ22-AP22</f>
        <v>249.61500000000001</v>
      </c>
      <c r="AT22" s="100">
        <f>-52.697+273.35</f>
        <v>220.65300000000002</v>
      </c>
      <c r="AU22" s="100">
        <v>210.92699999999999</v>
      </c>
      <c r="AV22" s="100">
        <f>-47.967+461.541</f>
        <v>413.57400000000001</v>
      </c>
      <c r="AW22" s="103">
        <f>M22-AV22-AU22-AT22</f>
        <v>244.44499999999982</v>
      </c>
      <c r="AX22" s="100">
        <f>-93.563+321.731</f>
        <v>228.16800000000001</v>
      </c>
      <c r="AY22" s="100">
        <v>556.53899999999999</v>
      </c>
      <c r="AZ22" s="100">
        <f>-77.668+133.618</f>
        <v>55.949999999999989</v>
      </c>
      <c r="BA22" s="103">
        <f>N22-AZ22-AY22-AX22</f>
        <v>1550.6520000000005</v>
      </c>
      <c r="BB22" s="100">
        <f>-85.105+576.906</f>
        <v>491.80099999999993</v>
      </c>
      <c r="BC22" s="100">
        <v>502.23</v>
      </c>
      <c r="BD22" s="100">
        <f>-135.356+156.235</f>
        <v>20.879000000000019</v>
      </c>
      <c r="BE22" s="100"/>
      <c r="BF22" s="284">
        <f>137.953+51.662</f>
        <v>189.61500000000001</v>
      </c>
      <c r="BG22" s="100">
        <f>67.403+21.047</f>
        <v>88.45</v>
      </c>
      <c r="BH22" s="100">
        <v>46</v>
      </c>
      <c r="BI22" s="100">
        <f>98.259+33.042</f>
        <v>131.30099999999999</v>
      </c>
      <c r="BJ22" s="293">
        <f>-554.856-50.036</f>
        <v>-604.89200000000005</v>
      </c>
      <c r="BK22" s="100">
        <f>-35.857+259.937</f>
        <v>224.08</v>
      </c>
      <c r="BM22" s="189"/>
      <c r="BN22" s="188"/>
      <c r="BO22" s="189"/>
      <c r="BP22" s="189"/>
      <c r="BQ22" s="188"/>
      <c r="BR22" s="188"/>
      <c r="BS22" s="188"/>
      <c r="BT22" s="188"/>
      <c r="BU22" s="188"/>
      <c r="BV22" s="188">
        <v>379</v>
      </c>
      <c r="BW22" s="188">
        <v>230</v>
      </c>
      <c r="BX22" s="188"/>
      <c r="BY22" s="188"/>
      <c r="BZ22" s="188"/>
      <c r="CA22" s="188"/>
      <c r="CB22" s="188"/>
      <c r="CC22" s="188"/>
      <c r="CD22" s="188"/>
      <c r="CE22" s="188"/>
      <c r="CF22" s="188"/>
      <c r="CG22" s="188"/>
      <c r="CH22" s="188"/>
      <c r="CI22" s="188"/>
      <c r="CJ22" s="188"/>
      <c r="CK22" s="188"/>
      <c r="CL22" s="188"/>
      <c r="CM22" s="188"/>
      <c r="CN22" s="188"/>
      <c r="CO22" s="188"/>
      <c r="CP22" s="188"/>
      <c r="CQ22" s="188"/>
      <c r="CR22" s="188"/>
      <c r="CS22" s="188"/>
      <c r="CT22" s="188"/>
    </row>
    <row r="23" spans="2:98" s="5" customFormat="1" ht="12.75">
      <c r="B23" s="5" t="s">
        <v>72</v>
      </c>
      <c r="C23" s="101">
        <f>SUM(C21,C22)</f>
        <v>-815.28899999999953</v>
      </c>
      <c r="D23" s="101">
        <f>SUM(D21,D22)</f>
        <v>-1377.0020000000002</v>
      </c>
      <c r="E23" s="101">
        <f>SUM(E21,E22)</f>
        <v>-642.13900000000012</v>
      </c>
      <c r="F23" s="101">
        <f t="shared" ref="F23:K23" si="41">SUM(F21:F22)</f>
        <v>-422.48500000000064</v>
      </c>
      <c r="G23" s="101">
        <f t="shared" si="41"/>
        <v>-990.62999999999943</v>
      </c>
      <c r="H23" s="101">
        <f t="shared" si="41"/>
        <v>-1489.3489999999997</v>
      </c>
      <c r="I23" s="101">
        <f t="shared" si="41"/>
        <v>1582.2390000000009</v>
      </c>
      <c r="J23" s="101">
        <f t="shared" si="41"/>
        <v>4530.8520000000062</v>
      </c>
      <c r="K23" s="101">
        <f t="shared" si="41"/>
        <v>6646.3789999999944</v>
      </c>
      <c r="L23" s="101">
        <f>SUM(L21:L22)</f>
        <v>3439.8020000000024</v>
      </c>
      <c r="M23" s="101">
        <f>SUM(M21:M22)</f>
        <v>-3451.6289999999844</v>
      </c>
      <c r="N23" s="101">
        <f>SUM(N21:N22)</f>
        <v>2796.4209999999975</v>
      </c>
      <c r="O23" s="101">
        <f>SUM(O21:O22)</f>
        <v>2059.4280000000203</v>
      </c>
      <c r="P23" s="101"/>
      <c r="Q23" s="101">
        <f t="shared" ref="Q23:AC23" si="42">SUM(Q21,Q22)</f>
        <v>-88.051999999999836</v>
      </c>
      <c r="R23" s="101">
        <f t="shared" si="42"/>
        <v>-188.25600000000028</v>
      </c>
      <c r="S23" s="101">
        <f t="shared" si="42"/>
        <v>-144.07499999999985</v>
      </c>
      <c r="T23" s="101">
        <f t="shared" si="42"/>
        <v>-221.75600000000162</v>
      </c>
      <c r="U23" s="151">
        <f>SUM(U21,U22)</f>
        <v>-226.1109999999999</v>
      </c>
      <c r="V23" s="101">
        <f t="shared" si="42"/>
        <v>-327.83900000000011</v>
      </c>
      <c r="W23" s="101">
        <f t="shared" si="42"/>
        <v>-144.52199999999991</v>
      </c>
      <c r="X23" s="101">
        <f t="shared" si="42"/>
        <v>-48.908999999999516</v>
      </c>
      <c r="Y23" s="101">
        <f>SUM(Y21,Y22)</f>
        <v>-2.9430000000021153</v>
      </c>
      <c r="Z23" s="101">
        <f t="shared" si="42"/>
        <v>-251.29</v>
      </c>
      <c r="AA23" s="101">
        <f t="shared" si="42"/>
        <v>-434.20799999999986</v>
      </c>
      <c r="AB23" s="101">
        <f t="shared" si="42"/>
        <v>254.14000000000067</v>
      </c>
      <c r="AC23" s="101">
        <f t="shared" si="42"/>
        <v>-1057.9910000000013</v>
      </c>
      <c r="AD23" s="101">
        <f t="shared" ref="AD23:AI23" si="43">SUM(AD21,AD22)</f>
        <v>142.07500000000033</v>
      </c>
      <c r="AE23" s="101">
        <f t="shared" si="43"/>
        <v>400.29699999999934</v>
      </c>
      <c r="AF23" s="101">
        <f t="shared" si="43"/>
        <v>640.99399999999935</v>
      </c>
      <c r="AG23" s="101">
        <f t="shared" si="43"/>
        <v>398.87299999999635</v>
      </c>
      <c r="AH23" s="101">
        <f t="shared" si="43"/>
        <v>-32.271000000000129</v>
      </c>
      <c r="AI23" s="101">
        <f t="shared" si="43"/>
        <v>2201.7389999999987</v>
      </c>
      <c r="AJ23" s="101">
        <f t="shared" ref="AJ23:AO23" si="44">SUM(AJ21,AJ22)</f>
        <v>937.82200000000057</v>
      </c>
      <c r="AK23" s="101">
        <f t="shared" si="44"/>
        <v>1423.5620000000019</v>
      </c>
      <c r="AL23" s="101">
        <f t="shared" si="44"/>
        <v>506.33500000000129</v>
      </c>
      <c r="AM23" s="101">
        <f t="shared" si="44"/>
        <v>2376.4009999999985</v>
      </c>
      <c r="AN23" s="101">
        <f t="shared" si="44"/>
        <v>2442.1230000000005</v>
      </c>
      <c r="AO23" s="101">
        <f t="shared" si="44"/>
        <v>1321.51999999999</v>
      </c>
      <c r="AP23" s="101">
        <f t="shared" ref="AP23:AU23" si="45">SUM(AP21,AP22)</f>
        <v>492.40300000000275</v>
      </c>
      <c r="AQ23" s="101">
        <f t="shared" si="45"/>
        <v>3868.8870000000002</v>
      </c>
      <c r="AR23" s="101">
        <f t="shared" si="45"/>
        <v>191.2739999999983</v>
      </c>
      <c r="AS23" s="101">
        <f t="shared" si="45"/>
        <v>-1112.7620000000086</v>
      </c>
      <c r="AT23" s="101">
        <f t="shared" si="45"/>
        <v>-1568.2790000000011</v>
      </c>
      <c r="AU23" s="101">
        <f t="shared" si="45"/>
        <v>-1567.6219999999996</v>
      </c>
      <c r="AV23" s="101">
        <f t="shared" ref="AV23:BB23" si="46">SUM(AV21,AV22)</f>
        <v>-529.48</v>
      </c>
      <c r="AW23" s="101">
        <f t="shared" si="46"/>
        <v>213.75200000001325</v>
      </c>
      <c r="AX23" s="101">
        <f t="shared" si="46"/>
        <v>132.33400000000154</v>
      </c>
      <c r="AY23" s="101">
        <f t="shared" si="46"/>
        <v>674.68399999999588</v>
      </c>
      <c r="AZ23" s="101">
        <f t="shared" si="46"/>
        <v>712.37100000000032</v>
      </c>
      <c r="BA23" s="101">
        <f t="shared" si="46"/>
        <v>1277.0320000000097</v>
      </c>
      <c r="BB23" s="101">
        <f t="shared" si="46"/>
        <v>425.3639999999973</v>
      </c>
      <c r="BC23" s="101">
        <f>SUM(BC21,BC22)</f>
        <v>173.55400000000418</v>
      </c>
      <c r="BD23" s="101">
        <f>SUM(BD21,BD22)</f>
        <v>183.47799999999927</v>
      </c>
      <c r="BE23" s="101"/>
      <c r="BF23" s="285">
        <f t="shared" ref="BF23:BK23" si="47">SUM(BF21,BF22)</f>
        <v>-262.05799999999977</v>
      </c>
      <c r="BG23" s="101">
        <f t="shared" si="47"/>
        <v>-175.40299999999974</v>
      </c>
      <c r="BH23" s="101">
        <f t="shared" si="47"/>
        <v>-211</v>
      </c>
      <c r="BI23" s="101">
        <f t="shared" si="47"/>
        <v>-247.30100000000004</v>
      </c>
      <c r="BJ23" s="339">
        <f t="shared" si="47"/>
        <v>2201.7389999999987</v>
      </c>
      <c r="BK23" s="101">
        <f t="shared" si="47"/>
        <v>-1336.7209999999982</v>
      </c>
      <c r="BM23" s="190"/>
      <c r="BN23" s="188"/>
      <c r="BO23" s="190"/>
      <c r="BP23" s="190"/>
      <c r="BQ23" s="188"/>
      <c r="BR23" s="188"/>
      <c r="BS23" s="188"/>
      <c r="BT23" s="190"/>
      <c r="BU23" s="190"/>
      <c r="BV23" s="188"/>
      <c r="BW23" s="188"/>
      <c r="BX23" s="188"/>
      <c r="BY23" s="188"/>
      <c r="BZ23" s="190"/>
      <c r="CA23" s="190"/>
      <c r="CB23" s="188"/>
      <c r="CC23" s="188"/>
      <c r="CD23" s="190"/>
      <c r="CE23" s="190"/>
      <c r="CF23" s="188"/>
      <c r="CG23" s="188"/>
      <c r="CH23" s="190"/>
      <c r="CI23" s="190"/>
      <c r="CJ23" s="188"/>
      <c r="CK23" s="188"/>
      <c r="CL23" s="190"/>
      <c r="CM23" s="190"/>
      <c r="CN23" s="188"/>
      <c r="CO23" s="188"/>
      <c r="CP23" s="188"/>
      <c r="CQ23" s="190"/>
      <c r="CR23" s="188"/>
      <c r="CS23" s="188"/>
      <c r="CT23" s="188"/>
    </row>
    <row r="24" spans="2:98" ht="12.75">
      <c r="B24" s="7" t="s">
        <v>73</v>
      </c>
      <c r="C24" s="100">
        <v>94.995999999999995</v>
      </c>
      <c r="D24" s="100">
        <v>838.09500000000003</v>
      </c>
      <c r="E24" s="100">
        <v>9.3719999999999999</v>
      </c>
      <c r="F24" s="100">
        <v>-22.751999999999999</v>
      </c>
      <c r="G24" s="100">
        <v>545.39300000000003</v>
      </c>
      <c r="H24" s="100">
        <v>3643.319</v>
      </c>
      <c r="I24" s="100">
        <v>0</v>
      </c>
      <c r="J24" s="100">
        <v>0</v>
      </c>
      <c r="K24" s="100">
        <v>0</v>
      </c>
      <c r="L24" s="100">
        <v>-676.827</v>
      </c>
      <c r="M24" s="100">
        <v>-169.61699999999999</v>
      </c>
      <c r="N24" s="100">
        <v>1084.4490000000001</v>
      </c>
      <c r="O24" s="103">
        <f>SUM(BA24:BD24)</f>
        <v>1475.1660000000002</v>
      </c>
      <c r="P24" s="103"/>
      <c r="Q24" s="100">
        <v>-4.2690000000000001</v>
      </c>
      <c r="R24" s="100">
        <v>68.63</v>
      </c>
      <c r="S24" s="100">
        <v>-14.631</v>
      </c>
      <c r="T24" s="103">
        <f>E24-SUM(Q24:S24)</f>
        <v>-40.35799999999999</v>
      </c>
      <c r="U24" s="150">
        <v>4.7309999999999999</v>
      </c>
      <c r="V24" s="100">
        <v>106.459</v>
      </c>
      <c r="W24" s="100">
        <v>-10.194000000000001</v>
      </c>
      <c r="X24" s="100">
        <v>-3.2879999999999998</v>
      </c>
      <c r="Y24" s="103">
        <f>F24-W24-X24-U24</f>
        <v>-14.000999999999998</v>
      </c>
      <c r="Z24" s="100">
        <v>50.332999999999998</v>
      </c>
      <c r="AA24" s="100">
        <v>51.631999999999998</v>
      </c>
      <c r="AB24" s="100">
        <v>59.456000000000003</v>
      </c>
      <c r="AC24" s="103">
        <f>H24-AB24-AA24-Z24</f>
        <v>3481.8979999999997</v>
      </c>
      <c r="AD24" s="100">
        <v>0</v>
      </c>
      <c r="AE24" s="100">
        <v>0</v>
      </c>
      <c r="AF24" s="100">
        <v>0</v>
      </c>
      <c r="AG24" s="103">
        <f>I24-AF24-AE24-AD24</f>
        <v>0</v>
      </c>
      <c r="AH24" s="100">
        <v>0</v>
      </c>
      <c r="AI24" s="100">
        <v>0</v>
      </c>
      <c r="AJ24" s="100">
        <v>0</v>
      </c>
      <c r="AK24" s="103">
        <f>J24-AJ24-AI24-AH24</f>
        <v>0</v>
      </c>
      <c r="AL24" s="100">
        <v>0</v>
      </c>
      <c r="AM24" s="100">
        <v>0</v>
      </c>
      <c r="AN24" s="100">
        <v>0</v>
      </c>
      <c r="AO24" s="103">
        <f>K24-AN24-AM24-AL24</f>
        <v>0</v>
      </c>
      <c r="AP24" s="100">
        <v>0</v>
      </c>
      <c r="AQ24" s="100">
        <v>-16.408000000000001</v>
      </c>
      <c r="AR24" s="100">
        <v>0</v>
      </c>
      <c r="AS24" s="103">
        <f>L24-AR24-AQ24-AP24</f>
        <v>-660.41899999999998</v>
      </c>
      <c r="AT24" s="100">
        <v>0</v>
      </c>
      <c r="AU24" s="100">
        <v>-253.108</v>
      </c>
      <c r="AV24" s="100">
        <v>149.75200000000001</v>
      </c>
      <c r="AW24" s="103">
        <f>M24-AV24-AU24-AT24</f>
        <v>-66.261000000000024</v>
      </c>
      <c r="AX24" s="100">
        <v>35.652000000000001</v>
      </c>
      <c r="AY24" s="100">
        <v>-172.19399999999999</v>
      </c>
      <c r="AZ24" s="100">
        <v>-231.381</v>
      </c>
      <c r="BA24" s="103">
        <f>N24-AZ24-AY24-AX24</f>
        <v>1452.3720000000001</v>
      </c>
      <c r="BB24" s="100">
        <v>-0.74399999999999999</v>
      </c>
      <c r="BC24" s="100">
        <v>23.538</v>
      </c>
      <c r="BD24" s="100">
        <v>0</v>
      </c>
      <c r="BE24" s="100"/>
      <c r="BF24" s="284">
        <v>107.342</v>
      </c>
      <c r="BG24" s="100">
        <v>123.20699999999999</v>
      </c>
      <c r="BH24" s="100">
        <v>190</v>
      </c>
      <c r="BI24" s="100">
        <v>0</v>
      </c>
      <c r="BJ24" s="293">
        <v>0</v>
      </c>
      <c r="BK24" s="100">
        <v>-231.55799999999999</v>
      </c>
      <c r="BM24" s="189"/>
      <c r="BN24" s="192"/>
      <c r="BO24" s="189"/>
      <c r="BP24" s="189"/>
      <c r="BQ24" s="192"/>
      <c r="BR24" s="192"/>
      <c r="BS24" s="192"/>
      <c r="BT24" s="189"/>
      <c r="BU24" s="189"/>
      <c r="BV24" s="192"/>
      <c r="BW24" s="192"/>
      <c r="BX24" s="192"/>
      <c r="BY24" s="192"/>
      <c r="BZ24" s="189"/>
      <c r="CA24" s="189"/>
      <c r="CB24" s="192"/>
      <c r="CC24" s="192"/>
      <c r="CD24" s="189"/>
      <c r="CE24" s="189"/>
      <c r="CF24" s="192"/>
      <c r="CG24" s="192"/>
      <c r="CH24" s="189"/>
      <c r="CI24" s="189"/>
      <c r="CJ24" s="192"/>
      <c r="CK24" s="192"/>
      <c r="CL24" s="189"/>
      <c r="CM24" s="189"/>
      <c r="CN24" s="192"/>
      <c r="CO24" s="192"/>
      <c r="CP24" s="192"/>
      <c r="CQ24" s="189"/>
      <c r="CR24" s="192"/>
      <c r="CS24" s="192"/>
      <c r="CT24" s="192"/>
    </row>
    <row r="25" spans="2:98" s="5" customFormat="1" ht="12.75">
      <c r="B25" s="5" t="s">
        <v>74</v>
      </c>
      <c r="C25" s="101">
        <f t="shared" ref="C25:H25" si="48">SUM(C23,C24)</f>
        <v>-720.29299999999955</v>
      </c>
      <c r="D25" s="101">
        <f t="shared" si="48"/>
        <v>-538.90700000000015</v>
      </c>
      <c r="E25" s="101">
        <f t="shared" si="48"/>
        <v>-632.76700000000017</v>
      </c>
      <c r="F25" s="101">
        <f t="shared" si="48"/>
        <v>-445.23700000000065</v>
      </c>
      <c r="G25" s="101">
        <f t="shared" si="48"/>
        <v>-445.2369999999994</v>
      </c>
      <c r="H25" s="101">
        <f t="shared" si="48"/>
        <v>2153.9700000000003</v>
      </c>
      <c r="I25" s="101">
        <f t="shared" ref="I25:O25" si="49">SUM(I23,I24)</f>
        <v>1582.2390000000009</v>
      </c>
      <c r="J25" s="101">
        <f t="shared" si="49"/>
        <v>4530.8520000000062</v>
      </c>
      <c r="K25" s="101">
        <f t="shared" si="49"/>
        <v>6646.3789999999944</v>
      </c>
      <c r="L25" s="101">
        <f t="shared" si="49"/>
        <v>2762.9750000000022</v>
      </c>
      <c r="M25" s="101">
        <f t="shared" si="49"/>
        <v>-3621.2459999999846</v>
      </c>
      <c r="N25" s="101">
        <f>SUM(N23,N24)</f>
        <v>3880.8699999999976</v>
      </c>
      <c r="O25" s="101">
        <f t="shared" si="49"/>
        <v>3534.5940000000205</v>
      </c>
      <c r="P25" s="101"/>
      <c r="Q25" s="101">
        <f t="shared" ref="Q25:AC25" si="50">SUM(Q23,Q24)</f>
        <v>-92.320999999999842</v>
      </c>
      <c r="R25" s="101">
        <f t="shared" si="50"/>
        <v>-119.62600000000029</v>
      </c>
      <c r="S25" s="101">
        <f t="shared" si="50"/>
        <v>-158.70599999999985</v>
      </c>
      <c r="T25" s="101">
        <f t="shared" si="50"/>
        <v>-262.11400000000162</v>
      </c>
      <c r="U25" s="151">
        <f>SUM(U23,U24)</f>
        <v>-221.37999999999991</v>
      </c>
      <c r="V25" s="101">
        <f t="shared" si="50"/>
        <v>-221.38000000000011</v>
      </c>
      <c r="W25" s="101">
        <f t="shared" si="50"/>
        <v>-154.71599999999989</v>
      </c>
      <c r="X25" s="101">
        <f t="shared" si="50"/>
        <v>-52.196999999999512</v>
      </c>
      <c r="Y25" s="101">
        <f>SUM(Y23,Y24)</f>
        <v>-16.944000000002113</v>
      </c>
      <c r="Z25" s="101">
        <f t="shared" si="50"/>
        <v>-200.95699999999999</v>
      </c>
      <c r="AA25" s="101">
        <f t="shared" si="50"/>
        <v>-382.57599999999985</v>
      </c>
      <c r="AB25" s="101">
        <f t="shared" si="50"/>
        <v>313.59600000000069</v>
      </c>
      <c r="AC25" s="101">
        <f t="shared" si="50"/>
        <v>2423.9069999999983</v>
      </c>
      <c r="AD25" s="101">
        <f t="shared" ref="AD25:AI25" si="51">SUM(AD23,AD24)</f>
        <v>142.07500000000033</v>
      </c>
      <c r="AE25" s="101">
        <f t="shared" si="51"/>
        <v>400.29699999999934</v>
      </c>
      <c r="AF25" s="101">
        <f t="shared" si="51"/>
        <v>640.99399999999935</v>
      </c>
      <c r="AG25" s="101">
        <f t="shared" si="51"/>
        <v>398.87299999999635</v>
      </c>
      <c r="AH25" s="101">
        <f t="shared" si="51"/>
        <v>-32.271000000000129</v>
      </c>
      <c r="AI25" s="101">
        <f t="shared" si="51"/>
        <v>2201.7389999999987</v>
      </c>
      <c r="AJ25" s="101">
        <f t="shared" ref="AJ25:AO25" si="52">SUM(AJ23,AJ24)</f>
        <v>937.82200000000057</v>
      </c>
      <c r="AK25" s="101">
        <f t="shared" si="52"/>
        <v>1423.5620000000019</v>
      </c>
      <c r="AL25" s="101">
        <f t="shared" si="52"/>
        <v>506.33500000000129</v>
      </c>
      <c r="AM25" s="101">
        <f t="shared" si="52"/>
        <v>2376.4009999999985</v>
      </c>
      <c r="AN25" s="101">
        <f t="shared" si="52"/>
        <v>2442.1230000000005</v>
      </c>
      <c r="AO25" s="101">
        <f t="shared" si="52"/>
        <v>1321.51999999999</v>
      </c>
      <c r="AP25" s="101">
        <f t="shared" ref="AP25:AU25" si="53">SUM(AP23,AP24)</f>
        <v>492.40300000000275</v>
      </c>
      <c r="AQ25" s="101">
        <f t="shared" si="53"/>
        <v>3852.4790000000003</v>
      </c>
      <c r="AR25" s="101">
        <f t="shared" si="53"/>
        <v>191.2739999999983</v>
      </c>
      <c r="AS25" s="101">
        <f t="shared" si="53"/>
        <v>-1773.1810000000087</v>
      </c>
      <c r="AT25" s="101">
        <f t="shared" si="53"/>
        <v>-1568.2790000000011</v>
      </c>
      <c r="AU25" s="101">
        <f t="shared" si="53"/>
        <v>-1820.7299999999996</v>
      </c>
      <c r="AV25" s="101">
        <f t="shared" ref="AV25:BB25" si="54">SUM(AV23,AV24)</f>
        <v>-379.72800000000001</v>
      </c>
      <c r="AW25" s="101">
        <f t="shared" si="54"/>
        <v>147.49100000001323</v>
      </c>
      <c r="AX25" s="101">
        <f t="shared" si="54"/>
        <v>167.98600000000152</v>
      </c>
      <c r="AY25" s="101">
        <f t="shared" si="54"/>
        <v>502.48999999999592</v>
      </c>
      <c r="AZ25" s="101">
        <f t="shared" si="54"/>
        <v>480.99000000000035</v>
      </c>
      <c r="BA25" s="101">
        <f t="shared" si="54"/>
        <v>2729.4040000000095</v>
      </c>
      <c r="BB25" s="101">
        <f t="shared" si="54"/>
        <v>424.61999999999728</v>
      </c>
      <c r="BC25" s="101">
        <f>SUM(BC23,BC24)</f>
        <v>197.09200000000419</v>
      </c>
      <c r="BD25" s="101">
        <f>SUM(BD23,BD24)</f>
        <v>183.47799999999927</v>
      </c>
      <c r="BE25" s="101"/>
      <c r="BF25" s="285">
        <f t="shared" ref="BF25:BK25" si="55">SUM(BF23,BF24)</f>
        <v>-154.71599999999978</v>
      </c>
      <c r="BG25" s="101">
        <f t="shared" si="55"/>
        <v>-52.195999999999742</v>
      </c>
      <c r="BH25" s="101">
        <f t="shared" si="55"/>
        <v>-21</v>
      </c>
      <c r="BI25" s="101">
        <f t="shared" si="55"/>
        <v>-247.30100000000004</v>
      </c>
      <c r="BJ25" s="339">
        <f t="shared" si="55"/>
        <v>2201.7389999999987</v>
      </c>
      <c r="BK25" s="101">
        <f t="shared" si="55"/>
        <v>-1568.2789999999982</v>
      </c>
      <c r="BM25" s="190"/>
      <c r="BN25" s="188"/>
      <c r="BO25" s="190"/>
      <c r="BP25" s="190"/>
      <c r="BQ25" s="188"/>
      <c r="BR25" s="188"/>
      <c r="BS25" s="188"/>
      <c r="BT25" s="190"/>
      <c r="BU25" s="190"/>
      <c r="BV25" s="188"/>
      <c r="BW25" s="188"/>
      <c r="BX25" s="188"/>
      <c r="BY25" s="188"/>
      <c r="BZ25" s="190"/>
      <c r="CA25" s="190"/>
      <c r="CB25" s="188"/>
      <c r="CC25" s="188"/>
      <c r="CD25" s="190"/>
      <c r="CE25" s="190"/>
      <c r="CF25" s="188"/>
      <c r="CG25" s="188"/>
      <c r="CH25" s="190"/>
      <c r="CI25" s="190"/>
      <c r="CJ25" s="188"/>
      <c r="CK25" s="188"/>
      <c r="CL25" s="190"/>
      <c r="CM25" s="190"/>
      <c r="CN25" s="188"/>
      <c r="CO25" s="188"/>
      <c r="CP25" s="188"/>
      <c r="CQ25" s="190"/>
      <c r="CR25" s="188"/>
      <c r="CS25" s="188"/>
      <c r="CT25" s="188"/>
    </row>
    <row r="26" spans="2:98" s="46" customFormat="1" ht="13.5" customHeight="1">
      <c r="B26" s="63"/>
      <c r="C26" s="64"/>
      <c r="D26" s="64"/>
      <c r="E26" s="64"/>
      <c r="F26" s="64"/>
      <c r="G26" s="64"/>
      <c r="H26" s="64"/>
      <c r="I26" s="64"/>
      <c r="J26" s="64"/>
      <c r="K26" s="64"/>
      <c r="L26" s="64"/>
      <c r="M26" s="64"/>
      <c r="N26" s="64"/>
      <c r="O26" s="64"/>
      <c r="P26" s="64"/>
      <c r="Q26" s="64"/>
      <c r="U26" s="152"/>
      <c r="V26" s="64"/>
      <c r="W26" s="64"/>
      <c r="Z26" s="64"/>
      <c r="AA26" s="64"/>
      <c r="AB26" s="64"/>
      <c r="AC26" s="301"/>
      <c r="AD26" s="64"/>
      <c r="AE26" s="64"/>
      <c r="AF26" s="64"/>
      <c r="AG26" s="64"/>
      <c r="AH26" s="64"/>
      <c r="AI26" s="64"/>
      <c r="AJ26" s="64"/>
      <c r="AK26" s="64"/>
      <c r="AL26" s="64"/>
      <c r="AM26" s="64"/>
      <c r="AN26" s="64"/>
      <c r="AO26" s="64"/>
      <c r="AP26" s="64"/>
      <c r="AQ26" s="64"/>
      <c r="AR26" s="64"/>
      <c r="AS26" s="64"/>
      <c r="AT26" s="64"/>
      <c r="AU26" s="64"/>
      <c r="AV26" s="64"/>
      <c r="AW26" s="64"/>
      <c r="AX26" s="64"/>
      <c r="AY26" s="64"/>
      <c r="AZ26" s="64"/>
      <c r="BA26" s="64"/>
      <c r="BB26" s="64"/>
      <c r="BC26" s="64"/>
      <c r="BD26" s="64"/>
      <c r="BE26" s="301"/>
      <c r="BF26" s="231"/>
      <c r="BG26" s="301"/>
      <c r="BH26" s="301"/>
      <c r="BI26" s="301"/>
      <c r="BJ26" s="294"/>
      <c r="BK26" s="64"/>
      <c r="BM26" s="301"/>
      <c r="BO26" s="301"/>
      <c r="BP26" s="64"/>
      <c r="BT26" s="301"/>
      <c r="BU26" s="301"/>
      <c r="BZ26" s="301"/>
      <c r="CA26" s="301"/>
      <c r="CD26" s="301"/>
      <c r="CE26" s="301"/>
      <c r="CH26" s="301"/>
      <c r="CI26" s="301"/>
      <c r="CL26" s="301"/>
      <c r="CM26" s="301"/>
      <c r="CQ26" s="301"/>
    </row>
    <row r="27" spans="2:98" s="5" customFormat="1" ht="13.5" customHeight="1">
      <c r="B27" s="7"/>
      <c r="C27" s="4"/>
      <c r="D27" s="4"/>
      <c r="E27" s="4"/>
      <c r="F27" s="4"/>
      <c r="G27" s="4"/>
      <c r="H27" s="4"/>
      <c r="I27" s="4"/>
      <c r="J27" s="4"/>
      <c r="K27" s="4"/>
      <c r="L27" s="4"/>
      <c r="M27" s="4"/>
      <c r="N27" s="4"/>
      <c r="O27" s="4"/>
      <c r="P27" s="4"/>
      <c r="Q27" s="4"/>
      <c r="U27" s="153"/>
      <c r="V27" s="4"/>
      <c r="W27" s="4"/>
      <c r="Z27" s="4"/>
      <c r="AA27" s="4"/>
      <c r="AB27" s="4"/>
      <c r="AC27" s="4"/>
      <c r="AD27" s="4"/>
      <c r="AE27" s="4"/>
      <c r="AF27" s="4"/>
      <c r="AG27" s="4"/>
      <c r="AH27" s="4"/>
      <c r="AI27" s="4"/>
      <c r="AJ27" s="4"/>
      <c r="AK27" s="4"/>
      <c r="AL27" s="4"/>
      <c r="AM27" s="4"/>
      <c r="AN27" s="4"/>
      <c r="AO27" s="4"/>
      <c r="AP27" s="4"/>
      <c r="AQ27" s="4"/>
      <c r="AR27" s="4"/>
      <c r="AS27" s="4"/>
      <c r="AT27" s="4"/>
      <c r="AU27" s="4"/>
      <c r="AV27" s="4"/>
      <c r="AW27" s="4"/>
      <c r="AX27" s="4"/>
      <c r="AY27" s="4"/>
      <c r="AZ27" s="4"/>
      <c r="BA27" s="4"/>
      <c r="BB27" s="4"/>
      <c r="BC27" s="4"/>
      <c r="BD27" s="4"/>
      <c r="BE27" s="4"/>
      <c r="BF27" s="232"/>
      <c r="BG27" s="4"/>
      <c r="BH27" s="4"/>
      <c r="BI27" s="4"/>
      <c r="BJ27" s="77"/>
      <c r="BK27" s="4"/>
      <c r="BM27" s="4"/>
      <c r="BO27" s="4"/>
      <c r="BP27" s="4"/>
      <c r="BT27" s="4"/>
      <c r="BU27" s="4"/>
      <c r="BZ27" s="4"/>
      <c r="CA27" s="4"/>
      <c r="CD27" s="4"/>
      <c r="CE27" s="4"/>
      <c r="CH27" s="4"/>
      <c r="CI27" s="4"/>
      <c r="CL27" s="4"/>
      <c r="CM27" s="4"/>
      <c r="CQ27" s="4"/>
    </row>
    <row r="28" spans="2:98" s="5" customFormat="1" ht="13.5" customHeight="1">
      <c r="B28" s="56" t="s">
        <v>376</v>
      </c>
      <c r="C28" s="45"/>
      <c r="D28" s="45"/>
      <c r="E28" s="45"/>
      <c r="F28" s="45"/>
      <c r="G28" s="45"/>
      <c r="H28" s="45"/>
      <c r="I28" s="45"/>
      <c r="J28" s="45"/>
      <c r="K28" s="45"/>
      <c r="L28" s="45"/>
      <c r="M28" s="45"/>
      <c r="N28" s="45"/>
      <c r="O28" s="45"/>
      <c r="P28" s="4"/>
      <c r="Q28" s="45"/>
      <c r="R28" s="45"/>
      <c r="S28" s="45"/>
      <c r="T28" s="45"/>
      <c r="U28" s="153"/>
      <c r="V28" s="45"/>
      <c r="W28" s="45"/>
      <c r="X28" s="70"/>
      <c r="Y28" s="70"/>
      <c r="Z28" s="45"/>
      <c r="AA28" s="45"/>
      <c r="AB28" s="45"/>
      <c r="AC28" s="45"/>
      <c r="AD28" s="45"/>
      <c r="AE28" s="45"/>
      <c r="AF28" s="45"/>
      <c r="AG28" s="45"/>
      <c r="AH28" s="45"/>
      <c r="AI28" s="45"/>
      <c r="AJ28" s="45"/>
      <c r="AK28" s="45"/>
      <c r="AL28" s="45"/>
      <c r="AM28" s="45"/>
      <c r="AN28" s="45"/>
      <c r="AO28" s="45"/>
      <c r="AP28" s="45"/>
      <c r="AQ28" s="45"/>
      <c r="AR28" s="45"/>
      <c r="AS28" s="45"/>
      <c r="AT28" s="45"/>
      <c r="AU28" s="45"/>
      <c r="AV28" s="45"/>
      <c r="AW28" s="45"/>
      <c r="AX28" s="45"/>
      <c r="AY28" s="45"/>
      <c r="AZ28" s="45"/>
      <c r="BA28" s="45"/>
      <c r="BB28" s="45"/>
      <c r="BC28" s="45"/>
      <c r="BD28" s="45"/>
      <c r="BE28" s="4"/>
      <c r="BF28" s="233"/>
      <c r="BG28" s="45"/>
      <c r="BH28" s="45"/>
      <c r="BI28" s="45"/>
      <c r="BJ28" s="295"/>
      <c r="BK28" s="45"/>
      <c r="BM28" s="45"/>
      <c r="BO28" s="45"/>
      <c r="BP28" s="45"/>
      <c r="BT28" s="45"/>
      <c r="BU28" s="45"/>
      <c r="BZ28" s="4"/>
      <c r="CA28" s="4"/>
      <c r="CD28" s="4"/>
      <c r="CE28" s="4"/>
      <c r="CH28" s="4"/>
      <c r="CI28" s="4"/>
      <c r="CL28" s="4"/>
      <c r="CM28" s="4"/>
      <c r="CQ28" s="4"/>
    </row>
    <row r="29" spans="2:98" s="46" customFormat="1" ht="13.5" customHeight="1">
      <c r="B29" s="1" t="str">
        <f>B9</f>
        <v>COGS</v>
      </c>
      <c r="C29" s="117">
        <f>-C9/C7</f>
        <v>0.86972539112003755</v>
      </c>
      <c r="D29" s="117">
        <f t="shared" ref="D29:Z29" si="56">-D9/D7</f>
        <v>0.88237846329716541</v>
      </c>
      <c r="E29" s="117">
        <f t="shared" si="56"/>
        <v>0.8849171961694372</v>
      </c>
      <c r="F29" s="117">
        <f t="shared" si="56"/>
        <v>0.8803671981178901</v>
      </c>
      <c r="G29" s="117">
        <f t="shared" ref="G29:O29" si="57">-G9/G7</f>
        <v>0.86495467478486709</v>
      </c>
      <c r="H29" s="117">
        <f t="shared" si="57"/>
        <v>0.8706962058713702</v>
      </c>
      <c r="I29" s="117">
        <f t="shared" si="57"/>
        <v>0.86907716130928003</v>
      </c>
      <c r="J29" s="117">
        <f t="shared" si="57"/>
        <v>0.82629942367046427</v>
      </c>
      <c r="K29" s="117">
        <f t="shared" si="57"/>
        <v>0.79856056206559423</v>
      </c>
      <c r="L29" s="117">
        <f t="shared" si="57"/>
        <v>0.86854217741595852</v>
      </c>
      <c r="M29" s="117">
        <f t="shared" si="57"/>
        <v>0.89882263392105199</v>
      </c>
      <c r="N29" s="117">
        <f>-N9/N7</f>
        <v>0.86772441792478305</v>
      </c>
      <c r="O29" s="117">
        <f t="shared" si="57"/>
        <v>0.87519769265703773</v>
      </c>
      <c r="P29" s="375"/>
      <c r="Q29" s="117">
        <f t="shared" si="56"/>
        <v>0.88266222458466559</v>
      </c>
      <c r="R29" s="117">
        <f t="shared" si="56"/>
        <v>0.87724173802722138</v>
      </c>
      <c r="S29" s="117">
        <f t="shared" si="56"/>
        <v>0.88760343201878733</v>
      </c>
      <c r="T29" s="117">
        <f t="shared" si="56"/>
        <v>0.89211732767242991</v>
      </c>
      <c r="U29" s="152"/>
      <c r="V29" s="117">
        <f t="shared" si="56"/>
        <v>0.8723902074634432</v>
      </c>
      <c r="W29" s="117">
        <f t="shared" si="56"/>
        <v>0.88504172080586963</v>
      </c>
      <c r="X29" s="117">
        <f t="shared" si="56"/>
        <v>0.86995951028160645</v>
      </c>
      <c r="Y29" s="117">
        <f t="shared" si="56"/>
        <v>0.87956018234500244</v>
      </c>
      <c r="Z29" s="117">
        <f t="shared" si="56"/>
        <v>0.87850330293484125</v>
      </c>
      <c r="AA29" s="117">
        <f t="shared" ref="AA29:AF29" si="58">-AA9/AA7</f>
        <v>0.85247576880299236</v>
      </c>
      <c r="AB29" s="117">
        <f t="shared" si="58"/>
        <v>0.86331388747857085</v>
      </c>
      <c r="AC29" s="117">
        <f t="shared" si="58"/>
        <v>0.88508928225752803</v>
      </c>
      <c r="AD29" s="117">
        <f t="shared" si="58"/>
        <v>0.90798571582346066</v>
      </c>
      <c r="AE29" s="117">
        <f t="shared" si="58"/>
        <v>0.87366147216622403</v>
      </c>
      <c r="AF29" s="117">
        <f t="shared" si="58"/>
        <v>0.85092039058495783</v>
      </c>
      <c r="AG29" s="117">
        <f t="shared" ref="AG29:AL29" si="59">-AG9/AG7</f>
        <v>0.85398957298471134</v>
      </c>
      <c r="AH29" s="117">
        <f t="shared" si="59"/>
        <v>0.87585872172716606</v>
      </c>
      <c r="AI29" s="117">
        <f t="shared" si="59"/>
        <v>0.75843176610469998</v>
      </c>
      <c r="AJ29" s="117">
        <f t="shared" si="59"/>
        <v>0.8367313416476837</v>
      </c>
      <c r="AK29" s="117">
        <f t="shared" si="59"/>
        <v>0.85020451792594209</v>
      </c>
      <c r="AL29" s="117">
        <f t="shared" si="59"/>
        <v>0.86946479965625079</v>
      </c>
      <c r="AM29" s="117">
        <f t="shared" ref="AM29:AR29" si="60">-AM9/AM7</f>
        <v>0.78084934080560142</v>
      </c>
      <c r="AN29" s="117">
        <f t="shared" si="60"/>
        <v>0.77091144799722</v>
      </c>
      <c r="AO29" s="117">
        <f t="shared" si="60"/>
        <v>0.79003365540747306</v>
      </c>
      <c r="AP29" s="117">
        <f t="shared" si="60"/>
        <v>0.84413704389974709</v>
      </c>
      <c r="AQ29" s="117">
        <f t="shared" si="60"/>
        <v>0.86134856579740837</v>
      </c>
      <c r="AR29" s="117">
        <f t="shared" si="60"/>
        <v>0.85559550875755241</v>
      </c>
      <c r="AS29" s="117">
        <f t="shared" ref="AS29:AX29" si="61">-AS9/AS7</f>
        <v>0.90567936817995243</v>
      </c>
      <c r="AT29" s="117">
        <f t="shared" si="61"/>
        <v>0.91259394912335778</v>
      </c>
      <c r="AU29" s="117">
        <f t="shared" si="61"/>
        <v>0.91417976364090292</v>
      </c>
      <c r="AV29" s="117">
        <f t="shared" si="61"/>
        <v>0.89256601553160819</v>
      </c>
      <c r="AW29" s="117">
        <f t="shared" si="61"/>
        <v>0.87841640899007845</v>
      </c>
      <c r="AX29" s="117">
        <f t="shared" si="61"/>
        <v>0.87851814743200218</v>
      </c>
      <c r="AY29" s="117">
        <f t="shared" ref="AY29:BD29" si="62">-AY9/AY7</f>
        <v>0.86522733970614552</v>
      </c>
      <c r="AZ29" s="117">
        <f t="shared" si="62"/>
        <v>0.86400398338494888</v>
      </c>
      <c r="BA29" s="117">
        <f t="shared" si="62"/>
        <v>0.86521863911766872</v>
      </c>
      <c r="BB29" s="117">
        <f t="shared" si="62"/>
        <v>0.88217404036121405</v>
      </c>
      <c r="BC29" s="117">
        <f t="shared" si="62"/>
        <v>0.87728736922894324</v>
      </c>
      <c r="BD29" s="117">
        <f t="shared" si="62"/>
        <v>0.87675071396193394</v>
      </c>
      <c r="BE29" s="375"/>
      <c r="BF29" s="234">
        <f t="shared" ref="BF29:BK29" si="63">-BF9/BF7</f>
        <v>0.87461262676210083</v>
      </c>
      <c r="BG29" s="117">
        <f t="shared" si="63"/>
        <v>0.85542174055271902</v>
      </c>
      <c r="BH29" s="117">
        <f t="shared" si="63"/>
        <v>0.85580946250402312</v>
      </c>
      <c r="BI29" s="117">
        <f t="shared" si="63"/>
        <v>0.87815449458557993</v>
      </c>
      <c r="BJ29" s="340">
        <f t="shared" si="63"/>
        <v>0.75843176610469998</v>
      </c>
      <c r="BK29" s="117">
        <f t="shared" si="63"/>
        <v>0.91527265991258366</v>
      </c>
      <c r="BM29" s="117"/>
      <c r="BN29" s="21"/>
      <c r="BO29" s="117"/>
      <c r="BP29" s="117"/>
      <c r="BQ29" s="21"/>
      <c r="BR29" s="21"/>
      <c r="BS29" s="21"/>
      <c r="BT29" s="117"/>
      <c r="BU29" s="117"/>
      <c r="BV29" s="21"/>
      <c r="BW29" s="21"/>
      <c r="BX29" s="21"/>
      <c r="BY29" s="21"/>
      <c r="BZ29" s="117"/>
      <c r="CA29" s="117"/>
      <c r="CB29" s="21"/>
      <c r="CC29" s="21"/>
      <c r="CD29" s="117"/>
      <c r="CE29" s="117"/>
      <c r="CF29" s="21"/>
      <c r="CG29" s="21"/>
      <c r="CH29" s="117"/>
      <c r="CI29" s="117"/>
      <c r="CJ29" s="21"/>
      <c r="CK29" s="21"/>
      <c r="CL29" s="117"/>
      <c r="CM29" s="117"/>
      <c r="CN29" s="21"/>
      <c r="CO29" s="21"/>
      <c r="CP29" s="21"/>
      <c r="CQ29" s="117"/>
      <c r="CR29" s="21"/>
      <c r="CS29" s="21"/>
      <c r="CT29" s="21"/>
    </row>
    <row r="30" spans="2:98" s="46" customFormat="1" ht="13.5" customHeight="1">
      <c r="B30" s="1" t="str">
        <f>B12</f>
        <v>Selling Expenses</v>
      </c>
      <c r="C30" s="117">
        <f>-C12/C7</f>
        <v>4.0312759266733021E-2</v>
      </c>
      <c r="D30" s="117">
        <f t="shared" ref="D30:Z30" si="64">-D12/D7</f>
        <v>2.9241926155953321E-2</v>
      </c>
      <c r="E30" s="117">
        <f t="shared" si="64"/>
        <v>3.0678727340825721E-2</v>
      </c>
      <c r="F30" s="117">
        <f t="shared" si="64"/>
        <v>3.1568899195295388E-2</v>
      </c>
      <c r="G30" s="117">
        <f t="shared" ref="G30:O30" si="65">-G12/G7</f>
        <v>5.8026327014554943E-2</v>
      </c>
      <c r="H30" s="117">
        <f t="shared" si="65"/>
        <v>4.9636354164619451E-2</v>
      </c>
      <c r="I30" s="117">
        <f t="shared" si="65"/>
        <v>4.212814746817322E-2</v>
      </c>
      <c r="J30" s="117">
        <f t="shared" si="65"/>
        <v>3.7925694988667415E-2</v>
      </c>
      <c r="K30" s="117">
        <f t="shared" si="65"/>
        <v>3.6559456717270067E-2</v>
      </c>
      <c r="L30" s="117">
        <f t="shared" si="65"/>
        <v>7.0740319001086044E-2</v>
      </c>
      <c r="M30" s="117">
        <f t="shared" si="65"/>
        <v>7.8893004062003336E-2</v>
      </c>
      <c r="N30" s="117">
        <f>-N12/N7</f>
        <v>7.5475578522908746E-2</v>
      </c>
      <c r="O30" s="117">
        <f t="shared" si="65"/>
        <v>7.2914212000201498E-2</v>
      </c>
      <c r="P30" s="375"/>
      <c r="Q30" s="117">
        <f t="shared" si="64"/>
        <v>2.9560525745107213E-2</v>
      </c>
      <c r="R30" s="117">
        <f t="shared" si="64"/>
        <v>3.2168017026012755E-2</v>
      </c>
      <c r="S30" s="117">
        <f t="shared" si="64"/>
        <v>3.4885842059873773E-2</v>
      </c>
      <c r="T30" s="117">
        <f t="shared" si="64"/>
        <v>2.6644077483619456E-2</v>
      </c>
      <c r="U30" s="152"/>
      <c r="V30" s="117">
        <f t="shared" si="64"/>
        <v>6.5451912646044982E-2</v>
      </c>
      <c r="W30" s="117">
        <f t="shared" si="64"/>
        <v>2.6683091596575528E-2</v>
      </c>
      <c r="X30" s="117">
        <f t="shared" si="64"/>
        <v>3.0864794230220302E-2</v>
      </c>
      <c r="Y30" s="117">
        <f t="shared" si="64"/>
        <v>3.4575708096986409E-2</v>
      </c>
      <c r="Z30" s="117">
        <f t="shared" si="64"/>
        <v>6.2007902069712482E-2</v>
      </c>
      <c r="AA30" s="117">
        <f t="shared" ref="AA30:AF30" si="66">-AA12/AA7</f>
        <v>5.1134340841255628E-2</v>
      </c>
      <c r="AB30" s="117">
        <f t="shared" si="66"/>
        <v>4.6799009100082882E-2</v>
      </c>
      <c r="AC30" s="117">
        <f t="shared" si="66"/>
        <v>4.843805863826986E-2</v>
      </c>
      <c r="AD30" s="117">
        <f t="shared" si="66"/>
        <v>4.6327340586536189E-2</v>
      </c>
      <c r="AE30" s="117">
        <f t="shared" si="66"/>
        <v>4.2354527321792367E-2</v>
      </c>
      <c r="AF30" s="117">
        <f t="shared" si="66"/>
        <v>4.1854867387737901E-2</v>
      </c>
      <c r="AG30" s="117">
        <f t="shared" ref="AG30:AL30" si="67">-AG12/AG7</f>
        <v>3.9209516190007329E-2</v>
      </c>
      <c r="AH30" s="117">
        <f t="shared" si="67"/>
        <v>4.0353634888997306E-2</v>
      </c>
      <c r="AI30" s="117">
        <f t="shared" si="67"/>
        <v>3.2340247977652045E-2</v>
      </c>
      <c r="AJ30" s="117">
        <f t="shared" si="67"/>
        <v>3.9469629709718533E-2</v>
      </c>
      <c r="AK30" s="117">
        <f t="shared" si="67"/>
        <v>4.0481601872318279E-2</v>
      </c>
      <c r="AL30" s="117">
        <f t="shared" si="67"/>
        <v>3.8298135523066892E-2</v>
      </c>
      <c r="AM30" s="117">
        <f t="shared" ref="AM30:AR30" si="68">-AM12/AM7</f>
        <v>3.3317094132875549E-2</v>
      </c>
      <c r="AN30" s="117">
        <f t="shared" si="68"/>
        <v>3.3176488465886451E-2</v>
      </c>
      <c r="AO30" s="117">
        <f t="shared" si="68"/>
        <v>4.1434140137232206E-2</v>
      </c>
      <c r="AP30" s="117">
        <f t="shared" si="68"/>
        <v>3.9328472035841847E-2</v>
      </c>
      <c r="AQ30" s="117">
        <f t="shared" si="68"/>
        <v>7.4724862322420302E-2</v>
      </c>
      <c r="AR30" s="117">
        <f t="shared" si="68"/>
        <v>7.6891856078838208E-2</v>
      </c>
      <c r="AS30" s="117">
        <f t="shared" ref="AS30:AX30" si="69">-AS12/AS7</f>
        <v>8.1144145778513505E-2</v>
      </c>
      <c r="AT30" s="117">
        <f t="shared" si="69"/>
        <v>8.2191090659866878E-2</v>
      </c>
      <c r="AU30" s="117">
        <f t="shared" si="69"/>
        <v>7.7937263899063983E-2</v>
      </c>
      <c r="AV30" s="117">
        <f t="shared" si="69"/>
        <v>7.520161014300164E-2</v>
      </c>
      <c r="AW30" s="117">
        <f t="shared" si="69"/>
        <v>8.0442799751053659E-2</v>
      </c>
      <c r="AX30" s="117">
        <f t="shared" si="69"/>
        <v>7.8145723916330886E-2</v>
      </c>
      <c r="AY30" s="117">
        <f t="shared" ref="AY30:BD30" si="70">-AY12/AY7</f>
        <v>7.5371263065786842E-2</v>
      </c>
      <c r="AZ30" s="117">
        <f t="shared" si="70"/>
        <v>7.20172097222017E-2</v>
      </c>
      <c r="BA30" s="117">
        <f t="shared" si="70"/>
        <v>7.6768428719189041E-2</v>
      </c>
      <c r="BB30" s="117">
        <f t="shared" si="70"/>
        <v>6.9487434960362526E-2</v>
      </c>
      <c r="BC30" s="117">
        <f t="shared" si="70"/>
        <v>7.4165704539599447E-2</v>
      </c>
      <c r="BD30" s="117">
        <f t="shared" si="70"/>
        <v>7.1098196474547487E-2</v>
      </c>
      <c r="BE30" s="375"/>
      <c r="BF30" s="234">
        <f t="shared" ref="BF30:BK30" si="71">-BF12/BF7</f>
        <v>5.2918991517695774E-2</v>
      </c>
      <c r="BG30" s="117">
        <f t="shared" si="71"/>
        <v>5.5655603576124389E-2</v>
      </c>
      <c r="BH30" s="117">
        <f t="shared" si="71"/>
        <v>5.9221113614419056E-2</v>
      </c>
      <c r="BI30" s="117">
        <f t="shared" si="71"/>
        <v>6.1760360582682604E-2</v>
      </c>
      <c r="BJ30" s="340">
        <f t="shared" si="71"/>
        <v>3.2340247977652045E-2</v>
      </c>
      <c r="BK30" s="117">
        <f t="shared" si="71"/>
        <v>8.0215120022348776E-2</v>
      </c>
      <c r="BM30" s="117"/>
      <c r="BN30" s="21"/>
      <c r="BO30" s="117"/>
      <c r="BP30" s="117"/>
      <c r="BQ30" s="21"/>
      <c r="BR30" s="21"/>
      <c r="BS30" s="21"/>
      <c r="BT30" s="117"/>
      <c r="BU30" s="117"/>
      <c r="BV30" s="21"/>
      <c r="BW30" s="21"/>
      <c r="BX30" s="21"/>
      <c r="BY30" s="21"/>
      <c r="BZ30" s="117"/>
      <c r="CA30" s="117"/>
      <c r="CB30" s="21"/>
      <c r="CC30" s="21"/>
      <c r="CD30" s="117"/>
      <c r="CE30" s="117"/>
      <c r="CF30" s="21"/>
      <c r="CG30" s="21"/>
      <c r="CH30" s="117"/>
      <c r="CI30" s="117"/>
      <c r="CJ30" s="21"/>
      <c r="CK30" s="21"/>
      <c r="CL30" s="117"/>
      <c r="CM30" s="117"/>
      <c r="CN30" s="21"/>
      <c r="CO30" s="21"/>
      <c r="CP30" s="21"/>
      <c r="CQ30" s="117"/>
      <c r="CR30" s="21"/>
      <c r="CS30" s="21"/>
      <c r="CT30" s="21"/>
    </row>
    <row r="31" spans="2:98" s="46" customFormat="1" ht="13.5" customHeight="1">
      <c r="B31" s="1" t="str">
        <f>B13</f>
        <v>General and Administrative expenses</v>
      </c>
      <c r="C31" s="117">
        <f>-C13/C7</f>
        <v>2.2598886773002768E-2</v>
      </c>
      <c r="D31" s="117">
        <f t="shared" ref="D31:Z31" si="72">-D13/D7</f>
        <v>2.1500343591775526E-2</v>
      </c>
      <c r="E31" s="117">
        <f t="shared" si="72"/>
        <v>2.3353074479789952E-2</v>
      </c>
      <c r="F31" s="117">
        <f t="shared" si="72"/>
        <v>2.0560157774789395E-2</v>
      </c>
      <c r="G31" s="117">
        <f t="shared" ref="G31:O31" si="73">-G13/G7</f>
        <v>2.3047196519326803E-2</v>
      </c>
      <c r="H31" s="117">
        <f t="shared" si="73"/>
        <v>1.4131600633965621E-2</v>
      </c>
      <c r="I31" s="117">
        <f t="shared" si="73"/>
        <v>1.551643968669506E-2</v>
      </c>
      <c r="J31" s="117">
        <f t="shared" si="73"/>
        <v>1.4226781336262489E-2</v>
      </c>
      <c r="K31" s="117">
        <f t="shared" si="73"/>
        <v>1.2858750434543457E-2</v>
      </c>
      <c r="L31" s="117">
        <f t="shared" si="73"/>
        <v>1.2422159255510988E-2</v>
      </c>
      <c r="M31" s="117">
        <f t="shared" si="73"/>
        <v>1.4873200708436014E-2</v>
      </c>
      <c r="N31" s="117">
        <f>-N13/N7</f>
        <v>1.4902678411469861E-2</v>
      </c>
      <c r="O31" s="117">
        <f t="shared" si="73"/>
        <v>1.558678254439157E-2</v>
      </c>
      <c r="P31" s="375"/>
      <c r="Q31" s="117">
        <f t="shared" si="72"/>
        <v>2.2536242399735201E-2</v>
      </c>
      <c r="R31" s="117">
        <f t="shared" si="72"/>
        <v>2.4862538387554808E-2</v>
      </c>
      <c r="S31" s="117">
        <f t="shared" si="72"/>
        <v>2.3230697424697716E-2</v>
      </c>
      <c r="T31" s="117">
        <f t="shared" si="72"/>
        <v>2.2839092894613305E-2</v>
      </c>
      <c r="U31" s="152"/>
      <c r="V31" s="117">
        <f t="shared" si="72"/>
        <v>2.7262056487430804E-2</v>
      </c>
      <c r="W31" s="117">
        <f t="shared" si="72"/>
        <v>2.4021344061938028E-2</v>
      </c>
      <c r="X31" s="117">
        <f t="shared" si="72"/>
        <v>2.1372344990367623E-2</v>
      </c>
      <c r="Y31" s="117">
        <f t="shared" si="72"/>
        <v>1.4587600162336132E-2</v>
      </c>
      <c r="Z31" s="117">
        <f t="shared" si="72"/>
        <v>2.0646905610849534E-2</v>
      </c>
      <c r="AA31" s="117">
        <f t="shared" ref="AA31:AF31" si="74">-AA13/AA7</f>
        <v>2.5626407992028147E-2</v>
      </c>
      <c r="AB31" s="117">
        <f t="shared" si="74"/>
        <v>8.0645437648966412E-3</v>
      </c>
      <c r="AC31" s="117">
        <f t="shared" si="74"/>
        <v>1.3116856157398863E-2</v>
      </c>
      <c r="AD31" s="117">
        <f t="shared" si="74"/>
        <v>1.743913624284886E-2</v>
      </c>
      <c r="AE31" s="117">
        <f t="shared" si="74"/>
        <v>1.7746546777169796E-2</v>
      </c>
      <c r="AF31" s="117">
        <f t="shared" si="74"/>
        <v>1.2904990532291431E-2</v>
      </c>
      <c r="AG31" s="117">
        <f t="shared" ref="AG31:AL31" si="75">-AG13/AG7</f>
        <v>1.4655987621216249E-2</v>
      </c>
      <c r="AH31" s="117">
        <f t="shared" si="75"/>
        <v>1.5724496243373659E-2</v>
      </c>
      <c r="AI31" s="117">
        <f t="shared" si="75"/>
        <v>1.2719581256008467E-2</v>
      </c>
      <c r="AJ31" s="117">
        <f t="shared" si="75"/>
        <v>1.4761887930033276E-2</v>
      </c>
      <c r="AK31" s="117">
        <f t="shared" si="75"/>
        <v>1.41845082085007E-2</v>
      </c>
      <c r="AL31" s="117">
        <f t="shared" si="75"/>
        <v>1.4592454112730077E-2</v>
      </c>
      <c r="AM31" s="117">
        <f t="shared" ref="AM31:AR31" si="76">-AM13/AM7</f>
        <v>1.3567922460904283E-2</v>
      </c>
      <c r="AN31" s="117">
        <f t="shared" si="76"/>
        <v>1.1969137221519063E-2</v>
      </c>
      <c r="AO31" s="117">
        <f t="shared" si="76"/>
        <v>1.1879533899234273E-2</v>
      </c>
      <c r="AP31" s="117">
        <f t="shared" si="76"/>
        <v>1.1360822516209347E-2</v>
      </c>
      <c r="AQ31" s="117">
        <f t="shared" si="76"/>
        <v>1.350243017065304E-2</v>
      </c>
      <c r="AR31" s="117">
        <f t="shared" si="76"/>
        <v>1.3450449785071312E-2</v>
      </c>
      <c r="AS31" s="117">
        <f t="shared" ref="AS31:AX31" si="77">-AS13/AS7</f>
        <v>1.0946553615641454E-2</v>
      </c>
      <c r="AT31" s="117">
        <f t="shared" si="77"/>
        <v>1.4884209487522011E-2</v>
      </c>
      <c r="AU31" s="117">
        <f t="shared" si="77"/>
        <v>1.6179289434477433E-2</v>
      </c>
      <c r="AV31" s="117">
        <f t="shared" si="77"/>
        <v>1.1835865370439678E-2</v>
      </c>
      <c r="AW31" s="117">
        <f t="shared" si="77"/>
        <v>1.6735559851691541E-2</v>
      </c>
      <c r="AX31" s="117">
        <f t="shared" si="77"/>
        <v>1.4711317645870099E-2</v>
      </c>
      <c r="AY31" s="117">
        <f t="shared" ref="AY31:BD31" si="78">-AY13/AY7</f>
        <v>1.5380867736550931E-2</v>
      </c>
      <c r="AZ31" s="117">
        <f t="shared" si="78"/>
        <v>1.3639212266118028E-2</v>
      </c>
      <c r="BA31" s="117">
        <f t="shared" si="78"/>
        <v>1.5807851420692406E-2</v>
      </c>
      <c r="BB31" s="117">
        <f t="shared" si="78"/>
        <v>1.6418344175482869E-2</v>
      </c>
      <c r="BC31" s="117">
        <f t="shared" si="78"/>
        <v>1.6862379577322967E-2</v>
      </c>
      <c r="BD31" s="117">
        <f t="shared" si="78"/>
        <v>1.3397387108585136E-2</v>
      </c>
      <c r="BE31" s="375"/>
      <c r="BF31" s="234">
        <f t="shared" ref="BF31:BK31" si="79">-BF13/BF7</f>
        <v>2.9425228937812947E-2</v>
      </c>
      <c r="BG31" s="117">
        <f t="shared" si="79"/>
        <v>2.3254186851494375E-2</v>
      </c>
      <c r="BH31" s="117">
        <f t="shared" si="79"/>
        <v>1.5770840038622464E-2</v>
      </c>
      <c r="BI31" s="117">
        <f t="shared" si="79"/>
        <v>2.0694072047334311E-2</v>
      </c>
      <c r="BJ31" s="340">
        <f t="shared" si="79"/>
        <v>1.2719581256008467E-2</v>
      </c>
      <c r="BK31" s="117">
        <f t="shared" si="79"/>
        <v>1.4901520809301076E-2</v>
      </c>
      <c r="BM31" s="117"/>
      <c r="BN31" s="21"/>
      <c r="BO31" s="117"/>
      <c r="BP31" s="117"/>
      <c r="BQ31" s="21"/>
      <c r="BR31" s="21"/>
      <c r="BS31" s="21"/>
      <c r="BT31" s="117"/>
      <c r="BU31" s="117"/>
      <c r="BV31" s="21"/>
      <c r="BW31" s="21"/>
      <c r="BX31" s="21"/>
      <c r="BY31" s="21"/>
      <c r="BZ31" s="117"/>
      <c r="CA31" s="117"/>
      <c r="CB31" s="21"/>
      <c r="CC31" s="21"/>
      <c r="CD31" s="117"/>
      <c r="CE31" s="117"/>
      <c r="CF31" s="21"/>
      <c r="CG31" s="21"/>
      <c r="CH31" s="117"/>
      <c r="CI31" s="117"/>
      <c r="CJ31" s="21"/>
      <c r="CK31" s="21"/>
      <c r="CL31" s="117"/>
      <c r="CM31" s="117"/>
      <c r="CN31" s="21"/>
      <c r="CO31" s="21"/>
      <c r="CP31" s="21"/>
      <c r="CQ31" s="117"/>
      <c r="CR31" s="21"/>
      <c r="CS31" s="21"/>
      <c r="CT31" s="21"/>
    </row>
    <row r="32" spans="2:98" s="46" customFormat="1" ht="13.5" customHeight="1">
      <c r="B32" s="1" t="str">
        <f>B14</f>
        <v>Equity in earnings (losses) of subsidiaries</v>
      </c>
      <c r="C32" s="117">
        <f>C14/C7</f>
        <v>-1.1700495201514812E-3</v>
      </c>
      <c r="D32" s="117">
        <f t="shared" ref="D32:Z32" si="80">D14/D7</f>
        <v>-1.2153849317435527E-3</v>
      </c>
      <c r="E32" s="117">
        <f t="shared" si="80"/>
        <v>-3.4171862907202307E-4</v>
      </c>
      <c r="F32" s="117">
        <f t="shared" si="80"/>
        <v>-1.7370126278718774E-4</v>
      </c>
      <c r="G32" s="117">
        <f t="shared" ref="G32:O32" si="81">G14/G7</f>
        <v>0</v>
      </c>
      <c r="H32" s="117">
        <f t="shared" si="81"/>
        <v>0</v>
      </c>
      <c r="I32" s="117">
        <f t="shared" si="81"/>
        <v>0</v>
      </c>
      <c r="J32" s="117">
        <f t="shared" si="81"/>
        <v>-9.7211782328830344E-6</v>
      </c>
      <c r="K32" s="117">
        <f t="shared" si="81"/>
        <v>-2.3963423257576189E-4</v>
      </c>
      <c r="L32" s="117">
        <f t="shared" si="81"/>
        <v>-5.1506978946387757E-4</v>
      </c>
      <c r="M32" s="117">
        <f t="shared" si="81"/>
        <v>-4.8029765385214915E-4</v>
      </c>
      <c r="N32" s="117">
        <f>N14/N7</f>
        <v>-2.3233089610822673E-4</v>
      </c>
      <c r="O32" s="117">
        <f t="shared" si="81"/>
        <v>9.5794872957172926E-6</v>
      </c>
      <c r="P32" s="375"/>
      <c r="Q32" s="117">
        <f t="shared" si="80"/>
        <v>-4.0620347920515375E-4</v>
      </c>
      <c r="R32" s="117">
        <f t="shared" si="80"/>
        <v>-2.5408128761894821E-4</v>
      </c>
      <c r="S32" s="117">
        <f t="shared" si="80"/>
        <v>-6.6088836001462097E-4</v>
      </c>
      <c r="T32" s="117">
        <f t="shared" si="80"/>
        <v>-7.7565267089873649E-5</v>
      </c>
      <c r="U32" s="152"/>
      <c r="V32" s="117">
        <f t="shared" si="80"/>
        <v>0</v>
      </c>
      <c r="W32" s="117">
        <f t="shared" si="80"/>
        <v>-1.7945928500082077E-4</v>
      </c>
      <c r="X32" s="117">
        <f t="shared" si="80"/>
        <v>-1.6911251943914257E-4</v>
      </c>
      <c r="Y32" s="117">
        <f t="shared" si="80"/>
        <v>-6.3613111473955451E-4</v>
      </c>
      <c r="Z32" s="117">
        <f t="shared" si="80"/>
        <v>0</v>
      </c>
      <c r="AA32" s="117">
        <f t="shared" ref="AA32:AF32" si="82">AA14/AA7</f>
        <v>0</v>
      </c>
      <c r="AB32" s="117">
        <f t="shared" si="82"/>
        <v>0</v>
      </c>
      <c r="AC32" s="117">
        <f t="shared" si="82"/>
        <v>0</v>
      </c>
      <c r="AD32" s="117">
        <f t="shared" si="82"/>
        <v>0</v>
      </c>
      <c r="AE32" s="117">
        <f t="shared" si="82"/>
        <v>0</v>
      </c>
      <c r="AF32" s="117">
        <f t="shared" si="82"/>
        <v>0</v>
      </c>
      <c r="AG32" s="117">
        <f t="shared" ref="AG32:AL32" si="83">AG14/AG7</f>
        <v>0</v>
      </c>
      <c r="AH32" s="117">
        <f t="shared" si="83"/>
        <v>0</v>
      </c>
      <c r="AI32" s="117">
        <f t="shared" si="83"/>
        <v>0</v>
      </c>
      <c r="AJ32" s="117">
        <f t="shared" si="83"/>
        <v>0</v>
      </c>
      <c r="AK32" s="117">
        <f t="shared" si="83"/>
        <v>-3.5913473711583597E-5</v>
      </c>
      <c r="AL32" s="117">
        <f t="shared" si="83"/>
        <v>-9.5846871510538558E-5</v>
      </c>
      <c r="AM32" s="117">
        <f t="shared" ref="AM32:AR32" si="84">AM14/AM7</f>
        <v>-2.3272460877549675E-4</v>
      </c>
      <c r="AN32" s="117">
        <f t="shared" si="84"/>
        <v>-8.4271823335121712E-5</v>
      </c>
      <c r="AO32" s="117">
        <f t="shared" si="84"/>
        <v>-5.0248160334653608E-4</v>
      </c>
      <c r="AP32" s="117">
        <f t="shared" si="84"/>
        <v>-7.4572043308005094E-4</v>
      </c>
      <c r="AQ32" s="117">
        <f t="shared" si="84"/>
        <v>-4.6686093494440763E-4</v>
      </c>
      <c r="AR32" s="117">
        <f t="shared" si="84"/>
        <v>-3.5590882971734691E-4</v>
      </c>
      <c r="AS32" s="117">
        <f t="shared" ref="AS32:AX32" si="85">AS14/AS7</f>
        <v>-5.7699386049687225E-4</v>
      </c>
      <c r="AT32" s="117">
        <f t="shared" si="85"/>
        <v>-4.6184393529197107E-4</v>
      </c>
      <c r="AU32" s="117">
        <f t="shared" si="85"/>
        <v>-4.8252751450954018E-4</v>
      </c>
      <c r="AV32" s="117">
        <f t="shared" si="85"/>
        <v>-5.0252118061204975E-4</v>
      </c>
      <c r="AW32" s="117">
        <f t="shared" si="85"/>
        <v>-4.7288633370123705E-4</v>
      </c>
      <c r="AX32" s="117">
        <f t="shared" si="85"/>
        <v>-4.5604882112313549E-4</v>
      </c>
      <c r="AY32" s="117">
        <f t="shared" ref="AY32:BD32" si="86">AY14/AY7</f>
        <v>-7.2660385369873977E-4</v>
      </c>
      <c r="AZ32" s="117">
        <f t="shared" si="86"/>
        <v>2.5885653001631043E-4</v>
      </c>
      <c r="BA32" s="117">
        <f t="shared" si="86"/>
        <v>-9.6986360011992246E-5</v>
      </c>
      <c r="BB32" s="117">
        <f t="shared" si="86"/>
        <v>4.8775524959276115E-5</v>
      </c>
      <c r="BC32" s="117">
        <f t="shared" si="86"/>
        <v>-1.1423535916217203E-5</v>
      </c>
      <c r="BD32" s="117">
        <f t="shared" si="86"/>
        <v>9.9603663614293252E-5</v>
      </c>
      <c r="BE32" s="375"/>
      <c r="BF32" s="234">
        <f t="shared" ref="BF32:BK32" si="87">BF14/BF7</f>
        <v>0</v>
      </c>
      <c r="BG32" s="117">
        <f t="shared" si="87"/>
        <v>0</v>
      </c>
      <c r="BH32" s="117">
        <f t="shared" si="87"/>
        <v>0</v>
      </c>
      <c r="BI32" s="117">
        <f t="shared" si="87"/>
        <v>0</v>
      </c>
      <c r="BJ32" s="340">
        <f t="shared" si="87"/>
        <v>0</v>
      </c>
      <c r="BK32" s="117">
        <f t="shared" si="87"/>
        <v>-4.7799452308941345E-4</v>
      </c>
      <c r="BM32" s="117"/>
      <c r="BN32" s="21"/>
      <c r="BO32" s="117"/>
      <c r="BP32" s="117"/>
      <c r="BQ32" s="21"/>
      <c r="BR32" s="21"/>
      <c r="BS32" s="21"/>
      <c r="BT32" s="117"/>
      <c r="BU32" s="117"/>
      <c r="BV32" s="21"/>
      <c r="BW32" s="21"/>
      <c r="BX32" s="21"/>
      <c r="BY32" s="21"/>
      <c r="BZ32" s="117"/>
      <c r="CA32" s="117"/>
      <c r="CB32" s="21"/>
      <c r="CC32" s="21"/>
      <c r="CD32" s="117"/>
      <c r="CE32" s="117"/>
      <c r="CF32" s="21"/>
      <c r="CG32" s="21"/>
      <c r="CH32" s="117"/>
      <c r="CI32" s="117"/>
      <c r="CJ32" s="21"/>
      <c r="CK32" s="21"/>
      <c r="CL32" s="117"/>
      <c r="CM32" s="117"/>
      <c r="CN32" s="21"/>
      <c r="CO32" s="21"/>
      <c r="CP32" s="21"/>
      <c r="CQ32" s="117"/>
      <c r="CR32" s="21"/>
      <c r="CS32" s="21"/>
      <c r="CT32" s="21"/>
    </row>
    <row r="33" spans="1:98" s="46" customFormat="1" ht="13.5" customHeight="1">
      <c r="B33" s="1" t="str">
        <f>B16</f>
        <v>Operating Profit</v>
      </c>
      <c r="C33" s="117">
        <f>C16/C7</f>
        <v>6.1900583860956988E-2</v>
      </c>
      <c r="D33" s="117">
        <f t="shared" ref="D33:Z33" si="88">D16/D7</f>
        <v>5.2902135629796995E-2</v>
      </c>
      <c r="E33" s="117">
        <f t="shared" si="88"/>
        <v>5.5099393701712449E-2</v>
      </c>
      <c r="F33" s="117">
        <f t="shared" si="88"/>
        <v>5.9875153630342903E-2</v>
      </c>
      <c r="G33" s="117">
        <f t="shared" ref="G33:O33" si="89">G16/G7</f>
        <v>4.1904496343492185E-2</v>
      </c>
      <c r="H33" s="117">
        <f t="shared" si="89"/>
        <v>1.4204223458074088E-2</v>
      </c>
      <c r="I33" s="117">
        <f t="shared" si="89"/>
        <v>6.9981112181386904E-2</v>
      </c>
      <c r="J33" s="117">
        <f t="shared" si="89"/>
        <v>0.11638535414400498</v>
      </c>
      <c r="K33" s="117">
        <f t="shared" si="89"/>
        <v>0.14769140722843274</v>
      </c>
      <c r="L33" s="117">
        <f t="shared" si="89"/>
        <v>7.3115247373881906E-2</v>
      </c>
      <c r="M33" s="117">
        <f t="shared" si="89"/>
        <v>8.0260397203075155E-3</v>
      </c>
      <c r="N33" s="117">
        <f>N16/N7</f>
        <v>3.9884675202179767E-2</v>
      </c>
      <c r="O33" s="117">
        <f t="shared" si="89"/>
        <v>3.3870061143176387E-2</v>
      </c>
      <c r="P33" s="375"/>
      <c r="Q33" s="117">
        <f t="shared" si="88"/>
        <v>6.0968635303056802E-2</v>
      </c>
      <c r="R33" s="117">
        <f t="shared" si="88"/>
        <v>5.8719939328468265E-2</v>
      </c>
      <c r="S33" s="117">
        <f t="shared" si="88"/>
        <v>4.9663011345978662E-2</v>
      </c>
      <c r="T33" s="117">
        <f t="shared" si="88"/>
        <v>5.0589904268130564E-2</v>
      </c>
      <c r="U33" s="152"/>
      <c r="V33" s="117">
        <f t="shared" si="88"/>
        <v>1.6465763912008546E-2</v>
      </c>
      <c r="W33" s="117">
        <f t="shared" si="88"/>
        <v>4.7361484791405235E-2</v>
      </c>
      <c r="X33" s="117">
        <f t="shared" si="88"/>
        <v>7.1739310877867946E-2</v>
      </c>
      <c r="Y33" s="117">
        <f t="shared" si="88"/>
        <v>7.0595830226609535E-2</v>
      </c>
      <c r="Z33" s="117">
        <f t="shared" si="88"/>
        <v>2.9415936338255264E-2</v>
      </c>
      <c r="AA33" s="117">
        <f t="shared" ref="AA33:AF33" si="90">AA16/AA7</f>
        <v>-5.5492114658131739E-2</v>
      </c>
      <c r="AB33" s="117">
        <f t="shared" si="90"/>
        <v>7.9521612133203412E-2</v>
      </c>
      <c r="AC33" s="117">
        <f t="shared" si="90"/>
        <v>-2.4855282367522196E-2</v>
      </c>
      <c r="AD33" s="117">
        <f t="shared" si="90"/>
        <v>3.5940012014264375E-2</v>
      </c>
      <c r="AE33" s="117">
        <f t="shared" si="90"/>
        <v>6.4054099602146003E-2</v>
      </c>
      <c r="AF33" s="117">
        <f t="shared" si="90"/>
        <v>9.2056242551614126E-2</v>
      </c>
      <c r="AG33" s="117">
        <f t="shared" ref="AG33:AL33" si="91">AG16/AG7</f>
        <v>7.9212399883948667E-2</v>
      </c>
      <c r="AH33" s="117">
        <f t="shared" si="91"/>
        <v>6.4024295178448723E-2</v>
      </c>
      <c r="AI33" s="117">
        <f t="shared" si="91"/>
        <v>0.18963814440104368</v>
      </c>
      <c r="AJ33" s="117">
        <f t="shared" si="91"/>
        <v>0.10601399797839325</v>
      </c>
      <c r="AK33" s="117">
        <f t="shared" si="91"/>
        <v>8.8929096893840417E-2</v>
      </c>
      <c r="AL33" s="117">
        <f t="shared" si="91"/>
        <v>7.2030026295229546E-2</v>
      </c>
      <c r="AM33" s="117">
        <f t="shared" ref="AM33:AR33" si="92">AM16/AM7</f>
        <v>0.16772445056359159</v>
      </c>
      <c r="AN33" s="117">
        <f t="shared" si="92"/>
        <v>0.18063881088057543</v>
      </c>
      <c r="AO33" s="117">
        <f t="shared" si="92"/>
        <v>0.15241670469390042</v>
      </c>
      <c r="AP33" s="117">
        <f t="shared" si="92"/>
        <v>0.10343957059394274</v>
      </c>
      <c r="AQ33" s="117">
        <f t="shared" si="92"/>
        <v>0.15865541034988359</v>
      </c>
      <c r="AR33" s="117">
        <f t="shared" si="92"/>
        <v>5.3949084572306842E-2</v>
      </c>
      <c r="AS33" s="117">
        <f t="shared" ref="AS33:AX33" si="93">AS16/AS7</f>
        <v>-1.499442047562694E-2</v>
      </c>
      <c r="AT33" s="117">
        <f t="shared" si="93"/>
        <v>-8.3790965662547696E-3</v>
      </c>
      <c r="AU33" s="117">
        <f t="shared" si="93"/>
        <v>-8.1844445563133035E-3</v>
      </c>
      <c r="AV33" s="117">
        <f t="shared" si="93"/>
        <v>2.0050321292184144E-2</v>
      </c>
      <c r="AW33" s="117">
        <f t="shared" si="93"/>
        <v>2.5824675305987737E-2</v>
      </c>
      <c r="AX33" s="117">
        <f t="shared" si="93"/>
        <v>2.775069896675365E-2</v>
      </c>
      <c r="AY33" s="117">
        <f t="shared" ref="AY33:BD33" si="94">AY16/AY7</f>
        <v>4.2465240612199633E-2</v>
      </c>
      <c r="AZ33" s="117">
        <f t="shared" si="94"/>
        <v>5.1148089258114517E-2</v>
      </c>
      <c r="BA33" s="117">
        <f t="shared" si="94"/>
        <v>3.6333515119492871E-2</v>
      </c>
      <c r="BB33" s="117">
        <f t="shared" si="94"/>
        <v>3.232188070303442E-2</v>
      </c>
      <c r="BC33" s="117">
        <f t="shared" si="94"/>
        <v>2.8618981347278496E-2</v>
      </c>
      <c r="BD33" s="117">
        <f t="shared" si="94"/>
        <v>3.7709252691908716E-2</v>
      </c>
      <c r="BE33" s="375"/>
      <c r="BF33" s="234">
        <f t="shared" ref="BF33:BK33" si="95">BF16/BF7</f>
        <v>1.1654223629721763E-2</v>
      </c>
      <c r="BG33" s="117">
        <f t="shared" si="95"/>
        <v>5.7616495158432632E-2</v>
      </c>
      <c r="BH33" s="117">
        <f t="shared" si="95"/>
        <v>7.1129707112970716E-2</v>
      </c>
      <c r="BI33" s="117">
        <f t="shared" si="95"/>
        <v>3.0171836920423311E-2</v>
      </c>
      <c r="BJ33" s="340">
        <f t="shared" si="95"/>
        <v>0.18963814440104368</v>
      </c>
      <c r="BK33" s="117">
        <f t="shared" si="95"/>
        <v>-8.1961704905141562E-3</v>
      </c>
      <c r="BM33" s="117"/>
      <c r="BN33" s="21"/>
      <c r="BO33" s="117"/>
      <c r="BP33" s="117"/>
      <c r="BQ33" s="21"/>
      <c r="BR33" s="21"/>
      <c r="BS33" s="21"/>
      <c r="BT33" s="117"/>
      <c r="BU33" s="117"/>
      <c r="BV33" s="21"/>
      <c r="BW33" s="21"/>
      <c r="BX33" s="21"/>
      <c r="BY33" s="21"/>
      <c r="BZ33" s="117"/>
      <c r="CA33" s="117"/>
      <c r="CB33" s="21"/>
      <c r="CC33" s="21"/>
      <c r="CD33" s="117"/>
      <c r="CE33" s="117"/>
      <c r="CF33" s="21"/>
      <c r="CG33" s="21"/>
      <c r="CH33" s="117"/>
      <c r="CI33" s="117"/>
      <c r="CJ33" s="21"/>
      <c r="CK33" s="21"/>
      <c r="CL33" s="117"/>
      <c r="CM33" s="117"/>
      <c r="CN33" s="21"/>
      <c r="CO33" s="21"/>
      <c r="CP33" s="21"/>
      <c r="CQ33" s="117"/>
      <c r="CR33" s="21"/>
      <c r="CS33" s="21"/>
      <c r="CT33" s="21"/>
    </row>
    <row r="34" spans="1:98" s="46" customFormat="1" ht="13.5" customHeight="1">
      <c r="B34" s="1" t="s">
        <v>76</v>
      </c>
      <c r="C34" s="117">
        <f t="shared" ref="C34:O34" si="96">C17/C141</f>
        <v>0.10613747495577887</v>
      </c>
      <c r="D34" s="117">
        <f t="shared" si="96"/>
        <v>0.11914228219838895</v>
      </c>
      <c r="E34" s="117">
        <f t="shared" si="96"/>
        <v>9.3135524844368101E-2</v>
      </c>
      <c r="F34" s="117">
        <f t="shared" si="96"/>
        <v>5.821750323065869E-2</v>
      </c>
      <c r="G34" s="117">
        <f t="shared" si="96"/>
        <v>5.3028914310142776E-2</v>
      </c>
      <c r="H34" s="117">
        <f t="shared" si="96"/>
        <v>6.2189833677850567E-2</v>
      </c>
      <c r="I34" s="117">
        <f t="shared" si="96"/>
        <v>4.8000187393439295E-2</v>
      </c>
      <c r="J34" s="117">
        <f t="shared" si="96"/>
        <v>0.26298051558633168</v>
      </c>
      <c r="K34" s="117">
        <f t="shared" si="96"/>
        <v>0.46508881867942181</v>
      </c>
      <c r="L34" s="117">
        <f t="shared" si="96"/>
        <v>0.49215830871516342</v>
      </c>
      <c r="M34" s="117">
        <f t="shared" si="96"/>
        <v>0.5265990278245769</v>
      </c>
      <c r="N34" s="117">
        <f t="shared" si="96"/>
        <v>0.56192169325138663</v>
      </c>
      <c r="O34" s="117">
        <f t="shared" si="96"/>
        <v>0.63507925470128268</v>
      </c>
      <c r="P34" s="375"/>
      <c r="Q34" s="117"/>
      <c r="R34" s="117"/>
      <c r="S34" s="117"/>
      <c r="T34" s="117"/>
      <c r="U34" s="152"/>
      <c r="V34" s="117">
        <f>(V17+T17+S17+R17)/V141</f>
        <v>7.185443889735299E-2</v>
      </c>
      <c r="W34" s="117">
        <f>(W17+V17+T17+S17)/W141</f>
        <v>6.2322385955410876E-2</v>
      </c>
      <c r="X34" s="117">
        <f>(X17+W17+V17+T17)/X141</f>
        <v>5.8510618311268456E-2</v>
      </c>
      <c r="Y34" s="117">
        <f t="shared" ref="Y34:AE34" si="97">(Y17+X17+W17+V17)/Y141</f>
        <v>5.7486303347323575E-2</v>
      </c>
      <c r="Z34" s="117">
        <f t="shared" si="97"/>
        <v>3.9148450217416496E-2</v>
      </c>
      <c r="AA34" s="117">
        <f t="shared" si="97"/>
        <v>5.2513081096170672E-2</v>
      </c>
      <c r="AB34" s="117">
        <f t="shared" si="97"/>
        <v>5.8624793335622948E-2</v>
      </c>
      <c r="AC34" s="117">
        <f t="shared" si="97"/>
        <v>6.2189833677850567E-2</v>
      </c>
      <c r="AD34" s="117">
        <f t="shared" si="97"/>
        <v>6.8428735473224894E-2</v>
      </c>
      <c r="AE34" s="117">
        <f t="shared" si="97"/>
        <v>7.1038099429107354E-2</v>
      </c>
      <c r="AF34" s="117">
        <f>(H17+AD17+AE17+AF17-BI17-AA17-AB17)/AF141</f>
        <v>5.6137329239511653E-2</v>
      </c>
      <c r="AG34" s="117">
        <f>(I17+AE17+AF17+AG17-BL17-AB17-AC17)/AG141</f>
        <v>5.6706134626252944E-2</v>
      </c>
      <c r="AH34" s="375">
        <f t="shared" ref="AH34:BD34" si="98">(AH17+AG17+AF17+AE17)/AH141</f>
        <v>0.13610074548043249</v>
      </c>
      <c r="AI34" s="117">
        <f t="shared" si="98"/>
        <v>0.19911297261343011</v>
      </c>
      <c r="AJ34" s="117">
        <f t="shared" si="98"/>
        <v>0.23469043513621823</v>
      </c>
      <c r="AK34" s="117">
        <f t="shared" si="98"/>
        <v>0.26298051558633168</v>
      </c>
      <c r="AL34" s="375">
        <f t="shared" si="98"/>
        <v>0.25379372044168397</v>
      </c>
      <c r="AM34" s="117">
        <f t="shared" si="98"/>
        <v>0.23282217677500316</v>
      </c>
      <c r="AN34" s="117">
        <f t="shared" si="98"/>
        <v>0.22769542410033949</v>
      </c>
      <c r="AO34" s="117">
        <f t="shared" si="98"/>
        <v>0.46508881867942181</v>
      </c>
      <c r="AP34" s="117">
        <f t="shared" si="98"/>
        <v>0.60590918366734769</v>
      </c>
      <c r="AQ34" s="117">
        <f t="shared" si="98"/>
        <v>0.4694353321683048</v>
      </c>
      <c r="AR34" s="117">
        <f t="shared" si="98"/>
        <v>0.47689102882078127</v>
      </c>
      <c r="AS34" s="117">
        <f t="shared" si="98"/>
        <v>0.49215830871516336</v>
      </c>
      <c r="AT34" s="117">
        <f t="shared" si="98"/>
        <v>0.5510071602209381</v>
      </c>
      <c r="AU34" s="117">
        <f t="shared" si="98"/>
        <v>0.55859379087056871</v>
      </c>
      <c r="AV34" s="117">
        <f t="shared" si="98"/>
        <v>0.48929059417089765</v>
      </c>
      <c r="AW34" s="117">
        <f t="shared" si="98"/>
        <v>0.5265990278245769</v>
      </c>
      <c r="AX34" s="117">
        <f t="shared" si="98"/>
        <v>0.50329728221296843</v>
      </c>
      <c r="AY34" s="117">
        <f t="shared" si="98"/>
        <v>0.49971934348653413</v>
      </c>
      <c r="AZ34" s="117">
        <f t="shared" si="98"/>
        <v>0.5617983538090523</v>
      </c>
      <c r="BA34" s="117">
        <f t="shared" si="98"/>
        <v>0.56192169325138674</v>
      </c>
      <c r="BB34" s="117">
        <f t="shared" si="98"/>
        <v>0.7238191793236356</v>
      </c>
      <c r="BC34" s="117">
        <f t="shared" si="98"/>
        <v>0.61604148084118915</v>
      </c>
      <c r="BD34" s="117">
        <f t="shared" si="98"/>
        <v>0.63507925470128268</v>
      </c>
      <c r="BE34" s="375"/>
      <c r="BF34" s="235"/>
      <c r="BG34" s="117"/>
      <c r="BH34" s="117"/>
      <c r="BI34" s="117"/>
      <c r="BJ34" s="340"/>
      <c r="BK34" s="117"/>
      <c r="BM34" s="21"/>
      <c r="BN34" s="21"/>
      <c r="BO34" s="21"/>
      <c r="BP34" s="21"/>
      <c r="BQ34" s="21"/>
      <c r="BR34" s="21"/>
      <c r="BS34" s="21"/>
      <c r="BT34" s="21"/>
      <c r="BU34" s="21"/>
      <c r="BV34" s="21"/>
      <c r="BW34" s="21"/>
      <c r="BX34" s="21"/>
      <c r="BY34" s="21"/>
      <c r="BZ34" s="21"/>
      <c r="CA34" s="21"/>
      <c r="CB34" s="21"/>
      <c r="CC34" s="21"/>
      <c r="CD34" s="21"/>
      <c r="CE34" s="21"/>
      <c r="CF34" s="21"/>
      <c r="CG34" s="21"/>
      <c r="CH34" s="21"/>
      <c r="CI34" s="21"/>
      <c r="CJ34" s="21"/>
      <c r="CK34" s="21"/>
      <c r="CL34" s="21"/>
      <c r="CM34" s="21"/>
      <c r="CN34" s="21"/>
      <c r="CO34" s="21"/>
      <c r="CP34" s="21"/>
      <c r="CQ34" s="21"/>
      <c r="CR34" s="21"/>
      <c r="CS34" s="21"/>
      <c r="CT34" s="21"/>
    </row>
    <row r="35" spans="1:98" s="46" customFormat="1" ht="13.5" customHeight="1">
      <c r="B35" s="1" t="s">
        <v>77</v>
      </c>
      <c r="C35" s="117">
        <f t="shared" ref="C35:O35" si="99">-C19/C144</f>
        <v>0.1675648381582637</v>
      </c>
      <c r="D35" s="117">
        <f t="shared" si="99"/>
        <v>0.20111793999871694</v>
      </c>
      <c r="E35" s="117">
        <f t="shared" si="99"/>
        <v>0.20618610112409447</v>
      </c>
      <c r="F35" s="117">
        <f t="shared" si="99"/>
        <v>0.15221381695377625</v>
      </c>
      <c r="G35" s="117">
        <f t="shared" si="99"/>
        <v>0.14849377831015173</v>
      </c>
      <c r="H35" s="117">
        <f t="shared" si="99"/>
        <v>0.15093861629512362</v>
      </c>
      <c r="I35" s="117">
        <f t="shared" si="99"/>
        <v>9.1462817884755299E-2</v>
      </c>
      <c r="J35" s="117">
        <f t="shared" si="99"/>
        <v>0.20872472559069238</v>
      </c>
      <c r="K35" s="117">
        <f t="shared" si="99"/>
        <v>0.24327618669152379</v>
      </c>
      <c r="L35" s="117">
        <f t="shared" si="99"/>
        <v>0.26243294265532702</v>
      </c>
      <c r="M35" s="117">
        <f t="shared" si="99"/>
        <v>0.30531896488503185</v>
      </c>
      <c r="N35" s="117">
        <f t="shared" si="99"/>
        <v>0.27438837929717175</v>
      </c>
      <c r="O35" s="117">
        <f t="shared" si="99"/>
        <v>0.28947877807760458</v>
      </c>
      <c r="P35" s="375"/>
      <c r="Q35" s="117"/>
      <c r="R35" s="117"/>
      <c r="S35" s="117"/>
      <c r="T35" s="117"/>
      <c r="U35" s="152"/>
      <c r="V35" s="117">
        <f>-(V19+T19+S19+R19)/V144</f>
        <v>0.18808881032015703</v>
      </c>
      <c r="W35" s="117">
        <f>-(W19+V19+T19+S19)/W144</f>
        <v>0.17068652007473781</v>
      </c>
      <c r="X35" s="117">
        <f>-(X19+W19+V19+T19)/X144</f>
        <v>0.17096539242809758</v>
      </c>
      <c r="Y35" s="117">
        <f t="shared" ref="Y35:AE35" si="100">-(Y19+X19+W19+V19)/Y144</f>
        <v>0.15138171927739727</v>
      </c>
      <c r="Z35" s="117">
        <f t="shared" si="100"/>
        <v>0.14670636446762986</v>
      </c>
      <c r="AA35" s="117">
        <f t="shared" si="100"/>
        <v>0.10125526722215795</v>
      </c>
      <c r="AB35" s="117">
        <f t="shared" si="100"/>
        <v>0.10950526516520144</v>
      </c>
      <c r="AC35" s="117">
        <f t="shared" si="100"/>
        <v>0.1509896082372818</v>
      </c>
      <c r="AD35" s="117">
        <f t="shared" si="100"/>
        <v>0.13798856675281057</v>
      </c>
      <c r="AE35" s="117">
        <f t="shared" si="100"/>
        <v>0.13323930157743982</v>
      </c>
      <c r="AF35" s="117">
        <f>-(H19+AD19+AE19+AF19-BI19-AA19-AB19)/AF144</f>
        <v>0.10864052478878138</v>
      </c>
      <c r="AG35" s="117">
        <f>-(I19+AE19+AF19+AG19-BL19-AB19-AC19)/AG144</f>
        <v>0.10298334624202175</v>
      </c>
      <c r="AH35" s="117">
        <f t="shared" ref="AH35:BD35" si="101">-(AH19+AG19+AF19+AE19)/AH144</f>
        <v>0.12312832681768326</v>
      </c>
      <c r="AI35" s="117">
        <f t="shared" si="101"/>
        <v>0.16673547377958281</v>
      </c>
      <c r="AJ35" s="117">
        <f t="shared" si="101"/>
        <v>0.18916025807783185</v>
      </c>
      <c r="AK35" s="117">
        <f t="shared" si="101"/>
        <v>0.20872472559069238</v>
      </c>
      <c r="AL35" s="117">
        <f t="shared" si="101"/>
        <v>0.16991162496964066</v>
      </c>
      <c r="AM35" s="117">
        <f t="shared" si="101"/>
        <v>0.15982317195842291</v>
      </c>
      <c r="AN35" s="117">
        <f t="shared" si="101"/>
        <v>0.18723073215262476</v>
      </c>
      <c r="AO35" s="117">
        <f t="shared" si="101"/>
        <v>0.24327618669152379</v>
      </c>
      <c r="AP35" s="117">
        <f t="shared" si="101"/>
        <v>0.32300951069215889</v>
      </c>
      <c r="AQ35" s="117">
        <f t="shared" si="101"/>
        <v>0.2522103078182435</v>
      </c>
      <c r="AR35" s="117">
        <f t="shared" si="101"/>
        <v>0.26091262108086677</v>
      </c>
      <c r="AS35" s="117">
        <f t="shared" si="101"/>
        <v>0.26243294265532702</v>
      </c>
      <c r="AT35" s="117">
        <f t="shared" si="101"/>
        <v>0.27045858600886624</v>
      </c>
      <c r="AU35" s="117">
        <f t="shared" si="101"/>
        <v>0.26188911666893278</v>
      </c>
      <c r="AV35" s="117">
        <f t="shared" si="101"/>
        <v>0.29919933422759332</v>
      </c>
      <c r="AW35" s="117">
        <f t="shared" si="101"/>
        <v>0.30531896488503185</v>
      </c>
      <c r="AX35" s="117">
        <f t="shared" si="101"/>
        <v>0.27378579681548615</v>
      </c>
      <c r="AY35" s="117">
        <f t="shared" si="101"/>
        <v>0.25830970840517697</v>
      </c>
      <c r="AZ35" s="117">
        <f t="shared" si="101"/>
        <v>0.26847057401702562</v>
      </c>
      <c r="BA35" s="117">
        <f t="shared" si="101"/>
        <v>0.2743883792971718</v>
      </c>
      <c r="BB35" s="117">
        <f t="shared" si="101"/>
        <v>0.31871583253330671</v>
      </c>
      <c r="BC35" s="117">
        <f t="shared" si="101"/>
        <v>0.30266656992028357</v>
      </c>
      <c r="BD35" s="117">
        <f t="shared" si="101"/>
        <v>0.28947877807760458</v>
      </c>
      <c r="BE35" s="375"/>
      <c r="BF35" s="235"/>
      <c r="BG35" s="117"/>
      <c r="BH35" s="117"/>
      <c r="BI35" s="117"/>
      <c r="BJ35" s="340"/>
      <c r="BK35" s="117"/>
      <c r="BM35" s="21"/>
      <c r="BN35" s="21"/>
      <c r="BO35" s="21"/>
      <c r="BP35" s="21"/>
      <c r="BQ35" s="21"/>
      <c r="BR35" s="21"/>
      <c r="BS35" s="21"/>
      <c r="BT35" s="21"/>
      <c r="BU35" s="21"/>
      <c r="BV35" s="21"/>
      <c r="BW35" s="21"/>
      <c r="BX35" s="21"/>
      <c r="BY35" s="21"/>
      <c r="BZ35" s="21"/>
      <c r="CA35" s="21"/>
      <c r="CB35" s="21"/>
      <c r="CC35" s="21"/>
      <c r="CD35" s="21"/>
      <c r="CE35" s="21"/>
      <c r="CF35" s="21"/>
      <c r="CG35" s="21"/>
      <c r="CH35" s="21"/>
      <c r="CI35" s="21"/>
      <c r="CJ35" s="21"/>
      <c r="CK35" s="21"/>
      <c r="CL35" s="21"/>
      <c r="CM35" s="21"/>
      <c r="CN35" s="21"/>
      <c r="CO35" s="21"/>
      <c r="CP35" s="21"/>
      <c r="CQ35" s="21"/>
      <c r="CR35" s="21"/>
      <c r="CS35" s="21"/>
      <c r="CT35" s="21"/>
    </row>
    <row r="36" spans="1:98" s="46" customFormat="1" ht="13.5" customHeight="1">
      <c r="B36" s="1" t="str">
        <f>+B18</f>
        <v>Exchange gains</v>
      </c>
      <c r="C36" s="117">
        <f>C18/C7</f>
        <v>5.0534501239351694E-2</v>
      </c>
      <c r="D36" s="117">
        <f t="shared" ref="D36:Z36" si="102">D18/D7</f>
        <v>0.10421838830341368</v>
      </c>
      <c r="E36" s="117">
        <f t="shared" si="102"/>
        <v>9.3755344332771273E-2</v>
      </c>
      <c r="F36" s="117">
        <f t="shared" si="102"/>
        <v>6.432534015061897E-2</v>
      </c>
      <c r="G36" s="117">
        <f t="shared" ref="G36:O36" si="103">G18/G7</f>
        <v>0.13075056755258058</v>
      </c>
      <c r="H36" s="117">
        <f t="shared" si="103"/>
        <v>5.1975394660290761E-2</v>
      </c>
      <c r="I36" s="117">
        <f t="shared" si="103"/>
        <v>3.5058366351656406E-2</v>
      </c>
      <c r="J36" s="117">
        <f t="shared" si="103"/>
        <v>0</v>
      </c>
      <c r="K36" s="117">
        <f t="shared" si="103"/>
        <v>0</v>
      </c>
      <c r="L36" s="117">
        <f t="shared" si="103"/>
        <v>0</v>
      </c>
      <c r="M36" s="117">
        <f t="shared" si="103"/>
        <v>0</v>
      </c>
      <c r="N36" s="117">
        <f>N18/N7</f>
        <v>0</v>
      </c>
      <c r="O36" s="117">
        <f t="shared" si="103"/>
        <v>0</v>
      </c>
      <c r="P36" s="375"/>
      <c r="Q36" s="117">
        <f t="shared" si="102"/>
        <v>0.11813815728329156</v>
      </c>
      <c r="R36" s="117">
        <f t="shared" si="102"/>
        <v>0.14501860589361651</v>
      </c>
      <c r="S36" s="117">
        <f t="shared" si="102"/>
        <v>3.4447856874538635E-2</v>
      </c>
      <c r="T36" s="117">
        <f t="shared" si="102"/>
        <v>7.3036884325692511E-2</v>
      </c>
      <c r="U36" s="152"/>
      <c r="V36" s="117">
        <f t="shared" si="102"/>
        <v>0.24144702781741731</v>
      </c>
      <c r="W36" s="117">
        <f t="shared" si="102"/>
        <v>8.4517671870522212E-2</v>
      </c>
      <c r="X36" s="117">
        <f t="shared" si="102"/>
        <v>3.4044813368706899E-2</v>
      </c>
      <c r="Y36" s="117">
        <f t="shared" si="102"/>
        <v>3.2229762253074508E-2</v>
      </c>
      <c r="Z36" s="117">
        <f t="shared" si="102"/>
        <v>8.8793095257808083E-2</v>
      </c>
      <c r="AA36" s="117">
        <f t="shared" ref="AA36:AF36" si="104">AA18/AA7</f>
        <v>7.1672378302470155E-2</v>
      </c>
      <c r="AB36" s="117">
        <f t="shared" si="104"/>
        <v>4.2514097418051011E-2</v>
      </c>
      <c r="AC36" s="117">
        <f t="shared" si="104"/>
        <v>4.2098719703435948E-2</v>
      </c>
      <c r="AD36" s="117">
        <f t="shared" si="104"/>
        <v>4.1713704346911636E-2</v>
      </c>
      <c r="AE36" s="117">
        <f t="shared" si="104"/>
        <v>1.9427474320821734E-2</v>
      </c>
      <c r="AF36" s="117">
        <f t="shared" si="104"/>
        <v>4.5271669722133027E-2</v>
      </c>
      <c r="AG36" s="117">
        <f t="shared" ref="AG36:AL36" si="105">AG18/AG7</f>
        <v>3.4069085570101014E-2</v>
      </c>
      <c r="AH36" s="117">
        <f t="shared" si="105"/>
        <v>0</v>
      </c>
      <c r="AI36" s="117">
        <f t="shared" si="105"/>
        <v>0</v>
      </c>
      <c r="AJ36" s="117">
        <f t="shared" si="105"/>
        <v>0</v>
      </c>
      <c r="AK36" s="117">
        <f t="shared" si="105"/>
        <v>0</v>
      </c>
      <c r="AL36" s="117">
        <f t="shared" si="105"/>
        <v>0</v>
      </c>
      <c r="AM36" s="117">
        <f t="shared" ref="AM36:AR36" si="106">AM18/AM7</f>
        <v>0</v>
      </c>
      <c r="AN36" s="117">
        <f t="shared" si="106"/>
        <v>0</v>
      </c>
      <c r="AO36" s="117">
        <f t="shared" si="106"/>
        <v>0</v>
      </c>
      <c r="AP36" s="117">
        <f t="shared" si="106"/>
        <v>0</v>
      </c>
      <c r="AQ36" s="117">
        <f t="shared" si="106"/>
        <v>0</v>
      </c>
      <c r="AR36" s="117">
        <f t="shared" si="106"/>
        <v>0</v>
      </c>
      <c r="AS36" s="117">
        <f t="shared" ref="AS36:AX36" si="107">AS18/AS7</f>
        <v>0</v>
      </c>
      <c r="AT36" s="117">
        <f t="shared" si="107"/>
        <v>0</v>
      </c>
      <c r="AU36" s="117">
        <f t="shared" si="107"/>
        <v>0</v>
      </c>
      <c r="AV36" s="117">
        <f t="shared" si="107"/>
        <v>0</v>
      </c>
      <c r="AW36" s="117">
        <f t="shared" si="107"/>
        <v>0</v>
      </c>
      <c r="AX36" s="117">
        <f t="shared" si="107"/>
        <v>0</v>
      </c>
      <c r="AY36" s="117">
        <f t="shared" ref="AY36:BD36" si="108">AY18/AY7</f>
        <v>0</v>
      </c>
      <c r="AZ36" s="117">
        <f t="shared" si="108"/>
        <v>0</v>
      </c>
      <c r="BA36" s="117">
        <f t="shared" si="108"/>
        <v>0</v>
      </c>
      <c r="BB36" s="117">
        <f t="shared" si="108"/>
        <v>0</v>
      </c>
      <c r="BC36" s="117">
        <f t="shared" si="108"/>
        <v>0</v>
      </c>
      <c r="BD36" s="117">
        <f t="shared" si="108"/>
        <v>0</v>
      </c>
      <c r="BE36" s="375"/>
      <c r="BF36" s="234">
        <f t="shared" ref="BF36:BK36" si="109">BF18/BF7</f>
        <v>0.17996778082151563</v>
      </c>
      <c r="BG36" s="117">
        <f t="shared" si="109"/>
        <v>7.7165121659757585E-2</v>
      </c>
      <c r="BH36" s="117">
        <f t="shared" si="109"/>
        <v>0</v>
      </c>
      <c r="BI36" s="117">
        <f t="shared" si="109"/>
        <v>9.6249501385023459E-2</v>
      </c>
      <c r="BJ36" s="340">
        <f t="shared" si="109"/>
        <v>0</v>
      </c>
      <c r="BK36" s="117">
        <f t="shared" si="109"/>
        <v>0</v>
      </c>
      <c r="BM36" s="117"/>
      <c r="BN36" s="21"/>
      <c r="BO36" s="117"/>
      <c r="BP36" s="117"/>
      <c r="BQ36" s="21"/>
      <c r="BR36" s="21"/>
      <c r="BS36" s="21"/>
      <c r="BT36" s="117"/>
      <c r="BU36" s="117"/>
      <c r="BV36" s="21"/>
      <c r="BW36" s="21"/>
      <c r="BX36" s="21"/>
      <c r="BY36" s="21"/>
      <c r="BZ36" s="117"/>
      <c r="CA36" s="117"/>
      <c r="CB36" s="21"/>
      <c r="CC36" s="21"/>
      <c r="CD36" s="117"/>
      <c r="CE36" s="117"/>
      <c r="CF36" s="21"/>
      <c r="CG36" s="21"/>
      <c r="CH36" s="117"/>
      <c r="CI36" s="117"/>
      <c r="CJ36" s="21"/>
      <c r="CK36" s="21"/>
      <c r="CL36" s="117"/>
      <c r="CM36" s="117"/>
      <c r="CN36" s="21"/>
      <c r="CO36" s="21"/>
      <c r="CP36" s="21"/>
      <c r="CQ36" s="117"/>
      <c r="CR36" s="21"/>
      <c r="CS36" s="21"/>
      <c r="CT36" s="21"/>
    </row>
    <row r="37" spans="1:98" s="46" customFormat="1" ht="13.5" customHeight="1">
      <c r="B37" s="1" t="str">
        <f>B20</f>
        <v>Exchange loss</v>
      </c>
      <c r="C37" s="117">
        <f>C20/C7</f>
        <v>-7.9571652070471496E-2</v>
      </c>
      <c r="D37" s="117">
        <f t="shared" ref="D37:Z37" si="110">D20/D7</f>
        <v>-0.1580751842438643</v>
      </c>
      <c r="E37" s="117">
        <f t="shared" si="110"/>
        <v>-9.8145796690905993E-2</v>
      </c>
      <c r="F37" s="117">
        <f t="shared" si="110"/>
        <v>-7.5838767979520591E-2</v>
      </c>
      <c r="G37" s="117">
        <f t="shared" ref="G37:O37" si="111">G20/G7</f>
        <v>-0.15013691169245205</v>
      </c>
      <c r="H37" s="117">
        <f t="shared" si="111"/>
        <v>-6.4848850297908378E-2</v>
      </c>
      <c r="I37" s="117">
        <f t="shared" si="111"/>
        <v>-4.3221191862186252E-2</v>
      </c>
      <c r="J37" s="117">
        <f t="shared" si="111"/>
        <v>0</v>
      </c>
      <c r="K37" s="117">
        <f t="shared" si="111"/>
        <v>0</v>
      </c>
      <c r="L37" s="117">
        <f t="shared" si="111"/>
        <v>0</v>
      </c>
      <c r="M37" s="117">
        <f t="shared" si="111"/>
        <v>0</v>
      </c>
      <c r="N37" s="117">
        <f>N20/N7</f>
        <v>0</v>
      </c>
      <c r="O37" s="117">
        <f t="shared" si="111"/>
        <v>0</v>
      </c>
      <c r="P37" s="375"/>
      <c r="Q37" s="117">
        <f t="shared" si="110"/>
        <v>-0.110634297025441</v>
      </c>
      <c r="R37" s="117">
        <f t="shared" si="110"/>
        <v>-0.1451991148218576</v>
      </c>
      <c r="S37" s="117">
        <f t="shared" si="110"/>
        <v>-3.9253962167189342E-2</v>
      </c>
      <c r="T37" s="117">
        <f t="shared" si="110"/>
        <v>-9.2988508093323277E-2</v>
      </c>
      <c r="U37" s="152"/>
      <c r="V37" s="117">
        <f t="shared" si="110"/>
        <v>-0.24859192077113024</v>
      </c>
      <c r="W37" s="117">
        <f t="shared" si="110"/>
        <v>-0.10119301008403517</v>
      </c>
      <c r="X37" s="117">
        <f t="shared" si="110"/>
        <v>-4.305165921736713E-2</v>
      </c>
      <c r="Y37" s="117">
        <f t="shared" si="110"/>
        <v>-4.8222136230215297E-2</v>
      </c>
      <c r="Z37" s="117">
        <f t="shared" si="110"/>
        <v>-0.10664570577752322</v>
      </c>
      <c r="AA37" s="117">
        <f t="shared" ref="AA37:AF37" si="112">AA20/AA7</f>
        <v>-8.6332406451069266E-2</v>
      </c>
      <c r="AB37" s="117">
        <f t="shared" si="112"/>
        <v>-5.5252409840101505E-2</v>
      </c>
      <c r="AC37" s="117">
        <f t="shared" si="112"/>
        <v>-5.2859977094322316E-2</v>
      </c>
      <c r="AD37" s="117">
        <f t="shared" si="112"/>
        <v>-3.9171065365633945E-2</v>
      </c>
      <c r="AE37" s="117">
        <f t="shared" si="112"/>
        <v>-2.0670741202948172E-2</v>
      </c>
      <c r="AF37" s="117">
        <f t="shared" si="112"/>
        <v>-6.4262091533423549E-2</v>
      </c>
      <c r="AG37" s="117">
        <f t="shared" ref="AG37:AL37" si="113">AG20/AG7</f>
        <v>-4.581950537615502E-2</v>
      </c>
      <c r="AH37" s="117">
        <f t="shared" si="113"/>
        <v>0</v>
      </c>
      <c r="AI37" s="117">
        <f t="shared" si="113"/>
        <v>0</v>
      </c>
      <c r="AJ37" s="117">
        <f t="shared" si="113"/>
        <v>0</v>
      </c>
      <c r="AK37" s="117">
        <f t="shared" si="113"/>
        <v>0</v>
      </c>
      <c r="AL37" s="117">
        <f t="shared" si="113"/>
        <v>0</v>
      </c>
      <c r="AM37" s="117">
        <f t="shared" ref="AM37:AR37" si="114">AM20/AM7</f>
        <v>0</v>
      </c>
      <c r="AN37" s="117">
        <f t="shared" si="114"/>
        <v>0</v>
      </c>
      <c r="AO37" s="117">
        <f t="shared" si="114"/>
        <v>0</v>
      </c>
      <c r="AP37" s="117">
        <f t="shared" si="114"/>
        <v>0</v>
      </c>
      <c r="AQ37" s="117">
        <f t="shared" si="114"/>
        <v>0</v>
      </c>
      <c r="AR37" s="117">
        <f t="shared" si="114"/>
        <v>0</v>
      </c>
      <c r="AS37" s="117">
        <f t="shared" ref="AS37:AX37" si="115">AS20/AS7</f>
        <v>0</v>
      </c>
      <c r="AT37" s="117">
        <f t="shared" si="115"/>
        <v>0</v>
      </c>
      <c r="AU37" s="117">
        <f t="shared" si="115"/>
        <v>0</v>
      </c>
      <c r="AV37" s="117">
        <f t="shared" si="115"/>
        <v>0</v>
      </c>
      <c r="AW37" s="117">
        <f t="shared" si="115"/>
        <v>0</v>
      </c>
      <c r="AX37" s="117">
        <f t="shared" si="115"/>
        <v>0</v>
      </c>
      <c r="AY37" s="117">
        <f t="shared" ref="AY37:BD37" si="116">AY20/AY7</f>
        <v>0</v>
      </c>
      <c r="AZ37" s="117">
        <f t="shared" si="116"/>
        <v>0</v>
      </c>
      <c r="BA37" s="117">
        <f t="shared" si="116"/>
        <v>0</v>
      </c>
      <c r="BB37" s="117">
        <f t="shared" si="116"/>
        <v>0</v>
      </c>
      <c r="BC37" s="117">
        <f t="shared" si="116"/>
        <v>0</v>
      </c>
      <c r="BD37" s="117">
        <f t="shared" si="116"/>
        <v>0</v>
      </c>
      <c r="BE37" s="375"/>
      <c r="BF37" s="234">
        <f t="shared" ref="BF37:BK37" si="117">BF20/BF7</f>
        <v>-0.20971180715463919</v>
      </c>
      <c r="BG37" s="117">
        <f t="shared" si="117"/>
        <v>-9.0417607756928337E-2</v>
      </c>
      <c r="BH37" s="117">
        <f t="shared" si="117"/>
        <v>-2.5748310267138717E-2</v>
      </c>
      <c r="BI37" s="117">
        <f t="shared" si="117"/>
        <v>-0.11304311493507722</v>
      </c>
      <c r="BJ37" s="340">
        <f t="shared" si="117"/>
        <v>0</v>
      </c>
      <c r="BK37" s="117">
        <f t="shared" si="117"/>
        <v>0</v>
      </c>
      <c r="BM37" s="117"/>
      <c r="BN37" s="21"/>
      <c r="BO37" s="117"/>
      <c r="BP37" s="117"/>
      <c r="BQ37" s="21"/>
      <c r="BR37" s="21"/>
      <c r="BS37" s="21"/>
      <c r="BT37" s="117"/>
      <c r="BU37" s="117"/>
      <c r="BV37" s="21"/>
      <c r="BW37" s="21"/>
      <c r="BX37" s="21"/>
      <c r="BY37" s="21"/>
      <c r="BZ37" s="117"/>
      <c r="CA37" s="117"/>
      <c r="CB37" s="21"/>
      <c r="CC37" s="21"/>
      <c r="CD37" s="117"/>
      <c r="CE37" s="117"/>
      <c r="CF37" s="21"/>
      <c r="CG37" s="21"/>
      <c r="CH37" s="117"/>
      <c r="CI37" s="117"/>
      <c r="CJ37" s="21"/>
      <c r="CK37" s="21"/>
      <c r="CL37" s="117"/>
      <c r="CM37" s="117"/>
      <c r="CN37" s="21"/>
      <c r="CO37" s="21"/>
      <c r="CP37" s="21"/>
      <c r="CQ37" s="117"/>
      <c r="CR37" s="21"/>
      <c r="CS37" s="21"/>
      <c r="CT37" s="21"/>
    </row>
    <row r="38" spans="1:98" s="46" customFormat="1" ht="13.5" customHeight="1">
      <c r="B38" s="1" t="str">
        <f>B21</f>
        <v>Profit before tax</v>
      </c>
      <c r="C38" s="117">
        <f>C21/C7</f>
        <v>-7.3673931822703709E-2</v>
      </c>
      <c r="D38" s="117">
        <f t="shared" ref="D38:Z38" si="118">D21/D7</f>
        <v>-0.10564150379945904</v>
      </c>
      <c r="E38" s="117">
        <f t="shared" si="118"/>
        <v>-5.1903734983553537E-2</v>
      </c>
      <c r="F38" s="117">
        <f t="shared" si="118"/>
        <v>-4.4116352824674854E-2</v>
      </c>
      <c r="G38" s="117">
        <f t="shared" ref="G38:O38" si="119">G21/G7</f>
        <v>-0.14461127190231612</v>
      </c>
      <c r="H38" s="117">
        <f t="shared" si="119"/>
        <v>-6.3499034971221432E-2</v>
      </c>
      <c r="I38" s="117">
        <f t="shared" si="119"/>
        <v>2.7739903177242464E-2</v>
      </c>
      <c r="J38" s="117">
        <f t="shared" si="119"/>
        <v>7.599551829973282E-2</v>
      </c>
      <c r="K38" s="117">
        <f t="shared" si="119"/>
        <v>0.1042579777868833</v>
      </c>
      <c r="L38" s="117">
        <f t="shared" si="119"/>
        <v>2.3863759633779215E-2</v>
      </c>
      <c r="M38" s="117">
        <f t="shared" si="119"/>
        <v>-3.4346516030607212E-2</v>
      </c>
      <c r="N38" s="117">
        <f>N21/N7</f>
        <v>2.7214119989647343E-3</v>
      </c>
      <c r="O38" s="117">
        <f t="shared" si="119"/>
        <v>-3.1240362261149338E-3</v>
      </c>
      <c r="P38" s="375"/>
      <c r="Q38" s="117">
        <f t="shared" si="118"/>
        <v>-2.5284281290915846E-2</v>
      </c>
      <c r="R38" s="117">
        <f t="shared" si="118"/>
        <v>-5.111311343895393E-2</v>
      </c>
      <c r="S38" s="117">
        <f t="shared" si="118"/>
        <v>-5.8519789500271285E-2</v>
      </c>
      <c r="T38" s="117">
        <f t="shared" si="118"/>
        <v>-7.3446755526525645E-2</v>
      </c>
      <c r="U38" s="152"/>
      <c r="V38" s="117">
        <f t="shared" si="118"/>
        <v>-0.23225766395488284</v>
      </c>
      <c r="W38" s="117">
        <f t="shared" si="118"/>
        <v>-6.5746555262794215E-2</v>
      </c>
      <c r="X38" s="117">
        <f t="shared" si="118"/>
        <v>-1.6698671090225051E-2</v>
      </c>
      <c r="Y38" s="117">
        <f t="shared" si="118"/>
        <v>-2.4048210055402326E-2</v>
      </c>
      <c r="Z38" s="117">
        <f t="shared" si="118"/>
        <v>-0.12927830839788318</v>
      </c>
      <c r="AA38" s="117">
        <f t="shared" ref="AA38:AF38" si="120">AA21/AA7</f>
        <v>-0.15666089344724929</v>
      </c>
      <c r="AB38" s="117">
        <f t="shared" si="120"/>
        <v>1.5161183560873041E-2</v>
      </c>
      <c r="AC38" s="117">
        <f t="shared" si="120"/>
        <v>-8.2608581649350921E-2</v>
      </c>
      <c r="AD38" s="117">
        <f t="shared" si="120"/>
        <v>-1.7861669288276052E-3</v>
      </c>
      <c r="AE38" s="117">
        <f t="shared" si="120"/>
        <v>2.9602551385022286E-2</v>
      </c>
      <c r="AF38" s="117">
        <f t="shared" si="120"/>
        <v>3.9847863825694933E-2</v>
      </c>
      <c r="AG38" s="117">
        <f t="shared" ref="AG38:AL38" si="121">AG21/AG7</f>
        <v>3.6283832851252133E-2</v>
      </c>
      <c r="AH38" s="117">
        <f t="shared" si="121"/>
        <v>-2.3596520977610898E-2</v>
      </c>
      <c r="AI38" s="117">
        <f t="shared" si="121"/>
        <v>0.14865116158853187</v>
      </c>
      <c r="AJ38" s="117">
        <f t="shared" si="121"/>
        <v>6.9593234062915788E-2</v>
      </c>
      <c r="AK38" s="117">
        <f t="shared" si="121"/>
        <v>8.0410103401788918E-2</v>
      </c>
      <c r="AL38" s="117">
        <f t="shared" si="121"/>
        <v>2.9498789324051037E-2</v>
      </c>
      <c r="AM38" s="117">
        <f t="shared" ref="AM38:AR38" si="122">AM21/AM7</f>
        <v>0.17027037418160573</v>
      </c>
      <c r="AN38" s="117">
        <f t="shared" si="122"/>
        <v>0.12673995720582049</v>
      </c>
      <c r="AO38" s="117">
        <f t="shared" si="122"/>
        <v>7.9154552773620795E-2</v>
      </c>
      <c r="AP38" s="117">
        <f t="shared" si="122"/>
        <v>5.6177232949276984E-2</v>
      </c>
      <c r="AQ38" s="117">
        <f t="shared" si="122"/>
        <v>8.9648086606705105E-2</v>
      </c>
      <c r="AR38" s="117">
        <f t="shared" si="122"/>
        <v>2.1699805936504056E-4</v>
      </c>
      <c r="AS38" s="117">
        <f t="shared" ref="AS38:AX38" si="123">AS21/AS7</f>
        <v>-4.0597178365033938E-2</v>
      </c>
      <c r="AT38" s="117">
        <f t="shared" si="123"/>
        <v>-5.6331042125161032E-2</v>
      </c>
      <c r="AU38" s="117">
        <f t="shared" si="123"/>
        <v>-5.6702928867091378E-2</v>
      </c>
      <c r="AV38" s="117">
        <f t="shared" si="123"/>
        <v>-2.7181222223166962E-2</v>
      </c>
      <c r="AW38" s="117">
        <f t="shared" si="123"/>
        <v>-8.9225427185625581E-4</v>
      </c>
      <c r="AX38" s="117">
        <f t="shared" si="123"/>
        <v>-3.0335935811420748E-3</v>
      </c>
      <c r="AY38" s="117">
        <f t="shared" ref="AY38:BD38" si="124">AY21/AY7</f>
        <v>3.2763868667315989E-3</v>
      </c>
      <c r="AZ38" s="117">
        <f t="shared" si="124"/>
        <v>1.6805346878630854E-2</v>
      </c>
      <c r="BA38" s="117">
        <f t="shared" si="124"/>
        <v>-6.4915381180235916E-3</v>
      </c>
      <c r="BB38" s="117">
        <f t="shared" si="124"/>
        <v>-1.6860039290944619E-3</v>
      </c>
      <c r="BC38" s="117">
        <f t="shared" si="124"/>
        <v>-8.4946653637976415E-3</v>
      </c>
      <c r="BD38" s="117">
        <f t="shared" si="124"/>
        <v>3.8931384855818252E-3</v>
      </c>
      <c r="BE38" s="375"/>
      <c r="BF38" s="234">
        <f t="shared" ref="BF38:BK38" si="125">BF21/BF7</f>
        <v>-0.20718298695270043</v>
      </c>
      <c r="BG38" s="117">
        <f t="shared" si="125"/>
        <v>-9.8194558107183139E-2</v>
      </c>
      <c r="BH38" s="117">
        <f t="shared" si="125"/>
        <v>-8.2716446733183138E-2</v>
      </c>
      <c r="BI38" s="117">
        <f t="shared" si="125"/>
        <v>-0.12358535341764253</v>
      </c>
      <c r="BJ38" s="340">
        <f t="shared" si="125"/>
        <v>0.14865116158853187</v>
      </c>
      <c r="BK38" s="117">
        <f t="shared" si="125"/>
        <v>-5.0866184607109753E-2</v>
      </c>
      <c r="BM38" s="117"/>
      <c r="BN38" s="21"/>
      <c r="BO38" s="117"/>
      <c r="BP38" s="117"/>
      <c r="BQ38" s="21"/>
      <c r="BR38" s="21"/>
      <c r="BS38" s="21"/>
      <c r="BT38" s="117"/>
      <c r="BU38" s="117"/>
      <c r="BV38" s="21"/>
      <c r="BW38" s="21"/>
      <c r="BX38" s="21"/>
      <c r="BY38" s="21"/>
      <c r="BZ38" s="117"/>
      <c r="CA38" s="117"/>
      <c r="CB38" s="21"/>
      <c r="CC38" s="21"/>
      <c r="CD38" s="117"/>
      <c r="CE38" s="117"/>
      <c r="CF38" s="21"/>
      <c r="CG38" s="21"/>
      <c r="CH38" s="117"/>
      <c r="CI38" s="117"/>
      <c r="CJ38" s="21"/>
      <c r="CK38" s="21"/>
      <c r="CL38" s="117"/>
      <c r="CM38" s="117"/>
      <c r="CN38" s="21"/>
      <c r="CO38" s="21"/>
      <c r="CP38" s="21"/>
      <c r="CQ38" s="117"/>
      <c r="CR38" s="21"/>
      <c r="CS38" s="21"/>
      <c r="CT38" s="21"/>
    </row>
    <row r="39" spans="1:98" s="46" customFormat="1" ht="13.5" customHeight="1">
      <c r="B39" s="7" t="s">
        <v>78</v>
      </c>
      <c r="C39" s="117">
        <f>C22/C21</f>
        <v>-0.27238107647643134</v>
      </c>
      <c r="D39" s="117">
        <f t="shared" ref="D39:Z39" si="126">D22/D21</f>
        <v>-0.33324327046363972</v>
      </c>
      <c r="E39" s="117">
        <f t="shared" si="126"/>
        <v>-0.34292032228818881</v>
      </c>
      <c r="F39" s="117">
        <f t="shared" si="126"/>
        <v>-0.48451539065969695</v>
      </c>
      <c r="G39" s="117">
        <f t="shared" ref="G39:M39" si="127">G22/G21</f>
        <v>-0.32360767155612646</v>
      </c>
      <c r="H39" s="117">
        <f t="shared" si="127"/>
        <v>-0.21068374596226058</v>
      </c>
      <c r="I39" s="117">
        <f t="shared" si="127"/>
        <v>0.16975263690581355</v>
      </c>
      <c r="J39" s="117">
        <f t="shared" si="127"/>
        <v>-0.11649917106936523</v>
      </c>
      <c r="K39" s="117">
        <f t="shared" si="127"/>
        <v>-0.25341960042590639</v>
      </c>
      <c r="L39" s="117">
        <f t="shared" si="127"/>
        <v>0.14973100093855526</v>
      </c>
      <c r="M39" s="117">
        <f t="shared" si="127"/>
        <v>-0.23993488104979613</v>
      </c>
      <c r="N39" s="117">
        <f>N22/N21</f>
        <v>5.9028342779281182</v>
      </c>
      <c r="O39" s="117">
        <f>O22/O21</f>
        <v>-5.0689382653607575</v>
      </c>
      <c r="P39" s="375"/>
      <c r="Q39" s="117">
        <f t="shared" si="126"/>
        <v>-0.29021804844625404</v>
      </c>
      <c r="R39" s="117">
        <f t="shared" si="126"/>
        <v>-0.21227844075853156</v>
      </c>
      <c r="S39" s="117">
        <f t="shared" si="126"/>
        <v>-0.43365854809037901</v>
      </c>
      <c r="T39" s="117">
        <f t="shared" si="126"/>
        <v>-0.38370810092739882</v>
      </c>
      <c r="U39" s="152"/>
      <c r="V39" s="117">
        <f t="shared" si="126"/>
        <v>-0.30993902169497367</v>
      </c>
      <c r="W39" s="117">
        <f t="shared" si="126"/>
        <v>-0.4903336836388516</v>
      </c>
      <c r="X39" s="117">
        <f t="shared" si="126"/>
        <v>-0.39373768175226148</v>
      </c>
      <c r="Y39" s="117">
        <f t="shared" si="126"/>
        <v>-0.97689934771856868</v>
      </c>
      <c r="Z39" s="117">
        <f t="shared" si="126"/>
        <v>-0.34043407621662342</v>
      </c>
      <c r="AA39" s="117">
        <f t="shared" ref="AA39:AF39" si="128">AA22/AA21</f>
        <v>-0.45813407877002948</v>
      </c>
      <c r="AB39" s="117">
        <f t="shared" si="128"/>
        <v>0.51164934779117222</v>
      </c>
      <c r="AC39" s="117">
        <f t="shared" si="128"/>
        <v>0.21232896333533063</v>
      </c>
      <c r="AD39" s="117">
        <f t="shared" si="128"/>
        <v>-8.8913019329039589</v>
      </c>
      <c r="AE39" s="117">
        <f t="shared" si="128"/>
        <v>0.15387298366175128</v>
      </c>
      <c r="AF39" s="117">
        <f t="shared" si="128"/>
        <v>0.26220669665009999</v>
      </c>
      <c r="AG39" s="117">
        <f t="shared" ref="AG39:AL39" si="129">AG22/AG21</f>
        <v>-0.2268089997848349</v>
      </c>
      <c r="AH39" s="117">
        <f t="shared" si="129"/>
        <v>-0.89870711978681095</v>
      </c>
      <c r="AI39" s="117">
        <f t="shared" si="129"/>
        <v>-0.21552245378890217</v>
      </c>
      <c r="AJ39" s="117">
        <f t="shared" si="129"/>
        <v>-0.19945060620261831</v>
      </c>
      <c r="AK39" s="117">
        <f t="shared" si="129"/>
        <v>-3.0786754458288872E-2</v>
      </c>
      <c r="AL39" s="117">
        <f t="shared" si="129"/>
        <v>-4.1322801689888085E-3</v>
      </c>
      <c r="AM39" s="117">
        <f t="shared" ref="AM39:AR39" si="130">AM22/AM21</f>
        <v>-0.32162661104334567</v>
      </c>
      <c r="AN39" s="117">
        <f t="shared" si="130"/>
        <v>-0.18483216633125854</v>
      </c>
      <c r="AO39" s="117">
        <f t="shared" si="130"/>
        <v>-0.30264747212874948</v>
      </c>
      <c r="AP39" s="117">
        <f t="shared" si="130"/>
        <v>-0.60766107988159657</v>
      </c>
      <c r="AQ39" s="117">
        <f t="shared" si="130"/>
        <v>0.25143034029289957</v>
      </c>
      <c r="AR39" s="117">
        <f t="shared" si="130"/>
        <v>24.194151738677771</v>
      </c>
      <c r="AS39" s="117">
        <f t="shared" ref="AS39:AX39" si="131">AS22/AS21</f>
        <v>-0.18322020997124763</v>
      </c>
      <c r="AT39" s="117">
        <f t="shared" si="131"/>
        <v>-0.12334342501559582</v>
      </c>
      <c r="AU39" s="117">
        <f t="shared" si="131"/>
        <v>-0.11859498951111273</v>
      </c>
      <c r="AV39" s="117">
        <f t="shared" si="131"/>
        <v>-0.43854752750107628</v>
      </c>
      <c r="AW39" s="117">
        <f t="shared" si="131"/>
        <v>-7.9641937901184896</v>
      </c>
      <c r="AX39" s="117">
        <f t="shared" si="131"/>
        <v>-2.3808669157084505</v>
      </c>
      <c r="AY39" s="117">
        <f t="shared" ref="AY39:BD39" si="132">AY22/AY21</f>
        <v>4.7106437005376387</v>
      </c>
      <c r="AZ39" s="117">
        <f t="shared" si="132"/>
        <v>8.5234933068868854E-2</v>
      </c>
      <c r="BA39" s="117">
        <f t="shared" si="132"/>
        <v>-5.6671734522332162</v>
      </c>
      <c r="BB39" s="117">
        <f t="shared" si="132"/>
        <v>-7.4025166699276079</v>
      </c>
      <c r="BC39" s="117">
        <f t="shared" si="132"/>
        <v>-1.5280397716900729</v>
      </c>
      <c r="BD39" s="117">
        <f t="shared" si="132"/>
        <v>0.12840792378796989</v>
      </c>
      <c r="BE39" s="375"/>
      <c r="BF39" s="234">
        <f t="shared" ref="BF39:BK39" si="133">BF22/BF21</f>
        <v>-0.41980592154058377</v>
      </c>
      <c r="BG39" s="117">
        <f t="shared" si="133"/>
        <v>-0.33522453790557655</v>
      </c>
      <c r="BH39" s="117">
        <f t="shared" si="133"/>
        <v>-0.17898832684824903</v>
      </c>
      <c r="BI39" s="117">
        <f t="shared" si="133"/>
        <v>-0.34680482406326424</v>
      </c>
      <c r="BJ39" s="340">
        <f t="shared" si="133"/>
        <v>-0.2155224537889022</v>
      </c>
      <c r="BK39" s="117">
        <f t="shared" si="133"/>
        <v>-0.14356730934949444</v>
      </c>
      <c r="BL39" s="375"/>
      <c r="BM39" s="117"/>
      <c r="BN39" s="117"/>
      <c r="BO39" s="117"/>
      <c r="BP39" s="117"/>
      <c r="BQ39" s="117"/>
      <c r="BR39" s="117"/>
      <c r="BS39" s="117"/>
      <c r="BT39" s="117"/>
      <c r="BU39" s="117"/>
      <c r="BV39" s="117"/>
      <c r="BW39" s="117"/>
      <c r="BX39" s="117"/>
      <c r="BY39" s="117"/>
      <c r="BZ39" s="117"/>
      <c r="CA39" s="117"/>
      <c r="CB39" s="117"/>
      <c r="CC39" s="117"/>
      <c r="CD39" s="117"/>
      <c r="CE39" s="117"/>
      <c r="CF39" s="117"/>
      <c r="CG39" s="117"/>
      <c r="CH39" s="117"/>
      <c r="CI39" s="117"/>
      <c r="CJ39" s="117"/>
      <c r="CK39" s="117"/>
      <c r="CL39" s="117"/>
      <c r="CM39" s="117"/>
      <c r="CN39" s="117"/>
      <c r="CO39" s="117"/>
      <c r="CP39" s="117"/>
      <c r="CQ39" s="117"/>
      <c r="CR39" s="117"/>
      <c r="CS39" s="117"/>
      <c r="CT39" s="117"/>
    </row>
    <row r="40" spans="1:98" s="46" customFormat="1" ht="13.5" customHeight="1">
      <c r="B40" s="1"/>
      <c r="C40" s="33"/>
      <c r="D40" s="33"/>
      <c r="E40" s="33"/>
      <c r="F40" s="33"/>
      <c r="G40" s="33"/>
      <c r="H40" s="33"/>
      <c r="I40" s="33"/>
      <c r="J40" s="33"/>
      <c r="K40" s="33"/>
      <c r="L40" s="33"/>
      <c r="M40" s="33"/>
      <c r="N40" s="33"/>
      <c r="O40" s="33"/>
      <c r="P40" s="52"/>
      <c r="Q40" s="33"/>
      <c r="R40" s="33"/>
      <c r="S40" s="33"/>
      <c r="T40" s="33"/>
      <c r="U40" s="152"/>
      <c r="V40" s="33"/>
      <c r="W40" s="33"/>
      <c r="X40" s="33"/>
      <c r="Y40" s="33"/>
      <c r="Z40" s="33"/>
      <c r="AA40" s="33"/>
      <c r="AB40" s="33"/>
      <c r="AC40" s="33"/>
      <c r="AD40" s="33"/>
      <c r="AE40" s="33"/>
      <c r="AF40" s="33"/>
      <c r="AG40" s="33"/>
      <c r="AH40" s="33"/>
      <c r="AI40" s="33"/>
      <c r="AJ40" s="33"/>
      <c r="AK40" s="33"/>
      <c r="AL40" s="33"/>
      <c r="AM40" s="33"/>
      <c r="AN40" s="33"/>
      <c r="AO40" s="33"/>
      <c r="AP40" s="33"/>
      <c r="AQ40" s="33"/>
      <c r="AR40" s="33"/>
      <c r="AS40" s="33"/>
      <c r="AT40" s="33"/>
      <c r="AU40" s="33"/>
      <c r="AV40" s="33"/>
      <c r="AW40" s="33"/>
      <c r="AX40" s="33"/>
      <c r="AY40" s="33"/>
      <c r="AZ40" s="33"/>
      <c r="BA40" s="33"/>
      <c r="BB40" s="33"/>
      <c r="BC40" s="33"/>
      <c r="BD40" s="33"/>
      <c r="BE40" s="52"/>
      <c r="BF40" s="236"/>
      <c r="BG40" s="33"/>
      <c r="BH40" s="33"/>
      <c r="BI40" s="33"/>
      <c r="BJ40" s="341"/>
      <c r="BK40" s="33"/>
      <c r="BL40" s="52"/>
      <c r="BM40" s="33"/>
      <c r="BN40" s="33"/>
      <c r="BO40" s="33"/>
      <c r="BP40" s="33"/>
      <c r="BQ40" s="33"/>
      <c r="BR40" s="33"/>
      <c r="BS40" s="33"/>
      <c r="BT40" s="33"/>
      <c r="BU40" s="33"/>
      <c r="BV40" s="33"/>
      <c r="BW40" s="33"/>
      <c r="BX40" s="33"/>
      <c r="BY40" s="33"/>
      <c r="BZ40" s="33"/>
      <c r="CA40" s="33"/>
      <c r="CB40" s="33"/>
      <c r="CC40" s="33"/>
      <c r="CD40" s="33"/>
      <c r="CE40" s="33"/>
      <c r="CF40" s="33"/>
      <c r="CG40" s="33"/>
      <c r="CH40" s="33"/>
      <c r="CI40" s="33"/>
      <c r="CJ40" s="33"/>
      <c r="CK40" s="33"/>
      <c r="CL40" s="33"/>
      <c r="CM40" s="33"/>
      <c r="CN40" s="33"/>
      <c r="CO40" s="33"/>
      <c r="CP40" s="33"/>
      <c r="CQ40" s="33"/>
      <c r="CR40" s="33"/>
      <c r="CS40" s="33"/>
      <c r="CT40" s="33"/>
    </row>
    <row r="41" spans="1:98" s="46" customFormat="1" ht="13.5" customHeight="1">
      <c r="B41" s="46" t="s">
        <v>79</v>
      </c>
      <c r="C41" s="52">
        <f t="shared" ref="C41:O41" si="134">C65/C7</f>
        <v>-1.8715926704863082E-2</v>
      </c>
      <c r="D41" s="52">
        <f t="shared" si="134"/>
        <v>-2.047120514725749E-2</v>
      </c>
      <c r="E41" s="52">
        <f t="shared" si="134"/>
        <v>-2.3947815730698954E-2</v>
      </c>
      <c r="F41" s="52">
        <f t="shared" si="134"/>
        <v>-4.2804577251658461E-2</v>
      </c>
      <c r="G41" s="52">
        <f t="shared" si="134"/>
        <v>-4.3329598360772284E-2</v>
      </c>
      <c r="H41" s="52">
        <f t="shared" si="134"/>
        <v>-2.277045237759992E-2</v>
      </c>
      <c r="I41" s="52">
        <f t="shared" si="134"/>
        <v>-1.9599575128160164E-2</v>
      </c>
      <c r="J41" s="52">
        <f t="shared" si="134"/>
        <v>-2.0393505589055089E-2</v>
      </c>
      <c r="K41" s="52">
        <f t="shared" si="134"/>
        <v>-2.4648176144816184E-2</v>
      </c>
      <c r="L41" s="52">
        <f t="shared" si="134"/>
        <v>-2.9766375669849958E-2</v>
      </c>
      <c r="M41" s="52">
        <f t="shared" si="134"/>
        <v>-2.64943860522481E-2</v>
      </c>
      <c r="N41" s="52">
        <f t="shared" si="134"/>
        <v>-2.5348305058279251E-2</v>
      </c>
      <c r="O41" s="52">
        <f t="shared" si="134"/>
        <v>-2.9818425632742722E-2</v>
      </c>
      <c r="P41" s="52"/>
      <c r="Q41" s="52">
        <f>Q65/Q7</f>
        <v>-1.8304633450785177E-2</v>
      </c>
      <c r="R41" s="52">
        <f>R65/R7</f>
        <v>-8.91102428336993E-3</v>
      </c>
      <c r="S41" s="52">
        <f>S65/S7</f>
        <v>-3.6163222172355909E-2</v>
      </c>
      <c r="T41" s="52">
        <f>T65/T7</f>
        <v>-3.3111183686799633E-2</v>
      </c>
      <c r="U41" s="152"/>
      <c r="V41" s="52">
        <f t="shared" ref="V41:BD41" si="135">V65/V7</f>
        <v>-2.121810769600057E-2</v>
      </c>
      <c r="W41" s="52">
        <f t="shared" si="135"/>
        <v>-5.6030713042284692E-2</v>
      </c>
      <c r="X41" s="52">
        <f t="shared" si="135"/>
        <v>-5.6401612633802264E-2</v>
      </c>
      <c r="Y41" s="52">
        <f t="shared" si="135"/>
        <v>-3.1330873122988483E-2</v>
      </c>
      <c r="Z41" s="52">
        <f t="shared" si="135"/>
        <v>-3.7207387932988494E-2</v>
      </c>
      <c r="AA41" s="52">
        <f t="shared" si="135"/>
        <v>-3.0008619750901116E-2</v>
      </c>
      <c r="AB41" s="52">
        <f t="shared" si="135"/>
        <v>-1.7543022713684214E-2</v>
      </c>
      <c r="AC41" s="52">
        <f t="shared" si="135"/>
        <v>-2.0725482769956973E-2</v>
      </c>
      <c r="AD41" s="52">
        <f t="shared" si="135"/>
        <v>-2.897630233484479E-2</v>
      </c>
      <c r="AE41" s="52">
        <f t="shared" si="135"/>
        <v>-1.8240013652896441E-2</v>
      </c>
      <c r="AF41" s="52">
        <f t="shared" si="135"/>
        <v>-1.0189831244725124E-2</v>
      </c>
      <c r="AG41" s="52">
        <f t="shared" si="135"/>
        <v>-2.2507160880229995E-2</v>
      </c>
      <c r="AH41" s="52">
        <f t="shared" si="135"/>
        <v>-1.3979370903127175E-2</v>
      </c>
      <c r="AI41" s="52">
        <f t="shared" si="135"/>
        <v>-1.6327613245156296E-2</v>
      </c>
      <c r="AJ41" s="52">
        <f t="shared" si="135"/>
        <v>-2.4375421229960299E-2</v>
      </c>
      <c r="AK41" s="52">
        <f t="shared" si="135"/>
        <v>-2.5667731935481653E-2</v>
      </c>
      <c r="AL41" s="52">
        <f t="shared" si="135"/>
        <v>-2.297099077235985E-2</v>
      </c>
      <c r="AM41" s="52">
        <f t="shared" si="135"/>
        <v>-2.1992378317668416E-2</v>
      </c>
      <c r="AN41" s="52">
        <f t="shared" si="135"/>
        <v>-2.2393079489566578E-2</v>
      </c>
      <c r="AO41" s="52">
        <f t="shared" si="135"/>
        <v>-3.0364382700514933E-2</v>
      </c>
      <c r="AP41" s="52">
        <f t="shared" si="135"/>
        <v>-2.0086960133767741E-2</v>
      </c>
      <c r="AQ41" s="52">
        <f t="shared" si="135"/>
        <v>-4.9233356349674087E-2</v>
      </c>
      <c r="AR41" s="52">
        <f t="shared" si="135"/>
        <v>-1.0005634175113545E-2</v>
      </c>
      <c r="AS41" s="52">
        <f t="shared" si="135"/>
        <v>-3.6807041190501967E-2</v>
      </c>
      <c r="AT41" s="52">
        <f t="shared" si="135"/>
        <v>-3.2628532470821599E-2</v>
      </c>
      <c r="AU41" s="52">
        <f t="shared" si="135"/>
        <v>-2.7615048061302647E-2</v>
      </c>
      <c r="AV41" s="52">
        <f t="shared" si="135"/>
        <v>-2.2563734226678685E-2</v>
      </c>
      <c r="AW41" s="52">
        <f t="shared" si="135"/>
        <v>-2.3773941087961822E-2</v>
      </c>
      <c r="AX41" s="52">
        <f t="shared" si="135"/>
        <v>-2.4137413426062095E-2</v>
      </c>
      <c r="AY41" s="52">
        <f t="shared" si="135"/>
        <v>-2.2337806370735916E-2</v>
      </c>
      <c r="AZ41" s="52">
        <f t="shared" si="135"/>
        <v>-2.2990202801328921E-2</v>
      </c>
      <c r="BA41" s="52">
        <f t="shared" si="135"/>
        <v>-3.1016560587044571E-2</v>
      </c>
      <c r="BB41" s="52">
        <f t="shared" si="135"/>
        <v>-2.2625270812652271E-2</v>
      </c>
      <c r="BC41" s="52">
        <f t="shared" si="135"/>
        <v>-3.2841942096215729E-2</v>
      </c>
      <c r="BD41" s="52">
        <f t="shared" si="135"/>
        <v>-3.2594843997198461E-2</v>
      </c>
      <c r="BE41" s="52"/>
      <c r="BF41" s="237">
        <f t="shared" ref="BF41:BK41" si="136">BF65/BF7</f>
        <v>-3.3229697422282239E-2</v>
      </c>
      <c r="BG41" s="52">
        <f t="shared" si="136"/>
        <v>-6.8347250118438757E-2</v>
      </c>
      <c r="BH41" s="52">
        <f t="shared" si="136"/>
        <v>0</v>
      </c>
      <c r="BI41" s="52">
        <f t="shared" si="136"/>
        <v>-9.5339753470392891E-2</v>
      </c>
      <c r="BJ41" s="75">
        <f t="shared" si="136"/>
        <v>-1.6327613245156296E-2</v>
      </c>
      <c r="BK41" s="52">
        <f t="shared" si="136"/>
        <v>-3.2240432385756801E-2</v>
      </c>
      <c r="BM41" s="52"/>
      <c r="BO41" s="52"/>
      <c r="BP41" s="52"/>
      <c r="BT41" s="52"/>
      <c r="BU41" s="52"/>
      <c r="BZ41" s="52"/>
      <c r="CA41" s="52"/>
      <c r="CD41" s="52"/>
      <c r="CE41" s="52"/>
      <c r="CH41" s="52"/>
      <c r="CI41" s="52"/>
      <c r="CL41" s="52"/>
      <c r="CM41" s="52"/>
      <c r="CQ41" s="52"/>
    </row>
    <row r="42" spans="1:98" s="46" customFormat="1" ht="13.5" customHeight="1">
      <c r="B42" s="46" t="s">
        <v>80</v>
      </c>
      <c r="C42" s="52">
        <f>C46/C7</f>
        <v>2.1653247424937658E-2</v>
      </c>
      <c r="D42" s="52">
        <f t="shared" ref="D42:Z42" si="137">D46/D7</f>
        <v>2.2219906716137335E-2</v>
      </c>
      <c r="E42" s="52">
        <f t="shared" si="137"/>
        <v>2.4652338207329413E-2</v>
      </c>
      <c r="F42" s="52">
        <f t="shared" si="137"/>
        <v>2.4421794680155262E-2</v>
      </c>
      <c r="G42" s="52">
        <f t="shared" ref="G42:O42" si="138">G46/G7</f>
        <v>2.4013161532494654E-2</v>
      </c>
      <c r="H42" s="52">
        <f t="shared" si="138"/>
        <v>2.1980855842819169E-2</v>
      </c>
      <c r="I42" s="52">
        <f t="shared" si="138"/>
        <v>2.4558840059599202E-2</v>
      </c>
      <c r="J42" s="52">
        <f t="shared" si="138"/>
        <v>2.0651679929258274E-2</v>
      </c>
      <c r="K42" s="52">
        <f t="shared" si="138"/>
        <v>1.83077649314425E-2</v>
      </c>
      <c r="L42" s="52">
        <f t="shared" si="138"/>
        <v>4.4444927453925684E-2</v>
      </c>
      <c r="M42" s="52">
        <f t="shared" si="138"/>
        <v>5.0978168556613426E-2</v>
      </c>
      <c r="N42" s="52">
        <f>N46/N7</f>
        <v>4.8350514791457175E-2</v>
      </c>
      <c r="O42" s="52">
        <f t="shared" si="138"/>
        <v>4.6440854449282365E-2</v>
      </c>
      <c r="P42" s="52"/>
      <c r="Q42" s="52">
        <f t="shared" si="137"/>
        <v>2.5064772436373003E-2</v>
      </c>
      <c r="R42" s="52">
        <f t="shared" si="137"/>
        <v>2.4859758036764362E-2</v>
      </c>
      <c r="S42" s="52">
        <f t="shared" si="137"/>
        <v>2.5908756000155513E-2</v>
      </c>
      <c r="T42" s="52">
        <f t="shared" si="137"/>
        <v>2.2926455879651367E-2</v>
      </c>
      <c r="U42" s="152"/>
      <c r="V42" s="52">
        <f t="shared" si="137"/>
        <v>2.8601571143138872E-2</v>
      </c>
      <c r="W42" s="52">
        <f t="shared" si="137"/>
        <v>2.6410192916412785E-2</v>
      </c>
      <c r="X42" s="52">
        <f t="shared" si="137"/>
        <v>2.3650499689201403E-2</v>
      </c>
      <c r="Y42" s="52">
        <f t="shared" si="137"/>
        <v>2.177116268534162E-2</v>
      </c>
      <c r="Z42" s="52">
        <f t="shared" si="137"/>
        <v>2.0752094618530365E-2</v>
      </c>
      <c r="AA42" s="52">
        <f t="shared" ref="AA42:AF42" si="139">AA46/AA7</f>
        <v>1.9438134567820859E-2</v>
      </c>
      <c r="AB42" s="52">
        <f t="shared" si="139"/>
        <v>1.5596032432403189E-2</v>
      </c>
      <c r="AC42" s="52">
        <f t="shared" si="139"/>
        <v>3.0256736127406991E-2</v>
      </c>
      <c r="AD42" s="52">
        <f t="shared" si="139"/>
        <v>2.8436801348454839E-2</v>
      </c>
      <c r="AE42" s="52">
        <f t="shared" si="139"/>
        <v>2.6112529732381894E-2</v>
      </c>
      <c r="AF42" s="52">
        <f t="shared" si="139"/>
        <v>2.328376792516728E-2</v>
      </c>
      <c r="AG42" s="52">
        <f t="shared" ref="AG42:AL42" si="140">AG46/AG7</f>
        <v>2.9365218079354351E-2</v>
      </c>
      <c r="AH42" s="52">
        <f t="shared" si="140"/>
        <v>2.2508206244159491E-2</v>
      </c>
      <c r="AI42" s="52">
        <f t="shared" si="140"/>
        <v>1.8960837848140105E-2</v>
      </c>
      <c r="AJ42" s="52">
        <f t="shared" si="140"/>
        <v>2.144441814051979E-2</v>
      </c>
      <c r="AK42" s="52">
        <f t="shared" si="140"/>
        <v>2.0296587261939787E-2</v>
      </c>
      <c r="AL42" s="52">
        <f t="shared" si="140"/>
        <v>2.1464477536498685E-2</v>
      </c>
      <c r="AM42" s="52">
        <f t="shared" ref="AM42:AR42" si="141">AM46/AM7</f>
        <v>1.8305676385543795E-2</v>
      </c>
      <c r="AN42" s="52">
        <f t="shared" si="141"/>
        <v>1.6346322334478414E-2</v>
      </c>
      <c r="AO42" s="52">
        <f t="shared" si="141"/>
        <v>1.797355392957949E-2</v>
      </c>
      <c r="AP42" s="52">
        <f t="shared" si="141"/>
        <v>1.7867076630876264E-2</v>
      </c>
      <c r="AQ42" s="52">
        <f t="shared" si="141"/>
        <v>4.8817850117573558E-2</v>
      </c>
      <c r="AR42" s="52">
        <f t="shared" si="141"/>
        <v>4.4045032470821317E-2</v>
      </c>
      <c r="AS42" s="52">
        <f t="shared" ref="AS42:AX42" si="142">AS46/AS7</f>
        <v>5.8061739266835485E-2</v>
      </c>
      <c r="AT42" s="52">
        <f t="shared" si="142"/>
        <v>5.4085807372442417E-2</v>
      </c>
      <c r="AU42" s="52">
        <f t="shared" si="142"/>
        <v>5.0703551259039747E-2</v>
      </c>
      <c r="AV42" s="52">
        <f t="shared" si="142"/>
        <v>4.8299159635285208E-2</v>
      </c>
      <c r="AW42" s="52">
        <f t="shared" si="142"/>
        <v>5.1061636650676326E-2</v>
      </c>
      <c r="AX42" s="52">
        <f t="shared" si="142"/>
        <v>5.3691099048853157E-2</v>
      </c>
      <c r="AY42" s="52">
        <f t="shared" ref="AY42:BD42" si="143">AY46/AY7</f>
        <v>4.8815072205997977E-2</v>
      </c>
      <c r="AZ42" s="52">
        <f t="shared" si="143"/>
        <v>4.5632788753230374E-2</v>
      </c>
      <c r="BA42" s="52">
        <f t="shared" si="143"/>
        <v>4.6468898161166582E-2</v>
      </c>
      <c r="BB42" s="52">
        <f t="shared" si="143"/>
        <v>4.5546392338090831E-2</v>
      </c>
      <c r="BC42" s="52">
        <f t="shared" si="143"/>
        <v>4.8221458838260511E-2</v>
      </c>
      <c r="BD42" s="52">
        <f t="shared" si="143"/>
        <v>4.5606889432175786E-2</v>
      </c>
      <c r="BE42" s="52"/>
      <c r="BF42" s="237">
        <f t="shared" ref="BF42:BK42" si="144">BF46/BF7</f>
        <v>2.768078793872485E-2</v>
      </c>
      <c r="BG42" s="52">
        <f t="shared" si="144"/>
        <v>2.28894736704995E-2</v>
      </c>
      <c r="BH42" s="52">
        <f t="shared" si="144"/>
        <v>2.0598648213710977E-2</v>
      </c>
      <c r="BI42" s="52">
        <f t="shared" si="144"/>
        <v>1.9989972208131521E-2</v>
      </c>
      <c r="BJ42" s="75">
        <f t="shared" si="144"/>
        <v>1.8960837848140105E-2</v>
      </c>
      <c r="BK42" s="52">
        <f t="shared" si="144"/>
        <v>5.3762798175440774E-2</v>
      </c>
      <c r="BM42" s="52"/>
      <c r="BO42" s="52"/>
      <c r="BP42" s="52"/>
      <c r="BT42" s="52"/>
      <c r="BU42" s="52"/>
      <c r="BZ42" s="52"/>
      <c r="CA42" s="52"/>
      <c r="CD42" s="52"/>
      <c r="CE42" s="52"/>
      <c r="CH42" s="52"/>
      <c r="CI42" s="52"/>
      <c r="CL42" s="52"/>
      <c r="CM42" s="52"/>
      <c r="CQ42" s="52"/>
    </row>
    <row r="43" spans="1:98" s="46" customFormat="1" ht="13.5" customHeight="1">
      <c r="C43" s="59"/>
      <c r="D43" s="59"/>
      <c r="E43" s="59"/>
      <c r="F43" s="59"/>
      <c r="G43" s="59"/>
      <c r="H43" s="59"/>
      <c r="I43" s="59"/>
      <c r="J43" s="59"/>
      <c r="K43" s="59"/>
      <c r="L43" s="59"/>
      <c r="M43" s="59"/>
      <c r="N43" s="59"/>
      <c r="O43" s="59"/>
      <c r="P43" s="59"/>
      <c r="Q43" s="59"/>
      <c r="U43" s="152"/>
      <c r="V43" s="59"/>
      <c r="W43" s="59"/>
      <c r="Z43" s="59"/>
      <c r="AA43" s="59"/>
      <c r="AB43" s="59"/>
      <c r="AC43" s="52"/>
      <c r="AD43" s="59"/>
      <c r="AE43" s="59"/>
      <c r="AF43" s="59"/>
      <c r="AG43" s="59"/>
      <c r="AH43" s="59"/>
      <c r="AI43" s="59"/>
      <c r="AJ43" s="59"/>
      <c r="AK43" s="59"/>
      <c r="AL43" s="59"/>
      <c r="AM43" s="59"/>
      <c r="AN43" s="59"/>
      <c r="AO43" s="59"/>
      <c r="AP43" s="59"/>
      <c r="AQ43" s="59"/>
      <c r="AR43" s="59"/>
      <c r="AS43" s="59"/>
      <c r="AT43" s="59"/>
      <c r="AU43" s="59"/>
      <c r="AV43" s="59"/>
      <c r="AW43" s="59"/>
      <c r="AX43" s="59"/>
      <c r="AY43" s="59"/>
      <c r="AZ43" s="59"/>
      <c r="BA43" s="59"/>
      <c r="BB43" s="59"/>
      <c r="BC43" s="59"/>
      <c r="BD43" s="59"/>
      <c r="BE43" s="52"/>
      <c r="BF43" s="237"/>
      <c r="BG43" s="52"/>
      <c r="BH43" s="52"/>
      <c r="BI43" s="52"/>
      <c r="BJ43" s="75"/>
      <c r="BK43" s="59"/>
      <c r="BM43" s="52"/>
      <c r="BO43" s="52"/>
      <c r="BP43" s="59"/>
      <c r="BT43" s="52"/>
      <c r="BU43" s="52"/>
      <c r="BZ43" s="52"/>
      <c r="CA43" s="52"/>
      <c r="CD43" s="52"/>
      <c r="CE43" s="52"/>
      <c r="CH43" s="52"/>
      <c r="CI43" s="52"/>
      <c r="CL43" s="52"/>
      <c r="CM43" s="52"/>
      <c r="CQ43" s="52"/>
    </row>
    <row r="44" spans="1:98" ht="13.5" customHeight="1">
      <c r="A44" s="26"/>
      <c r="B44" s="16" t="s">
        <v>81</v>
      </c>
      <c r="C44" s="44">
        <v>41975</v>
      </c>
      <c r="D44" s="44">
        <v>42341</v>
      </c>
      <c r="E44" s="44">
        <v>42708</v>
      </c>
      <c r="F44" s="44">
        <v>43073</v>
      </c>
      <c r="G44" s="44">
        <f t="shared" ref="G44:O44" si="145">G3</f>
        <v>43073</v>
      </c>
      <c r="H44" s="44">
        <f t="shared" si="145"/>
        <v>43438</v>
      </c>
      <c r="I44" s="44">
        <f t="shared" si="145"/>
        <v>43803</v>
      </c>
      <c r="J44" s="44">
        <f t="shared" si="145"/>
        <v>44169</v>
      </c>
      <c r="K44" s="44">
        <f t="shared" si="145"/>
        <v>44534</v>
      </c>
      <c r="L44" s="44">
        <f t="shared" si="145"/>
        <v>44899</v>
      </c>
      <c r="M44" s="44">
        <f t="shared" si="145"/>
        <v>45264</v>
      </c>
      <c r="N44" s="44">
        <f>N3</f>
        <v>45630</v>
      </c>
      <c r="O44" s="120">
        <f t="shared" si="145"/>
        <v>45909</v>
      </c>
      <c r="P44" s="205"/>
      <c r="Q44" s="44">
        <v>42437</v>
      </c>
      <c r="R44" s="44">
        <v>42527</v>
      </c>
      <c r="S44" s="44">
        <v>42622</v>
      </c>
      <c r="T44" s="44">
        <v>42714</v>
      </c>
      <c r="U44" s="147"/>
      <c r="V44" s="44">
        <v>42801</v>
      </c>
      <c r="W44" s="44">
        <v>42892</v>
      </c>
      <c r="X44" s="44">
        <v>42987</v>
      </c>
      <c r="Y44" s="44">
        <v>43079</v>
      </c>
      <c r="Z44" s="44">
        <v>43166</v>
      </c>
      <c r="AA44" s="44">
        <f>AA3</f>
        <v>43281</v>
      </c>
      <c r="AB44" s="44">
        <f>AB3</f>
        <v>43352</v>
      </c>
      <c r="AC44" s="44">
        <f>AC3</f>
        <v>43444</v>
      </c>
      <c r="AD44" s="44">
        <v>43531</v>
      </c>
      <c r="AE44" s="44">
        <f t="shared" ref="AE44:AJ44" si="146">AE3</f>
        <v>43646</v>
      </c>
      <c r="AF44" s="44">
        <f t="shared" si="146"/>
        <v>43717</v>
      </c>
      <c r="AG44" s="44">
        <f t="shared" si="146"/>
        <v>43808</v>
      </c>
      <c r="AH44" s="44">
        <f t="shared" si="146"/>
        <v>43921</v>
      </c>
      <c r="AI44" s="44">
        <f t="shared" si="146"/>
        <v>44012</v>
      </c>
      <c r="AJ44" s="44">
        <f t="shared" si="146"/>
        <v>44083</v>
      </c>
      <c r="AK44" s="44">
        <f t="shared" ref="AK44:AP44" si="147">AK3</f>
        <v>44174</v>
      </c>
      <c r="AL44" s="44">
        <f t="shared" si="147"/>
        <v>44286</v>
      </c>
      <c r="AM44" s="44">
        <f t="shared" si="147"/>
        <v>44377</v>
      </c>
      <c r="AN44" s="44">
        <f t="shared" si="147"/>
        <v>44448</v>
      </c>
      <c r="AO44" s="44">
        <f t="shared" si="147"/>
        <v>44539</v>
      </c>
      <c r="AP44" s="44">
        <f t="shared" si="147"/>
        <v>44651</v>
      </c>
      <c r="AQ44" s="44">
        <f t="shared" ref="AQ44:AV44" si="148">AQ3</f>
        <v>44742</v>
      </c>
      <c r="AR44" s="44">
        <f t="shared" si="148"/>
        <v>44813</v>
      </c>
      <c r="AS44" s="44">
        <f t="shared" si="148"/>
        <v>44904</v>
      </c>
      <c r="AT44" s="44">
        <f t="shared" si="148"/>
        <v>45016</v>
      </c>
      <c r="AU44" s="44">
        <f t="shared" si="148"/>
        <v>45107</v>
      </c>
      <c r="AV44" s="44">
        <f t="shared" si="148"/>
        <v>45178</v>
      </c>
      <c r="AW44" s="44">
        <f t="shared" ref="AW44:BB44" si="149">AW3</f>
        <v>45269</v>
      </c>
      <c r="AX44" s="44">
        <f t="shared" si="149"/>
        <v>45382</v>
      </c>
      <c r="AY44" s="44">
        <f t="shared" si="149"/>
        <v>45473</v>
      </c>
      <c r="AZ44" s="44">
        <f t="shared" si="149"/>
        <v>45544</v>
      </c>
      <c r="BA44" s="44">
        <f t="shared" si="149"/>
        <v>45635</v>
      </c>
      <c r="BB44" s="44">
        <f t="shared" si="149"/>
        <v>45747</v>
      </c>
      <c r="BC44" s="44">
        <f>BC3</f>
        <v>45838</v>
      </c>
      <c r="BD44" s="120">
        <f>BD3</f>
        <v>45909</v>
      </c>
      <c r="BE44" s="394"/>
      <c r="BF44" s="238">
        <f>BF3</f>
        <v>42892</v>
      </c>
      <c r="BG44" s="44">
        <f>BG3</f>
        <v>42987</v>
      </c>
      <c r="BH44" s="44">
        <f>BH3</f>
        <v>43078</v>
      </c>
      <c r="BI44" s="44">
        <v>43531</v>
      </c>
      <c r="BJ44" s="223">
        <f>BJ3</f>
        <v>44012</v>
      </c>
      <c r="BK44" s="44">
        <f>BK3</f>
        <v>45016</v>
      </c>
      <c r="BM44" s="44">
        <f t="shared" ref="BM44:BR44" si="150">BM3</f>
        <v>42892</v>
      </c>
      <c r="BN44" s="44">
        <f t="shared" si="150"/>
        <v>43162</v>
      </c>
      <c r="BO44" s="44">
        <f t="shared" si="150"/>
        <v>43257</v>
      </c>
      <c r="BP44" s="44">
        <f t="shared" si="150"/>
        <v>43350</v>
      </c>
      <c r="BQ44" s="44">
        <f t="shared" si="150"/>
        <v>43078</v>
      </c>
      <c r="BR44" s="44">
        <f t="shared" si="150"/>
        <v>43443</v>
      </c>
      <c r="BS44" s="44">
        <f t="shared" ref="BS44:BX44" si="151">BS3</f>
        <v>43555</v>
      </c>
      <c r="BT44" s="44">
        <f t="shared" si="151"/>
        <v>43646</v>
      </c>
      <c r="BU44" s="44">
        <f t="shared" si="151"/>
        <v>43738</v>
      </c>
      <c r="BV44" s="44">
        <f t="shared" si="151"/>
        <v>43443</v>
      </c>
      <c r="BW44" s="44">
        <f t="shared" si="151"/>
        <v>43808</v>
      </c>
      <c r="BX44" s="44">
        <f t="shared" si="151"/>
        <v>43921</v>
      </c>
      <c r="BY44" s="44">
        <f t="shared" ref="BY44:CD44" si="152">BY3</f>
        <v>44012</v>
      </c>
      <c r="BZ44" s="44">
        <f t="shared" si="152"/>
        <v>44104</v>
      </c>
      <c r="CA44" s="44">
        <f t="shared" si="152"/>
        <v>44195</v>
      </c>
      <c r="CB44" s="44">
        <f t="shared" si="152"/>
        <v>44286</v>
      </c>
      <c r="CC44" s="44">
        <f t="shared" si="152"/>
        <v>44377</v>
      </c>
      <c r="CD44" s="44">
        <f t="shared" si="152"/>
        <v>44469</v>
      </c>
      <c r="CE44" s="44">
        <f t="shared" ref="CE44:CJ44" si="153">CE3</f>
        <v>44560</v>
      </c>
      <c r="CF44" s="44">
        <f t="shared" si="153"/>
        <v>44651</v>
      </c>
      <c r="CG44" s="44">
        <f t="shared" si="153"/>
        <v>44742</v>
      </c>
      <c r="CH44" s="44">
        <f t="shared" si="153"/>
        <v>44834</v>
      </c>
      <c r="CI44" s="44">
        <f t="shared" si="153"/>
        <v>44925</v>
      </c>
      <c r="CJ44" s="44">
        <f t="shared" si="153"/>
        <v>45016</v>
      </c>
      <c r="CK44" s="44">
        <f t="shared" ref="CK44:CP44" si="154">CK3</f>
        <v>45107</v>
      </c>
      <c r="CL44" s="44">
        <f t="shared" si="154"/>
        <v>45199</v>
      </c>
      <c r="CM44" s="44">
        <f t="shared" si="154"/>
        <v>45291</v>
      </c>
      <c r="CN44" s="44">
        <f t="shared" si="154"/>
        <v>45382</v>
      </c>
      <c r="CO44" s="44">
        <f t="shared" si="154"/>
        <v>45473</v>
      </c>
      <c r="CP44" s="44">
        <f t="shared" si="154"/>
        <v>45565</v>
      </c>
      <c r="CQ44" s="44">
        <f>CQ3</f>
        <v>45657</v>
      </c>
      <c r="CR44" s="44">
        <f>CR3</f>
        <v>45747</v>
      </c>
      <c r="CS44" s="44">
        <f>CS3</f>
        <v>45838</v>
      </c>
      <c r="CT44" s="44">
        <f>CT3</f>
        <v>45930</v>
      </c>
    </row>
    <row r="45" spans="1:98" s="5" customFormat="1" ht="13.5" customHeight="1">
      <c r="B45" s="15" t="s">
        <v>82</v>
      </c>
      <c r="C45" s="8">
        <f t="shared" ref="C45:H45" si="155">C16</f>
        <v>941.43100000000049</v>
      </c>
      <c r="D45" s="8">
        <f t="shared" si="155"/>
        <v>1034.2029999999995</v>
      </c>
      <c r="E45" s="8">
        <f t="shared" si="155"/>
        <v>1037.4309999999998</v>
      </c>
      <c r="F45" s="8">
        <f t="shared" si="155"/>
        <v>1112.3529999999994</v>
      </c>
      <c r="G45" s="8">
        <f t="shared" si="155"/>
        <v>424.39600000000041</v>
      </c>
      <c r="H45" s="8">
        <f t="shared" si="155"/>
        <v>422.08100000000013</v>
      </c>
      <c r="I45" s="8">
        <f t="shared" ref="I45:O45" si="156">I16</f>
        <v>3412.3530000000014</v>
      </c>
      <c r="J45" s="8">
        <f t="shared" si="156"/>
        <v>7853.8620000000055</v>
      </c>
      <c r="K45" s="8">
        <f t="shared" si="156"/>
        <v>12611.142999999996</v>
      </c>
      <c r="L45" s="8">
        <f t="shared" si="156"/>
        <v>9166.5580000000027</v>
      </c>
      <c r="M45" s="8">
        <f t="shared" si="156"/>
        <v>1061.1870000000163</v>
      </c>
      <c r="N45" s="8">
        <f>N16</f>
        <v>5937.2709999999988</v>
      </c>
      <c r="O45" s="8">
        <f t="shared" si="156"/>
        <v>5487.3850000000202</v>
      </c>
      <c r="P45" s="8"/>
      <c r="Q45" s="8">
        <f t="shared" ref="Q45:Y45" si="157">Q16</f>
        <v>299.13700000000034</v>
      </c>
      <c r="R45" s="8">
        <f t="shared" si="157"/>
        <v>274.55499999999989</v>
      </c>
      <c r="S45" s="8">
        <f t="shared" si="157"/>
        <v>215.89400000000018</v>
      </c>
      <c r="T45" s="8">
        <f t="shared" si="157"/>
        <v>247.84499999999838</v>
      </c>
      <c r="U45" s="155">
        <f>U16</f>
        <v>187.51299999999998</v>
      </c>
      <c r="V45" s="8">
        <f t="shared" si="157"/>
        <v>33.680999999999983</v>
      </c>
      <c r="W45" s="8">
        <f t="shared" si="157"/>
        <v>204.26799999999997</v>
      </c>
      <c r="X45" s="8">
        <f t="shared" si="157"/>
        <v>346.5800000000005</v>
      </c>
      <c r="Y45" s="8">
        <f t="shared" si="157"/>
        <v>373.99199999999792</v>
      </c>
      <c r="Z45" s="8">
        <f t="shared" ref="Z45:AE45" si="158">Z16</f>
        <v>86.690999999999974</v>
      </c>
      <c r="AA45" s="8">
        <f t="shared" si="158"/>
        <v>-283.84199999999987</v>
      </c>
      <c r="AB45" s="8">
        <f t="shared" si="158"/>
        <v>881.80800000000067</v>
      </c>
      <c r="AC45" s="8">
        <f t="shared" si="158"/>
        <v>-262.57600000000139</v>
      </c>
      <c r="AD45" s="8">
        <f t="shared" si="158"/>
        <v>362.26400000000035</v>
      </c>
      <c r="AE45" s="8">
        <f t="shared" si="158"/>
        <v>750.65799999999933</v>
      </c>
      <c r="AF45" s="8">
        <f t="shared" ref="AF45:AK45" si="159">AF16</f>
        <v>1173.1989999999996</v>
      </c>
      <c r="AG45" s="8">
        <f t="shared" si="159"/>
        <v>1126.2319999999966</v>
      </c>
      <c r="AH45" s="8">
        <f t="shared" si="159"/>
        <v>864.43099999999993</v>
      </c>
      <c r="AI45" s="8">
        <f t="shared" si="159"/>
        <v>3580.4919999999984</v>
      </c>
      <c r="AJ45" s="8">
        <f t="shared" si="159"/>
        <v>1784.5490000000007</v>
      </c>
      <c r="AK45" s="8">
        <f t="shared" si="159"/>
        <v>1624.3900000000012</v>
      </c>
      <c r="AL45" s="8">
        <f t="shared" ref="AL45:AQ45" si="160">AL16</f>
        <v>1241.4970000000012</v>
      </c>
      <c r="AM45" s="8">
        <f t="shared" si="160"/>
        <v>3450.7079999999987</v>
      </c>
      <c r="AN45" s="8">
        <f t="shared" si="160"/>
        <v>4269.9030000000012</v>
      </c>
      <c r="AO45" s="8">
        <f t="shared" si="160"/>
        <v>3649.0349999999899</v>
      </c>
      <c r="AP45" s="8">
        <f t="shared" si="160"/>
        <v>2310.9240000000032</v>
      </c>
      <c r="AQ45" s="8">
        <f t="shared" si="160"/>
        <v>5471.3340000000007</v>
      </c>
      <c r="AR45" s="8">
        <f t="shared" ref="AR45:AW45" si="161">AR16</f>
        <v>1887.4889999999982</v>
      </c>
      <c r="AS45" s="8">
        <f t="shared" si="161"/>
        <v>-503.18900000000667</v>
      </c>
      <c r="AT45" s="8">
        <f t="shared" si="161"/>
        <v>-266.09900000000107</v>
      </c>
      <c r="AU45" s="8">
        <f t="shared" si="161"/>
        <v>-256.71399999999949</v>
      </c>
      <c r="AV45" s="8">
        <f>AV16</f>
        <v>695.64699999999993</v>
      </c>
      <c r="AW45" s="8">
        <f t="shared" si="161"/>
        <v>888.35300000001598</v>
      </c>
      <c r="AX45" s="8">
        <f t="shared" ref="AX45:BC45" si="162">AX16</f>
        <v>876.67000000000144</v>
      </c>
      <c r="AY45" s="8">
        <f t="shared" si="162"/>
        <v>1531.2769999999964</v>
      </c>
      <c r="AZ45" s="8">
        <f t="shared" si="162"/>
        <v>1997.857</v>
      </c>
      <c r="BA45" s="8">
        <f t="shared" si="162"/>
        <v>1531.4670000000106</v>
      </c>
      <c r="BB45" s="8">
        <f t="shared" si="162"/>
        <v>1273.6439999999975</v>
      </c>
      <c r="BC45" s="8">
        <f t="shared" si="162"/>
        <v>1107.3270000000043</v>
      </c>
      <c r="BD45" s="8">
        <f>BD16</f>
        <v>1574.9469999999997</v>
      </c>
      <c r="BE45" s="8"/>
      <c r="BF45" s="244">
        <f t="shared" ref="BF45:BK45" si="163">BF16</f>
        <v>25.407000000000266</v>
      </c>
      <c r="BG45" s="8">
        <f t="shared" si="163"/>
        <v>154.8180000000003</v>
      </c>
      <c r="BH45" s="8">
        <f t="shared" si="163"/>
        <v>221</v>
      </c>
      <c r="BI45" s="8">
        <f t="shared" si="163"/>
        <v>92.430999999999926</v>
      </c>
      <c r="BJ45" s="89">
        <f t="shared" si="163"/>
        <v>3580.4919999999984</v>
      </c>
      <c r="BK45" s="8">
        <f t="shared" si="163"/>
        <v>-251.49499999999807</v>
      </c>
      <c r="BM45" s="194"/>
      <c r="BN45" s="188"/>
      <c r="BO45" s="194"/>
      <c r="BP45" s="194"/>
      <c r="BQ45" s="188"/>
      <c r="BR45" s="188"/>
      <c r="BS45" s="188"/>
      <c r="BT45" s="194"/>
      <c r="BU45" s="194"/>
      <c r="BV45" s="188"/>
      <c r="BW45" s="188"/>
      <c r="BX45" s="188"/>
      <c r="BY45" s="188"/>
      <c r="BZ45" s="194"/>
      <c r="CA45" s="194"/>
      <c r="CB45" s="188"/>
      <c r="CC45" s="188"/>
      <c r="CD45" s="194"/>
      <c r="CE45" s="194"/>
      <c r="CF45" s="188"/>
      <c r="CG45" s="188"/>
      <c r="CH45" s="194"/>
      <c r="CI45" s="194"/>
      <c r="CJ45" s="188"/>
      <c r="CK45" s="188"/>
      <c r="CL45" s="194"/>
      <c r="CM45" s="194"/>
      <c r="CN45" s="188"/>
      <c r="CO45" s="188"/>
      <c r="CP45" s="188"/>
      <c r="CQ45" s="194"/>
      <c r="CR45" s="188"/>
      <c r="CS45" s="188"/>
      <c r="CT45" s="188"/>
    </row>
    <row r="46" spans="1:98" ht="13.5" customHeight="1">
      <c r="B46" s="7" t="s">
        <v>83</v>
      </c>
      <c r="C46" s="6">
        <f t="shared" ref="C46:Y46" si="164">C55+C56</f>
        <v>329.31900000000002</v>
      </c>
      <c r="D46" s="6">
        <f t="shared" si="164"/>
        <v>434.38500000000005</v>
      </c>
      <c r="E46" s="6">
        <f t="shared" si="164"/>
        <v>464.16300000000001</v>
      </c>
      <c r="F46" s="6">
        <f t="shared" si="164"/>
        <v>453.70500000000004</v>
      </c>
      <c r="G46" s="6">
        <f t="shared" ref="G46:M46" si="165">G55+G56</f>
        <v>243.19799999999998</v>
      </c>
      <c r="H46" s="6">
        <f t="shared" si="165"/>
        <v>653.16499999999996</v>
      </c>
      <c r="I46" s="6">
        <f t="shared" si="165"/>
        <v>1197.5150000000001</v>
      </c>
      <c r="J46" s="6">
        <f t="shared" si="165"/>
        <v>1393.607</v>
      </c>
      <c r="K46" s="6">
        <f t="shared" si="165"/>
        <v>1563.2719999999999</v>
      </c>
      <c r="L46" s="6">
        <f t="shared" si="165"/>
        <v>5572.1210000000001</v>
      </c>
      <c r="M46" s="6">
        <f t="shared" si="165"/>
        <v>6740.232</v>
      </c>
      <c r="N46" s="6">
        <f>N55+N56</f>
        <v>7197.5039999999999</v>
      </c>
      <c r="O46" s="6">
        <f>O55+O56</f>
        <v>7524.0149999999994</v>
      </c>
      <c r="P46" s="6"/>
      <c r="Q46" s="6">
        <f t="shared" si="164"/>
        <v>122.97800000000001</v>
      </c>
      <c r="R46" s="6">
        <f t="shared" si="164"/>
        <v>116.23599999999999</v>
      </c>
      <c r="S46" s="6">
        <f t="shared" si="164"/>
        <v>112.63000000000004</v>
      </c>
      <c r="T46" s="6">
        <f t="shared" si="164"/>
        <v>112.31899999999999</v>
      </c>
      <c r="U46" s="154">
        <f>U55+U56</f>
        <v>110.205</v>
      </c>
      <c r="V46" s="6">
        <f t="shared" si="164"/>
        <v>58.504999999999995</v>
      </c>
      <c r="W46" s="6">
        <f t="shared" si="164"/>
        <v>113.90600000000002</v>
      </c>
      <c r="X46" s="6">
        <f t="shared" si="164"/>
        <v>114.25799999999997</v>
      </c>
      <c r="Y46" s="6">
        <f t="shared" si="164"/>
        <v>115.336</v>
      </c>
      <c r="Z46" s="6">
        <f t="shared" ref="Z46:AE46" si="166">Z55+Z56</f>
        <v>61.157999999999994</v>
      </c>
      <c r="AA46" s="6">
        <f t="shared" si="166"/>
        <v>99.426000000000002</v>
      </c>
      <c r="AB46" s="6">
        <f t="shared" si="166"/>
        <v>172.94300000000004</v>
      </c>
      <c r="AC46" s="6">
        <f t="shared" si="166"/>
        <v>319.63800000000003</v>
      </c>
      <c r="AD46" s="6">
        <f t="shared" si="166"/>
        <v>286.63400000000001</v>
      </c>
      <c r="AE46" s="6">
        <f t="shared" si="166"/>
        <v>306.01599999999996</v>
      </c>
      <c r="AF46" s="6">
        <f t="shared" ref="AF46:AK46" si="167">AF55+AF56</f>
        <v>296.73699999999997</v>
      </c>
      <c r="AG46" s="6">
        <f t="shared" si="167"/>
        <v>417.51100000000019</v>
      </c>
      <c r="AH46" s="6">
        <f t="shared" si="167"/>
        <v>303.89699999999999</v>
      </c>
      <c r="AI46" s="6">
        <f t="shared" si="167"/>
        <v>357.99299999999999</v>
      </c>
      <c r="AJ46" s="6">
        <f t="shared" si="167"/>
        <v>360.97700000000003</v>
      </c>
      <c r="AK46" s="6">
        <f t="shared" si="167"/>
        <v>370.73999999999995</v>
      </c>
      <c r="AL46" s="6">
        <f t="shared" ref="AL46:AQ46" si="168">AL55+AL56</f>
        <v>369.95800000000003</v>
      </c>
      <c r="AM46" s="6">
        <f t="shared" si="168"/>
        <v>376.61499999999995</v>
      </c>
      <c r="AN46" s="6">
        <f t="shared" si="168"/>
        <v>386.39099999999991</v>
      </c>
      <c r="AO46" s="6">
        <f t="shared" si="168"/>
        <v>430.30800000000005</v>
      </c>
      <c r="AP46" s="6">
        <f t="shared" si="168"/>
        <v>399.16500000000002</v>
      </c>
      <c r="AQ46" s="6">
        <f t="shared" si="168"/>
        <v>1683.5149999999999</v>
      </c>
      <c r="AR46" s="6">
        <f t="shared" ref="AR46:AW46" si="169">AR55+AR56</f>
        <v>1540.9810000000002</v>
      </c>
      <c r="AS46" s="6">
        <f t="shared" si="169"/>
        <v>1948.46</v>
      </c>
      <c r="AT46" s="6">
        <f t="shared" si="169"/>
        <v>1717.6289999999999</v>
      </c>
      <c r="AU46" s="6">
        <f t="shared" si="169"/>
        <v>1590.3720000000003</v>
      </c>
      <c r="AV46" s="6">
        <f>AV55+AV56</f>
        <v>1675.7420000000002</v>
      </c>
      <c r="AW46" s="6">
        <f t="shared" si="169"/>
        <v>1756.4889999999996</v>
      </c>
      <c r="AX46" s="6">
        <f t="shared" ref="AX46:BC46" si="170">AX55+AX56</f>
        <v>1696.1510000000001</v>
      </c>
      <c r="AY46" s="6">
        <f t="shared" si="170"/>
        <v>1760.249</v>
      </c>
      <c r="AZ46" s="6">
        <f t="shared" si="170"/>
        <v>1782.4280000000006</v>
      </c>
      <c r="BA46" s="6">
        <f t="shared" si="170"/>
        <v>1958.6759999999995</v>
      </c>
      <c r="BB46" s="6">
        <f t="shared" si="170"/>
        <v>1794.7560000000001</v>
      </c>
      <c r="BC46" s="6">
        <f t="shared" si="170"/>
        <v>1865.787</v>
      </c>
      <c r="BD46" s="6">
        <f>BD55+BD56</f>
        <v>1904.7959999999996</v>
      </c>
      <c r="BE46" s="6"/>
      <c r="BF46" s="249">
        <f t="shared" ref="BF46:BK46" si="171">BF55+BF56</f>
        <v>60.346000000000011</v>
      </c>
      <c r="BG46" s="6">
        <f t="shared" si="171"/>
        <v>61.504999999999995</v>
      </c>
      <c r="BH46" s="6">
        <f t="shared" si="171"/>
        <v>64</v>
      </c>
      <c r="BI46" s="6">
        <f t="shared" si="171"/>
        <v>61.238999999999997</v>
      </c>
      <c r="BJ46" s="76">
        <f t="shared" si="171"/>
        <v>357.99299999999999</v>
      </c>
      <c r="BK46" s="6">
        <f t="shared" si="171"/>
        <v>1649.682</v>
      </c>
      <c r="BM46" s="193"/>
      <c r="BN46" s="192"/>
      <c r="BO46" s="193"/>
      <c r="BP46" s="193"/>
      <c r="BQ46" s="192"/>
      <c r="BR46" s="192"/>
      <c r="BS46" s="192"/>
      <c r="BT46" s="193"/>
      <c r="BU46" s="193"/>
      <c r="BV46" s="192">
        <v>829</v>
      </c>
      <c r="BW46" s="192">
        <v>1203</v>
      </c>
      <c r="BX46" s="192"/>
      <c r="BY46" s="192"/>
      <c r="BZ46" s="193"/>
      <c r="CA46" s="193"/>
      <c r="CB46" s="192"/>
      <c r="CC46" s="192"/>
      <c r="CD46" s="193"/>
      <c r="CE46" s="193"/>
      <c r="CF46" s="192"/>
      <c r="CG46" s="192"/>
      <c r="CH46" s="193"/>
      <c r="CI46" s="193"/>
      <c r="CJ46" s="192"/>
      <c r="CK46" s="192"/>
      <c r="CL46" s="193"/>
      <c r="CM46" s="193"/>
      <c r="CN46" s="192"/>
      <c r="CO46" s="192"/>
      <c r="CP46" s="192"/>
      <c r="CQ46" s="193"/>
      <c r="CR46" s="192"/>
      <c r="CS46" s="192"/>
      <c r="CT46" s="192"/>
    </row>
    <row r="47" spans="1:98" s="5" customFormat="1" ht="13.5" customHeight="1">
      <c r="B47" s="5" t="s">
        <v>81</v>
      </c>
      <c r="C47" s="8">
        <f>SUM(C45+C46)</f>
        <v>1270.7500000000005</v>
      </c>
      <c r="D47" s="8">
        <f>SUM(D45+D46)</f>
        <v>1468.5879999999995</v>
      </c>
      <c r="E47" s="8">
        <f>SUM(E45+E46)</f>
        <v>1501.5939999999998</v>
      </c>
      <c r="F47" s="8">
        <f t="shared" ref="F47:K47" si="172">SUM(F45+F46)</f>
        <v>1566.0579999999995</v>
      </c>
      <c r="G47" s="8">
        <f t="shared" si="172"/>
        <v>667.59400000000039</v>
      </c>
      <c r="H47" s="8">
        <f t="shared" si="172"/>
        <v>1075.2460000000001</v>
      </c>
      <c r="I47" s="8">
        <f t="shared" si="172"/>
        <v>4609.8680000000013</v>
      </c>
      <c r="J47" s="8">
        <f t="shared" si="172"/>
        <v>9247.4690000000046</v>
      </c>
      <c r="K47" s="8">
        <f t="shared" si="172"/>
        <v>14174.414999999997</v>
      </c>
      <c r="L47" s="8">
        <f>SUM(L45+L46)</f>
        <v>14738.679000000004</v>
      </c>
      <c r="M47" s="8">
        <f>SUM(M45+M46)</f>
        <v>7801.4190000000162</v>
      </c>
      <c r="N47" s="8">
        <f>SUM(N45+N46)</f>
        <v>13134.774999999998</v>
      </c>
      <c r="O47" s="8">
        <f>SUM(O45+O46)</f>
        <v>13011.40000000002</v>
      </c>
      <c r="P47" s="8"/>
      <c r="Q47" s="8">
        <f t="shared" ref="Q47:X47" si="173">SUM(Q45+Q46)</f>
        <v>422.11500000000035</v>
      </c>
      <c r="R47" s="8">
        <f t="shared" si="173"/>
        <v>390.79099999999988</v>
      </c>
      <c r="S47" s="8">
        <f t="shared" si="173"/>
        <v>328.52400000000023</v>
      </c>
      <c r="T47" s="8">
        <f t="shared" si="173"/>
        <v>360.1639999999984</v>
      </c>
      <c r="U47" s="155">
        <f t="shared" si="173"/>
        <v>297.71799999999996</v>
      </c>
      <c r="V47" s="8">
        <f t="shared" si="173"/>
        <v>92.185999999999979</v>
      </c>
      <c r="W47" s="8">
        <f t="shared" si="173"/>
        <v>318.17399999999998</v>
      </c>
      <c r="X47" s="8">
        <f t="shared" si="173"/>
        <v>460.83800000000048</v>
      </c>
      <c r="Y47" s="8">
        <f t="shared" ref="Y47:AD47" si="174">SUM(Y45+Y46)</f>
        <v>489.32799999999793</v>
      </c>
      <c r="Z47" s="8">
        <f t="shared" si="174"/>
        <v>147.84899999999996</v>
      </c>
      <c r="AA47" s="8">
        <f t="shared" si="174"/>
        <v>-184.41599999999988</v>
      </c>
      <c r="AB47" s="8">
        <f t="shared" si="174"/>
        <v>1054.7510000000007</v>
      </c>
      <c r="AC47" s="8">
        <f t="shared" si="174"/>
        <v>57.061999999998648</v>
      </c>
      <c r="AD47" s="8">
        <f t="shared" si="174"/>
        <v>648.89800000000037</v>
      </c>
      <c r="AE47" s="8">
        <f t="shared" ref="AE47:AJ47" si="175">SUM(AE45+AE46)</f>
        <v>1056.6739999999993</v>
      </c>
      <c r="AF47" s="8">
        <f t="shared" si="175"/>
        <v>1469.9359999999997</v>
      </c>
      <c r="AG47" s="8">
        <f t="shared" si="175"/>
        <v>1543.7429999999968</v>
      </c>
      <c r="AH47" s="8">
        <f t="shared" si="175"/>
        <v>1168.328</v>
      </c>
      <c r="AI47" s="8">
        <f t="shared" si="175"/>
        <v>3938.4849999999983</v>
      </c>
      <c r="AJ47" s="8">
        <f t="shared" si="175"/>
        <v>2145.5260000000007</v>
      </c>
      <c r="AK47" s="8">
        <f t="shared" ref="AK47:AP47" si="176">SUM(AK45+AK46)</f>
        <v>1995.1300000000012</v>
      </c>
      <c r="AL47" s="8">
        <f t="shared" si="176"/>
        <v>1611.4550000000013</v>
      </c>
      <c r="AM47" s="8">
        <f t="shared" si="176"/>
        <v>3827.3229999999985</v>
      </c>
      <c r="AN47" s="8">
        <f t="shared" si="176"/>
        <v>4656.2940000000008</v>
      </c>
      <c r="AO47" s="8">
        <f t="shared" si="176"/>
        <v>4079.3429999999898</v>
      </c>
      <c r="AP47" s="8">
        <f t="shared" si="176"/>
        <v>2710.0890000000031</v>
      </c>
      <c r="AQ47" s="8">
        <f t="shared" ref="AQ47:AZ47" si="177">SUM(AQ45+AQ46)</f>
        <v>7154.8490000000002</v>
      </c>
      <c r="AR47" s="8">
        <f t="shared" si="177"/>
        <v>3428.4699999999984</v>
      </c>
      <c r="AS47" s="8">
        <f t="shared" si="177"/>
        <v>1445.2709999999934</v>
      </c>
      <c r="AT47" s="8">
        <f t="shared" si="177"/>
        <v>1451.5299999999988</v>
      </c>
      <c r="AU47" s="8">
        <f t="shared" si="177"/>
        <v>1333.6580000000008</v>
      </c>
      <c r="AV47" s="8">
        <f t="shared" si="177"/>
        <v>2371.3890000000001</v>
      </c>
      <c r="AW47" s="8">
        <f t="shared" si="177"/>
        <v>2644.8420000000156</v>
      </c>
      <c r="AX47" s="8">
        <f t="shared" si="177"/>
        <v>2572.8210000000017</v>
      </c>
      <c r="AY47" s="8">
        <f t="shared" si="177"/>
        <v>3291.5259999999962</v>
      </c>
      <c r="AZ47" s="8">
        <f t="shared" si="177"/>
        <v>3780.2850000000008</v>
      </c>
      <c r="BA47" s="8">
        <f>SUM(BA45+BA46)</f>
        <v>3490.14300000001</v>
      </c>
      <c r="BB47" s="8">
        <f>SUM(BB45+BB46)</f>
        <v>3068.3999999999978</v>
      </c>
      <c r="BC47" s="8">
        <f>SUM(BC45+BC46)</f>
        <v>2973.1140000000041</v>
      </c>
      <c r="BD47" s="8">
        <f>SUM(BD45+BD46)</f>
        <v>3479.7429999999995</v>
      </c>
      <c r="BE47" s="8"/>
      <c r="BF47" s="244">
        <f t="shared" ref="BF47:BK47" si="178">SUM(BF45+BF46)</f>
        <v>85.75300000000027</v>
      </c>
      <c r="BG47" s="8">
        <f t="shared" si="178"/>
        <v>216.32300000000029</v>
      </c>
      <c r="BH47" s="8">
        <f t="shared" si="178"/>
        <v>285</v>
      </c>
      <c r="BI47" s="8">
        <f t="shared" si="178"/>
        <v>153.66999999999993</v>
      </c>
      <c r="BJ47" s="89">
        <f t="shared" si="178"/>
        <v>3938.4849999999983</v>
      </c>
      <c r="BK47" s="8">
        <f t="shared" si="178"/>
        <v>1398.1870000000019</v>
      </c>
      <c r="BM47" s="194"/>
      <c r="BN47" s="188"/>
      <c r="BO47" s="194"/>
      <c r="BP47" s="194"/>
      <c r="BQ47" s="188"/>
      <c r="BR47" s="188"/>
      <c r="BS47" s="188"/>
      <c r="BT47" s="194"/>
      <c r="BU47" s="194"/>
      <c r="BV47" s="188"/>
      <c r="BW47" s="188"/>
      <c r="BX47" s="188"/>
      <c r="BY47" s="188"/>
      <c r="BZ47" s="194"/>
      <c r="CA47" s="194"/>
      <c r="CB47" s="188"/>
      <c r="CC47" s="188"/>
      <c r="CD47" s="194"/>
      <c r="CE47" s="194"/>
      <c r="CF47" s="188"/>
      <c r="CG47" s="188"/>
      <c r="CH47" s="194"/>
      <c r="CI47" s="194"/>
      <c r="CJ47" s="188"/>
      <c r="CK47" s="188"/>
      <c r="CL47" s="194"/>
      <c r="CM47" s="194"/>
      <c r="CN47" s="188"/>
      <c r="CO47" s="188"/>
      <c r="CP47" s="188"/>
      <c r="CQ47" s="194"/>
      <c r="CR47" s="188"/>
      <c r="CS47" s="188"/>
      <c r="CT47" s="188"/>
    </row>
    <row r="48" spans="1:98" s="46" customFormat="1" ht="13.5" customHeight="1">
      <c r="B48" s="19" t="s">
        <v>84</v>
      </c>
      <c r="C48" s="86"/>
      <c r="D48" s="20">
        <f>+D47/C47-1</f>
        <v>0.15568601219752032</v>
      </c>
      <c r="E48" s="20">
        <f>+E47/D47-1</f>
        <v>2.2474649118745527E-2</v>
      </c>
      <c r="F48" s="20">
        <f>+F47/E47-1</f>
        <v>4.2930379316912459E-2</v>
      </c>
      <c r="G48" s="20"/>
      <c r="H48" s="20">
        <f t="shared" ref="H48:N48" si="179">+H47/G47-1</f>
        <v>0.61062861559570547</v>
      </c>
      <c r="I48" s="20">
        <f t="shared" si="179"/>
        <v>3.2872682158315412</v>
      </c>
      <c r="J48" s="20">
        <f t="shared" si="179"/>
        <v>1.0060160073997784</v>
      </c>
      <c r="K48" s="20">
        <f t="shared" si="179"/>
        <v>0.5327885932896872</v>
      </c>
      <c r="L48" s="20">
        <f t="shared" si="179"/>
        <v>3.9808627022702936E-2</v>
      </c>
      <c r="M48" s="20">
        <f t="shared" si="179"/>
        <v>-0.47068397378082427</v>
      </c>
      <c r="N48" s="20">
        <f t="shared" si="179"/>
        <v>0.68363921999317956</v>
      </c>
      <c r="O48" s="20"/>
      <c r="P48" s="64"/>
      <c r="Q48" s="86"/>
      <c r="R48" s="86"/>
      <c r="S48" s="86"/>
      <c r="T48" s="20">
        <f>T47/(2812.048+7049.361-4986.738)-1</f>
        <v>-0.92611521885271875</v>
      </c>
      <c r="U48" s="156">
        <f>+U47/Q47-1</f>
        <v>-0.29469931179891806</v>
      </c>
      <c r="V48" s="20">
        <f>+V47/Q47-1</f>
        <v>-0.78160927709273564</v>
      </c>
      <c r="W48" s="20">
        <f>+W47/R47-1</f>
        <v>-0.1858205536975005</v>
      </c>
      <c r="X48" s="20">
        <f>+X47/S47-1</f>
        <v>0.40275291911702094</v>
      </c>
      <c r="Y48" s="20">
        <f>+Y47/T47-1</f>
        <v>0.35862551504314721</v>
      </c>
      <c r="Z48" s="20">
        <f>+Z47/V47-1</f>
        <v>0.60381185863363185</v>
      </c>
      <c r="AA48" s="20">
        <f>+AA47/W47-1</f>
        <v>-1.5796073846385936</v>
      </c>
      <c r="AB48" s="20">
        <f>+AB47/BG47-1</f>
        <v>3.8758153317030519</v>
      </c>
      <c r="AC48" s="20">
        <f>+AC47/BH47-1</f>
        <v>-0.79978245614035559</v>
      </c>
      <c r="AD48" s="20">
        <f>+AD47/BI47-1</f>
        <v>3.2226719593935096</v>
      </c>
      <c r="AE48" s="20">
        <f>+AE47/AA47-1</f>
        <v>-6.7298390595176123</v>
      </c>
      <c r="AF48" s="99">
        <f>AF47/AB47-1</f>
        <v>0.39363318925509327</v>
      </c>
      <c r="AG48" s="99">
        <f>AG47/AC47-1</f>
        <v>26.05378360379996</v>
      </c>
      <c r="AH48" s="20">
        <f>+AH47/AD47-1</f>
        <v>0.80048019873693455</v>
      </c>
      <c r="AI48" s="20">
        <f>+AI47/AE47-1</f>
        <v>2.7272470033331007</v>
      </c>
      <c r="AJ48" s="99">
        <f>AJ47/AF47-1</f>
        <v>0.45960504402912861</v>
      </c>
      <c r="AK48" s="99">
        <f>AK47/AG47-1</f>
        <v>0.29239776309917231</v>
      </c>
      <c r="AL48" s="20">
        <f>+AL47/AH47-1</f>
        <v>0.37928304380276878</v>
      </c>
      <c r="AM48" s="20">
        <f>+AM47/BJ47-1</f>
        <v>-2.8224558427923374E-2</v>
      </c>
      <c r="AN48" s="99">
        <f>AN47/AJ47-1</f>
        <v>1.1702342455882611</v>
      </c>
      <c r="AO48" s="99">
        <f>AO47/AK47-1</f>
        <v>1.044650223293714</v>
      </c>
      <c r="AP48" s="99">
        <f>+AP47/AL47-1</f>
        <v>0.68176523700630853</v>
      </c>
      <c r="AQ48" s="99">
        <f>+AQ47/AM47-1</f>
        <v>0.86941342551961331</v>
      </c>
      <c r="AR48" s="99">
        <f>AR47/AN47-1</f>
        <v>-0.2636912531725879</v>
      </c>
      <c r="AS48" s="99">
        <f>AS47/AO47-1</f>
        <v>-0.64570986063197022</v>
      </c>
      <c r="AT48" s="99">
        <f>+AT47/AP47-1</f>
        <v>-0.46439766369296465</v>
      </c>
      <c r="AU48" s="99">
        <f>+AU47/AQ47-1</f>
        <v>-0.81360081813047336</v>
      </c>
      <c r="AV48" s="99">
        <f>AV47/AR47-1</f>
        <v>-0.3083244129305488</v>
      </c>
      <c r="AW48" s="99">
        <f>AW47/AS47-1</f>
        <v>0.8299972807868059</v>
      </c>
      <c r="AX48" s="99">
        <f>+AX47/AT47-1</f>
        <v>0.77248902881787074</v>
      </c>
      <c r="AY48" s="99">
        <f>+AY47/AU47-1</f>
        <v>1.4680435314000997</v>
      </c>
      <c r="AZ48" s="99">
        <f>+AZ47/AV47-1</f>
        <v>0.59412268505926291</v>
      </c>
      <c r="BA48" s="99">
        <f>BA47/AW47-1</f>
        <v>0.31960359068707667</v>
      </c>
      <c r="BB48" s="99">
        <f>+BB47/AX47-1</f>
        <v>0.19262086246963772</v>
      </c>
      <c r="BC48" s="99">
        <f>+BC47/AY47-1</f>
        <v>-9.6736893465217189E-2</v>
      </c>
      <c r="BD48" s="99">
        <f>+BD47/AZ47-1</f>
        <v>-7.9502471374513051E-2</v>
      </c>
      <c r="BE48" s="322"/>
      <c r="BF48" s="241"/>
      <c r="BG48" s="319"/>
      <c r="BH48" s="319"/>
      <c r="BI48" s="319">
        <f>+BI47/V47-1</f>
        <v>0.66695593691015942</v>
      </c>
      <c r="BJ48" s="342">
        <f>+BJ47/AE47-1</f>
        <v>2.7272470033331007</v>
      </c>
      <c r="BK48" s="99">
        <f>BK47/AP47-1</f>
        <v>-0.48408078111087849</v>
      </c>
      <c r="BM48" s="319"/>
      <c r="BN48" s="21"/>
      <c r="BO48" s="319"/>
      <c r="BP48" s="20"/>
      <c r="BQ48" s="21"/>
      <c r="BR48" s="21"/>
      <c r="BS48" s="21"/>
      <c r="BT48" s="319"/>
      <c r="BU48" s="319"/>
      <c r="BV48" s="21"/>
      <c r="BW48" s="21"/>
      <c r="BX48" s="21"/>
      <c r="BY48" s="21"/>
      <c r="BZ48" s="319"/>
      <c r="CA48" s="319"/>
      <c r="CB48" s="21"/>
      <c r="CC48" s="21"/>
      <c r="CD48" s="319"/>
      <c r="CE48" s="319"/>
      <c r="CF48" s="21"/>
      <c r="CG48" s="21"/>
      <c r="CH48" s="319"/>
      <c r="CI48" s="319"/>
      <c r="CJ48" s="21"/>
      <c r="CK48" s="21"/>
      <c r="CL48" s="319"/>
      <c r="CM48" s="319"/>
      <c r="CN48" s="21"/>
      <c r="CO48" s="21"/>
      <c r="CP48" s="21"/>
      <c r="CQ48" s="319"/>
      <c r="CR48" s="21"/>
      <c r="CS48" s="21"/>
      <c r="CT48" s="21"/>
    </row>
    <row r="49" spans="1:98" s="46" customFormat="1" ht="13.5" customHeight="1">
      <c r="B49" s="19" t="s">
        <v>85</v>
      </c>
      <c r="C49" s="20">
        <f>C47/C7</f>
        <v>8.355383128589465E-2</v>
      </c>
      <c r="D49" s="20">
        <f>D47/D7</f>
        <v>7.5122042345934323E-2</v>
      </c>
      <c r="E49" s="20">
        <f>E47/E7</f>
        <v>7.9751731909041862E-2</v>
      </c>
      <c r="F49" s="20">
        <f t="shared" ref="F49:K49" si="180">F47/F7</f>
        <v>8.4296948310498165E-2</v>
      </c>
      <c r="G49" s="20">
        <f t="shared" si="180"/>
        <v>6.5917657875986843E-2</v>
      </c>
      <c r="H49" s="20">
        <f t="shared" si="180"/>
        <v>3.6185079300893257E-2</v>
      </c>
      <c r="I49" s="20">
        <f t="shared" si="180"/>
        <v>9.4539952240986103E-2</v>
      </c>
      <c r="J49" s="20">
        <f t="shared" si="180"/>
        <v>0.13703703407326323</v>
      </c>
      <c r="K49" s="20">
        <f t="shared" si="180"/>
        <v>0.16599917215987525</v>
      </c>
      <c r="L49" s="20">
        <f>L47/L7</f>
        <v>0.11756017482780759</v>
      </c>
      <c r="M49" s="20">
        <f>M47/M7</f>
        <v>5.900420827692094E-2</v>
      </c>
      <c r="N49" s="20">
        <f>N47/N7</f>
        <v>8.8235189993636928E-2</v>
      </c>
      <c r="O49" s="20">
        <f>O47/O7</f>
        <v>8.0310915592458745E-2</v>
      </c>
      <c r="P49" s="64"/>
      <c r="Q49" s="20">
        <f t="shared" ref="Q49:X49" si="181">Q47/Q7</f>
        <v>8.6033407739429801E-2</v>
      </c>
      <c r="R49" s="20">
        <f t="shared" si="181"/>
        <v>8.357969736523263E-2</v>
      </c>
      <c r="S49" s="20">
        <f t="shared" si="181"/>
        <v>7.5571767346134175E-2</v>
      </c>
      <c r="T49" s="20">
        <f t="shared" si="181"/>
        <v>7.3516360147781942E-2</v>
      </c>
      <c r="U49" s="156">
        <f t="shared" si="181"/>
        <v>7.1979254207521742E-2</v>
      </c>
      <c r="V49" s="20">
        <f t="shared" si="181"/>
        <v>4.5067335055147414E-2</v>
      </c>
      <c r="W49" s="20">
        <f t="shared" si="181"/>
        <v>7.377167770781802E-2</v>
      </c>
      <c r="X49" s="20">
        <f t="shared" si="181"/>
        <v>9.5389810567069355E-2</v>
      </c>
      <c r="Y49" s="20">
        <f t="shared" ref="Y49:AD49" si="182">Y47/Y7</f>
        <v>9.2366992911951162E-2</v>
      </c>
      <c r="Z49" s="20">
        <f t="shared" si="182"/>
        <v>5.0168030956785625E-2</v>
      </c>
      <c r="AA49" s="20">
        <f t="shared" si="182"/>
        <v>-3.6053980090310876E-2</v>
      </c>
      <c r="AB49" s="20">
        <f t="shared" si="182"/>
        <v>9.5117644565606604E-2</v>
      </c>
      <c r="AC49" s="20">
        <f t="shared" si="182"/>
        <v>5.4014537598847971E-3</v>
      </c>
      <c r="AD49" s="20">
        <f t="shared" si="182"/>
        <v>6.4376813362719207E-2</v>
      </c>
      <c r="AE49" s="20">
        <f t="shared" ref="AE49:AJ49" si="183">AE47/AE7</f>
        <v>9.0166629334527904E-2</v>
      </c>
      <c r="AF49" s="20">
        <f t="shared" si="183"/>
        <v>0.11534001047678141</v>
      </c>
      <c r="AG49" s="20">
        <f t="shared" si="183"/>
        <v>0.10857761796330302</v>
      </c>
      <c r="AH49" s="20">
        <f t="shared" si="183"/>
        <v>8.6532501422608224E-2</v>
      </c>
      <c r="AI49" s="20">
        <f t="shared" si="183"/>
        <v>0.2085989822491838</v>
      </c>
      <c r="AJ49" s="20">
        <f t="shared" si="183"/>
        <v>0.12745841611891306</v>
      </c>
      <c r="AK49" s="20">
        <f t="shared" ref="AK49:AP49" si="184">AK47/AK7</f>
        <v>0.10922568415578021</v>
      </c>
      <c r="AL49" s="20">
        <f t="shared" si="184"/>
        <v>9.3494503831728235E-2</v>
      </c>
      <c r="AM49" s="20">
        <f t="shared" si="184"/>
        <v>0.18603012694913537</v>
      </c>
      <c r="AN49" s="20">
        <f t="shared" si="184"/>
        <v>0.19698513321505384</v>
      </c>
      <c r="AO49" s="20">
        <f t="shared" si="184"/>
        <v>0.17039025862347992</v>
      </c>
      <c r="AP49" s="20">
        <f t="shared" si="184"/>
        <v>0.121306647224819</v>
      </c>
      <c r="AQ49" s="20">
        <f t="shared" ref="AQ49:AV49" si="185">AQ47/AQ7</f>
        <v>0.20747326046745712</v>
      </c>
      <c r="AR49" s="20">
        <f t="shared" si="185"/>
        <v>9.7994117043128159E-2</v>
      </c>
      <c r="AS49" s="20">
        <f t="shared" si="185"/>
        <v>4.3067318791208543E-2</v>
      </c>
      <c r="AT49" s="20">
        <f t="shared" si="185"/>
        <v>4.5706710806187649E-2</v>
      </c>
      <c r="AU49" s="20">
        <f t="shared" si="185"/>
        <v>4.2519106702726447E-2</v>
      </c>
      <c r="AV49" s="20">
        <f t="shared" si="185"/>
        <v>6.8349480927469355E-2</v>
      </c>
      <c r="AW49" s="20">
        <f t="shared" ref="AW49:BB49" si="186">AW47/AW7</f>
        <v>7.6886311956664066E-2</v>
      </c>
      <c r="AX49" s="20">
        <f t="shared" si="186"/>
        <v>8.1441798015606817E-2</v>
      </c>
      <c r="AY49" s="20">
        <f t="shared" si="186"/>
        <v>9.1280312818197609E-2</v>
      </c>
      <c r="AZ49" s="20">
        <f t="shared" si="186"/>
        <v>9.6780878011344898E-2</v>
      </c>
      <c r="BA49" s="20">
        <f t="shared" si="186"/>
        <v>8.2802413280659445E-2</v>
      </c>
      <c r="BB49" s="20">
        <f t="shared" si="186"/>
        <v>7.7868273041125258E-2</v>
      </c>
      <c r="BC49" s="20">
        <f>BC47/BC7</f>
        <v>7.6840440185538997E-2</v>
      </c>
      <c r="BD49" s="20">
        <f>BD47/BD7</f>
        <v>8.3316142124084516E-2</v>
      </c>
      <c r="BE49" s="301"/>
      <c r="BF49" s="241">
        <f t="shared" ref="BF49:BK49" si="187">BF47/BF7</f>
        <v>3.9335011568446612E-2</v>
      </c>
      <c r="BG49" s="319">
        <f t="shared" si="187"/>
        <v>8.0505968828932128E-2</v>
      </c>
      <c r="BH49" s="319">
        <f t="shared" si="187"/>
        <v>9.1728355326681693E-2</v>
      </c>
      <c r="BI49" s="319">
        <f t="shared" si="187"/>
        <v>5.0161809128554835E-2</v>
      </c>
      <c r="BJ49" s="342">
        <f t="shared" si="187"/>
        <v>0.2085989822491838</v>
      </c>
      <c r="BK49" s="20">
        <f t="shared" si="187"/>
        <v>4.5566627684926614E-2</v>
      </c>
      <c r="BM49" s="319"/>
      <c r="BN49" s="21"/>
      <c r="BO49" s="319"/>
      <c r="BP49" s="20"/>
      <c r="BQ49" s="21"/>
      <c r="BR49" s="21"/>
      <c r="BS49" s="21"/>
      <c r="BT49" s="319"/>
      <c r="BU49" s="319"/>
      <c r="BV49" s="21"/>
      <c r="BW49" s="21"/>
      <c r="BX49" s="21"/>
      <c r="BY49" s="21"/>
      <c r="BZ49" s="319"/>
      <c r="CA49" s="319"/>
      <c r="CB49" s="21"/>
      <c r="CC49" s="21"/>
      <c r="CD49" s="319"/>
      <c r="CE49" s="319"/>
      <c r="CF49" s="21"/>
      <c r="CG49" s="21"/>
      <c r="CH49" s="319"/>
      <c r="CI49" s="319"/>
      <c r="CJ49" s="21"/>
      <c r="CK49" s="21"/>
      <c r="CL49" s="319"/>
      <c r="CM49" s="319"/>
      <c r="CN49" s="21"/>
      <c r="CO49" s="21"/>
      <c r="CP49" s="21"/>
      <c r="CQ49" s="319"/>
      <c r="CR49" s="21"/>
      <c r="CS49" s="21"/>
      <c r="CT49" s="21"/>
    </row>
    <row r="50" spans="1:98" s="46" customFormat="1" ht="13.5" customHeight="1">
      <c r="B50" s="63"/>
      <c r="C50" s="64"/>
      <c r="D50" s="64"/>
      <c r="E50" s="64"/>
      <c r="F50" s="64"/>
      <c r="G50" s="64"/>
      <c r="H50" s="64"/>
      <c r="I50" s="64"/>
      <c r="J50" s="64"/>
      <c r="K50" s="64"/>
      <c r="L50" s="64"/>
      <c r="M50" s="64"/>
      <c r="N50" s="64"/>
      <c r="O50" s="64"/>
      <c r="P50" s="64"/>
      <c r="Q50" s="64"/>
      <c r="R50" s="64"/>
      <c r="S50" s="64"/>
      <c r="T50" s="64"/>
      <c r="U50" s="64"/>
      <c r="V50" s="64"/>
      <c r="W50" s="64"/>
      <c r="X50" s="64"/>
      <c r="Y50" s="64"/>
      <c r="Z50" s="64"/>
      <c r="AA50" s="64"/>
      <c r="AB50" s="64"/>
      <c r="AC50" s="64"/>
      <c r="AD50" s="64"/>
      <c r="AE50" s="64"/>
      <c r="AF50" s="64"/>
      <c r="AG50" s="64"/>
      <c r="AH50" s="64"/>
      <c r="AI50" s="64"/>
      <c r="AJ50" s="64"/>
      <c r="AK50" s="64"/>
      <c r="AL50" s="64"/>
      <c r="AM50" s="64"/>
      <c r="AN50" s="64"/>
      <c r="AO50" s="64"/>
      <c r="AP50" s="64"/>
      <c r="AQ50" s="64"/>
      <c r="AR50" s="64"/>
      <c r="AS50" s="64"/>
      <c r="AT50" s="64"/>
      <c r="AU50" s="64"/>
      <c r="AV50" s="64"/>
      <c r="AW50" s="64"/>
      <c r="AX50" s="64"/>
      <c r="AY50" s="64"/>
      <c r="AZ50" s="64"/>
      <c r="BA50" s="64"/>
      <c r="BB50" s="64"/>
      <c r="BC50" s="64"/>
      <c r="BD50" s="64"/>
      <c r="BE50" s="301"/>
      <c r="BF50" s="231"/>
      <c r="BG50" s="301"/>
      <c r="BH50" s="301"/>
      <c r="BI50" s="301"/>
      <c r="BJ50" s="294"/>
      <c r="BK50" s="64"/>
      <c r="BM50" s="301"/>
      <c r="BO50" s="301"/>
      <c r="BP50" s="64"/>
      <c r="BT50" s="301"/>
      <c r="BU50" s="301"/>
      <c r="BZ50" s="301"/>
      <c r="CA50" s="301"/>
      <c r="CD50" s="301"/>
      <c r="CE50" s="301"/>
      <c r="CH50" s="301"/>
      <c r="CI50" s="301"/>
      <c r="CL50" s="301"/>
      <c r="CM50" s="301"/>
      <c r="CQ50" s="301"/>
    </row>
    <row r="51" spans="1:98" ht="13.5" customHeight="1">
      <c r="B51" s="7" t="s">
        <v>86</v>
      </c>
      <c r="C51" s="6">
        <f t="shared" ref="C51:O51" si="188">C52-C47</f>
        <v>82.829461999999467</v>
      </c>
      <c r="D51" s="6">
        <f t="shared" si="188"/>
        <v>273.21200000000044</v>
      </c>
      <c r="E51" s="6">
        <f t="shared" si="188"/>
        <v>112.10600000000022</v>
      </c>
      <c r="F51" s="6">
        <f t="shared" si="188"/>
        <v>141.74200000000042</v>
      </c>
      <c r="G51" s="6">
        <f t="shared" si="188"/>
        <v>123.40599999999961</v>
      </c>
      <c r="H51" s="6">
        <f t="shared" si="188"/>
        <v>1525.7539999999999</v>
      </c>
      <c r="I51" s="6">
        <f t="shared" si="188"/>
        <v>202.1319999999987</v>
      </c>
      <c r="J51" s="6">
        <f t="shared" si="188"/>
        <v>347.5309999999954</v>
      </c>
      <c r="K51" s="6">
        <f t="shared" si="188"/>
        <v>369.58500000000276</v>
      </c>
      <c r="L51" s="6">
        <f t="shared" si="188"/>
        <v>-1990.6790000000037</v>
      </c>
      <c r="M51" s="6">
        <f t="shared" si="188"/>
        <v>753.58099999998376</v>
      </c>
      <c r="N51" s="6">
        <f t="shared" si="188"/>
        <v>507.22500000000218</v>
      </c>
      <c r="O51" s="6">
        <f t="shared" si="188"/>
        <v>445.59999999998035</v>
      </c>
      <c r="P51" s="6"/>
      <c r="Q51" s="6">
        <f t="shared" ref="Q51:BD51" si="189">Q52-Q47</f>
        <v>20.984999999999673</v>
      </c>
      <c r="R51" s="6">
        <f t="shared" si="189"/>
        <v>33.209000000000117</v>
      </c>
      <c r="S51" s="6">
        <f t="shared" si="189"/>
        <v>20.475999999999772</v>
      </c>
      <c r="T51" s="6">
        <f t="shared" si="189"/>
        <v>38.236000000001582</v>
      </c>
      <c r="U51" s="154">
        <f t="shared" si="189"/>
        <v>36.282000000000039</v>
      </c>
      <c r="V51" s="6">
        <f t="shared" si="189"/>
        <v>37.714000000000027</v>
      </c>
      <c r="W51" s="6">
        <f t="shared" si="189"/>
        <v>72.826000000000022</v>
      </c>
      <c r="X51" s="6">
        <f t="shared" si="189"/>
        <v>29.161999999999523</v>
      </c>
      <c r="Y51" s="6">
        <f t="shared" si="189"/>
        <v>3.4720000000020264</v>
      </c>
      <c r="Z51" s="6">
        <f t="shared" si="189"/>
        <v>27.751000000000033</v>
      </c>
      <c r="AA51" s="6">
        <f t="shared" si="189"/>
        <v>645.41599999999994</v>
      </c>
      <c r="AB51" s="6">
        <f t="shared" si="189"/>
        <v>25.248999999999342</v>
      </c>
      <c r="AC51" s="6">
        <f t="shared" si="189"/>
        <v>827.33800000000133</v>
      </c>
      <c r="AD51" s="6">
        <f t="shared" si="189"/>
        <v>-64.898000000000366</v>
      </c>
      <c r="AE51" s="6">
        <f t="shared" si="189"/>
        <v>54.326000000000704</v>
      </c>
      <c r="AF51" s="6">
        <f t="shared" si="189"/>
        <v>29.064000000000306</v>
      </c>
      <c r="AG51" s="6">
        <f t="shared" si="189"/>
        <v>74.257000000003245</v>
      </c>
      <c r="AH51" s="6">
        <f t="shared" si="189"/>
        <v>54.672000000000025</v>
      </c>
      <c r="AI51" s="6">
        <f t="shared" si="189"/>
        <v>129.51500000000169</v>
      </c>
      <c r="AJ51" s="6">
        <f t="shared" si="189"/>
        <v>50.473999999999251</v>
      </c>
      <c r="AK51" s="6">
        <f t="shared" si="189"/>
        <v>112.86999999999875</v>
      </c>
      <c r="AL51" s="6">
        <f t="shared" si="189"/>
        <v>96.544999999998709</v>
      </c>
      <c r="AM51" s="6">
        <f t="shared" si="189"/>
        <v>93.677000000001499</v>
      </c>
      <c r="AN51" s="6">
        <f t="shared" si="189"/>
        <v>77.705999999999221</v>
      </c>
      <c r="AO51" s="6">
        <f t="shared" si="189"/>
        <v>101.65700000001016</v>
      </c>
      <c r="AP51" s="6">
        <f t="shared" si="189"/>
        <v>38.910999999996875</v>
      </c>
      <c r="AQ51" s="6">
        <f t="shared" si="189"/>
        <v>-3171.8490000000002</v>
      </c>
      <c r="AR51" s="6">
        <f t="shared" si="189"/>
        <v>363.53000000000156</v>
      </c>
      <c r="AS51" s="6">
        <f t="shared" si="189"/>
        <v>778.72900000000664</v>
      </c>
      <c r="AT51" s="6">
        <f t="shared" si="189"/>
        <v>46.470000000001164</v>
      </c>
      <c r="AU51" s="6">
        <f t="shared" si="189"/>
        <v>716.34199999999919</v>
      </c>
      <c r="AV51" s="6">
        <f t="shared" si="189"/>
        <v>189.61099999999988</v>
      </c>
      <c r="AW51" s="6">
        <f t="shared" si="189"/>
        <v>-198.84200000001556</v>
      </c>
      <c r="AX51" s="6">
        <f t="shared" si="189"/>
        <v>73.178999999998268</v>
      </c>
      <c r="AY51" s="6">
        <f t="shared" si="189"/>
        <v>86.474000000003798</v>
      </c>
      <c r="AZ51" s="6">
        <f t="shared" si="189"/>
        <v>91.714999999999236</v>
      </c>
      <c r="BA51" s="6">
        <f t="shared" si="189"/>
        <v>255.85699999998997</v>
      </c>
      <c r="BB51" s="6">
        <f t="shared" si="189"/>
        <v>127.60000000000218</v>
      </c>
      <c r="BC51" s="6">
        <f t="shared" si="189"/>
        <v>38.885999999995875</v>
      </c>
      <c r="BD51" s="6">
        <f t="shared" si="189"/>
        <v>23.257000000000517</v>
      </c>
      <c r="BE51" s="6"/>
      <c r="BF51" s="249">
        <f t="shared" ref="BF51:BK51" si="190">BF52-BF47</f>
        <v>68.24699999999973</v>
      </c>
      <c r="BG51" s="6">
        <f t="shared" si="190"/>
        <v>21.676999999999708</v>
      </c>
      <c r="BH51" s="6">
        <f t="shared" si="190"/>
        <v>-47</v>
      </c>
      <c r="BI51" s="6">
        <f t="shared" si="190"/>
        <v>28.330000000000069</v>
      </c>
      <c r="BJ51" s="76">
        <f t="shared" si="190"/>
        <v>-2580.4849999999983</v>
      </c>
      <c r="BK51" s="6">
        <f t="shared" si="190"/>
        <v>99.812999999998056</v>
      </c>
      <c r="BM51" s="193"/>
      <c r="BN51" s="192"/>
      <c r="BO51" s="193"/>
      <c r="BP51" s="193"/>
      <c r="BQ51" s="192"/>
      <c r="BR51" s="192"/>
      <c r="BS51" s="192"/>
      <c r="BT51" s="193"/>
      <c r="BU51" s="193"/>
      <c r="BV51" s="192">
        <v>1522</v>
      </c>
      <c r="BW51" s="192">
        <v>162</v>
      </c>
      <c r="BX51" s="192"/>
      <c r="BY51" s="192"/>
      <c r="BZ51" s="193"/>
      <c r="CA51" s="193"/>
      <c r="CB51" s="192"/>
      <c r="CC51" s="192"/>
      <c r="CD51" s="193"/>
      <c r="CE51" s="193"/>
      <c r="CF51" s="192"/>
      <c r="CG51" s="192"/>
      <c r="CH51" s="193"/>
      <c r="CI51" s="193"/>
      <c r="CJ51" s="192"/>
      <c r="CK51" s="192"/>
      <c r="CL51" s="193"/>
      <c r="CM51" s="193"/>
      <c r="CN51" s="192"/>
      <c r="CO51" s="192"/>
      <c r="CP51" s="192"/>
      <c r="CQ51" s="193"/>
      <c r="CR51" s="192"/>
      <c r="CS51" s="192"/>
      <c r="CT51" s="192"/>
    </row>
    <row r="52" spans="1:98" s="5" customFormat="1" ht="13.5" customHeight="1">
      <c r="B52" s="5" t="s">
        <v>87</v>
      </c>
      <c r="C52" s="104">
        <f>C7*C54</f>
        <v>1353.5794619999999</v>
      </c>
      <c r="D52" s="104">
        <v>1741.8</v>
      </c>
      <c r="E52" s="104">
        <v>1613.7</v>
      </c>
      <c r="F52" s="104">
        <v>1707.8</v>
      </c>
      <c r="G52" s="104">
        <v>791</v>
      </c>
      <c r="H52" s="104">
        <v>2601</v>
      </c>
      <c r="I52" s="8">
        <f>+AD52+AE52+AF52+AG52</f>
        <v>4812</v>
      </c>
      <c r="J52" s="8">
        <f>+AH52+AI52+AJ52+AK52</f>
        <v>9595</v>
      </c>
      <c r="K52" s="8">
        <f>SUM(AL52:AO52)</f>
        <v>14544</v>
      </c>
      <c r="L52" s="104">
        <v>12748</v>
      </c>
      <c r="M52" s="104">
        <v>8555</v>
      </c>
      <c r="N52" s="104">
        <v>13642</v>
      </c>
      <c r="O52" s="101">
        <f>SUM(BA52:BD52)</f>
        <v>13457</v>
      </c>
      <c r="P52" s="101"/>
      <c r="Q52" s="104">
        <v>443.1</v>
      </c>
      <c r="R52" s="104">
        <v>424</v>
      </c>
      <c r="S52" s="104">
        <v>349</v>
      </c>
      <c r="T52" s="104">
        <v>398.4</v>
      </c>
      <c r="U52" s="157">
        <v>334</v>
      </c>
      <c r="V52" s="104">
        <v>129.9</v>
      </c>
      <c r="W52" s="104">
        <v>391</v>
      </c>
      <c r="X52" s="104">
        <v>490</v>
      </c>
      <c r="Y52" s="101">
        <f>F52-W52-X52-U52</f>
        <v>492.79999999999995</v>
      </c>
      <c r="Z52" s="104">
        <v>175.6</v>
      </c>
      <c r="AA52" s="104">
        <v>461</v>
      </c>
      <c r="AB52" s="104">
        <v>1080</v>
      </c>
      <c r="AC52" s="103">
        <f>H52-AB52-AA52-Z52</f>
        <v>884.4</v>
      </c>
      <c r="AD52" s="104">
        <v>584</v>
      </c>
      <c r="AE52" s="104">
        <v>1111</v>
      </c>
      <c r="AF52" s="104">
        <v>1499</v>
      </c>
      <c r="AG52" s="104">
        <v>1618</v>
      </c>
      <c r="AH52" s="104">
        <v>1223</v>
      </c>
      <c r="AI52" s="104">
        <v>4068</v>
      </c>
      <c r="AJ52" s="104">
        <v>2196</v>
      </c>
      <c r="AK52" s="104">
        <v>2108</v>
      </c>
      <c r="AL52" s="104">
        <v>1708</v>
      </c>
      <c r="AM52" s="104">
        <v>3921</v>
      </c>
      <c r="AN52" s="104">
        <v>4734</v>
      </c>
      <c r="AO52" s="104">
        <v>4181</v>
      </c>
      <c r="AP52" s="104">
        <v>2749</v>
      </c>
      <c r="AQ52" s="104">
        <v>3983</v>
      </c>
      <c r="AR52" s="104">
        <v>3792</v>
      </c>
      <c r="AS52" s="8">
        <f>L52-SUM(AP52:AR52)</f>
        <v>2224</v>
      </c>
      <c r="AT52" s="104">
        <v>1498</v>
      </c>
      <c r="AU52" s="104">
        <v>2050</v>
      </c>
      <c r="AV52" s="104">
        <v>2561</v>
      </c>
      <c r="AW52" s="8">
        <f>M52-SUM(AT52:AV52)</f>
        <v>2446</v>
      </c>
      <c r="AX52" s="104">
        <v>2646</v>
      </c>
      <c r="AY52" s="104">
        <v>3378</v>
      </c>
      <c r="AZ52" s="104">
        <v>3872</v>
      </c>
      <c r="BA52" s="8">
        <f>N52-SUM(AX52:AZ52)</f>
        <v>3746</v>
      </c>
      <c r="BB52" s="104">
        <v>3196</v>
      </c>
      <c r="BC52" s="104">
        <v>3012</v>
      </c>
      <c r="BD52" s="104">
        <v>3503</v>
      </c>
      <c r="BE52" s="104"/>
      <c r="BF52" s="242">
        <v>154</v>
      </c>
      <c r="BG52" s="104">
        <v>238</v>
      </c>
      <c r="BH52" s="104">
        <v>238</v>
      </c>
      <c r="BI52" s="104">
        <v>182</v>
      </c>
      <c r="BJ52" s="224">
        <v>1358</v>
      </c>
      <c r="BK52" s="104">
        <v>1498</v>
      </c>
      <c r="BM52" s="104">
        <v>490</v>
      </c>
      <c r="BN52" s="104">
        <v>493</v>
      </c>
      <c r="BO52" s="104">
        <v>980</v>
      </c>
      <c r="BP52" s="104">
        <v>1166</v>
      </c>
      <c r="BQ52" s="104">
        <v>2500</v>
      </c>
      <c r="BR52" s="104">
        <v>3378</v>
      </c>
      <c r="BS52" s="104">
        <v>584</v>
      </c>
      <c r="BT52" s="104">
        <v>1111</v>
      </c>
      <c r="BU52" s="104">
        <v>1499</v>
      </c>
      <c r="BV52" s="104">
        <v>3600</v>
      </c>
      <c r="BW52" s="104">
        <v>4812</v>
      </c>
      <c r="BX52" s="104">
        <v>1223</v>
      </c>
      <c r="BY52" s="104">
        <v>4068</v>
      </c>
      <c r="BZ52" s="104">
        <v>2196</v>
      </c>
      <c r="CA52" s="104">
        <v>2108</v>
      </c>
      <c r="CB52" s="104">
        <v>1708</v>
      </c>
      <c r="CC52" s="104">
        <v>3921</v>
      </c>
      <c r="CD52" s="104">
        <v>4734</v>
      </c>
      <c r="CE52" s="104">
        <v>4181</v>
      </c>
      <c r="CF52" s="104">
        <f>AP52</f>
        <v>2749</v>
      </c>
      <c r="CG52" s="104">
        <f>AQ52</f>
        <v>3983</v>
      </c>
      <c r="CH52" s="104">
        <v>3792</v>
      </c>
      <c r="CI52" s="104">
        <v>2225</v>
      </c>
      <c r="CJ52" s="104">
        <f>AT52</f>
        <v>1498</v>
      </c>
      <c r="CK52" s="104">
        <f>AU52</f>
        <v>2050</v>
      </c>
      <c r="CL52" s="104">
        <v>2561.06</v>
      </c>
      <c r="CM52" s="104">
        <v>2938.3</v>
      </c>
      <c r="CN52" s="104">
        <f t="shared" ref="CN52:CT52" si="191">AX52</f>
        <v>2646</v>
      </c>
      <c r="CO52" s="104">
        <f t="shared" si="191"/>
        <v>3378</v>
      </c>
      <c r="CP52" s="104">
        <f t="shared" si="191"/>
        <v>3872</v>
      </c>
      <c r="CQ52" s="104">
        <f t="shared" si="191"/>
        <v>3746</v>
      </c>
      <c r="CR52" s="104">
        <f t="shared" si="191"/>
        <v>3196</v>
      </c>
      <c r="CS52" s="104">
        <f t="shared" si="191"/>
        <v>3012</v>
      </c>
      <c r="CT52" s="104">
        <f t="shared" si="191"/>
        <v>3503</v>
      </c>
    </row>
    <row r="53" spans="1:98" s="46" customFormat="1" ht="13.5" customHeight="1">
      <c r="B53" s="63" t="s">
        <v>84</v>
      </c>
      <c r="C53" s="127"/>
      <c r="D53" s="64">
        <f>+D52/C52-1</f>
        <v>0.28681030475032432</v>
      </c>
      <c r="E53" s="64">
        <f>+E52/D52-1</f>
        <v>-7.3544609025146368E-2</v>
      </c>
      <c r="F53" s="64">
        <f>+F52/E52-1</f>
        <v>5.8313193282518272E-2</v>
      </c>
      <c r="G53" s="64"/>
      <c r="H53" s="64">
        <f t="shared" ref="H53:N53" si="192">+H52/G52-1</f>
        <v>2.288242730720607</v>
      </c>
      <c r="I53" s="64">
        <f t="shared" si="192"/>
        <v>0.85005767012687428</v>
      </c>
      <c r="J53" s="64">
        <f t="shared" si="192"/>
        <v>0.99397339983374899</v>
      </c>
      <c r="K53" s="64">
        <f t="shared" si="192"/>
        <v>0.51578947368421058</v>
      </c>
      <c r="L53" s="64">
        <f t="shared" si="192"/>
        <v>-0.12348734873487344</v>
      </c>
      <c r="M53" s="64">
        <f t="shared" si="192"/>
        <v>-0.32891433950423599</v>
      </c>
      <c r="N53" s="64">
        <f t="shared" si="192"/>
        <v>0.59462302746931628</v>
      </c>
      <c r="O53" s="64"/>
      <c r="P53" s="64"/>
      <c r="Q53" s="127"/>
      <c r="R53" s="128"/>
      <c r="S53" s="128"/>
      <c r="T53" s="52"/>
      <c r="U53" s="156">
        <f>U52/Q52-1</f>
        <v>-0.24621981494019407</v>
      </c>
      <c r="V53" s="64"/>
      <c r="W53" s="64">
        <f>+W52/R52-1</f>
        <v>-7.7830188679245293E-2</v>
      </c>
      <c r="X53" s="64">
        <f>+X52/S52-1</f>
        <v>0.40401146131805166</v>
      </c>
      <c r="Y53" s="64">
        <f>+Y52/T52-1</f>
        <v>0.23694779116465869</v>
      </c>
      <c r="Z53" s="64">
        <f>+Z52/V52-1</f>
        <v>0.35180908391070043</v>
      </c>
      <c r="AA53" s="64">
        <f>+AA52/BF52-1</f>
        <v>1.9935064935064934</v>
      </c>
      <c r="AB53" s="64">
        <f>+AB52/BG52-1</f>
        <v>3.53781512605042</v>
      </c>
      <c r="AC53" s="64">
        <f>+AC52/BH52-1</f>
        <v>2.715966386554622</v>
      </c>
      <c r="AD53" s="64">
        <f>+AD52/BI52-1</f>
        <v>2.2087912087912089</v>
      </c>
      <c r="AE53" s="64">
        <f>+AE52/AA52-1</f>
        <v>1.4099783080260302</v>
      </c>
      <c r="AF53" s="99">
        <f>AF52/AB52-1</f>
        <v>0.38796296296296306</v>
      </c>
      <c r="AG53" s="99">
        <f>AG52/AC52-1</f>
        <v>0.82948891904115785</v>
      </c>
      <c r="AH53" s="64">
        <f>+AH52/AD52-1</f>
        <v>1.0941780821917808</v>
      </c>
      <c r="AI53" s="64">
        <f>+AI52/AE52-1</f>
        <v>2.6615661566156614</v>
      </c>
      <c r="AJ53" s="99">
        <f>AJ52/AF52-1</f>
        <v>0.46497665110073383</v>
      </c>
      <c r="AK53" s="99">
        <f>AK52/AG52-1</f>
        <v>0.30284301606922126</v>
      </c>
      <c r="AL53" s="64">
        <f>+AL52/AH52-1</f>
        <v>0.3965658217497956</v>
      </c>
      <c r="AM53" s="64">
        <f>+AM52/BJ52-1</f>
        <v>1.8873343151693667</v>
      </c>
      <c r="AN53" s="99">
        <f>AN52/AJ52-1</f>
        <v>1.1557377049180326</v>
      </c>
      <c r="AO53" s="99">
        <f>AO52/AK52-1</f>
        <v>0.98339658444022771</v>
      </c>
      <c r="AP53" s="99">
        <f>+AP52/AL52-1</f>
        <v>0.60948477751756447</v>
      </c>
      <c r="AQ53" s="99">
        <f>+AQ52/AM52-1</f>
        <v>1.5812292782453552E-2</v>
      </c>
      <c r="AR53" s="99">
        <f>AR52/AN52-1</f>
        <v>-0.19898605830164762</v>
      </c>
      <c r="AS53" s="99">
        <f>AS52/AO52-1</f>
        <v>-0.46806983975125571</v>
      </c>
      <c r="AT53" s="99">
        <f>+AT52/AP52-1</f>
        <v>-0.45507457257184436</v>
      </c>
      <c r="AU53" s="99">
        <f>+AU52/AQ52-1</f>
        <v>-0.48531257845844844</v>
      </c>
      <c r="AV53" s="99">
        <f>AV52/AR52-1</f>
        <v>-0.3246308016877637</v>
      </c>
      <c r="AW53" s="99">
        <f>AW52/AS52-1</f>
        <v>9.9820143884892021E-2</v>
      </c>
      <c r="AX53" s="99">
        <f>+AX52/AT52-1</f>
        <v>0.76635514018691597</v>
      </c>
      <c r="AY53" s="99">
        <f>+AY52/AU52-1</f>
        <v>0.6478048780487804</v>
      </c>
      <c r="AZ53" s="99">
        <f>+AZ52/AV52-1</f>
        <v>0.51190941038656779</v>
      </c>
      <c r="BA53" s="99">
        <f>BA52/AW52-1</f>
        <v>0.53147996729354041</v>
      </c>
      <c r="BB53" s="99">
        <f>+BB52/AX52-1</f>
        <v>0.20786092214663654</v>
      </c>
      <c r="BC53" s="99">
        <f>+BC52/AY52-1</f>
        <v>-0.10834813499111906</v>
      </c>
      <c r="BD53" s="99">
        <f>+BD52/AZ52-1</f>
        <v>-9.5299586776859457E-2</v>
      </c>
      <c r="BE53" s="322"/>
      <c r="BF53" s="231"/>
      <c r="BG53" s="301"/>
      <c r="BH53" s="301"/>
      <c r="BI53" s="301">
        <f>+BI52/V52-1</f>
        <v>0.40107775211701302</v>
      </c>
      <c r="BJ53" s="294">
        <f>+BJ52/AE52-1</f>
        <v>0.22232223222322234</v>
      </c>
      <c r="BK53" s="99">
        <f>+BK52/BG52-1</f>
        <v>5.2941176470588234</v>
      </c>
      <c r="BM53" s="301"/>
      <c r="BN53" s="322"/>
      <c r="BO53" s="322">
        <f>BO52/BM52-1</f>
        <v>1</v>
      </c>
      <c r="BP53" s="302">
        <f>(BP52/878-1)</f>
        <v>0.32801822323462404</v>
      </c>
      <c r="BQ53" s="322"/>
      <c r="BR53" s="322">
        <f>(BR52/BQ52-1)</f>
        <v>0.35119999999999996</v>
      </c>
      <c r="BS53" s="322">
        <f>BS52/BN52-1</f>
        <v>0.1845841784989859</v>
      </c>
      <c r="BT53" s="322">
        <f>BT52/BO52-1</f>
        <v>0.13367346938775504</v>
      </c>
      <c r="BU53" s="322">
        <f>BU52/BP52-1</f>
        <v>0.28559176672384212</v>
      </c>
      <c r="BV53" s="322"/>
      <c r="BW53" s="322">
        <f>(BW52/BV52-1)</f>
        <v>0.33666666666666667</v>
      </c>
      <c r="BX53" s="322">
        <f>BX52/BS52-1</f>
        <v>1.0941780821917808</v>
      </c>
      <c r="BY53" s="322">
        <f>BY52/BT52-1</f>
        <v>2.6615661566156614</v>
      </c>
      <c r="BZ53" s="322">
        <f>BZ52/BU52-1</f>
        <v>0.46497665110073383</v>
      </c>
      <c r="CA53" s="322">
        <f>CA52/BW52-1</f>
        <v>-0.56192851205320027</v>
      </c>
      <c r="CB53" s="322">
        <f>CB52/BX52-1</f>
        <v>0.3965658217497956</v>
      </c>
      <c r="CC53" s="322">
        <f>CC52/BY52-1</f>
        <v>-3.6135693215339271E-2</v>
      </c>
      <c r="CD53" s="322">
        <f>CD52/BY52-1</f>
        <v>0.16371681415929196</v>
      </c>
      <c r="CE53" s="322">
        <f>CE52/CA52-1</f>
        <v>0.98339658444022771</v>
      </c>
      <c r="CF53" s="322">
        <f>CF52/CB52-1</f>
        <v>0.60948477751756447</v>
      </c>
      <c r="CG53" s="322">
        <f>CG52/CC52-1</f>
        <v>1.5812292782453552E-2</v>
      </c>
      <c r="CH53" s="322">
        <f>CH52/CC52-1</f>
        <v>-3.2899770466717659E-2</v>
      </c>
      <c r="CI53" s="322">
        <f>CI52/CE52-1</f>
        <v>-0.46783066252092798</v>
      </c>
      <c r="CJ53" s="322">
        <f>CJ52/CF52-1</f>
        <v>-0.45507457257184436</v>
      </c>
      <c r="CK53" s="322">
        <f>CK52/CG52-1</f>
        <v>-0.48531257845844844</v>
      </c>
      <c r="CL53" s="322">
        <f>CL52/CG52-1</f>
        <v>-0.35700225960331411</v>
      </c>
      <c r="CM53" s="322">
        <f t="shared" ref="CM53:CT53" si="193">CM52/CI52-1</f>
        <v>0.32058426966292153</v>
      </c>
      <c r="CN53" s="322">
        <f t="shared" si="193"/>
        <v>0.76635514018691597</v>
      </c>
      <c r="CO53" s="322">
        <f t="shared" si="193"/>
        <v>0.6478048780487804</v>
      </c>
      <c r="CP53" s="322">
        <f t="shared" si="193"/>
        <v>0.51187398967614972</v>
      </c>
      <c r="CQ53" s="322">
        <f t="shared" si="193"/>
        <v>0.27488683932886349</v>
      </c>
      <c r="CR53" s="322">
        <f t="shared" si="193"/>
        <v>0.20786092214663654</v>
      </c>
      <c r="CS53" s="322">
        <f t="shared" si="193"/>
        <v>-0.10834813499111906</v>
      </c>
      <c r="CT53" s="322">
        <f t="shared" si="193"/>
        <v>-9.5299586776859457E-2</v>
      </c>
    </row>
    <row r="54" spans="1:98" s="46" customFormat="1" ht="13.5" customHeight="1">
      <c r="B54" s="63" t="s">
        <v>85</v>
      </c>
      <c r="C54" s="64">
        <v>8.8999999999999996E-2</v>
      </c>
      <c r="D54" s="64">
        <f t="shared" ref="D54:O54" si="194">D52/D7</f>
        <v>8.9097536789180115E-2</v>
      </c>
      <c r="E54" s="64">
        <f t="shared" si="194"/>
        <v>8.5705836452210707E-2</v>
      </c>
      <c r="F54" s="64">
        <f t="shared" si="194"/>
        <v>9.1926562314211105E-2</v>
      </c>
      <c r="G54" s="64">
        <f t="shared" si="194"/>
        <v>7.8102660269423571E-2</v>
      </c>
      <c r="H54" s="64">
        <f t="shared" si="194"/>
        <v>8.7531031281793514E-2</v>
      </c>
      <c r="I54" s="64">
        <f t="shared" si="194"/>
        <v>9.868530946734809E-2</v>
      </c>
      <c r="J54" s="64">
        <f t="shared" si="194"/>
        <v>0.14218705052517183</v>
      </c>
      <c r="K54" s="64">
        <f t="shared" si="194"/>
        <v>0.17032744983783996</v>
      </c>
      <c r="L54" s="64">
        <f t="shared" si="194"/>
        <v>0.10168191523167652</v>
      </c>
      <c r="M54" s="64">
        <f t="shared" si="194"/>
        <v>6.4703741948619553E-2</v>
      </c>
      <c r="N54" s="64">
        <f t="shared" si="194"/>
        <v>9.1642564253532718E-2</v>
      </c>
      <c r="O54" s="64">
        <f t="shared" si="194"/>
        <v>8.3061314779940346E-2</v>
      </c>
      <c r="P54" s="64"/>
      <c r="Q54" s="64">
        <f t="shared" ref="Q54:BD54" si="195">Q52/Q7</f>
        <v>9.0310467453990781E-2</v>
      </c>
      <c r="R54" s="64">
        <f t="shared" si="195"/>
        <v>9.0682210395988255E-2</v>
      </c>
      <c r="S54" s="64">
        <f t="shared" si="195"/>
        <v>8.0281948362374775E-2</v>
      </c>
      <c r="T54" s="64">
        <f t="shared" si="195"/>
        <v>8.1321058970014917E-2</v>
      </c>
      <c r="U54" s="156">
        <f t="shared" si="195"/>
        <v>8.0751150099464139E-2</v>
      </c>
      <c r="V54" s="64">
        <f t="shared" si="195"/>
        <v>6.3504727655648921E-2</v>
      </c>
      <c r="W54" s="64">
        <f t="shared" si="195"/>
        <v>9.0657080665789314E-2</v>
      </c>
      <c r="X54" s="64">
        <f t="shared" si="195"/>
        <v>0.10142611324991414</v>
      </c>
      <c r="Y54" s="64">
        <f t="shared" si="195"/>
        <v>9.3022377846781135E-2</v>
      </c>
      <c r="Z54" s="64">
        <f t="shared" si="195"/>
        <v>5.9584483060497927E-2</v>
      </c>
      <c r="AA54" s="64">
        <f t="shared" si="195"/>
        <v>9.0127130084338258E-2</v>
      </c>
      <c r="AB54" s="64">
        <f t="shared" si="195"/>
        <v>9.7394604158569237E-2</v>
      </c>
      <c r="AC54" s="64">
        <f t="shared" si="195"/>
        <v>8.3716759055802947E-2</v>
      </c>
      <c r="AD54" s="64">
        <f t="shared" si="195"/>
        <v>5.7938318508961348E-2</v>
      </c>
      <c r="AE54" s="64">
        <f t="shared" si="195"/>
        <v>9.4802299659744224E-2</v>
      </c>
      <c r="AF54" s="64">
        <f t="shared" si="195"/>
        <v>0.11762054654399605</v>
      </c>
      <c r="AG54" s="64">
        <f t="shared" si="195"/>
        <v>0.11380040969554171</v>
      </c>
      <c r="AH54" s="64">
        <f t="shared" si="195"/>
        <v>9.0581796584392277E-2</v>
      </c>
      <c r="AI54" s="64">
        <f t="shared" si="195"/>
        <v>0.21545864965581435</v>
      </c>
      <c r="AJ54" s="64">
        <f t="shared" si="195"/>
        <v>0.13045690511190866</v>
      </c>
      <c r="AK54" s="64">
        <f t="shared" si="195"/>
        <v>0.11540488198783265</v>
      </c>
      <c r="AL54" s="64">
        <f t="shared" si="195"/>
        <v>9.9095918002421235E-2</v>
      </c>
      <c r="AM54" s="64">
        <f t="shared" si="195"/>
        <v>0.19058337322655028</v>
      </c>
      <c r="AN54" s="64">
        <f t="shared" si="195"/>
        <v>0.20027249581750309</v>
      </c>
      <c r="AO54" s="64">
        <f t="shared" si="195"/>
        <v>0.17463637436341375</v>
      </c>
      <c r="AP54" s="64">
        <f t="shared" si="195"/>
        <v>0.1230483475712521</v>
      </c>
      <c r="AQ54" s="64">
        <f t="shared" si="195"/>
        <v>0.11549733564494258</v>
      </c>
      <c r="AR54" s="64">
        <f t="shared" si="195"/>
        <v>0.10838469983040311</v>
      </c>
      <c r="AS54" s="64">
        <f t="shared" si="195"/>
        <v>6.6272496294223188E-2</v>
      </c>
      <c r="AT54" s="64">
        <f t="shared" si="195"/>
        <v>4.7169988073046475E-2</v>
      </c>
      <c r="AU54" s="64">
        <f t="shared" si="195"/>
        <v>6.5357212074301785E-2</v>
      </c>
      <c r="AV54" s="64">
        <f t="shared" si="195"/>
        <v>7.3814553687838222E-2</v>
      </c>
      <c r="AW54" s="64">
        <f t="shared" si="195"/>
        <v>7.110591825371769E-2</v>
      </c>
      <c r="AX54" s="64">
        <f t="shared" si="195"/>
        <v>8.375825506294278E-2</v>
      </c>
      <c r="AY54" s="64">
        <f t="shared" si="195"/>
        <v>9.3678402266873143E-2</v>
      </c>
      <c r="AZ54" s="64">
        <f t="shared" si="195"/>
        <v>9.9128917438745329E-2</v>
      </c>
      <c r="BA54" s="64">
        <f t="shared" si="195"/>
        <v>8.8872530480656353E-2</v>
      </c>
      <c r="BB54" s="64">
        <f t="shared" si="195"/>
        <v>8.1106440046746345E-2</v>
      </c>
      <c r="BC54" s="64">
        <f t="shared" si="195"/>
        <v>7.7845452895127176E-2</v>
      </c>
      <c r="BD54" s="64">
        <f t="shared" si="195"/>
        <v>8.3872988855978187E-2</v>
      </c>
      <c r="BE54" s="301"/>
      <c r="BF54" s="231">
        <f t="shared" ref="BF54:BK54" si="196">BF52/BF7</f>
        <v>7.0639998385371452E-2</v>
      </c>
      <c r="BG54" s="301">
        <f t="shared" si="196"/>
        <v>8.8573201098754273E-2</v>
      </c>
      <c r="BH54" s="301">
        <f t="shared" si="196"/>
        <v>7.6601223044737696E-2</v>
      </c>
      <c r="BI54" s="301">
        <f t="shared" si="196"/>
        <v>5.940944401247468E-2</v>
      </c>
      <c r="BJ54" s="294">
        <f t="shared" si="196"/>
        <v>7.1925478424925249E-2</v>
      </c>
      <c r="BK54" s="64">
        <f t="shared" si="196"/>
        <v>4.8819512892066638E-2</v>
      </c>
      <c r="BM54" s="301">
        <f t="shared" ref="BM54:CT54" si="197">+BM52/BM7</f>
        <v>5.9756097560975607E-2</v>
      </c>
      <c r="BN54" s="301">
        <f t="shared" si="197"/>
        <v>5.2648440837249039E-2</v>
      </c>
      <c r="BO54" s="301">
        <f t="shared" si="197"/>
        <v>8.7916031219162111E-2</v>
      </c>
      <c r="BP54" s="301">
        <f t="shared" si="197"/>
        <v>9.4781336368070235E-2</v>
      </c>
      <c r="BQ54" s="301">
        <f t="shared" si="197"/>
        <v>7.2302397547502673E-2</v>
      </c>
      <c r="BR54" s="301">
        <f t="shared" si="197"/>
        <v>8.1552835518215391E-2</v>
      </c>
      <c r="BS54" s="301">
        <f t="shared" si="197"/>
        <v>5.4743157105361831E-2</v>
      </c>
      <c r="BT54" s="301">
        <f t="shared" si="197"/>
        <v>9.0760558777877628E-2</v>
      </c>
      <c r="BU54" s="301">
        <f t="shared" si="197"/>
        <v>0.11762397991211551</v>
      </c>
      <c r="BV54" s="301">
        <f t="shared" si="197"/>
        <v>0.31271716469770672</v>
      </c>
      <c r="BW54" s="301">
        <f t="shared" si="197"/>
        <v>0.33844422562948373</v>
      </c>
      <c r="BX54" s="301">
        <f t="shared" si="197"/>
        <v>9.0579173455784326E-2</v>
      </c>
      <c r="BY54" s="301">
        <f t="shared" si="197"/>
        <v>0.21545468989989938</v>
      </c>
      <c r="BZ54" s="301">
        <f t="shared" si="197"/>
        <v>0.13045802887185884</v>
      </c>
      <c r="CA54" s="301">
        <f t="shared" si="197"/>
        <v>0.11540567173984452</v>
      </c>
      <c r="CB54" s="301">
        <f t="shared" si="197"/>
        <v>9.9094917614295661E-2</v>
      </c>
      <c r="CC54" s="301">
        <f t="shared" si="197"/>
        <v>0.19058034412365121</v>
      </c>
      <c r="CD54" s="301">
        <f t="shared" si="197"/>
        <v>0.20027075048650478</v>
      </c>
      <c r="CE54" s="301">
        <f t="shared" si="197"/>
        <v>0.1746376508917756</v>
      </c>
      <c r="CF54" s="301">
        <f t="shared" si="197"/>
        <v>0.1230483475712521</v>
      </c>
      <c r="CG54" s="301">
        <f t="shared" si="197"/>
        <v>0.11549733564494258</v>
      </c>
      <c r="CH54" s="301">
        <f t="shared" si="197"/>
        <v>0.10838469983040311</v>
      </c>
      <c r="CI54" s="301">
        <f t="shared" si="197"/>
        <v>5.9509481398272217E-2</v>
      </c>
      <c r="CJ54" s="301">
        <f t="shared" si="197"/>
        <v>4.7169988073046475E-2</v>
      </c>
      <c r="CK54" s="301">
        <f t="shared" si="197"/>
        <v>6.5357212074301785E-2</v>
      </c>
      <c r="CL54" s="301">
        <f t="shared" si="197"/>
        <v>7.1839997755929252E-2</v>
      </c>
      <c r="CM54" s="301">
        <f t="shared" si="197"/>
        <v>8.0360463844218355E-2</v>
      </c>
      <c r="CN54" s="301">
        <f t="shared" si="197"/>
        <v>8.375825506294278E-2</v>
      </c>
      <c r="CO54" s="301">
        <f t="shared" si="197"/>
        <v>9.3678402266873143E-2</v>
      </c>
      <c r="CP54" s="301">
        <f t="shared" si="197"/>
        <v>9.9128917438745329E-2</v>
      </c>
      <c r="CQ54" s="301">
        <f t="shared" si="197"/>
        <v>8.8872530480656353E-2</v>
      </c>
      <c r="CR54" s="301">
        <f t="shared" si="197"/>
        <v>8.1106440046746345E-2</v>
      </c>
      <c r="CS54" s="301">
        <f t="shared" si="197"/>
        <v>7.7845452895127176E-2</v>
      </c>
      <c r="CT54" s="301">
        <f t="shared" si="197"/>
        <v>8.3872988855978187E-2</v>
      </c>
    </row>
    <row r="55" spans="1:98" s="5" customFormat="1" ht="13.5" customHeight="1">
      <c r="B55" s="5" t="s">
        <v>377</v>
      </c>
      <c r="C55" s="4">
        <f>250.828+19.775+0.57</f>
        <v>271.173</v>
      </c>
      <c r="D55" s="4">
        <f>337.918+10.845+0.466</f>
        <v>349.22900000000004</v>
      </c>
      <c r="E55" s="4">
        <f>342.004+13.637+0.829</f>
        <v>356.47</v>
      </c>
      <c r="F55" s="4">
        <f>326.266+17.17+0.741</f>
        <v>344.17700000000002</v>
      </c>
      <c r="G55" s="4">
        <f>200.737+13.183</f>
        <v>213.92</v>
      </c>
      <c r="H55" s="4">
        <f>360.377+19.709+1.261</f>
        <v>381.34700000000004</v>
      </c>
      <c r="I55" s="4">
        <f>1197.515</f>
        <v>1197.5150000000001</v>
      </c>
      <c r="J55" s="4">
        <v>1393.607</v>
      </c>
      <c r="K55" s="4">
        <v>1563.2719999999999</v>
      </c>
      <c r="L55" s="4">
        <v>5572.1210000000001</v>
      </c>
      <c r="M55" s="4">
        <v>6740.232</v>
      </c>
      <c r="N55" s="4">
        <v>7197.5039999999999</v>
      </c>
      <c r="O55" s="101">
        <f>SUM(BA55:BD55)</f>
        <v>7524.0149999999994</v>
      </c>
      <c r="P55" s="101"/>
      <c r="Q55" s="4">
        <f>91.508+3.394+0.214</f>
        <v>95.116</v>
      </c>
      <c r="R55" s="4">
        <f>+(178.331+6.918+0.427)-Q55</f>
        <v>90.559999999999988</v>
      </c>
      <c r="S55" s="4">
        <f>+(260.826+10.481+0.629)-R55-Q55</f>
        <v>86.260000000000034</v>
      </c>
      <c r="T55" s="6">
        <f>E55-SUM(Q55:S55)</f>
        <v>84.533999999999992</v>
      </c>
      <c r="U55" s="158">
        <f>79.93+3.807+0.192</f>
        <v>83.929000000000002</v>
      </c>
      <c r="V55" s="4">
        <f>48.486+2.897+0.192</f>
        <v>51.574999999999996</v>
      </c>
      <c r="W55" s="4">
        <f>+(162.723+7.928+0.377)-U55</f>
        <v>87.099000000000018</v>
      </c>
      <c r="X55" s="4">
        <f>(244.813+12.394+0.558)-W55-U55</f>
        <v>86.736999999999966</v>
      </c>
      <c r="Y55" s="103">
        <f>F55-W55-X55-U55</f>
        <v>86.412000000000006</v>
      </c>
      <c r="Z55" s="4">
        <f>49.12+3.928+0.182</f>
        <v>53.23</v>
      </c>
      <c r="AA55" s="4">
        <f>123.133+8.617+0.653-Z55</f>
        <v>79.173000000000002</v>
      </c>
      <c r="AB55" s="4">
        <f>238.547+12.966+0.955-AA55-Z55</f>
        <v>120.06500000000003</v>
      </c>
      <c r="AC55" s="103">
        <f>H55-AB55-AA55-Z55</f>
        <v>128.87900000000005</v>
      </c>
      <c r="AD55" s="4">
        <f>167.779+7.333+2.139</f>
        <v>177.251</v>
      </c>
      <c r="AE55" s="4">
        <f>592.65-AD55-AD56</f>
        <v>306.01599999999996</v>
      </c>
      <c r="AF55" s="4">
        <f>889.387-AE55-AD55-AD56</f>
        <v>296.73699999999997</v>
      </c>
      <c r="AG55" s="101">
        <f>I55-AF55-AE55-AD55</f>
        <v>417.51100000000019</v>
      </c>
      <c r="AH55" s="4">
        <v>303.89699999999999</v>
      </c>
      <c r="AI55" s="4">
        <f>661.89-AH55-AH56</f>
        <v>357.99299999999999</v>
      </c>
      <c r="AJ55" s="4">
        <f>1022.867-AI55-AH55-AH56</f>
        <v>360.97700000000003</v>
      </c>
      <c r="AK55" s="101">
        <f>J55-AJ55-AI55-AH55</f>
        <v>370.73999999999995</v>
      </c>
      <c r="AL55" s="4">
        <v>369.95800000000003</v>
      </c>
      <c r="AM55" s="4">
        <f>746.573-AL55-AL56</f>
        <v>376.61499999999995</v>
      </c>
      <c r="AN55" s="4">
        <f>1132.964-AM55-AL55-AL56</f>
        <v>386.39099999999991</v>
      </c>
      <c r="AO55" s="101">
        <f>K55-AN55-AM55-AL55</f>
        <v>430.30800000000005</v>
      </c>
      <c r="AP55" s="4">
        <v>399.16500000000002</v>
      </c>
      <c r="AQ55" s="4">
        <f>2082.68-AP55</f>
        <v>1683.5149999999999</v>
      </c>
      <c r="AR55" s="4">
        <f>3623.661-AQ55-AP55-AP56</f>
        <v>1540.9810000000002</v>
      </c>
      <c r="AS55" s="101">
        <f>L55-SUM(AP55:AR55)</f>
        <v>1948.46</v>
      </c>
      <c r="AT55" s="4">
        <v>1717.6289999999999</v>
      </c>
      <c r="AU55" s="4">
        <f>3308.001-AT55</f>
        <v>1590.3720000000003</v>
      </c>
      <c r="AV55" s="4">
        <f>4983.743-AU55-AT55-AT56</f>
        <v>1675.7420000000002</v>
      </c>
      <c r="AW55" s="101">
        <f>M55-SUM(AT55:AV55)</f>
        <v>1756.4889999999996</v>
      </c>
      <c r="AX55" s="4">
        <v>1696.1510000000001</v>
      </c>
      <c r="AY55" s="4">
        <f>3456.4-AX55</f>
        <v>1760.249</v>
      </c>
      <c r="AZ55" s="4">
        <f>5238.828-AY55-AX55</f>
        <v>1782.4280000000006</v>
      </c>
      <c r="BA55" s="101">
        <f>N55-SUM(AX55:AZ55)</f>
        <v>1958.6759999999995</v>
      </c>
      <c r="BB55" s="4">
        <v>1794.7560000000001</v>
      </c>
      <c r="BC55" s="4">
        <f>3660.543-BB55</f>
        <v>1865.787</v>
      </c>
      <c r="BD55" s="4">
        <f>5565.339-BC55-BB55</f>
        <v>1904.7959999999996</v>
      </c>
      <c r="BE55" s="4"/>
      <c r="BF55" s="232">
        <f>98.381+6.012+0.379-V55</f>
        <v>53.19700000000001</v>
      </c>
      <c r="BG55" s="4">
        <f>148.772+9.469+0.561-BF55-V55</f>
        <v>54.029999999999994</v>
      </c>
      <c r="BH55" s="4">
        <v>64</v>
      </c>
      <c r="BI55" s="4">
        <v>61.238999999999997</v>
      </c>
      <c r="BJ55" s="77">
        <f>661.89-AH55-AH56</f>
        <v>357.99299999999999</v>
      </c>
      <c r="BK55" s="4">
        <v>1649.682</v>
      </c>
      <c r="BM55" s="195"/>
      <c r="BN55" s="188"/>
      <c r="BO55" s="195"/>
      <c r="BP55" s="195"/>
      <c r="BQ55" s="188"/>
      <c r="BR55" s="188"/>
      <c r="BS55" s="188"/>
      <c r="BT55" s="195"/>
      <c r="BU55" s="195"/>
      <c r="BV55" s="188"/>
      <c r="BW55" s="188"/>
      <c r="BX55" s="188"/>
      <c r="BY55" s="188"/>
      <c r="BZ55" s="195"/>
      <c r="CA55" s="195"/>
      <c r="CB55" s="188"/>
      <c r="CC55" s="188"/>
      <c r="CD55" s="195"/>
      <c r="CE55" s="195"/>
      <c r="CF55" s="188"/>
      <c r="CG55" s="188"/>
      <c r="CH55" s="195"/>
      <c r="CI55" s="195"/>
      <c r="CJ55" s="188"/>
      <c r="CK55" s="188"/>
      <c r="CL55" s="195"/>
      <c r="CM55" s="195"/>
      <c r="CN55" s="188"/>
      <c r="CO55" s="188"/>
      <c r="CP55" s="188"/>
      <c r="CQ55" s="195"/>
      <c r="CR55" s="188"/>
      <c r="CS55" s="188"/>
      <c r="CT55" s="188"/>
    </row>
    <row r="56" spans="1:98" s="5" customFormat="1" ht="13.5" customHeight="1">
      <c r="B56" s="5" t="s">
        <v>378</v>
      </c>
      <c r="C56" s="4">
        <f>57.476+0.67</f>
        <v>58.146000000000001</v>
      </c>
      <c r="D56" s="4">
        <f>78.588+6.568</f>
        <v>85.155999999999992</v>
      </c>
      <c r="E56" s="4">
        <f>87.581+20.112</f>
        <v>107.693</v>
      </c>
      <c r="F56" s="4">
        <f>88.469+21.059</f>
        <v>109.52799999999999</v>
      </c>
      <c r="G56" s="4">
        <f>9.56+19.718</f>
        <v>29.277999999999999</v>
      </c>
      <c r="H56" s="4">
        <f>112.278+159.54</f>
        <v>271.81799999999998</v>
      </c>
      <c r="I56" s="4"/>
      <c r="J56" s="4"/>
      <c r="K56" s="4"/>
      <c r="L56" s="4"/>
      <c r="M56" s="4"/>
      <c r="N56" s="4"/>
      <c r="O56" s="103"/>
      <c r="P56" s="103"/>
      <c r="Q56" s="4">
        <f>22.824+5.038</f>
        <v>27.862000000000002</v>
      </c>
      <c r="R56" s="4">
        <f>+(43.479+10.059)-Q56</f>
        <v>25.675999999999995</v>
      </c>
      <c r="S56" s="4">
        <f>+(64.831+15.077)-R56-Q56</f>
        <v>26.370000000000005</v>
      </c>
      <c r="T56" s="6">
        <f>E56-SUM(Q56:S56)</f>
        <v>27.784999999999997</v>
      </c>
      <c r="U56" s="158">
        <f>21.142+5.134</f>
        <v>26.276</v>
      </c>
      <c r="V56" s="4">
        <f>2.015+4.915</f>
        <v>6.93</v>
      </c>
      <c r="W56" s="4">
        <f>+(42.763+10.32)-U56</f>
        <v>26.806999999999999</v>
      </c>
      <c r="X56" s="4">
        <f>(65.104+15.5)-W56-U56</f>
        <v>27.520999999999997</v>
      </c>
      <c r="Y56" s="103">
        <f>F56-W56-X56-U56</f>
        <v>28.923999999999989</v>
      </c>
      <c r="Z56" s="4">
        <f>2.969+4.959</f>
        <v>7.927999999999999</v>
      </c>
      <c r="AA56" s="4">
        <f>18.24+9.941-Z56</f>
        <v>20.253</v>
      </c>
      <c r="AB56" s="4">
        <f>66.121+14.938-AA56-Z56</f>
        <v>52.878</v>
      </c>
      <c r="AC56" s="103">
        <f>H56-AB56-AA56-Z56</f>
        <v>190.75900000000001</v>
      </c>
      <c r="AD56" s="4">
        <f>0.29+46.279+62.814</f>
        <v>109.38300000000001</v>
      </c>
      <c r="AE56" s="4"/>
      <c r="AF56" s="4"/>
      <c r="AG56" s="4"/>
      <c r="AH56" s="4"/>
      <c r="AI56" s="4"/>
      <c r="AJ56" s="4"/>
      <c r="AK56" s="4"/>
      <c r="AL56" s="4"/>
      <c r="AM56" s="4"/>
      <c r="AN56" s="4"/>
      <c r="AO56" s="4"/>
      <c r="AP56" s="4"/>
      <c r="AQ56" s="4"/>
      <c r="AR56" s="4"/>
      <c r="AS56" s="4"/>
      <c r="AT56" s="4"/>
      <c r="AU56" s="4"/>
      <c r="AV56" s="4"/>
      <c r="AW56" s="4"/>
      <c r="AX56" s="4"/>
      <c r="AY56" s="4"/>
      <c r="AZ56" s="4"/>
      <c r="BA56" s="4"/>
      <c r="BB56" s="4"/>
      <c r="BC56" s="4"/>
      <c r="BD56" s="4"/>
      <c r="BE56" s="4"/>
      <c r="BF56" s="232">
        <f>4.241+9.838-V56</f>
        <v>7.1489999999999991</v>
      </c>
      <c r="BG56" s="4">
        <f>6.797+14.757-BF56-V56</f>
        <v>7.4749999999999996</v>
      </c>
      <c r="BH56" s="4"/>
      <c r="BI56" s="4">
        <v>0</v>
      </c>
      <c r="BJ56" s="77"/>
      <c r="BK56" s="4"/>
      <c r="BM56" s="195"/>
      <c r="BN56" s="188"/>
      <c r="BO56" s="195"/>
      <c r="BP56" s="195"/>
      <c r="BQ56" s="188"/>
      <c r="BR56" s="188"/>
      <c r="BS56" s="188"/>
      <c r="BT56" s="195"/>
      <c r="BU56" s="195"/>
      <c r="BV56" s="188"/>
      <c r="BW56" s="188"/>
      <c r="BX56" s="188"/>
      <c r="BY56" s="188"/>
      <c r="BZ56" s="195"/>
      <c r="CA56" s="195"/>
      <c r="CB56" s="188"/>
      <c r="CC56" s="188"/>
      <c r="CD56" s="195"/>
      <c r="CE56" s="195"/>
      <c r="CF56" s="188"/>
      <c r="CG56" s="188"/>
      <c r="CH56" s="195"/>
      <c r="CI56" s="195"/>
      <c r="CJ56" s="188"/>
      <c r="CK56" s="188"/>
      <c r="CL56" s="195"/>
      <c r="CM56" s="195"/>
      <c r="CN56" s="188"/>
      <c r="CO56" s="188"/>
      <c r="CP56" s="188"/>
      <c r="CQ56" s="195"/>
      <c r="CR56" s="188"/>
      <c r="CS56" s="188"/>
      <c r="CT56" s="188"/>
    </row>
    <row r="57" spans="1:98" s="5" customFormat="1" ht="13.5" customHeight="1">
      <c r="C57" s="93"/>
      <c r="D57" s="93"/>
      <c r="E57" s="60"/>
      <c r="F57" s="60"/>
      <c r="G57" s="60"/>
      <c r="H57" s="60"/>
      <c r="I57" s="60"/>
      <c r="J57" s="60"/>
      <c r="K57" s="60"/>
      <c r="L57" s="60"/>
      <c r="M57" s="60"/>
      <c r="N57" s="60"/>
      <c r="O57" s="60"/>
      <c r="P57" s="60"/>
      <c r="Q57" s="60"/>
      <c r="R57" s="60"/>
      <c r="S57" s="60"/>
      <c r="T57" s="60"/>
      <c r="U57" s="153"/>
      <c r="V57" s="8"/>
      <c r="W57" s="8"/>
      <c r="Z57" s="8"/>
      <c r="AA57" s="8"/>
      <c r="AB57" s="8"/>
      <c r="AC57" s="8"/>
      <c r="AD57" s="8"/>
      <c r="AE57" s="8"/>
      <c r="AF57" s="8"/>
      <c r="AG57" s="8"/>
      <c r="AH57" s="8"/>
      <c r="AI57" s="8"/>
      <c r="AJ57" s="8"/>
      <c r="AK57" s="8"/>
      <c r="AL57" s="8"/>
      <c r="AM57" s="8"/>
      <c r="AN57" s="8"/>
      <c r="AO57" s="8"/>
      <c r="AP57" s="8"/>
      <c r="AQ57" s="8"/>
      <c r="AR57" s="8"/>
      <c r="AS57" s="8"/>
      <c r="AT57" s="8"/>
      <c r="AU57" s="8"/>
      <c r="AV57" s="8"/>
      <c r="AW57" s="8"/>
      <c r="AX57" s="8"/>
      <c r="AY57" s="8"/>
      <c r="AZ57" s="8"/>
      <c r="BA57" s="8"/>
      <c r="BB57" s="8"/>
      <c r="BC57" s="8"/>
      <c r="BD57" s="8"/>
      <c r="BE57" s="8"/>
      <c r="BF57" s="244"/>
      <c r="BG57" s="8"/>
      <c r="BH57" s="8"/>
      <c r="BI57" s="8"/>
      <c r="BJ57" s="89"/>
      <c r="BK57" s="8"/>
      <c r="BM57" s="8"/>
      <c r="BO57" s="8"/>
      <c r="BP57" s="8"/>
      <c r="BT57" s="8"/>
      <c r="BU57" s="8"/>
      <c r="BZ57" s="8"/>
      <c r="CA57" s="8"/>
      <c r="CD57" s="8"/>
      <c r="CE57" s="8"/>
      <c r="CH57" s="8"/>
      <c r="CI57" s="8"/>
      <c r="CL57" s="8"/>
      <c r="CM57" s="8"/>
      <c r="CQ57" s="8"/>
    </row>
    <row r="58" spans="1:98" ht="13.5" customHeight="1">
      <c r="C58" s="4"/>
      <c r="D58" s="4"/>
      <c r="E58" s="57"/>
      <c r="F58" s="57"/>
      <c r="G58" s="57"/>
      <c r="H58" s="57"/>
      <c r="I58" s="57"/>
      <c r="J58" s="57"/>
      <c r="K58" s="57"/>
      <c r="L58" s="57"/>
      <c r="M58" s="57"/>
      <c r="N58" s="57"/>
      <c r="O58" s="57"/>
      <c r="P58" s="57"/>
      <c r="Q58" s="55"/>
      <c r="U58" s="159"/>
      <c r="V58" s="55"/>
      <c r="W58" s="55"/>
      <c r="Z58" s="55"/>
      <c r="AA58" s="55"/>
      <c r="AB58" s="55"/>
      <c r="AC58" s="320"/>
      <c r="AD58" s="55"/>
      <c r="AE58" s="55"/>
      <c r="AF58" s="55"/>
      <c r="AG58" s="55"/>
      <c r="AH58" s="55"/>
      <c r="AI58" s="55"/>
      <c r="AJ58" s="55"/>
      <c r="AK58" s="55"/>
      <c r="AL58" s="55"/>
      <c r="AM58" s="55"/>
      <c r="AN58" s="55"/>
      <c r="AO58" s="55"/>
      <c r="AP58" s="55"/>
      <c r="AQ58" s="55"/>
      <c r="AR58" s="55"/>
      <c r="AS58" s="55"/>
      <c r="AT58" s="55"/>
      <c r="AU58" s="55"/>
      <c r="AV58" s="55"/>
      <c r="AW58" s="55"/>
      <c r="AX58" s="55"/>
      <c r="AY58" s="55"/>
      <c r="AZ58" s="55"/>
      <c r="BA58" s="55"/>
      <c r="BB58" s="55"/>
      <c r="BC58" s="55"/>
      <c r="BD58" s="55"/>
      <c r="BE58" s="67"/>
      <c r="BF58" s="245"/>
      <c r="BG58" s="320"/>
      <c r="BH58" s="320"/>
      <c r="BI58" s="320"/>
      <c r="BJ58" s="296"/>
      <c r="BK58" s="55"/>
      <c r="BM58" s="320"/>
      <c r="BO58" s="320"/>
      <c r="BP58" s="55"/>
      <c r="BT58" s="320"/>
      <c r="BU58" s="320"/>
      <c r="BZ58" s="320"/>
      <c r="CA58" s="320"/>
      <c r="CD58" s="320"/>
      <c r="CE58" s="320"/>
      <c r="CH58" s="320"/>
      <c r="CI58" s="320"/>
      <c r="CL58" s="320"/>
      <c r="CM58" s="320"/>
      <c r="CQ58" s="320"/>
    </row>
    <row r="59" spans="1:98" ht="13.5" customHeight="1">
      <c r="A59" s="26"/>
      <c r="B59" s="16" t="s">
        <v>89</v>
      </c>
      <c r="C59" s="44">
        <v>41975</v>
      </c>
      <c r="D59" s="44">
        <v>42341</v>
      </c>
      <c r="E59" s="44">
        <v>42708</v>
      </c>
      <c r="F59" s="44">
        <v>43073</v>
      </c>
      <c r="G59" s="44">
        <f t="shared" ref="G59:O59" si="198">G3</f>
        <v>43073</v>
      </c>
      <c r="H59" s="44">
        <f t="shared" si="198"/>
        <v>43438</v>
      </c>
      <c r="I59" s="44">
        <f t="shared" si="198"/>
        <v>43803</v>
      </c>
      <c r="J59" s="44">
        <f t="shared" si="198"/>
        <v>44169</v>
      </c>
      <c r="K59" s="44">
        <f t="shared" si="198"/>
        <v>44534</v>
      </c>
      <c r="L59" s="44">
        <f t="shared" si="198"/>
        <v>44899</v>
      </c>
      <c r="M59" s="44">
        <f t="shared" si="198"/>
        <v>45264</v>
      </c>
      <c r="N59" s="44">
        <f t="shared" si="198"/>
        <v>45630</v>
      </c>
      <c r="O59" s="120">
        <f t="shared" si="198"/>
        <v>45909</v>
      </c>
      <c r="P59" s="205"/>
      <c r="Q59" s="44">
        <v>42437</v>
      </c>
      <c r="R59" s="44">
        <v>42527</v>
      </c>
      <c r="S59" s="44">
        <v>42622</v>
      </c>
      <c r="T59" s="44">
        <v>42714</v>
      </c>
      <c r="U59" s="160">
        <f>U3</f>
        <v>42801</v>
      </c>
      <c r="V59" s="44">
        <v>42801</v>
      </c>
      <c r="W59" s="44">
        <v>42892</v>
      </c>
      <c r="X59" s="44">
        <v>42987</v>
      </c>
      <c r="Y59" s="44">
        <v>43079</v>
      </c>
      <c r="Z59" s="44">
        <v>43166</v>
      </c>
      <c r="AA59" s="44">
        <f>AA3</f>
        <v>43281</v>
      </c>
      <c r="AB59" s="44">
        <f>AB3</f>
        <v>43352</v>
      </c>
      <c r="AC59" s="44">
        <f>AC3</f>
        <v>43444</v>
      </c>
      <c r="AD59" s="44">
        <f t="shared" ref="AD59:BD59" si="199">+AD3</f>
        <v>43555</v>
      </c>
      <c r="AE59" s="44">
        <f t="shared" si="199"/>
        <v>43646</v>
      </c>
      <c r="AF59" s="44">
        <f t="shared" si="199"/>
        <v>43717</v>
      </c>
      <c r="AG59" s="44">
        <f t="shared" si="199"/>
        <v>43808</v>
      </c>
      <c r="AH59" s="44">
        <f t="shared" si="199"/>
        <v>43921</v>
      </c>
      <c r="AI59" s="44">
        <f t="shared" si="199"/>
        <v>44012</v>
      </c>
      <c r="AJ59" s="44">
        <f t="shared" si="199"/>
        <v>44083</v>
      </c>
      <c r="AK59" s="44">
        <f t="shared" si="199"/>
        <v>44174</v>
      </c>
      <c r="AL59" s="44">
        <f t="shared" si="199"/>
        <v>44286</v>
      </c>
      <c r="AM59" s="44">
        <f t="shared" si="199"/>
        <v>44377</v>
      </c>
      <c r="AN59" s="44">
        <f t="shared" si="199"/>
        <v>44448</v>
      </c>
      <c r="AO59" s="44">
        <f t="shared" si="199"/>
        <v>44539</v>
      </c>
      <c r="AP59" s="44">
        <f t="shared" si="199"/>
        <v>44651</v>
      </c>
      <c r="AQ59" s="44">
        <f t="shared" si="199"/>
        <v>44742</v>
      </c>
      <c r="AR59" s="44">
        <f t="shared" si="199"/>
        <v>44813</v>
      </c>
      <c r="AS59" s="44">
        <f t="shared" si="199"/>
        <v>44904</v>
      </c>
      <c r="AT59" s="44">
        <f t="shared" si="199"/>
        <v>45016</v>
      </c>
      <c r="AU59" s="44">
        <f t="shared" si="199"/>
        <v>45107</v>
      </c>
      <c r="AV59" s="44">
        <f t="shared" si="199"/>
        <v>45178</v>
      </c>
      <c r="AW59" s="44">
        <f t="shared" si="199"/>
        <v>45269</v>
      </c>
      <c r="AX59" s="44">
        <f t="shared" si="199"/>
        <v>45382</v>
      </c>
      <c r="AY59" s="44">
        <f t="shared" si="199"/>
        <v>45473</v>
      </c>
      <c r="AZ59" s="44">
        <f t="shared" si="199"/>
        <v>45544</v>
      </c>
      <c r="BA59" s="44">
        <f t="shared" si="199"/>
        <v>45635</v>
      </c>
      <c r="BB59" s="44">
        <f t="shared" si="199"/>
        <v>45747</v>
      </c>
      <c r="BC59" s="44">
        <f t="shared" si="199"/>
        <v>45838</v>
      </c>
      <c r="BD59" s="120">
        <f t="shared" si="199"/>
        <v>45909</v>
      </c>
      <c r="BE59" s="394"/>
      <c r="BF59" s="238">
        <f>BF3</f>
        <v>42892</v>
      </c>
      <c r="BG59" s="44">
        <f>BG3</f>
        <v>42987</v>
      </c>
      <c r="BH59" s="44">
        <f>BH3</f>
        <v>43078</v>
      </c>
      <c r="BI59" s="44">
        <v>43166</v>
      </c>
      <c r="BJ59" s="223">
        <f>+BJ3</f>
        <v>44012</v>
      </c>
      <c r="BK59" s="44">
        <f>+BK3</f>
        <v>45016</v>
      </c>
      <c r="BL59" s="418"/>
      <c r="BM59" s="44"/>
      <c r="BN59" s="17"/>
      <c r="BO59" s="44"/>
      <c r="BP59" s="44"/>
      <c r="BQ59" s="44"/>
      <c r="BR59" s="17"/>
      <c r="BS59" s="17"/>
      <c r="BT59" s="44"/>
      <c r="BU59" s="44"/>
      <c r="BV59" s="17"/>
      <c r="BW59" s="17"/>
      <c r="BX59" s="17"/>
      <c r="BY59" s="17"/>
      <c r="BZ59" s="44"/>
      <c r="CA59" s="44"/>
      <c r="CB59" s="17"/>
      <c r="CC59" s="17"/>
      <c r="CD59" s="44"/>
      <c r="CE59" s="44"/>
      <c r="CF59" s="17"/>
      <c r="CG59" s="17"/>
      <c r="CH59" s="44"/>
      <c r="CI59" s="44"/>
      <c r="CJ59" s="17"/>
      <c r="CK59" s="17"/>
      <c r="CL59" s="44"/>
      <c r="CM59" s="44"/>
      <c r="CN59" s="17"/>
      <c r="CO59" s="17"/>
      <c r="CP59" s="17"/>
      <c r="CQ59" s="44"/>
      <c r="CR59" s="17"/>
      <c r="CS59" s="17"/>
      <c r="CT59" s="17"/>
    </row>
    <row r="60" spans="1:98" s="5" customFormat="1" ht="13.5" customHeight="1">
      <c r="B60" s="5" t="s">
        <v>90</v>
      </c>
      <c r="C60" s="8">
        <f t="shared" ref="C60:AC60" si="200">C52</f>
        <v>1353.5794619999999</v>
      </c>
      <c r="D60" s="8">
        <f t="shared" si="200"/>
        <v>1741.8</v>
      </c>
      <c r="E60" s="8">
        <f t="shared" si="200"/>
        <v>1613.7</v>
      </c>
      <c r="F60" s="8">
        <f t="shared" si="200"/>
        <v>1707.8</v>
      </c>
      <c r="G60" s="8">
        <f t="shared" si="200"/>
        <v>791</v>
      </c>
      <c r="H60" s="8">
        <f t="shared" si="200"/>
        <v>2601</v>
      </c>
      <c r="I60" s="8">
        <f t="shared" ref="I60:O60" si="201">I52</f>
        <v>4812</v>
      </c>
      <c r="J60" s="8">
        <f t="shared" si="201"/>
        <v>9595</v>
      </c>
      <c r="K60" s="8">
        <f t="shared" si="201"/>
        <v>14544</v>
      </c>
      <c r="L60" s="8">
        <f t="shared" si="201"/>
        <v>12748</v>
      </c>
      <c r="M60" s="8">
        <f t="shared" si="201"/>
        <v>8555</v>
      </c>
      <c r="N60" s="8">
        <f>N52</f>
        <v>13642</v>
      </c>
      <c r="O60" s="8">
        <f t="shared" si="201"/>
        <v>13457</v>
      </c>
      <c r="P60" s="8"/>
      <c r="Q60" s="8">
        <f t="shared" si="200"/>
        <v>443.1</v>
      </c>
      <c r="R60" s="8">
        <f t="shared" si="200"/>
        <v>424</v>
      </c>
      <c r="S60" s="8">
        <f t="shared" si="200"/>
        <v>349</v>
      </c>
      <c r="T60" s="8">
        <f t="shared" si="200"/>
        <v>398.4</v>
      </c>
      <c r="U60" s="155">
        <f>U52</f>
        <v>334</v>
      </c>
      <c r="V60" s="8">
        <f t="shared" si="200"/>
        <v>129.9</v>
      </c>
      <c r="W60" s="8">
        <f t="shared" si="200"/>
        <v>391</v>
      </c>
      <c r="X60" s="8">
        <f t="shared" si="200"/>
        <v>490</v>
      </c>
      <c r="Y60" s="8">
        <f t="shared" si="200"/>
        <v>492.79999999999995</v>
      </c>
      <c r="Z60" s="8">
        <f t="shared" si="200"/>
        <v>175.6</v>
      </c>
      <c r="AA60" s="8">
        <f t="shared" si="200"/>
        <v>461</v>
      </c>
      <c r="AB60" s="8">
        <f t="shared" si="200"/>
        <v>1080</v>
      </c>
      <c r="AC60" s="8">
        <f t="shared" si="200"/>
        <v>884.4</v>
      </c>
      <c r="AD60" s="8">
        <f t="shared" ref="AD60:AI60" si="202">AD52</f>
        <v>584</v>
      </c>
      <c r="AE60" s="8">
        <f t="shared" si="202"/>
        <v>1111</v>
      </c>
      <c r="AF60" s="8">
        <f t="shared" si="202"/>
        <v>1499</v>
      </c>
      <c r="AG60" s="8">
        <f t="shared" si="202"/>
        <v>1618</v>
      </c>
      <c r="AH60" s="8">
        <f t="shared" si="202"/>
        <v>1223</v>
      </c>
      <c r="AI60" s="8">
        <f t="shared" si="202"/>
        <v>4068</v>
      </c>
      <c r="AJ60" s="8">
        <f t="shared" ref="AJ60:AO60" si="203">AJ52</f>
        <v>2196</v>
      </c>
      <c r="AK60" s="8">
        <f t="shared" si="203"/>
        <v>2108</v>
      </c>
      <c r="AL60" s="8">
        <f t="shared" si="203"/>
        <v>1708</v>
      </c>
      <c r="AM60" s="8">
        <f t="shared" si="203"/>
        <v>3921</v>
      </c>
      <c r="AN60" s="8">
        <f t="shared" si="203"/>
        <v>4734</v>
      </c>
      <c r="AO60" s="8">
        <f t="shared" si="203"/>
        <v>4181</v>
      </c>
      <c r="AP60" s="8">
        <f t="shared" ref="AP60:AU60" si="204">AP52</f>
        <v>2749</v>
      </c>
      <c r="AQ60" s="8">
        <f t="shared" si="204"/>
        <v>3983</v>
      </c>
      <c r="AR60" s="8">
        <f t="shared" si="204"/>
        <v>3792</v>
      </c>
      <c r="AS60" s="8">
        <f t="shared" si="204"/>
        <v>2224</v>
      </c>
      <c r="AT60" s="8">
        <f t="shared" si="204"/>
        <v>1498</v>
      </c>
      <c r="AU60" s="8">
        <f t="shared" si="204"/>
        <v>2050</v>
      </c>
      <c r="AV60" s="8">
        <f t="shared" ref="AV60:BA60" si="205">AV52</f>
        <v>2561</v>
      </c>
      <c r="AW60" s="8">
        <f t="shared" si="205"/>
        <v>2446</v>
      </c>
      <c r="AX60" s="8">
        <f t="shared" si="205"/>
        <v>2646</v>
      </c>
      <c r="AY60" s="8">
        <f t="shared" si="205"/>
        <v>3378</v>
      </c>
      <c r="AZ60" s="8">
        <f t="shared" si="205"/>
        <v>3872</v>
      </c>
      <c r="BA60" s="8">
        <f t="shared" si="205"/>
        <v>3746</v>
      </c>
      <c r="BB60" s="8">
        <f>BB52</f>
        <v>3196</v>
      </c>
      <c r="BC60" s="8">
        <f>BC52</f>
        <v>3012</v>
      </c>
      <c r="BD60" s="8">
        <f>BD52</f>
        <v>3503</v>
      </c>
      <c r="BE60" s="8"/>
      <c r="BF60" s="244">
        <f t="shared" ref="BF60:BK60" si="206">BF52</f>
        <v>154</v>
      </c>
      <c r="BG60" s="8">
        <f t="shared" si="206"/>
        <v>238</v>
      </c>
      <c r="BH60" s="8">
        <f t="shared" si="206"/>
        <v>238</v>
      </c>
      <c r="BI60" s="8">
        <f t="shared" si="206"/>
        <v>182</v>
      </c>
      <c r="BJ60" s="89">
        <f t="shared" si="206"/>
        <v>1358</v>
      </c>
      <c r="BK60" s="8">
        <f t="shared" si="206"/>
        <v>1498</v>
      </c>
      <c r="BM60" s="194"/>
      <c r="BN60" s="188"/>
      <c r="BO60" s="194"/>
      <c r="BP60" s="194"/>
      <c r="BQ60" s="188"/>
      <c r="BR60" s="188"/>
      <c r="BS60" s="188"/>
      <c r="BT60" s="194"/>
      <c r="BU60" s="194"/>
      <c r="BV60" s="188"/>
      <c r="BW60" s="188"/>
      <c r="BX60" s="188"/>
      <c r="BY60" s="188"/>
      <c r="BZ60" s="194"/>
      <c r="CA60" s="194"/>
      <c r="CB60" s="188"/>
      <c r="CC60" s="188"/>
      <c r="CD60" s="194"/>
      <c r="CE60" s="194"/>
      <c r="CF60" s="188"/>
      <c r="CG60" s="188"/>
      <c r="CH60" s="194"/>
      <c r="CI60" s="194"/>
      <c r="CJ60" s="188"/>
      <c r="CK60" s="188"/>
      <c r="CL60" s="194"/>
      <c r="CM60" s="194"/>
      <c r="CN60" s="188"/>
      <c r="CO60" s="188"/>
      <c r="CP60" s="188"/>
      <c r="CQ60" s="194"/>
      <c r="CR60" s="188"/>
      <c r="CS60" s="188"/>
      <c r="CT60" s="188"/>
    </row>
    <row r="61" spans="1:98" ht="13.5" customHeight="1">
      <c r="B61" s="7" t="s">
        <v>91</v>
      </c>
      <c r="C61" s="4">
        <f>569.041-66.412-14.3</f>
        <v>488.32900000000001</v>
      </c>
      <c r="D61" s="4">
        <f>270.259+160.468+93.484</f>
        <v>524.21100000000001</v>
      </c>
      <c r="E61" s="4">
        <f>512.996+152.693+496.242</f>
        <v>1161.931</v>
      </c>
      <c r="F61" s="4">
        <f>-327.249-509.116+339.137</f>
        <v>-497.22800000000001</v>
      </c>
      <c r="G61" s="4">
        <f>-216.107-397.183+250.156</f>
        <v>-363.13399999999996</v>
      </c>
      <c r="H61" s="4">
        <f>-80.071+74.341-229.725</f>
        <v>-235.45499999999998</v>
      </c>
      <c r="I61" s="4">
        <f>-1135.258-418.522+491.615</f>
        <v>-1062.165</v>
      </c>
      <c r="J61" s="4">
        <f>220.825-41.716-739.338</f>
        <v>-560.22900000000004</v>
      </c>
      <c r="K61" s="4">
        <f>-1078.386-1421.963+684.301</f>
        <v>-1816.0480000000002</v>
      </c>
      <c r="L61" s="4">
        <f>-498.95+4.727+189.003</f>
        <v>-305.22000000000003</v>
      </c>
      <c r="M61" s="4">
        <f>1987.815+1349.168-1329.027</f>
        <v>2007.9560000000001</v>
      </c>
      <c r="N61" s="4">
        <f>2273.62+75.739-3782.461</f>
        <v>-1433.1019999999999</v>
      </c>
      <c r="O61" s="103">
        <f>SUM(BA61:BD61)</f>
        <v>1760.2819999999999</v>
      </c>
      <c r="P61" s="103"/>
      <c r="Q61" s="4">
        <f>-43.735+167.268-132.287</f>
        <v>-8.7540000000000049</v>
      </c>
      <c r="R61" s="4">
        <f>35.474+175.412+107.08-Q61</f>
        <v>326.72000000000003</v>
      </c>
      <c r="S61" s="4">
        <f>309.139+26.013+318.051-R61-Q61</f>
        <v>335.23699999999997</v>
      </c>
      <c r="T61" s="6">
        <f>E61-SUM(Q61:S61)</f>
        <v>508.72800000000007</v>
      </c>
      <c r="U61" s="161">
        <f>256.43-1.386-318.096</f>
        <v>-63.051999999999992</v>
      </c>
      <c r="V61" s="4">
        <f>238.646+41.024-216.116</f>
        <v>63.553999999999945</v>
      </c>
      <c r="W61" s="4">
        <f>83.761-84.107-112.962-V61</f>
        <v>-176.86199999999997</v>
      </c>
      <c r="X61" s="4">
        <f>-100.313-348.679-9.676-W61-V61</f>
        <v>-345.3599999999999</v>
      </c>
      <c r="Y61" s="6">
        <f>F61-W61-X61-U61</f>
        <v>88.04599999999985</v>
      </c>
      <c r="Z61" s="4">
        <f>72.721+63.52-183.067</f>
        <v>-46.825999999999993</v>
      </c>
      <c r="AA61" s="4">
        <f>181.811-252.493-374.248-Z61</f>
        <v>-398.10399999999993</v>
      </c>
      <c r="AB61" s="4">
        <f>164.188-230.793-372.975-AA61-Z61</f>
        <v>5.3499999999998806</v>
      </c>
      <c r="AC61" s="103">
        <f>H61-AB61-AA61-Z61</f>
        <v>204.12500000000006</v>
      </c>
      <c r="AD61" s="4">
        <f>70.264-392.764-175.035</f>
        <v>-497.53499999999997</v>
      </c>
      <c r="AE61" s="4">
        <f>-154.925-431.295+18.021-AD61</f>
        <v>-70.664000000000101</v>
      </c>
      <c r="AF61" s="4">
        <f>-229.416-499.137-26.84-AE61-AD61</f>
        <v>-187.19399999999996</v>
      </c>
      <c r="AG61" s="103">
        <f>I61-AF61-AE61-AD61</f>
        <v>-306.77199999999993</v>
      </c>
      <c r="AH61" s="4">
        <f>-25.375-289.038-921.284</f>
        <v>-1235.6970000000001</v>
      </c>
      <c r="AI61" s="4">
        <f>-427.188+44.27-1046.68-AH61</f>
        <v>-193.90099999999984</v>
      </c>
      <c r="AJ61" s="4">
        <f>465.412+9.559-1521.502-AI61-AH61</f>
        <v>383.06700000000001</v>
      </c>
      <c r="AK61" s="103">
        <f>J61-AJ61-AI61-AH61</f>
        <v>486.30199999999991</v>
      </c>
      <c r="AL61" s="4">
        <f>367.197-515.292-531.29</f>
        <v>-679.38499999999999</v>
      </c>
      <c r="AM61" s="4">
        <f>-680.355-1124.735+91.543-AL61</f>
        <v>-1034.162</v>
      </c>
      <c r="AN61" s="4">
        <f>-254.182-1306.537+199.486-AM61-AL61</f>
        <v>352.31399999999985</v>
      </c>
      <c r="AO61" s="103">
        <f>K61-AN61-AM61-AL61</f>
        <v>-454.81500000000005</v>
      </c>
      <c r="AP61" s="4">
        <f>735.235-214.288+777.528</f>
        <v>1298.4749999999999</v>
      </c>
      <c r="AQ61" s="4">
        <f>881.284-321.607+276.508-AP61</f>
        <v>-462.28999999999996</v>
      </c>
      <c r="AR61" s="4">
        <f>-711.446-1234.143-57.523+1062.068-AQ61-AP61</f>
        <v>-1777.2289999999998</v>
      </c>
      <c r="AS61" s="103">
        <f>L61-AR61-AQ61-AP61</f>
        <v>635.82399999999984</v>
      </c>
      <c r="AT61" s="4">
        <f>297.28-350.642-27.661+85.624</f>
        <v>4.6009999999999707</v>
      </c>
      <c r="AU61" s="4">
        <f>570.913+672.829+107.729-987.278-AT61</f>
        <v>359.59199999999998</v>
      </c>
      <c r="AV61" s="4">
        <f>1200.85+168.261+421.799-317.07-AU61-AT61</f>
        <v>1109.6470000000002</v>
      </c>
      <c r="AW61" s="103">
        <f>M61-AV61-AU61-AT61</f>
        <v>534.11599999999999</v>
      </c>
      <c r="AX61" s="4">
        <f>1413.167+377.901-3084.886</f>
        <v>-1293.818</v>
      </c>
      <c r="AY61" s="4">
        <f>774.33+122.792-48.101-2886.727-AX61</f>
        <v>-743.88799999999969</v>
      </c>
      <c r="AZ61" s="4">
        <f>1307.41-1008.766-3.696-2637.054-AX61-AY61</f>
        <v>-304.40000000000009</v>
      </c>
      <c r="BA61" s="103">
        <f>N61-AZ61-AY61-AX61</f>
        <v>909.00399999999991</v>
      </c>
      <c r="BB61" s="4">
        <f>333.699-15.766+927.984</f>
        <v>1245.9169999999999</v>
      </c>
      <c r="BC61" s="4">
        <f>1435.903-1079.411-573.368+1788.487-BB61</f>
        <v>325.69399999999996</v>
      </c>
      <c r="BD61" s="4">
        <f>1253.461-2883.831-367.442+2849.09-BB61-BC61</f>
        <v>-720.33299999999986</v>
      </c>
      <c r="BE61" s="4"/>
      <c r="BF61" s="232">
        <f>113.243-47.809-108.068-V61</f>
        <v>-106.18799999999995</v>
      </c>
      <c r="BG61" s="4">
        <f>-75.629-199.575-2.827-BF61-V61</f>
        <v>-235.39700000000002</v>
      </c>
      <c r="BH61" s="4"/>
      <c r="BI61" s="4">
        <f>83.297+64.455+16.814</f>
        <v>164.566</v>
      </c>
      <c r="BJ61" s="77">
        <f>-427.188+44.27-1046.68-AH61</f>
        <v>-193.90099999999984</v>
      </c>
      <c r="BK61" s="4">
        <f>905.768-8.758-160.2</f>
        <v>736.81</v>
      </c>
      <c r="BM61" s="195"/>
      <c r="BN61" s="192"/>
      <c r="BO61" s="195"/>
      <c r="BP61" s="195"/>
      <c r="BQ61" s="192"/>
      <c r="BR61" s="192"/>
      <c r="BS61" s="192"/>
      <c r="BT61" s="195"/>
      <c r="BU61" s="195"/>
      <c r="BV61" s="192"/>
      <c r="BW61" s="192"/>
      <c r="BX61" s="192"/>
      <c r="BY61" s="192"/>
      <c r="BZ61" s="195"/>
      <c r="CA61" s="195"/>
      <c r="CB61" s="192"/>
      <c r="CC61" s="192"/>
      <c r="CD61" s="195"/>
      <c r="CE61" s="195"/>
      <c r="CF61" s="192"/>
      <c r="CG61" s="192"/>
      <c r="CH61" s="195"/>
      <c r="CI61" s="195"/>
      <c r="CJ61" s="192"/>
      <c r="CK61" s="192"/>
      <c r="CL61" s="195"/>
      <c r="CM61" s="195"/>
      <c r="CN61" s="192"/>
      <c r="CO61" s="192"/>
      <c r="CP61" s="192"/>
      <c r="CQ61" s="195"/>
      <c r="CR61" s="192"/>
      <c r="CS61" s="192"/>
      <c r="CT61" s="192"/>
    </row>
    <row r="62" spans="1:98" ht="13.5" customHeight="1">
      <c r="B62" s="7" t="s">
        <v>92</v>
      </c>
      <c r="C62" s="4">
        <v>-183</v>
      </c>
      <c r="D62" s="4">
        <v>26</v>
      </c>
      <c r="E62" s="130">
        <v>0</v>
      </c>
      <c r="F62" s="130">
        <v>0</v>
      </c>
      <c r="G62" s="130"/>
      <c r="H62" s="4">
        <v>-289.39999999999998</v>
      </c>
      <c r="I62" s="4">
        <v>-532.53</v>
      </c>
      <c r="J62" s="4">
        <v>-596.77300000000002</v>
      </c>
      <c r="K62" s="4">
        <v>-879.75699999999995</v>
      </c>
      <c r="L62" s="4">
        <v>-1275.9870000000001</v>
      </c>
      <c r="M62" s="4">
        <v>1085.5889999999999</v>
      </c>
      <c r="N62" s="4">
        <v>-360.58199999999999</v>
      </c>
      <c r="O62" s="103">
        <f>SUM(BA62:BD62)</f>
        <v>-667.38800000000003</v>
      </c>
      <c r="P62" s="103"/>
      <c r="Q62" s="130">
        <v>0</v>
      </c>
      <c r="R62" s="130">
        <v>0</v>
      </c>
      <c r="S62" s="130">
        <v>0</v>
      </c>
      <c r="T62" s="130">
        <v>0</v>
      </c>
      <c r="U62" s="161">
        <v>0</v>
      </c>
      <c r="V62" s="130">
        <v>0</v>
      </c>
      <c r="W62" s="130">
        <v>0</v>
      </c>
      <c r="X62" s="130">
        <v>0</v>
      </c>
      <c r="Y62" s="130">
        <v>0</v>
      </c>
      <c r="Z62" s="130">
        <v>0</v>
      </c>
      <c r="AA62" s="130">
        <v>0</v>
      </c>
      <c r="AB62" s="130">
        <v>0</v>
      </c>
      <c r="AC62" s="103">
        <f>H62-AB62-AA62-Z62</f>
        <v>-289.39999999999998</v>
      </c>
      <c r="AD62" s="4">
        <v>-94.632000000000005</v>
      </c>
      <c r="AE62" s="356">
        <f>-83.128-AD62</f>
        <v>11.504000000000005</v>
      </c>
      <c r="AF62" s="4">
        <f>-145.49-AE62-AD62</f>
        <v>-62.362000000000023</v>
      </c>
      <c r="AG62" s="103">
        <f>I62-AF62-AE62-AD62</f>
        <v>-387.03999999999996</v>
      </c>
      <c r="AH62" s="4">
        <v>-364.45800000000003</v>
      </c>
      <c r="AI62" s="356">
        <f>228.034-AH62</f>
        <v>592.49199999999996</v>
      </c>
      <c r="AJ62" s="4">
        <f>7.291-AI62-AH62</f>
        <v>-220.74299999999988</v>
      </c>
      <c r="AK62" s="103">
        <f>J62-AJ62-AI62-AH62</f>
        <v>-604.06400000000008</v>
      </c>
      <c r="AL62" s="4">
        <v>59.691000000000003</v>
      </c>
      <c r="AM62" s="356">
        <f>218.05-AL62</f>
        <v>158.35900000000001</v>
      </c>
      <c r="AN62" s="4">
        <f>-200.211-AM62-AL62</f>
        <v>-418.26100000000008</v>
      </c>
      <c r="AO62" s="103">
        <f>K62-AN62-AM62-AL62</f>
        <v>-679.54599999999994</v>
      </c>
      <c r="AP62" s="4">
        <v>481.64800000000002</v>
      </c>
      <c r="AQ62" s="4">
        <f>-795.012-AP62</f>
        <v>-1276.6599999999999</v>
      </c>
      <c r="AR62" s="4">
        <f>-1036.762-AQ62-AP62</f>
        <v>-241.75000000000011</v>
      </c>
      <c r="AS62" s="103">
        <f>L62-AR62-AQ62-AP62</f>
        <v>-239.22500000000025</v>
      </c>
      <c r="AT62" s="4">
        <v>-181.613</v>
      </c>
      <c r="AU62" s="4">
        <f>305.635-AT62</f>
        <v>487.24799999999999</v>
      </c>
      <c r="AV62" s="4">
        <f>801.588-AU62-AT62</f>
        <v>495.95299999999997</v>
      </c>
      <c r="AW62" s="103">
        <f>M62-AV62-AU62-AT62</f>
        <v>284.00099999999998</v>
      </c>
      <c r="AX62" s="4">
        <v>-275.14800000000002</v>
      </c>
      <c r="AY62" s="4">
        <f>464.095-AX62</f>
        <v>739.24300000000005</v>
      </c>
      <c r="AZ62" s="4">
        <f>168.341-AX62-AY62</f>
        <v>-295.75400000000002</v>
      </c>
      <c r="BA62" s="103">
        <f>N62-AZ62-AY62-AX62</f>
        <v>-528.923</v>
      </c>
      <c r="BB62" s="4">
        <v>-7.9420000000000002</v>
      </c>
      <c r="BC62" s="4">
        <f>-301.173-BB62</f>
        <v>-293.23099999999999</v>
      </c>
      <c r="BD62" s="4">
        <f>-138.465-BB62-BC62</f>
        <v>162.708</v>
      </c>
      <c r="BE62" s="4"/>
      <c r="BF62" s="286">
        <v>0</v>
      </c>
      <c r="BG62" s="130">
        <v>0</v>
      </c>
      <c r="BH62" s="130"/>
      <c r="BI62" s="356">
        <v>2.0699999999999998</v>
      </c>
      <c r="BJ62" s="354">
        <f>228.034-AH62</f>
        <v>592.49199999999996</v>
      </c>
      <c r="BK62" s="4">
        <v>-80.674000000000007</v>
      </c>
      <c r="BM62" s="195"/>
      <c r="BN62" s="192"/>
      <c r="BO62" s="195"/>
      <c r="BP62" s="195"/>
      <c r="BQ62" s="192"/>
      <c r="BR62" s="192"/>
      <c r="BS62" s="192"/>
      <c r="BT62" s="195"/>
      <c r="BU62" s="195"/>
      <c r="BV62" s="192"/>
      <c r="BW62" s="192"/>
      <c r="BX62" s="192"/>
      <c r="BY62" s="192"/>
      <c r="BZ62" s="195"/>
      <c r="CA62" s="195"/>
      <c r="CB62" s="192"/>
      <c r="CC62" s="192"/>
      <c r="CD62" s="195"/>
      <c r="CE62" s="195"/>
      <c r="CF62" s="192"/>
      <c r="CG62" s="192"/>
      <c r="CH62" s="195"/>
      <c r="CI62" s="195"/>
      <c r="CJ62" s="192"/>
      <c r="CK62" s="192"/>
      <c r="CL62" s="195"/>
      <c r="CM62" s="195"/>
      <c r="CN62" s="192"/>
      <c r="CO62" s="192"/>
      <c r="CP62" s="192"/>
      <c r="CQ62" s="195"/>
      <c r="CR62" s="192"/>
      <c r="CS62" s="192"/>
      <c r="CT62" s="192"/>
    </row>
    <row r="63" spans="1:98" ht="13.5" customHeight="1">
      <c r="B63" s="7" t="s">
        <v>93</v>
      </c>
      <c r="C63" s="4">
        <v>-953.37601512888568</v>
      </c>
      <c r="D63" s="4">
        <v>-1241.6389165928854</v>
      </c>
      <c r="E63" s="4">
        <v>-1164.0905966299579</v>
      </c>
      <c r="F63" s="4">
        <v>-801.3448563764116</v>
      </c>
      <c r="G63" s="6">
        <f>F63</f>
        <v>-801.3448563764116</v>
      </c>
      <c r="H63" s="4">
        <v>-809.88099999999997</v>
      </c>
      <c r="I63" s="4">
        <v>-1441.838</v>
      </c>
      <c r="J63" s="4">
        <v>-2440.4110000000001</v>
      </c>
      <c r="K63" s="4">
        <v>-1623.9949999999999</v>
      </c>
      <c r="L63" s="4">
        <v>-3090.2150000000001</v>
      </c>
      <c r="M63" s="4">
        <v>-5157.0739999999996</v>
      </c>
      <c r="N63" s="4">
        <v>4828.25</v>
      </c>
      <c r="O63" s="103">
        <f>SUM(BA63:BD63)</f>
        <v>3920.4200000000005</v>
      </c>
      <c r="P63" s="103"/>
      <c r="Q63" s="4">
        <v>-312.17687261947646</v>
      </c>
      <c r="R63" s="4">
        <v>-280.58550411854566</v>
      </c>
      <c r="S63" s="4">
        <v>-291.52975361771405</v>
      </c>
      <c r="T63" s="4">
        <v>-279.79846627422165</v>
      </c>
      <c r="U63" s="161">
        <v>-213.2</v>
      </c>
      <c r="V63" s="4">
        <v>-213.15298873211316</v>
      </c>
      <c r="W63" s="4">
        <v>-206.84381561819214</v>
      </c>
      <c r="X63" s="4">
        <v>-189.5046462038797</v>
      </c>
      <c r="Y63" s="6">
        <f>F63-W63-X63-U63</f>
        <v>-191.79639455433977</v>
      </c>
      <c r="Z63" s="4">
        <v>-203</v>
      </c>
      <c r="AA63" s="4">
        <v>-255</v>
      </c>
      <c r="AB63" s="4">
        <v>-336</v>
      </c>
      <c r="AC63" s="103">
        <f>H63-AB63-AA63-Z63</f>
        <v>-15.880999999999972</v>
      </c>
      <c r="AD63" s="4">
        <v>-258.92899999999997</v>
      </c>
      <c r="AE63" s="4">
        <f>-491.377-AD63</f>
        <v>-232.44800000000004</v>
      </c>
      <c r="AF63" s="4">
        <f>-826.84-AE63-AD63</f>
        <v>-335.46300000000008</v>
      </c>
      <c r="AG63" s="103">
        <f>I63-AF63-AE63-AD63</f>
        <v>-614.99799999999993</v>
      </c>
      <c r="AH63" s="4">
        <v>0</v>
      </c>
      <c r="AI63" s="4">
        <f>-875.778-AH63</f>
        <v>-875.77800000000002</v>
      </c>
      <c r="AJ63" s="4">
        <f>-2076.323-AI63-AH63</f>
        <v>-1200.5449999999998</v>
      </c>
      <c r="AK63" s="103">
        <f>J63-AJ63-AI63-AH63</f>
        <v>-364.08800000000019</v>
      </c>
      <c r="AL63" s="4">
        <v>0</v>
      </c>
      <c r="AM63" s="4">
        <f>0-AL63</f>
        <v>0</v>
      </c>
      <c r="AN63" s="4">
        <f>0-AM63-AL63</f>
        <v>0</v>
      </c>
      <c r="AO63" s="103">
        <f>K63-AN63-AM63-AL63</f>
        <v>-1623.9949999999999</v>
      </c>
      <c r="AP63" s="4">
        <v>0</v>
      </c>
      <c r="AQ63" s="4">
        <v>0</v>
      </c>
      <c r="AR63" s="4">
        <f>0-AQ63-AP63</f>
        <v>0</v>
      </c>
      <c r="AS63" s="103">
        <f>L63-AR63-AQ63-AP63</f>
        <v>-3090.2150000000001</v>
      </c>
      <c r="AT63" s="4">
        <v>-1315.982</v>
      </c>
      <c r="AU63" s="4">
        <f>-2849.702-AT63</f>
        <v>-1533.7200000000003</v>
      </c>
      <c r="AV63" s="4">
        <f>-3784.644-AU63-AT63</f>
        <v>-934.94199999999955</v>
      </c>
      <c r="AW63" s="103">
        <f>M63-AV63-AU63-AT63</f>
        <v>-1372.4299999999994</v>
      </c>
      <c r="AX63" s="4">
        <f>-1073.583</f>
        <v>-1073.5830000000001</v>
      </c>
      <c r="AY63" s="4">
        <f>-2093.239-AX63</f>
        <v>-1019.6559999999999</v>
      </c>
      <c r="AZ63" s="4">
        <f>-3270.115-AY63-AX63</f>
        <v>-1176.8759999999997</v>
      </c>
      <c r="BA63" s="103">
        <f>N63-AZ63-AY63-AX63</f>
        <v>8098.3649999999998</v>
      </c>
      <c r="BB63" s="4">
        <v>-1456.873</v>
      </c>
      <c r="BC63" s="4">
        <f>-2814.293-BB63</f>
        <v>-1357.42</v>
      </c>
      <c r="BD63" s="4">
        <f>-4177.945-BC63-BB63</f>
        <v>-1363.6519999999996</v>
      </c>
      <c r="BE63" s="4"/>
      <c r="BF63" s="287"/>
      <c r="BG63" s="325"/>
      <c r="BH63" s="325"/>
      <c r="BI63" s="4">
        <v>-100.496</v>
      </c>
      <c r="BJ63" s="77">
        <f>0-AH63</f>
        <v>0</v>
      </c>
      <c r="BK63" s="4">
        <v>0</v>
      </c>
      <c r="BM63" s="195"/>
      <c r="BN63" s="192"/>
      <c r="BO63" s="195"/>
      <c r="BP63" s="195"/>
      <c r="BQ63" s="192"/>
      <c r="BR63" s="192"/>
      <c r="BS63" s="192"/>
      <c r="BT63" s="195"/>
      <c r="BU63" s="195"/>
      <c r="BV63" s="192"/>
      <c r="BW63" s="192"/>
      <c r="BX63" s="192"/>
      <c r="BY63" s="192"/>
      <c r="BZ63" s="195"/>
      <c r="CA63" s="195"/>
      <c r="CB63" s="192"/>
      <c r="CC63" s="192"/>
      <c r="CD63" s="195"/>
      <c r="CE63" s="195"/>
      <c r="CF63" s="192"/>
      <c r="CG63" s="192"/>
      <c r="CH63" s="195"/>
      <c r="CI63" s="195"/>
      <c r="CJ63" s="192"/>
      <c r="CK63" s="192"/>
      <c r="CL63" s="195"/>
      <c r="CM63" s="195"/>
      <c r="CN63" s="192"/>
      <c r="CO63" s="192"/>
      <c r="CP63" s="192"/>
      <c r="CQ63" s="195"/>
      <c r="CR63" s="192"/>
      <c r="CS63" s="192"/>
      <c r="CT63" s="192"/>
    </row>
    <row r="64" spans="1:98" s="5" customFormat="1" ht="13.5" customHeight="1">
      <c r="B64" s="5" t="s">
        <v>94</v>
      </c>
      <c r="C64" s="37">
        <f t="shared" ref="C64:H64" si="207">SUM(C60:C63)</f>
        <v>705.53244687111419</v>
      </c>
      <c r="D64" s="37">
        <f t="shared" si="207"/>
        <v>1050.3720834071146</v>
      </c>
      <c r="E64" s="37">
        <f t="shared" si="207"/>
        <v>1611.5404033700424</v>
      </c>
      <c r="F64" s="37">
        <f t="shared" si="207"/>
        <v>409.22714362358829</v>
      </c>
      <c r="G64" s="37">
        <f t="shared" si="207"/>
        <v>-373.47885637641156</v>
      </c>
      <c r="H64" s="37">
        <f t="shared" si="207"/>
        <v>1266.2640000000001</v>
      </c>
      <c r="I64" s="37">
        <f t="shared" ref="I64:O64" si="208">SUM(I60:I63)</f>
        <v>1775.4670000000003</v>
      </c>
      <c r="J64" s="37">
        <f t="shared" si="208"/>
        <v>5997.5870000000014</v>
      </c>
      <c r="K64" s="37">
        <f t="shared" si="208"/>
        <v>10224.200000000001</v>
      </c>
      <c r="L64" s="37">
        <f t="shared" si="208"/>
        <v>8076.5780000000013</v>
      </c>
      <c r="M64" s="37">
        <f t="shared" si="208"/>
        <v>6491.4710000000005</v>
      </c>
      <c r="N64" s="37">
        <f>SUM(N60:N63)</f>
        <v>16676.565999999999</v>
      </c>
      <c r="O64" s="37">
        <f t="shared" si="208"/>
        <v>18470.313999999998</v>
      </c>
      <c r="P64" s="37"/>
      <c r="Q64" s="37">
        <f t="shared" ref="Q64:X64" si="209">SUM(Q60:Q63)</f>
        <v>122.16912738052355</v>
      </c>
      <c r="R64" s="37">
        <f>SUM(R60:R63)</f>
        <v>470.13449588145437</v>
      </c>
      <c r="S64" s="37">
        <f>SUM(S60:S63)</f>
        <v>392.70724638228592</v>
      </c>
      <c r="T64" s="37">
        <f t="shared" si="209"/>
        <v>627.32953372577845</v>
      </c>
      <c r="U64" s="162">
        <f>SUM(U60:U63)</f>
        <v>57.74799999999999</v>
      </c>
      <c r="V64" s="37">
        <f t="shared" si="209"/>
        <v>-19.698988732113207</v>
      </c>
      <c r="W64" s="37">
        <f t="shared" si="209"/>
        <v>7.2941843818078951</v>
      </c>
      <c r="X64" s="37">
        <f t="shared" si="209"/>
        <v>-44.864646203879602</v>
      </c>
      <c r="Y64" s="37">
        <f t="shared" ref="Y64:AD64" si="210">SUM(Y60:Y63)</f>
        <v>389.04960544566001</v>
      </c>
      <c r="Z64" s="37">
        <f t="shared" si="210"/>
        <v>-74.225999999999999</v>
      </c>
      <c r="AA64" s="37">
        <f t="shared" si="210"/>
        <v>-192.10399999999993</v>
      </c>
      <c r="AB64" s="37">
        <f t="shared" si="210"/>
        <v>749.34999999999991</v>
      </c>
      <c r="AC64" s="37">
        <f t="shared" si="210"/>
        <v>783.24400000000014</v>
      </c>
      <c r="AD64" s="37">
        <f t="shared" si="210"/>
        <v>-267.09599999999995</v>
      </c>
      <c r="AE64" s="37">
        <f t="shared" ref="AE64:AJ64" si="211">SUM(AE60:AE63)</f>
        <v>819.3919999999996</v>
      </c>
      <c r="AF64" s="37">
        <f t="shared" si="211"/>
        <v>913.98099999999988</v>
      </c>
      <c r="AG64" s="37">
        <f t="shared" si="211"/>
        <v>309.19000000000017</v>
      </c>
      <c r="AH64" s="37">
        <f t="shared" si="211"/>
        <v>-377.15500000000014</v>
      </c>
      <c r="AI64" s="37">
        <f t="shared" si="211"/>
        <v>3590.8130000000001</v>
      </c>
      <c r="AJ64" s="37">
        <f t="shared" si="211"/>
        <v>1157.7790000000002</v>
      </c>
      <c r="AK64" s="37">
        <f t="shared" ref="AK64:AP64" si="212">SUM(AK60:AK63)</f>
        <v>1626.1499999999994</v>
      </c>
      <c r="AL64" s="37">
        <f t="shared" si="212"/>
        <v>1088.306</v>
      </c>
      <c r="AM64" s="37">
        <f t="shared" si="212"/>
        <v>3045.1969999999997</v>
      </c>
      <c r="AN64" s="37">
        <f t="shared" si="212"/>
        <v>4668.0529999999999</v>
      </c>
      <c r="AO64" s="37">
        <f t="shared" si="212"/>
        <v>1422.6440000000002</v>
      </c>
      <c r="AP64" s="37">
        <f t="shared" si="212"/>
        <v>4529.1229999999996</v>
      </c>
      <c r="AQ64" s="37">
        <f t="shared" ref="AQ64:AV64" si="213">SUM(AQ60:AQ63)</f>
        <v>2244.0500000000002</v>
      </c>
      <c r="AR64" s="37">
        <f t="shared" si="213"/>
        <v>1773.0210000000002</v>
      </c>
      <c r="AS64" s="37">
        <f t="shared" si="213"/>
        <v>-469.61600000000089</v>
      </c>
      <c r="AT64" s="37">
        <f t="shared" si="213"/>
        <v>5.0059999999998581</v>
      </c>
      <c r="AU64" s="37">
        <f t="shared" si="213"/>
        <v>1363.12</v>
      </c>
      <c r="AV64" s="37">
        <f t="shared" si="213"/>
        <v>3231.6580000000008</v>
      </c>
      <c r="AW64" s="37">
        <f t="shared" ref="AW64:BB64" si="214">SUM(AW60:AW63)</f>
        <v>1891.6870000000008</v>
      </c>
      <c r="AX64" s="37">
        <f t="shared" si="214"/>
        <v>3.4510000000000218</v>
      </c>
      <c r="AY64" s="37">
        <f t="shared" si="214"/>
        <v>2353.6990000000001</v>
      </c>
      <c r="AZ64" s="37">
        <f t="shared" si="214"/>
        <v>2094.9700000000003</v>
      </c>
      <c r="BA64" s="37">
        <f t="shared" si="214"/>
        <v>12224.446</v>
      </c>
      <c r="BB64" s="37">
        <f t="shared" si="214"/>
        <v>2977.1019999999994</v>
      </c>
      <c r="BC64" s="37">
        <f>SUM(BC60:BC63)</f>
        <v>1687.0429999999997</v>
      </c>
      <c r="BD64" s="37">
        <f>SUM(BD60:BD63)</f>
        <v>1581.7230000000009</v>
      </c>
      <c r="BE64" s="37"/>
      <c r="BF64" s="288">
        <f>SUM(BF60:BF63)</f>
        <v>47.812000000000054</v>
      </c>
      <c r="BG64" s="37">
        <f>SUM(BG60:BG63)</f>
        <v>2.6029999999999802</v>
      </c>
      <c r="BH64" s="37"/>
      <c r="BI64" s="37">
        <f>SUM(BI60:BI63)</f>
        <v>248.14000000000004</v>
      </c>
      <c r="BJ64" s="297">
        <f>SUM(BJ60:BJ63)</f>
        <v>1756.5910000000001</v>
      </c>
      <c r="BK64" s="37">
        <f>SUM(BK60:BK63)</f>
        <v>2154.136</v>
      </c>
      <c r="BM64" s="195"/>
      <c r="BN64" s="188"/>
      <c r="BO64" s="195"/>
      <c r="BP64" s="195"/>
      <c r="BQ64" s="188"/>
      <c r="BR64" s="188"/>
      <c r="BS64" s="188"/>
      <c r="BT64" s="195"/>
      <c r="BU64" s="195"/>
      <c r="BV64" s="188"/>
      <c r="BW64" s="188"/>
      <c r="BX64" s="188"/>
      <c r="BY64" s="188"/>
      <c r="BZ64" s="195"/>
      <c r="CA64" s="195"/>
      <c r="CB64" s="188"/>
      <c r="CC64" s="188"/>
      <c r="CD64" s="195"/>
      <c r="CE64" s="195"/>
      <c r="CF64" s="188"/>
      <c r="CG64" s="188"/>
      <c r="CH64" s="195"/>
      <c r="CI64" s="195"/>
      <c r="CJ64" s="188"/>
      <c r="CK64" s="188"/>
      <c r="CL64" s="195"/>
      <c r="CM64" s="195"/>
      <c r="CN64" s="188"/>
      <c r="CO64" s="188"/>
      <c r="CP64" s="188"/>
      <c r="CQ64" s="195"/>
      <c r="CR64" s="188"/>
      <c r="CS64" s="188"/>
      <c r="CT64" s="188"/>
    </row>
    <row r="65" spans="2:98" ht="13.5" customHeight="1">
      <c r="B65" s="7" t="s">
        <v>95</v>
      </c>
      <c r="C65" s="4">
        <v>-284.64600000000002</v>
      </c>
      <c r="D65" s="4">
        <v>-400.19900000000001</v>
      </c>
      <c r="E65" s="4">
        <v>-450.89800000000002</v>
      </c>
      <c r="F65" s="4">
        <v>-795.21799999999996</v>
      </c>
      <c r="G65" s="4">
        <v>-438.82900000000001</v>
      </c>
      <c r="H65" s="4">
        <v>-676.62800000000004</v>
      </c>
      <c r="I65" s="4">
        <v>-955.69600000000003</v>
      </c>
      <c r="J65" s="4">
        <v>-1376.1849999999999</v>
      </c>
      <c r="K65" s="4">
        <v>-2104.67</v>
      </c>
      <c r="L65" s="4">
        <f>-2673.282-1058.569</f>
        <v>-3731.8510000000001</v>
      </c>
      <c r="M65" s="4">
        <f>-2045.868-1457.167</f>
        <v>-3503.0349999999999</v>
      </c>
      <c r="N65" s="4">
        <f>-2318.685-1454.688</f>
        <v>-3773.373</v>
      </c>
      <c r="O65" s="103">
        <f>SUM(BA65:BD65)</f>
        <v>-4830.9679999999998</v>
      </c>
      <c r="P65" s="103"/>
      <c r="Q65" s="4">
        <v>-89.81</v>
      </c>
      <c r="R65" s="4">
        <f>-131.475-Q65</f>
        <v>-41.664999999999992</v>
      </c>
      <c r="S65" s="4">
        <f>-288.683-R65-Q65</f>
        <v>-157.208</v>
      </c>
      <c r="T65" s="6">
        <f>E65-SUM(Q65:S65)</f>
        <v>-162.21500000000003</v>
      </c>
      <c r="U65" s="161">
        <v>-115.098</v>
      </c>
      <c r="V65" s="4">
        <v>-43.402000000000001</v>
      </c>
      <c r="W65" s="4">
        <f>-285.06-V65</f>
        <v>-241.65800000000002</v>
      </c>
      <c r="X65" s="4">
        <f>-557.542-W65-V65</f>
        <v>-272.48200000000003</v>
      </c>
      <c r="Y65" s="6">
        <f>F65-W65-X65-U65</f>
        <v>-165.9799999999999</v>
      </c>
      <c r="Z65" s="4">
        <v>-109.65300000000001</v>
      </c>
      <c r="AA65" s="4">
        <f>-263.147-Z65</f>
        <v>-153.49399999999997</v>
      </c>
      <c r="AB65" s="4">
        <f>-457.68-AA65-Z65</f>
        <v>-194.53300000000002</v>
      </c>
      <c r="AC65" s="103">
        <f>H65-AB65-AA65-Z65</f>
        <v>-218.94800000000004</v>
      </c>
      <c r="AD65" s="4">
        <v>-292.072</v>
      </c>
      <c r="AE65" s="4">
        <f>-505.829-AD65</f>
        <v>-213.75700000000001</v>
      </c>
      <c r="AF65" s="4">
        <f>-635.692-AE65-AD65</f>
        <v>-129.863</v>
      </c>
      <c r="AG65" s="103">
        <f>I65-AF65-AE65-AD65</f>
        <v>-320.00400000000002</v>
      </c>
      <c r="AH65" s="4">
        <v>-188.744</v>
      </c>
      <c r="AI65" s="4">
        <f>-497.02-AH65</f>
        <v>-308.27599999999995</v>
      </c>
      <c r="AJ65" s="4">
        <f>-907.335-AI65-AH65</f>
        <v>-410.31500000000005</v>
      </c>
      <c r="AK65" s="103">
        <f>J65-AJ65-AI65-AH65</f>
        <v>-468.84999999999991</v>
      </c>
      <c r="AL65" s="4">
        <v>-395.92399999999998</v>
      </c>
      <c r="AM65" s="4">
        <f>-829.504-18.884-AL65</f>
        <v>-452.46400000000006</v>
      </c>
      <c r="AN65" s="4">
        <f>-1358.773-18.938-AM65-AL65</f>
        <v>-529.32299999999998</v>
      </c>
      <c r="AO65" s="103">
        <f>K65-AN65-AM65-AL65</f>
        <v>-726.95900000000029</v>
      </c>
      <c r="AP65" s="4">
        <v>-448.75900000000001</v>
      </c>
      <c r="AQ65" s="4">
        <f>-1681.339-465.264-AP65</f>
        <v>-1697.8440000000001</v>
      </c>
      <c r="AR65" s="4">
        <f>-1803.726-692.939-AQ65-AP65</f>
        <v>-350.0619999999999</v>
      </c>
      <c r="AS65" s="103">
        <f>L65-AR65-AQ65-AP65</f>
        <v>-1235.1860000000001</v>
      </c>
      <c r="AT65" s="4">
        <f>-667.13-369.07</f>
        <v>-1036.2</v>
      </c>
      <c r="AU65" s="4">
        <f>-1169.919-732.457-AT65</f>
        <v>-866.17600000000016</v>
      </c>
      <c r="AV65" s="4">
        <f>-1585.984-1099.242-AU65-AT65</f>
        <v>-782.84999999999945</v>
      </c>
      <c r="AW65" s="103">
        <f>M65-AV65-AU65-AT65</f>
        <v>-817.8090000000002</v>
      </c>
      <c r="AX65" s="4">
        <f>-409.28-353.243</f>
        <v>-762.52299999999991</v>
      </c>
      <c r="AY65" s="4">
        <f>-855.162-712.852-AX65</f>
        <v>-805.49100000000021</v>
      </c>
      <c r="AZ65" s="4">
        <f>-1396.827-1069.19-AX65-AY65</f>
        <v>-898.0029999999997</v>
      </c>
      <c r="BA65" s="103">
        <f>N65-AZ65-AY65-AX65</f>
        <v>-1307.356</v>
      </c>
      <c r="BB65" s="4">
        <f>-501.747-389.802</f>
        <v>-891.54899999999998</v>
      </c>
      <c r="BC65" s="4">
        <f>-1355.012-807.259-BB65</f>
        <v>-1270.7219999999998</v>
      </c>
      <c r="BD65" s="4">
        <f>-2288.69-1234.922-BB65-BC65</f>
        <v>-1361.3410000000003</v>
      </c>
      <c r="BE65" s="4"/>
      <c r="BF65" s="232">
        <f>-115.845-V65</f>
        <v>-72.442999999999998</v>
      </c>
      <c r="BG65" s="4">
        <f>-299.497-BF65-V65</f>
        <v>-183.65200000000004</v>
      </c>
      <c r="BH65" s="4"/>
      <c r="BI65" s="4">
        <v>-292.072</v>
      </c>
      <c r="BJ65" s="77">
        <f>-497.02-AH65</f>
        <v>-308.27599999999995</v>
      </c>
      <c r="BK65" s="4">
        <f>-620.21-369.07</f>
        <v>-989.28</v>
      </c>
      <c r="BM65" s="195"/>
      <c r="BN65" s="192"/>
      <c r="BO65" s="195"/>
      <c r="BP65" s="195"/>
      <c r="BQ65" s="192"/>
      <c r="BR65" s="192"/>
      <c r="BS65" s="192"/>
      <c r="BT65" s="195"/>
      <c r="BU65" s="195"/>
      <c r="BV65" s="192"/>
      <c r="BW65" s="192"/>
      <c r="BX65" s="192"/>
      <c r="BY65" s="192"/>
      <c r="BZ65" s="195"/>
      <c r="CA65" s="195"/>
      <c r="CB65" s="192"/>
      <c r="CC65" s="192"/>
      <c r="CD65" s="195"/>
      <c r="CE65" s="195"/>
      <c r="CF65" s="192"/>
      <c r="CG65" s="192"/>
      <c r="CH65" s="195"/>
      <c r="CI65" s="195"/>
      <c r="CJ65" s="192"/>
      <c r="CK65" s="192"/>
      <c r="CL65" s="195"/>
      <c r="CM65" s="195"/>
      <c r="CN65" s="192"/>
      <c r="CO65" s="192"/>
      <c r="CP65" s="192"/>
      <c r="CQ65" s="195"/>
      <c r="CR65" s="192"/>
      <c r="CS65" s="192"/>
      <c r="CT65" s="192"/>
    </row>
    <row r="66" spans="2:98" ht="13.5" customHeight="1">
      <c r="B66" s="7" t="s">
        <v>96</v>
      </c>
      <c r="C66" s="4">
        <v>-16.695</v>
      </c>
      <c r="D66" s="4">
        <v>-4.6589999999999998</v>
      </c>
      <c r="E66" s="4">
        <v>-10.85</v>
      </c>
      <c r="F66" s="4">
        <v>-21.053000000000001</v>
      </c>
      <c r="G66" s="4">
        <v>-17.395</v>
      </c>
      <c r="H66" s="4">
        <v>-8.5690000000000008</v>
      </c>
      <c r="I66" s="4">
        <v>-7.1260000000000003</v>
      </c>
      <c r="J66" s="4">
        <v>-2.4470000000000001</v>
      </c>
      <c r="K66" s="4">
        <v>-4.3529999999999998</v>
      </c>
      <c r="L66" s="4">
        <v>-179.261</v>
      </c>
      <c r="M66" s="4">
        <v>-168.9</v>
      </c>
      <c r="N66" s="4">
        <v>-159.87899999999999</v>
      </c>
      <c r="O66" s="103">
        <f>SUM(BA66:BD66)</f>
        <v>-217.21999999999997</v>
      </c>
      <c r="P66" s="103"/>
      <c r="Q66" s="4">
        <v>-2.899</v>
      </c>
      <c r="R66" s="4">
        <f>-4.85-Q66</f>
        <v>-1.9509999999999996</v>
      </c>
      <c r="S66" s="4">
        <f>-6.507-R66-Q66</f>
        <v>-1.657</v>
      </c>
      <c r="T66" s="6">
        <f>E66-SUM(Q66:S66)</f>
        <v>-4.343</v>
      </c>
      <c r="U66" s="161">
        <v>-2.1909999999999998</v>
      </c>
      <c r="V66" s="4">
        <v>-0.85799999999999998</v>
      </c>
      <c r="W66" s="105">
        <f>-7.552-V66</f>
        <v>-6.694</v>
      </c>
      <c r="X66" s="4">
        <f>-15.512-W66-V66</f>
        <v>-7.9600000000000017</v>
      </c>
      <c r="Y66" s="6">
        <f>F66-W66-X66-U66</f>
        <v>-4.2080000000000002</v>
      </c>
      <c r="Z66" s="4">
        <v>-3.0840000000000001</v>
      </c>
      <c r="AA66" s="105">
        <f>-5.712-Z66</f>
        <v>-2.6279999999999997</v>
      </c>
      <c r="AB66" s="105">
        <f>-6.906-AA66-Z66</f>
        <v>-1.1940000000000004</v>
      </c>
      <c r="AC66" s="103">
        <f>H66-AB66-AA66-Z66</f>
        <v>-1.6629999999999998</v>
      </c>
      <c r="AD66" s="4">
        <v>-0.78900000000000003</v>
      </c>
      <c r="AE66" s="4">
        <f>-4.191-AD66</f>
        <v>-3.4019999999999997</v>
      </c>
      <c r="AF66" s="4">
        <f>-5.015-AE66-AD66</f>
        <v>-0.82399999999999995</v>
      </c>
      <c r="AG66" s="103">
        <f>I66-AF66-AE66-AD66</f>
        <v>-2.1110000000000007</v>
      </c>
      <c r="AH66" s="4">
        <v>-1.635</v>
      </c>
      <c r="AI66" s="4">
        <f>-1.915-AH66</f>
        <v>-0.28000000000000003</v>
      </c>
      <c r="AJ66" s="4">
        <f>-2.347-AI66-AH66</f>
        <v>-0.43200000000000016</v>
      </c>
      <c r="AK66" s="103">
        <f>J66-AJ66-AI66-AH66</f>
        <v>-9.9999999999999645E-2</v>
      </c>
      <c r="AL66" s="4">
        <v>-0.49299999999999999</v>
      </c>
      <c r="AM66" s="4">
        <f>-2.507-AL66</f>
        <v>-2.0140000000000002</v>
      </c>
      <c r="AN66" s="4">
        <f>-3.786-AM66-AL66</f>
        <v>-1.2789999999999999</v>
      </c>
      <c r="AO66" s="103">
        <f>K66-AN66-AM66-AL66</f>
        <v>-0.56699999999999962</v>
      </c>
      <c r="AP66" s="4">
        <f>-1.033</f>
        <v>-1.0329999999999999</v>
      </c>
      <c r="AQ66" s="4">
        <f>-83.726-AP66</f>
        <v>-82.692999999999998</v>
      </c>
      <c r="AR66" s="4">
        <f>-133.111-AQ66-AP66</f>
        <v>-49.384999999999991</v>
      </c>
      <c r="AS66" s="103">
        <f>L66-AR66-AQ66-AP66</f>
        <v>-46.150000000000006</v>
      </c>
      <c r="AT66" s="4">
        <v>-49.49</v>
      </c>
      <c r="AU66" s="4">
        <f>-117.767-AT66</f>
        <v>-68.276999999999987</v>
      </c>
      <c r="AV66" s="4">
        <f>-145.402-AU66-AT66</f>
        <v>-27.634999999999998</v>
      </c>
      <c r="AW66" s="103">
        <f>M66-AV66-AU66-AT66</f>
        <v>-23.498000000000026</v>
      </c>
      <c r="AX66" s="4">
        <v>-41.018000000000001</v>
      </c>
      <c r="AY66" s="4">
        <f>-108.204-AX66</f>
        <v>-67.185999999999993</v>
      </c>
      <c r="AZ66" s="4">
        <f>-133.57-AX66-AY66</f>
        <v>-25.366</v>
      </c>
      <c r="BA66" s="103">
        <f>N66-AZ66-AY66-AX66</f>
        <v>-26.308999999999983</v>
      </c>
      <c r="BB66" s="4">
        <v>-48.351999999999997</v>
      </c>
      <c r="BC66" s="4">
        <f>-158.72-BB66</f>
        <v>-110.36799999999999</v>
      </c>
      <c r="BD66" s="4">
        <f>-190.911-BB66-BC66</f>
        <v>-32.191000000000003</v>
      </c>
      <c r="BE66" s="4"/>
      <c r="BF66" s="289">
        <f>-4.627-V66</f>
        <v>-3.7689999999999997</v>
      </c>
      <c r="BG66" s="105">
        <f>-12.202-BF66-V66</f>
        <v>-7.5750000000000002</v>
      </c>
      <c r="BH66" s="105"/>
      <c r="BI66" s="4">
        <v>-3.0840000000000001</v>
      </c>
      <c r="BJ66" s="77">
        <f>-1.915-AH66</f>
        <v>-0.28000000000000003</v>
      </c>
      <c r="BK66" s="4">
        <v>-49.396999999999998</v>
      </c>
      <c r="BM66" s="195"/>
      <c r="BN66" s="192"/>
      <c r="BO66" s="195"/>
      <c r="BP66" s="195"/>
      <c r="BQ66" s="192"/>
      <c r="BR66" s="192"/>
      <c r="BS66" s="192"/>
      <c r="BT66" s="195"/>
      <c r="BU66" s="195"/>
      <c r="BV66" s="192"/>
      <c r="BW66" s="192"/>
      <c r="BX66" s="192"/>
      <c r="BY66" s="192"/>
      <c r="BZ66" s="195"/>
      <c r="CA66" s="195"/>
      <c r="CB66" s="192"/>
      <c r="CC66" s="192"/>
      <c r="CD66" s="195"/>
      <c r="CE66" s="195"/>
      <c r="CF66" s="192"/>
      <c r="CG66" s="192"/>
      <c r="CH66" s="195"/>
      <c r="CI66" s="195"/>
      <c r="CJ66" s="192"/>
      <c r="CK66" s="192"/>
      <c r="CL66" s="195"/>
      <c r="CM66" s="195"/>
      <c r="CN66" s="192"/>
      <c r="CO66" s="192"/>
      <c r="CP66" s="192"/>
      <c r="CQ66" s="195"/>
      <c r="CR66" s="192"/>
      <c r="CS66" s="192"/>
      <c r="CT66" s="192"/>
    </row>
    <row r="67" spans="2:98" ht="13.5" customHeight="1">
      <c r="B67" s="7" t="s">
        <v>97</v>
      </c>
      <c r="C67" s="4">
        <v>0</v>
      </c>
      <c r="D67" s="4">
        <v>0</v>
      </c>
      <c r="E67" s="4">
        <v>0</v>
      </c>
      <c r="F67" s="4">
        <v>0</v>
      </c>
      <c r="G67" s="4">
        <v>0</v>
      </c>
      <c r="H67" s="4">
        <v>-3658.9090000000001</v>
      </c>
      <c r="I67" s="4">
        <v>-428.21600000000001</v>
      </c>
      <c r="J67" s="4">
        <v>-22.806999999999999</v>
      </c>
      <c r="K67" s="4">
        <v>0</v>
      </c>
      <c r="L67" s="4">
        <v>4462.4849999999997</v>
      </c>
      <c r="M67" s="4">
        <v>0</v>
      </c>
      <c r="N67" s="4">
        <v>0</v>
      </c>
      <c r="O67" s="103">
        <f>SUM(BA67:BD67)</f>
        <v>-32.728000000000002</v>
      </c>
      <c r="P67" s="103"/>
      <c r="Q67" s="4">
        <v>0</v>
      </c>
      <c r="R67" s="4">
        <f>0-Q67</f>
        <v>0</v>
      </c>
      <c r="S67" s="4">
        <f>0-R67-Q67</f>
        <v>0</v>
      </c>
      <c r="T67" s="6">
        <f>E67-SUM(Q67:S67)</f>
        <v>0</v>
      </c>
      <c r="U67" s="161">
        <v>0</v>
      </c>
      <c r="V67" s="4">
        <v>0</v>
      </c>
      <c r="W67" s="4">
        <f>0-V67</f>
        <v>0</v>
      </c>
      <c r="X67" s="4">
        <f>0-W67-V67</f>
        <v>0</v>
      </c>
      <c r="Y67" s="6">
        <f>F67-W67-X67-U67</f>
        <v>0</v>
      </c>
      <c r="Z67" s="4">
        <v>0</v>
      </c>
      <c r="AA67" s="4">
        <f>-3656.869-Z67</f>
        <v>-3656.8690000000001</v>
      </c>
      <c r="AB67" s="4">
        <f>-3658.909-AA67-Z67</f>
        <v>-2.0399999999999636</v>
      </c>
      <c r="AC67" s="103">
        <f>H67-AB67-AA67-Z67</f>
        <v>0</v>
      </c>
      <c r="AD67" s="4">
        <v>-148.58199999999999</v>
      </c>
      <c r="AE67" s="4">
        <f>-428.216-AD67</f>
        <v>-279.63400000000001</v>
      </c>
      <c r="AF67" s="4">
        <f>-428.216-AE67-AD67</f>
        <v>0</v>
      </c>
      <c r="AG67" s="103">
        <f>I67-AF67-AE67-AD67</f>
        <v>0</v>
      </c>
      <c r="AH67" s="4">
        <v>0</v>
      </c>
      <c r="AI67" s="4">
        <v>0</v>
      </c>
      <c r="AJ67" s="4">
        <f>0-AI67-AH67</f>
        <v>0</v>
      </c>
      <c r="AK67" s="103">
        <f>J67-AJ67-AI67-AH67</f>
        <v>-22.806999999999999</v>
      </c>
      <c r="AL67" s="4">
        <v>0</v>
      </c>
      <c r="AM67" s="4">
        <f>0-AL67</f>
        <v>0</v>
      </c>
      <c r="AN67" s="4">
        <f>0-AM67-AL67</f>
        <v>0</v>
      </c>
      <c r="AO67" s="103">
        <f>K67-AN67-AM67-AL67</f>
        <v>0</v>
      </c>
      <c r="AP67" s="4">
        <v>0</v>
      </c>
      <c r="AQ67" s="4">
        <v>4462.4849999999997</v>
      </c>
      <c r="AR67" s="4">
        <f>4462.485-AQ67-AP67</f>
        <v>0</v>
      </c>
      <c r="AS67" s="103">
        <f>L67-AR67-AQ67-AP67</f>
        <v>0</v>
      </c>
      <c r="AT67" s="4">
        <v>0</v>
      </c>
      <c r="AU67" s="4">
        <f>0-AT67</f>
        <v>0</v>
      </c>
      <c r="AV67" s="4">
        <f>0-AU67-AT67</f>
        <v>0</v>
      </c>
      <c r="AW67" s="103">
        <f>M67-AV67-AU67-AT67</f>
        <v>0</v>
      </c>
      <c r="AX67" s="4">
        <v>0</v>
      </c>
      <c r="AY67" s="4">
        <f>0-AX67</f>
        <v>0</v>
      </c>
      <c r="AZ67" s="4">
        <f>0-AX67-AY67</f>
        <v>0</v>
      </c>
      <c r="BA67" s="103">
        <f>N67-AZ67-AY67-AX67</f>
        <v>0</v>
      </c>
      <c r="BB67" s="4">
        <v>0</v>
      </c>
      <c r="BC67" s="4">
        <f>0-BB67</f>
        <v>0</v>
      </c>
      <c r="BD67" s="4">
        <f>-32.728-BB67-BC67</f>
        <v>-32.728000000000002</v>
      </c>
      <c r="BE67" s="4"/>
      <c r="BF67" s="232">
        <v>0</v>
      </c>
      <c r="BG67" s="4">
        <v>0</v>
      </c>
      <c r="BH67" s="4"/>
      <c r="BI67" s="4">
        <v>0</v>
      </c>
      <c r="BJ67" s="77">
        <f>0-AH67</f>
        <v>0</v>
      </c>
      <c r="BK67" s="4">
        <v>0</v>
      </c>
      <c r="BM67" s="195"/>
      <c r="BN67" s="192"/>
      <c r="BO67" s="195"/>
      <c r="BP67" s="195"/>
      <c r="BQ67" s="192"/>
      <c r="BR67" s="192"/>
      <c r="BS67" s="192"/>
      <c r="BT67" s="195"/>
      <c r="BU67" s="195"/>
      <c r="BV67" s="192"/>
      <c r="BW67" s="192"/>
      <c r="BX67" s="192"/>
      <c r="BY67" s="192"/>
      <c r="BZ67" s="195"/>
      <c r="CA67" s="195"/>
      <c r="CB67" s="192"/>
      <c r="CC67" s="192"/>
      <c r="CD67" s="195"/>
      <c r="CE67" s="195"/>
      <c r="CF67" s="192"/>
      <c r="CG67" s="192"/>
      <c r="CH67" s="195"/>
      <c r="CI67" s="195"/>
      <c r="CJ67" s="192"/>
      <c r="CK67" s="192"/>
      <c r="CL67" s="195"/>
      <c r="CM67" s="195"/>
      <c r="CN67" s="192"/>
      <c r="CO67" s="192"/>
      <c r="CP67" s="192"/>
      <c r="CQ67" s="195"/>
      <c r="CR67" s="192"/>
      <c r="CS67" s="192"/>
      <c r="CT67" s="192"/>
    </row>
    <row r="68" spans="2:98" s="5" customFormat="1" ht="13.5" customHeight="1">
      <c r="B68" s="15" t="s">
        <v>98</v>
      </c>
      <c r="C68" s="8">
        <f t="shared" ref="C68:U68" si="215">SUM(C64:C67)</f>
        <v>404.19144687111418</v>
      </c>
      <c r="D68" s="8">
        <f t="shared" si="215"/>
        <v>645.51408340711453</v>
      </c>
      <c r="E68" s="8">
        <f t="shared" si="215"/>
        <v>1149.7924033700424</v>
      </c>
      <c r="F68" s="8">
        <f t="shared" si="215"/>
        <v>-407.04385637641167</v>
      </c>
      <c r="G68" s="8">
        <f t="shared" si="215"/>
        <v>-829.70285637641155</v>
      </c>
      <c r="H68" s="8">
        <f t="shared" si="215"/>
        <v>-3077.8420000000001</v>
      </c>
      <c r="I68" s="8">
        <f t="shared" ref="I68:O68" si="216">SUM(I64:I67)</f>
        <v>384.42900000000031</v>
      </c>
      <c r="J68" s="8">
        <f t="shared" si="216"/>
        <v>4596.148000000002</v>
      </c>
      <c r="K68" s="8">
        <f t="shared" si="216"/>
        <v>8115.1770000000006</v>
      </c>
      <c r="L68" s="8">
        <f t="shared" si="216"/>
        <v>8627.9510000000009</v>
      </c>
      <c r="M68" s="8">
        <f t="shared" si="216"/>
        <v>2819.5360000000005</v>
      </c>
      <c r="N68" s="8">
        <f>SUM(N64:N67)</f>
        <v>12743.313999999998</v>
      </c>
      <c r="O68" s="8">
        <f t="shared" si="216"/>
        <v>13389.397999999999</v>
      </c>
      <c r="P68" s="8"/>
      <c r="Q68" s="8">
        <f t="shared" si="215"/>
        <v>29.460127380523545</v>
      </c>
      <c r="R68" s="8">
        <f t="shared" si="215"/>
        <v>426.51849588145433</v>
      </c>
      <c r="S68" s="8">
        <f t="shared" si="215"/>
        <v>233.84224638228591</v>
      </c>
      <c r="T68" s="8">
        <f t="shared" si="215"/>
        <v>460.7715337257784</v>
      </c>
      <c r="U68" s="155">
        <f t="shared" si="215"/>
        <v>-59.541000000000011</v>
      </c>
      <c r="V68" s="8">
        <f t="shared" ref="V68:AC68" si="217">SUM(V64:V67)</f>
        <v>-63.958988732113205</v>
      </c>
      <c r="W68" s="8">
        <f t="shared" si="217"/>
        <v>-241.05781561819211</v>
      </c>
      <c r="X68" s="8">
        <f t="shared" si="217"/>
        <v>-325.30664620387961</v>
      </c>
      <c r="Y68" s="8">
        <f t="shared" si="217"/>
        <v>218.8616054456601</v>
      </c>
      <c r="Z68" s="8">
        <f t="shared" si="217"/>
        <v>-186.96300000000002</v>
      </c>
      <c r="AA68" s="8">
        <f t="shared" si="217"/>
        <v>-4005.0950000000003</v>
      </c>
      <c r="AB68" s="8">
        <f t="shared" si="217"/>
        <v>551.58299999999997</v>
      </c>
      <c r="AC68" s="8">
        <f t="shared" si="217"/>
        <v>562.63300000000004</v>
      </c>
      <c r="AD68" s="8">
        <f t="shared" ref="AD68:AI68" si="218">SUM(AD64:AD67)</f>
        <v>-708.53899999999987</v>
      </c>
      <c r="AE68" s="8">
        <f t="shared" si="218"/>
        <v>322.59899999999948</v>
      </c>
      <c r="AF68" s="8">
        <f t="shared" si="218"/>
        <v>783.29399999999998</v>
      </c>
      <c r="AG68" s="8">
        <f t="shared" si="218"/>
        <v>-12.924999999999851</v>
      </c>
      <c r="AH68" s="8">
        <f t="shared" si="218"/>
        <v>-567.53400000000011</v>
      </c>
      <c r="AI68" s="8">
        <f t="shared" si="218"/>
        <v>3282.2570000000001</v>
      </c>
      <c r="AJ68" s="8">
        <f t="shared" ref="AJ68:AO68" si="219">SUM(AJ64:AJ67)</f>
        <v>747.03200000000015</v>
      </c>
      <c r="AK68" s="8">
        <f t="shared" si="219"/>
        <v>1134.3929999999996</v>
      </c>
      <c r="AL68" s="8">
        <f t="shared" si="219"/>
        <v>691.88900000000001</v>
      </c>
      <c r="AM68" s="8">
        <f t="shared" si="219"/>
        <v>2590.7189999999996</v>
      </c>
      <c r="AN68" s="8">
        <f t="shared" si="219"/>
        <v>4137.4509999999991</v>
      </c>
      <c r="AO68" s="8">
        <f t="shared" si="219"/>
        <v>695.11799999999994</v>
      </c>
      <c r="AP68" s="8">
        <f t="shared" ref="AP68:AU68" si="220">SUM(AP64:AP67)</f>
        <v>4079.3309999999997</v>
      </c>
      <c r="AQ68" s="8">
        <f t="shared" si="220"/>
        <v>4925.9979999999996</v>
      </c>
      <c r="AR68" s="8">
        <f t="shared" si="220"/>
        <v>1373.5740000000003</v>
      </c>
      <c r="AS68" s="8">
        <f t="shared" si="220"/>
        <v>-1750.9520000000011</v>
      </c>
      <c r="AT68" s="8">
        <f t="shared" si="220"/>
        <v>-1080.6840000000002</v>
      </c>
      <c r="AU68" s="8">
        <f t="shared" si="220"/>
        <v>428.66699999999975</v>
      </c>
      <c r="AV68" s="8">
        <f t="shared" ref="AV68:BB68" si="221">SUM(AV64:AV67)</f>
        <v>2421.1730000000011</v>
      </c>
      <c r="AW68" s="8">
        <f t="shared" si="221"/>
        <v>1050.3800000000006</v>
      </c>
      <c r="AX68" s="8">
        <f t="shared" si="221"/>
        <v>-800.08999999999992</v>
      </c>
      <c r="AY68" s="8">
        <f t="shared" si="221"/>
        <v>1481.0219999999999</v>
      </c>
      <c r="AZ68" s="8">
        <f t="shared" si="221"/>
        <v>1171.6010000000006</v>
      </c>
      <c r="BA68" s="8">
        <f t="shared" si="221"/>
        <v>10890.781000000001</v>
      </c>
      <c r="BB68" s="8">
        <f t="shared" si="221"/>
        <v>2037.2009999999993</v>
      </c>
      <c r="BC68" s="8">
        <f>SUM(BC64:BC67)</f>
        <v>305.95299999999992</v>
      </c>
      <c r="BD68" s="8">
        <f>SUM(BD64:BD67)</f>
        <v>155.46300000000051</v>
      </c>
      <c r="BE68" s="8"/>
      <c r="BF68" s="244">
        <f>SUM(BF64:BF67)</f>
        <v>-28.399999999999942</v>
      </c>
      <c r="BG68" s="8">
        <f>SUM(BG64:BG67)</f>
        <v>-188.62400000000005</v>
      </c>
      <c r="BH68" s="8"/>
      <c r="BI68" s="8">
        <f>SUM(BI64:BI67)</f>
        <v>-47.015999999999963</v>
      </c>
      <c r="BJ68" s="89">
        <f>SUM(BJ64:BJ67)</f>
        <v>1448.0350000000001</v>
      </c>
      <c r="BK68" s="8">
        <f>SUM(BK64:BK67)</f>
        <v>1115.4590000000001</v>
      </c>
      <c r="BM68" s="194"/>
      <c r="BN68" s="188"/>
      <c r="BO68" s="194"/>
      <c r="BP68" s="194"/>
      <c r="BQ68" s="188"/>
      <c r="BR68" s="188"/>
      <c r="BS68" s="188"/>
      <c r="BT68" s="194"/>
      <c r="BU68" s="194"/>
      <c r="BV68" s="188"/>
      <c r="BW68" s="188"/>
      <c r="BX68" s="188"/>
      <c r="BY68" s="188"/>
      <c r="BZ68" s="194"/>
      <c r="CA68" s="194"/>
      <c r="CB68" s="188"/>
      <c r="CC68" s="188"/>
      <c r="CD68" s="194"/>
      <c r="CE68" s="194"/>
      <c r="CF68" s="188"/>
      <c r="CG68" s="188"/>
      <c r="CH68" s="194"/>
      <c r="CI68" s="194"/>
      <c r="CJ68" s="188"/>
      <c r="CK68" s="188"/>
      <c r="CL68" s="194"/>
      <c r="CM68" s="194"/>
      <c r="CN68" s="188"/>
      <c r="CO68" s="188"/>
      <c r="CP68" s="188"/>
      <c r="CQ68" s="194"/>
      <c r="CR68" s="188"/>
      <c r="CS68" s="188"/>
      <c r="CT68" s="188"/>
    </row>
    <row r="69" spans="2:98" s="5" customFormat="1" ht="13.5" customHeight="1">
      <c r="B69" s="7" t="s">
        <v>379</v>
      </c>
      <c r="C69" s="4">
        <v>3.9569999999999999</v>
      </c>
      <c r="D69" s="4">
        <v>-42.415999999999997</v>
      </c>
      <c r="E69" s="4">
        <v>-61.287999999999997</v>
      </c>
      <c r="F69" s="4">
        <v>-7.5839999999999996</v>
      </c>
      <c r="G69" s="4">
        <v>0</v>
      </c>
      <c r="H69" s="4">
        <v>1.0999999999999999E-2</v>
      </c>
      <c r="I69" s="4">
        <v>-1.2999999999999999E-2</v>
      </c>
      <c r="J69" s="4">
        <v>7.0000000000000001E-3</v>
      </c>
      <c r="K69" s="4">
        <f>-195.392-2361.087</f>
        <v>-2556.4789999999998</v>
      </c>
      <c r="L69" s="4">
        <f>-3030.001+581.569</f>
        <v>-2448.4320000000002</v>
      </c>
      <c r="M69" s="4">
        <f>-3030.001+581.569</f>
        <v>-2448.4320000000002</v>
      </c>
      <c r="N69" s="4">
        <f>-222.734-2384.349</f>
        <v>-2607.0830000000001</v>
      </c>
      <c r="O69" s="103">
        <f>SUM(BA69:BD69)</f>
        <v>-2066.2879999999996</v>
      </c>
      <c r="P69" s="103"/>
      <c r="Q69" s="4">
        <v>-15.214</v>
      </c>
      <c r="R69" s="4">
        <f>-30.64-Q69</f>
        <v>-15.426</v>
      </c>
      <c r="S69" s="4">
        <f>-46.677-R69-Q69</f>
        <v>-16.036999999999999</v>
      </c>
      <c r="T69" s="6">
        <f>E69-SUM(Q69:S69)</f>
        <v>-14.610999999999997</v>
      </c>
      <c r="U69" s="161">
        <v>-16.414000000000001</v>
      </c>
      <c r="V69" s="4">
        <v>-14.715</v>
      </c>
      <c r="W69" s="4">
        <f>-2.789-V69</f>
        <v>11.926</v>
      </c>
      <c r="X69" s="4">
        <f>-3.834-W69-V69</f>
        <v>-1.0449999999999999</v>
      </c>
      <c r="Y69" s="6">
        <f>F69-W69-X69-U69</f>
        <v>-2.0509999999999948</v>
      </c>
      <c r="Z69" s="4">
        <v>0</v>
      </c>
      <c r="AA69" s="4">
        <v>0</v>
      </c>
      <c r="AB69" s="4">
        <v>0</v>
      </c>
      <c r="AC69" s="103">
        <f>H69-AB69-AA69-Z69</f>
        <v>1.0999999999999999E-2</v>
      </c>
      <c r="AD69" s="4">
        <v>0</v>
      </c>
      <c r="AE69" s="4">
        <f>-0.014-AD69</f>
        <v>-1.4E-2</v>
      </c>
      <c r="AF69" s="4">
        <f>-0.013-AE69-AD69</f>
        <v>1.0000000000000009E-3</v>
      </c>
      <c r="AG69" s="103">
        <f>I69-AF69-AE69-AD69</f>
        <v>0</v>
      </c>
      <c r="AH69" s="4">
        <v>0</v>
      </c>
      <c r="AI69" s="4">
        <f>0-AH69</f>
        <v>0</v>
      </c>
      <c r="AJ69" s="4">
        <f>0.007-AI69-AH69</f>
        <v>7.0000000000000001E-3</v>
      </c>
      <c r="AK69" s="103">
        <f>J69-AJ69-AI69-AH69</f>
        <v>0</v>
      </c>
      <c r="AL69" s="4">
        <v>0</v>
      </c>
      <c r="AM69" s="4">
        <f>0-AL69</f>
        <v>0</v>
      </c>
      <c r="AN69" s="4">
        <f>-18.938-AM69-AL69</f>
        <v>-18.937999999999999</v>
      </c>
      <c r="AO69" s="103">
        <f>K69-AN69-AM69-AL69</f>
        <v>-2537.5409999999997</v>
      </c>
      <c r="AP69" s="4">
        <f>-430.197-1482.872</f>
        <v>-1913.069</v>
      </c>
      <c r="AQ69" s="4">
        <f>-840.595-AP69</f>
        <v>1072.4739999999999</v>
      </c>
      <c r="AR69" s="4">
        <f>-660.045-AQ69-AP69</f>
        <v>180.55000000000018</v>
      </c>
      <c r="AS69" s="103">
        <f>L69-AR69-AQ69-AP69</f>
        <v>-1788.3870000000002</v>
      </c>
      <c r="AT69" s="4">
        <f>-5.232+2080.794</f>
        <v>2075.5619999999999</v>
      </c>
      <c r="AU69" s="4">
        <f>-19.428+2744.074-AT69</f>
        <v>649.08400000000029</v>
      </c>
      <c r="AV69" s="4">
        <f>-1457.056-1758.695-AU69-AT69</f>
        <v>-5940.3970000000008</v>
      </c>
      <c r="AW69" s="103">
        <f>M69-AV69-AU69-AT69</f>
        <v>767.31900000000041</v>
      </c>
      <c r="AX69" s="4">
        <f>-1379.097-39.485</f>
        <v>-1418.5819999999999</v>
      </c>
      <c r="AY69" s="4">
        <f>-175.54-1404.331-AX69</f>
        <v>-161.28899999999999</v>
      </c>
      <c r="AZ69" s="4">
        <f>-177.561-253.565-AX69-AY69</f>
        <v>1148.7449999999999</v>
      </c>
      <c r="BA69" s="103">
        <f>N69-AZ69-AY69-AX69</f>
        <v>-2175.9569999999999</v>
      </c>
      <c r="BB69" s="4">
        <f>1831.292-511.106+15.272</f>
        <v>1335.4579999999999</v>
      </c>
      <c r="BC69" s="4">
        <f>-849.069-365.862-32.728-BB69</f>
        <v>-2583.1170000000002</v>
      </c>
      <c r="BD69" s="4">
        <f>-1261.521+1371.19-BB69-BC69</f>
        <v>1357.3280000000004</v>
      </c>
      <c r="BE69" s="4"/>
      <c r="BF69" s="232">
        <v>0</v>
      </c>
      <c r="BG69" s="4">
        <v>0</v>
      </c>
      <c r="BH69" s="4"/>
      <c r="BI69" s="4">
        <v>0</v>
      </c>
      <c r="BJ69" s="77">
        <f>0-AH69</f>
        <v>0</v>
      </c>
      <c r="BK69" s="4">
        <f>2097.966-5.232</f>
        <v>2092.7339999999999</v>
      </c>
      <c r="BM69" s="195"/>
      <c r="BN69" s="188"/>
      <c r="BO69" s="195"/>
      <c r="BP69" s="195"/>
      <c r="BQ69" s="188"/>
      <c r="BR69" s="188"/>
      <c r="BS69" s="188"/>
      <c r="BT69" s="195"/>
      <c r="BU69" s="195"/>
      <c r="BV69" s="188"/>
      <c r="BW69" s="188"/>
      <c r="BX69" s="188"/>
      <c r="BY69" s="188"/>
      <c r="BZ69" s="195"/>
      <c r="CA69" s="195"/>
      <c r="CB69" s="188"/>
      <c r="CC69" s="188"/>
      <c r="CD69" s="195"/>
      <c r="CE69" s="195"/>
      <c r="CF69" s="188"/>
      <c r="CG69" s="188"/>
      <c r="CH69" s="195"/>
      <c r="CI69" s="195"/>
      <c r="CJ69" s="188"/>
      <c r="CK69" s="188"/>
      <c r="CL69" s="195"/>
      <c r="CM69" s="195"/>
      <c r="CN69" s="188"/>
      <c r="CO69" s="188"/>
      <c r="CP69" s="188"/>
      <c r="CQ69" s="195"/>
      <c r="CR69" s="188"/>
      <c r="CS69" s="188"/>
      <c r="CT69" s="188"/>
    </row>
    <row r="70" spans="2:98" ht="13.5" customHeight="1">
      <c r="B70" s="7" t="s">
        <v>380</v>
      </c>
      <c r="C70" s="4">
        <f>-4.743+0.676</f>
        <v>-4.0670000000000002</v>
      </c>
      <c r="D70" s="4">
        <f>-9.651+3.131</f>
        <v>-6.52</v>
      </c>
      <c r="E70" s="4">
        <f>-7.589+0.542+1.449</f>
        <v>-5.5980000000000008</v>
      </c>
      <c r="F70" s="4">
        <f>-83.271-1.76</f>
        <v>-85.031000000000006</v>
      </c>
      <c r="G70" s="4">
        <f>-83.271-1.76</f>
        <v>-85.031000000000006</v>
      </c>
      <c r="H70" s="4">
        <v>-9.8719999999999999</v>
      </c>
      <c r="I70" s="4">
        <f>-69.193+900.901</f>
        <v>831.70799999999997</v>
      </c>
      <c r="J70" s="4">
        <f>-101.926+0.004</f>
        <v>-101.922</v>
      </c>
      <c r="K70" s="4">
        <f>-656.422</f>
        <v>-656.42200000000003</v>
      </c>
      <c r="L70" s="4">
        <v>-78.769000000000005</v>
      </c>
      <c r="M70" s="4">
        <f>-213.153+5760.088</f>
        <v>5546.9349999999995</v>
      </c>
      <c r="N70" s="4">
        <f>-1849.212</f>
        <v>-1849.212</v>
      </c>
      <c r="O70" s="103">
        <f>SUM(BA70:BD70)</f>
        <v>-1982.347</v>
      </c>
      <c r="P70" s="103"/>
      <c r="Q70" s="4">
        <f>-7.589+0.542</f>
        <v>-7.0470000000000006</v>
      </c>
      <c r="R70" s="4">
        <f>-7.589+0.542+0.853-Q70</f>
        <v>0.85299999999999976</v>
      </c>
      <c r="S70" s="4">
        <f>-7.589+0.542+1.449-R70-Q70</f>
        <v>0.59600000000000009</v>
      </c>
      <c r="T70" s="6">
        <f>E70-SUM(Q70:S70)</f>
        <v>0</v>
      </c>
      <c r="U70" s="161">
        <f>-83.271-5.549</f>
        <v>-88.820000000000007</v>
      </c>
      <c r="V70" s="4">
        <f>-83.271-5.549</f>
        <v>-88.820000000000007</v>
      </c>
      <c r="W70" s="4">
        <f>-83.271-4.692-V70</f>
        <v>0.85700000000001353</v>
      </c>
      <c r="X70" s="4">
        <f>-83.271-1.939-W70-V70</f>
        <v>2.7529999999999859</v>
      </c>
      <c r="Y70" s="6">
        <f>F70-W70-X70-U70</f>
        <v>0.17900000000000205</v>
      </c>
      <c r="Z70" s="4">
        <v>-3.125</v>
      </c>
      <c r="AA70" s="4">
        <f>-0.578-Z70</f>
        <v>2.5470000000000002</v>
      </c>
      <c r="AB70" s="4">
        <f>-3.896-AA70-Z70</f>
        <v>-3.3179999999999996</v>
      </c>
      <c r="AC70" s="103">
        <f>H70-AB70-AA70-Z70</f>
        <v>-5.9760000000000009</v>
      </c>
      <c r="AD70" s="4">
        <v>-0.97799999999999998</v>
      </c>
      <c r="AE70" s="4">
        <f>2.33-AD70</f>
        <v>3.3079999999999998</v>
      </c>
      <c r="AF70" s="4">
        <f>-55.264-AE70-AD70</f>
        <v>-57.594000000000001</v>
      </c>
      <c r="AG70" s="103">
        <f>I70-AF70-AE70-AD70</f>
        <v>886.97199999999998</v>
      </c>
      <c r="AH70" s="4">
        <v>-43.508000000000003</v>
      </c>
      <c r="AI70" s="4">
        <f>-32.86-AH70</f>
        <v>10.648000000000003</v>
      </c>
      <c r="AJ70" s="4">
        <f>-31.196-AI70-AH70</f>
        <v>1.6639999999999944</v>
      </c>
      <c r="AK70" s="103">
        <f>J70-AJ70-AI70-AH70</f>
        <v>-70.725999999999971</v>
      </c>
      <c r="AL70" s="4">
        <v>-7.1769999999999996</v>
      </c>
      <c r="AM70" s="4">
        <f>-149.645-AL70</f>
        <v>-142.46800000000002</v>
      </c>
      <c r="AN70" s="4">
        <f>-148.547-AM70-AL70</f>
        <v>1.0980000000000203</v>
      </c>
      <c r="AO70" s="103">
        <f>K70-AN70-AM70-AL70</f>
        <v>-507.87500000000011</v>
      </c>
      <c r="AP70" s="4">
        <v>-77.27</v>
      </c>
      <c r="AQ70" s="4">
        <f>-81.476-AP70</f>
        <v>-4.2060000000000031</v>
      </c>
      <c r="AR70" s="4">
        <f>-78.862-AQ70-AP70</f>
        <v>2.6140000000000043</v>
      </c>
      <c r="AS70" s="103">
        <f>L70-AR70-AQ70-AP70</f>
        <v>9.2999999999989313E-2</v>
      </c>
      <c r="AT70" s="4">
        <v>-112.568</v>
      </c>
      <c r="AU70" s="4">
        <f>-156.209-AT70</f>
        <v>-43.641000000000005</v>
      </c>
      <c r="AV70" s="4">
        <f>-154.839+5760.088-AU70-AT70</f>
        <v>5761.4579999999996</v>
      </c>
      <c r="AW70" s="103">
        <f>M70-AV70-AU70-AT70</f>
        <v>-58.314000000000121</v>
      </c>
      <c r="AX70" s="4">
        <v>-199.023</v>
      </c>
      <c r="AY70" s="4">
        <f>-641.665-AX70</f>
        <v>-442.64199999999994</v>
      </c>
      <c r="AZ70" s="4">
        <f>-1304.909+0-AX70-AY70</f>
        <v>-663.24400000000026</v>
      </c>
      <c r="BA70" s="103">
        <f>N70-AZ70-AY70-AX70</f>
        <v>-544.30299999999988</v>
      </c>
      <c r="BB70" s="4">
        <v>-799.77800000000002</v>
      </c>
      <c r="BC70" s="4">
        <f>-1315.054-BB70</f>
        <v>-515.27600000000007</v>
      </c>
      <c r="BD70" s="4">
        <f>-1634.096+196.052-BB70-BC70</f>
        <v>-122.99000000000001</v>
      </c>
      <c r="BE70" s="4"/>
      <c r="BF70" s="232">
        <f>-83.271-4.692-V70</f>
        <v>0.85700000000001353</v>
      </c>
      <c r="BG70" s="4">
        <f>-83.271-1.939-BF70-V70</f>
        <v>2.7529999999999859</v>
      </c>
      <c r="BH70" s="4"/>
      <c r="BI70" s="4">
        <v>-3.125</v>
      </c>
      <c r="BJ70" s="77">
        <f>-32.86-AH70</f>
        <v>10.648000000000003</v>
      </c>
      <c r="BK70" s="4">
        <v>-112.568</v>
      </c>
      <c r="BM70" s="195"/>
      <c r="BN70" s="192"/>
      <c r="BO70" s="195"/>
      <c r="BP70" s="195"/>
      <c r="BQ70" s="192"/>
      <c r="BR70" s="192"/>
      <c r="BS70" s="192"/>
      <c r="BT70" s="195"/>
      <c r="BU70" s="195"/>
      <c r="BV70" s="192"/>
      <c r="BW70" s="192"/>
      <c r="BX70" s="192"/>
      <c r="BY70" s="192"/>
      <c r="BZ70" s="195"/>
      <c r="CA70" s="195"/>
      <c r="CB70" s="192"/>
      <c r="CC70" s="192"/>
      <c r="CD70" s="195"/>
      <c r="CE70" s="195"/>
      <c r="CF70" s="192"/>
      <c r="CG70" s="192"/>
      <c r="CH70" s="195"/>
      <c r="CI70" s="195"/>
      <c r="CJ70" s="192"/>
      <c r="CK70" s="192"/>
      <c r="CL70" s="195"/>
      <c r="CM70" s="195"/>
      <c r="CN70" s="192"/>
      <c r="CO70" s="192"/>
      <c r="CP70" s="192"/>
      <c r="CQ70" s="195"/>
      <c r="CR70" s="192"/>
      <c r="CS70" s="192"/>
      <c r="CT70" s="192"/>
    </row>
    <row r="71" spans="2:98" ht="13.5" customHeight="1">
      <c r="B71" s="7" t="s">
        <v>101</v>
      </c>
      <c r="C71" s="4">
        <v>0</v>
      </c>
      <c r="D71" s="4">
        <v>0</v>
      </c>
      <c r="E71" s="4">
        <v>0</v>
      </c>
      <c r="F71" s="4">
        <v>-12.77</v>
      </c>
      <c r="G71" s="4">
        <v>0</v>
      </c>
      <c r="H71" s="4">
        <v>-461.173</v>
      </c>
      <c r="I71" s="4">
        <v>-2075.0439999999999</v>
      </c>
      <c r="J71" s="4">
        <v>-1283.405</v>
      </c>
      <c r="K71" s="4">
        <f>-3744.927</f>
        <v>-3744.9270000000001</v>
      </c>
      <c r="L71" s="4">
        <v>-2769.703</v>
      </c>
      <c r="M71" s="4">
        <v>-340.76299999999998</v>
      </c>
      <c r="N71" s="4">
        <v>-3135.078</v>
      </c>
      <c r="O71" s="103">
        <f>SUM(BA71:BD71)</f>
        <v>-6980.7640000000001</v>
      </c>
      <c r="P71" s="103"/>
      <c r="Q71" s="4">
        <v>0</v>
      </c>
      <c r="R71" s="4">
        <f>0-Q71</f>
        <v>0</v>
      </c>
      <c r="S71" s="4">
        <f>0-R71-Q71</f>
        <v>0</v>
      </c>
      <c r="T71" s="6">
        <f>E71-SUM(Q71:S71)</f>
        <v>0</v>
      </c>
      <c r="U71" s="161">
        <v>0</v>
      </c>
      <c r="V71" s="4">
        <v>0</v>
      </c>
      <c r="W71" s="4">
        <f>0-V71</f>
        <v>0</v>
      </c>
      <c r="X71" s="4">
        <f>0-W71-V71</f>
        <v>0</v>
      </c>
      <c r="Y71" s="6">
        <f>F71-W71-X71-U71</f>
        <v>-12.77</v>
      </c>
      <c r="Z71" s="4">
        <v>0</v>
      </c>
      <c r="AA71" s="4">
        <f>-77.696-Z71</f>
        <v>-77.695999999999998</v>
      </c>
      <c r="AB71" s="4">
        <f>-307.781-AA71-Z71</f>
        <v>-230.08500000000001</v>
      </c>
      <c r="AC71" s="103">
        <f>H71-AB71-AA71-Z71</f>
        <v>-153.392</v>
      </c>
      <c r="AD71" s="4">
        <v>0</v>
      </c>
      <c r="AE71" s="4">
        <f>-588.609-AD71</f>
        <v>-588.60900000000004</v>
      </c>
      <c r="AF71" s="4">
        <f>-903.294-AE71-AD71</f>
        <v>-314.68499999999995</v>
      </c>
      <c r="AG71" s="103">
        <f>I71-AF71-AE71-AD71</f>
        <v>-1171.75</v>
      </c>
      <c r="AH71" s="4">
        <v>0</v>
      </c>
      <c r="AI71" s="4">
        <f>-53.576-AH71</f>
        <v>-53.576000000000001</v>
      </c>
      <c r="AJ71" s="4">
        <f>-823.843-AI71-AH71</f>
        <v>-770.26699999999994</v>
      </c>
      <c r="AK71" s="103">
        <f>J71-AJ71-AI71-AH71</f>
        <v>-459.56200000000001</v>
      </c>
      <c r="AL71" s="4">
        <v>-143.39699999999999</v>
      </c>
      <c r="AM71" s="4">
        <f>-660.511-AL71</f>
        <v>-517.11400000000003</v>
      </c>
      <c r="AN71" s="4">
        <f>-2402.792-AM71-AL71</f>
        <v>-1742.2809999999999</v>
      </c>
      <c r="AO71" s="103">
        <f>K71-AN71-AM71-AL71</f>
        <v>-1342.1350000000002</v>
      </c>
      <c r="AP71" s="4">
        <v>-356.798</v>
      </c>
      <c r="AQ71" s="4">
        <f>-1211.33-AP71</f>
        <v>-854.53199999999993</v>
      </c>
      <c r="AR71" s="4">
        <f>-1884.673-AQ71-AP71</f>
        <v>-673.34300000000007</v>
      </c>
      <c r="AS71" s="103">
        <f>L71-AR71-AQ71-AP71</f>
        <v>-885.02999999999975</v>
      </c>
      <c r="AT71" s="4">
        <v>0</v>
      </c>
      <c r="AU71" s="4">
        <f>-59.755-AT71</f>
        <v>-59.755000000000003</v>
      </c>
      <c r="AV71" s="4">
        <f>-204.722-AU71-AT71</f>
        <v>-144.96700000000001</v>
      </c>
      <c r="AW71" s="103">
        <f>M71-AV71-AU71-AT71</f>
        <v>-136.04099999999997</v>
      </c>
      <c r="AX71" s="4">
        <v>0</v>
      </c>
      <c r="AY71" s="4">
        <f>0-AX71</f>
        <v>0</v>
      </c>
      <c r="AZ71" s="4">
        <f>0-AX71-AY71</f>
        <v>0</v>
      </c>
      <c r="BA71" s="103">
        <f>N71-AZ71-AY71-AX71</f>
        <v>-3135.078</v>
      </c>
      <c r="BB71" s="4">
        <v>-0.11899999999999999</v>
      </c>
      <c r="BC71" s="4">
        <f>0-BB71</f>
        <v>0.11899999999999999</v>
      </c>
      <c r="BD71" s="4">
        <f>-3845.686-BB71-BC71</f>
        <v>-3845.6860000000001</v>
      </c>
      <c r="BE71" s="4"/>
      <c r="BF71" s="232">
        <v>0</v>
      </c>
      <c r="BG71" s="4">
        <v>0</v>
      </c>
      <c r="BH71" s="4"/>
      <c r="BI71" s="4">
        <v>0</v>
      </c>
      <c r="BJ71" s="77">
        <f>-53.576-AH71</f>
        <v>-53.576000000000001</v>
      </c>
      <c r="BK71" s="4">
        <v>0</v>
      </c>
      <c r="BM71" s="195"/>
      <c r="BN71" s="192"/>
      <c r="BO71" s="195"/>
      <c r="BP71" s="195"/>
      <c r="BQ71" s="192"/>
      <c r="BR71" s="192"/>
      <c r="BS71" s="192"/>
      <c r="BT71" s="195"/>
      <c r="BU71" s="195"/>
      <c r="BV71" s="192"/>
      <c r="BW71" s="192"/>
      <c r="BX71" s="192"/>
      <c r="BY71" s="192"/>
      <c r="BZ71" s="195"/>
      <c r="CA71" s="195"/>
      <c r="CB71" s="192"/>
      <c r="CC71" s="192"/>
      <c r="CD71" s="195"/>
      <c r="CE71" s="195"/>
      <c r="CF71" s="192"/>
      <c r="CG71" s="192"/>
      <c r="CH71" s="195"/>
      <c r="CI71" s="195"/>
      <c r="CJ71" s="192"/>
      <c r="CK71" s="192"/>
      <c r="CL71" s="195"/>
      <c r="CM71" s="195"/>
      <c r="CN71" s="192"/>
      <c r="CO71" s="192"/>
      <c r="CP71" s="192"/>
      <c r="CQ71" s="195"/>
      <c r="CR71" s="192"/>
      <c r="CS71" s="192"/>
      <c r="CT71" s="192"/>
    </row>
    <row r="72" spans="2:98" ht="13.5" customHeight="1">
      <c r="B72" s="7" t="s">
        <v>381</v>
      </c>
      <c r="C72" s="4">
        <f>-911.473-117.89</f>
        <v>-1029.3630000000001</v>
      </c>
      <c r="D72" s="4">
        <f>-838.892-3260.342</f>
        <v>-4099.2340000000004</v>
      </c>
      <c r="E72" s="4">
        <f>-986.039+620.657</f>
        <v>-365.38199999999995</v>
      </c>
      <c r="F72" s="4">
        <f>948.974-910.928</f>
        <v>38.046000000000049</v>
      </c>
      <c r="G72" s="4">
        <f>-910.928+34.549</f>
        <v>-876.37900000000002</v>
      </c>
      <c r="H72" s="4">
        <f>1487.944-2.923</f>
        <v>1485.021</v>
      </c>
      <c r="I72" s="4">
        <f>6063.984-113.056</f>
        <v>5950.9280000000008</v>
      </c>
      <c r="J72" s="4">
        <f>-1941.126+1719.497-256.042</f>
        <v>-477.67099999999988</v>
      </c>
      <c r="K72" s="4">
        <f>32312.779-32833.939-199.825</f>
        <v>-720.9849999999999</v>
      </c>
      <c r="L72" s="4">
        <f>54194.411-49912.715-676.921</f>
        <v>3604.7750000000033</v>
      </c>
      <c r="M72" s="4">
        <f>49407.327-56671.865-1066.713</f>
        <v>-8331.2510000000002</v>
      </c>
      <c r="N72" s="4">
        <f>75998.148-85080.007-1314.391</f>
        <v>-10396.249999999996</v>
      </c>
      <c r="O72" s="103">
        <f>SUM(BA72:BD72)</f>
        <v>-2352.8370000000014</v>
      </c>
      <c r="P72" s="103"/>
      <c r="Q72" s="4">
        <f>-294.713+546.717</f>
        <v>252.00399999999996</v>
      </c>
      <c r="R72" s="4">
        <f>-608.591+887.194-Q72</f>
        <v>26.59899999999999</v>
      </c>
      <c r="S72" s="4">
        <f>-636.852+1096.057-R72-Q72</f>
        <v>180.60200000000009</v>
      </c>
      <c r="T72" s="6">
        <f>E72-SUM(Q72:S72)</f>
        <v>-824.58699999999999</v>
      </c>
      <c r="U72" s="161">
        <f>-277.749+940.455</f>
        <v>662.70600000000002</v>
      </c>
      <c r="V72" s="4">
        <f>-277.749+965.331</f>
        <v>687.58199999999999</v>
      </c>
      <c r="W72" s="4">
        <f>-277.749+478.406-V72</f>
        <v>-486.92500000000001</v>
      </c>
      <c r="X72" s="4">
        <f>-277.749+185.06-W72-V72</f>
        <v>-293.346</v>
      </c>
      <c r="Y72" s="6">
        <f>F72-W72-X72-U72</f>
        <v>155.61099999999999</v>
      </c>
      <c r="Z72" s="4">
        <f>-100.496+2211.739</f>
        <v>2111.2429999999999</v>
      </c>
      <c r="AA72" s="4">
        <f>-334.636+5219.93-Z72</f>
        <v>2774.0509999999999</v>
      </c>
      <c r="AB72" s="4">
        <f>-583.191+4963.631-AA72-Z72</f>
        <v>-504.85399999999936</v>
      </c>
      <c r="AC72" s="103">
        <f>H72-AB72-AA72-Z72</f>
        <v>-2895.4190000000008</v>
      </c>
      <c r="AD72" s="4">
        <f>884.444+21.549</f>
        <v>905.99299999999994</v>
      </c>
      <c r="AE72" s="4">
        <f>1323.896-4.046-AD72</f>
        <v>413.85699999999997</v>
      </c>
      <c r="AF72" s="4">
        <f>2425.319-45.774-AE72-AD72</f>
        <v>1059.6950000000002</v>
      </c>
      <c r="AG72" s="103">
        <f>I72-AF72-AE72-AD72</f>
        <v>3571.3830000000003</v>
      </c>
      <c r="AH72" s="4">
        <f>-1081.708-64.046</f>
        <v>-1145.7540000000001</v>
      </c>
      <c r="AI72" s="4">
        <f>-1596.665-152.932-1941.126-AH72</f>
        <v>-2544.9690000000001</v>
      </c>
      <c r="AJ72" s="4">
        <f>-361.535-203.933-1941.126-AI72-AH72</f>
        <v>1184.1290000000001</v>
      </c>
      <c r="AK72" s="103">
        <f>J72-AJ72-AI72-AH72</f>
        <v>2028.9230000000002</v>
      </c>
      <c r="AL72" s="4">
        <f>-1006.954-50.306</f>
        <v>-1057.26</v>
      </c>
      <c r="AM72" s="4">
        <f>787.076-100.622-AL72</f>
        <v>1743.7139999999999</v>
      </c>
      <c r="AN72" s="4">
        <f>-4378.984-154.437-AM72-AL72</f>
        <v>-5219.875</v>
      </c>
      <c r="AO72" s="103">
        <f>K72-AN72-AM72-AL72</f>
        <v>3812.4360000000006</v>
      </c>
      <c r="AP72" s="4">
        <f>5281.321-48.337</f>
        <v>5232.9839999999995</v>
      </c>
      <c r="AQ72" s="4">
        <f>2843.006-253.189-AP72</f>
        <v>-2643.1669999999995</v>
      </c>
      <c r="AR72" s="4">
        <f>2802.334-457.166-AQ72-AP72</f>
        <v>-244.64900000000034</v>
      </c>
      <c r="AS72" s="103">
        <f>L72-AR72-AQ72-AP72</f>
        <v>1259.6070000000036</v>
      </c>
      <c r="AT72" s="4">
        <f>-1666.371-210.477</f>
        <v>-1876.8480000000002</v>
      </c>
      <c r="AU72" s="4">
        <f>-2311.469-471.6-AT72</f>
        <v>-906.22099999999978</v>
      </c>
      <c r="AV72" s="4">
        <f>-5806.386-777.803-AU72-AT72</f>
        <v>-3801.1200000000008</v>
      </c>
      <c r="AW72" s="103">
        <f>M72-AV72-AU72-AT72</f>
        <v>-1747.0619999999997</v>
      </c>
      <c r="AX72" s="4">
        <f>18582.974-20511.942-294.627</f>
        <v>-2223.5950000000007</v>
      </c>
      <c r="AY72" s="4">
        <f>-1871.494-608.939-AX72</f>
        <v>-256.83799999999928</v>
      </c>
      <c r="AZ72" s="4">
        <f>-5215.464-922.479-AX72-AY72</f>
        <v>-3657.51</v>
      </c>
      <c r="BA72" s="103">
        <f>N72-AZ72-AY72-AX72</f>
        <v>-4258.3069999999952</v>
      </c>
      <c r="BB72" s="4">
        <f>-2409.049-302.346</f>
        <v>-2711.395</v>
      </c>
      <c r="BC72" s="4">
        <f>360.29-640.52-BB72</f>
        <v>2431.165</v>
      </c>
      <c r="BD72" s="4">
        <f>79907.253-77028.118-973.665-BB72-BC72</f>
        <v>2185.6999999999944</v>
      </c>
      <c r="BE72" s="4"/>
      <c r="BF72" s="232">
        <f>-587.899+77.918-V72</f>
        <v>-1197.5630000000001</v>
      </c>
      <c r="BG72" s="4">
        <f>-675.129-75.36-BF72-V72</f>
        <v>-240.50799999999992</v>
      </c>
      <c r="BH72" s="4"/>
      <c r="BI72" s="4">
        <f>2209.732+0.261</f>
        <v>2209.9929999999999</v>
      </c>
      <c r="BJ72" s="77">
        <f>-4413.569-152.932-AH72</f>
        <v>-3420.7470000000003</v>
      </c>
      <c r="BK72" s="4">
        <f>10899.63-12051.181-206.134</f>
        <v>-1357.6850000000013</v>
      </c>
      <c r="BM72" s="195"/>
      <c r="BN72" s="192"/>
      <c r="BO72" s="195"/>
      <c r="BP72" s="195"/>
      <c r="BQ72" s="192"/>
      <c r="BR72" s="192"/>
      <c r="BS72" s="192"/>
      <c r="BT72" s="195"/>
      <c r="BU72" s="195"/>
      <c r="BV72" s="192"/>
      <c r="BW72" s="192"/>
      <c r="BX72" s="192"/>
      <c r="BY72" s="192"/>
      <c r="BZ72" s="195"/>
      <c r="CA72" s="195"/>
      <c r="CB72" s="192"/>
      <c r="CC72" s="192"/>
      <c r="CD72" s="195"/>
      <c r="CE72" s="195"/>
      <c r="CF72" s="192"/>
      <c r="CG72" s="192"/>
      <c r="CH72" s="195"/>
      <c r="CI72" s="195"/>
      <c r="CJ72" s="192"/>
      <c r="CK72" s="192"/>
      <c r="CL72" s="195"/>
      <c r="CM72" s="195"/>
      <c r="CN72" s="192"/>
      <c r="CO72" s="192"/>
      <c r="CP72" s="192"/>
      <c r="CQ72" s="195"/>
      <c r="CR72" s="192"/>
      <c r="CS72" s="192"/>
      <c r="CT72" s="192"/>
    </row>
    <row r="73" spans="2:98" ht="13.5" customHeight="1">
      <c r="B73" s="7" t="s">
        <v>382</v>
      </c>
      <c r="C73" s="4">
        <v>-22.757999999999999</v>
      </c>
      <c r="D73" s="4">
        <v>-15.914999999999999</v>
      </c>
      <c r="E73" s="4">
        <v>-18.109000000000002</v>
      </c>
      <c r="F73" s="4">
        <v>-8.4860000000000007</v>
      </c>
      <c r="G73" s="4">
        <v>1.117</v>
      </c>
      <c r="H73" s="4">
        <v>0</v>
      </c>
      <c r="I73" s="4">
        <f>-3255.399-15.976</f>
        <v>-3271.375</v>
      </c>
      <c r="J73" s="4">
        <v>-4.0730000000000004</v>
      </c>
      <c r="K73" s="4">
        <v>0</v>
      </c>
      <c r="L73" s="4">
        <f>-219.374-7.288-6.594</f>
        <v>-233.256</v>
      </c>
      <c r="M73" s="4">
        <f>-699.345-86.759</f>
        <v>-786.10400000000004</v>
      </c>
      <c r="N73" s="4">
        <f>-110.043</f>
        <v>-110.04300000000001</v>
      </c>
      <c r="O73" s="103">
        <f>SUM(BA73:BD73)</f>
        <v>-48.695000000000022</v>
      </c>
      <c r="P73" s="103"/>
      <c r="Q73" s="4">
        <f>-5.64</f>
        <v>-5.64</v>
      </c>
      <c r="R73" s="4">
        <f>-9.84-Q73</f>
        <v>-4.2</v>
      </c>
      <c r="S73" s="4">
        <f>-14.499-R73-Q73</f>
        <v>-4.6589999999999998</v>
      </c>
      <c r="T73" s="6">
        <f>E73-SUM(Q73:S73)</f>
        <v>-3.610000000000003</v>
      </c>
      <c r="U73" s="161">
        <v>-4.0609999999999999</v>
      </c>
      <c r="V73" s="4">
        <v>-1.698</v>
      </c>
      <c r="W73" s="4">
        <f>-7.936-V73</f>
        <v>-6.2379999999999995</v>
      </c>
      <c r="X73" s="4">
        <f>-4.942-W73-V73</f>
        <v>2.9939999999999993</v>
      </c>
      <c r="Y73" s="6">
        <f>F73-W73-X73-U73</f>
        <v>-1.1810000000000009</v>
      </c>
      <c r="Z73" s="4">
        <v>0.26100000000000001</v>
      </c>
      <c r="AA73" s="4">
        <f>-0.7-Z73</f>
        <v>-0.96099999999999997</v>
      </c>
      <c r="AB73" s="4">
        <f>-2.054-AA73-Z73</f>
        <v>-1.3540000000000001</v>
      </c>
      <c r="AC73" s="103">
        <f>H73-AB73-AA73-Z73</f>
        <v>2.0539999999999998</v>
      </c>
      <c r="AD73" s="4">
        <v>0</v>
      </c>
      <c r="AE73" s="4">
        <f>-15.971-AD73</f>
        <v>-15.971</v>
      </c>
      <c r="AF73" s="4">
        <f>-15.971-AE73-AD73</f>
        <v>0</v>
      </c>
      <c r="AG73" s="103">
        <f>I73-AF73-AE73-AD73</f>
        <v>-3255.404</v>
      </c>
      <c r="AH73" s="4">
        <v>-4.0730000000000004</v>
      </c>
      <c r="AI73" s="4">
        <f>-4.073-AH73</f>
        <v>0</v>
      </c>
      <c r="AJ73" s="4">
        <f>-4.073-AI73-AH73</f>
        <v>0</v>
      </c>
      <c r="AK73" s="103">
        <f>J73-AJ73-AI73-AH73</f>
        <v>0</v>
      </c>
      <c r="AL73" s="4">
        <v>0</v>
      </c>
      <c r="AM73" s="4">
        <f>0-AL73</f>
        <v>0</v>
      </c>
      <c r="AN73" s="4">
        <f>0-AM73-AL73</f>
        <v>0</v>
      </c>
      <c r="AO73" s="103">
        <f>K73-AN73-AM73-AL73</f>
        <v>0</v>
      </c>
      <c r="AP73" s="4">
        <v>0</v>
      </c>
      <c r="AQ73" s="4">
        <f>-29.129-4.709</f>
        <v>-33.838000000000001</v>
      </c>
      <c r="AR73" s="4">
        <f>0-AQ73-AP73</f>
        <v>33.838000000000001</v>
      </c>
      <c r="AS73" s="103">
        <f>L73-AR73-AQ73-AP73</f>
        <v>-233.256</v>
      </c>
      <c r="AT73" s="4">
        <v>-139.84200000000001</v>
      </c>
      <c r="AU73" s="4">
        <f>-407.57-AT73</f>
        <v>-267.72799999999995</v>
      </c>
      <c r="AV73" s="4">
        <f>-512.345-72.504-AU73-AT73</f>
        <v>-177.27900000000008</v>
      </c>
      <c r="AW73" s="103">
        <f>M73-AV73-AU73-AT73</f>
        <v>-201.25499999999997</v>
      </c>
      <c r="AX73" s="4">
        <v>-85.736999999999995</v>
      </c>
      <c r="AY73" s="4">
        <f>-153.452-AX73</f>
        <v>-67.715000000000003</v>
      </c>
      <c r="AZ73" s="4">
        <f>-205.539-0-AX73-AY73</f>
        <v>-52.086999999999989</v>
      </c>
      <c r="BA73" s="103">
        <f>N73-AZ73-AY73-AX73</f>
        <v>95.495999999999981</v>
      </c>
      <c r="BB73" s="4">
        <v>-52.866999999999997</v>
      </c>
      <c r="BC73" s="4">
        <f>-66.428-BB73</f>
        <v>-13.561</v>
      </c>
      <c r="BD73" s="4">
        <f>-144.191-BB73-BC73</f>
        <v>-77.763000000000005</v>
      </c>
      <c r="BE73" s="4"/>
      <c r="BF73" s="232">
        <f>-3.155-V73</f>
        <v>-1.4569999999999999</v>
      </c>
      <c r="BG73" s="4">
        <f>2.218-BF73-V73</f>
        <v>5.3729999999999993</v>
      </c>
      <c r="BH73" s="4"/>
      <c r="BI73" s="4">
        <v>0</v>
      </c>
      <c r="BJ73" s="77">
        <f>-4.073-AH73</f>
        <v>0</v>
      </c>
      <c r="BK73" s="4">
        <f>-139.842</f>
        <v>-139.84200000000001</v>
      </c>
      <c r="BM73" s="195"/>
      <c r="BN73" s="192"/>
      <c r="BO73" s="195"/>
      <c r="BP73" s="195"/>
      <c r="BQ73" s="192"/>
      <c r="BR73" s="192"/>
      <c r="BS73" s="192"/>
      <c r="BT73" s="195"/>
      <c r="BU73" s="195"/>
      <c r="BV73" s="192"/>
      <c r="BW73" s="192"/>
      <c r="BX73" s="192"/>
      <c r="BY73" s="192"/>
      <c r="BZ73" s="195"/>
      <c r="CA73" s="195"/>
      <c r="CB73" s="192"/>
      <c r="CC73" s="192"/>
      <c r="CD73" s="195"/>
      <c r="CE73" s="195"/>
      <c r="CF73" s="192"/>
      <c r="CG73" s="192"/>
      <c r="CH73" s="195"/>
      <c r="CI73" s="195"/>
      <c r="CJ73" s="192"/>
      <c r="CK73" s="192"/>
      <c r="CL73" s="195"/>
      <c r="CM73" s="195"/>
      <c r="CN73" s="192"/>
      <c r="CO73" s="192"/>
      <c r="CP73" s="192"/>
      <c r="CQ73" s="195"/>
      <c r="CR73" s="192"/>
      <c r="CS73" s="192"/>
      <c r="CT73" s="192"/>
    </row>
    <row r="74" spans="2:98" s="5" customFormat="1" ht="13.5" customHeight="1">
      <c r="B74" s="15" t="s">
        <v>104</v>
      </c>
      <c r="C74" s="8">
        <f t="shared" ref="C74:AA74" si="222">SUM(C68:C73)</f>
        <v>-648.03955312888593</v>
      </c>
      <c r="D74" s="8">
        <f t="shared" si="222"/>
        <v>-3518.5709165928856</v>
      </c>
      <c r="E74" s="8">
        <f t="shared" si="222"/>
        <v>699.41540337004244</v>
      </c>
      <c r="F74" s="8">
        <f t="shared" si="222"/>
        <v>-482.8688563764116</v>
      </c>
      <c r="G74" s="8">
        <f t="shared" si="222"/>
        <v>-1789.9958563764114</v>
      </c>
      <c r="H74" s="8">
        <f t="shared" si="222"/>
        <v>-2063.8550000000005</v>
      </c>
      <c r="I74" s="8">
        <f t="shared" ref="I74:O74" si="223">SUM(I68:I73)</f>
        <v>1820.6330000000016</v>
      </c>
      <c r="J74" s="8">
        <f t="shared" si="223"/>
        <v>2729.0840000000026</v>
      </c>
      <c r="K74" s="8">
        <f t="shared" si="223"/>
        <v>436.36399999999981</v>
      </c>
      <c r="L74" s="8">
        <f t="shared" si="223"/>
        <v>6702.5660000000034</v>
      </c>
      <c r="M74" s="8">
        <f t="shared" si="223"/>
        <v>-3540.0790000000006</v>
      </c>
      <c r="N74" s="8">
        <f>SUM(N68:N73)</f>
        <v>-5354.3519999999971</v>
      </c>
      <c r="O74" s="8">
        <f t="shared" si="223"/>
        <v>-41.533000000000669</v>
      </c>
      <c r="P74" s="8"/>
      <c r="Q74" s="8">
        <f t="shared" si="222"/>
        <v>253.5631273805235</v>
      </c>
      <c r="R74" s="8">
        <f t="shared" si="222"/>
        <v>434.34449588145435</v>
      </c>
      <c r="S74" s="8">
        <f t="shared" si="222"/>
        <v>394.34424638228597</v>
      </c>
      <c r="T74" s="8">
        <f t="shared" si="222"/>
        <v>-382.0364662742216</v>
      </c>
      <c r="U74" s="155">
        <f>SUM(U68:U73)</f>
        <v>493.87</v>
      </c>
      <c r="V74" s="8">
        <f t="shared" si="222"/>
        <v>518.39001126788673</v>
      </c>
      <c r="W74" s="8">
        <f t="shared" si="222"/>
        <v>-721.43781561819219</v>
      </c>
      <c r="X74" s="8">
        <f t="shared" si="222"/>
        <v>-613.95064620387961</v>
      </c>
      <c r="Y74" s="8">
        <f t="shared" si="222"/>
        <v>358.64960544566014</v>
      </c>
      <c r="Z74" s="8">
        <f t="shared" si="222"/>
        <v>1921.4159999999999</v>
      </c>
      <c r="AA74" s="8">
        <f t="shared" si="222"/>
        <v>-1307.1540000000002</v>
      </c>
      <c r="AB74" s="8">
        <f t="shared" ref="AB74:AG74" si="224">SUM(AB68:AB73)</f>
        <v>-188.02799999999942</v>
      </c>
      <c r="AC74" s="8">
        <f t="shared" si="224"/>
        <v>-2490.0890000000009</v>
      </c>
      <c r="AD74" s="8">
        <f t="shared" si="224"/>
        <v>196.47600000000011</v>
      </c>
      <c r="AE74" s="8">
        <f t="shared" si="224"/>
        <v>135.16999999999939</v>
      </c>
      <c r="AF74" s="8">
        <f t="shared" si="224"/>
        <v>1470.7110000000002</v>
      </c>
      <c r="AG74" s="8">
        <f t="shared" si="224"/>
        <v>18.276000000000295</v>
      </c>
      <c r="AH74" s="8">
        <f t="shared" ref="AH74:AM74" si="225">SUM(AH68:AH73)</f>
        <v>-1760.8690000000004</v>
      </c>
      <c r="AI74" s="8">
        <f t="shared" si="225"/>
        <v>694.36000000000013</v>
      </c>
      <c r="AJ74" s="8">
        <f t="shared" si="225"/>
        <v>1162.5650000000003</v>
      </c>
      <c r="AK74" s="8">
        <f t="shared" si="225"/>
        <v>2633.0279999999998</v>
      </c>
      <c r="AL74" s="8">
        <f t="shared" si="225"/>
        <v>-515.94499999999994</v>
      </c>
      <c r="AM74" s="8">
        <f t="shared" si="225"/>
        <v>3674.8509999999997</v>
      </c>
      <c r="AN74" s="8">
        <f t="shared" ref="AN74:AS74" si="226">SUM(AN68:AN73)</f>
        <v>-2842.545000000001</v>
      </c>
      <c r="AO74" s="8">
        <f t="shared" si="226"/>
        <v>120.00300000000061</v>
      </c>
      <c r="AP74" s="8">
        <f t="shared" si="226"/>
        <v>6965.177999999999</v>
      </c>
      <c r="AQ74" s="8">
        <f t="shared" si="226"/>
        <v>2462.7289999999998</v>
      </c>
      <c r="AR74" s="8">
        <f t="shared" si="226"/>
        <v>672.58400000000006</v>
      </c>
      <c r="AS74" s="8">
        <f t="shared" si="226"/>
        <v>-3397.9249999999979</v>
      </c>
      <c r="AT74" s="8">
        <f t="shared" ref="AT74:AZ74" si="227">SUM(AT68:AT73)</f>
        <v>-1134.3800000000006</v>
      </c>
      <c r="AU74" s="8">
        <f t="shared" si="227"/>
        <v>-199.59399999999982</v>
      </c>
      <c r="AV74" s="8">
        <f>SUM(AV68:AV73)</f>
        <v>-1881.132000000001</v>
      </c>
      <c r="AW74" s="8">
        <f t="shared" si="227"/>
        <v>-324.97299999999871</v>
      </c>
      <c r="AX74" s="8">
        <f t="shared" si="227"/>
        <v>-4727.027000000001</v>
      </c>
      <c r="AY74" s="8">
        <f t="shared" si="227"/>
        <v>552.53800000000069</v>
      </c>
      <c r="AZ74" s="8">
        <f t="shared" si="227"/>
        <v>-2052.4949999999999</v>
      </c>
      <c r="BA74" s="8">
        <f>SUM(BA68:BA73)</f>
        <v>872.63200000000586</v>
      </c>
      <c r="BB74" s="8">
        <f>SUM(BB68:BB73)</f>
        <v>-191.50000000000071</v>
      </c>
      <c r="BC74" s="8">
        <f>SUM(BC68:BC73)</f>
        <v>-374.71700000000038</v>
      </c>
      <c r="BD74" s="8">
        <f>SUM(BD68:BD73)</f>
        <v>-347.94800000000498</v>
      </c>
      <c r="BE74" s="8"/>
      <c r="BF74" s="244">
        <f>SUM(BF68:BF73)</f>
        <v>-1226.5630000000001</v>
      </c>
      <c r="BG74" s="8">
        <f>SUM(BG68:BG73)</f>
        <v>-421.00600000000003</v>
      </c>
      <c r="BH74" s="8"/>
      <c r="BI74" s="8">
        <f>SUM(BI68:BI73)</f>
        <v>2159.8519999999999</v>
      </c>
      <c r="BJ74" s="89">
        <f>SUM(BJ68:BJ73)</f>
        <v>-2015.6400000000003</v>
      </c>
      <c r="BK74" s="8">
        <f>SUM(BK68:BK73)</f>
        <v>1598.0979999999986</v>
      </c>
      <c r="BM74" s="194"/>
      <c r="BN74" s="188"/>
      <c r="BO74" s="194"/>
      <c r="BP74" s="194"/>
      <c r="BQ74" s="188"/>
      <c r="BR74" s="188"/>
      <c r="BS74" s="188"/>
      <c r="BT74" s="194"/>
      <c r="BU74" s="194"/>
      <c r="BV74" s="188"/>
      <c r="BW74" s="188"/>
      <c r="BX74" s="188"/>
      <c r="BY74" s="188"/>
      <c r="BZ74" s="194"/>
      <c r="CA74" s="194"/>
      <c r="CB74" s="188"/>
      <c r="CC74" s="188"/>
      <c r="CD74" s="194"/>
      <c r="CE74" s="194"/>
      <c r="CF74" s="188"/>
      <c r="CG74" s="188"/>
      <c r="CH74" s="194"/>
      <c r="CI74" s="194"/>
      <c r="CJ74" s="188"/>
      <c r="CK74" s="188"/>
      <c r="CL74" s="194"/>
      <c r="CM74" s="194"/>
      <c r="CN74" s="188"/>
      <c r="CO74" s="188"/>
      <c r="CP74" s="188"/>
      <c r="CQ74" s="194"/>
      <c r="CR74" s="188"/>
      <c r="CS74" s="188"/>
      <c r="CT74" s="188"/>
    </row>
    <row r="75" spans="2:98" ht="13.5" customHeight="1">
      <c r="B75" s="7" t="s">
        <v>105</v>
      </c>
      <c r="C75" s="4">
        <v>168.90799999999999</v>
      </c>
      <c r="D75" s="4">
        <v>512.36900000000003</v>
      </c>
      <c r="E75" s="4">
        <v>-539.28</v>
      </c>
      <c r="F75" s="4">
        <v>31.629000000000001</v>
      </c>
      <c r="G75" s="4">
        <v>45.543999999999997</v>
      </c>
      <c r="H75" s="4">
        <v>742.81500000000005</v>
      </c>
      <c r="I75" s="4">
        <v>64.355000000000004</v>
      </c>
      <c r="J75" s="4">
        <v>1365.0450000000001</v>
      </c>
      <c r="K75" s="4">
        <v>471.529</v>
      </c>
      <c r="L75" s="4">
        <v>172.285</v>
      </c>
      <c r="M75" s="4">
        <v>-149.68600000000001</v>
      </c>
      <c r="N75" s="4">
        <v>2434.7150000000001</v>
      </c>
      <c r="O75" s="103">
        <f>SUM(BA75:BD75)</f>
        <v>116.62400000000048</v>
      </c>
      <c r="P75" s="103"/>
      <c r="Q75" s="4">
        <v>-238.232</v>
      </c>
      <c r="R75" s="4">
        <f>-590.084-Q75</f>
        <v>-351.85199999999998</v>
      </c>
      <c r="S75" s="4">
        <f>-563.162-R75-Q75</f>
        <v>26.92199999999994</v>
      </c>
      <c r="T75" s="6">
        <f>E75-SUM(Q75:S75)</f>
        <v>23.882000000000062</v>
      </c>
      <c r="U75" s="161">
        <v>-93.674999999999997</v>
      </c>
      <c r="V75" s="4">
        <v>-77.644000000000005</v>
      </c>
      <c r="W75" s="4">
        <f>70.17-V75</f>
        <v>147.81400000000002</v>
      </c>
      <c r="X75" s="4">
        <f>-126.428-W75-V75</f>
        <v>-196.59800000000001</v>
      </c>
      <c r="Y75" s="6">
        <f>F75-W75-X75-U75</f>
        <v>174.08799999999999</v>
      </c>
      <c r="Z75" s="4">
        <v>65.606999999999999</v>
      </c>
      <c r="AA75" s="4">
        <f>760.569-Z75</f>
        <v>694.96199999999999</v>
      </c>
      <c r="AB75" s="4">
        <f>870.477-AA75-Z75</f>
        <v>109.90799999999999</v>
      </c>
      <c r="AC75" s="103">
        <f>H75-AB75-AA75-Z75</f>
        <v>-127.66199999999995</v>
      </c>
      <c r="AD75" s="4">
        <v>-33.601999999999997</v>
      </c>
      <c r="AE75" s="4">
        <f>-156.972-AD75</f>
        <v>-123.37</v>
      </c>
      <c r="AF75" s="4">
        <f>282.697-AE75-AD75</f>
        <v>439.66899999999998</v>
      </c>
      <c r="AG75" s="103">
        <f>I75-AF75-AE75-AD75</f>
        <v>-218.34199999999996</v>
      </c>
      <c r="AH75" s="4">
        <v>1518</v>
      </c>
      <c r="AI75" s="4">
        <f>1921.656-AH75</f>
        <v>403.65599999999995</v>
      </c>
      <c r="AJ75" s="4">
        <f>2228.556-AI75-AH75</f>
        <v>306.90000000000009</v>
      </c>
      <c r="AK75" s="103">
        <f>J75-AJ75-AI75-AH75</f>
        <v>-863.51099999999997</v>
      </c>
      <c r="AL75" s="4">
        <v>1118.318</v>
      </c>
      <c r="AM75" s="4">
        <f>-107.848-AL75</f>
        <v>-1226.1659999999999</v>
      </c>
      <c r="AN75" s="4">
        <f>380.472-AM75-AL75</f>
        <v>488.31999999999994</v>
      </c>
      <c r="AO75" s="103">
        <f>K75-AN75-AM75-AL75</f>
        <v>91.057000000000016</v>
      </c>
      <c r="AP75" s="4">
        <v>-441.00400000000002</v>
      </c>
      <c r="AQ75" s="4">
        <f>181.124-AP75</f>
        <v>622.12800000000004</v>
      </c>
      <c r="AR75" s="4">
        <f>409.789-AQ75-AP75</f>
        <v>228.66499999999996</v>
      </c>
      <c r="AS75" s="103">
        <f>L75-AR75-AQ75-AP75</f>
        <v>-237.50400000000002</v>
      </c>
      <c r="AT75" s="4">
        <v>-162.63</v>
      </c>
      <c r="AU75" s="4">
        <f>-429.289-AT75</f>
        <v>-266.65899999999999</v>
      </c>
      <c r="AV75" s="4">
        <f>-176.493-AU75-AT75</f>
        <v>252.79599999999999</v>
      </c>
      <c r="AW75" s="103">
        <f>M75-AV75-AU75-AT75</f>
        <v>26.807000000000016</v>
      </c>
      <c r="AX75" s="4">
        <v>335.96</v>
      </c>
      <c r="AY75" s="4">
        <f>1347.325-AX75</f>
        <v>1011.365</v>
      </c>
      <c r="AZ75" s="4">
        <f>1051.962-AX75-AY75</f>
        <v>-295.36300000000006</v>
      </c>
      <c r="BA75" s="103">
        <f>N75-AZ75-AY75-AX75</f>
        <v>1382.7530000000004</v>
      </c>
      <c r="BB75" s="4">
        <f>-568.34</f>
        <v>-568.34</v>
      </c>
      <c r="BC75" s="4">
        <f>-920.594-BB75</f>
        <v>-352.25400000000002</v>
      </c>
      <c r="BD75" s="4">
        <f>-1266.129-BB75-BC75</f>
        <v>-345.53499999999985</v>
      </c>
      <c r="BE75" s="4"/>
      <c r="BF75" s="232">
        <f>77.396-V75</f>
        <v>155.04000000000002</v>
      </c>
      <c r="BG75" s="4">
        <f>-95.196-BF75-V75</f>
        <v>-172.59200000000001</v>
      </c>
      <c r="BH75" s="4"/>
      <c r="BI75" s="4">
        <v>67.510000000000005</v>
      </c>
      <c r="BJ75" s="77">
        <f>1921.656-AH75</f>
        <v>403.65599999999995</v>
      </c>
      <c r="BK75" s="4">
        <v>-162.208</v>
      </c>
      <c r="BM75" s="195"/>
      <c r="BN75" s="192"/>
      <c r="BO75" s="195"/>
      <c r="BP75" s="195"/>
      <c r="BQ75" s="192"/>
      <c r="BR75" s="192"/>
      <c r="BS75" s="192"/>
      <c r="BT75" s="195"/>
      <c r="BU75" s="195"/>
      <c r="BV75" s="192"/>
      <c r="BW75" s="192"/>
      <c r="BX75" s="192"/>
      <c r="BY75" s="192"/>
      <c r="BZ75" s="195"/>
      <c r="CA75" s="195"/>
      <c r="CB75" s="192"/>
      <c r="CC75" s="192"/>
      <c r="CD75" s="195"/>
      <c r="CE75" s="195"/>
      <c r="CF75" s="192"/>
      <c r="CG75" s="192"/>
      <c r="CH75" s="195"/>
      <c r="CI75" s="195"/>
      <c r="CJ75" s="192"/>
      <c r="CK75" s="192"/>
      <c r="CL75" s="195"/>
      <c r="CM75" s="195"/>
      <c r="CN75" s="192"/>
      <c r="CO75" s="192"/>
      <c r="CP75" s="192"/>
      <c r="CQ75" s="195"/>
      <c r="CR75" s="192"/>
      <c r="CS75" s="192"/>
      <c r="CT75" s="192"/>
    </row>
    <row r="76" spans="2:98" ht="13.5" customHeight="1">
      <c r="B76" s="7" t="s">
        <v>106</v>
      </c>
      <c r="C76" s="4">
        <v>69.643000000000001</v>
      </c>
      <c r="D76" s="4">
        <v>4347.1390000000001</v>
      </c>
      <c r="E76" s="4">
        <v>-52.689</v>
      </c>
      <c r="F76" s="4">
        <v>-8.8030000000000008</v>
      </c>
      <c r="G76" s="4">
        <v>274.41699999999997</v>
      </c>
      <c r="H76" s="4">
        <v>4667.7849999999999</v>
      </c>
      <c r="I76" s="4">
        <v>-49.363999999999997</v>
      </c>
      <c r="J76" s="4">
        <v>0</v>
      </c>
      <c r="K76" s="4">
        <v>0</v>
      </c>
      <c r="L76" s="4">
        <v>1833.19</v>
      </c>
      <c r="M76" s="4">
        <v>-818.72</v>
      </c>
      <c r="N76" s="4">
        <v>4886.3289999999997</v>
      </c>
      <c r="O76" s="103">
        <f>SUM(BA76:BD76)</f>
        <v>4886.3289999999997</v>
      </c>
      <c r="P76" s="103"/>
      <c r="Q76" s="4">
        <v>-10.868</v>
      </c>
      <c r="R76" s="4">
        <f>-36.854-Q76</f>
        <v>-25.985999999999997</v>
      </c>
      <c r="S76" s="4">
        <f>-74.49-R76-Q76</f>
        <v>-37.635999999999996</v>
      </c>
      <c r="T76" s="6">
        <f>E76-SUM(Q76:S76)</f>
        <v>21.800999999999995</v>
      </c>
      <c r="U76" s="161">
        <v>3.8860000000000001</v>
      </c>
      <c r="V76" s="4">
        <v>-54.405000000000001</v>
      </c>
      <c r="W76" s="4">
        <f>-6.556-V76</f>
        <v>47.849000000000004</v>
      </c>
      <c r="X76" s="4">
        <f>-8.803-W76-V76</f>
        <v>-2.2469999999999999</v>
      </c>
      <c r="Y76" s="6">
        <f>F76-W76-X76-U76</f>
        <v>-58.291000000000004</v>
      </c>
      <c r="Z76" s="4">
        <v>-559.06899999999996</v>
      </c>
      <c r="AA76" s="4">
        <f>-198.546-Z76</f>
        <v>360.52299999999997</v>
      </c>
      <c r="AB76" s="4">
        <f>-200.98-AA76-Z76</f>
        <v>-2.4339999999999691</v>
      </c>
      <c r="AC76" s="103">
        <f>H76-AB76-AA76-Z76</f>
        <v>4868.7649999999994</v>
      </c>
      <c r="AD76" s="4">
        <v>-49.363999999999997</v>
      </c>
      <c r="AE76" s="4">
        <f>-49.364-AD76</f>
        <v>0</v>
      </c>
      <c r="AF76" s="4">
        <f>-49.364-AE76-AD76</f>
        <v>0</v>
      </c>
      <c r="AG76" s="103">
        <f>I76-AF76-AE76-AD76</f>
        <v>0</v>
      </c>
      <c r="AH76" s="4">
        <v>0</v>
      </c>
      <c r="AI76" s="4">
        <v>0</v>
      </c>
      <c r="AJ76" s="4">
        <f>0-AI76-AH76</f>
        <v>0</v>
      </c>
      <c r="AK76" s="103">
        <f>J76-AJ76-AI76-AH76</f>
        <v>0</v>
      </c>
      <c r="AL76" s="4">
        <v>0</v>
      </c>
      <c r="AM76" s="4">
        <v>0</v>
      </c>
      <c r="AN76" s="4">
        <f>0-AM76-AL76</f>
        <v>0</v>
      </c>
      <c r="AO76" s="103">
        <f>K76-AN76-AM76-AL76</f>
        <v>0</v>
      </c>
      <c r="AP76" s="4">
        <v>0</v>
      </c>
      <c r="AQ76" s="4">
        <v>0</v>
      </c>
      <c r="AR76" s="4">
        <f>0-AQ76-AP76</f>
        <v>0</v>
      </c>
      <c r="AS76" s="103">
        <f>L76-AR76-AQ76-AP76</f>
        <v>1833.19</v>
      </c>
      <c r="AT76" s="4">
        <v>0</v>
      </c>
      <c r="AU76" s="4">
        <v>0</v>
      </c>
      <c r="AV76" s="4">
        <f>0-AU76-AT76</f>
        <v>0</v>
      </c>
      <c r="AW76" s="103">
        <f>M76-AV76-AU76-AT76</f>
        <v>-818.72</v>
      </c>
      <c r="AX76" s="4">
        <v>0</v>
      </c>
      <c r="AY76" s="4">
        <v>0</v>
      </c>
      <c r="AZ76" s="4">
        <f>0-AX76-AY76</f>
        <v>0</v>
      </c>
      <c r="BA76" s="103">
        <f>N76-AZ76-AY76-AX76</f>
        <v>4886.3289999999997</v>
      </c>
      <c r="BB76" s="4">
        <v>0</v>
      </c>
      <c r="BC76" s="4">
        <v>0</v>
      </c>
      <c r="BD76" s="4">
        <f>0-BB76-BC76</f>
        <v>0</v>
      </c>
      <c r="BE76" s="4"/>
      <c r="BF76" s="232">
        <f>-10.597-V76</f>
        <v>43.808</v>
      </c>
      <c r="BG76" s="4">
        <f>-22.219-BF76-V76</f>
        <v>-11.622</v>
      </c>
      <c r="BH76" s="4"/>
      <c r="BI76" s="4">
        <v>-573.64599999999996</v>
      </c>
      <c r="BJ76" s="77">
        <f>0-AH76</f>
        <v>0</v>
      </c>
      <c r="BK76" s="4">
        <v>0</v>
      </c>
      <c r="BM76" s="195"/>
      <c r="BN76" s="192"/>
      <c r="BO76" s="195"/>
      <c r="BP76" s="195"/>
      <c r="BQ76" s="192"/>
      <c r="BR76" s="192"/>
      <c r="BS76" s="192"/>
      <c r="BT76" s="195"/>
      <c r="BU76" s="195"/>
      <c r="BV76" s="192"/>
      <c r="BW76" s="192"/>
      <c r="BX76" s="192"/>
      <c r="BY76" s="192"/>
      <c r="BZ76" s="195"/>
      <c r="CA76" s="195"/>
      <c r="CB76" s="192"/>
      <c r="CC76" s="192"/>
      <c r="CD76" s="195"/>
      <c r="CE76" s="195"/>
      <c r="CF76" s="192"/>
      <c r="CG76" s="192"/>
      <c r="CH76" s="195"/>
      <c r="CI76" s="195"/>
      <c r="CJ76" s="192"/>
      <c r="CK76" s="192"/>
      <c r="CL76" s="195"/>
      <c r="CM76" s="195"/>
      <c r="CN76" s="192"/>
      <c r="CO76" s="192"/>
      <c r="CP76" s="192"/>
      <c r="CQ76" s="195"/>
      <c r="CR76" s="192"/>
      <c r="CS76" s="192"/>
      <c r="CT76" s="192"/>
    </row>
    <row r="77" spans="2:98" ht="13.5" customHeight="1">
      <c r="B77" s="7" t="s">
        <v>107</v>
      </c>
      <c r="C77" s="105">
        <f>847.261-C75-C74-C76</f>
        <v>1256.749553128886</v>
      </c>
      <c r="D77" s="105">
        <f>2345.413-D75-D74-D76</f>
        <v>1004.4759165928854</v>
      </c>
      <c r="E77" s="105">
        <f>274.431-E75-E74-E76</f>
        <v>166.98459662995757</v>
      </c>
      <c r="F77" s="105">
        <f>-876.288-F75-F74-F76</f>
        <v>-416.24514362358843</v>
      </c>
      <c r="G77" s="105">
        <f>-876.29-G75-G74-G76</f>
        <v>593.74485637641146</v>
      </c>
      <c r="H77" s="105">
        <f>2789.353-H75-H74-H76</f>
        <v>-557.39199999999983</v>
      </c>
      <c r="I77" s="105">
        <f>1218.407-I75-I74-I76</f>
        <v>-617.21700000000169</v>
      </c>
      <c r="J77" s="105">
        <f>3347.336-J75-J74-J76</f>
        <v>-746.79300000000285</v>
      </c>
      <c r="K77" s="105">
        <f>-282.442-K75-K74-K76</f>
        <v>-1190.3349999999998</v>
      </c>
      <c r="L77" s="105">
        <f>4644.306-L75-L74-L76</f>
        <v>-4063.7350000000038</v>
      </c>
      <c r="M77" s="105">
        <f>56.424-M75-M74-M76</f>
        <v>4564.9090000000006</v>
      </c>
      <c r="N77" s="105">
        <f>-1943.525-N75-N74-N76</f>
        <v>-3910.2170000000024</v>
      </c>
      <c r="O77" s="103">
        <f>SUM(BA77:BD77)</f>
        <v>-4096.2199999999957</v>
      </c>
      <c r="P77" s="103"/>
      <c r="Q77" s="105">
        <f>180.262-Q75-Q74-Q76</f>
        <v>175.79887261947653</v>
      </c>
      <c r="R77" s="105">
        <f>190.944-Q78-R76-R75-R74</f>
        <v>-45.824495881454425</v>
      </c>
      <c r="S77" s="105">
        <f>726.45-R78-Q78-S76-S75-S74</f>
        <v>151.87575361771417</v>
      </c>
      <c r="T77" s="6">
        <f>E77-SUM(Q77:S77)</f>
        <v>-114.8655337257787</v>
      </c>
      <c r="U77" s="161">
        <f>425.85-U75-U74-U76</f>
        <v>21.768999999999973</v>
      </c>
      <c r="V77" s="105">
        <f>425.85-V75-V74-V76</f>
        <v>39.508988732113295</v>
      </c>
      <c r="W77" s="105">
        <f>157.303-V78-W76-W75-W74</f>
        <v>257.22781561819215</v>
      </c>
      <c r="X77" s="105">
        <f>-754.334-W78-V78-X76-X75-X74</f>
        <v>-98.841353796120529</v>
      </c>
      <c r="Y77" s="6">
        <f>F77-W77-X77-U77</f>
        <v>-596.40060544566006</v>
      </c>
      <c r="Z77" s="105">
        <f>1457.598-Z75-Z74-Z76</f>
        <v>29.644000000000005</v>
      </c>
      <c r="AA77" s="105">
        <f>1257.532-Z78-AA76-AA75-AA74</f>
        <v>51.603000000000293</v>
      </c>
      <c r="AB77" s="105">
        <f>1231.782-AA78-AB76-AB75-AB74-Z78</f>
        <v>54.803999999999405</v>
      </c>
      <c r="AC77" s="103">
        <f>H77-AB77-AA77-Z77</f>
        <v>-693.44299999999953</v>
      </c>
      <c r="AD77" s="105">
        <f>-589.845-AD75-AD74-AD76</f>
        <v>-703.35500000000013</v>
      </c>
      <c r="AE77" s="105">
        <f>-753.893-AD78-AE76-AE75-AE74</f>
        <v>-175.84799999999939</v>
      </c>
      <c r="AF77" s="105">
        <f>1167.883-AE78-AF76-AF75-AF74-AD78</f>
        <v>11.395999999999844</v>
      </c>
      <c r="AG77" s="103">
        <f>I77-AF77-AE77-AD77</f>
        <v>250.58999999999799</v>
      </c>
      <c r="AH77" s="105">
        <f>-835.937-AH75-AH74-AH76</f>
        <v>-593.06799999999953</v>
      </c>
      <c r="AI77" s="105">
        <f>-236.07-AH78-AI76-AI75-AI74</f>
        <v>-498.14900000000011</v>
      </c>
      <c r="AJ77" s="105">
        <f>1244.358-AI78-AJ76-AJ75-AJ74-AH78</f>
        <v>10.962999999999511</v>
      </c>
      <c r="AK77" s="103">
        <f>J77-AJ77-AI77-AH77</f>
        <v>333.46099999999728</v>
      </c>
      <c r="AL77" s="105">
        <f>-700.493-AL75-AL74-AL76</f>
        <v>-1302.8660000000002</v>
      </c>
      <c r="AM77" s="105">
        <f>-430.728-AL78-AM76-AM75-AM74+2177.099</f>
        <v>-1.8209999999994579</v>
      </c>
      <c r="AN77" s="105">
        <f>937.297-AM78-AN76-AN75-AN74-AL78</f>
        <v>1545.1510000000012</v>
      </c>
      <c r="AO77" s="103">
        <f>K77-AN77-AM77-AL77</f>
        <v>-1430.7990000000011</v>
      </c>
      <c r="AP77" s="105">
        <f>3199.996-AP75-AP74-AP76</f>
        <v>-3324.177999999999</v>
      </c>
      <c r="AQ77" s="105">
        <f>5977.507-3199.996-AQ75-AQ74-AQ76</f>
        <v>-307.34600000000046</v>
      </c>
      <c r="AR77" s="105">
        <f>7761.584-AQ78-AR76-AR75-AR74-AP78</f>
        <v>882.82800000000043</v>
      </c>
      <c r="AS77" s="103">
        <f>L77-AR77-AQ77-AP77</f>
        <v>-1315.0390000000043</v>
      </c>
      <c r="AT77" s="105">
        <f>-629.035-AT75-AT74-AT76</f>
        <v>667.97500000000059</v>
      </c>
      <c r="AU77" s="105">
        <f>-836.261+690.483-AU75-AU74-AU76</f>
        <v>320.4749999999998</v>
      </c>
      <c r="AV77" s="105">
        <f>-823.618-AU78-AV76-AV75-AV74-AT78</f>
        <v>1579.5310000000011</v>
      </c>
      <c r="AW77" s="103">
        <f>M77-AV77-AU77-AT77</f>
        <v>1996.9279999999992</v>
      </c>
      <c r="AX77" s="105">
        <f>-2766.35-AX75-AX74-AX76</f>
        <v>1624.717000000001</v>
      </c>
      <c r="AY77" s="105">
        <f>-969.818+2766.35-AY75-AY74-AY76</f>
        <v>232.62899999999922</v>
      </c>
      <c r="AZ77" s="105">
        <f>-1669.245-AY78-AZ76-AZ75-AZ74-AX78</f>
        <v>1648.431</v>
      </c>
      <c r="BA77" s="103">
        <f>N77-AZ77-AY77-AX77</f>
        <v>-7415.9940000000024</v>
      </c>
      <c r="BB77" s="105">
        <f>-661.477-BB75-BB74-BB76</f>
        <v>98.363000000000767</v>
      </c>
      <c r="BC77" s="105">
        <f>-49.177+661.477-BC75-BC74-BC76</f>
        <v>1339.2710000000004</v>
      </c>
      <c r="BD77" s="105">
        <f>1139.48-BC78-BD76-BD75-BD74-BB78</f>
        <v>1882.1400000000049</v>
      </c>
      <c r="BE77" s="105"/>
      <c r="BF77" s="289">
        <f>157.302-V78-BF76-BF75-BF74</f>
        <v>759.16700000000014</v>
      </c>
      <c r="BG77" s="105">
        <f>-754.335-BF78-BG76-BG75-BG74-V78</f>
        <v>-306.41699999999997</v>
      </c>
      <c r="BH77" s="105"/>
      <c r="BI77" s="105">
        <f>1457.599-BI75-BI74-BI76</f>
        <v>-196.11699999999996</v>
      </c>
      <c r="BJ77" s="388">
        <f>1042.472-AH78-BJ76-BJ75-BJ74-1278.542</f>
        <v>2211.8510000000001</v>
      </c>
      <c r="BK77" s="105">
        <f>-691.987-BK75-BK74-BK76</f>
        <v>-2127.8769999999986</v>
      </c>
      <c r="BM77" s="196"/>
      <c r="BN77" s="192"/>
      <c r="BO77" s="196"/>
      <c r="BP77" s="196"/>
      <c r="BQ77" s="192"/>
      <c r="BR77" s="192"/>
      <c r="BS77" s="192"/>
      <c r="BT77" s="196"/>
      <c r="BU77" s="196"/>
      <c r="BV77" s="192"/>
      <c r="BW77" s="192"/>
      <c r="BX77" s="192"/>
      <c r="BY77" s="192"/>
      <c r="BZ77" s="196"/>
      <c r="CA77" s="196"/>
      <c r="CB77" s="192"/>
      <c r="CC77" s="192"/>
      <c r="CD77" s="196"/>
      <c r="CE77" s="196"/>
      <c r="CF77" s="192"/>
      <c r="CG77" s="192"/>
      <c r="CH77" s="196"/>
      <c r="CI77" s="196"/>
      <c r="CJ77" s="192"/>
      <c r="CK77" s="192"/>
      <c r="CL77" s="196"/>
      <c r="CM77" s="196"/>
      <c r="CN77" s="192"/>
      <c r="CO77" s="192"/>
      <c r="CP77" s="192"/>
      <c r="CQ77" s="196"/>
      <c r="CR77" s="192"/>
      <c r="CS77" s="192"/>
      <c r="CT77" s="192"/>
    </row>
    <row r="78" spans="2:98" ht="13.5" customHeight="1">
      <c r="B78" s="15" t="s">
        <v>108</v>
      </c>
      <c r="C78" s="8">
        <f t="shared" ref="C78:H78" si="228">SUM(C74:C77)</f>
        <v>847.26100000000008</v>
      </c>
      <c r="D78" s="8">
        <f t="shared" si="228"/>
        <v>2345.413</v>
      </c>
      <c r="E78" s="8">
        <f t="shared" si="228"/>
        <v>274.43100000000004</v>
      </c>
      <c r="F78" s="8">
        <f t="shared" si="228"/>
        <v>-876.28800000000001</v>
      </c>
      <c r="G78" s="8">
        <f t="shared" si="228"/>
        <v>-876.29</v>
      </c>
      <c r="H78" s="8">
        <f t="shared" si="228"/>
        <v>2789.3529999999996</v>
      </c>
      <c r="I78" s="8">
        <f t="shared" ref="I78:O78" si="229">SUM(I74:I77)</f>
        <v>1218.4069999999999</v>
      </c>
      <c r="J78" s="8">
        <f t="shared" si="229"/>
        <v>3347.3359999999998</v>
      </c>
      <c r="K78" s="8">
        <f t="shared" si="229"/>
        <v>-282.44200000000001</v>
      </c>
      <c r="L78" s="8">
        <f t="shared" si="229"/>
        <v>4644.3059999999987</v>
      </c>
      <c r="M78" s="8">
        <f t="shared" si="229"/>
        <v>56.423999999999978</v>
      </c>
      <c r="N78" s="8">
        <f>SUM(N74:N77)</f>
        <v>-1943.5249999999996</v>
      </c>
      <c r="O78" s="8">
        <f t="shared" si="229"/>
        <v>865.20000000000346</v>
      </c>
      <c r="P78" s="8"/>
      <c r="Q78" s="8">
        <f t="shared" ref="Q78:X78" si="230">SUM(Q74:Q77)</f>
        <v>180.26200000000003</v>
      </c>
      <c r="R78" s="8">
        <f>SUM(R74:R77)</f>
        <v>10.681999999999952</v>
      </c>
      <c r="S78" s="8">
        <f>SUM(S74:S77)</f>
        <v>535.50600000000009</v>
      </c>
      <c r="T78" s="8">
        <f t="shared" si="230"/>
        <v>-451.21900000000028</v>
      </c>
      <c r="U78" s="155">
        <f>SUM(U74:U77)</f>
        <v>425.84999999999997</v>
      </c>
      <c r="V78" s="8">
        <f>SUM(V74:V77)</f>
        <v>425.85</v>
      </c>
      <c r="W78" s="8">
        <f t="shared" si="230"/>
        <v>-268.54699999999991</v>
      </c>
      <c r="X78" s="8">
        <f t="shared" si="230"/>
        <v>-911.63700000000006</v>
      </c>
      <c r="Y78" s="8">
        <f t="shared" ref="Y78:AD78" si="231">SUM(Y74:Y77)</f>
        <v>-121.95399999999989</v>
      </c>
      <c r="Z78" s="8">
        <f t="shared" si="231"/>
        <v>1457.598</v>
      </c>
      <c r="AA78" s="8">
        <f t="shared" si="231"/>
        <v>-200.06599999999997</v>
      </c>
      <c r="AB78" s="8">
        <f t="shared" si="231"/>
        <v>-25.75</v>
      </c>
      <c r="AC78" s="8">
        <f t="shared" si="231"/>
        <v>1557.5709999999992</v>
      </c>
      <c r="AD78" s="8">
        <f t="shared" si="231"/>
        <v>-589.84500000000003</v>
      </c>
      <c r="AE78" s="8">
        <f t="shared" ref="AE78:AJ78" si="232">SUM(AE74:AE77)</f>
        <v>-164.048</v>
      </c>
      <c r="AF78" s="8">
        <f t="shared" si="232"/>
        <v>1921.7759999999998</v>
      </c>
      <c r="AG78" s="8">
        <f t="shared" si="232"/>
        <v>50.523999999998324</v>
      </c>
      <c r="AH78" s="8">
        <f t="shared" si="232"/>
        <v>-835.9369999999999</v>
      </c>
      <c r="AI78" s="8">
        <f t="shared" si="232"/>
        <v>599.86699999999996</v>
      </c>
      <c r="AJ78" s="8">
        <f t="shared" si="232"/>
        <v>1480.4279999999999</v>
      </c>
      <c r="AK78" s="8">
        <f t="shared" ref="AK78:AP78" si="233">SUM(AK74:AK77)</f>
        <v>2102.9779999999973</v>
      </c>
      <c r="AL78" s="8">
        <f t="shared" si="233"/>
        <v>-700.49300000000017</v>
      </c>
      <c r="AM78" s="8">
        <f t="shared" si="233"/>
        <v>2446.864</v>
      </c>
      <c r="AN78" s="8">
        <f t="shared" si="233"/>
        <v>-809.07400000000007</v>
      </c>
      <c r="AO78" s="8">
        <f t="shared" si="233"/>
        <v>-1219.7390000000005</v>
      </c>
      <c r="AP78" s="8">
        <f t="shared" si="233"/>
        <v>3199.9960000000001</v>
      </c>
      <c r="AQ78" s="8">
        <f t="shared" ref="AQ78:AZ78" si="234">SUM(AQ74:AQ77)</f>
        <v>2777.5109999999995</v>
      </c>
      <c r="AR78" s="8">
        <f t="shared" si="234"/>
        <v>1784.0770000000005</v>
      </c>
      <c r="AS78" s="8">
        <f t="shared" si="234"/>
        <v>-3117.2780000000021</v>
      </c>
      <c r="AT78" s="8">
        <f t="shared" si="234"/>
        <v>-629.03500000000008</v>
      </c>
      <c r="AU78" s="8">
        <f t="shared" si="234"/>
        <v>-145.77800000000002</v>
      </c>
      <c r="AV78" s="8">
        <f t="shared" si="234"/>
        <v>-48.804999999999836</v>
      </c>
      <c r="AW78" s="8">
        <f t="shared" si="234"/>
        <v>880.0420000000006</v>
      </c>
      <c r="AX78" s="8">
        <f t="shared" si="234"/>
        <v>-2766.35</v>
      </c>
      <c r="AY78" s="8">
        <f t="shared" si="234"/>
        <v>1796.5319999999999</v>
      </c>
      <c r="AZ78" s="8">
        <f t="shared" si="234"/>
        <v>-699.42700000000013</v>
      </c>
      <c r="BA78" s="8">
        <f>SUM(BA74:BA77)</f>
        <v>-274.27999999999702</v>
      </c>
      <c r="BB78" s="8">
        <f>SUM(BB74:BB77)</f>
        <v>-661.47699999999998</v>
      </c>
      <c r="BC78" s="8">
        <f>SUM(BC74:BC77)</f>
        <v>612.29999999999995</v>
      </c>
      <c r="BD78" s="8">
        <f>SUM(BD74:BD77)</f>
        <v>1188.6570000000002</v>
      </c>
      <c r="BE78" s="8"/>
      <c r="BF78" s="244">
        <f>SUM(BF74:BF77)</f>
        <v>-268.548</v>
      </c>
      <c r="BG78" s="8">
        <f>SUM(BG74:BG77)</f>
        <v>-911.63699999999994</v>
      </c>
      <c r="BH78" s="8"/>
      <c r="BI78" s="8">
        <f>SUM(BI74:BI77)</f>
        <v>1457.5990000000002</v>
      </c>
      <c r="BJ78" s="89">
        <f>SUM(BJ74:BJ77)</f>
        <v>599.86699999999973</v>
      </c>
      <c r="BK78" s="8">
        <f>SUM(BK74:BK77)</f>
        <v>-691.98700000000008</v>
      </c>
      <c r="BM78" s="194"/>
      <c r="BN78" s="192"/>
      <c r="BO78" s="194"/>
      <c r="BP78" s="194"/>
      <c r="BQ78" s="192"/>
      <c r="BR78" s="192"/>
      <c r="BS78" s="192"/>
      <c r="BT78" s="194"/>
      <c r="BU78" s="194"/>
      <c r="BV78" s="192"/>
      <c r="BW78" s="192"/>
      <c r="BX78" s="192"/>
      <c r="BY78" s="192"/>
      <c r="BZ78" s="194"/>
      <c r="CA78" s="194"/>
      <c r="CB78" s="192"/>
      <c r="CC78" s="192"/>
      <c r="CD78" s="194"/>
      <c r="CE78" s="194"/>
      <c r="CF78" s="192"/>
      <c r="CG78" s="192"/>
      <c r="CH78" s="194"/>
      <c r="CI78" s="194"/>
      <c r="CJ78" s="192"/>
      <c r="CK78" s="192"/>
      <c r="CL78" s="194"/>
      <c r="CM78" s="194"/>
      <c r="CN78" s="192"/>
      <c r="CO78" s="192"/>
      <c r="CP78" s="192"/>
      <c r="CQ78" s="194"/>
      <c r="CR78" s="192"/>
      <c r="CS78" s="192"/>
      <c r="CT78" s="192"/>
    </row>
    <row r="79" spans="2:98" ht="13.5" customHeight="1">
      <c r="B79" s="15" t="s">
        <v>109</v>
      </c>
      <c r="C79" s="105">
        <f>771.254+1040.282+C78</f>
        <v>2658.797</v>
      </c>
      <c r="D79" s="6">
        <f>C79+D78</f>
        <v>5004.21</v>
      </c>
      <c r="E79" s="6">
        <f>D79+E78</f>
        <v>5278.6409999999996</v>
      </c>
      <c r="F79" s="6">
        <f>E79+F78</f>
        <v>4402.3529999999992</v>
      </c>
      <c r="G79" s="6">
        <f>E79+G78</f>
        <v>4402.3509999999997</v>
      </c>
      <c r="H79" s="6">
        <f>G79+H78</f>
        <v>7191.7039999999997</v>
      </c>
      <c r="I79" s="6">
        <f>H79+I78</f>
        <v>8410.110999999999</v>
      </c>
      <c r="J79" s="6">
        <f>I79+J78</f>
        <v>11757.446999999998</v>
      </c>
      <c r="K79" s="6">
        <f>2041.924+K78</f>
        <v>1759.482</v>
      </c>
      <c r="L79" s="6">
        <f>1759.482+L78</f>
        <v>6403.7879999999986</v>
      </c>
      <c r="M79" s="6">
        <f>6403.788+M78</f>
        <v>6460.2119999999995</v>
      </c>
      <c r="N79" s="6">
        <f>6460.212+N78</f>
        <v>4516.6870000000008</v>
      </c>
      <c r="O79" s="6">
        <f>AZ79+O78</f>
        <v>5656.1670000000022</v>
      </c>
      <c r="P79" s="6"/>
      <c r="Q79" s="6">
        <f>D79+Q78</f>
        <v>5184.4719999999998</v>
      </c>
      <c r="R79" s="6">
        <f>Q79+R78</f>
        <v>5195.1539999999995</v>
      </c>
      <c r="S79" s="6">
        <f>R79+S78</f>
        <v>5730.66</v>
      </c>
      <c r="T79" s="6">
        <f>S79+T78</f>
        <v>5279.4409999999998</v>
      </c>
      <c r="U79" s="159"/>
      <c r="V79" s="6">
        <f>E79+V78</f>
        <v>5704.491</v>
      </c>
      <c r="W79" s="6">
        <f>V79+W78</f>
        <v>5435.9440000000004</v>
      </c>
      <c r="X79" s="6">
        <f>W79+X78</f>
        <v>4524.3070000000007</v>
      </c>
      <c r="Y79" s="6">
        <f>X79+Y78</f>
        <v>4402.353000000001</v>
      </c>
      <c r="Z79" s="6">
        <f>F79+Z78</f>
        <v>5859.9509999999991</v>
      </c>
      <c r="AA79" s="6">
        <f t="shared" ref="AA79:AI79" si="235">Z79+AA78</f>
        <v>5659.8849999999993</v>
      </c>
      <c r="AB79" s="6">
        <f t="shared" si="235"/>
        <v>5634.1349999999993</v>
      </c>
      <c r="AC79" s="6">
        <f t="shared" si="235"/>
        <v>7191.7059999999983</v>
      </c>
      <c r="AD79" s="6">
        <f t="shared" si="235"/>
        <v>6601.8609999999981</v>
      </c>
      <c r="AE79" s="6">
        <f t="shared" si="235"/>
        <v>6437.8129999999983</v>
      </c>
      <c r="AF79" s="6">
        <f t="shared" si="235"/>
        <v>8359.5889999999981</v>
      </c>
      <c r="AG79" s="6">
        <f>AF79+AG78</f>
        <v>8410.1129999999957</v>
      </c>
      <c r="AH79" s="6">
        <f t="shared" si="235"/>
        <v>7574.1759999999958</v>
      </c>
      <c r="AI79" s="6">
        <f t="shared" si="235"/>
        <v>8174.042999999996</v>
      </c>
      <c r="AJ79" s="6">
        <f>AI79+AJ78</f>
        <v>9654.4709999999959</v>
      </c>
      <c r="AK79" s="6">
        <f>AJ79+AK78</f>
        <v>11757.448999999993</v>
      </c>
      <c r="AL79" s="6">
        <f>AK79+AL78</f>
        <v>11056.955999999993</v>
      </c>
      <c r="AM79" s="6">
        <f>AL79+AM78</f>
        <v>13503.819999999992</v>
      </c>
      <c r="AN79" s="6">
        <v>2979.221</v>
      </c>
      <c r="AO79" s="6">
        <f>K79</f>
        <v>1759.482</v>
      </c>
      <c r="AP79" s="6">
        <f>AO79+AP78</f>
        <v>4959.4780000000001</v>
      </c>
      <c r="AQ79" s="6">
        <f>AP79+AQ78</f>
        <v>7736.9889999999996</v>
      </c>
      <c r="AR79" s="6">
        <f>AQ79+AR78</f>
        <v>9521.0660000000007</v>
      </c>
      <c r="AS79" s="6">
        <f>L79</f>
        <v>6403.7879999999986</v>
      </c>
      <c r="AT79" s="6">
        <f>AS79+AT78</f>
        <v>5774.7529999999988</v>
      </c>
      <c r="AU79" s="6">
        <f>AT79+AU78</f>
        <v>5628.9749999999985</v>
      </c>
      <c r="AV79" s="6">
        <f>AU79+AV78</f>
        <v>5580.1699999999983</v>
      </c>
      <c r="AW79" s="6">
        <f>M79</f>
        <v>6460.2119999999995</v>
      </c>
      <c r="AX79" s="6">
        <f t="shared" ref="AX79:BD79" si="236">AW79+AX78</f>
        <v>3693.8619999999996</v>
      </c>
      <c r="AY79" s="6">
        <f t="shared" si="236"/>
        <v>5490.3939999999993</v>
      </c>
      <c r="AZ79" s="6">
        <f t="shared" si="236"/>
        <v>4790.9669999999987</v>
      </c>
      <c r="BA79" s="6">
        <f t="shared" si="236"/>
        <v>4516.6870000000017</v>
      </c>
      <c r="BB79" s="6">
        <f t="shared" si="236"/>
        <v>3855.2100000000019</v>
      </c>
      <c r="BC79" s="6">
        <f t="shared" si="236"/>
        <v>4467.510000000002</v>
      </c>
      <c r="BD79" s="6">
        <f t="shared" si="236"/>
        <v>5656.1670000000022</v>
      </c>
      <c r="BE79" s="6"/>
      <c r="BF79" s="249">
        <f>V79+BF78</f>
        <v>5435.9430000000002</v>
      </c>
      <c r="BG79" s="6">
        <f>BF79+BG78</f>
        <v>4524.3060000000005</v>
      </c>
      <c r="BH79" s="6"/>
      <c r="BI79" s="6">
        <f>Y79+BI78</f>
        <v>5859.9520000000011</v>
      </c>
      <c r="BJ79" s="76">
        <f>AH79+BJ78</f>
        <v>8174.042999999996</v>
      </c>
      <c r="BK79" s="6">
        <f>BJ79+BK78</f>
        <v>7482.0559999999959</v>
      </c>
      <c r="BM79" s="193"/>
      <c r="BN79" s="192"/>
      <c r="BO79" s="193"/>
      <c r="BP79" s="193"/>
      <c r="BQ79" s="192"/>
      <c r="BR79" s="192"/>
      <c r="BS79" s="192"/>
      <c r="BT79" s="193"/>
      <c r="BU79" s="193"/>
      <c r="BV79" s="192"/>
      <c r="BW79" s="192"/>
      <c r="BX79" s="192"/>
      <c r="BY79" s="192"/>
      <c r="BZ79" s="193"/>
      <c r="CA79" s="193"/>
      <c r="CB79" s="192"/>
      <c r="CC79" s="192"/>
      <c r="CD79" s="193"/>
      <c r="CE79" s="193"/>
      <c r="CF79" s="192"/>
      <c r="CG79" s="192"/>
      <c r="CH79" s="193"/>
      <c r="CI79" s="193"/>
      <c r="CJ79" s="192"/>
      <c r="CK79" s="192"/>
      <c r="CL79" s="193"/>
      <c r="CM79" s="193"/>
      <c r="CN79" s="192"/>
      <c r="CO79" s="192"/>
      <c r="CP79" s="192"/>
      <c r="CQ79" s="193"/>
      <c r="CR79" s="192"/>
      <c r="CS79" s="192"/>
      <c r="CT79" s="192"/>
    </row>
    <row r="80" spans="2:98" s="90" customFormat="1" ht="13.5" customHeight="1">
      <c r="B80" s="129" t="s">
        <v>383</v>
      </c>
      <c r="C80" s="92">
        <f t="shared" ref="C80:J80" si="237">C79-C141</f>
        <v>0</v>
      </c>
      <c r="D80" s="92">
        <f t="shared" si="237"/>
        <v>0</v>
      </c>
      <c r="E80" s="92">
        <f t="shared" si="237"/>
        <v>0</v>
      </c>
      <c r="F80" s="92">
        <f t="shared" si="237"/>
        <v>0</v>
      </c>
      <c r="G80" s="92">
        <f t="shared" si="237"/>
        <v>-2.0000000004074536E-3</v>
      </c>
      <c r="H80" s="92">
        <f t="shared" si="237"/>
        <v>-2.0000000004074536E-3</v>
      </c>
      <c r="I80" s="92">
        <f t="shared" si="237"/>
        <v>-2.000000002226443E-3</v>
      </c>
      <c r="J80" s="92">
        <f t="shared" si="237"/>
        <v>-2.000000002226443E-3</v>
      </c>
      <c r="K80" s="92">
        <f>K79-K141+K140</f>
        <v>0</v>
      </c>
      <c r="L80" s="92">
        <f>L79-L141+L140</f>
        <v>0</v>
      </c>
      <c r="M80" s="92">
        <f>M79-M141+M140</f>
        <v>0</v>
      </c>
      <c r="N80" s="92">
        <f>N79-N141+N140</f>
        <v>0</v>
      </c>
      <c r="O80" s="92">
        <f>O79-O141+O140</f>
        <v>0</v>
      </c>
      <c r="P80" s="92"/>
      <c r="Q80" s="92">
        <f>Q79-Q141</f>
        <v>0</v>
      </c>
      <c r="R80" s="92">
        <f>R79-R141</f>
        <v>0</v>
      </c>
      <c r="S80" s="92">
        <f>S79-S141</f>
        <v>0</v>
      </c>
      <c r="T80" s="92">
        <f>T79-T141</f>
        <v>0.8000000000001819</v>
      </c>
      <c r="U80" s="163"/>
      <c r="V80" s="92">
        <f t="shared" ref="V80:AM80" si="238">V79-V141</f>
        <v>0</v>
      </c>
      <c r="W80" s="92">
        <f t="shared" si="238"/>
        <v>0</v>
      </c>
      <c r="X80" s="92">
        <f t="shared" si="238"/>
        <v>0</v>
      </c>
      <c r="Y80" s="92">
        <f t="shared" si="238"/>
        <v>0</v>
      </c>
      <c r="Z80" s="92">
        <f t="shared" si="238"/>
        <v>0</v>
      </c>
      <c r="AA80" s="92">
        <f t="shared" si="238"/>
        <v>0</v>
      </c>
      <c r="AB80" s="92">
        <f t="shared" si="238"/>
        <v>0</v>
      </c>
      <c r="AC80" s="92">
        <f t="shared" si="238"/>
        <v>0</v>
      </c>
      <c r="AD80" s="92">
        <f t="shared" si="238"/>
        <v>0</v>
      </c>
      <c r="AE80" s="92">
        <f t="shared" si="238"/>
        <v>0</v>
      </c>
      <c r="AF80" s="92">
        <f t="shared" si="238"/>
        <v>0</v>
      </c>
      <c r="AG80" s="92">
        <f t="shared" si="238"/>
        <v>0</v>
      </c>
      <c r="AH80" s="92">
        <f t="shared" si="238"/>
        <v>0</v>
      </c>
      <c r="AI80" s="92">
        <f t="shared" si="238"/>
        <v>0</v>
      </c>
      <c r="AJ80" s="92">
        <f t="shared" si="238"/>
        <v>0</v>
      </c>
      <c r="AK80" s="92">
        <f t="shared" si="238"/>
        <v>0</v>
      </c>
      <c r="AL80" s="92">
        <f t="shared" si="238"/>
        <v>0</v>
      </c>
      <c r="AM80" s="92">
        <f t="shared" si="238"/>
        <v>-1.0000000074796844E-3</v>
      </c>
      <c r="AN80" s="92">
        <f t="shared" ref="AN80:AS80" si="239">AN79-AN141+AN140</f>
        <v>0</v>
      </c>
      <c r="AO80" s="92">
        <f t="shared" si="239"/>
        <v>0</v>
      </c>
      <c r="AP80" s="92">
        <f t="shared" si="239"/>
        <v>0</v>
      </c>
      <c r="AQ80" s="92">
        <f t="shared" si="239"/>
        <v>0</v>
      </c>
      <c r="AR80" s="92">
        <f>AR79-AR141+AR140+42.6</f>
        <v>-3.7000000000624311E-2</v>
      </c>
      <c r="AS80" s="92">
        <f t="shared" si="239"/>
        <v>0</v>
      </c>
      <c r="AT80" s="92">
        <f t="shared" ref="AT80:AY80" si="240">AT79-AT141+AT140</f>
        <v>0</v>
      </c>
      <c r="AU80" s="92">
        <f t="shared" si="240"/>
        <v>0</v>
      </c>
      <c r="AV80" s="92">
        <f>AV79-AV141+AV140</f>
        <v>0</v>
      </c>
      <c r="AW80" s="92">
        <f t="shared" si="240"/>
        <v>0</v>
      </c>
      <c r="AX80" s="92">
        <f t="shared" si="240"/>
        <v>0</v>
      </c>
      <c r="AY80" s="92">
        <f t="shared" si="240"/>
        <v>0</v>
      </c>
      <c r="AZ80" s="92">
        <f>AZ79-AZ141+AZ140</f>
        <v>0</v>
      </c>
      <c r="BA80" s="92">
        <f>BA79-BA141+BA140</f>
        <v>0</v>
      </c>
      <c r="BB80" s="92">
        <f>BB79-BB141+BB140</f>
        <v>0</v>
      </c>
      <c r="BC80" s="92">
        <f>BC79-BC141+BC140</f>
        <v>0</v>
      </c>
      <c r="BD80" s="92">
        <f>BD79-BD141+BD140</f>
        <v>0</v>
      </c>
      <c r="BE80" s="92"/>
      <c r="BF80" s="290">
        <f>BF79-W141</f>
        <v>-9.9999999929423211E-4</v>
      </c>
      <c r="BG80" s="92">
        <f>BG79-X141</f>
        <v>-9.9999999929423211E-4</v>
      </c>
      <c r="BH80" s="92"/>
      <c r="BI80" s="92"/>
      <c r="BJ80" s="298"/>
      <c r="BK80" s="92"/>
      <c r="BM80" s="197"/>
      <c r="BN80" s="323"/>
      <c r="BO80" s="197"/>
      <c r="BP80" s="197"/>
      <c r="BQ80" s="323"/>
      <c r="BR80" s="323"/>
      <c r="BS80" s="323"/>
      <c r="BT80" s="197"/>
      <c r="BU80" s="197"/>
      <c r="BV80" s="323"/>
      <c r="BW80" s="323"/>
      <c r="BX80" s="323"/>
      <c r="BY80" s="323"/>
      <c r="BZ80" s="197"/>
      <c r="CA80" s="197"/>
      <c r="CB80" s="323"/>
      <c r="CC80" s="323"/>
      <c r="CD80" s="197"/>
      <c r="CE80" s="197"/>
      <c r="CF80" s="323"/>
      <c r="CG80" s="323"/>
      <c r="CH80" s="197"/>
      <c r="CI80" s="197"/>
      <c r="CJ80" s="323"/>
      <c r="CK80" s="323"/>
      <c r="CL80" s="197"/>
      <c r="CM80" s="197"/>
      <c r="CN80" s="323"/>
      <c r="CO80" s="323"/>
      <c r="CP80" s="323"/>
      <c r="CQ80" s="197"/>
      <c r="CR80" s="323"/>
      <c r="CS80" s="323"/>
      <c r="CT80" s="323"/>
    </row>
    <row r="81" spans="1:98" ht="11.25" customHeight="1">
      <c r="C81" s="57"/>
      <c r="D81" s="57"/>
      <c r="E81" s="57"/>
      <c r="F81" s="57"/>
      <c r="G81" s="57"/>
      <c r="H81" s="57"/>
      <c r="I81" s="57"/>
      <c r="J81" s="57"/>
      <c r="K81" s="57"/>
      <c r="L81" s="57"/>
      <c r="M81" s="57"/>
      <c r="N81" s="57"/>
      <c r="O81" s="57"/>
      <c r="P81" s="57"/>
      <c r="Q81" s="57"/>
      <c r="U81" s="159"/>
      <c r="V81" s="57"/>
      <c r="W81" s="57"/>
      <c r="Z81" s="57"/>
      <c r="AA81" s="57"/>
      <c r="AB81" s="57"/>
      <c r="AC81" s="67"/>
      <c r="AD81" s="57"/>
      <c r="AE81" s="57"/>
      <c r="AF81" s="57"/>
      <c r="AG81" s="57"/>
      <c r="AH81" s="57"/>
      <c r="AI81" s="57"/>
      <c r="AJ81" s="57"/>
      <c r="AK81" s="57"/>
      <c r="AL81" s="57"/>
      <c r="AM81" s="57"/>
      <c r="AN81" s="57"/>
      <c r="AO81" s="57"/>
      <c r="AP81" s="57"/>
      <c r="AQ81" s="57"/>
      <c r="AR81" s="57"/>
      <c r="AS81" s="57"/>
      <c r="AT81" s="57"/>
      <c r="AU81" s="57"/>
      <c r="AV81" s="57"/>
      <c r="AW81" s="57"/>
      <c r="AX81" s="57"/>
      <c r="AY81" s="57"/>
      <c r="AZ81" s="57"/>
      <c r="BA81" s="57"/>
      <c r="BB81" s="57"/>
      <c r="BC81" s="57"/>
      <c r="BD81" s="57"/>
      <c r="BE81" s="67"/>
      <c r="BF81" s="248"/>
      <c r="BG81" s="67"/>
      <c r="BH81" s="67"/>
      <c r="BI81" s="67"/>
      <c r="BJ81" s="298"/>
      <c r="BK81" s="57"/>
      <c r="BM81" s="67"/>
      <c r="BO81" s="67"/>
      <c r="BP81" s="57"/>
      <c r="BT81" s="67"/>
      <c r="BU81" s="67"/>
      <c r="BZ81" s="67"/>
      <c r="CA81" s="67"/>
      <c r="CD81" s="67"/>
      <c r="CE81" s="67"/>
      <c r="CH81" s="67"/>
      <c r="CI81" s="67"/>
      <c r="CL81" s="67"/>
      <c r="CM81" s="67"/>
      <c r="CQ81" s="67"/>
    </row>
    <row r="82" spans="1:98" ht="13.5" customHeight="1">
      <c r="A82" s="26"/>
      <c r="B82" s="16" t="s">
        <v>112</v>
      </c>
      <c r="C82" s="44">
        <v>41975</v>
      </c>
      <c r="D82" s="44">
        <v>42341</v>
      </c>
      <c r="E82" s="44">
        <v>42708</v>
      </c>
      <c r="F82" s="44">
        <v>43073</v>
      </c>
      <c r="G82" s="44">
        <v>43073</v>
      </c>
      <c r="H82" s="44">
        <v>43438</v>
      </c>
      <c r="I82" s="44">
        <v>43803</v>
      </c>
      <c r="J82" s="44">
        <v>44169</v>
      </c>
      <c r="K82" s="44">
        <v>44534</v>
      </c>
      <c r="L82" s="44">
        <v>44899</v>
      </c>
      <c r="M82" s="44">
        <v>45264</v>
      </c>
      <c r="N82" s="44">
        <v>45630</v>
      </c>
      <c r="O82" s="120">
        <f>O3</f>
        <v>45909</v>
      </c>
      <c r="P82" s="205"/>
      <c r="Q82" s="44">
        <v>42437</v>
      </c>
      <c r="R82" s="44">
        <v>42527</v>
      </c>
      <c r="S82" s="44">
        <v>42622</v>
      </c>
      <c r="T82" s="44">
        <v>42714</v>
      </c>
      <c r="U82" s="107"/>
      <c r="V82" s="44">
        <v>42801</v>
      </c>
      <c r="W82" s="44">
        <v>42892</v>
      </c>
      <c r="X82" s="44">
        <v>42987</v>
      </c>
      <c r="Y82" s="44">
        <v>43079</v>
      </c>
      <c r="Z82" s="44">
        <v>43166</v>
      </c>
      <c r="AA82" s="44">
        <f t="shared" ref="AA82:BD82" si="241">AA3</f>
        <v>43281</v>
      </c>
      <c r="AB82" s="44">
        <f t="shared" si="241"/>
        <v>43352</v>
      </c>
      <c r="AC82" s="44">
        <f t="shared" si="241"/>
        <v>43444</v>
      </c>
      <c r="AD82" s="44">
        <f t="shared" si="241"/>
        <v>43555</v>
      </c>
      <c r="AE82" s="44">
        <f t="shared" si="241"/>
        <v>43646</v>
      </c>
      <c r="AF82" s="44">
        <f t="shared" si="241"/>
        <v>43717</v>
      </c>
      <c r="AG82" s="44">
        <f t="shared" si="241"/>
        <v>43808</v>
      </c>
      <c r="AH82" s="44">
        <f t="shared" si="241"/>
        <v>43921</v>
      </c>
      <c r="AI82" s="44">
        <f t="shared" si="241"/>
        <v>44012</v>
      </c>
      <c r="AJ82" s="44">
        <f t="shared" si="241"/>
        <v>44083</v>
      </c>
      <c r="AK82" s="44">
        <f t="shared" si="241"/>
        <v>44174</v>
      </c>
      <c r="AL82" s="44">
        <f t="shared" si="241"/>
        <v>44286</v>
      </c>
      <c r="AM82" s="44">
        <f t="shared" si="241"/>
        <v>44377</v>
      </c>
      <c r="AN82" s="44">
        <f t="shared" si="241"/>
        <v>44448</v>
      </c>
      <c r="AO82" s="44">
        <f t="shared" si="241"/>
        <v>44539</v>
      </c>
      <c r="AP82" s="44">
        <f t="shared" si="241"/>
        <v>44651</v>
      </c>
      <c r="AQ82" s="44">
        <f t="shared" si="241"/>
        <v>44742</v>
      </c>
      <c r="AR82" s="44">
        <f t="shared" si="241"/>
        <v>44813</v>
      </c>
      <c r="AS82" s="44">
        <f t="shared" si="241"/>
        <v>44904</v>
      </c>
      <c r="AT82" s="44">
        <f t="shared" si="241"/>
        <v>45016</v>
      </c>
      <c r="AU82" s="44">
        <f t="shared" si="241"/>
        <v>45107</v>
      </c>
      <c r="AV82" s="44">
        <f t="shared" si="241"/>
        <v>45178</v>
      </c>
      <c r="AW82" s="44">
        <f t="shared" si="241"/>
        <v>45269</v>
      </c>
      <c r="AX82" s="44">
        <f t="shared" si="241"/>
        <v>45382</v>
      </c>
      <c r="AY82" s="44">
        <f t="shared" si="241"/>
        <v>45473</v>
      </c>
      <c r="AZ82" s="44">
        <f t="shared" si="241"/>
        <v>45544</v>
      </c>
      <c r="BA82" s="44">
        <f t="shared" si="241"/>
        <v>45635</v>
      </c>
      <c r="BB82" s="44">
        <f t="shared" si="241"/>
        <v>45747</v>
      </c>
      <c r="BC82" s="44">
        <f t="shared" si="241"/>
        <v>45838</v>
      </c>
      <c r="BD82" s="120">
        <f t="shared" si="241"/>
        <v>45909</v>
      </c>
      <c r="BE82" s="394"/>
      <c r="BF82" s="238"/>
      <c r="BG82" s="44"/>
      <c r="BH82" s="44"/>
      <c r="BI82" s="44"/>
      <c r="BJ82" s="44"/>
      <c r="BK82" s="44"/>
      <c r="BL82" s="418"/>
      <c r="BM82" s="44"/>
      <c r="BN82" s="17"/>
      <c r="BO82" s="44"/>
      <c r="BP82" s="44"/>
      <c r="BQ82" s="44"/>
      <c r="BR82" s="17"/>
      <c r="BS82" s="17"/>
      <c r="BT82" s="44"/>
      <c r="BU82" s="44"/>
      <c r="BV82" s="17"/>
      <c r="BW82" s="17"/>
      <c r="BX82" s="17"/>
      <c r="BY82" s="17"/>
      <c r="BZ82" s="44"/>
      <c r="CA82" s="44"/>
      <c r="CB82" s="17"/>
      <c r="CC82" s="17"/>
      <c r="CD82" s="44"/>
      <c r="CE82" s="44"/>
      <c r="CF82" s="17"/>
      <c r="CG82" s="17"/>
      <c r="CH82" s="44"/>
      <c r="CI82" s="44"/>
      <c r="CJ82" s="17"/>
      <c r="CK82" s="17"/>
      <c r="CL82" s="44"/>
      <c r="CM82" s="44"/>
      <c r="CN82" s="17"/>
      <c r="CO82" s="17"/>
      <c r="CP82" s="17"/>
      <c r="CQ82" s="44"/>
      <c r="CR82" s="17"/>
      <c r="CS82" s="17"/>
      <c r="CT82" s="17"/>
    </row>
    <row r="83" spans="1:98" ht="13.5" customHeight="1">
      <c r="B83" s="1" t="str">
        <f>+B7</f>
        <v>Revenues</v>
      </c>
      <c r="C83" s="6">
        <f t="shared" ref="C83:O83" si="242">C7</f>
        <v>15208.758</v>
      </c>
      <c r="D83" s="6">
        <f t="shared" si="242"/>
        <v>19549.362000000001</v>
      </c>
      <c r="E83" s="6">
        <f t="shared" si="242"/>
        <v>18828.356</v>
      </c>
      <c r="F83" s="6">
        <f t="shared" si="242"/>
        <v>18577.873</v>
      </c>
      <c r="G83" s="6">
        <f t="shared" si="242"/>
        <v>10127.696</v>
      </c>
      <c r="H83" s="6">
        <f t="shared" si="242"/>
        <v>29715.175999999999</v>
      </c>
      <c r="I83" s="6">
        <f t="shared" si="242"/>
        <v>48761.057000000001</v>
      </c>
      <c r="J83" s="6">
        <f t="shared" si="242"/>
        <v>67481.532000000007</v>
      </c>
      <c r="K83" s="6">
        <f t="shared" si="242"/>
        <v>85388.467999999993</v>
      </c>
      <c r="L83" s="6">
        <f t="shared" si="242"/>
        <v>125371.36</v>
      </c>
      <c r="M83" s="6">
        <f t="shared" si="242"/>
        <v>132218.01</v>
      </c>
      <c r="N83" s="6">
        <f t="shared" si="242"/>
        <v>148860.959</v>
      </c>
      <c r="O83" s="6">
        <f t="shared" si="242"/>
        <v>162012.84600000002</v>
      </c>
      <c r="P83" s="6"/>
      <c r="Q83" s="105"/>
      <c r="R83" s="36"/>
      <c r="S83" s="36"/>
      <c r="T83" s="6">
        <f t="shared" ref="T83:T90" si="243">E83</f>
        <v>18828.356</v>
      </c>
      <c r="V83" s="6">
        <f>SUM(R7:V7)</f>
        <v>20103.628999999997</v>
      </c>
      <c r="W83" s="6">
        <f>SUM(S7:W7)</f>
        <v>19740.915999999997</v>
      </c>
      <c r="X83" s="6">
        <f>SUM(T7:X7)</f>
        <v>20224.84</v>
      </c>
      <c r="Y83" s="6">
        <f t="shared" ref="Y83:Y90" si="244">F83</f>
        <v>18577.873</v>
      </c>
      <c r="Z83" s="6">
        <f>F7+Z7-V7</f>
        <v>19479.432000000001</v>
      </c>
      <c r="AA83" s="6">
        <f>F7+Z7+AA7-V7-BF7</f>
        <v>22414.361000000001</v>
      </c>
      <c r="AB83" s="6">
        <f>F7+Z7+AA7+AB7-V7-BF7-BG7</f>
        <v>30816.227999999999</v>
      </c>
      <c r="AC83" s="6">
        <f>+AC7+AB7+AA7+Z7</f>
        <v>29715.175999999999</v>
      </c>
      <c r="AD83" s="6">
        <f>H7+AD7-BI7</f>
        <v>36731.375</v>
      </c>
      <c r="AE83" s="6">
        <f>H7+AD7+AE7-AA7-BI7</f>
        <v>43335.502999999997</v>
      </c>
      <c r="AF83" s="6">
        <f>H7+AE7+AF7-AB7-AA7+AD7-BI7</f>
        <v>44990.964999999989</v>
      </c>
      <c r="AG83" s="6">
        <f t="shared" ref="AG83:BD83" si="245">+AG7+AF7+AE7+AD7</f>
        <v>48761.056999999993</v>
      </c>
      <c r="AH83" s="6">
        <f t="shared" si="245"/>
        <v>52182.981</v>
      </c>
      <c r="AI83" s="6">
        <f t="shared" si="245"/>
        <v>59344.508999999991</v>
      </c>
      <c r="AJ83" s="6">
        <f t="shared" si="245"/>
        <v>63433.281999999992</v>
      </c>
      <c r="AK83" s="6">
        <f t="shared" si="245"/>
        <v>67481.532000000007</v>
      </c>
      <c r="AL83" s="6">
        <f t="shared" si="245"/>
        <v>71215.749000000011</v>
      </c>
      <c r="AM83" s="6">
        <f t="shared" si="245"/>
        <v>72908.769</v>
      </c>
      <c r="AN83" s="6">
        <f t="shared" si="245"/>
        <v>79713.418000000005</v>
      </c>
      <c r="AO83" s="6">
        <f t="shared" si="245"/>
        <v>85388.467999999993</v>
      </c>
      <c r="AP83" s="6">
        <f t="shared" si="245"/>
        <v>90493.453999999983</v>
      </c>
      <c r="AQ83" s="6">
        <f t="shared" si="245"/>
        <v>104405.42499999999</v>
      </c>
      <c r="AR83" s="6">
        <f t="shared" si="245"/>
        <v>115754.11899999999</v>
      </c>
      <c r="AS83" s="6">
        <f t="shared" si="245"/>
        <v>125371.36</v>
      </c>
      <c r="AT83" s="6">
        <f t="shared" si="245"/>
        <v>134788.02899999998</v>
      </c>
      <c r="AU83" s="6">
        <f t="shared" si="245"/>
        <v>131668.47200000001</v>
      </c>
      <c r="AV83" s="6">
        <f t="shared" si="245"/>
        <v>131377.03899999999</v>
      </c>
      <c r="AW83" s="6">
        <f t="shared" si="245"/>
        <v>132218.01</v>
      </c>
      <c r="AX83" s="6">
        <f t="shared" si="245"/>
        <v>132051.44500000001</v>
      </c>
      <c r="AY83" s="6">
        <f t="shared" si="245"/>
        <v>136744.89700000003</v>
      </c>
      <c r="AZ83" s="6">
        <f t="shared" si="245"/>
        <v>141110.08900000001</v>
      </c>
      <c r="BA83" s="6">
        <f t="shared" si="245"/>
        <v>148860.959</v>
      </c>
      <c r="BB83" s="6">
        <f t="shared" si="245"/>
        <v>156675.052</v>
      </c>
      <c r="BC83" s="6">
        <f t="shared" si="245"/>
        <v>159307.56100000002</v>
      </c>
      <c r="BD83" s="6">
        <f t="shared" si="245"/>
        <v>162012.84600000002</v>
      </c>
      <c r="BE83" s="6"/>
      <c r="BF83" s="239"/>
      <c r="BG83" s="193"/>
      <c r="BH83" s="193"/>
      <c r="BI83" s="193"/>
      <c r="BJ83" s="193"/>
      <c r="BK83" s="193"/>
      <c r="BM83" s="193"/>
      <c r="BN83" s="192"/>
      <c r="BO83" s="193"/>
      <c r="BP83" s="193"/>
      <c r="BQ83" s="192"/>
      <c r="BR83" s="192"/>
      <c r="BS83" s="192"/>
      <c r="BT83" s="193"/>
      <c r="BU83" s="193"/>
      <c r="BV83" s="192"/>
      <c r="BW83" s="192"/>
      <c r="BX83" s="192"/>
      <c r="BY83" s="192"/>
      <c r="BZ83" s="193"/>
      <c r="CA83" s="193"/>
      <c r="CB83" s="192"/>
      <c r="CC83" s="192"/>
      <c r="CD83" s="193"/>
      <c r="CE83" s="193"/>
      <c r="CF83" s="192"/>
      <c r="CG83" s="192"/>
      <c r="CH83" s="193"/>
      <c r="CI83" s="193"/>
      <c r="CJ83" s="192"/>
      <c r="CK83" s="192"/>
      <c r="CL83" s="193"/>
      <c r="CM83" s="193"/>
      <c r="CN83" s="192"/>
      <c r="CO83" s="192"/>
      <c r="CP83" s="192"/>
      <c r="CQ83" s="193"/>
      <c r="CR83" s="192"/>
      <c r="CS83" s="192"/>
      <c r="CT83" s="192"/>
    </row>
    <row r="84" spans="1:98" ht="13.5" customHeight="1">
      <c r="B84" s="1" t="s">
        <v>82</v>
      </c>
      <c r="C84" s="6">
        <f t="shared" ref="C84:O84" si="246">C16</f>
        <v>941.43100000000049</v>
      </c>
      <c r="D84" s="6">
        <f t="shared" si="246"/>
        <v>1034.2029999999995</v>
      </c>
      <c r="E84" s="6">
        <f t="shared" si="246"/>
        <v>1037.4309999999998</v>
      </c>
      <c r="F84" s="6">
        <f t="shared" si="246"/>
        <v>1112.3529999999994</v>
      </c>
      <c r="G84" s="6">
        <f t="shared" si="246"/>
        <v>424.39600000000041</v>
      </c>
      <c r="H84" s="6">
        <f t="shared" si="246"/>
        <v>422.08100000000013</v>
      </c>
      <c r="I84" s="6">
        <f t="shared" si="246"/>
        <v>3412.3530000000014</v>
      </c>
      <c r="J84" s="6">
        <f t="shared" si="246"/>
        <v>7853.8620000000055</v>
      </c>
      <c r="K84" s="6">
        <f t="shared" si="246"/>
        <v>12611.142999999996</v>
      </c>
      <c r="L84" s="6">
        <f t="shared" si="246"/>
        <v>9166.5580000000027</v>
      </c>
      <c r="M84" s="6">
        <f t="shared" si="246"/>
        <v>1061.1870000000163</v>
      </c>
      <c r="N84" s="6">
        <f t="shared" si="246"/>
        <v>5937.2709999999988</v>
      </c>
      <c r="O84" s="6">
        <f t="shared" si="246"/>
        <v>5487.3850000000202</v>
      </c>
      <c r="P84" s="6"/>
      <c r="Q84" s="36"/>
      <c r="R84" s="36"/>
      <c r="S84" s="36"/>
      <c r="T84" s="6">
        <f t="shared" si="243"/>
        <v>1037.4309999999998</v>
      </c>
      <c r="V84" s="6">
        <f>SUM(R16:V16)</f>
        <v>959.48799999999846</v>
      </c>
      <c r="W84" s="6">
        <f>SUM(S16:W16)</f>
        <v>889.20099999999866</v>
      </c>
      <c r="X84" s="6">
        <f>SUM(T16:X16)</f>
        <v>1019.8869999999988</v>
      </c>
      <c r="Y84" s="6">
        <f t="shared" si="244"/>
        <v>1112.3529999999994</v>
      </c>
      <c r="Z84" s="6">
        <f>F16+Z16-V16</f>
        <v>1165.3629999999994</v>
      </c>
      <c r="AA84" s="6">
        <f>F16+Z16+AA16-V16-BF16</f>
        <v>856.11399999999924</v>
      </c>
      <c r="AB84" s="6">
        <f>F16+Z16+AA16+AB16-V16-BF16-BG16</f>
        <v>1583.1039999999998</v>
      </c>
      <c r="AC84" s="6">
        <f>+AC16+AB16+AA16+Z16</f>
        <v>422.08099999999939</v>
      </c>
      <c r="AD84" s="6">
        <f>H16+AD16-BI16</f>
        <v>691.91400000000056</v>
      </c>
      <c r="AE84" s="6">
        <f>H16+AD16+AE16-AA16-BI16</f>
        <v>1726.4139999999998</v>
      </c>
      <c r="AF84" s="6">
        <f>H16+AE16+AF16-AB16-AA16+AD16-BI16</f>
        <v>2017.8049999999989</v>
      </c>
      <c r="AG84" s="6">
        <f t="shared" ref="AG84:BD84" si="247">+AG16+AF16+AE16+AD16</f>
        <v>3412.3529999999955</v>
      </c>
      <c r="AH84" s="6">
        <f t="shared" si="247"/>
        <v>3914.5199999999954</v>
      </c>
      <c r="AI84" s="6">
        <f t="shared" si="247"/>
        <v>6744.3539999999939</v>
      </c>
      <c r="AJ84" s="6">
        <f t="shared" si="247"/>
        <v>7355.7039999999952</v>
      </c>
      <c r="AK84" s="6">
        <f t="shared" si="247"/>
        <v>7853.8620000000001</v>
      </c>
      <c r="AL84" s="6">
        <f t="shared" si="247"/>
        <v>8230.9280000000017</v>
      </c>
      <c r="AM84" s="6">
        <f t="shared" si="247"/>
        <v>8101.1440000000021</v>
      </c>
      <c r="AN84" s="6">
        <f t="shared" si="247"/>
        <v>10586.498000000001</v>
      </c>
      <c r="AO84" s="6">
        <f t="shared" si="247"/>
        <v>12611.142999999991</v>
      </c>
      <c r="AP84" s="6">
        <f t="shared" si="247"/>
        <v>13680.569999999992</v>
      </c>
      <c r="AQ84" s="6">
        <f t="shared" si="247"/>
        <v>15701.195999999996</v>
      </c>
      <c r="AR84" s="6">
        <f t="shared" si="247"/>
        <v>13318.781999999992</v>
      </c>
      <c r="AS84" s="6">
        <f t="shared" si="247"/>
        <v>9166.5579999999954</v>
      </c>
      <c r="AT84" s="6">
        <f t="shared" si="247"/>
        <v>6589.5349999999908</v>
      </c>
      <c r="AU84" s="6">
        <f t="shared" si="247"/>
        <v>861.48699999999099</v>
      </c>
      <c r="AV84" s="6">
        <f t="shared" si="247"/>
        <v>-330.35500000000729</v>
      </c>
      <c r="AW84" s="6">
        <f t="shared" si="247"/>
        <v>1061.1870000000154</v>
      </c>
      <c r="AX84" s="6">
        <f t="shared" si="247"/>
        <v>2203.9560000000179</v>
      </c>
      <c r="AY84" s="6">
        <f t="shared" si="247"/>
        <v>3991.9470000000138</v>
      </c>
      <c r="AZ84" s="6">
        <f t="shared" si="247"/>
        <v>5294.1570000000138</v>
      </c>
      <c r="BA84" s="6">
        <f t="shared" si="247"/>
        <v>5937.2710000000079</v>
      </c>
      <c r="BB84" s="6">
        <f t="shared" si="247"/>
        <v>6334.2450000000044</v>
      </c>
      <c r="BC84" s="6">
        <f t="shared" si="247"/>
        <v>5910.2950000000128</v>
      </c>
      <c r="BD84" s="6">
        <f t="shared" si="247"/>
        <v>5487.385000000012</v>
      </c>
      <c r="BE84" s="6"/>
      <c r="BF84" s="239"/>
      <c r="BG84" s="193"/>
      <c r="BH84" s="193"/>
      <c r="BI84" s="193"/>
      <c r="BJ84" s="193"/>
      <c r="BK84" s="193"/>
      <c r="BM84" s="193"/>
      <c r="BN84" s="192"/>
      <c r="BO84" s="193"/>
      <c r="BP84" s="193"/>
      <c r="BQ84" s="192"/>
      <c r="BR84" s="192"/>
      <c r="BS84" s="192"/>
      <c r="BT84" s="193"/>
      <c r="BU84" s="193"/>
      <c r="BV84" s="192"/>
      <c r="BW84" s="192"/>
      <c r="BX84" s="192"/>
      <c r="BY84" s="192"/>
      <c r="BZ84" s="193"/>
      <c r="CA84" s="193"/>
      <c r="CB84" s="192"/>
      <c r="CC84" s="192"/>
      <c r="CD84" s="193"/>
      <c r="CE84" s="193"/>
      <c r="CF84" s="192"/>
      <c r="CG84" s="192"/>
      <c r="CH84" s="193"/>
      <c r="CI84" s="193"/>
      <c r="CJ84" s="192"/>
      <c r="CK84" s="192"/>
      <c r="CL84" s="193"/>
      <c r="CM84" s="193"/>
      <c r="CN84" s="192"/>
      <c r="CO84" s="192"/>
      <c r="CP84" s="192"/>
      <c r="CQ84" s="193"/>
      <c r="CR84" s="192"/>
      <c r="CS84" s="192"/>
      <c r="CT84" s="192"/>
    </row>
    <row r="85" spans="1:98" ht="13.5" customHeight="1">
      <c r="B85" s="1" t="s">
        <v>113</v>
      </c>
      <c r="C85" s="6">
        <f t="shared" ref="C85:O85" si="248">C47</f>
        <v>1270.7500000000005</v>
      </c>
      <c r="D85" s="6">
        <f t="shared" si="248"/>
        <v>1468.5879999999995</v>
      </c>
      <c r="E85" s="6">
        <f t="shared" si="248"/>
        <v>1501.5939999999998</v>
      </c>
      <c r="F85" s="6">
        <f t="shared" si="248"/>
        <v>1566.0579999999995</v>
      </c>
      <c r="G85" s="6">
        <f t="shared" si="248"/>
        <v>667.59400000000039</v>
      </c>
      <c r="H85" s="6">
        <f t="shared" si="248"/>
        <v>1075.2460000000001</v>
      </c>
      <c r="I85" s="6">
        <f t="shared" si="248"/>
        <v>4609.8680000000013</v>
      </c>
      <c r="J85" s="6">
        <f t="shared" si="248"/>
        <v>9247.4690000000046</v>
      </c>
      <c r="K85" s="6">
        <f t="shared" si="248"/>
        <v>14174.414999999997</v>
      </c>
      <c r="L85" s="6">
        <f t="shared" si="248"/>
        <v>14738.679000000004</v>
      </c>
      <c r="M85" s="6">
        <f t="shared" si="248"/>
        <v>7801.4190000000162</v>
      </c>
      <c r="N85" s="6">
        <f t="shared" si="248"/>
        <v>13134.774999999998</v>
      </c>
      <c r="O85" s="6">
        <f t="shared" si="248"/>
        <v>13011.40000000002</v>
      </c>
      <c r="P85" s="6"/>
      <c r="Q85" s="6"/>
      <c r="R85" s="6"/>
      <c r="S85" s="6"/>
      <c r="T85" s="6">
        <f t="shared" si="243"/>
        <v>1501.5939999999998</v>
      </c>
      <c r="V85" s="6">
        <f>SUM(R47:V47)</f>
        <v>1469.3829999999982</v>
      </c>
      <c r="W85" s="6">
        <f>SUM(S47:W47)</f>
        <v>1396.7659999999985</v>
      </c>
      <c r="X85" s="6">
        <f>SUM(T47:X47)</f>
        <v>1529.0799999999988</v>
      </c>
      <c r="Y85" s="6">
        <f t="shared" si="244"/>
        <v>1566.0579999999995</v>
      </c>
      <c r="Z85" s="6">
        <f>F47+Z47-V47</f>
        <v>1621.7209999999995</v>
      </c>
      <c r="AA85" s="6">
        <f>F47+Z47+AA47-V47-BF47</f>
        <v>1351.5519999999992</v>
      </c>
      <c r="AB85" s="6">
        <f>F47+Z47+AA47+AB47-V47-BF47-BG47</f>
        <v>2189.9799999999996</v>
      </c>
      <c r="AC85" s="6">
        <f>+AC47+AB47+AA47+Z47</f>
        <v>1075.2459999999992</v>
      </c>
      <c r="AD85" s="6">
        <f>H47+AD47-BI47</f>
        <v>1570.4740000000006</v>
      </c>
      <c r="AE85" s="6">
        <f>H47+AD47+AE47-AA47-BI47</f>
        <v>2811.5639999999994</v>
      </c>
      <c r="AF85" s="6">
        <f>H47+AE47+AF47-AB47-AA47+AD47-BI47</f>
        <v>3226.748999999998</v>
      </c>
      <c r="AG85" s="6">
        <f t="shared" ref="AG85:BD85" si="249">+AG47+AF47+AE47+AD47</f>
        <v>4719.2509999999957</v>
      </c>
      <c r="AH85" s="6">
        <f t="shared" si="249"/>
        <v>5238.680999999995</v>
      </c>
      <c r="AI85" s="6">
        <f t="shared" si="249"/>
        <v>8120.4919999999947</v>
      </c>
      <c r="AJ85" s="6">
        <f t="shared" si="249"/>
        <v>8796.0819999999949</v>
      </c>
      <c r="AK85" s="6">
        <f t="shared" si="249"/>
        <v>9247.4689999999991</v>
      </c>
      <c r="AL85" s="6">
        <f t="shared" si="249"/>
        <v>9690.5960000000014</v>
      </c>
      <c r="AM85" s="6">
        <f t="shared" si="249"/>
        <v>9579.4340000000011</v>
      </c>
      <c r="AN85" s="6">
        <f t="shared" si="249"/>
        <v>12090.202000000001</v>
      </c>
      <c r="AO85" s="6">
        <f t="shared" si="249"/>
        <v>14174.414999999992</v>
      </c>
      <c r="AP85" s="6">
        <f t="shared" si="249"/>
        <v>15273.048999999994</v>
      </c>
      <c r="AQ85" s="6">
        <f t="shared" si="249"/>
        <v>18600.574999999993</v>
      </c>
      <c r="AR85" s="6">
        <f t="shared" si="249"/>
        <v>17372.750999999993</v>
      </c>
      <c r="AS85" s="6">
        <f t="shared" si="249"/>
        <v>14738.678999999996</v>
      </c>
      <c r="AT85" s="6">
        <f t="shared" si="249"/>
        <v>13480.119999999992</v>
      </c>
      <c r="AU85" s="6">
        <f t="shared" si="249"/>
        <v>7658.9289999999919</v>
      </c>
      <c r="AV85" s="6">
        <f t="shared" si="249"/>
        <v>6601.8479999999927</v>
      </c>
      <c r="AW85" s="6">
        <f t="shared" si="249"/>
        <v>7801.4190000000162</v>
      </c>
      <c r="AX85" s="6">
        <f t="shared" si="249"/>
        <v>8922.7100000000173</v>
      </c>
      <c r="AY85" s="6">
        <f t="shared" si="249"/>
        <v>10880.578000000012</v>
      </c>
      <c r="AZ85" s="6">
        <f t="shared" si="249"/>
        <v>12289.474000000013</v>
      </c>
      <c r="BA85" s="6">
        <f t="shared" si="249"/>
        <v>13134.775000000009</v>
      </c>
      <c r="BB85" s="6">
        <f t="shared" si="249"/>
        <v>13630.354000000005</v>
      </c>
      <c r="BC85" s="6">
        <f t="shared" si="249"/>
        <v>13311.942000000014</v>
      </c>
      <c r="BD85" s="6">
        <f t="shared" si="249"/>
        <v>13011.400000000012</v>
      </c>
      <c r="BE85" s="6"/>
      <c r="BF85" s="239"/>
      <c r="BG85" s="193"/>
      <c r="BH85" s="193"/>
      <c r="BI85" s="193"/>
      <c r="BJ85" s="193"/>
      <c r="BK85" s="193"/>
      <c r="BM85" s="193"/>
      <c r="BN85" s="192"/>
      <c r="BO85" s="193"/>
      <c r="BP85" s="193"/>
      <c r="BQ85" s="192"/>
      <c r="BR85" s="192"/>
      <c r="BS85" s="192"/>
      <c r="BT85" s="193"/>
      <c r="BU85" s="193"/>
      <c r="BV85" s="192"/>
      <c r="BW85" s="192"/>
      <c r="BX85" s="192"/>
      <c r="BY85" s="192"/>
      <c r="BZ85" s="193"/>
      <c r="CA85" s="193"/>
      <c r="CB85" s="192"/>
      <c r="CC85" s="192"/>
      <c r="CD85" s="193"/>
      <c r="CE85" s="193"/>
      <c r="CF85" s="192"/>
      <c r="CG85" s="192"/>
      <c r="CH85" s="193"/>
      <c r="CI85" s="193"/>
      <c r="CJ85" s="192"/>
      <c r="CK85" s="192"/>
      <c r="CL85" s="193"/>
      <c r="CM85" s="193"/>
      <c r="CN85" s="192"/>
      <c r="CO85" s="192"/>
      <c r="CP85" s="192"/>
      <c r="CQ85" s="193"/>
      <c r="CR85" s="192"/>
      <c r="CS85" s="192"/>
      <c r="CT85" s="192"/>
    </row>
    <row r="86" spans="1:98" s="5" customFormat="1" ht="13.5" customHeight="1">
      <c r="B86" s="1" t="s">
        <v>114</v>
      </c>
      <c r="C86" s="6">
        <f t="shared" ref="C86:H86" si="250">C52</f>
        <v>1353.5794619999999</v>
      </c>
      <c r="D86" s="6">
        <f t="shared" si="250"/>
        <v>1741.8</v>
      </c>
      <c r="E86" s="6">
        <f t="shared" si="250"/>
        <v>1613.7</v>
      </c>
      <c r="F86" s="6">
        <f t="shared" si="250"/>
        <v>1707.8</v>
      </c>
      <c r="G86" s="6">
        <f t="shared" si="250"/>
        <v>791</v>
      </c>
      <c r="H86" s="6">
        <f t="shared" si="250"/>
        <v>2601</v>
      </c>
      <c r="I86" s="6">
        <f t="shared" ref="I86:O86" si="251">I52</f>
        <v>4812</v>
      </c>
      <c r="J86" s="6">
        <f t="shared" si="251"/>
        <v>9595</v>
      </c>
      <c r="K86" s="6">
        <f t="shared" si="251"/>
        <v>14544</v>
      </c>
      <c r="L86" s="6">
        <f t="shared" si="251"/>
        <v>12748</v>
      </c>
      <c r="M86" s="6">
        <f t="shared" si="251"/>
        <v>8555</v>
      </c>
      <c r="N86" s="6">
        <f>N52</f>
        <v>13642</v>
      </c>
      <c r="O86" s="6">
        <f t="shared" si="251"/>
        <v>13457</v>
      </c>
      <c r="P86" s="6"/>
      <c r="Q86" s="36"/>
      <c r="R86" s="36"/>
      <c r="S86" s="36"/>
      <c r="T86" s="6">
        <f t="shared" si="243"/>
        <v>1613.7</v>
      </c>
      <c r="V86" s="6">
        <f>SUM(R52:V52)</f>
        <v>1635.3000000000002</v>
      </c>
      <c r="W86" s="6">
        <f>SUM(S52:W52)</f>
        <v>1602.3000000000002</v>
      </c>
      <c r="X86" s="6">
        <f>SUM(T52:X52)</f>
        <v>1743.3</v>
      </c>
      <c r="Y86" s="6">
        <f t="shared" si="244"/>
        <v>1707.8</v>
      </c>
      <c r="Z86" s="6">
        <f>F52+Z52-V52</f>
        <v>1753.4999999999998</v>
      </c>
      <c r="AA86" s="6">
        <f>F52+Z52+AA52-V52-BF52</f>
        <v>2060.4999999999995</v>
      </c>
      <c r="AB86" s="6">
        <f>F52+Z52+AA52+AB52-V52-BF52-BG52</f>
        <v>2902.4999999999995</v>
      </c>
      <c r="AC86" s="6">
        <f>+AC52+AB52+AA52+Z52</f>
        <v>2601</v>
      </c>
      <c r="AD86" s="6">
        <f>H52+AD52-BI52</f>
        <v>3003</v>
      </c>
      <c r="AE86" s="6">
        <f>BT86</f>
        <v>3816.0675471698114</v>
      </c>
      <c r="AF86" s="6">
        <f>BU86</f>
        <v>4140.9922779922781</v>
      </c>
      <c r="AG86" s="6">
        <f t="shared" ref="AG86:AT86" si="252">BW86</f>
        <v>4811.924</v>
      </c>
      <c r="AH86" s="6">
        <f t="shared" si="252"/>
        <v>5437.6404494382023</v>
      </c>
      <c r="AI86" s="6">
        <f t="shared" si="252"/>
        <v>8397.1014492753638</v>
      </c>
      <c r="AJ86" s="6">
        <f t="shared" si="252"/>
        <v>9117.0212765957458</v>
      </c>
      <c r="AK86" s="6">
        <f t="shared" si="252"/>
        <v>9587.7057324840771</v>
      </c>
      <c r="AL86" s="6">
        <f t="shared" si="252"/>
        <v>10083.522727272728</v>
      </c>
      <c r="AM86" s="6">
        <f t="shared" si="252"/>
        <v>9915.8620689655181</v>
      </c>
      <c r="AN86" s="6">
        <f t="shared" si="252"/>
        <v>12484.545454545454</v>
      </c>
      <c r="AO86" s="6">
        <f>SUM(AL52:AO52)</f>
        <v>14544</v>
      </c>
      <c r="AP86" s="6">
        <f t="shared" si="252"/>
        <v>15564.705882352941</v>
      </c>
      <c r="AQ86" s="6">
        <f t="shared" si="252"/>
        <v>18849.5</v>
      </c>
      <c r="AR86" s="6">
        <f t="shared" si="252"/>
        <v>16509.663865546219</v>
      </c>
      <c r="AS86" s="6">
        <f>SUM(AP52:AS52)</f>
        <v>12748</v>
      </c>
      <c r="AT86" s="6">
        <f t="shared" si="252"/>
        <v>11492.285714285714</v>
      </c>
      <c r="AU86" s="6">
        <f>CK86</f>
        <v>9822.0925925925931</v>
      </c>
      <c r="AV86" s="6">
        <f>CL86</f>
        <v>8580.5626598465478</v>
      </c>
      <c r="AW86" s="6">
        <f>SUM(AT52:AW52)</f>
        <v>8555</v>
      </c>
      <c r="AX86" s="6">
        <f>CN86</f>
        <v>10556.559766763849</v>
      </c>
      <c r="AY86" s="6">
        <f>CO86</f>
        <v>11661.538461538463</v>
      </c>
      <c r="AZ86" s="6">
        <f>CP86</f>
        <v>12967.666666666666</v>
      </c>
      <c r="BA86" s="6">
        <f>SUM(AX52:BA52)</f>
        <v>13642</v>
      </c>
      <c r="BB86" s="6">
        <f>CR86</f>
        <v>14172.862453531599</v>
      </c>
      <c r="BC86" s="6">
        <f>CS86</f>
        <v>13876.752767527676</v>
      </c>
      <c r="BD86" s="6">
        <f>CT86</f>
        <v>13381.553398058253</v>
      </c>
      <c r="BE86" s="6"/>
      <c r="BF86" s="239"/>
      <c r="BG86" s="193"/>
      <c r="BH86" s="193"/>
      <c r="BI86" s="193"/>
      <c r="BJ86" s="193"/>
      <c r="BK86" s="193"/>
      <c r="BM86" s="193"/>
      <c r="BN86" s="6"/>
      <c r="BO86" s="105">
        <v>3871</v>
      </c>
      <c r="BP86" s="105">
        <v>3225</v>
      </c>
      <c r="BQ86" s="6">
        <f>BQ52</f>
        <v>2500</v>
      </c>
      <c r="BR86" s="6">
        <f>BR52</f>
        <v>3378</v>
      </c>
      <c r="BS86" s="105">
        <f>9691/2.76</f>
        <v>3511.2318840579715</v>
      </c>
      <c r="BT86" s="105">
        <f>10112.579/2.65</f>
        <v>3816.0675471698114</v>
      </c>
      <c r="BU86" s="105">
        <f>10725.17/2.59</f>
        <v>4140.9922779922781</v>
      </c>
      <c r="BV86" s="6">
        <f>BV52</f>
        <v>3600</v>
      </c>
      <c r="BW86" s="105">
        <v>4811.924</v>
      </c>
      <c r="BX86" s="105">
        <f>19358/3.56</f>
        <v>5437.6404494382023</v>
      </c>
      <c r="BY86" s="105">
        <f>17382/2.07</f>
        <v>8397.1014492753638</v>
      </c>
      <c r="BZ86" s="105">
        <f>17140/1.88</f>
        <v>9117.0212765957458</v>
      </c>
      <c r="CA86" s="105">
        <f>15052.698/1.57</f>
        <v>9587.7057324840771</v>
      </c>
      <c r="CB86" s="105">
        <f>17747/1.76</f>
        <v>10083.522727272728</v>
      </c>
      <c r="CC86" s="105">
        <f>14378/1.45</f>
        <v>9915.8620689655181</v>
      </c>
      <c r="CD86" s="105">
        <f>13733/1.1</f>
        <v>12484.545454545454</v>
      </c>
      <c r="CE86" s="105">
        <f>21926/1.51</f>
        <v>14520.529801324503</v>
      </c>
      <c r="CF86" s="105">
        <f>21168/1.36</f>
        <v>15564.705882352941</v>
      </c>
      <c r="CG86" s="105">
        <f>37699/2</f>
        <v>18849.5</v>
      </c>
      <c r="CH86" s="105">
        <f>39293/2.38</f>
        <v>16509.663865546219</v>
      </c>
      <c r="CI86" s="105">
        <f>38680/2.99</f>
        <v>12936.454849498326</v>
      </c>
      <c r="CJ86" s="105">
        <f>40223/3.5</f>
        <v>11492.285714285714</v>
      </c>
      <c r="CK86" s="105">
        <f>39779.475/4.05</f>
        <v>9822.0925925925931</v>
      </c>
      <c r="CL86" s="105">
        <f>33550/3.91</f>
        <v>8580.5626598465478</v>
      </c>
      <c r="CM86" s="105">
        <f>34530/3.72</f>
        <v>9282.2580645161288</v>
      </c>
      <c r="CN86" s="105">
        <f>36209/3.43</f>
        <v>10556.559766763849</v>
      </c>
      <c r="CO86" s="105">
        <f>39416/3.38</f>
        <v>11661.538461538463</v>
      </c>
      <c r="CP86" s="105">
        <f>38903/3</f>
        <v>12967.666666666666</v>
      </c>
      <c r="CQ86" s="105">
        <f>38842/2.82</f>
        <v>13773.758865248228</v>
      </c>
      <c r="CR86" s="105">
        <f>38125/2.69</f>
        <v>14172.862453531599</v>
      </c>
      <c r="CS86" s="105">
        <f>37606/2.71</f>
        <v>13876.752767527676</v>
      </c>
      <c r="CT86" s="105">
        <f>41349/3.09</f>
        <v>13381.553398058253</v>
      </c>
    </row>
    <row r="87" spans="1:98" ht="13.5" customHeight="1">
      <c r="B87" s="1" t="s">
        <v>93</v>
      </c>
      <c r="C87" s="6">
        <f t="shared" ref="C87:H87" si="253">-C63</f>
        <v>953.37601512888568</v>
      </c>
      <c r="D87" s="6">
        <f t="shared" si="253"/>
        <v>1241.6389165928854</v>
      </c>
      <c r="E87" s="6">
        <f t="shared" si="253"/>
        <v>1164.0905966299579</v>
      </c>
      <c r="F87" s="6">
        <f t="shared" si="253"/>
        <v>801.3448563764116</v>
      </c>
      <c r="G87" s="6">
        <f t="shared" si="253"/>
        <v>801.3448563764116</v>
      </c>
      <c r="H87" s="6">
        <f t="shared" si="253"/>
        <v>809.88099999999997</v>
      </c>
      <c r="I87" s="6">
        <f t="shared" ref="I87:O87" si="254">-I63</f>
        <v>1441.838</v>
      </c>
      <c r="J87" s="6">
        <f>-J63</f>
        <v>2440.4110000000001</v>
      </c>
      <c r="K87" s="6">
        <f t="shared" si="254"/>
        <v>1623.9949999999999</v>
      </c>
      <c r="L87" s="6">
        <f>-L63</f>
        <v>3090.2150000000001</v>
      </c>
      <c r="M87" s="6">
        <f t="shared" si="254"/>
        <v>5157.0739999999996</v>
      </c>
      <c r="N87" s="6">
        <f>-N63</f>
        <v>-4828.25</v>
      </c>
      <c r="O87" s="6">
        <f t="shared" si="254"/>
        <v>-3920.4200000000005</v>
      </c>
      <c r="P87" s="6"/>
      <c r="Q87" s="36"/>
      <c r="R87" s="36"/>
      <c r="S87" s="36"/>
      <c r="T87" s="6">
        <f t="shared" si="243"/>
        <v>1164.0905966299579</v>
      </c>
      <c r="V87" s="6">
        <f>-SUM(R63:V63)</f>
        <v>1278.2667127425948</v>
      </c>
      <c r="W87" s="6">
        <f>-SUM(S63:W63)</f>
        <v>1204.5250242422412</v>
      </c>
      <c r="X87" s="6">
        <f>-SUM(T63:X63)</f>
        <v>1102.4999168284066</v>
      </c>
      <c r="Y87" s="6">
        <f t="shared" si="244"/>
        <v>801.3448563764116</v>
      </c>
      <c r="Z87" s="6">
        <f>-(F63+Z63-V63)</f>
        <v>791.19186764429844</v>
      </c>
      <c r="AA87" s="6">
        <f>-(F63+Z63+AA63-V63-BF63)</f>
        <v>1046.1918676442983</v>
      </c>
      <c r="AB87" s="6">
        <f>-(F63+Z63+AA63+AB63-V63-BF63-BG63)</f>
        <v>1382.1918676442983</v>
      </c>
      <c r="AC87" s="6">
        <f>-AC63-AB63-AA63-Z63</f>
        <v>809.88099999999997</v>
      </c>
      <c r="AD87" s="6">
        <f>-(H63+AD63-BI63)</f>
        <v>968.31399999999996</v>
      </c>
      <c r="AE87" s="6">
        <f>-(H63+AD63+AE63-AA63-BI63)</f>
        <v>945.76200000000006</v>
      </c>
      <c r="AF87" s="6">
        <f>-(H63+AE63+AF63-AB63-AA63+AD63-BI63)</f>
        <v>945.22500000000002</v>
      </c>
      <c r="AG87" s="6">
        <f t="shared" ref="AG87:AY87" si="255">-AG63-AF63-AE63-AD63</f>
        <v>1441.8380000000002</v>
      </c>
      <c r="AH87" s="6">
        <f t="shared" si="255"/>
        <v>1182.9090000000001</v>
      </c>
      <c r="AI87" s="6">
        <f t="shared" si="255"/>
        <v>1826.239</v>
      </c>
      <c r="AJ87" s="6">
        <f t="shared" si="255"/>
        <v>2691.3209999999999</v>
      </c>
      <c r="AK87" s="6">
        <f t="shared" si="255"/>
        <v>2440.4110000000001</v>
      </c>
      <c r="AL87" s="6">
        <f t="shared" si="255"/>
        <v>2440.4110000000001</v>
      </c>
      <c r="AM87" s="6">
        <f t="shared" si="255"/>
        <v>1564.633</v>
      </c>
      <c r="AN87" s="6">
        <f t="shared" si="255"/>
        <v>364.08800000000019</v>
      </c>
      <c r="AO87" s="6">
        <f t="shared" si="255"/>
        <v>1623.9949999999999</v>
      </c>
      <c r="AP87" s="6">
        <f t="shared" si="255"/>
        <v>1623.9949999999999</v>
      </c>
      <c r="AQ87" s="6">
        <f t="shared" si="255"/>
        <v>1623.9949999999999</v>
      </c>
      <c r="AR87" s="6">
        <f t="shared" si="255"/>
        <v>1623.9949999999999</v>
      </c>
      <c r="AS87" s="6">
        <f t="shared" si="255"/>
        <v>3090.2150000000001</v>
      </c>
      <c r="AT87" s="6">
        <f t="shared" si="255"/>
        <v>4406.1970000000001</v>
      </c>
      <c r="AU87" s="6">
        <f t="shared" si="255"/>
        <v>5939.9170000000004</v>
      </c>
      <c r="AV87" s="6">
        <f t="shared" si="255"/>
        <v>6874.8590000000004</v>
      </c>
      <c r="AW87" s="6">
        <f t="shared" si="255"/>
        <v>5157.0739999999987</v>
      </c>
      <c r="AX87" s="6">
        <f t="shared" si="255"/>
        <v>4914.6749999999993</v>
      </c>
      <c r="AY87" s="6">
        <f t="shared" si="255"/>
        <v>4400.610999999999</v>
      </c>
      <c r="AZ87" s="6">
        <f>-AZ63-AY63-AX63-AW63</f>
        <v>4642.5449999999992</v>
      </c>
      <c r="BA87" s="6">
        <f>-BA63-AZ63-AY63-AX63</f>
        <v>-4828.25</v>
      </c>
      <c r="BB87" s="6">
        <f>-BB63-BA63-AZ63-AY63</f>
        <v>-4444.96</v>
      </c>
      <c r="BC87" s="6">
        <f>-BC63-BB63-BA63-AZ63</f>
        <v>-4107.1959999999999</v>
      </c>
      <c r="BD87" s="6">
        <f>-BD63-BC63-BB63-BA63</f>
        <v>-3920.42</v>
      </c>
      <c r="BE87" s="6"/>
      <c r="BF87" s="239"/>
      <c r="BG87" s="193"/>
      <c r="BH87" s="193"/>
      <c r="BI87" s="193"/>
      <c r="BJ87" s="193"/>
      <c r="BK87" s="193"/>
      <c r="BM87" s="193"/>
      <c r="BN87" s="192"/>
      <c r="BO87" s="193"/>
      <c r="BP87" s="193"/>
      <c r="BQ87" s="192"/>
      <c r="BR87" s="192"/>
      <c r="BS87" s="192"/>
      <c r="BT87" s="193"/>
      <c r="BU87" s="193"/>
      <c r="BV87" s="192"/>
      <c r="BW87" s="192"/>
      <c r="BX87" s="192"/>
      <c r="BY87" s="192"/>
      <c r="BZ87" s="193"/>
      <c r="CA87" s="193"/>
      <c r="CB87" s="192"/>
      <c r="CC87" s="192"/>
      <c r="CD87" s="193"/>
      <c r="CE87" s="193"/>
      <c r="CF87" s="192"/>
      <c r="CG87" s="192"/>
      <c r="CH87" s="193"/>
      <c r="CI87" s="193"/>
      <c r="CJ87" s="192"/>
      <c r="CK87" s="192"/>
      <c r="CL87" s="193"/>
      <c r="CM87" s="193"/>
      <c r="CN87" s="192"/>
      <c r="CO87" s="192"/>
      <c r="CP87" s="192"/>
      <c r="CQ87" s="193"/>
      <c r="CR87" s="192"/>
      <c r="CS87" s="192"/>
      <c r="CT87" s="192"/>
    </row>
    <row r="88" spans="1:98" ht="13.5" customHeight="1">
      <c r="B88" s="1" t="s">
        <v>115</v>
      </c>
      <c r="C88" s="6">
        <f t="shared" ref="C88:O88" si="256">C25</f>
        <v>-720.29299999999955</v>
      </c>
      <c r="D88" s="6">
        <f t="shared" si="256"/>
        <v>-538.90700000000015</v>
      </c>
      <c r="E88" s="6">
        <f t="shared" si="256"/>
        <v>-632.76700000000017</v>
      </c>
      <c r="F88" s="6">
        <f t="shared" si="256"/>
        <v>-445.23700000000065</v>
      </c>
      <c r="G88" s="6">
        <f t="shared" si="256"/>
        <v>-445.2369999999994</v>
      </c>
      <c r="H88" s="6">
        <f t="shared" si="256"/>
        <v>2153.9700000000003</v>
      </c>
      <c r="I88" s="6">
        <f t="shared" si="256"/>
        <v>1582.2390000000009</v>
      </c>
      <c r="J88" s="6">
        <f t="shared" si="256"/>
        <v>4530.8520000000062</v>
      </c>
      <c r="K88" s="6">
        <f t="shared" si="256"/>
        <v>6646.3789999999944</v>
      </c>
      <c r="L88" s="6">
        <f t="shared" si="256"/>
        <v>2762.9750000000022</v>
      </c>
      <c r="M88" s="6">
        <f t="shared" si="256"/>
        <v>-3621.2459999999846</v>
      </c>
      <c r="N88" s="6">
        <f t="shared" si="256"/>
        <v>3880.8699999999976</v>
      </c>
      <c r="O88" s="6">
        <f t="shared" si="256"/>
        <v>3534.5940000000205</v>
      </c>
      <c r="P88" s="6"/>
      <c r="Q88" s="36"/>
      <c r="R88" s="36"/>
      <c r="S88" s="36"/>
      <c r="T88" s="6">
        <f t="shared" si="243"/>
        <v>-632.76700000000017</v>
      </c>
      <c r="V88" s="6">
        <f>SUM(R25:V25)</f>
        <v>-983.20600000000172</v>
      </c>
      <c r="W88" s="6">
        <f>SUM(S25:W25)</f>
        <v>-1018.2960000000014</v>
      </c>
      <c r="X88" s="6">
        <f>SUM(T25:X25)</f>
        <v>-911.78700000000106</v>
      </c>
      <c r="Y88" s="6">
        <f t="shared" si="244"/>
        <v>-445.23700000000065</v>
      </c>
      <c r="Z88" s="6">
        <f>F25+Z25-V25</f>
        <v>-424.81400000000053</v>
      </c>
      <c r="AA88" s="6">
        <f>F25+Z25+AA25-V25-BF25</f>
        <v>-652.67400000000055</v>
      </c>
      <c r="AB88" s="6">
        <f>F25+Z25+AA25+AB25-V25-BF25-BG25</f>
        <v>-286.88200000000012</v>
      </c>
      <c r="AC88" s="6">
        <f>+AC25+AB25+AA25+Z25</f>
        <v>2153.9699999999989</v>
      </c>
      <c r="AD88" s="6">
        <f>H25+AD25-BI25</f>
        <v>2543.3460000000005</v>
      </c>
      <c r="AE88" s="6">
        <f>H25+AD25+AE25-AA25-BI25</f>
        <v>3326.2189999999996</v>
      </c>
      <c r="AF88" s="6">
        <f>H25+AE25+AF25-AB25-AA25+AD25-BI25</f>
        <v>3653.6169999999984</v>
      </c>
      <c r="AG88" s="6">
        <f t="shared" ref="AG88:BD88" si="257">+AG25+AF25+AE25+AD25</f>
        <v>1582.2389999999953</v>
      </c>
      <c r="AH88" s="6">
        <f t="shared" si="257"/>
        <v>1407.892999999995</v>
      </c>
      <c r="AI88" s="6">
        <f t="shared" si="257"/>
        <v>3209.3349999999941</v>
      </c>
      <c r="AJ88" s="6">
        <f t="shared" si="257"/>
        <v>3506.1629999999955</v>
      </c>
      <c r="AK88" s="6">
        <f t="shared" si="257"/>
        <v>4530.8520000000017</v>
      </c>
      <c r="AL88" s="6">
        <f t="shared" si="257"/>
        <v>5069.4580000000024</v>
      </c>
      <c r="AM88" s="6">
        <f t="shared" si="257"/>
        <v>5244.1200000000026</v>
      </c>
      <c r="AN88" s="6">
        <f t="shared" si="257"/>
        <v>6748.4210000000021</v>
      </c>
      <c r="AO88" s="6">
        <f t="shared" si="257"/>
        <v>6646.3789999999899</v>
      </c>
      <c r="AP88" s="6">
        <f t="shared" si="257"/>
        <v>6632.446999999991</v>
      </c>
      <c r="AQ88" s="6">
        <f t="shared" si="257"/>
        <v>8108.5249999999933</v>
      </c>
      <c r="AR88" s="6">
        <f t="shared" si="257"/>
        <v>5857.6759999999922</v>
      </c>
      <c r="AS88" s="6">
        <f t="shared" si="257"/>
        <v>2762.9749999999931</v>
      </c>
      <c r="AT88" s="6">
        <f t="shared" si="257"/>
        <v>702.29299999998875</v>
      </c>
      <c r="AU88" s="6">
        <f t="shared" si="257"/>
        <v>-4970.9160000000111</v>
      </c>
      <c r="AV88" s="6">
        <f t="shared" si="257"/>
        <v>-5541.9180000000097</v>
      </c>
      <c r="AW88" s="6">
        <f t="shared" si="257"/>
        <v>-3621.2459999999874</v>
      </c>
      <c r="AX88" s="6">
        <f t="shared" si="257"/>
        <v>-1884.9809999999848</v>
      </c>
      <c r="AY88" s="6">
        <f t="shared" si="257"/>
        <v>438.23900000001055</v>
      </c>
      <c r="AZ88" s="6">
        <f t="shared" si="257"/>
        <v>1298.957000000011</v>
      </c>
      <c r="BA88" s="6">
        <f t="shared" si="257"/>
        <v>3880.8700000000072</v>
      </c>
      <c r="BB88" s="6">
        <f t="shared" si="257"/>
        <v>4137.5040000000026</v>
      </c>
      <c r="BC88" s="6">
        <f t="shared" si="257"/>
        <v>3832.1060000000111</v>
      </c>
      <c r="BD88" s="6">
        <f t="shared" si="257"/>
        <v>3534.5940000000101</v>
      </c>
      <c r="BE88" s="6"/>
      <c r="BF88" s="239"/>
      <c r="BG88" s="193"/>
      <c r="BH88" s="193"/>
      <c r="BI88" s="193"/>
      <c r="BJ88" s="193"/>
      <c r="BK88" s="193"/>
      <c r="BM88" s="193"/>
      <c r="BN88" s="192"/>
      <c r="BO88" s="193"/>
      <c r="BP88" s="193"/>
      <c r="BQ88" s="192"/>
      <c r="BR88" s="192"/>
      <c r="BS88" s="192"/>
      <c r="BT88" s="193"/>
      <c r="BU88" s="193"/>
      <c r="BV88" s="192"/>
      <c r="BW88" s="192"/>
      <c r="BX88" s="192"/>
      <c r="BY88" s="192"/>
      <c r="BZ88" s="193"/>
      <c r="CA88" s="193"/>
      <c r="CB88" s="192"/>
      <c r="CC88" s="192"/>
      <c r="CD88" s="193"/>
      <c r="CE88" s="193"/>
      <c r="CF88" s="192"/>
      <c r="CG88" s="192"/>
      <c r="CH88" s="193"/>
      <c r="CI88" s="193"/>
      <c r="CJ88" s="192"/>
      <c r="CK88" s="192"/>
      <c r="CL88" s="193"/>
      <c r="CM88" s="193"/>
      <c r="CN88" s="192"/>
      <c r="CO88" s="192"/>
      <c r="CP88" s="192"/>
      <c r="CQ88" s="193"/>
      <c r="CR88" s="192"/>
      <c r="CS88" s="192"/>
      <c r="CT88" s="192"/>
    </row>
    <row r="89" spans="1:98" ht="13.5" customHeight="1">
      <c r="B89" s="1" t="s">
        <v>116</v>
      </c>
      <c r="C89" s="6">
        <f t="shared" ref="C89:H89" si="258">-C65</f>
        <v>284.64600000000002</v>
      </c>
      <c r="D89" s="6">
        <f t="shared" si="258"/>
        <v>400.19900000000001</v>
      </c>
      <c r="E89" s="6">
        <f t="shared" si="258"/>
        <v>450.89800000000002</v>
      </c>
      <c r="F89" s="6">
        <f t="shared" si="258"/>
        <v>795.21799999999996</v>
      </c>
      <c r="G89" s="6">
        <f t="shared" si="258"/>
        <v>438.82900000000001</v>
      </c>
      <c r="H89" s="6">
        <f t="shared" si="258"/>
        <v>676.62800000000004</v>
      </c>
      <c r="I89" s="6">
        <f t="shared" ref="I89:O89" si="259">-I65</f>
        <v>955.69600000000003</v>
      </c>
      <c r="J89" s="6">
        <f t="shared" si="259"/>
        <v>1376.1849999999999</v>
      </c>
      <c r="K89" s="6">
        <f t="shared" si="259"/>
        <v>2104.67</v>
      </c>
      <c r="L89" s="6">
        <f>-L65</f>
        <v>3731.8510000000001</v>
      </c>
      <c r="M89" s="6">
        <f t="shared" si="259"/>
        <v>3503.0349999999999</v>
      </c>
      <c r="N89" s="6">
        <f>-N65</f>
        <v>3773.373</v>
      </c>
      <c r="O89" s="6">
        <f t="shared" si="259"/>
        <v>4830.9679999999998</v>
      </c>
      <c r="P89" s="6"/>
      <c r="Q89" s="36"/>
      <c r="R89" s="36"/>
      <c r="S89" s="36"/>
      <c r="T89" s="6">
        <f t="shared" si="243"/>
        <v>450.89800000000002</v>
      </c>
      <c r="V89" s="6">
        <f>-SUM(R65:V65)</f>
        <v>519.58800000000008</v>
      </c>
      <c r="W89" s="6">
        <f>-SUM(S65:W65)</f>
        <v>719.58100000000002</v>
      </c>
      <c r="X89" s="6">
        <f>-SUM(T65:X65)</f>
        <v>834.85500000000002</v>
      </c>
      <c r="Y89" s="6">
        <f t="shared" si="244"/>
        <v>795.21799999999996</v>
      </c>
      <c r="Z89" s="6">
        <f>-(F65+Z65-V65)</f>
        <v>861.46899999999994</v>
      </c>
      <c r="AA89" s="6">
        <f>-(F65+Z65+AA65-V65-BF65)</f>
        <v>942.52</v>
      </c>
      <c r="AB89" s="6">
        <f>-(F65+Z65+AA65+AB65-V65-BF65-BG65)</f>
        <v>953.40100000000007</v>
      </c>
      <c r="AC89" s="6">
        <f>-AC65-AB65-AA65-Z65</f>
        <v>676.62800000000004</v>
      </c>
      <c r="AD89" s="6">
        <f>-(H65+AD65-BI65)</f>
        <v>676.62800000000004</v>
      </c>
      <c r="AE89" s="6">
        <f>-(H65+AD65+AE65-AA65-BI65)</f>
        <v>736.89100000000019</v>
      </c>
      <c r="AF89" s="6">
        <f>-(H65+AE65+AF65-AB65-AA65+AD65-BI65)</f>
        <v>672.221</v>
      </c>
      <c r="AG89" s="6">
        <f t="shared" ref="AG89:BC89" si="260">-AG65-AF65-AE65-AD65</f>
        <v>955.69600000000003</v>
      </c>
      <c r="AH89" s="6">
        <f t="shared" si="260"/>
        <v>852.36800000000017</v>
      </c>
      <c r="AI89" s="6">
        <f t="shared" si="260"/>
        <v>946.88699999999994</v>
      </c>
      <c r="AJ89" s="6">
        <f>-AJ65-AI65-AH65-AG65</f>
        <v>1227.3389999999999</v>
      </c>
      <c r="AK89" s="6">
        <f t="shared" si="260"/>
        <v>1376.1849999999997</v>
      </c>
      <c r="AL89" s="6">
        <f t="shared" si="260"/>
        <v>1583.3649999999998</v>
      </c>
      <c r="AM89" s="6">
        <f t="shared" si="260"/>
        <v>1727.5529999999999</v>
      </c>
      <c r="AN89" s="6">
        <f t="shared" si="260"/>
        <v>1846.5609999999999</v>
      </c>
      <c r="AO89" s="6">
        <f t="shared" si="260"/>
        <v>2104.67</v>
      </c>
      <c r="AP89" s="6">
        <f t="shared" si="260"/>
        <v>2157.5050000000001</v>
      </c>
      <c r="AQ89" s="6">
        <f t="shared" si="260"/>
        <v>3402.8850000000002</v>
      </c>
      <c r="AR89" s="6">
        <f t="shared" si="260"/>
        <v>3223.6240000000003</v>
      </c>
      <c r="AS89" s="6">
        <f t="shared" si="260"/>
        <v>3731.8510000000001</v>
      </c>
      <c r="AT89" s="6">
        <f t="shared" si="260"/>
        <v>4319.2920000000004</v>
      </c>
      <c r="AU89" s="6">
        <f t="shared" si="260"/>
        <v>3487.6240000000003</v>
      </c>
      <c r="AV89" s="6">
        <f t="shared" si="260"/>
        <v>3920.4119999999998</v>
      </c>
      <c r="AW89" s="6">
        <f t="shared" si="260"/>
        <v>3503.0349999999999</v>
      </c>
      <c r="AX89" s="6">
        <f t="shared" si="260"/>
        <v>3229.3580000000002</v>
      </c>
      <c r="AY89" s="6">
        <f t="shared" si="260"/>
        <v>3168.6729999999998</v>
      </c>
      <c r="AZ89" s="6">
        <f>-AZ65-AY65-AX65-AW65</f>
        <v>3283.826</v>
      </c>
      <c r="BA89" s="6">
        <f t="shared" si="260"/>
        <v>3773.3729999999996</v>
      </c>
      <c r="BB89" s="6">
        <f t="shared" si="260"/>
        <v>3902.3989999999994</v>
      </c>
      <c r="BC89" s="6">
        <f t="shared" si="260"/>
        <v>4367.6299999999992</v>
      </c>
      <c r="BD89" s="6">
        <f>-BD65-BC65-BB65-BA65</f>
        <v>4830.9679999999998</v>
      </c>
      <c r="BE89" s="6"/>
      <c r="BF89" s="239"/>
      <c r="BG89" s="193"/>
      <c r="BH89" s="193"/>
      <c r="BI89" s="193"/>
      <c r="BJ89" s="193"/>
      <c r="BK89" s="193"/>
      <c r="BM89" s="193"/>
      <c r="BN89" s="192"/>
      <c r="BO89" s="193"/>
      <c r="BP89" s="193"/>
      <c r="BQ89" s="192"/>
      <c r="BR89" s="192"/>
      <c r="BS89" s="192"/>
      <c r="BT89" s="193"/>
      <c r="BU89" s="193"/>
      <c r="BV89" s="192"/>
      <c r="BW89" s="192"/>
      <c r="BX89" s="192"/>
      <c r="BY89" s="192"/>
      <c r="BZ89" s="193"/>
      <c r="CA89" s="193"/>
      <c r="CB89" s="192"/>
      <c r="CC89" s="192"/>
      <c r="CD89" s="193"/>
      <c r="CE89" s="193"/>
      <c r="CF89" s="192"/>
      <c r="CG89" s="192"/>
      <c r="CH89" s="193"/>
      <c r="CI89" s="193"/>
      <c r="CJ89" s="192"/>
      <c r="CK89" s="192"/>
      <c r="CL89" s="193"/>
      <c r="CM89" s="193"/>
      <c r="CN89" s="192"/>
      <c r="CO89" s="192"/>
      <c r="CP89" s="192"/>
      <c r="CQ89" s="193"/>
      <c r="CR89" s="192"/>
      <c r="CS89" s="192"/>
      <c r="CT89" s="192"/>
    </row>
    <row r="90" spans="1:98" ht="13.5" customHeight="1">
      <c r="B90" s="1" t="s">
        <v>98</v>
      </c>
      <c r="C90" s="6">
        <f t="shared" ref="C90:H90" si="261">C68</f>
        <v>404.19144687111418</v>
      </c>
      <c r="D90" s="6">
        <f t="shared" si="261"/>
        <v>645.51408340711453</v>
      </c>
      <c r="E90" s="6">
        <f t="shared" si="261"/>
        <v>1149.7924033700424</v>
      </c>
      <c r="F90" s="6">
        <f t="shared" si="261"/>
        <v>-407.04385637641167</v>
      </c>
      <c r="G90" s="6">
        <f t="shared" si="261"/>
        <v>-829.70285637641155</v>
      </c>
      <c r="H90" s="6">
        <f t="shared" si="261"/>
        <v>-3077.8420000000001</v>
      </c>
      <c r="I90" s="6">
        <f t="shared" ref="I90:O90" si="262">I68</f>
        <v>384.42900000000031</v>
      </c>
      <c r="J90" s="6">
        <f t="shared" si="262"/>
        <v>4596.148000000002</v>
      </c>
      <c r="K90" s="6">
        <f t="shared" si="262"/>
        <v>8115.1770000000006</v>
      </c>
      <c r="L90" s="6">
        <f>L68</f>
        <v>8627.9510000000009</v>
      </c>
      <c r="M90" s="6">
        <f t="shared" si="262"/>
        <v>2819.5360000000005</v>
      </c>
      <c r="N90" s="6">
        <f>N68</f>
        <v>12743.313999999998</v>
      </c>
      <c r="O90" s="6">
        <f t="shared" si="262"/>
        <v>13389.397999999999</v>
      </c>
      <c r="P90" s="6"/>
      <c r="Q90" s="36"/>
      <c r="R90" s="36"/>
      <c r="S90" s="36"/>
      <c r="T90" s="6">
        <f t="shared" si="243"/>
        <v>1149.7924033700424</v>
      </c>
      <c r="V90" s="6">
        <f>SUM(R68:V68)</f>
        <v>997.63228725740544</v>
      </c>
      <c r="W90" s="6">
        <f>SUM(S68:W68)</f>
        <v>330.05597575775892</v>
      </c>
      <c r="X90" s="6">
        <f>SUM(T68:X68)</f>
        <v>-229.09291682840652</v>
      </c>
      <c r="Y90" s="6">
        <f t="shared" si="244"/>
        <v>-407.04385637641167</v>
      </c>
      <c r="Z90" s="6">
        <f>F68+Z68-V68</f>
        <v>-530.04786764429844</v>
      </c>
      <c r="AA90" s="6">
        <f>F68+Z68+AA68-V68-BF68</f>
        <v>-4506.7428676442987</v>
      </c>
      <c r="AB90" s="6">
        <f>F68+Z68+AA68+AB68-V68-BF68-BG68</f>
        <v>-3766.5358676442984</v>
      </c>
      <c r="AC90" s="6">
        <f>+AC68+AB68+AA68+Z68</f>
        <v>-3077.8420000000006</v>
      </c>
      <c r="AD90" s="6">
        <f>H68+AD68-BI68</f>
        <v>-3739.3649999999998</v>
      </c>
      <c r="AE90" s="6">
        <f>H68+AD68+AE68-AA68-BI68</f>
        <v>588.32900000000006</v>
      </c>
      <c r="AF90" s="6">
        <f>H68+AE68+AF68-AB68-AA68+AD68-BI68</f>
        <v>820.03999999999974</v>
      </c>
      <c r="AG90" s="6">
        <f t="shared" ref="AG90:BC90" si="263">+AG68+AF68+AE68+AD68</f>
        <v>384.42899999999975</v>
      </c>
      <c r="AH90" s="6">
        <f t="shared" si="263"/>
        <v>525.43399999999951</v>
      </c>
      <c r="AI90" s="6">
        <f t="shared" si="263"/>
        <v>3485.0920000000001</v>
      </c>
      <c r="AJ90" s="6">
        <f t="shared" si="263"/>
        <v>3448.8300000000004</v>
      </c>
      <c r="AK90" s="6">
        <f t="shared" si="263"/>
        <v>4596.1479999999992</v>
      </c>
      <c r="AL90" s="6">
        <f t="shared" si="263"/>
        <v>5855.5709999999999</v>
      </c>
      <c r="AM90" s="6">
        <f t="shared" si="263"/>
        <v>5164.0329999999994</v>
      </c>
      <c r="AN90" s="6">
        <f t="shared" si="263"/>
        <v>8554.4519999999975</v>
      </c>
      <c r="AO90" s="6">
        <f t="shared" si="263"/>
        <v>8115.1769999999988</v>
      </c>
      <c r="AP90" s="6">
        <f t="shared" si="263"/>
        <v>11502.618999999997</v>
      </c>
      <c r="AQ90" s="6">
        <f t="shared" si="263"/>
        <v>13837.897999999999</v>
      </c>
      <c r="AR90" s="6">
        <f t="shared" si="263"/>
        <v>11074.021000000001</v>
      </c>
      <c r="AS90" s="6">
        <f t="shared" si="263"/>
        <v>8627.9509999999991</v>
      </c>
      <c r="AT90" s="6">
        <f t="shared" si="263"/>
        <v>3467.9359999999988</v>
      </c>
      <c r="AU90" s="6">
        <f t="shared" si="263"/>
        <v>-1029.3950000000016</v>
      </c>
      <c r="AV90" s="6">
        <f t="shared" si="263"/>
        <v>18.203999999999724</v>
      </c>
      <c r="AW90" s="6">
        <f t="shared" si="263"/>
        <v>2819.5360000000014</v>
      </c>
      <c r="AX90" s="6">
        <f t="shared" si="263"/>
        <v>3100.1300000000015</v>
      </c>
      <c r="AY90" s="6">
        <f t="shared" si="263"/>
        <v>4152.4850000000015</v>
      </c>
      <c r="AZ90" s="6">
        <f>+AZ68+AY68+AX68+AW68</f>
        <v>2902.9130000000014</v>
      </c>
      <c r="BA90" s="6">
        <f t="shared" si="263"/>
        <v>12743.314000000002</v>
      </c>
      <c r="BB90" s="6">
        <f t="shared" si="263"/>
        <v>15580.605</v>
      </c>
      <c r="BC90" s="6">
        <f t="shared" si="263"/>
        <v>14405.536</v>
      </c>
      <c r="BD90" s="6">
        <f>+BD68+BC68+BB68+BA68</f>
        <v>13389.398000000001</v>
      </c>
      <c r="BE90" s="6"/>
      <c r="BF90" s="239"/>
      <c r="BG90" s="193"/>
      <c r="BH90" s="193"/>
      <c r="BI90" s="193"/>
      <c r="BJ90" s="193"/>
      <c r="BK90" s="193"/>
      <c r="BM90" s="193"/>
      <c r="BN90" s="192"/>
      <c r="BO90" s="193"/>
      <c r="BP90" s="193"/>
      <c r="BQ90" s="192"/>
      <c r="BR90" s="192"/>
      <c r="BS90" s="192"/>
      <c r="BT90" s="193"/>
      <c r="BU90" s="193"/>
      <c r="BV90" s="192"/>
      <c r="BW90" s="192"/>
      <c r="BX90" s="192"/>
      <c r="BY90" s="192"/>
      <c r="BZ90" s="193"/>
      <c r="CA90" s="193"/>
      <c r="CB90" s="192"/>
      <c r="CC90" s="192"/>
      <c r="CD90" s="193"/>
      <c r="CE90" s="193"/>
      <c r="CF90" s="192"/>
      <c r="CG90" s="192"/>
      <c r="CH90" s="193"/>
      <c r="CI90" s="193"/>
      <c r="CJ90" s="192"/>
      <c r="CK90" s="192"/>
      <c r="CL90" s="193"/>
      <c r="CM90" s="193"/>
      <c r="CN90" s="192"/>
      <c r="CO90" s="192"/>
      <c r="CP90" s="192"/>
      <c r="CQ90" s="193"/>
      <c r="CR90" s="192"/>
      <c r="CS90" s="192"/>
      <c r="CT90" s="192"/>
    </row>
    <row r="91" spans="1:98" ht="13.5" customHeight="1">
      <c r="C91" s="6"/>
      <c r="D91" s="6"/>
      <c r="E91" s="6"/>
      <c r="F91" s="6"/>
      <c r="G91" s="6"/>
      <c r="H91" s="6"/>
      <c r="I91" s="6"/>
      <c r="J91" s="6"/>
      <c r="K91" s="6"/>
      <c r="L91" s="6"/>
      <c r="M91" s="6"/>
      <c r="N91" s="6"/>
      <c r="O91" s="6"/>
      <c r="P91" s="6"/>
      <c r="Q91" s="36"/>
      <c r="R91" s="36"/>
      <c r="S91" s="36"/>
      <c r="T91" s="6"/>
      <c r="V91" s="6"/>
      <c r="W91" s="6"/>
      <c r="X91" s="6"/>
      <c r="Y91" s="6"/>
      <c r="Z91" s="6"/>
      <c r="AA91" s="6"/>
      <c r="AB91" s="6"/>
      <c r="AC91" s="6"/>
      <c r="AD91" s="6"/>
      <c r="AE91" s="6"/>
      <c r="AF91" s="6"/>
      <c r="AG91" s="6"/>
      <c r="AH91" s="6"/>
      <c r="AI91" s="6"/>
      <c r="AJ91" s="6"/>
      <c r="AK91" s="6"/>
      <c r="AL91" s="6"/>
      <c r="AM91" s="6"/>
      <c r="AN91" s="6"/>
      <c r="AO91" s="6"/>
      <c r="AP91" s="6"/>
      <c r="AQ91" s="6"/>
      <c r="AR91" s="6"/>
      <c r="AS91" s="6"/>
      <c r="AT91" s="6"/>
      <c r="AU91" s="6"/>
      <c r="AV91" s="6"/>
      <c r="AW91" s="6"/>
      <c r="AX91" s="6"/>
      <c r="AY91" s="6"/>
      <c r="AZ91" s="6"/>
      <c r="BA91" s="6"/>
      <c r="BB91" s="6"/>
      <c r="BC91" s="6"/>
      <c r="BD91" s="6"/>
      <c r="BE91" s="6"/>
      <c r="BF91" s="239"/>
      <c r="BG91" s="193"/>
      <c r="BH91" s="193"/>
      <c r="BI91" s="193"/>
      <c r="BJ91" s="193"/>
      <c r="BK91" s="193"/>
      <c r="BM91" s="193"/>
      <c r="BN91" s="192"/>
      <c r="BO91" s="193"/>
      <c r="BP91" s="193"/>
      <c r="BQ91" s="192"/>
      <c r="BR91" s="192"/>
      <c r="BS91" s="192"/>
      <c r="BT91" s="193"/>
      <c r="BU91" s="193"/>
      <c r="BV91" s="192"/>
      <c r="BW91" s="192"/>
      <c r="BX91" s="192"/>
      <c r="BY91" s="192"/>
      <c r="BZ91" s="193"/>
      <c r="CA91" s="193"/>
      <c r="CB91" s="192"/>
      <c r="CC91" s="192"/>
      <c r="CD91" s="193"/>
      <c r="CE91" s="193"/>
      <c r="CF91" s="192"/>
      <c r="CG91" s="192"/>
      <c r="CH91" s="193"/>
      <c r="CI91" s="193"/>
      <c r="CJ91" s="192"/>
      <c r="CK91" s="192"/>
      <c r="CL91" s="193"/>
      <c r="CM91" s="193"/>
      <c r="CN91" s="192"/>
      <c r="CO91" s="192"/>
      <c r="CP91" s="192"/>
      <c r="CQ91" s="193"/>
      <c r="CR91" s="192"/>
      <c r="CS91" s="192"/>
      <c r="CT91" s="192"/>
    </row>
    <row r="92" spans="1:98" ht="13.5" customHeight="1">
      <c r="B92" s="421" t="s">
        <v>117</v>
      </c>
      <c r="C92" s="422"/>
      <c r="D92" s="422"/>
      <c r="E92" s="422"/>
      <c r="F92" s="422"/>
      <c r="G92" s="422"/>
      <c r="H92" s="422">
        <f>+AC92</f>
        <v>3378.8053997807629</v>
      </c>
      <c r="I92" s="422">
        <f>+AG92</f>
        <v>4811.924</v>
      </c>
      <c r="J92" s="422">
        <f>AK92</f>
        <v>9587.7057324840771</v>
      </c>
      <c r="K92" s="422">
        <f>AO92</f>
        <v>14520.529801324503</v>
      </c>
      <c r="L92" s="422">
        <f>AS92</f>
        <v>12936.454849498326</v>
      </c>
      <c r="M92" s="422">
        <f>AW92</f>
        <v>9282.2580645161288</v>
      </c>
      <c r="N92" s="422">
        <f>BA92</f>
        <v>13773.758865248228</v>
      </c>
      <c r="O92" s="422">
        <f>BD92</f>
        <v>13381.553398058253</v>
      </c>
      <c r="P92" s="6"/>
      <c r="Q92" s="423"/>
      <c r="R92" s="423"/>
      <c r="S92" s="423"/>
      <c r="T92" s="422"/>
      <c r="U92" s="421"/>
      <c r="V92" s="422"/>
      <c r="W92" s="422"/>
      <c r="X92" s="422"/>
      <c r="Y92" s="422"/>
      <c r="Z92" s="422"/>
      <c r="AA92" s="424"/>
      <c r="AB92" s="424">
        <v>3245.6223316050769</v>
      </c>
      <c r="AC92" s="424">
        <v>3378.8053997807629</v>
      </c>
      <c r="AD92" s="425">
        <v>3511.2318840579715</v>
      </c>
      <c r="AE92" s="422">
        <f>BT86</f>
        <v>3816.0675471698114</v>
      </c>
      <c r="AF92" s="422">
        <f>BU86</f>
        <v>4140.9922779922781</v>
      </c>
      <c r="AG92" s="422">
        <f>BW86</f>
        <v>4811.924</v>
      </c>
      <c r="AH92" s="422">
        <f>BX86</f>
        <v>5437.6404494382023</v>
      </c>
      <c r="AI92" s="422">
        <f>BY86</f>
        <v>8397.1014492753638</v>
      </c>
      <c r="AJ92" s="422">
        <f>BY86</f>
        <v>8397.1014492753638</v>
      </c>
      <c r="AK92" s="422">
        <f t="shared" ref="AK92:AT92" si="264">CA86</f>
        <v>9587.7057324840771</v>
      </c>
      <c r="AL92" s="422">
        <f t="shared" si="264"/>
        <v>10083.522727272728</v>
      </c>
      <c r="AM92" s="422">
        <f t="shared" si="264"/>
        <v>9915.8620689655181</v>
      </c>
      <c r="AN92" s="422">
        <f t="shared" si="264"/>
        <v>12484.545454545454</v>
      </c>
      <c r="AO92" s="422">
        <f t="shared" si="264"/>
        <v>14520.529801324503</v>
      </c>
      <c r="AP92" s="422">
        <f t="shared" si="264"/>
        <v>15564.705882352941</v>
      </c>
      <c r="AQ92" s="422">
        <f>CG86</f>
        <v>18849.5</v>
      </c>
      <c r="AR92" s="422">
        <f t="shared" si="264"/>
        <v>16509.663865546219</v>
      </c>
      <c r="AS92" s="422">
        <f t="shared" si="264"/>
        <v>12936.454849498326</v>
      </c>
      <c r="AT92" s="422">
        <f t="shared" si="264"/>
        <v>11492.285714285714</v>
      </c>
      <c r="AU92" s="422">
        <f t="shared" ref="AU92:BA92" si="265">CK86</f>
        <v>9822.0925925925931</v>
      </c>
      <c r="AV92" s="422">
        <f t="shared" si="265"/>
        <v>8580.5626598465478</v>
      </c>
      <c r="AW92" s="422">
        <f t="shared" si="265"/>
        <v>9282.2580645161288</v>
      </c>
      <c r="AX92" s="422">
        <f t="shared" si="265"/>
        <v>10556.559766763849</v>
      </c>
      <c r="AY92" s="422">
        <f t="shared" si="265"/>
        <v>11661.538461538463</v>
      </c>
      <c r="AZ92" s="422">
        <f t="shared" si="265"/>
        <v>12967.666666666666</v>
      </c>
      <c r="BA92" s="422">
        <f t="shared" si="265"/>
        <v>13773.758865248228</v>
      </c>
      <c r="BB92" s="422">
        <f>CR86</f>
        <v>14172.862453531599</v>
      </c>
      <c r="BC92" s="422">
        <f>CS86</f>
        <v>13876.752767527676</v>
      </c>
      <c r="BD92" s="422">
        <f>CT86</f>
        <v>13381.553398058253</v>
      </c>
      <c r="BE92" s="6"/>
      <c r="BF92" s="239"/>
      <c r="BG92" s="193"/>
      <c r="BH92" s="193"/>
      <c r="BI92" s="193"/>
      <c r="BJ92" s="193"/>
      <c r="BK92" s="193"/>
      <c r="BM92" s="193"/>
      <c r="BN92" s="192"/>
      <c r="BO92" s="193"/>
      <c r="BP92" s="193"/>
      <c r="BQ92" s="192"/>
      <c r="BR92" s="192"/>
      <c r="BS92" s="192"/>
      <c r="BT92" s="193"/>
      <c r="BU92" s="193"/>
      <c r="BV92" s="192"/>
      <c r="BW92" s="192"/>
      <c r="BX92" s="192"/>
      <c r="BY92" s="192"/>
      <c r="BZ92" s="193"/>
      <c r="CA92" s="193"/>
      <c r="CB92" s="192"/>
      <c r="CC92" s="192"/>
      <c r="CD92" s="193"/>
      <c r="CE92" s="193"/>
      <c r="CF92" s="192"/>
      <c r="CG92" s="192"/>
      <c r="CH92" s="193"/>
      <c r="CI92" s="193"/>
      <c r="CJ92" s="192"/>
      <c r="CK92" s="192"/>
      <c r="CL92" s="193"/>
      <c r="CM92" s="193"/>
      <c r="CN92" s="192"/>
      <c r="CO92" s="192"/>
      <c r="CP92" s="192"/>
      <c r="CQ92" s="193"/>
      <c r="CR92" s="192"/>
      <c r="CS92" s="192"/>
      <c r="CT92" s="192"/>
    </row>
    <row r="93" spans="1:98" ht="13.5" customHeight="1">
      <c r="B93" s="421" t="s">
        <v>118</v>
      </c>
      <c r="C93" s="422"/>
      <c r="D93" s="422"/>
      <c r="E93" s="426">
        <v>1422</v>
      </c>
      <c r="F93" s="425">
        <f>+G93</f>
        <v>1748</v>
      </c>
      <c r="G93" s="426">
        <v>1748</v>
      </c>
      <c r="H93" s="422">
        <f>+AC93</f>
        <v>608.8740448995668</v>
      </c>
      <c r="I93" s="422">
        <f>+AG93</f>
        <v>1113.9283182355259</v>
      </c>
      <c r="J93" s="422">
        <f>AK93</f>
        <v>1451.2737298148877</v>
      </c>
      <c r="K93" s="422">
        <f>AO93</f>
        <v>2878.4513588026784</v>
      </c>
      <c r="L93" s="422">
        <f>AS93</f>
        <v>1531.1350925561246</v>
      </c>
      <c r="M93" s="422">
        <f>AW93</f>
        <v>1683.9732178022844</v>
      </c>
      <c r="N93" s="422">
        <f>BA93</f>
        <v>2578.9712485230407</v>
      </c>
      <c r="O93" s="422">
        <f>BD93</f>
        <v>2411.6754627806222</v>
      </c>
      <c r="P93" s="6"/>
      <c r="Q93" s="423"/>
      <c r="R93" s="423"/>
      <c r="S93" s="423"/>
      <c r="T93" s="422"/>
      <c r="U93" s="421"/>
      <c r="V93" s="422"/>
      <c r="W93" s="422"/>
      <c r="X93" s="422"/>
      <c r="Y93" s="422"/>
      <c r="Z93" s="422"/>
      <c r="AA93" s="427"/>
      <c r="AB93" s="427">
        <f t="shared" ref="AB93:AG93" si="266">+$G$94*AB60</f>
        <v>743.53682552185899</v>
      </c>
      <c r="AC93" s="427">
        <f t="shared" si="266"/>
        <v>608.8740448995668</v>
      </c>
      <c r="AD93" s="427">
        <f t="shared" si="266"/>
        <v>402.06065380070896</v>
      </c>
      <c r="AE93" s="427">
        <f t="shared" si="266"/>
        <v>764.87908625443094</v>
      </c>
      <c r="AF93" s="427">
        <f t="shared" si="266"/>
        <v>1032.001575423395</v>
      </c>
      <c r="AG93" s="427">
        <f t="shared" si="266"/>
        <v>1113.9283182355259</v>
      </c>
      <c r="AH93" s="427">
        <f t="shared" ref="AH93:AM93" si="267">+$G$94*AH60</f>
        <v>841.98660890114218</v>
      </c>
      <c r="AI93" s="427">
        <f t="shared" si="267"/>
        <v>2800.6553761323357</v>
      </c>
      <c r="AJ93" s="427">
        <f t="shared" si="267"/>
        <v>1511.8582118944466</v>
      </c>
      <c r="AK93" s="427">
        <f t="shared" si="267"/>
        <v>1451.2737298148877</v>
      </c>
      <c r="AL93" s="427">
        <f t="shared" si="267"/>
        <v>1175.8897203623474</v>
      </c>
      <c r="AM93" s="427">
        <f t="shared" si="267"/>
        <v>2699.4517526585269</v>
      </c>
      <c r="AN93" s="427">
        <f t="shared" ref="AN93:AS93" si="268">+$G$94*AN60</f>
        <v>3259.1697518708152</v>
      </c>
      <c r="AO93" s="427">
        <f t="shared" si="268"/>
        <v>2878.4513588026784</v>
      </c>
      <c r="AP93" s="427">
        <f t="shared" si="268"/>
        <v>1892.5766049625838</v>
      </c>
      <c r="AQ93" s="427">
        <f t="shared" si="268"/>
        <v>2742.1362741236708</v>
      </c>
      <c r="AR93" s="427">
        <f t="shared" si="268"/>
        <v>2610.6404096100828</v>
      </c>
      <c r="AS93" s="427">
        <f t="shared" si="268"/>
        <v>1531.1350925561246</v>
      </c>
      <c r="AT93" s="427">
        <f t="shared" ref="AT93:AY93" si="269">+$G$94*AT60</f>
        <v>1031.3131153997638</v>
      </c>
      <c r="AU93" s="427">
        <f t="shared" si="269"/>
        <v>1411.3430484442695</v>
      </c>
      <c r="AV93" s="427">
        <f t="shared" si="269"/>
        <v>1763.1461205198898</v>
      </c>
      <c r="AW93" s="427">
        <f t="shared" si="269"/>
        <v>1683.9732178022844</v>
      </c>
      <c r="AX93" s="427">
        <f t="shared" si="269"/>
        <v>1821.6652225285545</v>
      </c>
      <c r="AY93" s="427">
        <f t="shared" si="269"/>
        <v>2325.6179598267036</v>
      </c>
      <c r="AZ93" s="427">
        <f>+$G$94*AZ60</f>
        <v>2665.717211500591</v>
      </c>
      <c r="BA93" s="427">
        <f>+$G$94*BA60</f>
        <v>2578.9712485230407</v>
      </c>
      <c r="BB93" s="427">
        <f>+$G$94*BB60</f>
        <v>2200.3182355257977</v>
      </c>
      <c r="BC93" s="427">
        <f>+$G$94*BC60</f>
        <v>2073.6415911776289</v>
      </c>
      <c r="BD93" s="427">
        <f>+$G$94*BD60</f>
        <v>2411.6754627806222</v>
      </c>
      <c r="BE93" s="355"/>
      <c r="BF93" s="239"/>
      <c r="BG93" s="193"/>
      <c r="BH93" s="193"/>
      <c r="BI93" s="193"/>
      <c r="BJ93" s="193"/>
      <c r="BK93" s="193"/>
      <c r="BM93" s="193"/>
      <c r="BN93" s="192"/>
      <c r="BO93" s="193"/>
      <c r="BP93" s="193"/>
      <c r="BQ93" s="192"/>
      <c r="BR93" s="192"/>
      <c r="BS93" s="192"/>
      <c r="BT93" s="193"/>
      <c r="BU93" s="193"/>
      <c r="BV93" s="192"/>
      <c r="BW93" s="192"/>
      <c r="BX93" s="192"/>
      <c r="BY93" s="192"/>
      <c r="BZ93" s="193"/>
      <c r="CA93" s="193"/>
      <c r="CB93" s="192"/>
      <c r="CC93" s="192"/>
      <c r="CD93" s="193"/>
      <c r="CE93" s="193"/>
      <c r="CF93" s="192"/>
      <c r="CG93" s="192"/>
      <c r="CH93" s="193"/>
      <c r="CI93" s="193"/>
      <c r="CJ93" s="192"/>
      <c r="CK93" s="192"/>
      <c r="CL93" s="193"/>
      <c r="CM93" s="193"/>
      <c r="CN93" s="192"/>
      <c r="CO93" s="192"/>
      <c r="CP93" s="192"/>
      <c r="CQ93" s="193"/>
      <c r="CR93" s="192"/>
      <c r="CS93" s="192"/>
      <c r="CT93" s="192"/>
    </row>
    <row r="94" spans="1:98" ht="13.5" customHeight="1">
      <c r="B94" s="421" t="s">
        <v>119</v>
      </c>
      <c r="C94" s="422"/>
      <c r="D94" s="422"/>
      <c r="E94" s="428">
        <f>+E93/(E93+E86)</f>
        <v>0.46842573376815894</v>
      </c>
      <c r="F94" s="428">
        <f>+F93/(F93+F86)</f>
        <v>0.5058163088141675</v>
      </c>
      <c r="G94" s="428">
        <f>+G93/(G93+G86)</f>
        <v>0.68846002363135095</v>
      </c>
      <c r="H94" s="422"/>
      <c r="I94" s="422"/>
      <c r="J94" s="422"/>
      <c r="K94" s="422"/>
      <c r="L94" s="422"/>
      <c r="M94" s="422"/>
      <c r="N94" s="422"/>
      <c r="O94" s="422"/>
      <c r="P94" s="6"/>
      <c r="Q94" s="423"/>
      <c r="R94" s="423"/>
      <c r="S94" s="423"/>
      <c r="T94" s="422"/>
      <c r="U94" s="421"/>
      <c r="V94" s="422"/>
      <c r="W94" s="422"/>
      <c r="X94" s="422"/>
      <c r="Y94" s="422"/>
      <c r="Z94" s="422"/>
      <c r="AA94" s="422"/>
      <c r="AB94" s="422"/>
      <c r="AC94" s="422"/>
      <c r="AD94" s="422"/>
      <c r="AE94" s="422"/>
      <c r="AF94" s="422"/>
      <c r="AG94" s="422"/>
      <c r="AH94" s="422"/>
      <c r="AI94" s="422"/>
      <c r="AJ94" s="422"/>
      <c r="AK94" s="422"/>
      <c r="AL94" s="422"/>
      <c r="AM94" s="422"/>
      <c r="AN94" s="422"/>
      <c r="AO94" s="422"/>
      <c r="AP94" s="422"/>
      <c r="AQ94" s="422"/>
      <c r="AR94" s="422"/>
      <c r="AS94" s="422"/>
      <c r="AT94" s="422"/>
      <c r="AU94" s="422"/>
      <c r="AV94" s="422"/>
      <c r="AW94" s="422"/>
      <c r="AX94" s="422"/>
      <c r="AY94" s="422"/>
      <c r="AZ94" s="422"/>
      <c r="BA94" s="422"/>
      <c r="BB94" s="422"/>
      <c r="BC94" s="422"/>
      <c r="BD94" s="422"/>
      <c r="BE94" s="6"/>
      <c r="BF94" s="239"/>
      <c r="BG94" s="193"/>
      <c r="BH94" s="193"/>
      <c r="BI94" s="193"/>
      <c r="BJ94" s="193"/>
      <c r="BK94" s="193"/>
      <c r="BM94" s="193"/>
      <c r="BN94" s="192"/>
      <c r="BO94" s="193"/>
      <c r="BP94" s="193"/>
      <c r="BQ94" s="192"/>
      <c r="BR94" s="192"/>
      <c r="BS94" s="192"/>
      <c r="BT94" s="193"/>
      <c r="BU94" s="193"/>
      <c r="BV94" s="192"/>
      <c r="BW94" s="192"/>
      <c r="BX94" s="192"/>
      <c r="BY94" s="192"/>
      <c r="BZ94" s="193"/>
      <c r="CA94" s="193"/>
      <c r="CB94" s="192"/>
      <c r="CC94" s="192"/>
      <c r="CD94" s="193"/>
      <c r="CE94" s="193"/>
      <c r="CF94" s="192"/>
      <c r="CG94" s="192"/>
      <c r="CH94" s="193"/>
      <c r="CI94" s="193"/>
      <c r="CJ94" s="192"/>
      <c r="CK94" s="192"/>
      <c r="CL94" s="193"/>
      <c r="CM94" s="193"/>
      <c r="CN94" s="192"/>
      <c r="CO94" s="192"/>
      <c r="CP94" s="192"/>
      <c r="CQ94" s="193"/>
      <c r="CR94" s="192"/>
      <c r="CS94" s="192"/>
      <c r="CT94" s="192"/>
    </row>
    <row r="95" spans="1:98" ht="13.5" customHeight="1">
      <c r="B95" s="421" t="s">
        <v>120</v>
      </c>
      <c r="C95" s="422"/>
      <c r="D95" s="422"/>
      <c r="E95" s="429">
        <f>+E93*51%</f>
        <v>725.22</v>
      </c>
      <c r="F95" s="429">
        <f>+F93*51%</f>
        <v>891.48</v>
      </c>
      <c r="G95" s="429">
        <f>+G93*51%</f>
        <v>891.48</v>
      </c>
      <c r="H95" s="422">
        <f>+AC95</f>
        <v>310.52576289877908</v>
      </c>
      <c r="I95" s="422">
        <f>+AG95</f>
        <v>568.10344230011822</v>
      </c>
      <c r="J95" s="422">
        <f>AK95</f>
        <v>740.14960220559271</v>
      </c>
      <c r="K95" s="422">
        <f>AO95</f>
        <v>1468.010192989366</v>
      </c>
      <c r="L95" s="422">
        <f>AS95</f>
        <v>780.87889720362352</v>
      </c>
      <c r="M95" s="422">
        <f>AW95</f>
        <v>858.82634107916499</v>
      </c>
      <c r="N95" s="422">
        <f>BA95</f>
        <v>1315.2753367467508</v>
      </c>
      <c r="O95" s="422">
        <f>BD95</f>
        <v>1229.9544860181172</v>
      </c>
      <c r="P95" s="6"/>
      <c r="Q95" s="423"/>
      <c r="R95" s="423"/>
      <c r="S95" s="423"/>
      <c r="T95" s="422"/>
      <c r="U95" s="421"/>
      <c r="V95" s="422"/>
      <c r="W95" s="422"/>
      <c r="X95" s="422"/>
      <c r="Y95" s="422"/>
      <c r="Z95" s="422"/>
      <c r="AA95" s="422"/>
      <c r="AB95" s="422">
        <f t="shared" ref="AB95:AG95" si="270">51%*AB93</f>
        <v>379.20378101614807</v>
      </c>
      <c r="AC95" s="422">
        <f t="shared" si="270"/>
        <v>310.52576289877908</v>
      </c>
      <c r="AD95" s="422">
        <f t="shared" si="270"/>
        <v>205.05093343836157</v>
      </c>
      <c r="AE95" s="422">
        <f t="shared" si="270"/>
        <v>390.0883339897598</v>
      </c>
      <c r="AF95" s="422">
        <f t="shared" si="270"/>
        <v>526.32080346593148</v>
      </c>
      <c r="AG95" s="422">
        <f t="shared" si="270"/>
        <v>568.10344230011822</v>
      </c>
      <c r="AH95" s="422">
        <f t="shared" ref="AH95:AM95" si="271">51%*AH93</f>
        <v>429.4131705395825</v>
      </c>
      <c r="AI95" s="422">
        <f t="shared" si="271"/>
        <v>1428.3342418274913</v>
      </c>
      <c r="AJ95" s="422">
        <f t="shared" si="271"/>
        <v>771.04768806616778</v>
      </c>
      <c r="AK95" s="422">
        <f t="shared" si="271"/>
        <v>740.14960220559271</v>
      </c>
      <c r="AL95" s="422">
        <f t="shared" si="271"/>
        <v>599.7037573847972</v>
      </c>
      <c r="AM95" s="422">
        <f t="shared" si="271"/>
        <v>1376.7203938558487</v>
      </c>
      <c r="AN95" s="422">
        <f t="shared" ref="AN95:AS95" si="272">51%*AN93</f>
        <v>1662.1765734541157</v>
      </c>
      <c r="AO95" s="422">
        <f t="shared" si="272"/>
        <v>1468.010192989366</v>
      </c>
      <c r="AP95" s="422">
        <f t="shared" si="272"/>
        <v>965.21406853091776</v>
      </c>
      <c r="AQ95" s="422">
        <f t="shared" si="272"/>
        <v>1398.489499803072</v>
      </c>
      <c r="AR95" s="422">
        <f t="shared" si="272"/>
        <v>1331.4266089011423</v>
      </c>
      <c r="AS95" s="422">
        <f t="shared" si="272"/>
        <v>780.87889720362352</v>
      </c>
      <c r="AT95" s="422">
        <f t="shared" ref="AT95:AY95" si="273">51%*AT93</f>
        <v>525.96968885387957</v>
      </c>
      <c r="AU95" s="422">
        <f t="shared" si="273"/>
        <v>719.78495470657742</v>
      </c>
      <c r="AV95" s="422">
        <f t="shared" si="273"/>
        <v>899.20452146514378</v>
      </c>
      <c r="AW95" s="422">
        <f t="shared" si="273"/>
        <v>858.82634107916499</v>
      </c>
      <c r="AX95" s="422">
        <f t="shared" si="273"/>
        <v>929.0492634895628</v>
      </c>
      <c r="AY95" s="422">
        <f t="shared" si="273"/>
        <v>1186.0651595116187</v>
      </c>
      <c r="AZ95" s="422">
        <f>51%*AZ93</f>
        <v>1359.5157778653015</v>
      </c>
      <c r="BA95" s="422">
        <f>51%*BA93</f>
        <v>1315.2753367467508</v>
      </c>
      <c r="BB95" s="422">
        <f>51%*BB93</f>
        <v>1122.162300118157</v>
      </c>
      <c r="BC95" s="422">
        <f>51%*BC93</f>
        <v>1057.5572115005907</v>
      </c>
      <c r="BD95" s="422">
        <f>51%*BD93</f>
        <v>1229.9544860181172</v>
      </c>
      <c r="BE95" s="6"/>
      <c r="BF95" s="239"/>
      <c r="BG95" s="193"/>
      <c r="BH95" s="193"/>
      <c r="BI95" s="193"/>
      <c r="BJ95" s="193"/>
      <c r="BK95" s="193"/>
      <c r="BM95" s="193"/>
      <c r="BN95" s="192"/>
      <c r="BO95" s="193"/>
      <c r="BP95" s="193"/>
      <c r="BQ95" s="192"/>
      <c r="BR95" s="192"/>
      <c r="BS95" s="192"/>
      <c r="BT95" s="193"/>
      <c r="BU95" s="193"/>
      <c r="BV95" s="192"/>
      <c r="BW95" s="192"/>
      <c r="BX95" s="192"/>
      <c r="BY95" s="192"/>
      <c r="BZ95" s="193"/>
      <c r="CA95" s="193"/>
      <c r="CB95" s="192"/>
      <c r="CC95" s="192"/>
      <c r="CD95" s="193"/>
      <c r="CE95" s="193"/>
      <c r="CF95" s="192"/>
      <c r="CG95" s="192"/>
      <c r="CH95" s="193"/>
      <c r="CI95" s="193"/>
      <c r="CJ95" s="192"/>
      <c r="CK95" s="192"/>
      <c r="CL95" s="193"/>
      <c r="CM95" s="193"/>
      <c r="CN95" s="192"/>
      <c r="CO95" s="192"/>
      <c r="CP95" s="192"/>
      <c r="CQ95" s="193"/>
      <c r="CR95" s="192"/>
      <c r="CS95" s="192"/>
      <c r="CT95" s="192"/>
    </row>
    <row r="96" spans="1:98" ht="13.5" customHeight="1">
      <c r="B96" s="430" t="s">
        <v>121</v>
      </c>
      <c r="C96" s="431"/>
      <c r="D96" s="431"/>
      <c r="E96" s="432">
        <f>+E95+E86</f>
        <v>2338.92</v>
      </c>
      <c r="F96" s="432">
        <f>+F95+F86</f>
        <v>2599.2799999999997</v>
      </c>
      <c r="G96" s="432">
        <f>+G95+G86</f>
        <v>1682.48</v>
      </c>
      <c r="H96" s="432">
        <f>+AC96</f>
        <v>1938.3186734935011</v>
      </c>
      <c r="I96" s="422">
        <f>+AG96</f>
        <v>3188.6938794801094</v>
      </c>
      <c r="J96" s="422">
        <f>AK96</f>
        <v>6358.170775896022</v>
      </c>
      <c r="K96" s="422">
        <f>AO96</f>
        <v>9637.6483339897622</v>
      </c>
      <c r="L96" s="422">
        <f>AS96</f>
        <v>8447.5206931862904</v>
      </c>
      <c r="M96" s="422">
        <f>AW96</f>
        <v>5669.0100039385588</v>
      </c>
      <c r="N96" s="422">
        <f>BA96</f>
        <v>9039.9338952343442</v>
      </c>
      <c r="O96" s="422">
        <f>BD96</f>
        <v>8917.3427963765243</v>
      </c>
      <c r="P96" s="6"/>
      <c r="Q96" s="433"/>
      <c r="R96" s="433"/>
      <c r="S96" s="433"/>
      <c r="T96" s="431"/>
      <c r="U96" s="430"/>
      <c r="V96" s="431"/>
      <c r="W96" s="431"/>
      <c r="X96" s="431"/>
      <c r="Y96" s="431"/>
      <c r="Z96" s="431"/>
      <c r="AA96" s="432"/>
      <c r="AB96" s="432">
        <f>+AB95+SUM(Y60:AA60)+AB60-AB93</f>
        <v>1845.0669554942888</v>
      </c>
      <c r="AC96" s="432">
        <f>+AB95+AC95+AB60-AB93+AC60-AC93+Z60+AA60</f>
        <v>1938.3186734935011</v>
      </c>
      <c r="AD96" s="432">
        <f>+AB95+AC95+AD95+AA60+AB60-AB93+AC60-AC93+AD60-AD93</f>
        <v>2149.708953131154</v>
      </c>
      <c r="AE96" s="432">
        <f t="shared" ref="AE96:BC96" si="274">+AC95+AD95+AE95+AB60+AC60-AC93+AD60-AD93+AE60-AE93+AB95-AB93</f>
        <v>2424.9182008664825</v>
      </c>
      <c r="AF96" s="432">
        <f t="shared" si="274"/>
        <v>2702.5704734147303</v>
      </c>
      <c r="AG96" s="432">
        <f t="shared" si="274"/>
        <v>3188.6938794801094</v>
      </c>
      <c r="AH96" s="432">
        <f t="shared" si="274"/>
        <v>3612.1301614808981</v>
      </c>
      <c r="AI96" s="432">
        <f t="shared" si="274"/>
        <v>5571.5997794407249</v>
      </c>
      <c r="AJ96" s="432">
        <f t="shared" si="274"/>
        <v>6033.4700275699097</v>
      </c>
      <c r="AK96" s="432">
        <f t="shared" si="274"/>
        <v>6358.170775896022</v>
      </c>
      <c r="AL96" s="432">
        <f t="shared" si="274"/>
        <v>6679.558251280032</v>
      </c>
      <c r="AM96" s="432">
        <f t="shared" si="274"/>
        <v>6582.148026782198</v>
      </c>
      <c r="AN96" s="432">
        <f t="shared" si="274"/>
        <v>8263.9653721937775</v>
      </c>
      <c r="AO96" s="432">
        <f t="shared" si="274"/>
        <v>9637.6483339897622</v>
      </c>
      <c r="AP96" s="432">
        <f t="shared" si="274"/>
        <v>10327.471760535645</v>
      </c>
      <c r="AQ96" s="432">
        <f t="shared" si="274"/>
        <v>10368.556345017723</v>
      </c>
      <c r="AR96" s="432">
        <f t="shared" si="274"/>
        <v>9744.3357227254819</v>
      </c>
      <c r="AS96" s="432">
        <f t="shared" si="274"/>
        <v>8447.5206931862904</v>
      </c>
      <c r="AT96" s="432">
        <f t="shared" si="274"/>
        <v>7618.5398030720744</v>
      </c>
      <c r="AU96" s="432">
        <f t="shared" si="274"/>
        <v>6337.6284836549821</v>
      </c>
      <c r="AV96" s="432">
        <f t="shared" si="274"/>
        <v>5521.9006853091769</v>
      </c>
      <c r="AW96" s="432">
        <f t="shared" si="274"/>
        <v>5669.0100039385588</v>
      </c>
      <c r="AX96" s="432">
        <f t="shared" si="274"/>
        <v>6429.7374714454509</v>
      </c>
      <c r="AY96" s="432">
        <f t="shared" si="274"/>
        <v>7309.7427648680568</v>
      </c>
      <c r="AZ96" s="432">
        <f t="shared" si="274"/>
        <v>8178.4829302875132</v>
      </c>
      <c r="BA96" s="432">
        <f>+AY95+AZ95+BA95+AX60+AY60-AY93+AZ60-AZ93+BA60-BA93+AX95-AX93</f>
        <v>9039.9338952343442</v>
      </c>
      <c r="BB96" s="432">
        <f>+AZ95+BA95+BB95+AY60+AZ60-AZ93+BA60-BA93+BB60-BB93+AY95-AY93</f>
        <v>9404.393918865695</v>
      </c>
      <c r="BC96" s="432">
        <f t="shared" si="274"/>
        <v>9161.8623395037412</v>
      </c>
      <c r="BD96" s="432">
        <f>+BB95+BC95+BD95+BA60+BB60-BB93+BC60-BC93+BD60-BD93+BA95-BA93</f>
        <v>8917.3427963765243</v>
      </c>
      <c r="BE96" s="187"/>
      <c r="BF96" s="239"/>
      <c r="BG96" s="193"/>
      <c r="BH96" s="193"/>
      <c r="BI96" s="193"/>
      <c r="BJ96" s="193"/>
      <c r="BK96" s="193"/>
      <c r="BM96" s="193"/>
      <c r="BN96" s="192"/>
      <c r="BO96" s="193"/>
      <c r="BP96" s="193"/>
      <c r="BQ96" s="192"/>
      <c r="BR96" s="192"/>
      <c r="BS96" s="192"/>
      <c r="BT96" s="193"/>
      <c r="BU96" s="193"/>
      <c r="BV96" s="192"/>
      <c r="BW96" s="192"/>
      <c r="BX96" s="192"/>
      <c r="BY96" s="192"/>
      <c r="BZ96" s="193"/>
      <c r="CA96" s="193"/>
      <c r="CB96" s="192"/>
      <c r="CC96" s="192"/>
      <c r="CD96" s="193"/>
      <c r="CE96" s="193"/>
      <c r="CF96" s="192"/>
      <c r="CG96" s="192"/>
      <c r="CH96" s="193"/>
      <c r="CI96" s="193"/>
      <c r="CJ96" s="192"/>
      <c r="CK96" s="192"/>
      <c r="CL96" s="193"/>
      <c r="CM96" s="193"/>
      <c r="CN96" s="192"/>
      <c r="CO96" s="192"/>
      <c r="CP96" s="192"/>
      <c r="CQ96" s="193"/>
      <c r="CR96" s="192"/>
      <c r="CS96" s="192"/>
      <c r="CT96" s="192"/>
    </row>
    <row r="97" spans="1:98" ht="13.5" customHeight="1">
      <c r="C97" s="6"/>
      <c r="D97" s="6"/>
      <c r="E97" s="6"/>
      <c r="F97" s="6"/>
      <c r="G97" s="6"/>
      <c r="H97" s="6"/>
      <c r="I97" s="6"/>
      <c r="J97" s="6"/>
      <c r="K97" s="6"/>
      <c r="L97" s="6"/>
      <c r="M97" s="6"/>
      <c r="N97" s="6"/>
      <c r="O97" s="6"/>
      <c r="P97" s="6"/>
      <c r="Q97" s="36"/>
      <c r="R97" s="36"/>
      <c r="S97" s="36"/>
      <c r="T97" s="6"/>
      <c r="V97" s="6"/>
      <c r="W97" s="6"/>
      <c r="X97" s="6"/>
      <c r="Y97" s="6"/>
      <c r="Z97" s="6"/>
      <c r="AA97" s="6"/>
      <c r="AB97" s="6"/>
      <c r="AC97" s="6"/>
      <c r="AD97" s="6"/>
      <c r="AE97" s="6"/>
      <c r="AF97" s="6"/>
      <c r="AG97" s="6"/>
      <c r="AH97" s="6"/>
      <c r="AI97" s="6"/>
      <c r="AJ97" s="6"/>
      <c r="AK97" s="6"/>
      <c r="AL97" s="6"/>
      <c r="AM97" s="6"/>
      <c r="AN97" s="6"/>
      <c r="AO97" s="6"/>
      <c r="AP97" s="6"/>
      <c r="AQ97" s="6"/>
      <c r="AR97" s="6"/>
      <c r="AS97" s="6"/>
      <c r="AT97" s="6"/>
      <c r="AU97" s="6"/>
      <c r="AV97" s="6"/>
      <c r="AW97" s="6"/>
      <c r="AX97" s="6"/>
      <c r="AY97" s="6"/>
      <c r="AZ97" s="6"/>
      <c r="BA97" s="6"/>
      <c r="BB97" s="6"/>
      <c r="BC97" s="6"/>
      <c r="BD97" s="6"/>
      <c r="BE97" s="6"/>
      <c r="BF97" s="239"/>
      <c r="BG97" s="193"/>
      <c r="BH97" s="193"/>
      <c r="BI97" s="193"/>
      <c r="BJ97" s="193"/>
      <c r="BK97" s="193"/>
      <c r="BM97" s="193"/>
      <c r="BN97" s="192"/>
      <c r="BO97" s="193"/>
      <c r="BP97" s="193"/>
      <c r="BQ97" s="192"/>
      <c r="BR97" s="192"/>
      <c r="BS97" s="192"/>
      <c r="BT97" s="193"/>
      <c r="BU97" s="193"/>
      <c r="BV97" s="192"/>
      <c r="BW97" s="192"/>
      <c r="BX97" s="192"/>
      <c r="BY97" s="192"/>
      <c r="BZ97" s="193"/>
      <c r="CA97" s="193"/>
      <c r="CB97" s="192"/>
      <c r="CC97" s="192"/>
      <c r="CD97" s="193"/>
      <c r="CE97" s="193"/>
      <c r="CF97" s="192"/>
      <c r="CG97" s="192"/>
      <c r="CH97" s="193"/>
      <c r="CI97" s="193"/>
      <c r="CJ97" s="192"/>
      <c r="CK97" s="192"/>
      <c r="CL97" s="193"/>
      <c r="CM97" s="193"/>
      <c r="CN97" s="192"/>
      <c r="CO97" s="192"/>
      <c r="CP97" s="192"/>
      <c r="CQ97" s="193"/>
      <c r="CR97" s="192"/>
      <c r="CS97" s="192"/>
      <c r="CT97" s="192"/>
    </row>
    <row r="98" spans="1:98" ht="13.5" customHeight="1">
      <c r="C98" s="6"/>
      <c r="D98" s="6"/>
      <c r="E98" s="6"/>
      <c r="F98" s="6"/>
      <c r="G98" s="6"/>
      <c r="H98" s="6"/>
      <c r="I98" s="6"/>
      <c r="J98" s="6"/>
      <c r="K98" s="6"/>
      <c r="L98" s="6"/>
      <c r="M98" s="6"/>
      <c r="N98" s="6"/>
      <c r="O98" s="6"/>
      <c r="P98" s="6"/>
      <c r="Q98" s="6"/>
      <c r="V98" s="6"/>
      <c r="W98" s="6"/>
      <c r="Y98" s="6"/>
      <c r="Z98" s="6"/>
      <c r="AA98" s="6"/>
      <c r="AB98" s="6"/>
      <c r="AC98" s="6"/>
      <c r="AD98" s="6"/>
      <c r="AE98" s="6"/>
      <c r="AF98" s="6"/>
      <c r="AG98" s="6"/>
      <c r="AH98" s="6"/>
      <c r="AI98" s="6"/>
      <c r="AJ98" s="6"/>
      <c r="AK98" s="6"/>
      <c r="AL98" s="6"/>
      <c r="AM98" s="6"/>
      <c r="AN98" s="6"/>
      <c r="AO98" s="6"/>
      <c r="AP98" s="6"/>
      <c r="AQ98" s="6"/>
      <c r="AR98" s="6"/>
      <c r="AS98" s="6"/>
      <c r="AT98" s="6"/>
      <c r="AU98" s="6"/>
      <c r="AV98" s="6"/>
      <c r="AW98" s="6"/>
      <c r="AX98" s="6"/>
      <c r="AY98" s="6"/>
      <c r="AZ98" s="6"/>
      <c r="BA98" s="6"/>
      <c r="BB98" s="6"/>
      <c r="BC98" s="6"/>
      <c r="BD98" s="6"/>
      <c r="BE98" s="6"/>
      <c r="BF98" s="249"/>
      <c r="BG98" s="6"/>
      <c r="BH98" s="6"/>
      <c r="BI98" s="6"/>
      <c r="BK98"/>
      <c r="BM98" s="6"/>
      <c r="BO98" s="6"/>
      <c r="BP98" s="6"/>
      <c r="BT98" s="6"/>
      <c r="BU98" s="6"/>
      <c r="BZ98" s="6"/>
      <c r="CA98" s="6"/>
      <c r="CD98" s="6"/>
      <c r="CE98" s="6"/>
      <c r="CH98" s="6"/>
      <c r="CI98" s="6"/>
      <c r="CL98" s="6"/>
      <c r="CM98" s="6"/>
      <c r="CQ98" s="6"/>
    </row>
    <row r="99" spans="1:98" ht="13.5" customHeight="1">
      <c r="A99" s="26"/>
      <c r="B99" s="16" t="s">
        <v>122</v>
      </c>
      <c r="C99" s="120">
        <v>41975</v>
      </c>
      <c r="D99" s="120">
        <v>42341</v>
      </c>
      <c r="E99" s="120">
        <v>42708</v>
      </c>
      <c r="F99" s="120">
        <v>43073</v>
      </c>
      <c r="G99" s="120">
        <f t="shared" ref="G99:O99" si="275">G3</f>
        <v>43073</v>
      </c>
      <c r="H99" s="120">
        <f t="shared" si="275"/>
        <v>43438</v>
      </c>
      <c r="I99" s="120">
        <f t="shared" si="275"/>
        <v>43803</v>
      </c>
      <c r="J99" s="120">
        <f t="shared" si="275"/>
        <v>44169</v>
      </c>
      <c r="K99" s="120">
        <f t="shared" si="275"/>
        <v>44534</v>
      </c>
      <c r="L99" s="120">
        <f t="shared" si="275"/>
        <v>44899</v>
      </c>
      <c r="M99" s="120">
        <f t="shared" si="275"/>
        <v>45264</v>
      </c>
      <c r="N99" s="120">
        <f t="shared" si="275"/>
        <v>45630</v>
      </c>
      <c r="O99" s="120">
        <f t="shared" si="275"/>
        <v>45909</v>
      </c>
      <c r="P99" s="396"/>
      <c r="Q99" s="120">
        <v>42437</v>
      </c>
      <c r="R99" s="120">
        <v>42527</v>
      </c>
      <c r="S99" s="120">
        <v>42622</v>
      </c>
      <c r="T99" s="120">
        <v>42714</v>
      </c>
      <c r="U99" s="202"/>
      <c r="V99" s="120">
        <v>42801</v>
      </c>
      <c r="W99" s="120">
        <v>42892</v>
      </c>
      <c r="X99" s="120">
        <v>42987</v>
      </c>
      <c r="Y99" s="120">
        <v>43079</v>
      </c>
      <c r="Z99" s="120">
        <v>43166</v>
      </c>
      <c r="AA99" s="120">
        <f t="shared" ref="AA99:BD99" si="276">AA3</f>
        <v>43281</v>
      </c>
      <c r="AB99" s="120">
        <f t="shared" si="276"/>
        <v>43352</v>
      </c>
      <c r="AC99" s="120">
        <f t="shared" si="276"/>
        <v>43444</v>
      </c>
      <c r="AD99" s="120">
        <f t="shared" si="276"/>
        <v>43555</v>
      </c>
      <c r="AE99" s="120">
        <f t="shared" si="276"/>
        <v>43646</v>
      </c>
      <c r="AF99" s="120">
        <f t="shared" si="276"/>
        <v>43717</v>
      </c>
      <c r="AG99" s="120">
        <f t="shared" si="276"/>
        <v>43808</v>
      </c>
      <c r="AH99" s="120">
        <f t="shared" si="276"/>
        <v>43921</v>
      </c>
      <c r="AI99" s="120">
        <f t="shared" si="276"/>
        <v>44012</v>
      </c>
      <c r="AJ99" s="120">
        <f t="shared" si="276"/>
        <v>44083</v>
      </c>
      <c r="AK99" s="120">
        <f t="shared" si="276"/>
        <v>44174</v>
      </c>
      <c r="AL99" s="120">
        <f t="shared" si="276"/>
        <v>44286</v>
      </c>
      <c r="AM99" s="120">
        <f t="shared" si="276"/>
        <v>44377</v>
      </c>
      <c r="AN99" s="120">
        <f t="shared" si="276"/>
        <v>44448</v>
      </c>
      <c r="AO99" s="120">
        <f t="shared" si="276"/>
        <v>44539</v>
      </c>
      <c r="AP99" s="120">
        <f t="shared" si="276"/>
        <v>44651</v>
      </c>
      <c r="AQ99" s="120">
        <f t="shared" si="276"/>
        <v>44742</v>
      </c>
      <c r="AR99" s="120">
        <f t="shared" si="276"/>
        <v>44813</v>
      </c>
      <c r="AS99" s="120">
        <f t="shared" si="276"/>
        <v>44904</v>
      </c>
      <c r="AT99" s="120">
        <f t="shared" si="276"/>
        <v>45016</v>
      </c>
      <c r="AU99" s="120">
        <f t="shared" si="276"/>
        <v>45107</v>
      </c>
      <c r="AV99" s="120">
        <f t="shared" si="276"/>
        <v>45178</v>
      </c>
      <c r="AW99" s="120">
        <f t="shared" si="276"/>
        <v>45269</v>
      </c>
      <c r="AX99" s="120">
        <f t="shared" si="276"/>
        <v>45382</v>
      </c>
      <c r="AY99" s="120">
        <f t="shared" si="276"/>
        <v>45473</v>
      </c>
      <c r="AZ99" s="120">
        <f t="shared" si="276"/>
        <v>45544</v>
      </c>
      <c r="BA99" s="120">
        <f t="shared" si="276"/>
        <v>45635</v>
      </c>
      <c r="BB99" s="120">
        <f t="shared" si="276"/>
        <v>45747</v>
      </c>
      <c r="BC99" s="120">
        <f t="shared" si="276"/>
        <v>45838</v>
      </c>
      <c r="BD99" s="120">
        <f t="shared" si="276"/>
        <v>45909</v>
      </c>
      <c r="BE99" s="395"/>
      <c r="BF99" s="250"/>
      <c r="BG99" s="120"/>
      <c r="BH99" s="120"/>
      <c r="BI99" s="120"/>
      <c r="BJ99" s="120"/>
      <c r="BK99" s="120"/>
      <c r="BL99" s="395"/>
      <c r="BM99" s="120">
        <f>BM3</f>
        <v>42892</v>
      </c>
      <c r="BN99" s="120"/>
      <c r="BO99" s="120">
        <f>BO3</f>
        <v>43257</v>
      </c>
      <c r="BP99" s="120">
        <f>BP3</f>
        <v>43350</v>
      </c>
      <c r="BQ99" s="120"/>
      <c r="BR99" s="120"/>
      <c r="BS99" s="120"/>
      <c r="BT99" s="120"/>
      <c r="BU99" s="120"/>
      <c r="BV99" s="120"/>
      <c r="BW99" s="120"/>
      <c r="BX99" s="120"/>
      <c r="BY99" s="120"/>
      <c r="BZ99" s="120"/>
      <c r="CA99" s="120"/>
      <c r="CB99" s="120"/>
      <c r="CC99" s="120"/>
      <c r="CD99" s="120"/>
      <c r="CE99" s="120"/>
      <c r="CF99" s="120"/>
      <c r="CG99" s="120"/>
      <c r="CH99" s="120"/>
      <c r="CI99" s="120"/>
      <c r="CJ99" s="120"/>
      <c r="CK99" s="120"/>
      <c r="CL99" s="120"/>
      <c r="CM99" s="120"/>
      <c r="CQ99" s="206"/>
    </row>
    <row r="100" spans="1:98" ht="13.5" customHeight="1">
      <c r="C100" s="118"/>
      <c r="D100" s="118"/>
      <c r="E100" s="118"/>
      <c r="F100" s="118"/>
      <c r="G100" s="118"/>
      <c r="H100" s="118"/>
      <c r="I100" s="118"/>
      <c r="J100" s="118"/>
      <c r="K100" s="118"/>
      <c r="L100" s="118"/>
      <c r="M100" s="118"/>
      <c r="N100" s="118"/>
      <c r="O100" s="118"/>
      <c r="P100" s="118"/>
      <c r="Q100" s="4"/>
      <c r="V100" s="4"/>
      <c r="W100" s="4"/>
      <c r="X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232"/>
      <c r="BG100" s="4"/>
      <c r="BH100" s="4"/>
      <c r="BI100" s="4"/>
      <c r="BJ100" s="4"/>
      <c r="BK100" s="4"/>
      <c r="BM100" s="4"/>
      <c r="BO100" s="4"/>
      <c r="BP100" s="4"/>
      <c r="BT100" s="4"/>
      <c r="BU100" s="4"/>
      <c r="BZ100" s="4"/>
      <c r="CA100" s="4"/>
      <c r="CD100" s="4"/>
      <c r="CE100" s="4"/>
      <c r="CH100" s="4"/>
      <c r="CI100" s="4"/>
      <c r="CL100" s="4"/>
      <c r="CM100" s="4"/>
      <c r="CQ100" s="206"/>
    </row>
    <row r="101" spans="1:98" s="5" customFormat="1" ht="13.5" customHeight="1">
      <c r="B101" s="7" t="s">
        <v>123</v>
      </c>
      <c r="C101" s="4">
        <v>4961.6229999999996</v>
      </c>
      <c r="D101" s="4">
        <v>4311.2629999999999</v>
      </c>
      <c r="E101" s="4">
        <v>4009.3969999999999</v>
      </c>
      <c r="F101" s="4">
        <v>4435.1940000000004</v>
      </c>
      <c r="G101" s="4">
        <v>4435.1940000000004</v>
      </c>
      <c r="H101" s="4">
        <v>5231.2160000000003</v>
      </c>
      <c r="I101" s="4">
        <v>6441.0550000000003</v>
      </c>
      <c r="J101" s="4">
        <v>8062.9189999999999</v>
      </c>
      <c r="K101" s="4">
        <f>9132.568+659.967</f>
        <v>9792.5349999999999</v>
      </c>
      <c r="L101" s="4">
        <f>46030.66+3216.533</f>
        <v>49247.193000000007</v>
      </c>
      <c r="M101" s="4">
        <f>40646.704+3631.19</f>
        <v>44277.894</v>
      </c>
      <c r="N101" s="4">
        <f>41246.113+4049.362</f>
        <v>45295.474999999999</v>
      </c>
      <c r="O101" s="6">
        <f t="shared" ref="O101:O106" si="277">BD101</f>
        <v>44526.908000000003</v>
      </c>
      <c r="P101" s="6"/>
      <c r="Q101" s="4">
        <v>4135.4790000000003</v>
      </c>
      <c r="R101" s="4">
        <v>3922.15</v>
      </c>
      <c r="S101" s="4">
        <v>3968.8429999999998</v>
      </c>
      <c r="T101" s="6">
        <f t="shared" ref="T101:T106" si="278">E101</f>
        <v>4009.3969999999999</v>
      </c>
      <c r="V101" s="4">
        <v>3988.5590000000002</v>
      </c>
      <c r="W101" s="4">
        <v>4117.8159999999998</v>
      </c>
      <c r="X101" s="4">
        <v>4225.18</v>
      </c>
      <c r="Y101" s="6">
        <f t="shared" ref="Y101:Y106" si="279">F101</f>
        <v>4435.1940000000004</v>
      </c>
      <c r="Z101" s="4">
        <v>3215.2460000000001</v>
      </c>
      <c r="AA101" s="4">
        <v>4928.4690000000001</v>
      </c>
      <c r="AB101" s="4">
        <v>5076.7179999999998</v>
      </c>
      <c r="AC101" s="6">
        <f t="shared" ref="AC101:AC106" si="280">H101</f>
        <v>5231.2160000000003</v>
      </c>
      <c r="AD101" s="4">
        <v>6018.0339999999997</v>
      </c>
      <c r="AE101" s="4">
        <v>6301.7470000000003</v>
      </c>
      <c r="AF101" s="4">
        <v>6491.9350000000004</v>
      </c>
      <c r="AG101" s="4">
        <f t="shared" ref="AG101:AG106" si="281">I101</f>
        <v>6441.0550000000003</v>
      </c>
      <c r="AH101" s="4">
        <v>7371.3239999999996</v>
      </c>
      <c r="AI101" s="4">
        <v>7810.4449999999997</v>
      </c>
      <c r="AJ101" s="4">
        <v>8159.2669999999998</v>
      </c>
      <c r="AK101" s="4">
        <f t="shared" ref="AK101:AK106" si="282">J101</f>
        <v>8062.9189999999999</v>
      </c>
      <c r="AL101" s="4">
        <v>8715.8130000000001</v>
      </c>
      <c r="AM101" s="4">
        <f>7706.851+631.908</f>
        <v>8338.759</v>
      </c>
      <c r="AN101" s="4">
        <f>8427.172+649.726</f>
        <v>9076.898000000001</v>
      </c>
      <c r="AO101" s="6">
        <f t="shared" ref="AO101:AO106" si="283">K101</f>
        <v>9792.5349999999999</v>
      </c>
      <c r="AP101" s="4">
        <f>8601.107+558.528</f>
        <v>9159.6350000000002</v>
      </c>
      <c r="AQ101" s="4">
        <f>46136.556+2937.887</f>
        <v>49074.442999999999</v>
      </c>
      <c r="AR101" s="4">
        <f>46254.546+3190.399</f>
        <v>49444.945</v>
      </c>
      <c r="AS101" s="6">
        <f t="shared" ref="AS101:AS106" si="284">L101</f>
        <v>49247.193000000007</v>
      </c>
      <c r="AT101" s="4">
        <f>45504.947+3320.634</f>
        <v>48825.580999999998</v>
      </c>
      <c r="AU101" s="4">
        <f>44596.72+3271.44</f>
        <v>47868.160000000003</v>
      </c>
      <c r="AV101" s="4">
        <f>41777.079+3543.084</f>
        <v>45320.163</v>
      </c>
      <c r="AW101" s="6">
        <f t="shared" ref="AW101:AW106" si="285">M101</f>
        <v>44277.894</v>
      </c>
      <c r="AX101" s="4">
        <f>40474.908+3869.528</f>
        <v>44344.436000000002</v>
      </c>
      <c r="AY101" s="4">
        <f>40907.203+3840.618</f>
        <v>44747.821000000004</v>
      </c>
      <c r="AZ101" s="4">
        <f>40367.729+3811.143</f>
        <v>44178.872000000003</v>
      </c>
      <c r="BA101" s="6">
        <f t="shared" ref="BA101:BA106" si="286">N101</f>
        <v>45295.474999999999</v>
      </c>
      <c r="BB101" s="4">
        <f>40427.521+4775.229</f>
        <v>45202.75</v>
      </c>
      <c r="BC101" s="4">
        <f>39665.642+4663.222</f>
        <v>44328.864000000001</v>
      </c>
      <c r="BD101" s="4">
        <f>39732.788+4794.12</f>
        <v>44526.908000000003</v>
      </c>
      <c r="BE101" s="4"/>
      <c r="BF101" s="243"/>
      <c r="BG101" s="195"/>
      <c r="BH101" s="195"/>
      <c r="BI101" s="195"/>
      <c r="BJ101" s="195"/>
      <c r="BK101" s="195"/>
      <c r="BM101" s="195"/>
      <c r="BN101" s="188"/>
      <c r="BO101" s="195"/>
      <c r="BP101" s="195"/>
      <c r="BQ101" s="188"/>
      <c r="BR101" s="188"/>
      <c r="BS101" s="188"/>
      <c r="BT101" s="195"/>
      <c r="BU101" s="195"/>
      <c r="BV101" s="188"/>
      <c r="BW101" s="188"/>
      <c r="BX101" s="188"/>
      <c r="BY101" s="188"/>
      <c r="BZ101" s="195"/>
      <c r="CA101" s="195"/>
      <c r="CB101" s="188"/>
      <c r="CC101" s="188"/>
      <c r="CD101" s="195"/>
      <c r="CE101" s="195"/>
      <c r="CF101" s="188"/>
      <c r="CG101" s="188"/>
      <c r="CH101" s="195"/>
      <c r="CI101" s="195"/>
      <c r="CJ101" s="188"/>
      <c r="CK101" s="188"/>
      <c r="CL101" s="195"/>
      <c r="CM101" s="195"/>
      <c r="CN101" s="1"/>
      <c r="CO101" s="1"/>
      <c r="CP101" s="1"/>
      <c r="CQ101" s="206"/>
      <c r="CR101" s="1"/>
      <c r="CS101" s="1"/>
      <c r="CT101" s="1"/>
    </row>
    <row r="102" spans="1:98" s="5" customFormat="1" ht="13.5" customHeight="1">
      <c r="B102" s="7" t="s">
        <v>124</v>
      </c>
      <c r="C102" s="4">
        <v>142.13999999999999</v>
      </c>
      <c r="D102" s="4">
        <v>59.804000000000002</v>
      </c>
      <c r="E102" s="4">
        <v>51.235999999999997</v>
      </c>
      <c r="F102" s="4">
        <v>54.758000000000003</v>
      </c>
      <c r="G102" s="4">
        <v>54.758000000000003</v>
      </c>
      <c r="H102" s="4">
        <v>0</v>
      </c>
      <c r="I102" s="4">
        <v>0</v>
      </c>
      <c r="J102" s="4">
        <v>0</v>
      </c>
      <c r="K102" s="4">
        <v>0</v>
      </c>
      <c r="L102" s="4">
        <v>1649.133</v>
      </c>
      <c r="M102" s="4">
        <v>1858.316</v>
      </c>
      <c r="N102" s="4">
        <v>1787.2370000000001</v>
      </c>
      <c r="O102" s="6">
        <f t="shared" si="277"/>
        <v>3524.5610000000001</v>
      </c>
      <c r="P102" s="6"/>
      <c r="Q102" s="4">
        <v>55.290999999999997</v>
      </c>
      <c r="R102" s="4">
        <v>50.911000000000001</v>
      </c>
      <c r="S102" s="4">
        <v>51.505000000000003</v>
      </c>
      <c r="T102" s="6">
        <f t="shared" si="278"/>
        <v>51.235999999999997</v>
      </c>
      <c r="V102" s="4">
        <v>49.765999999999998</v>
      </c>
      <c r="W102" s="4">
        <v>52.206000000000003</v>
      </c>
      <c r="X102" s="4">
        <v>51.234999999999999</v>
      </c>
      <c r="Y102" s="6">
        <f t="shared" si="279"/>
        <v>54.758000000000003</v>
      </c>
      <c r="Z102" s="4">
        <v>0</v>
      </c>
      <c r="AA102" s="4">
        <v>0</v>
      </c>
      <c r="AB102" s="4">
        <v>0</v>
      </c>
      <c r="AC102" s="6">
        <f t="shared" si="280"/>
        <v>0</v>
      </c>
      <c r="AD102" s="4">
        <v>0</v>
      </c>
      <c r="AE102" s="4">
        <v>0</v>
      </c>
      <c r="AF102" s="4">
        <v>0</v>
      </c>
      <c r="AG102" s="4">
        <f t="shared" si="281"/>
        <v>0</v>
      </c>
      <c r="AH102" s="4">
        <v>0</v>
      </c>
      <c r="AI102" s="4">
        <v>0</v>
      </c>
      <c r="AJ102" s="4">
        <v>0</v>
      </c>
      <c r="AK102" s="4">
        <f t="shared" si="282"/>
        <v>0</v>
      </c>
      <c r="AL102" s="4">
        <v>0</v>
      </c>
      <c r="AM102" s="4">
        <v>0</v>
      </c>
      <c r="AN102" s="4">
        <v>0</v>
      </c>
      <c r="AO102" s="6">
        <f t="shared" si="283"/>
        <v>0</v>
      </c>
      <c r="AP102" s="4">
        <v>0</v>
      </c>
      <c r="AQ102" s="4">
        <v>0</v>
      </c>
      <c r="AR102" s="4">
        <v>0</v>
      </c>
      <c r="AS102" s="6">
        <f t="shared" si="284"/>
        <v>1649.133</v>
      </c>
      <c r="AT102" s="4">
        <v>1665.537</v>
      </c>
      <c r="AU102" s="4">
        <v>0</v>
      </c>
      <c r="AV102" s="4">
        <v>1639.7550000000001</v>
      </c>
      <c r="AW102" s="6">
        <f t="shared" si="285"/>
        <v>1858.316</v>
      </c>
      <c r="AX102" s="4">
        <v>1860.79</v>
      </c>
      <c r="AY102" s="4">
        <v>1863.645</v>
      </c>
      <c r="AZ102" s="4">
        <v>1848.7729999999999</v>
      </c>
      <c r="BA102" s="6">
        <f t="shared" si="286"/>
        <v>1787.2370000000001</v>
      </c>
      <c r="BB102" s="4">
        <v>3385.9090000000001</v>
      </c>
      <c r="BC102" s="4">
        <v>3495.7539999999999</v>
      </c>
      <c r="BD102" s="4">
        <v>3524.5610000000001</v>
      </c>
      <c r="BE102" s="4"/>
      <c r="BF102" s="243"/>
      <c r="BG102" s="195"/>
      <c r="BH102" s="195"/>
      <c r="BI102" s="195"/>
      <c r="BJ102" s="195"/>
      <c r="BK102" s="195"/>
      <c r="BM102" s="195"/>
      <c r="BN102" s="188"/>
      <c r="BO102" s="195"/>
      <c r="BP102" s="195"/>
      <c r="BQ102" s="188"/>
      <c r="BR102" s="188"/>
      <c r="BS102" s="188"/>
      <c r="BT102" s="195"/>
      <c r="BU102" s="195"/>
      <c r="BV102" s="188"/>
      <c r="BW102" s="188"/>
      <c r="BX102" s="188"/>
      <c r="BY102" s="188"/>
      <c r="BZ102" s="195"/>
      <c r="CA102" s="195"/>
      <c r="CB102" s="188"/>
      <c r="CC102" s="188"/>
      <c r="CD102" s="195"/>
      <c r="CE102" s="195"/>
      <c r="CF102" s="188"/>
      <c r="CG102" s="188"/>
      <c r="CH102" s="195"/>
      <c r="CI102" s="195"/>
      <c r="CJ102" s="188"/>
      <c r="CK102" s="188"/>
      <c r="CL102" s="195"/>
      <c r="CM102" s="195"/>
      <c r="CN102" s="1"/>
      <c r="CO102" s="1"/>
      <c r="CP102" s="1"/>
      <c r="CQ102" s="206"/>
      <c r="CR102" s="1"/>
      <c r="CS102" s="1"/>
      <c r="CT102" s="1"/>
    </row>
    <row r="103" spans="1:98" s="5" customFormat="1" ht="13.5" customHeight="1">
      <c r="B103" s="7" t="s">
        <v>125</v>
      </c>
      <c r="C103" s="4">
        <v>352.2</v>
      </c>
      <c r="D103" s="4">
        <v>160.17400000000001</v>
      </c>
      <c r="E103" s="4">
        <v>112.45399999999999</v>
      </c>
      <c r="F103" s="4">
        <v>119.621</v>
      </c>
      <c r="G103" s="4">
        <v>119.621</v>
      </c>
      <c r="H103" s="4">
        <v>16.57</v>
      </c>
      <c r="I103" s="4">
        <v>29.138999999999999</v>
      </c>
      <c r="J103" s="4">
        <v>36.921999999999997</v>
      </c>
      <c r="K103" s="4">
        <v>64.162000000000006</v>
      </c>
      <c r="L103" s="4">
        <v>3200.6329999999998</v>
      </c>
      <c r="M103" s="4">
        <v>2756.6840000000002</v>
      </c>
      <c r="N103" s="4">
        <v>2926.4209999999998</v>
      </c>
      <c r="O103" s="6">
        <f t="shared" si="277"/>
        <v>3800.4630000000002</v>
      </c>
      <c r="P103" s="6"/>
      <c r="Q103" s="4">
        <v>147.16300000000001</v>
      </c>
      <c r="R103" s="4">
        <v>140.96100000000001</v>
      </c>
      <c r="S103" s="4">
        <v>123.943</v>
      </c>
      <c r="T103" s="6">
        <f t="shared" si="278"/>
        <v>112.45399999999999</v>
      </c>
      <c r="V103" s="4">
        <v>114.792</v>
      </c>
      <c r="W103" s="4">
        <v>118.315</v>
      </c>
      <c r="X103" s="4">
        <v>118.562</v>
      </c>
      <c r="Y103" s="6">
        <f t="shared" si="279"/>
        <v>119.621</v>
      </c>
      <c r="Z103" s="4">
        <v>4.4290000000000003</v>
      </c>
      <c r="AA103" s="4">
        <v>8.4719999999999995</v>
      </c>
      <c r="AB103" s="4">
        <v>14.619</v>
      </c>
      <c r="AC103" s="6">
        <f t="shared" si="280"/>
        <v>16.57</v>
      </c>
      <c r="AD103" s="4">
        <v>11.97</v>
      </c>
      <c r="AE103" s="4">
        <v>23.606000000000002</v>
      </c>
      <c r="AF103" s="4">
        <v>20.876999999999999</v>
      </c>
      <c r="AG103" s="4">
        <f t="shared" si="281"/>
        <v>29.138999999999999</v>
      </c>
      <c r="AH103" s="4">
        <v>41.420999999999999</v>
      </c>
      <c r="AI103" s="4">
        <v>53.597999999999999</v>
      </c>
      <c r="AJ103" s="4">
        <v>58.177999999999997</v>
      </c>
      <c r="AK103" s="4">
        <f t="shared" si="282"/>
        <v>36.921999999999997</v>
      </c>
      <c r="AL103" s="4">
        <v>26.905000000000001</v>
      </c>
      <c r="AM103" s="4">
        <v>26.847999999999999</v>
      </c>
      <c r="AN103" s="4">
        <v>24.648</v>
      </c>
      <c r="AO103" s="6">
        <f t="shared" si="283"/>
        <v>64.162000000000006</v>
      </c>
      <c r="AP103" s="4">
        <v>62.268999999999998</v>
      </c>
      <c r="AQ103" s="4">
        <v>632.24599999999998</v>
      </c>
      <c r="AR103" s="4">
        <v>3036.029</v>
      </c>
      <c r="AS103" s="6">
        <f t="shared" si="284"/>
        <v>3200.6329999999998</v>
      </c>
      <c r="AT103" s="4">
        <v>3104.21</v>
      </c>
      <c r="AU103" s="4">
        <v>3026.8760000000002</v>
      </c>
      <c r="AV103" s="4">
        <v>2740.819</v>
      </c>
      <c r="AW103" s="6">
        <f t="shared" si="285"/>
        <v>2756.6840000000002</v>
      </c>
      <c r="AX103" s="4">
        <v>2877.395</v>
      </c>
      <c r="AY103" s="4">
        <v>2809.8649999999998</v>
      </c>
      <c r="AZ103" s="4">
        <v>2752.9259999999999</v>
      </c>
      <c r="BA103" s="6">
        <f t="shared" si="286"/>
        <v>2926.4209999999998</v>
      </c>
      <c r="BB103" s="4">
        <v>3724.163</v>
      </c>
      <c r="BC103" s="4">
        <v>4047.7069999999999</v>
      </c>
      <c r="BD103" s="4">
        <v>3800.4630000000002</v>
      </c>
      <c r="BE103" s="4"/>
      <c r="BF103" s="243"/>
      <c r="BG103" s="195"/>
      <c r="BH103" s="195"/>
      <c r="BI103" s="195"/>
      <c r="BJ103" s="195"/>
      <c r="BK103" s="195"/>
      <c r="BM103" s="195"/>
      <c r="BN103" s="188"/>
      <c r="BO103" s="195"/>
      <c r="BP103" s="195"/>
      <c r="BQ103" s="188"/>
      <c r="BR103" s="188"/>
      <c r="BS103" s="188"/>
      <c r="BT103" s="195"/>
      <c r="BU103" s="195"/>
      <c r="BV103" s="188"/>
      <c r="BW103" s="188"/>
      <c r="BX103" s="188"/>
      <c r="BY103" s="188"/>
      <c r="BZ103" s="195"/>
      <c r="CA103" s="195"/>
      <c r="CB103" s="188"/>
      <c r="CC103" s="188"/>
      <c r="CD103" s="195"/>
      <c r="CE103" s="195"/>
      <c r="CF103" s="188"/>
      <c r="CG103" s="188"/>
      <c r="CH103" s="195"/>
      <c r="CI103" s="195"/>
      <c r="CJ103" s="188"/>
      <c r="CK103" s="188"/>
      <c r="CL103" s="195"/>
      <c r="CM103" s="195"/>
      <c r="CN103" s="1"/>
      <c r="CO103" s="1"/>
      <c r="CP103" s="1"/>
      <c r="CQ103" s="206"/>
      <c r="CR103" s="1"/>
      <c r="CS103" s="1"/>
      <c r="CT103" s="1"/>
    </row>
    <row r="104" spans="1:98" s="5" customFormat="1" ht="13.5" customHeight="1">
      <c r="B104" s="7" t="s">
        <v>126</v>
      </c>
      <c r="C104" s="4">
        <v>2027.9190000000001</v>
      </c>
      <c r="D104" s="4">
        <v>1496.9639999999999</v>
      </c>
      <c r="E104" s="4">
        <v>1257.616</v>
      </c>
      <c r="F104" s="4">
        <v>1759.8710000000001</v>
      </c>
      <c r="G104" s="4">
        <v>1759.8710000000001</v>
      </c>
      <c r="H104" s="4">
        <v>1822.28</v>
      </c>
      <c r="I104" s="4">
        <v>2383.4859999999999</v>
      </c>
      <c r="J104" s="4">
        <v>2851.16</v>
      </c>
      <c r="K104" s="4">
        <v>4351.2820000000002</v>
      </c>
      <c r="L104" s="4">
        <v>12852.084999999999</v>
      </c>
      <c r="M104" s="4">
        <v>10113.118</v>
      </c>
      <c r="N104" s="4">
        <v>11482.938</v>
      </c>
      <c r="O104" s="6">
        <f t="shared" si="277"/>
        <v>13476.487999999999</v>
      </c>
      <c r="P104" s="6"/>
      <c r="Q104" s="4">
        <v>1276.1199999999999</v>
      </c>
      <c r="R104" s="4">
        <v>1208.191</v>
      </c>
      <c r="S104" s="4">
        <v>1369.645</v>
      </c>
      <c r="T104" s="6">
        <f t="shared" si="278"/>
        <v>1257.616</v>
      </c>
      <c r="V104" s="4">
        <v>1211.7460000000001</v>
      </c>
      <c r="W104" s="4">
        <v>1334.944</v>
      </c>
      <c r="X104" s="4">
        <v>1561.6210000000001</v>
      </c>
      <c r="Y104" s="6">
        <f t="shared" si="279"/>
        <v>1759.8710000000001</v>
      </c>
      <c r="Z104" s="4">
        <v>1058.6600000000001</v>
      </c>
      <c r="AA104" s="4">
        <v>2299.5970000000002</v>
      </c>
      <c r="AB104" s="4">
        <v>2305.3000000000002</v>
      </c>
      <c r="AC104" s="6">
        <f t="shared" si="280"/>
        <v>1822.28</v>
      </c>
      <c r="AD104" s="4">
        <v>2301.9899999999998</v>
      </c>
      <c r="AE104" s="4">
        <v>2381.7860000000001</v>
      </c>
      <c r="AF104" s="4">
        <v>2548.3530000000001</v>
      </c>
      <c r="AG104" s="4">
        <f t="shared" si="281"/>
        <v>2383.4859999999999</v>
      </c>
      <c r="AH104" s="4">
        <v>2929.2869999999998</v>
      </c>
      <c r="AI104" s="4">
        <v>2921.2939999999999</v>
      </c>
      <c r="AJ104" s="4">
        <v>2969.585</v>
      </c>
      <c r="AK104" s="4">
        <f t="shared" si="282"/>
        <v>2851.16</v>
      </c>
      <c r="AL104" s="4">
        <v>3562.9679999999998</v>
      </c>
      <c r="AM104" s="4">
        <v>3810.7669999999998</v>
      </c>
      <c r="AN104" s="4">
        <v>4224.1059999999998</v>
      </c>
      <c r="AO104" s="6">
        <f t="shared" si="283"/>
        <v>4351.2820000000002</v>
      </c>
      <c r="AP104" s="4">
        <v>4037.1619999999998</v>
      </c>
      <c r="AQ104" s="4">
        <v>13924.7</v>
      </c>
      <c r="AR104" s="4">
        <v>14637.074000000001</v>
      </c>
      <c r="AS104" s="6">
        <f t="shared" si="284"/>
        <v>12852.084999999999</v>
      </c>
      <c r="AT104" s="4">
        <v>12701.239</v>
      </c>
      <c r="AU104" s="4">
        <v>11568.587</v>
      </c>
      <c r="AV104" s="4">
        <v>11655.14</v>
      </c>
      <c r="AW104" s="6">
        <f t="shared" si="285"/>
        <v>10113.118</v>
      </c>
      <c r="AX104" s="4">
        <v>9876.2720000000008</v>
      </c>
      <c r="AY104" s="4">
        <v>10686.368</v>
      </c>
      <c r="AZ104" s="4">
        <v>11720.333000000001</v>
      </c>
      <c r="BA104" s="6">
        <f t="shared" si="286"/>
        <v>11482.938</v>
      </c>
      <c r="BB104" s="4">
        <v>11062.645</v>
      </c>
      <c r="BC104" s="4">
        <v>11779.754000000001</v>
      </c>
      <c r="BD104" s="4">
        <v>13476.487999999999</v>
      </c>
      <c r="BE104" s="4"/>
      <c r="BF104" s="243"/>
      <c r="BG104" s="195"/>
      <c r="BH104" s="195"/>
      <c r="BI104" s="195"/>
      <c r="BJ104" s="195"/>
      <c r="BK104" s="195"/>
      <c r="BM104" s="195"/>
      <c r="BN104" s="188"/>
      <c r="BO104" s="195"/>
      <c r="BP104" s="195"/>
      <c r="BQ104" s="188"/>
      <c r="BR104" s="188"/>
      <c r="BS104" s="188"/>
      <c r="BT104" s="195"/>
      <c r="BU104" s="195"/>
      <c r="BV104" s="188"/>
      <c r="BW104" s="188"/>
      <c r="BX104" s="188"/>
      <c r="BY104" s="188"/>
      <c r="BZ104" s="195"/>
      <c r="CA104" s="195"/>
      <c r="CB104" s="188"/>
      <c r="CC104" s="188"/>
      <c r="CD104" s="195"/>
      <c r="CE104" s="195"/>
      <c r="CF104" s="188"/>
      <c r="CG104" s="188"/>
      <c r="CH104" s="195"/>
      <c r="CI104" s="195"/>
      <c r="CJ104" s="188"/>
      <c r="CK104" s="188"/>
      <c r="CL104" s="195"/>
      <c r="CM104" s="195"/>
      <c r="CN104" s="1"/>
      <c r="CO104" s="1"/>
      <c r="CP104" s="1"/>
      <c r="CQ104" s="206"/>
      <c r="CR104" s="1"/>
      <c r="CS104" s="1"/>
      <c r="CT104" s="1"/>
    </row>
    <row r="105" spans="1:98" s="5" customFormat="1" ht="13.5" customHeight="1">
      <c r="B105" s="7" t="s">
        <v>127</v>
      </c>
      <c r="C105" s="4">
        <f>941.277+677.483</f>
        <v>1618.76</v>
      </c>
      <c r="D105" s="4">
        <f>528.01+475.707</f>
        <v>1003.717</v>
      </c>
      <c r="E105" s="4">
        <f>396.887+393.581</f>
        <v>790.46800000000007</v>
      </c>
      <c r="F105" s="4">
        <f>600.556+324.442</f>
        <v>924.99800000000005</v>
      </c>
      <c r="G105" s="4">
        <f>600.556+324.442</f>
        <v>924.99800000000005</v>
      </c>
      <c r="H105" s="4">
        <f>1068.553+175.287</f>
        <v>1243.8400000000001</v>
      </c>
      <c r="I105" s="4">
        <f>1442.725+577.791</f>
        <v>2020.5160000000001</v>
      </c>
      <c r="J105" s="4">
        <f>2026.341+486.691</f>
        <v>2513.0319999999997</v>
      </c>
      <c r="K105" s="4">
        <v>3841.3739999999998</v>
      </c>
      <c r="L105" s="4">
        <v>6727.1279999999997</v>
      </c>
      <c r="M105" s="4">
        <v>7213.6459999999997</v>
      </c>
      <c r="N105" s="4">
        <v>9175.8140000000003</v>
      </c>
      <c r="O105" s="6">
        <f t="shared" si="277"/>
        <v>6788.8389999999999</v>
      </c>
      <c r="P105" s="6"/>
      <c r="Q105" s="4">
        <f>527.982+374.763</f>
        <v>902.74499999999989</v>
      </c>
      <c r="R105" s="4">
        <f>491.739+487.733</f>
        <v>979.47199999999998</v>
      </c>
      <c r="S105" s="4">
        <f>560.387+429.846</f>
        <v>990.23299999999995</v>
      </c>
      <c r="T105" s="6">
        <f t="shared" si="278"/>
        <v>790.46800000000007</v>
      </c>
      <c r="V105" s="4">
        <f>239.43+148.7</f>
        <v>388.13</v>
      </c>
      <c r="W105" s="4">
        <f>423.944+228.676</f>
        <v>652.62</v>
      </c>
      <c r="X105" s="4">
        <f>401.973+222.668</f>
        <v>624.64100000000008</v>
      </c>
      <c r="Y105" s="6">
        <f t="shared" si="279"/>
        <v>924.99800000000005</v>
      </c>
      <c r="Z105" s="4">
        <f>273.35+234.169</f>
        <v>507.51900000000001</v>
      </c>
      <c r="AA105" s="4">
        <f>1260.198+246.814</f>
        <v>1507.0120000000002</v>
      </c>
      <c r="AB105" s="4">
        <f>1128.839+310.833</f>
        <v>1439.672</v>
      </c>
      <c r="AC105" s="6">
        <f t="shared" si="280"/>
        <v>1243.8400000000001</v>
      </c>
      <c r="AD105" s="4">
        <f>1195.084+271.675</f>
        <v>1466.759</v>
      </c>
      <c r="AE105" s="4">
        <f>1360.545+316.615</f>
        <v>1677.16</v>
      </c>
      <c r="AF105" s="4">
        <f>1417.439+252.621</f>
        <v>1670.0600000000002</v>
      </c>
      <c r="AG105" s="4">
        <f t="shared" si="281"/>
        <v>2020.5160000000001</v>
      </c>
      <c r="AH105" s="4">
        <f>1961.406+491.843</f>
        <v>2453.2489999999998</v>
      </c>
      <c r="AI105" s="4">
        <f>2200.917+645.511</f>
        <v>2846.4279999999999</v>
      </c>
      <c r="AJ105" s="4">
        <f>1955.119+550.151</f>
        <v>2505.27</v>
      </c>
      <c r="AK105" s="4">
        <f t="shared" si="282"/>
        <v>2513.0319999999997</v>
      </c>
      <c r="AL105" s="4">
        <f>2150.833+573.601</f>
        <v>2724.4340000000002</v>
      </c>
      <c r="AM105" s="4">
        <f>2490.811+718.627</f>
        <v>3209.4380000000001</v>
      </c>
      <c r="AN105" s="4">
        <f>2745.751+461.322</f>
        <v>3207.0730000000003</v>
      </c>
      <c r="AO105" s="6">
        <f t="shared" si="283"/>
        <v>3841.3739999999998</v>
      </c>
      <c r="AP105" s="4">
        <f>2087.148+435.391</f>
        <v>2522.5390000000002</v>
      </c>
      <c r="AQ105" s="4">
        <f>3271.442+3258.016</f>
        <v>6529.4580000000005</v>
      </c>
      <c r="AR105" s="4">
        <f>3434.794+4010.593</f>
        <v>7445.3869999999997</v>
      </c>
      <c r="AS105" s="6">
        <f t="shared" si="284"/>
        <v>6727.1279999999997</v>
      </c>
      <c r="AT105" s="4">
        <v>6098.7309999999998</v>
      </c>
      <c r="AU105" s="4">
        <f>5766.42</f>
        <v>5766.42</v>
      </c>
      <c r="AV105" s="4">
        <v>6585.84</v>
      </c>
      <c r="AW105" s="6">
        <f t="shared" si="285"/>
        <v>7213.6459999999997</v>
      </c>
      <c r="AX105" s="4">
        <v>6736.72</v>
      </c>
      <c r="AY105" s="4">
        <v>8814.3089999999993</v>
      </c>
      <c r="AZ105" s="4">
        <v>7911.7439999999997</v>
      </c>
      <c r="BA105" s="6">
        <f t="shared" si="286"/>
        <v>9175.8140000000003</v>
      </c>
      <c r="BB105" s="4">
        <v>7919.1329999999998</v>
      </c>
      <c r="BC105" s="4">
        <v>6978.5730000000003</v>
      </c>
      <c r="BD105" s="4">
        <v>6788.8389999999999</v>
      </c>
      <c r="BE105" s="4"/>
      <c r="BF105" s="243"/>
      <c r="BG105" s="195"/>
      <c r="BH105" s="195"/>
      <c r="BI105" s="195"/>
      <c r="BJ105" s="195"/>
      <c r="BK105" s="195"/>
      <c r="BM105" s="195"/>
      <c r="BN105" s="188"/>
      <c r="BO105" s="195"/>
      <c r="BP105" s="195"/>
      <c r="BQ105" s="188"/>
      <c r="BR105" s="188"/>
      <c r="BS105" s="188"/>
      <c r="BT105" s="195"/>
      <c r="BU105" s="195"/>
      <c r="BV105" s="188"/>
      <c r="BW105" s="188"/>
      <c r="BX105" s="188"/>
      <c r="BY105" s="188"/>
      <c r="BZ105" s="195"/>
      <c r="CA105" s="195"/>
      <c r="CB105" s="188"/>
      <c r="CC105" s="188"/>
      <c r="CD105" s="195"/>
      <c r="CE105" s="195"/>
      <c r="CF105" s="188"/>
      <c r="CG105" s="188"/>
      <c r="CH105" s="195"/>
      <c r="CI105" s="195"/>
      <c r="CJ105" s="188"/>
      <c r="CK105" s="188"/>
      <c r="CL105" s="195"/>
      <c r="CM105" s="195"/>
      <c r="CN105" s="1"/>
      <c r="CO105" s="1"/>
      <c r="CP105" s="1"/>
      <c r="CQ105" s="206"/>
      <c r="CR105" s="1"/>
      <c r="CS105" s="1"/>
      <c r="CT105" s="1"/>
    </row>
    <row r="106" spans="1:98" s="5" customFormat="1" ht="13.5" customHeight="1">
      <c r="B106" s="7" t="s">
        <v>128</v>
      </c>
      <c r="C106" s="4">
        <v>2028.3030000000001</v>
      </c>
      <c r="D106" s="4">
        <v>1734.425</v>
      </c>
      <c r="E106" s="4">
        <v>1853.4259999999999</v>
      </c>
      <c r="F106" s="4">
        <v>2159.0309999999999</v>
      </c>
      <c r="G106" s="4">
        <v>2159.0309999999999</v>
      </c>
      <c r="H106" s="4">
        <v>2148.9830000000002</v>
      </c>
      <c r="I106" s="4">
        <v>2670.3220000000001</v>
      </c>
      <c r="J106" s="4">
        <v>2764.643</v>
      </c>
      <c r="K106" s="4">
        <v>3826.7139999999999</v>
      </c>
      <c r="L106" s="4">
        <v>18824.682000000001</v>
      </c>
      <c r="M106" s="4">
        <v>16706.98</v>
      </c>
      <c r="N106" s="4">
        <v>20261.845000000001</v>
      </c>
      <c r="O106" s="6">
        <f t="shared" si="277"/>
        <v>23146.184000000001</v>
      </c>
      <c r="P106" s="6"/>
      <c r="Q106" s="4">
        <v>1560.8589999999999</v>
      </c>
      <c r="R106" s="4">
        <v>1595.694</v>
      </c>
      <c r="S106" s="4">
        <v>1744.4459999999999</v>
      </c>
      <c r="T106" s="6">
        <f t="shared" si="278"/>
        <v>1853.4259999999999</v>
      </c>
      <c r="V106" s="4">
        <v>1521.47</v>
      </c>
      <c r="W106" s="4">
        <v>1784.971</v>
      </c>
      <c r="X106" s="4">
        <v>1795.201</v>
      </c>
      <c r="Y106" s="6">
        <f t="shared" si="279"/>
        <v>2159.0309999999999</v>
      </c>
      <c r="Z106" s="4">
        <v>1058.278</v>
      </c>
      <c r="AA106" s="4">
        <v>1650.9749999999999</v>
      </c>
      <c r="AB106" s="4">
        <v>1676.8610000000001</v>
      </c>
      <c r="AC106" s="6">
        <f t="shared" si="280"/>
        <v>2148.9830000000002</v>
      </c>
      <c r="AD106" s="4">
        <v>2164.127</v>
      </c>
      <c r="AE106" s="4">
        <v>2342.0390000000002</v>
      </c>
      <c r="AF106" s="4">
        <v>2254.027</v>
      </c>
      <c r="AG106" s="4">
        <f t="shared" si="281"/>
        <v>2670.3220000000001</v>
      </c>
      <c r="AH106" s="4">
        <v>2688.5610000000001</v>
      </c>
      <c r="AI106" s="4">
        <v>2513.509</v>
      </c>
      <c r="AJ106" s="4">
        <v>2516.473</v>
      </c>
      <c r="AK106" s="4">
        <f t="shared" si="282"/>
        <v>2764.643</v>
      </c>
      <c r="AL106" s="4">
        <v>2548.0540000000001</v>
      </c>
      <c r="AM106" s="4">
        <v>2784.7089999999998</v>
      </c>
      <c r="AN106" s="4">
        <v>3097.9780000000001</v>
      </c>
      <c r="AO106" s="6">
        <f t="shared" si="283"/>
        <v>3826.7139999999999</v>
      </c>
      <c r="AP106" s="4">
        <v>3924.174</v>
      </c>
      <c r="AQ106" s="4">
        <v>17406.201000000001</v>
      </c>
      <c r="AR106" s="4">
        <v>19085.552</v>
      </c>
      <c r="AS106" s="6">
        <f t="shared" si="284"/>
        <v>18824.682000000001</v>
      </c>
      <c r="AT106" s="4">
        <v>17470.95</v>
      </c>
      <c r="AU106" s="4">
        <v>16863.691999999999</v>
      </c>
      <c r="AV106" s="4">
        <v>17747.965</v>
      </c>
      <c r="AW106" s="6">
        <f t="shared" si="285"/>
        <v>16706.98</v>
      </c>
      <c r="AX106" s="4">
        <v>16165.208000000001</v>
      </c>
      <c r="AY106" s="4">
        <v>18255.580999999998</v>
      </c>
      <c r="AZ106" s="4">
        <v>18072.047999999999</v>
      </c>
      <c r="BA106" s="6">
        <f t="shared" si="286"/>
        <v>20261.845000000001</v>
      </c>
      <c r="BB106" s="4">
        <v>20897.879000000001</v>
      </c>
      <c r="BC106" s="4">
        <v>21678.337</v>
      </c>
      <c r="BD106" s="4">
        <v>23146.184000000001</v>
      </c>
      <c r="BE106" s="4"/>
      <c r="BF106" s="243"/>
      <c r="BG106" s="195"/>
      <c r="BH106" s="195"/>
      <c r="BI106" s="195"/>
      <c r="BJ106" s="195"/>
      <c r="BK106" s="195"/>
      <c r="BM106" s="195"/>
      <c r="BN106" s="188"/>
      <c r="BO106" s="195"/>
      <c r="BP106" s="195"/>
      <c r="BQ106" s="188"/>
      <c r="BR106" s="188"/>
      <c r="BS106" s="188"/>
      <c r="BT106" s="195"/>
      <c r="BU106" s="195"/>
      <c r="BV106" s="188"/>
      <c r="BW106" s="188"/>
      <c r="BX106" s="188"/>
      <c r="BY106" s="188"/>
      <c r="BZ106" s="195"/>
      <c r="CA106" s="195"/>
      <c r="CB106" s="188"/>
      <c r="CC106" s="188"/>
      <c r="CD106" s="195"/>
      <c r="CE106" s="195"/>
      <c r="CF106" s="188"/>
      <c r="CG106" s="188"/>
      <c r="CH106" s="195"/>
      <c r="CI106" s="195"/>
      <c r="CJ106" s="188"/>
      <c r="CK106" s="188"/>
      <c r="CL106" s="195"/>
      <c r="CM106" s="195"/>
      <c r="CN106" s="1"/>
      <c r="CO106" s="1"/>
      <c r="CP106" s="1"/>
      <c r="CQ106" s="206"/>
      <c r="CR106" s="1"/>
      <c r="CS106" s="1"/>
      <c r="CT106" s="1"/>
    </row>
    <row r="107" spans="1:98" s="5" customFormat="1" ht="13.5" customHeight="1">
      <c r="B107" s="5" t="s">
        <v>129</v>
      </c>
      <c r="C107" s="8">
        <f t="shared" ref="C107:H107" si="287">C104+C105-C106</f>
        <v>1618.376</v>
      </c>
      <c r="D107" s="8">
        <f t="shared" si="287"/>
        <v>766.25600000000009</v>
      </c>
      <c r="E107" s="8">
        <f t="shared" si="287"/>
        <v>194.6579999999999</v>
      </c>
      <c r="F107" s="8">
        <f t="shared" si="287"/>
        <v>525.83800000000019</v>
      </c>
      <c r="G107" s="8">
        <f t="shared" si="287"/>
        <v>525.83800000000019</v>
      </c>
      <c r="H107" s="8">
        <f t="shared" si="287"/>
        <v>917.13699999999972</v>
      </c>
      <c r="I107" s="8">
        <f t="shared" ref="I107:O107" si="288">I104+I105-I106</f>
        <v>1733.6800000000003</v>
      </c>
      <c r="J107" s="8">
        <f t="shared" si="288"/>
        <v>2599.5489999999991</v>
      </c>
      <c r="K107" s="8">
        <f t="shared" si="288"/>
        <v>4365.9419999999991</v>
      </c>
      <c r="L107" s="8">
        <f t="shared" si="288"/>
        <v>754.53099999999904</v>
      </c>
      <c r="M107" s="8">
        <f t="shared" si="288"/>
        <v>619.78399999999965</v>
      </c>
      <c r="N107" s="8">
        <f>N104+N105-N106</f>
        <v>396.90699999999924</v>
      </c>
      <c r="O107" s="8">
        <f t="shared" si="288"/>
        <v>-2880.8570000000036</v>
      </c>
      <c r="P107" s="8"/>
      <c r="Q107" s="8">
        <f t="shared" ref="Q107:AA107" si="289">Q104+Q105-Q106</f>
        <v>618.00599999999986</v>
      </c>
      <c r="R107" s="8">
        <f t="shared" si="289"/>
        <v>591.96900000000005</v>
      </c>
      <c r="S107" s="8">
        <f t="shared" si="289"/>
        <v>615.43199999999979</v>
      </c>
      <c r="T107" s="8">
        <f t="shared" si="289"/>
        <v>194.6579999999999</v>
      </c>
      <c r="V107" s="8">
        <f t="shared" si="289"/>
        <v>78.406000000000176</v>
      </c>
      <c r="W107" s="8">
        <f t="shared" si="289"/>
        <v>202.59299999999985</v>
      </c>
      <c r="X107" s="8">
        <f t="shared" si="289"/>
        <v>391.06100000000015</v>
      </c>
      <c r="Y107" s="8">
        <f>Y104+Y105-Y106</f>
        <v>525.83800000000019</v>
      </c>
      <c r="Z107" s="8">
        <f t="shared" si="289"/>
        <v>507.90100000000007</v>
      </c>
      <c r="AA107" s="8">
        <f t="shared" si="289"/>
        <v>2155.6340000000005</v>
      </c>
      <c r="AB107" s="8">
        <f t="shared" ref="AB107:AG107" si="290">AB104+AB105-AB106</f>
        <v>2068.1109999999999</v>
      </c>
      <c r="AC107" s="8">
        <f t="shared" si="290"/>
        <v>917.13699999999972</v>
      </c>
      <c r="AD107" s="8">
        <f t="shared" si="290"/>
        <v>1604.6219999999998</v>
      </c>
      <c r="AE107" s="8">
        <f t="shared" si="290"/>
        <v>1716.9069999999997</v>
      </c>
      <c r="AF107" s="8">
        <f t="shared" si="290"/>
        <v>1964.3860000000004</v>
      </c>
      <c r="AG107" s="8">
        <f t="shared" si="290"/>
        <v>1733.6800000000003</v>
      </c>
      <c r="AH107" s="8">
        <f t="shared" ref="AH107:AM107" si="291">AH104+AH105-AH106</f>
        <v>2693.9749999999999</v>
      </c>
      <c r="AI107" s="8">
        <f t="shared" si="291"/>
        <v>3254.2129999999997</v>
      </c>
      <c r="AJ107" s="8">
        <f t="shared" si="291"/>
        <v>2958.3819999999996</v>
      </c>
      <c r="AK107" s="8">
        <f t="shared" si="291"/>
        <v>2599.5489999999991</v>
      </c>
      <c r="AL107" s="8">
        <f t="shared" si="291"/>
        <v>3739.348</v>
      </c>
      <c r="AM107" s="8">
        <f t="shared" si="291"/>
        <v>4235.4960000000001</v>
      </c>
      <c r="AN107" s="8">
        <f t="shared" ref="AN107:AS107" si="292">AN104+AN105-AN106</f>
        <v>4333.201</v>
      </c>
      <c r="AO107" s="8">
        <f t="shared" si="292"/>
        <v>4365.9419999999991</v>
      </c>
      <c r="AP107" s="8">
        <f t="shared" si="292"/>
        <v>2635.527</v>
      </c>
      <c r="AQ107" s="8">
        <f t="shared" si="292"/>
        <v>3047.9570000000022</v>
      </c>
      <c r="AR107" s="8">
        <f t="shared" si="292"/>
        <v>2996.9089999999997</v>
      </c>
      <c r="AS107" s="8">
        <f t="shared" si="292"/>
        <v>754.53099999999904</v>
      </c>
      <c r="AT107" s="8">
        <f t="shared" ref="AT107:AZ107" si="293">AT104+AT105-AT106</f>
        <v>1329.0200000000004</v>
      </c>
      <c r="AU107" s="8">
        <f t="shared" si="293"/>
        <v>471.31499999999869</v>
      </c>
      <c r="AV107" s="8">
        <f t="shared" si="293"/>
        <v>493.01499999999942</v>
      </c>
      <c r="AW107" s="8">
        <f t="shared" si="293"/>
        <v>619.78399999999965</v>
      </c>
      <c r="AX107" s="8">
        <f t="shared" si="293"/>
        <v>447.78400000000147</v>
      </c>
      <c r="AY107" s="8">
        <f t="shared" si="293"/>
        <v>1245.0960000000014</v>
      </c>
      <c r="AZ107" s="8">
        <f t="shared" si="293"/>
        <v>1560.0290000000023</v>
      </c>
      <c r="BA107" s="8">
        <f>BA104+BA105-BA106</f>
        <v>396.90699999999924</v>
      </c>
      <c r="BB107" s="8">
        <f>BB104+BB105-BB106</f>
        <v>-1916.1010000000024</v>
      </c>
      <c r="BC107" s="8">
        <f>BC104+BC105-BC106</f>
        <v>-2920.0099999999984</v>
      </c>
      <c r="BD107" s="8">
        <f>BD104+BD105-BD106</f>
        <v>-2880.8570000000036</v>
      </c>
      <c r="BE107" s="8"/>
      <c r="BF107" s="244"/>
      <c r="BG107" s="8"/>
      <c r="BH107" s="8"/>
      <c r="BI107" s="8"/>
      <c r="BJ107" s="411"/>
      <c r="BK107" s="411"/>
      <c r="BM107" s="8"/>
      <c r="BO107" s="8"/>
      <c r="BP107" s="8"/>
      <c r="BT107" s="8"/>
      <c r="BU107" s="8"/>
      <c r="BZ107" s="8"/>
      <c r="CA107" s="8"/>
      <c r="CD107" s="8"/>
      <c r="CE107" s="8"/>
      <c r="CH107" s="8"/>
      <c r="CI107" s="8"/>
      <c r="CL107" s="8"/>
      <c r="CM107" s="8"/>
      <c r="CQ107" s="206"/>
    </row>
    <row r="108" spans="1:98" s="46" customFormat="1" ht="13.5" customHeight="1">
      <c r="B108" s="22" t="s">
        <v>130</v>
      </c>
      <c r="C108" s="38">
        <f t="shared" ref="C108:H108" si="294">C107/C83</f>
        <v>0.10641079304437615</v>
      </c>
      <c r="D108" s="38">
        <f t="shared" si="294"/>
        <v>3.9195959438471706E-2</v>
      </c>
      <c r="E108" s="38">
        <f t="shared" si="294"/>
        <v>1.033855531518524E-2</v>
      </c>
      <c r="F108" s="38">
        <f t="shared" si="294"/>
        <v>2.8304531955838014E-2</v>
      </c>
      <c r="G108" s="38">
        <f t="shared" si="294"/>
        <v>5.1920792251268222E-2</v>
      </c>
      <c r="H108" s="38">
        <f t="shared" si="294"/>
        <v>3.0864262759204245E-2</v>
      </c>
      <c r="I108" s="38">
        <f t="shared" ref="I108:O108" si="295">I107/I83</f>
        <v>3.5554602518152963E-2</v>
      </c>
      <c r="J108" s="38">
        <f t="shared" si="295"/>
        <v>3.8522376759318369E-2</v>
      </c>
      <c r="K108" s="38">
        <f t="shared" si="295"/>
        <v>5.1130347015945987E-2</v>
      </c>
      <c r="L108" s="38">
        <f t="shared" si="295"/>
        <v>6.0183681504292451E-3</v>
      </c>
      <c r="M108" s="38">
        <f t="shared" si="295"/>
        <v>4.6875913500740145E-3</v>
      </c>
      <c r="N108" s="38">
        <f>N107/N83</f>
        <v>2.6662934503868087E-3</v>
      </c>
      <c r="O108" s="38">
        <f t="shared" si="295"/>
        <v>-1.7781657881622566E-2</v>
      </c>
      <c r="P108" s="397"/>
      <c r="Q108" s="38"/>
      <c r="R108" s="38"/>
      <c r="S108" s="38"/>
      <c r="T108" s="38">
        <f t="shared" ref="T108:AA108" si="296">T107/T83</f>
        <v>1.033855531518524E-2</v>
      </c>
      <c r="U108" s="21"/>
      <c r="V108" s="38">
        <f t="shared" si="296"/>
        <v>3.9000918689854548E-3</v>
      </c>
      <c r="W108" s="38">
        <f t="shared" si="296"/>
        <v>1.0262593691194465E-2</v>
      </c>
      <c r="X108" s="38">
        <f t="shared" si="296"/>
        <v>1.9335678304500808E-2</v>
      </c>
      <c r="Y108" s="119">
        <f t="shared" si="296"/>
        <v>2.8304531955838014E-2</v>
      </c>
      <c r="Z108" s="38">
        <f t="shared" si="296"/>
        <v>2.6073706871945754E-2</v>
      </c>
      <c r="AA108" s="38">
        <f t="shared" si="296"/>
        <v>9.6172003297350317E-2</v>
      </c>
      <c r="AB108" s="38">
        <f t="shared" ref="AB108:AG108" si="297">AB107/AB83</f>
        <v>6.7111101332713405E-2</v>
      </c>
      <c r="AC108" s="38">
        <f t="shared" si="297"/>
        <v>3.0864262759204245E-2</v>
      </c>
      <c r="AD108" s="38">
        <f t="shared" si="297"/>
        <v>4.3685323514298061E-2</v>
      </c>
      <c r="AE108" s="38">
        <f t="shared" si="297"/>
        <v>3.9618947079026634E-2</v>
      </c>
      <c r="AF108" s="38">
        <f t="shared" si="297"/>
        <v>4.3661788539098925E-2</v>
      </c>
      <c r="AG108" s="38">
        <f t="shared" si="297"/>
        <v>3.555460251815297E-2</v>
      </c>
      <c r="AH108" s="38">
        <f t="shared" ref="AH108:AM108" si="298">AH107/AH83</f>
        <v>5.1625548183995083E-2</v>
      </c>
      <c r="AI108" s="38">
        <f t="shared" si="298"/>
        <v>5.4835957948527303E-2</v>
      </c>
      <c r="AJ108" s="38">
        <f t="shared" si="298"/>
        <v>4.6637694073593736E-2</v>
      </c>
      <c r="AK108" s="38">
        <f t="shared" si="298"/>
        <v>3.8522376759318369E-2</v>
      </c>
      <c r="AL108" s="38">
        <f t="shared" si="298"/>
        <v>5.2507318289947348E-2</v>
      </c>
      <c r="AM108" s="38">
        <f t="shared" si="298"/>
        <v>5.8093094398562674E-2</v>
      </c>
      <c r="AN108" s="38">
        <f t="shared" ref="AN108:AS108" si="299">AN107/AN83</f>
        <v>5.435974405212432E-2</v>
      </c>
      <c r="AO108" s="38">
        <f t="shared" si="299"/>
        <v>5.1130347015945987E-2</v>
      </c>
      <c r="AP108" s="38">
        <f t="shared" si="299"/>
        <v>2.9123951882751659E-2</v>
      </c>
      <c r="AQ108" s="38">
        <f t="shared" si="299"/>
        <v>2.9193473423435635E-2</v>
      </c>
      <c r="AR108" s="38">
        <f t="shared" si="299"/>
        <v>2.5890301147728487E-2</v>
      </c>
      <c r="AS108" s="38">
        <f t="shared" si="299"/>
        <v>6.0183681504292451E-3</v>
      </c>
      <c r="AT108" s="38">
        <f t="shared" ref="AT108:AZ108" si="300">AT107/AT83</f>
        <v>9.8600744432578696E-3</v>
      </c>
      <c r="AU108" s="38">
        <f t="shared" si="300"/>
        <v>3.5795585142052735E-3</v>
      </c>
      <c r="AV108" s="38">
        <f t="shared" si="300"/>
        <v>3.7526724894446696E-3</v>
      </c>
      <c r="AW108" s="38">
        <f t="shared" si="300"/>
        <v>4.6875913500740145E-3</v>
      </c>
      <c r="AX108" s="38">
        <f t="shared" si="300"/>
        <v>3.3909814466627111E-3</v>
      </c>
      <c r="AY108" s="38">
        <f t="shared" si="300"/>
        <v>9.1052465380115875E-3</v>
      </c>
      <c r="AZ108" s="38">
        <f t="shared" si="300"/>
        <v>1.1055403699731223E-2</v>
      </c>
      <c r="BA108" s="38">
        <f>BA107/BA83</f>
        <v>2.6662934503868087E-3</v>
      </c>
      <c r="BB108" s="38">
        <f>BB107/BB83</f>
        <v>-1.2229777335577348E-2</v>
      </c>
      <c r="BC108" s="38">
        <f>BC107/BC83</f>
        <v>-1.8329387391725859E-2</v>
      </c>
      <c r="BD108" s="38">
        <f>BD107/BD83</f>
        <v>-1.7781657881622566E-2</v>
      </c>
      <c r="BE108" s="397"/>
      <c r="BF108" s="251"/>
      <c r="BG108" s="38"/>
      <c r="BH108" s="38"/>
      <c r="BI108" s="38"/>
      <c r="BJ108" s="38"/>
      <c r="BK108" s="38"/>
      <c r="BM108" s="38"/>
      <c r="BN108" s="21"/>
      <c r="BO108" s="38"/>
      <c r="BP108" s="38"/>
      <c r="BQ108" s="21"/>
      <c r="BR108" s="21"/>
      <c r="BS108" s="21"/>
      <c r="BT108" s="38"/>
      <c r="BU108" s="38"/>
      <c r="BV108" s="21"/>
      <c r="BW108" s="21"/>
      <c r="BX108" s="21"/>
      <c r="BY108" s="21"/>
      <c r="BZ108" s="38"/>
      <c r="CA108" s="38"/>
      <c r="CB108" s="21"/>
      <c r="CC108" s="21"/>
      <c r="CD108" s="38"/>
      <c r="CE108" s="38"/>
      <c r="CF108" s="21"/>
      <c r="CG108" s="21"/>
      <c r="CH108" s="38"/>
      <c r="CI108" s="38"/>
      <c r="CJ108" s="21"/>
      <c r="CK108" s="21"/>
      <c r="CL108" s="38"/>
      <c r="CM108" s="38"/>
      <c r="CN108" s="1"/>
      <c r="CO108" s="1"/>
      <c r="CP108" s="1"/>
      <c r="CQ108" s="206"/>
      <c r="CR108" s="1"/>
      <c r="CS108" s="1"/>
      <c r="CT108" s="1"/>
    </row>
    <row r="109" spans="1:98" ht="13.5" customHeight="1">
      <c r="C109" s="36"/>
      <c r="D109" s="36"/>
      <c r="E109" s="36"/>
      <c r="F109" s="36"/>
      <c r="G109" s="36"/>
      <c r="H109" s="36"/>
      <c r="I109" s="36"/>
      <c r="J109" s="36"/>
      <c r="K109" s="36"/>
      <c r="L109" s="36"/>
      <c r="M109" s="36"/>
      <c r="N109" s="36"/>
      <c r="O109" s="36"/>
      <c r="P109" s="36"/>
      <c r="Y109" s="6"/>
      <c r="AC109" s="36"/>
      <c r="BF109" s="252"/>
      <c r="BK109"/>
      <c r="CQ109" s="206"/>
    </row>
    <row r="110" spans="1:98" ht="13.5" customHeight="1">
      <c r="B110" s="1" t="s">
        <v>131</v>
      </c>
      <c r="C110" s="24">
        <f t="shared" ref="C110:O110" si="301">C104/-C9*365</f>
        <v>55.958693981898101</v>
      </c>
      <c r="D110" s="24">
        <f t="shared" si="301"/>
        <v>31.675007953652695</v>
      </c>
      <c r="E110" s="24">
        <f t="shared" si="301"/>
        <v>27.550271475571037</v>
      </c>
      <c r="F110" s="24">
        <f t="shared" si="301"/>
        <v>39.274788677710966</v>
      </c>
      <c r="G110" s="24">
        <f t="shared" si="301"/>
        <v>73.327975074880158</v>
      </c>
      <c r="H110" s="24">
        <f t="shared" si="301"/>
        <v>25.707687633361111</v>
      </c>
      <c r="I110" s="24">
        <f t="shared" si="301"/>
        <v>20.529294333137923</v>
      </c>
      <c r="J110" s="24">
        <f t="shared" si="301"/>
        <v>18.663456142563682</v>
      </c>
      <c r="K110" s="24">
        <f t="shared" si="301"/>
        <v>23.29179798463548</v>
      </c>
      <c r="L110" s="24">
        <f t="shared" si="301"/>
        <v>43.080149672449288</v>
      </c>
      <c r="M110" s="24">
        <f t="shared" si="301"/>
        <v>31.060849016673945</v>
      </c>
      <c r="N110" s="24">
        <f t="shared" si="301"/>
        <v>32.447650326152015</v>
      </c>
      <c r="O110" s="24">
        <f t="shared" si="301"/>
        <v>34.690773085991836</v>
      </c>
      <c r="P110" s="36"/>
      <c r="Q110" s="24">
        <f>(Q104/-Q9)*365/4</f>
        <v>26.888476022703944</v>
      </c>
      <c r="R110" s="24">
        <f>(R104/-R9)*365/4</f>
        <v>26.878524460149613</v>
      </c>
      <c r="S110" s="24">
        <f>(S104/-S9)*365/4</f>
        <v>32.390256975963382</v>
      </c>
      <c r="T110" s="24">
        <f>(T104/-T9)*365/4</f>
        <v>26.256851505935607</v>
      </c>
      <c r="V110" s="24">
        <f t="shared" ref="V110:BD110" si="302">(V104/-V9)*365/4</f>
        <v>61.962736951586706</v>
      </c>
      <c r="W110" s="24">
        <f t="shared" si="302"/>
        <v>31.912229712984516</v>
      </c>
      <c r="X110" s="24">
        <f t="shared" si="302"/>
        <v>33.904955347115681</v>
      </c>
      <c r="Y110" s="24">
        <f t="shared" si="302"/>
        <v>34.463936780437464</v>
      </c>
      <c r="Z110" s="24">
        <f t="shared" si="302"/>
        <v>37.31252529918703</v>
      </c>
      <c r="AA110" s="24">
        <f t="shared" si="302"/>
        <v>48.123497131348401</v>
      </c>
      <c r="AB110" s="24">
        <f t="shared" si="302"/>
        <v>21.973677063388354</v>
      </c>
      <c r="AC110" s="24">
        <f t="shared" si="302"/>
        <v>17.783800311734844</v>
      </c>
      <c r="AD110" s="24">
        <f t="shared" si="302"/>
        <v>22.951460630820314</v>
      </c>
      <c r="AE110" s="24">
        <f t="shared" si="302"/>
        <v>21.227421358966136</v>
      </c>
      <c r="AF110" s="24">
        <f t="shared" si="302"/>
        <v>21.442977469757331</v>
      </c>
      <c r="AG110" s="24">
        <f t="shared" si="302"/>
        <v>17.912583120111922</v>
      </c>
      <c r="AH110" s="24">
        <f t="shared" si="302"/>
        <v>22.603474994127097</v>
      </c>
      <c r="AI110" s="24">
        <f t="shared" si="302"/>
        <v>18.615496099879834</v>
      </c>
      <c r="AJ110" s="24">
        <f t="shared" si="302"/>
        <v>19.238771333250973</v>
      </c>
      <c r="AK110" s="24">
        <f t="shared" si="302"/>
        <v>16.752692959188124</v>
      </c>
      <c r="AL110" s="24">
        <f t="shared" si="302"/>
        <v>21.695051709788853</v>
      </c>
      <c r="AM110" s="24">
        <f t="shared" si="302"/>
        <v>21.645428516722035</v>
      </c>
      <c r="AN110" s="24">
        <f t="shared" si="302"/>
        <v>21.152234011460244</v>
      </c>
      <c r="AO110" s="24">
        <f t="shared" si="302"/>
        <v>20.992252886091578</v>
      </c>
      <c r="AP110" s="24">
        <f t="shared" si="302"/>
        <v>19.534267778803709</v>
      </c>
      <c r="AQ110" s="24">
        <f t="shared" si="302"/>
        <v>42.776125465254701</v>
      </c>
      <c r="AR110" s="24">
        <f t="shared" si="302"/>
        <v>44.618842118878952</v>
      </c>
      <c r="AS110" s="24">
        <f t="shared" si="302"/>
        <v>38.586068816788242</v>
      </c>
      <c r="AT110" s="24">
        <f t="shared" si="302"/>
        <v>39.990361455864281</v>
      </c>
      <c r="AU110" s="24">
        <f t="shared" si="302"/>
        <v>36.814698144418259</v>
      </c>
      <c r="AV110" s="24">
        <f t="shared" si="302"/>
        <v>34.343332958640971</v>
      </c>
      <c r="AW110" s="24">
        <f t="shared" si="302"/>
        <v>30.539843302042101</v>
      </c>
      <c r="AX110" s="24">
        <f t="shared" si="302"/>
        <v>32.472293188030662</v>
      </c>
      <c r="AY110" s="24">
        <f t="shared" si="302"/>
        <v>31.254502807863627</v>
      </c>
      <c r="AZ110" s="24">
        <f t="shared" si="302"/>
        <v>31.689989422846114</v>
      </c>
      <c r="BA110" s="24">
        <f t="shared" si="302"/>
        <v>28.731599192721262</v>
      </c>
      <c r="BB110" s="24">
        <f t="shared" si="302"/>
        <v>29.039300076612225</v>
      </c>
      <c r="BC110" s="24">
        <f t="shared" si="302"/>
        <v>31.666896284753339</v>
      </c>
      <c r="BD110" s="24">
        <f t="shared" si="302"/>
        <v>33.582688112609219</v>
      </c>
      <c r="BE110" s="24"/>
      <c r="BF110" s="252"/>
      <c r="BK110"/>
      <c r="CQ110" s="206"/>
    </row>
    <row r="111" spans="1:98" ht="13.5" customHeight="1">
      <c r="B111" s="1" t="s">
        <v>132</v>
      </c>
      <c r="C111" s="24">
        <f t="shared" ref="C111:O111" si="303">C105/C7*365</f>
        <v>38.849155203863454</v>
      </c>
      <c r="D111" s="24">
        <f t="shared" si="303"/>
        <v>18.740084970547887</v>
      </c>
      <c r="E111" s="24">
        <f t="shared" si="303"/>
        <v>15.323739364180286</v>
      </c>
      <c r="F111" s="24">
        <f t="shared" si="303"/>
        <v>18.173462053486965</v>
      </c>
      <c r="G111" s="24">
        <f t="shared" si="303"/>
        <v>33.336730288902828</v>
      </c>
      <c r="H111" s="24">
        <f t="shared" si="303"/>
        <v>15.278442234365363</v>
      </c>
      <c r="I111" s="24">
        <f t="shared" si="303"/>
        <v>15.124535548932011</v>
      </c>
      <c r="J111" s="24">
        <f t="shared" si="303"/>
        <v>13.592706816436827</v>
      </c>
      <c r="K111" s="24">
        <f t="shared" si="303"/>
        <v>16.420267781358955</v>
      </c>
      <c r="L111" s="24">
        <f t="shared" si="303"/>
        <v>19.585028989076932</v>
      </c>
      <c r="M111" s="24">
        <f t="shared" si="303"/>
        <v>19.913934493492977</v>
      </c>
      <c r="N111" s="24">
        <f t="shared" si="303"/>
        <v>22.498660041549243</v>
      </c>
      <c r="O111" s="24">
        <f t="shared" si="303"/>
        <v>15.294628149424643</v>
      </c>
      <c r="P111" s="36"/>
      <c r="Q111" s="24">
        <f>Q105/Q7*365/4</f>
        <v>16.789366324610587</v>
      </c>
      <c r="R111" s="24">
        <f>R105/R7*365/4</f>
        <v>19.115300933406534</v>
      </c>
      <c r="S111" s="24">
        <f>S105/S7*365/4</f>
        <v>20.785608609629371</v>
      </c>
      <c r="T111" s="24">
        <f>T105/T7*365/4</f>
        <v>14.723154252821955</v>
      </c>
      <c r="V111" s="24">
        <f t="shared" ref="V111:BD111" si="304">V105/V7*365/4</f>
        <v>17.314381889761854</v>
      </c>
      <c r="W111" s="24">
        <f t="shared" si="304"/>
        <v>13.807600865856271</v>
      </c>
      <c r="X111" s="24">
        <f t="shared" si="304"/>
        <v>11.798235568564778</v>
      </c>
      <c r="Y111" s="24">
        <f t="shared" si="304"/>
        <v>15.932737628948688</v>
      </c>
      <c r="Z111" s="24">
        <f t="shared" si="304"/>
        <v>15.714256690360207</v>
      </c>
      <c r="AA111" s="24">
        <f t="shared" si="304"/>
        <v>26.884638446513264</v>
      </c>
      <c r="AB111" s="24">
        <f t="shared" si="304"/>
        <v>11.846977746234753</v>
      </c>
      <c r="AC111" s="24">
        <f t="shared" si="304"/>
        <v>10.743877928015895</v>
      </c>
      <c r="AD111" s="24">
        <f t="shared" si="304"/>
        <v>13.278367205919631</v>
      </c>
      <c r="AE111" s="24">
        <f t="shared" si="304"/>
        <v>13.059067976491418</v>
      </c>
      <c r="AF111" s="24">
        <f t="shared" si="304"/>
        <v>11.957668451611427</v>
      </c>
      <c r="AG111" s="24">
        <f t="shared" si="304"/>
        <v>12.967625963795577</v>
      </c>
      <c r="AH111" s="24">
        <f t="shared" si="304"/>
        <v>16.580169907897641</v>
      </c>
      <c r="AI111" s="24">
        <f t="shared" si="304"/>
        <v>13.756756982928504</v>
      </c>
      <c r="AJ111" s="24">
        <f t="shared" si="304"/>
        <v>13.580699714759184</v>
      </c>
      <c r="AK111" s="24">
        <f t="shared" si="304"/>
        <v>12.55406770729971</v>
      </c>
      <c r="AL111" s="24">
        <f t="shared" si="304"/>
        <v>14.423712707473374</v>
      </c>
      <c r="AM111" s="24">
        <f t="shared" si="304"/>
        <v>14.234756112824387</v>
      </c>
      <c r="AN111" s="24">
        <f t="shared" si="304"/>
        <v>12.380402809585361</v>
      </c>
      <c r="AO111" s="24">
        <f t="shared" si="304"/>
        <v>14.641110033237723</v>
      </c>
      <c r="AP111" s="24">
        <f t="shared" si="304"/>
        <v>10.303192370536935</v>
      </c>
      <c r="AQ111" s="24">
        <f t="shared" si="304"/>
        <v>17.277132551156651</v>
      </c>
      <c r="AR111" s="24">
        <f t="shared" si="304"/>
        <v>19.418684257476773</v>
      </c>
      <c r="AS111" s="24">
        <f t="shared" si="304"/>
        <v>18.291996559074779</v>
      </c>
      <c r="AT111" s="24">
        <f t="shared" si="304"/>
        <v>17.523719962235042</v>
      </c>
      <c r="AU111" s="24">
        <f t="shared" si="304"/>
        <v>16.775628563422654</v>
      </c>
      <c r="AV111" s="24">
        <f t="shared" si="304"/>
        <v>17.321139856962326</v>
      </c>
      <c r="AW111" s="24">
        <f t="shared" si="304"/>
        <v>19.135375798993152</v>
      </c>
      <c r="AX111" s="24">
        <f t="shared" si="304"/>
        <v>19.458938765814832</v>
      </c>
      <c r="AY111" s="24">
        <f t="shared" si="304"/>
        <v>22.304935630208696</v>
      </c>
      <c r="AZ111" s="24">
        <f t="shared" si="304"/>
        <v>18.482900018527786</v>
      </c>
      <c r="BA111" s="24">
        <f t="shared" si="304"/>
        <v>19.864482143015159</v>
      </c>
      <c r="BB111" s="24">
        <f t="shared" si="304"/>
        <v>18.338300246296097</v>
      </c>
      <c r="BC111" s="24">
        <f t="shared" si="304"/>
        <v>16.458027402684912</v>
      </c>
      <c r="BD111" s="24">
        <f t="shared" si="304"/>
        <v>14.832363652161787</v>
      </c>
      <c r="BE111" s="24"/>
      <c r="BF111" s="252"/>
      <c r="BK111"/>
      <c r="CQ111" s="206"/>
    </row>
    <row r="112" spans="1:98" ht="13.5" customHeight="1">
      <c r="B112" s="1" t="s">
        <v>133</v>
      </c>
      <c r="C112" s="24">
        <f t="shared" ref="C112:O112" si="305">C106/-C9*365</f>
        <v>55.969290134155187</v>
      </c>
      <c r="D112" s="24">
        <f t="shared" si="305"/>
        <v>36.699563696931968</v>
      </c>
      <c r="E112" s="24">
        <f t="shared" si="305"/>
        <v>40.602528482368015</v>
      </c>
      <c r="F112" s="24">
        <f t="shared" si="305"/>
        <v>48.182785143699157</v>
      </c>
      <c r="G112" s="24">
        <f t="shared" si="305"/>
        <v>89.959645538731863</v>
      </c>
      <c r="H112" s="24">
        <f t="shared" si="305"/>
        <v>30.316627353317418</v>
      </c>
      <c r="I112" s="24">
        <f t="shared" si="305"/>
        <v>22.999852443963807</v>
      </c>
      <c r="J112" s="24">
        <f t="shared" si="305"/>
        <v>18.097123058806133</v>
      </c>
      <c r="K112" s="24">
        <f t="shared" si="305"/>
        <v>20.483859568967574</v>
      </c>
      <c r="L112" s="24">
        <f t="shared" si="305"/>
        <v>63.100276577400635</v>
      </c>
      <c r="M112" s="24">
        <f t="shared" si="305"/>
        <v>51.312857548442643</v>
      </c>
      <c r="N112" s="24">
        <f t="shared" si="305"/>
        <v>57.254446686265453</v>
      </c>
      <c r="O112" s="24">
        <f t="shared" si="305"/>
        <v>59.582215852573377</v>
      </c>
      <c r="P112" s="36"/>
      <c r="Q112" s="24">
        <f>Q106/-Q9*365/4</f>
        <v>32.888066793343619</v>
      </c>
      <c r="R112" s="24">
        <f>R106/-R9*365/4</f>
        <v>35.499271398242477</v>
      </c>
      <c r="S112" s="24">
        <f>S106/-S9*365/4</f>
        <v>41.253795122598497</v>
      </c>
      <c r="T112" s="24">
        <f>T106/-T9*365/4</f>
        <v>38.696335971584496</v>
      </c>
      <c r="V112" s="24">
        <f t="shared" ref="V112:BD112" si="306">V106/-V9*365/4</f>
        <v>77.800500591485857</v>
      </c>
      <c r="W112" s="24">
        <f t="shared" si="306"/>
        <v>42.670257765880578</v>
      </c>
      <c r="X112" s="24">
        <f t="shared" si="306"/>
        <v>38.976300743968878</v>
      </c>
      <c r="Y112" s="24">
        <f t="shared" si="306"/>
        <v>42.280773926614323</v>
      </c>
      <c r="Z112" s="24">
        <f t="shared" si="306"/>
        <v>37.299061689846646</v>
      </c>
      <c r="AA112" s="24">
        <f t="shared" si="306"/>
        <v>34.549832286451895</v>
      </c>
      <c r="AB112" s="24">
        <f t="shared" si="306"/>
        <v>15.983517153598431</v>
      </c>
      <c r="AC112" s="24">
        <f t="shared" si="306"/>
        <v>20.972125329429552</v>
      </c>
      <c r="AD112" s="24">
        <f t="shared" si="306"/>
        <v>21.576929370064718</v>
      </c>
      <c r="AE112" s="24">
        <f t="shared" si="306"/>
        <v>20.87318033279719</v>
      </c>
      <c r="AF112" s="24">
        <f t="shared" si="306"/>
        <v>18.966387379309189</v>
      </c>
      <c r="AG112" s="24">
        <f t="shared" si="306"/>
        <v>20.068238195006604</v>
      </c>
      <c r="AH112" s="24">
        <f t="shared" si="306"/>
        <v>20.745943068632521</v>
      </c>
      <c r="AI112" s="24">
        <f t="shared" si="306"/>
        <v>16.016948991273342</v>
      </c>
      <c r="AJ112" s="24">
        <f t="shared" si="306"/>
        <v>16.303237190819619</v>
      </c>
      <c r="AK112" s="24">
        <f t="shared" si="306"/>
        <v>16.244341012348915</v>
      </c>
      <c r="AL112" s="24">
        <f t="shared" si="306"/>
        <v>15.515200610652224</v>
      </c>
      <c r="AM112" s="24">
        <f t="shared" si="306"/>
        <v>15.817345851733393</v>
      </c>
      <c r="AN112" s="24">
        <f t="shared" si="306"/>
        <v>15.5131418620545</v>
      </c>
      <c r="AO112" s="24">
        <f t="shared" si="306"/>
        <v>18.46153570620039</v>
      </c>
      <c r="AP112" s="24">
        <f t="shared" si="306"/>
        <v>18.98756248241197</v>
      </c>
      <c r="AQ112" s="24">
        <f t="shared" si="306"/>
        <v>53.471158290623272</v>
      </c>
      <c r="AR112" s="24">
        <f t="shared" si="306"/>
        <v>58.179334984550486</v>
      </c>
      <c r="AS112" s="24">
        <f t="shared" si="306"/>
        <v>56.51771483818812</v>
      </c>
      <c r="AT112" s="24">
        <f t="shared" si="306"/>
        <v>55.007988234638532</v>
      </c>
      <c r="AU112" s="24">
        <f t="shared" si="306"/>
        <v>53.665303340886915</v>
      </c>
      <c r="AV112" s="24">
        <f t="shared" si="306"/>
        <v>52.296606590165922</v>
      </c>
      <c r="AW112" s="24">
        <f t="shared" si="306"/>
        <v>50.452150489132165</v>
      </c>
      <c r="AX112" s="24">
        <f t="shared" si="306"/>
        <v>53.149748571272504</v>
      </c>
      <c r="AY112" s="24">
        <f t="shared" si="306"/>
        <v>53.392238375440733</v>
      </c>
      <c r="AZ112" s="24">
        <f t="shared" si="306"/>
        <v>48.864056163691522</v>
      </c>
      <c r="BA112" s="24">
        <f t="shared" si="306"/>
        <v>50.697409447394335</v>
      </c>
      <c r="BB112" s="24">
        <f t="shared" si="306"/>
        <v>54.856662149579329</v>
      </c>
      <c r="BC112" s="24">
        <f t="shared" si="306"/>
        <v>58.276739005324799</v>
      </c>
      <c r="BD112" s="24">
        <f t="shared" si="306"/>
        <v>57.679053939651482</v>
      </c>
      <c r="BE112" s="24"/>
      <c r="BF112" s="252"/>
      <c r="BK112"/>
      <c r="CQ112" s="206"/>
    </row>
    <row r="113" spans="2:95" ht="13.5" customHeight="1">
      <c r="C113" s="36"/>
      <c r="D113" s="36"/>
      <c r="E113" s="36"/>
      <c r="F113" s="36"/>
      <c r="G113" s="36"/>
      <c r="H113" s="36"/>
      <c r="I113" s="36"/>
      <c r="J113" s="36"/>
      <c r="K113" s="36"/>
      <c r="L113" s="36"/>
      <c r="M113" s="36"/>
      <c r="N113" s="36"/>
      <c r="O113" s="36"/>
      <c r="P113" s="36"/>
      <c r="Y113" s="6"/>
      <c r="AC113" s="36"/>
      <c r="BF113" s="252"/>
      <c r="BK113"/>
      <c r="CQ113" s="206"/>
    </row>
    <row r="114" spans="2:95" ht="13.5" customHeight="1">
      <c r="B114" s="5" t="s">
        <v>134</v>
      </c>
      <c r="C114" s="36"/>
      <c r="D114" s="36"/>
      <c r="E114" s="36"/>
      <c r="F114" s="36"/>
      <c r="G114" s="36"/>
      <c r="H114" s="36"/>
      <c r="I114" s="36"/>
      <c r="J114" s="36"/>
      <c r="K114" s="36"/>
      <c r="L114" s="36"/>
      <c r="M114" s="36"/>
      <c r="N114" s="36"/>
      <c r="O114" s="36"/>
      <c r="P114" s="36"/>
      <c r="Q114" s="36"/>
      <c r="V114" s="36"/>
      <c r="W114" s="36"/>
      <c r="Z114" s="36"/>
      <c r="AA114" s="36"/>
      <c r="AB114" s="36"/>
      <c r="AC114" s="36"/>
      <c r="AD114" s="36"/>
      <c r="AE114" s="36"/>
      <c r="AF114" s="36"/>
      <c r="AG114" s="36"/>
      <c r="AH114" s="36"/>
      <c r="AI114" s="36"/>
      <c r="AJ114" s="36"/>
      <c r="AK114" s="36"/>
      <c r="AL114" s="36"/>
      <c r="AM114" s="36"/>
      <c r="AN114" s="36"/>
      <c r="AO114" s="36"/>
      <c r="AP114" s="36"/>
      <c r="AQ114" s="36"/>
      <c r="AR114" s="36"/>
      <c r="AS114" s="36"/>
      <c r="AT114" s="36"/>
      <c r="AU114" s="36"/>
      <c r="AV114" s="36"/>
      <c r="AW114" s="36"/>
      <c r="AX114" s="36"/>
      <c r="AY114" s="36"/>
      <c r="AZ114" s="36"/>
      <c r="BA114" s="36"/>
      <c r="BB114" s="36"/>
      <c r="BC114" s="36"/>
      <c r="BD114" s="36"/>
      <c r="BE114" s="36"/>
      <c r="BF114" s="253"/>
      <c r="BG114" s="36"/>
      <c r="BH114" s="36"/>
      <c r="BI114" s="36"/>
      <c r="BK114"/>
      <c r="BM114" s="36"/>
      <c r="BO114" s="36"/>
      <c r="BP114" s="36"/>
      <c r="BT114" s="36"/>
      <c r="BU114" s="36"/>
      <c r="BZ114" s="36"/>
      <c r="CA114" s="36"/>
      <c r="CD114" s="36"/>
      <c r="CE114" s="36"/>
      <c r="CH114" s="36"/>
      <c r="CI114" s="36"/>
      <c r="CL114" s="36"/>
      <c r="CM114" s="36"/>
      <c r="CQ114" s="206"/>
    </row>
    <row r="115" spans="2:95" ht="13.5" customHeight="1">
      <c r="B115" s="1" t="s">
        <v>135</v>
      </c>
      <c r="C115" s="39">
        <f>1470.237+129.895</f>
        <v>1600.1320000000001</v>
      </c>
      <c r="D115" s="39">
        <f>1772.411+323.645</f>
        <v>2096.056</v>
      </c>
      <c r="E115" s="39">
        <f>1198+372.607</f>
        <v>1570.607</v>
      </c>
      <c r="F115" s="39">
        <f>1846.164+165.55</f>
        <v>2011.7139999999999</v>
      </c>
      <c r="G115" s="39">
        <f>1846.164+165.55</f>
        <v>2011.7139999999999</v>
      </c>
      <c r="H115" s="39">
        <f>3665.455+185.522+3.209+2.102</f>
        <v>3856.2879999999996</v>
      </c>
      <c r="I115" s="39">
        <f>4594.444+108.483+131.093</f>
        <v>4834.0200000000004</v>
      </c>
      <c r="J115" s="39">
        <f>6566.089+125.899+161.432</f>
        <v>6853.42</v>
      </c>
      <c r="K115" s="39">
        <f>6842.294+78.062+56.894+161.032</f>
        <v>7138.2820000000002</v>
      </c>
      <c r="L115" s="39">
        <f>12813.28+819.547+816.905</f>
        <v>14449.732000000002</v>
      </c>
      <c r="M115" s="39">
        <f>7509.414+1080.298+196.697</f>
        <v>8786.4089999999997</v>
      </c>
      <c r="N115" s="39">
        <f>8352.851+1204.466+220.653</f>
        <v>9777.9700000000012</v>
      </c>
      <c r="O115" s="6">
        <f>BD115</f>
        <v>12573.315000000001</v>
      </c>
      <c r="P115" s="6"/>
      <c r="Q115" s="4">
        <f>2151.629+222.664</f>
        <v>2374.2929999999997</v>
      </c>
      <c r="R115" s="4">
        <f>1781.744+129.894</f>
        <v>1911.6379999999999</v>
      </c>
      <c r="S115" s="4">
        <f>1825.335+409.069</f>
        <v>2234.404</v>
      </c>
      <c r="T115" s="6">
        <f>E115</f>
        <v>1570.607</v>
      </c>
      <c r="V115" s="4">
        <f>1344.191+309.858</f>
        <v>1654.049</v>
      </c>
      <c r="W115" s="4">
        <f>1834.751+373.09</f>
        <v>2207.8409999999999</v>
      </c>
      <c r="X115" s="4">
        <f>1741.661+144.872</f>
        <v>1886.5330000000001</v>
      </c>
      <c r="Y115" s="6">
        <f>F115</f>
        <v>2011.7139999999999</v>
      </c>
      <c r="Z115" s="4">
        <f>1274.044+130.707</f>
        <v>1404.7510000000002</v>
      </c>
      <c r="AA115" s="4">
        <f>6615.915+184.955</f>
        <v>6800.87</v>
      </c>
      <c r="AB115" s="4">
        <f>7048.302+220.934</f>
        <v>7269.2359999999999</v>
      </c>
      <c r="AC115" s="6">
        <f>H115</f>
        <v>3856.2879999999996</v>
      </c>
      <c r="AD115" s="39">
        <f>4401.615+95.917+102.909</f>
        <v>4600.4409999999998</v>
      </c>
      <c r="AE115" s="4">
        <f>2899.372+94.649+113.758</f>
        <v>3107.7789999999995</v>
      </c>
      <c r="AF115" s="39">
        <f>2698.589+160.673+133.713</f>
        <v>2992.9749999999999</v>
      </c>
      <c r="AG115" s="39">
        <f>I115</f>
        <v>4834.0200000000004</v>
      </c>
      <c r="AH115" s="39">
        <f>6718.393+315.979+159.838</f>
        <v>7194.21</v>
      </c>
      <c r="AI115" s="4">
        <f>4605.652+144.702+172.57</f>
        <v>4922.924</v>
      </c>
      <c r="AJ115" s="39">
        <f>4584.425+147.098+177.097</f>
        <v>4908.62</v>
      </c>
      <c r="AK115" s="4">
        <f>J115</f>
        <v>6853.42</v>
      </c>
      <c r="AL115" s="39">
        <f>7380.492+138.993+172.751</f>
        <v>7692.2360000000008</v>
      </c>
      <c r="AM115" s="4">
        <f>8429.6+147.771+79.957</f>
        <v>8657.3280000000013</v>
      </c>
      <c r="AN115" s="39">
        <f>7260.562+157.215+136.332</f>
        <v>7554.1090000000004</v>
      </c>
      <c r="AO115" s="6">
        <f>K115</f>
        <v>7138.2820000000002</v>
      </c>
      <c r="AP115" s="39">
        <f>6853.45+467.711+129.049</f>
        <v>7450.21</v>
      </c>
      <c r="AQ115" s="39">
        <f>11108.834+679.576+317.236+371.105</f>
        <v>12476.751</v>
      </c>
      <c r="AR115" s="39">
        <f>12325.674+230.227+773.058+264.83</f>
        <v>13593.789000000002</v>
      </c>
      <c r="AS115" s="6">
        <f>L115</f>
        <v>14449.732000000002</v>
      </c>
      <c r="AT115" s="39">
        <f>10495.779+848.585+818.845</f>
        <v>12163.209000000001</v>
      </c>
      <c r="AU115" s="39">
        <f>13395.572+905.948+219.784</f>
        <v>14521.304</v>
      </c>
      <c r="AV115" s="39">
        <f>9675.432+1016.17+226.989</f>
        <v>10918.591</v>
      </c>
      <c r="AW115" s="6">
        <f>M115</f>
        <v>8786.4089999999997</v>
      </c>
      <c r="AX115" s="39">
        <f>6216.828+1179.786+201.297</f>
        <v>7597.9110000000001</v>
      </c>
      <c r="AY115" s="39">
        <f>6867.736+1204.834+204.352</f>
        <v>8276.9220000000005</v>
      </c>
      <c r="AZ115" s="39">
        <f>6348.65+1178.736+229.052</f>
        <v>7756.4379999999992</v>
      </c>
      <c r="BA115" s="6">
        <f>N115</f>
        <v>9777.9700000000012</v>
      </c>
      <c r="BB115" s="39">
        <f>6621.74+1246.651+272.447</f>
        <v>8140.8379999999997</v>
      </c>
      <c r="BC115" s="39">
        <f>8275.676+1204.104+230.34</f>
        <v>9710.119999999999</v>
      </c>
      <c r="BD115" s="39">
        <f>11035.438+1289.99+247.887</f>
        <v>12573.315000000001</v>
      </c>
      <c r="BE115" s="39"/>
      <c r="BF115" s="243"/>
      <c r="BG115" s="195"/>
      <c r="BH115" s="195"/>
      <c r="BI115" s="195"/>
      <c r="BJ115" s="195"/>
      <c r="BK115" s="195"/>
      <c r="BM115" s="195"/>
      <c r="BN115" s="192"/>
      <c r="BO115" s="195"/>
      <c r="BP115" s="195"/>
      <c r="BQ115" s="192"/>
      <c r="BR115" s="192"/>
      <c r="BS115" s="192"/>
      <c r="BT115" s="195"/>
      <c r="BU115" s="195"/>
      <c r="BV115" s="192"/>
      <c r="BW115" s="192"/>
      <c r="BX115" s="192"/>
      <c r="BY115" s="192"/>
      <c r="BZ115" s="195"/>
      <c r="CA115" s="195"/>
      <c r="CB115" s="192"/>
      <c r="CC115" s="192"/>
      <c r="CD115" s="195"/>
      <c r="CE115" s="195"/>
      <c r="CF115" s="192"/>
      <c r="CG115" s="192"/>
      <c r="CH115" s="195"/>
      <c r="CI115" s="195"/>
      <c r="CJ115" s="192"/>
      <c r="CK115" s="192"/>
      <c r="CL115" s="195"/>
      <c r="CM115" s="195"/>
      <c r="CQ115" s="206"/>
    </row>
    <row r="116" spans="2:95" ht="13.5" customHeight="1">
      <c r="B116" s="1" t="s">
        <v>136</v>
      </c>
      <c r="C116" s="39">
        <f>9400.106+353.57</f>
        <v>9753.6759999999995</v>
      </c>
      <c r="D116" s="39">
        <f>10112.889+931.474</f>
        <v>11044.362999999999</v>
      </c>
      <c r="E116" s="39">
        <f>9695.799+488.261</f>
        <v>10184.060000000001</v>
      </c>
      <c r="F116" s="39">
        <f>10581.034+378.085</f>
        <v>10959.118999999999</v>
      </c>
      <c r="G116" s="39">
        <f>10581.034+378.085</f>
        <v>10959.118999999999</v>
      </c>
      <c r="H116" s="39">
        <f>11567.895+301.945</f>
        <v>11869.84</v>
      </c>
      <c r="I116" s="39">
        <f>17121.836+233.094+392.74</f>
        <v>17747.670000000002</v>
      </c>
      <c r="J116" s="39">
        <f>20244.058+246.356+527.998</f>
        <v>21018.412</v>
      </c>
      <c r="K116" s="39">
        <f>23483.504+481.43+101.803+99.241</f>
        <v>24165.978000000003</v>
      </c>
      <c r="L116" s="39">
        <f>48359.511+2783.551+117.756</f>
        <v>51260.817999999999</v>
      </c>
      <c r="M116" s="39">
        <f>44076.178+3158.263+63.239</f>
        <v>47297.68</v>
      </c>
      <c r="N116" s="39">
        <f>52770.78+3691.734+39.156</f>
        <v>56501.67</v>
      </c>
      <c r="O116" s="6">
        <f>BD116</f>
        <v>57278.475999999995</v>
      </c>
      <c r="P116" s="6"/>
      <c r="Q116" s="4">
        <f>9506.721+815.267</f>
        <v>10321.987999999999</v>
      </c>
      <c r="R116" s="4">
        <f>9072.479+788.369</f>
        <v>9860.848</v>
      </c>
      <c r="S116" s="4">
        <f>9573.186+509.905</f>
        <v>10083.091</v>
      </c>
      <c r="T116" s="6">
        <f>E116</f>
        <v>10184.060000000001</v>
      </c>
      <c r="V116" s="4">
        <f>10499.807+478.82</f>
        <v>10978.627</v>
      </c>
      <c r="W116" s="4">
        <f>10301.454+427.661</f>
        <v>10729.115</v>
      </c>
      <c r="X116" s="4">
        <f>9820.175+391.916</f>
        <v>10212.090999999999</v>
      </c>
      <c r="Y116" s="6">
        <f>F116</f>
        <v>10959.118999999999</v>
      </c>
      <c r="Z116" s="4">
        <f>10919.61+359.465</f>
        <v>11279.075000000001</v>
      </c>
      <c r="AA116" s="4">
        <f>12168.352+340.292</f>
        <v>12508.644</v>
      </c>
      <c r="AB116" s="4">
        <f>12289.649+321.118</f>
        <v>12610.767</v>
      </c>
      <c r="AC116" s="6">
        <f>H116</f>
        <v>11869.84</v>
      </c>
      <c r="AD116" s="39">
        <f>11891.319+393.644+282.772</f>
        <v>12567.735000000001</v>
      </c>
      <c r="AE116" s="4">
        <f>13651.02+397.876+265.099</f>
        <v>14313.995000000001</v>
      </c>
      <c r="AF116" s="39">
        <f>16386.17+436.054+247.425</f>
        <v>17069.648999999998</v>
      </c>
      <c r="AG116" s="39">
        <f>I116</f>
        <v>17747.670000000002</v>
      </c>
      <c r="AH116" s="39">
        <f>20241.092+316.251+427.78</f>
        <v>20985.123</v>
      </c>
      <c r="AI116" s="4">
        <f>20950.673+336.09+485.712</f>
        <v>21772.474999999999</v>
      </c>
      <c r="AJ116" s="39">
        <f>22210.142+459.014+330.084</f>
        <v>22999.239999999998</v>
      </c>
      <c r="AK116" s="4">
        <f>J116</f>
        <v>21018.412</v>
      </c>
      <c r="AL116" s="39">
        <f>21423.533+250.562+542.153</f>
        <v>22216.248</v>
      </c>
      <c r="AM116" s="4">
        <f>19451.818+470.932+160.16</f>
        <v>20082.91</v>
      </c>
      <c r="AN116" s="39">
        <f>22072.773+476.8+140.131</f>
        <v>22689.704000000002</v>
      </c>
      <c r="AO116" s="6">
        <f>K116</f>
        <v>24165.978000000003</v>
      </c>
      <c r="AP116" s="39">
        <f>25482.473+82.98+414.386</f>
        <v>25979.839</v>
      </c>
      <c r="AQ116" s="39">
        <f>45456.245+2588.759+163.52+58.743</f>
        <v>48267.267</v>
      </c>
      <c r="AR116" s="39">
        <f>47026.221+134.959+2765.495+237.958</f>
        <v>50164.633000000002</v>
      </c>
      <c r="AS116" s="6">
        <f>L116</f>
        <v>51260.817999999999</v>
      </c>
      <c r="AT116" s="39">
        <f>49339.524+2909.096+100.584</f>
        <v>52349.203999999998</v>
      </c>
      <c r="AU116" s="39">
        <f>44975.711+2850.472+101.15</f>
        <v>47927.333000000006</v>
      </c>
      <c r="AV116" s="39">
        <f>42946.198+3073.686+63.587</f>
        <v>46083.470999999998</v>
      </c>
      <c r="AW116" s="6">
        <f>M116</f>
        <v>47297.68</v>
      </c>
      <c r="AX116" s="39">
        <f>45606.984+3352.531+62.834</f>
        <v>49022.349000000002</v>
      </c>
      <c r="AY116" s="39">
        <f>49930.198+3330.903+63.918</f>
        <v>53325.018999999993</v>
      </c>
      <c r="AZ116" s="39">
        <f>47639.288+3380.031+38.377</f>
        <v>51057.696000000004</v>
      </c>
      <c r="BA116" s="6">
        <f>N116</f>
        <v>56501.67</v>
      </c>
      <c r="BB116" s="39">
        <f>51261.829+4444.635+31.812</f>
        <v>55738.275999999998</v>
      </c>
      <c r="BC116" s="39">
        <f>52116.237+4443.977+33.609</f>
        <v>56593.822999999997</v>
      </c>
      <c r="BD116" s="39">
        <f>52715.844+4554.488+8.144</f>
        <v>57278.475999999995</v>
      </c>
      <c r="BE116" s="39"/>
      <c r="BF116" s="243"/>
      <c r="BG116" s="195"/>
      <c r="BH116" s="195"/>
      <c r="BI116" s="195"/>
      <c r="BJ116" s="195"/>
      <c r="BK116" s="195"/>
      <c r="BM116" s="195"/>
      <c r="BN116" s="192"/>
      <c r="BO116" s="195"/>
      <c r="BP116" s="195"/>
      <c r="BQ116" s="192"/>
      <c r="BR116" s="192"/>
      <c r="BS116" s="192"/>
      <c r="BT116" s="195"/>
      <c r="BU116" s="195"/>
      <c r="BV116" s="192"/>
      <c r="BW116" s="192"/>
      <c r="BX116" s="192"/>
      <c r="BY116" s="192"/>
      <c r="BZ116" s="195"/>
      <c r="CA116" s="195"/>
      <c r="CB116" s="192"/>
      <c r="CC116" s="192"/>
      <c r="CD116" s="195"/>
      <c r="CE116" s="195"/>
      <c r="CF116" s="192"/>
      <c r="CG116" s="192"/>
      <c r="CH116" s="195"/>
      <c r="CI116" s="195"/>
      <c r="CJ116" s="192"/>
      <c r="CK116" s="192"/>
      <c r="CL116" s="195"/>
      <c r="CM116" s="195"/>
      <c r="CQ116" s="206"/>
    </row>
    <row r="117" spans="2:95" ht="13.5" customHeight="1">
      <c r="B117" s="5" t="s">
        <v>137</v>
      </c>
      <c r="C117" s="8">
        <f t="shared" ref="C117:AA117" si="307">SUM(C115:C116)</f>
        <v>11353.807999999999</v>
      </c>
      <c r="D117" s="8">
        <f t="shared" si="307"/>
        <v>13140.419</v>
      </c>
      <c r="E117" s="8">
        <f t="shared" si="307"/>
        <v>11754.667000000001</v>
      </c>
      <c r="F117" s="8">
        <f t="shared" si="307"/>
        <v>12970.832999999999</v>
      </c>
      <c r="G117" s="8">
        <f t="shared" si="307"/>
        <v>12970.832999999999</v>
      </c>
      <c r="H117" s="8">
        <f t="shared" si="307"/>
        <v>15726.128000000001</v>
      </c>
      <c r="I117" s="8">
        <f t="shared" ref="I117:O117" si="308">SUM(I115:I116)</f>
        <v>22581.690000000002</v>
      </c>
      <c r="J117" s="8">
        <f t="shared" si="308"/>
        <v>27871.832000000002</v>
      </c>
      <c r="K117" s="8">
        <f t="shared" si="308"/>
        <v>31304.260000000002</v>
      </c>
      <c r="L117" s="8">
        <f t="shared" si="308"/>
        <v>65710.55</v>
      </c>
      <c r="M117" s="8">
        <f t="shared" si="308"/>
        <v>56084.089</v>
      </c>
      <c r="N117" s="8">
        <f>SUM(N115:N116)</f>
        <v>66279.64</v>
      </c>
      <c r="O117" s="8">
        <f t="shared" si="308"/>
        <v>69851.790999999997</v>
      </c>
      <c r="P117" s="8"/>
      <c r="Q117" s="8">
        <f t="shared" si="307"/>
        <v>12696.280999999999</v>
      </c>
      <c r="R117" s="8">
        <f t="shared" si="307"/>
        <v>11772.486000000001</v>
      </c>
      <c r="S117" s="8">
        <f t="shared" si="307"/>
        <v>12317.495000000001</v>
      </c>
      <c r="T117" s="8">
        <f t="shared" si="307"/>
        <v>11754.667000000001</v>
      </c>
      <c r="V117" s="8">
        <f t="shared" si="307"/>
        <v>12632.675999999999</v>
      </c>
      <c r="W117" s="8">
        <f t="shared" si="307"/>
        <v>12936.956</v>
      </c>
      <c r="X117" s="8">
        <f t="shared" si="307"/>
        <v>12098.623999999998</v>
      </c>
      <c r="Y117" s="8">
        <f t="shared" si="307"/>
        <v>12970.832999999999</v>
      </c>
      <c r="Z117" s="8">
        <f t="shared" si="307"/>
        <v>12683.826000000001</v>
      </c>
      <c r="AA117" s="8">
        <f t="shared" si="307"/>
        <v>19309.513999999999</v>
      </c>
      <c r="AB117" s="8">
        <f t="shared" ref="AB117:AG117" si="309">SUM(AB115:AB116)</f>
        <v>19880.003000000001</v>
      </c>
      <c r="AC117" s="8">
        <f t="shared" si="309"/>
        <v>15726.128000000001</v>
      </c>
      <c r="AD117" s="8">
        <f t="shared" si="309"/>
        <v>17168.175999999999</v>
      </c>
      <c r="AE117" s="8">
        <f t="shared" si="309"/>
        <v>17421.774000000001</v>
      </c>
      <c r="AF117" s="8">
        <f t="shared" si="309"/>
        <v>20062.623999999996</v>
      </c>
      <c r="AG117" s="8">
        <f t="shared" si="309"/>
        <v>22581.690000000002</v>
      </c>
      <c r="AH117" s="8">
        <f t="shared" ref="AH117:AM117" si="310">SUM(AH115:AH116)</f>
        <v>28179.332999999999</v>
      </c>
      <c r="AI117" s="8">
        <f t="shared" si="310"/>
        <v>26695.398999999998</v>
      </c>
      <c r="AJ117" s="8">
        <f t="shared" si="310"/>
        <v>27907.859999999997</v>
      </c>
      <c r="AK117" s="8">
        <f t="shared" si="310"/>
        <v>27871.832000000002</v>
      </c>
      <c r="AL117" s="8">
        <f t="shared" si="310"/>
        <v>29908.484</v>
      </c>
      <c r="AM117" s="8">
        <f t="shared" si="310"/>
        <v>28740.238000000001</v>
      </c>
      <c r="AN117" s="8">
        <f t="shared" ref="AN117:AS117" si="311">SUM(AN115:AN116)</f>
        <v>30243.813000000002</v>
      </c>
      <c r="AO117" s="8">
        <f t="shared" si="311"/>
        <v>31304.260000000002</v>
      </c>
      <c r="AP117" s="8">
        <f t="shared" si="311"/>
        <v>33430.048999999999</v>
      </c>
      <c r="AQ117" s="8">
        <f t="shared" si="311"/>
        <v>60744.017999999996</v>
      </c>
      <c r="AR117" s="8">
        <f t="shared" si="311"/>
        <v>63758.422000000006</v>
      </c>
      <c r="AS117" s="8">
        <f t="shared" si="311"/>
        <v>65710.55</v>
      </c>
      <c r="AT117" s="8">
        <f t="shared" ref="AT117:AZ117" si="312">SUM(AT115:AT116)</f>
        <v>64512.413</v>
      </c>
      <c r="AU117" s="8">
        <f t="shared" si="312"/>
        <v>62448.637000000002</v>
      </c>
      <c r="AV117" s="8">
        <f t="shared" si="312"/>
        <v>57002.061999999998</v>
      </c>
      <c r="AW117" s="8">
        <f t="shared" si="312"/>
        <v>56084.089</v>
      </c>
      <c r="AX117" s="8">
        <f t="shared" si="312"/>
        <v>56620.26</v>
      </c>
      <c r="AY117" s="8">
        <f t="shared" si="312"/>
        <v>61601.940999999992</v>
      </c>
      <c r="AZ117" s="8">
        <f t="shared" si="312"/>
        <v>58814.134000000005</v>
      </c>
      <c r="BA117" s="8">
        <f>SUM(BA115:BA116)</f>
        <v>66279.64</v>
      </c>
      <c r="BB117" s="8">
        <f>SUM(BB115:BB116)</f>
        <v>63879.114000000001</v>
      </c>
      <c r="BC117" s="8">
        <f>SUM(BC115:BC116)</f>
        <v>66303.942999999999</v>
      </c>
      <c r="BD117" s="8">
        <f>SUM(BD115:BD116)</f>
        <v>69851.790999999997</v>
      </c>
      <c r="BE117" s="8"/>
      <c r="BF117" s="240"/>
      <c r="BG117" s="194"/>
      <c r="BH117" s="194"/>
      <c r="BI117" s="194"/>
      <c r="BJ117" s="194"/>
      <c r="BK117" s="194"/>
      <c r="BM117" s="194"/>
      <c r="BN117" s="192"/>
      <c r="BO117" s="194"/>
      <c r="BP117" s="194"/>
      <c r="BQ117" s="192"/>
      <c r="BR117" s="192"/>
      <c r="BS117" s="192"/>
      <c r="BT117" s="194"/>
      <c r="BU117" s="194"/>
      <c r="BV117" s="192"/>
      <c r="BW117" s="192"/>
      <c r="BX117" s="192"/>
      <c r="BY117" s="192"/>
      <c r="BZ117" s="194"/>
      <c r="CA117" s="194"/>
      <c r="CB117" s="192"/>
      <c r="CC117" s="192"/>
      <c r="CD117" s="194"/>
      <c r="CE117" s="194"/>
      <c r="CF117" s="192"/>
      <c r="CG117" s="192"/>
      <c r="CH117" s="194"/>
      <c r="CI117" s="194"/>
      <c r="CJ117" s="192"/>
      <c r="CK117" s="192"/>
      <c r="CL117" s="194"/>
      <c r="CM117" s="194"/>
      <c r="CQ117" s="206"/>
    </row>
    <row r="118" spans="2:95" ht="13.5" customHeight="1">
      <c r="B118" s="5"/>
      <c r="C118" s="8"/>
      <c r="D118" s="8"/>
      <c r="E118" s="8"/>
      <c r="F118" s="8"/>
      <c r="G118" s="8"/>
      <c r="H118" s="8"/>
      <c r="I118" s="8"/>
      <c r="J118" s="8"/>
      <c r="K118" s="8"/>
      <c r="L118" s="8"/>
      <c r="M118" s="8"/>
      <c r="N118" s="8"/>
      <c r="O118" s="8"/>
      <c r="P118" s="8"/>
      <c r="Q118" s="8"/>
      <c r="R118" s="8"/>
      <c r="S118" s="8"/>
      <c r="T118" s="8"/>
      <c r="V118" s="8"/>
      <c r="W118" s="8"/>
      <c r="X118" s="8"/>
      <c r="Y118" s="8"/>
      <c r="Z118" s="8"/>
      <c r="AA118" s="8"/>
      <c r="AB118" s="8"/>
      <c r="AC118" s="8"/>
      <c r="AD118" s="8"/>
      <c r="AE118" s="8"/>
      <c r="AF118" s="8"/>
      <c r="AG118" s="8"/>
      <c r="AH118" s="8"/>
      <c r="AI118" s="8"/>
      <c r="AJ118" s="8"/>
      <c r="AK118" s="8"/>
      <c r="AL118" s="8"/>
      <c r="AM118" s="8"/>
      <c r="AN118" s="8"/>
      <c r="AO118" s="8"/>
      <c r="AP118" s="8"/>
      <c r="AQ118" s="8"/>
      <c r="AR118" s="8"/>
      <c r="AS118" s="8"/>
      <c r="AT118" s="8"/>
      <c r="AU118" s="8"/>
      <c r="AV118" s="8"/>
      <c r="AW118" s="8"/>
      <c r="AX118" s="8"/>
      <c r="AY118" s="8"/>
      <c r="AZ118" s="8"/>
      <c r="BA118" s="8"/>
      <c r="BB118" s="8"/>
      <c r="BC118" s="8"/>
      <c r="BD118" s="8"/>
      <c r="BE118" s="8"/>
      <c r="BF118" s="240"/>
      <c r="BG118" s="194"/>
      <c r="BH118" s="194"/>
      <c r="BI118" s="194"/>
      <c r="BJ118" s="194"/>
      <c r="BK118" s="194"/>
      <c r="BM118" s="194"/>
      <c r="BN118" s="192"/>
      <c r="BO118" s="194"/>
      <c r="BP118" s="194"/>
      <c r="BQ118" s="192"/>
      <c r="BR118" s="192"/>
      <c r="BS118" s="192"/>
      <c r="BT118" s="194"/>
      <c r="BU118" s="194"/>
      <c r="BV118" s="192"/>
      <c r="BW118" s="192"/>
      <c r="BX118" s="192"/>
      <c r="BY118" s="192"/>
      <c r="BZ118" s="194"/>
      <c r="CA118" s="194"/>
      <c r="CB118" s="192"/>
      <c r="CC118" s="192"/>
      <c r="CD118" s="194"/>
      <c r="CE118" s="194"/>
      <c r="CF118" s="192"/>
      <c r="CG118" s="192"/>
      <c r="CH118" s="194"/>
      <c r="CI118" s="194"/>
      <c r="CJ118" s="192"/>
      <c r="CK118" s="192"/>
      <c r="CL118" s="194"/>
      <c r="CM118" s="194"/>
      <c r="CQ118" s="206"/>
    </row>
    <row r="119" spans="2:95" ht="13.5" customHeight="1">
      <c r="B119" s="5" t="s">
        <v>134</v>
      </c>
      <c r="C119" s="36"/>
      <c r="D119" s="36"/>
      <c r="E119" s="36"/>
      <c r="F119" s="36"/>
      <c r="G119" s="36"/>
      <c r="H119" s="36"/>
      <c r="I119" s="36"/>
      <c r="J119" s="36"/>
      <c r="K119" s="36"/>
      <c r="L119" s="36"/>
      <c r="M119" s="36"/>
      <c r="N119" s="36"/>
      <c r="O119" s="36"/>
      <c r="P119" s="36"/>
      <c r="Y119" s="6"/>
      <c r="AC119" s="36"/>
      <c r="AD119" s="36"/>
      <c r="AF119" s="36"/>
      <c r="AG119" s="36"/>
      <c r="AH119" s="36"/>
      <c r="AJ119" s="36"/>
      <c r="AK119" s="36"/>
      <c r="AL119" s="36"/>
      <c r="AN119" s="36"/>
      <c r="AO119" s="36"/>
      <c r="AP119" s="36"/>
      <c r="AQ119" s="36"/>
      <c r="AR119" s="36"/>
      <c r="AS119" s="36"/>
      <c r="AT119" s="36"/>
      <c r="AU119" s="36"/>
      <c r="AV119" s="36"/>
      <c r="AW119" s="36"/>
      <c r="AX119" s="36"/>
      <c r="AY119" s="36"/>
      <c r="AZ119" s="36"/>
      <c r="BA119" s="36"/>
      <c r="BB119" s="36"/>
      <c r="BC119" s="36"/>
      <c r="BD119" s="36"/>
      <c r="BE119" s="36"/>
      <c r="BF119" s="254"/>
      <c r="BG119" s="192"/>
      <c r="BH119" s="192"/>
      <c r="BI119" s="192"/>
      <c r="BJ119" s="192"/>
      <c r="BK119" s="192"/>
      <c r="BM119" s="192"/>
      <c r="BN119" s="192"/>
      <c r="BO119" s="192"/>
      <c r="BP119" s="192"/>
      <c r="BQ119" s="192"/>
      <c r="BR119" s="192"/>
      <c r="BS119" s="192"/>
      <c r="BT119" s="192"/>
      <c r="BU119" s="192"/>
      <c r="BV119" s="192"/>
      <c r="BW119" s="192"/>
      <c r="BX119" s="192"/>
      <c r="BY119" s="192"/>
      <c r="BZ119" s="192"/>
      <c r="CA119" s="192"/>
      <c r="CB119" s="192"/>
      <c r="CC119" s="192"/>
      <c r="CD119" s="192"/>
      <c r="CE119" s="192"/>
      <c r="CF119" s="192"/>
      <c r="CG119" s="192"/>
      <c r="CH119" s="192"/>
      <c r="CI119" s="192"/>
      <c r="CJ119" s="192"/>
      <c r="CK119" s="192"/>
      <c r="CL119" s="192"/>
      <c r="CM119" s="192"/>
      <c r="CQ119" s="206"/>
    </row>
    <row r="120" spans="2:95" ht="13.5" customHeight="1">
      <c r="B120" s="1" t="s">
        <v>11</v>
      </c>
      <c r="C120" s="39">
        <v>38.576999999999998</v>
      </c>
      <c r="D120" s="39">
        <v>26.640999999999998</v>
      </c>
      <c r="E120" s="39">
        <v>18.835999999999999</v>
      </c>
      <c r="F120" s="39">
        <v>12.881</v>
      </c>
      <c r="G120" s="39">
        <v>12.881</v>
      </c>
      <c r="H120" s="39">
        <v>6.9420000000000002</v>
      </c>
      <c r="I120" s="39">
        <v>1.0009999999999999</v>
      </c>
      <c r="J120" s="39">
        <v>1E-3</v>
      </c>
      <c r="K120" s="39">
        <v>0</v>
      </c>
      <c r="L120" s="39">
        <v>0</v>
      </c>
      <c r="M120" s="39">
        <v>0</v>
      </c>
      <c r="N120" s="39">
        <v>0</v>
      </c>
      <c r="O120" s="6">
        <f>BD120</f>
        <v>0.01</v>
      </c>
      <c r="P120" s="6"/>
      <c r="Q120" s="4">
        <v>23.763000000000002</v>
      </c>
      <c r="R120" s="4">
        <v>21.81</v>
      </c>
      <c r="S120" s="4">
        <v>20.323</v>
      </c>
      <c r="T120" s="6">
        <f>E120</f>
        <v>18.835999999999999</v>
      </c>
      <c r="V120" s="4">
        <v>17.352</v>
      </c>
      <c r="W120" s="4">
        <v>15.852</v>
      </c>
      <c r="X120" s="4">
        <v>14.366</v>
      </c>
      <c r="Y120" s="6">
        <f>F120</f>
        <v>12.881</v>
      </c>
      <c r="Z120" s="4">
        <v>11.396000000000001</v>
      </c>
      <c r="AA120" s="4">
        <v>9.9109999999999996</v>
      </c>
      <c r="AB120" s="4">
        <v>8.4250000000000007</v>
      </c>
      <c r="AC120" s="6">
        <f>H120</f>
        <v>6.9420000000000002</v>
      </c>
      <c r="AD120" s="39">
        <v>5.4560000000000004</v>
      </c>
      <c r="AE120" s="4">
        <v>3.97</v>
      </c>
      <c r="AF120" s="39">
        <v>2.4860000000000002</v>
      </c>
      <c r="AG120" s="39">
        <f>I120</f>
        <v>1.0009999999999999</v>
      </c>
      <c r="AH120" s="39">
        <v>0.01</v>
      </c>
      <c r="AI120" s="4">
        <v>7.0000000000000001E-3</v>
      </c>
      <c r="AJ120" s="39">
        <v>4.0000000000000001E-3</v>
      </c>
      <c r="AK120" s="39">
        <f>J120</f>
        <v>1E-3</v>
      </c>
      <c r="AL120" s="39">
        <v>0.01</v>
      </c>
      <c r="AM120" s="4">
        <v>0</v>
      </c>
      <c r="AN120" s="39">
        <v>4.0000000000000001E-3</v>
      </c>
      <c r="AO120" s="361">
        <f>K120</f>
        <v>0</v>
      </c>
      <c r="AP120" s="39">
        <v>0.01</v>
      </c>
      <c r="AQ120" s="39">
        <v>0.01</v>
      </c>
      <c r="AR120" s="39">
        <v>0</v>
      </c>
      <c r="AS120" s="361">
        <f>L120</f>
        <v>0</v>
      </c>
      <c r="AT120" s="39">
        <v>0</v>
      </c>
      <c r="AU120" s="39">
        <v>0.01</v>
      </c>
      <c r="AV120" s="39">
        <v>0</v>
      </c>
      <c r="AW120" s="361">
        <f>M120</f>
        <v>0</v>
      </c>
      <c r="AX120" s="39">
        <v>0</v>
      </c>
      <c r="AY120" s="39">
        <v>0.01</v>
      </c>
      <c r="AZ120" s="39">
        <v>0.01</v>
      </c>
      <c r="BA120" s="361">
        <f>N120</f>
        <v>0</v>
      </c>
      <c r="BB120" s="39">
        <v>0</v>
      </c>
      <c r="BC120" s="39">
        <v>0</v>
      </c>
      <c r="BD120" s="39">
        <v>0.01</v>
      </c>
      <c r="BE120" s="36"/>
      <c r="BF120" s="243"/>
      <c r="BG120" s="195"/>
      <c r="BH120" s="195"/>
      <c r="BI120" s="195"/>
      <c r="BJ120" s="195"/>
      <c r="BK120" s="195"/>
      <c r="BM120" s="195"/>
      <c r="BN120" s="192"/>
      <c r="BO120" s="195"/>
      <c r="BP120" s="195"/>
      <c r="BQ120" s="192"/>
      <c r="BR120" s="192"/>
      <c r="BS120" s="192"/>
      <c r="BT120" s="195"/>
      <c r="BU120" s="195"/>
      <c r="BV120" s="192"/>
      <c r="BW120" s="192"/>
      <c r="BX120" s="192"/>
      <c r="BY120" s="192"/>
      <c r="BZ120" s="195"/>
      <c r="CA120" s="195"/>
      <c r="CB120" s="192"/>
      <c r="CC120" s="192"/>
      <c r="CD120" s="195"/>
      <c r="CE120" s="195"/>
      <c r="CF120" s="192"/>
      <c r="CG120" s="192"/>
      <c r="CH120" s="195"/>
      <c r="CI120" s="195"/>
      <c r="CJ120" s="192"/>
      <c r="CK120" s="192"/>
      <c r="CL120" s="195"/>
      <c r="CM120" s="195"/>
      <c r="CQ120" s="206"/>
    </row>
    <row r="121" spans="2:95" ht="13.5" customHeight="1">
      <c r="B121" s="1" t="s">
        <v>138</v>
      </c>
      <c r="C121" s="39">
        <v>695.78099999999995</v>
      </c>
      <c r="D121" s="39">
        <v>547.96500000000003</v>
      </c>
      <c r="E121" s="39">
        <v>388.34800000000001</v>
      </c>
      <c r="F121" s="39">
        <v>243.65100000000001</v>
      </c>
      <c r="G121" s="39">
        <v>243.65100000000001</v>
      </c>
      <c r="H121" s="39">
        <v>203.49600000000001</v>
      </c>
      <c r="I121" s="39">
        <v>618.476</v>
      </c>
      <c r="J121" s="39">
        <f>1330.992+1180.979</f>
        <v>2511.971</v>
      </c>
      <c r="K121" s="39">
        <f>503.596+3908.698</f>
        <v>4412.2939999999999</v>
      </c>
      <c r="L121" s="39">
        <f>4692.869+6079.882</f>
        <v>10772.751</v>
      </c>
      <c r="M121" s="39">
        <f>2361.124+3805.84</f>
        <v>6166.9639999999999</v>
      </c>
      <c r="N121" s="39">
        <f>1266.464+4599.447</f>
        <v>5865.9110000000001</v>
      </c>
      <c r="O121" s="6">
        <f>BD121</f>
        <v>5638.982</v>
      </c>
      <c r="P121" s="6"/>
      <c r="Q121" s="4">
        <v>447.17200000000003</v>
      </c>
      <c r="R121" s="4">
        <v>441.73599999999999</v>
      </c>
      <c r="S121" s="4">
        <v>429.38299999999998</v>
      </c>
      <c r="T121" s="6">
        <f>E121</f>
        <v>388.34800000000001</v>
      </c>
      <c r="V121" s="4">
        <v>322.08300000000003</v>
      </c>
      <c r="W121" s="4">
        <v>297.06299999999999</v>
      </c>
      <c r="X121" s="4">
        <v>273.37799999999999</v>
      </c>
      <c r="Y121" s="6">
        <f>F121</f>
        <v>243.65100000000001</v>
      </c>
      <c r="Z121" s="4">
        <v>217.214</v>
      </c>
      <c r="AA121" s="4">
        <v>144.44999999999999</v>
      </c>
      <c r="AB121" s="4">
        <v>199.25299999999999</v>
      </c>
      <c r="AC121" s="6">
        <f>H121</f>
        <v>203.49600000000001</v>
      </c>
      <c r="AD121" s="39">
        <v>199.67400000000001</v>
      </c>
      <c r="AE121" s="4">
        <v>203.91800000000001</v>
      </c>
      <c r="AF121" s="39">
        <v>199.76599999999999</v>
      </c>
      <c r="AG121" s="39">
        <f>I121</f>
        <v>618.476</v>
      </c>
      <c r="AH121" s="39">
        <v>570.178</v>
      </c>
      <c r="AI121" s="4">
        <v>764.98500000000001</v>
      </c>
      <c r="AJ121" s="39">
        <f>855.844+435.709</f>
        <v>1291.5530000000001</v>
      </c>
      <c r="AK121" s="39">
        <f>J121</f>
        <v>2511.971</v>
      </c>
      <c r="AL121" s="39">
        <f>1293.331+1189.32</f>
        <v>2482.6509999999998</v>
      </c>
      <c r="AM121" s="39">
        <f>1441.351+3825.684</f>
        <v>5267.0349999999999</v>
      </c>
      <c r="AN121" s="39">
        <f>776.274+3739.506</f>
        <v>4515.78</v>
      </c>
      <c r="AO121" s="361">
        <f>K121</f>
        <v>4412.2939999999999</v>
      </c>
      <c r="AP121" s="39">
        <f>1026.255+4377.803</f>
        <v>5404.058</v>
      </c>
      <c r="AQ121" s="39">
        <f>5079.246+4724.546</f>
        <v>9803.7920000000013</v>
      </c>
      <c r="AR121" s="39">
        <f>4852.573+5059.578</f>
        <v>9912.1510000000017</v>
      </c>
      <c r="AS121" s="361">
        <f>L121</f>
        <v>10772.751</v>
      </c>
      <c r="AT121" s="39">
        <f>4281.855+6033.362</f>
        <v>10315.217000000001</v>
      </c>
      <c r="AU121" s="39">
        <f>2301.67+5647.714</f>
        <v>7949.384</v>
      </c>
      <c r="AV121" s="39">
        <f>1887.117+3845.218</f>
        <v>5732.335</v>
      </c>
      <c r="AW121" s="361">
        <f>M121</f>
        <v>6166.9639999999999</v>
      </c>
      <c r="AX121" s="39">
        <f>2115.261+3869.175</f>
        <v>5984.4359999999997</v>
      </c>
      <c r="AY121" s="39">
        <f>2180.061+3730.457</f>
        <v>5910.518</v>
      </c>
      <c r="AZ121" s="39">
        <f>1226.517+3796.558</f>
        <v>5023.0749999999998</v>
      </c>
      <c r="BA121" s="361">
        <f>N121</f>
        <v>5865.9110000000001</v>
      </c>
      <c r="BB121" s="39">
        <f>1287.463+2801.55</f>
        <v>4089.0129999999999</v>
      </c>
      <c r="BC121" s="39">
        <f>1117.45+3175.942</f>
        <v>4293.3919999999998</v>
      </c>
      <c r="BD121" s="39">
        <f>1139.281+4499.701</f>
        <v>5638.982</v>
      </c>
      <c r="BE121" s="39"/>
      <c r="BF121" s="243"/>
      <c r="BG121" s="195"/>
      <c r="BH121" s="195"/>
      <c r="BI121" s="195"/>
      <c r="BJ121" s="195"/>
      <c r="BK121" s="195"/>
      <c r="BM121" s="195"/>
      <c r="BN121" s="192"/>
      <c r="BO121" s="195"/>
      <c r="BP121" s="195"/>
      <c r="BQ121" s="192"/>
      <c r="BR121" s="192"/>
      <c r="BS121" s="192"/>
      <c r="BT121" s="195"/>
      <c r="BU121" s="195"/>
      <c r="BV121" s="192"/>
      <c r="BW121" s="192"/>
      <c r="BX121" s="192"/>
      <c r="BY121" s="192"/>
      <c r="BZ121" s="195"/>
      <c r="CA121" s="195"/>
      <c r="CB121" s="192"/>
      <c r="CC121" s="192"/>
      <c r="CD121" s="195"/>
      <c r="CE121" s="195"/>
      <c r="CF121" s="192"/>
      <c r="CG121" s="192"/>
      <c r="CH121" s="195"/>
      <c r="CI121" s="195"/>
      <c r="CJ121" s="192"/>
      <c r="CK121" s="192"/>
      <c r="CL121" s="195"/>
      <c r="CM121" s="195"/>
      <c r="CQ121" s="206"/>
    </row>
    <row r="122" spans="2:95" ht="13.5" customHeight="1">
      <c r="B122" s="1" t="s">
        <v>15</v>
      </c>
      <c r="C122" s="39"/>
      <c r="D122" s="39"/>
      <c r="E122" s="39"/>
      <c r="F122" s="39"/>
      <c r="G122" s="39"/>
      <c r="H122" s="39"/>
      <c r="I122" s="39">
        <v>247.751</v>
      </c>
      <c r="J122" s="39">
        <v>497.44799999999998</v>
      </c>
      <c r="K122" s="39">
        <v>1701.325</v>
      </c>
      <c r="L122" s="39">
        <f>6184.481+5.286+5768.475</f>
        <v>11958.242</v>
      </c>
      <c r="M122" s="39">
        <f>4971.44+6.604+6486.619</f>
        <v>11464.663</v>
      </c>
      <c r="N122" s="39">
        <f>12186.259+5337.21</f>
        <v>17523.469000000001</v>
      </c>
      <c r="O122" s="6">
        <f>BD122</f>
        <v>22699.353999999999</v>
      </c>
      <c r="P122" s="6"/>
      <c r="Q122" s="4"/>
      <c r="R122" s="4"/>
      <c r="S122" s="4"/>
      <c r="T122" s="6"/>
      <c r="V122" s="4"/>
      <c r="W122" s="4"/>
      <c r="X122" s="4"/>
      <c r="Y122" s="6"/>
      <c r="Z122" s="4"/>
      <c r="AA122" s="4"/>
      <c r="AB122" s="4"/>
      <c r="AC122" s="6"/>
      <c r="AD122" s="39"/>
      <c r="AE122" s="4"/>
      <c r="AF122" s="39">
        <v>244.102</v>
      </c>
      <c r="AG122" s="39">
        <f>I122</f>
        <v>247.751</v>
      </c>
      <c r="AH122" s="39">
        <v>244.76400000000001</v>
      </c>
      <c r="AI122" s="4">
        <v>247.1</v>
      </c>
      <c r="AJ122" s="39">
        <v>492.608</v>
      </c>
      <c r="AK122" s="39">
        <f>J122</f>
        <v>497.44799999999998</v>
      </c>
      <c r="AL122" s="39">
        <v>494.70400000000001</v>
      </c>
      <c r="AM122" s="4">
        <v>501.166</v>
      </c>
      <c r="AN122" s="39">
        <v>1664.183</v>
      </c>
      <c r="AO122" s="361">
        <f>K122</f>
        <v>1701.325</v>
      </c>
      <c r="AP122" s="39">
        <v>3673.7310000000002</v>
      </c>
      <c r="AQ122" s="39">
        <f>4766.466+4070.578+62.962</f>
        <v>8900.0059999999994</v>
      </c>
      <c r="AR122" s="39">
        <f>4313.713+29.681+5725.243</f>
        <v>10068.636999999999</v>
      </c>
      <c r="AS122" s="361">
        <f>L122</f>
        <v>11958.242</v>
      </c>
      <c r="AT122" s="39">
        <f>6164.167+32.926+5926.217</f>
        <v>12123.310000000001</v>
      </c>
      <c r="AU122" s="39">
        <f>6479.947+59.318+6259.317</f>
        <v>12798.582</v>
      </c>
      <c r="AV122" s="39">
        <f>5745.016+35.578+6111.142</f>
        <v>11891.736000000001</v>
      </c>
      <c r="AW122" s="361">
        <f>M122</f>
        <v>11464.663</v>
      </c>
      <c r="AX122" s="39">
        <f>6060.368+26.243+6430.937</f>
        <v>12517.548000000001</v>
      </c>
      <c r="AY122" s="39">
        <f>8088.877+8.14+6430.782</f>
        <v>14527.799000000001</v>
      </c>
      <c r="AZ122" s="39">
        <f>8356.477+32.293+5445.811</f>
        <v>13834.581</v>
      </c>
      <c r="BA122" s="361">
        <f>N122</f>
        <v>17523.469000000001</v>
      </c>
      <c r="BB122" s="39">
        <f>12396.593+5507.109</f>
        <v>17903.702000000001</v>
      </c>
      <c r="BC122" s="39">
        <f>15248.427+5353.704</f>
        <v>20602.131000000001</v>
      </c>
      <c r="BD122" s="39">
        <f>17313.876+5385.478</f>
        <v>22699.353999999999</v>
      </c>
      <c r="BE122" s="39"/>
      <c r="BF122" s="243"/>
      <c r="BG122" s="195"/>
      <c r="BH122" s="195"/>
      <c r="BI122" s="195"/>
      <c r="BJ122" s="195"/>
      <c r="BK122" s="195"/>
      <c r="BM122" s="195"/>
      <c r="BN122" s="192"/>
      <c r="BO122" s="195"/>
      <c r="BP122" s="195"/>
      <c r="BQ122" s="192"/>
      <c r="BR122" s="192"/>
      <c r="BS122" s="192"/>
      <c r="BT122" s="195"/>
      <c r="BU122" s="195"/>
      <c r="BV122" s="192"/>
      <c r="BW122" s="192"/>
      <c r="BX122" s="192"/>
      <c r="BY122" s="192"/>
      <c r="BZ122" s="195"/>
      <c r="CA122" s="195"/>
      <c r="CB122" s="192"/>
      <c r="CC122" s="192"/>
      <c r="CD122" s="195"/>
      <c r="CE122" s="195"/>
      <c r="CF122" s="192"/>
      <c r="CG122" s="192"/>
      <c r="CH122" s="195"/>
      <c r="CI122" s="195"/>
      <c r="CJ122" s="192"/>
      <c r="CK122" s="192"/>
      <c r="CL122" s="195"/>
      <c r="CM122" s="195"/>
      <c r="CQ122" s="206"/>
    </row>
    <row r="123" spans="2:95" ht="13.5" customHeight="1">
      <c r="B123" s="1" t="s">
        <v>17</v>
      </c>
      <c r="C123" s="39"/>
      <c r="D123" s="39"/>
      <c r="E123" s="39"/>
      <c r="F123" s="39"/>
      <c r="G123" s="39"/>
      <c r="H123" s="39"/>
      <c r="I123" s="39"/>
      <c r="J123" s="39"/>
      <c r="K123" s="39"/>
      <c r="L123" s="39"/>
      <c r="M123" s="39"/>
      <c r="N123" s="39"/>
      <c r="O123" s="6">
        <f>BD123</f>
        <v>0</v>
      </c>
      <c r="P123" s="6"/>
      <c r="Q123" s="4"/>
      <c r="R123" s="4"/>
      <c r="S123" s="4"/>
      <c r="T123" s="6"/>
      <c r="V123" s="4"/>
      <c r="W123" s="4"/>
      <c r="X123" s="4"/>
      <c r="Y123" s="6"/>
      <c r="Z123" s="4"/>
      <c r="AA123" s="4"/>
      <c r="AB123" s="4"/>
      <c r="AC123" s="6"/>
      <c r="AD123" s="39"/>
      <c r="AE123" s="4"/>
      <c r="AF123" s="39"/>
      <c r="AG123" s="39"/>
      <c r="AH123" s="39"/>
      <c r="AI123" s="4"/>
      <c r="AJ123" s="39"/>
      <c r="AK123" s="39"/>
      <c r="AL123" s="39"/>
      <c r="AM123" s="4">
        <v>437.28</v>
      </c>
      <c r="AN123" s="39"/>
      <c r="AO123" s="39"/>
      <c r="AP123" s="39"/>
      <c r="AQ123" s="39"/>
      <c r="AR123" s="39"/>
      <c r="AS123" s="39"/>
      <c r="AT123" s="39"/>
      <c r="AU123" s="39"/>
      <c r="AV123" s="39"/>
      <c r="AW123" s="39"/>
      <c r="AX123" s="39"/>
      <c r="AY123" s="39"/>
      <c r="AZ123" s="39"/>
      <c r="BA123" s="39"/>
      <c r="BB123" s="39"/>
      <c r="BC123" s="39"/>
      <c r="BD123" s="39"/>
      <c r="BE123" s="39"/>
      <c r="BF123" s="243"/>
      <c r="BG123" s="195"/>
      <c r="BH123" s="195"/>
      <c r="BI123" s="195"/>
      <c r="BJ123" s="195"/>
      <c r="BK123" s="195"/>
      <c r="BM123" s="195"/>
      <c r="BN123" s="192"/>
      <c r="BO123" s="195"/>
      <c r="BP123" s="195"/>
      <c r="BQ123" s="192"/>
      <c r="BR123" s="192"/>
      <c r="BS123" s="192"/>
      <c r="BT123" s="195"/>
      <c r="BU123" s="195"/>
      <c r="BV123" s="192"/>
      <c r="BW123" s="192"/>
      <c r="BX123" s="192"/>
      <c r="BY123" s="192"/>
      <c r="BZ123" s="195"/>
      <c r="CA123" s="195"/>
      <c r="CB123" s="192"/>
      <c r="CC123" s="192"/>
      <c r="CD123" s="195"/>
      <c r="CE123" s="195"/>
      <c r="CF123" s="192"/>
      <c r="CG123" s="192"/>
      <c r="CH123" s="195"/>
      <c r="CI123" s="195"/>
      <c r="CJ123" s="192"/>
      <c r="CK123" s="192"/>
      <c r="CL123" s="195"/>
      <c r="CM123" s="195"/>
      <c r="CQ123" s="206"/>
    </row>
    <row r="124" spans="2:95" ht="13.5" customHeight="1">
      <c r="B124" s="5" t="s">
        <v>139</v>
      </c>
      <c r="C124" s="54">
        <f t="shared" ref="C124:K124" si="313">SUM(C120:C122)</f>
        <v>734.35799999999995</v>
      </c>
      <c r="D124" s="54">
        <f t="shared" si="313"/>
        <v>574.60599999999999</v>
      </c>
      <c r="E124" s="54">
        <f t="shared" si="313"/>
        <v>407.18400000000003</v>
      </c>
      <c r="F124" s="54">
        <f t="shared" si="313"/>
        <v>256.53200000000004</v>
      </c>
      <c r="G124" s="54">
        <f t="shared" si="313"/>
        <v>256.53200000000004</v>
      </c>
      <c r="H124" s="54">
        <f t="shared" si="313"/>
        <v>210.43800000000002</v>
      </c>
      <c r="I124" s="54">
        <f t="shared" si="313"/>
        <v>867.22799999999995</v>
      </c>
      <c r="J124" s="54">
        <f t="shared" si="313"/>
        <v>3009.42</v>
      </c>
      <c r="K124" s="54">
        <f t="shared" si="313"/>
        <v>6113.6189999999997</v>
      </c>
      <c r="L124" s="54">
        <f>SUM(L120:L122)</f>
        <v>22730.993000000002</v>
      </c>
      <c r="M124" s="54">
        <f>SUM(M120:M122)</f>
        <v>17631.627</v>
      </c>
      <c r="N124" s="54">
        <f>SUM(N120:N122)</f>
        <v>23389.38</v>
      </c>
      <c r="O124" s="54">
        <f>SUM(O120:O123)</f>
        <v>28338.345999999998</v>
      </c>
      <c r="P124" s="54"/>
      <c r="Q124" s="54">
        <f t="shared" ref="Q124:AL124" si="314">SUM(Q120:Q122)</f>
        <v>470.935</v>
      </c>
      <c r="R124" s="54">
        <f t="shared" si="314"/>
        <v>463.54599999999999</v>
      </c>
      <c r="S124" s="54">
        <f t="shared" si="314"/>
        <v>449.70599999999996</v>
      </c>
      <c r="T124" s="54">
        <f t="shared" si="314"/>
        <v>407.18400000000003</v>
      </c>
      <c r="U124" s="54">
        <f t="shared" si="314"/>
        <v>0</v>
      </c>
      <c r="V124" s="54">
        <f t="shared" si="314"/>
        <v>339.435</v>
      </c>
      <c r="W124" s="54">
        <f t="shared" si="314"/>
        <v>312.91499999999996</v>
      </c>
      <c r="X124" s="54">
        <f t="shared" si="314"/>
        <v>287.74399999999997</v>
      </c>
      <c r="Y124" s="54">
        <f t="shared" si="314"/>
        <v>256.53200000000004</v>
      </c>
      <c r="Z124" s="54">
        <f t="shared" si="314"/>
        <v>228.61</v>
      </c>
      <c r="AA124" s="54">
        <f t="shared" si="314"/>
        <v>154.36099999999999</v>
      </c>
      <c r="AB124" s="54">
        <f t="shared" si="314"/>
        <v>207.678</v>
      </c>
      <c r="AC124" s="54">
        <f t="shared" si="314"/>
        <v>210.43800000000002</v>
      </c>
      <c r="AD124" s="54">
        <f t="shared" si="314"/>
        <v>205.13</v>
      </c>
      <c r="AE124" s="54">
        <f t="shared" si="314"/>
        <v>207.88800000000001</v>
      </c>
      <c r="AF124" s="54">
        <f t="shared" si="314"/>
        <v>446.35399999999998</v>
      </c>
      <c r="AG124" s="54">
        <f t="shared" si="314"/>
        <v>867.22799999999995</v>
      </c>
      <c r="AH124" s="54">
        <f t="shared" si="314"/>
        <v>814.952</v>
      </c>
      <c r="AI124" s="54">
        <f t="shared" si="314"/>
        <v>1012.092</v>
      </c>
      <c r="AJ124" s="54">
        <f t="shared" si="314"/>
        <v>1784.165</v>
      </c>
      <c r="AK124" s="54">
        <f t="shared" si="314"/>
        <v>3009.42</v>
      </c>
      <c r="AL124" s="54">
        <f t="shared" si="314"/>
        <v>2977.3650000000002</v>
      </c>
      <c r="AM124" s="54">
        <f>SUM(AM120:AM123)</f>
        <v>6205.4809999999998</v>
      </c>
      <c r="AN124" s="54">
        <f t="shared" ref="AN124:AS124" si="315">SUM(AN120:AN122)</f>
        <v>6179.9669999999996</v>
      </c>
      <c r="AO124" s="54">
        <f t="shared" si="315"/>
        <v>6113.6189999999997</v>
      </c>
      <c r="AP124" s="54">
        <f t="shared" si="315"/>
        <v>9077.7990000000009</v>
      </c>
      <c r="AQ124" s="54">
        <f t="shared" si="315"/>
        <v>18703.808000000001</v>
      </c>
      <c r="AR124" s="54">
        <f t="shared" si="315"/>
        <v>19980.788</v>
      </c>
      <c r="AS124" s="54">
        <f t="shared" si="315"/>
        <v>22730.993000000002</v>
      </c>
      <c r="AT124" s="54">
        <f t="shared" ref="AT124:AZ124" si="316">SUM(AT120:AT122)</f>
        <v>22438.527000000002</v>
      </c>
      <c r="AU124" s="54">
        <f t="shared" si="316"/>
        <v>20747.976000000002</v>
      </c>
      <c r="AV124" s="54">
        <f t="shared" si="316"/>
        <v>17624.071</v>
      </c>
      <c r="AW124" s="54">
        <f t="shared" si="316"/>
        <v>17631.627</v>
      </c>
      <c r="AX124" s="54">
        <f t="shared" si="316"/>
        <v>18501.984</v>
      </c>
      <c r="AY124" s="54">
        <f t="shared" si="316"/>
        <v>20438.327000000001</v>
      </c>
      <c r="AZ124" s="54">
        <f t="shared" si="316"/>
        <v>18857.666000000001</v>
      </c>
      <c r="BA124" s="54">
        <f>SUM(BA120:BA122)</f>
        <v>23389.38</v>
      </c>
      <c r="BB124" s="54">
        <f>SUM(BB120:BB122)</f>
        <v>21992.715</v>
      </c>
      <c r="BC124" s="54">
        <f>SUM(BC120:BC122)</f>
        <v>24895.523000000001</v>
      </c>
      <c r="BD124" s="54">
        <f>SUM(BD120:BD122)</f>
        <v>28338.345999999998</v>
      </c>
      <c r="BE124" s="54"/>
      <c r="BF124" s="255"/>
      <c r="BG124" s="198"/>
      <c r="BH124" s="198"/>
      <c r="BI124" s="198"/>
      <c r="BJ124" s="198"/>
      <c r="BK124" s="198"/>
      <c r="BM124" s="198"/>
      <c r="BN124" s="192"/>
      <c r="BO124" s="198"/>
      <c r="BP124" s="198"/>
      <c r="BQ124" s="192"/>
      <c r="BR124" s="192"/>
      <c r="BS124" s="192"/>
      <c r="BT124" s="198"/>
      <c r="BU124" s="198"/>
      <c r="BV124" s="192"/>
      <c r="BW124" s="192"/>
      <c r="BX124" s="192"/>
      <c r="BY124" s="192"/>
      <c r="BZ124" s="198"/>
      <c r="CA124" s="198"/>
      <c r="CB124" s="192"/>
      <c r="CC124" s="192"/>
      <c r="CD124" s="198"/>
      <c r="CE124" s="198"/>
      <c r="CF124" s="192"/>
      <c r="CG124" s="192"/>
      <c r="CH124" s="198"/>
      <c r="CI124" s="198"/>
      <c r="CJ124" s="192"/>
      <c r="CK124" s="192"/>
      <c r="CL124" s="198"/>
      <c r="CM124" s="198"/>
      <c r="CQ124" s="206"/>
    </row>
    <row r="125" spans="2:95" ht="13.5" customHeight="1">
      <c r="C125" s="39"/>
      <c r="D125" s="39"/>
      <c r="E125" s="39"/>
      <c r="F125" s="39"/>
      <c r="G125" s="39"/>
      <c r="H125" s="39"/>
      <c r="I125" s="39"/>
      <c r="J125" s="39"/>
      <c r="K125" s="39"/>
      <c r="L125" s="39"/>
      <c r="M125" s="39"/>
      <c r="N125" s="39"/>
      <c r="O125" s="39"/>
      <c r="P125" s="39"/>
      <c r="Q125" s="39"/>
      <c r="R125" s="39"/>
      <c r="S125" s="39"/>
      <c r="T125" s="6"/>
      <c r="V125" s="39"/>
      <c r="W125" s="39"/>
      <c r="X125" s="39"/>
      <c r="Y125" s="6"/>
      <c r="Z125" s="39"/>
      <c r="AA125" s="39"/>
      <c r="AB125" s="39"/>
      <c r="AC125" s="39"/>
      <c r="AD125" s="39"/>
      <c r="AE125" s="39"/>
      <c r="AF125" s="39"/>
      <c r="AG125" s="39"/>
      <c r="AH125" s="39"/>
      <c r="AI125" s="39"/>
      <c r="AJ125" s="39"/>
      <c r="AK125" s="39"/>
      <c r="AL125" s="39"/>
      <c r="AM125" s="39"/>
      <c r="AN125" s="39"/>
      <c r="AO125" s="39"/>
      <c r="AP125" s="39"/>
      <c r="AQ125" s="39"/>
      <c r="AR125" s="39"/>
      <c r="AS125" s="39"/>
      <c r="AT125" s="39"/>
      <c r="AU125" s="39"/>
      <c r="AV125" s="39"/>
      <c r="AW125" s="39"/>
      <c r="AX125" s="39"/>
      <c r="AY125" s="39"/>
      <c r="AZ125" s="39"/>
      <c r="BA125" s="39"/>
      <c r="BB125" s="39"/>
      <c r="BC125" s="39"/>
      <c r="BD125" s="39"/>
      <c r="BE125" s="39"/>
      <c r="BF125" s="256"/>
      <c r="BG125" s="199"/>
      <c r="BH125" s="199"/>
      <c r="BI125" s="199"/>
      <c r="BJ125" s="199"/>
      <c r="BK125" s="199"/>
      <c r="BM125" s="199"/>
      <c r="BN125" s="192"/>
      <c r="BO125" s="199"/>
      <c r="BP125" s="199"/>
      <c r="BQ125" s="192"/>
      <c r="BR125" s="192"/>
      <c r="BS125" s="192"/>
      <c r="BT125" s="199"/>
      <c r="BU125" s="199"/>
      <c r="BV125" s="192"/>
      <c r="BW125" s="192"/>
      <c r="BX125" s="192"/>
      <c r="BY125" s="192"/>
      <c r="BZ125" s="199"/>
      <c r="CA125" s="199"/>
      <c r="CB125" s="192"/>
      <c r="CC125" s="192"/>
      <c r="CD125" s="199"/>
      <c r="CE125" s="199"/>
      <c r="CF125" s="192"/>
      <c r="CG125" s="192"/>
      <c r="CH125" s="199"/>
      <c r="CI125" s="199"/>
      <c r="CJ125" s="192"/>
      <c r="CK125" s="192"/>
      <c r="CL125" s="199"/>
      <c r="CM125" s="199"/>
      <c r="CQ125" s="206"/>
    </row>
    <row r="126" spans="2:95" ht="13.5" customHeight="1">
      <c r="B126" s="1" t="s">
        <v>20</v>
      </c>
      <c r="C126" s="39">
        <v>909.98099999999999</v>
      </c>
      <c r="D126" s="39">
        <v>385.34100000000001</v>
      </c>
      <c r="E126" s="39">
        <v>695.01099999999997</v>
      </c>
      <c r="F126" s="39">
        <v>531.36400000000003</v>
      </c>
      <c r="G126" s="39">
        <v>531.36400000000003</v>
      </c>
      <c r="H126" s="39">
        <v>1386.0029999999999</v>
      </c>
      <c r="I126" s="39">
        <v>1909.018</v>
      </c>
      <c r="J126" s="39">
        <v>2832.8829999999998</v>
      </c>
      <c r="K126" s="39">
        <v>4692.8410000000003</v>
      </c>
      <c r="L126" s="39">
        <v>5218.8149999999996</v>
      </c>
      <c r="M126" s="39">
        <v>6003.5249999999996</v>
      </c>
      <c r="N126" s="39">
        <v>6975.777</v>
      </c>
      <c r="O126" s="6">
        <f t="shared" ref="O126:O133" si="317">BD126</f>
        <v>8799.5540000000001</v>
      </c>
      <c r="P126" s="6"/>
      <c r="Q126" s="4">
        <v>600.13300000000004</v>
      </c>
      <c r="R126" s="4">
        <v>600.67600000000004</v>
      </c>
      <c r="S126" s="4">
        <v>562.31399999999996</v>
      </c>
      <c r="T126" s="6">
        <f t="shared" ref="T126:T131" si="318">E126</f>
        <v>695.01099999999997</v>
      </c>
      <c r="V126" s="4">
        <v>613.31700000000001</v>
      </c>
      <c r="W126" s="4">
        <v>408.20800000000003</v>
      </c>
      <c r="X126" s="4">
        <v>399.94600000000003</v>
      </c>
      <c r="Y126" s="6">
        <f t="shared" ref="Y126:Y131" si="319">F126</f>
        <v>531.36400000000003</v>
      </c>
      <c r="Z126" s="4">
        <v>550.28899999999999</v>
      </c>
      <c r="AA126" s="4">
        <v>727.01499999999999</v>
      </c>
      <c r="AB126" s="4">
        <v>1066.4839999999999</v>
      </c>
      <c r="AC126" s="6">
        <f t="shared" ref="AC126:AC131" si="320">H126</f>
        <v>1386.0029999999999</v>
      </c>
      <c r="AD126" s="39">
        <v>1946.665</v>
      </c>
      <c r="AE126" s="4">
        <v>2474.6959999999999</v>
      </c>
      <c r="AF126" s="39">
        <v>2257.21</v>
      </c>
      <c r="AG126" s="39">
        <f t="shared" ref="AG126:AG131" si="321">I126</f>
        <v>1909.018</v>
      </c>
      <c r="AH126" s="39">
        <v>3358.886</v>
      </c>
      <c r="AI126" s="4">
        <v>3504.1909999999998</v>
      </c>
      <c r="AJ126" s="39">
        <v>3225.37</v>
      </c>
      <c r="AK126" s="39">
        <f t="shared" ref="AK126:AK131" si="322">J126</f>
        <v>2832.8829999999998</v>
      </c>
      <c r="AL126" s="39">
        <v>3605.6819999999998</v>
      </c>
      <c r="AM126" s="4">
        <v>3313.8939999999998</v>
      </c>
      <c r="AN126" s="39">
        <v>3969.7869999999998</v>
      </c>
      <c r="AO126" s="361">
        <f t="shared" ref="AO126:AO133" si="323">K126</f>
        <v>4692.8410000000003</v>
      </c>
      <c r="AP126" s="39">
        <v>4217.576</v>
      </c>
      <c r="AQ126" s="39">
        <v>4755.5820000000003</v>
      </c>
      <c r="AR126" s="39">
        <v>5657.527</v>
      </c>
      <c r="AS126" s="361">
        <f t="shared" ref="AS126:AS133" si="324">L126</f>
        <v>5218.8149999999996</v>
      </c>
      <c r="AT126" s="39">
        <v>4359.9089999999997</v>
      </c>
      <c r="AU126" s="39">
        <v>7572.4639999999999</v>
      </c>
      <c r="AV126" s="39">
        <v>5601.6989999999996</v>
      </c>
      <c r="AW126" s="361">
        <f t="shared" ref="AW126:AW133" si="325">M126</f>
        <v>6003.5249999999996</v>
      </c>
      <c r="AX126" s="39">
        <v>5878.4930000000004</v>
      </c>
      <c r="AY126" s="39">
        <v>5895.0029999999997</v>
      </c>
      <c r="AZ126" s="39">
        <v>5056.2370000000001</v>
      </c>
      <c r="BA126" s="361">
        <f t="shared" ref="BA126:BA133" si="326">N126</f>
        <v>6975.777</v>
      </c>
      <c r="BB126" s="39">
        <v>6856.5159999999996</v>
      </c>
      <c r="BC126" s="39">
        <v>7141.2139999999999</v>
      </c>
      <c r="BD126" s="39">
        <v>8799.5540000000001</v>
      </c>
      <c r="BE126" s="39"/>
      <c r="BF126" s="243"/>
      <c r="BG126" s="195"/>
      <c r="BH126" s="195"/>
      <c r="BI126" s="195"/>
      <c r="BJ126" s="195"/>
      <c r="BK126" s="195"/>
      <c r="BM126" s="195"/>
      <c r="BN126" s="192"/>
      <c r="BO126" s="195"/>
      <c r="BP126" s="195"/>
      <c r="BQ126" s="192"/>
      <c r="BR126" s="192"/>
      <c r="BS126" s="192"/>
      <c r="BT126" s="195"/>
      <c r="BU126" s="195"/>
      <c r="BV126" s="192"/>
      <c r="BW126" s="192"/>
      <c r="BX126" s="192"/>
      <c r="BY126" s="192"/>
      <c r="BZ126" s="195"/>
      <c r="CA126" s="195"/>
      <c r="CB126" s="192"/>
      <c r="CC126" s="192"/>
      <c r="CD126" s="195"/>
      <c r="CE126" s="195"/>
      <c r="CF126" s="192"/>
      <c r="CG126" s="192"/>
      <c r="CH126" s="195"/>
      <c r="CI126" s="195"/>
      <c r="CJ126" s="192"/>
      <c r="CK126" s="192"/>
      <c r="CL126" s="195"/>
      <c r="CM126" s="195"/>
      <c r="CQ126" s="206"/>
    </row>
    <row r="127" spans="2:95" ht="13.5" customHeight="1">
      <c r="B127" s="1" t="s">
        <v>21</v>
      </c>
      <c r="C127" s="39">
        <v>7749.7020000000002</v>
      </c>
      <c r="D127" s="39">
        <v>8845.2999999999993</v>
      </c>
      <c r="E127" s="39">
        <v>7725.5060000000003</v>
      </c>
      <c r="F127" s="39">
        <v>8582.0509999999995</v>
      </c>
      <c r="G127" s="39">
        <v>8582.0509999999995</v>
      </c>
      <c r="H127" s="39">
        <v>12829.328</v>
      </c>
      <c r="I127" s="39">
        <v>15039.625</v>
      </c>
      <c r="J127" s="39">
        <v>16546.53</v>
      </c>
      <c r="K127" s="39">
        <v>16138.569</v>
      </c>
      <c r="L127" s="39">
        <v>24788.824000000001</v>
      </c>
      <c r="M127" s="39">
        <v>18891.544999999998</v>
      </c>
      <c r="N127" s="39">
        <v>20525.423999999999</v>
      </c>
      <c r="O127" s="6">
        <f t="shared" si="317"/>
        <v>17496.37</v>
      </c>
      <c r="P127" s="6"/>
      <c r="Q127" s="4">
        <v>8235.4</v>
      </c>
      <c r="R127" s="4">
        <v>7546.3549999999996</v>
      </c>
      <c r="S127" s="4">
        <v>8296.1329999999998</v>
      </c>
      <c r="T127" s="6">
        <f t="shared" si="318"/>
        <v>7725.5060000000003</v>
      </c>
      <c r="V127" s="4">
        <v>8882.5480000000007</v>
      </c>
      <c r="W127" s="4">
        <v>8537.19</v>
      </c>
      <c r="X127" s="4">
        <v>8266.607</v>
      </c>
      <c r="Y127" s="6">
        <f t="shared" si="319"/>
        <v>8582.0509999999995</v>
      </c>
      <c r="Z127" s="4">
        <v>11277.927</v>
      </c>
      <c r="AA127" s="4">
        <v>12769.71</v>
      </c>
      <c r="AB127" s="4">
        <v>13286.273999999999</v>
      </c>
      <c r="AC127" s="6">
        <f t="shared" si="320"/>
        <v>12829.328</v>
      </c>
      <c r="AD127" s="39">
        <v>12909.459000000001</v>
      </c>
      <c r="AE127" s="4">
        <v>12321.694</v>
      </c>
      <c r="AF127" s="39">
        <v>15471.263999999999</v>
      </c>
      <c r="AG127" s="39">
        <f t="shared" si="321"/>
        <v>15039.625</v>
      </c>
      <c r="AH127" s="39">
        <v>17153.174999999999</v>
      </c>
      <c r="AI127" s="4">
        <v>17986.813999999998</v>
      </c>
      <c r="AJ127" s="39">
        <v>17871.079000000002</v>
      </c>
      <c r="AK127" s="39">
        <f t="shared" si="322"/>
        <v>16546.53</v>
      </c>
      <c r="AL127" s="39">
        <v>16589.825000000001</v>
      </c>
      <c r="AM127" s="4">
        <v>14719.686</v>
      </c>
      <c r="AN127" s="39">
        <v>15981.656000000001</v>
      </c>
      <c r="AO127" s="361">
        <f t="shared" si="323"/>
        <v>16138.569</v>
      </c>
      <c r="AP127" s="39">
        <v>12964.1</v>
      </c>
      <c r="AQ127" s="39">
        <v>26254.264999999999</v>
      </c>
      <c r="AR127" s="39">
        <v>25831.624</v>
      </c>
      <c r="AS127" s="361">
        <f t="shared" si="324"/>
        <v>24788.824000000001</v>
      </c>
      <c r="AT127" s="39">
        <v>23873.541000000001</v>
      </c>
      <c r="AU127" s="39">
        <v>21692.01</v>
      </c>
      <c r="AV127" s="39">
        <v>20892.934000000001</v>
      </c>
      <c r="AW127" s="361">
        <f t="shared" si="325"/>
        <v>18891.544999999998</v>
      </c>
      <c r="AX127" s="39">
        <v>19384.165000000001</v>
      </c>
      <c r="AY127" s="39">
        <v>21225.202000000001</v>
      </c>
      <c r="AZ127" s="39">
        <v>20652.569</v>
      </c>
      <c r="BA127" s="361">
        <f t="shared" si="326"/>
        <v>20525.423999999999</v>
      </c>
      <c r="BB127" s="39">
        <v>18782.028999999999</v>
      </c>
      <c r="BC127" s="39">
        <v>18063.016</v>
      </c>
      <c r="BD127" s="39">
        <v>17496.37</v>
      </c>
      <c r="BE127" s="39"/>
      <c r="BF127" s="243"/>
      <c r="BG127" s="195"/>
      <c r="BH127" s="195"/>
      <c r="BI127" s="195"/>
      <c r="BJ127" s="195"/>
      <c r="BK127" s="195"/>
      <c r="BM127" s="195"/>
      <c r="BN127" s="192"/>
      <c r="BO127" s="195"/>
      <c r="BP127" s="195"/>
      <c r="BQ127" s="192"/>
      <c r="BR127" s="192"/>
      <c r="BS127" s="192"/>
      <c r="BT127" s="195"/>
      <c r="BU127" s="195"/>
      <c r="BV127" s="192"/>
      <c r="BW127" s="192"/>
      <c r="BX127" s="192"/>
      <c r="BY127" s="192"/>
      <c r="BZ127" s="195"/>
      <c r="CA127" s="195"/>
      <c r="CB127" s="192"/>
      <c r="CC127" s="192"/>
      <c r="CD127" s="195"/>
      <c r="CE127" s="195"/>
      <c r="CF127" s="192"/>
      <c r="CG127" s="192"/>
      <c r="CH127" s="195"/>
      <c r="CI127" s="195"/>
      <c r="CJ127" s="192"/>
      <c r="CK127" s="192"/>
      <c r="CL127" s="195"/>
      <c r="CM127" s="195"/>
      <c r="CQ127" s="206"/>
    </row>
    <row r="128" spans="2:95" ht="13.5" customHeight="1">
      <c r="B128" s="1" t="s">
        <v>22</v>
      </c>
      <c r="C128" s="39">
        <v>871.76</v>
      </c>
      <c r="D128" s="39">
        <v>1400.299</v>
      </c>
      <c r="E128" s="39">
        <v>1629.04</v>
      </c>
      <c r="F128" s="39">
        <v>1693.0139999999999</v>
      </c>
      <c r="G128" s="39">
        <v>1726.173</v>
      </c>
      <c r="H128" s="39">
        <v>291.75700000000001</v>
      </c>
      <c r="I128" s="39">
        <v>2267.1320000000001</v>
      </c>
      <c r="J128" s="39">
        <v>2739.3589999999999</v>
      </c>
      <c r="K128" s="39">
        <v>2146.1460000000002</v>
      </c>
      <c r="L128" s="39">
        <v>6263.45</v>
      </c>
      <c r="M128" s="39">
        <v>5667.8810000000003</v>
      </c>
      <c r="N128" s="39">
        <v>5340.52</v>
      </c>
      <c r="O128" s="6">
        <f t="shared" si="317"/>
        <v>4752.5230000000001</v>
      </c>
      <c r="P128" s="6"/>
      <c r="Q128" s="4">
        <v>1813.6510000000001</v>
      </c>
      <c r="R128" s="4">
        <v>1596.1869999999999</v>
      </c>
      <c r="S128" s="4">
        <v>1532.7449999999999</v>
      </c>
      <c r="T128" s="6">
        <f t="shared" si="318"/>
        <v>1629.04</v>
      </c>
      <c r="V128" s="4">
        <v>1621.623</v>
      </c>
      <c r="W128" s="4">
        <v>1762.7</v>
      </c>
      <c r="X128" s="4">
        <v>1533.45</v>
      </c>
      <c r="Y128" s="6">
        <f t="shared" si="319"/>
        <v>1693.0139999999999</v>
      </c>
      <c r="Z128" s="4">
        <v>103.703</v>
      </c>
      <c r="AA128" s="4">
        <v>3829.9369999999999</v>
      </c>
      <c r="AB128" s="4">
        <v>4225.0910000000003</v>
      </c>
      <c r="AC128" s="6">
        <f t="shared" si="320"/>
        <v>291.75700000000001</v>
      </c>
      <c r="AD128" s="39">
        <v>302.92500000000001</v>
      </c>
      <c r="AE128" s="4">
        <v>401.70600000000002</v>
      </c>
      <c r="AF128" s="39">
        <v>208.13900000000001</v>
      </c>
      <c r="AG128" s="39">
        <f t="shared" si="321"/>
        <v>2267.1320000000001</v>
      </c>
      <c r="AH128" s="39">
        <v>3323.3429999999998</v>
      </c>
      <c r="AI128" s="4">
        <v>3053.2280000000001</v>
      </c>
      <c r="AJ128" s="39">
        <v>2793.875</v>
      </c>
      <c r="AK128" s="39">
        <f t="shared" si="322"/>
        <v>2739.3589999999999</v>
      </c>
      <c r="AL128" s="39">
        <v>2975.9560000000001</v>
      </c>
      <c r="AM128" s="4">
        <v>2012.778</v>
      </c>
      <c r="AN128" s="39">
        <v>1904.4159999999999</v>
      </c>
      <c r="AO128" s="361">
        <f t="shared" si="323"/>
        <v>2146.1460000000002</v>
      </c>
      <c r="AP128" s="39">
        <v>4608.1260000000002</v>
      </c>
      <c r="AQ128" s="39">
        <v>5064.1019999999999</v>
      </c>
      <c r="AR128" s="39">
        <v>6682.0550000000003</v>
      </c>
      <c r="AS128" s="361">
        <f t="shared" si="324"/>
        <v>6263.45</v>
      </c>
      <c r="AT128" s="39">
        <v>5520.5290000000005</v>
      </c>
      <c r="AU128" s="39">
        <v>5045.7719999999999</v>
      </c>
      <c r="AV128" s="39">
        <v>4818.45</v>
      </c>
      <c r="AW128" s="361">
        <f t="shared" si="325"/>
        <v>5667.8810000000003</v>
      </c>
      <c r="AX128" s="39">
        <v>3815.924</v>
      </c>
      <c r="AY128" s="39">
        <v>4625.5339999999997</v>
      </c>
      <c r="AZ128" s="39">
        <v>4498.5429999999997</v>
      </c>
      <c r="BA128" s="361">
        <f t="shared" si="326"/>
        <v>5340.52</v>
      </c>
      <c r="BB128" s="39">
        <v>4789.3190000000004</v>
      </c>
      <c r="BC128" s="39">
        <v>4888.5559999999996</v>
      </c>
      <c r="BD128" s="39">
        <v>4752.5230000000001</v>
      </c>
      <c r="BE128" s="39"/>
      <c r="BF128" s="243"/>
      <c r="BG128" s="195"/>
      <c r="BH128" s="195"/>
      <c r="BI128" s="195"/>
      <c r="BJ128" s="195"/>
      <c r="BK128" s="195"/>
      <c r="BM128" s="195"/>
      <c r="BN128" s="192"/>
      <c r="BO128" s="195"/>
      <c r="BP128" s="195"/>
      <c r="BQ128" s="192"/>
      <c r="BR128" s="192"/>
      <c r="BS128" s="192"/>
      <c r="BT128" s="195"/>
      <c r="BU128" s="195"/>
      <c r="BV128" s="192"/>
      <c r="BW128" s="192"/>
      <c r="BX128" s="192"/>
      <c r="BY128" s="192"/>
      <c r="BZ128" s="195"/>
      <c r="CA128" s="195"/>
      <c r="CB128" s="192"/>
      <c r="CC128" s="192"/>
      <c r="CD128" s="195"/>
      <c r="CE128" s="195"/>
      <c r="CF128" s="192"/>
      <c r="CG128" s="192"/>
      <c r="CH128" s="195"/>
      <c r="CI128" s="195"/>
      <c r="CJ128" s="192"/>
      <c r="CK128" s="192"/>
      <c r="CL128" s="195"/>
      <c r="CM128" s="195"/>
      <c r="CQ128" s="206"/>
    </row>
    <row r="129" spans="2:98" ht="13.5" customHeight="1">
      <c r="B129" s="1" t="s">
        <v>23</v>
      </c>
      <c r="C129" s="39">
        <v>556.78099999999995</v>
      </c>
      <c r="D129" s="39">
        <v>605.51499999999999</v>
      </c>
      <c r="E129" s="39">
        <v>411.33100000000002</v>
      </c>
      <c r="F129" s="39">
        <v>1331.078</v>
      </c>
      <c r="G129" s="39">
        <v>1331.078</v>
      </c>
      <c r="H129" s="39">
        <v>515.82399999999996</v>
      </c>
      <c r="I129" s="39">
        <v>1633.277</v>
      </c>
      <c r="J129" s="39">
        <v>1681.991</v>
      </c>
      <c r="K129" s="39">
        <v>0</v>
      </c>
      <c r="L129" s="39">
        <v>1656.7049999999999</v>
      </c>
      <c r="M129" s="39">
        <v>2452.259</v>
      </c>
      <c r="N129" s="39">
        <v>3057.761</v>
      </c>
      <c r="O129" s="6">
        <f t="shared" si="317"/>
        <v>2498.7139999999999</v>
      </c>
      <c r="P129" s="6"/>
      <c r="Q129" s="4">
        <v>488.52300000000002</v>
      </c>
      <c r="R129" s="4">
        <v>605.81899999999996</v>
      </c>
      <c r="S129" s="4">
        <v>531.89200000000005</v>
      </c>
      <c r="T129" s="6">
        <f t="shared" si="318"/>
        <v>411.33100000000002</v>
      </c>
      <c r="V129" s="4">
        <v>355.452</v>
      </c>
      <c r="W129" s="4">
        <v>1082.1220000000001</v>
      </c>
      <c r="X129" s="4">
        <v>1042.3499999999999</v>
      </c>
      <c r="Y129" s="6">
        <f t="shared" si="319"/>
        <v>1331.078</v>
      </c>
      <c r="Z129" s="4">
        <v>0</v>
      </c>
      <c r="AA129" s="4">
        <v>1264.6510000000001</v>
      </c>
      <c r="AB129" s="4">
        <v>512.08799999999997</v>
      </c>
      <c r="AC129" s="6">
        <f t="shared" si="320"/>
        <v>515.82399999999996</v>
      </c>
      <c r="AD129" s="39">
        <v>928.755</v>
      </c>
      <c r="AE129" s="4">
        <v>1144.4079999999999</v>
      </c>
      <c r="AF129" s="39">
        <v>701.79200000000003</v>
      </c>
      <c r="AG129" s="39">
        <f t="shared" si="321"/>
        <v>1633.277</v>
      </c>
      <c r="AH129" s="39">
        <v>2309.1280000000002</v>
      </c>
      <c r="AI129" s="4">
        <v>0</v>
      </c>
      <c r="AJ129" s="39">
        <v>1120.078</v>
      </c>
      <c r="AK129" s="39">
        <f t="shared" si="322"/>
        <v>1681.991</v>
      </c>
      <c r="AL129" s="39">
        <v>2655.1610000000001</v>
      </c>
      <c r="AM129" s="4">
        <v>1232.43</v>
      </c>
      <c r="AN129" s="39">
        <v>868.78899999999999</v>
      </c>
      <c r="AO129" s="361">
        <f t="shared" si="323"/>
        <v>0</v>
      </c>
      <c r="AP129" s="39">
        <v>789.26700000000005</v>
      </c>
      <c r="AQ129" s="39">
        <v>1372.653</v>
      </c>
      <c r="AR129" s="39">
        <v>742.26800000000003</v>
      </c>
      <c r="AS129" s="361">
        <f t="shared" si="324"/>
        <v>1656.7049999999999</v>
      </c>
      <c r="AT129" s="39">
        <v>2359.4290000000001</v>
      </c>
      <c r="AU129" s="39">
        <v>2269.3429999999998</v>
      </c>
      <c r="AV129" s="39">
        <v>2637.866</v>
      </c>
      <c r="AW129" s="361">
        <f t="shared" si="325"/>
        <v>2452.259</v>
      </c>
      <c r="AX129" s="39">
        <v>3244.3139999999999</v>
      </c>
      <c r="AY129" s="39">
        <v>3442.8069999999998</v>
      </c>
      <c r="AZ129" s="39">
        <v>3333.3519999999999</v>
      </c>
      <c r="BA129" s="361">
        <f t="shared" si="326"/>
        <v>3057.761</v>
      </c>
      <c r="BB129" s="39">
        <v>3714.2150000000001</v>
      </c>
      <c r="BC129" s="39">
        <v>3590.7089999999998</v>
      </c>
      <c r="BD129" s="39">
        <v>2498.7139999999999</v>
      </c>
      <c r="BE129" s="39"/>
      <c r="BF129" s="243"/>
      <c r="BG129" s="195"/>
      <c r="BH129" s="195"/>
      <c r="BI129" s="195"/>
      <c r="BJ129" s="195"/>
      <c r="BK129" s="195"/>
      <c r="BM129" s="195"/>
      <c r="BN129" s="192"/>
      <c r="BO129" s="195"/>
      <c r="BP129" s="195"/>
      <c r="BQ129" s="192"/>
      <c r="BR129" s="192"/>
      <c r="BS129" s="192"/>
      <c r="BT129" s="195"/>
      <c r="BU129" s="195"/>
      <c r="BV129" s="192"/>
      <c r="BW129" s="192"/>
      <c r="BX129" s="192"/>
      <c r="BY129" s="192"/>
      <c r="BZ129" s="195"/>
      <c r="CA129" s="195"/>
      <c r="CB129" s="192"/>
      <c r="CC129" s="192"/>
      <c r="CD129" s="195"/>
      <c r="CE129" s="195"/>
      <c r="CF129" s="192"/>
      <c r="CG129" s="192"/>
      <c r="CH129" s="195"/>
      <c r="CI129" s="195"/>
      <c r="CJ129" s="192"/>
      <c r="CK129" s="192"/>
      <c r="CL129" s="195"/>
      <c r="CM129" s="195"/>
      <c r="CQ129" s="206"/>
    </row>
    <row r="130" spans="2:98" ht="13.5" customHeight="1">
      <c r="B130" s="1" t="s">
        <v>24</v>
      </c>
      <c r="C130" s="39">
        <v>26.16</v>
      </c>
      <c r="D130" s="39">
        <v>58.36</v>
      </c>
      <c r="E130" s="39">
        <v>25.765999999999998</v>
      </c>
      <c r="F130" s="39">
        <v>33.158999999999999</v>
      </c>
      <c r="G130" s="39"/>
      <c r="H130" s="39"/>
      <c r="I130" s="39"/>
      <c r="J130" s="39"/>
      <c r="K130" s="39">
        <v>0</v>
      </c>
      <c r="L130" s="39">
        <v>0</v>
      </c>
      <c r="M130" s="39">
        <v>0</v>
      </c>
      <c r="N130" s="39">
        <v>0</v>
      </c>
      <c r="O130" s="6">
        <f t="shared" si="317"/>
        <v>0</v>
      </c>
      <c r="P130" s="6"/>
      <c r="Q130" s="4">
        <v>35.47</v>
      </c>
      <c r="R130" s="4">
        <v>28.588000000000001</v>
      </c>
      <c r="S130" s="4">
        <v>25.731000000000002</v>
      </c>
      <c r="T130" s="6">
        <f t="shared" si="318"/>
        <v>25.765999999999998</v>
      </c>
      <c r="V130" s="4">
        <v>31.623000000000001</v>
      </c>
      <c r="W130" s="4">
        <v>33.07</v>
      </c>
      <c r="X130" s="4">
        <v>31.739000000000001</v>
      </c>
      <c r="Y130" s="6">
        <f t="shared" si="319"/>
        <v>33.158999999999999</v>
      </c>
      <c r="Z130" s="4">
        <v>33.125</v>
      </c>
      <c r="AA130" s="4">
        <v>38.593000000000004</v>
      </c>
      <c r="AB130" s="4">
        <v>40.335999999999999</v>
      </c>
      <c r="AC130" s="6">
        <f t="shared" si="320"/>
        <v>0</v>
      </c>
      <c r="AD130" s="4">
        <v>0</v>
      </c>
      <c r="AE130" s="4">
        <v>0</v>
      </c>
      <c r="AF130" s="4">
        <v>0</v>
      </c>
      <c r="AG130" s="39">
        <f t="shared" si="321"/>
        <v>0</v>
      </c>
      <c r="AH130" s="4">
        <v>0</v>
      </c>
      <c r="AI130" s="4">
        <v>0</v>
      </c>
      <c r="AJ130" s="4">
        <v>0</v>
      </c>
      <c r="AK130" s="39">
        <f t="shared" si="322"/>
        <v>0</v>
      </c>
      <c r="AL130" s="4">
        <v>0</v>
      </c>
      <c r="AM130" s="4">
        <v>0</v>
      </c>
      <c r="AN130" s="4">
        <v>0</v>
      </c>
      <c r="AO130" s="361">
        <f t="shared" si="323"/>
        <v>0</v>
      </c>
      <c r="AP130" s="4">
        <v>0</v>
      </c>
      <c r="AQ130" s="4">
        <v>414.67899999999997</v>
      </c>
      <c r="AR130" s="39">
        <v>0</v>
      </c>
      <c r="AS130" s="361">
        <f t="shared" si="324"/>
        <v>0</v>
      </c>
      <c r="AT130" s="39">
        <v>0</v>
      </c>
      <c r="AU130" s="39">
        <v>0</v>
      </c>
      <c r="AV130" s="39">
        <v>0</v>
      </c>
      <c r="AW130" s="361">
        <f t="shared" si="325"/>
        <v>0</v>
      </c>
      <c r="AX130" s="39">
        <v>0</v>
      </c>
      <c r="AY130" s="39">
        <v>0</v>
      </c>
      <c r="AZ130" s="39">
        <v>0</v>
      </c>
      <c r="BA130" s="361">
        <f t="shared" si="326"/>
        <v>0</v>
      </c>
      <c r="BB130" s="39">
        <v>0</v>
      </c>
      <c r="BC130" s="39">
        <v>0</v>
      </c>
      <c r="BD130" s="39">
        <v>0</v>
      </c>
      <c r="BE130" s="39"/>
      <c r="BF130" s="243"/>
      <c r="BG130" s="195"/>
      <c r="BH130" s="195"/>
      <c r="BI130" s="195"/>
      <c r="BJ130" s="195"/>
      <c r="BK130" s="195"/>
      <c r="BM130" s="195"/>
      <c r="BN130" s="192"/>
      <c r="BO130" s="195"/>
      <c r="BP130" s="195"/>
      <c r="BQ130" s="192"/>
      <c r="BR130" s="192"/>
      <c r="BS130" s="192"/>
      <c r="BT130" s="195"/>
      <c r="BU130" s="195"/>
      <c r="BV130" s="192"/>
      <c r="BW130" s="192"/>
      <c r="BX130" s="192"/>
      <c r="BY130" s="192"/>
      <c r="BZ130" s="195"/>
      <c r="CA130" s="195"/>
      <c r="CB130" s="192"/>
      <c r="CC130" s="192"/>
      <c r="CD130" s="195"/>
      <c r="CE130" s="195"/>
      <c r="CF130" s="192"/>
      <c r="CG130" s="192"/>
      <c r="CH130" s="195"/>
      <c r="CI130" s="195"/>
      <c r="CJ130" s="192"/>
      <c r="CK130" s="192"/>
      <c r="CL130" s="195"/>
      <c r="CM130" s="195"/>
      <c r="CQ130" s="206"/>
    </row>
    <row r="131" spans="2:98" ht="13.5" customHeight="1">
      <c r="B131" s="1" t="s">
        <v>25</v>
      </c>
      <c r="C131" s="39">
        <v>21.600999999999999</v>
      </c>
      <c r="D131" s="39">
        <v>15.879</v>
      </c>
      <c r="E131" s="39">
        <v>0</v>
      </c>
      <c r="F131" s="39">
        <v>0</v>
      </c>
      <c r="G131" s="39"/>
      <c r="H131" s="39"/>
      <c r="I131" s="39"/>
      <c r="J131" s="39"/>
      <c r="K131" s="39">
        <v>0</v>
      </c>
      <c r="L131" s="39">
        <v>0</v>
      </c>
      <c r="M131" s="39">
        <v>0</v>
      </c>
      <c r="N131" s="39">
        <v>0</v>
      </c>
      <c r="O131" s="6">
        <f t="shared" si="317"/>
        <v>0</v>
      </c>
      <c r="P131" s="6"/>
      <c r="Q131" s="4">
        <v>14.238</v>
      </c>
      <c r="R131" s="4">
        <v>13.052</v>
      </c>
      <c r="S131" s="4">
        <v>0</v>
      </c>
      <c r="T131" s="6">
        <f t="shared" si="318"/>
        <v>0</v>
      </c>
      <c r="V131" s="4">
        <v>0</v>
      </c>
      <c r="W131" s="4">
        <v>0</v>
      </c>
      <c r="X131" s="4">
        <v>0</v>
      </c>
      <c r="Y131" s="6">
        <f t="shared" si="319"/>
        <v>0</v>
      </c>
      <c r="Z131" s="4">
        <v>0</v>
      </c>
      <c r="AA131" s="4">
        <v>0</v>
      </c>
      <c r="AB131" s="4">
        <v>0</v>
      </c>
      <c r="AC131" s="6">
        <f t="shared" si="320"/>
        <v>0</v>
      </c>
      <c r="AD131" s="4">
        <v>0</v>
      </c>
      <c r="AE131" s="4">
        <v>0</v>
      </c>
      <c r="AF131" s="4">
        <v>0</v>
      </c>
      <c r="AG131" s="39">
        <f t="shared" si="321"/>
        <v>0</v>
      </c>
      <c r="AH131" s="4">
        <v>0</v>
      </c>
      <c r="AI131" s="4">
        <v>0</v>
      </c>
      <c r="AJ131" s="4">
        <v>0</v>
      </c>
      <c r="AK131" s="39">
        <f t="shared" si="322"/>
        <v>0</v>
      </c>
      <c r="AL131" s="4">
        <v>0</v>
      </c>
      <c r="AM131" s="4">
        <v>0</v>
      </c>
      <c r="AN131" s="4">
        <v>0</v>
      </c>
      <c r="AO131" s="361">
        <f t="shared" si="323"/>
        <v>0</v>
      </c>
      <c r="AP131" s="4">
        <v>0</v>
      </c>
      <c r="AQ131" s="4">
        <v>0</v>
      </c>
      <c r="AR131" s="39">
        <v>0</v>
      </c>
      <c r="AS131" s="361">
        <f t="shared" si="324"/>
        <v>0</v>
      </c>
      <c r="AT131" s="39">
        <v>0</v>
      </c>
      <c r="AU131" s="39">
        <v>0</v>
      </c>
      <c r="AV131" s="39">
        <v>0</v>
      </c>
      <c r="AW131" s="361">
        <f t="shared" si="325"/>
        <v>0</v>
      </c>
      <c r="AX131" s="39">
        <v>0</v>
      </c>
      <c r="AY131" s="39">
        <v>0</v>
      </c>
      <c r="AZ131" s="39">
        <v>0</v>
      </c>
      <c r="BA131" s="361">
        <f t="shared" si="326"/>
        <v>0</v>
      </c>
      <c r="BB131" s="39">
        <v>0</v>
      </c>
      <c r="BC131" s="39">
        <v>0</v>
      </c>
      <c r="BD131" s="39">
        <v>0</v>
      </c>
      <c r="BE131" s="39"/>
      <c r="BF131" s="243"/>
      <c r="BG131" s="195"/>
      <c r="BH131" s="195"/>
      <c r="BI131" s="195"/>
      <c r="BJ131" s="195"/>
      <c r="BK131" s="195"/>
      <c r="BM131" s="195"/>
      <c r="BN131" s="192"/>
      <c r="BO131" s="195"/>
      <c r="BP131" s="195"/>
      <c r="BQ131" s="192"/>
      <c r="BR131" s="192"/>
      <c r="BS131" s="192"/>
      <c r="BT131" s="195"/>
      <c r="BU131" s="195"/>
      <c r="BV131" s="192"/>
      <c r="BW131" s="192"/>
      <c r="BX131" s="192"/>
      <c r="BY131" s="192"/>
      <c r="BZ131" s="195"/>
      <c r="CA131" s="195"/>
      <c r="CB131" s="192"/>
      <c r="CC131" s="192"/>
      <c r="CD131" s="195"/>
      <c r="CE131" s="195"/>
      <c r="CF131" s="192"/>
      <c r="CG131" s="192"/>
      <c r="CH131" s="195"/>
      <c r="CI131" s="195"/>
      <c r="CJ131" s="192"/>
      <c r="CK131" s="192"/>
      <c r="CL131" s="195"/>
      <c r="CM131" s="195"/>
      <c r="CQ131" s="206"/>
    </row>
    <row r="132" spans="2:98" ht="13.5" customHeight="1">
      <c r="B132" s="1" t="s">
        <v>26</v>
      </c>
      <c r="C132" s="39"/>
      <c r="D132" s="39"/>
      <c r="E132" s="39"/>
      <c r="F132" s="39"/>
      <c r="G132" s="39"/>
      <c r="H132" s="39"/>
      <c r="I132" s="39"/>
      <c r="J132" s="39"/>
      <c r="K132" s="39">
        <v>1234.623</v>
      </c>
      <c r="L132" s="39">
        <v>514.00400000000002</v>
      </c>
      <c r="M132" s="39">
        <v>938.755</v>
      </c>
      <c r="N132" s="39">
        <v>1258.761</v>
      </c>
      <c r="O132" s="6">
        <f t="shared" si="317"/>
        <v>1352.0820000000001</v>
      </c>
      <c r="P132" s="6"/>
      <c r="Q132" s="4"/>
      <c r="R132" s="4"/>
      <c r="S132" s="4"/>
      <c r="T132" s="6"/>
      <c r="V132" s="4"/>
      <c r="W132" s="4"/>
      <c r="X132" s="4"/>
      <c r="Y132" s="6"/>
      <c r="Z132" s="4"/>
      <c r="AA132" s="4"/>
      <c r="AB132" s="4"/>
      <c r="AC132" s="6"/>
      <c r="AD132" s="4"/>
      <c r="AE132" s="4"/>
      <c r="AF132" s="4"/>
      <c r="AG132" s="39"/>
      <c r="AH132" s="4"/>
      <c r="AI132" s="4"/>
      <c r="AJ132" s="4"/>
      <c r="AK132" s="39"/>
      <c r="AL132" s="4"/>
      <c r="AM132" s="4">
        <v>397.149</v>
      </c>
      <c r="AN132" s="4">
        <v>428.72399999999999</v>
      </c>
      <c r="AO132" s="361">
        <f t="shared" si="323"/>
        <v>1234.623</v>
      </c>
      <c r="AP132" s="4">
        <v>679.06500000000005</v>
      </c>
      <c r="AQ132" s="4">
        <v>0</v>
      </c>
      <c r="AR132" s="39">
        <v>457.63299999999998</v>
      </c>
      <c r="AS132" s="361">
        <f t="shared" si="324"/>
        <v>514.00400000000002</v>
      </c>
      <c r="AT132" s="39">
        <v>1283.3679999999999</v>
      </c>
      <c r="AU132" s="39">
        <v>1043.7280000000001</v>
      </c>
      <c r="AV132" s="39">
        <v>1046.6099999999999</v>
      </c>
      <c r="AW132" s="361">
        <f t="shared" si="325"/>
        <v>938.755</v>
      </c>
      <c r="AX132" s="39">
        <v>998.93200000000002</v>
      </c>
      <c r="AY132" s="39">
        <v>1171.0709999999999</v>
      </c>
      <c r="AZ132" s="39">
        <f>1092.459</f>
        <v>1092.4590000000001</v>
      </c>
      <c r="BA132" s="361">
        <f t="shared" si="326"/>
        <v>1258.761</v>
      </c>
      <c r="BB132" s="39">
        <v>1223.1959999999999</v>
      </c>
      <c r="BC132" s="39">
        <v>1278.838</v>
      </c>
      <c r="BD132" s="39">
        <v>1352.0820000000001</v>
      </c>
      <c r="BE132" s="39"/>
      <c r="BF132" s="243"/>
      <c r="BG132" s="195"/>
      <c r="BH132" s="195"/>
      <c r="BI132" s="195"/>
      <c r="BJ132" s="195"/>
      <c r="BK132" s="195"/>
      <c r="BM132" s="195"/>
      <c r="BN132" s="192"/>
      <c r="BO132" s="195"/>
      <c r="BP132" s="195"/>
      <c r="BQ132" s="192"/>
      <c r="BR132" s="192"/>
      <c r="BS132" s="192"/>
      <c r="BT132" s="195"/>
      <c r="BU132" s="195"/>
      <c r="BV132" s="192"/>
      <c r="BW132" s="192"/>
      <c r="BX132" s="192"/>
      <c r="BY132" s="192"/>
      <c r="BZ132" s="195"/>
      <c r="CA132" s="195"/>
      <c r="CB132" s="192"/>
      <c r="CC132" s="192"/>
      <c r="CD132" s="195"/>
      <c r="CE132" s="195"/>
      <c r="CF132" s="192"/>
      <c r="CG132" s="192"/>
      <c r="CH132" s="195"/>
      <c r="CI132" s="195"/>
      <c r="CJ132" s="192"/>
      <c r="CK132" s="192"/>
      <c r="CL132" s="195"/>
      <c r="CM132" s="195"/>
      <c r="CQ132" s="206"/>
    </row>
    <row r="133" spans="2:98" ht="13.5" customHeight="1">
      <c r="B133" s="1" t="s">
        <v>27</v>
      </c>
      <c r="C133" s="39"/>
      <c r="D133" s="39"/>
      <c r="E133" s="39"/>
      <c r="F133" s="39"/>
      <c r="G133" s="39"/>
      <c r="H133" s="39"/>
      <c r="I133" s="39"/>
      <c r="J133" s="39"/>
      <c r="K133" s="39">
        <v>0</v>
      </c>
      <c r="L133" s="39">
        <v>0</v>
      </c>
      <c r="M133" s="39">
        <v>0</v>
      </c>
      <c r="N133" s="39">
        <v>576.00800000000004</v>
      </c>
      <c r="O133" s="6">
        <f t="shared" si="317"/>
        <v>513.70299999999997</v>
      </c>
      <c r="P133" s="6"/>
      <c r="Q133" s="4"/>
      <c r="R133" s="4"/>
      <c r="S133" s="4"/>
      <c r="T133" s="6"/>
      <c r="V133" s="4"/>
      <c r="W133" s="4"/>
      <c r="X133" s="4"/>
      <c r="Y133" s="6"/>
      <c r="Z133" s="4"/>
      <c r="AA133" s="4"/>
      <c r="AB133" s="4"/>
      <c r="AC133" s="6"/>
      <c r="AD133" s="4"/>
      <c r="AE133" s="4"/>
      <c r="AF133" s="4"/>
      <c r="AG133" s="39"/>
      <c r="AH133" s="4"/>
      <c r="AI133" s="4"/>
      <c r="AJ133" s="4"/>
      <c r="AK133" s="39"/>
      <c r="AL133" s="4"/>
      <c r="AM133" s="4"/>
      <c r="AN133" s="4"/>
      <c r="AO133" s="361">
        <f t="shared" si="323"/>
        <v>0</v>
      </c>
      <c r="AP133" s="4"/>
      <c r="AQ133" s="4"/>
      <c r="AR133" s="39"/>
      <c r="AS133" s="361">
        <f t="shared" si="324"/>
        <v>0</v>
      </c>
      <c r="AT133" s="39"/>
      <c r="AU133" s="39">
        <v>0</v>
      </c>
      <c r="AV133" s="39">
        <v>0</v>
      </c>
      <c r="AW133" s="361">
        <f t="shared" si="325"/>
        <v>0</v>
      </c>
      <c r="AX133" s="39">
        <v>0</v>
      </c>
      <c r="AY133" s="39">
        <v>0</v>
      </c>
      <c r="AZ133" s="39">
        <v>497.12200000000001</v>
      </c>
      <c r="BA133" s="361">
        <f t="shared" si="326"/>
        <v>576.00800000000004</v>
      </c>
      <c r="BB133" s="39">
        <v>525.57899999999995</v>
      </c>
      <c r="BC133" s="39">
        <v>534.05700000000002</v>
      </c>
      <c r="BD133" s="39">
        <v>513.70299999999997</v>
      </c>
      <c r="BE133" s="39"/>
      <c r="BF133" s="243"/>
      <c r="BG133" s="195"/>
      <c r="BH133" s="195"/>
      <c r="BI133" s="195"/>
      <c r="BJ133" s="195"/>
      <c r="BK133" s="195"/>
      <c r="BM133" s="195"/>
      <c r="BN133" s="192"/>
      <c r="BO133" s="195"/>
      <c r="BP133" s="195"/>
      <c r="BQ133" s="192"/>
      <c r="BR133" s="192"/>
      <c r="BS133" s="192"/>
      <c r="BT133" s="195"/>
      <c r="BU133" s="195"/>
      <c r="BV133" s="192"/>
      <c r="BW133" s="192"/>
      <c r="BX133" s="192"/>
      <c r="BY133" s="192"/>
      <c r="BZ133" s="195"/>
      <c r="CA133" s="195"/>
      <c r="CB133" s="192"/>
      <c r="CC133" s="192"/>
      <c r="CD133" s="195"/>
      <c r="CE133" s="195"/>
      <c r="CF133" s="192"/>
      <c r="CG133" s="192"/>
      <c r="CH133" s="195"/>
      <c r="CI133" s="195"/>
      <c r="CJ133" s="192"/>
      <c r="CK133" s="192"/>
      <c r="CL133" s="195"/>
      <c r="CM133" s="195"/>
      <c r="CQ133" s="206"/>
    </row>
    <row r="134" spans="2:98" ht="13.5" customHeight="1">
      <c r="B134" s="5" t="s">
        <v>140</v>
      </c>
      <c r="C134" s="54">
        <f t="shared" ref="C134:Q134" si="327">SUM(C126:C131)</f>
        <v>10135.985000000002</v>
      </c>
      <c r="D134" s="54">
        <f t="shared" si="327"/>
        <v>11310.694</v>
      </c>
      <c r="E134" s="54">
        <f t="shared" si="327"/>
        <v>10486.654</v>
      </c>
      <c r="F134" s="54">
        <f t="shared" si="327"/>
        <v>12170.665999999997</v>
      </c>
      <c r="G134" s="54">
        <f t="shared" si="327"/>
        <v>12170.665999999999</v>
      </c>
      <c r="H134" s="54">
        <f t="shared" si="327"/>
        <v>15022.912</v>
      </c>
      <c r="I134" s="54">
        <f>SUM(I126:I131)</f>
        <v>20849.052000000003</v>
      </c>
      <c r="J134" s="54">
        <f>SUM(J126:J131)</f>
        <v>23800.762999999999</v>
      </c>
      <c r="K134" s="54">
        <f>SUM(K126:K133)</f>
        <v>24212.179</v>
      </c>
      <c r="L134" s="54">
        <f>SUM(L126:L133)</f>
        <v>38441.798000000003</v>
      </c>
      <c r="M134" s="54">
        <f>SUM(M126:M133)</f>
        <v>33953.964999999997</v>
      </c>
      <c r="N134" s="54">
        <f>SUM(N126:N133)</f>
        <v>37734.251000000004</v>
      </c>
      <c r="O134" s="54">
        <f>SUM(O126:O133)</f>
        <v>35412.946000000004</v>
      </c>
      <c r="P134" s="54"/>
      <c r="Q134" s="54">
        <f t="shared" si="327"/>
        <v>11187.414999999997</v>
      </c>
      <c r="R134" s="54">
        <f>SUM(R126:R131)</f>
        <v>10390.677</v>
      </c>
      <c r="S134" s="54">
        <f>SUM(S126:S131)</f>
        <v>10948.814999999999</v>
      </c>
      <c r="T134" s="54">
        <f>SUM(T126:T131)</f>
        <v>10486.654</v>
      </c>
      <c r="V134" s="54">
        <f t="shared" ref="V134:AY134" si="328">SUM(V126:V133)</f>
        <v>11504.563</v>
      </c>
      <c r="W134" s="54">
        <f t="shared" si="328"/>
        <v>11823.29</v>
      </c>
      <c r="X134" s="54">
        <f t="shared" si="328"/>
        <v>11274.092000000001</v>
      </c>
      <c r="Y134" s="54">
        <f t="shared" si="328"/>
        <v>12170.665999999997</v>
      </c>
      <c r="Z134" s="54">
        <f t="shared" si="328"/>
        <v>11965.044</v>
      </c>
      <c r="AA134" s="54">
        <f t="shared" si="328"/>
        <v>18629.905999999999</v>
      </c>
      <c r="AB134" s="54">
        <f t="shared" si="328"/>
        <v>19130.273000000001</v>
      </c>
      <c r="AC134" s="54">
        <f t="shared" si="328"/>
        <v>15022.912</v>
      </c>
      <c r="AD134" s="54">
        <f t="shared" si="328"/>
        <v>16087.803999999998</v>
      </c>
      <c r="AE134" s="54">
        <f t="shared" si="328"/>
        <v>16342.503999999999</v>
      </c>
      <c r="AF134" s="54">
        <f t="shared" si="328"/>
        <v>18638.404999999999</v>
      </c>
      <c r="AG134" s="54">
        <f t="shared" si="328"/>
        <v>20849.052000000003</v>
      </c>
      <c r="AH134" s="54">
        <f t="shared" si="328"/>
        <v>26144.531999999999</v>
      </c>
      <c r="AI134" s="54">
        <f t="shared" si="328"/>
        <v>24544.232999999997</v>
      </c>
      <c r="AJ134" s="54">
        <f t="shared" si="328"/>
        <v>25010.402000000002</v>
      </c>
      <c r="AK134" s="54">
        <f t="shared" si="328"/>
        <v>23800.762999999999</v>
      </c>
      <c r="AL134" s="54">
        <f t="shared" si="328"/>
        <v>25826.624000000003</v>
      </c>
      <c r="AM134" s="54">
        <f t="shared" si="328"/>
        <v>21675.936999999998</v>
      </c>
      <c r="AN134" s="54">
        <f t="shared" si="328"/>
        <v>23153.371999999999</v>
      </c>
      <c r="AO134" s="54">
        <f t="shared" si="328"/>
        <v>24212.179</v>
      </c>
      <c r="AP134" s="54">
        <f t="shared" si="328"/>
        <v>23258.133999999998</v>
      </c>
      <c r="AQ134" s="54">
        <f t="shared" si="328"/>
        <v>37861.280999999995</v>
      </c>
      <c r="AR134" s="54">
        <f t="shared" si="328"/>
        <v>39371.107000000004</v>
      </c>
      <c r="AS134" s="54">
        <f t="shared" si="328"/>
        <v>38441.798000000003</v>
      </c>
      <c r="AT134" s="54">
        <f t="shared" si="328"/>
        <v>37396.775999999998</v>
      </c>
      <c r="AU134" s="54">
        <f t="shared" si="328"/>
        <v>37623.317000000003</v>
      </c>
      <c r="AV134" s="54">
        <f t="shared" si="328"/>
        <v>34997.559000000001</v>
      </c>
      <c r="AW134" s="54">
        <f t="shared" si="328"/>
        <v>33953.964999999997</v>
      </c>
      <c r="AX134" s="54">
        <f t="shared" si="328"/>
        <v>33321.828000000001</v>
      </c>
      <c r="AY134" s="54">
        <f t="shared" si="328"/>
        <v>36359.616999999998</v>
      </c>
      <c r="AZ134" s="54">
        <f>SUM(AZ126:AZ133)</f>
        <v>35130.282000000007</v>
      </c>
      <c r="BA134" s="54">
        <f>SUM(BA126:BA133)</f>
        <v>37734.251000000004</v>
      </c>
      <c r="BB134" s="54">
        <f>SUM(BB126:BB133)</f>
        <v>35890.853999999992</v>
      </c>
      <c r="BC134" s="54">
        <f>SUM(BC126:BC133)</f>
        <v>35496.390000000007</v>
      </c>
      <c r="BD134" s="54">
        <f>SUM(BD126:BD133)</f>
        <v>35412.946000000004</v>
      </c>
      <c r="BE134" s="54"/>
      <c r="BF134" s="255"/>
      <c r="BG134" s="198"/>
      <c r="BH134" s="198"/>
      <c r="BI134" s="198"/>
      <c r="BJ134" s="198"/>
      <c r="BK134" s="198"/>
      <c r="BM134" s="198"/>
      <c r="BN134" s="192"/>
      <c r="BO134" s="198"/>
      <c r="BP134" s="198"/>
      <c r="BQ134" s="192"/>
      <c r="BR134" s="192"/>
      <c r="BS134" s="192"/>
      <c r="BT134" s="198"/>
      <c r="BU134" s="198"/>
      <c r="BV134" s="192"/>
      <c r="BW134" s="192"/>
      <c r="BX134" s="192"/>
      <c r="BY134" s="192"/>
      <c r="BZ134" s="198"/>
      <c r="CA134" s="198"/>
      <c r="CB134" s="192"/>
      <c r="CC134" s="192"/>
      <c r="CD134" s="198"/>
      <c r="CE134" s="198"/>
      <c r="CF134" s="192"/>
      <c r="CG134" s="192"/>
      <c r="CH134" s="198"/>
      <c r="CI134" s="198"/>
      <c r="CJ134" s="192"/>
      <c r="CK134" s="192"/>
      <c r="CL134" s="198"/>
      <c r="CM134" s="198"/>
      <c r="CQ134" s="206"/>
    </row>
    <row r="135" spans="2:98" ht="13.5" customHeight="1">
      <c r="C135" s="36"/>
      <c r="D135" s="36"/>
      <c r="E135" s="36"/>
      <c r="F135" s="36"/>
      <c r="G135" s="36"/>
      <c r="H135" s="36"/>
      <c r="I135" s="36"/>
      <c r="J135" s="36"/>
      <c r="K135" s="36"/>
      <c r="L135" s="36"/>
      <c r="M135" s="36"/>
      <c r="N135" s="36"/>
      <c r="O135" s="36"/>
      <c r="P135" s="36"/>
      <c r="Q135" s="36"/>
      <c r="R135" s="36"/>
      <c r="S135" s="36"/>
      <c r="T135" s="6"/>
      <c r="V135" s="36"/>
      <c r="W135" s="36"/>
      <c r="X135" s="36"/>
      <c r="Y135" s="6"/>
      <c r="Z135" s="36"/>
      <c r="AA135" s="36"/>
      <c r="AB135" s="36"/>
      <c r="AC135" s="36"/>
      <c r="AD135" s="36"/>
      <c r="AE135" s="36"/>
      <c r="AF135" s="36"/>
      <c r="AG135" s="36"/>
      <c r="AH135" s="36"/>
      <c r="AI135" s="36"/>
      <c r="AJ135" s="36"/>
      <c r="AK135" s="36"/>
      <c r="AL135" s="36"/>
      <c r="AM135" s="36"/>
      <c r="AN135" s="36"/>
      <c r="AO135" s="36"/>
      <c r="AP135" s="36"/>
      <c r="AQ135" s="36"/>
      <c r="AR135" s="36"/>
      <c r="AS135" s="36"/>
      <c r="AT135" s="36"/>
      <c r="AU135" s="36"/>
      <c r="AV135" s="36"/>
      <c r="AW135" s="36"/>
      <c r="AX135" s="36"/>
      <c r="AY135" s="36"/>
      <c r="AZ135" s="36"/>
      <c r="BA135" s="36"/>
      <c r="BB135" s="36"/>
      <c r="BC135" s="36"/>
      <c r="BD135" s="36"/>
      <c r="BE135" s="36"/>
      <c r="BF135" s="257"/>
      <c r="BG135" s="200"/>
      <c r="BH135" s="200"/>
      <c r="BI135" s="200"/>
      <c r="BJ135" s="200"/>
      <c r="BK135" s="200"/>
      <c r="BM135" s="200"/>
      <c r="BN135" s="192"/>
      <c r="BO135" s="200"/>
      <c r="BP135" s="200"/>
      <c r="BQ135" s="192"/>
      <c r="BR135" s="192"/>
      <c r="BS135" s="192"/>
      <c r="BT135" s="200"/>
      <c r="BU135" s="200"/>
      <c r="BV135" s="192"/>
      <c r="BW135" s="192"/>
      <c r="BX135" s="192"/>
      <c r="BY135" s="192"/>
      <c r="BZ135" s="200"/>
      <c r="CA135" s="200"/>
      <c r="CB135" s="192"/>
      <c r="CC135" s="192"/>
      <c r="CD135" s="200"/>
      <c r="CE135" s="200"/>
      <c r="CF135" s="192"/>
      <c r="CG135" s="192"/>
      <c r="CH135" s="200"/>
      <c r="CI135" s="200"/>
      <c r="CJ135" s="192"/>
      <c r="CK135" s="192"/>
      <c r="CL135" s="200"/>
      <c r="CM135" s="200"/>
      <c r="CQ135" s="206"/>
    </row>
    <row r="136" spans="2:98" ht="13.5" customHeight="1">
      <c r="B136" s="1" t="s">
        <v>28</v>
      </c>
      <c r="C136" s="105">
        <f>129.895+353.57</f>
        <v>483.46500000000003</v>
      </c>
      <c r="D136" s="105">
        <f>323.645+931.474</f>
        <v>1255.1190000000001</v>
      </c>
      <c r="E136" s="105">
        <f>372.607+488.261</f>
        <v>860.86800000000005</v>
      </c>
      <c r="F136" s="105">
        <f>165.55+378.085</f>
        <v>543.63499999999999</v>
      </c>
      <c r="G136" s="105">
        <f>165.55+378.085</f>
        <v>543.63499999999999</v>
      </c>
      <c r="H136" s="105">
        <f>185.522+301.945</f>
        <v>487.46699999999998</v>
      </c>
      <c r="I136" s="105">
        <f>108.483+233.094</f>
        <v>341.577</v>
      </c>
      <c r="J136" s="105">
        <f>125.899+246.356</f>
        <v>372.255</v>
      </c>
      <c r="K136" s="105">
        <f>78.062+56.894+101.803+99.241</f>
        <v>336</v>
      </c>
      <c r="L136" s="105">
        <f>816.905+117.756</f>
        <v>934.66099999999994</v>
      </c>
      <c r="M136" s="105">
        <f>196.697+63.239</f>
        <v>259.93599999999998</v>
      </c>
      <c r="N136" s="105">
        <f>220.653+39.156</f>
        <v>259.80899999999997</v>
      </c>
      <c r="O136" s="6">
        <f>BD136</f>
        <v>256.03100000000001</v>
      </c>
      <c r="P136" s="6"/>
      <c r="Q136" s="105">
        <f>222.664+815.267</f>
        <v>1037.931</v>
      </c>
      <c r="R136" s="105">
        <f>129.894+788.369</f>
        <v>918.26300000000003</v>
      </c>
      <c r="S136" s="105">
        <f>409.069+509.905</f>
        <v>918.97399999999993</v>
      </c>
      <c r="T136" s="6">
        <f>E136</f>
        <v>860.86800000000005</v>
      </c>
      <c r="V136" s="105">
        <f>309.858+478.82</f>
        <v>788.678</v>
      </c>
      <c r="W136" s="105">
        <f>373.09+427.661</f>
        <v>800.75099999999998</v>
      </c>
      <c r="X136" s="105">
        <f>144.872+391.916</f>
        <v>536.78800000000001</v>
      </c>
      <c r="Y136" s="6">
        <f>F136</f>
        <v>543.63499999999999</v>
      </c>
      <c r="Z136" s="105">
        <f>130.707+359.465</f>
        <v>490.17199999999997</v>
      </c>
      <c r="AA136" s="105">
        <f>184.955+340.292</f>
        <v>525.24699999999996</v>
      </c>
      <c r="AB136" s="105">
        <f>220.934+321.118</f>
        <v>542.05200000000002</v>
      </c>
      <c r="AC136" s="6">
        <f>H136</f>
        <v>487.46699999999998</v>
      </c>
      <c r="AD136" s="105">
        <f>95.917+282.772</f>
        <v>378.68899999999996</v>
      </c>
      <c r="AE136" s="105">
        <f>94.649+265.099</f>
        <v>359.74799999999999</v>
      </c>
      <c r="AF136" s="105">
        <f>160.673+247.425</f>
        <v>408.09800000000001</v>
      </c>
      <c r="AG136" s="105">
        <f>I136</f>
        <v>341.577</v>
      </c>
      <c r="AH136" s="105">
        <f>315.979+316.251</f>
        <v>632.23</v>
      </c>
      <c r="AI136" s="105">
        <f>144.702+336.09</f>
        <v>480.79199999999997</v>
      </c>
      <c r="AJ136" s="105">
        <f>147.098+330.084</f>
        <v>477.18200000000002</v>
      </c>
      <c r="AK136" s="39">
        <f>J136</f>
        <v>372.255</v>
      </c>
      <c r="AL136" s="105">
        <f>138.993+250.562</f>
        <v>389.55500000000001</v>
      </c>
      <c r="AM136" s="105">
        <f>79.957+160.16</f>
        <v>240.11699999999999</v>
      </c>
      <c r="AN136" s="105">
        <f>136.332+140.131</f>
        <v>276.46299999999997</v>
      </c>
      <c r="AO136" s="361">
        <f>K136</f>
        <v>336</v>
      </c>
      <c r="AP136" s="105">
        <f>467.711+82.98</f>
        <v>550.69100000000003</v>
      </c>
      <c r="AQ136" s="105">
        <f>317.236+371.105+163.52+58.743</f>
        <v>910.60400000000004</v>
      </c>
      <c r="AR136" s="105">
        <f>230.227+134.959+264.83+237.958</f>
        <v>867.97400000000005</v>
      </c>
      <c r="AS136" s="361">
        <f>L136</f>
        <v>934.66099999999994</v>
      </c>
      <c r="AT136" s="105">
        <f>818.845+100.584</f>
        <v>919.42900000000009</v>
      </c>
      <c r="AU136" s="105">
        <f>219.784+101.15</f>
        <v>320.93399999999997</v>
      </c>
      <c r="AV136" s="105">
        <f>226.989+63.587</f>
        <v>290.57600000000002</v>
      </c>
      <c r="AW136" s="361">
        <f>M136</f>
        <v>259.93599999999998</v>
      </c>
      <c r="AX136" s="105">
        <f>201.297+62.834</f>
        <v>264.13099999999997</v>
      </c>
      <c r="AY136" s="105">
        <f>204.352+63.918</f>
        <v>268.27</v>
      </c>
      <c r="AZ136" s="105">
        <f>229.052+38.377</f>
        <v>267.42899999999997</v>
      </c>
      <c r="BA136" s="361">
        <f>N136</f>
        <v>259.80899999999997</v>
      </c>
      <c r="BB136" s="105">
        <f>272.447+31.812</f>
        <v>304.25900000000001</v>
      </c>
      <c r="BC136" s="105">
        <f>230.34+33.609</f>
        <v>263.94900000000001</v>
      </c>
      <c r="BD136" s="105">
        <f>247.887+8.144</f>
        <v>256.03100000000001</v>
      </c>
      <c r="BE136" s="105"/>
      <c r="BF136" s="246"/>
      <c r="BG136" s="196"/>
      <c r="BH136" s="196"/>
      <c r="BI136" s="196"/>
      <c r="BJ136" s="196"/>
      <c r="BK136" s="196"/>
      <c r="BM136" s="196"/>
      <c r="BN136" s="192"/>
      <c r="BO136" s="196"/>
      <c r="BP136" s="196"/>
      <c r="BQ136" s="192"/>
      <c r="BR136" s="192"/>
      <c r="BS136" s="192"/>
      <c r="BT136" s="196"/>
      <c r="BU136" s="196"/>
      <c r="BV136" s="192"/>
      <c r="BW136" s="192"/>
      <c r="BX136" s="192"/>
      <c r="BY136" s="192"/>
      <c r="BZ136" s="196"/>
      <c r="CA136" s="196"/>
      <c r="CB136" s="192"/>
      <c r="CC136" s="192"/>
      <c r="CD136" s="196"/>
      <c r="CE136" s="196"/>
      <c r="CF136" s="192"/>
      <c r="CG136" s="192"/>
      <c r="CH136" s="196"/>
      <c r="CI136" s="196"/>
      <c r="CJ136" s="192"/>
      <c r="CK136" s="192"/>
      <c r="CL136" s="196"/>
      <c r="CM136" s="196"/>
      <c r="CQ136" s="206"/>
    </row>
    <row r="137" spans="2:98" ht="13.5" customHeight="1">
      <c r="B137" s="1" t="s">
        <v>29</v>
      </c>
      <c r="C137" s="105"/>
      <c r="D137" s="105"/>
      <c r="E137" s="105"/>
      <c r="F137" s="105"/>
      <c r="G137" s="105"/>
      <c r="H137" s="105">
        <f>2.102+3.209</f>
        <v>5.3109999999999999</v>
      </c>
      <c r="I137" s="105">
        <f>131.093+392.74</f>
        <v>523.83299999999997</v>
      </c>
      <c r="J137" s="105">
        <f>161.432+527.998</f>
        <v>689.43000000000006</v>
      </c>
      <c r="K137" s="105">
        <f>161.032+481.43</f>
        <v>642.46199999999999</v>
      </c>
      <c r="L137" s="105">
        <f>819.547+2783.551</f>
        <v>3603.098</v>
      </c>
      <c r="M137" s="105">
        <f>1080.298+3158.263</f>
        <v>4238.5609999999997</v>
      </c>
      <c r="N137" s="105">
        <f>1204.466+3691.734</f>
        <v>4896.2</v>
      </c>
      <c r="O137" s="6">
        <f>BD137</f>
        <v>5844.4780000000001</v>
      </c>
      <c r="P137" s="6"/>
      <c r="Q137" s="105"/>
      <c r="R137" s="105"/>
      <c r="S137" s="105"/>
      <c r="T137" s="6"/>
      <c r="V137" s="105"/>
      <c r="W137" s="105"/>
      <c r="X137" s="105"/>
      <c r="Y137" s="6"/>
      <c r="Z137" s="105"/>
      <c r="AA137" s="105"/>
      <c r="AB137" s="105"/>
      <c r="AC137" s="105"/>
      <c r="AD137" s="105">
        <f>102.909+393.644</f>
        <v>496.553</v>
      </c>
      <c r="AE137" s="105">
        <f>113.758+397.876</f>
        <v>511.63399999999996</v>
      </c>
      <c r="AF137" s="105">
        <f>133.713+436.054</f>
        <v>569.76699999999994</v>
      </c>
      <c r="AG137" s="105">
        <f>I137</f>
        <v>523.83299999999997</v>
      </c>
      <c r="AH137" s="105">
        <f>159.838+427.78</f>
        <v>587.61799999999994</v>
      </c>
      <c r="AI137" s="105">
        <f>172.57+485.712</f>
        <v>658.28199999999993</v>
      </c>
      <c r="AJ137" s="105">
        <f>177.097+459.014</f>
        <v>636.11099999999999</v>
      </c>
      <c r="AK137" s="39">
        <f>J137</f>
        <v>689.43000000000006</v>
      </c>
      <c r="AL137" s="105">
        <f>172.751+542.153</f>
        <v>714.904</v>
      </c>
      <c r="AM137" s="105">
        <f>147.771+470.932</f>
        <v>618.70299999999997</v>
      </c>
      <c r="AN137" s="105">
        <f>157.215+476.8</f>
        <v>634.01499999999999</v>
      </c>
      <c r="AO137" s="361">
        <f>K137</f>
        <v>642.46199999999999</v>
      </c>
      <c r="AP137" s="105">
        <f>129.049+414.386</f>
        <v>543.43500000000006</v>
      </c>
      <c r="AQ137" s="105">
        <f>679.576+2588.759</f>
        <v>3268.335</v>
      </c>
      <c r="AR137" s="105">
        <f>773.058+2765.495</f>
        <v>3538.5529999999999</v>
      </c>
      <c r="AS137" s="361">
        <f>L137</f>
        <v>3603.098</v>
      </c>
      <c r="AT137" s="105">
        <f>848.585+2909.096</f>
        <v>3757.681</v>
      </c>
      <c r="AU137" s="105">
        <f>905.948+2850.472</f>
        <v>3756.42</v>
      </c>
      <c r="AV137" s="105">
        <f>1016.17+3073.686</f>
        <v>4089.8560000000002</v>
      </c>
      <c r="AW137" s="361">
        <f>M137</f>
        <v>4238.5609999999997</v>
      </c>
      <c r="AX137" s="105">
        <f>1179.786+3352.531</f>
        <v>4532.317</v>
      </c>
      <c r="AY137" s="105">
        <f>1204.834+3330.903</f>
        <v>4535.7370000000001</v>
      </c>
      <c r="AZ137" s="105">
        <f>1178.736+3380.031</f>
        <v>4558.7669999999998</v>
      </c>
      <c r="BA137" s="361">
        <f>N137</f>
        <v>4896.2</v>
      </c>
      <c r="BB137" s="105">
        <f>1246.651+4444.635</f>
        <v>5691.2860000000001</v>
      </c>
      <c r="BC137" s="105">
        <f>1204.104+4443.977</f>
        <v>5648.0810000000001</v>
      </c>
      <c r="BD137" s="105">
        <f>1289.99+4554.488</f>
        <v>5844.4780000000001</v>
      </c>
      <c r="BE137" s="105"/>
      <c r="BF137" s="246"/>
      <c r="BG137" s="196"/>
      <c r="BH137" s="196"/>
      <c r="BI137" s="196"/>
      <c r="BJ137" s="196"/>
      <c r="BK137" s="196"/>
      <c r="BM137" s="196"/>
      <c r="BN137" s="192"/>
      <c r="BO137" s="196"/>
      <c r="BP137" s="196"/>
      <c r="BQ137" s="192"/>
      <c r="BR137" s="192"/>
      <c r="BS137" s="192"/>
      <c r="BT137" s="196"/>
      <c r="BU137" s="196"/>
      <c r="BV137" s="192"/>
      <c r="BW137" s="192"/>
      <c r="BX137" s="192"/>
      <c r="BY137" s="192"/>
      <c r="BZ137" s="196"/>
      <c r="CA137" s="196"/>
      <c r="CB137" s="192"/>
      <c r="CC137" s="192"/>
      <c r="CD137" s="196"/>
      <c r="CE137" s="196"/>
      <c r="CF137" s="192"/>
      <c r="CG137" s="192"/>
      <c r="CH137" s="196"/>
      <c r="CI137" s="196"/>
      <c r="CJ137" s="192"/>
      <c r="CK137" s="192"/>
      <c r="CL137" s="196"/>
      <c r="CM137" s="196"/>
      <c r="CQ137" s="206"/>
    </row>
    <row r="138" spans="2:98" ht="13.5" customHeight="1">
      <c r="C138" s="105"/>
      <c r="D138" s="105"/>
      <c r="E138" s="105"/>
      <c r="F138" s="105"/>
      <c r="G138" s="105"/>
      <c r="H138" s="105"/>
      <c r="I138" s="105"/>
      <c r="J138" s="105"/>
      <c r="K138" s="105"/>
      <c r="L138" s="105"/>
      <c r="M138" s="105"/>
      <c r="N138" s="105"/>
      <c r="O138" s="6"/>
      <c r="P138" s="6"/>
      <c r="Q138" s="105"/>
      <c r="R138" s="105"/>
      <c r="S138" s="105"/>
      <c r="T138" s="6"/>
      <c r="V138" s="105"/>
      <c r="W138" s="105"/>
      <c r="X138" s="105"/>
      <c r="Y138" s="6"/>
      <c r="Z138" s="105"/>
      <c r="AA138" s="105"/>
      <c r="AB138" s="105"/>
      <c r="AC138" s="105"/>
      <c r="AD138" s="105"/>
      <c r="AE138" s="105"/>
      <c r="AF138" s="105"/>
      <c r="AG138" s="105"/>
      <c r="AH138" s="105"/>
      <c r="AI138" s="105"/>
      <c r="AJ138" s="105"/>
      <c r="AK138" s="105"/>
      <c r="AL138" s="105"/>
      <c r="AM138" s="105"/>
      <c r="AN138" s="105"/>
      <c r="AO138" s="361">
        <f>K138</f>
        <v>0</v>
      </c>
      <c r="AP138" s="105"/>
      <c r="AQ138" s="105"/>
      <c r="AR138" s="105"/>
      <c r="AS138" s="361"/>
      <c r="AT138" s="105"/>
      <c r="AU138" s="105"/>
      <c r="AV138" s="105"/>
      <c r="AW138" s="361"/>
      <c r="AX138" s="105"/>
      <c r="AY138" s="105"/>
      <c r="AZ138" s="105"/>
      <c r="BA138" s="361"/>
      <c r="BB138" s="105"/>
      <c r="BC138" s="105"/>
      <c r="BD138" s="105"/>
      <c r="BE138" s="105"/>
      <c r="BF138" s="246"/>
      <c r="BG138" s="196"/>
      <c r="BH138" s="196"/>
      <c r="BI138" s="196"/>
      <c r="BJ138" s="196"/>
      <c r="BK138" s="196"/>
      <c r="BM138" s="196"/>
      <c r="BN138" s="192"/>
      <c r="BO138" s="196"/>
      <c r="BP138" s="196"/>
      <c r="BQ138" s="192"/>
      <c r="BR138" s="192"/>
      <c r="BS138" s="192"/>
      <c r="BT138" s="196"/>
      <c r="BU138" s="196"/>
      <c r="BV138" s="192"/>
      <c r="BW138" s="192"/>
      <c r="BX138" s="192"/>
      <c r="BY138" s="192"/>
      <c r="BZ138" s="196"/>
      <c r="CA138" s="196"/>
      <c r="CB138" s="192"/>
      <c r="CC138" s="192"/>
      <c r="CD138" s="196"/>
      <c r="CE138" s="196"/>
      <c r="CF138" s="192"/>
      <c r="CG138" s="192"/>
      <c r="CH138" s="196"/>
      <c r="CI138" s="196"/>
      <c r="CJ138" s="192"/>
      <c r="CK138" s="192"/>
      <c r="CL138" s="196"/>
      <c r="CM138" s="196"/>
      <c r="CQ138" s="206"/>
    </row>
    <row r="139" spans="2:98" ht="13.5" customHeight="1">
      <c r="B139" s="7" t="s">
        <v>141</v>
      </c>
      <c r="C139" s="105">
        <v>1091.6849999999999</v>
      </c>
      <c r="D139" s="105">
        <v>1630.3679999999999</v>
      </c>
      <c r="E139" s="105">
        <v>3291.7049999999999</v>
      </c>
      <c r="F139" s="105">
        <v>1213.5719999999999</v>
      </c>
      <c r="G139" s="105">
        <v>1213.5719999999999</v>
      </c>
      <c r="H139" s="105">
        <v>2459.2020000000002</v>
      </c>
      <c r="I139" s="105">
        <v>1774.902</v>
      </c>
      <c r="J139" s="105">
        <v>2041.924</v>
      </c>
      <c r="K139" s="105">
        <v>1759.482</v>
      </c>
      <c r="L139" s="105">
        <v>6403.7879999999996</v>
      </c>
      <c r="M139" s="105">
        <v>6460.2120000000004</v>
      </c>
      <c r="N139" s="105">
        <v>4516.6869999999999</v>
      </c>
      <c r="O139" s="6">
        <f>BD139</f>
        <v>5656.1670000000004</v>
      </c>
      <c r="P139" s="6"/>
      <c r="Q139" s="105">
        <v>2520.5940000000001</v>
      </c>
      <c r="R139" s="105">
        <v>2719.6889999999999</v>
      </c>
      <c r="S139" s="105">
        <v>3310.3449999999998</v>
      </c>
      <c r="T139" s="6">
        <f>E139</f>
        <v>3291.7049999999999</v>
      </c>
      <c r="V139" s="105">
        <v>3382.2779999999998</v>
      </c>
      <c r="W139" s="105">
        <v>3939.2489999999998</v>
      </c>
      <c r="X139" s="105">
        <v>1268.895</v>
      </c>
      <c r="Y139" s="6">
        <f>F139</f>
        <v>1213.5719999999999</v>
      </c>
      <c r="Z139" s="105">
        <v>2060.864</v>
      </c>
      <c r="AA139" s="105">
        <v>1546.18</v>
      </c>
      <c r="AB139" s="105">
        <v>1268.5609999999999</v>
      </c>
      <c r="AC139" s="6">
        <f>H139</f>
        <v>2459.2020000000002</v>
      </c>
      <c r="AD139" s="105">
        <v>1693.046</v>
      </c>
      <c r="AE139" s="105">
        <v>1223.954</v>
      </c>
      <c r="AF139" s="105">
        <v>1495.152</v>
      </c>
      <c r="AG139" s="105">
        <f>I139</f>
        <v>1774.902</v>
      </c>
      <c r="AH139" s="105">
        <v>1915.7570000000001</v>
      </c>
      <c r="AI139" s="105">
        <v>2817.3739999999998</v>
      </c>
      <c r="AJ139" s="105">
        <v>1389.037</v>
      </c>
      <c r="AK139" s="39">
        <f>J139</f>
        <v>2041.924</v>
      </c>
      <c r="AL139" s="105">
        <v>1563.1559999999999</v>
      </c>
      <c r="AM139" s="105">
        <v>1611.1969999999999</v>
      </c>
      <c r="AN139" s="105">
        <v>2979.221</v>
      </c>
      <c r="AO139" s="361">
        <f>K139</f>
        <v>1759.482</v>
      </c>
      <c r="AP139" s="105">
        <v>4959.4780000000001</v>
      </c>
      <c r="AQ139" s="105">
        <v>7736.9889999999996</v>
      </c>
      <c r="AR139" s="105">
        <v>9563.7029999999995</v>
      </c>
      <c r="AS139" s="361">
        <f>L139</f>
        <v>6403.7879999999996</v>
      </c>
      <c r="AT139" s="105">
        <v>5774.7529999999997</v>
      </c>
      <c r="AU139" s="105">
        <v>5628.9750000000004</v>
      </c>
      <c r="AV139" s="105">
        <v>5580.17</v>
      </c>
      <c r="AW139" s="361">
        <f>M139</f>
        <v>6460.2120000000004</v>
      </c>
      <c r="AX139" s="105">
        <v>3693.8620000000001</v>
      </c>
      <c r="AY139" s="105">
        <v>5490.3940000000002</v>
      </c>
      <c r="AZ139" s="105">
        <v>4790.9669999999996</v>
      </c>
      <c r="BA139" s="361">
        <f>N139</f>
        <v>4516.6869999999999</v>
      </c>
      <c r="BB139" s="105">
        <v>3855.21</v>
      </c>
      <c r="BC139" s="105">
        <v>4467.51</v>
      </c>
      <c r="BD139" s="105">
        <v>5656.1670000000004</v>
      </c>
      <c r="BE139" s="105"/>
      <c r="BF139" s="246"/>
      <c r="BG139" s="196"/>
      <c r="BH139" s="196"/>
      <c r="BI139" s="196"/>
      <c r="BJ139" s="196"/>
      <c r="BK139" s="196"/>
      <c r="BM139" s="196"/>
      <c r="BN139" s="192"/>
      <c r="BO139" s="196"/>
      <c r="BP139" s="196"/>
      <c r="BQ139" s="192"/>
      <c r="BR139" s="192"/>
      <c r="BS139" s="192"/>
      <c r="BT139" s="196"/>
      <c r="BU139" s="196"/>
      <c r="BV139" s="192"/>
      <c r="BW139" s="192"/>
      <c r="BX139" s="192"/>
      <c r="BY139" s="192"/>
      <c r="BZ139" s="196"/>
      <c r="CA139" s="196"/>
      <c r="CB139" s="192"/>
      <c r="CC139" s="192"/>
      <c r="CD139" s="196"/>
      <c r="CE139" s="196"/>
      <c r="CF139" s="192"/>
      <c r="CG139" s="192"/>
      <c r="CH139" s="196"/>
      <c r="CI139" s="196"/>
      <c r="CJ139" s="192"/>
      <c r="CK139" s="192"/>
      <c r="CL139" s="196"/>
      <c r="CM139" s="196"/>
      <c r="CQ139" s="206"/>
    </row>
    <row r="140" spans="2:98" ht="13.5" customHeight="1">
      <c r="B140" s="7" t="s">
        <v>142</v>
      </c>
      <c r="C140" s="105">
        <v>1567.1120000000001</v>
      </c>
      <c r="D140" s="105">
        <v>3373.8420000000001</v>
      </c>
      <c r="E140" s="105">
        <v>1986.9359999999999</v>
      </c>
      <c r="F140" s="105">
        <v>3188.7809999999999</v>
      </c>
      <c r="G140" s="105">
        <v>3188.7809999999999</v>
      </c>
      <c r="H140" s="105">
        <v>4732.5039999999999</v>
      </c>
      <c r="I140" s="105">
        <v>6635.2110000000002</v>
      </c>
      <c r="J140" s="105">
        <v>9715.5249999999996</v>
      </c>
      <c r="K140" s="105">
        <v>6640.7780000000002</v>
      </c>
      <c r="L140" s="105">
        <v>16088.745000000001</v>
      </c>
      <c r="M140" s="105">
        <v>15418.144</v>
      </c>
      <c r="N140" s="105">
        <v>18002.828000000001</v>
      </c>
      <c r="O140" s="6">
        <f>BD140</f>
        <v>16745.911</v>
      </c>
      <c r="P140" s="6"/>
      <c r="Q140" s="105">
        <v>2663.8780000000002</v>
      </c>
      <c r="R140" s="105">
        <v>2475.4650000000001</v>
      </c>
      <c r="S140" s="105">
        <v>2420.3150000000001</v>
      </c>
      <c r="T140" s="6">
        <f>E140</f>
        <v>1986.9359999999999</v>
      </c>
      <c r="V140" s="105">
        <v>2322.2130000000002</v>
      </c>
      <c r="W140" s="105">
        <v>1496.6949999999999</v>
      </c>
      <c r="X140" s="105">
        <v>3255.4119999999998</v>
      </c>
      <c r="Y140" s="6">
        <f>F140</f>
        <v>3188.7809999999999</v>
      </c>
      <c r="Z140" s="105">
        <v>3799.087</v>
      </c>
      <c r="AA140" s="105">
        <v>4113.7049999999999</v>
      </c>
      <c r="AB140" s="105">
        <v>4365.5739999999996</v>
      </c>
      <c r="AC140" s="6">
        <f>H140</f>
        <v>4732.5039999999999</v>
      </c>
      <c r="AD140" s="105">
        <v>4908.8149999999996</v>
      </c>
      <c r="AE140" s="105">
        <v>5213.8590000000004</v>
      </c>
      <c r="AF140" s="105">
        <v>6864.4369999999999</v>
      </c>
      <c r="AG140" s="105">
        <f>I140</f>
        <v>6635.2110000000002</v>
      </c>
      <c r="AH140" s="105">
        <v>5658.4189999999999</v>
      </c>
      <c r="AI140" s="105">
        <v>5356.6689999999999</v>
      </c>
      <c r="AJ140" s="105">
        <v>8265.4339999999993</v>
      </c>
      <c r="AK140" s="39">
        <f>J140</f>
        <v>9715.5249999999996</v>
      </c>
      <c r="AL140" s="105">
        <v>9493.7999999999993</v>
      </c>
      <c r="AM140" s="105">
        <v>11892.624</v>
      </c>
      <c r="AN140" s="105">
        <v>12621.58</v>
      </c>
      <c r="AO140" s="361">
        <f>K140</f>
        <v>6640.7780000000002</v>
      </c>
      <c r="AP140" s="105">
        <v>6208.3590000000004</v>
      </c>
      <c r="AQ140" s="105">
        <v>11129.501</v>
      </c>
      <c r="AR140" s="105">
        <v>10495.087</v>
      </c>
      <c r="AS140" s="361">
        <f>L140</f>
        <v>16088.745000000001</v>
      </c>
      <c r="AT140" s="105">
        <v>13837.072</v>
      </c>
      <c r="AU140" s="105">
        <v>13295.094999999999</v>
      </c>
      <c r="AV140" s="105">
        <v>17948.633000000002</v>
      </c>
      <c r="AW140" s="361">
        <f>M140</f>
        <v>15418.144</v>
      </c>
      <c r="AX140" s="105">
        <v>17068.691999999999</v>
      </c>
      <c r="AY140" s="105">
        <v>16459.924999999999</v>
      </c>
      <c r="AZ140" s="105">
        <v>15044.885</v>
      </c>
      <c r="BA140" s="361">
        <f>N140</f>
        <v>18002.828000000001</v>
      </c>
      <c r="BB140" s="105">
        <v>16121.531999999999</v>
      </c>
      <c r="BC140" s="105">
        <v>18494.223000000002</v>
      </c>
      <c r="BD140" s="105">
        <v>16745.911</v>
      </c>
      <c r="BE140" s="105"/>
      <c r="BF140" s="246"/>
      <c r="BG140" s="196"/>
      <c r="BH140" s="196"/>
      <c r="BI140" s="196"/>
      <c r="BJ140" s="196"/>
      <c r="BK140" s="196"/>
      <c r="BM140" s="196"/>
      <c r="BN140" s="192"/>
      <c r="BO140" s="196"/>
      <c r="BP140" s="196"/>
      <c r="BQ140" s="192"/>
      <c r="BR140" s="192"/>
      <c r="BS140" s="192"/>
      <c r="BT140" s="196"/>
      <c r="BU140" s="196"/>
      <c r="BV140" s="192"/>
      <c r="BW140" s="192"/>
      <c r="BX140" s="192"/>
      <c r="BY140" s="192"/>
      <c r="BZ140" s="196"/>
      <c r="CA140" s="196"/>
      <c r="CB140" s="192"/>
      <c r="CC140" s="192"/>
      <c r="CD140" s="196"/>
      <c r="CE140" s="196"/>
      <c r="CF140" s="192"/>
      <c r="CG140" s="192"/>
      <c r="CH140" s="196"/>
      <c r="CI140" s="196"/>
      <c r="CJ140" s="192"/>
      <c r="CK140" s="192"/>
      <c r="CL140" s="196"/>
      <c r="CM140" s="196"/>
      <c r="CQ140" s="206"/>
    </row>
    <row r="141" spans="2:98" ht="13.5" customHeight="1">
      <c r="B141" s="15" t="s">
        <v>143</v>
      </c>
      <c r="C141" s="8">
        <f t="shared" ref="C141:S141" si="329">SUM(C139:C140)</f>
        <v>2658.797</v>
      </c>
      <c r="D141" s="8">
        <f t="shared" si="329"/>
        <v>5004.21</v>
      </c>
      <c r="E141" s="8">
        <f t="shared" si="329"/>
        <v>5278.6409999999996</v>
      </c>
      <c r="F141" s="8">
        <f t="shared" si="329"/>
        <v>4402.3530000000001</v>
      </c>
      <c r="G141" s="8">
        <f t="shared" si="329"/>
        <v>4402.3530000000001</v>
      </c>
      <c r="H141" s="8">
        <f t="shared" si="329"/>
        <v>7191.7060000000001</v>
      </c>
      <c r="I141" s="8">
        <f t="shared" ref="I141:O141" si="330">SUM(I139:I140)</f>
        <v>8410.1130000000012</v>
      </c>
      <c r="J141" s="8">
        <f t="shared" si="330"/>
        <v>11757.449000000001</v>
      </c>
      <c r="K141" s="8">
        <f t="shared" si="330"/>
        <v>8400.26</v>
      </c>
      <c r="L141" s="8">
        <f t="shared" si="330"/>
        <v>22492.532999999999</v>
      </c>
      <c r="M141" s="8">
        <f t="shared" si="330"/>
        <v>21878.356</v>
      </c>
      <c r="N141" s="8">
        <f>SUM(N139:N140)</f>
        <v>22519.514999999999</v>
      </c>
      <c r="O141" s="8">
        <f t="shared" si="330"/>
        <v>22402.078000000001</v>
      </c>
      <c r="P141" s="8"/>
      <c r="Q141" s="8">
        <f t="shared" si="329"/>
        <v>5184.4719999999998</v>
      </c>
      <c r="R141" s="8">
        <f t="shared" si="329"/>
        <v>5195.1540000000005</v>
      </c>
      <c r="S141" s="8">
        <f t="shared" si="329"/>
        <v>5730.66</v>
      </c>
      <c r="T141" s="8">
        <f t="shared" ref="T141:AB141" si="331">SUM(T139:T140)</f>
        <v>5278.6409999999996</v>
      </c>
      <c r="V141" s="8">
        <f t="shared" si="331"/>
        <v>5704.491</v>
      </c>
      <c r="W141" s="8">
        <f t="shared" si="331"/>
        <v>5435.9439999999995</v>
      </c>
      <c r="X141" s="8">
        <f t="shared" si="331"/>
        <v>4524.3069999999998</v>
      </c>
      <c r="Y141" s="8">
        <f t="shared" si="331"/>
        <v>4402.3530000000001</v>
      </c>
      <c r="Z141" s="8">
        <f t="shared" si="331"/>
        <v>5859.951</v>
      </c>
      <c r="AA141" s="8">
        <f t="shared" si="331"/>
        <v>5659.8850000000002</v>
      </c>
      <c r="AB141" s="8">
        <f t="shared" si="331"/>
        <v>5634.1349999999993</v>
      </c>
      <c r="AC141" s="8">
        <f t="shared" ref="AC141:AH141" si="332">SUM(AC139:AC140)</f>
        <v>7191.7060000000001</v>
      </c>
      <c r="AD141" s="8">
        <f t="shared" si="332"/>
        <v>6601.8609999999999</v>
      </c>
      <c r="AE141" s="8">
        <f t="shared" si="332"/>
        <v>6437.8130000000001</v>
      </c>
      <c r="AF141" s="8">
        <f t="shared" si="332"/>
        <v>8359.5889999999999</v>
      </c>
      <c r="AG141" s="8">
        <f t="shared" si="332"/>
        <v>8410.1130000000012</v>
      </c>
      <c r="AH141" s="8">
        <f t="shared" si="332"/>
        <v>7574.1759999999995</v>
      </c>
      <c r="AI141" s="8">
        <f t="shared" ref="AI141:AN141" si="333">SUM(AI139:AI140)</f>
        <v>8174.0429999999997</v>
      </c>
      <c r="AJ141" s="8">
        <f t="shared" si="333"/>
        <v>9654.4709999999995</v>
      </c>
      <c r="AK141" s="8">
        <f t="shared" si="333"/>
        <v>11757.449000000001</v>
      </c>
      <c r="AL141" s="8">
        <f t="shared" si="333"/>
        <v>11056.955999999998</v>
      </c>
      <c r="AM141" s="8">
        <f t="shared" si="333"/>
        <v>13503.821</v>
      </c>
      <c r="AN141" s="8">
        <f t="shared" si="333"/>
        <v>15600.800999999999</v>
      </c>
      <c r="AO141" s="8">
        <f t="shared" ref="AO141:AT141" si="334">SUM(AO139:AO140)</f>
        <v>8400.26</v>
      </c>
      <c r="AP141" s="8">
        <f t="shared" si="334"/>
        <v>11167.837</v>
      </c>
      <c r="AQ141" s="8">
        <f t="shared" si="334"/>
        <v>18866.489999999998</v>
      </c>
      <c r="AR141" s="8">
        <f t="shared" si="334"/>
        <v>20058.79</v>
      </c>
      <c r="AS141" s="8">
        <f t="shared" si="334"/>
        <v>22492.532999999999</v>
      </c>
      <c r="AT141" s="8">
        <f t="shared" si="334"/>
        <v>19611.825000000001</v>
      </c>
      <c r="AU141" s="8">
        <f t="shared" ref="AU141:AZ141" si="335">SUM(AU139:AU140)</f>
        <v>18924.07</v>
      </c>
      <c r="AV141" s="8">
        <f t="shared" si="335"/>
        <v>23528.803</v>
      </c>
      <c r="AW141" s="8">
        <f t="shared" si="335"/>
        <v>21878.356</v>
      </c>
      <c r="AX141" s="8">
        <f t="shared" si="335"/>
        <v>20762.554</v>
      </c>
      <c r="AY141" s="8">
        <f t="shared" si="335"/>
        <v>21950.319</v>
      </c>
      <c r="AZ141" s="8">
        <f t="shared" si="335"/>
        <v>19835.851999999999</v>
      </c>
      <c r="BA141" s="8">
        <f>SUM(BA139:BA140)</f>
        <v>22519.514999999999</v>
      </c>
      <c r="BB141" s="8">
        <f>SUM(BB139:BB140)</f>
        <v>19976.741999999998</v>
      </c>
      <c r="BC141" s="8">
        <f>SUM(BC139:BC140)</f>
        <v>22961.733</v>
      </c>
      <c r="BD141" s="8">
        <f>SUM(BD139:BD140)</f>
        <v>22402.078000000001</v>
      </c>
      <c r="BE141" s="8"/>
      <c r="BF141" s="240"/>
      <c r="BG141" s="194"/>
      <c r="BH141" s="194"/>
      <c r="BI141" s="194"/>
      <c r="BJ141" s="194"/>
      <c r="BK141" s="194"/>
      <c r="BM141" s="8"/>
      <c r="BN141" s="104"/>
      <c r="BO141" s="104">
        <v>6249</v>
      </c>
      <c r="BP141" s="104">
        <v>6313</v>
      </c>
      <c r="BQ141" s="104"/>
      <c r="BR141" s="104"/>
      <c r="BS141" s="104"/>
      <c r="BT141" s="104"/>
      <c r="BU141" s="104"/>
      <c r="BV141" s="104"/>
      <c r="BW141" s="104"/>
      <c r="BX141" s="104"/>
      <c r="BY141" s="104"/>
      <c r="BZ141" s="104"/>
      <c r="CA141" s="104"/>
      <c r="CB141" s="104"/>
      <c r="CC141" s="104"/>
      <c r="CD141" s="104"/>
      <c r="CE141" s="104"/>
      <c r="CF141" s="104"/>
      <c r="CG141" s="104"/>
      <c r="CH141" s="104"/>
      <c r="CI141" s="104"/>
      <c r="CJ141" s="104"/>
      <c r="CK141" s="104"/>
      <c r="CL141" s="104"/>
      <c r="CM141" s="104"/>
      <c r="CQ141" s="206"/>
    </row>
    <row r="142" spans="2:98" ht="13.5" customHeight="1">
      <c r="B142" s="7"/>
      <c r="C142" s="4"/>
      <c r="D142" s="4"/>
      <c r="E142" s="4"/>
      <c r="F142" s="4"/>
      <c r="G142" s="4"/>
      <c r="H142" s="4"/>
      <c r="I142" s="4"/>
      <c r="J142" s="4"/>
      <c r="K142" s="4"/>
      <c r="L142" s="4"/>
      <c r="M142" s="4"/>
      <c r="N142" s="4"/>
      <c r="O142" s="4"/>
      <c r="P142" s="4"/>
      <c r="Q142" s="4"/>
      <c r="R142" s="4"/>
      <c r="S142" s="4"/>
      <c r="T142" s="6"/>
      <c r="V142" s="4"/>
      <c r="W142" s="4"/>
      <c r="X142" s="4"/>
      <c r="Y142" s="6"/>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243"/>
      <c r="BG142" s="195"/>
      <c r="BH142" s="195"/>
      <c r="BI142" s="195"/>
      <c r="BJ142" s="195"/>
      <c r="BK142" s="195"/>
      <c r="BM142" s="4"/>
      <c r="BN142" s="4"/>
      <c r="BO142" s="4"/>
      <c r="BP142" s="4"/>
      <c r="BQ142" s="4"/>
      <c r="BR142" s="4"/>
      <c r="BS142" s="4"/>
      <c r="BT142" s="4"/>
      <c r="BU142" s="4"/>
      <c r="BV142" s="4"/>
      <c r="BW142" s="4"/>
      <c r="BX142" s="4"/>
      <c r="BY142" s="4"/>
      <c r="BZ142" s="4"/>
      <c r="CA142" s="4"/>
      <c r="CB142" s="4"/>
      <c r="CC142" s="4"/>
      <c r="CD142" s="4"/>
      <c r="CE142" s="4"/>
      <c r="CF142" s="4"/>
      <c r="CG142" s="4"/>
      <c r="CH142" s="4"/>
      <c r="CI142" s="4"/>
      <c r="CJ142" s="4"/>
      <c r="CK142" s="4"/>
      <c r="CL142" s="4"/>
      <c r="CM142" s="4"/>
      <c r="CQ142" s="206"/>
    </row>
    <row r="143" spans="2:98" ht="13.5" customHeight="1">
      <c r="B143" s="5" t="s">
        <v>32</v>
      </c>
      <c r="C143" s="8">
        <f t="shared" ref="C143:Z143" si="336">C144-C141</f>
        <v>8695.0110000000022</v>
      </c>
      <c r="D143" s="8">
        <f t="shared" si="336"/>
        <v>8136.2089999999998</v>
      </c>
      <c r="E143" s="8">
        <f t="shared" si="336"/>
        <v>6476.0650000000005</v>
      </c>
      <c r="F143" s="8">
        <f t="shared" si="336"/>
        <v>8568.4799999999959</v>
      </c>
      <c r="G143" s="8">
        <f t="shared" ref="G143:M143" si="337">G144-G141</f>
        <v>8568.48</v>
      </c>
      <c r="H143" s="8">
        <f t="shared" si="337"/>
        <v>8534.4220000000005</v>
      </c>
      <c r="I143" s="8">
        <f t="shared" si="337"/>
        <v>14171.577000000001</v>
      </c>
      <c r="J143" s="8">
        <f t="shared" si="337"/>
        <v>16114.418999999998</v>
      </c>
      <c r="K143" s="8">
        <f t="shared" si="337"/>
        <v>22904</v>
      </c>
      <c r="L143" s="8">
        <f t="shared" si="337"/>
        <v>43218.017000000007</v>
      </c>
      <c r="M143" s="8">
        <f t="shared" si="337"/>
        <v>34205.733</v>
      </c>
      <c r="N143" s="8">
        <f>N144-N141</f>
        <v>43760.125000000015</v>
      </c>
      <c r="O143" s="8">
        <f>O144-O141</f>
        <v>47449.723000000005</v>
      </c>
      <c r="P143" s="8"/>
      <c r="Q143" s="8">
        <f t="shared" si="336"/>
        <v>7511.8089999999975</v>
      </c>
      <c r="R143" s="8">
        <f t="shared" si="336"/>
        <v>6577.3320000000003</v>
      </c>
      <c r="S143" s="8">
        <f t="shared" si="336"/>
        <v>6586.8349999999991</v>
      </c>
      <c r="T143" s="8">
        <f t="shared" si="336"/>
        <v>6476.0650000000005</v>
      </c>
      <c r="V143" s="8">
        <f t="shared" si="336"/>
        <v>6928.1849999999995</v>
      </c>
      <c r="W143" s="8">
        <f t="shared" si="336"/>
        <v>7501.0120000000024</v>
      </c>
      <c r="X143" s="8">
        <f t="shared" si="336"/>
        <v>7574.3170000000018</v>
      </c>
      <c r="Y143" s="8">
        <f t="shared" si="336"/>
        <v>8568.4799999999959</v>
      </c>
      <c r="Z143" s="8">
        <f t="shared" si="336"/>
        <v>6823.8750000000009</v>
      </c>
      <c r="AA143" s="8">
        <f t="shared" ref="AA143:AF143" si="338">AA144-AA141</f>
        <v>13649.628999999999</v>
      </c>
      <c r="AB143" s="8">
        <f t="shared" si="338"/>
        <v>14245.868000000002</v>
      </c>
      <c r="AC143" s="8">
        <f t="shared" si="338"/>
        <v>8529.1110000000008</v>
      </c>
      <c r="AD143" s="8">
        <f t="shared" si="338"/>
        <v>10566.314999999995</v>
      </c>
      <c r="AE143" s="8">
        <f t="shared" si="338"/>
        <v>10983.960999999998</v>
      </c>
      <c r="AF143" s="8">
        <f t="shared" si="338"/>
        <v>11703.035</v>
      </c>
      <c r="AG143" s="8">
        <f t="shared" ref="AG143:AL143" si="339">AG144-AG141</f>
        <v>14171.577000000001</v>
      </c>
      <c r="AH143" s="8">
        <f t="shared" si="339"/>
        <v>20605.155999999999</v>
      </c>
      <c r="AI143" s="8">
        <f t="shared" si="339"/>
        <v>18521.356</v>
      </c>
      <c r="AJ143" s="8">
        <f t="shared" si="339"/>
        <v>18253.389000000003</v>
      </c>
      <c r="AK143" s="8">
        <f t="shared" si="339"/>
        <v>16114.418999999998</v>
      </c>
      <c r="AL143" s="8">
        <f t="shared" si="339"/>
        <v>18851.492000000006</v>
      </c>
      <c r="AM143" s="8">
        <f t="shared" ref="AM143:AR143" si="340">AM144-AM141</f>
        <v>15236.416999999998</v>
      </c>
      <c r="AN143" s="8">
        <f t="shared" si="340"/>
        <v>14643.016</v>
      </c>
      <c r="AO143" s="8">
        <f t="shared" si="340"/>
        <v>22904</v>
      </c>
      <c r="AP143" s="8">
        <f t="shared" si="340"/>
        <v>22262.221999999994</v>
      </c>
      <c r="AQ143" s="8">
        <f t="shared" si="340"/>
        <v>41877.537999999993</v>
      </c>
      <c r="AR143" s="8">
        <f t="shared" si="340"/>
        <v>43699.632000000005</v>
      </c>
      <c r="AS143" s="8">
        <f t="shared" ref="AS143:AX143" si="341">AS144-AS141</f>
        <v>43218.017000000007</v>
      </c>
      <c r="AT143" s="8">
        <f t="shared" si="341"/>
        <v>44900.588000000003</v>
      </c>
      <c r="AU143" s="8">
        <f t="shared" si="341"/>
        <v>43524.577000000005</v>
      </c>
      <c r="AV143" s="8">
        <f>AV144-AV141</f>
        <v>33473.259000000005</v>
      </c>
      <c r="AW143" s="8">
        <f t="shared" si="341"/>
        <v>34205.733</v>
      </c>
      <c r="AX143" s="8">
        <f t="shared" si="341"/>
        <v>35857.706000000006</v>
      </c>
      <c r="AY143" s="8">
        <f t="shared" ref="AY143:BD143" si="342">AY144-AY141</f>
        <v>39651.631999999998</v>
      </c>
      <c r="AZ143" s="8">
        <f t="shared" si="342"/>
        <v>38978.292000000001</v>
      </c>
      <c r="BA143" s="8">
        <f t="shared" si="342"/>
        <v>43760.125000000015</v>
      </c>
      <c r="BB143" s="8">
        <f t="shared" si="342"/>
        <v>43902.371999999988</v>
      </c>
      <c r="BC143" s="8">
        <f t="shared" si="342"/>
        <v>43342.210000000014</v>
      </c>
      <c r="BD143" s="8">
        <f t="shared" si="342"/>
        <v>47449.723000000005</v>
      </c>
      <c r="BE143" s="8"/>
      <c r="BF143" s="240"/>
      <c r="BG143" s="194"/>
      <c r="BH143" s="194"/>
      <c r="BI143" s="194"/>
      <c r="BJ143" s="194"/>
      <c r="BK143" s="194"/>
      <c r="BM143" s="8"/>
      <c r="BN143" s="104"/>
      <c r="BO143" s="104">
        <f>BO144-BO141</f>
        <v>16271</v>
      </c>
      <c r="BP143" s="104">
        <f>BP144-BP141</f>
        <v>16923</v>
      </c>
      <c r="BQ143" s="104"/>
      <c r="BR143" s="104"/>
      <c r="BS143" s="104"/>
      <c r="BT143" s="104"/>
      <c r="BU143" s="104"/>
      <c r="BV143" s="104"/>
      <c r="BW143" s="104"/>
      <c r="BX143" s="104"/>
      <c r="BY143" s="104"/>
      <c r="BZ143" s="104"/>
      <c r="CA143" s="104"/>
      <c r="CB143" s="104"/>
      <c r="CC143" s="104"/>
      <c r="CD143" s="104"/>
      <c r="CE143" s="104"/>
      <c r="CF143" s="104"/>
      <c r="CG143" s="104"/>
      <c r="CH143" s="104"/>
      <c r="CI143" s="104"/>
      <c r="CJ143" s="104"/>
      <c r="CK143" s="104"/>
      <c r="CL143" s="104"/>
      <c r="CM143" s="104"/>
      <c r="CQ143" s="206"/>
    </row>
    <row r="144" spans="2:98" s="5" customFormat="1" ht="13.5" customHeight="1">
      <c r="B144" s="5" t="s">
        <v>144</v>
      </c>
      <c r="C144" s="8">
        <f t="shared" ref="C144:H144" si="343">C124+C134+C136+C137</f>
        <v>11353.808000000003</v>
      </c>
      <c r="D144" s="8">
        <f t="shared" si="343"/>
        <v>13140.419</v>
      </c>
      <c r="E144" s="8">
        <f t="shared" si="343"/>
        <v>11754.706</v>
      </c>
      <c r="F144" s="8">
        <f t="shared" si="343"/>
        <v>12970.832999999997</v>
      </c>
      <c r="G144" s="8">
        <f t="shared" si="343"/>
        <v>12970.832999999999</v>
      </c>
      <c r="H144" s="8">
        <f t="shared" si="343"/>
        <v>15726.128000000001</v>
      </c>
      <c r="I144" s="8">
        <f t="shared" ref="I144:O144" si="344">I124+I134+I136+I137</f>
        <v>22581.690000000002</v>
      </c>
      <c r="J144" s="8">
        <f t="shared" si="344"/>
        <v>27871.867999999999</v>
      </c>
      <c r="K144" s="8">
        <f t="shared" si="344"/>
        <v>31304.26</v>
      </c>
      <c r="L144" s="8">
        <f t="shared" si="344"/>
        <v>65710.55</v>
      </c>
      <c r="M144" s="8">
        <f t="shared" si="344"/>
        <v>56084.089</v>
      </c>
      <c r="N144" s="8">
        <f>N124+N134+N136+N137</f>
        <v>66279.640000000014</v>
      </c>
      <c r="O144" s="8">
        <f t="shared" si="344"/>
        <v>69851.801000000007</v>
      </c>
      <c r="P144" s="8"/>
      <c r="Q144" s="8">
        <f>Q124+Q134+Q136</f>
        <v>12696.280999999997</v>
      </c>
      <c r="R144" s="8">
        <f>R124+R134+R136</f>
        <v>11772.486000000001</v>
      </c>
      <c r="S144" s="8">
        <f>S124+S134+S136</f>
        <v>12317.494999999999</v>
      </c>
      <c r="T144" s="8">
        <f>T124+T134+T136</f>
        <v>11754.706</v>
      </c>
      <c r="V144" s="8">
        <f t="shared" ref="V144:AC144" si="345">V124+V134+V136+V137</f>
        <v>12632.675999999999</v>
      </c>
      <c r="W144" s="8">
        <f t="shared" si="345"/>
        <v>12936.956000000002</v>
      </c>
      <c r="X144" s="8">
        <f t="shared" si="345"/>
        <v>12098.624000000002</v>
      </c>
      <c r="Y144" s="8">
        <f t="shared" si="345"/>
        <v>12970.832999999997</v>
      </c>
      <c r="Z144" s="8">
        <f t="shared" si="345"/>
        <v>12683.826000000001</v>
      </c>
      <c r="AA144" s="8">
        <f t="shared" si="345"/>
        <v>19309.513999999999</v>
      </c>
      <c r="AB144" s="8">
        <f t="shared" si="345"/>
        <v>19880.003000000001</v>
      </c>
      <c r="AC144" s="8">
        <f t="shared" si="345"/>
        <v>15720.817000000001</v>
      </c>
      <c r="AD144" s="8">
        <f t="shared" ref="AD144:AI144" si="346">AD124+AD134+AD136+AD137</f>
        <v>17168.175999999996</v>
      </c>
      <c r="AE144" s="8">
        <f t="shared" si="346"/>
        <v>17421.773999999998</v>
      </c>
      <c r="AF144" s="8">
        <f t="shared" si="346"/>
        <v>20062.624</v>
      </c>
      <c r="AG144" s="8">
        <f t="shared" si="346"/>
        <v>22581.690000000002</v>
      </c>
      <c r="AH144" s="8">
        <f t="shared" si="346"/>
        <v>28179.331999999999</v>
      </c>
      <c r="AI144" s="8">
        <f t="shared" si="346"/>
        <v>26695.398999999998</v>
      </c>
      <c r="AJ144" s="8">
        <f t="shared" ref="AJ144:AO144" si="347">AJ124+AJ134+AJ136+AJ137</f>
        <v>27907.860000000004</v>
      </c>
      <c r="AK144" s="8">
        <f t="shared" si="347"/>
        <v>27871.867999999999</v>
      </c>
      <c r="AL144" s="8">
        <f t="shared" si="347"/>
        <v>29908.448000000004</v>
      </c>
      <c r="AM144" s="8">
        <f t="shared" si="347"/>
        <v>28740.237999999998</v>
      </c>
      <c r="AN144" s="8">
        <f t="shared" si="347"/>
        <v>30243.816999999999</v>
      </c>
      <c r="AO144" s="8">
        <f t="shared" si="347"/>
        <v>31304.26</v>
      </c>
      <c r="AP144" s="8">
        <f t="shared" ref="AP144:AU144" si="348">AP124+AP134+AP136+AP137</f>
        <v>33430.058999999994</v>
      </c>
      <c r="AQ144" s="8">
        <f t="shared" si="348"/>
        <v>60744.027999999991</v>
      </c>
      <c r="AR144" s="8">
        <f t="shared" si="348"/>
        <v>63758.422000000006</v>
      </c>
      <c r="AS144" s="8">
        <f t="shared" si="348"/>
        <v>65710.55</v>
      </c>
      <c r="AT144" s="8">
        <f t="shared" si="348"/>
        <v>64512.413</v>
      </c>
      <c r="AU144" s="8">
        <f t="shared" si="348"/>
        <v>62448.647000000004</v>
      </c>
      <c r="AV144" s="8">
        <f t="shared" ref="AV144:BA144" si="349">AV124+AV134+AV136+AV137</f>
        <v>57002.062000000005</v>
      </c>
      <c r="AW144" s="8">
        <f t="shared" si="349"/>
        <v>56084.089</v>
      </c>
      <c r="AX144" s="8">
        <f t="shared" si="349"/>
        <v>56620.260000000009</v>
      </c>
      <c r="AY144" s="8">
        <f t="shared" si="349"/>
        <v>61601.951000000001</v>
      </c>
      <c r="AZ144" s="8">
        <f t="shared" si="349"/>
        <v>58814.144</v>
      </c>
      <c r="BA144" s="8">
        <f t="shared" si="349"/>
        <v>66279.640000000014</v>
      </c>
      <c r="BB144" s="8">
        <f>BB124+BB134+BB136+BB137</f>
        <v>63879.113999999987</v>
      </c>
      <c r="BC144" s="8">
        <f>BC124+BC134+BC136+BC137</f>
        <v>66303.943000000014</v>
      </c>
      <c r="BD144" s="8">
        <f>BD124+BD134+BD136+BD137</f>
        <v>69851.801000000007</v>
      </c>
      <c r="BE144" s="8"/>
      <c r="BF144" s="240"/>
      <c r="BG144" s="194"/>
      <c r="BH144" s="194"/>
      <c r="BI144" s="194"/>
      <c r="BJ144" s="194"/>
      <c r="BK144" s="194"/>
      <c r="BM144" s="8"/>
      <c r="BN144" s="104"/>
      <c r="BO144" s="104">
        <v>22520</v>
      </c>
      <c r="BP144" s="104">
        <v>23236</v>
      </c>
      <c r="BQ144" s="104"/>
      <c r="BR144" s="104"/>
      <c r="BS144" s="104"/>
      <c r="BT144" s="104"/>
      <c r="BU144" s="104"/>
      <c r="BV144" s="104"/>
      <c r="BW144" s="104"/>
      <c r="BX144" s="104"/>
      <c r="BY144" s="104"/>
      <c r="BZ144" s="104"/>
      <c r="CA144" s="104"/>
      <c r="CB144" s="104"/>
      <c r="CC144" s="104"/>
      <c r="CD144" s="104"/>
      <c r="CE144" s="104"/>
      <c r="CF144" s="104"/>
      <c r="CG144" s="104"/>
      <c r="CH144" s="104"/>
      <c r="CI144" s="104"/>
      <c r="CJ144" s="104"/>
      <c r="CK144" s="104"/>
      <c r="CL144" s="104"/>
      <c r="CM144" s="104"/>
      <c r="CN144" s="1"/>
      <c r="CO144" s="1"/>
      <c r="CP144" s="1"/>
      <c r="CQ144" s="206"/>
      <c r="CR144" s="1"/>
      <c r="CS144" s="1"/>
      <c r="CT144" s="1"/>
    </row>
    <row r="145" spans="1:98" s="5" customFormat="1" ht="13.5" customHeight="1">
      <c r="C145" s="8"/>
      <c r="D145" s="8"/>
      <c r="E145" s="8"/>
      <c r="F145" s="8"/>
      <c r="G145" s="8"/>
      <c r="H145" s="8"/>
      <c r="I145" s="8"/>
      <c r="J145" s="8"/>
      <c r="K145" s="8"/>
      <c r="L145" s="8"/>
      <c r="M145" s="8"/>
      <c r="N145" s="8"/>
      <c r="O145" s="8"/>
      <c r="P145" s="8"/>
      <c r="Q145" s="8"/>
      <c r="R145" s="8"/>
      <c r="S145" s="8"/>
      <c r="T145" s="8"/>
      <c r="V145" s="8"/>
      <c r="W145" s="8"/>
      <c r="X145" s="8"/>
      <c r="Y145" s="8"/>
      <c r="Z145" s="8"/>
      <c r="AA145" s="8"/>
      <c r="AB145" s="8"/>
      <c r="AC145" s="8"/>
      <c r="AD145" s="8"/>
      <c r="AE145" s="8"/>
      <c r="AF145" s="8"/>
      <c r="AG145" s="8"/>
      <c r="AH145" s="8"/>
      <c r="AI145" s="8"/>
      <c r="AJ145" s="8"/>
      <c r="AK145" s="8"/>
      <c r="AL145" s="8"/>
      <c r="AM145" s="8"/>
      <c r="AN145" s="8"/>
      <c r="AO145" s="8"/>
      <c r="AP145" s="8"/>
      <c r="AQ145" s="8"/>
      <c r="AR145" s="8"/>
      <c r="AS145" s="8"/>
      <c r="AT145" s="8"/>
      <c r="AU145" s="8"/>
      <c r="AV145" s="8"/>
      <c r="AW145" s="8"/>
      <c r="AX145" s="8"/>
      <c r="AY145" s="8"/>
      <c r="AZ145" s="8"/>
      <c r="BA145" s="8"/>
      <c r="BB145" s="8"/>
      <c r="BC145" s="8"/>
      <c r="BD145" s="8"/>
      <c r="BE145" s="8"/>
      <c r="BF145" s="240"/>
      <c r="BG145" s="194"/>
      <c r="BH145" s="194"/>
      <c r="BI145" s="194"/>
      <c r="BJ145" s="194"/>
      <c r="BK145" s="194"/>
      <c r="BM145" s="8"/>
      <c r="BO145" s="8"/>
      <c r="BP145" s="8"/>
      <c r="BT145" s="8"/>
      <c r="BU145" s="8"/>
      <c r="BZ145" s="8"/>
      <c r="CA145" s="8"/>
      <c r="CD145" s="8"/>
      <c r="CE145" s="8"/>
      <c r="CH145" s="8"/>
      <c r="CI145" s="8"/>
      <c r="CL145" s="8"/>
      <c r="CM145" s="8"/>
      <c r="CN145" s="1"/>
      <c r="CO145" s="1"/>
      <c r="CP145" s="1"/>
      <c r="CQ145" s="206"/>
      <c r="CR145" s="1"/>
      <c r="CS145" s="1"/>
      <c r="CT145" s="1"/>
    </row>
    <row r="146" spans="1:98" s="90" customFormat="1" ht="13.5" customHeight="1">
      <c r="B146" s="129" t="s">
        <v>36</v>
      </c>
      <c r="C146" s="92">
        <f t="shared" ref="C146:K146" si="350">C144-C117</f>
        <v>0</v>
      </c>
      <c r="D146" s="92">
        <f t="shared" si="350"/>
        <v>0</v>
      </c>
      <c r="E146" s="92">
        <f t="shared" si="350"/>
        <v>3.8999999998850399E-2</v>
      </c>
      <c r="F146" s="92">
        <f t="shared" si="350"/>
        <v>0</v>
      </c>
      <c r="G146" s="92">
        <f t="shared" si="350"/>
        <v>0</v>
      </c>
      <c r="H146" s="92">
        <f t="shared" si="350"/>
        <v>0</v>
      </c>
      <c r="I146" s="92">
        <f t="shared" si="350"/>
        <v>0</v>
      </c>
      <c r="J146" s="92">
        <f t="shared" si="350"/>
        <v>3.5999999996420229E-2</v>
      </c>
      <c r="K146" s="92">
        <f t="shared" si="350"/>
        <v>0</v>
      </c>
      <c r="L146" s="92">
        <f>L144-L117</f>
        <v>0</v>
      </c>
      <c r="M146" s="92">
        <f>M144-M117</f>
        <v>0</v>
      </c>
      <c r="N146" s="92">
        <f>N144-N117</f>
        <v>0</v>
      </c>
      <c r="O146" s="92">
        <f>O144-O117</f>
        <v>1.0000000009313226E-2</v>
      </c>
      <c r="P146" s="92"/>
      <c r="Q146" s="92">
        <f>Q144-Q117</f>
        <v>0</v>
      </c>
      <c r="R146" s="92">
        <f>R144-R117</f>
        <v>0</v>
      </c>
      <c r="S146" s="92">
        <f>S144-S117</f>
        <v>0</v>
      </c>
      <c r="T146" s="92">
        <f>T144-T117</f>
        <v>3.8999999998850399E-2</v>
      </c>
      <c r="V146" s="92">
        <f t="shared" ref="V146:AS146" si="351">V144-V117</f>
        <v>0</v>
      </c>
      <c r="W146" s="92">
        <f t="shared" si="351"/>
        <v>0</v>
      </c>
      <c r="X146" s="92">
        <f t="shared" si="351"/>
        <v>0</v>
      </c>
      <c r="Y146" s="92">
        <f t="shared" si="351"/>
        <v>0</v>
      </c>
      <c r="Z146" s="92">
        <f t="shared" si="351"/>
        <v>0</v>
      </c>
      <c r="AA146" s="92">
        <f t="shared" si="351"/>
        <v>0</v>
      </c>
      <c r="AB146" s="92">
        <f t="shared" si="351"/>
        <v>0</v>
      </c>
      <c r="AC146" s="92">
        <f t="shared" si="351"/>
        <v>-5.3109999999996944</v>
      </c>
      <c r="AD146" s="92">
        <f t="shared" si="351"/>
        <v>0</v>
      </c>
      <c r="AE146" s="92">
        <f t="shared" si="351"/>
        <v>0</v>
      </c>
      <c r="AF146" s="92">
        <f t="shared" si="351"/>
        <v>0</v>
      </c>
      <c r="AG146" s="92">
        <f t="shared" si="351"/>
        <v>0</v>
      </c>
      <c r="AH146" s="92">
        <f t="shared" si="351"/>
        <v>-1.0000000002037268E-3</v>
      </c>
      <c r="AI146" s="92">
        <f t="shared" si="351"/>
        <v>0</v>
      </c>
      <c r="AJ146" s="92">
        <f t="shared" si="351"/>
        <v>0</v>
      </c>
      <c r="AK146" s="92">
        <f t="shared" si="351"/>
        <v>3.5999999996420229E-2</v>
      </c>
      <c r="AL146" s="92">
        <f t="shared" si="351"/>
        <v>-3.5999999996420229E-2</v>
      </c>
      <c r="AM146" s="92">
        <f t="shared" si="351"/>
        <v>0</v>
      </c>
      <c r="AN146" s="92">
        <f t="shared" si="351"/>
        <v>3.9999999971769284E-3</v>
      </c>
      <c r="AO146" s="92">
        <f t="shared" si="351"/>
        <v>0</v>
      </c>
      <c r="AP146" s="92">
        <f t="shared" si="351"/>
        <v>9.9999999947613105E-3</v>
      </c>
      <c r="AQ146" s="92">
        <f t="shared" si="351"/>
        <v>9.9999999947613105E-3</v>
      </c>
      <c r="AR146" s="92">
        <f t="shared" si="351"/>
        <v>0</v>
      </c>
      <c r="AS146" s="92">
        <f t="shared" si="351"/>
        <v>0</v>
      </c>
      <c r="AT146" s="92">
        <f t="shared" ref="AT146:AZ146" si="352">AT144-AT117</f>
        <v>0</v>
      </c>
      <c r="AU146" s="92">
        <f t="shared" si="352"/>
        <v>1.0000000002037268E-2</v>
      </c>
      <c r="AV146" s="92">
        <f t="shared" si="352"/>
        <v>0</v>
      </c>
      <c r="AW146" s="92">
        <f t="shared" si="352"/>
        <v>0</v>
      </c>
      <c r="AX146" s="92">
        <f t="shared" si="352"/>
        <v>0</v>
      </c>
      <c r="AY146" s="92">
        <f t="shared" si="352"/>
        <v>1.0000000009313226E-2</v>
      </c>
      <c r="AZ146" s="92">
        <f t="shared" si="352"/>
        <v>9.9999999947613105E-3</v>
      </c>
      <c r="BA146" s="92">
        <f>BA144-BA117</f>
        <v>0</v>
      </c>
      <c r="BB146" s="92">
        <f>BB144-BB117</f>
        <v>0</v>
      </c>
      <c r="BC146" s="92">
        <f>BC144-BC117</f>
        <v>0</v>
      </c>
      <c r="BD146" s="92">
        <f>BD144-BD117</f>
        <v>1.0000000009313226E-2</v>
      </c>
      <c r="BE146" s="92"/>
      <c r="BF146" s="247"/>
      <c r="BG146" s="197"/>
      <c r="BH146" s="197"/>
      <c r="BI146" s="197"/>
      <c r="BJ146" s="197"/>
      <c r="BK146" s="197"/>
      <c r="BM146" s="197"/>
      <c r="BN146" s="323"/>
      <c r="BO146" s="197"/>
      <c r="BP146" s="197"/>
      <c r="BQ146" s="323"/>
      <c r="BR146" s="323"/>
      <c r="BS146" s="323"/>
      <c r="BT146" s="197"/>
      <c r="BU146" s="197"/>
      <c r="BV146" s="323"/>
      <c r="BW146" s="323"/>
      <c r="BX146" s="323"/>
      <c r="BY146" s="323"/>
      <c r="BZ146" s="197"/>
      <c r="CA146" s="197"/>
      <c r="CB146" s="323"/>
      <c r="CC146" s="323"/>
      <c r="CD146" s="197"/>
      <c r="CE146" s="197"/>
      <c r="CF146" s="323"/>
      <c r="CG146" s="323"/>
      <c r="CH146" s="197"/>
      <c r="CI146" s="197"/>
      <c r="CJ146" s="323"/>
      <c r="CK146" s="323"/>
      <c r="CL146" s="197"/>
      <c r="CM146" s="197"/>
      <c r="CN146" s="1"/>
      <c r="CO146" s="1"/>
      <c r="CP146" s="1"/>
      <c r="CQ146" s="206"/>
      <c r="CR146" s="1"/>
      <c r="CS146" s="1"/>
      <c r="CT146" s="1"/>
    </row>
    <row r="147" spans="1:98" s="5" customFormat="1" ht="13.5" customHeight="1">
      <c r="C147" s="27"/>
      <c r="D147" s="27"/>
      <c r="E147" s="27"/>
      <c r="F147" s="27"/>
      <c r="G147" s="27"/>
      <c r="H147" s="27"/>
      <c r="I147" s="27"/>
      <c r="J147" s="27"/>
      <c r="K147" s="27"/>
      <c r="L147" s="27"/>
      <c r="M147" s="27"/>
      <c r="N147" s="27"/>
      <c r="O147" s="27"/>
      <c r="P147" s="27"/>
      <c r="Q147" s="27"/>
      <c r="R147" s="27"/>
      <c r="S147" s="27"/>
      <c r="T147" s="27"/>
      <c r="V147" s="27"/>
      <c r="W147" s="27"/>
      <c r="X147" s="27"/>
      <c r="Y147" s="27"/>
      <c r="Z147" s="27"/>
      <c r="AA147" s="27"/>
      <c r="AB147" s="27"/>
      <c r="AC147" s="27"/>
      <c r="AD147" s="27"/>
      <c r="AE147" s="27"/>
      <c r="AF147" s="27"/>
      <c r="AG147" s="27"/>
      <c r="AH147" s="27"/>
      <c r="AI147" s="27"/>
      <c r="AJ147" s="27"/>
      <c r="AK147" s="27"/>
      <c r="AL147" s="27"/>
      <c r="AM147" s="27"/>
      <c r="AN147" s="27"/>
      <c r="AO147" s="27"/>
      <c r="AP147" s="27"/>
      <c r="AQ147" s="27"/>
      <c r="AR147" s="27"/>
      <c r="AS147" s="27"/>
      <c r="AT147" s="27"/>
      <c r="AU147" s="27"/>
      <c r="AV147" s="27"/>
      <c r="AW147" s="27"/>
      <c r="AX147" s="27"/>
      <c r="AY147" s="27"/>
      <c r="AZ147" s="27"/>
      <c r="BA147" s="27"/>
      <c r="BB147" s="27"/>
      <c r="BC147" s="27"/>
      <c r="BD147" s="27"/>
      <c r="BE147" s="27"/>
      <c r="BF147" s="258"/>
      <c r="BG147" s="201"/>
      <c r="BH147" s="201"/>
      <c r="BI147" s="201"/>
      <c r="BJ147" s="201"/>
      <c r="BK147" s="201"/>
      <c r="BM147" s="201"/>
      <c r="BN147" s="188"/>
      <c r="BO147" s="201"/>
      <c r="BP147" s="201"/>
      <c r="BQ147" s="188"/>
      <c r="BR147" s="188"/>
      <c r="BS147" s="188"/>
      <c r="BT147" s="201"/>
      <c r="BU147" s="201"/>
      <c r="BV147" s="188"/>
      <c r="BW147" s="188"/>
      <c r="BX147" s="188"/>
      <c r="BY147" s="188"/>
      <c r="BZ147" s="201"/>
      <c r="CA147" s="201"/>
      <c r="CB147" s="188"/>
      <c r="CC147" s="188"/>
      <c r="CD147" s="201"/>
      <c r="CE147" s="201"/>
      <c r="CF147" s="188"/>
      <c r="CG147" s="188"/>
      <c r="CH147" s="201"/>
      <c r="CI147" s="201"/>
      <c r="CJ147" s="188"/>
      <c r="CK147" s="188"/>
      <c r="CL147" s="201"/>
      <c r="CM147" s="201"/>
      <c r="CN147" s="1"/>
      <c r="CO147" s="1"/>
      <c r="CP147" s="1"/>
      <c r="CQ147" s="206"/>
      <c r="CR147" s="1"/>
      <c r="CS147" s="1"/>
      <c r="CT147" s="1"/>
    </row>
    <row r="148" spans="1:98" s="5" customFormat="1" ht="13.5" customHeight="1">
      <c r="B148" s="5" t="s">
        <v>145</v>
      </c>
      <c r="C148" s="27">
        <v>8402.1280000000006</v>
      </c>
      <c r="D148" s="27">
        <v>7117.8980000000001</v>
      </c>
      <c r="E148" s="27">
        <v>5871.76</v>
      </c>
      <c r="F148" s="27">
        <v>8024.8450000000003</v>
      </c>
      <c r="G148" s="27">
        <v>8024.8450000000003</v>
      </c>
      <c r="H148" s="27">
        <v>8041.6440000000002</v>
      </c>
      <c r="I148" s="27">
        <v>13306.166999999999</v>
      </c>
      <c r="J148" s="27">
        <v>15052.698</v>
      </c>
      <c r="K148" s="27">
        <v>21925.538</v>
      </c>
      <c r="L148" s="27">
        <v>38680.258000000002</v>
      </c>
      <c r="M148" s="27">
        <f>33945.589+584.438</f>
        <v>34530.027000000002</v>
      </c>
      <c r="N148" s="27">
        <f>30482.375+8359.681</f>
        <v>38842.055999999997</v>
      </c>
      <c r="O148" s="8">
        <f>BD148</f>
        <v>41349</v>
      </c>
      <c r="P148" s="6"/>
      <c r="Q148" s="27">
        <v>6519.8580000000002</v>
      </c>
      <c r="R148" s="27">
        <v>5772.7950000000001</v>
      </c>
      <c r="S148" s="27">
        <v>5854.0529999999999</v>
      </c>
      <c r="T148" s="8">
        <f>E148</f>
        <v>5871.76</v>
      </c>
      <c r="V148" s="27">
        <v>6139.5069999999996</v>
      </c>
      <c r="W148" s="27">
        <v>6700.2610000000004</v>
      </c>
      <c r="X148" s="27">
        <v>7037.5290000000005</v>
      </c>
      <c r="Y148" s="8">
        <f>F148</f>
        <v>8024.8450000000003</v>
      </c>
      <c r="Z148" s="27">
        <v>6333.7030000000004</v>
      </c>
      <c r="AA148" s="27">
        <v>13124.382</v>
      </c>
      <c r="AB148" s="27">
        <v>13703.816000000001</v>
      </c>
      <c r="AC148" s="8">
        <f>H148</f>
        <v>8041.6440000000002</v>
      </c>
      <c r="AD148" s="27">
        <v>9691.0730000000003</v>
      </c>
      <c r="AE148" s="27">
        <v>10112.579</v>
      </c>
      <c r="AF148" s="27">
        <v>10725.17</v>
      </c>
      <c r="AG148" s="27">
        <f>I148</f>
        <v>13306.166999999999</v>
      </c>
      <c r="AH148" s="27">
        <v>19385.309000000001</v>
      </c>
      <c r="AI148" s="27">
        <v>17382.281999999999</v>
      </c>
      <c r="AJ148" s="27">
        <v>17140.096000000001</v>
      </c>
      <c r="AK148" s="381">
        <f>J148</f>
        <v>15052.698</v>
      </c>
      <c r="AL148" s="27">
        <v>17747.069</v>
      </c>
      <c r="AM148" s="27">
        <v>14377.597</v>
      </c>
      <c r="AN148" s="27">
        <v>13732.534</v>
      </c>
      <c r="AO148" s="361">
        <f>K148</f>
        <v>21925.538</v>
      </c>
      <c r="AP148" s="27">
        <v>21168</v>
      </c>
      <c r="AQ148" s="27">
        <v>37698.589</v>
      </c>
      <c r="AR148" s="27">
        <v>39293.105000000003</v>
      </c>
      <c r="AS148" s="361">
        <f>L148</f>
        <v>38680.258000000002</v>
      </c>
      <c r="AT148" s="27">
        <v>40223.478000000003</v>
      </c>
      <c r="AU148" s="27">
        <v>39779.474999999999</v>
      </c>
      <c r="AV148" s="27">
        <v>33550.347000000002</v>
      </c>
      <c r="AW148" s="361">
        <f>M148</f>
        <v>34530.027000000002</v>
      </c>
      <c r="AX148" s="27">
        <f>34475.514+1733.23</f>
        <v>36208.744000000006</v>
      </c>
      <c r="AY148" s="27">
        <f>34760.28+5562.983</f>
        <v>40323.262999999999</v>
      </c>
      <c r="AZ148" s="27">
        <f>35186.243+4624.467</f>
        <v>39810.71</v>
      </c>
      <c r="BA148" s="361">
        <f>N148</f>
        <v>38842.055999999997</v>
      </c>
      <c r="BB148" s="27">
        <v>38125</v>
      </c>
      <c r="BC148" s="27">
        <v>37606</v>
      </c>
      <c r="BD148" s="27">
        <v>41349</v>
      </c>
      <c r="BE148" s="27"/>
      <c r="BF148" s="258"/>
      <c r="BG148" s="201"/>
      <c r="BH148" s="201"/>
      <c r="BI148" s="201"/>
      <c r="BJ148" s="201"/>
      <c r="BK148" s="201"/>
      <c r="BM148" s="201"/>
      <c r="BN148" s="188"/>
      <c r="BO148" s="201"/>
      <c r="BP148" s="201"/>
      <c r="BQ148" s="188"/>
      <c r="BR148" s="188"/>
      <c r="BS148" s="188"/>
      <c r="BT148" s="201"/>
      <c r="BU148" s="201"/>
      <c r="BV148" s="188"/>
      <c r="BW148" s="188"/>
      <c r="BX148" s="188"/>
      <c r="BY148" s="188"/>
      <c r="BZ148" s="201"/>
      <c r="CA148" s="201"/>
      <c r="CB148" s="188"/>
      <c r="CC148" s="188"/>
      <c r="CD148" s="201"/>
      <c r="CE148" s="201"/>
      <c r="CF148" s="188"/>
      <c r="CG148" s="188"/>
      <c r="CH148" s="201"/>
      <c r="CI148" s="201"/>
      <c r="CJ148" s="188"/>
      <c r="CK148" s="188"/>
      <c r="CL148" s="201"/>
      <c r="CM148" s="201"/>
      <c r="CN148" s="1"/>
      <c r="CO148" s="1"/>
      <c r="CP148" s="1"/>
      <c r="CQ148" s="206"/>
      <c r="CR148" s="1"/>
      <c r="CS148" s="1"/>
      <c r="CT148" s="1"/>
    </row>
    <row r="149" spans="1:98" s="5" customFormat="1" ht="13.5" customHeight="1">
      <c r="B149" s="5" t="s">
        <v>146</v>
      </c>
      <c r="C149" s="27">
        <v>5763.8850000000002</v>
      </c>
      <c r="D149" s="27">
        <v>1698.8510000000001</v>
      </c>
      <c r="E149" s="27">
        <v>3777.4850000000001</v>
      </c>
      <c r="F149" s="27">
        <v>7094.4260000000004</v>
      </c>
      <c r="G149" s="27">
        <v>7094.4260000000004</v>
      </c>
      <c r="H149" s="27">
        <v>5415.76</v>
      </c>
      <c r="I149" s="27">
        <v>11375.567999999999</v>
      </c>
      <c r="J149" s="27">
        <v>9358.4050000000007</v>
      </c>
      <c r="K149" s="27">
        <v>19186.612000000001</v>
      </c>
      <c r="L149" s="27">
        <v>33705.417999999998</v>
      </c>
      <c r="M149" s="27">
        <v>33945.589</v>
      </c>
      <c r="N149" s="27">
        <v>30482.375</v>
      </c>
      <c r="O149" s="8">
        <f>BD149</f>
        <v>38861.300000000003</v>
      </c>
      <c r="P149" s="6"/>
      <c r="Q149" s="27">
        <v>2099.9630000000002</v>
      </c>
      <c r="R149" s="27">
        <v>3407.7829999999999</v>
      </c>
      <c r="S149" s="27">
        <v>3519.6759999999999</v>
      </c>
      <c r="T149" s="8">
        <f>E149</f>
        <v>3777.4850000000001</v>
      </c>
      <c r="V149" s="27">
        <v>5365.4989999999998</v>
      </c>
      <c r="W149" s="27">
        <v>5802.95</v>
      </c>
      <c r="X149" s="27">
        <v>6617.0140000000001</v>
      </c>
      <c r="Y149" s="8">
        <f>F149</f>
        <v>7094.4260000000004</v>
      </c>
      <c r="Z149" s="27">
        <v>5418.902</v>
      </c>
      <c r="AA149" s="27">
        <v>10424.406000000001</v>
      </c>
      <c r="AB149" s="27">
        <v>10354.040000000001</v>
      </c>
      <c r="AC149" s="8">
        <f>H149</f>
        <v>5415.76</v>
      </c>
      <c r="AD149" s="27">
        <v>6988.674</v>
      </c>
      <c r="AE149" s="27">
        <v>8873.3880000000008</v>
      </c>
      <c r="AF149" s="27">
        <v>8114.5460000000003</v>
      </c>
      <c r="AG149" s="27">
        <f>I149</f>
        <v>11375.567999999999</v>
      </c>
      <c r="AH149" s="27">
        <v>12039.512000000001</v>
      </c>
      <c r="AI149" s="27">
        <v>10465.566999999999</v>
      </c>
      <c r="AJ149" s="27">
        <v>9599.1919999999991</v>
      </c>
      <c r="AK149" s="381">
        <f>J149</f>
        <v>9358.4050000000007</v>
      </c>
      <c r="AL149" s="27">
        <v>13296.891</v>
      </c>
      <c r="AM149" s="27">
        <v>13507.713</v>
      </c>
      <c r="AN149" s="27">
        <v>11097.977000000001</v>
      </c>
      <c r="AO149" s="361">
        <f>K149</f>
        <v>19186.612000000001</v>
      </c>
      <c r="AP149" s="27">
        <v>22275.612000000001</v>
      </c>
      <c r="AQ149" s="27">
        <v>32457.916000000001</v>
      </c>
      <c r="AR149" s="27">
        <v>32644.95</v>
      </c>
      <c r="AS149" s="361">
        <f>L149</f>
        <v>33705.417999999998</v>
      </c>
      <c r="AT149" s="27">
        <v>36669.635000000002</v>
      </c>
      <c r="AU149" s="27">
        <v>38672.398000000001</v>
      </c>
      <c r="AV149" s="27">
        <v>30999.121999999999</v>
      </c>
      <c r="AW149" s="361">
        <f>M149</f>
        <v>33945.589</v>
      </c>
      <c r="AX149" s="27">
        <v>34475.514000000003</v>
      </c>
      <c r="AY149" s="27">
        <v>34760.28</v>
      </c>
      <c r="AZ149" s="27">
        <v>35186.243000000002</v>
      </c>
      <c r="BA149" s="361">
        <f>N149</f>
        <v>30482.375</v>
      </c>
      <c r="BB149" s="27">
        <v>32699.691999999999</v>
      </c>
      <c r="BC149" s="27">
        <v>33980.25</v>
      </c>
      <c r="BD149" s="27">
        <v>38861.300000000003</v>
      </c>
      <c r="BE149" s="27"/>
      <c r="BF149" s="258"/>
      <c r="BG149" s="201"/>
      <c r="BH149" s="201"/>
      <c r="BI149" s="201"/>
      <c r="BJ149" s="201"/>
      <c r="BK149" s="201"/>
      <c r="BM149" s="201"/>
      <c r="BN149" s="188"/>
      <c r="BO149" s="201"/>
      <c r="BP149" s="201"/>
      <c r="BQ149" s="188"/>
      <c r="BR149" s="188"/>
      <c r="BS149" s="188"/>
      <c r="BT149" s="201"/>
      <c r="BU149" s="201"/>
      <c r="BV149" s="188"/>
      <c r="BW149" s="188"/>
      <c r="BX149" s="188"/>
      <c r="BY149" s="188"/>
      <c r="BZ149" s="201"/>
      <c r="CA149" s="201"/>
      <c r="CB149" s="188"/>
      <c r="CC149" s="188"/>
      <c r="CD149" s="201"/>
      <c r="CE149" s="201"/>
      <c r="CF149" s="188"/>
      <c r="CG149" s="188"/>
      <c r="CH149" s="201"/>
      <c r="CI149" s="201"/>
      <c r="CJ149" s="188"/>
      <c r="CK149" s="188"/>
      <c r="CL149" s="201"/>
      <c r="CM149" s="201"/>
      <c r="CN149" s="1"/>
      <c r="CO149" s="1"/>
      <c r="CP149" s="1"/>
      <c r="CQ149" s="206"/>
      <c r="CR149" s="1"/>
      <c r="CS149" s="1"/>
      <c r="CT149" s="1"/>
    </row>
    <row r="150" spans="1:98" ht="13.5" customHeight="1">
      <c r="B150" s="5"/>
      <c r="F150" s="6"/>
      <c r="G150" s="6"/>
      <c r="H150" s="6"/>
      <c r="I150" s="6"/>
      <c r="J150" s="6"/>
      <c r="K150" s="6"/>
      <c r="L150" s="6"/>
      <c r="M150" s="6"/>
      <c r="N150" s="6"/>
      <c r="O150" s="6"/>
      <c r="P150" s="6"/>
      <c r="AC150" s="6"/>
      <c r="AD150" s="6"/>
      <c r="AF150" s="6"/>
      <c r="AG150" s="6"/>
      <c r="AH150" s="6"/>
      <c r="AJ150" s="6"/>
      <c r="AK150" s="6"/>
      <c r="AL150" s="6"/>
      <c r="AN150" s="6"/>
      <c r="AO150" s="6"/>
      <c r="AP150" s="6"/>
      <c r="AQ150" s="6"/>
      <c r="AR150" s="6"/>
      <c r="AS150" s="6"/>
      <c r="AT150" s="6"/>
      <c r="AU150" s="6"/>
      <c r="AV150" s="6"/>
      <c r="AW150" s="6"/>
      <c r="AX150" s="6"/>
      <c r="AY150" s="6"/>
      <c r="AZ150" s="6"/>
      <c r="BA150" s="6"/>
      <c r="BB150" s="6"/>
      <c r="BC150" s="6"/>
      <c r="BD150" s="6"/>
      <c r="BE150" s="6"/>
      <c r="BF150" s="254"/>
      <c r="BG150" s="192"/>
      <c r="BH150" s="192"/>
      <c r="BI150" s="192"/>
      <c r="BJ150" s="192"/>
      <c r="BK150" s="192"/>
      <c r="BM150" s="192"/>
      <c r="BN150" s="192"/>
      <c r="BO150" s="192"/>
      <c r="BP150" s="192"/>
      <c r="BQ150" s="192"/>
      <c r="BR150" s="192"/>
      <c r="BS150" s="192"/>
      <c r="BT150" s="192"/>
      <c r="BU150" s="192"/>
      <c r="BV150" s="192"/>
      <c r="BW150" s="192"/>
      <c r="BX150" s="192"/>
      <c r="BY150" s="192"/>
      <c r="BZ150" s="192"/>
      <c r="CA150" s="192"/>
      <c r="CB150" s="192"/>
      <c r="CC150" s="192"/>
      <c r="CD150" s="192"/>
      <c r="CE150" s="192"/>
      <c r="CF150" s="192"/>
      <c r="CG150" s="192"/>
      <c r="CH150" s="192"/>
      <c r="CI150" s="192"/>
      <c r="CJ150" s="192"/>
      <c r="CK150" s="192"/>
      <c r="CL150" s="192"/>
      <c r="CM150" s="192"/>
      <c r="CQ150" s="206"/>
    </row>
    <row r="151" spans="1:98" ht="13.5" customHeight="1">
      <c r="B151" s="5" t="s">
        <v>147</v>
      </c>
      <c r="C151" s="4">
        <v>3174.18</v>
      </c>
      <c r="D151" s="4">
        <v>3306.37</v>
      </c>
      <c r="E151" s="4">
        <v>3442.79</v>
      </c>
      <c r="F151" s="4">
        <v>4545.6400000000003</v>
      </c>
      <c r="G151" s="4">
        <f>F151</f>
        <v>4545.6400000000003</v>
      </c>
      <c r="H151" s="4">
        <v>3380.5</v>
      </c>
      <c r="I151" s="4">
        <v>5060</v>
      </c>
      <c r="J151" s="4">
        <v>10040.299999999999</v>
      </c>
      <c r="K151" s="4">
        <v>14940</v>
      </c>
      <c r="L151" s="4">
        <v>5665.0360000000001</v>
      </c>
      <c r="M151" s="4">
        <v>9450</v>
      </c>
      <c r="N151" s="4">
        <v>12923</v>
      </c>
      <c r="O151" s="6">
        <f>BD151</f>
        <v>36597.599999999999</v>
      </c>
      <c r="P151" s="6"/>
      <c r="Q151" s="4">
        <v>3379.64</v>
      </c>
      <c r="R151" s="4">
        <v>2928.38</v>
      </c>
      <c r="S151" s="4">
        <v>2721.18</v>
      </c>
      <c r="T151" s="4">
        <v>3442.79</v>
      </c>
      <c r="V151" s="4">
        <v>3542.13</v>
      </c>
      <c r="W151" s="4">
        <v>4194.6400000000003</v>
      </c>
      <c r="X151" s="4">
        <v>4017.6</v>
      </c>
      <c r="Y151" s="4">
        <v>4545.6400000000003</v>
      </c>
      <c r="Z151" s="4">
        <v>3680.93</v>
      </c>
      <c r="AA151" s="4">
        <v>5054.1000000000004</v>
      </c>
      <c r="AB151" s="4">
        <v>4088</v>
      </c>
      <c r="AC151" s="6">
        <f>H151</f>
        <v>3380.5</v>
      </c>
      <c r="AD151" s="4">
        <v>3701.6</v>
      </c>
      <c r="AE151" s="4">
        <v>3897.2</v>
      </c>
      <c r="AF151" s="4">
        <v>6746.2</v>
      </c>
      <c r="AG151" s="4">
        <f>I151</f>
        <v>5060</v>
      </c>
      <c r="AH151" s="4">
        <v>9326</v>
      </c>
      <c r="AI151" s="4">
        <v>8970.375</v>
      </c>
      <c r="AJ151" s="4">
        <v>10848.39</v>
      </c>
      <c r="AK151" s="39">
        <f>J151</f>
        <v>10040.299999999999</v>
      </c>
      <c r="AL151" s="4">
        <v>14740</v>
      </c>
      <c r="AM151" s="4">
        <v>13096.9</v>
      </c>
      <c r="AN151" s="4">
        <v>18231.419999999998</v>
      </c>
      <c r="AO151" s="361">
        <f>K151</f>
        <v>14940</v>
      </c>
      <c r="AP151" s="4">
        <f>11128</f>
        <v>11128</v>
      </c>
      <c r="AQ151" s="4">
        <v>7988.7250000000004</v>
      </c>
      <c r="AR151" s="4">
        <v>6511.0420000000004</v>
      </c>
      <c r="AS151" s="361">
        <f>L151</f>
        <v>5665.0360000000001</v>
      </c>
      <c r="AT151" s="4">
        <v>4362.6000000000004</v>
      </c>
      <c r="AU151" s="4">
        <v>4893</v>
      </c>
      <c r="AV151" s="4">
        <v>4872.6970954356839</v>
      </c>
      <c r="AW151" s="361">
        <f>M151</f>
        <v>9450</v>
      </c>
      <c r="AX151" s="4">
        <v>10500</v>
      </c>
      <c r="AY151" s="4">
        <v>4893</v>
      </c>
      <c r="AZ151" s="4">
        <v>14142.66</v>
      </c>
      <c r="BA151" s="361">
        <f>N151</f>
        <v>12923</v>
      </c>
      <c r="BB151" s="4">
        <v>15426.1</v>
      </c>
      <c r="BC151" s="4">
        <v>19630.32</v>
      </c>
      <c r="BD151" s="4">
        <v>36597.599999999999</v>
      </c>
      <c r="BE151" s="4"/>
      <c r="BF151" s="243"/>
      <c r="BG151" s="195"/>
      <c r="BH151" s="195"/>
      <c r="BI151" s="195"/>
      <c r="BJ151" s="195"/>
      <c r="BK151" s="195"/>
      <c r="BM151" s="195"/>
      <c r="BN151" s="192"/>
      <c r="BO151" s="195"/>
      <c r="BP151" s="195"/>
      <c r="BQ151" s="192"/>
      <c r="BR151" s="192"/>
      <c r="BS151" s="192"/>
      <c r="BT151" s="195"/>
      <c r="BU151" s="195"/>
      <c r="BV151" s="192"/>
      <c r="BW151" s="192"/>
      <c r="BX151" s="192"/>
      <c r="BY151" s="192"/>
      <c r="BZ151" s="195"/>
      <c r="CA151" s="195"/>
      <c r="CB151" s="192"/>
      <c r="CC151" s="192"/>
      <c r="CD151" s="195"/>
      <c r="CE151" s="195"/>
      <c r="CF151" s="192"/>
      <c r="CG151" s="192"/>
      <c r="CH151" s="195"/>
      <c r="CI151" s="195"/>
      <c r="CJ151" s="192"/>
      <c r="CK151" s="192"/>
      <c r="CL151" s="195"/>
      <c r="CM151" s="195"/>
      <c r="CQ151" s="206"/>
    </row>
    <row r="152" spans="1:98" ht="13.5" customHeight="1" outlineLevel="1">
      <c r="B152" s="1" t="s">
        <v>148</v>
      </c>
      <c r="C152" s="4">
        <v>2071.7249999999999</v>
      </c>
      <c r="D152" s="4">
        <f>643.258+200.374</f>
        <v>843.63200000000006</v>
      </c>
      <c r="E152" s="4">
        <v>1100.8020000000006</v>
      </c>
      <c r="F152" s="4">
        <v>2634.7099999999991</v>
      </c>
      <c r="G152" s="4">
        <v>2634.7099999999991</v>
      </c>
      <c r="H152" s="4">
        <v>4011.5569999999998</v>
      </c>
      <c r="I152" s="4">
        <v>1776.3409999999999</v>
      </c>
      <c r="J152" s="4">
        <v>3514.0630000000001</v>
      </c>
      <c r="K152" s="4">
        <v>5571.723</v>
      </c>
      <c r="L152" s="4">
        <v>26449.609</v>
      </c>
      <c r="M152" s="4">
        <v>24889.834999999999</v>
      </c>
      <c r="N152" s="4">
        <v>19938.112000000001</v>
      </c>
      <c r="O152" s="6">
        <f>BD152</f>
        <v>14916.224</v>
      </c>
      <c r="P152" s="6"/>
      <c r="Q152" s="4">
        <v>1021.06</v>
      </c>
      <c r="R152" s="4">
        <v>1716.6780000000001</v>
      </c>
      <c r="S152" s="4">
        <v>1535.104</v>
      </c>
      <c r="T152" s="6">
        <f>E152</f>
        <v>1100.8020000000006</v>
      </c>
      <c r="V152" s="4">
        <f>2793.412+206.074</f>
        <v>2999.4859999999999</v>
      </c>
      <c r="W152" s="4">
        <v>2707.4349999999999</v>
      </c>
      <c r="X152" s="4">
        <v>2816.991</v>
      </c>
      <c r="Y152" s="6">
        <f>F152</f>
        <v>2634.7099999999991</v>
      </c>
      <c r="Z152" s="4">
        <v>2434.355</v>
      </c>
      <c r="AA152" s="4">
        <v>2447.4229999999998</v>
      </c>
      <c r="AB152" s="4">
        <v>2250.8890000000001</v>
      </c>
      <c r="AC152" s="6">
        <f>H152</f>
        <v>4011.5569999999998</v>
      </c>
      <c r="AD152" s="4">
        <v>4132.4669999999996</v>
      </c>
      <c r="AE152" s="4">
        <v>4209.277</v>
      </c>
      <c r="AF152" s="4">
        <v>4252.5219999999999</v>
      </c>
      <c r="AG152" s="4">
        <f>I152</f>
        <v>1776.3409999999999</v>
      </c>
      <c r="AH152" s="4">
        <v>572.98699999999997</v>
      </c>
      <c r="AI152" s="4">
        <v>2611.1039999999998</v>
      </c>
      <c r="AJ152" s="4">
        <v>2743.7820000000002</v>
      </c>
      <c r="AK152" s="39">
        <f>J152</f>
        <v>3514.0630000000001</v>
      </c>
      <c r="AL152" s="4">
        <v>3966.14</v>
      </c>
      <c r="AM152" s="4">
        <v>5868.8779999999997</v>
      </c>
      <c r="AN152" s="4">
        <v>6673.8270000000002</v>
      </c>
      <c r="AO152" s="361">
        <f>K152</f>
        <v>5571.723</v>
      </c>
      <c r="AP152" s="4">
        <v>5110.04</v>
      </c>
      <c r="AQ152" s="4">
        <v>29606.508999999998</v>
      </c>
      <c r="AR152" s="4">
        <v>28904.489000000001</v>
      </c>
      <c r="AS152" s="361">
        <f>L152</f>
        <v>26449.609</v>
      </c>
      <c r="AT152" s="4">
        <v>5110.04</v>
      </c>
      <c r="AU152" s="4">
        <v>29606.508999999998</v>
      </c>
      <c r="AV152" s="4">
        <v>26432.483</v>
      </c>
      <c r="AW152" s="361">
        <f>M152</f>
        <v>24889.834999999999</v>
      </c>
      <c r="AX152" s="4">
        <v>24654.030999999999</v>
      </c>
      <c r="AY152" s="4">
        <v>23207.289000000001</v>
      </c>
      <c r="AZ152" s="4">
        <v>23198.007000000001</v>
      </c>
      <c r="BA152" s="361">
        <f>N152</f>
        <v>19938.112000000001</v>
      </c>
      <c r="BB152" s="4">
        <v>20050.871999999999</v>
      </c>
      <c r="BC152" s="4">
        <v>19871.473000000002</v>
      </c>
      <c r="BD152" s="4">
        <v>14916.224</v>
      </c>
      <c r="BE152" s="4"/>
      <c r="BF152" s="243"/>
      <c r="BG152" s="195"/>
      <c r="BH152" s="195"/>
      <c r="BI152" s="195"/>
      <c r="BJ152" s="195"/>
      <c r="BK152" s="195"/>
      <c r="BM152" s="195"/>
      <c r="BN152" s="192"/>
      <c r="BO152" s="195"/>
      <c r="BP152" s="195"/>
      <c r="BQ152" s="192"/>
      <c r="BR152" s="192"/>
      <c r="BS152" s="192"/>
      <c r="BT152" s="195"/>
      <c r="BU152" s="195"/>
      <c r="BV152" s="192"/>
      <c r="BW152" s="192"/>
      <c r="BX152" s="192"/>
      <c r="BY152" s="192"/>
      <c r="BZ152" s="195"/>
      <c r="CA152" s="195"/>
      <c r="CB152" s="192"/>
      <c r="CC152" s="192"/>
      <c r="CD152" s="195"/>
      <c r="CE152" s="195"/>
      <c r="CF152" s="192"/>
      <c r="CG152" s="192"/>
      <c r="CH152" s="195"/>
      <c r="CI152" s="195"/>
      <c r="CJ152" s="192"/>
      <c r="CK152" s="192"/>
      <c r="CL152" s="195"/>
      <c r="CM152" s="195"/>
      <c r="CQ152" s="206"/>
    </row>
    <row r="153" spans="1:98" s="5" customFormat="1" ht="13.5" customHeight="1" outlineLevel="1">
      <c r="B153" s="5" t="s">
        <v>149</v>
      </c>
      <c r="C153" s="8">
        <f t="shared" ref="C153:Z153" si="353">C144+C152</f>
        <v>13425.533000000003</v>
      </c>
      <c r="D153" s="8">
        <f t="shared" si="353"/>
        <v>13984.050999999999</v>
      </c>
      <c r="E153" s="8">
        <f t="shared" si="353"/>
        <v>12855.508000000002</v>
      </c>
      <c r="F153" s="8">
        <f t="shared" si="353"/>
        <v>15605.542999999996</v>
      </c>
      <c r="G153" s="8">
        <f t="shared" ref="G153:M153" si="354">G144+G152</f>
        <v>15605.542999999998</v>
      </c>
      <c r="H153" s="8">
        <f t="shared" si="354"/>
        <v>19737.685000000001</v>
      </c>
      <c r="I153" s="8">
        <f t="shared" si="354"/>
        <v>24358.031000000003</v>
      </c>
      <c r="J153" s="8">
        <f t="shared" si="354"/>
        <v>31385.930999999997</v>
      </c>
      <c r="K153" s="8">
        <f t="shared" si="354"/>
        <v>36875.983</v>
      </c>
      <c r="L153" s="8">
        <f t="shared" si="354"/>
        <v>92160.159</v>
      </c>
      <c r="M153" s="8">
        <f t="shared" si="354"/>
        <v>80973.923999999999</v>
      </c>
      <c r="N153" s="8">
        <f>N144+N152</f>
        <v>86217.752000000008</v>
      </c>
      <c r="O153" s="8">
        <f>O144+O152</f>
        <v>84768.025000000009</v>
      </c>
      <c r="P153" s="8"/>
      <c r="Q153" s="8">
        <f t="shared" si="353"/>
        <v>13717.340999999997</v>
      </c>
      <c r="R153" s="8">
        <f t="shared" si="353"/>
        <v>13489.164000000001</v>
      </c>
      <c r="S153" s="8">
        <f t="shared" si="353"/>
        <v>13852.598999999998</v>
      </c>
      <c r="T153" s="8">
        <f t="shared" si="353"/>
        <v>12855.508000000002</v>
      </c>
      <c r="V153" s="8">
        <f t="shared" si="353"/>
        <v>15632.162</v>
      </c>
      <c r="W153" s="8">
        <f t="shared" si="353"/>
        <v>15644.391000000001</v>
      </c>
      <c r="X153" s="8">
        <f t="shared" si="353"/>
        <v>14915.615000000002</v>
      </c>
      <c r="Y153" s="8">
        <f t="shared" si="353"/>
        <v>15605.542999999996</v>
      </c>
      <c r="Z153" s="8">
        <f t="shared" si="353"/>
        <v>15118.181</v>
      </c>
      <c r="AA153" s="8">
        <f t="shared" ref="AA153:AF153" si="355">AA144+AA152</f>
        <v>21756.936999999998</v>
      </c>
      <c r="AB153" s="8">
        <f t="shared" si="355"/>
        <v>22130.892</v>
      </c>
      <c r="AC153" s="8">
        <f t="shared" si="355"/>
        <v>19732.374</v>
      </c>
      <c r="AD153" s="8">
        <f t="shared" si="355"/>
        <v>21300.642999999996</v>
      </c>
      <c r="AE153" s="8">
        <f t="shared" si="355"/>
        <v>21631.050999999999</v>
      </c>
      <c r="AF153" s="8">
        <f t="shared" si="355"/>
        <v>24315.146000000001</v>
      </c>
      <c r="AG153" s="8">
        <f t="shared" ref="AG153:AL153" si="356">AG144+AG152</f>
        <v>24358.031000000003</v>
      </c>
      <c r="AH153" s="8">
        <f t="shared" si="356"/>
        <v>28752.319</v>
      </c>
      <c r="AI153" s="8">
        <f t="shared" si="356"/>
        <v>29306.502999999997</v>
      </c>
      <c r="AJ153" s="8">
        <f t="shared" si="356"/>
        <v>30651.642000000003</v>
      </c>
      <c r="AK153" s="8">
        <f t="shared" si="356"/>
        <v>31385.930999999997</v>
      </c>
      <c r="AL153" s="8">
        <f t="shared" si="356"/>
        <v>33874.588000000003</v>
      </c>
      <c r="AM153" s="8">
        <f t="shared" ref="AM153:AR153" si="357">AM144+AM152</f>
        <v>34609.115999999995</v>
      </c>
      <c r="AN153" s="8">
        <f t="shared" si="357"/>
        <v>36917.644</v>
      </c>
      <c r="AO153" s="8">
        <f t="shared" si="357"/>
        <v>36875.983</v>
      </c>
      <c r="AP153" s="8">
        <f t="shared" si="357"/>
        <v>38540.098999999995</v>
      </c>
      <c r="AQ153" s="8">
        <f t="shared" si="357"/>
        <v>90350.536999999982</v>
      </c>
      <c r="AR153" s="8">
        <f t="shared" si="357"/>
        <v>92662.911000000007</v>
      </c>
      <c r="AS153" s="8">
        <f t="shared" ref="AS153:AX153" si="358">AS144+AS152</f>
        <v>92160.159</v>
      </c>
      <c r="AT153" s="8">
        <f t="shared" si="358"/>
        <v>69622.452999999994</v>
      </c>
      <c r="AU153" s="8">
        <f t="shared" si="358"/>
        <v>92055.156000000003</v>
      </c>
      <c r="AV153" s="8">
        <f t="shared" si="358"/>
        <v>83434.545000000013</v>
      </c>
      <c r="AW153" s="8">
        <f t="shared" si="358"/>
        <v>80973.923999999999</v>
      </c>
      <c r="AX153" s="8">
        <f t="shared" si="358"/>
        <v>81274.291000000012</v>
      </c>
      <c r="AY153" s="8">
        <f t="shared" ref="AY153:BD153" si="359">AY144+AY152</f>
        <v>84809.24</v>
      </c>
      <c r="AZ153" s="8">
        <f t="shared" si="359"/>
        <v>82012.150999999998</v>
      </c>
      <c r="BA153" s="8">
        <f t="shared" si="359"/>
        <v>86217.752000000008</v>
      </c>
      <c r="BB153" s="8">
        <f t="shared" si="359"/>
        <v>83929.98599999999</v>
      </c>
      <c r="BC153" s="8">
        <f t="shared" si="359"/>
        <v>86175.416000000012</v>
      </c>
      <c r="BD153" s="8">
        <f t="shared" si="359"/>
        <v>84768.025000000009</v>
      </c>
      <c r="BE153" s="8"/>
      <c r="BF153" s="240"/>
      <c r="BG153" s="194"/>
      <c r="BH153" s="194"/>
      <c r="BI153" s="194"/>
      <c r="BJ153" s="194"/>
      <c r="BK153" s="194"/>
      <c r="BM153" s="194"/>
      <c r="BN153" s="188"/>
      <c r="BO153" s="194"/>
      <c r="BP153" s="194"/>
      <c r="BQ153" s="188"/>
      <c r="BR153" s="188"/>
      <c r="BS153" s="188"/>
      <c r="BT153" s="194"/>
      <c r="BU153" s="194"/>
      <c r="BV153" s="188"/>
      <c r="BW153" s="188"/>
      <c r="BX153" s="188"/>
      <c r="BY153" s="188"/>
      <c r="BZ153" s="194"/>
      <c r="CA153" s="194"/>
      <c r="CB153" s="188"/>
      <c r="CC153" s="188"/>
      <c r="CD153" s="194"/>
      <c r="CE153" s="194"/>
      <c r="CF153" s="188"/>
      <c r="CG153" s="188"/>
      <c r="CH153" s="194"/>
      <c r="CI153" s="194"/>
      <c r="CJ153" s="188"/>
      <c r="CK153" s="188"/>
      <c r="CL153" s="194"/>
      <c r="CM153" s="194"/>
      <c r="CN153" s="1"/>
      <c r="CO153" s="1"/>
      <c r="CP153" s="1"/>
      <c r="CQ153" s="206"/>
      <c r="CR153" s="1"/>
      <c r="CS153" s="1"/>
      <c r="CT153" s="1"/>
    </row>
    <row r="154" spans="1:98" s="5" customFormat="1" ht="13.5" customHeight="1" outlineLevel="1">
      <c r="B154" s="5" t="s">
        <v>150</v>
      </c>
      <c r="C154" s="8">
        <f t="shared" ref="C154:Z154" si="360">C143+C151</f>
        <v>11869.191000000003</v>
      </c>
      <c r="D154" s="8">
        <f t="shared" si="360"/>
        <v>11442.579</v>
      </c>
      <c r="E154" s="8">
        <f t="shared" si="360"/>
        <v>9918.8549999999996</v>
      </c>
      <c r="F154" s="8">
        <f t="shared" si="360"/>
        <v>13114.119999999995</v>
      </c>
      <c r="G154" s="8">
        <f t="shared" ref="G154:M154" si="361">G143+G151</f>
        <v>13114.119999999999</v>
      </c>
      <c r="H154" s="8">
        <f t="shared" si="361"/>
        <v>11914.922</v>
      </c>
      <c r="I154" s="8">
        <f t="shared" si="361"/>
        <v>19231.577000000001</v>
      </c>
      <c r="J154" s="8">
        <f t="shared" si="361"/>
        <v>26154.718999999997</v>
      </c>
      <c r="K154" s="8">
        <f t="shared" si="361"/>
        <v>37844</v>
      </c>
      <c r="L154" s="8">
        <f t="shared" si="361"/>
        <v>48883.053000000007</v>
      </c>
      <c r="M154" s="8">
        <f t="shared" si="361"/>
        <v>43655.733</v>
      </c>
      <c r="N154" s="8">
        <f>N143+N151</f>
        <v>56683.125000000015</v>
      </c>
      <c r="O154" s="8">
        <f>O143+O151</f>
        <v>84047.323000000004</v>
      </c>
      <c r="P154" s="8"/>
      <c r="Q154" s="8">
        <f t="shared" si="360"/>
        <v>10891.448999999997</v>
      </c>
      <c r="R154" s="8">
        <f t="shared" si="360"/>
        <v>9505.7119999999995</v>
      </c>
      <c r="S154" s="8">
        <f t="shared" si="360"/>
        <v>9308.0149999999994</v>
      </c>
      <c r="T154" s="8">
        <f t="shared" si="360"/>
        <v>9918.8549999999996</v>
      </c>
      <c r="V154" s="8">
        <f t="shared" si="360"/>
        <v>10470.314999999999</v>
      </c>
      <c r="W154" s="8">
        <f t="shared" si="360"/>
        <v>11695.652000000002</v>
      </c>
      <c r="X154" s="8">
        <f t="shared" si="360"/>
        <v>11591.917000000001</v>
      </c>
      <c r="Y154" s="8">
        <f t="shared" si="360"/>
        <v>13114.119999999995</v>
      </c>
      <c r="Z154" s="8">
        <f t="shared" si="360"/>
        <v>10504.805</v>
      </c>
      <c r="AA154" s="8">
        <f t="shared" ref="AA154:AF154" si="362">AA143+AA151</f>
        <v>18703.728999999999</v>
      </c>
      <c r="AB154" s="8">
        <f t="shared" si="362"/>
        <v>18333.868000000002</v>
      </c>
      <c r="AC154" s="8">
        <f t="shared" si="362"/>
        <v>11909.611000000001</v>
      </c>
      <c r="AD154" s="8">
        <f t="shared" si="362"/>
        <v>14267.914999999995</v>
      </c>
      <c r="AE154" s="8">
        <f t="shared" si="362"/>
        <v>14881.160999999996</v>
      </c>
      <c r="AF154" s="8">
        <f t="shared" si="362"/>
        <v>18449.235000000001</v>
      </c>
      <c r="AG154" s="8">
        <f t="shared" ref="AG154:AL154" si="363">AG143+AG151</f>
        <v>19231.577000000001</v>
      </c>
      <c r="AH154" s="8">
        <f t="shared" si="363"/>
        <v>29931.155999999999</v>
      </c>
      <c r="AI154" s="8">
        <f t="shared" si="363"/>
        <v>27491.731</v>
      </c>
      <c r="AJ154" s="8">
        <f t="shared" si="363"/>
        <v>29101.779000000002</v>
      </c>
      <c r="AK154" s="8">
        <f t="shared" si="363"/>
        <v>26154.718999999997</v>
      </c>
      <c r="AL154" s="8">
        <f t="shared" si="363"/>
        <v>33591.492000000006</v>
      </c>
      <c r="AM154" s="8">
        <f t="shared" ref="AM154:AR154" si="364">AM143+AM151</f>
        <v>28333.316999999995</v>
      </c>
      <c r="AN154" s="8">
        <f t="shared" si="364"/>
        <v>32874.436000000002</v>
      </c>
      <c r="AO154" s="8">
        <f t="shared" si="364"/>
        <v>37844</v>
      </c>
      <c r="AP154" s="8">
        <f t="shared" si="364"/>
        <v>33390.221999999994</v>
      </c>
      <c r="AQ154" s="8">
        <f t="shared" si="364"/>
        <v>49866.262999999992</v>
      </c>
      <c r="AR154" s="8">
        <f t="shared" si="364"/>
        <v>50210.674000000006</v>
      </c>
      <c r="AS154" s="8">
        <f t="shared" ref="AS154:AX154" si="365">AS143+AS151</f>
        <v>48883.053000000007</v>
      </c>
      <c r="AT154" s="8">
        <f t="shared" si="365"/>
        <v>49263.188000000002</v>
      </c>
      <c r="AU154" s="8">
        <f t="shared" si="365"/>
        <v>48417.577000000005</v>
      </c>
      <c r="AV154" s="8">
        <f t="shared" si="365"/>
        <v>38345.956095435686</v>
      </c>
      <c r="AW154" s="8">
        <f t="shared" si="365"/>
        <v>43655.733</v>
      </c>
      <c r="AX154" s="8">
        <f t="shared" si="365"/>
        <v>46357.706000000006</v>
      </c>
      <c r="AY154" s="8">
        <f t="shared" ref="AY154:BD154" si="366">AY143+AY151</f>
        <v>44544.631999999998</v>
      </c>
      <c r="AZ154" s="8">
        <f t="shared" si="366"/>
        <v>53120.952000000005</v>
      </c>
      <c r="BA154" s="8">
        <f t="shared" si="366"/>
        <v>56683.125000000015</v>
      </c>
      <c r="BB154" s="8">
        <f t="shared" si="366"/>
        <v>59328.471999999987</v>
      </c>
      <c r="BC154" s="8">
        <f t="shared" si="366"/>
        <v>62972.530000000013</v>
      </c>
      <c r="BD154" s="8">
        <f t="shared" si="366"/>
        <v>84047.323000000004</v>
      </c>
      <c r="BE154" s="8"/>
      <c r="BF154" s="240"/>
      <c r="BG154" s="194"/>
      <c r="BH154" s="194"/>
      <c r="BI154" s="194"/>
      <c r="BJ154" s="194"/>
      <c r="BK154" s="194"/>
      <c r="BM154" s="194"/>
      <c r="BN154" s="188"/>
      <c r="BO154" s="194"/>
      <c r="BP154" s="194"/>
      <c r="BQ154" s="188"/>
      <c r="BR154" s="188"/>
      <c r="BS154" s="188"/>
      <c r="BT154" s="194"/>
      <c r="BU154" s="194"/>
      <c r="BV154" s="188"/>
      <c r="BW154" s="188"/>
      <c r="BX154" s="188"/>
      <c r="BY154" s="188"/>
      <c r="BZ154" s="194"/>
      <c r="CA154" s="194"/>
      <c r="CB154" s="188"/>
      <c r="CC154" s="188"/>
      <c r="CD154" s="194"/>
      <c r="CE154" s="194"/>
      <c r="CF154" s="188"/>
      <c r="CG154" s="188"/>
      <c r="CH154" s="194"/>
      <c r="CI154" s="194"/>
      <c r="CJ154" s="188"/>
      <c r="CK154" s="188"/>
      <c r="CL154" s="194"/>
      <c r="CM154" s="194"/>
      <c r="CN154" s="1"/>
      <c r="CO154" s="1"/>
      <c r="CP154" s="1"/>
      <c r="CQ154" s="206"/>
      <c r="CR154" s="1"/>
      <c r="CS154" s="1"/>
      <c r="CT154" s="1"/>
    </row>
    <row r="155" spans="1:98" ht="13.5" customHeight="1">
      <c r="BF155" s="252"/>
      <c r="BJ155" s="1"/>
      <c r="CQ155" s="206"/>
    </row>
    <row r="156" spans="1:98" ht="13.5" customHeight="1">
      <c r="A156" s="26"/>
      <c r="B156" s="16" t="s">
        <v>151</v>
      </c>
      <c r="C156" s="44">
        <v>41975</v>
      </c>
      <c r="D156" s="44">
        <v>42341</v>
      </c>
      <c r="E156" s="44">
        <v>42708</v>
      </c>
      <c r="F156" s="44">
        <v>43073</v>
      </c>
      <c r="G156" s="44">
        <f t="shared" ref="G156:O156" si="367">G3</f>
        <v>43073</v>
      </c>
      <c r="H156" s="44">
        <f t="shared" si="367"/>
        <v>43438</v>
      </c>
      <c r="I156" s="44">
        <f t="shared" si="367"/>
        <v>43803</v>
      </c>
      <c r="J156" s="44">
        <f t="shared" si="367"/>
        <v>44169</v>
      </c>
      <c r="K156" s="44">
        <f t="shared" si="367"/>
        <v>44534</v>
      </c>
      <c r="L156" s="44">
        <f t="shared" si="367"/>
        <v>44899</v>
      </c>
      <c r="M156" s="44">
        <f t="shared" si="367"/>
        <v>45264</v>
      </c>
      <c r="N156" s="44">
        <f t="shared" si="367"/>
        <v>45630</v>
      </c>
      <c r="O156" s="120">
        <f t="shared" si="367"/>
        <v>45909</v>
      </c>
      <c r="P156" s="205"/>
      <c r="Q156" s="44">
        <v>42437</v>
      </c>
      <c r="R156" s="44">
        <v>42527</v>
      </c>
      <c r="S156" s="44">
        <v>42622</v>
      </c>
      <c r="T156" s="44">
        <v>42714</v>
      </c>
      <c r="U156" s="17"/>
      <c r="V156" s="44">
        <v>42801</v>
      </c>
      <c r="W156" s="44">
        <v>42892</v>
      </c>
      <c r="X156" s="44">
        <v>42987</v>
      </c>
      <c r="Y156" s="44">
        <f t="shared" ref="Y156:BD156" si="368">Y3</f>
        <v>43079</v>
      </c>
      <c r="Z156" s="44">
        <f t="shared" si="368"/>
        <v>43190</v>
      </c>
      <c r="AA156" s="44">
        <f t="shared" si="368"/>
        <v>43281</v>
      </c>
      <c r="AB156" s="44">
        <f t="shared" si="368"/>
        <v>43352</v>
      </c>
      <c r="AC156" s="44">
        <f t="shared" si="368"/>
        <v>43444</v>
      </c>
      <c r="AD156" s="44">
        <f t="shared" si="368"/>
        <v>43555</v>
      </c>
      <c r="AE156" s="44">
        <f t="shared" si="368"/>
        <v>43646</v>
      </c>
      <c r="AF156" s="44">
        <f t="shared" si="368"/>
        <v>43717</v>
      </c>
      <c r="AG156" s="44">
        <f t="shared" si="368"/>
        <v>43808</v>
      </c>
      <c r="AH156" s="44">
        <f t="shared" si="368"/>
        <v>43921</v>
      </c>
      <c r="AI156" s="44">
        <f t="shared" si="368"/>
        <v>44012</v>
      </c>
      <c r="AJ156" s="44">
        <f t="shared" si="368"/>
        <v>44083</v>
      </c>
      <c r="AK156" s="44">
        <f t="shared" si="368"/>
        <v>44174</v>
      </c>
      <c r="AL156" s="44">
        <f t="shared" si="368"/>
        <v>44286</v>
      </c>
      <c r="AM156" s="44">
        <f t="shared" si="368"/>
        <v>44377</v>
      </c>
      <c r="AN156" s="44">
        <f t="shared" si="368"/>
        <v>44448</v>
      </c>
      <c r="AO156" s="44">
        <f t="shared" si="368"/>
        <v>44539</v>
      </c>
      <c r="AP156" s="44">
        <f t="shared" si="368"/>
        <v>44651</v>
      </c>
      <c r="AQ156" s="44">
        <f t="shared" si="368"/>
        <v>44742</v>
      </c>
      <c r="AR156" s="44">
        <f t="shared" si="368"/>
        <v>44813</v>
      </c>
      <c r="AS156" s="44">
        <f t="shared" si="368"/>
        <v>44904</v>
      </c>
      <c r="AT156" s="44">
        <f t="shared" si="368"/>
        <v>45016</v>
      </c>
      <c r="AU156" s="44">
        <f t="shared" si="368"/>
        <v>45107</v>
      </c>
      <c r="AV156" s="44">
        <f t="shared" si="368"/>
        <v>45178</v>
      </c>
      <c r="AW156" s="44">
        <f t="shared" si="368"/>
        <v>45269</v>
      </c>
      <c r="AX156" s="44">
        <f t="shared" si="368"/>
        <v>45382</v>
      </c>
      <c r="AY156" s="44">
        <f t="shared" si="368"/>
        <v>45473</v>
      </c>
      <c r="AZ156" s="44">
        <f t="shared" si="368"/>
        <v>45544</v>
      </c>
      <c r="BA156" s="44">
        <f t="shared" si="368"/>
        <v>45635</v>
      </c>
      <c r="BB156" s="44">
        <f t="shared" si="368"/>
        <v>45747</v>
      </c>
      <c r="BC156" s="44">
        <f t="shared" si="368"/>
        <v>45838</v>
      </c>
      <c r="BD156" s="120">
        <f t="shared" si="368"/>
        <v>45909</v>
      </c>
      <c r="BE156" s="394"/>
      <c r="BF156" s="238"/>
      <c r="BG156" s="44"/>
      <c r="BH156" s="44"/>
      <c r="BI156" s="13"/>
      <c r="BJ156" s="13"/>
      <c r="BK156" s="13"/>
      <c r="BM156" s="44"/>
      <c r="BN156" s="17"/>
      <c r="BO156" s="44"/>
      <c r="BP156" s="44"/>
      <c r="BQ156" s="17"/>
      <c r="BR156" s="17"/>
      <c r="BS156" s="17"/>
      <c r="BT156" s="44"/>
      <c r="BU156" s="44"/>
      <c r="BV156" s="17"/>
      <c r="BW156" s="17"/>
      <c r="BX156" s="17"/>
      <c r="BY156" s="17"/>
      <c r="BZ156" s="44"/>
      <c r="CA156" s="44"/>
      <c r="CB156" s="17"/>
      <c r="CC156" s="17"/>
      <c r="CD156" s="44"/>
      <c r="CE156" s="44"/>
      <c r="CF156" s="17"/>
      <c r="CG156" s="17"/>
      <c r="CH156" s="44"/>
      <c r="CI156" s="44"/>
      <c r="CJ156" s="17"/>
      <c r="CK156" s="17"/>
      <c r="CL156" s="44"/>
      <c r="CM156" s="44"/>
      <c r="CQ156" s="206"/>
    </row>
    <row r="157" spans="1:98" ht="13.5" customHeight="1">
      <c r="B157" s="5"/>
      <c r="BF157" s="252"/>
      <c r="BJ157" s="1"/>
      <c r="CQ157" s="206"/>
    </row>
    <row r="158" spans="1:98" s="5" customFormat="1" ht="13.5" customHeight="1">
      <c r="B158" s="5" t="s">
        <v>152</v>
      </c>
      <c r="C158" s="28">
        <f t="shared" ref="C158:K158" si="369">+C143/C86</f>
        <v>6.4237167038221523</v>
      </c>
      <c r="D158" s="28">
        <f t="shared" si="369"/>
        <v>4.6711499598116895</v>
      </c>
      <c r="E158" s="28">
        <f t="shared" si="369"/>
        <v>4.013177790171655</v>
      </c>
      <c r="F158" s="28">
        <f t="shared" si="369"/>
        <v>5.0172619744700766</v>
      </c>
      <c r="G158" s="28">
        <f t="shared" si="369"/>
        <v>10.832465233881162</v>
      </c>
      <c r="H158" s="28">
        <f t="shared" si="369"/>
        <v>3.2812079969242602</v>
      </c>
      <c r="I158" s="28">
        <f t="shared" si="369"/>
        <v>2.9450492518703246</v>
      </c>
      <c r="J158" s="28">
        <f t="shared" si="369"/>
        <v>1.6794600312662844</v>
      </c>
      <c r="K158" s="28">
        <f t="shared" si="369"/>
        <v>1.5748074807480748</v>
      </c>
      <c r="L158" s="28">
        <f>+L143/L86</f>
        <v>3.3901801851270794</v>
      </c>
      <c r="M158" s="28">
        <f>+M143/M86</f>
        <v>3.9983323202805376</v>
      </c>
      <c r="N158" s="28">
        <f>+N143/N86</f>
        <v>3.2077499633484838</v>
      </c>
      <c r="O158" s="28">
        <f>+O143/O86</f>
        <v>3.5260253399717625</v>
      </c>
      <c r="P158" s="28"/>
      <c r="Q158" s="28"/>
      <c r="R158" s="28"/>
      <c r="S158" s="28"/>
      <c r="T158" s="28">
        <f>+T143/T86</f>
        <v>4.013177790171655</v>
      </c>
      <c r="V158" s="28">
        <f t="shared" ref="V158:AS158" si="370">+V143/V86</f>
        <v>4.2366446523573646</v>
      </c>
      <c r="W158" s="28">
        <f t="shared" si="370"/>
        <v>4.6814029832116342</v>
      </c>
      <c r="X158" s="28">
        <f t="shared" si="370"/>
        <v>4.3448155796477952</v>
      </c>
      <c r="Y158" s="28">
        <f t="shared" si="370"/>
        <v>5.0172619744700766</v>
      </c>
      <c r="Z158" s="28">
        <f t="shared" si="370"/>
        <v>3.8915739948674091</v>
      </c>
      <c r="AA158" s="28">
        <f t="shared" si="370"/>
        <v>6.6244256248483389</v>
      </c>
      <c r="AB158" s="28">
        <f t="shared" si="370"/>
        <v>4.9081371231696824</v>
      </c>
      <c r="AC158" s="28">
        <f t="shared" si="370"/>
        <v>3.2791660899653983</v>
      </c>
      <c r="AD158" s="28">
        <f t="shared" si="370"/>
        <v>3.5185864135864118</v>
      </c>
      <c r="AE158" s="28">
        <f t="shared" si="370"/>
        <v>2.8783455387592021</v>
      </c>
      <c r="AF158" s="28">
        <f t="shared" si="370"/>
        <v>2.8261426765263393</v>
      </c>
      <c r="AG158" s="28">
        <f t="shared" si="370"/>
        <v>2.9450957662672979</v>
      </c>
      <c r="AH158" s="28">
        <f t="shared" si="370"/>
        <v>3.7893560987705341</v>
      </c>
      <c r="AI158" s="28">
        <f t="shared" si="370"/>
        <v>2.2056844390749046</v>
      </c>
      <c r="AJ158" s="28">
        <f t="shared" si="370"/>
        <v>2.0021220140023339</v>
      </c>
      <c r="AK158" s="28">
        <f t="shared" si="370"/>
        <v>1.6807377541222175</v>
      </c>
      <c r="AL158" s="28">
        <f t="shared" si="370"/>
        <v>1.8695343393249568</v>
      </c>
      <c r="AM158" s="28">
        <f t="shared" si="370"/>
        <v>1.5365700827653355</v>
      </c>
      <c r="AN158" s="28">
        <f t="shared" si="370"/>
        <v>1.1728914002767057</v>
      </c>
      <c r="AO158" s="28">
        <f t="shared" si="370"/>
        <v>1.5748074807480748</v>
      </c>
      <c r="AP158" s="28">
        <f t="shared" si="370"/>
        <v>1.4303014890400603</v>
      </c>
      <c r="AQ158" s="28">
        <f t="shared" si="370"/>
        <v>2.221678983527414</v>
      </c>
      <c r="AR158" s="28">
        <f t="shared" si="370"/>
        <v>2.6469122785228922</v>
      </c>
      <c r="AS158" s="28">
        <f t="shared" si="370"/>
        <v>3.3901801851270794</v>
      </c>
      <c r="AT158" s="28">
        <f t="shared" ref="AT158:AY158" si="371">+AT143/AT86</f>
        <v>3.9070198145339736</v>
      </c>
      <c r="AU158" s="28">
        <f t="shared" si="371"/>
        <v>4.4312936973150103</v>
      </c>
      <c r="AV158" s="28">
        <f t="shared" si="371"/>
        <v>3.9010564140089423</v>
      </c>
      <c r="AW158" s="28">
        <f t="shared" si="371"/>
        <v>3.9983323202805376</v>
      </c>
      <c r="AX158" s="28">
        <f t="shared" si="371"/>
        <v>3.396722681653733</v>
      </c>
      <c r="AY158" s="28">
        <f t="shared" si="371"/>
        <v>3.4002059102902371</v>
      </c>
      <c r="AZ158" s="28">
        <f>+AZ143/AZ86</f>
        <v>3.005806133203095</v>
      </c>
      <c r="BA158" s="28">
        <f>+BA143/BA86</f>
        <v>3.2077499633484838</v>
      </c>
      <c r="BB158" s="28">
        <f>+BB143/BB86</f>
        <v>3.0976362145573759</v>
      </c>
      <c r="BC158" s="28">
        <f>+BC143/BC86</f>
        <v>3.1233683215444352</v>
      </c>
      <c r="BD158" s="28">
        <f>+BD143/BD86</f>
        <v>3.545905440760357</v>
      </c>
      <c r="BE158" s="28"/>
      <c r="BF158" s="259"/>
      <c r="BG158" s="203"/>
      <c r="BH158" s="203"/>
      <c r="BI158" s="203"/>
      <c r="BJ158" s="203"/>
      <c r="BK158" s="203"/>
      <c r="BM158" s="203"/>
      <c r="BN158" s="28"/>
      <c r="BO158" s="28">
        <f>+BO143/BO86</f>
        <v>4.2033066391113412</v>
      </c>
      <c r="BP158" s="28">
        <f>+BP143/BP86</f>
        <v>5.2474418604651163</v>
      </c>
      <c r="BQ158" s="28"/>
      <c r="BR158" s="28"/>
      <c r="BS158" s="28"/>
      <c r="BT158" s="28"/>
      <c r="BU158" s="28"/>
      <c r="BV158" s="28"/>
      <c r="BW158" s="28"/>
      <c r="BX158" s="28"/>
      <c r="BY158" s="28"/>
      <c r="BZ158" s="28"/>
      <c r="CA158" s="28"/>
      <c r="CB158" s="28"/>
      <c r="CC158" s="28"/>
      <c r="CD158" s="28"/>
      <c r="CE158" s="28"/>
      <c r="CF158" s="28"/>
      <c r="CG158" s="28"/>
      <c r="CH158" s="28"/>
      <c r="CI158" s="28"/>
      <c r="CJ158" s="28"/>
      <c r="CK158" s="28"/>
      <c r="CL158" s="28"/>
      <c r="CM158" s="28"/>
      <c r="CN158" s="1"/>
      <c r="CO158" s="1"/>
      <c r="CP158" s="1"/>
      <c r="CQ158" s="206"/>
      <c r="CR158" s="1"/>
      <c r="CS158" s="1"/>
      <c r="CT158" s="1"/>
    </row>
    <row r="159" spans="1:98" ht="13.5" customHeight="1">
      <c r="B159" s="1" t="s">
        <v>153</v>
      </c>
      <c r="C159" s="29">
        <f t="shared" ref="C159:K159" si="372">+C144/C86</f>
        <v>8.3879877899624962</v>
      </c>
      <c r="D159" s="29">
        <f t="shared" si="372"/>
        <v>7.544160638420025</v>
      </c>
      <c r="E159" s="29">
        <f t="shared" si="372"/>
        <v>7.2843192662824565</v>
      </c>
      <c r="F159" s="29">
        <f t="shared" si="372"/>
        <v>7.5950538704766348</v>
      </c>
      <c r="G159" s="29">
        <f t="shared" si="372"/>
        <v>16.398018963337545</v>
      </c>
      <c r="H159" s="29">
        <f t="shared" si="372"/>
        <v>6.0461853133410228</v>
      </c>
      <c r="I159" s="29">
        <f t="shared" si="372"/>
        <v>4.6927867830423944</v>
      </c>
      <c r="J159" s="29">
        <f t="shared" si="372"/>
        <v>2.9048325169359042</v>
      </c>
      <c r="K159" s="29">
        <f t="shared" si="372"/>
        <v>2.1523831133113309</v>
      </c>
      <c r="L159" s="29">
        <f>+L144/L86</f>
        <v>5.1545771885786005</v>
      </c>
      <c r="M159" s="29">
        <f>+M144/M86</f>
        <v>6.5557088252483924</v>
      </c>
      <c r="N159" s="29">
        <f>+N144/N86</f>
        <v>4.8584987538484103</v>
      </c>
      <c r="O159" s="29">
        <f>+O144/O86</f>
        <v>5.1907409526640418</v>
      </c>
      <c r="P159" s="29"/>
      <c r="Q159" s="29"/>
      <c r="R159" s="29"/>
      <c r="S159" s="29"/>
      <c r="T159" s="29">
        <f>+T144/T86</f>
        <v>7.2843192662824565</v>
      </c>
      <c r="V159" s="29">
        <f t="shared" ref="V159:AS159" si="373">+V144/V86</f>
        <v>7.7249899101082358</v>
      </c>
      <c r="W159" s="29">
        <f t="shared" si="373"/>
        <v>8.0739911377394993</v>
      </c>
      <c r="X159" s="29">
        <f t="shared" si="373"/>
        <v>6.9400699822176346</v>
      </c>
      <c r="Y159" s="29">
        <f t="shared" si="373"/>
        <v>7.5950538704766348</v>
      </c>
      <c r="Z159" s="29">
        <f t="shared" si="373"/>
        <v>7.2334337040205314</v>
      </c>
      <c r="AA159" s="29">
        <f t="shared" si="373"/>
        <v>9.3712759039068203</v>
      </c>
      <c r="AB159" s="29">
        <f t="shared" si="373"/>
        <v>6.8492689061154186</v>
      </c>
      <c r="AC159" s="29">
        <f t="shared" si="373"/>
        <v>6.0441434063821609</v>
      </c>
      <c r="AD159" s="29">
        <f t="shared" si="373"/>
        <v>5.7170083250083232</v>
      </c>
      <c r="AE159" s="29">
        <f t="shared" si="373"/>
        <v>4.5653735906537785</v>
      </c>
      <c r="AF159" s="29">
        <f t="shared" si="373"/>
        <v>4.8448832195666824</v>
      </c>
      <c r="AG159" s="29">
        <f t="shared" si="373"/>
        <v>4.6928609013774949</v>
      </c>
      <c r="AH159" s="29">
        <f t="shared" si="373"/>
        <v>5.1822720281020764</v>
      </c>
      <c r="AI159" s="29">
        <f t="shared" si="373"/>
        <v>3.179120695547117</v>
      </c>
      <c r="AJ159" s="29">
        <f t="shared" si="373"/>
        <v>3.0610721586931158</v>
      </c>
      <c r="AK159" s="29">
        <f t="shared" si="373"/>
        <v>2.9070424956376586</v>
      </c>
      <c r="AL159" s="29">
        <f t="shared" si="373"/>
        <v>2.9660713630472757</v>
      </c>
      <c r="AM159" s="29">
        <f t="shared" si="373"/>
        <v>2.8984104256502987</v>
      </c>
      <c r="AN159" s="29">
        <f t="shared" si="373"/>
        <v>2.4225004514672688</v>
      </c>
      <c r="AO159" s="29">
        <f t="shared" si="373"/>
        <v>2.1523831133113309</v>
      </c>
      <c r="AP159" s="29">
        <f t="shared" si="373"/>
        <v>2.1478118027210882</v>
      </c>
      <c r="AQ159" s="29">
        <f t="shared" si="373"/>
        <v>3.2225803336958534</v>
      </c>
      <c r="AR159" s="29">
        <f t="shared" si="373"/>
        <v>3.8618849250502634</v>
      </c>
      <c r="AS159" s="29">
        <f t="shared" si="373"/>
        <v>5.1545771885786005</v>
      </c>
      <c r="AT159" s="29">
        <f t="shared" ref="AT159:AY159" si="374">+AT144/AT86</f>
        <v>5.6135406483852526</v>
      </c>
      <c r="AU159" s="29">
        <f t="shared" si="374"/>
        <v>6.3579778353032568</v>
      </c>
      <c r="AV159" s="29">
        <f t="shared" si="374"/>
        <v>6.6431613239940388</v>
      </c>
      <c r="AW159" s="29">
        <f t="shared" si="374"/>
        <v>6.5557088252483924</v>
      </c>
      <c r="AX159" s="29">
        <f t="shared" si="374"/>
        <v>5.3635143693556859</v>
      </c>
      <c r="AY159" s="29">
        <f t="shared" si="374"/>
        <v>5.2824892018469649</v>
      </c>
      <c r="AZ159" s="29">
        <f>+AZ144/AZ86</f>
        <v>4.5354453898156954</v>
      </c>
      <c r="BA159" s="29">
        <f>+BA144/BA86</f>
        <v>4.8584987538484103</v>
      </c>
      <c r="BB159" s="29">
        <f>+BB144/BB86</f>
        <v>4.5071427320655726</v>
      </c>
      <c r="BC159" s="29">
        <f>+BC144/BC86</f>
        <v>4.7780589674520026</v>
      </c>
      <c r="BD159" s="29">
        <f>+BD144/BD86</f>
        <v>5.2200068947253868</v>
      </c>
      <c r="BE159" s="29"/>
      <c r="BF159" s="260"/>
      <c r="BG159" s="204"/>
      <c r="BH159" s="204"/>
      <c r="BI159" s="204"/>
      <c r="BJ159" s="204"/>
      <c r="BK159" s="204"/>
      <c r="BM159" s="204"/>
      <c r="BN159" s="29"/>
      <c r="BO159" s="29">
        <f>+BO144/BO86</f>
        <v>5.8176181865151122</v>
      </c>
      <c r="BP159" s="29">
        <f>+BP144/BP86</f>
        <v>7.2049612403100776</v>
      </c>
      <c r="BQ159" s="29"/>
      <c r="BR159" s="29"/>
      <c r="BS159" s="29"/>
      <c r="BT159" s="29"/>
      <c r="BU159" s="29"/>
      <c r="BV159" s="29"/>
      <c r="BW159" s="29"/>
      <c r="BX159" s="29"/>
      <c r="BY159" s="29"/>
      <c r="BZ159" s="29"/>
      <c r="CA159" s="29"/>
      <c r="CB159" s="29"/>
      <c r="CC159" s="29"/>
      <c r="CD159" s="29"/>
      <c r="CE159" s="29"/>
      <c r="CF159" s="29"/>
      <c r="CG159" s="29"/>
      <c r="CH159" s="29"/>
      <c r="CI159" s="29"/>
      <c r="CJ159" s="29"/>
      <c r="CK159" s="29"/>
      <c r="CL159" s="29"/>
      <c r="CM159" s="29"/>
      <c r="CQ159" s="206"/>
    </row>
    <row r="160" spans="1:98" ht="13.5" customHeight="1">
      <c r="C160" s="29"/>
      <c r="D160" s="29"/>
      <c r="E160" s="29"/>
      <c r="F160" s="29"/>
      <c r="G160" s="29"/>
      <c r="H160" s="29"/>
      <c r="I160" s="29"/>
      <c r="J160" s="29"/>
      <c r="K160" s="29"/>
      <c r="L160" s="29"/>
      <c r="M160" s="29"/>
      <c r="N160" s="29"/>
      <c r="O160" s="29"/>
      <c r="P160" s="29"/>
      <c r="Q160" s="29"/>
      <c r="R160" s="29"/>
      <c r="S160" s="29"/>
      <c r="T160" s="29"/>
      <c r="V160" s="29"/>
      <c r="W160" s="29"/>
      <c r="X160" s="29"/>
      <c r="Y160" s="29"/>
      <c r="Z160" s="29"/>
      <c r="AA160" s="29"/>
      <c r="AB160" s="29"/>
      <c r="AC160" s="29"/>
      <c r="AD160" s="29"/>
      <c r="AE160" s="29"/>
      <c r="AF160" s="29"/>
      <c r="AG160" s="29"/>
      <c r="AH160" s="29"/>
      <c r="AI160" s="29"/>
      <c r="AJ160" s="29"/>
      <c r="AK160" s="29"/>
      <c r="AL160" s="29"/>
      <c r="AM160" s="29"/>
      <c r="AN160" s="29"/>
      <c r="AO160" s="29"/>
      <c r="AP160" s="29"/>
      <c r="AQ160" s="29"/>
      <c r="AR160" s="29"/>
      <c r="AS160" s="29"/>
      <c r="AT160" s="29"/>
      <c r="AU160" s="29"/>
      <c r="AV160" s="29"/>
      <c r="AW160" s="29"/>
      <c r="AX160" s="29"/>
      <c r="AY160" s="29"/>
      <c r="AZ160" s="29"/>
      <c r="BA160" s="29"/>
      <c r="BB160" s="29"/>
      <c r="BC160" s="29"/>
      <c r="BD160" s="29"/>
      <c r="BE160" s="29"/>
      <c r="BF160" s="261"/>
      <c r="BG160" s="29"/>
      <c r="BH160" s="29"/>
      <c r="BI160" s="29"/>
      <c r="BJ160" s="29"/>
      <c r="BK160" s="29"/>
      <c r="BM160" s="29"/>
      <c r="BO160" s="29"/>
      <c r="BP160" s="29"/>
      <c r="BT160" s="29"/>
      <c r="BU160" s="29"/>
      <c r="BZ160" s="29"/>
      <c r="CA160" s="29"/>
      <c r="CD160" s="29"/>
      <c r="CE160" s="29"/>
      <c r="CH160" s="29"/>
      <c r="CI160" s="29"/>
      <c r="CL160" s="29"/>
      <c r="CM160" s="29"/>
      <c r="CQ160" s="206"/>
    </row>
    <row r="161" spans="1:98" ht="13.5" customHeight="1">
      <c r="B161" s="5" t="s">
        <v>154</v>
      </c>
      <c r="C161" s="28">
        <f t="shared" ref="C161:K161" si="375">C148/C86</f>
        <v>6.2073400460622539</v>
      </c>
      <c r="D161" s="28">
        <f t="shared" si="375"/>
        <v>4.0865185440349068</v>
      </c>
      <c r="E161" s="28">
        <f t="shared" si="375"/>
        <v>3.6386936853194523</v>
      </c>
      <c r="F161" s="28">
        <f t="shared" si="375"/>
        <v>4.6989372291837457</v>
      </c>
      <c r="G161" s="28">
        <f t="shared" si="375"/>
        <v>10.145189633375475</v>
      </c>
      <c r="H161" s="28">
        <f t="shared" si="375"/>
        <v>3.0917508650519032</v>
      </c>
      <c r="I161" s="28">
        <f t="shared" si="375"/>
        <v>2.7652051122194514</v>
      </c>
      <c r="J161" s="28">
        <f t="shared" si="375"/>
        <v>1.5688064616988016</v>
      </c>
      <c r="K161" s="28">
        <f t="shared" si="375"/>
        <v>1.5075314906490649</v>
      </c>
      <c r="L161" s="28">
        <f>L148/L86</f>
        <v>3.0342216818324443</v>
      </c>
      <c r="M161" s="28">
        <f>M148/M86</f>
        <v>4.0362392752776159</v>
      </c>
      <c r="N161" s="28">
        <f>N148/N86</f>
        <v>2.8472405805600349</v>
      </c>
      <c r="O161" s="28">
        <f>O148/O86</f>
        <v>3.0726759307423648</v>
      </c>
      <c r="P161" s="28"/>
      <c r="Q161" s="29"/>
      <c r="R161" s="29"/>
      <c r="S161" s="29"/>
      <c r="T161" s="28">
        <f>T148/T86</f>
        <v>3.6386936853194523</v>
      </c>
      <c r="V161" s="28">
        <f t="shared" ref="V161:AS161" si="376">V148/V86</f>
        <v>3.7543612792759733</v>
      </c>
      <c r="W161" s="28">
        <f t="shared" si="376"/>
        <v>4.1816520002496409</v>
      </c>
      <c r="X161" s="28">
        <f t="shared" si="376"/>
        <v>4.0369007055584243</v>
      </c>
      <c r="Y161" s="28">
        <f t="shared" si="376"/>
        <v>4.6989372291837457</v>
      </c>
      <c r="Z161" s="28">
        <f t="shared" si="376"/>
        <v>3.6120347875677226</v>
      </c>
      <c r="AA161" s="28">
        <f t="shared" si="376"/>
        <v>6.3695132249454032</v>
      </c>
      <c r="AB161" s="28">
        <f t="shared" si="376"/>
        <v>4.721383634797589</v>
      </c>
      <c r="AC161" s="28">
        <f t="shared" si="376"/>
        <v>3.0917508650519032</v>
      </c>
      <c r="AD161" s="28">
        <f t="shared" si="376"/>
        <v>3.2271305361305362</v>
      </c>
      <c r="AE161" s="28">
        <f t="shared" si="376"/>
        <v>2.65</v>
      </c>
      <c r="AF161" s="28">
        <f t="shared" si="376"/>
        <v>2.59</v>
      </c>
      <c r="AG161" s="28">
        <f t="shared" si="376"/>
        <v>2.7652487861404293</v>
      </c>
      <c r="AH161" s="28">
        <f t="shared" si="376"/>
        <v>3.5650222151048663</v>
      </c>
      <c r="AI161" s="28">
        <f t="shared" si="376"/>
        <v>2.0700335830169134</v>
      </c>
      <c r="AJ161" s="28">
        <f t="shared" si="376"/>
        <v>1.880010529754959</v>
      </c>
      <c r="AK161" s="28">
        <f t="shared" si="376"/>
        <v>1.5699999999999998</v>
      </c>
      <c r="AL161" s="28">
        <f t="shared" si="376"/>
        <v>1.7600068428466782</v>
      </c>
      <c r="AM161" s="28">
        <f t="shared" si="376"/>
        <v>1.449959358047016</v>
      </c>
      <c r="AN161" s="28">
        <f t="shared" si="376"/>
        <v>1.0999626738513071</v>
      </c>
      <c r="AO161" s="28">
        <f t="shared" si="376"/>
        <v>1.5075314906490649</v>
      </c>
      <c r="AP161" s="28">
        <f t="shared" si="376"/>
        <v>1.36</v>
      </c>
      <c r="AQ161" s="28">
        <f t="shared" si="376"/>
        <v>1.9999781957081089</v>
      </c>
      <c r="AR161" s="28">
        <f t="shared" si="376"/>
        <v>2.3800063599114347</v>
      </c>
      <c r="AS161" s="28">
        <f t="shared" si="376"/>
        <v>3.0342216818324443</v>
      </c>
      <c r="AT161" s="28">
        <f t="shared" ref="AT161:AY161" si="377">AT148/AT86</f>
        <v>3.5000415931183655</v>
      </c>
      <c r="AU161" s="28">
        <f t="shared" si="377"/>
        <v>4.05</v>
      </c>
      <c r="AV161" s="28">
        <f t="shared" si="377"/>
        <v>3.9100404402384501</v>
      </c>
      <c r="AW161" s="28">
        <f t="shared" si="377"/>
        <v>4.0362392752776159</v>
      </c>
      <c r="AX161" s="28">
        <f t="shared" si="377"/>
        <v>3.4299757496754957</v>
      </c>
      <c r="AY161" s="28">
        <f t="shared" si="377"/>
        <v>3.4577995976253293</v>
      </c>
      <c r="AZ161" s="28">
        <f>AZ148/AZ86</f>
        <v>3.0699979436033211</v>
      </c>
      <c r="BA161" s="28">
        <f>BA148/BA86</f>
        <v>2.8472405805600349</v>
      </c>
      <c r="BB161" s="28">
        <f>BB148/BB86</f>
        <v>2.69</v>
      </c>
      <c r="BC161" s="28">
        <f>BC148/BC86</f>
        <v>2.71</v>
      </c>
      <c r="BD161" s="28">
        <f>BD148/BD86</f>
        <v>3.09</v>
      </c>
      <c r="BE161" s="28"/>
      <c r="BF161" s="259"/>
      <c r="BG161" s="203"/>
      <c r="BH161" s="203"/>
      <c r="BI161" s="203"/>
      <c r="BJ161" s="203"/>
      <c r="BK161" s="203"/>
      <c r="BM161" s="203"/>
      <c r="BN161" s="192"/>
      <c r="BO161" s="203"/>
      <c r="BP161" s="203"/>
      <c r="BQ161" s="192"/>
      <c r="BR161" s="192"/>
      <c r="BS161" s="192"/>
      <c r="BT161" s="203"/>
      <c r="BU161" s="203"/>
      <c r="BV161" s="192"/>
      <c r="BW161" s="192"/>
      <c r="BX161" s="192"/>
      <c r="BY161" s="192"/>
      <c r="BZ161" s="203"/>
      <c r="CA161" s="203"/>
      <c r="CB161" s="192"/>
      <c r="CC161" s="192"/>
      <c r="CD161" s="203"/>
      <c r="CE161" s="203"/>
      <c r="CF161" s="192"/>
      <c r="CG161" s="192"/>
      <c r="CH161" s="203"/>
      <c r="CI161" s="203"/>
      <c r="CJ161" s="192"/>
      <c r="CK161" s="192"/>
      <c r="CL161" s="203"/>
      <c r="CM161" s="203"/>
      <c r="CQ161" s="206"/>
    </row>
    <row r="162" spans="1:98" ht="13.5" customHeight="1">
      <c r="B162" s="5" t="s">
        <v>155</v>
      </c>
      <c r="C162" s="28">
        <f t="shared" ref="C162:K162" si="378">C149/C86</f>
        <v>4.2582538829922054</v>
      </c>
      <c r="D162" s="28">
        <f t="shared" si="378"/>
        <v>0.97534217476174079</v>
      </c>
      <c r="E162" s="28">
        <f t="shared" si="378"/>
        <v>2.3408843031542417</v>
      </c>
      <c r="F162" s="28">
        <f t="shared" si="378"/>
        <v>4.154131631338565</v>
      </c>
      <c r="G162" s="28">
        <f t="shared" si="378"/>
        <v>8.9689329962073323</v>
      </c>
      <c r="H162" s="28">
        <f t="shared" si="378"/>
        <v>2.0821837754709729</v>
      </c>
      <c r="I162" s="28">
        <f t="shared" si="378"/>
        <v>2.3639999999999999</v>
      </c>
      <c r="J162" s="28">
        <f t="shared" si="378"/>
        <v>0.97534184471078689</v>
      </c>
      <c r="K162" s="28">
        <f t="shared" si="378"/>
        <v>1.3192114961496151</v>
      </c>
      <c r="L162" s="28">
        <f>L149/L86</f>
        <v>2.6439769375588327</v>
      </c>
      <c r="M162" s="28">
        <f>M149/M86</f>
        <v>3.9679239041496199</v>
      </c>
      <c r="N162" s="28">
        <f>N149/N86</f>
        <v>2.2344505937545813</v>
      </c>
      <c r="O162" s="28">
        <f>O149/O86</f>
        <v>2.8878130341086425</v>
      </c>
      <c r="P162" s="28"/>
      <c r="Q162" s="29"/>
      <c r="R162" s="29"/>
      <c r="S162" s="29"/>
      <c r="T162" s="28">
        <f>T149/T86</f>
        <v>2.3408843031542417</v>
      </c>
      <c r="V162" s="28">
        <f t="shared" ref="V162:AS162" si="379">V149/V86</f>
        <v>3.2810487372347579</v>
      </c>
      <c r="W162" s="28">
        <f t="shared" si="379"/>
        <v>3.6216376458840411</v>
      </c>
      <c r="X162" s="28">
        <f t="shared" si="379"/>
        <v>3.7956829002466588</v>
      </c>
      <c r="Y162" s="28">
        <f t="shared" si="379"/>
        <v>4.154131631338565</v>
      </c>
      <c r="Z162" s="28">
        <f t="shared" si="379"/>
        <v>3.0903347590533223</v>
      </c>
      <c r="AA162" s="28">
        <f t="shared" si="379"/>
        <v>5.0591633098762454</v>
      </c>
      <c r="AB162" s="28">
        <f t="shared" si="379"/>
        <v>3.5672833763996565</v>
      </c>
      <c r="AC162" s="28">
        <f t="shared" si="379"/>
        <v>2.0821837754709729</v>
      </c>
      <c r="AD162" s="28">
        <f t="shared" si="379"/>
        <v>2.3272307692307694</v>
      </c>
      <c r="AE162" s="28">
        <f t="shared" si="379"/>
        <v>2.3252701610538717</v>
      </c>
      <c r="AF162" s="28">
        <f t="shared" si="379"/>
        <v>1.9595655956968514</v>
      </c>
      <c r="AG162" s="28">
        <f t="shared" si="379"/>
        <v>2.3640373372480528</v>
      </c>
      <c r="AH162" s="28">
        <f t="shared" si="379"/>
        <v>2.2141059365636946</v>
      </c>
      <c r="AI162" s="28">
        <f t="shared" si="379"/>
        <v>1.2463308992060749</v>
      </c>
      <c r="AJ162" s="28">
        <f t="shared" si="379"/>
        <v>1.0528868704784129</v>
      </c>
      <c r="AK162" s="28">
        <f t="shared" si="379"/>
        <v>0.97608387878372371</v>
      </c>
      <c r="AL162" s="28">
        <f t="shared" si="379"/>
        <v>1.3186751653800641</v>
      </c>
      <c r="AM162" s="28">
        <f t="shared" si="379"/>
        <v>1.3622328453192376</v>
      </c>
      <c r="AN162" s="28">
        <f t="shared" si="379"/>
        <v>0.88893720964101075</v>
      </c>
      <c r="AO162" s="28">
        <f t="shared" si="379"/>
        <v>1.3192114961496151</v>
      </c>
      <c r="AP162" s="28">
        <f t="shared" si="379"/>
        <v>1.4311617687074831</v>
      </c>
      <c r="AQ162" s="28">
        <f t="shared" si="379"/>
        <v>1.7219510331839041</v>
      </c>
      <c r="AR162" s="28">
        <f t="shared" si="379"/>
        <v>1.9773237217825057</v>
      </c>
      <c r="AS162" s="28">
        <f t="shared" si="379"/>
        <v>2.6439769375588327</v>
      </c>
      <c r="AT162" s="28">
        <f t="shared" ref="AT162:AY162" si="380">AT149/AT86</f>
        <v>3.190804328369341</v>
      </c>
      <c r="AU162" s="28">
        <f t="shared" si="380"/>
        <v>3.937287053185091</v>
      </c>
      <c r="AV162" s="28">
        <f t="shared" si="380"/>
        <v>3.6127143672131146</v>
      </c>
      <c r="AW162" s="28">
        <f t="shared" si="380"/>
        <v>3.9679239041496199</v>
      </c>
      <c r="AX162" s="28">
        <f t="shared" si="380"/>
        <v>3.2657906327156234</v>
      </c>
      <c r="AY162" s="28">
        <f t="shared" si="380"/>
        <v>2.9807627968337727</v>
      </c>
      <c r="AZ162" s="28">
        <f>AZ149/AZ86</f>
        <v>2.7133827468318641</v>
      </c>
      <c r="BA162" s="28">
        <f>BA149/BA86</f>
        <v>2.2344505937545813</v>
      </c>
      <c r="BB162" s="28">
        <f>BB149/BB86</f>
        <v>2.3072044978360653</v>
      </c>
      <c r="BC162" s="28">
        <f>BC149/BC86</f>
        <v>2.4487176913258519</v>
      </c>
      <c r="BD162" s="28">
        <f>BD149/BD86</f>
        <v>2.9040948269607489</v>
      </c>
      <c r="BE162" s="28"/>
      <c r="BF162" s="259"/>
      <c r="BG162" s="203"/>
      <c r="BH162" s="203"/>
      <c r="BI162" s="203"/>
      <c r="BJ162" s="203"/>
      <c r="BK162" s="203"/>
      <c r="BM162" s="203"/>
      <c r="BN162" s="192"/>
      <c r="BO162" s="203"/>
      <c r="BP162" s="203"/>
      <c r="BQ162" s="192"/>
      <c r="BR162" s="192"/>
      <c r="BS162" s="192"/>
      <c r="BT162" s="203"/>
      <c r="BU162" s="203"/>
      <c r="BV162" s="192"/>
      <c r="BW162" s="192"/>
      <c r="BX162" s="192"/>
      <c r="BY162" s="192"/>
      <c r="BZ162" s="203"/>
      <c r="CA162" s="203"/>
      <c r="CB162" s="192"/>
      <c r="CC162" s="192"/>
      <c r="CD162" s="203"/>
      <c r="CE162" s="203"/>
      <c r="CF162" s="192"/>
      <c r="CG162" s="192"/>
      <c r="CH162" s="203"/>
      <c r="CI162" s="203"/>
      <c r="CJ162" s="192"/>
      <c r="CK162" s="192"/>
      <c r="CL162" s="203"/>
      <c r="CM162" s="203"/>
      <c r="CQ162" s="206"/>
    </row>
    <row r="163" spans="1:98" ht="13.5" customHeight="1">
      <c r="B163" s="5"/>
      <c r="C163" s="28"/>
      <c r="D163" s="28"/>
      <c r="E163" s="28"/>
      <c r="F163" s="28"/>
      <c r="G163" s="28"/>
      <c r="H163" s="28"/>
      <c r="I163" s="28"/>
      <c r="J163" s="28"/>
      <c r="K163" s="28"/>
      <c r="L163" s="28"/>
      <c r="M163" s="28"/>
      <c r="N163" s="28"/>
      <c r="O163" s="28"/>
      <c r="P163" s="28"/>
      <c r="Q163" s="29"/>
      <c r="R163" s="29"/>
      <c r="S163" s="29"/>
      <c r="T163" s="28"/>
      <c r="V163" s="28"/>
      <c r="W163" s="28"/>
      <c r="X163" s="28"/>
      <c r="Y163" s="28"/>
      <c r="Z163" s="28"/>
      <c r="AA163" s="28"/>
      <c r="AB163" s="28"/>
      <c r="AC163" s="28"/>
      <c r="AD163" s="28"/>
      <c r="AE163" s="28"/>
      <c r="AF163" s="28"/>
      <c r="AG163" s="28"/>
      <c r="AH163" s="28"/>
      <c r="AI163" s="28"/>
      <c r="AJ163" s="28"/>
      <c r="AK163" s="28"/>
      <c r="AL163" s="28"/>
      <c r="AM163" s="28"/>
      <c r="AN163" s="28"/>
      <c r="AO163" s="28"/>
      <c r="AP163" s="28"/>
      <c r="AQ163" s="28"/>
      <c r="AR163" s="28"/>
      <c r="AS163" s="28"/>
      <c r="AT163" s="28"/>
      <c r="AU163" s="28"/>
      <c r="AV163" s="28"/>
      <c r="AW163" s="28"/>
      <c r="AX163" s="28"/>
      <c r="AY163" s="28"/>
      <c r="AZ163" s="28"/>
      <c r="BA163" s="28"/>
      <c r="BB163" s="28"/>
      <c r="BC163" s="28"/>
      <c r="BD163" s="28"/>
      <c r="BE163" s="28"/>
      <c r="BF163" s="259"/>
      <c r="BG163" s="203"/>
      <c r="BH163" s="203"/>
      <c r="BI163" s="203"/>
      <c r="BJ163" s="203"/>
      <c r="BK163" s="203"/>
      <c r="BM163" s="203"/>
      <c r="BN163" s="192"/>
      <c r="BO163" s="203"/>
      <c r="BP163" s="203"/>
      <c r="BQ163" s="192"/>
      <c r="BR163" s="192"/>
      <c r="BS163" s="192"/>
      <c r="BT163" s="203"/>
      <c r="BU163" s="203"/>
      <c r="BV163" s="192"/>
      <c r="BW163" s="192"/>
      <c r="BX163" s="192"/>
      <c r="BY163" s="192"/>
      <c r="BZ163" s="203"/>
      <c r="CA163" s="203"/>
      <c r="CB163" s="192"/>
      <c r="CC163" s="192"/>
      <c r="CD163" s="203"/>
      <c r="CE163" s="203"/>
      <c r="CF163" s="192"/>
      <c r="CG163" s="192"/>
      <c r="CH163" s="203"/>
      <c r="CI163" s="203"/>
      <c r="CJ163" s="192"/>
      <c r="CK163" s="192"/>
      <c r="CL163" s="203"/>
      <c r="CM163" s="203"/>
      <c r="CQ163" s="206"/>
    </row>
    <row r="164" spans="1:98" ht="13.5" customHeight="1">
      <c r="B164" s="421" t="s">
        <v>156</v>
      </c>
      <c r="C164" s="434"/>
      <c r="D164" s="434"/>
      <c r="E164" s="434"/>
      <c r="F164" s="434"/>
      <c r="G164" s="434"/>
      <c r="H164" s="434">
        <f t="shared" ref="H164:O164" si="381">+H144/H92</f>
        <v>4.6543455864668637</v>
      </c>
      <c r="I164" s="434">
        <f t="shared" si="381"/>
        <v>4.6928609013774949</v>
      </c>
      <c r="J164" s="434">
        <f t="shared" si="381"/>
        <v>2.9070424956376586</v>
      </c>
      <c r="K164" s="434">
        <f t="shared" si="381"/>
        <v>2.1558621089117942</v>
      </c>
      <c r="L164" s="434">
        <f>+L144/L92</f>
        <v>5.0794866726990699</v>
      </c>
      <c r="M164" s="434">
        <f t="shared" si="381"/>
        <v>6.0420738801042573</v>
      </c>
      <c r="N164" s="434">
        <f>+N144/N92</f>
        <v>4.8120226764842187</v>
      </c>
      <c r="O164" s="434">
        <f t="shared" si="381"/>
        <v>5.2200068947253868</v>
      </c>
      <c r="P164" s="28"/>
      <c r="Q164" s="434"/>
      <c r="R164" s="434"/>
      <c r="S164" s="434"/>
      <c r="T164" s="434"/>
      <c r="U164" s="421"/>
      <c r="V164" s="434"/>
      <c r="W164" s="434"/>
      <c r="X164" s="434"/>
      <c r="Y164" s="434"/>
      <c r="Z164" s="434"/>
      <c r="AA164" s="434"/>
      <c r="AB164" s="434">
        <f t="shared" ref="AB164:AS164" si="382">+AB144/AB92</f>
        <v>6.1251744561939301</v>
      </c>
      <c r="AC164" s="434">
        <f t="shared" si="382"/>
        <v>4.6527737291470119</v>
      </c>
      <c r="AD164" s="434">
        <f t="shared" si="382"/>
        <v>4.889502193788049</v>
      </c>
      <c r="AE164" s="434">
        <f t="shared" si="382"/>
        <v>4.5653735906537785</v>
      </c>
      <c r="AF164" s="434">
        <f t="shared" si="382"/>
        <v>4.8448832195666824</v>
      </c>
      <c r="AG164" s="434">
        <f t="shared" si="382"/>
        <v>4.6928609013774949</v>
      </c>
      <c r="AH164" s="434">
        <f t="shared" si="382"/>
        <v>5.1822720281020764</v>
      </c>
      <c r="AI164" s="434">
        <f t="shared" si="382"/>
        <v>3.179120695547117</v>
      </c>
      <c r="AJ164" s="434">
        <f t="shared" si="382"/>
        <v>3.3235111149464962</v>
      </c>
      <c r="AK164" s="434">
        <f t="shared" si="382"/>
        <v>2.9070424956376586</v>
      </c>
      <c r="AL164" s="434">
        <f t="shared" si="382"/>
        <v>2.9660713630472757</v>
      </c>
      <c r="AM164" s="434">
        <f t="shared" si="382"/>
        <v>2.8984104256502987</v>
      </c>
      <c r="AN164" s="434">
        <f t="shared" si="382"/>
        <v>2.4225004514672688</v>
      </c>
      <c r="AO164" s="434">
        <f t="shared" si="382"/>
        <v>2.1558621089117942</v>
      </c>
      <c r="AP164" s="434">
        <f t="shared" si="382"/>
        <v>2.1478118027210882</v>
      </c>
      <c r="AQ164" s="434">
        <f t="shared" si="382"/>
        <v>3.2225803336958534</v>
      </c>
      <c r="AR164" s="434">
        <f t="shared" si="382"/>
        <v>3.8618849250502634</v>
      </c>
      <c r="AS164" s="434">
        <f t="shared" si="382"/>
        <v>5.0794866726990699</v>
      </c>
      <c r="AT164" s="434">
        <f t="shared" ref="AT164:AZ164" si="383">+AT144/AT92</f>
        <v>5.6135406483852526</v>
      </c>
      <c r="AU164" s="434">
        <f t="shared" si="383"/>
        <v>6.3579778353032568</v>
      </c>
      <c r="AV164" s="434">
        <f t="shared" si="383"/>
        <v>6.6431613239940388</v>
      </c>
      <c r="AW164" s="434">
        <f t="shared" si="383"/>
        <v>6.0420738801042573</v>
      </c>
      <c r="AX164" s="434">
        <f t="shared" si="383"/>
        <v>5.3635143693556859</v>
      </c>
      <c r="AY164" s="434">
        <f t="shared" si="383"/>
        <v>5.2824892018469649</v>
      </c>
      <c r="AZ164" s="434">
        <f t="shared" si="383"/>
        <v>4.5354453898156954</v>
      </c>
      <c r="BA164" s="434">
        <f>+BA144/BA92</f>
        <v>4.8120226764842187</v>
      </c>
      <c r="BB164" s="434">
        <f>+BB144/BB92</f>
        <v>4.5071427320655726</v>
      </c>
      <c r="BC164" s="434">
        <f>+BC144/BC92</f>
        <v>4.7780589674520026</v>
      </c>
      <c r="BD164" s="434">
        <f>+BD144/BD92</f>
        <v>5.2200068947253868</v>
      </c>
      <c r="BE164" s="29"/>
      <c r="BF164" s="259"/>
      <c r="BG164" s="203"/>
      <c r="BH164" s="203"/>
      <c r="BI164" s="203"/>
      <c r="BJ164" s="203"/>
      <c r="BK164" s="203"/>
      <c r="BM164" s="203"/>
      <c r="BN164" s="192"/>
      <c r="BO164" s="203"/>
      <c r="BP164" s="203"/>
      <c r="BQ164" s="192"/>
      <c r="BR164" s="192"/>
      <c r="BS164" s="192"/>
      <c r="BT164" s="203"/>
      <c r="BU164" s="203"/>
      <c r="BV164" s="192"/>
      <c r="BW164" s="192"/>
      <c r="BX164" s="192"/>
      <c r="BY164" s="192"/>
      <c r="BZ164" s="203"/>
      <c r="CA164" s="203"/>
      <c r="CB164" s="192"/>
      <c r="CC164" s="192"/>
      <c r="CD164" s="203"/>
      <c r="CE164" s="203"/>
      <c r="CF164" s="192"/>
      <c r="CG164" s="192"/>
      <c r="CH164" s="203"/>
      <c r="CI164" s="203"/>
      <c r="CJ164" s="192"/>
      <c r="CK164" s="192"/>
      <c r="CL164" s="203"/>
      <c r="CM164" s="203"/>
      <c r="CQ164" s="206"/>
    </row>
    <row r="165" spans="1:98" ht="13.5" customHeight="1">
      <c r="B165" s="430" t="s">
        <v>157</v>
      </c>
      <c r="C165" s="434"/>
      <c r="D165" s="434"/>
      <c r="E165" s="434"/>
      <c r="F165" s="434"/>
      <c r="G165" s="434"/>
      <c r="H165" s="435">
        <f t="shared" ref="H165:O165" si="384">+H143/H92</f>
        <v>2.5258696462820156</v>
      </c>
      <c r="I165" s="435">
        <f t="shared" si="384"/>
        <v>2.9450957662672979</v>
      </c>
      <c r="J165" s="435">
        <f t="shared" si="384"/>
        <v>1.6807377541222175</v>
      </c>
      <c r="K165" s="435">
        <f t="shared" si="384"/>
        <v>1.5773529143482623</v>
      </c>
      <c r="L165" s="435">
        <f>+L143/L92</f>
        <v>3.3407929376938994</v>
      </c>
      <c r="M165" s="435">
        <f t="shared" si="384"/>
        <v>3.6850659357080802</v>
      </c>
      <c r="N165" s="435">
        <f>+N143/N92</f>
        <v>3.1770648396066123</v>
      </c>
      <c r="O165" s="435">
        <f t="shared" si="384"/>
        <v>3.545905440760357</v>
      </c>
      <c r="P165" s="28"/>
      <c r="Q165" s="434"/>
      <c r="R165" s="434"/>
      <c r="S165" s="434"/>
      <c r="T165" s="434"/>
      <c r="U165" s="421"/>
      <c r="V165" s="434"/>
      <c r="W165" s="434"/>
      <c r="X165" s="434"/>
      <c r="Y165" s="434"/>
      <c r="Z165" s="435"/>
      <c r="AA165" s="435"/>
      <c r="AB165" s="435">
        <f t="shared" ref="AB165:AS165" si="385">+AB143/AB92</f>
        <v>4.3892562179145802</v>
      </c>
      <c r="AC165" s="435">
        <f t="shared" si="385"/>
        <v>2.5242977889621643</v>
      </c>
      <c r="AD165" s="435">
        <f t="shared" si="385"/>
        <v>3.0092900010318835</v>
      </c>
      <c r="AE165" s="435">
        <f t="shared" si="385"/>
        <v>2.8783455387592021</v>
      </c>
      <c r="AF165" s="435">
        <f t="shared" si="385"/>
        <v>2.8261426765263393</v>
      </c>
      <c r="AG165" s="435">
        <f t="shared" si="385"/>
        <v>2.9450957662672979</v>
      </c>
      <c r="AH165" s="435">
        <f t="shared" si="385"/>
        <v>3.7893560987705341</v>
      </c>
      <c r="AI165" s="435">
        <f t="shared" si="385"/>
        <v>2.2056844390749046</v>
      </c>
      <c r="AJ165" s="435">
        <f t="shared" si="385"/>
        <v>2.1737725940628234</v>
      </c>
      <c r="AK165" s="435">
        <f t="shared" si="385"/>
        <v>1.6807377541222175</v>
      </c>
      <c r="AL165" s="435">
        <f t="shared" si="385"/>
        <v>1.8695343393249568</v>
      </c>
      <c r="AM165" s="435">
        <f t="shared" si="385"/>
        <v>1.5365700827653355</v>
      </c>
      <c r="AN165" s="435">
        <f t="shared" si="385"/>
        <v>1.1728914002767057</v>
      </c>
      <c r="AO165" s="435">
        <f t="shared" si="385"/>
        <v>1.5773529143482623</v>
      </c>
      <c r="AP165" s="435">
        <f t="shared" si="385"/>
        <v>1.4303014890400603</v>
      </c>
      <c r="AQ165" s="435">
        <f t="shared" si="385"/>
        <v>2.221678983527414</v>
      </c>
      <c r="AR165" s="435">
        <f t="shared" si="385"/>
        <v>2.6469122785228922</v>
      </c>
      <c r="AS165" s="435">
        <f t="shared" si="385"/>
        <v>3.3407929376938994</v>
      </c>
      <c r="AT165" s="435">
        <f t="shared" ref="AT165:AY165" si="386">+AT143/AT92</f>
        <v>3.9070198145339736</v>
      </c>
      <c r="AU165" s="435">
        <f t="shared" si="386"/>
        <v>4.4312936973150103</v>
      </c>
      <c r="AV165" s="435">
        <f t="shared" si="386"/>
        <v>3.9010564140089423</v>
      </c>
      <c r="AW165" s="435">
        <f t="shared" si="386"/>
        <v>3.6850659357080802</v>
      </c>
      <c r="AX165" s="435">
        <f t="shared" si="386"/>
        <v>3.396722681653733</v>
      </c>
      <c r="AY165" s="435">
        <f t="shared" si="386"/>
        <v>3.4002059102902371</v>
      </c>
      <c r="AZ165" s="435">
        <f>+AZ143/AZ92</f>
        <v>3.005806133203095</v>
      </c>
      <c r="BA165" s="435">
        <f>+BA143/BA92</f>
        <v>3.1770648396066123</v>
      </c>
      <c r="BB165" s="435">
        <f>+BB143/BB92</f>
        <v>3.0976362145573759</v>
      </c>
      <c r="BC165" s="435">
        <f>+BC143/BC92</f>
        <v>3.1233683215444352</v>
      </c>
      <c r="BD165" s="435">
        <f>+BD143/BD92</f>
        <v>3.545905440760357</v>
      </c>
      <c r="BE165" s="28"/>
      <c r="BF165" s="259"/>
      <c r="BG165" s="203"/>
      <c r="BH165" s="203"/>
      <c r="BI165" s="203"/>
      <c r="BJ165" s="203"/>
      <c r="BK165" s="203"/>
      <c r="BM165" s="203"/>
      <c r="BN165" s="192"/>
      <c r="BO165" s="203"/>
      <c r="BP165" s="203"/>
      <c r="BQ165" s="192"/>
      <c r="BR165" s="192"/>
      <c r="BS165" s="192"/>
      <c r="BT165" s="203"/>
      <c r="BU165" s="203"/>
      <c r="BV165" s="192"/>
      <c r="BW165" s="192"/>
      <c r="BX165" s="192"/>
      <c r="BY165" s="192"/>
      <c r="BZ165" s="203"/>
      <c r="CA165" s="203"/>
      <c r="CB165" s="192"/>
      <c r="CC165" s="192"/>
      <c r="CD165" s="203"/>
      <c r="CE165" s="203"/>
      <c r="CF165" s="192"/>
      <c r="CG165" s="192"/>
      <c r="CH165" s="203"/>
      <c r="CI165" s="203"/>
      <c r="CJ165" s="192"/>
      <c r="CK165" s="192"/>
      <c r="CL165" s="203"/>
      <c r="CM165" s="203"/>
      <c r="CQ165" s="206"/>
    </row>
    <row r="166" spans="1:98" ht="13.5" customHeight="1">
      <c r="B166" s="5"/>
      <c r="C166" s="29"/>
      <c r="D166" s="29"/>
      <c r="E166" s="29"/>
      <c r="F166" s="29"/>
      <c r="G166" s="29"/>
      <c r="H166" s="28"/>
      <c r="I166" s="28"/>
      <c r="J166" s="28"/>
      <c r="K166" s="28"/>
      <c r="L166" s="28"/>
      <c r="M166" s="28"/>
      <c r="N166" s="28"/>
      <c r="O166" s="28"/>
      <c r="P166" s="28"/>
      <c r="Q166" s="29"/>
      <c r="R166" s="29"/>
      <c r="S166" s="29"/>
      <c r="T166" s="29"/>
      <c r="V166" s="29"/>
      <c r="W166" s="29"/>
      <c r="X166" s="29"/>
      <c r="Y166" s="29"/>
      <c r="Z166" s="28"/>
      <c r="AA166" s="28"/>
      <c r="AB166" s="28"/>
      <c r="AC166" s="28"/>
      <c r="AD166" s="28"/>
      <c r="AE166" s="28"/>
      <c r="AF166" s="28"/>
      <c r="AG166" s="28"/>
      <c r="AH166" s="28"/>
      <c r="AI166" s="28"/>
      <c r="AJ166" s="28"/>
      <c r="AK166" s="28"/>
      <c r="AL166" s="28"/>
      <c r="AM166" s="28"/>
      <c r="AN166" s="28"/>
      <c r="AO166" s="28"/>
      <c r="AP166" s="28"/>
      <c r="AQ166" s="28"/>
      <c r="AR166" s="28"/>
      <c r="AS166" s="28"/>
      <c r="AT166" s="28"/>
      <c r="AU166" s="28"/>
      <c r="AV166" s="28"/>
      <c r="AW166" s="28"/>
      <c r="AX166" s="28"/>
      <c r="AY166" s="28"/>
      <c r="AZ166" s="28"/>
      <c r="BA166" s="28"/>
      <c r="BB166" s="28"/>
      <c r="BC166" s="28"/>
      <c r="BD166" s="28"/>
      <c r="BE166" s="28"/>
      <c r="BF166" s="259"/>
      <c r="BG166" s="203"/>
      <c r="BH166" s="203"/>
      <c r="BI166" s="203"/>
      <c r="BJ166" s="203"/>
      <c r="BK166" s="203"/>
      <c r="BM166" s="203"/>
      <c r="BN166" s="192"/>
      <c r="BO166" s="203"/>
      <c r="BP166" s="203"/>
      <c r="BQ166" s="192"/>
      <c r="BR166" s="192"/>
      <c r="BS166" s="192"/>
      <c r="BT166" s="203"/>
      <c r="BU166" s="203"/>
      <c r="BV166" s="192"/>
      <c r="BW166" s="192"/>
      <c r="BX166" s="192"/>
      <c r="BY166" s="192"/>
      <c r="BZ166" s="203"/>
      <c r="CA166" s="203"/>
      <c r="CB166" s="192"/>
      <c r="CC166" s="192"/>
      <c r="CD166" s="203"/>
      <c r="CE166" s="203"/>
      <c r="CF166" s="192"/>
      <c r="CG166" s="192"/>
      <c r="CH166" s="203"/>
      <c r="CI166" s="203"/>
      <c r="CJ166" s="192"/>
      <c r="CK166" s="192"/>
      <c r="CL166" s="203"/>
      <c r="CM166" s="203"/>
      <c r="CQ166" s="206"/>
    </row>
    <row r="167" spans="1:98" ht="13.5" customHeight="1">
      <c r="B167" s="421" t="s">
        <v>158</v>
      </c>
      <c r="C167" s="434"/>
      <c r="D167" s="434"/>
      <c r="E167" s="434"/>
      <c r="F167" s="434"/>
      <c r="G167" s="434"/>
      <c r="H167" s="434">
        <f t="shared" ref="H167:O167" si="387">+H144/H96</f>
        <v>8.1132830298003764</v>
      </c>
      <c r="I167" s="434">
        <f t="shared" si="387"/>
        <v>7.0817992737771878</v>
      </c>
      <c r="J167" s="434">
        <f t="shared" si="387"/>
        <v>4.3836299750964409</v>
      </c>
      <c r="K167" s="434">
        <f t="shared" si="387"/>
        <v>3.2481222509019232</v>
      </c>
      <c r="L167" s="434">
        <f>+L144/L96</f>
        <v>7.7786787847707393</v>
      </c>
      <c r="M167" s="434">
        <f t="shared" si="387"/>
        <v>9.8931010813238007</v>
      </c>
      <c r="N167" s="434">
        <f>+N144/N96</f>
        <v>7.3318721981961827</v>
      </c>
      <c r="O167" s="434">
        <f t="shared" si="387"/>
        <v>7.8332528641136916</v>
      </c>
      <c r="P167" s="28"/>
      <c r="Q167" s="434"/>
      <c r="R167" s="434"/>
      <c r="S167" s="434"/>
      <c r="T167" s="434"/>
      <c r="U167" s="421"/>
      <c r="V167" s="434"/>
      <c r="W167" s="434"/>
      <c r="X167" s="434"/>
      <c r="Y167" s="434"/>
      <c r="Z167" s="434"/>
      <c r="AA167" s="434"/>
      <c r="AB167" s="434">
        <f t="shared" ref="AB167:AS167" si="388">+AB144/AB96</f>
        <v>10.774678361021429</v>
      </c>
      <c r="AC167" s="434">
        <f t="shared" si="388"/>
        <v>8.1105430262743177</v>
      </c>
      <c r="AD167" s="434">
        <f t="shared" si="388"/>
        <v>7.9862792472412254</v>
      </c>
      <c r="AE167" s="434">
        <f t="shared" si="388"/>
        <v>7.1844790450147027</v>
      </c>
      <c r="AF167" s="434">
        <f t="shared" si="388"/>
        <v>7.4235340751912506</v>
      </c>
      <c r="AG167" s="434">
        <f t="shared" si="388"/>
        <v>7.0817992737771878</v>
      </c>
      <c r="AH167" s="434">
        <f t="shared" si="388"/>
        <v>7.8013058057816664</v>
      </c>
      <c r="AI167" s="434">
        <f t="shared" si="388"/>
        <v>4.7913346357910278</v>
      </c>
      <c r="AJ167" s="434">
        <f t="shared" si="388"/>
        <v>4.6255073568734382</v>
      </c>
      <c r="AK167" s="434">
        <f t="shared" si="388"/>
        <v>4.3836299750964409</v>
      </c>
      <c r="AL167" s="434">
        <f t="shared" si="388"/>
        <v>4.4776086793267389</v>
      </c>
      <c r="AM167" s="434">
        <f t="shared" si="388"/>
        <v>4.3663919260184398</v>
      </c>
      <c r="AN167" s="434">
        <f t="shared" si="388"/>
        <v>3.659722135545612</v>
      </c>
      <c r="AO167" s="434">
        <f t="shared" si="388"/>
        <v>3.2481222509019232</v>
      </c>
      <c r="AP167" s="434">
        <f t="shared" si="388"/>
        <v>3.2370031867573084</v>
      </c>
      <c r="AQ167" s="434">
        <f t="shared" si="388"/>
        <v>5.8584846316805308</v>
      </c>
      <c r="AR167" s="434">
        <f t="shared" si="388"/>
        <v>6.5431265726307339</v>
      </c>
      <c r="AS167" s="434">
        <f t="shared" si="388"/>
        <v>7.7786787847707393</v>
      </c>
      <c r="AT167" s="434">
        <f t="shared" ref="AT167:AY167" si="389">+AT144/AT96</f>
        <v>8.4678185935297243</v>
      </c>
      <c r="AU167" s="434">
        <f t="shared" si="389"/>
        <v>9.8536301332679503</v>
      </c>
      <c r="AV167" s="434">
        <f t="shared" si="389"/>
        <v>10.322906051471007</v>
      </c>
      <c r="AW167" s="434">
        <f t="shared" si="389"/>
        <v>9.8931010813238007</v>
      </c>
      <c r="AX167" s="434">
        <f t="shared" si="389"/>
        <v>8.8059987287896799</v>
      </c>
      <c r="AY167" s="434">
        <f t="shared" si="389"/>
        <v>8.4273760351828102</v>
      </c>
      <c r="AZ167" s="434">
        <f>+AZ144/AZ96</f>
        <v>7.191326863591363</v>
      </c>
      <c r="BA167" s="434">
        <f>+BA144/BA96</f>
        <v>7.3318721981961827</v>
      </c>
      <c r="BB167" s="434">
        <f>+BB144/BB96</f>
        <v>6.792475363229439</v>
      </c>
      <c r="BC167" s="434">
        <f>+BC144/BC96</f>
        <v>7.236950364787015</v>
      </c>
      <c r="BD167" s="434">
        <f>+BD144/BD96</f>
        <v>7.8332528641136916</v>
      </c>
      <c r="BE167" s="29"/>
      <c r="BF167" s="259"/>
      <c r="BG167" s="203"/>
      <c r="BH167" s="203"/>
      <c r="BI167" s="203"/>
      <c r="BJ167" s="203"/>
      <c r="BK167" s="203"/>
      <c r="BM167" s="203"/>
      <c r="BN167" s="192"/>
      <c r="BO167" s="203"/>
      <c r="BP167" s="203"/>
      <c r="BQ167" s="192"/>
      <c r="BR167" s="192"/>
      <c r="BS167" s="192"/>
      <c r="BT167" s="203"/>
      <c r="BU167" s="203"/>
      <c r="BV167" s="192"/>
      <c r="BW167" s="192"/>
      <c r="BX167" s="192"/>
      <c r="BY167" s="192"/>
      <c r="BZ167" s="203"/>
      <c r="CA167" s="203"/>
      <c r="CB167" s="192"/>
      <c r="CC167" s="192"/>
      <c r="CD167" s="203"/>
      <c r="CE167" s="203"/>
      <c r="CF167" s="192"/>
      <c r="CG167" s="192"/>
      <c r="CH167" s="203"/>
      <c r="CI167" s="203"/>
      <c r="CJ167" s="192"/>
      <c r="CK167" s="192"/>
      <c r="CL167" s="203"/>
      <c r="CM167" s="203"/>
      <c r="CQ167" s="206"/>
    </row>
    <row r="168" spans="1:98" ht="13.5" customHeight="1">
      <c r="B168" s="430" t="s">
        <v>159</v>
      </c>
      <c r="C168" s="434"/>
      <c r="D168" s="434"/>
      <c r="E168" s="434"/>
      <c r="F168" s="434"/>
      <c r="G168" s="434"/>
      <c r="H168" s="435">
        <f t="shared" ref="H168:O168" si="390">+H143/H96</f>
        <v>4.4030025179596013</v>
      </c>
      <c r="I168" s="435">
        <f t="shared" si="390"/>
        <v>4.4443203191115233</v>
      </c>
      <c r="J168" s="435">
        <f t="shared" si="390"/>
        <v>2.5344426200520043</v>
      </c>
      <c r="K168" s="435">
        <f t="shared" si="390"/>
        <v>2.3765133574362611</v>
      </c>
      <c r="L168" s="435">
        <f>+L143/L96</f>
        <v>5.1160593231644107</v>
      </c>
      <c r="M168" s="435">
        <f t="shared" si="390"/>
        <v>6.0338106611622635</v>
      </c>
      <c r="N168" s="435">
        <f>+N143/N96</f>
        <v>4.8407571899468644</v>
      </c>
      <c r="O168" s="435">
        <f t="shared" si="390"/>
        <v>5.3210607782489578</v>
      </c>
      <c r="P168" s="28"/>
      <c r="Q168" s="434"/>
      <c r="R168" s="434"/>
      <c r="S168" s="434"/>
      <c r="T168" s="434"/>
      <c r="U168" s="421"/>
      <c r="V168" s="434"/>
      <c r="W168" s="434"/>
      <c r="X168" s="434"/>
      <c r="Y168" s="434"/>
      <c r="Z168" s="435"/>
      <c r="AA168" s="435"/>
      <c r="AB168" s="435">
        <f t="shared" ref="AB168:AS168" si="391">+AB143/AB96</f>
        <v>7.7210574703418118</v>
      </c>
      <c r="AC168" s="435">
        <f t="shared" si="391"/>
        <v>4.4002625144335417</v>
      </c>
      <c r="AD168" s="435">
        <f t="shared" si="391"/>
        <v>4.9152304941604541</v>
      </c>
      <c r="AE168" s="435">
        <f t="shared" si="391"/>
        <v>4.5296212449868039</v>
      </c>
      <c r="AF168" s="435">
        <f t="shared" si="391"/>
        <v>4.3303348109228299</v>
      </c>
      <c r="AG168" s="435">
        <f t="shared" si="391"/>
        <v>4.4443203191115233</v>
      </c>
      <c r="AH168" s="435">
        <f t="shared" si="391"/>
        <v>5.704433417081602</v>
      </c>
      <c r="AI168" s="435">
        <f t="shared" si="391"/>
        <v>3.3242437958921678</v>
      </c>
      <c r="AJ168" s="435">
        <f t="shared" si="391"/>
        <v>3.025355047193611</v>
      </c>
      <c r="AK168" s="435">
        <f t="shared" si="391"/>
        <v>2.5344426200520043</v>
      </c>
      <c r="AL168" s="435">
        <f t="shared" si="391"/>
        <v>2.8222662773226679</v>
      </c>
      <c r="AM168" s="435">
        <f t="shared" si="391"/>
        <v>2.3148092291459137</v>
      </c>
      <c r="AN168" s="435">
        <f t="shared" si="391"/>
        <v>1.7719115872956301</v>
      </c>
      <c r="AO168" s="435">
        <f t="shared" si="391"/>
        <v>2.3765133574362611</v>
      </c>
      <c r="AP168" s="435">
        <f t="shared" si="391"/>
        <v>2.1556313603364758</v>
      </c>
      <c r="AQ168" s="435">
        <f t="shared" si="391"/>
        <v>4.0388976639089105</v>
      </c>
      <c r="AR168" s="435">
        <f t="shared" si="391"/>
        <v>4.4846188845982473</v>
      </c>
      <c r="AS168" s="435">
        <f t="shared" si="391"/>
        <v>5.1160593231644107</v>
      </c>
      <c r="AT168" s="435">
        <f t="shared" ref="AT168:AY168" si="392">+AT143/AT96</f>
        <v>5.8935949880965959</v>
      </c>
      <c r="AU168" s="435">
        <f t="shared" si="392"/>
        <v>6.8676441214961983</v>
      </c>
      <c r="AV168" s="435">
        <f t="shared" si="392"/>
        <v>6.0619089164450992</v>
      </c>
      <c r="AW168" s="435">
        <f t="shared" si="392"/>
        <v>6.0338106611622635</v>
      </c>
      <c r="AX168" s="435">
        <f t="shared" si="392"/>
        <v>5.5768538232306613</v>
      </c>
      <c r="AY168" s="435">
        <f t="shared" si="392"/>
        <v>5.4244907482343834</v>
      </c>
      <c r="AZ168" s="435">
        <f>+AZ143/AZ96</f>
        <v>4.765956269915419</v>
      </c>
      <c r="BA168" s="435">
        <f>+BA143/BA96</f>
        <v>4.8407571899468644</v>
      </c>
      <c r="BB168" s="435">
        <f>+BB143/BB96</f>
        <v>4.6682829726995578</v>
      </c>
      <c r="BC168" s="435">
        <f>+BC143/BC96</f>
        <v>4.7307205013459823</v>
      </c>
      <c r="BD168" s="435">
        <f>+BD143/BD96</f>
        <v>5.3210607782489578</v>
      </c>
      <c r="BE168" s="28"/>
      <c r="BF168" s="259"/>
      <c r="BG168" s="203"/>
      <c r="BH168" s="203"/>
      <c r="BI168" s="203"/>
      <c r="BJ168" s="203"/>
      <c r="BK168" s="203"/>
      <c r="BM168" s="203"/>
      <c r="BN168" s="192"/>
      <c r="BO168" s="203"/>
      <c r="BP168" s="203"/>
      <c r="BQ168" s="192"/>
      <c r="BR168" s="192"/>
      <c r="BS168" s="192"/>
      <c r="BT168" s="203"/>
      <c r="BU168" s="203"/>
      <c r="BV168" s="192"/>
      <c r="BW168" s="192"/>
      <c r="BX168" s="192"/>
      <c r="BY168" s="192"/>
      <c r="BZ168" s="203"/>
      <c r="CA168" s="203"/>
      <c r="CB168" s="192"/>
      <c r="CC168" s="192"/>
      <c r="CD168" s="203"/>
      <c r="CE168" s="203"/>
      <c r="CF168" s="192"/>
      <c r="CG168" s="192"/>
      <c r="CH168" s="203"/>
      <c r="CI168" s="203"/>
      <c r="CJ168" s="192"/>
      <c r="CK168" s="192"/>
      <c r="CL168" s="203"/>
      <c r="CM168" s="203"/>
      <c r="CQ168" s="206"/>
    </row>
    <row r="169" spans="1:98" ht="13.5" customHeight="1">
      <c r="C169" s="29"/>
      <c r="D169" s="29"/>
      <c r="E169" s="29"/>
      <c r="F169" s="29"/>
      <c r="G169" s="29"/>
      <c r="H169" s="29"/>
      <c r="I169" s="29"/>
      <c r="J169" s="29"/>
      <c r="K169" s="29"/>
      <c r="L169" s="29"/>
      <c r="M169" s="29"/>
      <c r="N169" s="29"/>
      <c r="O169" s="29"/>
      <c r="P169" s="28"/>
      <c r="Q169" s="29"/>
      <c r="R169" s="29"/>
      <c r="S169" s="29"/>
      <c r="T169" s="29"/>
      <c r="V169" s="29"/>
      <c r="W169" s="29"/>
      <c r="X169" s="29"/>
      <c r="Y169" s="29"/>
      <c r="Z169" s="29"/>
      <c r="AA169" s="29"/>
      <c r="AB169" s="29"/>
      <c r="AC169" s="29"/>
      <c r="AD169" s="29"/>
      <c r="AE169" s="29"/>
      <c r="AF169" s="29"/>
      <c r="AG169" s="29"/>
      <c r="AH169" s="29"/>
      <c r="AI169" s="29"/>
      <c r="AJ169" s="29"/>
      <c r="AK169" s="29"/>
      <c r="AL169" s="29"/>
      <c r="AM169" s="29"/>
      <c r="AN169" s="29"/>
      <c r="AO169" s="29"/>
      <c r="AP169" s="29"/>
      <c r="AQ169" s="29"/>
      <c r="AR169" s="29"/>
      <c r="AS169" s="29"/>
      <c r="AT169" s="29"/>
      <c r="AU169" s="29"/>
      <c r="AV169" s="29"/>
      <c r="AW169" s="29"/>
      <c r="AX169" s="29"/>
      <c r="AY169" s="29"/>
      <c r="AZ169" s="29"/>
      <c r="BA169" s="29"/>
      <c r="BB169" s="29"/>
      <c r="BC169" s="29"/>
      <c r="BD169" s="29"/>
      <c r="BE169" s="29"/>
      <c r="BF169" s="261"/>
      <c r="BG169" s="29"/>
      <c r="BH169" s="29"/>
      <c r="BI169" s="29"/>
      <c r="BJ169" s="29"/>
      <c r="BK169" s="29"/>
      <c r="BM169" s="29"/>
      <c r="BO169" s="29"/>
      <c r="BP169" s="29"/>
      <c r="BT169" s="29"/>
      <c r="BU169" s="29"/>
      <c r="BZ169" s="29"/>
      <c r="CA169" s="29"/>
      <c r="CD169" s="29"/>
      <c r="CE169" s="29"/>
      <c r="CH169" s="29"/>
      <c r="CI169" s="29"/>
      <c r="CL169" s="29"/>
      <c r="CM169" s="29"/>
      <c r="CQ169" s="206"/>
    </row>
    <row r="170" spans="1:98" s="5" customFormat="1" ht="13.5" customHeight="1">
      <c r="B170" s="5" t="s">
        <v>160</v>
      </c>
      <c r="C170" s="28">
        <f t="shared" ref="C170:K170" si="393">+(C85-C89)/C87</f>
        <v>1.0343285171346484</v>
      </c>
      <c r="D170" s="28">
        <f t="shared" si="393"/>
        <v>0.86046674739521556</v>
      </c>
      <c r="E170" s="28">
        <f t="shared" si="393"/>
        <v>0.9025895433240031</v>
      </c>
      <c r="F170" s="28">
        <f t="shared" si="393"/>
        <v>0.96193292296858124</v>
      </c>
      <c r="G170" s="28">
        <f t="shared" si="393"/>
        <v>0.28547634414782314</v>
      </c>
      <c r="H170" s="28">
        <f t="shared" si="393"/>
        <v>0.49219329753383528</v>
      </c>
      <c r="I170" s="28">
        <f t="shared" si="393"/>
        <v>2.5343845841211019</v>
      </c>
      <c r="J170" s="28">
        <f>+(J85-J89)/J87</f>
        <v>3.2253927719552178</v>
      </c>
      <c r="K170" s="28">
        <f t="shared" si="393"/>
        <v>7.4321318723271919</v>
      </c>
      <c r="L170" s="28">
        <f>+(L85-L89)/L87</f>
        <v>3.5618324291351904</v>
      </c>
      <c r="M170" s="28">
        <f>+(M85-M89)/M87</f>
        <v>0.8334927906793691</v>
      </c>
      <c r="N170" s="28">
        <f>+(N85-N89)/N87</f>
        <v>-1.9388809610107178</v>
      </c>
      <c r="O170" s="28">
        <f>+(O85-O89)/O87</f>
        <v>-2.0866213313879682</v>
      </c>
      <c r="P170" s="28"/>
      <c r="Q170" s="28"/>
      <c r="R170" s="28"/>
      <c r="S170" s="28"/>
      <c r="T170" s="28">
        <f>+(T85-T89)/T87</f>
        <v>0.9025895433240031</v>
      </c>
      <c r="V170" s="28">
        <f t="shared" ref="V170:AS170" si="394">+(V85-V89)/V87</f>
        <v>0.74303350821219327</v>
      </c>
      <c r="W170" s="28">
        <f t="shared" si="394"/>
        <v>0.56220085624705984</v>
      </c>
      <c r="X170" s="28">
        <f t="shared" si="394"/>
        <v>0.62968258718521797</v>
      </c>
      <c r="Y170" s="28">
        <f t="shared" si="394"/>
        <v>0.96193292296858124</v>
      </c>
      <c r="Z170" s="28">
        <f t="shared" si="394"/>
        <v>0.96089460861570852</v>
      </c>
      <c r="AA170" s="28">
        <f t="shared" si="394"/>
        <v>0.39097226106432392</v>
      </c>
      <c r="AB170" s="28">
        <f t="shared" si="394"/>
        <v>0.89465075648833747</v>
      </c>
      <c r="AC170" s="28">
        <f t="shared" si="394"/>
        <v>0.49219329753383417</v>
      </c>
      <c r="AD170" s="28">
        <f t="shared" si="394"/>
        <v>0.92309519432746057</v>
      </c>
      <c r="AE170" s="28">
        <f t="shared" si="394"/>
        <v>2.1936523142185869</v>
      </c>
      <c r="AF170" s="28">
        <f t="shared" si="394"/>
        <v>2.7025607659551936</v>
      </c>
      <c r="AG170" s="28">
        <f t="shared" si="394"/>
        <v>2.6102481693505064</v>
      </c>
      <c r="AH170" s="28">
        <f t="shared" si="394"/>
        <v>3.7080730639465878</v>
      </c>
      <c r="AI170" s="28">
        <f t="shared" si="394"/>
        <v>3.9280756790321503</v>
      </c>
      <c r="AJ170" s="28">
        <f t="shared" si="394"/>
        <v>2.8122780597334898</v>
      </c>
      <c r="AK170" s="28">
        <f t="shared" si="394"/>
        <v>3.2253927719552156</v>
      </c>
      <c r="AL170" s="28">
        <f t="shared" si="394"/>
        <v>3.3220760765297328</v>
      </c>
      <c r="AM170" s="28">
        <f t="shared" si="394"/>
        <v>5.018353185699139</v>
      </c>
      <c r="AN170" s="28">
        <f t="shared" si="394"/>
        <v>28.135068994309059</v>
      </c>
      <c r="AO170" s="28">
        <f t="shared" si="394"/>
        <v>7.4321318723271883</v>
      </c>
      <c r="AP170" s="28">
        <f t="shared" si="394"/>
        <v>8.0760987564616862</v>
      </c>
      <c r="AQ170" s="28">
        <f t="shared" si="394"/>
        <v>9.3582123097669605</v>
      </c>
      <c r="AR170" s="28">
        <f t="shared" si="394"/>
        <v>8.7125434499490417</v>
      </c>
      <c r="AS170" s="28">
        <f t="shared" si="394"/>
        <v>3.5618324291351882</v>
      </c>
      <c r="AT170" s="28">
        <f t="shared" ref="AT170:AY170" si="395">+(AT85-AT89)/AT87</f>
        <v>2.0790781710395585</v>
      </c>
      <c r="AU170" s="28">
        <f t="shared" si="395"/>
        <v>0.70224971157004235</v>
      </c>
      <c r="AV170" s="28">
        <f t="shared" si="395"/>
        <v>0.39003505380982978</v>
      </c>
      <c r="AW170" s="28">
        <f t="shared" si="395"/>
        <v>0.83349279067936921</v>
      </c>
      <c r="AX170" s="28">
        <f t="shared" si="395"/>
        <v>1.1584391643394565</v>
      </c>
      <c r="AY170" s="28">
        <f t="shared" si="395"/>
        <v>1.7524623285266556</v>
      </c>
      <c r="AZ170" s="28">
        <f>+(AZ85-AZ89)/AZ87</f>
        <v>1.9398084455831905</v>
      </c>
      <c r="BA170" s="28">
        <f>+(BA85-BA89)/BA87</f>
        <v>-1.93888096101072</v>
      </c>
      <c r="BB170" s="28">
        <f>+(BB85-BB89)/BB87</f>
        <v>-2.1885360048234417</v>
      </c>
      <c r="BC170" s="28">
        <f>+(BC85-BC89)/BC87</f>
        <v>-2.1777173526659102</v>
      </c>
      <c r="BD170" s="28">
        <f>+(BD85-BD89)/BD87</f>
        <v>-2.0866213313879669</v>
      </c>
      <c r="BE170" s="28"/>
      <c r="BF170" s="259"/>
      <c r="BG170" s="203"/>
      <c r="BH170" s="203"/>
      <c r="BI170" s="203"/>
      <c r="BJ170" s="203"/>
      <c r="BK170" s="203"/>
      <c r="BL170" s="1"/>
      <c r="BM170" s="203"/>
      <c r="BN170" s="192"/>
      <c r="BO170" s="203"/>
      <c r="BP170" s="203"/>
      <c r="BQ170" s="192"/>
      <c r="BR170" s="192"/>
      <c r="BS170" s="192"/>
      <c r="BT170" s="203"/>
      <c r="BU170" s="203"/>
      <c r="BV170" s="192"/>
      <c r="BW170" s="192"/>
      <c r="BX170" s="192"/>
      <c r="BY170" s="192"/>
      <c r="BZ170" s="203"/>
      <c r="CA170" s="203"/>
      <c r="CB170" s="192"/>
      <c r="CC170" s="192"/>
      <c r="CD170" s="203"/>
      <c r="CE170" s="203"/>
      <c r="CF170" s="192"/>
      <c r="CG170" s="192"/>
      <c r="CH170" s="203"/>
      <c r="CI170" s="203"/>
      <c r="CJ170" s="192"/>
      <c r="CK170" s="192"/>
      <c r="CL170" s="203"/>
      <c r="CM170" s="203"/>
      <c r="CN170" s="1"/>
      <c r="CO170" s="1"/>
      <c r="CP170" s="1"/>
      <c r="CQ170" s="206"/>
      <c r="CR170" s="1"/>
      <c r="CS170" s="1"/>
      <c r="CT170" s="1"/>
    </row>
    <row r="171" spans="1:98" ht="13.5" customHeight="1">
      <c r="B171" s="1" t="s">
        <v>161</v>
      </c>
      <c r="C171" s="29">
        <f t="shared" ref="C171:K171" si="396">+C85/C87</f>
        <v>1.3328948702660717</v>
      </c>
      <c r="D171" s="29">
        <f t="shared" si="396"/>
        <v>1.1827818702959738</v>
      </c>
      <c r="E171" s="29">
        <f t="shared" si="396"/>
        <v>1.289928811681079</v>
      </c>
      <c r="F171" s="29">
        <f t="shared" si="396"/>
        <v>1.9542872054879494</v>
      </c>
      <c r="G171" s="29">
        <f t="shared" si="396"/>
        <v>0.83309201361668805</v>
      </c>
      <c r="H171" s="29">
        <f t="shared" si="396"/>
        <v>1.3276592487044394</v>
      </c>
      <c r="I171" s="29">
        <f t="shared" si="396"/>
        <v>3.1972163308221875</v>
      </c>
      <c r="J171" s="29">
        <f t="shared" si="396"/>
        <v>3.7893080304915872</v>
      </c>
      <c r="K171" s="29">
        <f t="shared" si="396"/>
        <v>8.7281149264622115</v>
      </c>
      <c r="L171" s="29">
        <f>+L85/L87</f>
        <v>4.7694671729960545</v>
      </c>
      <c r="M171" s="29">
        <f>+M85/M87</f>
        <v>1.5127607243952708</v>
      </c>
      <c r="N171" s="29">
        <f>+N85/N87</f>
        <v>-2.7204007663232015</v>
      </c>
      <c r="O171" s="29">
        <f>+O85/O87</f>
        <v>-3.3188790996883033</v>
      </c>
      <c r="P171" s="29"/>
      <c r="Q171" s="29"/>
      <c r="R171" s="29"/>
      <c r="S171" s="29"/>
      <c r="T171" s="29">
        <f>+T85/T87</f>
        <v>1.289928811681079</v>
      </c>
      <c r="V171" s="29">
        <f t="shared" ref="V171:AS171" si="397">+V85/V87</f>
        <v>1.1495120582834801</v>
      </c>
      <c r="W171" s="29">
        <f t="shared" si="397"/>
        <v>1.1595989887206326</v>
      </c>
      <c r="X171" s="29">
        <f t="shared" si="397"/>
        <v>1.386920739548668</v>
      </c>
      <c r="Y171" s="29">
        <f t="shared" si="397"/>
        <v>1.9542872054879494</v>
      </c>
      <c r="Z171" s="29">
        <f t="shared" si="397"/>
        <v>2.0497189952527264</v>
      </c>
      <c r="AA171" s="29">
        <f t="shared" si="397"/>
        <v>1.2918777537845689</v>
      </c>
      <c r="AB171" s="29">
        <f t="shared" si="397"/>
        <v>1.584425470345469</v>
      </c>
      <c r="AC171" s="29">
        <f t="shared" si="397"/>
        <v>1.3276592487044383</v>
      </c>
      <c r="AD171" s="29">
        <f t="shared" si="397"/>
        <v>1.6218643952271687</v>
      </c>
      <c r="AE171" s="29">
        <f t="shared" si="397"/>
        <v>2.9728028827548574</v>
      </c>
      <c r="AF171" s="29">
        <f t="shared" si="397"/>
        <v>3.4137364119654028</v>
      </c>
      <c r="AG171" s="29">
        <f t="shared" si="397"/>
        <v>3.273079916051592</v>
      </c>
      <c r="AH171" s="29">
        <f t="shared" si="397"/>
        <v>4.4286424399509974</v>
      </c>
      <c r="AI171" s="29">
        <f t="shared" si="397"/>
        <v>4.4465658656944651</v>
      </c>
      <c r="AJ171" s="29">
        <f t="shared" si="397"/>
        <v>3.2683139618053718</v>
      </c>
      <c r="AK171" s="29">
        <f t="shared" si="397"/>
        <v>3.7893080304915849</v>
      </c>
      <c r="AL171" s="29">
        <f t="shared" si="397"/>
        <v>3.9708868711049088</v>
      </c>
      <c r="AM171" s="29">
        <f t="shared" si="397"/>
        <v>6.1224798403203824</v>
      </c>
      <c r="AN171" s="29">
        <f t="shared" si="397"/>
        <v>33.206812638702715</v>
      </c>
      <c r="AO171" s="29">
        <f t="shared" si="397"/>
        <v>8.728114926462208</v>
      </c>
      <c r="AP171" s="29">
        <f t="shared" si="397"/>
        <v>9.4046157777579324</v>
      </c>
      <c r="AQ171" s="29">
        <f t="shared" si="397"/>
        <v>11.453591298002761</v>
      </c>
      <c r="AR171" s="29">
        <f t="shared" si="397"/>
        <v>10.697539709173977</v>
      </c>
      <c r="AS171" s="29">
        <f t="shared" si="397"/>
        <v>4.7694671729960527</v>
      </c>
      <c r="AT171" s="29">
        <f t="shared" ref="AT171:AY171" si="398">+AT85/AT87</f>
        <v>3.0593548132323614</v>
      </c>
      <c r="AU171" s="29">
        <f t="shared" si="398"/>
        <v>1.2894000034007196</v>
      </c>
      <c r="AV171" s="29">
        <f t="shared" si="398"/>
        <v>0.96028849464403454</v>
      </c>
      <c r="AW171" s="29">
        <f t="shared" si="398"/>
        <v>1.512760724395271</v>
      </c>
      <c r="AX171" s="29">
        <f t="shared" si="398"/>
        <v>1.81552391562006</v>
      </c>
      <c r="AY171" s="29">
        <f t="shared" si="398"/>
        <v>2.4725152938989643</v>
      </c>
      <c r="AZ171" s="29">
        <f>+AZ85/AZ87</f>
        <v>2.6471416001352739</v>
      </c>
      <c r="BA171" s="29">
        <f>+BA85/BA87</f>
        <v>-2.7204007663232037</v>
      </c>
      <c r="BB171" s="29">
        <f>+BB85/BB87</f>
        <v>-3.0664739390230742</v>
      </c>
      <c r="BC171" s="29">
        <f>+BC85/BC87</f>
        <v>-3.2411265495973445</v>
      </c>
      <c r="BD171" s="29">
        <f>+BD85/BD87</f>
        <v>-3.318879099688302</v>
      </c>
      <c r="BE171" s="29"/>
      <c r="BF171" s="259"/>
      <c r="BG171" s="203"/>
      <c r="BH171" s="203"/>
      <c r="BI171" s="203"/>
      <c r="BJ171" s="203"/>
      <c r="BK171" s="203"/>
      <c r="BM171" s="203"/>
      <c r="BN171" s="192"/>
      <c r="BO171" s="203"/>
      <c r="BP171" s="203"/>
      <c r="BQ171" s="192"/>
      <c r="BR171" s="192"/>
      <c r="BS171" s="192"/>
      <c r="BT171" s="203"/>
      <c r="BU171" s="203"/>
      <c r="BV171" s="192"/>
      <c r="BW171" s="192"/>
      <c r="BX171" s="192"/>
      <c r="BY171" s="192"/>
      <c r="BZ171" s="203"/>
      <c r="CA171" s="203"/>
      <c r="CB171" s="192"/>
      <c r="CC171" s="192"/>
      <c r="CD171" s="203"/>
      <c r="CE171" s="203"/>
      <c r="CF171" s="192"/>
      <c r="CG171" s="192"/>
      <c r="CH171" s="203"/>
      <c r="CI171" s="203"/>
      <c r="CJ171" s="192"/>
      <c r="CK171" s="192"/>
      <c r="CL171" s="203"/>
      <c r="CM171" s="203"/>
      <c r="CQ171" s="206"/>
    </row>
    <row r="172" spans="1:98" ht="13.5" customHeight="1">
      <c r="C172" s="9"/>
      <c r="D172" s="9"/>
      <c r="E172" s="9"/>
      <c r="F172" s="9"/>
      <c r="G172" s="9"/>
      <c r="H172" s="9"/>
      <c r="I172" s="9"/>
      <c r="J172" s="9"/>
      <c r="K172" s="9"/>
      <c r="L172" s="9"/>
      <c r="M172" s="9"/>
      <c r="N172" s="9"/>
      <c r="O172" s="9"/>
      <c r="P172" s="9"/>
      <c r="Q172" s="9"/>
      <c r="T172" s="9"/>
      <c r="V172" s="9"/>
      <c r="W172" s="9"/>
      <c r="X172" s="9"/>
      <c r="Y172" s="9"/>
      <c r="Z172" s="9"/>
      <c r="AA172" s="9"/>
      <c r="AB172" s="9"/>
      <c r="AC172" s="9"/>
      <c r="AD172" s="9"/>
      <c r="AE172" s="9"/>
      <c r="AF172" s="9"/>
      <c r="AG172" s="9"/>
      <c r="AH172" s="9"/>
      <c r="AI172" s="9"/>
      <c r="AJ172" s="9"/>
      <c r="AK172" s="9"/>
      <c r="AL172" s="9"/>
      <c r="AM172" s="9"/>
      <c r="AN172" s="9"/>
      <c r="AO172" s="9"/>
      <c r="AP172" s="9"/>
      <c r="AQ172" s="9"/>
      <c r="AR172" s="9"/>
      <c r="AS172" s="9"/>
      <c r="AT172" s="9"/>
      <c r="AU172" s="9"/>
      <c r="AV172" s="9"/>
      <c r="AW172" s="9"/>
      <c r="AX172" s="9"/>
      <c r="AY172" s="9"/>
      <c r="AZ172" s="9"/>
      <c r="BA172" s="9"/>
      <c r="BB172" s="9"/>
      <c r="BC172" s="9"/>
      <c r="BD172" s="9"/>
      <c r="BE172" s="9"/>
      <c r="BF172" s="261"/>
      <c r="BG172" s="9"/>
      <c r="BH172" s="9"/>
      <c r="BI172" s="9"/>
      <c r="BJ172" s="9"/>
      <c r="BK172" s="9"/>
      <c r="BM172" s="29"/>
      <c r="BO172" s="29"/>
      <c r="BP172" s="29"/>
      <c r="BT172" s="29"/>
      <c r="BU172" s="29"/>
      <c r="BZ172" s="29"/>
      <c r="CA172" s="29"/>
      <c r="CD172" s="29"/>
      <c r="CE172" s="29"/>
      <c r="CH172" s="29"/>
      <c r="CI172" s="29"/>
      <c r="CL172" s="29"/>
      <c r="CM172" s="29"/>
      <c r="CQ172" s="206"/>
    </row>
    <row r="173" spans="1:98" s="5" customFormat="1" ht="13.5" customHeight="1">
      <c r="B173" s="5" t="s">
        <v>162</v>
      </c>
      <c r="C173" s="62">
        <f t="shared" ref="C173:Z173" si="399">C143/C152</f>
        <v>4.1969909133692953</v>
      </c>
      <c r="D173" s="62">
        <f t="shared" si="399"/>
        <v>9.6442631384300253</v>
      </c>
      <c r="E173" s="62">
        <f t="shared" si="399"/>
        <v>5.8830425453442103</v>
      </c>
      <c r="F173" s="62">
        <f t="shared" si="399"/>
        <v>3.2521529883744318</v>
      </c>
      <c r="G173" s="62">
        <f t="shared" ref="G173:O173" si="400">G143/G152</f>
        <v>3.2521529883744331</v>
      </c>
      <c r="H173" s="62">
        <f t="shared" si="400"/>
        <v>2.1274587398359293</v>
      </c>
      <c r="I173" s="62">
        <f t="shared" si="400"/>
        <v>7.9779597498453292</v>
      </c>
      <c r="J173" s="62">
        <f t="shared" si="400"/>
        <v>4.5856943942097788</v>
      </c>
      <c r="K173" s="62">
        <f t="shared" si="400"/>
        <v>4.1107571212711038</v>
      </c>
      <c r="L173" s="62">
        <f t="shared" si="400"/>
        <v>1.633975647806363</v>
      </c>
      <c r="M173" s="62">
        <f t="shared" si="400"/>
        <v>1.3742852453622132</v>
      </c>
      <c r="N173" s="62">
        <f>N143/N152</f>
        <v>2.1947978324126183</v>
      </c>
      <c r="O173" s="62">
        <f t="shared" si="400"/>
        <v>3.1810814184608653</v>
      </c>
      <c r="P173" s="62"/>
      <c r="Q173" s="62">
        <f t="shared" si="399"/>
        <v>7.3568732493683013</v>
      </c>
      <c r="R173" s="62">
        <f t="shared" si="399"/>
        <v>3.831430239101334</v>
      </c>
      <c r="S173" s="62">
        <f t="shared" si="399"/>
        <v>4.2908070072125399</v>
      </c>
      <c r="T173" s="62">
        <f t="shared" si="399"/>
        <v>5.8830425453442103</v>
      </c>
      <c r="V173" s="62">
        <f t="shared" si="399"/>
        <v>2.3097907441474974</v>
      </c>
      <c r="W173" s="62">
        <f t="shared" si="399"/>
        <v>2.7705233920666616</v>
      </c>
      <c r="X173" s="62">
        <f t="shared" si="399"/>
        <v>2.6887970178108493</v>
      </c>
      <c r="Y173" s="62">
        <f t="shared" si="399"/>
        <v>3.2521529883744318</v>
      </c>
      <c r="Z173" s="62">
        <f t="shared" si="399"/>
        <v>2.803155250569453</v>
      </c>
      <c r="AA173" s="62">
        <f t="shared" ref="AA173:AF173" si="401">AA143/AA152</f>
        <v>5.5771433871463989</v>
      </c>
      <c r="AB173" s="62">
        <f t="shared" si="401"/>
        <v>6.3289962321553848</v>
      </c>
      <c r="AC173" s="62">
        <f t="shared" si="401"/>
        <v>2.1261348149858024</v>
      </c>
      <c r="AD173" s="62">
        <f t="shared" si="401"/>
        <v>2.5569024507636713</v>
      </c>
      <c r="AE173" s="62">
        <f t="shared" si="401"/>
        <v>2.609464998383332</v>
      </c>
      <c r="AF173" s="62">
        <f t="shared" si="401"/>
        <v>2.7520222117604565</v>
      </c>
      <c r="AG173" s="62">
        <f t="shared" ref="AG173:AL173" si="402">AG143/AG152</f>
        <v>7.9779597498453292</v>
      </c>
      <c r="AH173" s="62">
        <f t="shared" si="402"/>
        <v>35.960948503194665</v>
      </c>
      <c r="AI173" s="62">
        <f t="shared" si="402"/>
        <v>7.093304594531662</v>
      </c>
      <c r="AJ173" s="62">
        <f t="shared" si="402"/>
        <v>6.652638219800262</v>
      </c>
      <c r="AK173" s="62">
        <f t="shared" si="402"/>
        <v>4.5856943942097788</v>
      </c>
      <c r="AL173" s="62">
        <f t="shared" si="402"/>
        <v>4.7531080597255784</v>
      </c>
      <c r="AM173" s="62">
        <f t="shared" ref="AM173:AR173" si="403">AM143/AM152</f>
        <v>2.5961379670867242</v>
      </c>
      <c r="AN173" s="62">
        <f t="shared" si="403"/>
        <v>2.1940958313723145</v>
      </c>
      <c r="AO173" s="62">
        <f t="shared" si="403"/>
        <v>4.1107571212711038</v>
      </c>
      <c r="AP173" s="62">
        <f t="shared" si="403"/>
        <v>4.3565651149501754</v>
      </c>
      <c r="AQ173" s="62">
        <f t="shared" si="403"/>
        <v>1.4144706490049197</v>
      </c>
      <c r="AR173" s="62">
        <f t="shared" si="403"/>
        <v>1.5118631573109631</v>
      </c>
      <c r="AS173" s="62">
        <f t="shared" ref="AS173:AX173" si="404">AS143/AS152</f>
        <v>1.633975647806363</v>
      </c>
      <c r="AT173" s="62">
        <f t="shared" si="404"/>
        <v>8.7867390470524693</v>
      </c>
      <c r="AU173" s="62">
        <f t="shared" si="404"/>
        <v>1.4701016252878718</v>
      </c>
      <c r="AV173" s="62">
        <f t="shared" si="404"/>
        <v>1.2663683165898567</v>
      </c>
      <c r="AW173" s="62">
        <f t="shared" si="404"/>
        <v>1.3742852453622132</v>
      </c>
      <c r="AX173" s="62">
        <f t="shared" si="404"/>
        <v>1.4544358283641328</v>
      </c>
      <c r="AY173" s="62">
        <f t="shared" ref="AY173:BD173" si="405">AY143/AY152</f>
        <v>1.7085852638798094</v>
      </c>
      <c r="AZ173" s="62">
        <f t="shared" si="405"/>
        <v>1.68024313467963</v>
      </c>
      <c r="BA173" s="62">
        <f t="shared" si="405"/>
        <v>2.1947978324126183</v>
      </c>
      <c r="BB173" s="62">
        <f t="shared" si="405"/>
        <v>2.1895492624959147</v>
      </c>
      <c r="BC173" s="62">
        <f t="shared" si="405"/>
        <v>2.1811271866962256</v>
      </c>
      <c r="BD173" s="62">
        <f t="shared" si="405"/>
        <v>3.1810814184608653</v>
      </c>
      <c r="BE173" s="62"/>
      <c r="BF173" s="260"/>
      <c r="BG173" s="326"/>
      <c r="BH173" s="326"/>
      <c r="BI173" s="326"/>
      <c r="BJ173" s="326"/>
      <c r="BK173" s="326"/>
      <c r="BL173" s="1"/>
      <c r="BM173" s="204"/>
      <c r="BN173" s="192"/>
      <c r="BO173" s="204"/>
      <c r="BP173" s="204"/>
      <c r="BQ173" s="192"/>
      <c r="BR173" s="192"/>
      <c r="BS173" s="192"/>
      <c r="BT173" s="204"/>
      <c r="BU173" s="204"/>
      <c r="BV173" s="192"/>
      <c r="BW173" s="192"/>
      <c r="BX173" s="192"/>
      <c r="BY173" s="192"/>
      <c r="BZ173" s="204"/>
      <c r="CA173" s="204"/>
      <c r="CB173" s="192"/>
      <c r="CC173" s="192"/>
      <c r="CD173" s="204"/>
      <c r="CE173" s="204"/>
      <c r="CF173" s="192"/>
      <c r="CG173" s="192"/>
      <c r="CH173" s="204"/>
      <c r="CI173" s="204"/>
      <c r="CJ173" s="192"/>
      <c r="CK173" s="192"/>
      <c r="CL173" s="204"/>
      <c r="CM173" s="204"/>
      <c r="CN173" s="1"/>
      <c r="CO173" s="1"/>
      <c r="CP173" s="1"/>
      <c r="CQ173" s="206"/>
      <c r="CR173" s="1"/>
      <c r="CS173" s="1"/>
      <c r="CT173" s="1"/>
    </row>
    <row r="174" spans="1:98" s="5" customFormat="1" ht="13.5" customHeight="1">
      <c r="C174" s="34"/>
      <c r="D174" s="34"/>
      <c r="E174" s="34"/>
      <c r="F174" s="34"/>
      <c r="G174" s="34"/>
      <c r="H174" s="34"/>
      <c r="I174" s="34"/>
      <c r="J174" s="34"/>
      <c r="K174" s="34"/>
      <c r="L174" s="34"/>
      <c r="M174" s="34"/>
      <c r="N174" s="34"/>
      <c r="O174" s="34"/>
      <c r="P174" s="34"/>
      <c r="Q174" s="34"/>
      <c r="V174" s="34"/>
      <c r="W174" s="34"/>
      <c r="Z174" s="34"/>
      <c r="AA174" s="34"/>
      <c r="AB174" s="34"/>
      <c r="AC174" s="34"/>
      <c r="AD174" s="34"/>
      <c r="AE174" s="34"/>
      <c r="AF174" s="34"/>
      <c r="AG174" s="34"/>
      <c r="AH174" s="34"/>
      <c r="AI174" s="34"/>
      <c r="AJ174" s="34"/>
      <c r="AK174" s="34"/>
      <c r="AL174" s="34"/>
      <c r="AM174" s="34"/>
      <c r="AN174" s="34"/>
      <c r="AO174" s="34"/>
      <c r="AP174" s="34"/>
      <c r="AQ174" s="34"/>
      <c r="AR174" s="34"/>
      <c r="AS174" s="34"/>
      <c r="AT174" s="34"/>
      <c r="AU174" s="34"/>
      <c r="AV174" s="34"/>
      <c r="AW174" s="34"/>
      <c r="AX174" s="34"/>
      <c r="AY174" s="34"/>
      <c r="AZ174" s="34"/>
      <c r="BA174" s="34"/>
      <c r="BB174" s="34"/>
      <c r="BC174" s="34"/>
      <c r="BD174" s="34"/>
      <c r="BE174" s="34"/>
      <c r="BF174" s="261"/>
      <c r="BG174" s="34"/>
      <c r="BH174" s="34"/>
      <c r="BI174" s="34"/>
      <c r="BJ174" s="34"/>
      <c r="BK174" s="34"/>
      <c r="BL174" s="1"/>
      <c r="BM174" s="29"/>
      <c r="BN174" s="1"/>
      <c r="BO174" s="29"/>
      <c r="BP174" s="29"/>
      <c r="BQ174" s="1"/>
      <c r="BR174" s="1"/>
      <c r="BS174" s="1"/>
      <c r="BT174" s="29"/>
      <c r="BU174" s="29"/>
      <c r="BV174" s="1"/>
      <c r="BW174" s="1"/>
      <c r="BX174" s="1"/>
      <c r="BY174" s="1"/>
      <c r="BZ174" s="29"/>
      <c r="CA174" s="29"/>
      <c r="CB174" s="1"/>
      <c r="CC174" s="1"/>
      <c r="CD174" s="29"/>
      <c r="CE174" s="29"/>
      <c r="CF174" s="1"/>
      <c r="CG174" s="1"/>
      <c r="CH174" s="29"/>
      <c r="CI174" s="29"/>
      <c r="CJ174" s="1"/>
      <c r="CK174" s="1"/>
      <c r="CL174" s="29"/>
      <c r="CM174" s="29"/>
      <c r="CN174" s="1"/>
      <c r="CO174" s="1"/>
      <c r="CP174" s="1"/>
      <c r="CQ174" s="206"/>
      <c r="CR174" s="1"/>
      <c r="CS174" s="1"/>
      <c r="CT174" s="1"/>
    </row>
    <row r="175" spans="1:98" ht="13.5" customHeight="1">
      <c r="A175" s="26"/>
      <c r="B175" s="16" t="s">
        <v>163</v>
      </c>
      <c r="C175" s="44"/>
      <c r="D175" s="44"/>
      <c r="E175" s="44"/>
      <c r="F175" s="44"/>
      <c r="G175" s="44"/>
      <c r="H175" s="44"/>
      <c r="I175" s="44"/>
      <c r="J175" s="44"/>
      <c r="K175" s="44"/>
      <c r="L175" s="44"/>
      <c r="M175" s="44"/>
      <c r="N175" s="44"/>
      <c r="O175" s="44"/>
      <c r="P175" s="205"/>
      <c r="Q175" s="44"/>
      <c r="R175" s="17"/>
      <c r="S175" s="17"/>
      <c r="T175" s="17"/>
      <c r="U175" s="346"/>
      <c r="V175" s="44"/>
      <c r="W175" s="44"/>
      <c r="X175" s="17"/>
      <c r="Y175" s="17"/>
      <c r="Z175" s="44"/>
      <c r="AA175" s="44"/>
      <c r="AB175" s="44"/>
      <c r="AC175" s="44"/>
      <c r="AD175" s="44"/>
      <c r="AE175" s="44"/>
      <c r="AF175" s="44"/>
      <c r="AG175" s="44"/>
      <c r="AH175" s="44"/>
      <c r="AI175" s="44"/>
      <c r="AJ175" s="44"/>
      <c r="AK175" s="44"/>
      <c r="AL175" s="44"/>
      <c r="AM175" s="44"/>
      <c r="AN175" s="44"/>
      <c r="AO175" s="44"/>
      <c r="AP175" s="44"/>
      <c r="AQ175" s="44"/>
      <c r="AR175" s="44"/>
      <c r="AS175" s="44"/>
      <c r="AT175" s="44"/>
      <c r="AU175" s="44"/>
      <c r="AV175" s="44"/>
      <c r="AW175" s="44"/>
      <c r="AX175" s="44"/>
      <c r="AY175" s="44"/>
      <c r="AZ175" s="44"/>
      <c r="BA175" s="44"/>
      <c r="BB175" s="44"/>
      <c r="BC175" s="44"/>
      <c r="BD175" s="44"/>
      <c r="BE175" s="394"/>
      <c r="BF175" s="229"/>
      <c r="BG175" s="17"/>
      <c r="BH175" s="17"/>
      <c r="BI175" s="321"/>
      <c r="BJ175" s="321"/>
      <c r="BK175" s="321"/>
      <c r="BM175" s="17"/>
      <c r="BN175" s="17"/>
      <c r="BO175" s="17"/>
      <c r="BP175" s="17"/>
      <c r="BQ175" s="17"/>
      <c r="BR175" s="17"/>
      <c r="BS175" s="17"/>
      <c r="BT175" s="17"/>
      <c r="BU175" s="17"/>
      <c r="BV175" s="17"/>
      <c r="BW175" s="17"/>
      <c r="BX175" s="17"/>
      <c r="BY175" s="17"/>
      <c r="BZ175" s="17"/>
      <c r="CA175" s="17"/>
      <c r="CB175" s="17"/>
      <c r="CC175" s="17"/>
      <c r="CD175" s="17"/>
      <c r="CE175" s="17"/>
      <c r="CF175" s="17"/>
      <c r="CG175" s="17"/>
      <c r="CH175" s="17"/>
      <c r="CI175" s="17"/>
      <c r="CJ175" s="17"/>
      <c r="CK175" s="17"/>
      <c r="CL175" s="17"/>
      <c r="CM175" s="17"/>
      <c r="CQ175" s="206"/>
    </row>
    <row r="176" spans="1:98" s="2" customFormat="1" ht="13.5" customHeight="1">
      <c r="A176" s="78"/>
      <c r="B176" s="79" t="s">
        <v>50</v>
      </c>
      <c r="C176" s="44">
        <v>41975</v>
      </c>
      <c r="D176" s="44">
        <v>42341</v>
      </c>
      <c r="E176" s="44">
        <v>42708</v>
      </c>
      <c r="F176" s="44">
        <v>43073</v>
      </c>
      <c r="G176" s="44">
        <f t="shared" ref="G176:O176" si="406">G3</f>
        <v>43073</v>
      </c>
      <c r="H176" s="44">
        <f t="shared" si="406"/>
        <v>43438</v>
      </c>
      <c r="I176" s="44">
        <f t="shared" si="406"/>
        <v>43803</v>
      </c>
      <c r="J176" s="44">
        <f t="shared" si="406"/>
        <v>44169</v>
      </c>
      <c r="K176" s="44">
        <f t="shared" si="406"/>
        <v>44534</v>
      </c>
      <c r="L176" s="44">
        <f t="shared" si="406"/>
        <v>44899</v>
      </c>
      <c r="M176" s="44">
        <f t="shared" si="406"/>
        <v>45264</v>
      </c>
      <c r="N176" s="44">
        <f t="shared" si="406"/>
        <v>45630</v>
      </c>
      <c r="O176" s="120">
        <f t="shared" si="406"/>
        <v>45909</v>
      </c>
      <c r="P176" s="205"/>
      <c r="Q176" s="44">
        <v>42437</v>
      </c>
      <c r="R176" s="44">
        <v>42527</v>
      </c>
      <c r="S176" s="44">
        <v>42622</v>
      </c>
      <c r="T176" s="44">
        <v>42714</v>
      </c>
      <c r="U176" s="347">
        <v>42801</v>
      </c>
      <c r="V176" s="44">
        <f t="shared" ref="V176:BD176" si="407">V3</f>
        <v>42801</v>
      </c>
      <c r="W176" s="44">
        <f t="shared" si="407"/>
        <v>42892</v>
      </c>
      <c r="X176" s="44">
        <f t="shared" si="407"/>
        <v>42987</v>
      </c>
      <c r="Y176" s="44">
        <f t="shared" si="407"/>
        <v>43079</v>
      </c>
      <c r="Z176" s="44">
        <f t="shared" si="407"/>
        <v>43190</v>
      </c>
      <c r="AA176" s="44">
        <f t="shared" si="407"/>
        <v>43281</v>
      </c>
      <c r="AB176" s="44">
        <f t="shared" si="407"/>
        <v>43352</v>
      </c>
      <c r="AC176" s="44">
        <f t="shared" si="407"/>
        <v>43444</v>
      </c>
      <c r="AD176" s="44">
        <f t="shared" si="407"/>
        <v>43555</v>
      </c>
      <c r="AE176" s="44">
        <f t="shared" si="407"/>
        <v>43646</v>
      </c>
      <c r="AF176" s="44">
        <f t="shared" si="407"/>
        <v>43717</v>
      </c>
      <c r="AG176" s="44">
        <f t="shared" si="407"/>
        <v>43808</v>
      </c>
      <c r="AH176" s="44">
        <f t="shared" si="407"/>
        <v>43921</v>
      </c>
      <c r="AI176" s="44">
        <f t="shared" si="407"/>
        <v>44012</v>
      </c>
      <c r="AJ176" s="44">
        <f t="shared" si="407"/>
        <v>44083</v>
      </c>
      <c r="AK176" s="44">
        <f t="shared" si="407"/>
        <v>44174</v>
      </c>
      <c r="AL176" s="44">
        <f t="shared" si="407"/>
        <v>44286</v>
      </c>
      <c r="AM176" s="44">
        <f t="shared" si="407"/>
        <v>44377</v>
      </c>
      <c r="AN176" s="44">
        <f t="shared" si="407"/>
        <v>44448</v>
      </c>
      <c r="AO176" s="44">
        <f t="shared" si="407"/>
        <v>44539</v>
      </c>
      <c r="AP176" s="44">
        <f t="shared" si="407"/>
        <v>44651</v>
      </c>
      <c r="AQ176" s="44">
        <f t="shared" si="407"/>
        <v>44742</v>
      </c>
      <c r="AR176" s="44">
        <f t="shared" si="407"/>
        <v>44813</v>
      </c>
      <c r="AS176" s="44">
        <f t="shared" si="407"/>
        <v>44904</v>
      </c>
      <c r="AT176" s="44">
        <f t="shared" si="407"/>
        <v>45016</v>
      </c>
      <c r="AU176" s="44">
        <f t="shared" si="407"/>
        <v>45107</v>
      </c>
      <c r="AV176" s="44">
        <f t="shared" si="407"/>
        <v>45178</v>
      </c>
      <c r="AW176" s="44">
        <f t="shared" si="407"/>
        <v>45269</v>
      </c>
      <c r="AX176" s="44">
        <f t="shared" si="407"/>
        <v>45382</v>
      </c>
      <c r="AY176" s="44">
        <f t="shared" si="407"/>
        <v>45473</v>
      </c>
      <c r="AZ176" s="44">
        <f t="shared" si="407"/>
        <v>45544</v>
      </c>
      <c r="BA176" s="44">
        <f t="shared" si="407"/>
        <v>45635</v>
      </c>
      <c r="BB176" s="44">
        <f t="shared" si="407"/>
        <v>45747</v>
      </c>
      <c r="BC176" s="44">
        <f t="shared" si="407"/>
        <v>45838</v>
      </c>
      <c r="BD176" s="120">
        <f t="shared" si="407"/>
        <v>45909</v>
      </c>
      <c r="BE176" s="394"/>
      <c r="BF176" s="262"/>
      <c r="BG176" s="207"/>
      <c r="BH176" s="207"/>
      <c r="BI176" s="207"/>
      <c r="BJ176" s="207"/>
      <c r="BK176" s="207"/>
      <c r="BM176" s="207"/>
      <c r="BN176" s="324"/>
      <c r="BO176" s="207"/>
      <c r="BP176" s="207"/>
      <c r="BQ176" s="324"/>
      <c r="BR176" s="324"/>
      <c r="BS176" s="324"/>
      <c r="BT176" s="207"/>
      <c r="BU176" s="207"/>
      <c r="BV176" s="324"/>
      <c r="BW176" s="324"/>
      <c r="BX176" s="324"/>
      <c r="BY176" s="324"/>
      <c r="BZ176" s="207"/>
      <c r="CA176" s="207"/>
      <c r="CB176" s="324"/>
      <c r="CC176" s="324"/>
      <c r="CD176" s="207"/>
      <c r="CE176" s="207"/>
      <c r="CF176" s="324"/>
      <c r="CG176" s="324"/>
      <c r="CH176" s="207"/>
      <c r="CI176" s="207"/>
      <c r="CJ176" s="324"/>
      <c r="CK176" s="324"/>
      <c r="CL176" s="207"/>
      <c r="CM176" s="207"/>
      <c r="CN176" s="1"/>
      <c r="CO176" s="1"/>
      <c r="CP176" s="1"/>
      <c r="CQ176" s="206"/>
      <c r="CR176" s="1"/>
      <c r="CS176" s="1"/>
      <c r="CT176" s="1"/>
    </row>
    <row r="177" spans="1:98" s="5" customFormat="1" ht="13.5" customHeight="1">
      <c r="B177" s="11"/>
      <c r="C177" s="14" t="s">
        <v>51</v>
      </c>
      <c r="D177" s="14" t="s">
        <v>51</v>
      </c>
      <c r="E177" s="14" t="s">
        <v>51</v>
      </c>
      <c r="F177" s="14" t="s">
        <v>51</v>
      </c>
      <c r="G177" s="14" t="s">
        <v>51</v>
      </c>
      <c r="H177" s="14" t="s">
        <v>51</v>
      </c>
      <c r="I177" s="14" t="s">
        <v>51</v>
      </c>
      <c r="J177" s="14" t="s">
        <v>51</v>
      </c>
      <c r="K177" s="14" t="s">
        <v>51</v>
      </c>
      <c r="L177" s="14" t="s">
        <v>51</v>
      </c>
      <c r="M177" s="14" t="s">
        <v>51</v>
      </c>
      <c r="N177" s="14" t="s">
        <v>51</v>
      </c>
      <c r="O177" s="14" t="s">
        <v>51</v>
      </c>
      <c r="P177" s="395"/>
      <c r="Q177" s="14" t="s">
        <v>51</v>
      </c>
      <c r="R177" s="14" t="s">
        <v>51</v>
      </c>
      <c r="S177" s="14" t="s">
        <v>51</v>
      </c>
      <c r="T177" s="14" t="s">
        <v>51</v>
      </c>
      <c r="U177" s="145" t="s">
        <v>373</v>
      </c>
      <c r="V177" s="14" t="str">
        <f t="shared" ref="V177:BD177" si="408">V4</f>
        <v>Act</v>
      </c>
      <c r="W177" s="14" t="str">
        <f t="shared" si="408"/>
        <v>Act</v>
      </c>
      <c r="X177" s="14" t="str">
        <f t="shared" si="408"/>
        <v>Act</v>
      </c>
      <c r="Y177" s="14" t="str">
        <f t="shared" si="408"/>
        <v>Act</v>
      </c>
      <c r="Z177" s="14" t="str">
        <f t="shared" si="408"/>
        <v>Act</v>
      </c>
      <c r="AA177" s="14" t="str">
        <f t="shared" si="408"/>
        <v>Act</v>
      </c>
      <c r="AB177" s="14" t="str">
        <f t="shared" si="408"/>
        <v>Act</v>
      </c>
      <c r="AC177" s="14" t="str">
        <f t="shared" si="408"/>
        <v>Act</v>
      </c>
      <c r="AD177" s="14" t="str">
        <f t="shared" si="408"/>
        <v>Act</v>
      </c>
      <c r="AE177" s="14" t="str">
        <f t="shared" si="408"/>
        <v>Act</v>
      </c>
      <c r="AF177" s="14" t="str">
        <f t="shared" si="408"/>
        <v>Act</v>
      </c>
      <c r="AG177" s="14" t="str">
        <f t="shared" si="408"/>
        <v>Act</v>
      </c>
      <c r="AH177" s="14" t="str">
        <f t="shared" si="408"/>
        <v>Act</v>
      </c>
      <c r="AI177" s="14" t="str">
        <f t="shared" si="408"/>
        <v>Act</v>
      </c>
      <c r="AJ177" s="14" t="str">
        <f t="shared" si="408"/>
        <v>Act</v>
      </c>
      <c r="AK177" s="14" t="str">
        <f t="shared" si="408"/>
        <v>Act</v>
      </c>
      <c r="AL177" s="14" t="str">
        <f t="shared" si="408"/>
        <v>Act</v>
      </c>
      <c r="AM177" s="14" t="str">
        <f t="shared" si="408"/>
        <v>Act</v>
      </c>
      <c r="AN177" s="14" t="str">
        <f t="shared" si="408"/>
        <v>Act</v>
      </c>
      <c r="AO177" s="14" t="str">
        <f t="shared" si="408"/>
        <v>Act</v>
      </c>
      <c r="AP177" s="14" t="str">
        <f t="shared" si="408"/>
        <v>Act</v>
      </c>
      <c r="AQ177" s="14" t="str">
        <f t="shared" si="408"/>
        <v>Act</v>
      </c>
      <c r="AR177" s="14" t="str">
        <f t="shared" si="408"/>
        <v>Act</v>
      </c>
      <c r="AS177" s="14" t="str">
        <f t="shared" si="408"/>
        <v>Act</v>
      </c>
      <c r="AT177" s="14" t="str">
        <f t="shared" si="408"/>
        <v>Act</v>
      </c>
      <c r="AU177" s="14" t="str">
        <f t="shared" si="408"/>
        <v>Act</v>
      </c>
      <c r="AV177" s="14" t="str">
        <f t="shared" si="408"/>
        <v>Act</v>
      </c>
      <c r="AW177" s="14" t="str">
        <f t="shared" si="408"/>
        <v>Act</v>
      </c>
      <c r="AX177" s="14" t="str">
        <f t="shared" si="408"/>
        <v>Act</v>
      </c>
      <c r="AY177" s="14" t="str">
        <f t="shared" si="408"/>
        <v>Act</v>
      </c>
      <c r="AZ177" s="14" t="str">
        <f t="shared" si="408"/>
        <v>Act</v>
      </c>
      <c r="BA177" s="14" t="str">
        <f t="shared" si="408"/>
        <v>Act</v>
      </c>
      <c r="BB177" s="14" t="str">
        <f t="shared" si="408"/>
        <v>Act</v>
      </c>
      <c r="BC177" s="14" t="str">
        <f t="shared" si="408"/>
        <v>Act</v>
      </c>
      <c r="BD177" s="14" t="str">
        <f t="shared" si="408"/>
        <v>Act</v>
      </c>
      <c r="BE177" s="395"/>
      <c r="BF177" s="263"/>
      <c r="BG177" s="208"/>
      <c r="BH177" s="208"/>
      <c r="BI177" s="208"/>
      <c r="BJ177" s="208"/>
      <c r="BK177" s="208"/>
      <c r="BM177" s="208"/>
      <c r="BN177" s="188"/>
      <c r="BO177" s="208"/>
      <c r="BP177" s="208"/>
      <c r="BQ177" s="188"/>
      <c r="BR177" s="188"/>
      <c r="BS177" s="188"/>
      <c r="BT177" s="208"/>
      <c r="BU177" s="208"/>
      <c r="BV177" s="188"/>
      <c r="BW177" s="188"/>
      <c r="BX177" s="188"/>
      <c r="BY177" s="188"/>
      <c r="BZ177" s="208"/>
      <c r="CA177" s="208"/>
      <c r="CB177" s="188"/>
      <c r="CC177" s="188"/>
      <c r="CD177" s="208"/>
      <c r="CE177" s="208"/>
      <c r="CF177" s="188"/>
      <c r="CG177" s="188"/>
      <c r="CH177" s="208"/>
      <c r="CI177" s="208"/>
      <c r="CJ177" s="188"/>
      <c r="CK177" s="188"/>
      <c r="CL177" s="208"/>
      <c r="CM177" s="208"/>
      <c r="CN177" s="1"/>
      <c r="CO177" s="1"/>
      <c r="CP177" s="1"/>
      <c r="CQ177" s="206"/>
      <c r="CR177" s="1"/>
      <c r="CS177" s="1"/>
      <c r="CT177" s="1"/>
    </row>
    <row r="178" spans="1:98" s="3" customFormat="1" ht="13.5" customHeight="1">
      <c r="C178" s="23" t="s">
        <v>52</v>
      </c>
      <c r="D178" s="23" t="s">
        <v>52</v>
      </c>
      <c r="E178" s="23" t="s">
        <v>52</v>
      </c>
      <c r="F178" s="23" t="s">
        <v>52</v>
      </c>
      <c r="G178" s="23" t="s">
        <v>52</v>
      </c>
      <c r="H178" s="23" t="s">
        <v>52</v>
      </c>
      <c r="I178" s="23" t="s">
        <v>52</v>
      </c>
      <c r="J178" s="23" t="s">
        <v>52</v>
      </c>
      <c r="K178" s="23" t="s">
        <v>52</v>
      </c>
      <c r="L178" s="23" t="s">
        <v>52</v>
      </c>
      <c r="M178" s="23" t="s">
        <v>52</v>
      </c>
      <c r="N178" s="23" t="s">
        <v>52</v>
      </c>
      <c r="O178" s="23" t="s">
        <v>47</v>
      </c>
      <c r="P178" s="23"/>
      <c r="Q178" s="23" t="s">
        <v>55</v>
      </c>
      <c r="R178" s="23" t="s">
        <v>372</v>
      </c>
      <c r="S178" s="23" t="s">
        <v>53</v>
      </c>
      <c r="T178" s="23" t="s">
        <v>54</v>
      </c>
      <c r="U178" s="146" t="s">
        <v>55</v>
      </c>
      <c r="V178" s="23" t="str">
        <f t="shared" ref="V178:BD178" si="409">V5</f>
        <v>Q1</v>
      </c>
      <c r="W178" s="23" t="str">
        <f t="shared" si="409"/>
        <v>Q2</v>
      </c>
      <c r="X178" s="23" t="str">
        <f t="shared" si="409"/>
        <v>Q3</v>
      </c>
      <c r="Y178" s="23" t="str">
        <f t="shared" si="409"/>
        <v>Q4</v>
      </c>
      <c r="Z178" s="23" t="str">
        <f t="shared" si="409"/>
        <v>Q1</v>
      </c>
      <c r="AA178" s="23" t="str">
        <f t="shared" si="409"/>
        <v>Q2</v>
      </c>
      <c r="AB178" s="23" t="str">
        <f t="shared" si="409"/>
        <v>Q3</v>
      </c>
      <c r="AC178" s="23" t="str">
        <f t="shared" si="409"/>
        <v>Q4</v>
      </c>
      <c r="AD178" s="23" t="str">
        <f t="shared" si="409"/>
        <v>Q1</v>
      </c>
      <c r="AE178" s="23" t="str">
        <f t="shared" si="409"/>
        <v>Q2</v>
      </c>
      <c r="AF178" s="23" t="str">
        <f t="shared" si="409"/>
        <v>Q3</v>
      </c>
      <c r="AG178" s="23" t="str">
        <f t="shared" si="409"/>
        <v>Q4</v>
      </c>
      <c r="AH178" s="23" t="str">
        <f t="shared" si="409"/>
        <v>Q1</v>
      </c>
      <c r="AI178" s="23" t="str">
        <f t="shared" si="409"/>
        <v>Q2</v>
      </c>
      <c r="AJ178" s="23" t="str">
        <f t="shared" si="409"/>
        <v>Q3</v>
      </c>
      <c r="AK178" s="23" t="str">
        <f t="shared" si="409"/>
        <v>Q4</v>
      </c>
      <c r="AL178" s="23" t="str">
        <f t="shared" si="409"/>
        <v>Q1</v>
      </c>
      <c r="AM178" s="23" t="str">
        <f t="shared" si="409"/>
        <v>Q2</v>
      </c>
      <c r="AN178" s="23" t="str">
        <f t="shared" si="409"/>
        <v>Q3</v>
      </c>
      <c r="AO178" s="23" t="str">
        <f t="shared" si="409"/>
        <v>Q4</v>
      </c>
      <c r="AP178" s="23" t="str">
        <f t="shared" si="409"/>
        <v>Q1</v>
      </c>
      <c r="AQ178" s="23" t="str">
        <f t="shared" si="409"/>
        <v>Q2</v>
      </c>
      <c r="AR178" s="23" t="str">
        <f t="shared" si="409"/>
        <v>Q3</v>
      </c>
      <c r="AS178" s="23" t="str">
        <f t="shared" si="409"/>
        <v>Q4</v>
      </c>
      <c r="AT178" s="23" t="str">
        <f t="shared" si="409"/>
        <v>Q1</v>
      </c>
      <c r="AU178" s="23" t="str">
        <f t="shared" si="409"/>
        <v>Q2</v>
      </c>
      <c r="AV178" s="23" t="str">
        <f t="shared" si="409"/>
        <v>Q3</v>
      </c>
      <c r="AW178" s="23" t="str">
        <f t="shared" si="409"/>
        <v>Q4</v>
      </c>
      <c r="AX178" s="23" t="str">
        <f t="shared" si="409"/>
        <v>Q1</v>
      </c>
      <c r="AY178" s="23" t="str">
        <f t="shared" si="409"/>
        <v>Q2</v>
      </c>
      <c r="AZ178" s="23" t="str">
        <f t="shared" si="409"/>
        <v>Q3</v>
      </c>
      <c r="BA178" s="23" t="str">
        <f t="shared" si="409"/>
        <v>Q4</v>
      </c>
      <c r="BB178" s="23" t="str">
        <f t="shared" si="409"/>
        <v>Q1</v>
      </c>
      <c r="BC178" s="23" t="str">
        <f t="shared" si="409"/>
        <v>Q2</v>
      </c>
      <c r="BD178" s="23" t="str">
        <f t="shared" si="409"/>
        <v>Q3</v>
      </c>
      <c r="BE178" s="23"/>
      <c r="BF178" s="264"/>
      <c r="BG178" s="209"/>
      <c r="BH178" s="209"/>
      <c r="BI178" s="209"/>
      <c r="BJ178" s="209"/>
      <c r="BK178" s="209"/>
      <c r="BM178" s="209"/>
      <c r="BN178" s="210"/>
      <c r="BO178" s="209"/>
      <c r="BP178" s="209"/>
      <c r="BQ178" s="210"/>
      <c r="BR178" s="210"/>
      <c r="BS178" s="210"/>
      <c r="BT178" s="209"/>
      <c r="BU178" s="209"/>
      <c r="BV178" s="210"/>
      <c r="BW178" s="210"/>
      <c r="BX178" s="210"/>
      <c r="BY178" s="210"/>
      <c r="BZ178" s="209"/>
      <c r="CA178" s="209"/>
      <c r="CB178" s="210"/>
      <c r="CC178" s="210"/>
      <c r="CD178" s="209"/>
      <c r="CE178" s="209"/>
      <c r="CF178" s="210"/>
      <c r="CG178" s="210"/>
      <c r="CH178" s="209"/>
      <c r="CI178" s="209"/>
      <c r="CJ178" s="210"/>
      <c r="CK178" s="210"/>
      <c r="CL178" s="209"/>
      <c r="CM178" s="209"/>
      <c r="CN178" s="1"/>
      <c r="CO178" s="1"/>
      <c r="CP178" s="1"/>
      <c r="CQ178" s="206"/>
      <c r="CR178" s="1"/>
      <c r="CS178" s="1"/>
      <c r="CT178" s="1"/>
    </row>
    <row r="179" spans="1:98" ht="13.5" customHeight="1">
      <c r="A179" s="26"/>
      <c r="B179" s="16" t="str">
        <f t="shared" ref="B179:O179" si="410">B7</f>
        <v>Revenues</v>
      </c>
      <c r="C179" s="171">
        <f t="shared" si="410"/>
        <v>15208.758</v>
      </c>
      <c r="D179" s="185">
        <f t="shared" si="410"/>
        <v>19549.362000000001</v>
      </c>
      <c r="E179" s="185">
        <f t="shared" si="410"/>
        <v>18828.356</v>
      </c>
      <c r="F179" s="185">
        <f t="shared" si="410"/>
        <v>18577.873</v>
      </c>
      <c r="G179" s="185">
        <f t="shared" si="410"/>
        <v>10127.696</v>
      </c>
      <c r="H179" s="185">
        <f t="shared" si="410"/>
        <v>29715.175999999999</v>
      </c>
      <c r="I179" s="185">
        <f t="shared" si="410"/>
        <v>48761.057000000001</v>
      </c>
      <c r="J179" s="185">
        <f t="shared" si="410"/>
        <v>67481.532000000007</v>
      </c>
      <c r="K179" s="185">
        <f t="shared" si="410"/>
        <v>85388.467999999993</v>
      </c>
      <c r="L179" s="185">
        <f t="shared" si="410"/>
        <v>125371.36</v>
      </c>
      <c r="M179" s="185">
        <f t="shared" si="410"/>
        <v>132218.01</v>
      </c>
      <c r="N179" s="185">
        <f t="shared" si="410"/>
        <v>148860.959</v>
      </c>
      <c r="O179" s="185">
        <f t="shared" si="410"/>
        <v>162012.84600000002</v>
      </c>
      <c r="P179" s="398"/>
      <c r="Q179" s="185">
        <f t="shared" ref="Q179:BD179" si="411">Q7</f>
        <v>4906.4080000000004</v>
      </c>
      <c r="R179" s="185">
        <f t="shared" si="411"/>
        <v>4675.6689999999999</v>
      </c>
      <c r="S179" s="185">
        <f t="shared" si="411"/>
        <v>4347.1790000000001</v>
      </c>
      <c r="T179" s="185">
        <f t="shared" si="411"/>
        <v>4899.0999999999985</v>
      </c>
      <c r="U179" s="185">
        <f t="shared" si="411"/>
        <v>4136.1639999999998</v>
      </c>
      <c r="V179" s="185">
        <f t="shared" si="411"/>
        <v>2045.5170000000001</v>
      </c>
      <c r="W179" s="185">
        <f t="shared" si="411"/>
        <v>4312.9560000000001</v>
      </c>
      <c r="X179" s="185">
        <f t="shared" si="411"/>
        <v>4831.1030000000001</v>
      </c>
      <c r="Y179" s="185">
        <f t="shared" si="411"/>
        <v>5297.6499999999987</v>
      </c>
      <c r="Z179" s="185">
        <f t="shared" si="411"/>
        <v>2947.076</v>
      </c>
      <c r="AA179" s="185">
        <f t="shared" si="411"/>
        <v>5114.9970000000003</v>
      </c>
      <c r="AB179" s="185">
        <f t="shared" si="411"/>
        <v>11088.91</v>
      </c>
      <c r="AC179" s="185">
        <f t="shared" si="411"/>
        <v>10564.192999999999</v>
      </c>
      <c r="AD179" s="185">
        <f t="shared" si="411"/>
        <v>10079.684999999999</v>
      </c>
      <c r="AE179" s="185">
        <f t="shared" si="411"/>
        <v>11719.125</v>
      </c>
      <c r="AF179" s="185">
        <f t="shared" si="411"/>
        <v>12744.371999999999</v>
      </c>
      <c r="AG179" s="185">
        <f t="shared" si="411"/>
        <v>14217.874999999998</v>
      </c>
      <c r="AH179" s="185">
        <f t="shared" si="411"/>
        <v>13501.609</v>
      </c>
      <c r="AI179" s="185">
        <f t="shared" si="411"/>
        <v>18880.652999999998</v>
      </c>
      <c r="AJ179" s="185">
        <f t="shared" si="411"/>
        <v>16833.145</v>
      </c>
      <c r="AK179" s="185">
        <f t="shared" si="411"/>
        <v>18266.125000000004</v>
      </c>
      <c r="AL179" s="185">
        <f t="shared" si="411"/>
        <v>17235.826000000001</v>
      </c>
      <c r="AM179" s="185">
        <f t="shared" si="411"/>
        <v>20573.672999999999</v>
      </c>
      <c r="AN179" s="185">
        <f t="shared" si="411"/>
        <v>23637.794000000002</v>
      </c>
      <c r="AO179" s="185">
        <f t="shared" si="411"/>
        <v>23941.174999999988</v>
      </c>
      <c r="AP179" s="185">
        <f t="shared" si="411"/>
        <v>22340.812000000002</v>
      </c>
      <c r="AQ179" s="185">
        <f t="shared" si="411"/>
        <v>34485.644</v>
      </c>
      <c r="AR179" s="185">
        <f t="shared" si="411"/>
        <v>34986.487999999998</v>
      </c>
      <c r="AS179" s="185">
        <f t="shared" si="411"/>
        <v>33558.415999999997</v>
      </c>
      <c r="AT179" s="185">
        <f t="shared" si="411"/>
        <v>31757.481</v>
      </c>
      <c r="AU179" s="185">
        <f t="shared" si="411"/>
        <v>31366.087</v>
      </c>
      <c r="AV179" s="185">
        <f t="shared" si="411"/>
        <v>34695.055</v>
      </c>
      <c r="AW179" s="185">
        <f t="shared" si="411"/>
        <v>34399.387000000017</v>
      </c>
      <c r="AX179" s="185">
        <f t="shared" si="411"/>
        <v>31590.916000000001</v>
      </c>
      <c r="AY179" s="185">
        <f t="shared" si="411"/>
        <v>36059.538999999997</v>
      </c>
      <c r="AZ179" s="185">
        <f t="shared" si="411"/>
        <v>39060.247000000003</v>
      </c>
      <c r="BA179" s="185">
        <f t="shared" si="411"/>
        <v>42150.257000000012</v>
      </c>
      <c r="BB179" s="185">
        <f t="shared" si="411"/>
        <v>39405.008999999998</v>
      </c>
      <c r="BC179" s="185">
        <f t="shared" si="411"/>
        <v>38692.048000000003</v>
      </c>
      <c r="BD179" s="185">
        <f t="shared" si="411"/>
        <v>41765.531999999999</v>
      </c>
      <c r="BE179" s="187"/>
      <c r="BF179" s="265"/>
      <c r="BG179" s="186"/>
      <c r="BH179" s="186"/>
      <c r="BI179" s="384"/>
      <c r="BJ179" s="384"/>
      <c r="BK179" s="384"/>
      <c r="BL179" s="355"/>
      <c r="BM179" s="186"/>
      <c r="BN179" s="186"/>
      <c r="BO179" s="186"/>
      <c r="BP179" s="186"/>
      <c r="BQ179" s="186"/>
      <c r="BR179" s="186"/>
      <c r="BS179" s="186"/>
      <c r="BT179" s="186"/>
      <c r="BU179" s="186"/>
      <c r="BV179" s="186"/>
      <c r="BW179" s="186"/>
      <c r="BX179" s="186"/>
      <c r="BY179" s="186"/>
      <c r="BZ179" s="186"/>
      <c r="CA179" s="186"/>
      <c r="CB179" s="186"/>
      <c r="CC179" s="186"/>
      <c r="CD179" s="186"/>
      <c r="CE179" s="186"/>
      <c r="CF179" s="186"/>
      <c r="CG179" s="186"/>
      <c r="CH179" s="186"/>
      <c r="CI179" s="186"/>
      <c r="CJ179" s="186"/>
      <c r="CK179" s="186"/>
      <c r="CL179" s="186"/>
      <c r="CM179" s="186"/>
      <c r="CQ179" s="206"/>
    </row>
    <row r="180" spans="1:98" s="46" customFormat="1" ht="13.5" customHeight="1">
      <c r="B180" s="21" t="str">
        <f t="shared" ref="B180:N180" si="412">B8</f>
        <v xml:space="preserve">% y-o-y growth </v>
      </c>
      <c r="C180" s="68">
        <f t="shared" si="412"/>
        <v>-0.18896901384656539</v>
      </c>
      <c r="D180" s="68">
        <f t="shared" si="412"/>
        <v>0.28540160873096942</v>
      </c>
      <c r="E180" s="68">
        <f t="shared" si="412"/>
        <v>-3.6881305896325434E-2</v>
      </c>
      <c r="F180" s="68">
        <f t="shared" si="412"/>
        <v>-1.3303498191769902E-2</v>
      </c>
      <c r="G180" s="68">
        <f t="shared" si="412"/>
        <v>0</v>
      </c>
      <c r="H180" s="68">
        <f t="shared" si="412"/>
        <v>0.59949290212071094</v>
      </c>
      <c r="I180" s="68">
        <f t="shared" si="412"/>
        <v>0.64094794525194798</v>
      </c>
      <c r="J180" s="68">
        <f t="shared" si="412"/>
        <v>0.38392266599142855</v>
      </c>
      <c r="K180" s="68">
        <f t="shared" si="412"/>
        <v>0.26536054338541071</v>
      </c>
      <c r="L180" s="68">
        <f t="shared" si="412"/>
        <v>0.4682469768634332</v>
      </c>
      <c r="M180" s="68">
        <f t="shared" si="412"/>
        <v>5.4610957398882887E-2</v>
      </c>
      <c r="N180" s="68">
        <f t="shared" si="412"/>
        <v>0.12587505287668455</v>
      </c>
      <c r="O180" s="68"/>
      <c r="P180" s="399"/>
      <c r="Q180" s="68">
        <f t="shared" ref="Q180:BD180" si="413">Q8</f>
        <v>0.16051776643742888</v>
      </c>
      <c r="R180" s="68">
        <f t="shared" si="413"/>
        <v>-9.9025227038689323E-3</v>
      </c>
      <c r="S180" s="68">
        <f t="shared" si="413"/>
        <v>-0.15087808326286911</v>
      </c>
      <c r="T180" s="68">
        <f t="shared" si="413"/>
        <v>2.954041909152183E-2</v>
      </c>
      <c r="U180" s="68">
        <f t="shared" si="413"/>
        <v>-0.15698735205062453</v>
      </c>
      <c r="V180" s="68">
        <f t="shared" si="413"/>
        <v>-0.58309276358590645</v>
      </c>
      <c r="W180" s="68">
        <f t="shared" si="413"/>
        <v>-7.757456740415114E-2</v>
      </c>
      <c r="X180" s="68">
        <f t="shared" si="413"/>
        <v>0.11131908761981046</v>
      </c>
      <c r="Y180" s="68">
        <f t="shared" si="413"/>
        <v>8.1351676838603115E-2</v>
      </c>
      <c r="Z180" s="68">
        <f t="shared" si="413"/>
        <v>0.44074872025018608</v>
      </c>
      <c r="AA180" s="68">
        <f t="shared" si="413"/>
        <v>1.3462557131245445</v>
      </c>
      <c r="AB180" s="68">
        <f t="shared" si="413"/>
        <v>3.1268077957814588</v>
      </c>
      <c r="AC180" s="68">
        <f t="shared" si="413"/>
        <v>2.4001264885741871</v>
      </c>
      <c r="AD180" s="68">
        <f t="shared" si="413"/>
        <v>2.2902663828070375</v>
      </c>
      <c r="AE180" s="68">
        <f t="shared" si="413"/>
        <v>1.2911303760295461</v>
      </c>
      <c r="AF180" s="68">
        <f t="shared" si="413"/>
        <v>0.14928987610143829</v>
      </c>
      <c r="AG180" s="68">
        <f t="shared" si="413"/>
        <v>0.34585528681651301</v>
      </c>
      <c r="AH180" s="68">
        <f t="shared" si="413"/>
        <v>0.33948719627647095</v>
      </c>
      <c r="AI180" s="68">
        <f t="shared" si="413"/>
        <v>0.61109750087997172</v>
      </c>
      <c r="AJ180" s="68">
        <f t="shared" si="413"/>
        <v>0.32082969643384551</v>
      </c>
      <c r="AK180" s="68">
        <f t="shared" si="413"/>
        <v>0.28472960973422579</v>
      </c>
      <c r="AL180" s="68">
        <f t="shared" si="413"/>
        <v>0.27657570294029399</v>
      </c>
      <c r="AM180" s="68">
        <f t="shared" si="413"/>
        <v>8.9669568102332065E-2</v>
      </c>
      <c r="AN180" s="68">
        <f t="shared" si="413"/>
        <v>0.40424109695484711</v>
      </c>
      <c r="AO180" s="68">
        <f t="shared" si="413"/>
        <v>0.31068713260201508</v>
      </c>
      <c r="AP180" s="68">
        <f t="shared" si="413"/>
        <v>0.29618458668589476</v>
      </c>
      <c r="AQ180" s="68">
        <f t="shared" si="413"/>
        <v>0.67620259153530826</v>
      </c>
      <c r="AR180" s="68">
        <f t="shared" si="413"/>
        <v>0.48010799992588127</v>
      </c>
      <c r="AS180" s="68">
        <f t="shared" si="413"/>
        <v>0.40170296570657094</v>
      </c>
      <c r="AT180" s="68">
        <f t="shared" si="413"/>
        <v>0.42150074939084559</v>
      </c>
      <c r="AU180" s="68">
        <f t="shared" si="413"/>
        <v>-9.0459583703873969E-2</v>
      </c>
      <c r="AV180" s="68">
        <f t="shared" si="413"/>
        <v>-8.32987294980847E-3</v>
      </c>
      <c r="AW180" s="68">
        <f t="shared" si="413"/>
        <v>2.5059913435724113E-2</v>
      </c>
      <c r="AX180" s="68">
        <f t="shared" si="413"/>
        <v>-5.2449059168137024E-3</v>
      </c>
      <c r="AY180" s="68">
        <f t="shared" si="413"/>
        <v>0.14963460376807602</v>
      </c>
      <c r="AZ180" s="68">
        <f t="shared" si="413"/>
        <v>0.12581597002800549</v>
      </c>
      <c r="BA180" s="68">
        <f t="shared" si="413"/>
        <v>0.22532000352215564</v>
      </c>
      <c r="BB180" s="68">
        <f t="shared" si="413"/>
        <v>0.2473525300754178</v>
      </c>
      <c r="BC180" s="68">
        <f t="shared" si="413"/>
        <v>7.3004510678852608E-2</v>
      </c>
      <c r="BD180" s="68">
        <f t="shared" si="413"/>
        <v>6.9259290654255068E-2</v>
      </c>
      <c r="BE180" s="413"/>
      <c r="BF180" s="266"/>
      <c r="BG180" s="211"/>
      <c r="BH180" s="211"/>
      <c r="BI180" s="211"/>
      <c r="BJ180" s="211"/>
      <c r="BK180" s="211"/>
      <c r="BM180" s="211"/>
      <c r="BN180" s="191"/>
      <c r="BO180" s="211"/>
      <c r="BP180" s="211"/>
      <c r="BQ180" s="191"/>
      <c r="BR180" s="191"/>
      <c r="BS180" s="191"/>
      <c r="BT180" s="211"/>
      <c r="BU180" s="211"/>
      <c r="BV180" s="191"/>
      <c r="BW180" s="191"/>
      <c r="BX180" s="191"/>
      <c r="BY180" s="191"/>
      <c r="BZ180" s="211"/>
      <c r="CA180" s="211"/>
      <c r="CB180" s="191"/>
      <c r="CC180" s="191"/>
      <c r="CD180" s="211"/>
      <c r="CE180" s="211"/>
      <c r="CF180" s="191"/>
      <c r="CG180" s="191"/>
      <c r="CH180" s="211"/>
      <c r="CI180" s="211"/>
      <c r="CJ180" s="191"/>
      <c r="CK180" s="191"/>
      <c r="CL180" s="211"/>
      <c r="CM180" s="211"/>
      <c r="CN180" s="1"/>
      <c r="CO180" s="1"/>
      <c r="CP180" s="1"/>
      <c r="CQ180" s="206"/>
      <c r="CR180" s="1"/>
      <c r="CS180" s="1"/>
      <c r="CT180" s="1"/>
    </row>
    <row r="181" spans="1:98" s="5" customFormat="1" ht="13.5" customHeight="1" outlineLevel="1" thickBot="1">
      <c r="B181" s="25" t="str">
        <f t="shared" ref="B181:O181" si="414">B47</f>
        <v xml:space="preserve">EBITDA </v>
      </c>
      <c r="C181" s="61">
        <f t="shared" si="414"/>
        <v>1270.7500000000005</v>
      </c>
      <c r="D181" s="61">
        <f t="shared" si="414"/>
        <v>1468.5879999999995</v>
      </c>
      <c r="E181" s="61">
        <f t="shared" si="414"/>
        <v>1501.5939999999998</v>
      </c>
      <c r="F181" s="61">
        <f t="shared" si="414"/>
        <v>1566.0579999999995</v>
      </c>
      <c r="G181" s="61">
        <f t="shared" si="414"/>
        <v>667.59400000000039</v>
      </c>
      <c r="H181" s="61">
        <f t="shared" si="414"/>
        <v>1075.2460000000001</v>
      </c>
      <c r="I181" s="61">
        <f t="shared" si="414"/>
        <v>4609.8680000000013</v>
      </c>
      <c r="J181" s="61">
        <f t="shared" si="414"/>
        <v>9247.4690000000046</v>
      </c>
      <c r="K181" s="61">
        <f t="shared" si="414"/>
        <v>14174.414999999997</v>
      </c>
      <c r="L181" s="61">
        <f t="shared" si="414"/>
        <v>14738.679000000004</v>
      </c>
      <c r="M181" s="61">
        <f t="shared" si="414"/>
        <v>7801.4190000000162</v>
      </c>
      <c r="N181" s="61">
        <f t="shared" si="414"/>
        <v>13134.774999999998</v>
      </c>
      <c r="O181" s="61">
        <f t="shared" si="414"/>
        <v>13011.40000000002</v>
      </c>
      <c r="P181" s="61"/>
      <c r="Q181" s="61">
        <f t="shared" ref="Q181:BD181" si="415">Q47</f>
        <v>422.11500000000035</v>
      </c>
      <c r="R181" s="61">
        <f t="shared" si="415"/>
        <v>390.79099999999988</v>
      </c>
      <c r="S181" s="61">
        <f t="shared" si="415"/>
        <v>328.52400000000023</v>
      </c>
      <c r="T181" s="61">
        <f t="shared" si="415"/>
        <v>360.1639999999984</v>
      </c>
      <c r="U181" s="61">
        <f t="shared" si="415"/>
        <v>297.71799999999996</v>
      </c>
      <c r="V181" s="61">
        <f t="shared" si="415"/>
        <v>92.185999999999979</v>
      </c>
      <c r="W181" s="61">
        <f t="shared" si="415"/>
        <v>318.17399999999998</v>
      </c>
      <c r="X181" s="61">
        <f t="shared" si="415"/>
        <v>460.83800000000048</v>
      </c>
      <c r="Y181" s="61">
        <f t="shared" si="415"/>
        <v>489.32799999999793</v>
      </c>
      <c r="Z181" s="61">
        <f t="shared" si="415"/>
        <v>147.84899999999996</v>
      </c>
      <c r="AA181" s="61">
        <f t="shared" si="415"/>
        <v>-184.41599999999988</v>
      </c>
      <c r="AB181" s="61">
        <f t="shared" si="415"/>
        <v>1054.7510000000007</v>
      </c>
      <c r="AC181" s="61">
        <f t="shared" si="415"/>
        <v>57.061999999998648</v>
      </c>
      <c r="AD181" s="61">
        <f t="shared" si="415"/>
        <v>648.89800000000037</v>
      </c>
      <c r="AE181" s="61">
        <f t="shared" si="415"/>
        <v>1056.6739999999993</v>
      </c>
      <c r="AF181" s="61">
        <f t="shared" si="415"/>
        <v>1469.9359999999997</v>
      </c>
      <c r="AG181" s="61">
        <f t="shared" si="415"/>
        <v>1543.7429999999968</v>
      </c>
      <c r="AH181" s="61">
        <f t="shared" si="415"/>
        <v>1168.328</v>
      </c>
      <c r="AI181" s="61">
        <f t="shared" si="415"/>
        <v>3938.4849999999983</v>
      </c>
      <c r="AJ181" s="61">
        <f t="shared" si="415"/>
        <v>2145.5260000000007</v>
      </c>
      <c r="AK181" s="61">
        <f t="shared" si="415"/>
        <v>1995.1300000000012</v>
      </c>
      <c r="AL181" s="61">
        <f t="shared" si="415"/>
        <v>1611.4550000000013</v>
      </c>
      <c r="AM181" s="61">
        <f t="shared" si="415"/>
        <v>3827.3229999999985</v>
      </c>
      <c r="AN181" s="61">
        <f t="shared" si="415"/>
        <v>4656.2940000000008</v>
      </c>
      <c r="AO181" s="61">
        <f t="shared" si="415"/>
        <v>4079.3429999999898</v>
      </c>
      <c r="AP181" s="61">
        <f t="shared" si="415"/>
        <v>2710.0890000000031</v>
      </c>
      <c r="AQ181" s="61">
        <f t="shared" si="415"/>
        <v>7154.8490000000002</v>
      </c>
      <c r="AR181" s="61">
        <f t="shared" si="415"/>
        <v>3428.4699999999984</v>
      </c>
      <c r="AS181" s="61">
        <f t="shared" si="415"/>
        <v>1445.2709999999934</v>
      </c>
      <c r="AT181" s="61">
        <f t="shared" si="415"/>
        <v>1451.5299999999988</v>
      </c>
      <c r="AU181" s="61">
        <f t="shared" si="415"/>
        <v>1333.6580000000008</v>
      </c>
      <c r="AV181" s="61">
        <f t="shared" si="415"/>
        <v>2371.3890000000001</v>
      </c>
      <c r="AW181" s="61">
        <f t="shared" si="415"/>
        <v>2644.8420000000156</v>
      </c>
      <c r="AX181" s="61">
        <f t="shared" si="415"/>
        <v>2572.8210000000017</v>
      </c>
      <c r="AY181" s="61">
        <f t="shared" si="415"/>
        <v>3291.5259999999962</v>
      </c>
      <c r="AZ181" s="61">
        <f t="shared" si="415"/>
        <v>3780.2850000000008</v>
      </c>
      <c r="BA181" s="61">
        <f t="shared" si="415"/>
        <v>3490.14300000001</v>
      </c>
      <c r="BB181" s="61">
        <f t="shared" si="415"/>
        <v>3068.3999999999978</v>
      </c>
      <c r="BC181" s="61">
        <f t="shared" si="415"/>
        <v>2973.1140000000041</v>
      </c>
      <c r="BD181" s="61">
        <f t="shared" si="415"/>
        <v>3479.7429999999995</v>
      </c>
      <c r="BE181" s="8"/>
      <c r="BF181" s="240"/>
      <c r="BG181" s="194"/>
      <c r="BH181" s="194"/>
      <c r="BI181" s="194"/>
      <c r="BJ181" s="194"/>
      <c r="BK181" s="194"/>
      <c r="BM181" s="194"/>
      <c r="BN181" s="188"/>
      <c r="BO181" s="194"/>
      <c r="BP181" s="194"/>
      <c r="BQ181" s="188"/>
      <c r="BR181" s="188"/>
      <c r="BS181" s="188"/>
      <c r="BT181" s="194"/>
      <c r="BU181" s="194"/>
      <c r="BV181" s="188"/>
      <c r="BW181" s="188"/>
      <c r="BX181" s="188"/>
      <c r="BY181" s="188"/>
      <c r="BZ181" s="194"/>
      <c r="CA181" s="194"/>
      <c r="CB181" s="188"/>
      <c r="CC181" s="188"/>
      <c r="CD181" s="194"/>
      <c r="CE181" s="194"/>
      <c r="CF181" s="188"/>
      <c r="CG181" s="188"/>
      <c r="CH181" s="194"/>
      <c r="CI181" s="194"/>
      <c r="CJ181" s="188"/>
      <c r="CK181" s="188"/>
      <c r="CL181" s="194"/>
      <c r="CM181" s="194"/>
      <c r="CN181" s="1"/>
      <c r="CO181" s="1"/>
      <c r="CP181" s="1"/>
      <c r="CQ181" s="206"/>
      <c r="CR181" s="1"/>
      <c r="CS181" s="1"/>
      <c r="CT181" s="1"/>
    </row>
    <row r="182" spans="1:98" s="46" customFormat="1" ht="13.5" customHeight="1" outlineLevel="1" thickTop="1">
      <c r="B182" s="21" t="str">
        <f t="shared" ref="B182:N182" si="416">B48</f>
        <v xml:space="preserve">% growth </v>
      </c>
      <c r="C182" s="68">
        <f t="shared" si="416"/>
        <v>0</v>
      </c>
      <c r="D182" s="68">
        <f t="shared" si="416"/>
        <v>0.15568601219752032</v>
      </c>
      <c r="E182" s="68">
        <f t="shared" si="416"/>
        <v>2.2474649118745527E-2</v>
      </c>
      <c r="F182" s="68">
        <f t="shared" si="416"/>
        <v>4.2930379316912459E-2</v>
      </c>
      <c r="G182" s="68">
        <f t="shared" si="416"/>
        <v>0</v>
      </c>
      <c r="H182" s="68">
        <f t="shared" si="416"/>
        <v>0.61062861559570547</v>
      </c>
      <c r="I182" s="68">
        <f t="shared" si="416"/>
        <v>3.2872682158315412</v>
      </c>
      <c r="J182" s="68">
        <f t="shared" si="416"/>
        <v>1.0060160073997784</v>
      </c>
      <c r="K182" s="68">
        <f t="shared" si="416"/>
        <v>0.5327885932896872</v>
      </c>
      <c r="L182" s="68">
        <f t="shared" si="416"/>
        <v>3.9808627022702936E-2</v>
      </c>
      <c r="M182" s="68">
        <f t="shared" si="416"/>
        <v>-0.47068397378082427</v>
      </c>
      <c r="N182" s="68">
        <f t="shared" si="416"/>
        <v>0.68363921999317956</v>
      </c>
      <c r="O182" s="68"/>
      <c r="P182" s="399"/>
      <c r="Q182" s="50">
        <f t="shared" ref="Q182:BD182" si="417">Q48</f>
        <v>0</v>
      </c>
      <c r="R182" s="50">
        <f t="shared" si="417"/>
        <v>0</v>
      </c>
      <c r="S182" s="50">
        <f t="shared" si="417"/>
        <v>0</v>
      </c>
      <c r="T182" s="50">
        <f t="shared" si="417"/>
        <v>-0.92611521885271875</v>
      </c>
      <c r="U182" s="50">
        <f t="shared" si="417"/>
        <v>-0.29469931179891806</v>
      </c>
      <c r="V182" s="68">
        <f t="shared" si="417"/>
        <v>-0.78160927709273564</v>
      </c>
      <c r="W182" s="68">
        <f t="shared" si="417"/>
        <v>-0.1858205536975005</v>
      </c>
      <c r="X182" s="68">
        <f t="shared" si="417"/>
        <v>0.40275291911702094</v>
      </c>
      <c r="Y182" s="68">
        <f t="shared" si="417"/>
        <v>0.35862551504314721</v>
      </c>
      <c r="Z182" s="68">
        <f t="shared" si="417"/>
        <v>0.60381185863363185</v>
      </c>
      <c r="AA182" s="68">
        <f t="shared" si="417"/>
        <v>-1.5796073846385936</v>
      </c>
      <c r="AB182" s="68">
        <f t="shared" si="417"/>
        <v>3.8758153317030519</v>
      </c>
      <c r="AC182" s="68">
        <f t="shared" si="417"/>
        <v>-0.79978245614035559</v>
      </c>
      <c r="AD182" s="68">
        <f t="shared" si="417"/>
        <v>3.2226719593935096</v>
      </c>
      <c r="AE182" s="68">
        <f t="shared" si="417"/>
        <v>-6.7298390595176123</v>
      </c>
      <c r="AF182" s="68">
        <f t="shared" si="417"/>
        <v>0.39363318925509327</v>
      </c>
      <c r="AG182" s="68">
        <f t="shared" si="417"/>
        <v>26.05378360379996</v>
      </c>
      <c r="AH182" s="68">
        <f t="shared" si="417"/>
        <v>0.80048019873693455</v>
      </c>
      <c r="AI182" s="68">
        <f t="shared" si="417"/>
        <v>2.7272470033331007</v>
      </c>
      <c r="AJ182" s="68">
        <f t="shared" si="417"/>
        <v>0.45960504402912861</v>
      </c>
      <c r="AK182" s="68">
        <f t="shared" si="417"/>
        <v>0.29239776309917231</v>
      </c>
      <c r="AL182" s="68">
        <f t="shared" si="417"/>
        <v>0.37928304380276878</v>
      </c>
      <c r="AM182" s="68">
        <f t="shared" si="417"/>
        <v>-2.8224558427923374E-2</v>
      </c>
      <c r="AN182" s="68">
        <f t="shared" si="417"/>
        <v>1.1702342455882611</v>
      </c>
      <c r="AO182" s="68">
        <f t="shared" si="417"/>
        <v>1.044650223293714</v>
      </c>
      <c r="AP182" s="68">
        <f t="shared" si="417"/>
        <v>0.68176523700630853</v>
      </c>
      <c r="AQ182" s="68">
        <f t="shared" si="417"/>
        <v>0.86941342551961331</v>
      </c>
      <c r="AR182" s="68">
        <f t="shared" si="417"/>
        <v>-0.2636912531725879</v>
      </c>
      <c r="AS182" s="68">
        <f t="shared" si="417"/>
        <v>-0.64570986063197022</v>
      </c>
      <c r="AT182" s="68">
        <f t="shared" si="417"/>
        <v>-0.46439766369296465</v>
      </c>
      <c r="AU182" s="68">
        <f t="shared" si="417"/>
        <v>-0.81360081813047336</v>
      </c>
      <c r="AV182" s="68">
        <f t="shared" si="417"/>
        <v>-0.3083244129305488</v>
      </c>
      <c r="AW182" s="68">
        <f t="shared" si="417"/>
        <v>0.8299972807868059</v>
      </c>
      <c r="AX182" s="68">
        <f t="shared" si="417"/>
        <v>0.77248902881787074</v>
      </c>
      <c r="AY182" s="68">
        <f t="shared" si="417"/>
        <v>1.4680435314000997</v>
      </c>
      <c r="AZ182" s="68">
        <f t="shared" si="417"/>
        <v>0.59412268505926291</v>
      </c>
      <c r="BA182" s="68">
        <f t="shared" si="417"/>
        <v>0.31960359068707667</v>
      </c>
      <c r="BB182" s="68">
        <f t="shared" si="417"/>
        <v>0.19262086246963772</v>
      </c>
      <c r="BC182" s="68">
        <f t="shared" si="417"/>
        <v>-9.6736893465217189E-2</v>
      </c>
      <c r="BD182" s="68">
        <f t="shared" si="417"/>
        <v>-7.9502471374513051E-2</v>
      </c>
      <c r="BE182" s="413"/>
      <c r="BF182" s="266"/>
      <c r="BG182" s="211"/>
      <c r="BH182" s="211"/>
      <c r="BI182" s="211"/>
      <c r="BJ182" s="211"/>
      <c r="BK182" s="211"/>
      <c r="BM182" s="211"/>
      <c r="BN182" s="191"/>
      <c r="BO182" s="211"/>
      <c r="BP182" s="211"/>
      <c r="BQ182" s="191"/>
      <c r="BR182" s="191"/>
      <c r="BS182" s="191"/>
      <c r="BT182" s="211"/>
      <c r="BU182" s="211"/>
      <c r="BV182" s="191"/>
      <c r="BW182" s="191"/>
      <c r="BX182" s="191"/>
      <c r="BY182" s="191"/>
      <c r="BZ182" s="211"/>
      <c r="CA182" s="211"/>
      <c r="CB182" s="191"/>
      <c r="CC182" s="191"/>
      <c r="CD182" s="211"/>
      <c r="CE182" s="211"/>
      <c r="CF182" s="191"/>
      <c r="CG182" s="191"/>
      <c r="CH182" s="211"/>
      <c r="CI182" s="211"/>
      <c r="CJ182" s="191"/>
      <c r="CK182" s="191"/>
      <c r="CL182" s="211"/>
      <c r="CM182" s="211"/>
      <c r="CN182" s="1"/>
      <c r="CO182" s="1"/>
      <c r="CP182" s="1"/>
      <c r="CQ182" s="206"/>
      <c r="CR182" s="1"/>
      <c r="CS182" s="1"/>
      <c r="CT182" s="1"/>
    </row>
    <row r="183" spans="1:98" s="46" customFormat="1" ht="13.5" customHeight="1" outlineLevel="1">
      <c r="B183" s="21" t="str">
        <f t="shared" ref="B183:N183" si="418">B49</f>
        <v>% margin</v>
      </c>
      <c r="C183" s="50">
        <f t="shared" si="418"/>
        <v>8.355383128589465E-2</v>
      </c>
      <c r="D183" s="50">
        <f t="shared" si="418"/>
        <v>7.5122042345934323E-2</v>
      </c>
      <c r="E183" s="50">
        <f t="shared" si="418"/>
        <v>7.9751731909041862E-2</v>
      </c>
      <c r="F183" s="50">
        <f t="shared" si="418"/>
        <v>8.4296948310498165E-2</v>
      </c>
      <c r="G183" s="50">
        <f t="shared" si="418"/>
        <v>6.5917657875986843E-2</v>
      </c>
      <c r="H183" s="50">
        <f t="shared" si="418"/>
        <v>3.6185079300893257E-2</v>
      </c>
      <c r="I183" s="50">
        <f t="shared" si="418"/>
        <v>9.4539952240986103E-2</v>
      </c>
      <c r="J183" s="50">
        <f t="shared" si="418"/>
        <v>0.13703703407326323</v>
      </c>
      <c r="K183" s="50">
        <f t="shared" si="418"/>
        <v>0.16599917215987525</v>
      </c>
      <c r="L183" s="50">
        <f t="shared" si="418"/>
        <v>0.11756017482780759</v>
      </c>
      <c r="M183" s="50">
        <f t="shared" si="418"/>
        <v>5.900420827692094E-2</v>
      </c>
      <c r="N183" s="50">
        <f t="shared" si="418"/>
        <v>8.8235189993636928E-2</v>
      </c>
      <c r="O183" s="50">
        <f>O49</f>
        <v>8.0310915592458745E-2</v>
      </c>
      <c r="P183" s="400"/>
      <c r="Q183" s="50">
        <f t="shared" ref="Q183:BD183" si="419">Q49</f>
        <v>8.6033407739429801E-2</v>
      </c>
      <c r="R183" s="50">
        <f t="shared" si="419"/>
        <v>8.357969736523263E-2</v>
      </c>
      <c r="S183" s="50">
        <f t="shared" si="419"/>
        <v>7.5571767346134175E-2</v>
      </c>
      <c r="T183" s="50">
        <f t="shared" si="419"/>
        <v>7.3516360147781942E-2</v>
      </c>
      <c r="U183" s="50">
        <f t="shared" si="419"/>
        <v>7.1979254207521742E-2</v>
      </c>
      <c r="V183" s="50">
        <f t="shared" si="419"/>
        <v>4.5067335055147414E-2</v>
      </c>
      <c r="W183" s="50">
        <f t="shared" si="419"/>
        <v>7.377167770781802E-2</v>
      </c>
      <c r="X183" s="50">
        <f t="shared" si="419"/>
        <v>9.5389810567069355E-2</v>
      </c>
      <c r="Y183" s="50">
        <f t="shared" si="419"/>
        <v>9.2366992911951162E-2</v>
      </c>
      <c r="Z183" s="50">
        <f t="shared" si="419"/>
        <v>5.0168030956785625E-2</v>
      </c>
      <c r="AA183" s="50">
        <f t="shared" si="419"/>
        <v>-3.6053980090310876E-2</v>
      </c>
      <c r="AB183" s="50">
        <f t="shared" si="419"/>
        <v>9.5117644565606604E-2</v>
      </c>
      <c r="AC183" s="50">
        <f t="shared" si="419"/>
        <v>5.4014537598847971E-3</v>
      </c>
      <c r="AD183" s="50">
        <f t="shared" si="419"/>
        <v>6.4376813362719207E-2</v>
      </c>
      <c r="AE183" s="50">
        <f t="shared" si="419"/>
        <v>9.0166629334527904E-2</v>
      </c>
      <c r="AF183" s="50">
        <f t="shared" si="419"/>
        <v>0.11534001047678141</v>
      </c>
      <c r="AG183" s="50">
        <f t="shared" si="419"/>
        <v>0.10857761796330302</v>
      </c>
      <c r="AH183" s="50">
        <f t="shared" si="419"/>
        <v>8.6532501422608224E-2</v>
      </c>
      <c r="AI183" s="50">
        <f t="shared" si="419"/>
        <v>0.2085989822491838</v>
      </c>
      <c r="AJ183" s="50">
        <f t="shared" si="419"/>
        <v>0.12745841611891306</v>
      </c>
      <c r="AK183" s="50">
        <f t="shared" si="419"/>
        <v>0.10922568415578021</v>
      </c>
      <c r="AL183" s="50">
        <f t="shared" si="419"/>
        <v>9.3494503831728235E-2</v>
      </c>
      <c r="AM183" s="50">
        <f t="shared" si="419"/>
        <v>0.18603012694913537</v>
      </c>
      <c r="AN183" s="50">
        <f t="shared" si="419"/>
        <v>0.19698513321505384</v>
      </c>
      <c r="AO183" s="50">
        <f t="shared" si="419"/>
        <v>0.17039025862347992</v>
      </c>
      <c r="AP183" s="50">
        <f t="shared" si="419"/>
        <v>0.121306647224819</v>
      </c>
      <c r="AQ183" s="50">
        <f t="shared" si="419"/>
        <v>0.20747326046745712</v>
      </c>
      <c r="AR183" s="50">
        <f t="shared" si="419"/>
        <v>9.7994117043128159E-2</v>
      </c>
      <c r="AS183" s="50">
        <f t="shared" si="419"/>
        <v>4.3067318791208543E-2</v>
      </c>
      <c r="AT183" s="50">
        <f t="shared" si="419"/>
        <v>4.5706710806187649E-2</v>
      </c>
      <c r="AU183" s="50">
        <f t="shared" si="419"/>
        <v>4.2519106702726447E-2</v>
      </c>
      <c r="AV183" s="50">
        <f t="shared" si="419"/>
        <v>6.8349480927469355E-2</v>
      </c>
      <c r="AW183" s="50">
        <f t="shared" si="419"/>
        <v>7.6886311956664066E-2</v>
      </c>
      <c r="AX183" s="50">
        <f t="shared" si="419"/>
        <v>8.1441798015606817E-2</v>
      </c>
      <c r="AY183" s="50">
        <f t="shared" si="419"/>
        <v>9.1280312818197609E-2</v>
      </c>
      <c r="AZ183" s="50">
        <f t="shared" si="419"/>
        <v>9.6780878011344898E-2</v>
      </c>
      <c r="BA183" s="50">
        <f t="shared" si="419"/>
        <v>8.2802413280659445E-2</v>
      </c>
      <c r="BB183" s="50">
        <f t="shared" si="419"/>
        <v>7.7868273041125258E-2</v>
      </c>
      <c r="BC183" s="50">
        <f t="shared" si="419"/>
        <v>7.6840440185538997E-2</v>
      </c>
      <c r="BD183" s="50">
        <f t="shared" si="419"/>
        <v>8.3316142124084516E-2</v>
      </c>
      <c r="BE183" s="414"/>
      <c r="BF183" s="267"/>
      <c r="BG183" s="212"/>
      <c r="BH183" s="212"/>
      <c r="BI183" s="212"/>
      <c r="BJ183" s="212"/>
      <c r="BK183" s="212"/>
      <c r="BM183" s="212"/>
      <c r="BN183" s="191"/>
      <c r="BO183" s="212"/>
      <c r="BP183" s="212"/>
      <c r="BQ183" s="191"/>
      <c r="BR183" s="191"/>
      <c r="BS183" s="191"/>
      <c r="BT183" s="212"/>
      <c r="BU183" s="212"/>
      <c r="BV183" s="191"/>
      <c r="BW183" s="191"/>
      <c r="BX183" s="191"/>
      <c r="BY183" s="191"/>
      <c r="BZ183" s="212"/>
      <c r="CA183" s="212"/>
      <c r="CB183" s="191"/>
      <c r="CC183" s="191"/>
      <c r="CD183" s="212"/>
      <c r="CE183" s="212"/>
      <c r="CF183" s="191"/>
      <c r="CG183" s="191"/>
      <c r="CH183" s="212"/>
      <c r="CI183" s="212"/>
      <c r="CJ183" s="191"/>
      <c r="CK183" s="191"/>
      <c r="CL183" s="212"/>
      <c r="CM183" s="212"/>
      <c r="CN183" s="1"/>
      <c r="CO183" s="1"/>
      <c r="CP183" s="1"/>
      <c r="CQ183" s="206"/>
      <c r="CR183" s="1"/>
      <c r="CS183" s="1"/>
      <c r="CT183" s="1"/>
    </row>
    <row r="184" spans="1:98" ht="13.5" customHeight="1">
      <c r="C184" s="51"/>
      <c r="BF184" s="254"/>
      <c r="BG184" s="192"/>
      <c r="BH184" s="192"/>
      <c r="BI184" s="192"/>
      <c r="BJ184" s="192"/>
      <c r="BK184" s="192"/>
      <c r="BM184" s="192"/>
      <c r="BN184" s="192"/>
      <c r="BO184" s="192"/>
      <c r="BP184" s="192"/>
      <c r="BQ184" s="192"/>
      <c r="BR184" s="192"/>
      <c r="BS184" s="192"/>
      <c r="BT184" s="192"/>
      <c r="BU184" s="192"/>
      <c r="BV184" s="192"/>
      <c r="BW184" s="192"/>
      <c r="BX184" s="192"/>
      <c r="BY184" s="192"/>
      <c r="BZ184" s="192"/>
      <c r="CA184" s="192"/>
      <c r="CB184" s="192"/>
      <c r="CC184" s="192"/>
      <c r="CD184" s="192"/>
      <c r="CE184" s="192"/>
      <c r="CF184" s="192"/>
      <c r="CG184" s="192"/>
      <c r="CH184" s="192"/>
      <c r="CI184" s="192"/>
      <c r="CJ184" s="192"/>
      <c r="CK184" s="192"/>
      <c r="CL184" s="192"/>
      <c r="CM184" s="192"/>
      <c r="CQ184" s="206"/>
    </row>
    <row r="185" spans="1:98" s="5" customFormat="1" ht="13.5" customHeight="1" thickBot="1">
      <c r="B185" s="25" t="str">
        <f t="shared" ref="B185:K185" si="420">B52</f>
        <v xml:space="preserve">Adj. EBITDA </v>
      </c>
      <c r="C185" s="61">
        <f t="shared" si="420"/>
        <v>1353.5794619999999</v>
      </c>
      <c r="D185" s="61">
        <f t="shared" si="420"/>
        <v>1741.8</v>
      </c>
      <c r="E185" s="61">
        <f t="shared" si="420"/>
        <v>1613.7</v>
      </c>
      <c r="F185" s="61">
        <f t="shared" si="420"/>
        <v>1707.8</v>
      </c>
      <c r="G185" s="61">
        <f t="shared" si="420"/>
        <v>791</v>
      </c>
      <c r="H185" s="61">
        <f t="shared" si="420"/>
        <v>2601</v>
      </c>
      <c r="I185" s="61">
        <f t="shared" si="420"/>
        <v>4812</v>
      </c>
      <c r="J185" s="61">
        <f t="shared" si="420"/>
        <v>9595</v>
      </c>
      <c r="K185" s="61">
        <f t="shared" si="420"/>
        <v>14544</v>
      </c>
      <c r="L185" s="61">
        <f>L52</f>
        <v>12748</v>
      </c>
      <c r="M185" s="61">
        <f>M52</f>
        <v>8555</v>
      </c>
      <c r="N185" s="61">
        <f>N52</f>
        <v>13642</v>
      </c>
      <c r="O185" s="61">
        <f>O52</f>
        <v>13457</v>
      </c>
      <c r="P185" s="61"/>
      <c r="Q185" s="61">
        <f t="shared" ref="Q185:AS185" si="421">Q52</f>
        <v>443.1</v>
      </c>
      <c r="R185" s="61">
        <f t="shared" si="421"/>
        <v>424</v>
      </c>
      <c r="S185" s="61">
        <f t="shared" si="421"/>
        <v>349</v>
      </c>
      <c r="T185" s="61">
        <f t="shared" si="421"/>
        <v>398.4</v>
      </c>
      <c r="U185" s="61">
        <f t="shared" si="421"/>
        <v>334</v>
      </c>
      <c r="V185" s="61">
        <f t="shared" si="421"/>
        <v>129.9</v>
      </c>
      <c r="W185" s="61">
        <f t="shared" si="421"/>
        <v>391</v>
      </c>
      <c r="X185" s="61">
        <f t="shared" si="421"/>
        <v>490</v>
      </c>
      <c r="Y185" s="61">
        <f t="shared" si="421"/>
        <v>492.79999999999995</v>
      </c>
      <c r="Z185" s="61">
        <f t="shared" si="421"/>
        <v>175.6</v>
      </c>
      <c r="AA185" s="61">
        <f t="shared" si="421"/>
        <v>461</v>
      </c>
      <c r="AB185" s="61">
        <f t="shared" si="421"/>
        <v>1080</v>
      </c>
      <c r="AC185" s="61">
        <f t="shared" si="421"/>
        <v>884.4</v>
      </c>
      <c r="AD185" s="61">
        <f t="shared" si="421"/>
        <v>584</v>
      </c>
      <c r="AE185" s="61">
        <f t="shared" si="421"/>
        <v>1111</v>
      </c>
      <c r="AF185" s="61">
        <f t="shared" si="421"/>
        <v>1499</v>
      </c>
      <c r="AG185" s="61">
        <f t="shared" si="421"/>
        <v>1618</v>
      </c>
      <c r="AH185" s="61">
        <f t="shared" si="421"/>
        <v>1223</v>
      </c>
      <c r="AI185" s="61">
        <f t="shared" si="421"/>
        <v>4068</v>
      </c>
      <c r="AJ185" s="61">
        <f t="shared" si="421"/>
        <v>2196</v>
      </c>
      <c r="AK185" s="61">
        <f t="shared" si="421"/>
        <v>2108</v>
      </c>
      <c r="AL185" s="61">
        <f t="shared" si="421"/>
        <v>1708</v>
      </c>
      <c r="AM185" s="61">
        <f t="shared" si="421"/>
        <v>3921</v>
      </c>
      <c r="AN185" s="61">
        <f t="shared" si="421"/>
        <v>4734</v>
      </c>
      <c r="AO185" s="61">
        <f t="shared" si="421"/>
        <v>4181</v>
      </c>
      <c r="AP185" s="61">
        <f t="shared" si="421"/>
        <v>2749</v>
      </c>
      <c r="AQ185" s="61">
        <f t="shared" si="421"/>
        <v>3983</v>
      </c>
      <c r="AR185" s="61">
        <f t="shared" si="421"/>
        <v>3792</v>
      </c>
      <c r="AS185" s="61">
        <f t="shared" si="421"/>
        <v>2224</v>
      </c>
      <c r="AT185" s="61">
        <f t="shared" ref="AT185:BA187" si="422">AT52</f>
        <v>1498</v>
      </c>
      <c r="AU185" s="61">
        <f t="shared" si="422"/>
        <v>2050</v>
      </c>
      <c r="AV185" s="61">
        <f t="shared" si="422"/>
        <v>2561</v>
      </c>
      <c r="AW185" s="61">
        <f t="shared" si="422"/>
        <v>2446</v>
      </c>
      <c r="AX185" s="61">
        <f t="shared" si="422"/>
        <v>2646</v>
      </c>
      <c r="AY185" s="61">
        <f t="shared" si="422"/>
        <v>3378</v>
      </c>
      <c r="AZ185" s="61">
        <f t="shared" si="422"/>
        <v>3872</v>
      </c>
      <c r="BA185" s="61">
        <f t="shared" si="422"/>
        <v>3746</v>
      </c>
      <c r="BB185" s="61">
        <f t="shared" ref="BB185:BD187" si="423">BB52</f>
        <v>3196</v>
      </c>
      <c r="BC185" s="61">
        <f t="shared" si="423"/>
        <v>3012</v>
      </c>
      <c r="BD185" s="61">
        <f t="shared" si="423"/>
        <v>3503</v>
      </c>
      <c r="BE185" s="8"/>
      <c r="BF185" s="240"/>
      <c r="BG185" s="194"/>
      <c r="BH185" s="194"/>
      <c r="BI185" s="194"/>
      <c r="BJ185" s="194"/>
      <c r="BK185" s="194"/>
      <c r="BM185" s="194"/>
      <c r="BN185" s="188"/>
      <c r="BO185" s="194"/>
      <c r="BP185" s="194"/>
      <c r="BQ185" s="188"/>
      <c r="BR185" s="188"/>
      <c r="BS185" s="188"/>
      <c r="BT185" s="194"/>
      <c r="BU185" s="194"/>
      <c r="BV185" s="188"/>
      <c r="BW185" s="188"/>
      <c r="BX185" s="188"/>
      <c r="BY185" s="188"/>
      <c r="BZ185" s="194"/>
      <c r="CA185" s="194"/>
      <c r="CB185" s="188"/>
      <c r="CC185" s="188"/>
      <c r="CD185" s="194"/>
      <c r="CE185" s="194"/>
      <c r="CF185" s="188"/>
      <c r="CG185" s="188"/>
      <c r="CH185" s="194"/>
      <c r="CI185" s="194"/>
      <c r="CJ185" s="188"/>
      <c r="CK185" s="188"/>
      <c r="CL185" s="194"/>
      <c r="CM185" s="194"/>
      <c r="CN185" s="1"/>
      <c r="CO185" s="1"/>
      <c r="CP185" s="1"/>
      <c r="CQ185" s="206"/>
      <c r="CR185" s="1"/>
      <c r="CS185" s="1"/>
      <c r="CT185" s="1"/>
    </row>
    <row r="186" spans="1:98" s="46" customFormat="1" ht="13.5" customHeight="1" thickTop="1">
      <c r="B186" s="21" t="str">
        <f t="shared" ref="B186:K186" si="424">B53</f>
        <v xml:space="preserve">% growth </v>
      </c>
      <c r="C186" s="68">
        <f t="shared" si="424"/>
        <v>0</v>
      </c>
      <c r="D186" s="68">
        <f t="shared" si="424"/>
        <v>0.28681030475032432</v>
      </c>
      <c r="E186" s="68">
        <f t="shared" si="424"/>
        <v>-7.3544609025146368E-2</v>
      </c>
      <c r="F186" s="68">
        <f t="shared" si="424"/>
        <v>5.8313193282518272E-2</v>
      </c>
      <c r="G186" s="68">
        <f t="shared" si="424"/>
        <v>0</v>
      </c>
      <c r="H186" s="68">
        <f t="shared" si="424"/>
        <v>2.288242730720607</v>
      </c>
      <c r="I186" s="68">
        <f t="shared" si="424"/>
        <v>0.85005767012687428</v>
      </c>
      <c r="J186" s="68">
        <f t="shared" si="424"/>
        <v>0.99397339983374899</v>
      </c>
      <c r="K186" s="68">
        <f t="shared" si="424"/>
        <v>0.51578947368421058</v>
      </c>
      <c r="L186" s="68">
        <f t="shared" ref="L186:N187" si="425">L53</f>
        <v>-0.12348734873487344</v>
      </c>
      <c r="M186" s="68">
        <f t="shared" si="425"/>
        <v>-0.32891433950423599</v>
      </c>
      <c r="N186" s="68">
        <f t="shared" si="425"/>
        <v>0.59462302746931628</v>
      </c>
      <c r="O186" s="68"/>
      <c r="P186" s="399"/>
      <c r="Q186" s="68">
        <f t="shared" ref="Q186:AS186" si="426">Q53</f>
        <v>0</v>
      </c>
      <c r="R186" s="68">
        <f t="shared" si="426"/>
        <v>0</v>
      </c>
      <c r="S186" s="68">
        <f t="shared" si="426"/>
        <v>0</v>
      </c>
      <c r="T186" s="68">
        <f t="shared" si="426"/>
        <v>0</v>
      </c>
      <c r="U186" s="68">
        <f t="shared" si="426"/>
        <v>-0.24621981494019407</v>
      </c>
      <c r="V186" s="68">
        <f t="shared" si="426"/>
        <v>0</v>
      </c>
      <c r="W186" s="68">
        <f t="shared" si="426"/>
        <v>-7.7830188679245293E-2</v>
      </c>
      <c r="X186" s="68">
        <f t="shared" si="426"/>
        <v>0.40401146131805166</v>
      </c>
      <c r="Y186" s="68">
        <f t="shared" si="426"/>
        <v>0.23694779116465869</v>
      </c>
      <c r="Z186" s="68">
        <f t="shared" si="426"/>
        <v>0.35180908391070043</v>
      </c>
      <c r="AA186" s="68">
        <f t="shared" si="426"/>
        <v>1.9935064935064934</v>
      </c>
      <c r="AB186" s="68">
        <f t="shared" si="426"/>
        <v>3.53781512605042</v>
      </c>
      <c r="AC186" s="68">
        <f t="shared" si="426"/>
        <v>2.715966386554622</v>
      </c>
      <c r="AD186" s="68">
        <f t="shared" si="426"/>
        <v>2.2087912087912089</v>
      </c>
      <c r="AE186" s="68">
        <f t="shared" si="426"/>
        <v>1.4099783080260302</v>
      </c>
      <c r="AF186" s="68">
        <f t="shared" si="426"/>
        <v>0.38796296296296306</v>
      </c>
      <c r="AG186" s="68">
        <f t="shared" si="426"/>
        <v>0.82948891904115785</v>
      </c>
      <c r="AH186" s="68">
        <f t="shared" si="426"/>
        <v>1.0941780821917808</v>
      </c>
      <c r="AI186" s="68">
        <f t="shared" si="426"/>
        <v>2.6615661566156614</v>
      </c>
      <c r="AJ186" s="68">
        <f t="shared" si="426"/>
        <v>0.46497665110073383</v>
      </c>
      <c r="AK186" s="68">
        <f t="shared" si="426"/>
        <v>0.30284301606922126</v>
      </c>
      <c r="AL186" s="68">
        <f t="shared" si="426"/>
        <v>0.3965658217497956</v>
      </c>
      <c r="AM186" s="68">
        <f t="shared" si="426"/>
        <v>1.8873343151693667</v>
      </c>
      <c r="AN186" s="68">
        <f t="shared" si="426"/>
        <v>1.1557377049180326</v>
      </c>
      <c r="AO186" s="68">
        <f t="shared" si="426"/>
        <v>0.98339658444022771</v>
      </c>
      <c r="AP186" s="68">
        <f t="shared" si="426"/>
        <v>0.60948477751756447</v>
      </c>
      <c r="AQ186" s="68">
        <f t="shared" si="426"/>
        <v>1.5812292782453552E-2</v>
      </c>
      <c r="AR186" s="68">
        <f t="shared" si="426"/>
        <v>-0.19898605830164762</v>
      </c>
      <c r="AS186" s="68">
        <f t="shared" si="426"/>
        <v>-0.46806983975125571</v>
      </c>
      <c r="AT186" s="68">
        <f t="shared" si="422"/>
        <v>-0.45507457257184436</v>
      </c>
      <c r="AU186" s="68">
        <f t="shared" si="422"/>
        <v>-0.48531257845844844</v>
      </c>
      <c r="AV186" s="68">
        <f t="shared" si="422"/>
        <v>-0.3246308016877637</v>
      </c>
      <c r="AW186" s="68">
        <f t="shared" si="422"/>
        <v>9.9820143884892021E-2</v>
      </c>
      <c r="AX186" s="68">
        <f t="shared" si="422"/>
        <v>0.76635514018691597</v>
      </c>
      <c r="AY186" s="68">
        <f t="shared" si="422"/>
        <v>0.6478048780487804</v>
      </c>
      <c r="AZ186" s="68">
        <f t="shared" si="422"/>
        <v>0.51190941038656779</v>
      </c>
      <c r="BA186" s="68">
        <f t="shared" si="422"/>
        <v>0.53147996729354041</v>
      </c>
      <c r="BB186" s="68">
        <f t="shared" si="423"/>
        <v>0.20786092214663654</v>
      </c>
      <c r="BC186" s="68">
        <f t="shared" si="423"/>
        <v>-0.10834813499111906</v>
      </c>
      <c r="BD186" s="68">
        <f t="shared" si="423"/>
        <v>-9.5299586776859457E-2</v>
      </c>
      <c r="BE186" s="413"/>
      <c r="BF186" s="266"/>
      <c r="BG186" s="211"/>
      <c r="BH186" s="211"/>
      <c r="BI186" s="211"/>
      <c r="BJ186" s="211"/>
      <c r="BK186" s="211"/>
      <c r="BM186" s="211"/>
      <c r="BN186" s="191"/>
      <c r="BO186" s="211"/>
      <c r="BP186" s="211"/>
      <c r="BQ186" s="191"/>
      <c r="BR186" s="191"/>
      <c r="BS186" s="191"/>
      <c r="BT186" s="211"/>
      <c r="BU186" s="211"/>
      <c r="BV186" s="191"/>
      <c r="BW186" s="191"/>
      <c r="BX186" s="191"/>
      <c r="BY186" s="191"/>
      <c r="BZ186" s="211"/>
      <c r="CA186" s="211"/>
      <c r="CB186" s="191"/>
      <c r="CC186" s="191"/>
      <c r="CD186" s="211"/>
      <c r="CE186" s="211"/>
      <c r="CF186" s="191"/>
      <c r="CG186" s="191"/>
      <c r="CH186" s="211"/>
      <c r="CI186" s="211"/>
      <c r="CJ186" s="191"/>
      <c r="CK186" s="191"/>
      <c r="CL186" s="211"/>
      <c r="CM186" s="211"/>
      <c r="CN186" s="1"/>
      <c r="CO186" s="1"/>
      <c r="CP186" s="1"/>
      <c r="CQ186" s="206"/>
      <c r="CR186" s="1"/>
      <c r="CS186" s="1"/>
      <c r="CT186" s="1"/>
    </row>
    <row r="187" spans="1:98" s="46" customFormat="1" ht="13.5" customHeight="1">
      <c r="B187" s="21" t="str">
        <f t="shared" ref="B187:K187" si="427">B54</f>
        <v>% margin</v>
      </c>
      <c r="C187" s="68">
        <f t="shared" si="427"/>
        <v>8.8999999999999996E-2</v>
      </c>
      <c r="D187" s="68">
        <f t="shared" si="427"/>
        <v>8.9097536789180115E-2</v>
      </c>
      <c r="E187" s="68">
        <f t="shared" si="427"/>
        <v>8.5705836452210707E-2</v>
      </c>
      <c r="F187" s="68">
        <f t="shared" si="427"/>
        <v>9.1926562314211105E-2</v>
      </c>
      <c r="G187" s="68">
        <f t="shared" si="427"/>
        <v>7.8102660269423571E-2</v>
      </c>
      <c r="H187" s="68">
        <f t="shared" si="427"/>
        <v>8.7531031281793514E-2</v>
      </c>
      <c r="I187" s="68">
        <f t="shared" si="427"/>
        <v>9.868530946734809E-2</v>
      </c>
      <c r="J187" s="68">
        <f t="shared" si="427"/>
        <v>0.14218705052517183</v>
      </c>
      <c r="K187" s="68">
        <f t="shared" si="427"/>
        <v>0.17032744983783996</v>
      </c>
      <c r="L187" s="68">
        <f t="shared" si="425"/>
        <v>0.10168191523167652</v>
      </c>
      <c r="M187" s="68">
        <f t="shared" si="425"/>
        <v>6.4703741948619553E-2</v>
      </c>
      <c r="N187" s="68">
        <f t="shared" si="425"/>
        <v>9.1642564253532718E-2</v>
      </c>
      <c r="O187" s="68">
        <f>O54</f>
        <v>8.3061314779940346E-2</v>
      </c>
      <c r="P187" s="399"/>
      <c r="Q187" s="68">
        <f t="shared" ref="Q187:AS187" si="428">Q54</f>
        <v>9.0310467453990781E-2</v>
      </c>
      <c r="R187" s="68">
        <f t="shared" si="428"/>
        <v>9.0682210395988255E-2</v>
      </c>
      <c r="S187" s="68">
        <f t="shared" si="428"/>
        <v>8.0281948362374775E-2</v>
      </c>
      <c r="T187" s="68">
        <f t="shared" si="428"/>
        <v>8.1321058970014917E-2</v>
      </c>
      <c r="U187" s="68">
        <f t="shared" si="428"/>
        <v>8.0751150099464139E-2</v>
      </c>
      <c r="V187" s="68">
        <f t="shared" si="428"/>
        <v>6.3504727655648921E-2</v>
      </c>
      <c r="W187" s="68">
        <f t="shared" si="428"/>
        <v>9.0657080665789314E-2</v>
      </c>
      <c r="X187" s="68">
        <f t="shared" si="428"/>
        <v>0.10142611324991414</v>
      </c>
      <c r="Y187" s="68">
        <f t="shared" si="428"/>
        <v>9.3022377846781135E-2</v>
      </c>
      <c r="Z187" s="68">
        <f t="shared" si="428"/>
        <v>5.9584483060497927E-2</v>
      </c>
      <c r="AA187" s="68">
        <f t="shared" si="428"/>
        <v>9.0127130084338258E-2</v>
      </c>
      <c r="AB187" s="68">
        <f t="shared" si="428"/>
        <v>9.7394604158569237E-2</v>
      </c>
      <c r="AC187" s="68">
        <f t="shared" si="428"/>
        <v>8.3716759055802947E-2</v>
      </c>
      <c r="AD187" s="68">
        <f t="shared" si="428"/>
        <v>5.7938318508961348E-2</v>
      </c>
      <c r="AE187" s="68">
        <f t="shared" si="428"/>
        <v>9.4802299659744224E-2</v>
      </c>
      <c r="AF187" s="68">
        <f t="shared" si="428"/>
        <v>0.11762054654399605</v>
      </c>
      <c r="AG187" s="68">
        <f t="shared" si="428"/>
        <v>0.11380040969554171</v>
      </c>
      <c r="AH187" s="68">
        <f t="shared" si="428"/>
        <v>9.0581796584392277E-2</v>
      </c>
      <c r="AI187" s="68">
        <f t="shared" si="428"/>
        <v>0.21545864965581435</v>
      </c>
      <c r="AJ187" s="68">
        <f t="shared" si="428"/>
        <v>0.13045690511190866</v>
      </c>
      <c r="AK187" s="68">
        <f t="shared" si="428"/>
        <v>0.11540488198783265</v>
      </c>
      <c r="AL187" s="68">
        <f t="shared" si="428"/>
        <v>9.9095918002421235E-2</v>
      </c>
      <c r="AM187" s="68">
        <f t="shared" si="428"/>
        <v>0.19058337322655028</v>
      </c>
      <c r="AN187" s="68">
        <f t="shared" si="428"/>
        <v>0.20027249581750309</v>
      </c>
      <c r="AO187" s="68">
        <f t="shared" si="428"/>
        <v>0.17463637436341375</v>
      </c>
      <c r="AP187" s="68">
        <f t="shared" si="428"/>
        <v>0.1230483475712521</v>
      </c>
      <c r="AQ187" s="68">
        <f t="shared" si="428"/>
        <v>0.11549733564494258</v>
      </c>
      <c r="AR187" s="68">
        <f t="shared" si="428"/>
        <v>0.10838469983040311</v>
      </c>
      <c r="AS187" s="68">
        <f t="shared" si="428"/>
        <v>6.6272496294223188E-2</v>
      </c>
      <c r="AT187" s="68">
        <f t="shared" si="422"/>
        <v>4.7169988073046475E-2</v>
      </c>
      <c r="AU187" s="68">
        <f t="shared" si="422"/>
        <v>6.5357212074301785E-2</v>
      </c>
      <c r="AV187" s="68">
        <f t="shared" si="422"/>
        <v>7.3814553687838222E-2</v>
      </c>
      <c r="AW187" s="68">
        <f t="shared" si="422"/>
        <v>7.110591825371769E-2</v>
      </c>
      <c r="AX187" s="68">
        <f t="shared" si="422"/>
        <v>8.375825506294278E-2</v>
      </c>
      <c r="AY187" s="68">
        <f t="shared" si="422"/>
        <v>9.3678402266873143E-2</v>
      </c>
      <c r="AZ187" s="68">
        <f t="shared" si="422"/>
        <v>9.9128917438745329E-2</v>
      </c>
      <c r="BA187" s="68">
        <f t="shared" si="422"/>
        <v>8.8872530480656353E-2</v>
      </c>
      <c r="BB187" s="68">
        <f t="shared" si="423"/>
        <v>8.1106440046746345E-2</v>
      </c>
      <c r="BC187" s="68">
        <f t="shared" si="423"/>
        <v>7.7845452895127176E-2</v>
      </c>
      <c r="BD187" s="68">
        <f t="shared" si="423"/>
        <v>8.3872988855978187E-2</v>
      </c>
      <c r="BE187" s="413"/>
      <c r="BF187" s="266"/>
      <c r="BG187" s="211"/>
      <c r="BH187" s="211"/>
      <c r="BI187" s="211"/>
      <c r="BJ187" s="211"/>
      <c r="BK187" s="211"/>
      <c r="BM187" s="211"/>
      <c r="BN187" s="191"/>
      <c r="BO187" s="211"/>
      <c r="BP187" s="211"/>
      <c r="BQ187" s="191"/>
      <c r="BR187" s="191"/>
      <c r="BS187" s="191"/>
      <c r="BT187" s="211"/>
      <c r="BU187" s="211"/>
      <c r="BV187" s="191"/>
      <c r="BW187" s="191"/>
      <c r="BX187" s="191"/>
      <c r="BY187" s="191"/>
      <c r="BZ187" s="211"/>
      <c r="CA187" s="211"/>
      <c r="CB187" s="191"/>
      <c r="CC187" s="191"/>
      <c r="CD187" s="211"/>
      <c r="CE187" s="211"/>
      <c r="CF187" s="191"/>
      <c r="CG187" s="191"/>
      <c r="CH187" s="211"/>
      <c r="CI187" s="211"/>
      <c r="CJ187" s="191"/>
      <c r="CK187" s="191"/>
      <c r="CL187" s="211"/>
      <c r="CM187" s="211"/>
      <c r="CN187" s="1"/>
      <c r="CO187" s="1"/>
      <c r="CP187" s="1"/>
      <c r="CQ187" s="206"/>
      <c r="CR187" s="1"/>
      <c r="CS187" s="1"/>
      <c r="CT187" s="1"/>
    </row>
    <row r="188" spans="1:98" ht="13.5" customHeight="1">
      <c r="BF188" s="254"/>
      <c r="BG188" s="192"/>
      <c r="BH188" s="192"/>
      <c r="BI188" s="192"/>
      <c r="BJ188" s="192"/>
      <c r="BK188" s="192"/>
      <c r="BM188" s="192"/>
      <c r="BN188" s="192"/>
      <c r="BO188" s="192"/>
      <c r="BP188" s="192"/>
      <c r="BQ188" s="192"/>
      <c r="BR188" s="192"/>
      <c r="BS188" s="192"/>
      <c r="BT188" s="192"/>
      <c r="BU188" s="192"/>
      <c r="BV188" s="192"/>
      <c r="BW188" s="192"/>
      <c r="BX188" s="192"/>
      <c r="BY188" s="192"/>
      <c r="BZ188" s="192"/>
      <c r="CA188" s="192"/>
      <c r="CB188" s="192"/>
      <c r="CC188" s="192"/>
      <c r="CD188" s="192"/>
      <c r="CE188" s="192"/>
      <c r="CF188" s="192"/>
      <c r="CG188" s="192"/>
      <c r="CH188" s="192"/>
      <c r="CI188" s="192"/>
      <c r="CJ188" s="192"/>
      <c r="CK188" s="192"/>
      <c r="CL188" s="192"/>
      <c r="CM188" s="192"/>
      <c r="CQ188" s="206"/>
    </row>
    <row r="189" spans="1:98" s="5" customFormat="1" ht="13.5" customHeight="1">
      <c r="B189" s="5" t="str">
        <f t="shared" ref="B189:L189" si="429">B60</f>
        <v xml:space="preserve">Adjusted EBITDA </v>
      </c>
      <c r="C189" s="367">
        <f t="shared" si="429"/>
        <v>1353.5794619999999</v>
      </c>
      <c r="D189" s="367">
        <f t="shared" si="429"/>
        <v>1741.8</v>
      </c>
      <c r="E189" s="367">
        <f t="shared" si="429"/>
        <v>1613.7</v>
      </c>
      <c r="F189" s="367">
        <f t="shared" si="429"/>
        <v>1707.8</v>
      </c>
      <c r="G189" s="367">
        <f t="shared" si="429"/>
        <v>791</v>
      </c>
      <c r="H189" s="367">
        <f t="shared" si="429"/>
        <v>2601</v>
      </c>
      <c r="I189" s="367">
        <f t="shared" si="429"/>
        <v>4812</v>
      </c>
      <c r="J189" s="367">
        <f t="shared" si="429"/>
        <v>9595</v>
      </c>
      <c r="K189" s="367">
        <f t="shared" si="429"/>
        <v>14544</v>
      </c>
      <c r="L189" s="367">
        <f t="shared" si="429"/>
        <v>12748</v>
      </c>
      <c r="M189" s="367">
        <f t="shared" ref="M189:O208" si="430">M60</f>
        <v>8555</v>
      </c>
      <c r="N189" s="367">
        <f t="shared" si="430"/>
        <v>13642</v>
      </c>
      <c r="O189" s="367">
        <f t="shared" si="430"/>
        <v>13457</v>
      </c>
      <c r="P189" s="367"/>
      <c r="Q189" s="367">
        <f t="shared" ref="Q189:AS189" si="431">Q60</f>
        <v>443.1</v>
      </c>
      <c r="R189" s="367">
        <f t="shared" si="431"/>
        <v>424</v>
      </c>
      <c r="S189" s="367">
        <f t="shared" si="431"/>
        <v>349</v>
      </c>
      <c r="T189" s="367">
        <f t="shared" si="431"/>
        <v>398.4</v>
      </c>
      <c r="U189" s="367">
        <f t="shared" si="431"/>
        <v>334</v>
      </c>
      <c r="V189" s="367">
        <f t="shared" si="431"/>
        <v>129.9</v>
      </c>
      <c r="W189" s="367">
        <f t="shared" si="431"/>
        <v>391</v>
      </c>
      <c r="X189" s="367">
        <f t="shared" si="431"/>
        <v>490</v>
      </c>
      <c r="Y189" s="367">
        <f t="shared" si="431"/>
        <v>492.79999999999995</v>
      </c>
      <c r="Z189" s="367">
        <f t="shared" si="431"/>
        <v>175.6</v>
      </c>
      <c r="AA189" s="367">
        <f t="shared" si="431"/>
        <v>461</v>
      </c>
      <c r="AB189" s="367">
        <f t="shared" si="431"/>
        <v>1080</v>
      </c>
      <c r="AC189" s="367">
        <f t="shared" si="431"/>
        <v>884.4</v>
      </c>
      <c r="AD189" s="367">
        <f t="shared" si="431"/>
        <v>584</v>
      </c>
      <c r="AE189" s="367">
        <f t="shared" si="431"/>
        <v>1111</v>
      </c>
      <c r="AF189" s="367">
        <f t="shared" si="431"/>
        <v>1499</v>
      </c>
      <c r="AG189" s="367">
        <f t="shared" si="431"/>
        <v>1618</v>
      </c>
      <c r="AH189" s="367">
        <f t="shared" si="431"/>
        <v>1223</v>
      </c>
      <c r="AI189" s="367">
        <f t="shared" si="431"/>
        <v>4068</v>
      </c>
      <c r="AJ189" s="367">
        <f t="shared" si="431"/>
        <v>2196</v>
      </c>
      <c r="AK189" s="367">
        <f t="shared" si="431"/>
        <v>2108</v>
      </c>
      <c r="AL189" s="367">
        <f t="shared" si="431"/>
        <v>1708</v>
      </c>
      <c r="AM189" s="367">
        <f t="shared" si="431"/>
        <v>3921</v>
      </c>
      <c r="AN189" s="367">
        <f t="shared" si="431"/>
        <v>4734</v>
      </c>
      <c r="AO189" s="367">
        <f t="shared" si="431"/>
        <v>4181</v>
      </c>
      <c r="AP189" s="367">
        <f t="shared" si="431"/>
        <v>2749</v>
      </c>
      <c r="AQ189" s="367">
        <f t="shared" si="431"/>
        <v>3983</v>
      </c>
      <c r="AR189" s="367">
        <f t="shared" si="431"/>
        <v>3792</v>
      </c>
      <c r="AS189" s="367">
        <f t="shared" si="431"/>
        <v>2224</v>
      </c>
      <c r="AT189" s="367">
        <f t="shared" ref="AT189:BA198" si="432">AT60</f>
        <v>1498</v>
      </c>
      <c r="AU189" s="367">
        <f t="shared" si="432"/>
        <v>2050</v>
      </c>
      <c r="AV189" s="367">
        <f t="shared" si="432"/>
        <v>2561</v>
      </c>
      <c r="AW189" s="367">
        <f t="shared" si="432"/>
        <v>2446</v>
      </c>
      <c r="AX189" s="367">
        <f t="shared" si="432"/>
        <v>2646</v>
      </c>
      <c r="AY189" s="367">
        <f t="shared" si="432"/>
        <v>3378</v>
      </c>
      <c r="AZ189" s="367">
        <f t="shared" si="432"/>
        <v>3872</v>
      </c>
      <c r="BA189" s="367">
        <f t="shared" si="432"/>
        <v>3746</v>
      </c>
      <c r="BB189" s="367">
        <f t="shared" ref="BB189:BD208" si="433">BB60</f>
        <v>3196</v>
      </c>
      <c r="BC189" s="367">
        <f t="shared" si="433"/>
        <v>3012</v>
      </c>
      <c r="BD189" s="367">
        <f t="shared" si="433"/>
        <v>3503</v>
      </c>
      <c r="BE189" s="415"/>
      <c r="BF189" s="268"/>
      <c r="BG189" s="213"/>
      <c r="BH189" s="213"/>
      <c r="BI189" s="213"/>
      <c r="BJ189" s="213"/>
      <c r="BK189" s="213"/>
      <c r="BL189" s="187"/>
      <c r="BM189" s="213"/>
      <c r="BN189" s="213"/>
      <c r="BO189" s="213"/>
      <c r="BP189" s="213"/>
      <c r="BQ189" s="213"/>
      <c r="BR189" s="213"/>
      <c r="BS189" s="213"/>
      <c r="BT189" s="213"/>
      <c r="BU189" s="213"/>
      <c r="BV189" s="213"/>
      <c r="BW189" s="213"/>
      <c r="BX189" s="213"/>
      <c r="BY189" s="213"/>
      <c r="BZ189" s="213"/>
      <c r="CA189" s="213"/>
      <c r="CB189" s="213"/>
      <c r="CC189" s="213"/>
      <c r="CD189" s="213"/>
      <c r="CE189" s="213"/>
      <c r="CF189" s="213"/>
      <c r="CG189" s="213"/>
      <c r="CH189" s="213"/>
      <c r="CI189" s="213"/>
      <c r="CJ189" s="213"/>
      <c r="CK189" s="213"/>
      <c r="CL189" s="213"/>
      <c r="CM189" s="213"/>
      <c r="CN189" s="1"/>
      <c r="CO189" s="1"/>
      <c r="CP189" s="1"/>
      <c r="CQ189" s="206"/>
      <c r="CR189" s="1"/>
      <c r="CS189" s="1"/>
      <c r="CT189" s="1"/>
    </row>
    <row r="190" spans="1:98" ht="13.5" customHeight="1">
      <c r="B190" s="1" t="str">
        <f t="shared" ref="B190:L190" si="434">B61</f>
        <v>Working Capital</v>
      </c>
      <c r="C190" s="6">
        <f t="shared" si="434"/>
        <v>488.32900000000001</v>
      </c>
      <c r="D190" s="6">
        <f t="shared" si="434"/>
        <v>524.21100000000001</v>
      </c>
      <c r="E190" s="6">
        <f t="shared" si="434"/>
        <v>1161.931</v>
      </c>
      <c r="F190" s="6">
        <f t="shared" si="434"/>
        <v>-497.22800000000001</v>
      </c>
      <c r="G190" s="6">
        <f t="shared" si="434"/>
        <v>-363.13399999999996</v>
      </c>
      <c r="H190" s="6">
        <f t="shared" si="434"/>
        <v>-235.45499999999998</v>
      </c>
      <c r="I190" s="6">
        <f t="shared" si="434"/>
        <v>-1062.165</v>
      </c>
      <c r="J190" s="6">
        <f t="shared" si="434"/>
        <v>-560.22900000000004</v>
      </c>
      <c r="K190" s="6">
        <f t="shared" si="434"/>
        <v>-1816.0480000000002</v>
      </c>
      <c r="L190" s="6">
        <f t="shared" si="434"/>
        <v>-305.22000000000003</v>
      </c>
      <c r="M190" s="6">
        <f t="shared" si="430"/>
        <v>2007.9560000000001</v>
      </c>
      <c r="N190" s="6">
        <f t="shared" si="430"/>
        <v>-1433.1019999999999</v>
      </c>
      <c r="O190" s="6">
        <f t="shared" si="430"/>
        <v>1760.2819999999999</v>
      </c>
      <c r="P190" s="6"/>
      <c r="Q190" s="6">
        <f t="shared" ref="Q190:AS190" si="435">Q61</f>
        <v>-8.7540000000000049</v>
      </c>
      <c r="R190" s="6">
        <f t="shared" si="435"/>
        <v>326.72000000000003</v>
      </c>
      <c r="S190" s="6">
        <f t="shared" si="435"/>
        <v>335.23699999999997</v>
      </c>
      <c r="T190" s="6">
        <f t="shared" si="435"/>
        <v>508.72800000000007</v>
      </c>
      <c r="U190" s="6">
        <f t="shared" si="435"/>
        <v>-63.051999999999992</v>
      </c>
      <c r="V190" s="6">
        <f t="shared" si="435"/>
        <v>63.553999999999945</v>
      </c>
      <c r="W190" s="6">
        <f t="shared" si="435"/>
        <v>-176.86199999999997</v>
      </c>
      <c r="X190" s="6">
        <f t="shared" si="435"/>
        <v>-345.3599999999999</v>
      </c>
      <c r="Y190" s="6">
        <f t="shared" si="435"/>
        <v>88.04599999999985</v>
      </c>
      <c r="Z190" s="6">
        <f t="shared" si="435"/>
        <v>-46.825999999999993</v>
      </c>
      <c r="AA190" s="6">
        <f t="shared" si="435"/>
        <v>-398.10399999999993</v>
      </c>
      <c r="AB190" s="6">
        <f t="shared" si="435"/>
        <v>5.3499999999998806</v>
      </c>
      <c r="AC190" s="6">
        <f t="shared" si="435"/>
        <v>204.12500000000006</v>
      </c>
      <c r="AD190" s="6">
        <f t="shared" si="435"/>
        <v>-497.53499999999997</v>
      </c>
      <c r="AE190" s="6">
        <f t="shared" si="435"/>
        <v>-70.664000000000101</v>
      </c>
      <c r="AF190" s="6">
        <f t="shared" si="435"/>
        <v>-187.19399999999996</v>
      </c>
      <c r="AG190" s="6">
        <f t="shared" si="435"/>
        <v>-306.77199999999993</v>
      </c>
      <c r="AH190" s="6">
        <f t="shared" si="435"/>
        <v>-1235.6970000000001</v>
      </c>
      <c r="AI190" s="6">
        <f t="shared" si="435"/>
        <v>-193.90099999999984</v>
      </c>
      <c r="AJ190" s="6">
        <f t="shared" si="435"/>
        <v>383.06700000000001</v>
      </c>
      <c r="AK190" s="6">
        <f t="shared" si="435"/>
        <v>486.30199999999991</v>
      </c>
      <c r="AL190" s="6">
        <f t="shared" si="435"/>
        <v>-679.38499999999999</v>
      </c>
      <c r="AM190" s="6">
        <f t="shared" si="435"/>
        <v>-1034.162</v>
      </c>
      <c r="AN190" s="6">
        <f t="shared" si="435"/>
        <v>352.31399999999985</v>
      </c>
      <c r="AO190" s="6">
        <f t="shared" si="435"/>
        <v>-454.81500000000005</v>
      </c>
      <c r="AP190" s="6">
        <f t="shared" si="435"/>
        <v>1298.4749999999999</v>
      </c>
      <c r="AQ190" s="6">
        <f t="shared" si="435"/>
        <v>-462.28999999999996</v>
      </c>
      <c r="AR190" s="6">
        <f t="shared" si="435"/>
        <v>-1777.2289999999998</v>
      </c>
      <c r="AS190" s="6">
        <f t="shared" si="435"/>
        <v>635.82399999999984</v>
      </c>
      <c r="AT190" s="6">
        <f t="shared" si="432"/>
        <v>4.6009999999999707</v>
      </c>
      <c r="AU190" s="6">
        <f t="shared" si="432"/>
        <v>359.59199999999998</v>
      </c>
      <c r="AV190" s="6">
        <f t="shared" si="432"/>
        <v>1109.6470000000002</v>
      </c>
      <c r="AW190" s="6">
        <f t="shared" si="432"/>
        <v>534.11599999999999</v>
      </c>
      <c r="AX190" s="6">
        <f t="shared" si="432"/>
        <v>-1293.818</v>
      </c>
      <c r="AY190" s="6">
        <f t="shared" si="432"/>
        <v>-743.88799999999969</v>
      </c>
      <c r="AZ190" s="6">
        <f t="shared" si="432"/>
        <v>-304.40000000000009</v>
      </c>
      <c r="BA190" s="6">
        <f t="shared" si="432"/>
        <v>909.00399999999991</v>
      </c>
      <c r="BB190" s="6">
        <f t="shared" si="433"/>
        <v>1245.9169999999999</v>
      </c>
      <c r="BC190" s="6">
        <f t="shared" si="433"/>
        <v>325.69399999999996</v>
      </c>
      <c r="BD190" s="6">
        <f t="shared" si="433"/>
        <v>-720.33299999999986</v>
      </c>
      <c r="BE190" s="6"/>
      <c r="BF190" s="269"/>
      <c r="BG190" s="214"/>
      <c r="BH190" s="214"/>
      <c r="BI190" s="214"/>
      <c r="BJ190" s="214"/>
      <c r="BK190" s="214"/>
      <c r="BM190" s="214"/>
      <c r="BN190" s="192"/>
      <c r="BO190" s="214"/>
      <c r="BP190" s="214"/>
      <c r="BQ190" s="192"/>
      <c r="BR190" s="192"/>
      <c r="BS190" s="192"/>
      <c r="BT190" s="214"/>
      <c r="BU190" s="214"/>
      <c r="BV190" s="192"/>
      <c r="BW190" s="192"/>
      <c r="BX190" s="192"/>
      <c r="BY190" s="192"/>
      <c r="BZ190" s="214"/>
      <c r="CA190" s="214"/>
      <c r="CB190" s="192"/>
      <c r="CC190" s="192"/>
      <c r="CD190" s="214"/>
      <c r="CE190" s="214"/>
      <c r="CF190" s="192"/>
      <c r="CG190" s="192"/>
      <c r="CH190" s="214"/>
      <c r="CI190" s="214"/>
      <c r="CJ190" s="192"/>
      <c r="CK190" s="192"/>
      <c r="CL190" s="214"/>
      <c r="CM190" s="214"/>
      <c r="CQ190" s="206"/>
    </row>
    <row r="191" spans="1:98" ht="13.5" customHeight="1">
      <c r="B191" s="1" t="str">
        <f t="shared" ref="B191:L191" si="436">B62</f>
        <v>Taxes</v>
      </c>
      <c r="C191" s="6">
        <f t="shared" si="436"/>
        <v>-183</v>
      </c>
      <c r="D191" s="6">
        <f t="shared" si="436"/>
        <v>26</v>
      </c>
      <c r="E191" s="6">
        <f t="shared" si="436"/>
        <v>0</v>
      </c>
      <c r="F191" s="6">
        <f t="shared" si="436"/>
        <v>0</v>
      </c>
      <c r="G191" s="6">
        <f t="shared" si="436"/>
        <v>0</v>
      </c>
      <c r="H191" s="6">
        <f t="shared" si="436"/>
        <v>-289.39999999999998</v>
      </c>
      <c r="I191" s="6">
        <f t="shared" si="436"/>
        <v>-532.53</v>
      </c>
      <c r="J191" s="6">
        <f t="shared" si="436"/>
        <v>-596.77300000000002</v>
      </c>
      <c r="K191" s="6">
        <f t="shared" si="436"/>
        <v>-879.75699999999995</v>
      </c>
      <c r="L191" s="6">
        <f t="shared" si="436"/>
        <v>-1275.9870000000001</v>
      </c>
      <c r="M191" s="6">
        <f t="shared" si="430"/>
        <v>1085.5889999999999</v>
      </c>
      <c r="N191" s="6">
        <f t="shared" si="430"/>
        <v>-360.58199999999999</v>
      </c>
      <c r="O191" s="6">
        <f t="shared" si="430"/>
        <v>-667.38800000000003</v>
      </c>
      <c r="P191" s="6"/>
      <c r="Q191" s="6">
        <f t="shared" ref="Q191:AS191" si="437">Q62</f>
        <v>0</v>
      </c>
      <c r="R191" s="6">
        <f t="shared" si="437"/>
        <v>0</v>
      </c>
      <c r="S191" s="6">
        <f t="shared" si="437"/>
        <v>0</v>
      </c>
      <c r="T191" s="6">
        <f t="shared" si="437"/>
        <v>0</v>
      </c>
      <c r="U191" s="6">
        <f t="shared" si="437"/>
        <v>0</v>
      </c>
      <c r="V191" s="6">
        <f t="shared" si="437"/>
        <v>0</v>
      </c>
      <c r="W191" s="6">
        <f t="shared" si="437"/>
        <v>0</v>
      </c>
      <c r="X191" s="6">
        <f t="shared" si="437"/>
        <v>0</v>
      </c>
      <c r="Y191" s="6">
        <f t="shared" si="437"/>
        <v>0</v>
      </c>
      <c r="Z191" s="6">
        <f t="shared" si="437"/>
        <v>0</v>
      </c>
      <c r="AA191" s="6">
        <f t="shared" si="437"/>
        <v>0</v>
      </c>
      <c r="AB191" s="6">
        <f t="shared" si="437"/>
        <v>0</v>
      </c>
      <c r="AC191" s="6">
        <f t="shared" si="437"/>
        <v>-289.39999999999998</v>
      </c>
      <c r="AD191" s="6">
        <f t="shared" si="437"/>
        <v>-94.632000000000005</v>
      </c>
      <c r="AE191" s="6">
        <f t="shared" si="437"/>
        <v>11.504000000000005</v>
      </c>
      <c r="AF191" s="6">
        <f t="shared" si="437"/>
        <v>-62.362000000000023</v>
      </c>
      <c r="AG191" s="6">
        <f t="shared" si="437"/>
        <v>-387.03999999999996</v>
      </c>
      <c r="AH191" s="6">
        <f t="shared" si="437"/>
        <v>-364.45800000000003</v>
      </c>
      <c r="AI191" s="6">
        <f t="shared" si="437"/>
        <v>592.49199999999996</v>
      </c>
      <c r="AJ191" s="6">
        <f t="shared" si="437"/>
        <v>-220.74299999999988</v>
      </c>
      <c r="AK191" s="6">
        <f t="shared" si="437"/>
        <v>-604.06400000000008</v>
      </c>
      <c r="AL191" s="6">
        <f t="shared" si="437"/>
        <v>59.691000000000003</v>
      </c>
      <c r="AM191" s="6">
        <f t="shared" si="437"/>
        <v>158.35900000000001</v>
      </c>
      <c r="AN191" s="6">
        <f t="shared" si="437"/>
        <v>-418.26100000000008</v>
      </c>
      <c r="AO191" s="6">
        <f t="shared" si="437"/>
        <v>-679.54599999999994</v>
      </c>
      <c r="AP191" s="6">
        <f t="shared" si="437"/>
        <v>481.64800000000002</v>
      </c>
      <c r="AQ191" s="6">
        <f t="shared" si="437"/>
        <v>-1276.6599999999999</v>
      </c>
      <c r="AR191" s="6">
        <f t="shared" si="437"/>
        <v>-241.75000000000011</v>
      </c>
      <c r="AS191" s="6">
        <f t="shared" si="437"/>
        <v>-239.22500000000025</v>
      </c>
      <c r="AT191" s="6">
        <f t="shared" si="432"/>
        <v>-181.613</v>
      </c>
      <c r="AU191" s="6">
        <f t="shared" si="432"/>
        <v>487.24799999999999</v>
      </c>
      <c r="AV191" s="6">
        <f t="shared" si="432"/>
        <v>495.95299999999997</v>
      </c>
      <c r="AW191" s="6">
        <f t="shared" si="432"/>
        <v>284.00099999999998</v>
      </c>
      <c r="AX191" s="6">
        <f t="shared" si="432"/>
        <v>-275.14800000000002</v>
      </c>
      <c r="AY191" s="6">
        <f t="shared" si="432"/>
        <v>739.24300000000005</v>
      </c>
      <c r="AZ191" s="6">
        <f t="shared" si="432"/>
        <v>-295.75400000000002</v>
      </c>
      <c r="BA191" s="6">
        <f t="shared" si="432"/>
        <v>-528.923</v>
      </c>
      <c r="BB191" s="6">
        <f t="shared" si="433"/>
        <v>-7.9420000000000002</v>
      </c>
      <c r="BC191" s="6">
        <f t="shared" si="433"/>
        <v>-293.23099999999999</v>
      </c>
      <c r="BD191" s="6">
        <f t="shared" si="433"/>
        <v>162.708</v>
      </c>
      <c r="BE191" s="6"/>
      <c r="BF191" s="269"/>
      <c r="BG191" s="214"/>
      <c r="BH191" s="214"/>
      <c r="BI191" s="214"/>
      <c r="BJ191" s="214"/>
      <c r="BK191" s="214"/>
      <c r="BM191" s="214"/>
      <c r="BN191" s="192"/>
      <c r="BO191" s="214"/>
      <c r="BP191" s="214"/>
      <c r="BQ191" s="192"/>
      <c r="BR191" s="192"/>
      <c r="BS191" s="192"/>
      <c r="BT191" s="214"/>
      <c r="BU191" s="214"/>
      <c r="BV191" s="192"/>
      <c r="BW191" s="192"/>
      <c r="BX191" s="192"/>
      <c r="BY191" s="192"/>
      <c r="BZ191" s="214"/>
      <c r="CA191" s="214"/>
      <c r="CB191" s="192"/>
      <c r="CC191" s="192"/>
      <c r="CD191" s="214"/>
      <c r="CE191" s="214"/>
      <c r="CF191" s="192"/>
      <c r="CG191" s="192"/>
      <c r="CH191" s="214"/>
      <c r="CI191" s="214"/>
      <c r="CJ191" s="192"/>
      <c r="CK191" s="192"/>
      <c r="CL191" s="214"/>
      <c r="CM191" s="214"/>
      <c r="CQ191" s="206"/>
    </row>
    <row r="192" spans="1:98" ht="13.5" customHeight="1">
      <c r="B192" s="1" t="str">
        <f t="shared" ref="B192:L192" si="438">B63</f>
        <v>Cash interest paid</v>
      </c>
      <c r="C192" s="6">
        <f t="shared" si="438"/>
        <v>-953.37601512888568</v>
      </c>
      <c r="D192" s="6">
        <f t="shared" si="438"/>
        <v>-1241.6389165928854</v>
      </c>
      <c r="E192" s="6">
        <f t="shared" si="438"/>
        <v>-1164.0905966299579</v>
      </c>
      <c r="F192" s="6">
        <f t="shared" si="438"/>
        <v>-801.3448563764116</v>
      </c>
      <c r="G192" s="6">
        <f t="shared" si="438"/>
        <v>-801.3448563764116</v>
      </c>
      <c r="H192" s="6">
        <f t="shared" si="438"/>
        <v>-809.88099999999997</v>
      </c>
      <c r="I192" s="6">
        <f t="shared" si="438"/>
        <v>-1441.838</v>
      </c>
      <c r="J192" s="6">
        <f t="shared" si="438"/>
        <v>-2440.4110000000001</v>
      </c>
      <c r="K192" s="6">
        <f t="shared" si="438"/>
        <v>-1623.9949999999999</v>
      </c>
      <c r="L192" s="6">
        <f t="shared" si="438"/>
        <v>-3090.2150000000001</v>
      </c>
      <c r="M192" s="6">
        <f t="shared" si="430"/>
        <v>-5157.0739999999996</v>
      </c>
      <c r="N192" s="6">
        <f t="shared" si="430"/>
        <v>4828.25</v>
      </c>
      <c r="O192" s="6">
        <f t="shared" si="430"/>
        <v>3920.4200000000005</v>
      </c>
      <c r="P192" s="6"/>
      <c r="Q192" s="6">
        <f t="shared" ref="Q192:AS192" si="439">Q63</f>
        <v>-312.17687261947646</v>
      </c>
      <c r="R192" s="6">
        <f t="shared" si="439"/>
        <v>-280.58550411854566</v>
      </c>
      <c r="S192" s="6">
        <f t="shared" si="439"/>
        <v>-291.52975361771405</v>
      </c>
      <c r="T192" s="6">
        <f t="shared" si="439"/>
        <v>-279.79846627422165</v>
      </c>
      <c r="U192" s="6">
        <f t="shared" si="439"/>
        <v>-213.2</v>
      </c>
      <c r="V192" s="6">
        <f t="shared" si="439"/>
        <v>-213.15298873211316</v>
      </c>
      <c r="W192" s="6">
        <f t="shared" si="439"/>
        <v>-206.84381561819214</v>
      </c>
      <c r="X192" s="6">
        <f t="shared" si="439"/>
        <v>-189.5046462038797</v>
      </c>
      <c r="Y192" s="6">
        <f t="shared" si="439"/>
        <v>-191.79639455433977</v>
      </c>
      <c r="Z192" s="6">
        <f t="shared" si="439"/>
        <v>-203</v>
      </c>
      <c r="AA192" s="6">
        <f t="shared" si="439"/>
        <v>-255</v>
      </c>
      <c r="AB192" s="6">
        <f t="shared" si="439"/>
        <v>-336</v>
      </c>
      <c r="AC192" s="6">
        <f t="shared" si="439"/>
        <v>-15.880999999999972</v>
      </c>
      <c r="AD192" s="6">
        <f t="shared" si="439"/>
        <v>-258.92899999999997</v>
      </c>
      <c r="AE192" s="6">
        <f t="shared" si="439"/>
        <v>-232.44800000000004</v>
      </c>
      <c r="AF192" s="6">
        <f t="shared" si="439"/>
        <v>-335.46300000000008</v>
      </c>
      <c r="AG192" s="6">
        <f t="shared" si="439"/>
        <v>-614.99799999999993</v>
      </c>
      <c r="AH192" s="6">
        <f t="shared" si="439"/>
        <v>0</v>
      </c>
      <c r="AI192" s="6">
        <f t="shared" si="439"/>
        <v>-875.77800000000002</v>
      </c>
      <c r="AJ192" s="6">
        <f t="shared" si="439"/>
        <v>-1200.5449999999998</v>
      </c>
      <c r="AK192" s="6">
        <f t="shared" si="439"/>
        <v>-364.08800000000019</v>
      </c>
      <c r="AL192" s="6">
        <f t="shared" si="439"/>
        <v>0</v>
      </c>
      <c r="AM192" s="6">
        <f t="shared" si="439"/>
        <v>0</v>
      </c>
      <c r="AN192" s="6">
        <f t="shared" si="439"/>
        <v>0</v>
      </c>
      <c r="AO192" s="6">
        <f t="shared" si="439"/>
        <v>-1623.9949999999999</v>
      </c>
      <c r="AP192" s="6">
        <f t="shared" si="439"/>
        <v>0</v>
      </c>
      <c r="AQ192" s="6">
        <f t="shared" si="439"/>
        <v>0</v>
      </c>
      <c r="AR192" s="6">
        <f t="shared" si="439"/>
        <v>0</v>
      </c>
      <c r="AS192" s="6">
        <f t="shared" si="439"/>
        <v>-3090.2150000000001</v>
      </c>
      <c r="AT192" s="6">
        <f t="shared" si="432"/>
        <v>-1315.982</v>
      </c>
      <c r="AU192" s="6">
        <f t="shared" si="432"/>
        <v>-1533.7200000000003</v>
      </c>
      <c r="AV192" s="6">
        <f t="shared" si="432"/>
        <v>-934.94199999999955</v>
      </c>
      <c r="AW192" s="6">
        <f t="shared" si="432"/>
        <v>-1372.4299999999994</v>
      </c>
      <c r="AX192" s="6">
        <f t="shared" si="432"/>
        <v>-1073.5830000000001</v>
      </c>
      <c r="AY192" s="6">
        <f t="shared" si="432"/>
        <v>-1019.6559999999999</v>
      </c>
      <c r="AZ192" s="6">
        <f t="shared" si="432"/>
        <v>-1176.8759999999997</v>
      </c>
      <c r="BA192" s="6">
        <f t="shared" si="432"/>
        <v>8098.3649999999998</v>
      </c>
      <c r="BB192" s="6">
        <f t="shared" si="433"/>
        <v>-1456.873</v>
      </c>
      <c r="BC192" s="6">
        <f t="shared" si="433"/>
        <v>-1357.42</v>
      </c>
      <c r="BD192" s="6">
        <f t="shared" si="433"/>
        <v>-1363.6519999999996</v>
      </c>
      <c r="BE192" s="6"/>
      <c r="BF192" s="269"/>
      <c r="BG192" s="214"/>
      <c r="BH192" s="214"/>
      <c r="BI192" s="214"/>
      <c r="BJ192" s="214"/>
      <c r="BK192" s="214"/>
      <c r="BM192" s="214"/>
      <c r="BN192" s="192"/>
      <c r="BO192" s="214"/>
      <c r="BP192" s="214"/>
      <c r="BQ192" s="192"/>
      <c r="BR192" s="192"/>
      <c r="BS192" s="192"/>
      <c r="BT192" s="214"/>
      <c r="BU192" s="214"/>
      <c r="BV192" s="192"/>
      <c r="BW192" s="192"/>
      <c r="BX192" s="192"/>
      <c r="BY192" s="192"/>
      <c r="BZ192" s="214"/>
      <c r="CA192" s="214"/>
      <c r="CB192" s="192"/>
      <c r="CC192" s="192"/>
      <c r="CD192" s="214"/>
      <c r="CE192" s="214"/>
      <c r="CF192" s="192"/>
      <c r="CG192" s="192"/>
      <c r="CH192" s="214"/>
      <c r="CI192" s="214"/>
      <c r="CJ192" s="192"/>
      <c r="CK192" s="192"/>
      <c r="CL192" s="214"/>
      <c r="CM192" s="214"/>
      <c r="CQ192" s="206"/>
    </row>
    <row r="193" spans="2:98" s="5" customFormat="1" ht="13.5" customHeight="1" thickBot="1">
      <c r="B193" s="25" t="str">
        <f t="shared" ref="B193:L193" si="440">B64</f>
        <v xml:space="preserve">Net cash from operations </v>
      </c>
      <c r="C193" s="368">
        <f t="shared" si="440"/>
        <v>705.53244687111419</v>
      </c>
      <c r="D193" s="368">
        <f t="shared" si="440"/>
        <v>1050.3720834071146</v>
      </c>
      <c r="E193" s="368">
        <f t="shared" si="440"/>
        <v>1611.5404033700424</v>
      </c>
      <c r="F193" s="368">
        <f t="shared" si="440"/>
        <v>409.22714362358829</v>
      </c>
      <c r="G193" s="368">
        <f t="shared" si="440"/>
        <v>-373.47885637641156</v>
      </c>
      <c r="H193" s="368">
        <f t="shared" si="440"/>
        <v>1266.2640000000001</v>
      </c>
      <c r="I193" s="368">
        <f t="shared" si="440"/>
        <v>1775.4670000000003</v>
      </c>
      <c r="J193" s="368">
        <f t="shared" si="440"/>
        <v>5997.5870000000014</v>
      </c>
      <c r="K193" s="368">
        <f t="shared" si="440"/>
        <v>10224.200000000001</v>
      </c>
      <c r="L193" s="368">
        <f t="shared" si="440"/>
        <v>8076.5780000000013</v>
      </c>
      <c r="M193" s="368">
        <f t="shared" si="430"/>
        <v>6491.4710000000005</v>
      </c>
      <c r="N193" s="368">
        <f t="shared" si="430"/>
        <v>16676.565999999999</v>
      </c>
      <c r="O193" s="368">
        <f t="shared" si="430"/>
        <v>18470.313999999998</v>
      </c>
      <c r="P193" s="368"/>
      <c r="Q193" s="368">
        <f t="shared" ref="Q193:AS193" si="441">Q64</f>
        <v>122.16912738052355</v>
      </c>
      <c r="R193" s="368">
        <f t="shared" si="441"/>
        <v>470.13449588145437</v>
      </c>
      <c r="S193" s="368">
        <f t="shared" si="441"/>
        <v>392.70724638228592</v>
      </c>
      <c r="T193" s="368">
        <f t="shared" si="441"/>
        <v>627.32953372577845</v>
      </c>
      <c r="U193" s="368">
        <f t="shared" si="441"/>
        <v>57.74799999999999</v>
      </c>
      <c r="V193" s="368">
        <f t="shared" si="441"/>
        <v>-19.698988732113207</v>
      </c>
      <c r="W193" s="368">
        <f t="shared" si="441"/>
        <v>7.2941843818078951</v>
      </c>
      <c r="X193" s="368">
        <f t="shared" si="441"/>
        <v>-44.864646203879602</v>
      </c>
      <c r="Y193" s="368">
        <f t="shared" si="441"/>
        <v>389.04960544566001</v>
      </c>
      <c r="Z193" s="368">
        <f t="shared" si="441"/>
        <v>-74.225999999999999</v>
      </c>
      <c r="AA193" s="368">
        <f t="shared" si="441"/>
        <v>-192.10399999999993</v>
      </c>
      <c r="AB193" s="368">
        <f t="shared" si="441"/>
        <v>749.34999999999991</v>
      </c>
      <c r="AC193" s="368">
        <f t="shared" si="441"/>
        <v>783.24400000000014</v>
      </c>
      <c r="AD193" s="368">
        <f t="shared" si="441"/>
        <v>-267.09599999999995</v>
      </c>
      <c r="AE193" s="368">
        <f t="shared" si="441"/>
        <v>819.3919999999996</v>
      </c>
      <c r="AF193" s="368">
        <f t="shared" si="441"/>
        <v>913.98099999999988</v>
      </c>
      <c r="AG193" s="368">
        <f t="shared" si="441"/>
        <v>309.19000000000017</v>
      </c>
      <c r="AH193" s="368">
        <f t="shared" si="441"/>
        <v>-377.15500000000014</v>
      </c>
      <c r="AI193" s="368">
        <f t="shared" si="441"/>
        <v>3590.8130000000001</v>
      </c>
      <c r="AJ193" s="368">
        <f t="shared" si="441"/>
        <v>1157.7790000000002</v>
      </c>
      <c r="AK193" s="368">
        <f t="shared" si="441"/>
        <v>1626.1499999999994</v>
      </c>
      <c r="AL193" s="368">
        <f t="shared" si="441"/>
        <v>1088.306</v>
      </c>
      <c r="AM193" s="368">
        <f t="shared" si="441"/>
        <v>3045.1969999999997</v>
      </c>
      <c r="AN193" s="368">
        <f t="shared" si="441"/>
        <v>4668.0529999999999</v>
      </c>
      <c r="AO193" s="368">
        <f t="shared" si="441"/>
        <v>1422.6440000000002</v>
      </c>
      <c r="AP193" s="368">
        <f t="shared" si="441"/>
        <v>4529.1229999999996</v>
      </c>
      <c r="AQ193" s="368">
        <f t="shared" si="441"/>
        <v>2244.0500000000002</v>
      </c>
      <c r="AR193" s="368">
        <f t="shared" si="441"/>
        <v>1773.0210000000002</v>
      </c>
      <c r="AS193" s="368">
        <f t="shared" si="441"/>
        <v>-469.61600000000089</v>
      </c>
      <c r="AT193" s="368">
        <f t="shared" si="432"/>
        <v>5.0059999999998581</v>
      </c>
      <c r="AU193" s="368">
        <f t="shared" si="432"/>
        <v>1363.12</v>
      </c>
      <c r="AV193" s="368">
        <f t="shared" si="432"/>
        <v>3231.6580000000008</v>
      </c>
      <c r="AW193" s="368">
        <f t="shared" si="432"/>
        <v>1891.6870000000008</v>
      </c>
      <c r="AX193" s="368">
        <f t="shared" si="432"/>
        <v>3.4510000000000218</v>
      </c>
      <c r="AY193" s="368">
        <f t="shared" si="432"/>
        <v>2353.6990000000001</v>
      </c>
      <c r="AZ193" s="368">
        <f t="shared" si="432"/>
        <v>2094.9700000000003</v>
      </c>
      <c r="BA193" s="368">
        <f t="shared" si="432"/>
        <v>12224.446</v>
      </c>
      <c r="BB193" s="368">
        <f t="shared" si="433"/>
        <v>2977.1019999999994</v>
      </c>
      <c r="BC193" s="368">
        <f t="shared" si="433"/>
        <v>1687.0429999999997</v>
      </c>
      <c r="BD193" s="368">
        <f t="shared" si="433"/>
        <v>1581.7230000000009</v>
      </c>
      <c r="BE193" s="54"/>
      <c r="BF193" s="270"/>
      <c r="BG193" s="215"/>
      <c r="BH193" s="215"/>
      <c r="BI193" s="215"/>
      <c r="BJ193" s="215"/>
      <c r="BK193" s="215"/>
      <c r="BM193" s="215"/>
      <c r="BN193" s="188"/>
      <c r="BO193" s="215"/>
      <c r="BP193" s="215"/>
      <c r="BQ193" s="188"/>
      <c r="BR193" s="188"/>
      <c r="BS193" s="188"/>
      <c r="BT193" s="215"/>
      <c r="BU193" s="215"/>
      <c r="BV193" s="188"/>
      <c r="BW193" s="188"/>
      <c r="BX193" s="188"/>
      <c r="BY193" s="188"/>
      <c r="BZ193" s="215"/>
      <c r="CA193" s="215"/>
      <c r="CB193" s="188"/>
      <c r="CC193" s="188"/>
      <c r="CD193" s="215"/>
      <c r="CE193" s="215"/>
      <c r="CF193" s="188"/>
      <c r="CG193" s="188"/>
      <c r="CH193" s="215"/>
      <c r="CI193" s="215"/>
      <c r="CJ193" s="188"/>
      <c r="CK193" s="188"/>
      <c r="CL193" s="215"/>
      <c r="CM193" s="215"/>
      <c r="CN193" s="1"/>
      <c r="CO193" s="1"/>
      <c r="CP193" s="1"/>
      <c r="CQ193" s="206"/>
      <c r="CR193" s="1"/>
      <c r="CS193" s="1"/>
      <c r="CT193" s="1"/>
    </row>
    <row r="194" spans="2:98" s="5" customFormat="1" ht="13.5" customHeight="1" thickTop="1">
      <c r="B194" s="1" t="str">
        <f t="shared" ref="B194:L194" si="442">B65</f>
        <v>Net Capex</v>
      </c>
      <c r="C194" s="6">
        <f t="shared" si="442"/>
        <v>-284.64600000000002</v>
      </c>
      <c r="D194" s="6">
        <f t="shared" si="442"/>
        <v>-400.19900000000001</v>
      </c>
      <c r="E194" s="6">
        <f t="shared" si="442"/>
        <v>-450.89800000000002</v>
      </c>
      <c r="F194" s="6">
        <f t="shared" si="442"/>
        <v>-795.21799999999996</v>
      </c>
      <c r="G194" s="6">
        <f t="shared" si="442"/>
        <v>-438.82900000000001</v>
      </c>
      <c r="H194" s="6">
        <f t="shared" si="442"/>
        <v>-676.62800000000004</v>
      </c>
      <c r="I194" s="6">
        <f t="shared" si="442"/>
        <v>-955.69600000000003</v>
      </c>
      <c r="J194" s="6">
        <f t="shared" si="442"/>
        <v>-1376.1849999999999</v>
      </c>
      <c r="K194" s="6">
        <f t="shared" si="442"/>
        <v>-2104.67</v>
      </c>
      <c r="L194" s="6">
        <f t="shared" si="442"/>
        <v>-3731.8510000000001</v>
      </c>
      <c r="M194" s="6">
        <f t="shared" si="430"/>
        <v>-3503.0349999999999</v>
      </c>
      <c r="N194" s="6">
        <f t="shared" si="430"/>
        <v>-3773.373</v>
      </c>
      <c r="O194" s="6">
        <f t="shared" si="430"/>
        <v>-4830.9679999999998</v>
      </c>
      <c r="P194" s="6"/>
      <c r="Q194" s="6">
        <f t="shared" ref="Q194:AS194" si="443">Q65</f>
        <v>-89.81</v>
      </c>
      <c r="R194" s="6">
        <f t="shared" si="443"/>
        <v>-41.664999999999992</v>
      </c>
      <c r="S194" s="6">
        <f t="shared" si="443"/>
        <v>-157.208</v>
      </c>
      <c r="T194" s="6">
        <f t="shared" si="443"/>
        <v>-162.21500000000003</v>
      </c>
      <c r="U194" s="6">
        <f t="shared" si="443"/>
        <v>-115.098</v>
      </c>
      <c r="V194" s="6">
        <f t="shared" si="443"/>
        <v>-43.402000000000001</v>
      </c>
      <c r="W194" s="6">
        <f t="shared" si="443"/>
        <v>-241.65800000000002</v>
      </c>
      <c r="X194" s="6">
        <f t="shared" si="443"/>
        <v>-272.48200000000003</v>
      </c>
      <c r="Y194" s="6">
        <f t="shared" si="443"/>
        <v>-165.9799999999999</v>
      </c>
      <c r="Z194" s="6">
        <f t="shared" si="443"/>
        <v>-109.65300000000001</v>
      </c>
      <c r="AA194" s="6">
        <f t="shared" si="443"/>
        <v>-153.49399999999997</v>
      </c>
      <c r="AB194" s="6">
        <f t="shared" si="443"/>
        <v>-194.53300000000002</v>
      </c>
      <c r="AC194" s="6">
        <f t="shared" si="443"/>
        <v>-218.94800000000004</v>
      </c>
      <c r="AD194" s="6">
        <f t="shared" si="443"/>
        <v>-292.072</v>
      </c>
      <c r="AE194" s="6">
        <f t="shared" si="443"/>
        <v>-213.75700000000001</v>
      </c>
      <c r="AF194" s="6">
        <f t="shared" si="443"/>
        <v>-129.863</v>
      </c>
      <c r="AG194" s="6">
        <f t="shared" si="443"/>
        <v>-320.00400000000002</v>
      </c>
      <c r="AH194" s="6">
        <f t="shared" si="443"/>
        <v>-188.744</v>
      </c>
      <c r="AI194" s="6">
        <f t="shared" si="443"/>
        <v>-308.27599999999995</v>
      </c>
      <c r="AJ194" s="6">
        <f t="shared" si="443"/>
        <v>-410.31500000000005</v>
      </c>
      <c r="AK194" s="6">
        <f t="shared" si="443"/>
        <v>-468.84999999999991</v>
      </c>
      <c r="AL194" s="6">
        <f t="shared" si="443"/>
        <v>-395.92399999999998</v>
      </c>
      <c r="AM194" s="6">
        <f t="shared" si="443"/>
        <v>-452.46400000000006</v>
      </c>
      <c r="AN194" s="6">
        <f t="shared" si="443"/>
        <v>-529.32299999999998</v>
      </c>
      <c r="AO194" s="6">
        <f t="shared" si="443"/>
        <v>-726.95900000000029</v>
      </c>
      <c r="AP194" s="6">
        <f t="shared" si="443"/>
        <v>-448.75900000000001</v>
      </c>
      <c r="AQ194" s="6">
        <f t="shared" si="443"/>
        <v>-1697.8440000000001</v>
      </c>
      <c r="AR194" s="6">
        <f t="shared" si="443"/>
        <v>-350.0619999999999</v>
      </c>
      <c r="AS194" s="6">
        <f t="shared" si="443"/>
        <v>-1235.1860000000001</v>
      </c>
      <c r="AT194" s="6">
        <f t="shared" si="432"/>
        <v>-1036.2</v>
      </c>
      <c r="AU194" s="6">
        <f t="shared" si="432"/>
        <v>-866.17600000000016</v>
      </c>
      <c r="AV194" s="6">
        <f t="shared" si="432"/>
        <v>-782.84999999999945</v>
      </c>
      <c r="AW194" s="6">
        <f t="shared" si="432"/>
        <v>-817.8090000000002</v>
      </c>
      <c r="AX194" s="6">
        <f t="shared" si="432"/>
        <v>-762.52299999999991</v>
      </c>
      <c r="AY194" s="6">
        <f t="shared" si="432"/>
        <v>-805.49100000000021</v>
      </c>
      <c r="AZ194" s="6">
        <f t="shared" si="432"/>
        <v>-898.0029999999997</v>
      </c>
      <c r="BA194" s="6">
        <f t="shared" si="432"/>
        <v>-1307.356</v>
      </c>
      <c r="BB194" s="6">
        <f t="shared" si="433"/>
        <v>-891.54899999999998</v>
      </c>
      <c r="BC194" s="6">
        <f t="shared" si="433"/>
        <v>-1270.7219999999998</v>
      </c>
      <c r="BD194" s="6">
        <f t="shared" si="433"/>
        <v>-1361.3410000000003</v>
      </c>
      <c r="BE194" s="6"/>
      <c r="BF194" s="269"/>
      <c r="BG194" s="214"/>
      <c r="BH194" s="214"/>
      <c r="BI194" s="214"/>
      <c r="BJ194" s="214"/>
      <c r="BK194" s="214"/>
      <c r="BM194" s="214"/>
      <c r="BN194" s="188"/>
      <c r="BO194" s="214"/>
      <c r="BP194" s="214"/>
      <c r="BQ194" s="188"/>
      <c r="BR194" s="188"/>
      <c r="BS194" s="188"/>
      <c r="BT194" s="214"/>
      <c r="BU194" s="214"/>
      <c r="BV194" s="188"/>
      <c r="BW194" s="188"/>
      <c r="BX194" s="188"/>
      <c r="BY194" s="188"/>
      <c r="BZ194" s="214"/>
      <c r="CA194" s="214"/>
      <c r="CB194" s="188"/>
      <c r="CC194" s="188"/>
      <c r="CD194" s="214"/>
      <c r="CE194" s="214"/>
      <c r="CF194" s="188"/>
      <c r="CG194" s="188"/>
      <c r="CH194" s="214"/>
      <c r="CI194" s="214"/>
      <c r="CJ194" s="188"/>
      <c r="CK194" s="188"/>
      <c r="CL194" s="214"/>
      <c r="CM194" s="214"/>
      <c r="CN194" s="1"/>
      <c r="CO194" s="1"/>
      <c r="CP194" s="1"/>
      <c r="CQ194" s="206"/>
      <c r="CR194" s="1"/>
      <c r="CS194" s="1"/>
      <c r="CT194" s="1"/>
    </row>
    <row r="195" spans="2:98" ht="13.5" customHeight="1">
      <c r="B195" s="1" t="str">
        <f t="shared" ref="B195:L195" si="444">B66</f>
        <v>Net Payment for acquisition  of intangible assets</v>
      </c>
      <c r="C195" s="6">
        <f t="shared" si="444"/>
        <v>-16.695</v>
      </c>
      <c r="D195" s="6">
        <f t="shared" si="444"/>
        <v>-4.6589999999999998</v>
      </c>
      <c r="E195" s="6">
        <f t="shared" si="444"/>
        <v>-10.85</v>
      </c>
      <c r="F195" s="6">
        <f t="shared" si="444"/>
        <v>-21.053000000000001</v>
      </c>
      <c r="G195" s="6">
        <f t="shared" si="444"/>
        <v>-17.395</v>
      </c>
      <c r="H195" s="6">
        <f t="shared" si="444"/>
        <v>-8.5690000000000008</v>
      </c>
      <c r="I195" s="6">
        <f t="shared" si="444"/>
        <v>-7.1260000000000003</v>
      </c>
      <c r="J195" s="6">
        <f t="shared" si="444"/>
        <v>-2.4470000000000001</v>
      </c>
      <c r="K195" s="6">
        <f t="shared" si="444"/>
        <v>-4.3529999999999998</v>
      </c>
      <c r="L195" s="6">
        <f t="shared" si="444"/>
        <v>-179.261</v>
      </c>
      <c r="M195" s="6">
        <f t="shared" si="430"/>
        <v>-168.9</v>
      </c>
      <c r="N195" s="6">
        <f t="shared" si="430"/>
        <v>-159.87899999999999</v>
      </c>
      <c r="O195" s="6">
        <f t="shared" si="430"/>
        <v>-217.21999999999997</v>
      </c>
      <c r="P195" s="6"/>
      <c r="Q195" s="6">
        <f t="shared" ref="Q195:AS195" si="445">Q66</f>
        <v>-2.899</v>
      </c>
      <c r="R195" s="6">
        <f t="shared" si="445"/>
        <v>-1.9509999999999996</v>
      </c>
      <c r="S195" s="6">
        <f t="shared" si="445"/>
        <v>-1.657</v>
      </c>
      <c r="T195" s="6">
        <f t="shared" si="445"/>
        <v>-4.343</v>
      </c>
      <c r="U195" s="6">
        <f t="shared" si="445"/>
        <v>-2.1909999999999998</v>
      </c>
      <c r="V195" s="6">
        <f t="shared" si="445"/>
        <v>-0.85799999999999998</v>
      </c>
      <c r="W195" s="6">
        <f t="shared" si="445"/>
        <v>-6.694</v>
      </c>
      <c r="X195" s="6">
        <f t="shared" si="445"/>
        <v>-7.9600000000000017</v>
      </c>
      <c r="Y195" s="6">
        <f t="shared" si="445"/>
        <v>-4.2080000000000002</v>
      </c>
      <c r="Z195" s="6">
        <f t="shared" si="445"/>
        <v>-3.0840000000000001</v>
      </c>
      <c r="AA195" s="6">
        <f t="shared" si="445"/>
        <v>-2.6279999999999997</v>
      </c>
      <c r="AB195" s="6">
        <f t="shared" si="445"/>
        <v>-1.1940000000000004</v>
      </c>
      <c r="AC195" s="6">
        <f t="shared" si="445"/>
        <v>-1.6629999999999998</v>
      </c>
      <c r="AD195" s="6">
        <f t="shared" si="445"/>
        <v>-0.78900000000000003</v>
      </c>
      <c r="AE195" s="6">
        <f t="shared" si="445"/>
        <v>-3.4019999999999997</v>
      </c>
      <c r="AF195" s="6">
        <f t="shared" si="445"/>
        <v>-0.82399999999999995</v>
      </c>
      <c r="AG195" s="6">
        <f t="shared" si="445"/>
        <v>-2.1110000000000007</v>
      </c>
      <c r="AH195" s="6">
        <f t="shared" si="445"/>
        <v>-1.635</v>
      </c>
      <c r="AI195" s="6">
        <f t="shared" si="445"/>
        <v>-0.28000000000000003</v>
      </c>
      <c r="AJ195" s="6">
        <f t="shared" si="445"/>
        <v>-0.43200000000000016</v>
      </c>
      <c r="AK195" s="6">
        <f t="shared" si="445"/>
        <v>-9.9999999999999645E-2</v>
      </c>
      <c r="AL195" s="6">
        <f t="shared" si="445"/>
        <v>-0.49299999999999999</v>
      </c>
      <c r="AM195" s="6">
        <f t="shared" si="445"/>
        <v>-2.0140000000000002</v>
      </c>
      <c r="AN195" s="6">
        <f t="shared" si="445"/>
        <v>-1.2789999999999999</v>
      </c>
      <c r="AO195" s="6">
        <f t="shared" si="445"/>
        <v>-0.56699999999999962</v>
      </c>
      <c r="AP195" s="6">
        <f t="shared" si="445"/>
        <v>-1.0329999999999999</v>
      </c>
      <c r="AQ195" s="6">
        <f t="shared" si="445"/>
        <v>-82.692999999999998</v>
      </c>
      <c r="AR195" s="6">
        <f t="shared" si="445"/>
        <v>-49.384999999999991</v>
      </c>
      <c r="AS195" s="6">
        <f t="shared" si="445"/>
        <v>-46.150000000000006</v>
      </c>
      <c r="AT195" s="6">
        <f t="shared" si="432"/>
        <v>-49.49</v>
      </c>
      <c r="AU195" s="6">
        <f t="shared" si="432"/>
        <v>-68.276999999999987</v>
      </c>
      <c r="AV195" s="6">
        <f t="shared" si="432"/>
        <v>-27.634999999999998</v>
      </c>
      <c r="AW195" s="6">
        <f t="shared" si="432"/>
        <v>-23.498000000000026</v>
      </c>
      <c r="AX195" s="6">
        <f t="shared" si="432"/>
        <v>-41.018000000000001</v>
      </c>
      <c r="AY195" s="6">
        <f t="shared" si="432"/>
        <v>-67.185999999999993</v>
      </c>
      <c r="AZ195" s="6">
        <f t="shared" si="432"/>
        <v>-25.366</v>
      </c>
      <c r="BA195" s="6">
        <f t="shared" si="432"/>
        <v>-26.308999999999983</v>
      </c>
      <c r="BB195" s="6">
        <f t="shared" si="433"/>
        <v>-48.351999999999997</v>
      </c>
      <c r="BC195" s="6">
        <f t="shared" si="433"/>
        <v>-110.36799999999999</v>
      </c>
      <c r="BD195" s="6">
        <f t="shared" si="433"/>
        <v>-32.191000000000003</v>
      </c>
      <c r="BE195" s="6"/>
      <c r="BF195" s="269"/>
      <c r="BG195" s="214"/>
      <c r="BH195" s="214"/>
      <c r="BI195" s="214"/>
      <c r="BJ195" s="214"/>
      <c r="BK195" s="214"/>
      <c r="BM195" s="214"/>
      <c r="BN195" s="192"/>
      <c r="BO195" s="214"/>
      <c r="BP195" s="214"/>
      <c r="BQ195" s="192"/>
      <c r="BR195" s="192"/>
      <c r="BS195" s="192"/>
      <c r="BT195" s="214"/>
      <c r="BU195" s="214"/>
      <c r="BV195" s="192"/>
      <c r="BW195" s="192"/>
      <c r="BX195" s="192"/>
      <c r="BY195" s="192"/>
      <c r="BZ195" s="214"/>
      <c r="CA195" s="214"/>
      <c r="CB195" s="192"/>
      <c r="CC195" s="192"/>
      <c r="CD195" s="214"/>
      <c r="CE195" s="214"/>
      <c r="CF195" s="192"/>
      <c r="CG195" s="192"/>
      <c r="CH195" s="214"/>
      <c r="CI195" s="214"/>
      <c r="CJ195" s="192"/>
      <c r="CK195" s="192"/>
      <c r="CL195" s="214"/>
      <c r="CM195" s="214"/>
      <c r="CQ195" s="206"/>
    </row>
    <row r="196" spans="2:98" ht="13.5" customHeight="1">
      <c r="B196" s="1" t="str">
        <f t="shared" ref="B196:L196" si="446">B67</f>
        <v>Disposals/ Acquisition, of subsidiaries</v>
      </c>
      <c r="C196" s="6">
        <f t="shared" si="446"/>
        <v>0</v>
      </c>
      <c r="D196" s="6">
        <f t="shared" si="446"/>
        <v>0</v>
      </c>
      <c r="E196" s="6">
        <f t="shared" si="446"/>
        <v>0</v>
      </c>
      <c r="F196" s="6">
        <f t="shared" si="446"/>
        <v>0</v>
      </c>
      <c r="G196" s="6">
        <f t="shared" si="446"/>
        <v>0</v>
      </c>
      <c r="H196" s="6">
        <f t="shared" si="446"/>
        <v>-3658.9090000000001</v>
      </c>
      <c r="I196" s="6">
        <f t="shared" si="446"/>
        <v>-428.21600000000001</v>
      </c>
      <c r="J196" s="6">
        <f t="shared" si="446"/>
        <v>-22.806999999999999</v>
      </c>
      <c r="K196" s="6">
        <f t="shared" si="446"/>
        <v>0</v>
      </c>
      <c r="L196" s="6">
        <f t="shared" si="446"/>
        <v>4462.4849999999997</v>
      </c>
      <c r="M196" s="6">
        <f t="shared" si="430"/>
        <v>0</v>
      </c>
      <c r="N196" s="6">
        <f t="shared" si="430"/>
        <v>0</v>
      </c>
      <c r="O196" s="6">
        <f t="shared" si="430"/>
        <v>-32.728000000000002</v>
      </c>
      <c r="P196" s="6"/>
      <c r="Q196" s="6">
        <f t="shared" ref="Q196:AS196" si="447">Q67</f>
        <v>0</v>
      </c>
      <c r="R196" s="6">
        <f t="shared" si="447"/>
        <v>0</v>
      </c>
      <c r="S196" s="6">
        <f t="shared" si="447"/>
        <v>0</v>
      </c>
      <c r="T196" s="6">
        <f t="shared" si="447"/>
        <v>0</v>
      </c>
      <c r="U196" s="6">
        <f t="shared" si="447"/>
        <v>0</v>
      </c>
      <c r="V196" s="6">
        <f t="shared" si="447"/>
        <v>0</v>
      </c>
      <c r="W196" s="6">
        <f t="shared" si="447"/>
        <v>0</v>
      </c>
      <c r="X196" s="6">
        <f t="shared" si="447"/>
        <v>0</v>
      </c>
      <c r="Y196" s="6">
        <f t="shared" si="447"/>
        <v>0</v>
      </c>
      <c r="Z196" s="6">
        <f t="shared" si="447"/>
        <v>0</v>
      </c>
      <c r="AA196" s="6">
        <f t="shared" si="447"/>
        <v>-3656.8690000000001</v>
      </c>
      <c r="AB196" s="6">
        <f t="shared" si="447"/>
        <v>-2.0399999999999636</v>
      </c>
      <c r="AC196" s="6">
        <f t="shared" si="447"/>
        <v>0</v>
      </c>
      <c r="AD196" s="6">
        <f t="shared" si="447"/>
        <v>-148.58199999999999</v>
      </c>
      <c r="AE196" s="6">
        <f t="shared" si="447"/>
        <v>-279.63400000000001</v>
      </c>
      <c r="AF196" s="6">
        <f t="shared" si="447"/>
        <v>0</v>
      </c>
      <c r="AG196" s="6">
        <f t="shared" si="447"/>
        <v>0</v>
      </c>
      <c r="AH196" s="6">
        <f t="shared" si="447"/>
        <v>0</v>
      </c>
      <c r="AI196" s="6">
        <f t="shared" si="447"/>
        <v>0</v>
      </c>
      <c r="AJ196" s="6">
        <f t="shared" si="447"/>
        <v>0</v>
      </c>
      <c r="AK196" s="6">
        <f t="shared" si="447"/>
        <v>-22.806999999999999</v>
      </c>
      <c r="AL196" s="6">
        <f t="shared" si="447"/>
        <v>0</v>
      </c>
      <c r="AM196" s="6">
        <f t="shared" si="447"/>
        <v>0</v>
      </c>
      <c r="AN196" s="6">
        <f t="shared" si="447"/>
        <v>0</v>
      </c>
      <c r="AO196" s="6">
        <f t="shared" si="447"/>
        <v>0</v>
      </c>
      <c r="AP196" s="6">
        <f t="shared" si="447"/>
        <v>0</v>
      </c>
      <c r="AQ196" s="6">
        <f t="shared" si="447"/>
        <v>4462.4849999999997</v>
      </c>
      <c r="AR196" s="6">
        <f t="shared" si="447"/>
        <v>0</v>
      </c>
      <c r="AS196" s="6">
        <f t="shared" si="447"/>
        <v>0</v>
      </c>
      <c r="AT196" s="6">
        <f t="shared" si="432"/>
        <v>0</v>
      </c>
      <c r="AU196" s="6">
        <f t="shared" si="432"/>
        <v>0</v>
      </c>
      <c r="AV196" s="6">
        <f t="shared" si="432"/>
        <v>0</v>
      </c>
      <c r="AW196" s="6">
        <f t="shared" si="432"/>
        <v>0</v>
      </c>
      <c r="AX196" s="6">
        <f t="shared" si="432"/>
        <v>0</v>
      </c>
      <c r="AY196" s="6">
        <f t="shared" si="432"/>
        <v>0</v>
      </c>
      <c r="AZ196" s="6">
        <f t="shared" si="432"/>
        <v>0</v>
      </c>
      <c r="BA196" s="6">
        <f t="shared" si="432"/>
        <v>0</v>
      </c>
      <c r="BB196" s="6">
        <f t="shared" si="433"/>
        <v>0</v>
      </c>
      <c r="BC196" s="6">
        <f t="shared" si="433"/>
        <v>0</v>
      </c>
      <c r="BD196" s="6">
        <f t="shared" si="433"/>
        <v>-32.728000000000002</v>
      </c>
      <c r="BE196" s="6"/>
      <c r="BF196" s="269"/>
      <c r="BG196" s="214"/>
      <c r="BH196" s="214"/>
      <c r="BI196" s="214"/>
      <c r="BJ196" s="214"/>
      <c r="BK196" s="214"/>
      <c r="BM196" s="214"/>
      <c r="BN196" s="192"/>
      <c r="BO196" s="214"/>
      <c r="BP196" s="214"/>
      <c r="BQ196" s="192"/>
      <c r="BR196" s="192"/>
      <c r="BS196" s="192"/>
      <c r="BT196" s="214"/>
      <c r="BU196" s="214"/>
      <c r="BV196" s="192"/>
      <c r="BW196" s="192"/>
      <c r="BX196" s="192"/>
      <c r="BY196" s="192"/>
      <c r="BZ196" s="214"/>
      <c r="CA196" s="214"/>
      <c r="CB196" s="192"/>
      <c r="CC196" s="192"/>
      <c r="CD196" s="214"/>
      <c r="CE196" s="214"/>
      <c r="CF196" s="192"/>
      <c r="CG196" s="192"/>
      <c r="CH196" s="214"/>
      <c r="CI196" s="214"/>
      <c r="CJ196" s="192"/>
      <c r="CK196" s="192"/>
      <c r="CL196" s="214"/>
      <c r="CM196" s="214"/>
      <c r="CQ196" s="206"/>
    </row>
    <row r="197" spans="2:98" ht="13.5" customHeight="1" thickBot="1">
      <c r="B197" s="66" t="str">
        <f t="shared" ref="B197:L197" si="448">B68</f>
        <v xml:space="preserve">Free cash flow </v>
      </c>
      <c r="C197" s="369">
        <f t="shared" si="448"/>
        <v>404.19144687111418</v>
      </c>
      <c r="D197" s="369">
        <f t="shared" si="448"/>
        <v>645.51408340711453</v>
      </c>
      <c r="E197" s="369">
        <f t="shared" si="448"/>
        <v>1149.7924033700424</v>
      </c>
      <c r="F197" s="369">
        <f t="shared" si="448"/>
        <v>-407.04385637641167</v>
      </c>
      <c r="G197" s="369">
        <f t="shared" si="448"/>
        <v>-829.70285637641155</v>
      </c>
      <c r="H197" s="369">
        <f t="shared" si="448"/>
        <v>-3077.8420000000001</v>
      </c>
      <c r="I197" s="369">
        <f t="shared" si="448"/>
        <v>384.42900000000031</v>
      </c>
      <c r="J197" s="369">
        <f t="shared" si="448"/>
        <v>4596.148000000002</v>
      </c>
      <c r="K197" s="369">
        <f t="shared" si="448"/>
        <v>8115.1770000000006</v>
      </c>
      <c r="L197" s="369">
        <f t="shared" si="448"/>
        <v>8627.9510000000009</v>
      </c>
      <c r="M197" s="369">
        <f t="shared" si="430"/>
        <v>2819.5360000000005</v>
      </c>
      <c r="N197" s="369">
        <f t="shared" si="430"/>
        <v>12743.313999999998</v>
      </c>
      <c r="O197" s="369">
        <f t="shared" si="430"/>
        <v>13389.397999999999</v>
      </c>
      <c r="P197" s="369"/>
      <c r="Q197" s="369">
        <f t="shared" ref="Q197:AS197" si="449">Q68</f>
        <v>29.460127380523545</v>
      </c>
      <c r="R197" s="369">
        <f t="shared" si="449"/>
        <v>426.51849588145433</v>
      </c>
      <c r="S197" s="369">
        <f t="shared" si="449"/>
        <v>233.84224638228591</v>
      </c>
      <c r="T197" s="369">
        <f t="shared" si="449"/>
        <v>460.7715337257784</v>
      </c>
      <c r="U197" s="369">
        <f t="shared" si="449"/>
        <v>-59.541000000000011</v>
      </c>
      <c r="V197" s="369">
        <f t="shared" si="449"/>
        <v>-63.958988732113205</v>
      </c>
      <c r="W197" s="369">
        <f t="shared" si="449"/>
        <v>-241.05781561819211</v>
      </c>
      <c r="X197" s="369">
        <f t="shared" si="449"/>
        <v>-325.30664620387961</v>
      </c>
      <c r="Y197" s="369">
        <f t="shared" si="449"/>
        <v>218.8616054456601</v>
      </c>
      <c r="Z197" s="369">
        <f t="shared" si="449"/>
        <v>-186.96300000000002</v>
      </c>
      <c r="AA197" s="369">
        <f t="shared" si="449"/>
        <v>-4005.0950000000003</v>
      </c>
      <c r="AB197" s="369">
        <f t="shared" si="449"/>
        <v>551.58299999999997</v>
      </c>
      <c r="AC197" s="369">
        <f t="shared" si="449"/>
        <v>562.63300000000004</v>
      </c>
      <c r="AD197" s="369">
        <f t="shared" si="449"/>
        <v>-708.53899999999987</v>
      </c>
      <c r="AE197" s="369">
        <f t="shared" si="449"/>
        <v>322.59899999999948</v>
      </c>
      <c r="AF197" s="369">
        <f t="shared" si="449"/>
        <v>783.29399999999998</v>
      </c>
      <c r="AG197" s="369">
        <f t="shared" si="449"/>
        <v>-12.924999999999851</v>
      </c>
      <c r="AH197" s="369">
        <f t="shared" si="449"/>
        <v>-567.53400000000011</v>
      </c>
      <c r="AI197" s="369">
        <f t="shared" si="449"/>
        <v>3282.2570000000001</v>
      </c>
      <c r="AJ197" s="369">
        <f t="shared" si="449"/>
        <v>747.03200000000015</v>
      </c>
      <c r="AK197" s="369">
        <f t="shared" si="449"/>
        <v>1134.3929999999996</v>
      </c>
      <c r="AL197" s="369">
        <f t="shared" si="449"/>
        <v>691.88900000000001</v>
      </c>
      <c r="AM197" s="369">
        <f t="shared" si="449"/>
        <v>2590.7189999999996</v>
      </c>
      <c r="AN197" s="369">
        <f t="shared" si="449"/>
        <v>4137.4509999999991</v>
      </c>
      <c r="AO197" s="369">
        <f t="shared" si="449"/>
        <v>695.11799999999994</v>
      </c>
      <c r="AP197" s="369">
        <f t="shared" si="449"/>
        <v>4079.3309999999997</v>
      </c>
      <c r="AQ197" s="369">
        <f t="shared" si="449"/>
        <v>4925.9979999999996</v>
      </c>
      <c r="AR197" s="369">
        <f t="shared" si="449"/>
        <v>1373.5740000000003</v>
      </c>
      <c r="AS197" s="369">
        <f t="shared" si="449"/>
        <v>-1750.9520000000011</v>
      </c>
      <c r="AT197" s="369">
        <f t="shared" si="432"/>
        <v>-1080.6840000000002</v>
      </c>
      <c r="AU197" s="369">
        <f t="shared" si="432"/>
        <v>428.66699999999975</v>
      </c>
      <c r="AV197" s="369">
        <f t="shared" si="432"/>
        <v>2421.1730000000011</v>
      </c>
      <c r="AW197" s="369">
        <f t="shared" si="432"/>
        <v>1050.3800000000006</v>
      </c>
      <c r="AX197" s="369">
        <f t="shared" si="432"/>
        <v>-800.08999999999992</v>
      </c>
      <c r="AY197" s="369">
        <f t="shared" si="432"/>
        <v>1481.0219999999999</v>
      </c>
      <c r="AZ197" s="369">
        <f t="shared" si="432"/>
        <v>1171.6010000000006</v>
      </c>
      <c r="BA197" s="369">
        <f t="shared" si="432"/>
        <v>10890.781000000001</v>
      </c>
      <c r="BB197" s="369">
        <f t="shared" si="433"/>
        <v>2037.2009999999993</v>
      </c>
      <c r="BC197" s="369">
        <f t="shared" si="433"/>
        <v>305.95299999999992</v>
      </c>
      <c r="BD197" s="369">
        <f t="shared" si="433"/>
        <v>155.46300000000051</v>
      </c>
      <c r="BE197" s="8"/>
      <c r="BF197" s="271"/>
      <c r="BG197" s="216"/>
      <c r="BH197" s="216"/>
      <c r="BI197" s="216"/>
      <c r="BJ197" s="216"/>
      <c r="BK197" s="216"/>
      <c r="BM197" s="216"/>
      <c r="BN197" s="192"/>
      <c r="BO197" s="216"/>
      <c r="BP197" s="216"/>
      <c r="BQ197" s="192"/>
      <c r="BR197" s="192"/>
      <c r="BS197" s="192"/>
      <c r="BT197" s="216"/>
      <c r="BU197" s="216"/>
      <c r="BV197" s="192"/>
      <c r="BW197" s="192"/>
      <c r="BX197" s="192"/>
      <c r="BY197" s="192"/>
      <c r="BZ197" s="216"/>
      <c r="CA197" s="216"/>
      <c r="CB197" s="192"/>
      <c r="CC197" s="192"/>
      <c r="CD197" s="216"/>
      <c r="CE197" s="216"/>
      <c r="CF197" s="192"/>
      <c r="CG197" s="192"/>
      <c r="CH197" s="216"/>
      <c r="CI197" s="216"/>
      <c r="CJ197" s="192"/>
      <c r="CK197" s="192"/>
      <c r="CL197" s="216"/>
      <c r="CM197" s="216"/>
      <c r="CQ197" s="206"/>
    </row>
    <row r="198" spans="2:98" ht="13.5" customHeight="1" thickTop="1">
      <c r="B198" s="1" t="str">
        <f t="shared" ref="B198:L198" si="450">B69</f>
        <v>Other Investing</v>
      </c>
      <c r="C198" s="6">
        <f t="shared" si="450"/>
        <v>3.9569999999999999</v>
      </c>
      <c r="D198" s="6">
        <f t="shared" si="450"/>
        <v>-42.415999999999997</v>
      </c>
      <c r="E198" s="6">
        <f t="shared" si="450"/>
        <v>-61.287999999999997</v>
      </c>
      <c r="F198" s="6">
        <f t="shared" si="450"/>
        <v>-7.5839999999999996</v>
      </c>
      <c r="G198" s="6">
        <f t="shared" si="450"/>
        <v>0</v>
      </c>
      <c r="H198" s="6">
        <f t="shared" si="450"/>
        <v>1.0999999999999999E-2</v>
      </c>
      <c r="I198" s="6">
        <f t="shared" si="450"/>
        <v>-1.2999999999999999E-2</v>
      </c>
      <c r="J198" s="6">
        <f t="shared" si="450"/>
        <v>7.0000000000000001E-3</v>
      </c>
      <c r="K198" s="6">
        <f t="shared" si="450"/>
        <v>-2556.4789999999998</v>
      </c>
      <c r="L198" s="6">
        <f t="shared" si="450"/>
        <v>-2448.4320000000002</v>
      </c>
      <c r="M198" s="6">
        <f t="shared" si="430"/>
        <v>-2448.4320000000002</v>
      </c>
      <c r="N198" s="6">
        <f t="shared" si="430"/>
        <v>-2607.0830000000001</v>
      </c>
      <c r="O198" s="6">
        <f t="shared" si="430"/>
        <v>-2066.2879999999996</v>
      </c>
      <c r="P198" s="6"/>
      <c r="Q198" s="6">
        <f t="shared" ref="Q198:AS198" si="451">Q69</f>
        <v>-15.214</v>
      </c>
      <c r="R198" s="6">
        <f t="shared" si="451"/>
        <v>-15.426</v>
      </c>
      <c r="S198" s="6">
        <f t="shared" si="451"/>
        <v>-16.036999999999999</v>
      </c>
      <c r="T198" s="6">
        <f t="shared" si="451"/>
        <v>-14.610999999999997</v>
      </c>
      <c r="U198" s="6">
        <f t="shared" si="451"/>
        <v>-16.414000000000001</v>
      </c>
      <c r="V198" s="6">
        <f t="shared" si="451"/>
        <v>-14.715</v>
      </c>
      <c r="W198" s="6">
        <f t="shared" si="451"/>
        <v>11.926</v>
      </c>
      <c r="X198" s="6">
        <f t="shared" si="451"/>
        <v>-1.0449999999999999</v>
      </c>
      <c r="Y198" s="6">
        <f t="shared" si="451"/>
        <v>-2.0509999999999948</v>
      </c>
      <c r="Z198" s="6">
        <f t="shared" si="451"/>
        <v>0</v>
      </c>
      <c r="AA198" s="6">
        <f t="shared" si="451"/>
        <v>0</v>
      </c>
      <c r="AB198" s="6">
        <f t="shared" si="451"/>
        <v>0</v>
      </c>
      <c r="AC198" s="6">
        <f t="shared" si="451"/>
        <v>1.0999999999999999E-2</v>
      </c>
      <c r="AD198" s="6">
        <f t="shared" si="451"/>
        <v>0</v>
      </c>
      <c r="AE198" s="6">
        <f t="shared" si="451"/>
        <v>-1.4E-2</v>
      </c>
      <c r="AF198" s="6">
        <f t="shared" si="451"/>
        <v>1.0000000000000009E-3</v>
      </c>
      <c r="AG198" s="6">
        <f t="shared" si="451"/>
        <v>0</v>
      </c>
      <c r="AH198" s="6">
        <f t="shared" si="451"/>
        <v>0</v>
      </c>
      <c r="AI198" s="6">
        <f t="shared" si="451"/>
        <v>0</v>
      </c>
      <c r="AJ198" s="6">
        <f t="shared" si="451"/>
        <v>7.0000000000000001E-3</v>
      </c>
      <c r="AK198" s="6">
        <f t="shared" si="451"/>
        <v>0</v>
      </c>
      <c r="AL198" s="6">
        <f t="shared" si="451"/>
        <v>0</v>
      </c>
      <c r="AM198" s="6">
        <f t="shared" si="451"/>
        <v>0</v>
      </c>
      <c r="AN198" s="6">
        <f t="shared" si="451"/>
        <v>-18.937999999999999</v>
      </c>
      <c r="AO198" s="6">
        <f t="shared" si="451"/>
        <v>-2537.5409999999997</v>
      </c>
      <c r="AP198" s="6">
        <f t="shared" si="451"/>
        <v>-1913.069</v>
      </c>
      <c r="AQ198" s="6">
        <f t="shared" si="451"/>
        <v>1072.4739999999999</v>
      </c>
      <c r="AR198" s="6">
        <f t="shared" si="451"/>
        <v>180.55000000000018</v>
      </c>
      <c r="AS198" s="6">
        <f t="shared" si="451"/>
        <v>-1788.3870000000002</v>
      </c>
      <c r="AT198" s="6">
        <f t="shared" si="432"/>
        <v>2075.5619999999999</v>
      </c>
      <c r="AU198" s="6">
        <f t="shared" si="432"/>
        <v>649.08400000000029</v>
      </c>
      <c r="AV198" s="6">
        <f t="shared" si="432"/>
        <v>-5940.3970000000008</v>
      </c>
      <c r="AW198" s="6">
        <f t="shared" si="432"/>
        <v>767.31900000000041</v>
      </c>
      <c r="AX198" s="6">
        <f t="shared" si="432"/>
        <v>-1418.5819999999999</v>
      </c>
      <c r="AY198" s="6">
        <f t="shared" si="432"/>
        <v>-161.28899999999999</v>
      </c>
      <c r="AZ198" s="6">
        <f t="shared" si="432"/>
        <v>1148.7449999999999</v>
      </c>
      <c r="BA198" s="6">
        <f t="shared" si="432"/>
        <v>-2175.9569999999999</v>
      </c>
      <c r="BB198" s="6">
        <f t="shared" si="433"/>
        <v>1335.4579999999999</v>
      </c>
      <c r="BC198" s="6">
        <f t="shared" si="433"/>
        <v>-2583.1170000000002</v>
      </c>
      <c r="BD198" s="6">
        <f t="shared" si="433"/>
        <v>1357.3280000000004</v>
      </c>
      <c r="BE198" s="6"/>
      <c r="BF198" s="269"/>
      <c r="BG198" s="214"/>
      <c r="BH198" s="214"/>
      <c r="BI198" s="214"/>
      <c r="BJ198" s="214"/>
      <c r="BK198" s="214"/>
      <c r="BM198" s="214"/>
      <c r="BN198" s="192"/>
      <c r="BO198" s="214"/>
      <c r="BP198" s="214"/>
      <c r="BQ198" s="192"/>
      <c r="BR198" s="192"/>
      <c r="BS198" s="192"/>
      <c r="BT198" s="214"/>
      <c r="BU198" s="214"/>
      <c r="BV198" s="192"/>
      <c r="BW198" s="192"/>
      <c r="BX198" s="192"/>
      <c r="BY198" s="192"/>
      <c r="BZ198" s="214"/>
      <c r="CA198" s="214"/>
      <c r="CB198" s="192"/>
      <c r="CC198" s="192"/>
      <c r="CD198" s="214"/>
      <c r="CE198" s="214"/>
      <c r="CF198" s="192"/>
      <c r="CG198" s="192"/>
      <c r="CH198" s="214"/>
      <c r="CI198" s="214"/>
      <c r="CJ198" s="192"/>
      <c r="CK198" s="192"/>
      <c r="CL198" s="214"/>
      <c r="CM198" s="214"/>
      <c r="CQ198" s="206"/>
    </row>
    <row r="199" spans="2:98" ht="13.5" customHeight="1">
      <c r="B199" s="1" t="str">
        <f t="shared" ref="B199:L199" si="452">B70</f>
        <v>Equity Issuance/Buyback</v>
      </c>
      <c r="C199" s="6">
        <f t="shared" si="452"/>
        <v>-4.0670000000000002</v>
      </c>
      <c r="D199" s="6">
        <f t="shared" si="452"/>
        <v>-6.52</v>
      </c>
      <c r="E199" s="6">
        <f t="shared" si="452"/>
        <v>-5.5980000000000008</v>
      </c>
      <c r="F199" s="6">
        <f t="shared" si="452"/>
        <v>-85.031000000000006</v>
      </c>
      <c r="G199" s="6">
        <f t="shared" si="452"/>
        <v>-85.031000000000006</v>
      </c>
      <c r="H199" s="6">
        <f t="shared" si="452"/>
        <v>-9.8719999999999999</v>
      </c>
      <c r="I199" s="6">
        <f t="shared" si="452"/>
        <v>831.70799999999997</v>
      </c>
      <c r="J199" s="6">
        <f t="shared" si="452"/>
        <v>-101.922</v>
      </c>
      <c r="K199" s="6">
        <f t="shared" si="452"/>
        <v>-656.42200000000003</v>
      </c>
      <c r="L199" s="6">
        <f t="shared" si="452"/>
        <v>-78.769000000000005</v>
      </c>
      <c r="M199" s="6">
        <f t="shared" si="430"/>
        <v>5546.9349999999995</v>
      </c>
      <c r="N199" s="6">
        <f t="shared" si="430"/>
        <v>-1849.212</v>
      </c>
      <c r="O199" s="6">
        <f t="shared" si="430"/>
        <v>-1982.347</v>
      </c>
      <c r="P199" s="6"/>
      <c r="Q199" s="6">
        <f t="shared" ref="Q199:AS199" si="453">Q70</f>
        <v>-7.0470000000000006</v>
      </c>
      <c r="R199" s="6">
        <f t="shared" si="453"/>
        <v>0.85299999999999976</v>
      </c>
      <c r="S199" s="6">
        <f t="shared" si="453"/>
        <v>0.59600000000000009</v>
      </c>
      <c r="T199" s="6">
        <f t="shared" si="453"/>
        <v>0</v>
      </c>
      <c r="U199" s="6">
        <f t="shared" si="453"/>
        <v>-88.820000000000007</v>
      </c>
      <c r="V199" s="6">
        <f t="shared" si="453"/>
        <v>-88.820000000000007</v>
      </c>
      <c r="W199" s="6">
        <f t="shared" si="453"/>
        <v>0.85700000000001353</v>
      </c>
      <c r="X199" s="6">
        <f t="shared" si="453"/>
        <v>2.7529999999999859</v>
      </c>
      <c r="Y199" s="6">
        <f t="shared" si="453"/>
        <v>0.17900000000000205</v>
      </c>
      <c r="Z199" s="6">
        <f t="shared" si="453"/>
        <v>-3.125</v>
      </c>
      <c r="AA199" s="6">
        <f t="shared" si="453"/>
        <v>2.5470000000000002</v>
      </c>
      <c r="AB199" s="6">
        <f t="shared" si="453"/>
        <v>-3.3179999999999996</v>
      </c>
      <c r="AC199" s="6">
        <f t="shared" si="453"/>
        <v>-5.9760000000000009</v>
      </c>
      <c r="AD199" s="6">
        <f t="shared" si="453"/>
        <v>-0.97799999999999998</v>
      </c>
      <c r="AE199" s="6">
        <f t="shared" si="453"/>
        <v>3.3079999999999998</v>
      </c>
      <c r="AF199" s="6">
        <f t="shared" si="453"/>
        <v>-57.594000000000001</v>
      </c>
      <c r="AG199" s="6">
        <f t="shared" si="453"/>
        <v>886.97199999999998</v>
      </c>
      <c r="AH199" s="6">
        <f t="shared" si="453"/>
        <v>-43.508000000000003</v>
      </c>
      <c r="AI199" s="6">
        <f t="shared" si="453"/>
        <v>10.648000000000003</v>
      </c>
      <c r="AJ199" s="6">
        <f t="shared" si="453"/>
        <v>1.6639999999999944</v>
      </c>
      <c r="AK199" s="6">
        <f t="shared" si="453"/>
        <v>-70.725999999999971</v>
      </c>
      <c r="AL199" s="6">
        <f t="shared" si="453"/>
        <v>-7.1769999999999996</v>
      </c>
      <c r="AM199" s="6">
        <f t="shared" si="453"/>
        <v>-142.46800000000002</v>
      </c>
      <c r="AN199" s="6">
        <f t="shared" si="453"/>
        <v>1.0980000000000203</v>
      </c>
      <c r="AO199" s="6">
        <f t="shared" si="453"/>
        <v>-507.87500000000011</v>
      </c>
      <c r="AP199" s="6">
        <f t="shared" si="453"/>
        <v>-77.27</v>
      </c>
      <c r="AQ199" s="6">
        <f t="shared" si="453"/>
        <v>-4.2060000000000031</v>
      </c>
      <c r="AR199" s="6">
        <f t="shared" si="453"/>
        <v>2.6140000000000043</v>
      </c>
      <c r="AS199" s="6">
        <f t="shared" si="453"/>
        <v>9.2999999999989313E-2</v>
      </c>
      <c r="AT199" s="6">
        <f t="shared" ref="AT199:BA208" si="454">AT70</f>
        <v>-112.568</v>
      </c>
      <c r="AU199" s="6">
        <f t="shared" si="454"/>
        <v>-43.641000000000005</v>
      </c>
      <c r="AV199" s="6">
        <f t="shared" si="454"/>
        <v>5761.4579999999996</v>
      </c>
      <c r="AW199" s="6">
        <f t="shared" si="454"/>
        <v>-58.314000000000121</v>
      </c>
      <c r="AX199" s="6">
        <f t="shared" si="454"/>
        <v>-199.023</v>
      </c>
      <c r="AY199" s="6">
        <f t="shared" si="454"/>
        <v>-442.64199999999994</v>
      </c>
      <c r="AZ199" s="6">
        <f t="shared" si="454"/>
        <v>-663.24400000000026</v>
      </c>
      <c r="BA199" s="6">
        <f t="shared" si="454"/>
        <v>-544.30299999999988</v>
      </c>
      <c r="BB199" s="6">
        <f t="shared" si="433"/>
        <v>-799.77800000000002</v>
      </c>
      <c r="BC199" s="6">
        <f t="shared" si="433"/>
        <v>-515.27600000000007</v>
      </c>
      <c r="BD199" s="6">
        <f t="shared" si="433"/>
        <v>-122.99000000000001</v>
      </c>
      <c r="BE199" s="6"/>
      <c r="BF199" s="269"/>
      <c r="BG199" s="214"/>
      <c r="BH199" s="214"/>
      <c r="BI199" s="214"/>
      <c r="BJ199" s="214"/>
      <c r="BK199" s="214"/>
      <c r="BM199" s="214"/>
      <c r="BN199" s="192"/>
      <c r="BO199" s="214"/>
      <c r="BP199" s="214"/>
      <c r="BQ199" s="192"/>
      <c r="BR199" s="192"/>
      <c r="BS199" s="192"/>
      <c r="BT199" s="214"/>
      <c r="BU199" s="214"/>
      <c r="BV199" s="192"/>
      <c r="BW199" s="192"/>
      <c r="BX199" s="192"/>
      <c r="BY199" s="192"/>
      <c r="BZ199" s="214"/>
      <c r="CA199" s="214"/>
      <c r="CB199" s="192"/>
      <c r="CC199" s="192"/>
      <c r="CD199" s="214"/>
      <c r="CE199" s="214"/>
      <c r="CF199" s="192"/>
      <c r="CG199" s="192"/>
      <c r="CH199" s="214"/>
      <c r="CI199" s="214"/>
      <c r="CJ199" s="192"/>
      <c r="CK199" s="192"/>
      <c r="CL199" s="214"/>
      <c r="CM199" s="214"/>
      <c r="CQ199" s="206"/>
    </row>
    <row r="200" spans="2:98" s="5" customFormat="1" ht="13.5" customHeight="1">
      <c r="B200" s="1" t="str">
        <f t="shared" ref="B200:L200" si="455">B71</f>
        <v xml:space="preserve">Dividends received  / Dividends Paid </v>
      </c>
      <c r="C200" s="6">
        <f t="shared" si="455"/>
        <v>0</v>
      </c>
      <c r="D200" s="6">
        <f t="shared" si="455"/>
        <v>0</v>
      </c>
      <c r="E200" s="6">
        <f t="shared" si="455"/>
        <v>0</v>
      </c>
      <c r="F200" s="6">
        <f t="shared" si="455"/>
        <v>-12.77</v>
      </c>
      <c r="G200" s="6">
        <f t="shared" si="455"/>
        <v>0</v>
      </c>
      <c r="H200" s="6">
        <f t="shared" si="455"/>
        <v>-461.173</v>
      </c>
      <c r="I200" s="6">
        <f t="shared" si="455"/>
        <v>-2075.0439999999999</v>
      </c>
      <c r="J200" s="6">
        <f t="shared" si="455"/>
        <v>-1283.405</v>
      </c>
      <c r="K200" s="6">
        <f t="shared" si="455"/>
        <v>-3744.9270000000001</v>
      </c>
      <c r="L200" s="6">
        <f t="shared" si="455"/>
        <v>-2769.703</v>
      </c>
      <c r="M200" s="6">
        <f t="shared" si="430"/>
        <v>-340.76299999999998</v>
      </c>
      <c r="N200" s="6">
        <f t="shared" si="430"/>
        <v>-3135.078</v>
      </c>
      <c r="O200" s="6">
        <f t="shared" si="430"/>
        <v>-6980.7640000000001</v>
      </c>
      <c r="P200" s="6"/>
      <c r="Q200" s="6">
        <f t="shared" ref="Q200:AS200" si="456">Q71</f>
        <v>0</v>
      </c>
      <c r="R200" s="6">
        <f t="shared" si="456"/>
        <v>0</v>
      </c>
      <c r="S200" s="6">
        <f t="shared" si="456"/>
        <v>0</v>
      </c>
      <c r="T200" s="6">
        <f t="shared" si="456"/>
        <v>0</v>
      </c>
      <c r="U200" s="6">
        <f t="shared" si="456"/>
        <v>0</v>
      </c>
      <c r="V200" s="6">
        <f t="shared" si="456"/>
        <v>0</v>
      </c>
      <c r="W200" s="6">
        <f t="shared" si="456"/>
        <v>0</v>
      </c>
      <c r="X200" s="6">
        <f t="shared" si="456"/>
        <v>0</v>
      </c>
      <c r="Y200" s="6">
        <f t="shared" si="456"/>
        <v>-12.77</v>
      </c>
      <c r="Z200" s="6">
        <f t="shared" si="456"/>
        <v>0</v>
      </c>
      <c r="AA200" s="6">
        <f t="shared" si="456"/>
        <v>-77.695999999999998</v>
      </c>
      <c r="AB200" s="6">
        <f t="shared" si="456"/>
        <v>-230.08500000000001</v>
      </c>
      <c r="AC200" s="6">
        <f t="shared" si="456"/>
        <v>-153.392</v>
      </c>
      <c r="AD200" s="6">
        <f t="shared" si="456"/>
        <v>0</v>
      </c>
      <c r="AE200" s="6">
        <f t="shared" si="456"/>
        <v>-588.60900000000004</v>
      </c>
      <c r="AF200" s="6">
        <f t="shared" si="456"/>
        <v>-314.68499999999995</v>
      </c>
      <c r="AG200" s="6">
        <f t="shared" si="456"/>
        <v>-1171.75</v>
      </c>
      <c r="AH200" s="6">
        <f t="shared" si="456"/>
        <v>0</v>
      </c>
      <c r="AI200" s="6">
        <f t="shared" si="456"/>
        <v>-53.576000000000001</v>
      </c>
      <c r="AJ200" s="6">
        <f t="shared" si="456"/>
        <v>-770.26699999999994</v>
      </c>
      <c r="AK200" s="6">
        <f t="shared" si="456"/>
        <v>-459.56200000000001</v>
      </c>
      <c r="AL200" s="6">
        <f t="shared" si="456"/>
        <v>-143.39699999999999</v>
      </c>
      <c r="AM200" s="6">
        <f t="shared" si="456"/>
        <v>-517.11400000000003</v>
      </c>
      <c r="AN200" s="6">
        <f t="shared" si="456"/>
        <v>-1742.2809999999999</v>
      </c>
      <c r="AO200" s="6">
        <f t="shared" si="456"/>
        <v>-1342.1350000000002</v>
      </c>
      <c r="AP200" s="6">
        <f t="shared" si="456"/>
        <v>-356.798</v>
      </c>
      <c r="AQ200" s="6">
        <f t="shared" si="456"/>
        <v>-854.53199999999993</v>
      </c>
      <c r="AR200" s="6">
        <f t="shared" si="456"/>
        <v>-673.34300000000007</v>
      </c>
      <c r="AS200" s="6">
        <f t="shared" si="456"/>
        <v>-885.02999999999975</v>
      </c>
      <c r="AT200" s="6">
        <f t="shared" si="454"/>
        <v>0</v>
      </c>
      <c r="AU200" s="6">
        <f t="shared" si="454"/>
        <v>-59.755000000000003</v>
      </c>
      <c r="AV200" s="6">
        <f t="shared" si="454"/>
        <v>-144.96700000000001</v>
      </c>
      <c r="AW200" s="6">
        <f t="shared" si="454"/>
        <v>-136.04099999999997</v>
      </c>
      <c r="AX200" s="6">
        <f t="shared" si="454"/>
        <v>0</v>
      </c>
      <c r="AY200" s="6">
        <f t="shared" si="454"/>
        <v>0</v>
      </c>
      <c r="AZ200" s="6">
        <f t="shared" si="454"/>
        <v>0</v>
      </c>
      <c r="BA200" s="6">
        <f t="shared" si="454"/>
        <v>-3135.078</v>
      </c>
      <c r="BB200" s="6">
        <f t="shared" si="433"/>
        <v>-0.11899999999999999</v>
      </c>
      <c r="BC200" s="6">
        <f t="shared" si="433"/>
        <v>0.11899999999999999</v>
      </c>
      <c r="BD200" s="6">
        <f t="shared" si="433"/>
        <v>-3845.6860000000001</v>
      </c>
      <c r="BE200" s="6"/>
      <c r="BF200" s="269"/>
      <c r="BG200" s="214"/>
      <c r="BH200" s="214"/>
      <c r="BI200" s="214"/>
      <c r="BJ200" s="214"/>
      <c r="BK200" s="214"/>
      <c r="BM200" s="214"/>
      <c r="BN200" s="188"/>
      <c r="BO200" s="214"/>
      <c r="BP200" s="214"/>
      <c r="BQ200" s="188"/>
      <c r="BR200" s="188"/>
      <c r="BS200" s="188"/>
      <c r="BT200" s="214"/>
      <c r="BU200" s="214"/>
      <c r="BV200" s="188"/>
      <c r="BW200" s="188"/>
      <c r="BX200" s="188"/>
      <c r="BY200" s="188"/>
      <c r="BZ200" s="214"/>
      <c r="CA200" s="214"/>
      <c r="CB200" s="188"/>
      <c r="CC200" s="188"/>
      <c r="CD200" s="214"/>
      <c r="CE200" s="214"/>
      <c r="CF200" s="188"/>
      <c r="CG200" s="188"/>
      <c r="CH200" s="214"/>
      <c r="CI200" s="214"/>
      <c r="CJ200" s="188"/>
      <c r="CK200" s="188"/>
      <c r="CL200" s="214"/>
      <c r="CM200" s="214"/>
      <c r="CN200" s="1"/>
      <c r="CO200" s="1"/>
      <c r="CP200" s="1"/>
      <c r="CQ200" s="206"/>
      <c r="CR200" s="1"/>
      <c r="CS200" s="1"/>
      <c r="CT200" s="1"/>
    </row>
    <row r="201" spans="2:98" ht="13.5" customHeight="1">
      <c r="B201" s="1" t="str">
        <f t="shared" ref="B201:L201" si="457">B72</f>
        <v>Change in debt /Finance Costs</v>
      </c>
      <c r="C201" s="6">
        <f t="shared" si="457"/>
        <v>-1029.3630000000001</v>
      </c>
      <c r="D201" s="6">
        <f t="shared" si="457"/>
        <v>-4099.2340000000004</v>
      </c>
      <c r="E201" s="6">
        <f t="shared" si="457"/>
        <v>-365.38199999999995</v>
      </c>
      <c r="F201" s="6">
        <f t="shared" si="457"/>
        <v>38.046000000000049</v>
      </c>
      <c r="G201" s="6">
        <f t="shared" si="457"/>
        <v>-876.37900000000002</v>
      </c>
      <c r="H201" s="6">
        <f t="shared" si="457"/>
        <v>1485.021</v>
      </c>
      <c r="I201" s="6">
        <f t="shared" si="457"/>
        <v>5950.9280000000008</v>
      </c>
      <c r="J201" s="6">
        <f t="shared" si="457"/>
        <v>-477.67099999999988</v>
      </c>
      <c r="K201" s="6">
        <f t="shared" si="457"/>
        <v>-720.9849999999999</v>
      </c>
      <c r="L201" s="6">
        <f t="shared" si="457"/>
        <v>3604.7750000000033</v>
      </c>
      <c r="M201" s="6">
        <f t="shared" si="430"/>
        <v>-8331.2510000000002</v>
      </c>
      <c r="N201" s="6">
        <f t="shared" si="430"/>
        <v>-10396.249999999996</v>
      </c>
      <c r="O201" s="6">
        <f t="shared" si="430"/>
        <v>-2352.8370000000014</v>
      </c>
      <c r="P201" s="6"/>
      <c r="Q201" s="6">
        <f t="shared" ref="Q201:AS201" si="458">Q72</f>
        <v>252.00399999999996</v>
      </c>
      <c r="R201" s="6">
        <f t="shared" si="458"/>
        <v>26.59899999999999</v>
      </c>
      <c r="S201" s="6">
        <f t="shared" si="458"/>
        <v>180.60200000000009</v>
      </c>
      <c r="T201" s="6">
        <f t="shared" si="458"/>
        <v>-824.58699999999999</v>
      </c>
      <c r="U201" s="6">
        <f t="shared" si="458"/>
        <v>662.70600000000002</v>
      </c>
      <c r="V201" s="6">
        <f t="shared" si="458"/>
        <v>687.58199999999999</v>
      </c>
      <c r="W201" s="6">
        <f t="shared" si="458"/>
        <v>-486.92500000000001</v>
      </c>
      <c r="X201" s="6">
        <f t="shared" si="458"/>
        <v>-293.346</v>
      </c>
      <c r="Y201" s="6">
        <f t="shared" si="458"/>
        <v>155.61099999999999</v>
      </c>
      <c r="Z201" s="6">
        <f t="shared" si="458"/>
        <v>2111.2429999999999</v>
      </c>
      <c r="AA201" s="6">
        <f t="shared" si="458"/>
        <v>2774.0509999999999</v>
      </c>
      <c r="AB201" s="6">
        <f t="shared" si="458"/>
        <v>-504.85399999999936</v>
      </c>
      <c r="AC201" s="6">
        <f t="shared" si="458"/>
        <v>-2895.4190000000008</v>
      </c>
      <c r="AD201" s="6">
        <f t="shared" si="458"/>
        <v>905.99299999999994</v>
      </c>
      <c r="AE201" s="6">
        <f t="shared" si="458"/>
        <v>413.85699999999997</v>
      </c>
      <c r="AF201" s="6">
        <f t="shared" si="458"/>
        <v>1059.6950000000002</v>
      </c>
      <c r="AG201" s="6">
        <f t="shared" si="458"/>
        <v>3571.3830000000003</v>
      </c>
      <c r="AH201" s="6">
        <f t="shared" si="458"/>
        <v>-1145.7540000000001</v>
      </c>
      <c r="AI201" s="6">
        <f t="shared" si="458"/>
        <v>-2544.9690000000001</v>
      </c>
      <c r="AJ201" s="6">
        <f t="shared" si="458"/>
        <v>1184.1290000000001</v>
      </c>
      <c r="AK201" s="6">
        <f t="shared" si="458"/>
        <v>2028.9230000000002</v>
      </c>
      <c r="AL201" s="6">
        <f t="shared" si="458"/>
        <v>-1057.26</v>
      </c>
      <c r="AM201" s="6">
        <f t="shared" si="458"/>
        <v>1743.7139999999999</v>
      </c>
      <c r="AN201" s="6">
        <f t="shared" si="458"/>
        <v>-5219.875</v>
      </c>
      <c r="AO201" s="6">
        <f t="shared" si="458"/>
        <v>3812.4360000000006</v>
      </c>
      <c r="AP201" s="6">
        <f t="shared" si="458"/>
        <v>5232.9839999999995</v>
      </c>
      <c r="AQ201" s="6">
        <f t="shared" si="458"/>
        <v>-2643.1669999999995</v>
      </c>
      <c r="AR201" s="6">
        <f t="shared" si="458"/>
        <v>-244.64900000000034</v>
      </c>
      <c r="AS201" s="6">
        <f t="shared" si="458"/>
        <v>1259.6070000000036</v>
      </c>
      <c r="AT201" s="6">
        <f t="shared" si="454"/>
        <v>-1876.8480000000002</v>
      </c>
      <c r="AU201" s="6">
        <f t="shared" si="454"/>
        <v>-906.22099999999978</v>
      </c>
      <c r="AV201" s="6">
        <f t="shared" si="454"/>
        <v>-3801.1200000000008</v>
      </c>
      <c r="AW201" s="6">
        <f t="shared" si="454"/>
        <v>-1747.0619999999997</v>
      </c>
      <c r="AX201" s="6">
        <f t="shared" si="454"/>
        <v>-2223.5950000000007</v>
      </c>
      <c r="AY201" s="6">
        <f t="shared" si="454"/>
        <v>-256.83799999999928</v>
      </c>
      <c r="AZ201" s="6">
        <f t="shared" si="454"/>
        <v>-3657.51</v>
      </c>
      <c r="BA201" s="6">
        <f t="shared" si="454"/>
        <v>-4258.3069999999952</v>
      </c>
      <c r="BB201" s="6">
        <f t="shared" si="433"/>
        <v>-2711.395</v>
      </c>
      <c r="BC201" s="6">
        <f t="shared" si="433"/>
        <v>2431.165</v>
      </c>
      <c r="BD201" s="6">
        <f t="shared" si="433"/>
        <v>2185.6999999999944</v>
      </c>
      <c r="BE201" s="6"/>
      <c r="BF201" s="269"/>
      <c r="BG201" s="214"/>
      <c r="BH201" s="214"/>
      <c r="BI201" s="214"/>
      <c r="BJ201" s="214"/>
      <c r="BK201" s="214"/>
      <c r="BM201" s="214"/>
      <c r="BN201" s="192"/>
      <c r="BO201" s="214"/>
      <c r="BP201" s="214"/>
      <c r="BQ201" s="192"/>
      <c r="BR201" s="192"/>
      <c r="BS201" s="192"/>
      <c r="BT201" s="214"/>
      <c r="BU201" s="214"/>
      <c r="BV201" s="192"/>
      <c r="BW201" s="192"/>
      <c r="BX201" s="192"/>
      <c r="BY201" s="192"/>
      <c r="BZ201" s="214"/>
      <c r="CA201" s="214"/>
      <c r="CB201" s="192"/>
      <c r="CC201" s="192"/>
      <c r="CD201" s="214"/>
      <c r="CE201" s="214"/>
      <c r="CF201" s="192"/>
      <c r="CG201" s="192"/>
      <c r="CH201" s="214"/>
      <c r="CI201" s="214"/>
      <c r="CJ201" s="192"/>
      <c r="CK201" s="192"/>
      <c r="CL201" s="214"/>
      <c r="CM201" s="214"/>
      <c r="CQ201" s="206"/>
    </row>
    <row r="202" spans="2:98" ht="13.5" customHeight="1" thickBot="1">
      <c r="B202" s="1" t="str">
        <f t="shared" ref="B202:L202" si="459">B73</f>
        <v>Other Finance</v>
      </c>
      <c r="C202" s="6">
        <f t="shared" si="459"/>
        <v>-22.757999999999999</v>
      </c>
      <c r="D202" s="6">
        <f t="shared" si="459"/>
        <v>-15.914999999999999</v>
      </c>
      <c r="E202" s="6">
        <f t="shared" si="459"/>
        <v>-18.109000000000002</v>
      </c>
      <c r="F202" s="6">
        <f t="shared" si="459"/>
        <v>-8.4860000000000007</v>
      </c>
      <c r="G202" s="6">
        <f t="shared" si="459"/>
        <v>1.117</v>
      </c>
      <c r="H202" s="6">
        <f t="shared" si="459"/>
        <v>0</v>
      </c>
      <c r="I202" s="6">
        <f t="shared" si="459"/>
        <v>-3271.375</v>
      </c>
      <c r="J202" s="6">
        <f t="shared" si="459"/>
        <v>-4.0730000000000004</v>
      </c>
      <c r="K202" s="6">
        <f t="shared" si="459"/>
        <v>0</v>
      </c>
      <c r="L202" s="6">
        <f t="shared" si="459"/>
        <v>-233.256</v>
      </c>
      <c r="M202" s="6">
        <f t="shared" si="430"/>
        <v>-786.10400000000004</v>
      </c>
      <c r="N202" s="6">
        <f t="shared" si="430"/>
        <v>-110.04300000000001</v>
      </c>
      <c r="O202" s="6">
        <f t="shared" si="430"/>
        <v>-48.695000000000022</v>
      </c>
      <c r="P202" s="6"/>
      <c r="Q202" s="6">
        <f t="shared" ref="Q202:AS202" si="460">Q73</f>
        <v>-5.64</v>
      </c>
      <c r="R202" s="6">
        <f t="shared" si="460"/>
        <v>-4.2</v>
      </c>
      <c r="S202" s="6">
        <f t="shared" si="460"/>
        <v>-4.6589999999999998</v>
      </c>
      <c r="T202" s="6">
        <f t="shared" si="460"/>
        <v>-3.610000000000003</v>
      </c>
      <c r="U202" s="6">
        <f t="shared" si="460"/>
        <v>-4.0609999999999999</v>
      </c>
      <c r="V202" s="6">
        <f t="shared" si="460"/>
        <v>-1.698</v>
      </c>
      <c r="W202" s="6">
        <f t="shared" si="460"/>
        <v>-6.2379999999999995</v>
      </c>
      <c r="X202" s="6">
        <f t="shared" si="460"/>
        <v>2.9939999999999993</v>
      </c>
      <c r="Y202" s="6">
        <f t="shared" si="460"/>
        <v>-1.1810000000000009</v>
      </c>
      <c r="Z202" s="6">
        <f t="shared" si="460"/>
        <v>0.26100000000000001</v>
      </c>
      <c r="AA202" s="6">
        <f t="shared" si="460"/>
        <v>-0.96099999999999997</v>
      </c>
      <c r="AB202" s="6">
        <f t="shared" si="460"/>
        <v>-1.3540000000000001</v>
      </c>
      <c r="AC202" s="6">
        <f t="shared" si="460"/>
        <v>2.0539999999999998</v>
      </c>
      <c r="AD202" s="6">
        <f t="shared" si="460"/>
        <v>0</v>
      </c>
      <c r="AE202" s="6">
        <f t="shared" si="460"/>
        <v>-15.971</v>
      </c>
      <c r="AF202" s="6">
        <f t="shared" si="460"/>
        <v>0</v>
      </c>
      <c r="AG202" s="6">
        <f t="shared" si="460"/>
        <v>-3255.404</v>
      </c>
      <c r="AH202" s="6">
        <f t="shared" si="460"/>
        <v>-4.0730000000000004</v>
      </c>
      <c r="AI202" s="6">
        <f t="shared" si="460"/>
        <v>0</v>
      </c>
      <c r="AJ202" s="6">
        <f t="shared" si="460"/>
        <v>0</v>
      </c>
      <c r="AK202" s="6">
        <f t="shared" si="460"/>
        <v>0</v>
      </c>
      <c r="AL202" s="6">
        <f t="shared" si="460"/>
        <v>0</v>
      </c>
      <c r="AM202" s="6">
        <f t="shared" si="460"/>
        <v>0</v>
      </c>
      <c r="AN202" s="6">
        <f t="shared" si="460"/>
        <v>0</v>
      </c>
      <c r="AO202" s="6">
        <f t="shared" si="460"/>
        <v>0</v>
      </c>
      <c r="AP202" s="6">
        <f t="shared" si="460"/>
        <v>0</v>
      </c>
      <c r="AQ202" s="6">
        <f t="shared" si="460"/>
        <v>-33.838000000000001</v>
      </c>
      <c r="AR202" s="6">
        <f t="shared" si="460"/>
        <v>33.838000000000001</v>
      </c>
      <c r="AS202" s="6">
        <f t="shared" si="460"/>
        <v>-233.256</v>
      </c>
      <c r="AT202" s="6">
        <f t="shared" si="454"/>
        <v>-139.84200000000001</v>
      </c>
      <c r="AU202" s="6">
        <f t="shared" si="454"/>
        <v>-267.72799999999995</v>
      </c>
      <c r="AV202" s="6">
        <f t="shared" si="454"/>
        <v>-177.27900000000008</v>
      </c>
      <c r="AW202" s="6">
        <f t="shared" si="454"/>
        <v>-201.25499999999997</v>
      </c>
      <c r="AX202" s="6">
        <f t="shared" si="454"/>
        <v>-85.736999999999995</v>
      </c>
      <c r="AY202" s="6">
        <f t="shared" si="454"/>
        <v>-67.715000000000003</v>
      </c>
      <c r="AZ202" s="6">
        <f t="shared" si="454"/>
        <v>-52.086999999999989</v>
      </c>
      <c r="BA202" s="6">
        <f t="shared" si="454"/>
        <v>95.495999999999981</v>
      </c>
      <c r="BB202" s="6">
        <f t="shared" si="433"/>
        <v>-52.866999999999997</v>
      </c>
      <c r="BC202" s="6">
        <f t="shared" si="433"/>
        <v>-13.561</v>
      </c>
      <c r="BD202" s="6">
        <f t="shared" si="433"/>
        <v>-77.763000000000005</v>
      </c>
      <c r="BE202" s="6"/>
      <c r="BF202" s="269"/>
      <c r="BG202" s="214"/>
      <c r="BH202" s="214"/>
      <c r="BI202" s="214"/>
      <c r="BJ202" s="214"/>
      <c r="BK202" s="214"/>
      <c r="BM202" s="214"/>
      <c r="BN202" s="192"/>
      <c r="BO202" s="214"/>
      <c r="BP202" s="214"/>
      <c r="BQ202" s="192"/>
      <c r="BR202" s="192"/>
      <c r="BS202" s="192"/>
      <c r="BT202" s="214"/>
      <c r="BU202" s="214"/>
      <c r="BV202" s="192"/>
      <c r="BW202" s="192"/>
      <c r="BX202" s="192"/>
      <c r="BY202" s="192"/>
      <c r="BZ202" s="214"/>
      <c r="CA202" s="214"/>
      <c r="CB202" s="192"/>
      <c r="CC202" s="192"/>
      <c r="CD202" s="214"/>
      <c r="CE202" s="214"/>
      <c r="CF202" s="192"/>
      <c r="CG202" s="192"/>
      <c r="CH202" s="214"/>
      <c r="CI202" s="214"/>
      <c r="CJ202" s="192"/>
      <c r="CK202" s="192"/>
      <c r="CL202" s="214"/>
      <c r="CM202" s="214"/>
      <c r="CQ202" s="206"/>
    </row>
    <row r="203" spans="2:98" ht="13.5" customHeight="1" thickTop="1" thickBot="1">
      <c r="B203" s="80" t="str">
        <f t="shared" ref="B203:L203" si="461">B74</f>
        <v>Cash flow after financing activities</v>
      </c>
      <c r="C203" s="370">
        <f t="shared" si="461"/>
        <v>-648.03955312888593</v>
      </c>
      <c r="D203" s="370">
        <f t="shared" si="461"/>
        <v>-3518.5709165928856</v>
      </c>
      <c r="E203" s="370">
        <f t="shared" si="461"/>
        <v>699.41540337004244</v>
      </c>
      <c r="F203" s="370">
        <f t="shared" si="461"/>
        <v>-482.8688563764116</v>
      </c>
      <c r="G203" s="370">
        <f t="shared" si="461"/>
        <v>-1789.9958563764114</v>
      </c>
      <c r="H203" s="370">
        <f t="shared" si="461"/>
        <v>-2063.8550000000005</v>
      </c>
      <c r="I203" s="370">
        <f t="shared" si="461"/>
        <v>1820.6330000000016</v>
      </c>
      <c r="J203" s="370">
        <f t="shared" si="461"/>
        <v>2729.0840000000026</v>
      </c>
      <c r="K203" s="370">
        <f t="shared" si="461"/>
        <v>436.36399999999981</v>
      </c>
      <c r="L203" s="370">
        <f t="shared" si="461"/>
        <v>6702.5660000000034</v>
      </c>
      <c r="M203" s="370">
        <f t="shared" si="430"/>
        <v>-3540.0790000000006</v>
      </c>
      <c r="N203" s="370">
        <f t="shared" si="430"/>
        <v>-5354.3519999999971</v>
      </c>
      <c r="O203" s="370">
        <f t="shared" si="430"/>
        <v>-41.533000000000669</v>
      </c>
      <c r="P203" s="370"/>
      <c r="Q203" s="370">
        <f t="shared" ref="Q203:AS203" si="462">Q74</f>
        <v>253.5631273805235</v>
      </c>
      <c r="R203" s="370">
        <f t="shared" si="462"/>
        <v>434.34449588145435</v>
      </c>
      <c r="S203" s="370">
        <f t="shared" si="462"/>
        <v>394.34424638228597</v>
      </c>
      <c r="T203" s="370">
        <f t="shared" si="462"/>
        <v>-382.0364662742216</v>
      </c>
      <c r="U203" s="370">
        <f t="shared" si="462"/>
        <v>493.87</v>
      </c>
      <c r="V203" s="370">
        <f t="shared" si="462"/>
        <v>518.39001126788673</v>
      </c>
      <c r="W203" s="370">
        <f t="shared" si="462"/>
        <v>-721.43781561819219</v>
      </c>
      <c r="X203" s="370">
        <f t="shared" si="462"/>
        <v>-613.95064620387961</v>
      </c>
      <c r="Y203" s="370">
        <f t="shared" si="462"/>
        <v>358.64960544566014</v>
      </c>
      <c r="Z203" s="370">
        <f t="shared" si="462"/>
        <v>1921.4159999999999</v>
      </c>
      <c r="AA203" s="370">
        <f t="shared" si="462"/>
        <v>-1307.1540000000002</v>
      </c>
      <c r="AB203" s="370">
        <f t="shared" si="462"/>
        <v>-188.02799999999942</v>
      </c>
      <c r="AC203" s="370">
        <f t="shared" si="462"/>
        <v>-2490.0890000000009</v>
      </c>
      <c r="AD203" s="370">
        <f t="shared" si="462"/>
        <v>196.47600000000011</v>
      </c>
      <c r="AE203" s="370">
        <f t="shared" si="462"/>
        <v>135.16999999999939</v>
      </c>
      <c r="AF203" s="370">
        <f t="shared" si="462"/>
        <v>1470.7110000000002</v>
      </c>
      <c r="AG203" s="370">
        <f t="shared" si="462"/>
        <v>18.276000000000295</v>
      </c>
      <c r="AH203" s="370">
        <f t="shared" si="462"/>
        <v>-1760.8690000000004</v>
      </c>
      <c r="AI203" s="370">
        <f t="shared" si="462"/>
        <v>694.36000000000013</v>
      </c>
      <c r="AJ203" s="370">
        <f t="shared" si="462"/>
        <v>1162.5650000000003</v>
      </c>
      <c r="AK203" s="370">
        <f t="shared" si="462"/>
        <v>2633.0279999999998</v>
      </c>
      <c r="AL203" s="370">
        <f t="shared" si="462"/>
        <v>-515.94499999999994</v>
      </c>
      <c r="AM203" s="370">
        <f t="shared" si="462"/>
        <v>3674.8509999999997</v>
      </c>
      <c r="AN203" s="370">
        <f t="shared" si="462"/>
        <v>-2842.545000000001</v>
      </c>
      <c r="AO203" s="370">
        <f t="shared" si="462"/>
        <v>120.00300000000061</v>
      </c>
      <c r="AP203" s="370">
        <f t="shared" si="462"/>
        <v>6965.177999999999</v>
      </c>
      <c r="AQ203" s="370">
        <f t="shared" si="462"/>
        <v>2462.7289999999998</v>
      </c>
      <c r="AR203" s="370">
        <f t="shared" si="462"/>
        <v>672.58400000000006</v>
      </c>
      <c r="AS203" s="370">
        <f t="shared" si="462"/>
        <v>-3397.9249999999979</v>
      </c>
      <c r="AT203" s="370">
        <f t="shared" si="454"/>
        <v>-1134.3800000000006</v>
      </c>
      <c r="AU203" s="370">
        <f t="shared" si="454"/>
        <v>-199.59399999999982</v>
      </c>
      <c r="AV203" s="370">
        <f t="shared" si="454"/>
        <v>-1881.132000000001</v>
      </c>
      <c r="AW203" s="370">
        <f t="shared" si="454"/>
        <v>-324.97299999999871</v>
      </c>
      <c r="AX203" s="370">
        <f t="shared" si="454"/>
        <v>-4727.027000000001</v>
      </c>
      <c r="AY203" s="370">
        <f t="shared" si="454"/>
        <v>552.53800000000069</v>
      </c>
      <c r="AZ203" s="370">
        <f t="shared" si="454"/>
        <v>-2052.4949999999999</v>
      </c>
      <c r="BA203" s="370">
        <f t="shared" si="454"/>
        <v>872.63200000000586</v>
      </c>
      <c r="BB203" s="370">
        <f t="shared" si="433"/>
        <v>-191.50000000000071</v>
      </c>
      <c r="BC203" s="370">
        <f t="shared" si="433"/>
        <v>-374.71700000000038</v>
      </c>
      <c r="BD203" s="370">
        <f t="shared" si="433"/>
        <v>-347.94800000000498</v>
      </c>
      <c r="BE203" s="8"/>
      <c r="BF203" s="271"/>
      <c r="BG203" s="216"/>
      <c r="BH203" s="216"/>
      <c r="BI203" s="216"/>
      <c r="BJ203" s="216"/>
      <c r="BK203" s="216"/>
      <c r="BM203" s="216"/>
      <c r="BN203" s="192"/>
      <c r="BO203" s="216"/>
      <c r="BP203" s="216"/>
      <c r="BQ203" s="192"/>
      <c r="BR203" s="192"/>
      <c r="BS203" s="192"/>
      <c r="BT203" s="216"/>
      <c r="BU203" s="216"/>
      <c r="BV203" s="192"/>
      <c r="BW203" s="192"/>
      <c r="BX203" s="192"/>
      <c r="BY203" s="192"/>
      <c r="BZ203" s="216"/>
      <c r="CA203" s="216"/>
      <c r="CB203" s="192"/>
      <c r="CC203" s="192"/>
      <c r="CD203" s="216"/>
      <c r="CE203" s="216"/>
      <c r="CF203" s="192"/>
      <c r="CG203" s="192"/>
      <c r="CH203" s="216"/>
      <c r="CI203" s="216"/>
      <c r="CJ203" s="192"/>
      <c r="CK203" s="192"/>
      <c r="CL203" s="216"/>
      <c r="CM203" s="216"/>
      <c r="CQ203" s="206"/>
    </row>
    <row r="204" spans="2:98" s="5" customFormat="1" ht="13.5" customHeight="1" thickTop="1">
      <c r="B204" s="1" t="str">
        <f t="shared" ref="B204:L204" si="463">B75</f>
        <v xml:space="preserve">FX </v>
      </c>
      <c r="C204" s="6">
        <f t="shared" si="463"/>
        <v>168.90799999999999</v>
      </c>
      <c r="D204" s="6">
        <f t="shared" si="463"/>
        <v>512.36900000000003</v>
      </c>
      <c r="E204" s="6">
        <f t="shared" si="463"/>
        <v>-539.28</v>
      </c>
      <c r="F204" s="6">
        <f t="shared" si="463"/>
        <v>31.629000000000001</v>
      </c>
      <c r="G204" s="6">
        <f t="shared" si="463"/>
        <v>45.543999999999997</v>
      </c>
      <c r="H204" s="6">
        <f t="shared" si="463"/>
        <v>742.81500000000005</v>
      </c>
      <c r="I204" s="6">
        <f t="shared" si="463"/>
        <v>64.355000000000004</v>
      </c>
      <c r="J204" s="6">
        <f t="shared" si="463"/>
        <v>1365.0450000000001</v>
      </c>
      <c r="K204" s="6">
        <f t="shared" si="463"/>
        <v>471.529</v>
      </c>
      <c r="L204" s="6">
        <f t="shared" si="463"/>
        <v>172.285</v>
      </c>
      <c r="M204" s="6">
        <f t="shared" si="430"/>
        <v>-149.68600000000001</v>
      </c>
      <c r="N204" s="6">
        <f t="shared" si="430"/>
        <v>2434.7150000000001</v>
      </c>
      <c r="O204" s="6">
        <f t="shared" si="430"/>
        <v>116.62400000000048</v>
      </c>
      <c r="P204" s="6"/>
      <c r="Q204" s="6">
        <f t="shared" ref="Q204:AS204" si="464">Q75</f>
        <v>-238.232</v>
      </c>
      <c r="R204" s="6">
        <f t="shared" si="464"/>
        <v>-351.85199999999998</v>
      </c>
      <c r="S204" s="6">
        <f t="shared" si="464"/>
        <v>26.92199999999994</v>
      </c>
      <c r="T204" s="6">
        <f t="shared" si="464"/>
        <v>23.882000000000062</v>
      </c>
      <c r="U204" s="6">
        <f t="shared" si="464"/>
        <v>-93.674999999999997</v>
      </c>
      <c r="V204" s="6">
        <f t="shared" si="464"/>
        <v>-77.644000000000005</v>
      </c>
      <c r="W204" s="6">
        <f t="shared" si="464"/>
        <v>147.81400000000002</v>
      </c>
      <c r="X204" s="6">
        <f t="shared" si="464"/>
        <v>-196.59800000000001</v>
      </c>
      <c r="Y204" s="6">
        <f t="shared" si="464"/>
        <v>174.08799999999999</v>
      </c>
      <c r="Z204" s="6">
        <f t="shared" si="464"/>
        <v>65.606999999999999</v>
      </c>
      <c r="AA204" s="6">
        <f t="shared" si="464"/>
        <v>694.96199999999999</v>
      </c>
      <c r="AB204" s="6">
        <f t="shared" si="464"/>
        <v>109.90799999999999</v>
      </c>
      <c r="AC204" s="6">
        <f t="shared" si="464"/>
        <v>-127.66199999999995</v>
      </c>
      <c r="AD204" s="6">
        <f t="shared" si="464"/>
        <v>-33.601999999999997</v>
      </c>
      <c r="AE204" s="6">
        <f t="shared" si="464"/>
        <v>-123.37</v>
      </c>
      <c r="AF204" s="6">
        <f t="shared" si="464"/>
        <v>439.66899999999998</v>
      </c>
      <c r="AG204" s="6">
        <f t="shared" si="464"/>
        <v>-218.34199999999996</v>
      </c>
      <c r="AH204" s="6">
        <f t="shared" si="464"/>
        <v>1518</v>
      </c>
      <c r="AI204" s="6">
        <f t="shared" si="464"/>
        <v>403.65599999999995</v>
      </c>
      <c r="AJ204" s="6">
        <f t="shared" si="464"/>
        <v>306.90000000000009</v>
      </c>
      <c r="AK204" s="6">
        <f t="shared" si="464"/>
        <v>-863.51099999999997</v>
      </c>
      <c r="AL204" s="6">
        <f t="shared" si="464"/>
        <v>1118.318</v>
      </c>
      <c r="AM204" s="6">
        <f t="shared" si="464"/>
        <v>-1226.1659999999999</v>
      </c>
      <c r="AN204" s="6">
        <f t="shared" si="464"/>
        <v>488.31999999999994</v>
      </c>
      <c r="AO204" s="6">
        <f t="shared" si="464"/>
        <v>91.057000000000016</v>
      </c>
      <c r="AP204" s="6">
        <f t="shared" si="464"/>
        <v>-441.00400000000002</v>
      </c>
      <c r="AQ204" s="6">
        <f t="shared" si="464"/>
        <v>622.12800000000004</v>
      </c>
      <c r="AR204" s="6">
        <f t="shared" si="464"/>
        <v>228.66499999999996</v>
      </c>
      <c r="AS204" s="6">
        <f t="shared" si="464"/>
        <v>-237.50400000000002</v>
      </c>
      <c r="AT204" s="6">
        <f t="shared" si="454"/>
        <v>-162.63</v>
      </c>
      <c r="AU204" s="6">
        <f t="shared" si="454"/>
        <v>-266.65899999999999</v>
      </c>
      <c r="AV204" s="6">
        <f t="shared" si="454"/>
        <v>252.79599999999999</v>
      </c>
      <c r="AW204" s="6">
        <f t="shared" si="454"/>
        <v>26.807000000000016</v>
      </c>
      <c r="AX204" s="6">
        <f t="shared" si="454"/>
        <v>335.96</v>
      </c>
      <c r="AY204" s="6">
        <f t="shared" si="454"/>
        <v>1011.365</v>
      </c>
      <c r="AZ204" s="6">
        <f t="shared" si="454"/>
        <v>-295.36300000000006</v>
      </c>
      <c r="BA204" s="6">
        <f t="shared" si="454"/>
        <v>1382.7530000000004</v>
      </c>
      <c r="BB204" s="6">
        <f t="shared" si="433"/>
        <v>-568.34</v>
      </c>
      <c r="BC204" s="6">
        <f t="shared" si="433"/>
        <v>-352.25400000000002</v>
      </c>
      <c r="BD204" s="6">
        <f t="shared" si="433"/>
        <v>-345.53499999999985</v>
      </c>
      <c r="BE204" s="6"/>
      <c r="BF204" s="269"/>
      <c r="BG204" s="214"/>
      <c r="BH204" s="214"/>
      <c r="BI204" s="214"/>
      <c r="BJ204" s="214"/>
      <c r="BK204" s="214"/>
      <c r="BM204" s="214"/>
      <c r="BN204" s="188"/>
      <c r="BO204" s="214"/>
      <c r="BP204" s="214"/>
      <c r="BQ204" s="188"/>
      <c r="BR204" s="188"/>
      <c r="BS204" s="188"/>
      <c r="BT204" s="214"/>
      <c r="BU204" s="214"/>
      <c r="BV204" s="188"/>
      <c r="BW204" s="188"/>
      <c r="BX204" s="188"/>
      <c r="BY204" s="188"/>
      <c r="BZ204" s="214"/>
      <c r="CA204" s="214"/>
      <c r="CB204" s="188"/>
      <c r="CC204" s="188"/>
      <c r="CD204" s="214"/>
      <c r="CE204" s="214"/>
      <c r="CF204" s="188"/>
      <c r="CG204" s="188"/>
      <c r="CH204" s="214"/>
      <c r="CI204" s="214"/>
      <c r="CJ204" s="188"/>
      <c r="CK204" s="188"/>
      <c r="CL204" s="214"/>
      <c r="CM204" s="214"/>
      <c r="CN204" s="1"/>
      <c r="CO204" s="1"/>
      <c r="CP204" s="1"/>
      <c r="CQ204" s="206"/>
      <c r="CR204" s="1"/>
      <c r="CS204" s="1"/>
      <c r="CT204" s="1"/>
    </row>
    <row r="205" spans="2:98" s="5" customFormat="1" ht="13.5" customHeight="1">
      <c r="B205" s="1" t="str">
        <f t="shared" ref="B205:L205" si="465">B76</f>
        <v>Discontinued operations net of cash</v>
      </c>
      <c r="C205" s="6">
        <f t="shared" si="465"/>
        <v>69.643000000000001</v>
      </c>
      <c r="D205" s="6">
        <f t="shared" si="465"/>
        <v>4347.1390000000001</v>
      </c>
      <c r="E205" s="6">
        <f t="shared" si="465"/>
        <v>-52.689</v>
      </c>
      <c r="F205" s="6">
        <f t="shared" si="465"/>
        <v>-8.8030000000000008</v>
      </c>
      <c r="G205" s="6">
        <f t="shared" si="465"/>
        <v>274.41699999999997</v>
      </c>
      <c r="H205" s="6">
        <f t="shared" si="465"/>
        <v>4667.7849999999999</v>
      </c>
      <c r="I205" s="6">
        <f t="shared" si="465"/>
        <v>-49.363999999999997</v>
      </c>
      <c r="J205" s="6">
        <f t="shared" si="465"/>
        <v>0</v>
      </c>
      <c r="K205" s="6">
        <f t="shared" si="465"/>
        <v>0</v>
      </c>
      <c r="L205" s="6">
        <f t="shared" si="465"/>
        <v>1833.19</v>
      </c>
      <c r="M205" s="6">
        <f t="shared" si="430"/>
        <v>-818.72</v>
      </c>
      <c r="N205" s="6">
        <f t="shared" si="430"/>
        <v>4886.3289999999997</v>
      </c>
      <c r="O205" s="6">
        <f t="shared" si="430"/>
        <v>4886.3289999999997</v>
      </c>
      <c r="P205" s="6"/>
      <c r="Q205" s="6">
        <f t="shared" ref="Q205:AS205" si="466">Q76</f>
        <v>-10.868</v>
      </c>
      <c r="R205" s="6">
        <f t="shared" si="466"/>
        <v>-25.985999999999997</v>
      </c>
      <c r="S205" s="6">
        <f t="shared" si="466"/>
        <v>-37.635999999999996</v>
      </c>
      <c r="T205" s="6">
        <f t="shared" si="466"/>
        <v>21.800999999999995</v>
      </c>
      <c r="U205" s="6">
        <f t="shared" si="466"/>
        <v>3.8860000000000001</v>
      </c>
      <c r="V205" s="6">
        <f t="shared" si="466"/>
        <v>-54.405000000000001</v>
      </c>
      <c r="W205" s="6">
        <f t="shared" si="466"/>
        <v>47.849000000000004</v>
      </c>
      <c r="X205" s="6">
        <f t="shared" si="466"/>
        <v>-2.2469999999999999</v>
      </c>
      <c r="Y205" s="6">
        <f t="shared" si="466"/>
        <v>-58.291000000000004</v>
      </c>
      <c r="Z205" s="6">
        <f t="shared" si="466"/>
        <v>-559.06899999999996</v>
      </c>
      <c r="AA205" s="6">
        <f t="shared" si="466"/>
        <v>360.52299999999997</v>
      </c>
      <c r="AB205" s="6">
        <f t="shared" si="466"/>
        <v>-2.4339999999999691</v>
      </c>
      <c r="AC205" s="6">
        <f t="shared" si="466"/>
        <v>4868.7649999999994</v>
      </c>
      <c r="AD205" s="6">
        <f t="shared" si="466"/>
        <v>-49.363999999999997</v>
      </c>
      <c r="AE205" s="6">
        <f t="shared" si="466"/>
        <v>0</v>
      </c>
      <c r="AF205" s="6">
        <f t="shared" si="466"/>
        <v>0</v>
      </c>
      <c r="AG205" s="6">
        <f t="shared" si="466"/>
        <v>0</v>
      </c>
      <c r="AH205" s="6">
        <f t="shared" si="466"/>
        <v>0</v>
      </c>
      <c r="AI205" s="6">
        <f t="shared" si="466"/>
        <v>0</v>
      </c>
      <c r="AJ205" s="6">
        <f t="shared" si="466"/>
        <v>0</v>
      </c>
      <c r="AK205" s="6">
        <f t="shared" si="466"/>
        <v>0</v>
      </c>
      <c r="AL205" s="6">
        <f t="shared" si="466"/>
        <v>0</v>
      </c>
      <c r="AM205" s="6">
        <f t="shared" si="466"/>
        <v>0</v>
      </c>
      <c r="AN205" s="6">
        <f t="shared" si="466"/>
        <v>0</v>
      </c>
      <c r="AO205" s="6">
        <f t="shared" si="466"/>
        <v>0</v>
      </c>
      <c r="AP205" s="6">
        <f t="shared" si="466"/>
        <v>0</v>
      </c>
      <c r="AQ205" s="6">
        <f t="shared" si="466"/>
        <v>0</v>
      </c>
      <c r="AR205" s="6">
        <f t="shared" si="466"/>
        <v>0</v>
      </c>
      <c r="AS205" s="6">
        <f t="shared" si="466"/>
        <v>1833.19</v>
      </c>
      <c r="AT205" s="6">
        <f t="shared" si="454"/>
        <v>0</v>
      </c>
      <c r="AU205" s="6">
        <f t="shared" si="454"/>
        <v>0</v>
      </c>
      <c r="AV205" s="6">
        <f t="shared" si="454"/>
        <v>0</v>
      </c>
      <c r="AW205" s="6">
        <f t="shared" si="454"/>
        <v>-818.72</v>
      </c>
      <c r="AX205" s="6">
        <f t="shared" si="454"/>
        <v>0</v>
      </c>
      <c r="AY205" s="6">
        <f t="shared" si="454"/>
        <v>0</v>
      </c>
      <c r="AZ205" s="6">
        <f t="shared" si="454"/>
        <v>0</v>
      </c>
      <c r="BA205" s="6">
        <f t="shared" si="454"/>
        <v>4886.3289999999997</v>
      </c>
      <c r="BB205" s="6">
        <f t="shared" si="433"/>
        <v>0</v>
      </c>
      <c r="BC205" s="6">
        <f t="shared" si="433"/>
        <v>0</v>
      </c>
      <c r="BD205" s="6">
        <f t="shared" si="433"/>
        <v>0</v>
      </c>
      <c r="BE205" s="6"/>
      <c r="BF205" s="269"/>
      <c r="BG205" s="214"/>
      <c r="BH205" s="214"/>
      <c r="BI205" s="214"/>
      <c r="BJ205" s="214"/>
      <c r="BK205" s="214"/>
      <c r="BM205" s="214"/>
      <c r="BN205" s="188"/>
      <c r="BO205" s="214"/>
      <c r="BP205" s="214"/>
      <c r="BQ205" s="188"/>
      <c r="BR205" s="188"/>
      <c r="BS205" s="188"/>
      <c r="BT205" s="214"/>
      <c r="BU205" s="214"/>
      <c r="BV205" s="188"/>
      <c r="BW205" s="188"/>
      <c r="BX205" s="188"/>
      <c r="BY205" s="188"/>
      <c r="BZ205" s="214"/>
      <c r="CA205" s="214"/>
      <c r="CB205" s="188"/>
      <c r="CC205" s="188"/>
      <c r="CD205" s="214"/>
      <c r="CE205" s="214"/>
      <c r="CF205" s="188"/>
      <c r="CG205" s="188"/>
      <c r="CH205" s="214"/>
      <c r="CI205" s="214"/>
      <c r="CJ205" s="188"/>
      <c r="CK205" s="188"/>
      <c r="CL205" s="214"/>
      <c r="CM205" s="214"/>
      <c r="CN205" s="1"/>
      <c r="CO205" s="1"/>
      <c r="CP205" s="1"/>
      <c r="CQ205" s="206"/>
      <c r="CR205" s="1"/>
      <c r="CS205" s="1"/>
      <c r="CT205" s="1"/>
    </row>
    <row r="206" spans="2:98" s="5" customFormat="1" ht="13.5" customHeight="1" thickBot="1">
      <c r="B206" s="58" t="str">
        <f t="shared" ref="B206:L206" si="467">B77</f>
        <v>Balancing figure</v>
      </c>
      <c r="C206" s="371">
        <f t="shared" si="467"/>
        <v>1256.749553128886</v>
      </c>
      <c r="D206" s="371">
        <f t="shared" si="467"/>
        <v>1004.4759165928854</v>
      </c>
      <c r="E206" s="371">
        <f t="shared" si="467"/>
        <v>166.98459662995757</v>
      </c>
      <c r="F206" s="371">
        <f t="shared" si="467"/>
        <v>-416.24514362358843</v>
      </c>
      <c r="G206" s="371">
        <f t="shared" si="467"/>
        <v>593.74485637641146</v>
      </c>
      <c r="H206" s="371">
        <f t="shared" si="467"/>
        <v>-557.39199999999983</v>
      </c>
      <c r="I206" s="371">
        <f t="shared" si="467"/>
        <v>-617.21700000000169</v>
      </c>
      <c r="J206" s="371">
        <f t="shared" si="467"/>
        <v>-746.79300000000285</v>
      </c>
      <c r="K206" s="371">
        <f t="shared" si="467"/>
        <v>-1190.3349999999998</v>
      </c>
      <c r="L206" s="371">
        <f t="shared" si="467"/>
        <v>-4063.7350000000038</v>
      </c>
      <c r="M206" s="371">
        <f t="shared" si="430"/>
        <v>4564.9090000000006</v>
      </c>
      <c r="N206" s="371">
        <f t="shared" si="430"/>
        <v>-3910.2170000000024</v>
      </c>
      <c r="O206" s="371">
        <f t="shared" si="430"/>
        <v>-4096.2199999999957</v>
      </c>
      <c r="P206" s="371"/>
      <c r="Q206" s="371">
        <f t="shared" ref="Q206:AS206" si="468">Q77</f>
        <v>175.79887261947653</v>
      </c>
      <c r="R206" s="371">
        <f t="shared" si="468"/>
        <v>-45.824495881454425</v>
      </c>
      <c r="S206" s="371">
        <f t="shared" si="468"/>
        <v>151.87575361771417</v>
      </c>
      <c r="T206" s="371">
        <f t="shared" si="468"/>
        <v>-114.8655337257787</v>
      </c>
      <c r="U206" s="371">
        <f t="shared" si="468"/>
        <v>21.768999999999973</v>
      </c>
      <c r="V206" s="371">
        <f t="shared" si="468"/>
        <v>39.508988732113295</v>
      </c>
      <c r="W206" s="371">
        <f t="shared" si="468"/>
        <v>257.22781561819215</v>
      </c>
      <c r="X206" s="371">
        <f t="shared" si="468"/>
        <v>-98.841353796120529</v>
      </c>
      <c r="Y206" s="371">
        <f t="shared" si="468"/>
        <v>-596.40060544566006</v>
      </c>
      <c r="Z206" s="371">
        <f t="shared" si="468"/>
        <v>29.644000000000005</v>
      </c>
      <c r="AA206" s="371">
        <f t="shared" si="468"/>
        <v>51.603000000000293</v>
      </c>
      <c r="AB206" s="371">
        <f t="shared" si="468"/>
        <v>54.803999999999405</v>
      </c>
      <c r="AC206" s="371">
        <f t="shared" si="468"/>
        <v>-693.44299999999953</v>
      </c>
      <c r="AD206" s="371">
        <f t="shared" si="468"/>
        <v>-703.35500000000013</v>
      </c>
      <c r="AE206" s="371">
        <f t="shared" si="468"/>
        <v>-175.84799999999939</v>
      </c>
      <c r="AF206" s="371">
        <f t="shared" si="468"/>
        <v>11.395999999999844</v>
      </c>
      <c r="AG206" s="371">
        <f t="shared" si="468"/>
        <v>250.58999999999799</v>
      </c>
      <c r="AH206" s="371">
        <f t="shared" si="468"/>
        <v>-593.06799999999953</v>
      </c>
      <c r="AI206" s="371">
        <f t="shared" si="468"/>
        <v>-498.14900000000011</v>
      </c>
      <c r="AJ206" s="371">
        <f t="shared" si="468"/>
        <v>10.962999999999511</v>
      </c>
      <c r="AK206" s="371">
        <f t="shared" si="468"/>
        <v>333.46099999999728</v>
      </c>
      <c r="AL206" s="371">
        <f t="shared" si="468"/>
        <v>-1302.8660000000002</v>
      </c>
      <c r="AM206" s="371">
        <f t="shared" si="468"/>
        <v>-1.8209999999994579</v>
      </c>
      <c r="AN206" s="371">
        <f t="shared" si="468"/>
        <v>1545.1510000000012</v>
      </c>
      <c r="AO206" s="371">
        <f t="shared" si="468"/>
        <v>-1430.7990000000011</v>
      </c>
      <c r="AP206" s="371">
        <f t="shared" si="468"/>
        <v>-3324.177999999999</v>
      </c>
      <c r="AQ206" s="371">
        <f t="shared" si="468"/>
        <v>-307.34600000000046</v>
      </c>
      <c r="AR206" s="371">
        <f t="shared" si="468"/>
        <v>882.82800000000043</v>
      </c>
      <c r="AS206" s="371">
        <f t="shared" si="468"/>
        <v>-1315.0390000000043</v>
      </c>
      <c r="AT206" s="371">
        <f t="shared" si="454"/>
        <v>667.97500000000059</v>
      </c>
      <c r="AU206" s="371">
        <f t="shared" si="454"/>
        <v>320.4749999999998</v>
      </c>
      <c r="AV206" s="371">
        <f t="shared" si="454"/>
        <v>1579.5310000000011</v>
      </c>
      <c r="AW206" s="371">
        <f t="shared" si="454"/>
        <v>1996.9279999999992</v>
      </c>
      <c r="AX206" s="371">
        <f t="shared" si="454"/>
        <v>1624.717000000001</v>
      </c>
      <c r="AY206" s="371">
        <f t="shared" si="454"/>
        <v>232.62899999999922</v>
      </c>
      <c r="AZ206" s="371">
        <f t="shared" si="454"/>
        <v>1648.431</v>
      </c>
      <c r="BA206" s="371">
        <f t="shared" si="454"/>
        <v>-7415.9940000000024</v>
      </c>
      <c r="BB206" s="371">
        <f t="shared" si="433"/>
        <v>98.363000000000767</v>
      </c>
      <c r="BC206" s="371">
        <f t="shared" si="433"/>
        <v>1339.2710000000004</v>
      </c>
      <c r="BD206" s="371">
        <f t="shared" si="433"/>
        <v>1882.1400000000049</v>
      </c>
      <c r="BE206" s="6"/>
      <c r="BF206" s="269"/>
      <c r="BG206" s="214"/>
      <c r="BH206" s="214"/>
      <c r="BI206" s="214"/>
      <c r="BJ206" s="214"/>
      <c r="BK206" s="214"/>
      <c r="BM206" s="214"/>
      <c r="BN206" s="188"/>
      <c r="BO206" s="214"/>
      <c r="BP206" s="214"/>
      <c r="BQ206" s="188"/>
      <c r="BR206" s="188"/>
      <c r="BS206" s="188"/>
      <c r="BT206" s="214"/>
      <c r="BU206" s="214"/>
      <c r="BV206" s="188"/>
      <c r="BW206" s="188"/>
      <c r="BX206" s="188"/>
      <c r="BY206" s="188"/>
      <c r="BZ206" s="214"/>
      <c r="CA206" s="214"/>
      <c r="CB206" s="188"/>
      <c r="CC206" s="188"/>
      <c r="CD206" s="214"/>
      <c r="CE206" s="214"/>
      <c r="CF206" s="188"/>
      <c r="CG206" s="188"/>
      <c r="CH206" s="214"/>
      <c r="CI206" s="214"/>
      <c r="CJ206" s="188"/>
      <c r="CK206" s="188"/>
      <c r="CL206" s="214"/>
      <c r="CM206" s="214"/>
      <c r="CN206" s="1"/>
      <c r="CO206" s="1"/>
      <c r="CP206" s="1"/>
      <c r="CQ206" s="206"/>
      <c r="CR206" s="1"/>
      <c r="CS206" s="1"/>
      <c r="CT206" s="1"/>
    </row>
    <row r="207" spans="2:98" ht="13.5" customHeight="1" thickTop="1">
      <c r="B207" s="1" t="str">
        <f t="shared" ref="B207:L207" si="469">B78</f>
        <v xml:space="preserve">Net change in cash </v>
      </c>
      <c r="C207" s="6">
        <f t="shared" si="469"/>
        <v>847.26100000000008</v>
      </c>
      <c r="D207" s="6">
        <f t="shared" si="469"/>
        <v>2345.413</v>
      </c>
      <c r="E207" s="6">
        <f t="shared" si="469"/>
        <v>274.43100000000004</v>
      </c>
      <c r="F207" s="6">
        <f t="shared" si="469"/>
        <v>-876.28800000000001</v>
      </c>
      <c r="G207" s="6">
        <f t="shared" si="469"/>
        <v>-876.29</v>
      </c>
      <c r="H207" s="6">
        <f t="shared" si="469"/>
        <v>2789.3529999999996</v>
      </c>
      <c r="I207" s="6">
        <f t="shared" si="469"/>
        <v>1218.4069999999999</v>
      </c>
      <c r="J207" s="6">
        <f t="shared" si="469"/>
        <v>3347.3359999999998</v>
      </c>
      <c r="K207" s="6">
        <f t="shared" si="469"/>
        <v>-282.44200000000001</v>
      </c>
      <c r="L207" s="6">
        <f t="shared" si="469"/>
        <v>4644.3059999999987</v>
      </c>
      <c r="M207" s="6">
        <f t="shared" si="430"/>
        <v>56.423999999999978</v>
      </c>
      <c r="N207" s="6">
        <f t="shared" si="430"/>
        <v>-1943.5249999999996</v>
      </c>
      <c r="O207" s="6">
        <f t="shared" si="430"/>
        <v>865.20000000000346</v>
      </c>
      <c r="P207" s="6"/>
      <c r="Q207" s="6">
        <f t="shared" ref="Q207:AS207" si="470">Q78</f>
        <v>180.26200000000003</v>
      </c>
      <c r="R207" s="6">
        <f t="shared" si="470"/>
        <v>10.681999999999952</v>
      </c>
      <c r="S207" s="6">
        <f t="shared" si="470"/>
        <v>535.50600000000009</v>
      </c>
      <c r="T207" s="6">
        <f t="shared" si="470"/>
        <v>-451.21900000000028</v>
      </c>
      <c r="U207" s="6">
        <f t="shared" si="470"/>
        <v>425.84999999999997</v>
      </c>
      <c r="V207" s="6">
        <f t="shared" si="470"/>
        <v>425.85</v>
      </c>
      <c r="W207" s="6">
        <f t="shared" si="470"/>
        <v>-268.54699999999991</v>
      </c>
      <c r="X207" s="6">
        <f t="shared" si="470"/>
        <v>-911.63700000000006</v>
      </c>
      <c r="Y207" s="6">
        <f t="shared" si="470"/>
        <v>-121.95399999999989</v>
      </c>
      <c r="Z207" s="6">
        <f t="shared" si="470"/>
        <v>1457.598</v>
      </c>
      <c r="AA207" s="6">
        <f t="shared" si="470"/>
        <v>-200.06599999999997</v>
      </c>
      <c r="AB207" s="6">
        <f t="shared" si="470"/>
        <v>-25.75</v>
      </c>
      <c r="AC207" s="6">
        <f t="shared" si="470"/>
        <v>1557.5709999999992</v>
      </c>
      <c r="AD207" s="6">
        <f t="shared" si="470"/>
        <v>-589.84500000000003</v>
      </c>
      <c r="AE207" s="6">
        <f t="shared" si="470"/>
        <v>-164.048</v>
      </c>
      <c r="AF207" s="6">
        <f t="shared" si="470"/>
        <v>1921.7759999999998</v>
      </c>
      <c r="AG207" s="6">
        <f t="shared" si="470"/>
        <v>50.523999999998324</v>
      </c>
      <c r="AH207" s="6">
        <f t="shared" si="470"/>
        <v>-835.9369999999999</v>
      </c>
      <c r="AI207" s="6">
        <f t="shared" si="470"/>
        <v>599.86699999999996</v>
      </c>
      <c r="AJ207" s="6">
        <f t="shared" si="470"/>
        <v>1480.4279999999999</v>
      </c>
      <c r="AK207" s="6">
        <f t="shared" si="470"/>
        <v>2102.9779999999973</v>
      </c>
      <c r="AL207" s="6">
        <f t="shared" si="470"/>
        <v>-700.49300000000017</v>
      </c>
      <c r="AM207" s="6">
        <f t="shared" si="470"/>
        <v>2446.864</v>
      </c>
      <c r="AN207" s="6">
        <f t="shared" si="470"/>
        <v>-809.07400000000007</v>
      </c>
      <c r="AO207" s="6">
        <f t="shared" si="470"/>
        <v>-1219.7390000000005</v>
      </c>
      <c r="AP207" s="6">
        <f t="shared" si="470"/>
        <v>3199.9960000000001</v>
      </c>
      <c r="AQ207" s="6">
        <f t="shared" si="470"/>
        <v>2777.5109999999995</v>
      </c>
      <c r="AR207" s="6">
        <f t="shared" si="470"/>
        <v>1784.0770000000005</v>
      </c>
      <c r="AS207" s="6">
        <f t="shared" si="470"/>
        <v>-3117.2780000000021</v>
      </c>
      <c r="AT207" s="6">
        <f t="shared" si="454"/>
        <v>-629.03500000000008</v>
      </c>
      <c r="AU207" s="6">
        <f t="shared" si="454"/>
        <v>-145.77800000000002</v>
      </c>
      <c r="AV207" s="6">
        <f t="shared" si="454"/>
        <v>-48.804999999999836</v>
      </c>
      <c r="AW207" s="6">
        <f t="shared" si="454"/>
        <v>880.0420000000006</v>
      </c>
      <c r="AX207" s="6">
        <f t="shared" si="454"/>
        <v>-2766.35</v>
      </c>
      <c r="AY207" s="6">
        <f t="shared" si="454"/>
        <v>1796.5319999999999</v>
      </c>
      <c r="AZ207" s="6">
        <f t="shared" si="454"/>
        <v>-699.42700000000013</v>
      </c>
      <c r="BA207" s="6">
        <f t="shared" si="454"/>
        <v>-274.27999999999702</v>
      </c>
      <c r="BB207" s="6">
        <f t="shared" si="433"/>
        <v>-661.47699999999998</v>
      </c>
      <c r="BC207" s="6">
        <f t="shared" si="433"/>
        <v>612.29999999999995</v>
      </c>
      <c r="BD207" s="6">
        <f t="shared" si="433"/>
        <v>1188.6570000000002</v>
      </c>
      <c r="BE207" s="6"/>
      <c r="BF207" s="269"/>
      <c r="BG207" s="214"/>
      <c r="BH207" s="214"/>
      <c r="BI207" s="214"/>
      <c r="BJ207" s="214"/>
      <c r="BK207" s="214"/>
      <c r="BM207" s="214"/>
      <c r="BN207" s="192"/>
      <c r="BO207" s="214"/>
      <c r="BP207" s="214"/>
      <c r="BQ207" s="192"/>
      <c r="BR207" s="192"/>
      <c r="BS207" s="192"/>
      <c r="BT207" s="214"/>
      <c r="BU207" s="214"/>
      <c r="BV207" s="192"/>
      <c r="BW207" s="192"/>
      <c r="BX207" s="192"/>
      <c r="BY207" s="192"/>
      <c r="BZ207" s="214"/>
      <c r="CA207" s="214"/>
      <c r="CB207" s="192"/>
      <c r="CC207" s="192"/>
      <c r="CD207" s="214"/>
      <c r="CE207" s="214"/>
      <c r="CF207" s="192"/>
      <c r="CG207" s="192"/>
      <c r="CH207" s="214"/>
      <c r="CI207" s="214"/>
      <c r="CJ207" s="192"/>
      <c r="CK207" s="192"/>
      <c r="CL207" s="214"/>
      <c r="CM207" s="214"/>
      <c r="CQ207" s="206"/>
    </row>
    <row r="208" spans="2:98" ht="13.5" customHeight="1">
      <c r="B208" s="1" t="str">
        <f t="shared" ref="B208:L208" si="471">B79</f>
        <v>Cash and cash equivalents</v>
      </c>
      <c r="C208" s="6">
        <f t="shared" si="471"/>
        <v>2658.797</v>
      </c>
      <c r="D208" s="6">
        <f t="shared" si="471"/>
        <v>5004.21</v>
      </c>
      <c r="E208" s="6">
        <f t="shared" si="471"/>
        <v>5278.6409999999996</v>
      </c>
      <c r="F208" s="6">
        <f t="shared" si="471"/>
        <v>4402.3529999999992</v>
      </c>
      <c r="G208" s="6">
        <f t="shared" si="471"/>
        <v>4402.3509999999997</v>
      </c>
      <c r="H208" s="6">
        <f t="shared" si="471"/>
        <v>7191.7039999999997</v>
      </c>
      <c r="I208" s="6">
        <f t="shared" si="471"/>
        <v>8410.110999999999</v>
      </c>
      <c r="J208" s="6">
        <f t="shared" si="471"/>
        <v>11757.446999999998</v>
      </c>
      <c r="K208" s="6">
        <f t="shared" si="471"/>
        <v>1759.482</v>
      </c>
      <c r="L208" s="6">
        <f t="shared" si="471"/>
        <v>6403.7879999999986</v>
      </c>
      <c r="M208" s="6">
        <f t="shared" si="430"/>
        <v>6460.2119999999995</v>
      </c>
      <c r="N208" s="6">
        <f t="shared" si="430"/>
        <v>4516.6870000000008</v>
      </c>
      <c r="O208" s="6">
        <f t="shared" si="430"/>
        <v>5656.1670000000022</v>
      </c>
      <c r="P208" s="6"/>
      <c r="Q208" s="6">
        <f t="shared" ref="Q208:AS208" si="472">Q79</f>
        <v>5184.4719999999998</v>
      </c>
      <c r="R208" s="6">
        <f t="shared" si="472"/>
        <v>5195.1539999999995</v>
      </c>
      <c r="S208" s="6">
        <f t="shared" si="472"/>
        <v>5730.66</v>
      </c>
      <c r="T208" s="6">
        <f t="shared" si="472"/>
        <v>5279.4409999999998</v>
      </c>
      <c r="U208" s="6">
        <f t="shared" si="472"/>
        <v>0</v>
      </c>
      <c r="V208" s="6">
        <f t="shared" si="472"/>
        <v>5704.491</v>
      </c>
      <c r="W208" s="6">
        <f t="shared" si="472"/>
        <v>5435.9440000000004</v>
      </c>
      <c r="X208" s="6">
        <f t="shared" si="472"/>
        <v>4524.3070000000007</v>
      </c>
      <c r="Y208" s="6">
        <f t="shared" si="472"/>
        <v>4402.353000000001</v>
      </c>
      <c r="Z208" s="6">
        <f t="shared" si="472"/>
        <v>5859.9509999999991</v>
      </c>
      <c r="AA208" s="6">
        <f t="shared" si="472"/>
        <v>5659.8849999999993</v>
      </c>
      <c r="AB208" s="6">
        <f t="shared" si="472"/>
        <v>5634.1349999999993</v>
      </c>
      <c r="AC208" s="6">
        <f t="shared" si="472"/>
        <v>7191.7059999999983</v>
      </c>
      <c r="AD208" s="6">
        <f t="shared" si="472"/>
        <v>6601.8609999999981</v>
      </c>
      <c r="AE208" s="6">
        <f t="shared" si="472"/>
        <v>6437.8129999999983</v>
      </c>
      <c r="AF208" s="6">
        <f t="shared" si="472"/>
        <v>8359.5889999999981</v>
      </c>
      <c r="AG208" s="6">
        <f t="shared" si="472"/>
        <v>8410.1129999999957</v>
      </c>
      <c r="AH208" s="6">
        <f t="shared" si="472"/>
        <v>7574.1759999999958</v>
      </c>
      <c r="AI208" s="6">
        <f t="shared" si="472"/>
        <v>8174.042999999996</v>
      </c>
      <c r="AJ208" s="6">
        <f t="shared" si="472"/>
        <v>9654.4709999999959</v>
      </c>
      <c r="AK208" s="6">
        <f t="shared" si="472"/>
        <v>11757.448999999993</v>
      </c>
      <c r="AL208" s="6">
        <f t="shared" si="472"/>
        <v>11056.955999999993</v>
      </c>
      <c r="AM208" s="6">
        <f t="shared" si="472"/>
        <v>13503.819999999992</v>
      </c>
      <c r="AN208" s="6">
        <f t="shared" si="472"/>
        <v>2979.221</v>
      </c>
      <c r="AO208" s="6">
        <f t="shared" si="472"/>
        <v>1759.482</v>
      </c>
      <c r="AP208" s="6">
        <f t="shared" si="472"/>
        <v>4959.4780000000001</v>
      </c>
      <c r="AQ208" s="6">
        <f t="shared" si="472"/>
        <v>7736.9889999999996</v>
      </c>
      <c r="AR208" s="6">
        <f t="shared" si="472"/>
        <v>9521.0660000000007</v>
      </c>
      <c r="AS208" s="6">
        <f t="shared" si="472"/>
        <v>6403.7879999999986</v>
      </c>
      <c r="AT208" s="6">
        <f t="shared" si="454"/>
        <v>5774.7529999999988</v>
      </c>
      <c r="AU208" s="6">
        <f t="shared" si="454"/>
        <v>5628.9749999999985</v>
      </c>
      <c r="AV208" s="6">
        <f t="shared" si="454"/>
        <v>5580.1699999999983</v>
      </c>
      <c r="AW208" s="6">
        <f t="shared" si="454"/>
        <v>6460.2119999999995</v>
      </c>
      <c r="AX208" s="6">
        <f t="shared" si="454"/>
        <v>3693.8619999999996</v>
      </c>
      <c r="AY208" s="6">
        <f t="shared" si="454"/>
        <v>5490.3939999999993</v>
      </c>
      <c r="AZ208" s="6">
        <f t="shared" si="454"/>
        <v>4790.9669999999987</v>
      </c>
      <c r="BA208" s="6">
        <f t="shared" si="454"/>
        <v>4516.6870000000017</v>
      </c>
      <c r="BB208" s="6">
        <f t="shared" si="433"/>
        <v>3855.2100000000019</v>
      </c>
      <c r="BC208" s="6">
        <f t="shared" si="433"/>
        <v>4467.510000000002</v>
      </c>
      <c r="BD208" s="6">
        <f t="shared" si="433"/>
        <v>5656.1670000000022</v>
      </c>
      <c r="BE208" s="6"/>
      <c r="BF208" s="269"/>
      <c r="BG208" s="214"/>
      <c r="BH208" s="214"/>
      <c r="BI208" s="214"/>
      <c r="BJ208" s="214"/>
      <c r="BK208" s="214"/>
      <c r="BM208" s="214"/>
      <c r="BN208" s="192"/>
      <c r="BO208" s="214"/>
      <c r="BP208" s="214"/>
      <c r="BQ208" s="192"/>
      <c r="BR208" s="192"/>
      <c r="BS208" s="192"/>
      <c r="BT208" s="214"/>
      <c r="BU208" s="214"/>
      <c r="BV208" s="192"/>
      <c r="BW208" s="192"/>
      <c r="BX208" s="192"/>
      <c r="BY208" s="192"/>
      <c r="BZ208" s="214"/>
      <c r="CA208" s="214"/>
      <c r="CB208" s="192"/>
      <c r="CC208" s="192"/>
      <c r="CD208" s="214"/>
      <c r="CE208" s="214"/>
      <c r="CF208" s="192"/>
      <c r="CG208" s="192"/>
      <c r="CH208" s="214"/>
      <c r="CI208" s="214"/>
      <c r="CJ208" s="192"/>
      <c r="CK208" s="192"/>
      <c r="CL208" s="214"/>
      <c r="CM208" s="214"/>
      <c r="CQ208" s="206"/>
    </row>
    <row r="209" spans="1:98" s="5" customFormat="1" ht="13.5" customHeight="1">
      <c r="B209" s="1"/>
      <c r="C209" s="1"/>
      <c r="D209" s="1"/>
      <c r="E209" s="1"/>
      <c r="F209" s="1"/>
      <c r="G209" s="1"/>
      <c r="H209" s="1"/>
      <c r="I209" s="1"/>
      <c r="J209" s="1"/>
      <c r="K209" s="1"/>
      <c r="L209" s="1"/>
      <c r="M209" s="1"/>
      <c r="N209" s="1"/>
      <c r="O209" s="1"/>
      <c r="P209" s="1"/>
      <c r="Q209" s="1"/>
      <c r="R209" s="1"/>
      <c r="S209" s="1"/>
      <c r="T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269"/>
      <c r="BG209" s="192"/>
      <c r="BH209" s="192"/>
      <c r="BI209" s="192"/>
      <c r="BJ209" s="192"/>
      <c r="BK209" s="192"/>
      <c r="BM209" s="214"/>
      <c r="BN209" s="188"/>
      <c r="BO209" s="214"/>
      <c r="BP209" s="214"/>
      <c r="BQ209" s="188"/>
      <c r="BR209" s="188"/>
      <c r="BS209" s="188"/>
      <c r="BT209" s="214"/>
      <c r="BU209" s="214"/>
      <c r="BV209" s="188"/>
      <c r="BW209" s="188"/>
      <c r="BX209" s="188"/>
      <c r="BY209" s="188"/>
      <c r="BZ209" s="214"/>
      <c r="CA209" s="214"/>
      <c r="CB209" s="188"/>
      <c r="CC209" s="188"/>
      <c r="CD209" s="214"/>
      <c r="CE209" s="214"/>
      <c r="CF209" s="188"/>
      <c r="CG209" s="188"/>
      <c r="CH209" s="214"/>
      <c r="CI209" s="214"/>
      <c r="CJ209" s="188"/>
      <c r="CK209" s="188"/>
      <c r="CL209" s="214"/>
      <c r="CM209" s="214"/>
      <c r="CN209" s="1"/>
      <c r="CO209" s="1"/>
      <c r="CP209" s="1"/>
      <c r="CQ209" s="206"/>
      <c r="CR209" s="1"/>
      <c r="CS209" s="1"/>
      <c r="CT209" s="1"/>
    </row>
    <row r="210" spans="1:98" s="5" customFormat="1" ht="13.5" customHeight="1">
      <c r="B210" s="1" t="s">
        <v>164</v>
      </c>
      <c r="C210" s="6">
        <f>C143</f>
        <v>8695.0110000000022</v>
      </c>
      <c r="D210" s="6">
        <f t="shared" ref="D210:AB210" si="473">D143</f>
        <v>8136.2089999999998</v>
      </c>
      <c r="E210" s="6">
        <f t="shared" si="473"/>
        <v>6476.0650000000005</v>
      </c>
      <c r="F210" s="6">
        <f t="shared" si="473"/>
        <v>8568.4799999999959</v>
      </c>
      <c r="G210" s="6">
        <f t="shared" ref="G210:I211" si="474">G143</f>
        <v>8568.48</v>
      </c>
      <c r="H210" s="6">
        <f t="shared" si="474"/>
        <v>8534.4220000000005</v>
      </c>
      <c r="I210" s="6">
        <f t="shared" si="474"/>
        <v>14171.577000000001</v>
      </c>
      <c r="J210" s="6">
        <f t="shared" ref="J210:L211" si="475">J143</f>
        <v>16114.418999999998</v>
      </c>
      <c r="K210" s="6">
        <f t="shared" si="475"/>
        <v>22904</v>
      </c>
      <c r="L210" s="6">
        <f t="shared" si="475"/>
        <v>43218.017000000007</v>
      </c>
      <c r="M210" s="6">
        <f t="shared" ref="M210:O211" si="476">M143</f>
        <v>34205.733</v>
      </c>
      <c r="N210" s="6">
        <f t="shared" si="476"/>
        <v>43760.125000000015</v>
      </c>
      <c r="O210" s="6">
        <f t="shared" si="476"/>
        <v>47449.723000000005</v>
      </c>
      <c r="P210" s="6"/>
      <c r="Q210" s="6">
        <f t="shared" si="473"/>
        <v>7511.8089999999975</v>
      </c>
      <c r="R210" s="6">
        <f t="shared" si="473"/>
        <v>6577.3320000000003</v>
      </c>
      <c r="S210" s="6">
        <f t="shared" si="473"/>
        <v>6586.8349999999991</v>
      </c>
      <c r="T210" s="6">
        <f t="shared" si="473"/>
        <v>6476.0650000000005</v>
      </c>
      <c r="U210" s="193"/>
      <c r="V210" s="6">
        <f t="shared" si="473"/>
        <v>6928.1849999999995</v>
      </c>
      <c r="W210" s="6">
        <f t="shared" si="473"/>
        <v>7501.0120000000024</v>
      </c>
      <c r="X210" s="6">
        <f t="shared" si="473"/>
        <v>7574.3170000000018</v>
      </c>
      <c r="Y210" s="6">
        <f t="shared" si="473"/>
        <v>8568.4799999999959</v>
      </c>
      <c r="Z210" s="6">
        <f t="shared" si="473"/>
        <v>6823.8750000000009</v>
      </c>
      <c r="AA210" s="6">
        <f t="shared" si="473"/>
        <v>13649.628999999999</v>
      </c>
      <c r="AB210" s="6">
        <f t="shared" si="473"/>
        <v>14245.868000000002</v>
      </c>
      <c r="AC210" s="6">
        <f t="shared" ref="AC210:AE211" si="477">AC143</f>
        <v>8529.1110000000008</v>
      </c>
      <c r="AD210" s="6">
        <f t="shared" si="477"/>
        <v>10566.314999999995</v>
      </c>
      <c r="AE210" s="6">
        <f t="shared" si="477"/>
        <v>10983.960999999998</v>
      </c>
      <c r="AF210" s="6">
        <f t="shared" ref="AF210:AI211" si="478">AF143</f>
        <v>11703.035</v>
      </c>
      <c r="AG210" s="6">
        <f t="shared" si="478"/>
        <v>14171.577000000001</v>
      </c>
      <c r="AH210" s="6">
        <f t="shared" si="478"/>
        <v>20605.155999999999</v>
      </c>
      <c r="AI210" s="6">
        <f t="shared" si="478"/>
        <v>18521.356</v>
      </c>
      <c r="AJ210" s="6">
        <f t="shared" ref="AJ210:AM211" si="479">AJ143</f>
        <v>18253.389000000003</v>
      </c>
      <c r="AK210" s="6">
        <f t="shared" si="479"/>
        <v>16114.418999999998</v>
      </c>
      <c r="AL210" s="6">
        <f t="shared" si="479"/>
        <v>18851.492000000006</v>
      </c>
      <c r="AM210" s="6">
        <f t="shared" si="479"/>
        <v>15236.416999999998</v>
      </c>
      <c r="AN210" s="6">
        <f t="shared" ref="AN210:AP211" si="480">AN143</f>
        <v>14643.016</v>
      </c>
      <c r="AO210" s="6">
        <f t="shared" si="480"/>
        <v>22904</v>
      </c>
      <c r="AP210" s="6">
        <f t="shared" si="480"/>
        <v>22262.221999999994</v>
      </c>
      <c r="AQ210" s="6">
        <f t="shared" ref="AQ210:AT211" si="481">AQ143</f>
        <v>41877.537999999993</v>
      </c>
      <c r="AR210" s="6">
        <f t="shared" si="481"/>
        <v>43699.632000000005</v>
      </c>
      <c r="AS210" s="6">
        <f t="shared" si="481"/>
        <v>43218.017000000007</v>
      </c>
      <c r="AT210" s="6">
        <f t="shared" si="481"/>
        <v>44900.588000000003</v>
      </c>
      <c r="AU210" s="6">
        <f t="shared" ref="AU210:AX211" si="482">AU143</f>
        <v>43524.577000000005</v>
      </c>
      <c r="AV210" s="6">
        <f t="shared" si="482"/>
        <v>33473.259000000005</v>
      </c>
      <c r="AW210" s="6">
        <f t="shared" si="482"/>
        <v>34205.733</v>
      </c>
      <c r="AX210" s="6">
        <f t="shared" si="482"/>
        <v>35857.706000000006</v>
      </c>
      <c r="AY210" s="6">
        <f t="shared" ref="AY210:BB211" si="483">AY143</f>
        <v>39651.631999999998</v>
      </c>
      <c r="AZ210" s="6">
        <f t="shared" si="483"/>
        <v>38978.292000000001</v>
      </c>
      <c r="BA210" s="6">
        <f t="shared" si="483"/>
        <v>43760.125000000015</v>
      </c>
      <c r="BB210" s="6">
        <f t="shared" si="483"/>
        <v>43902.371999999988</v>
      </c>
      <c r="BC210" s="6">
        <f>BC143</f>
        <v>43342.210000000014</v>
      </c>
      <c r="BD210" s="6">
        <f>BD143</f>
        <v>47449.723000000005</v>
      </c>
      <c r="BE210" s="6"/>
      <c r="BF210" s="269"/>
      <c r="BG210" s="192"/>
      <c r="BH210" s="192"/>
      <c r="BI210" s="192"/>
      <c r="BJ210" s="192"/>
      <c r="BK210" s="192"/>
      <c r="BM210" s="214"/>
      <c r="BN210" s="188"/>
      <c r="BO210" s="214"/>
      <c r="BP210" s="214"/>
      <c r="BQ210" s="188"/>
      <c r="BR210" s="188"/>
      <c r="BS210" s="188"/>
      <c r="BT210" s="214"/>
      <c r="BU210" s="214"/>
      <c r="BV210" s="188"/>
      <c r="BW210" s="188"/>
      <c r="BX210" s="188"/>
      <c r="BY210" s="188"/>
      <c r="BZ210" s="214"/>
      <c r="CA210" s="214"/>
      <c r="CB210" s="188"/>
      <c r="CC210" s="188"/>
      <c r="CD210" s="214"/>
      <c r="CE210" s="214"/>
      <c r="CF210" s="188"/>
      <c r="CG210" s="188"/>
      <c r="CH210" s="214"/>
      <c r="CI210" s="214"/>
      <c r="CJ210" s="188"/>
      <c r="CK210" s="188"/>
      <c r="CL210" s="214"/>
      <c r="CM210" s="214"/>
      <c r="CN210" s="1"/>
      <c r="CO210" s="1"/>
      <c r="CP210" s="1"/>
      <c r="CQ210" s="206"/>
      <c r="CR210" s="1"/>
      <c r="CS210" s="1"/>
      <c r="CT210" s="1"/>
    </row>
    <row r="211" spans="1:98" s="5" customFormat="1" ht="13.5" customHeight="1">
      <c r="B211" s="1" t="s">
        <v>165</v>
      </c>
      <c r="C211" s="6">
        <f>C144</f>
        <v>11353.808000000003</v>
      </c>
      <c r="D211" s="6">
        <f t="shared" ref="D211:AB211" si="484">D144</f>
        <v>13140.419</v>
      </c>
      <c r="E211" s="6">
        <f t="shared" si="484"/>
        <v>11754.706</v>
      </c>
      <c r="F211" s="6">
        <f t="shared" si="484"/>
        <v>12970.832999999997</v>
      </c>
      <c r="G211" s="6">
        <f t="shared" si="474"/>
        <v>12970.832999999999</v>
      </c>
      <c r="H211" s="6">
        <f t="shared" si="474"/>
        <v>15726.128000000001</v>
      </c>
      <c r="I211" s="6">
        <f t="shared" si="474"/>
        <v>22581.690000000002</v>
      </c>
      <c r="J211" s="6">
        <f t="shared" si="475"/>
        <v>27871.867999999999</v>
      </c>
      <c r="K211" s="6">
        <f t="shared" si="475"/>
        <v>31304.26</v>
      </c>
      <c r="L211" s="6">
        <f t="shared" si="475"/>
        <v>65710.55</v>
      </c>
      <c r="M211" s="6">
        <f t="shared" si="476"/>
        <v>56084.089</v>
      </c>
      <c r="N211" s="6">
        <f t="shared" si="476"/>
        <v>66279.640000000014</v>
      </c>
      <c r="O211" s="6">
        <f t="shared" si="476"/>
        <v>69851.801000000007</v>
      </c>
      <c r="P211" s="6"/>
      <c r="Q211" s="6">
        <f t="shared" si="484"/>
        <v>12696.280999999997</v>
      </c>
      <c r="R211" s="6">
        <f t="shared" si="484"/>
        <v>11772.486000000001</v>
      </c>
      <c r="S211" s="6">
        <f t="shared" si="484"/>
        <v>12317.494999999999</v>
      </c>
      <c r="T211" s="6">
        <f t="shared" si="484"/>
        <v>11754.706</v>
      </c>
      <c r="U211" s="193"/>
      <c r="V211" s="6">
        <f t="shared" si="484"/>
        <v>12632.675999999999</v>
      </c>
      <c r="W211" s="6">
        <f t="shared" si="484"/>
        <v>12936.956000000002</v>
      </c>
      <c r="X211" s="6">
        <f t="shared" si="484"/>
        <v>12098.624000000002</v>
      </c>
      <c r="Y211" s="6">
        <f t="shared" si="484"/>
        <v>12970.832999999997</v>
      </c>
      <c r="Z211" s="6">
        <f t="shared" si="484"/>
        <v>12683.826000000001</v>
      </c>
      <c r="AA211" s="6">
        <f t="shared" si="484"/>
        <v>19309.513999999999</v>
      </c>
      <c r="AB211" s="6">
        <f t="shared" si="484"/>
        <v>19880.003000000001</v>
      </c>
      <c r="AC211" s="6">
        <f t="shared" si="477"/>
        <v>15720.817000000001</v>
      </c>
      <c r="AD211" s="6">
        <f t="shared" si="477"/>
        <v>17168.175999999996</v>
      </c>
      <c r="AE211" s="6">
        <f t="shared" si="477"/>
        <v>17421.773999999998</v>
      </c>
      <c r="AF211" s="6">
        <f t="shared" si="478"/>
        <v>20062.624</v>
      </c>
      <c r="AG211" s="6">
        <f t="shared" si="478"/>
        <v>22581.690000000002</v>
      </c>
      <c r="AH211" s="6">
        <f t="shared" si="478"/>
        <v>28179.331999999999</v>
      </c>
      <c r="AI211" s="6">
        <f t="shared" si="478"/>
        <v>26695.398999999998</v>
      </c>
      <c r="AJ211" s="6">
        <f t="shared" si="479"/>
        <v>27907.860000000004</v>
      </c>
      <c r="AK211" s="6">
        <f t="shared" si="479"/>
        <v>27871.867999999999</v>
      </c>
      <c r="AL211" s="6">
        <f t="shared" si="479"/>
        <v>29908.448000000004</v>
      </c>
      <c r="AM211" s="6">
        <f t="shared" si="479"/>
        <v>28740.237999999998</v>
      </c>
      <c r="AN211" s="6">
        <f t="shared" si="480"/>
        <v>30243.816999999999</v>
      </c>
      <c r="AO211" s="6">
        <f t="shared" si="480"/>
        <v>31304.26</v>
      </c>
      <c r="AP211" s="6">
        <f t="shared" si="480"/>
        <v>33430.058999999994</v>
      </c>
      <c r="AQ211" s="6">
        <f t="shared" si="481"/>
        <v>60744.027999999991</v>
      </c>
      <c r="AR211" s="6">
        <f t="shared" si="481"/>
        <v>63758.422000000006</v>
      </c>
      <c r="AS211" s="6">
        <f t="shared" si="481"/>
        <v>65710.55</v>
      </c>
      <c r="AT211" s="6">
        <f t="shared" si="481"/>
        <v>64512.413</v>
      </c>
      <c r="AU211" s="6">
        <f t="shared" si="482"/>
        <v>62448.647000000004</v>
      </c>
      <c r="AV211" s="6">
        <f t="shared" si="482"/>
        <v>57002.062000000005</v>
      </c>
      <c r="AW211" s="6">
        <f t="shared" si="482"/>
        <v>56084.089</v>
      </c>
      <c r="AX211" s="6">
        <f t="shared" si="482"/>
        <v>56620.260000000009</v>
      </c>
      <c r="AY211" s="6">
        <f t="shared" si="483"/>
        <v>61601.951000000001</v>
      </c>
      <c r="AZ211" s="6">
        <f t="shared" si="483"/>
        <v>58814.144</v>
      </c>
      <c r="BA211" s="6">
        <f t="shared" si="483"/>
        <v>66279.640000000014</v>
      </c>
      <c r="BB211" s="6">
        <f t="shared" si="483"/>
        <v>63879.113999999987</v>
      </c>
      <c r="BC211" s="6">
        <f>BC144</f>
        <v>66303.943000000014</v>
      </c>
      <c r="BD211" s="6">
        <f>BD144</f>
        <v>69851.801000000007</v>
      </c>
      <c r="BE211" s="6"/>
      <c r="BF211" s="269"/>
      <c r="BG211" s="192"/>
      <c r="BH211" s="192"/>
      <c r="BI211" s="192"/>
      <c r="BJ211" s="192"/>
      <c r="BK211" s="192"/>
      <c r="BM211" s="214"/>
      <c r="BN211" s="188"/>
      <c r="BO211" s="214"/>
      <c r="BP211" s="214"/>
      <c r="BQ211" s="188"/>
      <c r="BR211" s="188"/>
      <c r="BS211" s="188"/>
      <c r="BT211" s="214"/>
      <c r="BU211" s="214"/>
      <c r="BV211" s="188"/>
      <c r="BW211" s="188"/>
      <c r="BX211" s="188"/>
      <c r="BY211" s="188"/>
      <c r="BZ211" s="214"/>
      <c r="CA211" s="214"/>
      <c r="CB211" s="188"/>
      <c r="CC211" s="188"/>
      <c r="CD211" s="214"/>
      <c r="CE211" s="214"/>
      <c r="CF211" s="188"/>
      <c r="CG211" s="188"/>
      <c r="CH211" s="214"/>
      <c r="CI211" s="214"/>
      <c r="CJ211" s="188"/>
      <c r="CK211" s="188"/>
      <c r="CL211" s="214"/>
      <c r="CM211" s="214"/>
      <c r="CN211" s="1"/>
      <c r="CO211" s="1"/>
      <c r="CP211" s="1"/>
      <c r="CQ211" s="206"/>
      <c r="CR211" s="1"/>
      <c r="CS211" s="1"/>
      <c r="CT211" s="1"/>
    </row>
    <row r="212" spans="1:98" s="5" customFormat="1" ht="13.5" customHeight="1">
      <c r="B212" s="1"/>
      <c r="C212" s="1"/>
      <c r="D212" s="1"/>
      <c r="E212" s="1"/>
      <c r="F212" s="1"/>
      <c r="G212" s="1"/>
      <c r="H212" s="1"/>
      <c r="I212" s="1"/>
      <c r="J212" s="1"/>
      <c r="K212" s="1"/>
      <c r="L212" s="1"/>
      <c r="M212" s="1"/>
      <c r="N212" s="1"/>
      <c r="O212" s="1"/>
      <c r="P212" s="1"/>
      <c r="Q212" s="1"/>
      <c r="R212" s="1"/>
      <c r="S212" s="1"/>
      <c r="T212" s="1"/>
      <c r="U212" s="188"/>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269"/>
      <c r="BG212" s="192"/>
      <c r="BH212" s="192"/>
      <c r="BI212" s="192"/>
      <c r="BJ212" s="192"/>
      <c r="BK212" s="192"/>
      <c r="BM212" s="214"/>
      <c r="BN212" s="188"/>
      <c r="BO212" s="214"/>
      <c r="BP212" s="214"/>
      <c r="BQ212" s="188"/>
      <c r="BR212" s="188"/>
      <c r="BS212" s="188"/>
      <c r="BT212" s="214"/>
      <c r="BU212" s="214"/>
      <c r="BV212" s="188"/>
      <c r="BW212" s="188"/>
      <c r="BX212" s="188"/>
      <c r="BY212" s="188"/>
      <c r="BZ212" s="214"/>
      <c r="CA212" s="214"/>
      <c r="CB212" s="188"/>
      <c r="CC212" s="188"/>
      <c r="CD212" s="214"/>
      <c r="CE212" s="214"/>
      <c r="CF212" s="188"/>
      <c r="CG212" s="188"/>
      <c r="CH212" s="214"/>
      <c r="CI212" s="214"/>
      <c r="CJ212" s="188"/>
      <c r="CK212" s="188"/>
      <c r="CL212" s="214"/>
      <c r="CM212" s="214"/>
      <c r="CN212" s="1"/>
      <c r="CO212" s="1"/>
      <c r="CP212" s="1"/>
      <c r="CQ212" s="206"/>
      <c r="CR212" s="1"/>
      <c r="CS212" s="1"/>
      <c r="CT212" s="1"/>
    </row>
    <row r="213" spans="1:98" s="5" customFormat="1" ht="13.5" customHeight="1">
      <c r="B213" s="5" t="str">
        <f t="shared" ref="B213:H214" si="485">+B158</f>
        <v>Total Net Leverage</v>
      </c>
      <c r="C213" s="48">
        <f t="shared" si="485"/>
        <v>6.4237167038221523</v>
      </c>
      <c r="D213" s="48">
        <f t="shared" si="485"/>
        <v>4.6711499598116895</v>
      </c>
      <c r="E213" s="48">
        <f t="shared" si="485"/>
        <v>4.013177790171655</v>
      </c>
      <c r="F213" s="48">
        <f t="shared" si="485"/>
        <v>5.0172619744700766</v>
      </c>
      <c r="G213" s="48">
        <f t="shared" si="485"/>
        <v>10.832465233881162</v>
      </c>
      <c r="H213" s="48">
        <f t="shared" si="485"/>
        <v>3.2812079969242602</v>
      </c>
      <c r="I213" s="48">
        <f t="shared" ref="I213:L214" si="486">+I158</f>
        <v>2.9450492518703246</v>
      </c>
      <c r="J213" s="48">
        <f t="shared" si="486"/>
        <v>1.6794600312662844</v>
      </c>
      <c r="K213" s="48">
        <f t="shared" si="486"/>
        <v>1.5748074807480748</v>
      </c>
      <c r="L213" s="48">
        <f t="shared" si="486"/>
        <v>3.3901801851270794</v>
      </c>
      <c r="M213" s="48">
        <f t="shared" ref="M213:O214" si="487">+M158</f>
        <v>3.9983323202805376</v>
      </c>
      <c r="N213" s="48">
        <f t="shared" si="487"/>
        <v>3.2077499633484838</v>
      </c>
      <c r="O213" s="48">
        <f t="shared" si="487"/>
        <v>3.5260253399717625</v>
      </c>
      <c r="P213" s="48"/>
      <c r="Q213" s="48"/>
      <c r="R213" s="48"/>
      <c r="S213" s="48"/>
      <c r="T213" s="48">
        <f>+T158</f>
        <v>4.013177790171655</v>
      </c>
      <c r="U213" s="188"/>
      <c r="V213" s="48">
        <f t="shared" ref="V213:AD213" si="488">+V158</f>
        <v>4.2366446523573646</v>
      </c>
      <c r="W213" s="48">
        <f t="shared" si="488"/>
        <v>4.6814029832116342</v>
      </c>
      <c r="X213" s="48">
        <f t="shared" si="488"/>
        <v>4.3448155796477952</v>
      </c>
      <c r="Y213" s="48">
        <f t="shared" si="488"/>
        <v>5.0172619744700766</v>
      </c>
      <c r="Z213" s="48">
        <f t="shared" si="488"/>
        <v>3.8915739948674091</v>
      </c>
      <c r="AA213" s="48">
        <f t="shared" si="488"/>
        <v>6.6244256248483389</v>
      </c>
      <c r="AB213" s="48">
        <f t="shared" si="488"/>
        <v>4.9081371231696824</v>
      </c>
      <c r="AC213" s="48">
        <f t="shared" si="488"/>
        <v>3.2791660899653983</v>
      </c>
      <c r="AD213" s="48">
        <f t="shared" si="488"/>
        <v>3.5185864135864118</v>
      </c>
      <c r="AE213" s="48">
        <f t="shared" ref="AE213:AH214" si="489">+AE158</f>
        <v>2.8783455387592021</v>
      </c>
      <c r="AF213" s="48">
        <f t="shared" si="489"/>
        <v>2.8261426765263393</v>
      </c>
      <c r="AG213" s="48">
        <f t="shared" si="489"/>
        <v>2.9450957662672979</v>
      </c>
      <c r="AH213" s="48">
        <f t="shared" si="489"/>
        <v>3.7893560987705341</v>
      </c>
      <c r="AI213" s="48">
        <f t="shared" ref="AI213:AL214" si="490">+AI158</f>
        <v>2.2056844390749046</v>
      </c>
      <c r="AJ213" s="48">
        <f t="shared" si="490"/>
        <v>2.0021220140023339</v>
      </c>
      <c r="AK213" s="48">
        <f t="shared" si="490"/>
        <v>1.6807377541222175</v>
      </c>
      <c r="AL213" s="48">
        <f t="shared" si="490"/>
        <v>1.8695343393249568</v>
      </c>
      <c r="AM213" s="48">
        <f t="shared" ref="AM213:AP214" si="491">+AM158</f>
        <v>1.5365700827653355</v>
      </c>
      <c r="AN213" s="48">
        <f t="shared" si="491"/>
        <v>1.1728914002767057</v>
      </c>
      <c r="AO213" s="48">
        <f t="shared" si="491"/>
        <v>1.5748074807480748</v>
      </c>
      <c r="AP213" s="48">
        <f t="shared" si="491"/>
        <v>1.4303014890400603</v>
      </c>
      <c r="AQ213" s="48">
        <f t="shared" ref="AQ213:AT214" si="492">+AQ158</f>
        <v>2.221678983527414</v>
      </c>
      <c r="AR213" s="48">
        <f t="shared" si="492"/>
        <v>2.6469122785228922</v>
      </c>
      <c r="AS213" s="48">
        <f t="shared" si="492"/>
        <v>3.3901801851270794</v>
      </c>
      <c r="AT213" s="48">
        <f t="shared" si="492"/>
        <v>3.9070198145339736</v>
      </c>
      <c r="AU213" s="48">
        <f t="shared" ref="AU213:AX214" si="493">+AU158</f>
        <v>4.4312936973150103</v>
      </c>
      <c r="AV213" s="48">
        <f t="shared" si="493"/>
        <v>3.9010564140089423</v>
      </c>
      <c r="AW213" s="48">
        <f t="shared" si="493"/>
        <v>3.9983323202805376</v>
      </c>
      <c r="AX213" s="48">
        <f t="shared" si="493"/>
        <v>3.396722681653733</v>
      </c>
      <c r="AY213" s="48">
        <f t="shared" ref="AY213:BB214" si="494">+AY158</f>
        <v>3.4002059102902371</v>
      </c>
      <c r="AZ213" s="48">
        <f t="shared" si="494"/>
        <v>3.005806133203095</v>
      </c>
      <c r="BA213" s="48">
        <f t="shared" si="494"/>
        <v>3.2077499633484838</v>
      </c>
      <c r="BB213" s="48">
        <f t="shared" si="494"/>
        <v>3.0976362145573759</v>
      </c>
      <c r="BC213" s="48">
        <f>+BC158</f>
        <v>3.1233683215444352</v>
      </c>
      <c r="BD213" s="48">
        <f>+BD158</f>
        <v>3.545905440760357</v>
      </c>
      <c r="BE213" s="48"/>
      <c r="BF213" s="272"/>
      <c r="BG213" s="217"/>
      <c r="BH213" s="217"/>
      <c r="BI213" s="217"/>
      <c r="BJ213" s="217"/>
      <c r="BK213" s="217"/>
      <c r="BM213" s="217"/>
      <c r="BN213" s="188"/>
      <c r="BO213" s="217"/>
      <c r="BP213" s="217"/>
      <c r="BQ213" s="188"/>
      <c r="BR213" s="188"/>
      <c r="BS213" s="188"/>
      <c r="BT213" s="217"/>
      <c r="BU213" s="217"/>
      <c r="BV213" s="188"/>
      <c r="BW213" s="188"/>
      <c r="BX213" s="188"/>
      <c r="BY213" s="188"/>
      <c r="BZ213" s="217"/>
      <c r="CA213" s="217"/>
      <c r="CB213" s="188"/>
      <c r="CC213" s="188"/>
      <c r="CD213" s="217"/>
      <c r="CE213" s="217"/>
      <c r="CF213" s="188"/>
      <c r="CG213" s="188"/>
      <c r="CH213" s="217"/>
      <c r="CI213" s="217"/>
      <c r="CJ213" s="188"/>
      <c r="CK213" s="188"/>
      <c r="CL213" s="217"/>
      <c r="CM213" s="217"/>
      <c r="CN213" s="1"/>
      <c r="CO213" s="1"/>
      <c r="CP213" s="1"/>
      <c r="CQ213" s="206"/>
      <c r="CR213" s="1"/>
      <c r="CS213" s="1"/>
      <c r="CT213" s="1"/>
    </row>
    <row r="214" spans="1:98" ht="12.75">
      <c r="B214" s="1" t="str">
        <f t="shared" si="485"/>
        <v xml:space="preserve">Total Gross Leverage </v>
      </c>
      <c r="C214" s="49">
        <f t="shared" si="485"/>
        <v>8.3879877899624962</v>
      </c>
      <c r="D214" s="49">
        <f t="shared" si="485"/>
        <v>7.544160638420025</v>
      </c>
      <c r="E214" s="49">
        <f t="shared" si="485"/>
        <v>7.2843192662824565</v>
      </c>
      <c r="F214" s="49">
        <f t="shared" si="485"/>
        <v>7.5950538704766348</v>
      </c>
      <c r="G214" s="49">
        <f t="shared" si="485"/>
        <v>16.398018963337545</v>
      </c>
      <c r="H214" s="49">
        <f t="shared" si="485"/>
        <v>6.0461853133410228</v>
      </c>
      <c r="I214" s="49">
        <f t="shared" si="486"/>
        <v>4.6927867830423944</v>
      </c>
      <c r="J214" s="49">
        <f t="shared" si="486"/>
        <v>2.9048325169359042</v>
      </c>
      <c r="K214" s="49">
        <f t="shared" si="486"/>
        <v>2.1523831133113309</v>
      </c>
      <c r="L214" s="49">
        <f t="shared" si="486"/>
        <v>5.1545771885786005</v>
      </c>
      <c r="M214" s="49">
        <f t="shared" si="487"/>
        <v>6.5557088252483924</v>
      </c>
      <c r="N214" s="49">
        <f t="shared" si="487"/>
        <v>4.8584987538484103</v>
      </c>
      <c r="O214" s="49">
        <f t="shared" si="487"/>
        <v>5.1907409526640418</v>
      </c>
      <c r="P214" s="49"/>
      <c r="Q214" s="49"/>
      <c r="R214" s="49"/>
      <c r="S214" s="49"/>
      <c r="T214" s="49">
        <f>+T159</f>
        <v>7.2843192662824565</v>
      </c>
      <c r="U214" s="192"/>
      <c r="V214" s="49">
        <f t="shared" ref="V214:AD214" si="495">+V159</f>
        <v>7.7249899101082358</v>
      </c>
      <c r="W214" s="49">
        <f t="shared" si="495"/>
        <v>8.0739911377394993</v>
      </c>
      <c r="X214" s="49">
        <f t="shared" si="495"/>
        <v>6.9400699822176346</v>
      </c>
      <c r="Y214" s="49">
        <f t="shared" si="495"/>
        <v>7.5950538704766348</v>
      </c>
      <c r="Z214" s="49">
        <f t="shared" si="495"/>
        <v>7.2334337040205314</v>
      </c>
      <c r="AA214" s="49">
        <f t="shared" si="495"/>
        <v>9.3712759039068203</v>
      </c>
      <c r="AB214" s="49">
        <f t="shared" si="495"/>
        <v>6.8492689061154186</v>
      </c>
      <c r="AC214" s="49">
        <f t="shared" si="495"/>
        <v>6.0441434063821609</v>
      </c>
      <c r="AD214" s="49">
        <f t="shared" si="495"/>
        <v>5.7170083250083232</v>
      </c>
      <c r="AE214" s="49">
        <f t="shared" si="489"/>
        <v>4.5653735906537785</v>
      </c>
      <c r="AF214" s="49">
        <f t="shared" si="489"/>
        <v>4.8448832195666824</v>
      </c>
      <c r="AG214" s="49">
        <f t="shared" si="489"/>
        <v>4.6928609013774949</v>
      </c>
      <c r="AH214" s="49">
        <f t="shared" si="489"/>
        <v>5.1822720281020764</v>
      </c>
      <c r="AI214" s="49">
        <f t="shared" si="490"/>
        <v>3.179120695547117</v>
      </c>
      <c r="AJ214" s="49">
        <f t="shared" si="490"/>
        <v>3.0610721586931158</v>
      </c>
      <c r="AK214" s="49">
        <f t="shared" si="490"/>
        <v>2.9070424956376586</v>
      </c>
      <c r="AL214" s="49">
        <f t="shared" si="490"/>
        <v>2.9660713630472757</v>
      </c>
      <c r="AM214" s="49">
        <f t="shared" si="491"/>
        <v>2.8984104256502987</v>
      </c>
      <c r="AN214" s="49">
        <f t="shared" si="491"/>
        <v>2.4225004514672688</v>
      </c>
      <c r="AO214" s="49">
        <f t="shared" si="491"/>
        <v>2.1523831133113309</v>
      </c>
      <c r="AP214" s="49">
        <f t="shared" si="491"/>
        <v>2.1478118027210882</v>
      </c>
      <c r="AQ214" s="49">
        <f t="shared" si="492"/>
        <v>3.2225803336958534</v>
      </c>
      <c r="AR214" s="49">
        <f t="shared" si="492"/>
        <v>3.8618849250502634</v>
      </c>
      <c r="AS214" s="49">
        <f t="shared" si="492"/>
        <v>5.1545771885786005</v>
      </c>
      <c r="AT214" s="49">
        <f t="shared" si="492"/>
        <v>5.6135406483852526</v>
      </c>
      <c r="AU214" s="49">
        <f t="shared" si="493"/>
        <v>6.3579778353032568</v>
      </c>
      <c r="AV214" s="49">
        <f t="shared" si="493"/>
        <v>6.6431613239940388</v>
      </c>
      <c r="AW214" s="49">
        <f t="shared" si="493"/>
        <v>6.5557088252483924</v>
      </c>
      <c r="AX214" s="49">
        <f t="shared" si="493"/>
        <v>5.3635143693556859</v>
      </c>
      <c r="AY214" s="49">
        <f t="shared" si="494"/>
        <v>5.2824892018469649</v>
      </c>
      <c r="AZ214" s="49">
        <f t="shared" si="494"/>
        <v>4.5354453898156954</v>
      </c>
      <c r="BA214" s="49">
        <f t="shared" si="494"/>
        <v>4.8584987538484103</v>
      </c>
      <c r="BB214" s="49">
        <f t="shared" si="494"/>
        <v>4.5071427320655726</v>
      </c>
      <c r="BC214" s="49">
        <f>+BC159</f>
        <v>4.7780589674520026</v>
      </c>
      <c r="BD214" s="49">
        <f>+BD159</f>
        <v>5.2200068947253868</v>
      </c>
      <c r="BE214" s="49"/>
      <c r="BF214" s="273"/>
      <c r="BG214" s="218"/>
      <c r="BH214" s="218"/>
      <c r="BI214" s="218"/>
      <c r="BJ214" s="218"/>
      <c r="BK214" s="218"/>
      <c r="BM214" s="218"/>
      <c r="BN214" s="192"/>
      <c r="BO214" s="218"/>
      <c r="BP214" s="218"/>
      <c r="BQ214" s="192"/>
      <c r="BR214" s="192"/>
      <c r="BS214" s="192"/>
      <c r="BT214" s="218"/>
      <c r="BU214" s="218"/>
      <c r="BV214" s="192"/>
      <c r="BW214" s="192"/>
      <c r="BX214" s="192"/>
      <c r="BY214" s="192"/>
      <c r="BZ214" s="218"/>
      <c r="CA214" s="218"/>
      <c r="CB214" s="192"/>
      <c r="CC214" s="192"/>
      <c r="CD214" s="218"/>
      <c r="CE214" s="218"/>
      <c r="CF214" s="192"/>
      <c r="CG214" s="192"/>
      <c r="CH214" s="218"/>
      <c r="CI214" s="218"/>
      <c r="CJ214" s="192"/>
      <c r="CK214" s="192"/>
      <c r="CL214" s="218"/>
      <c r="CM214" s="218"/>
      <c r="CQ214" s="206"/>
    </row>
    <row r="215" spans="1:98" ht="12.75">
      <c r="C215" s="49"/>
      <c r="D215" s="49"/>
      <c r="E215" s="49"/>
      <c r="F215" s="49"/>
      <c r="G215" s="49"/>
      <c r="H215" s="49"/>
      <c r="I215" s="49"/>
      <c r="J215" s="49"/>
      <c r="K215" s="49"/>
      <c r="L215" s="49"/>
      <c r="M215" s="49"/>
      <c r="N215" s="49"/>
      <c r="O215" s="49"/>
      <c r="P215" s="49"/>
      <c r="Q215" s="49"/>
      <c r="R215" s="49"/>
      <c r="S215" s="49"/>
      <c r="T215" s="49"/>
      <c r="U215" s="192"/>
      <c r="V215" s="49"/>
      <c r="W215" s="49"/>
      <c r="X215" s="49"/>
      <c r="Y215" s="49"/>
      <c r="Z215" s="49"/>
      <c r="AA215" s="49"/>
      <c r="AB215" s="49"/>
      <c r="AC215" s="49"/>
      <c r="AD215" s="49"/>
      <c r="AE215" s="49"/>
      <c r="AF215" s="49"/>
      <c r="AG215" s="49"/>
      <c r="AH215" s="49"/>
      <c r="AI215" s="49"/>
      <c r="AJ215" s="49"/>
      <c r="AK215" s="49"/>
      <c r="AL215" s="49"/>
      <c r="AM215" s="49"/>
      <c r="AN215" s="49"/>
      <c r="AO215" s="49"/>
      <c r="AP215" s="49"/>
      <c r="AQ215" s="49"/>
      <c r="AR215" s="49"/>
      <c r="AS215" s="49"/>
      <c r="AT215" s="49"/>
      <c r="AU215" s="49"/>
      <c r="AV215" s="49"/>
      <c r="AW215" s="49"/>
      <c r="AX215" s="49"/>
      <c r="AY215" s="49"/>
      <c r="AZ215" s="49"/>
      <c r="BA215" s="49"/>
      <c r="BB215" s="49"/>
      <c r="BC215" s="49"/>
      <c r="BD215" s="49"/>
      <c r="BE215" s="49"/>
      <c r="BF215" s="273"/>
      <c r="BG215" s="218"/>
      <c r="BH215" s="218"/>
      <c r="BI215" s="218"/>
      <c r="BJ215" s="218"/>
      <c r="BK215" s="218"/>
      <c r="BM215" s="218"/>
      <c r="BN215" s="192"/>
      <c r="BO215" s="218"/>
      <c r="BP215" s="218"/>
      <c r="BQ215" s="192"/>
      <c r="BR215" s="192"/>
      <c r="BS215" s="192"/>
      <c r="BT215" s="218"/>
      <c r="BU215" s="218"/>
      <c r="BV215" s="192"/>
      <c r="BW215" s="192"/>
      <c r="BX215" s="192"/>
      <c r="BY215" s="192"/>
      <c r="BZ215" s="218"/>
      <c r="CA215" s="218"/>
      <c r="CB215" s="192"/>
      <c r="CC215" s="192"/>
      <c r="CD215" s="218"/>
      <c r="CE215" s="218"/>
      <c r="CF215" s="192"/>
      <c r="CG215" s="192"/>
      <c r="CH215" s="218"/>
      <c r="CI215" s="218"/>
      <c r="CJ215" s="192"/>
      <c r="CK215" s="192"/>
      <c r="CL215" s="218"/>
      <c r="CM215" s="218"/>
      <c r="CQ215" s="206"/>
    </row>
    <row r="216" spans="1:98" s="5" customFormat="1" ht="12.75">
      <c r="B216" s="5" t="str">
        <f t="shared" ref="B216:H217" si="496">+B161</f>
        <v>Net Leverage (based on company reported debt)</v>
      </c>
      <c r="C216" s="48">
        <f t="shared" si="496"/>
        <v>6.2073400460622539</v>
      </c>
      <c r="D216" s="48">
        <f t="shared" si="496"/>
        <v>4.0865185440349068</v>
      </c>
      <c r="E216" s="48">
        <f t="shared" si="496"/>
        <v>3.6386936853194523</v>
      </c>
      <c r="F216" s="48">
        <f t="shared" si="496"/>
        <v>4.6989372291837457</v>
      </c>
      <c r="G216" s="48">
        <f t="shared" si="496"/>
        <v>10.145189633375475</v>
      </c>
      <c r="H216" s="48">
        <f t="shared" si="496"/>
        <v>3.0917508650519032</v>
      </c>
      <c r="I216" s="48">
        <f t="shared" ref="I216:L217" si="497">+I161</f>
        <v>2.7652051122194514</v>
      </c>
      <c r="J216" s="48">
        <f t="shared" si="497"/>
        <v>1.5688064616988016</v>
      </c>
      <c r="K216" s="48">
        <f t="shared" si="497"/>
        <v>1.5075314906490649</v>
      </c>
      <c r="L216" s="48">
        <f t="shared" si="497"/>
        <v>3.0342216818324443</v>
      </c>
      <c r="M216" s="48">
        <f t="shared" ref="M216:O217" si="498">+M161</f>
        <v>4.0362392752776159</v>
      </c>
      <c r="N216" s="48">
        <f t="shared" si="498"/>
        <v>2.8472405805600349</v>
      </c>
      <c r="O216" s="48">
        <f t="shared" si="498"/>
        <v>3.0726759307423648</v>
      </c>
      <c r="P216" s="48"/>
      <c r="Q216" s="48"/>
      <c r="R216" s="48"/>
      <c r="S216" s="48"/>
      <c r="T216" s="48">
        <f>+T161</f>
        <v>3.6386936853194523</v>
      </c>
      <c r="U216" s="188"/>
      <c r="V216" s="48">
        <f t="shared" ref="V216:AD216" si="499">+V161</f>
        <v>3.7543612792759733</v>
      </c>
      <c r="W216" s="48">
        <f t="shared" si="499"/>
        <v>4.1816520002496409</v>
      </c>
      <c r="X216" s="48">
        <f t="shared" si="499"/>
        <v>4.0369007055584243</v>
      </c>
      <c r="Y216" s="48">
        <f t="shared" si="499"/>
        <v>4.6989372291837457</v>
      </c>
      <c r="Z216" s="48">
        <f t="shared" si="499"/>
        <v>3.6120347875677226</v>
      </c>
      <c r="AA216" s="48">
        <f t="shared" si="499"/>
        <v>6.3695132249454032</v>
      </c>
      <c r="AB216" s="48">
        <f t="shared" si="499"/>
        <v>4.721383634797589</v>
      </c>
      <c r="AC216" s="48">
        <f t="shared" si="499"/>
        <v>3.0917508650519032</v>
      </c>
      <c r="AD216" s="48">
        <f t="shared" si="499"/>
        <v>3.2271305361305362</v>
      </c>
      <c r="AE216" s="48">
        <f t="shared" ref="AE216:AH217" si="500">+AE161</f>
        <v>2.65</v>
      </c>
      <c r="AF216" s="48">
        <f t="shared" si="500"/>
        <v>2.59</v>
      </c>
      <c r="AG216" s="48">
        <f t="shared" si="500"/>
        <v>2.7652487861404293</v>
      </c>
      <c r="AH216" s="48">
        <f t="shared" si="500"/>
        <v>3.5650222151048663</v>
      </c>
      <c r="AI216" s="48">
        <f t="shared" ref="AI216:AL217" si="501">+AI161</f>
        <v>2.0700335830169134</v>
      </c>
      <c r="AJ216" s="48">
        <f t="shared" si="501"/>
        <v>1.880010529754959</v>
      </c>
      <c r="AK216" s="48">
        <f t="shared" si="501"/>
        <v>1.5699999999999998</v>
      </c>
      <c r="AL216" s="48">
        <f t="shared" si="501"/>
        <v>1.7600068428466782</v>
      </c>
      <c r="AM216" s="48">
        <f t="shared" ref="AM216:AP217" si="502">+AM161</f>
        <v>1.449959358047016</v>
      </c>
      <c r="AN216" s="48">
        <f t="shared" si="502"/>
        <v>1.0999626738513071</v>
      </c>
      <c r="AO216" s="48">
        <f t="shared" si="502"/>
        <v>1.5075314906490649</v>
      </c>
      <c r="AP216" s="48">
        <f t="shared" si="502"/>
        <v>1.36</v>
      </c>
      <c r="AQ216" s="48">
        <f t="shared" ref="AQ216:AT217" si="503">+AQ161</f>
        <v>1.9999781957081089</v>
      </c>
      <c r="AR216" s="48">
        <f t="shared" si="503"/>
        <v>2.3800063599114347</v>
      </c>
      <c r="AS216" s="48">
        <f t="shared" si="503"/>
        <v>3.0342216818324443</v>
      </c>
      <c r="AT216" s="48">
        <f t="shared" si="503"/>
        <v>3.5000415931183655</v>
      </c>
      <c r="AU216" s="48">
        <f t="shared" ref="AU216:AX217" si="504">+AU161</f>
        <v>4.05</v>
      </c>
      <c r="AV216" s="48">
        <f t="shared" si="504"/>
        <v>3.9100404402384501</v>
      </c>
      <c r="AW216" s="48">
        <f t="shared" si="504"/>
        <v>4.0362392752776159</v>
      </c>
      <c r="AX216" s="48">
        <f t="shared" si="504"/>
        <v>3.4299757496754957</v>
      </c>
      <c r="AY216" s="48">
        <f t="shared" ref="AY216:BB217" si="505">+AY161</f>
        <v>3.4577995976253293</v>
      </c>
      <c r="AZ216" s="48">
        <f t="shared" si="505"/>
        <v>3.0699979436033211</v>
      </c>
      <c r="BA216" s="48">
        <f t="shared" si="505"/>
        <v>2.8472405805600349</v>
      </c>
      <c r="BB216" s="48">
        <f t="shared" si="505"/>
        <v>2.69</v>
      </c>
      <c r="BC216" s="48">
        <f>+BC161</f>
        <v>2.71</v>
      </c>
      <c r="BD216" s="48">
        <f>+BD161</f>
        <v>3.09</v>
      </c>
      <c r="BE216" s="48"/>
      <c r="BF216" s="272"/>
      <c r="BG216" s="217"/>
      <c r="BH216" s="217"/>
      <c r="BI216" s="217"/>
      <c r="BJ216" s="217"/>
      <c r="BK216" s="217"/>
      <c r="BM216" s="217"/>
      <c r="BN216" s="188"/>
      <c r="BO216" s="217"/>
      <c r="BP216" s="217"/>
      <c r="BQ216" s="188"/>
      <c r="BR216" s="188"/>
      <c r="BS216" s="188"/>
      <c r="BT216" s="217"/>
      <c r="BU216" s="217"/>
      <c r="BV216" s="188"/>
      <c r="BW216" s="188"/>
      <c r="BX216" s="188"/>
      <c r="BY216" s="188"/>
      <c r="BZ216" s="217"/>
      <c r="CA216" s="217"/>
      <c r="CB216" s="188"/>
      <c r="CC216" s="188"/>
      <c r="CD216" s="217"/>
      <c r="CE216" s="217"/>
      <c r="CF216" s="188"/>
      <c r="CG216" s="188"/>
      <c r="CH216" s="217"/>
      <c r="CI216" s="217"/>
      <c r="CJ216" s="188"/>
      <c r="CK216" s="188"/>
      <c r="CL216" s="217"/>
      <c r="CM216" s="217"/>
      <c r="CN216" s="1"/>
      <c r="CO216" s="1"/>
      <c r="CP216" s="1"/>
      <c r="CQ216" s="206"/>
      <c r="CR216" s="1"/>
      <c r="CS216" s="1"/>
      <c r="CT216" s="1"/>
    </row>
    <row r="217" spans="1:98" s="5" customFormat="1" ht="12.75">
      <c r="B217" s="5" t="str">
        <f t="shared" si="496"/>
        <v>Net Leverage (based on company reported adjusted debt)</v>
      </c>
      <c r="C217" s="48">
        <f t="shared" si="496"/>
        <v>4.2582538829922054</v>
      </c>
      <c r="D217" s="48">
        <f t="shared" si="496"/>
        <v>0.97534217476174079</v>
      </c>
      <c r="E217" s="48">
        <f t="shared" si="496"/>
        <v>2.3408843031542417</v>
      </c>
      <c r="F217" s="48">
        <f t="shared" si="496"/>
        <v>4.154131631338565</v>
      </c>
      <c r="G217" s="48">
        <f t="shared" si="496"/>
        <v>8.9689329962073323</v>
      </c>
      <c r="H217" s="48">
        <f t="shared" si="496"/>
        <v>2.0821837754709729</v>
      </c>
      <c r="I217" s="48">
        <f t="shared" si="497"/>
        <v>2.3639999999999999</v>
      </c>
      <c r="J217" s="48">
        <f t="shared" si="497"/>
        <v>0.97534184471078689</v>
      </c>
      <c r="K217" s="48">
        <f t="shared" si="497"/>
        <v>1.3192114961496151</v>
      </c>
      <c r="L217" s="48">
        <f t="shared" si="497"/>
        <v>2.6439769375588327</v>
      </c>
      <c r="M217" s="48">
        <f t="shared" si="498"/>
        <v>3.9679239041496199</v>
      </c>
      <c r="N217" s="48">
        <f t="shared" si="498"/>
        <v>2.2344505937545813</v>
      </c>
      <c r="O217" s="48">
        <f t="shared" si="498"/>
        <v>2.8878130341086425</v>
      </c>
      <c r="P217" s="48"/>
      <c r="Q217" s="48"/>
      <c r="R217" s="48"/>
      <c r="S217" s="48"/>
      <c r="T217" s="48">
        <f>+T162</f>
        <v>2.3408843031542417</v>
      </c>
      <c r="U217" s="188"/>
      <c r="V217" s="48">
        <f t="shared" ref="V217:AD217" si="506">+V162</f>
        <v>3.2810487372347579</v>
      </c>
      <c r="W217" s="48">
        <f t="shared" si="506"/>
        <v>3.6216376458840411</v>
      </c>
      <c r="X217" s="48">
        <f t="shared" si="506"/>
        <v>3.7956829002466588</v>
      </c>
      <c r="Y217" s="48">
        <f t="shared" si="506"/>
        <v>4.154131631338565</v>
      </c>
      <c r="Z217" s="48">
        <f t="shared" si="506"/>
        <v>3.0903347590533223</v>
      </c>
      <c r="AA217" s="48">
        <f t="shared" si="506"/>
        <v>5.0591633098762454</v>
      </c>
      <c r="AB217" s="48">
        <f t="shared" si="506"/>
        <v>3.5672833763996565</v>
      </c>
      <c r="AC217" s="48">
        <f t="shared" si="506"/>
        <v>2.0821837754709729</v>
      </c>
      <c r="AD217" s="48">
        <f t="shared" si="506"/>
        <v>2.3272307692307694</v>
      </c>
      <c r="AE217" s="48">
        <f t="shared" si="500"/>
        <v>2.3252701610538717</v>
      </c>
      <c r="AF217" s="48">
        <f t="shared" si="500"/>
        <v>1.9595655956968514</v>
      </c>
      <c r="AG217" s="48">
        <f t="shared" si="500"/>
        <v>2.3640373372480528</v>
      </c>
      <c r="AH217" s="48">
        <f t="shared" si="500"/>
        <v>2.2141059365636946</v>
      </c>
      <c r="AI217" s="48">
        <f t="shared" si="501"/>
        <v>1.2463308992060749</v>
      </c>
      <c r="AJ217" s="48">
        <f t="shared" si="501"/>
        <v>1.0528868704784129</v>
      </c>
      <c r="AK217" s="48">
        <f t="shared" si="501"/>
        <v>0.97608387878372371</v>
      </c>
      <c r="AL217" s="48">
        <f t="shared" si="501"/>
        <v>1.3186751653800641</v>
      </c>
      <c r="AM217" s="48">
        <f t="shared" si="502"/>
        <v>1.3622328453192376</v>
      </c>
      <c r="AN217" s="48">
        <f t="shared" si="502"/>
        <v>0.88893720964101075</v>
      </c>
      <c r="AO217" s="48">
        <f t="shared" si="502"/>
        <v>1.3192114961496151</v>
      </c>
      <c r="AP217" s="48">
        <f t="shared" si="502"/>
        <v>1.4311617687074831</v>
      </c>
      <c r="AQ217" s="48">
        <f t="shared" si="503"/>
        <v>1.7219510331839041</v>
      </c>
      <c r="AR217" s="48">
        <f t="shared" si="503"/>
        <v>1.9773237217825057</v>
      </c>
      <c r="AS217" s="48">
        <f t="shared" si="503"/>
        <v>2.6439769375588327</v>
      </c>
      <c r="AT217" s="48">
        <f t="shared" si="503"/>
        <v>3.190804328369341</v>
      </c>
      <c r="AU217" s="48">
        <f t="shared" si="504"/>
        <v>3.937287053185091</v>
      </c>
      <c r="AV217" s="48">
        <f t="shared" si="504"/>
        <v>3.6127143672131146</v>
      </c>
      <c r="AW217" s="48">
        <f t="shared" si="504"/>
        <v>3.9679239041496199</v>
      </c>
      <c r="AX217" s="48">
        <f t="shared" si="504"/>
        <v>3.2657906327156234</v>
      </c>
      <c r="AY217" s="48">
        <f t="shared" si="505"/>
        <v>2.9807627968337727</v>
      </c>
      <c r="AZ217" s="48">
        <f t="shared" si="505"/>
        <v>2.7133827468318641</v>
      </c>
      <c r="BA217" s="48">
        <f t="shared" si="505"/>
        <v>2.2344505937545813</v>
      </c>
      <c r="BB217" s="48">
        <f t="shared" si="505"/>
        <v>2.3072044978360653</v>
      </c>
      <c r="BC217" s="48">
        <f>+BC162</f>
        <v>2.4487176913258519</v>
      </c>
      <c r="BD217" s="48">
        <f>+BD162</f>
        <v>2.9040948269607489</v>
      </c>
      <c r="BE217" s="48"/>
      <c r="BF217" s="272"/>
      <c r="BG217" s="217"/>
      <c r="BH217" s="217"/>
      <c r="BI217" s="217"/>
      <c r="BJ217" s="217"/>
      <c r="BK217" s="217"/>
      <c r="BM217" s="217"/>
      <c r="BN217" s="188"/>
      <c r="BO217" s="217"/>
      <c r="BP217" s="217"/>
      <c r="BQ217" s="188"/>
      <c r="BR217" s="188"/>
      <c r="BS217" s="188"/>
      <c r="BT217" s="217"/>
      <c r="BU217" s="217"/>
      <c r="BV217" s="188"/>
      <c r="BW217" s="188"/>
      <c r="BX217" s="188"/>
      <c r="BY217" s="188"/>
      <c r="BZ217" s="217"/>
      <c r="CA217" s="217"/>
      <c r="CB217" s="188"/>
      <c r="CC217" s="188"/>
      <c r="CD217" s="217"/>
      <c r="CE217" s="217"/>
      <c r="CF217" s="188"/>
      <c r="CG217" s="188"/>
      <c r="CH217" s="217"/>
      <c r="CI217" s="217"/>
      <c r="CJ217" s="188"/>
      <c r="CK217" s="188"/>
      <c r="CL217" s="217"/>
      <c r="CM217" s="217"/>
      <c r="CN217" s="1"/>
      <c r="CO217" s="1"/>
      <c r="CP217" s="1"/>
      <c r="CQ217" s="206"/>
      <c r="CR217" s="1"/>
      <c r="CS217" s="1"/>
      <c r="CT217" s="1"/>
    </row>
    <row r="218" spans="1:98" ht="12.75">
      <c r="C218" s="49"/>
      <c r="D218" s="49"/>
      <c r="E218" s="49"/>
      <c r="F218" s="49"/>
      <c r="G218" s="49"/>
      <c r="H218" s="49"/>
      <c r="I218" s="49"/>
      <c r="J218" s="49"/>
      <c r="K218" s="49"/>
      <c r="L218" s="49"/>
      <c r="M218" s="49"/>
      <c r="N218" s="49"/>
      <c r="O218" s="49"/>
      <c r="P218" s="49"/>
      <c r="Q218" s="49"/>
      <c r="R218" s="49"/>
      <c r="S218" s="49"/>
      <c r="T218" s="49"/>
      <c r="U218" s="192"/>
      <c r="V218" s="49"/>
      <c r="W218" s="49"/>
      <c r="X218" s="49"/>
      <c r="Y218" s="49"/>
      <c r="Z218" s="49"/>
      <c r="AA218" s="49"/>
      <c r="AB218" s="49"/>
      <c r="AC218" s="49"/>
      <c r="AD218" s="49"/>
      <c r="AE218" s="49"/>
      <c r="AF218" s="49"/>
      <c r="AG218" s="49"/>
      <c r="AH218" s="49"/>
      <c r="AI218" s="49"/>
      <c r="AJ218" s="49"/>
      <c r="AK218" s="49"/>
      <c r="AL218" s="49"/>
      <c r="AM218" s="49"/>
      <c r="AN218" s="49"/>
      <c r="AO218" s="49"/>
      <c r="AP218" s="49"/>
      <c r="AQ218" s="49"/>
      <c r="AR218" s="49"/>
      <c r="AS218" s="49"/>
      <c r="AT218" s="49"/>
      <c r="AU218" s="49"/>
      <c r="AV218" s="49"/>
      <c r="AW218" s="49"/>
      <c r="AX218" s="49"/>
      <c r="AY218" s="49"/>
      <c r="AZ218" s="49"/>
      <c r="BA218" s="49"/>
      <c r="BB218" s="49"/>
      <c r="BC218" s="49"/>
      <c r="BD218" s="49"/>
      <c r="BE218" s="49"/>
      <c r="BF218" s="273"/>
      <c r="BG218" s="218"/>
      <c r="BH218" s="218"/>
      <c r="BI218" s="218"/>
      <c r="BJ218" s="218"/>
      <c r="BK218" s="218"/>
      <c r="BM218" s="218"/>
      <c r="BN218" s="192"/>
      <c r="BO218" s="218"/>
      <c r="BP218" s="218"/>
      <c r="BQ218" s="192"/>
      <c r="BR218" s="192"/>
      <c r="BS218" s="192"/>
      <c r="BT218" s="218"/>
      <c r="BU218" s="218"/>
      <c r="BV218" s="192"/>
      <c r="BW218" s="192"/>
      <c r="BX218" s="192"/>
      <c r="BY218" s="192"/>
      <c r="BZ218" s="218"/>
      <c r="CA218" s="218"/>
      <c r="CB218" s="192"/>
      <c r="CC218" s="192"/>
      <c r="CD218" s="218"/>
      <c r="CE218" s="218"/>
      <c r="CF218" s="192"/>
      <c r="CG218" s="192"/>
      <c r="CH218" s="218"/>
      <c r="CI218" s="218"/>
      <c r="CJ218" s="192"/>
      <c r="CK218" s="192"/>
      <c r="CL218" s="218"/>
      <c r="CM218" s="218"/>
      <c r="CQ218" s="206"/>
    </row>
    <row r="219" spans="1:98" ht="12.75">
      <c r="B219" s="1" t="str">
        <f t="shared" ref="B219:F220" si="507">+B170</f>
        <v>EBITDA - Capex / Interest</v>
      </c>
      <c r="C219" s="48">
        <f t="shared" si="507"/>
        <v>1.0343285171346484</v>
      </c>
      <c r="D219" s="48">
        <f t="shared" si="507"/>
        <v>0.86046674739521556</v>
      </c>
      <c r="E219" s="48">
        <f t="shared" si="507"/>
        <v>0.9025895433240031</v>
      </c>
      <c r="F219" s="48">
        <f t="shared" si="507"/>
        <v>0.96193292296858124</v>
      </c>
      <c r="G219" s="48">
        <f t="shared" ref="G219:I220" si="508">+G170</f>
        <v>0.28547634414782314</v>
      </c>
      <c r="H219" s="48">
        <f t="shared" si="508"/>
        <v>0.49219329753383528</v>
      </c>
      <c r="I219" s="48">
        <f t="shared" si="508"/>
        <v>2.5343845841211019</v>
      </c>
      <c r="J219" s="48">
        <f t="shared" ref="J219:L220" si="509">+J170</f>
        <v>3.2253927719552178</v>
      </c>
      <c r="K219" s="48">
        <f t="shared" si="509"/>
        <v>7.4321318723271919</v>
      </c>
      <c r="L219" s="48">
        <f t="shared" si="509"/>
        <v>3.5618324291351904</v>
      </c>
      <c r="M219" s="48">
        <f t="shared" ref="M219:O220" si="510">+M170</f>
        <v>0.8334927906793691</v>
      </c>
      <c r="N219" s="48">
        <f t="shared" si="510"/>
        <v>-1.9388809610107178</v>
      </c>
      <c r="O219" s="48">
        <f t="shared" si="510"/>
        <v>-2.0866213313879682</v>
      </c>
      <c r="P219" s="48"/>
      <c r="Q219" s="48"/>
      <c r="R219" s="48"/>
      <c r="S219" s="48"/>
      <c r="T219" s="48">
        <f>+T170</f>
        <v>0.9025895433240031</v>
      </c>
      <c r="U219" s="192"/>
      <c r="V219" s="48">
        <f t="shared" ref="V219:AB220" si="511">+V170</f>
        <v>0.74303350821219327</v>
      </c>
      <c r="W219" s="48">
        <f t="shared" si="511"/>
        <v>0.56220085624705984</v>
      </c>
      <c r="X219" s="48">
        <f t="shared" si="511"/>
        <v>0.62968258718521797</v>
      </c>
      <c r="Y219" s="48">
        <f t="shared" si="511"/>
        <v>0.96193292296858124</v>
      </c>
      <c r="Z219" s="48">
        <f t="shared" si="511"/>
        <v>0.96089460861570852</v>
      </c>
      <c r="AA219" s="48">
        <f t="shared" si="511"/>
        <v>0.39097226106432392</v>
      </c>
      <c r="AB219" s="48">
        <f t="shared" si="511"/>
        <v>0.89465075648833747</v>
      </c>
      <c r="AC219" s="48">
        <f t="shared" ref="AC219:AE220" si="512">+AC170</f>
        <v>0.49219329753383417</v>
      </c>
      <c r="AD219" s="48">
        <f t="shared" si="512"/>
        <v>0.92309519432746057</v>
      </c>
      <c r="AE219" s="48">
        <f t="shared" si="512"/>
        <v>2.1936523142185869</v>
      </c>
      <c r="AF219" s="48">
        <f t="shared" ref="AF219:AI220" si="513">+AF170</f>
        <v>2.7025607659551936</v>
      </c>
      <c r="AG219" s="48">
        <f t="shared" si="513"/>
        <v>2.6102481693505064</v>
      </c>
      <c r="AH219" s="48">
        <f t="shared" si="513"/>
        <v>3.7080730639465878</v>
      </c>
      <c r="AI219" s="48">
        <f t="shared" si="513"/>
        <v>3.9280756790321503</v>
      </c>
      <c r="AJ219" s="48">
        <f t="shared" ref="AJ219:AM220" si="514">+AJ170</f>
        <v>2.8122780597334898</v>
      </c>
      <c r="AK219" s="48">
        <f t="shared" si="514"/>
        <v>3.2253927719552156</v>
      </c>
      <c r="AL219" s="48">
        <f t="shared" si="514"/>
        <v>3.3220760765297328</v>
      </c>
      <c r="AM219" s="48">
        <f t="shared" si="514"/>
        <v>5.018353185699139</v>
      </c>
      <c r="AN219" s="48">
        <f t="shared" ref="AN219:AP220" si="515">+AN170</f>
        <v>28.135068994309059</v>
      </c>
      <c r="AO219" s="48">
        <f t="shared" si="515"/>
        <v>7.4321318723271883</v>
      </c>
      <c r="AP219" s="48">
        <f t="shared" si="515"/>
        <v>8.0760987564616862</v>
      </c>
      <c r="AQ219" s="48">
        <f t="shared" ref="AQ219:AT220" si="516">+AQ170</f>
        <v>9.3582123097669605</v>
      </c>
      <c r="AR219" s="48">
        <f t="shared" si="516"/>
        <v>8.7125434499490417</v>
      </c>
      <c r="AS219" s="48">
        <f t="shared" si="516"/>
        <v>3.5618324291351882</v>
      </c>
      <c r="AT219" s="48">
        <f t="shared" si="516"/>
        <v>2.0790781710395585</v>
      </c>
      <c r="AU219" s="48">
        <f t="shared" ref="AU219:AX220" si="517">+AU170</f>
        <v>0.70224971157004235</v>
      </c>
      <c r="AV219" s="48">
        <f t="shared" si="517"/>
        <v>0.39003505380982978</v>
      </c>
      <c r="AW219" s="48">
        <f t="shared" si="517"/>
        <v>0.83349279067936921</v>
      </c>
      <c r="AX219" s="48">
        <f t="shared" si="517"/>
        <v>1.1584391643394565</v>
      </c>
      <c r="AY219" s="48">
        <f t="shared" ref="AY219:BB220" si="518">+AY170</f>
        <v>1.7524623285266556</v>
      </c>
      <c r="AZ219" s="48">
        <f t="shared" si="518"/>
        <v>1.9398084455831905</v>
      </c>
      <c r="BA219" s="48">
        <f t="shared" si="518"/>
        <v>-1.93888096101072</v>
      </c>
      <c r="BB219" s="48">
        <f t="shared" si="518"/>
        <v>-2.1885360048234417</v>
      </c>
      <c r="BC219" s="48">
        <f>+BC170</f>
        <v>-2.1777173526659102</v>
      </c>
      <c r="BD219" s="48">
        <f>+BD170</f>
        <v>-2.0866213313879669</v>
      </c>
      <c r="BE219" s="48"/>
      <c r="BF219" s="272"/>
      <c r="BG219" s="217"/>
      <c r="BH219" s="217"/>
      <c r="BI219" s="217"/>
      <c r="BJ219" s="217"/>
      <c r="BK219" s="217"/>
      <c r="BM219" s="217"/>
      <c r="BN219" s="192"/>
      <c r="BO219" s="217"/>
      <c r="BP219" s="217"/>
      <c r="BQ219" s="192"/>
      <c r="BR219" s="192"/>
      <c r="BS219" s="192"/>
      <c r="BT219" s="217"/>
      <c r="BU219" s="217"/>
      <c r="BV219" s="192"/>
      <c r="BW219" s="192"/>
      <c r="BX219" s="192"/>
      <c r="BY219" s="192"/>
      <c r="BZ219" s="217"/>
      <c r="CA219" s="217"/>
      <c r="CB219" s="192"/>
      <c r="CC219" s="192"/>
      <c r="CD219" s="217"/>
      <c r="CE219" s="217"/>
      <c r="CF219" s="192"/>
      <c r="CG219" s="192"/>
      <c r="CH219" s="217"/>
      <c r="CI219" s="217"/>
      <c r="CJ219" s="192"/>
      <c r="CK219" s="192"/>
      <c r="CL219" s="217"/>
      <c r="CM219" s="217"/>
      <c r="CQ219" s="206"/>
    </row>
    <row r="220" spans="1:98" ht="12.75">
      <c r="B220" s="1" t="str">
        <f t="shared" si="507"/>
        <v>EBITDA/Interest</v>
      </c>
      <c r="C220" s="49">
        <f t="shared" si="507"/>
        <v>1.3328948702660717</v>
      </c>
      <c r="D220" s="49">
        <f t="shared" si="507"/>
        <v>1.1827818702959738</v>
      </c>
      <c r="E220" s="49">
        <f t="shared" si="507"/>
        <v>1.289928811681079</v>
      </c>
      <c r="F220" s="49">
        <f t="shared" si="507"/>
        <v>1.9542872054879494</v>
      </c>
      <c r="G220" s="49">
        <f t="shared" si="508"/>
        <v>0.83309201361668805</v>
      </c>
      <c r="H220" s="49">
        <f t="shared" si="508"/>
        <v>1.3276592487044394</v>
      </c>
      <c r="I220" s="49">
        <f t="shared" si="508"/>
        <v>3.1972163308221875</v>
      </c>
      <c r="J220" s="49">
        <f t="shared" si="509"/>
        <v>3.7893080304915872</v>
      </c>
      <c r="K220" s="49">
        <f t="shared" si="509"/>
        <v>8.7281149264622115</v>
      </c>
      <c r="L220" s="49">
        <f t="shared" si="509"/>
        <v>4.7694671729960545</v>
      </c>
      <c r="M220" s="49">
        <f t="shared" si="510"/>
        <v>1.5127607243952708</v>
      </c>
      <c r="N220" s="49">
        <f t="shared" si="510"/>
        <v>-2.7204007663232015</v>
      </c>
      <c r="O220" s="49">
        <f t="shared" si="510"/>
        <v>-3.3188790996883033</v>
      </c>
      <c r="P220" s="49"/>
      <c r="Q220" s="49"/>
      <c r="R220" s="49"/>
      <c r="S220" s="49"/>
      <c r="T220" s="49">
        <f>+T171</f>
        <v>1.289928811681079</v>
      </c>
      <c r="U220" s="192"/>
      <c r="V220" s="49">
        <f t="shared" si="511"/>
        <v>1.1495120582834801</v>
      </c>
      <c r="W220" s="49">
        <f t="shared" si="511"/>
        <v>1.1595989887206326</v>
      </c>
      <c r="X220" s="49">
        <f t="shared" si="511"/>
        <v>1.386920739548668</v>
      </c>
      <c r="Y220" s="49">
        <f t="shared" si="511"/>
        <v>1.9542872054879494</v>
      </c>
      <c r="Z220" s="49">
        <f t="shared" si="511"/>
        <v>2.0497189952527264</v>
      </c>
      <c r="AA220" s="49">
        <f t="shared" si="511"/>
        <v>1.2918777537845689</v>
      </c>
      <c r="AB220" s="49">
        <f t="shared" si="511"/>
        <v>1.584425470345469</v>
      </c>
      <c r="AC220" s="49">
        <f t="shared" si="512"/>
        <v>1.3276592487044383</v>
      </c>
      <c r="AD220" s="49">
        <f t="shared" si="512"/>
        <v>1.6218643952271687</v>
      </c>
      <c r="AE220" s="49">
        <f t="shared" si="512"/>
        <v>2.9728028827548574</v>
      </c>
      <c r="AF220" s="49">
        <f t="shared" si="513"/>
        <v>3.4137364119654028</v>
      </c>
      <c r="AG220" s="49">
        <f t="shared" si="513"/>
        <v>3.273079916051592</v>
      </c>
      <c r="AH220" s="49">
        <f t="shared" si="513"/>
        <v>4.4286424399509974</v>
      </c>
      <c r="AI220" s="49">
        <f t="shared" si="513"/>
        <v>4.4465658656944651</v>
      </c>
      <c r="AJ220" s="49">
        <f t="shared" si="514"/>
        <v>3.2683139618053718</v>
      </c>
      <c r="AK220" s="49">
        <f t="shared" si="514"/>
        <v>3.7893080304915849</v>
      </c>
      <c r="AL220" s="49">
        <f t="shared" si="514"/>
        <v>3.9708868711049088</v>
      </c>
      <c r="AM220" s="49">
        <f t="shared" si="514"/>
        <v>6.1224798403203824</v>
      </c>
      <c r="AN220" s="49">
        <f t="shared" si="515"/>
        <v>33.206812638702715</v>
      </c>
      <c r="AO220" s="49">
        <f t="shared" si="515"/>
        <v>8.728114926462208</v>
      </c>
      <c r="AP220" s="49">
        <f t="shared" si="515"/>
        <v>9.4046157777579324</v>
      </c>
      <c r="AQ220" s="49">
        <f t="shared" si="516"/>
        <v>11.453591298002761</v>
      </c>
      <c r="AR220" s="49">
        <f t="shared" si="516"/>
        <v>10.697539709173977</v>
      </c>
      <c r="AS220" s="49">
        <f t="shared" si="516"/>
        <v>4.7694671729960527</v>
      </c>
      <c r="AT220" s="49">
        <f t="shared" si="516"/>
        <v>3.0593548132323614</v>
      </c>
      <c r="AU220" s="49">
        <f t="shared" si="517"/>
        <v>1.2894000034007196</v>
      </c>
      <c r="AV220" s="49">
        <f t="shared" si="517"/>
        <v>0.96028849464403454</v>
      </c>
      <c r="AW220" s="49">
        <f t="shared" si="517"/>
        <v>1.512760724395271</v>
      </c>
      <c r="AX220" s="49">
        <f t="shared" si="517"/>
        <v>1.81552391562006</v>
      </c>
      <c r="AY220" s="49">
        <f t="shared" si="518"/>
        <v>2.4725152938989643</v>
      </c>
      <c r="AZ220" s="49">
        <f t="shared" si="518"/>
        <v>2.6471416001352739</v>
      </c>
      <c r="BA220" s="49">
        <f t="shared" si="518"/>
        <v>-2.7204007663232037</v>
      </c>
      <c r="BB220" s="49">
        <f t="shared" si="518"/>
        <v>-3.0664739390230742</v>
      </c>
      <c r="BC220" s="49">
        <f>+BC171</f>
        <v>-3.2411265495973445</v>
      </c>
      <c r="BD220" s="49">
        <f>+BD171</f>
        <v>-3.318879099688302</v>
      </c>
      <c r="BE220" s="49"/>
      <c r="BF220" s="273"/>
      <c r="BG220" s="218"/>
      <c r="BH220" s="218"/>
      <c r="BI220" s="218"/>
      <c r="BJ220" s="218"/>
      <c r="BK220" s="218"/>
      <c r="BM220" s="218"/>
      <c r="BN220" s="192"/>
      <c r="BO220" s="218"/>
      <c r="BP220" s="218"/>
      <c r="BQ220" s="192"/>
      <c r="BR220" s="192"/>
      <c r="BS220" s="192"/>
      <c r="BT220" s="218"/>
      <c r="BU220" s="218"/>
      <c r="BV220" s="192"/>
      <c r="BW220" s="192"/>
      <c r="BX220" s="192"/>
      <c r="BY220" s="192"/>
      <c r="BZ220" s="218"/>
      <c r="CA220" s="218"/>
      <c r="CB220" s="192"/>
      <c r="CC220" s="192"/>
      <c r="CD220" s="218"/>
      <c r="CE220" s="218"/>
      <c r="CF220" s="192"/>
      <c r="CG220" s="192"/>
      <c r="CH220" s="218"/>
      <c r="CI220" s="218"/>
      <c r="CJ220" s="192"/>
      <c r="CK220" s="192"/>
      <c r="CL220" s="218"/>
      <c r="CM220" s="218"/>
      <c r="CQ220" s="206"/>
    </row>
    <row r="221" spans="1:98" s="5" customFormat="1" ht="13.5" customHeight="1">
      <c r="A221" s="18"/>
      <c r="B221" s="18"/>
      <c r="C221" s="18"/>
      <c r="D221" s="18"/>
      <c r="E221" s="18"/>
      <c r="F221" s="18"/>
      <c r="G221" s="18"/>
      <c r="H221" s="18"/>
      <c r="I221" s="18"/>
      <c r="J221" s="18"/>
      <c r="K221" s="18"/>
      <c r="L221" s="18"/>
      <c r="M221" s="18"/>
      <c r="N221" s="18"/>
      <c r="O221" s="18"/>
      <c r="P221" s="49"/>
      <c r="Q221" s="18"/>
      <c r="R221" s="18"/>
      <c r="S221" s="18"/>
      <c r="T221" s="18"/>
      <c r="U221" s="18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c r="AU221" s="18"/>
      <c r="AV221" s="18"/>
      <c r="AW221" s="18"/>
      <c r="AX221" s="18"/>
      <c r="AY221" s="18"/>
      <c r="AZ221" s="18"/>
      <c r="BA221" s="18"/>
      <c r="BB221" s="18"/>
      <c r="BC221" s="18"/>
      <c r="BD221" s="18"/>
      <c r="BF221" s="274"/>
      <c r="BG221" s="18"/>
      <c r="BH221" s="18"/>
      <c r="BM221" s="18"/>
      <c r="BN221" s="18"/>
      <c r="BO221" s="18"/>
      <c r="BP221" s="18"/>
      <c r="BQ221" s="18"/>
      <c r="BR221" s="18"/>
      <c r="BS221" s="18"/>
      <c r="BT221" s="18"/>
      <c r="BU221" s="18"/>
      <c r="BV221" s="18"/>
      <c r="BW221" s="18"/>
      <c r="BX221" s="18"/>
      <c r="BY221" s="18"/>
      <c r="BZ221" s="18"/>
      <c r="CA221" s="18"/>
      <c r="CB221" s="18"/>
      <c r="CC221" s="18"/>
      <c r="CD221" s="18"/>
      <c r="CE221" s="18"/>
      <c r="CF221" s="18"/>
      <c r="CG221" s="18"/>
      <c r="CH221" s="18"/>
      <c r="CI221" s="18"/>
      <c r="CJ221" s="18"/>
      <c r="CK221" s="18"/>
      <c r="CL221" s="18"/>
      <c r="CM221" s="18"/>
      <c r="CN221" s="1"/>
      <c r="CO221" s="1"/>
      <c r="CP221" s="1"/>
      <c r="CQ221" s="206"/>
      <c r="CR221" s="1"/>
      <c r="CS221" s="1"/>
      <c r="CT221" s="1"/>
    </row>
    <row r="222" spans="1:98" s="5" customFormat="1" ht="13.5" customHeight="1">
      <c r="B222" s="430" t="s">
        <v>166</v>
      </c>
      <c r="C222" s="436">
        <f>1/2.35</f>
        <v>0.42553191489361702</v>
      </c>
      <c r="D222" s="436">
        <f>1/3.33</f>
        <v>0.3003003003003003</v>
      </c>
      <c r="E222" s="436">
        <f>1/3.49</f>
        <v>0.28653295128939826</v>
      </c>
      <c r="F222" s="436">
        <f>1/3.19</f>
        <v>0.31347962382445144</v>
      </c>
      <c r="G222" s="436">
        <f>1/3.19</f>
        <v>0.31347962382445144</v>
      </c>
      <c r="H222" s="436">
        <f>1/3.65</f>
        <v>0.27397260273972601</v>
      </c>
      <c r="I222" s="436">
        <f>1/3.94</f>
        <v>0.25380710659898476</v>
      </c>
      <c r="J222" s="436">
        <v>0.19507940238551377</v>
      </c>
      <c r="K222" s="436">
        <f>1/5.3964</f>
        <v>0.18530872433474169</v>
      </c>
      <c r="L222" s="436">
        <v>0.19409999999999999</v>
      </c>
      <c r="M222" s="436">
        <v>0.19600000000000001</v>
      </c>
      <c r="N222" s="436">
        <f>1/5.3909</f>
        <v>0.18549778330148953</v>
      </c>
      <c r="O222" s="436">
        <f>AVERAGE(BA222:BD222)</f>
        <v>0.17889459182016304</v>
      </c>
      <c r="P222" s="49"/>
      <c r="Q222" s="436">
        <v>0.26</v>
      </c>
      <c r="R222" s="436">
        <v>0.28000000000000003</v>
      </c>
      <c r="S222" s="436">
        <v>0.30864197530864196</v>
      </c>
      <c r="T222" s="436">
        <v>0.3</v>
      </c>
      <c r="U222" s="430"/>
      <c r="V222" s="436">
        <v>0.32</v>
      </c>
      <c r="W222" s="436">
        <v>0.31</v>
      </c>
      <c r="X222" s="436">
        <v>0.31645569620253161</v>
      </c>
      <c r="Y222" s="436">
        <v>0.32</v>
      </c>
      <c r="Z222" s="436">
        <v>0.31</v>
      </c>
      <c r="AA222" s="436">
        <f>1/3.61</f>
        <v>0.2770083102493075</v>
      </c>
      <c r="AB222" s="436">
        <f>1/3.96</f>
        <v>0.25252525252525254</v>
      </c>
      <c r="AC222" s="436">
        <f>1/3.81</f>
        <v>0.26246719160104987</v>
      </c>
      <c r="AD222" s="436">
        <v>0.23</v>
      </c>
      <c r="AE222" s="436">
        <f>1/3.92</f>
        <v>0.25510204081632654</v>
      </c>
      <c r="AF222" s="436">
        <f>1/3.97</f>
        <v>0.25188916876574308</v>
      </c>
      <c r="AG222" s="436">
        <f>1/4.11</f>
        <v>0.24330900243309</v>
      </c>
      <c r="AH222" s="436">
        <f>1/4.46</f>
        <v>0.22421524663677131</v>
      </c>
      <c r="AI222" s="436">
        <f>1/5.39</f>
        <v>0.1855287569573284</v>
      </c>
      <c r="AJ222" s="436">
        <f>1/5.38</f>
        <v>0.18587360594795541</v>
      </c>
      <c r="AK222" s="436">
        <v>0.1847</v>
      </c>
      <c r="AL222" s="436">
        <f>1/5.4856</f>
        <v>0.18229546448884351</v>
      </c>
      <c r="AM222" s="436">
        <f>1/5.20866666666667</f>
        <v>0.19198771278638155</v>
      </c>
      <c r="AN222" s="436">
        <f>AVERAGE(AK223:AN223)</f>
        <v>0.18896542977153896</v>
      </c>
      <c r="AO222" s="436">
        <v>0.19187706064060142</v>
      </c>
      <c r="AP222" s="436">
        <f>AVERAGE(AM223:AP223)</f>
        <v>0.19373949204993474</v>
      </c>
      <c r="AQ222" s="436">
        <f>AVERAGE(AN223:AQ223)</f>
        <v>0.1918251000398353</v>
      </c>
      <c r="AR222" s="436">
        <f>AVERAGE(AO223:AR223)</f>
        <v>0.19187706064060142</v>
      </c>
      <c r="AS222" s="436">
        <f>AVERAGE(AP223:AS223)</f>
        <v>0.19427117451238568</v>
      </c>
      <c r="AT222" s="436">
        <v>0.1925</v>
      </c>
      <c r="AU222" s="436">
        <f>AVERAGE(AR223:AU223)</f>
        <v>0.19403572088724583</v>
      </c>
      <c r="AV222" s="436">
        <f>AVERAGE(AS223:AV223)</f>
        <v>0.19637499999999999</v>
      </c>
      <c r="AW222" s="436">
        <f>AVERAGE(AT223:AW223)</f>
        <v>0.2006</v>
      </c>
      <c r="AX222" s="436">
        <f>1/AVERAGE(4.9087,4.9646,4.984)</f>
        <v>0.201920941220814</v>
      </c>
      <c r="AY222" s="436">
        <f>AVERAGE(AV223:AY223)</f>
        <v>0.19459448520615677</v>
      </c>
      <c r="AZ222" s="436">
        <f>AVERAGE(AW223:AZ223)</f>
        <v>0.19191948520615679</v>
      </c>
      <c r="BA222" s="436">
        <f>AVERAGE(AX223:BA223)</f>
        <v>0.18088696553896133</v>
      </c>
      <c r="BB222" s="436">
        <f>AVERAGE(AY223:BB223)</f>
        <v>0.17504248033280456</v>
      </c>
      <c r="BC222" s="436">
        <f>AVERAGE(AZ223:BC223)</f>
        <v>0.17614248033280455</v>
      </c>
      <c r="BD222" s="436">
        <f>1/5.4494</f>
        <v>0.18350644107608177</v>
      </c>
      <c r="BE222" s="172"/>
      <c r="BF222" s="275"/>
      <c r="BG222" s="219"/>
      <c r="BH222" s="219"/>
      <c r="BI222" s="219"/>
      <c r="BJ222" s="219"/>
      <c r="BK222" s="219"/>
      <c r="BL222" s="1"/>
      <c r="BM222" s="204"/>
      <c r="BN222" s="192"/>
      <c r="BO222" s="204"/>
      <c r="BP222" s="204"/>
      <c r="BQ222" s="204"/>
      <c r="BR222" s="192"/>
      <c r="BS222" s="192"/>
      <c r="BT222" s="204"/>
      <c r="BU222" s="204"/>
      <c r="BV222" s="192"/>
      <c r="BW222" s="192"/>
      <c r="BX222" s="192"/>
      <c r="BY222" s="192"/>
      <c r="BZ222" s="204"/>
      <c r="CA222" s="204"/>
      <c r="CB222" s="192"/>
      <c r="CC222" s="192"/>
      <c r="CD222" s="204"/>
      <c r="CE222" s="204"/>
      <c r="CF222" s="192"/>
      <c r="CG222" s="192"/>
      <c r="CH222" s="204"/>
      <c r="CI222" s="204"/>
      <c r="CJ222" s="192"/>
      <c r="CK222" s="192"/>
      <c r="CL222" s="204"/>
      <c r="CM222" s="204"/>
      <c r="CN222" s="1"/>
      <c r="CO222" s="1"/>
      <c r="CP222" s="1"/>
      <c r="CQ222" s="206"/>
      <c r="CR222" s="1"/>
      <c r="CS222" s="1"/>
      <c r="CT222" s="1"/>
    </row>
    <row r="223" spans="1:98" ht="13.5" customHeight="1">
      <c r="B223" s="430" t="s">
        <v>167</v>
      </c>
      <c r="C223" s="436">
        <f>1/2.66</f>
        <v>0.37593984962406013</v>
      </c>
      <c r="D223" s="436">
        <f>1/3.9</f>
        <v>0.25641025641025644</v>
      </c>
      <c r="E223" s="436">
        <f>1/3.26</f>
        <v>0.30674846625766872</v>
      </c>
      <c r="F223" s="436">
        <f>1/3.31</f>
        <v>0.30211480362537763</v>
      </c>
      <c r="G223" s="436">
        <f>1/3.31</f>
        <v>0.30211480362537763</v>
      </c>
      <c r="H223" s="436">
        <f>1/3.87</f>
        <v>0.25839793281653745</v>
      </c>
      <c r="I223" s="437">
        <f>1/4.03</f>
        <v>0.24813895781637715</v>
      </c>
      <c r="J223" s="437">
        <f>AO223</f>
        <v>0.17952354451286287</v>
      </c>
      <c r="K223" s="437">
        <f>AL223</f>
        <v>0.17750323943411966</v>
      </c>
      <c r="L223" s="437">
        <v>0.18909999999999999</v>
      </c>
      <c r="M223" s="437">
        <v>0.20599999999999999</v>
      </c>
      <c r="N223" s="437">
        <f>1/6.1778</f>
        <v>0.16186992133121822</v>
      </c>
      <c r="O223" s="436">
        <f>BD223</f>
        <v>0.18786751582783823</v>
      </c>
      <c r="P223" s="49"/>
      <c r="Q223" s="436">
        <f>1/3.56</f>
        <v>0.2808988764044944</v>
      </c>
      <c r="R223" s="436">
        <f>1/3.21</f>
        <v>0.3115264797507788</v>
      </c>
      <c r="S223" s="436">
        <f>1/3.25</f>
        <v>0.30769230769230771</v>
      </c>
      <c r="T223" s="436">
        <f>1/3.26</f>
        <v>0.30674846625766872</v>
      </c>
      <c r="U223" s="430"/>
      <c r="V223" s="436">
        <f>1/3.17</f>
        <v>0.31545741324921134</v>
      </c>
      <c r="W223" s="436">
        <f>1/3.31</f>
        <v>0.30211480362537763</v>
      </c>
      <c r="X223" s="436">
        <f>1/3.17</f>
        <v>0.31545741324921134</v>
      </c>
      <c r="Y223" s="436">
        <f>1/3.31</f>
        <v>0.30211480362537763</v>
      </c>
      <c r="Z223" s="436">
        <f>1/3.32</f>
        <v>0.30120481927710846</v>
      </c>
      <c r="AA223" s="436">
        <f>1/3.86</f>
        <v>0.2590673575129534</v>
      </c>
      <c r="AB223" s="436">
        <f>1/4</f>
        <v>0.25</v>
      </c>
      <c r="AC223" s="436">
        <f>1/3.87</f>
        <v>0.25839793281653745</v>
      </c>
      <c r="AD223" s="436">
        <v>0.25</v>
      </c>
      <c r="AE223" s="436">
        <f>1/3.83</f>
        <v>0.2610966057441253</v>
      </c>
      <c r="AF223" s="436">
        <f>1/4.16</f>
        <v>0.24038461538461536</v>
      </c>
      <c r="AG223" s="436">
        <f>1/4.03</f>
        <v>0.24813895781637715</v>
      </c>
      <c r="AH223" s="436">
        <f>1/5.2</f>
        <v>0.19230769230769229</v>
      </c>
      <c r="AI223" s="436">
        <f>1/5.48</f>
        <v>0.18248175182481752</v>
      </c>
      <c r="AJ223" s="436">
        <f>1/5.64</f>
        <v>0.1773049645390071</v>
      </c>
      <c r="AK223" s="436">
        <v>0.1925</v>
      </c>
      <c r="AL223" s="436">
        <f>1/5.6337</f>
        <v>0.17750323943411966</v>
      </c>
      <c r="AM223" s="436">
        <f>1/4.9696</f>
        <v>0.20122343850611721</v>
      </c>
      <c r="AN223" s="436">
        <f>1/5.41609</f>
        <v>0.18463504114591894</v>
      </c>
      <c r="AO223" s="436">
        <f>1/5.5703</f>
        <v>0.17952354451286287</v>
      </c>
      <c r="AP223" s="436">
        <f>1/4.77154</f>
        <v>0.20957594403483992</v>
      </c>
      <c r="AQ223" s="436">
        <f>1/5.1662</f>
        <v>0.19356587046571949</v>
      </c>
      <c r="AR223" s="436">
        <f>1/5.41</f>
        <v>0.18484288354898337</v>
      </c>
      <c r="AS223" s="436">
        <f>L223</f>
        <v>0.18909999999999999</v>
      </c>
      <c r="AT223" s="436">
        <v>0.1963</v>
      </c>
      <c r="AU223" s="436">
        <v>0.2059</v>
      </c>
      <c r="AV223" s="436">
        <v>0.19420000000000001</v>
      </c>
      <c r="AW223" s="436">
        <f>M223</f>
        <v>0.20599999999999999</v>
      </c>
      <c r="AX223" s="436">
        <f>1/5.0156</f>
        <v>0.19937794082462715</v>
      </c>
      <c r="AY223" s="436">
        <v>0.17879999999999999</v>
      </c>
      <c r="AZ223" s="436">
        <v>0.1835</v>
      </c>
      <c r="BA223" s="436">
        <f>N223</f>
        <v>0.16186992133121822</v>
      </c>
      <c r="BB223" s="436">
        <v>0.17599999999999999</v>
      </c>
      <c r="BC223" s="436">
        <v>0.1832</v>
      </c>
      <c r="BD223" s="436">
        <f>1/5.3229</f>
        <v>0.18786751582783823</v>
      </c>
      <c r="BE223" s="172"/>
      <c r="BF223" s="275"/>
      <c r="BG223" s="219"/>
      <c r="BH223" s="219"/>
      <c r="BI223" s="219"/>
      <c r="BJ223" s="219"/>
      <c r="BK223" s="219"/>
      <c r="BM223" s="219"/>
      <c r="BN223" s="192"/>
      <c r="BO223" s="219"/>
      <c r="BP223" s="219"/>
      <c r="BQ223" s="219"/>
      <c r="BR223" s="192"/>
      <c r="BS223" s="192"/>
      <c r="BT223" s="219"/>
      <c r="BU223" s="219"/>
      <c r="BV223" s="192"/>
      <c r="BW223" s="192"/>
      <c r="BX223" s="192"/>
      <c r="BY223" s="192"/>
      <c r="BZ223" s="219"/>
      <c r="CA223" s="219"/>
      <c r="CB223" s="192"/>
      <c r="CC223" s="192"/>
      <c r="CD223" s="219"/>
      <c r="CE223" s="219"/>
      <c r="CF223" s="192"/>
      <c r="CG223" s="192"/>
      <c r="CH223" s="219"/>
      <c r="CI223" s="219"/>
      <c r="CJ223" s="192"/>
      <c r="CK223" s="192"/>
      <c r="CL223" s="219"/>
      <c r="CM223" s="219"/>
      <c r="CQ223" s="206"/>
    </row>
    <row r="224" spans="1:98" ht="13.5" customHeight="1">
      <c r="B224" s="5"/>
      <c r="C224" s="172"/>
      <c r="D224" s="172"/>
      <c r="E224" s="172"/>
      <c r="F224" s="172"/>
      <c r="G224" s="172"/>
      <c r="H224" s="172"/>
      <c r="I224" s="438"/>
      <c r="J224" s="438"/>
      <c r="K224" s="438"/>
      <c r="L224" s="438"/>
      <c r="M224" s="438"/>
      <c r="N224" s="438"/>
      <c r="O224" s="172"/>
      <c r="P224" s="49"/>
      <c r="Q224" s="172"/>
      <c r="R224" s="172"/>
      <c r="S224" s="172"/>
      <c r="T224" s="172"/>
      <c r="U224" s="5"/>
      <c r="V224" s="172"/>
      <c r="W224" s="172"/>
      <c r="X224" s="172"/>
      <c r="Y224" s="172"/>
      <c r="Z224" s="172"/>
      <c r="AA224" s="172"/>
      <c r="AB224" s="172"/>
      <c r="AC224" s="172"/>
      <c r="AD224" s="172"/>
      <c r="AE224" s="172"/>
      <c r="AF224" s="172"/>
      <c r="AG224" s="172"/>
      <c r="AH224" s="172"/>
      <c r="AI224" s="172"/>
      <c r="AJ224" s="172"/>
      <c r="AK224" s="172"/>
      <c r="AL224" s="172"/>
      <c r="AM224" s="172"/>
      <c r="AN224" s="172"/>
      <c r="AO224" s="172"/>
      <c r="AP224" s="172"/>
      <c r="AQ224" s="172"/>
      <c r="AR224" s="172"/>
      <c r="AS224" s="172"/>
      <c r="AT224" s="172"/>
      <c r="AU224" s="172"/>
      <c r="AV224" s="172"/>
      <c r="AW224" s="172"/>
      <c r="AX224" s="172"/>
      <c r="AY224" s="172"/>
      <c r="AZ224" s="172"/>
      <c r="BA224" s="172"/>
      <c r="BB224" s="172"/>
      <c r="BC224" s="172"/>
      <c r="BD224" s="172"/>
      <c r="BE224" s="172"/>
      <c r="BF224" s="439"/>
      <c r="BG224" s="172"/>
      <c r="BH224" s="172"/>
      <c r="BI224" s="172"/>
      <c r="BJ224" s="172"/>
      <c r="BK224" s="172"/>
      <c r="BM224" s="172"/>
      <c r="BO224" s="172"/>
      <c r="BP224" s="172"/>
      <c r="BQ224" s="172"/>
      <c r="BT224" s="172"/>
      <c r="BU224" s="172"/>
      <c r="BZ224" s="172"/>
      <c r="CA224" s="172"/>
      <c r="CD224" s="172"/>
      <c r="CE224" s="172"/>
      <c r="CH224" s="172"/>
      <c r="CI224" s="172"/>
      <c r="CL224" s="172"/>
      <c r="CM224" s="172"/>
      <c r="CQ224" s="206"/>
    </row>
    <row r="225" spans="1:98" ht="13.5" customHeight="1">
      <c r="A225" s="26"/>
      <c r="B225" s="16" t="s">
        <v>163</v>
      </c>
      <c r="C225" s="44"/>
      <c r="D225" s="44"/>
      <c r="E225" s="44"/>
      <c r="F225" s="44"/>
      <c r="G225" s="44"/>
      <c r="H225" s="44"/>
      <c r="I225" s="44"/>
      <c r="J225" s="44"/>
      <c r="K225" s="44"/>
      <c r="L225" s="44"/>
      <c r="M225" s="44"/>
      <c r="N225" s="44"/>
      <c r="O225" s="44"/>
      <c r="P225" s="49"/>
      <c r="Q225" s="44"/>
      <c r="R225" s="17"/>
      <c r="S225" s="17"/>
      <c r="T225" s="17"/>
      <c r="U225" s="188"/>
      <c r="V225" s="44"/>
      <c r="W225" s="44"/>
      <c r="X225" s="17"/>
      <c r="Y225" s="17"/>
      <c r="Z225" s="44"/>
      <c r="AA225" s="44"/>
      <c r="AB225" s="44"/>
      <c r="AC225" s="44"/>
      <c r="AD225" s="44"/>
      <c r="AE225" s="44"/>
      <c r="AF225" s="44"/>
      <c r="AG225" s="44"/>
      <c r="AH225" s="44"/>
      <c r="AI225" s="44"/>
      <c r="AJ225" s="44"/>
      <c r="AK225" s="44"/>
      <c r="AL225" s="44"/>
      <c r="AM225" s="44"/>
      <c r="AN225" s="44"/>
      <c r="AO225" s="44"/>
      <c r="AP225" s="44"/>
      <c r="AQ225" s="44"/>
      <c r="AR225" s="44"/>
      <c r="AS225" s="44"/>
      <c r="AT225" s="44"/>
      <c r="AU225" s="44"/>
      <c r="AV225" s="44"/>
      <c r="AW225" s="44"/>
      <c r="AX225" s="44"/>
      <c r="AY225" s="44"/>
      <c r="AZ225" s="44"/>
      <c r="BA225" s="44"/>
      <c r="BB225" s="44"/>
      <c r="BC225" s="44"/>
      <c r="BD225" s="44"/>
      <c r="BE225" s="394"/>
      <c r="BF225" s="229"/>
      <c r="BG225" s="17"/>
      <c r="BH225" s="17"/>
      <c r="BI225" s="321"/>
      <c r="BJ225" s="321"/>
      <c r="BK225" s="321"/>
      <c r="BM225" s="17"/>
      <c r="BN225" s="17"/>
      <c r="BO225" s="17"/>
      <c r="BP225" s="17"/>
      <c r="BQ225" s="17"/>
      <c r="BR225" s="17"/>
      <c r="BS225" s="17"/>
      <c r="BT225" s="17"/>
      <c r="BU225" s="17"/>
      <c r="BV225" s="17"/>
      <c r="BW225" s="17"/>
      <c r="BX225" s="17"/>
      <c r="BY225" s="17"/>
      <c r="BZ225" s="17"/>
      <c r="CA225" s="17"/>
      <c r="CB225" s="17"/>
      <c r="CC225" s="17"/>
      <c r="CD225" s="17"/>
      <c r="CE225" s="17"/>
      <c r="CF225" s="17"/>
      <c r="CG225" s="17"/>
      <c r="CH225" s="17"/>
      <c r="CI225" s="17"/>
      <c r="CJ225" s="17"/>
      <c r="CK225" s="17"/>
      <c r="CL225" s="17"/>
      <c r="CM225" s="17"/>
      <c r="CQ225" s="206"/>
    </row>
    <row r="226" spans="1:98" s="2" customFormat="1" ht="13.5" customHeight="1">
      <c r="A226" s="78"/>
      <c r="B226" s="79" t="s">
        <v>170</v>
      </c>
      <c r="C226" s="44">
        <v>41975</v>
      </c>
      <c r="D226" s="44">
        <v>42341</v>
      </c>
      <c r="E226" s="44">
        <v>42708</v>
      </c>
      <c r="F226" s="44">
        <v>43073</v>
      </c>
      <c r="G226" s="44">
        <f t="shared" ref="G226:O226" si="519">G3</f>
        <v>43073</v>
      </c>
      <c r="H226" s="44">
        <f t="shared" si="519"/>
        <v>43438</v>
      </c>
      <c r="I226" s="44">
        <f t="shared" si="519"/>
        <v>43803</v>
      </c>
      <c r="J226" s="44">
        <f t="shared" si="519"/>
        <v>44169</v>
      </c>
      <c r="K226" s="44">
        <f t="shared" si="519"/>
        <v>44534</v>
      </c>
      <c r="L226" s="44">
        <f t="shared" si="519"/>
        <v>44899</v>
      </c>
      <c r="M226" s="44">
        <f t="shared" si="519"/>
        <v>45264</v>
      </c>
      <c r="N226" s="44">
        <f t="shared" si="519"/>
        <v>45630</v>
      </c>
      <c r="O226" s="120">
        <f t="shared" si="519"/>
        <v>45909</v>
      </c>
      <c r="P226" s="49"/>
      <c r="Q226" s="44">
        <v>42437</v>
      </c>
      <c r="R226" s="44">
        <v>42527</v>
      </c>
      <c r="S226" s="44">
        <v>42622</v>
      </c>
      <c r="T226" s="44">
        <v>42714</v>
      </c>
      <c r="U226" s="188"/>
      <c r="V226" s="120">
        <f t="shared" ref="V226:BA226" si="520">V3</f>
        <v>42801</v>
      </c>
      <c r="W226" s="120">
        <f t="shared" si="520"/>
        <v>42892</v>
      </c>
      <c r="X226" s="120">
        <f t="shared" si="520"/>
        <v>42987</v>
      </c>
      <c r="Y226" s="120">
        <f t="shared" si="520"/>
        <v>43079</v>
      </c>
      <c r="Z226" s="120">
        <f t="shared" si="520"/>
        <v>43190</v>
      </c>
      <c r="AA226" s="120">
        <f t="shared" si="520"/>
        <v>43281</v>
      </c>
      <c r="AB226" s="120">
        <f t="shared" si="520"/>
        <v>43352</v>
      </c>
      <c r="AC226" s="120">
        <f t="shared" si="520"/>
        <v>43444</v>
      </c>
      <c r="AD226" s="120">
        <f t="shared" si="520"/>
        <v>43555</v>
      </c>
      <c r="AE226" s="120">
        <f t="shared" si="520"/>
        <v>43646</v>
      </c>
      <c r="AF226" s="120">
        <f t="shared" si="520"/>
        <v>43717</v>
      </c>
      <c r="AG226" s="120">
        <f t="shared" si="520"/>
        <v>43808</v>
      </c>
      <c r="AH226" s="120">
        <f t="shared" si="520"/>
        <v>43921</v>
      </c>
      <c r="AI226" s="120">
        <f t="shared" si="520"/>
        <v>44012</v>
      </c>
      <c r="AJ226" s="120">
        <f t="shared" si="520"/>
        <v>44083</v>
      </c>
      <c r="AK226" s="120">
        <f t="shared" si="520"/>
        <v>44174</v>
      </c>
      <c r="AL226" s="120">
        <f t="shared" si="520"/>
        <v>44286</v>
      </c>
      <c r="AM226" s="120">
        <f t="shared" si="520"/>
        <v>44377</v>
      </c>
      <c r="AN226" s="120">
        <f t="shared" si="520"/>
        <v>44448</v>
      </c>
      <c r="AO226" s="120">
        <f t="shared" si="520"/>
        <v>44539</v>
      </c>
      <c r="AP226" s="120">
        <f t="shared" si="520"/>
        <v>44651</v>
      </c>
      <c r="AQ226" s="120">
        <f t="shared" si="520"/>
        <v>44742</v>
      </c>
      <c r="AR226" s="120">
        <f t="shared" si="520"/>
        <v>44813</v>
      </c>
      <c r="AS226" s="120">
        <f t="shared" si="520"/>
        <v>44904</v>
      </c>
      <c r="AT226" s="120">
        <f t="shared" si="520"/>
        <v>45016</v>
      </c>
      <c r="AU226" s="120">
        <f t="shared" si="520"/>
        <v>45107</v>
      </c>
      <c r="AV226" s="120">
        <f t="shared" si="520"/>
        <v>45178</v>
      </c>
      <c r="AW226" s="120">
        <f t="shared" si="520"/>
        <v>45269</v>
      </c>
      <c r="AX226" s="120">
        <f t="shared" si="520"/>
        <v>45382</v>
      </c>
      <c r="AY226" s="120">
        <f t="shared" si="520"/>
        <v>45473</v>
      </c>
      <c r="AZ226" s="120">
        <f t="shared" si="520"/>
        <v>45544</v>
      </c>
      <c r="BA226" s="120">
        <f t="shared" si="520"/>
        <v>45635</v>
      </c>
      <c r="BB226" s="120">
        <f t="shared" ref="BB226:BD228" si="521">BB3</f>
        <v>45747</v>
      </c>
      <c r="BC226" s="120">
        <f t="shared" si="521"/>
        <v>45838</v>
      </c>
      <c r="BD226" s="120">
        <f t="shared" si="521"/>
        <v>45909</v>
      </c>
      <c r="BE226" s="395"/>
      <c r="BF226" s="238"/>
      <c r="BG226" s="44"/>
      <c r="BH226" s="44"/>
      <c r="BI226" s="13"/>
      <c r="BJ226" s="13"/>
      <c r="BK226" s="13"/>
      <c r="BL226" s="394"/>
      <c r="BM226" s="44"/>
      <c r="BN226" s="44"/>
      <c r="BO226" s="44"/>
      <c r="BP226" s="44"/>
      <c r="BQ226" s="44"/>
      <c r="BR226" s="44"/>
      <c r="BS226" s="44"/>
      <c r="BT226" s="44"/>
      <c r="BU226" s="44"/>
      <c r="BV226" s="44"/>
      <c r="BW226" s="44"/>
      <c r="BX226" s="44"/>
      <c r="BY226" s="44"/>
      <c r="BZ226" s="44"/>
      <c r="CA226" s="44"/>
      <c r="CB226" s="44"/>
      <c r="CC226" s="44"/>
      <c r="CD226" s="44"/>
      <c r="CE226" s="44"/>
      <c r="CF226" s="44"/>
      <c r="CG226" s="44"/>
      <c r="CH226" s="44"/>
      <c r="CI226" s="44"/>
      <c r="CJ226" s="44"/>
      <c r="CK226" s="44"/>
      <c r="CL226" s="44"/>
      <c r="CM226" s="44"/>
      <c r="CN226" s="1"/>
      <c r="CO226" s="1"/>
      <c r="CP226" s="1"/>
      <c r="CQ226" s="206"/>
      <c r="CR226" s="1"/>
      <c r="CS226" s="1"/>
      <c r="CT226" s="1"/>
    </row>
    <row r="227" spans="1:98" s="5" customFormat="1" ht="13.5" customHeight="1">
      <c r="B227" s="11"/>
      <c r="C227" s="14" t="s">
        <v>51</v>
      </c>
      <c r="D227" s="14" t="s">
        <v>51</v>
      </c>
      <c r="E227" s="14" t="s">
        <v>51</v>
      </c>
      <c r="F227" s="14" t="s">
        <v>51</v>
      </c>
      <c r="G227" s="14" t="s">
        <v>51</v>
      </c>
      <c r="H227" s="14" t="s">
        <v>51</v>
      </c>
      <c r="I227" s="14" t="s">
        <v>51</v>
      </c>
      <c r="J227" s="14" t="s">
        <v>51</v>
      </c>
      <c r="K227" s="14" t="s">
        <v>51</v>
      </c>
      <c r="L227" s="14" t="s">
        <v>51</v>
      </c>
      <c r="M227" s="14" t="s">
        <v>51</v>
      </c>
      <c r="N227" s="14" t="s">
        <v>51</v>
      </c>
      <c r="O227" s="14" t="s">
        <v>51</v>
      </c>
      <c r="P227" s="395"/>
      <c r="Q227" s="14" t="s">
        <v>51</v>
      </c>
      <c r="R227" s="14" t="s">
        <v>51</v>
      </c>
      <c r="S227" s="14" t="s">
        <v>51</v>
      </c>
      <c r="T227" s="14" t="s">
        <v>51</v>
      </c>
      <c r="U227" s="188"/>
      <c r="V227" s="14" t="str">
        <f t="shared" ref="V227:BA227" si="522">V4</f>
        <v>Act</v>
      </c>
      <c r="W227" s="14" t="str">
        <f t="shared" si="522"/>
        <v>Act</v>
      </c>
      <c r="X227" s="14" t="str">
        <f t="shared" si="522"/>
        <v>Act</v>
      </c>
      <c r="Y227" s="14" t="str">
        <f t="shared" si="522"/>
        <v>Act</v>
      </c>
      <c r="Z227" s="14" t="str">
        <f t="shared" si="522"/>
        <v>Act</v>
      </c>
      <c r="AA227" s="14" t="str">
        <f t="shared" si="522"/>
        <v>Act</v>
      </c>
      <c r="AB227" s="14" t="str">
        <f t="shared" si="522"/>
        <v>Act</v>
      </c>
      <c r="AC227" s="14" t="str">
        <f t="shared" si="522"/>
        <v>Act</v>
      </c>
      <c r="AD227" s="14" t="str">
        <f t="shared" si="522"/>
        <v>Act</v>
      </c>
      <c r="AE227" s="14" t="str">
        <f t="shared" si="522"/>
        <v>Act</v>
      </c>
      <c r="AF227" s="14" t="str">
        <f t="shared" si="522"/>
        <v>Act</v>
      </c>
      <c r="AG227" s="14" t="str">
        <f t="shared" si="522"/>
        <v>Act</v>
      </c>
      <c r="AH227" s="14" t="str">
        <f t="shared" si="522"/>
        <v>Act</v>
      </c>
      <c r="AI227" s="14" t="str">
        <f t="shared" si="522"/>
        <v>Act</v>
      </c>
      <c r="AJ227" s="14" t="str">
        <f t="shared" si="522"/>
        <v>Act</v>
      </c>
      <c r="AK227" s="14" t="str">
        <f t="shared" si="522"/>
        <v>Act</v>
      </c>
      <c r="AL227" s="14" t="str">
        <f t="shared" si="522"/>
        <v>Act</v>
      </c>
      <c r="AM227" s="14" t="str">
        <f t="shared" si="522"/>
        <v>Act</v>
      </c>
      <c r="AN227" s="14" t="str">
        <f t="shared" si="522"/>
        <v>Act</v>
      </c>
      <c r="AO227" s="14" t="str">
        <f t="shared" si="522"/>
        <v>Act</v>
      </c>
      <c r="AP227" s="14" t="str">
        <f t="shared" si="522"/>
        <v>Act</v>
      </c>
      <c r="AQ227" s="14" t="str">
        <f t="shared" si="522"/>
        <v>Act</v>
      </c>
      <c r="AR227" s="14" t="str">
        <f t="shared" si="522"/>
        <v>Act</v>
      </c>
      <c r="AS227" s="14" t="str">
        <f t="shared" si="522"/>
        <v>Act</v>
      </c>
      <c r="AT227" s="14" t="str">
        <f t="shared" si="522"/>
        <v>Act</v>
      </c>
      <c r="AU227" s="14" t="str">
        <f t="shared" si="522"/>
        <v>Act</v>
      </c>
      <c r="AV227" s="14" t="str">
        <f t="shared" si="522"/>
        <v>Act</v>
      </c>
      <c r="AW227" s="14" t="str">
        <f t="shared" si="522"/>
        <v>Act</v>
      </c>
      <c r="AX227" s="14" t="str">
        <f t="shared" si="522"/>
        <v>Act</v>
      </c>
      <c r="AY227" s="14" t="str">
        <f t="shared" si="522"/>
        <v>Act</v>
      </c>
      <c r="AZ227" s="14" t="str">
        <f t="shared" si="522"/>
        <v>Act</v>
      </c>
      <c r="BA227" s="14" t="str">
        <f t="shared" si="522"/>
        <v>Act</v>
      </c>
      <c r="BB227" s="14" t="str">
        <f t="shared" si="521"/>
        <v>Act</v>
      </c>
      <c r="BC227" s="14" t="str">
        <f t="shared" si="521"/>
        <v>Act</v>
      </c>
      <c r="BD227" s="14" t="str">
        <f t="shared" si="521"/>
        <v>Act</v>
      </c>
      <c r="BE227" s="395"/>
      <c r="BF227" s="263"/>
      <c r="BG227" s="208"/>
      <c r="BH227" s="208"/>
      <c r="BI227" s="208"/>
      <c r="BJ227" s="208"/>
      <c r="BK227" s="208"/>
      <c r="BM227" s="208"/>
      <c r="BN227" s="188"/>
      <c r="BO227" s="208"/>
      <c r="BP227" s="208"/>
      <c r="BQ227" s="188"/>
      <c r="BR227" s="188"/>
      <c r="BS227" s="188"/>
      <c r="BT227" s="208"/>
      <c r="BU227" s="208"/>
      <c r="BV227" s="188"/>
      <c r="BW227" s="188"/>
      <c r="BX227" s="188"/>
      <c r="BY227" s="188"/>
      <c r="BZ227" s="208"/>
      <c r="CA227" s="208"/>
      <c r="CB227" s="188"/>
      <c r="CC227" s="188"/>
      <c r="CD227" s="208"/>
      <c r="CE227" s="208"/>
      <c r="CF227" s="188"/>
      <c r="CG227" s="188"/>
      <c r="CH227" s="208"/>
      <c r="CI227" s="208"/>
      <c r="CJ227" s="188"/>
      <c r="CK227" s="188"/>
      <c r="CL227" s="208"/>
      <c r="CM227" s="208"/>
      <c r="CN227" s="1"/>
      <c r="CO227" s="1"/>
      <c r="CP227" s="1"/>
      <c r="CQ227" s="206"/>
      <c r="CR227" s="1"/>
      <c r="CS227" s="1"/>
      <c r="CT227" s="1"/>
    </row>
    <row r="228" spans="1:98" s="3" customFormat="1" ht="13.5" customHeight="1">
      <c r="C228" s="23" t="s">
        <v>52</v>
      </c>
      <c r="D228" s="23" t="s">
        <v>52</v>
      </c>
      <c r="E228" s="23" t="s">
        <v>52</v>
      </c>
      <c r="F228" s="23" t="s">
        <v>52</v>
      </c>
      <c r="G228" s="23" t="s">
        <v>52</v>
      </c>
      <c r="H228" s="23" t="s">
        <v>52</v>
      </c>
      <c r="I228" s="23" t="s">
        <v>52</v>
      </c>
      <c r="J228" s="23" t="s">
        <v>52</v>
      </c>
      <c r="K228" s="23" t="s">
        <v>52</v>
      </c>
      <c r="L228" s="23" t="s">
        <v>52</v>
      </c>
      <c r="M228" s="23" t="s">
        <v>52</v>
      </c>
      <c r="N228" s="23" t="s">
        <v>52</v>
      </c>
      <c r="O228" s="23" t="s">
        <v>47</v>
      </c>
      <c r="P228" s="23"/>
      <c r="Q228" s="23" t="s">
        <v>55</v>
      </c>
      <c r="R228" s="23" t="s">
        <v>372</v>
      </c>
      <c r="S228" s="23" t="s">
        <v>53</v>
      </c>
      <c r="T228" s="23" t="s">
        <v>54</v>
      </c>
      <c r="U228" s="210"/>
      <c r="V228" s="23" t="str">
        <f t="shared" ref="V228:BA228" si="523">V5</f>
        <v>Q1</v>
      </c>
      <c r="W228" s="23" t="str">
        <f t="shared" si="523"/>
        <v>Q2</v>
      </c>
      <c r="X228" s="23" t="str">
        <f t="shared" si="523"/>
        <v>Q3</v>
      </c>
      <c r="Y228" s="23" t="str">
        <f t="shared" si="523"/>
        <v>Q4</v>
      </c>
      <c r="Z228" s="23" t="str">
        <f t="shared" si="523"/>
        <v>Q1</v>
      </c>
      <c r="AA228" s="23" t="str">
        <f t="shared" si="523"/>
        <v>Q2</v>
      </c>
      <c r="AB228" s="23" t="str">
        <f t="shared" si="523"/>
        <v>Q3</v>
      </c>
      <c r="AC228" s="23" t="str">
        <f t="shared" si="523"/>
        <v>Q4</v>
      </c>
      <c r="AD228" s="23" t="str">
        <f t="shared" si="523"/>
        <v>Q1</v>
      </c>
      <c r="AE228" s="23" t="str">
        <f t="shared" si="523"/>
        <v>Q2</v>
      </c>
      <c r="AF228" s="23" t="str">
        <f t="shared" si="523"/>
        <v>Q3</v>
      </c>
      <c r="AG228" s="23" t="str">
        <f t="shared" si="523"/>
        <v>Q4</v>
      </c>
      <c r="AH228" s="23" t="str">
        <f t="shared" si="523"/>
        <v>Q1</v>
      </c>
      <c r="AI228" s="23" t="str">
        <f t="shared" si="523"/>
        <v>Q2</v>
      </c>
      <c r="AJ228" s="23" t="str">
        <f t="shared" si="523"/>
        <v>Q3</v>
      </c>
      <c r="AK228" s="23" t="str">
        <f t="shared" si="523"/>
        <v>Q4</v>
      </c>
      <c r="AL228" s="23" t="str">
        <f t="shared" si="523"/>
        <v>Q1</v>
      </c>
      <c r="AM228" s="23" t="str">
        <f t="shared" si="523"/>
        <v>Q2</v>
      </c>
      <c r="AN228" s="23" t="str">
        <f t="shared" si="523"/>
        <v>Q3</v>
      </c>
      <c r="AO228" s="23" t="str">
        <f t="shared" si="523"/>
        <v>Q4</v>
      </c>
      <c r="AP228" s="23" t="str">
        <f t="shared" si="523"/>
        <v>Q1</v>
      </c>
      <c r="AQ228" s="23" t="str">
        <f t="shared" si="523"/>
        <v>Q2</v>
      </c>
      <c r="AR228" s="23" t="str">
        <f t="shared" si="523"/>
        <v>Q3</v>
      </c>
      <c r="AS228" s="23" t="str">
        <f t="shared" si="523"/>
        <v>Q4</v>
      </c>
      <c r="AT228" s="23" t="str">
        <f t="shared" si="523"/>
        <v>Q1</v>
      </c>
      <c r="AU228" s="23" t="str">
        <f t="shared" si="523"/>
        <v>Q2</v>
      </c>
      <c r="AV228" s="23" t="str">
        <f t="shared" si="523"/>
        <v>Q3</v>
      </c>
      <c r="AW228" s="23" t="str">
        <f t="shared" si="523"/>
        <v>Q4</v>
      </c>
      <c r="AX228" s="23" t="str">
        <f t="shared" si="523"/>
        <v>Q1</v>
      </c>
      <c r="AY228" s="23" t="str">
        <f t="shared" si="523"/>
        <v>Q2</v>
      </c>
      <c r="AZ228" s="23" t="str">
        <f t="shared" si="523"/>
        <v>Q3</v>
      </c>
      <c r="BA228" s="23" t="str">
        <f t="shared" si="523"/>
        <v>Q4</v>
      </c>
      <c r="BB228" s="23" t="str">
        <f t="shared" si="521"/>
        <v>Q1</v>
      </c>
      <c r="BC228" s="23" t="str">
        <f t="shared" si="521"/>
        <v>Q2</v>
      </c>
      <c r="BD228" s="23" t="str">
        <f t="shared" si="521"/>
        <v>Q3</v>
      </c>
      <c r="BE228" s="23"/>
      <c r="BF228" s="264"/>
      <c r="BG228" s="209"/>
      <c r="BH228" s="209"/>
      <c r="BI228" s="209"/>
      <c r="BJ228" s="209"/>
      <c r="BK228" s="209"/>
      <c r="BM228" s="209"/>
      <c r="BN228" s="210"/>
      <c r="BO228" s="209"/>
      <c r="BP228" s="209"/>
      <c r="BQ228" s="210"/>
      <c r="BR228" s="210"/>
      <c r="BS228" s="210"/>
      <c r="BT228" s="209"/>
      <c r="BU228" s="209"/>
      <c r="BV228" s="210"/>
      <c r="BW228" s="210"/>
      <c r="BX228" s="210"/>
      <c r="BY228" s="210"/>
      <c r="BZ228" s="209"/>
      <c r="CA228" s="209"/>
      <c r="CB228" s="210"/>
      <c r="CC228" s="210"/>
      <c r="CD228" s="209"/>
      <c r="CE228" s="209"/>
      <c r="CF228" s="210"/>
      <c r="CG228" s="210"/>
      <c r="CH228" s="209"/>
      <c r="CI228" s="209"/>
      <c r="CJ228" s="210"/>
      <c r="CK228" s="210"/>
      <c r="CL228" s="209"/>
      <c r="CM228" s="209"/>
      <c r="CN228" s="1"/>
      <c r="CO228" s="1"/>
      <c r="CP228" s="1"/>
      <c r="CQ228" s="206"/>
      <c r="CR228" s="1"/>
      <c r="CS228" s="1"/>
      <c r="CT228" s="1"/>
    </row>
    <row r="229" spans="1:98" s="5" customFormat="1" ht="13.5" customHeight="1">
      <c r="B229" s="5" t="str">
        <f>+B7</f>
        <v>Revenues</v>
      </c>
      <c r="C229" s="54">
        <f t="shared" ref="C229:O229" si="524">+C7*C222</f>
        <v>6471.8119148936166</v>
      </c>
      <c r="D229" s="54">
        <f t="shared" si="524"/>
        <v>5870.6792792792794</v>
      </c>
      <c r="E229" s="54">
        <f t="shared" si="524"/>
        <v>5394.9444126074495</v>
      </c>
      <c r="F229" s="54">
        <f t="shared" si="524"/>
        <v>5823.7846394984326</v>
      </c>
      <c r="G229" s="54">
        <f t="shared" si="524"/>
        <v>3174.8263322884013</v>
      </c>
      <c r="H229" s="54">
        <f t="shared" si="524"/>
        <v>8141.1441095890405</v>
      </c>
      <c r="I229" s="54">
        <f t="shared" si="524"/>
        <v>12375.902791878172</v>
      </c>
      <c r="J229" s="54">
        <f t="shared" si="524"/>
        <v>13164.256934618925</v>
      </c>
      <c r="K229" s="54">
        <f t="shared" si="524"/>
        <v>15823.22807797791</v>
      </c>
      <c r="L229" s="54">
        <f t="shared" si="524"/>
        <v>24334.580976000001</v>
      </c>
      <c r="M229" s="54">
        <f t="shared" si="524"/>
        <v>25914.729960000004</v>
      </c>
      <c r="N229" s="54">
        <f t="shared" si="524"/>
        <v>27613.377914633918</v>
      </c>
      <c r="O229" s="54">
        <f t="shared" si="524"/>
        <v>28983.221954792938</v>
      </c>
      <c r="P229" s="54"/>
      <c r="Q229" s="54">
        <f>+Q7*Q222</f>
        <v>1275.6660800000002</v>
      </c>
      <c r="R229" s="54">
        <f>+R7*R222</f>
        <v>1309.18732</v>
      </c>
      <c r="S229" s="54">
        <f>+S7*S222</f>
        <v>1341.7219135802468</v>
      </c>
      <c r="T229" s="54">
        <f>+T7*T222</f>
        <v>1469.7299999999996</v>
      </c>
      <c r="U229" s="188"/>
      <c r="V229" s="54">
        <f t="shared" ref="V229:BD229" si="525">+V7*V222</f>
        <v>654.56544000000008</v>
      </c>
      <c r="W229" s="54">
        <f t="shared" si="525"/>
        <v>1337.0163600000001</v>
      </c>
      <c r="X229" s="54">
        <f t="shared" si="525"/>
        <v>1528.8300632911391</v>
      </c>
      <c r="Y229" s="54">
        <f t="shared" si="525"/>
        <v>1695.2479999999996</v>
      </c>
      <c r="Z229" s="54">
        <f t="shared" si="525"/>
        <v>913.59356000000002</v>
      </c>
      <c r="AA229" s="54">
        <f t="shared" si="525"/>
        <v>1416.8966759002772</v>
      </c>
      <c r="AB229" s="54">
        <f t="shared" si="525"/>
        <v>2800.2297979797981</v>
      </c>
      <c r="AC229" s="54">
        <f t="shared" si="525"/>
        <v>2772.7540682414697</v>
      </c>
      <c r="AD229" s="54">
        <f t="shared" si="525"/>
        <v>2318.32755</v>
      </c>
      <c r="AE229" s="54">
        <f t="shared" si="525"/>
        <v>2989.5727040816328</v>
      </c>
      <c r="AF229" s="54">
        <f t="shared" si="525"/>
        <v>3210.1692695214106</v>
      </c>
      <c r="AG229" s="54">
        <f t="shared" si="525"/>
        <v>3459.3369829683693</v>
      </c>
      <c r="AH229" s="54">
        <f t="shared" si="525"/>
        <v>3027.2665919282513</v>
      </c>
      <c r="AI229" s="54">
        <f t="shared" si="525"/>
        <v>3502.9040816326528</v>
      </c>
      <c r="AJ229" s="54">
        <f t="shared" si="525"/>
        <v>3128.8373605947959</v>
      </c>
      <c r="AK229" s="54">
        <f t="shared" si="525"/>
        <v>3373.7532875000006</v>
      </c>
      <c r="AL229" s="54">
        <f t="shared" si="525"/>
        <v>3142.0129065188858</v>
      </c>
      <c r="AM229" s="54">
        <f t="shared" si="525"/>
        <v>3949.8924228849328</v>
      </c>
      <c r="AN229" s="54">
        <f t="shared" si="525"/>
        <v>4466.7259020611054</v>
      </c>
      <c r="AO229" s="54">
        <f t="shared" si="525"/>
        <v>4593.7622872822485</v>
      </c>
      <c r="AP229" s="54">
        <f t="shared" si="525"/>
        <v>4328.2975688630868</v>
      </c>
      <c r="AQ229" s="54">
        <f t="shared" si="525"/>
        <v>6615.2121102381461</v>
      </c>
      <c r="AR229" s="54">
        <f t="shared" si="525"/>
        <v>6713.1044795776734</v>
      </c>
      <c r="AS229" s="54">
        <f t="shared" si="525"/>
        <v>6519.4328910952354</v>
      </c>
      <c r="AT229" s="54">
        <f t="shared" si="525"/>
        <v>6113.3150925</v>
      </c>
      <c r="AU229" s="54">
        <f t="shared" si="525"/>
        <v>6086.1413024570693</v>
      </c>
      <c r="AV229" s="54">
        <f t="shared" si="525"/>
        <v>6813.2414256249995</v>
      </c>
      <c r="AW229" s="54">
        <f t="shared" si="525"/>
        <v>6900.5170322000031</v>
      </c>
      <c r="AX229" s="54">
        <f t="shared" si="525"/>
        <v>6378.8674927476723</v>
      </c>
      <c r="AY229" s="54">
        <f t="shared" si="525"/>
        <v>7016.9874284763328</v>
      </c>
      <c r="AZ229" s="54">
        <f t="shared" si="525"/>
        <v>7496.4224962653307</v>
      </c>
      <c r="BA229" s="54">
        <f t="shared" si="525"/>
        <v>7624.4320854173657</v>
      </c>
      <c r="BB229" s="54">
        <f t="shared" si="525"/>
        <v>6897.550512896486</v>
      </c>
      <c r="BC229" s="54">
        <f t="shared" si="525"/>
        <v>6815.3133038759297</v>
      </c>
      <c r="BD229" s="54">
        <f t="shared" si="525"/>
        <v>7664.2441369692078</v>
      </c>
      <c r="BE229" s="54"/>
      <c r="BF229" s="255"/>
      <c r="BG229" s="198"/>
      <c r="BH229" s="198"/>
      <c r="BI229" s="198"/>
      <c r="BJ229" s="198"/>
      <c r="BK229" s="198"/>
      <c r="BM229" s="198"/>
      <c r="BN229" s="188"/>
      <c r="BO229" s="198"/>
      <c r="BP229" s="198"/>
      <c r="BQ229" s="188"/>
      <c r="BR229" s="188"/>
      <c r="BS229" s="188"/>
      <c r="BT229" s="198"/>
      <c r="BU229" s="198"/>
      <c r="BV229" s="188"/>
      <c r="BW229" s="188"/>
      <c r="BX229" s="188"/>
      <c r="BY229" s="188"/>
      <c r="BZ229" s="198"/>
      <c r="CA229" s="198"/>
      <c r="CB229" s="188"/>
      <c r="CC229" s="188"/>
      <c r="CD229" s="198"/>
      <c r="CE229" s="198"/>
      <c r="CF229" s="188"/>
      <c r="CG229" s="188"/>
      <c r="CH229" s="198"/>
      <c r="CI229" s="198"/>
      <c r="CJ229" s="188"/>
      <c r="CK229" s="188"/>
      <c r="CL229" s="198"/>
      <c r="CM229" s="198"/>
      <c r="CN229" s="1"/>
      <c r="CO229" s="1"/>
      <c r="CP229" s="1"/>
      <c r="CQ229" s="206"/>
      <c r="CR229" s="1"/>
      <c r="CS229" s="1"/>
      <c r="CT229" s="1"/>
    </row>
    <row r="230" spans="1:98" s="46" customFormat="1" ht="13.5" customHeight="1">
      <c r="B230" s="21" t="str">
        <f>+B8</f>
        <v xml:space="preserve">% y-o-y growth </v>
      </c>
      <c r="C230" s="106"/>
      <c r="D230" s="68">
        <f t="shared" ref="D230:K230" si="526">+D229/C229-1</f>
        <v>-9.28847505952618E-2</v>
      </c>
      <c r="E230" s="68">
        <f t="shared" si="526"/>
        <v>-8.1035744594488257E-2</v>
      </c>
      <c r="F230" s="68">
        <f t="shared" si="526"/>
        <v>7.948927627295399E-2</v>
      </c>
      <c r="G230" s="68">
        <f t="shared" si="526"/>
        <v>-0.45485169373264633</v>
      </c>
      <c r="H230" s="68">
        <f t="shared" si="526"/>
        <v>1.5642801392921983</v>
      </c>
      <c r="I230" s="68">
        <f t="shared" si="526"/>
        <v>0.52016751273340378</v>
      </c>
      <c r="J230" s="68">
        <f t="shared" si="526"/>
        <v>6.3700738119736977E-2</v>
      </c>
      <c r="K230" s="68">
        <f t="shared" si="526"/>
        <v>0.20198414210273508</v>
      </c>
      <c r="L230" s="68">
        <f>+L229/K229-1</f>
        <v>0.53790243407208593</v>
      </c>
      <c r="M230" s="68">
        <f>+M229/L229-1</f>
        <v>6.4934300103972387E-2</v>
      </c>
      <c r="N230" s="68">
        <f>+N229/M229-1</f>
        <v>6.5547584607511533E-2</v>
      </c>
      <c r="O230" s="68"/>
      <c r="P230" s="399"/>
      <c r="Q230" s="68"/>
      <c r="R230" s="68"/>
      <c r="S230" s="68"/>
      <c r="T230" s="68"/>
      <c r="U230" s="191"/>
      <c r="V230" s="68">
        <f>V229/Q229-1</f>
        <v>-0.48688340133650021</v>
      </c>
      <c r="W230" s="68">
        <f>W229/R229-1</f>
        <v>2.1256728945404202E-2</v>
      </c>
      <c r="X230" s="68">
        <f>X229/S229-1</f>
        <v>0.13945374806588173</v>
      </c>
      <c r="Y230" s="68"/>
      <c r="Z230" s="68">
        <f>Z229/V229-1</f>
        <v>0.3957253227423676</v>
      </c>
      <c r="AA230" s="68">
        <f>AA229/W229-1</f>
        <v>5.9745204539065622E-2</v>
      </c>
      <c r="AB230" s="68">
        <f>AB229/X229-1</f>
        <v>0.83161612609297775</v>
      </c>
      <c r="AC230" s="68">
        <f>AC229/Y229-1</f>
        <v>0.63560379852474114</v>
      </c>
      <c r="AD230" s="68"/>
      <c r="AE230" s="68">
        <f t="shared" ref="AE230:BD230" si="527">AE229/AA229-1</f>
        <v>1.1099440452721074</v>
      </c>
      <c r="AF230" s="68">
        <f t="shared" si="527"/>
        <v>0.14639493938581749</v>
      </c>
      <c r="AG230" s="68">
        <f t="shared" si="527"/>
        <v>0.24761767464012507</v>
      </c>
      <c r="AH230" s="68">
        <f t="shared" si="527"/>
        <v>0.30579761773880976</v>
      </c>
      <c r="AI230" s="68">
        <f t="shared" si="527"/>
        <v>0.17170727336725222</v>
      </c>
      <c r="AJ230" s="68">
        <f t="shared" si="527"/>
        <v>-2.5335707278370423E-2</v>
      </c>
      <c r="AK230" s="68">
        <f>AK229/AG229-1</f>
        <v>-2.4739912847383638E-2</v>
      </c>
      <c r="AL230" s="68">
        <f t="shared" si="527"/>
        <v>3.7904264823120704E-2</v>
      </c>
      <c r="AM230" s="68">
        <f t="shared" si="527"/>
        <v>0.12760507591288239</v>
      </c>
      <c r="AN230" s="68">
        <f t="shared" si="527"/>
        <v>0.42759926045244345</v>
      </c>
      <c r="AO230" s="68">
        <f>AO229/AK229-1</f>
        <v>0.36161772833315031</v>
      </c>
      <c r="AP230" s="68">
        <f t="shared" si="527"/>
        <v>0.37755562998578363</v>
      </c>
      <c r="AQ230" s="68">
        <f t="shared" si="527"/>
        <v>0.67478285532812321</v>
      </c>
      <c r="AR230" s="68">
        <f t="shared" si="527"/>
        <v>0.50291390758497378</v>
      </c>
      <c r="AS230" s="68">
        <f>AS229/AO229-1</f>
        <v>0.41919247958131667</v>
      </c>
      <c r="AT230" s="68">
        <f t="shared" si="527"/>
        <v>0.41240637808222225</v>
      </c>
      <c r="AU230" s="68">
        <f t="shared" si="527"/>
        <v>-7.9977905313459496E-2</v>
      </c>
      <c r="AV230" s="68">
        <f t="shared" si="527"/>
        <v>1.4916637503849195E-2</v>
      </c>
      <c r="AW230" s="68">
        <f>AW229/AS229-1</f>
        <v>5.8453572184979929E-2</v>
      </c>
      <c r="AX230" s="68">
        <f t="shared" si="527"/>
        <v>4.343836302065629E-2</v>
      </c>
      <c r="AY230" s="68">
        <f t="shared" si="527"/>
        <v>0.15294520448341653</v>
      </c>
      <c r="AZ230" s="68">
        <f t="shared" si="527"/>
        <v>0.1002725469364476</v>
      </c>
      <c r="BA230" s="68">
        <f>BA229/AW229-1</f>
        <v>0.10490736416406854</v>
      </c>
      <c r="BB230" s="68">
        <f t="shared" si="527"/>
        <v>8.1312712756381966E-2</v>
      </c>
      <c r="BC230" s="68">
        <f t="shared" si="527"/>
        <v>-2.8740841658340344E-2</v>
      </c>
      <c r="BD230" s="68">
        <f t="shared" si="527"/>
        <v>2.2386897321687194E-2</v>
      </c>
      <c r="BE230" s="413"/>
      <c r="BF230" s="266"/>
      <c r="BG230" s="211"/>
      <c r="BH230" s="211"/>
      <c r="BI230" s="211"/>
      <c r="BJ230" s="211"/>
      <c r="BK230" s="211"/>
      <c r="BM230" s="211"/>
      <c r="BN230" s="191"/>
      <c r="BO230" s="211"/>
      <c r="BP230" s="211"/>
      <c r="BQ230" s="191"/>
      <c r="BR230" s="191"/>
      <c r="BS230" s="191"/>
      <c r="BT230" s="211"/>
      <c r="BU230" s="211"/>
      <c r="BV230" s="191"/>
      <c r="BW230" s="191"/>
      <c r="BX230" s="191"/>
      <c r="BY230" s="191"/>
      <c r="BZ230" s="211"/>
      <c r="CA230" s="211"/>
      <c r="CB230" s="191"/>
      <c r="CC230" s="191"/>
      <c r="CD230" s="211"/>
      <c r="CE230" s="211"/>
      <c r="CF230" s="191"/>
      <c r="CG230" s="191"/>
      <c r="CH230" s="211"/>
      <c r="CI230" s="211"/>
      <c r="CJ230" s="191"/>
      <c r="CK230" s="191"/>
      <c r="CL230" s="211"/>
      <c r="CM230" s="211"/>
      <c r="CN230" s="1"/>
      <c r="CO230" s="1"/>
      <c r="CP230" s="1"/>
      <c r="CQ230" s="206"/>
      <c r="CR230" s="1"/>
      <c r="CS230" s="1"/>
      <c r="CT230" s="1"/>
    </row>
    <row r="231" spans="1:98" s="5" customFormat="1" ht="13.5" customHeight="1" outlineLevel="1" thickBot="1">
      <c r="B231" s="25" t="str">
        <f>+B47</f>
        <v xml:space="preserve">EBITDA </v>
      </c>
      <c r="C231" s="61">
        <f t="shared" ref="C231:O231" si="528">C47*C222</f>
        <v>540.744680851064</v>
      </c>
      <c r="D231" s="61">
        <f t="shared" si="528"/>
        <v>441.01741741741728</v>
      </c>
      <c r="E231" s="61">
        <f t="shared" si="528"/>
        <v>430.25616045845265</v>
      </c>
      <c r="F231" s="61">
        <f t="shared" si="528"/>
        <v>490.92727272727262</v>
      </c>
      <c r="G231" s="61">
        <f t="shared" si="528"/>
        <v>209.27711598746095</v>
      </c>
      <c r="H231" s="61">
        <f t="shared" si="528"/>
        <v>294.58794520547946</v>
      </c>
      <c r="I231" s="61">
        <f t="shared" si="528"/>
        <v>1170.017258883249</v>
      </c>
      <c r="J231" s="61">
        <f t="shared" si="528"/>
        <v>1803.9907260985656</v>
      </c>
      <c r="K231" s="61">
        <f t="shared" si="528"/>
        <v>2626.6427618412272</v>
      </c>
      <c r="L231" s="61">
        <f t="shared" si="528"/>
        <v>2860.7775939000007</v>
      </c>
      <c r="M231" s="61">
        <f t="shared" si="528"/>
        <v>1529.0781240000033</v>
      </c>
      <c r="N231" s="61">
        <f t="shared" si="528"/>
        <v>2436.4716466638215</v>
      </c>
      <c r="O231" s="61">
        <f t="shared" si="528"/>
        <v>2327.6690920088731</v>
      </c>
      <c r="P231" s="61"/>
      <c r="Q231" s="61">
        <f>Q47*Q222</f>
        <v>109.7499000000001</v>
      </c>
      <c r="R231" s="61">
        <f>R47*R222</f>
        <v>109.42147999999997</v>
      </c>
      <c r="S231" s="61">
        <f>S47*S222</f>
        <v>101.39629629629636</v>
      </c>
      <c r="T231" s="61">
        <f>T47*T222</f>
        <v>108.04919999999952</v>
      </c>
      <c r="U231" s="188"/>
      <c r="V231" s="61">
        <f t="shared" ref="V231:BD231" si="529">V47*V222</f>
        <v>29.499519999999993</v>
      </c>
      <c r="W231" s="61">
        <f t="shared" si="529"/>
        <v>98.633939999999996</v>
      </c>
      <c r="X231" s="61">
        <f t="shared" si="529"/>
        <v>145.83481012658243</v>
      </c>
      <c r="Y231" s="61">
        <f t="shared" si="529"/>
        <v>156.58495999999934</v>
      </c>
      <c r="Z231" s="61">
        <f t="shared" si="529"/>
        <v>45.833189999999988</v>
      </c>
      <c r="AA231" s="61">
        <f t="shared" si="529"/>
        <v>-51.084764542936256</v>
      </c>
      <c r="AB231" s="61">
        <f t="shared" si="529"/>
        <v>266.35126262626284</v>
      </c>
      <c r="AC231" s="61">
        <f t="shared" si="529"/>
        <v>14.976902887138753</v>
      </c>
      <c r="AD231" s="61">
        <f t="shared" si="529"/>
        <v>149.2465400000001</v>
      </c>
      <c r="AE231" s="61">
        <f t="shared" si="529"/>
        <v>269.55969387755084</v>
      </c>
      <c r="AF231" s="61">
        <f t="shared" si="529"/>
        <v>370.26095717884124</v>
      </c>
      <c r="AG231" s="61">
        <f t="shared" si="529"/>
        <v>375.60656934306485</v>
      </c>
      <c r="AH231" s="61">
        <f t="shared" si="529"/>
        <v>261.95695067264575</v>
      </c>
      <c r="AI231" s="61">
        <f t="shared" si="529"/>
        <v>730.7022263450832</v>
      </c>
      <c r="AJ231" s="61">
        <f t="shared" si="529"/>
        <v>398.79665427509309</v>
      </c>
      <c r="AK231" s="61">
        <f t="shared" si="529"/>
        <v>368.50051100000024</v>
      </c>
      <c r="AL231" s="61">
        <f t="shared" si="529"/>
        <v>293.76093772786953</v>
      </c>
      <c r="AM231" s="61">
        <f t="shared" si="529"/>
        <v>734.79898886471187</v>
      </c>
      <c r="AN231" s="61">
        <f t="shared" si="529"/>
        <v>879.87859685263834</v>
      </c>
      <c r="AO231" s="61">
        <f t="shared" si="529"/>
        <v>782.73234418481093</v>
      </c>
      <c r="AP231" s="61">
        <f t="shared" si="529"/>
        <v>525.05126627011623</v>
      </c>
      <c r="AQ231" s="61">
        <f t="shared" si="529"/>
        <v>1372.4796251949156</v>
      </c>
      <c r="AR231" s="61">
        <f t="shared" si="529"/>
        <v>657.8447460944825</v>
      </c>
      <c r="AS231" s="61">
        <f t="shared" si="529"/>
        <v>280.77449465868887</v>
      </c>
      <c r="AT231" s="61">
        <f t="shared" si="529"/>
        <v>279.41952499999979</v>
      </c>
      <c r="AU231" s="61">
        <f t="shared" si="529"/>
        <v>258.77729144704267</v>
      </c>
      <c r="AV231" s="61">
        <f t="shared" si="529"/>
        <v>465.681514875</v>
      </c>
      <c r="AW231" s="61">
        <f t="shared" si="529"/>
        <v>530.55530520000309</v>
      </c>
      <c r="AX231" s="61">
        <f t="shared" si="529"/>
        <v>519.50643791267623</v>
      </c>
      <c r="AY231" s="61">
        <f t="shared" si="529"/>
        <v>640.51280751267961</v>
      </c>
      <c r="AZ231" s="61">
        <f t="shared" si="529"/>
        <v>725.51035113255659</v>
      </c>
      <c r="BA231" s="61">
        <f t="shared" si="529"/>
        <v>631.3213765670489</v>
      </c>
      <c r="BB231" s="61">
        <f t="shared" si="529"/>
        <v>537.1003466531771</v>
      </c>
      <c r="BC231" s="61">
        <f t="shared" si="529"/>
        <v>523.69167427218656</v>
      </c>
      <c r="BD231" s="61">
        <f t="shared" si="529"/>
        <v>638.55525378940797</v>
      </c>
      <c r="BE231" s="8"/>
      <c r="BF231" s="240"/>
      <c r="BG231" s="194"/>
      <c r="BH231" s="194"/>
      <c r="BI231" s="194"/>
      <c r="BJ231" s="194"/>
      <c r="BK231" s="194"/>
      <c r="BM231" s="194"/>
      <c r="BN231" s="188"/>
      <c r="BO231" s="194"/>
      <c r="BP231" s="194"/>
      <c r="BQ231" s="188"/>
      <c r="BR231" s="188"/>
      <c r="BS231" s="188"/>
      <c r="BT231" s="194"/>
      <c r="BU231" s="194"/>
      <c r="BV231" s="188"/>
      <c r="BW231" s="188"/>
      <c r="BX231" s="188"/>
      <c r="BY231" s="188"/>
      <c r="BZ231" s="194"/>
      <c r="CA231" s="194"/>
      <c r="CB231" s="188"/>
      <c r="CC231" s="188"/>
      <c r="CD231" s="194"/>
      <c r="CE231" s="194"/>
      <c r="CF231" s="188"/>
      <c r="CG231" s="188"/>
      <c r="CH231" s="194"/>
      <c r="CI231" s="194"/>
      <c r="CJ231" s="188"/>
      <c r="CK231" s="188"/>
      <c r="CL231" s="194"/>
      <c r="CM231" s="194"/>
      <c r="CN231" s="1"/>
      <c r="CO231" s="1"/>
      <c r="CP231" s="1"/>
      <c r="CQ231" s="206"/>
      <c r="CR231" s="1"/>
      <c r="CS231" s="1"/>
      <c r="CT231" s="1"/>
    </row>
    <row r="232" spans="1:98" s="46" customFormat="1" ht="13.5" customHeight="1" outlineLevel="1" thickTop="1">
      <c r="B232" s="21" t="str">
        <f>B48</f>
        <v xml:space="preserve">% growth </v>
      </c>
      <c r="C232" s="106"/>
      <c r="D232" s="68">
        <f t="shared" ref="D232:I232" si="530">D231/C231-1</f>
        <v>-0.18442578718793601</v>
      </c>
      <c r="E232" s="68">
        <f t="shared" si="530"/>
        <v>-2.4400979494148212E-2</v>
      </c>
      <c r="F232" s="68">
        <f t="shared" si="530"/>
        <v>0.14101160621191999</v>
      </c>
      <c r="G232" s="68">
        <f t="shared" si="530"/>
        <v>-0.57371055222731182</v>
      </c>
      <c r="H232" s="68">
        <f t="shared" si="530"/>
        <v>0.4076452832192603</v>
      </c>
      <c r="I232" s="68">
        <f t="shared" si="530"/>
        <v>2.9717078649200825</v>
      </c>
      <c r="J232" s="68">
        <f>J231/I231-1</f>
        <v>0.54184967136333317</v>
      </c>
      <c r="K232" s="68">
        <f>K231/J231-1</f>
        <v>0.45601788514832631</v>
      </c>
      <c r="L232" s="68">
        <f>L231/K231-1</f>
        <v>8.9138437651357538E-2</v>
      </c>
      <c r="M232" s="68">
        <f>M231/L231-1</f>
        <v>-0.46550262164369682</v>
      </c>
      <c r="N232" s="68">
        <f>N231/M231-1</f>
        <v>0.59342522034787559</v>
      </c>
      <c r="O232" s="68"/>
      <c r="P232" s="399"/>
      <c r="Q232" s="50"/>
      <c r="R232" s="50"/>
      <c r="S232" s="50"/>
      <c r="T232" s="50"/>
      <c r="U232" s="191"/>
      <c r="V232" s="68">
        <f>V231/Q231-1</f>
        <v>-0.73121141796028999</v>
      </c>
      <c r="W232" s="68">
        <f>W231/R231-1</f>
        <v>-9.8587041593661273E-2</v>
      </c>
      <c r="X232" s="68">
        <f>X231/S231-1</f>
        <v>0.43826565124656569</v>
      </c>
      <c r="Y232" s="68">
        <f>Y231/T231-1</f>
        <v>0.44920054937935716</v>
      </c>
      <c r="Z232" s="68">
        <f t="shared" ref="Z232:BD232" si="531">Z231/V231-1</f>
        <v>0.55369273805133101</v>
      </c>
      <c r="AA232" s="68">
        <f t="shared" si="531"/>
        <v>-1.5179227813766363</v>
      </c>
      <c r="AB232" s="68">
        <f t="shared" si="531"/>
        <v>0.82639016291840028</v>
      </c>
      <c r="AC232" s="68">
        <f t="shared" si="531"/>
        <v>-0.90435286449516727</v>
      </c>
      <c r="AD232" s="68">
        <f t="shared" si="531"/>
        <v>2.256298328787504</v>
      </c>
      <c r="AE232" s="68">
        <f t="shared" si="531"/>
        <v>-6.2767140318516788</v>
      </c>
      <c r="AF232" s="68">
        <f t="shared" si="531"/>
        <v>0.39012277819903485</v>
      </c>
      <c r="AG232" s="68">
        <f t="shared" si="531"/>
        <v>24.079054873595581</v>
      </c>
      <c r="AH232" s="68">
        <f t="shared" si="531"/>
        <v>0.75519613836706423</v>
      </c>
      <c r="AI232" s="68">
        <f t="shared" si="531"/>
        <v>1.7107250933331644</v>
      </c>
      <c r="AJ232" s="68">
        <f t="shared" si="531"/>
        <v>7.7069149590267783E-2</v>
      </c>
      <c r="AK232" s="68">
        <f>AK231/AG231-1</f>
        <v>-1.8918887269445461E-2</v>
      </c>
      <c r="AL232" s="68">
        <f t="shared" si="531"/>
        <v>0.12140921236698787</v>
      </c>
      <c r="AM232" s="68">
        <f t="shared" si="531"/>
        <v>5.6066101510603428E-3</v>
      </c>
      <c r="AN232" s="68">
        <f t="shared" si="531"/>
        <v>1.2063339484430355</v>
      </c>
      <c r="AO232" s="68">
        <f>AO231/AK231-1</f>
        <v>1.1241011092785445</v>
      </c>
      <c r="AP232" s="68">
        <f t="shared" si="531"/>
        <v>0.78734201467080833</v>
      </c>
      <c r="AQ232" s="68">
        <f t="shared" si="531"/>
        <v>0.86783004058761826</v>
      </c>
      <c r="AR232" s="68">
        <f t="shared" si="531"/>
        <v>-0.25234600722461031</v>
      </c>
      <c r="AS232" s="68">
        <f>AS231/AO231-1</f>
        <v>-0.64128926478551751</v>
      </c>
      <c r="AT232" s="68">
        <f t="shared" si="531"/>
        <v>-0.46782430031079958</v>
      </c>
      <c r="AU232" s="68">
        <f t="shared" si="531"/>
        <v>-0.81145272636721888</v>
      </c>
      <c r="AV232" s="68">
        <f t="shared" si="531"/>
        <v>-0.29211030772887436</v>
      </c>
      <c r="AW232" s="68">
        <f>AW231/AS231-1</f>
        <v>0.88961360555540936</v>
      </c>
      <c r="AX232" s="68">
        <f t="shared" si="531"/>
        <v>0.85923456105179707</v>
      </c>
      <c r="AY232" s="68">
        <f t="shared" si="531"/>
        <v>1.4751507519497977</v>
      </c>
      <c r="AZ232" s="68">
        <f t="shared" si="531"/>
        <v>0.55795394053229885</v>
      </c>
      <c r="BA232" s="68">
        <f>BA231/AW231-1</f>
        <v>0.18992566916103137</v>
      </c>
      <c r="BB232" s="68">
        <f t="shared" si="531"/>
        <v>3.3866584620570572E-2</v>
      </c>
      <c r="BC232" s="68">
        <f t="shared" si="531"/>
        <v>-0.18238688105886225</v>
      </c>
      <c r="BD232" s="68">
        <f t="shared" si="531"/>
        <v>-0.11985369637718823</v>
      </c>
      <c r="BE232" s="413"/>
      <c r="BF232" s="266"/>
      <c r="BG232" s="211"/>
      <c r="BH232" s="211"/>
      <c r="BI232" s="211"/>
      <c r="BJ232" s="211"/>
      <c r="BK232" s="211"/>
      <c r="BM232" s="211"/>
      <c r="BN232" s="191"/>
      <c r="BO232" s="211"/>
      <c r="BP232" s="211"/>
      <c r="BQ232" s="191"/>
      <c r="BR232" s="191"/>
      <c r="BS232" s="191"/>
      <c r="BT232" s="211"/>
      <c r="BU232" s="211"/>
      <c r="BV232" s="191"/>
      <c r="BW232" s="191"/>
      <c r="BX232" s="191"/>
      <c r="BY232" s="191"/>
      <c r="BZ232" s="211"/>
      <c r="CA232" s="211"/>
      <c r="CB232" s="191"/>
      <c r="CC232" s="191"/>
      <c r="CD232" s="211"/>
      <c r="CE232" s="211"/>
      <c r="CF232" s="191"/>
      <c r="CG232" s="191"/>
      <c r="CH232" s="211"/>
      <c r="CI232" s="211"/>
      <c r="CJ232" s="191"/>
      <c r="CK232" s="191"/>
      <c r="CL232" s="211"/>
      <c r="CM232" s="211"/>
      <c r="CN232" s="1"/>
      <c r="CO232" s="1"/>
      <c r="CP232" s="1"/>
      <c r="CQ232" s="206"/>
      <c r="CR232" s="1"/>
      <c r="CS232" s="1"/>
      <c r="CT232" s="1"/>
    </row>
    <row r="233" spans="1:98" s="46" customFormat="1" ht="13.5" customHeight="1" outlineLevel="1">
      <c r="B233" s="21" t="str">
        <f>B49</f>
        <v>% margin</v>
      </c>
      <c r="C233" s="50">
        <f>C231/C229</f>
        <v>8.355383128589465E-2</v>
      </c>
      <c r="D233" s="50">
        <f>D231/D229</f>
        <v>7.5122042345934337E-2</v>
      </c>
      <c r="E233" s="50">
        <f>E231/E229</f>
        <v>7.9751731909041862E-2</v>
      </c>
      <c r="F233" s="50">
        <f t="shared" ref="F233:K233" si="532">F231/F229</f>
        <v>8.4296948310498179E-2</v>
      </c>
      <c r="G233" s="50">
        <f t="shared" si="532"/>
        <v>6.5917657875986843E-2</v>
      </c>
      <c r="H233" s="50">
        <f t="shared" si="532"/>
        <v>3.6185079300893257E-2</v>
      </c>
      <c r="I233" s="50">
        <f t="shared" si="532"/>
        <v>9.4539952240986103E-2</v>
      </c>
      <c r="J233" s="50">
        <f t="shared" si="532"/>
        <v>0.13703703407326326</v>
      </c>
      <c r="K233" s="50">
        <f t="shared" si="532"/>
        <v>0.16599917215987525</v>
      </c>
      <c r="L233" s="50">
        <f>L231/L229</f>
        <v>0.11756017482780759</v>
      </c>
      <c r="M233" s="50">
        <f>M231/M229</f>
        <v>5.900420827692094E-2</v>
      </c>
      <c r="N233" s="50">
        <f>N231/N229</f>
        <v>8.8235189993636928E-2</v>
      </c>
      <c r="O233" s="50">
        <f>O231/O229</f>
        <v>8.0310915592458759E-2</v>
      </c>
      <c r="P233" s="400"/>
      <c r="Q233" s="50">
        <f>Q231/Q229</f>
        <v>8.6033407739429801E-2</v>
      </c>
      <c r="R233" s="50">
        <f>R231/R229</f>
        <v>8.357969736523263E-2</v>
      </c>
      <c r="S233" s="50">
        <f>S231/S229</f>
        <v>7.5571767346134175E-2</v>
      </c>
      <c r="T233" s="50">
        <f>T231/T229</f>
        <v>7.3516360147781942E-2</v>
      </c>
      <c r="U233" s="191"/>
      <c r="V233" s="50">
        <f>V231/V229</f>
        <v>4.5067335055147414E-2</v>
      </c>
      <c r="W233" s="50">
        <f>W231/W229</f>
        <v>7.377167770781802E-2</v>
      </c>
      <c r="X233" s="50">
        <f>X231/X229</f>
        <v>9.5389810567069355E-2</v>
      </c>
      <c r="Y233" s="50"/>
      <c r="Z233" s="50">
        <f t="shared" ref="Z233:AE233" si="533">Z231/Z229</f>
        <v>5.0168030956785625E-2</v>
      </c>
      <c r="AA233" s="50">
        <f t="shared" si="533"/>
        <v>-3.6053980090310876E-2</v>
      </c>
      <c r="AB233" s="50">
        <f t="shared" si="533"/>
        <v>9.5117644565606604E-2</v>
      </c>
      <c r="AC233" s="50">
        <f t="shared" si="533"/>
        <v>5.4014537598847971E-3</v>
      </c>
      <c r="AD233" s="50">
        <f t="shared" si="533"/>
        <v>6.4376813362719221E-2</v>
      </c>
      <c r="AE233" s="50">
        <f t="shared" si="533"/>
        <v>9.0166629334527904E-2</v>
      </c>
      <c r="AF233" s="50">
        <f t="shared" ref="AF233:AK233" si="534">AF231/AF229</f>
        <v>0.11534001047678141</v>
      </c>
      <c r="AG233" s="50">
        <f t="shared" si="534"/>
        <v>0.10857761796330301</v>
      </c>
      <c r="AH233" s="50">
        <f t="shared" si="534"/>
        <v>8.6532501422608224E-2</v>
      </c>
      <c r="AI233" s="50">
        <f t="shared" si="534"/>
        <v>0.2085989822491838</v>
      </c>
      <c r="AJ233" s="50">
        <f t="shared" si="534"/>
        <v>0.12745841611891304</v>
      </c>
      <c r="AK233" s="50">
        <f t="shared" si="534"/>
        <v>0.10922568415578023</v>
      </c>
      <c r="AL233" s="50">
        <f t="shared" ref="AL233:AQ233" si="535">AL231/AL229</f>
        <v>9.3494503831728235E-2</v>
      </c>
      <c r="AM233" s="50">
        <f t="shared" si="535"/>
        <v>0.18603012694913534</v>
      </c>
      <c r="AN233" s="50">
        <f t="shared" si="535"/>
        <v>0.19698513321505384</v>
      </c>
      <c r="AO233" s="50">
        <f t="shared" si="535"/>
        <v>0.1703902586234799</v>
      </c>
      <c r="AP233" s="50">
        <f t="shared" si="535"/>
        <v>0.12130664722481901</v>
      </c>
      <c r="AQ233" s="50">
        <f t="shared" si="535"/>
        <v>0.20747326046745712</v>
      </c>
      <c r="AR233" s="50">
        <f t="shared" ref="AR233:AW233" si="536">AR231/AR229</f>
        <v>9.7994117043128159E-2</v>
      </c>
      <c r="AS233" s="50">
        <f t="shared" si="536"/>
        <v>4.3067318791208543E-2</v>
      </c>
      <c r="AT233" s="50">
        <f t="shared" si="536"/>
        <v>4.5706710806187649E-2</v>
      </c>
      <c r="AU233" s="50">
        <f t="shared" si="536"/>
        <v>4.2519106702726454E-2</v>
      </c>
      <c r="AV233" s="50">
        <f t="shared" si="536"/>
        <v>6.8349480927469355E-2</v>
      </c>
      <c r="AW233" s="50">
        <f t="shared" si="536"/>
        <v>7.6886311956664066E-2</v>
      </c>
      <c r="AX233" s="50">
        <f t="shared" ref="AX233:BC233" si="537">AX231/AX229</f>
        <v>8.1441798015606817E-2</v>
      </c>
      <c r="AY233" s="50">
        <f t="shared" si="537"/>
        <v>9.1280312818197595E-2</v>
      </c>
      <c r="AZ233" s="50">
        <f t="shared" si="537"/>
        <v>9.6780878011344898E-2</v>
      </c>
      <c r="BA233" s="50">
        <f t="shared" si="537"/>
        <v>8.2802413280659445E-2</v>
      </c>
      <c r="BB233" s="50">
        <f t="shared" si="537"/>
        <v>7.7868273041125258E-2</v>
      </c>
      <c r="BC233" s="50">
        <f t="shared" si="537"/>
        <v>7.6840440185538997E-2</v>
      </c>
      <c r="BD233" s="50">
        <f>BD231/BD229</f>
        <v>8.3316142124084516E-2</v>
      </c>
      <c r="BE233" s="414"/>
      <c r="BF233" s="267"/>
      <c r="BG233" s="212"/>
      <c r="BH233" s="212"/>
      <c r="BI233" s="212"/>
      <c r="BJ233" s="212"/>
      <c r="BK233" s="212"/>
      <c r="BM233" s="212"/>
      <c r="BN233" s="191"/>
      <c r="BO233" s="212"/>
      <c r="BP233" s="212"/>
      <c r="BQ233" s="191"/>
      <c r="BR233" s="191"/>
      <c r="BS233" s="191"/>
      <c r="BT233" s="212"/>
      <c r="BU233" s="212"/>
      <c r="BV233" s="191"/>
      <c r="BW233" s="191"/>
      <c r="BX233" s="191"/>
      <c r="BY233" s="191"/>
      <c r="BZ233" s="212"/>
      <c r="CA233" s="212"/>
      <c r="CB233" s="191"/>
      <c r="CC233" s="191"/>
      <c r="CD233" s="212"/>
      <c r="CE233" s="212"/>
      <c r="CF233" s="191"/>
      <c r="CG233" s="191"/>
      <c r="CH233" s="212"/>
      <c r="CI233" s="212"/>
      <c r="CJ233" s="191"/>
      <c r="CK233" s="191"/>
      <c r="CL233" s="212"/>
      <c r="CM233" s="212"/>
      <c r="CN233" s="1"/>
      <c r="CO233" s="1"/>
      <c r="CP233" s="1"/>
      <c r="CQ233" s="206"/>
      <c r="CR233" s="1"/>
      <c r="CS233" s="1"/>
      <c r="CT233" s="1"/>
    </row>
    <row r="234" spans="1:98" ht="13.5" customHeight="1">
      <c r="C234" s="51"/>
      <c r="U234" s="192"/>
      <c r="BF234" s="254"/>
      <c r="BG234" s="192"/>
      <c r="BH234" s="192"/>
      <c r="BI234" s="192"/>
      <c r="BJ234" s="192"/>
      <c r="BK234" s="192"/>
      <c r="BM234" s="192"/>
      <c r="BN234" s="192"/>
      <c r="BO234" s="192"/>
      <c r="BP234" s="192"/>
      <c r="BQ234" s="192"/>
      <c r="BR234" s="192"/>
      <c r="BS234" s="192"/>
      <c r="BT234" s="192"/>
      <c r="BU234" s="192"/>
      <c r="BV234" s="192"/>
      <c r="BW234" s="192"/>
      <c r="BX234" s="192"/>
      <c r="BY234" s="192"/>
      <c r="BZ234" s="192"/>
      <c r="CA234" s="192"/>
      <c r="CB234" s="192"/>
      <c r="CC234" s="192"/>
      <c r="CD234" s="192"/>
      <c r="CE234" s="192"/>
      <c r="CF234" s="192"/>
      <c r="CG234" s="192"/>
      <c r="CH234" s="192"/>
      <c r="CI234" s="192"/>
      <c r="CJ234" s="192"/>
      <c r="CK234" s="192"/>
      <c r="CL234" s="192"/>
      <c r="CM234" s="192"/>
      <c r="CQ234" s="206"/>
    </row>
    <row r="235" spans="1:98" s="5" customFormat="1" ht="13.5" customHeight="1" thickBot="1">
      <c r="B235" s="25" t="str">
        <f>B52</f>
        <v xml:space="preserve">Adj. EBITDA </v>
      </c>
      <c r="C235" s="61">
        <f t="shared" ref="C235:K235" si="538">C52*C222</f>
        <v>575.99126042553189</v>
      </c>
      <c r="D235" s="61">
        <f t="shared" si="538"/>
        <v>523.06306306306305</v>
      </c>
      <c r="E235" s="61">
        <f t="shared" si="538"/>
        <v>462.378223495702</v>
      </c>
      <c r="F235" s="61">
        <f t="shared" si="538"/>
        <v>535.36050156739816</v>
      </c>
      <c r="G235" s="61">
        <f t="shared" si="538"/>
        <v>247.96238244514109</v>
      </c>
      <c r="H235" s="61">
        <f t="shared" si="538"/>
        <v>712.60273972602738</v>
      </c>
      <c r="I235" s="61">
        <f t="shared" si="538"/>
        <v>1221.3197969543146</v>
      </c>
      <c r="J235" s="61">
        <f t="shared" si="538"/>
        <v>1871.7868658890047</v>
      </c>
      <c r="K235" s="61">
        <f t="shared" si="538"/>
        <v>2695.1300867244831</v>
      </c>
      <c r="L235" s="61">
        <f>L52*L222</f>
        <v>2474.3867999999998</v>
      </c>
      <c r="M235" s="61">
        <f>M52*M222</f>
        <v>1676.78</v>
      </c>
      <c r="N235" s="61">
        <f>N52*N222</f>
        <v>2530.5607597989201</v>
      </c>
      <c r="O235" s="61">
        <f>O52*O222</f>
        <v>2407.3845221239339</v>
      </c>
      <c r="P235" s="61"/>
      <c r="Q235" s="61">
        <f>Q52*Q222</f>
        <v>115.206</v>
      </c>
      <c r="R235" s="61">
        <f>R52*R222</f>
        <v>118.72000000000001</v>
      </c>
      <c r="S235" s="61">
        <f>S52*S222</f>
        <v>107.71604938271604</v>
      </c>
      <c r="T235" s="61">
        <f>T52*T222</f>
        <v>119.51999999999998</v>
      </c>
      <c r="U235" s="188"/>
      <c r="V235" s="61">
        <f t="shared" ref="V235:AS235" si="539">V52*V222</f>
        <v>41.568000000000005</v>
      </c>
      <c r="W235" s="61">
        <f t="shared" si="539"/>
        <v>121.21</v>
      </c>
      <c r="X235" s="61">
        <f t="shared" si="539"/>
        <v>155.06329113924048</v>
      </c>
      <c r="Y235" s="61">
        <f t="shared" si="539"/>
        <v>157.696</v>
      </c>
      <c r="Z235" s="61">
        <f t="shared" si="539"/>
        <v>54.436</v>
      </c>
      <c r="AA235" s="61">
        <f t="shared" si="539"/>
        <v>127.70083102493075</v>
      </c>
      <c r="AB235" s="61">
        <f t="shared" si="539"/>
        <v>272.72727272727275</v>
      </c>
      <c r="AC235" s="61">
        <f t="shared" si="539"/>
        <v>232.1259842519685</v>
      </c>
      <c r="AD235" s="61">
        <f t="shared" si="539"/>
        <v>134.32</v>
      </c>
      <c r="AE235" s="61">
        <f t="shared" si="539"/>
        <v>283.41836734693879</v>
      </c>
      <c r="AF235" s="61">
        <f t="shared" si="539"/>
        <v>377.58186397984889</v>
      </c>
      <c r="AG235" s="61">
        <f t="shared" si="539"/>
        <v>393.67396593673965</v>
      </c>
      <c r="AH235" s="61">
        <f t="shared" si="539"/>
        <v>274.21524663677133</v>
      </c>
      <c r="AI235" s="61">
        <f t="shared" si="539"/>
        <v>754.73098330241191</v>
      </c>
      <c r="AJ235" s="61">
        <f t="shared" si="539"/>
        <v>408.17843866171006</v>
      </c>
      <c r="AK235" s="61">
        <f t="shared" si="539"/>
        <v>389.3476</v>
      </c>
      <c r="AL235" s="61">
        <f t="shared" si="539"/>
        <v>311.36065334694473</v>
      </c>
      <c r="AM235" s="61">
        <f t="shared" si="539"/>
        <v>752.78382183540202</v>
      </c>
      <c r="AN235" s="61">
        <f t="shared" si="539"/>
        <v>894.56234453846548</v>
      </c>
      <c r="AO235" s="61">
        <f t="shared" si="539"/>
        <v>802.23799053835455</v>
      </c>
      <c r="AP235" s="61">
        <f t="shared" si="539"/>
        <v>532.58986364527061</v>
      </c>
      <c r="AQ235" s="61">
        <f t="shared" si="539"/>
        <v>764.03937345866404</v>
      </c>
      <c r="AR235" s="61">
        <f t="shared" si="539"/>
        <v>727.59781394916058</v>
      </c>
      <c r="AS235" s="61">
        <f t="shared" si="539"/>
        <v>432.05909211554575</v>
      </c>
      <c r="AT235" s="61">
        <f t="shared" ref="AT235:AY235" si="540">AT52*AT222</f>
        <v>288.36500000000001</v>
      </c>
      <c r="AU235" s="61">
        <f t="shared" si="540"/>
        <v>397.77322781885397</v>
      </c>
      <c r="AV235" s="61">
        <f t="shared" si="540"/>
        <v>502.91637499999996</v>
      </c>
      <c r="AW235" s="61">
        <f t="shared" si="540"/>
        <v>490.66759999999999</v>
      </c>
      <c r="AX235" s="61">
        <f t="shared" si="540"/>
        <v>534.28281047027383</v>
      </c>
      <c r="AY235" s="61">
        <f t="shared" si="540"/>
        <v>657.34017102639757</v>
      </c>
      <c r="AZ235" s="61">
        <f>AZ52*AZ222</f>
        <v>743.11224671823913</v>
      </c>
      <c r="BA235" s="61">
        <f>BA52*BA222</f>
        <v>677.60257290894913</v>
      </c>
      <c r="BB235" s="61">
        <f>BB52*BB222</f>
        <v>559.43576714364337</v>
      </c>
      <c r="BC235" s="61">
        <f>BC52*BC222</f>
        <v>530.54115076240726</v>
      </c>
      <c r="BD235" s="61">
        <f>BD52*BD222</f>
        <v>642.82306308951445</v>
      </c>
      <c r="BE235" s="8"/>
      <c r="BF235" s="240"/>
      <c r="BG235" s="194"/>
      <c r="BH235" s="194"/>
      <c r="BI235" s="194"/>
      <c r="BJ235" s="194"/>
      <c r="BK235" s="194"/>
      <c r="BM235" s="194"/>
      <c r="BN235" s="188"/>
      <c r="BO235" s="194"/>
      <c r="BP235" s="194"/>
      <c r="BQ235" s="188"/>
      <c r="BR235" s="188"/>
      <c r="BS235" s="188"/>
      <c r="BT235" s="194"/>
      <c r="BU235" s="194"/>
      <c r="BV235" s="188"/>
      <c r="BW235" s="188"/>
      <c r="BX235" s="188"/>
      <c r="BY235" s="188"/>
      <c r="BZ235" s="194"/>
      <c r="CA235" s="194"/>
      <c r="CB235" s="188"/>
      <c r="CC235" s="188"/>
      <c r="CD235" s="194"/>
      <c r="CE235" s="194"/>
      <c r="CF235" s="188"/>
      <c r="CG235" s="188"/>
      <c r="CH235" s="194"/>
      <c r="CI235" s="194"/>
      <c r="CJ235" s="188"/>
      <c r="CK235" s="188"/>
      <c r="CL235" s="194"/>
      <c r="CM235" s="194"/>
      <c r="CN235" s="1"/>
      <c r="CO235" s="1"/>
      <c r="CP235" s="1"/>
      <c r="CQ235" s="206"/>
      <c r="CR235" s="1"/>
      <c r="CS235" s="1"/>
      <c r="CT235" s="1"/>
    </row>
    <row r="236" spans="1:98" s="46" customFormat="1" ht="13.5" customHeight="1" thickTop="1">
      <c r="B236" s="21" t="str">
        <f>B53</f>
        <v xml:space="preserve">% growth </v>
      </c>
      <c r="C236" s="106"/>
      <c r="D236" s="68">
        <f t="shared" ref="D236:I236" si="541">D235/C235-1</f>
        <v>-9.1890625776798185E-2</v>
      </c>
      <c r="E236" s="68">
        <f t="shared" si="541"/>
        <v>-0.11601820861138612</v>
      </c>
      <c r="F236" s="68">
        <f t="shared" si="541"/>
        <v>0.15784107979811579</v>
      </c>
      <c r="G236" s="68">
        <f t="shared" si="541"/>
        <v>-0.53683101065698557</v>
      </c>
      <c r="H236" s="68">
        <f t="shared" si="541"/>
        <v>1.8738340578078723</v>
      </c>
      <c r="I236" s="68">
        <f t="shared" si="541"/>
        <v>0.71388591268098756</v>
      </c>
      <c r="J236" s="68">
        <f>J235/I235-1</f>
        <v>0.53259356849598483</v>
      </c>
      <c r="K236" s="68">
        <f>K235/J235-1</f>
        <v>0.43987017744375057</v>
      </c>
      <c r="L236" s="68">
        <f>L235/K235-1</f>
        <v>-8.1904501683168429E-2</v>
      </c>
      <c r="M236" s="68">
        <f>M235/L235-1</f>
        <v>-0.32234523721190234</v>
      </c>
      <c r="N236" s="68">
        <f>N235/M235-1</f>
        <v>0.50917875916871624</v>
      </c>
      <c r="O236" s="68"/>
      <c r="P236" s="399"/>
      <c r="Q236" s="68"/>
      <c r="R236" s="68"/>
      <c r="S236" s="68"/>
      <c r="T236" s="68"/>
      <c r="U236" s="191"/>
      <c r="V236" s="68">
        <f>V235/Q235-1</f>
        <v>-0.63918545909067226</v>
      </c>
      <c r="W236" s="68">
        <f>W235/R235-1</f>
        <v>2.0973719676549596E-2</v>
      </c>
      <c r="X236" s="68">
        <f>X235/S235-1</f>
        <v>0.43955605527547048</v>
      </c>
      <c r="Y236" s="68">
        <f>Y235/T235-1</f>
        <v>0.31941097724230283</v>
      </c>
      <c r="Z236" s="68">
        <f>Z235/V235-1</f>
        <v>0.309565050038491</v>
      </c>
      <c r="AA236" s="68">
        <f>AA235/W235-1</f>
        <v>5.3550293085807832E-2</v>
      </c>
      <c r="AB236" s="68">
        <f>AB235/X235-1</f>
        <v>0.75881261595547356</v>
      </c>
      <c r="AC236" s="68">
        <f>AC235/Y235-1</f>
        <v>0.47198397075365572</v>
      </c>
      <c r="AD236" s="68"/>
      <c r="AE236" s="68">
        <f t="shared" ref="AE236:BD236" si="542">AE235/AA235-1</f>
        <v>1.2193932887688699</v>
      </c>
      <c r="AF236" s="68">
        <f t="shared" si="542"/>
        <v>0.38446683459277908</v>
      </c>
      <c r="AG236" s="68">
        <f t="shared" si="542"/>
        <v>0.69594958188486888</v>
      </c>
      <c r="AH236" s="68">
        <f t="shared" si="542"/>
        <v>1.0415071965215259</v>
      </c>
      <c r="AI236" s="68">
        <f t="shared" si="542"/>
        <v>1.6629572048113901</v>
      </c>
      <c r="AJ236" s="68">
        <f t="shared" si="542"/>
        <v>8.1032956295522984E-2</v>
      </c>
      <c r="AK236" s="68">
        <f>AK235/AG235-1</f>
        <v>-1.098971817058092E-2</v>
      </c>
      <c r="AL236" s="68">
        <f t="shared" si="542"/>
        <v>0.13546076363644599</v>
      </c>
      <c r="AM236" s="68">
        <f t="shared" si="542"/>
        <v>-2.5799410784619337E-3</v>
      </c>
      <c r="AN236" s="68">
        <f t="shared" si="542"/>
        <v>1.1915962721388635</v>
      </c>
      <c r="AO236" s="68">
        <f>AO235/AK235-1</f>
        <v>1.0604672804926873</v>
      </c>
      <c r="AP236" s="68">
        <f t="shared" si="542"/>
        <v>0.71052397893003305</v>
      </c>
      <c r="AQ236" s="68">
        <f t="shared" si="542"/>
        <v>1.4951904247648695E-2</v>
      </c>
      <c r="AR236" s="68">
        <f t="shared" si="542"/>
        <v>-0.18664381706726929</v>
      </c>
      <c r="AS236" s="68">
        <f>AS235/AO235-1</f>
        <v>-0.46143277031095764</v>
      </c>
      <c r="AT236" s="68">
        <f t="shared" si="542"/>
        <v>-0.45856085576562078</v>
      </c>
      <c r="AU236" s="68">
        <f t="shared" si="542"/>
        <v>-0.47938124442696117</v>
      </c>
      <c r="AV236" s="68">
        <f t="shared" si="542"/>
        <v>-0.30879894722286749</v>
      </c>
      <c r="AW236" s="68">
        <f>AW235/AS235-1</f>
        <v>0.1356492872247681</v>
      </c>
      <c r="AX236" s="68">
        <f t="shared" si="542"/>
        <v>0.85280048019098653</v>
      </c>
      <c r="AY236" s="68">
        <f t="shared" si="542"/>
        <v>0.65255005881328554</v>
      </c>
      <c r="AZ236" s="68">
        <f t="shared" si="542"/>
        <v>0.47760598711513258</v>
      </c>
      <c r="BA236" s="68">
        <f>BA235/AW235-1</f>
        <v>0.38098087770406908</v>
      </c>
      <c r="BB236" s="68">
        <f t="shared" si="542"/>
        <v>4.7077982260425033E-2</v>
      </c>
      <c r="BC236" s="68">
        <f t="shared" si="542"/>
        <v>-0.19289711150012512</v>
      </c>
      <c r="BD236" s="68">
        <f t="shared" si="542"/>
        <v>-0.13495832436031785</v>
      </c>
      <c r="BE236" s="413"/>
      <c r="BF236" s="266"/>
      <c r="BG236" s="211"/>
      <c r="BH236" s="211"/>
      <c r="BI236" s="211"/>
      <c r="BJ236" s="211"/>
      <c r="BK236" s="211"/>
      <c r="BM236" s="211"/>
      <c r="BN236" s="191"/>
      <c r="BO236" s="211"/>
      <c r="BP236" s="211"/>
      <c r="BQ236" s="191"/>
      <c r="BR236" s="191"/>
      <c r="BS236" s="191"/>
      <c r="BT236" s="211"/>
      <c r="BU236" s="211"/>
      <c r="BV236" s="191"/>
      <c r="BW236" s="191"/>
      <c r="BX236" s="191"/>
      <c r="BY236" s="191"/>
      <c r="BZ236" s="211"/>
      <c r="CA236" s="211"/>
      <c r="CB236" s="191"/>
      <c r="CC236" s="191"/>
      <c r="CD236" s="211"/>
      <c r="CE236" s="211"/>
      <c r="CF236" s="191"/>
      <c r="CG236" s="191"/>
      <c r="CH236" s="211"/>
      <c r="CI236" s="211"/>
      <c r="CJ236" s="191"/>
      <c r="CK236" s="191"/>
      <c r="CL236" s="211"/>
      <c r="CM236" s="211"/>
      <c r="CN236" s="1"/>
      <c r="CO236" s="1"/>
      <c r="CP236" s="1"/>
      <c r="CQ236" s="206"/>
      <c r="CR236" s="1"/>
      <c r="CS236" s="1"/>
      <c r="CT236" s="1"/>
    </row>
    <row r="237" spans="1:98" s="46" customFormat="1" ht="13.5" customHeight="1">
      <c r="B237" s="21" t="str">
        <f>B54</f>
        <v>% margin</v>
      </c>
      <c r="C237" s="68">
        <f>C235/C229</f>
        <v>8.8999999999999996E-2</v>
      </c>
      <c r="D237" s="68">
        <f>D235/D229</f>
        <v>8.9097536789180129E-2</v>
      </c>
      <c r="E237" s="68">
        <f>E235/E229</f>
        <v>8.5705836452210707E-2</v>
      </c>
      <c r="F237" s="68">
        <f t="shared" ref="F237:K237" si="543">F235/F229</f>
        <v>9.1926562314211105E-2</v>
      </c>
      <c r="G237" s="68">
        <f t="shared" si="543"/>
        <v>7.8102660269423571E-2</v>
      </c>
      <c r="H237" s="68">
        <f t="shared" si="543"/>
        <v>8.7531031281793528E-2</v>
      </c>
      <c r="I237" s="68">
        <f t="shared" si="543"/>
        <v>9.868530946734809E-2</v>
      </c>
      <c r="J237" s="68">
        <f t="shared" si="543"/>
        <v>0.14218705052517183</v>
      </c>
      <c r="K237" s="68">
        <f t="shared" si="543"/>
        <v>0.17032744983783996</v>
      </c>
      <c r="L237" s="68">
        <f>L235/L229</f>
        <v>0.10168191523167651</v>
      </c>
      <c r="M237" s="68">
        <f>M235/M229</f>
        <v>6.4703741948619539E-2</v>
      </c>
      <c r="N237" s="68">
        <f>N235/N229</f>
        <v>9.1642564253532718E-2</v>
      </c>
      <c r="O237" s="68">
        <f>O235/O229</f>
        <v>8.3061314779940332E-2</v>
      </c>
      <c r="P237" s="399"/>
      <c r="Q237" s="68">
        <f>Q235/Q229</f>
        <v>9.0310467453990767E-2</v>
      </c>
      <c r="R237" s="68">
        <f>R235/R229</f>
        <v>9.0682210395988269E-2</v>
      </c>
      <c r="S237" s="68">
        <f>S235/S229</f>
        <v>8.0281948362374775E-2</v>
      </c>
      <c r="T237" s="68">
        <f>T235/T229</f>
        <v>8.1321058970014917E-2</v>
      </c>
      <c r="U237" s="191"/>
      <c r="V237" s="68">
        <f>V235/V229</f>
        <v>6.3504727655648907E-2</v>
      </c>
      <c r="W237" s="68">
        <f>W235/W229</f>
        <v>9.06570806657893E-2</v>
      </c>
      <c r="X237" s="68">
        <f>X235/X229</f>
        <v>0.10142611324991414</v>
      </c>
      <c r="Y237" s="68">
        <f t="shared" ref="Y237:AD237" si="544">Y235/Y229</f>
        <v>9.3022377846781135E-2</v>
      </c>
      <c r="Z237" s="68">
        <f t="shared" si="544"/>
        <v>5.9584483060497927E-2</v>
      </c>
      <c r="AA237" s="68">
        <f t="shared" si="544"/>
        <v>9.0127130084338258E-2</v>
      </c>
      <c r="AB237" s="68">
        <f t="shared" si="544"/>
        <v>9.7394604158569237E-2</v>
      </c>
      <c r="AC237" s="68">
        <f t="shared" si="544"/>
        <v>8.3716759055802947E-2</v>
      </c>
      <c r="AD237" s="68">
        <f t="shared" si="544"/>
        <v>5.7938318508961341E-2</v>
      </c>
      <c r="AE237" s="68">
        <f t="shared" ref="AE237:AJ237" si="545">AE235/AE229</f>
        <v>9.4802299659744224E-2</v>
      </c>
      <c r="AF237" s="68">
        <f t="shared" si="545"/>
        <v>0.11762054654399605</v>
      </c>
      <c r="AG237" s="68">
        <f t="shared" si="545"/>
        <v>0.11380040969554171</v>
      </c>
      <c r="AH237" s="68">
        <f t="shared" si="545"/>
        <v>9.0581796584392277E-2</v>
      </c>
      <c r="AI237" s="68">
        <f t="shared" si="545"/>
        <v>0.21545864965581438</v>
      </c>
      <c r="AJ237" s="68">
        <f t="shared" si="545"/>
        <v>0.13045690511190866</v>
      </c>
      <c r="AK237" s="68">
        <f t="shared" ref="AK237:AP237" si="546">AK235/AK229</f>
        <v>0.11540488198783265</v>
      </c>
      <c r="AL237" s="68">
        <f t="shared" si="546"/>
        <v>9.9095918002421235E-2</v>
      </c>
      <c r="AM237" s="68">
        <f t="shared" si="546"/>
        <v>0.19058337322655025</v>
      </c>
      <c r="AN237" s="68">
        <f t="shared" si="546"/>
        <v>0.20027249581750309</v>
      </c>
      <c r="AO237" s="68">
        <f t="shared" si="546"/>
        <v>0.17463637436341375</v>
      </c>
      <c r="AP237" s="68">
        <f t="shared" si="546"/>
        <v>0.1230483475712521</v>
      </c>
      <c r="AQ237" s="68">
        <f t="shared" ref="AQ237:AV237" si="547">AQ235/AQ229</f>
        <v>0.11549733564494258</v>
      </c>
      <c r="AR237" s="68">
        <f t="shared" si="547"/>
        <v>0.10838469983040311</v>
      </c>
      <c r="AS237" s="68">
        <f t="shared" si="547"/>
        <v>6.6272496294223188E-2</v>
      </c>
      <c r="AT237" s="68">
        <f t="shared" si="547"/>
        <v>4.7169988073046475E-2</v>
      </c>
      <c r="AU237" s="68">
        <f t="shared" si="547"/>
        <v>6.5357212074301785E-2</v>
      </c>
      <c r="AV237" s="68">
        <f t="shared" si="547"/>
        <v>7.3814553687838222E-2</v>
      </c>
      <c r="AW237" s="68">
        <f t="shared" ref="AW237:BB237" si="548">AW235/AW229</f>
        <v>7.110591825371769E-2</v>
      </c>
      <c r="AX237" s="68">
        <f t="shared" si="548"/>
        <v>8.375825506294278E-2</v>
      </c>
      <c r="AY237" s="68">
        <f t="shared" si="548"/>
        <v>9.3678402266873129E-2</v>
      </c>
      <c r="AZ237" s="68">
        <f t="shared" si="548"/>
        <v>9.9128917438745329E-2</v>
      </c>
      <c r="BA237" s="68">
        <f t="shared" si="548"/>
        <v>8.8872530480656353E-2</v>
      </c>
      <c r="BB237" s="68">
        <f t="shared" si="548"/>
        <v>8.1106440046746345E-2</v>
      </c>
      <c r="BC237" s="68">
        <f>BC235/BC229</f>
        <v>7.7845452895127176E-2</v>
      </c>
      <c r="BD237" s="68">
        <f>BD235/BD229</f>
        <v>8.3872988855978173E-2</v>
      </c>
      <c r="BE237" s="413"/>
      <c r="BF237" s="266"/>
      <c r="BG237" s="211"/>
      <c r="BH237" s="211"/>
      <c r="BI237" s="211"/>
      <c r="BJ237" s="211"/>
      <c r="BK237" s="211"/>
      <c r="BM237" s="211"/>
      <c r="BN237" s="191"/>
      <c r="BO237" s="211"/>
      <c r="BP237" s="211"/>
      <c r="BQ237" s="191"/>
      <c r="BR237" s="191"/>
      <c r="BS237" s="191"/>
      <c r="BT237" s="211"/>
      <c r="BU237" s="211"/>
      <c r="BV237" s="191"/>
      <c r="BW237" s="191"/>
      <c r="BX237" s="191"/>
      <c r="BY237" s="191"/>
      <c r="BZ237" s="211"/>
      <c r="CA237" s="211"/>
      <c r="CB237" s="191"/>
      <c r="CC237" s="191"/>
      <c r="CD237" s="211"/>
      <c r="CE237" s="211"/>
      <c r="CF237" s="191"/>
      <c r="CG237" s="191"/>
      <c r="CH237" s="211"/>
      <c r="CI237" s="211"/>
      <c r="CJ237" s="191"/>
      <c r="CK237" s="191"/>
      <c r="CL237" s="211"/>
      <c r="CM237" s="211"/>
      <c r="CN237" s="1"/>
      <c r="CO237" s="1"/>
      <c r="CP237" s="1"/>
      <c r="CQ237" s="206"/>
      <c r="CR237" s="1"/>
      <c r="CS237" s="1"/>
      <c r="CT237" s="1"/>
    </row>
    <row r="238" spans="1:98" ht="13.5" customHeight="1">
      <c r="C238" s="51"/>
      <c r="U238" s="192"/>
      <c r="BF238" s="254"/>
      <c r="BG238" s="192"/>
      <c r="BH238" s="192"/>
      <c r="BI238" s="192"/>
      <c r="BJ238" s="192"/>
      <c r="BK238" s="192"/>
      <c r="BM238" s="192"/>
      <c r="BN238" s="192"/>
      <c r="BO238" s="192"/>
      <c r="BP238" s="192"/>
      <c r="BQ238" s="192"/>
      <c r="BR238" s="192"/>
      <c r="BS238" s="192"/>
      <c r="BT238" s="192"/>
      <c r="BU238" s="192"/>
      <c r="BV238" s="192"/>
      <c r="BW238" s="192"/>
      <c r="BX238" s="192"/>
      <c r="BY238" s="192"/>
      <c r="BZ238" s="192"/>
      <c r="CA238" s="192"/>
      <c r="CB238" s="192"/>
      <c r="CC238" s="192"/>
      <c r="CD238" s="192"/>
      <c r="CE238" s="192"/>
      <c r="CF238" s="192"/>
      <c r="CG238" s="192"/>
      <c r="CH238" s="192"/>
      <c r="CI238" s="192"/>
      <c r="CJ238" s="192"/>
      <c r="CK238" s="192"/>
      <c r="CL238" s="192"/>
      <c r="CM238" s="192"/>
      <c r="CQ238" s="206"/>
    </row>
    <row r="239" spans="1:98" s="5" customFormat="1" ht="13.5" customHeight="1">
      <c r="B239" s="5" t="str">
        <f t="shared" ref="B239:B257" si="549">B60</f>
        <v xml:space="preserve">Adjusted EBITDA </v>
      </c>
      <c r="C239" s="8">
        <f t="shared" ref="C239:K239" si="550">C60*C222</f>
        <v>575.99126042553189</v>
      </c>
      <c r="D239" s="8">
        <f t="shared" si="550"/>
        <v>523.06306306306305</v>
      </c>
      <c r="E239" s="8">
        <f t="shared" si="550"/>
        <v>462.378223495702</v>
      </c>
      <c r="F239" s="8">
        <f t="shared" si="550"/>
        <v>535.36050156739816</v>
      </c>
      <c r="G239" s="8">
        <f t="shared" si="550"/>
        <v>247.96238244514109</v>
      </c>
      <c r="H239" s="8">
        <f t="shared" si="550"/>
        <v>712.60273972602738</v>
      </c>
      <c r="I239" s="8">
        <f t="shared" si="550"/>
        <v>1221.3197969543146</v>
      </c>
      <c r="J239" s="8">
        <f t="shared" si="550"/>
        <v>1871.7868658890047</v>
      </c>
      <c r="K239" s="8">
        <f t="shared" si="550"/>
        <v>2695.1300867244831</v>
      </c>
      <c r="L239" s="8">
        <f>L60*L222</f>
        <v>2474.3867999999998</v>
      </c>
      <c r="M239" s="8">
        <f>M60*M222</f>
        <v>1676.78</v>
      </c>
      <c r="N239" s="8">
        <f>N60*N222</f>
        <v>2530.5607597989201</v>
      </c>
      <c r="O239" s="8">
        <f>O60*O222</f>
        <v>2407.3845221239339</v>
      </c>
      <c r="P239" s="8"/>
      <c r="Q239" s="8">
        <f>Q60*Q222</f>
        <v>115.206</v>
      </c>
      <c r="R239" s="8">
        <f>R60*R222</f>
        <v>118.72000000000001</v>
      </c>
      <c r="S239" s="8">
        <f>S60*S222</f>
        <v>107.71604938271604</v>
      </c>
      <c r="T239" s="8">
        <f>T60*T222</f>
        <v>119.51999999999998</v>
      </c>
      <c r="U239" s="194"/>
      <c r="V239" s="8">
        <f t="shared" ref="V239:AS239" si="551">V60*V222</f>
        <v>41.568000000000005</v>
      </c>
      <c r="W239" s="8">
        <f t="shared" si="551"/>
        <v>121.21</v>
      </c>
      <c r="X239" s="8">
        <f t="shared" si="551"/>
        <v>155.06329113924048</v>
      </c>
      <c r="Y239" s="8">
        <f t="shared" si="551"/>
        <v>157.696</v>
      </c>
      <c r="Z239" s="8">
        <f t="shared" si="551"/>
        <v>54.436</v>
      </c>
      <c r="AA239" s="8">
        <f t="shared" si="551"/>
        <v>127.70083102493075</v>
      </c>
      <c r="AB239" s="8">
        <f t="shared" si="551"/>
        <v>272.72727272727275</v>
      </c>
      <c r="AC239" s="8">
        <f t="shared" si="551"/>
        <v>232.1259842519685</v>
      </c>
      <c r="AD239" s="8">
        <f t="shared" si="551"/>
        <v>134.32</v>
      </c>
      <c r="AE239" s="8">
        <f t="shared" si="551"/>
        <v>283.41836734693879</v>
      </c>
      <c r="AF239" s="8">
        <f t="shared" si="551"/>
        <v>377.58186397984889</v>
      </c>
      <c r="AG239" s="8">
        <f t="shared" si="551"/>
        <v>393.67396593673965</v>
      </c>
      <c r="AH239" s="8">
        <f t="shared" si="551"/>
        <v>274.21524663677133</v>
      </c>
      <c r="AI239" s="8">
        <f t="shared" si="551"/>
        <v>754.73098330241191</v>
      </c>
      <c r="AJ239" s="8">
        <f t="shared" si="551"/>
        <v>408.17843866171006</v>
      </c>
      <c r="AK239" s="8">
        <f t="shared" si="551"/>
        <v>389.3476</v>
      </c>
      <c r="AL239" s="8">
        <f t="shared" si="551"/>
        <v>311.36065334694473</v>
      </c>
      <c r="AM239" s="8">
        <f t="shared" si="551"/>
        <v>752.78382183540202</v>
      </c>
      <c r="AN239" s="8">
        <f t="shared" si="551"/>
        <v>894.56234453846548</v>
      </c>
      <c r="AO239" s="8">
        <f t="shared" si="551"/>
        <v>802.23799053835455</v>
      </c>
      <c r="AP239" s="8">
        <f t="shared" si="551"/>
        <v>532.58986364527061</v>
      </c>
      <c r="AQ239" s="8">
        <f t="shared" si="551"/>
        <v>764.03937345866404</v>
      </c>
      <c r="AR239" s="8">
        <f t="shared" si="551"/>
        <v>727.59781394916058</v>
      </c>
      <c r="AS239" s="8">
        <f t="shared" si="551"/>
        <v>432.05909211554575</v>
      </c>
      <c r="AT239" s="8">
        <f t="shared" ref="AT239:AY239" si="552">AT60*AT222</f>
        <v>288.36500000000001</v>
      </c>
      <c r="AU239" s="8">
        <f t="shared" si="552"/>
        <v>397.77322781885397</v>
      </c>
      <c r="AV239" s="8">
        <f t="shared" si="552"/>
        <v>502.91637499999996</v>
      </c>
      <c r="AW239" s="8">
        <f t="shared" si="552"/>
        <v>490.66759999999999</v>
      </c>
      <c r="AX239" s="8">
        <f t="shared" si="552"/>
        <v>534.28281047027383</v>
      </c>
      <c r="AY239" s="8">
        <f t="shared" si="552"/>
        <v>657.34017102639757</v>
      </c>
      <c r="AZ239" s="8">
        <f>AZ60*AZ222</f>
        <v>743.11224671823913</v>
      </c>
      <c r="BA239" s="8">
        <f>BA60*BA222</f>
        <v>677.60257290894913</v>
      </c>
      <c r="BB239" s="8">
        <f>BB60*BB222</f>
        <v>559.43576714364337</v>
      </c>
      <c r="BC239" s="8">
        <f>BC60*BC222</f>
        <v>530.54115076240726</v>
      </c>
      <c r="BD239" s="8">
        <f>BD60*BD222</f>
        <v>642.82306308951445</v>
      </c>
      <c r="BE239" s="8"/>
      <c r="BF239" s="271"/>
      <c r="BG239" s="216"/>
      <c r="BH239" s="216"/>
      <c r="BI239" s="216"/>
      <c r="BJ239" s="216"/>
      <c r="BK239" s="216"/>
      <c r="BM239" s="216"/>
      <c r="BN239" s="188"/>
      <c r="BO239" s="216"/>
      <c r="BP239" s="216"/>
      <c r="BQ239" s="188"/>
      <c r="BR239" s="188"/>
      <c r="BS239" s="188"/>
      <c r="BT239" s="216"/>
      <c r="BU239" s="216"/>
      <c r="BV239" s="188"/>
      <c r="BW239" s="188"/>
      <c r="BX239" s="188"/>
      <c r="BY239" s="188"/>
      <c r="BZ239" s="216"/>
      <c r="CA239" s="216"/>
      <c r="CB239" s="188"/>
      <c r="CC239" s="188"/>
      <c r="CD239" s="216"/>
      <c r="CE239" s="216"/>
      <c r="CF239" s="188"/>
      <c r="CG239" s="188"/>
      <c r="CH239" s="216"/>
      <c r="CI239" s="216"/>
      <c r="CJ239" s="188"/>
      <c r="CK239" s="188"/>
      <c r="CL239" s="216"/>
      <c r="CM239" s="216"/>
      <c r="CN239" s="1"/>
      <c r="CO239" s="1"/>
      <c r="CP239" s="1"/>
      <c r="CQ239" s="206"/>
      <c r="CR239" s="1"/>
      <c r="CS239" s="1"/>
      <c r="CT239" s="1"/>
    </row>
    <row r="240" spans="1:98" ht="13.5" customHeight="1">
      <c r="B240" s="1" t="str">
        <f t="shared" si="549"/>
        <v>Working Capital</v>
      </c>
      <c r="C240" s="6">
        <f t="shared" ref="C240:K240" si="553">C61*C222</f>
        <v>207.7995744680851</v>
      </c>
      <c r="D240" s="6">
        <f t="shared" si="553"/>
        <v>157.42072072072074</v>
      </c>
      <c r="E240" s="6">
        <f t="shared" si="553"/>
        <v>332.9315186246418</v>
      </c>
      <c r="F240" s="6">
        <f t="shared" si="553"/>
        <v>-155.87084639498434</v>
      </c>
      <c r="G240" s="6">
        <f t="shared" si="553"/>
        <v>-113.83510971786833</v>
      </c>
      <c r="H240" s="6">
        <f t="shared" si="553"/>
        <v>-64.508219178082186</v>
      </c>
      <c r="I240" s="6">
        <f t="shared" si="553"/>
        <v>-269.58502538071065</v>
      </c>
      <c r="J240" s="6">
        <f t="shared" si="553"/>
        <v>-109.289138519034</v>
      </c>
      <c r="K240" s="6">
        <f t="shared" si="553"/>
        <v>-336.52953821065904</v>
      </c>
      <c r="L240" s="6">
        <f>L61*L222</f>
        <v>-59.243202000000004</v>
      </c>
      <c r="M240" s="6">
        <f>M61*M222</f>
        <v>393.55937600000004</v>
      </c>
      <c r="N240" s="6">
        <f>N61*N222</f>
        <v>-265.83724424493124</v>
      </c>
      <c r="O240" s="6">
        <f>O61*O222</f>
        <v>314.90492987838024</v>
      </c>
      <c r="P240" s="6"/>
      <c r="Q240" s="6">
        <f>Q61*Q222</f>
        <v>-2.2760400000000014</v>
      </c>
      <c r="R240" s="6">
        <f>R61*R222</f>
        <v>91.481600000000014</v>
      </c>
      <c r="S240" s="6">
        <f>S61*S222</f>
        <v>103.4682098765432</v>
      </c>
      <c r="T240" s="6">
        <f>T61*T222</f>
        <v>152.61840000000001</v>
      </c>
      <c r="U240" s="193"/>
      <c r="V240" s="6">
        <f t="shared" ref="V240:AS240" si="554">V61*V222</f>
        <v>20.337279999999982</v>
      </c>
      <c r="W240" s="6">
        <f t="shared" si="554"/>
        <v>-54.82721999999999</v>
      </c>
      <c r="X240" s="6">
        <f t="shared" si="554"/>
        <v>-109.29113924050628</v>
      </c>
      <c r="Y240" s="6">
        <f t="shared" si="554"/>
        <v>28.174719999999951</v>
      </c>
      <c r="Z240" s="6">
        <f t="shared" si="554"/>
        <v>-14.516059999999998</v>
      </c>
      <c r="AA240" s="6">
        <f t="shared" si="554"/>
        <v>-110.2781163434903</v>
      </c>
      <c r="AB240" s="6">
        <f t="shared" si="554"/>
        <v>1.351010101010071</v>
      </c>
      <c r="AC240" s="6">
        <f t="shared" si="554"/>
        <v>53.576115485564316</v>
      </c>
      <c r="AD240" s="6">
        <f t="shared" si="554"/>
        <v>-114.43304999999999</v>
      </c>
      <c r="AE240" s="6">
        <f t="shared" si="554"/>
        <v>-18.026530612244922</v>
      </c>
      <c r="AF240" s="6">
        <f t="shared" si="554"/>
        <v>-47.1521410579345</v>
      </c>
      <c r="AG240" s="6">
        <f t="shared" si="554"/>
        <v>-74.640389294403874</v>
      </c>
      <c r="AH240" s="6">
        <f t="shared" si="554"/>
        <v>-277.06210762331841</v>
      </c>
      <c r="AI240" s="6">
        <f t="shared" si="554"/>
        <v>-35.974211502782907</v>
      </c>
      <c r="AJ240" s="6">
        <f t="shared" si="554"/>
        <v>71.202044609665435</v>
      </c>
      <c r="AK240" s="6">
        <f t="shared" si="554"/>
        <v>89.81997939999998</v>
      </c>
      <c r="AL240" s="6">
        <f t="shared" si="554"/>
        <v>-123.84880414175295</v>
      </c>
      <c r="AM240" s="6">
        <f t="shared" si="554"/>
        <v>-198.54639703058993</v>
      </c>
      <c r="AN240" s="6">
        <f t="shared" si="554"/>
        <v>66.575166424529954</v>
      </c>
      <c r="AO240" s="6">
        <f t="shared" si="554"/>
        <v>-87.268565335255147</v>
      </c>
      <c r="AP240" s="6">
        <f t="shared" si="554"/>
        <v>251.56588693953898</v>
      </c>
      <c r="AQ240" s="6">
        <f t="shared" si="554"/>
        <v>-88.67882549741546</v>
      </c>
      <c r="AR240" s="6">
        <f t="shared" si="554"/>
        <v>-341.00947660523536</v>
      </c>
      <c r="AS240" s="6">
        <f t="shared" si="554"/>
        <v>123.52227526316308</v>
      </c>
      <c r="AT240" s="6">
        <f t="shared" ref="AT240:AY240" si="555">AT61*AT222</f>
        <v>0.88569249999999433</v>
      </c>
      <c r="AU240" s="6">
        <f t="shared" si="555"/>
        <v>69.773692945286498</v>
      </c>
      <c r="AV240" s="6">
        <f t="shared" si="555"/>
        <v>217.90692962500003</v>
      </c>
      <c r="AW240" s="6">
        <f t="shared" si="555"/>
        <v>107.1436696</v>
      </c>
      <c r="AX240" s="6">
        <f t="shared" si="555"/>
        <v>-261.24894832843114</v>
      </c>
      <c r="AY240" s="6">
        <f t="shared" si="555"/>
        <v>-144.75650241103747</v>
      </c>
      <c r="AZ240" s="6">
        <f>AZ61*AZ222</f>
        <v>-58.420291296754144</v>
      </c>
      <c r="BA240" s="6">
        <f>BA61*BA222</f>
        <v>164.426975222778</v>
      </c>
      <c r="BB240" s="6">
        <f>BB61*BB222</f>
        <v>218.08840196880683</v>
      </c>
      <c r="BC240" s="6">
        <f>BC61*BC222</f>
        <v>57.368548989512441</v>
      </c>
      <c r="BD240" s="6">
        <f>BD61*BD222</f>
        <v>-132.18574521965718</v>
      </c>
      <c r="BE240" s="6"/>
      <c r="BF240" s="269"/>
      <c r="BG240" s="214"/>
      <c r="BH240" s="214"/>
      <c r="BI240" s="214"/>
      <c r="BJ240" s="214"/>
      <c r="BK240" s="214"/>
      <c r="BM240" s="214"/>
      <c r="BN240" s="192"/>
      <c r="BO240" s="214"/>
      <c r="BP240" s="214"/>
      <c r="BQ240" s="192"/>
      <c r="BR240" s="192"/>
      <c r="BS240" s="192"/>
      <c r="BT240" s="214"/>
      <c r="BU240" s="214"/>
      <c r="BV240" s="192"/>
      <c r="BW240" s="192"/>
      <c r="BX240" s="192"/>
      <c r="BY240" s="192"/>
      <c r="BZ240" s="214"/>
      <c r="CA240" s="214"/>
      <c r="CB240" s="192"/>
      <c r="CC240" s="192"/>
      <c r="CD240" s="214"/>
      <c r="CE240" s="214"/>
      <c r="CF240" s="192"/>
      <c r="CG240" s="192"/>
      <c r="CH240" s="214"/>
      <c r="CI240" s="214"/>
      <c r="CJ240" s="192"/>
      <c r="CK240" s="192"/>
      <c r="CL240" s="214"/>
      <c r="CM240" s="214"/>
      <c r="CQ240" s="206"/>
    </row>
    <row r="241" spans="2:98" ht="13.5" customHeight="1">
      <c r="B241" s="1" t="str">
        <f t="shared" si="549"/>
        <v>Taxes</v>
      </c>
      <c r="C241" s="6">
        <f t="shared" ref="C241:K241" si="556">C62*C222</f>
        <v>-77.872340425531917</v>
      </c>
      <c r="D241" s="6">
        <f t="shared" si="556"/>
        <v>7.8078078078078077</v>
      </c>
      <c r="E241" s="6">
        <f t="shared" si="556"/>
        <v>0</v>
      </c>
      <c r="F241" s="6">
        <f t="shared" si="556"/>
        <v>0</v>
      </c>
      <c r="G241" s="6">
        <f t="shared" si="556"/>
        <v>0</v>
      </c>
      <c r="H241" s="6">
        <f t="shared" si="556"/>
        <v>-79.287671232876704</v>
      </c>
      <c r="I241" s="6">
        <f t="shared" si="556"/>
        <v>-135.15989847715736</v>
      </c>
      <c r="J241" s="6">
        <f t="shared" si="556"/>
        <v>-116.41812019981022</v>
      </c>
      <c r="K241" s="6">
        <f t="shared" si="556"/>
        <v>-163.02664739455932</v>
      </c>
      <c r="L241" s="6">
        <f>L62*L222</f>
        <v>-247.66907670000001</v>
      </c>
      <c r="M241" s="6">
        <f>M62*M222</f>
        <v>212.77544399999999</v>
      </c>
      <c r="N241" s="6">
        <f>N62*N222</f>
        <v>-66.8871616984177</v>
      </c>
      <c r="O241" s="6">
        <f>O62*O222</f>
        <v>-119.39210384567498</v>
      </c>
      <c r="P241" s="6"/>
      <c r="Q241" s="6">
        <f>Q62*Q222</f>
        <v>0</v>
      </c>
      <c r="R241" s="6">
        <f>R62*R222</f>
        <v>0</v>
      </c>
      <c r="S241" s="6">
        <f>S62*S222</f>
        <v>0</v>
      </c>
      <c r="T241" s="6">
        <f>T62*T222</f>
        <v>0</v>
      </c>
      <c r="U241" s="193"/>
      <c r="V241" s="6">
        <f t="shared" ref="V241:AS241" si="557">V62*V222</f>
        <v>0</v>
      </c>
      <c r="W241" s="6">
        <f t="shared" si="557"/>
        <v>0</v>
      </c>
      <c r="X241" s="6">
        <f t="shared" si="557"/>
        <v>0</v>
      </c>
      <c r="Y241" s="6">
        <f t="shared" si="557"/>
        <v>0</v>
      </c>
      <c r="Z241" s="6">
        <f t="shared" si="557"/>
        <v>0</v>
      </c>
      <c r="AA241" s="6">
        <f t="shared" si="557"/>
        <v>0</v>
      </c>
      <c r="AB241" s="6">
        <f t="shared" si="557"/>
        <v>0</v>
      </c>
      <c r="AC241" s="6">
        <f t="shared" si="557"/>
        <v>-75.958005249343827</v>
      </c>
      <c r="AD241" s="6">
        <f t="shared" si="557"/>
        <v>-21.765360000000001</v>
      </c>
      <c r="AE241" s="6">
        <f t="shared" si="557"/>
        <v>2.9346938775510218</v>
      </c>
      <c r="AF241" s="6">
        <f t="shared" si="557"/>
        <v>-15.708312342569275</v>
      </c>
      <c r="AG241" s="6">
        <f t="shared" si="557"/>
        <v>-94.170316301703153</v>
      </c>
      <c r="AH241" s="6">
        <f t="shared" si="557"/>
        <v>-81.717040358744399</v>
      </c>
      <c r="AI241" s="6">
        <f t="shared" si="557"/>
        <v>109.92430426716142</v>
      </c>
      <c r="AJ241" s="6">
        <f t="shared" si="557"/>
        <v>-41.030297397769495</v>
      </c>
      <c r="AK241" s="6">
        <f t="shared" si="557"/>
        <v>-111.57062080000001</v>
      </c>
      <c r="AL241" s="6">
        <f t="shared" si="557"/>
        <v>10.881398570803558</v>
      </c>
      <c r="AM241" s="6">
        <f t="shared" si="557"/>
        <v>30.402982209138596</v>
      </c>
      <c r="AN241" s="6">
        <f t="shared" si="557"/>
        <v>-79.036869621673674</v>
      </c>
      <c r="AO241" s="6">
        <f t="shared" si="557"/>
        <v>-130.38928905007813</v>
      </c>
      <c r="AP241" s="6">
        <f t="shared" si="557"/>
        <v>93.314238866866972</v>
      </c>
      <c r="AQ241" s="6">
        <f t="shared" si="557"/>
        <v>-244.89543221685611</v>
      </c>
      <c r="AR241" s="6">
        <f t="shared" si="557"/>
        <v>-46.386279409865416</v>
      </c>
      <c r="AS241" s="6">
        <f t="shared" si="557"/>
        <v>-46.474521722725513</v>
      </c>
      <c r="AT241" s="6">
        <f t="shared" ref="AT241:AY241" si="558">AT62*AT222</f>
        <v>-34.960502500000004</v>
      </c>
      <c r="AU241" s="6">
        <f t="shared" si="558"/>
        <v>94.543516930868748</v>
      </c>
      <c r="AV241" s="6">
        <f t="shared" si="558"/>
        <v>97.392770374999998</v>
      </c>
      <c r="AW241" s="6">
        <f t="shared" si="558"/>
        <v>56.970600599999997</v>
      </c>
      <c r="AX241" s="6">
        <f t="shared" si="558"/>
        <v>-55.558143135024537</v>
      </c>
      <c r="AY241" s="6">
        <f t="shared" si="558"/>
        <v>143.85261102725497</v>
      </c>
      <c r="AZ241" s="6">
        <f>AZ62*AZ222</f>
        <v>-56.760955427661699</v>
      </c>
      <c r="BA241" s="6">
        <f>BA62*BA222</f>
        <v>-95.675276473764043</v>
      </c>
      <c r="BB241" s="6">
        <f>BB62*BB222</f>
        <v>-1.3901873788031338</v>
      </c>
      <c r="BC241" s="6">
        <f>BC62*BC222</f>
        <v>-51.650435650468609</v>
      </c>
      <c r="BD241" s="6">
        <f>BD62*BD222</f>
        <v>29.857966014607111</v>
      </c>
      <c r="BE241" s="6"/>
      <c r="BF241" s="269"/>
      <c r="BG241" s="214"/>
      <c r="BH241" s="214"/>
      <c r="BI241" s="214"/>
      <c r="BJ241" s="214"/>
      <c r="BK241" s="214"/>
      <c r="BM241" s="214"/>
      <c r="BN241" s="192"/>
      <c r="BO241" s="214"/>
      <c r="BP241" s="214"/>
      <c r="BQ241" s="192"/>
      <c r="BR241" s="192"/>
      <c r="BS241" s="192"/>
      <c r="BT241" s="214"/>
      <c r="BU241" s="214"/>
      <c r="BV241" s="192"/>
      <c r="BW241" s="192"/>
      <c r="BX241" s="192"/>
      <c r="BY241" s="192"/>
      <c r="BZ241" s="214"/>
      <c r="CA241" s="214"/>
      <c r="CB241" s="192"/>
      <c r="CC241" s="192"/>
      <c r="CD241" s="214"/>
      <c r="CE241" s="214"/>
      <c r="CF241" s="192"/>
      <c r="CG241" s="192"/>
      <c r="CH241" s="214"/>
      <c r="CI241" s="214"/>
      <c r="CJ241" s="192"/>
      <c r="CK241" s="192"/>
      <c r="CL241" s="214"/>
      <c r="CM241" s="214"/>
      <c r="CQ241" s="206"/>
    </row>
    <row r="242" spans="2:98" ht="13.5" customHeight="1">
      <c r="B242" s="1" t="str">
        <f t="shared" si="549"/>
        <v>Cash interest paid</v>
      </c>
      <c r="C242" s="6">
        <f t="shared" ref="C242:K242" si="559">C63*C222</f>
        <v>-405.69192133144071</v>
      </c>
      <c r="D242" s="6">
        <f t="shared" si="559"/>
        <v>-372.86453951738298</v>
      </c>
      <c r="E242" s="6">
        <f t="shared" si="559"/>
        <v>-333.5503142206183</v>
      </c>
      <c r="F242" s="6">
        <f t="shared" si="559"/>
        <v>-251.20528413053657</v>
      </c>
      <c r="G242" s="6">
        <f t="shared" si="559"/>
        <v>-251.20528413053657</v>
      </c>
      <c r="H242" s="6">
        <f t="shared" si="559"/>
        <v>-221.88520547945203</v>
      </c>
      <c r="I242" s="6">
        <f t="shared" si="559"/>
        <v>-365.94873096446696</v>
      </c>
      <c r="J242" s="6">
        <f t="shared" si="559"/>
        <v>-476.07391945503406</v>
      </c>
      <c r="K242" s="6">
        <f t="shared" si="559"/>
        <v>-300.94044177599881</v>
      </c>
      <c r="L242" s="6">
        <f>L63*L222</f>
        <v>-599.81073149999997</v>
      </c>
      <c r="M242" s="6">
        <f>M63*M222</f>
        <v>-1010.7865039999999</v>
      </c>
      <c r="N242" s="6">
        <f>N63*N222</f>
        <v>895.62967222541681</v>
      </c>
      <c r="O242" s="6">
        <f>O63*O222</f>
        <v>701.34193566360364</v>
      </c>
      <c r="P242" s="6"/>
      <c r="Q242" s="6">
        <f>Q63*Q222</f>
        <v>-81.165986881063887</v>
      </c>
      <c r="R242" s="6">
        <f>R63*R222</f>
        <v>-78.563941153192786</v>
      </c>
      <c r="S242" s="6">
        <f>S63*S222</f>
        <v>-89.978319017812979</v>
      </c>
      <c r="T242" s="6">
        <f>T63*T222</f>
        <v>-83.939539882266487</v>
      </c>
      <c r="U242" s="193"/>
      <c r="V242" s="6">
        <f t="shared" ref="V242:AS242" si="560">V63*V222</f>
        <v>-68.208956394276214</v>
      </c>
      <c r="W242" s="6">
        <f t="shared" si="560"/>
        <v>-64.121582841639565</v>
      </c>
      <c r="X242" s="6">
        <f t="shared" si="560"/>
        <v>-59.969824748063189</v>
      </c>
      <c r="Y242" s="6">
        <f t="shared" si="560"/>
        <v>-61.374846257388725</v>
      </c>
      <c r="Z242" s="6">
        <f t="shared" si="560"/>
        <v>-62.93</v>
      </c>
      <c r="AA242" s="6">
        <f t="shared" si="560"/>
        <v>-70.637119113573419</v>
      </c>
      <c r="AB242" s="6">
        <f t="shared" si="560"/>
        <v>-84.848484848484858</v>
      </c>
      <c r="AC242" s="6">
        <f t="shared" si="560"/>
        <v>-4.1682414698162651</v>
      </c>
      <c r="AD242" s="6">
        <f t="shared" si="560"/>
        <v>-59.553669999999997</v>
      </c>
      <c r="AE242" s="6">
        <f t="shared" si="560"/>
        <v>-59.297959183673477</v>
      </c>
      <c r="AF242" s="6">
        <f t="shared" si="560"/>
        <v>-84.499496221662483</v>
      </c>
      <c r="AG242" s="6">
        <f t="shared" si="560"/>
        <v>-149.63454987834547</v>
      </c>
      <c r="AH242" s="6">
        <f t="shared" si="560"/>
        <v>0</v>
      </c>
      <c r="AI242" s="6">
        <f t="shared" si="560"/>
        <v>-162.48200371057516</v>
      </c>
      <c r="AJ242" s="6">
        <f t="shared" si="560"/>
        <v>-223.14962825278809</v>
      </c>
      <c r="AK242" s="6">
        <f t="shared" si="560"/>
        <v>-67.247053600000044</v>
      </c>
      <c r="AL242" s="6">
        <f t="shared" si="560"/>
        <v>0</v>
      </c>
      <c r="AM242" s="6">
        <f t="shared" si="560"/>
        <v>0</v>
      </c>
      <c r="AN242" s="6">
        <f t="shared" si="560"/>
        <v>0</v>
      </c>
      <c r="AO242" s="6">
        <f t="shared" si="560"/>
        <v>-311.60738709503346</v>
      </c>
      <c r="AP242" s="6">
        <f t="shared" si="560"/>
        <v>0</v>
      </c>
      <c r="AQ242" s="6">
        <f t="shared" si="560"/>
        <v>0</v>
      </c>
      <c r="AR242" s="6">
        <f t="shared" si="560"/>
        <v>0</v>
      </c>
      <c r="AS242" s="6">
        <f t="shared" si="560"/>
        <v>-600.33969754579198</v>
      </c>
      <c r="AT242" s="6">
        <f t="shared" ref="AT242:AY242" si="561">AT63*AT222</f>
        <v>-253.32653500000001</v>
      </c>
      <c r="AU242" s="6">
        <f t="shared" si="561"/>
        <v>-297.59646583918669</v>
      </c>
      <c r="AV242" s="6">
        <f t="shared" si="561"/>
        <v>-183.59923524999991</v>
      </c>
      <c r="AW242" s="6">
        <f t="shared" si="561"/>
        <v>-275.30945799999989</v>
      </c>
      <c r="AX242" s="6">
        <f t="shared" si="561"/>
        <v>-216.77888983866518</v>
      </c>
      <c r="AY242" s="6">
        <f t="shared" si="561"/>
        <v>-198.41943440736898</v>
      </c>
      <c r="AZ242" s="6">
        <f>AZ63*AZ222</f>
        <v>-225.86543607148093</v>
      </c>
      <c r="BA242" s="6">
        <f>BA63*BA222</f>
        <v>1464.8886706769306</v>
      </c>
      <c r="BB242" s="6">
        <f>BB63*BB222</f>
        <v>-255.01466344989399</v>
      </c>
      <c r="BC242" s="6">
        <f>BC63*BC222</f>
        <v>-239.09932565335558</v>
      </c>
      <c r="BD242" s="6">
        <f>BD63*BD222</f>
        <v>-250.23892538628098</v>
      </c>
      <c r="BE242" s="6"/>
      <c r="BF242" s="269"/>
      <c r="BG242" s="214"/>
      <c r="BH242" s="214"/>
      <c r="BI242" s="214"/>
      <c r="BJ242" s="214"/>
      <c r="BK242" s="214"/>
      <c r="BM242" s="214"/>
      <c r="BN242" s="192"/>
      <c r="BO242" s="214"/>
      <c r="BP242" s="214"/>
      <c r="BQ242" s="192"/>
      <c r="BR242" s="192"/>
      <c r="BS242" s="192"/>
      <c r="BT242" s="214"/>
      <c r="BU242" s="214"/>
      <c r="BV242" s="192"/>
      <c r="BW242" s="192"/>
      <c r="BX242" s="192"/>
      <c r="BY242" s="192"/>
      <c r="BZ242" s="214"/>
      <c r="CA242" s="214"/>
      <c r="CB242" s="192"/>
      <c r="CC242" s="192"/>
      <c r="CD242" s="214"/>
      <c r="CE242" s="214"/>
      <c r="CF242" s="192"/>
      <c r="CG242" s="192"/>
      <c r="CH242" s="214"/>
      <c r="CI242" s="214"/>
      <c r="CJ242" s="192"/>
      <c r="CK242" s="192"/>
      <c r="CL242" s="214"/>
      <c r="CM242" s="214"/>
      <c r="CQ242" s="206"/>
    </row>
    <row r="243" spans="2:98" s="5" customFormat="1" ht="13.5" customHeight="1" thickBot="1">
      <c r="B243" s="25" t="str">
        <f t="shared" si="549"/>
        <v xml:space="preserve">Net cash from operations </v>
      </c>
      <c r="C243" s="368">
        <f t="shared" ref="C243:K243" si="562">C64*C222</f>
        <v>300.22657313664433</v>
      </c>
      <c r="D243" s="368">
        <f t="shared" si="562"/>
        <v>315.42705207420858</v>
      </c>
      <c r="E243" s="368">
        <f t="shared" si="562"/>
        <v>461.75942789972561</v>
      </c>
      <c r="F243" s="368">
        <f t="shared" si="562"/>
        <v>128.28437104187722</v>
      </c>
      <c r="G243" s="368">
        <f t="shared" si="562"/>
        <v>-117.07801140326382</v>
      </c>
      <c r="H243" s="368">
        <f t="shared" si="562"/>
        <v>346.92164383561646</v>
      </c>
      <c r="I243" s="368">
        <f t="shared" si="562"/>
        <v>450.62614213197975</v>
      </c>
      <c r="J243" s="368">
        <f t="shared" si="562"/>
        <v>1170.0056877151267</v>
      </c>
      <c r="K243" s="368">
        <f t="shared" si="562"/>
        <v>1894.6334593432662</v>
      </c>
      <c r="L243" s="368">
        <f>L64*L222</f>
        <v>1567.6637898000001</v>
      </c>
      <c r="M243" s="368">
        <f>M64*M222</f>
        <v>1272.3283160000001</v>
      </c>
      <c r="N243" s="368">
        <f>N64*N222</f>
        <v>3093.4660260809878</v>
      </c>
      <c r="O243" s="368">
        <f>O64*O222</f>
        <v>3304.2392838202427</v>
      </c>
      <c r="P243" s="368"/>
      <c r="Q243" s="368">
        <f>Q64*Q222</f>
        <v>31.763973118936125</v>
      </c>
      <c r="R243" s="368">
        <f>R64*R222</f>
        <v>131.63765884680723</v>
      </c>
      <c r="S243" s="368">
        <f>S64*S222</f>
        <v>121.20594024144626</v>
      </c>
      <c r="T243" s="368">
        <f>T64*T222</f>
        <v>188.19886011773352</v>
      </c>
      <c r="U243" s="194"/>
      <c r="V243" s="368">
        <f t="shared" ref="V243:AS243" si="563">V64*V222</f>
        <v>-6.3036763942762262</v>
      </c>
      <c r="W243" s="368">
        <f t="shared" si="563"/>
        <v>2.2611971583604475</v>
      </c>
      <c r="X243" s="368">
        <f t="shared" si="563"/>
        <v>-14.197672849328987</v>
      </c>
      <c r="Y243" s="368">
        <f t="shared" si="563"/>
        <v>124.49587374261121</v>
      </c>
      <c r="Z243" s="368">
        <f t="shared" si="563"/>
        <v>-23.010059999999999</v>
      </c>
      <c r="AA243" s="368">
        <f t="shared" si="563"/>
        <v>-53.214404432132945</v>
      </c>
      <c r="AB243" s="368">
        <f t="shared" si="563"/>
        <v>189.22979797979798</v>
      </c>
      <c r="AC243" s="368">
        <f t="shared" si="563"/>
        <v>205.57585301837273</v>
      </c>
      <c r="AD243" s="368">
        <f t="shared" si="563"/>
        <v>-61.432079999999992</v>
      </c>
      <c r="AE243" s="368">
        <f t="shared" si="563"/>
        <v>209.02857142857133</v>
      </c>
      <c r="AF243" s="368">
        <f t="shared" si="563"/>
        <v>230.22191435768261</v>
      </c>
      <c r="AG243" s="368">
        <f t="shared" si="563"/>
        <v>75.22871046228714</v>
      </c>
      <c r="AH243" s="368">
        <f t="shared" si="563"/>
        <v>-84.563901345291512</v>
      </c>
      <c r="AI243" s="368">
        <f t="shared" si="563"/>
        <v>666.19907235621531</v>
      </c>
      <c r="AJ243" s="368">
        <f t="shared" si="563"/>
        <v>215.2005576208179</v>
      </c>
      <c r="AK243" s="368">
        <f t="shared" si="563"/>
        <v>300.34990499999992</v>
      </c>
      <c r="AL243" s="368">
        <f t="shared" si="563"/>
        <v>198.39324777599532</v>
      </c>
      <c r="AM243" s="368">
        <f t="shared" si="563"/>
        <v>584.64040701395072</v>
      </c>
      <c r="AN243" s="368">
        <f t="shared" si="563"/>
        <v>882.10064134132176</v>
      </c>
      <c r="AO243" s="368">
        <f t="shared" si="563"/>
        <v>272.97274905798781</v>
      </c>
      <c r="AP243" s="368">
        <f t="shared" si="563"/>
        <v>877.4699894516765</v>
      </c>
      <c r="AQ243" s="368">
        <f t="shared" si="563"/>
        <v>430.46511574439245</v>
      </c>
      <c r="AR243" s="368">
        <f t="shared" si="563"/>
        <v>340.20205793405978</v>
      </c>
      <c r="AS243" s="368">
        <f t="shared" si="563"/>
        <v>-91.232851889808686</v>
      </c>
      <c r="AT243" s="368">
        <f t="shared" ref="AT243:AY243" si="564">AT64*AT222</f>
        <v>0.96365499999997273</v>
      </c>
      <c r="AU243" s="368">
        <f t="shared" si="564"/>
        <v>264.49397185582251</v>
      </c>
      <c r="AV243" s="368">
        <f t="shared" si="564"/>
        <v>634.61683975000017</v>
      </c>
      <c r="AW243" s="368">
        <f t="shared" si="564"/>
        <v>379.47241220000018</v>
      </c>
      <c r="AX243" s="368">
        <f t="shared" si="564"/>
        <v>0.69682916815303353</v>
      </c>
      <c r="AY243" s="368">
        <f t="shared" si="564"/>
        <v>458.01684523524602</v>
      </c>
      <c r="AZ243" s="368">
        <f>AZ64*AZ222</f>
        <v>402.06556392234233</v>
      </c>
      <c r="BA243" s="368">
        <f>BA64*BA222</f>
        <v>2211.2429423348935</v>
      </c>
      <c r="BB243" s="368">
        <f>BB64*BB222</f>
        <v>521.11931828375305</v>
      </c>
      <c r="BC243" s="368">
        <f>BC64*BC222</f>
        <v>297.15993844809555</v>
      </c>
      <c r="BD243" s="368">
        <f>BD64*BD222</f>
        <v>290.25635849818343</v>
      </c>
      <c r="BE243" s="54"/>
      <c r="BF243" s="270"/>
      <c r="BG243" s="215"/>
      <c r="BH243" s="215"/>
      <c r="BI243" s="215"/>
      <c r="BJ243" s="215"/>
      <c r="BK243" s="215"/>
      <c r="BM243" s="215"/>
      <c r="BN243" s="188"/>
      <c r="BO243" s="215"/>
      <c r="BP243" s="215"/>
      <c r="BQ243" s="188"/>
      <c r="BR243" s="188"/>
      <c r="BS243" s="188"/>
      <c r="BT243" s="215"/>
      <c r="BU243" s="215"/>
      <c r="BV243" s="188"/>
      <c r="BW243" s="188"/>
      <c r="BX243" s="188"/>
      <c r="BY243" s="188"/>
      <c r="BZ243" s="215"/>
      <c r="CA243" s="215"/>
      <c r="CB243" s="188"/>
      <c r="CC243" s="188"/>
      <c r="CD243" s="215"/>
      <c r="CE243" s="215"/>
      <c r="CF243" s="188"/>
      <c r="CG243" s="188"/>
      <c r="CH243" s="215"/>
      <c r="CI243" s="215"/>
      <c r="CJ243" s="188"/>
      <c r="CK243" s="188"/>
      <c r="CL243" s="215"/>
      <c r="CM243" s="215"/>
      <c r="CN243" s="1"/>
      <c r="CO243" s="1"/>
      <c r="CP243" s="1"/>
      <c r="CQ243" s="206"/>
      <c r="CR243" s="1"/>
      <c r="CS243" s="1"/>
      <c r="CT243" s="1"/>
    </row>
    <row r="244" spans="2:98" s="5" customFormat="1" ht="13.5" customHeight="1" thickTop="1">
      <c r="B244" s="1" t="str">
        <f t="shared" si="549"/>
        <v>Net Capex</v>
      </c>
      <c r="C244" s="6">
        <f t="shared" ref="C244:K244" si="565">C65*C222</f>
        <v>-121.12595744680851</v>
      </c>
      <c r="D244" s="6">
        <f t="shared" si="565"/>
        <v>-120.17987987987989</v>
      </c>
      <c r="E244" s="6">
        <f t="shared" si="565"/>
        <v>-129.19713467048712</v>
      </c>
      <c r="F244" s="6">
        <f t="shared" si="565"/>
        <v>-249.2846394984326</v>
      </c>
      <c r="G244" s="6">
        <f t="shared" si="565"/>
        <v>-137.56394984326019</v>
      </c>
      <c r="H244" s="6">
        <f t="shared" si="565"/>
        <v>-185.37753424657535</v>
      </c>
      <c r="I244" s="6">
        <f t="shared" si="565"/>
        <v>-242.56243654822333</v>
      </c>
      <c r="J244" s="6">
        <f t="shared" si="565"/>
        <v>-268.46534737190825</v>
      </c>
      <c r="K244" s="6">
        <f t="shared" si="565"/>
        <v>-390.01371284560082</v>
      </c>
      <c r="L244" s="6">
        <f>L65*L222</f>
        <v>-724.35227910000003</v>
      </c>
      <c r="M244" s="6">
        <f>M65*M222</f>
        <v>-686.59486000000004</v>
      </c>
      <c r="N244" s="6">
        <f>N65*N222</f>
        <v>-699.95232706969148</v>
      </c>
      <c r="O244" s="6">
        <f>O65*O222</f>
        <v>-864.23404845626942</v>
      </c>
      <c r="P244" s="6"/>
      <c r="Q244" s="6">
        <f>Q65*Q222</f>
        <v>-23.3506</v>
      </c>
      <c r="R244" s="6">
        <f>R65*R222</f>
        <v>-11.666199999999998</v>
      </c>
      <c r="S244" s="6">
        <f>S65*S222</f>
        <v>-48.520987654320983</v>
      </c>
      <c r="T244" s="6">
        <f>T65*T222</f>
        <v>-48.664500000000011</v>
      </c>
      <c r="U244" s="194"/>
      <c r="V244" s="6">
        <f t="shared" ref="V244:AS244" si="566">V65*V222</f>
        <v>-13.888640000000001</v>
      </c>
      <c r="W244" s="6">
        <f t="shared" si="566"/>
        <v>-74.913980000000009</v>
      </c>
      <c r="X244" s="6">
        <f t="shared" si="566"/>
        <v>-86.228481012658222</v>
      </c>
      <c r="Y244" s="6">
        <f t="shared" si="566"/>
        <v>-53.11359999999997</v>
      </c>
      <c r="Z244" s="6">
        <f t="shared" si="566"/>
        <v>-33.992429999999999</v>
      </c>
      <c r="AA244" s="6">
        <f t="shared" si="566"/>
        <v>-42.519113573407196</v>
      </c>
      <c r="AB244" s="6">
        <f t="shared" si="566"/>
        <v>-49.124494949494959</v>
      </c>
      <c r="AC244" s="6">
        <f t="shared" si="566"/>
        <v>-57.466666666666676</v>
      </c>
      <c r="AD244" s="6">
        <f t="shared" si="566"/>
        <v>-67.176560000000009</v>
      </c>
      <c r="AE244" s="6">
        <f t="shared" si="566"/>
        <v>-54.529846938775513</v>
      </c>
      <c r="AF244" s="6">
        <f t="shared" si="566"/>
        <v>-32.711083123425695</v>
      </c>
      <c r="AG244" s="6">
        <f t="shared" si="566"/>
        <v>-77.85985401459854</v>
      </c>
      <c r="AH244" s="6">
        <f t="shared" si="566"/>
        <v>-42.319282511210766</v>
      </c>
      <c r="AI244" s="6">
        <f t="shared" si="566"/>
        <v>-57.194063079777358</v>
      </c>
      <c r="AJ244" s="6">
        <f t="shared" si="566"/>
        <v>-76.266728624535332</v>
      </c>
      <c r="AK244" s="6">
        <f t="shared" si="566"/>
        <v>-86.596594999999979</v>
      </c>
      <c r="AL244" s="6">
        <f t="shared" si="566"/>
        <v>-72.175149482280872</v>
      </c>
      <c r="AM244" s="6">
        <f t="shared" si="566"/>
        <v>-86.867528478177348</v>
      </c>
      <c r="AN244" s="6">
        <f t="shared" si="566"/>
        <v>-100.02374818296032</v>
      </c>
      <c r="AO244" s="6">
        <f t="shared" si="566"/>
        <v>-139.48675612623103</v>
      </c>
      <c r="AP244" s="6">
        <f t="shared" si="566"/>
        <v>-86.942340712836668</v>
      </c>
      <c r="AQ244" s="6">
        <f t="shared" si="566"/>
        <v>-325.68909515203416</v>
      </c>
      <c r="AR244" s="6">
        <f t="shared" si="566"/>
        <v>-67.168867601970192</v>
      </c>
      <c r="AS244" s="6">
        <f t="shared" si="566"/>
        <v>-239.96103496125565</v>
      </c>
      <c r="AT244" s="6">
        <f t="shared" ref="AT244:AY244" si="567">AT65*AT222</f>
        <v>-199.46850000000001</v>
      </c>
      <c r="AU244" s="6">
        <f t="shared" si="567"/>
        <v>-168.06908457523107</v>
      </c>
      <c r="AV244" s="6">
        <f t="shared" si="567"/>
        <v>-153.73216874999989</v>
      </c>
      <c r="AW244" s="6">
        <f t="shared" si="567"/>
        <v>-164.05248540000005</v>
      </c>
      <c r="AX244" s="6">
        <f t="shared" si="567"/>
        <v>-153.96936186251872</v>
      </c>
      <c r="AY244" s="6">
        <f t="shared" si="567"/>
        <v>-156.74410648319247</v>
      </c>
      <c r="AZ244" s="6">
        <f>AZ65*AZ222</f>
        <v>-172.34427347358437</v>
      </c>
      <c r="BA244" s="6">
        <f>BA65*BA222</f>
        <v>-236.48365971915433</v>
      </c>
      <c r="BB244" s="6">
        <f>BB65*BB222</f>
        <v>-156.05894829823157</v>
      </c>
      <c r="BC244" s="6">
        <f>BC65*BC222</f>
        <v>-223.82812489346202</v>
      </c>
      <c r="BD244" s="6">
        <f>BD65*BD222</f>
        <v>-249.81484200095429</v>
      </c>
      <c r="BE244" s="6"/>
      <c r="BF244" s="269"/>
      <c r="BG244" s="214"/>
      <c r="BH244" s="214"/>
      <c r="BI244" s="214"/>
      <c r="BJ244" s="214"/>
      <c r="BK244" s="214"/>
      <c r="BM244" s="214"/>
      <c r="BN244" s="188"/>
      <c r="BO244" s="214"/>
      <c r="BP244" s="214"/>
      <c r="BQ244" s="188"/>
      <c r="BR244" s="188"/>
      <c r="BS244" s="188"/>
      <c r="BT244" s="214"/>
      <c r="BU244" s="214"/>
      <c r="BV244" s="188"/>
      <c r="BW244" s="188"/>
      <c r="BX244" s="188"/>
      <c r="BY244" s="188"/>
      <c r="BZ244" s="214"/>
      <c r="CA244" s="214"/>
      <c r="CB244" s="188"/>
      <c r="CC244" s="188"/>
      <c r="CD244" s="214"/>
      <c r="CE244" s="214"/>
      <c r="CF244" s="188"/>
      <c r="CG244" s="188"/>
      <c r="CH244" s="214"/>
      <c r="CI244" s="214"/>
      <c r="CJ244" s="188"/>
      <c r="CK244" s="188"/>
      <c r="CL244" s="214"/>
      <c r="CM244" s="214"/>
      <c r="CN244" s="1"/>
      <c r="CO244" s="1"/>
      <c r="CP244" s="1"/>
      <c r="CQ244" s="206"/>
      <c r="CR244" s="1"/>
      <c r="CS244" s="1"/>
      <c r="CT244" s="1"/>
    </row>
    <row r="245" spans="2:98" ht="13.5" customHeight="1">
      <c r="B245" s="1" t="str">
        <f t="shared" si="549"/>
        <v>Net Payment for acquisition  of intangible assets</v>
      </c>
      <c r="C245" s="6">
        <f t="shared" ref="C245:K245" si="568">C66*C222</f>
        <v>-7.1042553191489359</v>
      </c>
      <c r="D245" s="6">
        <f t="shared" si="568"/>
        <v>-1.399099099099099</v>
      </c>
      <c r="E245" s="6">
        <f t="shared" si="568"/>
        <v>-3.1088825214899711</v>
      </c>
      <c r="F245" s="6">
        <f t="shared" si="568"/>
        <v>-6.5996865203761761</v>
      </c>
      <c r="G245" s="6">
        <f t="shared" si="568"/>
        <v>-5.4529780564263328</v>
      </c>
      <c r="H245" s="6">
        <f t="shared" si="568"/>
        <v>-2.3476712328767126</v>
      </c>
      <c r="I245" s="6">
        <f t="shared" si="568"/>
        <v>-1.8086294416243653</v>
      </c>
      <c r="J245" s="6">
        <f t="shared" si="568"/>
        <v>-0.47735929763735219</v>
      </c>
      <c r="K245" s="6">
        <f t="shared" si="568"/>
        <v>-0.80664887702913057</v>
      </c>
      <c r="L245" s="6">
        <f>L66*L222</f>
        <v>-34.794560099999998</v>
      </c>
      <c r="M245" s="6">
        <f>M66*M222</f>
        <v>-33.104400000000005</v>
      </c>
      <c r="N245" s="6">
        <f>N66*N222</f>
        <v>-29.657200096458844</v>
      </c>
      <c r="O245" s="6">
        <f>O66*O222</f>
        <v>-38.859483235175809</v>
      </c>
      <c r="P245" s="6"/>
      <c r="Q245" s="6">
        <f>Q66*Q222</f>
        <v>-0.75374000000000008</v>
      </c>
      <c r="R245" s="6">
        <f>R66*R222</f>
        <v>-0.54627999999999999</v>
      </c>
      <c r="S245" s="6">
        <f>S66*S222</f>
        <v>-0.51141975308641974</v>
      </c>
      <c r="T245" s="6">
        <f>T66*T222</f>
        <v>-1.3028999999999999</v>
      </c>
      <c r="U245" s="193"/>
      <c r="V245" s="6">
        <f t="shared" ref="V245:AS245" si="569">V66*V222</f>
        <v>-0.27456000000000003</v>
      </c>
      <c r="W245" s="6">
        <f t="shared" si="569"/>
        <v>-2.0751399999999998</v>
      </c>
      <c r="X245" s="6">
        <f t="shared" si="569"/>
        <v>-2.518987341772152</v>
      </c>
      <c r="Y245" s="6">
        <f t="shared" si="569"/>
        <v>-1.34656</v>
      </c>
      <c r="Z245" s="6">
        <f t="shared" si="569"/>
        <v>-0.95604</v>
      </c>
      <c r="AA245" s="6">
        <f t="shared" si="569"/>
        <v>-0.72797783933518001</v>
      </c>
      <c r="AB245" s="6">
        <f t="shared" si="569"/>
        <v>-0.30151515151515162</v>
      </c>
      <c r="AC245" s="6">
        <f t="shared" si="569"/>
        <v>-0.43648293963254586</v>
      </c>
      <c r="AD245" s="6">
        <f t="shared" si="569"/>
        <v>-0.18147000000000002</v>
      </c>
      <c r="AE245" s="6">
        <f t="shared" si="569"/>
        <v>-0.86785714285714277</v>
      </c>
      <c r="AF245" s="6">
        <f t="shared" si="569"/>
        <v>-0.20755667506297229</v>
      </c>
      <c r="AG245" s="6">
        <f t="shared" si="569"/>
        <v>-0.51362530413625318</v>
      </c>
      <c r="AH245" s="6">
        <f t="shared" si="569"/>
        <v>-0.36659192825112108</v>
      </c>
      <c r="AI245" s="6">
        <f t="shared" si="569"/>
        <v>-5.1948051948051958E-2</v>
      </c>
      <c r="AJ245" s="6">
        <f t="shared" si="569"/>
        <v>-8.0297397769516762E-2</v>
      </c>
      <c r="AK245" s="6">
        <f t="shared" si="569"/>
        <v>-1.8469999999999934E-2</v>
      </c>
      <c r="AL245" s="6">
        <f t="shared" si="569"/>
        <v>-8.9871663992999853E-2</v>
      </c>
      <c r="AM245" s="6">
        <f t="shared" si="569"/>
        <v>-0.3866632535517725</v>
      </c>
      <c r="AN245" s="6">
        <f t="shared" si="569"/>
        <v>-0.24168678467779831</v>
      </c>
      <c r="AO245" s="6">
        <f t="shared" si="569"/>
        <v>-0.10879429338322093</v>
      </c>
      <c r="AP245" s="6">
        <f t="shared" si="569"/>
        <v>-0.20013289528758257</v>
      </c>
      <c r="AQ245" s="6">
        <f t="shared" si="569"/>
        <v>-15.862592997594101</v>
      </c>
      <c r="AR245" s="6">
        <f t="shared" si="569"/>
        <v>-9.4758486397360997</v>
      </c>
      <c r="AS245" s="6">
        <f t="shared" si="569"/>
        <v>-8.965614703746601</v>
      </c>
      <c r="AT245" s="6">
        <f t="shared" ref="AT245:AY245" si="570">AT66*AT222</f>
        <v>-9.5268250000000005</v>
      </c>
      <c r="AU245" s="6">
        <f t="shared" si="570"/>
        <v>-13.248176915018481</v>
      </c>
      <c r="AV245" s="6">
        <f t="shared" si="570"/>
        <v>-5.4268231249999994</v>
      </c>
      <c r="AW245" s="6">
        <f t="shared" si="570"/>
        <v>-4.7136988000000049</v>
      </c>
      <c r="AX245" s="6">
        <f t="shared" si="570"/>
        <v>-8.2823931669953481</v>
      </c>
      <c r="AY245" s="6">
        <f t="shared" si="570"/>
        <v>-13.074025083060848</v>
      </c>
      <c r="AZ245" s="6">
        <f>AZ66*AZ222</f>
        <v>-4.868229661739373</v>
      </c>
      <c r="BA245" s="6">
        <f>BA66*BA222</f>
        <v>-4.7589551763645304</v>
      </c>
      <c r="BB245" s="6">
        <f>BB66*BB222</f>
        <v>-8.4636540090517656</v>
      </c>
      <c r="BC245" s="6">
        <f>BC66*BC222</f>
        <v>-19.440493269370972</v>
      </c>
      <c r="BD245" s="6">
        <f>BD66*BD222</f>
        <v>-5.9072558446801491</v>
      </c>
      <c r="BE245" s="6"/>
      <c r="BF245" s="269"/>
      <c r="BG245" s="214"/>
      <c r="BH245" s="214"/>
      <c r="BI245" s="214"/>
      <c r="BJ245" s="214"/>
      <c r="BK245" s="214"/>
      <c r="BM245" s="214"/>
      <c r="BN245" s="192"/>
      <c r="BO245" s="214"/>
      <c r="BP245" s="214"/>
      <c r="BQ245" s="192"/>
      <c r="BR245" s="192"/>
      <c r="BS245" s="192"/>
      <c r="BT245" s="214"/>
      <c r="BU245" s="214"/>
      <c r="BV245" s="192"/>
      <c r="BW245" s="192"/>
      <c r="BX245" s="192"/>
      <c r="BY245" s="192"/>
      <c r="BZ245" s="214"/>
      <c r="CA245" s="214"/>
      <c r="CB245" s="192"/>
      <c r="CC245" s="192"/>
      <c r="CD245" s="214"/>
      <c r="CE245" s="214"/>
      <c r="CF245" s="192"/>
      <c r="CG245" s="192"/>
      <c r="CH245" s="214"/>
      <c r="CI245" s="214"/>
      <c r="CJ245" s="192"/>
      <c r="CK245" s="192"/>
      <c r="CL245" s="214"/>
      <c r="CM245" s="214"/>
      <c r="CQ245" s="206"/>
    </row>
    <row r="246" spans="2:98" ht="13.5" customHeight="1">
      <c r="B246" s="1" t="str">
        <f t="shared" si="549"/>
        <v>Disposals/ Acquisition, of subsidiaries</v>
      </c>
      <c r="C246" s="6">
        <f t="shared" ref="C246:K246" si="571">C67*C222</f>
        <v>0</v>
      </c>
      <c r="D246" s="6">
        <f t="shared" si="571"/>
        <v>0</v>
      </c>
      <c r="E246" s="6">
        <f t="shared" si="571"/>
        <v>0</v>
      </c>
      <c r="F246" s="6">
        <f t="shared" si="571"/>
        <v>0</v>
      </c>
      <c r="G246" s="6">
        <f t="shared" si="571"/>
        <v>0</v>
      </c>
      <c r="H246" s="6">
        <f t="shared" si="571"/>
        <v>-1002.4408219178082</v>
      </c>
      <c r="I246" s="6">
        <f t="shared" si="571"/>
        <v>-108.68426395939086</v>
      </c>
      <c r="J246" s="6">
        <f t="shared" si="571"/>
        <v>-4.4491759302064127</v>
      </c>
      <c r="K246" s="6">
        <f t="shared" si="571"/>
        <v>0</v>
      </c>
      <c r="L246" s="6">
        <f>L67*L222</f>
        <v>866.16833849999989</v>
      </c>
      <c r="M246" s="6">
        <f>M67*M222</f>
        <v>0</v>
      </c>
      <c r="N246" s="6">
        <f>N67*N222</f>
        <v>0</v>
      </c>
      <c r="O246" s="6">
        <f>O67*O222</f>
        <v>-5.8548622010902962</v>
      </c>
      <c r="P246" s="6"/>
      <c r="Q246" s="6">
        <f>Q67*Q222</f>
        <v>0</v>
      </c>
      <c r="R246" s="6">
        <f>R67*R222</f>
        <v>0</v>
      </c>
      <c r="S246" s="6">
        <f>S67*S222</f>
        <v>0</v>
      </c>
      <c r="T246" s="6">
        <f>T67*T222</f>
        <v>0</v>
      </c>
      <c r="U246" s="193"/>
      <c r="V246" s="6">
        <f t="shared" ref="V246:AS246" si="572">V67*V222</f>
        <v>0</v>
      </c>
      <c r="W246" s="6">
        <f t="shared" si="572"/>
        <v>0</v>
      </c>
      <c r="X246" s="6">
        <f t="shared" si="572"/>
        <v>0</v>
      </c>
      <c r="Y246" s="6">
        <f t="shared" si="572"/>
        <v>0</v>
      </c>
      <c r="Z246" s="6">
        <f t="shared" si="572"/>
        <v>0</v>
      </c>
      <c r="AA246" s="6">
        <f t="shared" si="572"/>
        <v>-1012.9831024930749</v>
      </c>
      <c r="AB246" s="6">
        <f t="shared" si="572"/>
        <v>-0.51515151515150603</v>
      </c>
      <c r="AC246" s="6">
        <f t="shared" si="572"/>
        <v>0</v>
      </c>
      <c r="AD246" s="6">
        <f t="shared" si="572"/>
        <v>-34.173859999999998</v>
      </c>
      <c r="AE246" s="6">
        <f t="shared" si="572"/>
        <v>-71.335204081632654</v>
      </c>
      <c r="AF246" s="6">
        <f t="shared" si="572"/>
        <v>0</v>
      </c>
      <c r="AG246" s="6">
        <f t="shared" si="572"/>
        <v>0</v>
      </c>
      <c r="AH246" s="6">
        <f t="shared" si="572"/>
        <v>0</v>
      </c>
      <c r="AI246" s="6">
        <f t="shared" si="572"/>
        <v>0</v>
      </c>
      <c r="AJ246" s="6">
        <f t="shared" si="572"/>
        <v>0</v>
      </c>
      <c r="AK246" s="6">
        <f t="shared" si="572"/>
        <v>-4.2124528999999997</v>
      </c>
      <c r="AL246" s="6">
        <f t="shared" si="572"/>
        <v>0</v>
      </c>
      <c r="AM246" s="6">
        <f t="shared" si="572"/>
        <v>0</v>
      </c>
      <c r="AN246" s="6">
        <f t="shared" si="572"/>
        <v>0</v>
      </c>
      <c r="AO246" s="6">
        <f t="shared" si="572"/>
        <v>0</v>
      </c>
      <c r="AP246" s="6">
        <f t="shared" si="572"/>
        <v>0</v>
      </c>
      <c r="AQ246" s="6">
        <f t="shared" si="572"/>
        <v>856.01663155126437</v>
      </c>
      <c r="AR246" s="6">
        <f t="shared" si="572"/>
        <v>0</v>
      </c>
      <c r="AS246" s="6">
        <f t="shared" si="572"/>
        <v>0</v>
      </c>
      <c r="AT246" s="6">
        <f t="shared" ref="AT246:AY246" si="573">AT67*AT222</f>
        <v>0</v>
      </c>
      <c r="AU246" s="6">
        <f t="shared" si="573"/>
        <v>0</v>
      </c>
      <c r="AV246" s="6">
        <f t="shared" si="573"/>
        <v>0</v>
      </c>
      <c r="AW246" s="6">
        <f t="shared" si="573"/>
        <v>0</v>
      </c>
      <c r="AX246" s="6">
        <f t="shared" si="573"/>
        <v>0</v>
      </c>
      <c r="AY246" s="6">
        <f t="shared" si="573"/>
        <v>0</v>
      </c>
      <c r="AZ246" s="6">
        <f>AZ67*AZ222</f>
        <v>0</v>
      </c>
      <c r="BA246" s="6">
        <f>BA67*BA222</f>
        <v>0</v>
      </c>
      <c r="BB246" s="6">
        <f>BB67*BB222</f>
        <v>0</v>
      </c>
      <c r="BC246" s="6">
        <f>BC67*BC222</f>
        <v>0</v>
      </c>
      <c r="BD246" s="6">
        <f>BD67*BD222</f>
        <v>-6.0057988035380045</v>
      </c>
      <c r="BE246" s="6"/>
      <c r="BF246" s="269"/>
      <c r="BG246" s="214"/>
      <c r="BH246" s="214"/>
      <c r="BI246" s="214"/>
      <c r="BJ246" s="214"/>
      <c r="BK246" s="214"/>
      <c r="BM246" s="214"/>
      <c r="BN246" s="192"/>
      <c r="BO246" s="214"/>
      <c r="BP246" s="214"/>
      <c r="BQ246" s="192"/>
      <c r="BR246" s="192"/>
      <c r="BS246" s="192"/>
      <c r="BT246" s="214"/>
      <c r="BU246" s="214"/>
      <c r="BV246" s="192"/>
      <c r="BW246" s="192"/>
      <c r="BX246" s="192"/>
      <c r="BY246" s="192"/>
      <c r="BZ246" s="214"/>
      <c r="CA246" s="214"/>
      <c r="CB246" s="192"/>
      <c r="CC246" s="192"/>
      <c r="CD246" s="214"/>
      <c r="CE246" s="214"/>
      <c r="CF246" s="192"/>
      <c r="CG246" s="192"/>
      <c r="CH246" s="214"/>
      <c r="CI246" s="214"/>
      <c r="CJ246" s="192"/>
      <c r="CK246" s="192"/>
      <c r="CL246" s="214"/>
      <c r="CM246" s="214"/>
      <c r="CQ246" s="206"/>
    </row>
    <row r="247" spans="2:98" ht="13.5" customHeight="1" thickBot="1">
      <c r="B247" s="66" t="str">
        <f t="shared" si="549"/>
        <v xml:space="preserve">Free cash flow </v>
      </c>
      <c r="C247" s="369">
        <f t="shared" ref="C247:K247" si="574">C68*C222</f>
        <v>171.99636037068689</v>
      </c>
      <c r="D247" s="369">
        <f t="shared" si="574"/>
        <v>193.84807309522958</v>
      </c>
      <c r="E247" s="369">
        <f t="shared" si="574"/>
        <v>329.4534107077485</v>
      </c>
      <c r="F247" s="369">
        <f t="shared" si="574"/>
        <v>-127.59995497693157</v>
      </c>
      <c r="G247" s="369">
        <f t="shared" si="574"/>
        <v>-260.09493930295037</v>
      </c>
      <c r="H247" s="369">
        <f t="shared" si="574"/>
        <v>-843.24438356164387</v>
      </c>
      <c r="I247" s="369">
        <f t="shared" si="574"/>
        <v>97.570812182741193</v>
      </c>
      <c r="J247" s="369">
        <f t="shared" si="574"/>
        <v>896.6138051153747</v>
      </c>
      <c r="K247" s="369">
        <f t="shared" si="574"/>
        <v>1503.8130976206362</v>
      </c>
      <c r="L247" s="369">
        <f>L68*L222</f>
        <v>1674.6852891000001</v>
      </c>
      <c r="M247" s="369">
        <f>M68*M222</f>
        <v>552.62905600000011</v>
      </c>
      <c r="N247" s="369">
        <f>N68*N222</f>
        <v>2363.8564989148376</v>
      </c>
      <c r="O247" s="369">
        <f>O68*O222</f>
        <v>2395.2908899277072</v>
      </c>
      <c r="P247" s="369"/>
      <c r="Q247" s="369">
        <f>Q68*Q222</f>
        <v>7.6596331189361218</v>
      </c>
      <c r="R247" s="369">
        <f>R68*R222</f>
        <v>119.42517884680723</v>
      </c>
      <c r="S247" s="369">
        <f>S68*S222</f>
        <v>72.173532834038852</v>
      </c>
      <c r="T247" s="369">
        <f>T68*T222</f>
        <v>138.23146011773352</v>
      </c>
      <c r="U247" s="193"/>
      <c r="V247" s="369">
        <f t="shared" ref="V247:AS247" si="575">V68*V222</f>
        <v>-20.466876394276227</v>
      </c>
      <c r="W247" s="369">
        <f t="shared" si="575"/>
        <v>-74.727922841639554</v>
      </c>
      <c r="X247" s="369">
        <f t="shared" si="575"/>
        <v>-102.94514120375936</v>
      </c>
      <c r="Y247" s="369">
        <f t="shared" si="575"/>
        <v>70.035713742611236</v>
      </c>
      <c r="Z247" s="369">
        <f t="shared" si="575"/>
        <v>-57.958530000000003</v>
      </c>
      <c r="AA247" s="369">
        <f t="shared" si="575"/>
        <v>-1109.4445983379503</v>
      </c>
      <c r="AB247" s="369">
        <f t="shared" si="575"/>
        <v>139.28863636363636</v>
      </c>
      <c r="AC247" s="369">
        <f t="shared" si="575"/>
        <v>147.6727034120735</v>
      </c>
      <c r="AD247" s="369">
        <f t="shared" si="575"/>
        <v>-162.96396999999999</v>
      </c>
      <c r="AE247" s="369">
        <f t="shared" si="575"/>
        <v>82.29566326530599</v>
      </c>
      <c r="AF247" s="369">
        <f t="shared" si="575"/>
        <v>197.30327455919397</v>
      </c>
      <c r="AG247" s="369">
        <f t="shared" si="575"/>
        <v>-3.1447688564476524</v>
      </c>
      <c r="AH247" s="369">
        <f t="shared" si="575"/>
        <v>-127.2497757847534</v>
      </c>
      <c r="AI247" s="369">
        <f t="shared" si="575"/>
        <v>608.95306122448983</v>
      </c>
      <c r="AJ247" s="369">
        <f t="shared" si="575"/>
        <v>138.85353159851306</v>
      </c>
      <c r="AK247" s="369">
        <f t="shared" si="575"/>
        <v>209.52238709999992</v>
      </c>
      <c r="AL247" s="369">
        <f t="shared" si="575"/>
        <v>126.12822662972145</v>
      </c>
      <c r="AM247" s="369">
        <f t="shared" si="575"/>
        <v>497.38621528222154</v>
      </c>
      <c r="AN247" s="369">
        <f t="shared" si="575"/>
        <v>781.83520637368349</v>
      </c>
      <c r="AO247" s="369">
        <f t="shared" si="575"/>
        <v>133.37719863837356</v>
      </c>
      <c r="AP247" s="369">
        <f t="shared" si="575"/>
        <v>790.32751584355231</v>
      </c>
      <c r="AQ247" s="369">
        <f t="shared" si="575"/>
        <v>944.9300591460285</v>
      </c>
      <c r="AR247" s="369">
        <f t="shared" si="575"/>
        <v>263.55734169235353</v>
      </c>
      <c r="AS247" s="369">
        <f t="shared" si="575"/>
        <v>-340.15950155481096</v>
      </c>
      <c r="AT247" s="369">
        <f t="shared" ref="AT247:AY247" si="576">AT68*AT222</f>
        <v>-208.03167000000005</v>
      </c>
      <c r="AU247" s="369">
        <f t="shared" si="576"/>
        <v>83.176710365572958</v>
      </c>
      <c r="AV247" s="369">
        <f t="shared" si="576"/>
        <v>475.4578478750002</v>
      </c>
      <c r="AW247" s="369">
        <f t="shared" si="576"/>
        <v>210.70622800000012</v>
      </c>
      <c r="AX247" s="369">
        <f t="shared" si="576"/>
        <v>-161.55492586136106</v>
      </c>
      <c r="AY247" s="369">
        <f t="shared" si="576"/>
        <v>288.1987136689927</v>
      </c>
      <c r="AZ247" s="369">
        <f>AZ68*AZ222</f>
        <v>224.85306078701862</v>
      </c>
      <c r="BA247" s="369">
        <f>BA68*BA222</f>
        <v>1970.000327439375</v>
      </c>
      <c r="BB247" s="369">
        <f>BB68*BB222</f>
        <v>356.59671597646968</v>
      </c>
      <c r="BC247" s="369">
        <f>BC68*BC222</f>
        <v>53.891320285262537</v>
      </c>
      <c r="BD247" s="369">
        <f>BD68*BD222</f>
        <v>28.528461849010995</v>
      </c>
      <c r="BE247" s="8"/>
      <c r="BF247" s="271"/>
      <c r="BG247" s="216"/>
      <c r="BH247" s="216"/>
      <c r="BI247" s="216"/>
      <c r="BJ247" s="216"/>
      <c r="BK247" s="216"/>
      <c r="BM247" s="216"/>
      <c r="BN247" s="192"/>
      <c r="BO247" s="216"/>
      <c r="BP247" s="216"/>
      <c r="BQ247" s="192"/>
      <c r="BR247" s="192"/>
      <c r="BS247" s="192"/>
      <c r="BT247" s="216"/>
      <c r="BU247" s="216"/>
      <c r="BV247" s="192"/>
      <c r="BW247" s="192"/>
      <c r="BX247" s="192"/>
      <c r="BY247" s="192"/>
      <c r="BZ247" s="216"/>
      <c r="CA247" s="216"/>
      <c r="CB247" s="192"/>
      <c r="CC247" s="192"/>
      <c r="CD247" s="216"/>
      <c r="CE247" s="216"/>
      <c r="CF247" s="192"/>
      <c r="CG247" s="192"/>
      <c r="CH247" s="216"/>
      <c r="CI247" s="216"/>
      <c r="CJ247" s="192"/>
      <c r="CK247" s="192"/>
      <c r="CL247" s="216"/>
      <c r="CM247" s="216"/>
      <c r="CQ247" s="206"/>
    </row>
    <row r="248" spans="2:98" ht="13.5" customHeight="1" thickTop="1">
      <c r="B248" s="1" t="str">
        <f t="shared" si="549"/>
        <v>Other Investing</v>
      </c>
      <c r="C248" s="6">
        <f t="shared" ref="C248:K248" si="577">C69*C222</f>
        <v>1.6838297872340424</v>
      </c>
      <c r="D248" s="6">
        <f t="shared" si="577"/>
        <v>-12.737537537537536</v>
      </c>
      <c r="E248" s="6">
        <f t="shared" si="577"/>
        <v>-17.561031518624638</v>
      </c>
      <c r="F248" s="6">
        <f t="shared" si="577"/>
        <v>-2.3774294670846396</v>
      </c>
      <c r="G248" s="6">
        <f t="shared" si="577"/>
        <v>0</v>
      </c>
      <c r="H248" s="6">
        <f t="shared" si="577"/>
        <v>3.013698630136986E-3</v>
      </c>
      <c r="I248" s="6">
        <f t="shared" si="577"/>
        <v>-3.2994923857868016E-3</v>
      </c>
      <c r="J248" s="6">
        <f t="shared" si="577"/>
        <v>1.3655558166985964E-3</v>
      </c>
      <c r="K248" s="6">
        <f t="shared" si="577"/>
        <v>-473.73786227855607</v>
      </c>
      <c r="L248" s="6">
        <f>L69*L222</f>
        <v>-475.24065120000006</v>
      </c>
      <c r="M248" s="6">
        <f>M69*M222</f>
        <v>-479.89267200000006</v>
      </c>
      <c r="N248" s="6">
        <f>N69*N222</f>
        <v>-483.60811738299725</v>
      </c>
      <c r="O248" s="6">
        <f>O69*O222</f>
        <v>-369.64774834290097</v>
      </c>
      <c r="P248" s="6"/>
      <c r="Q248" s="6">
        <f>Q69*Q222</f>
        <v>-3.9556400000000003</v>
      </c>
      <c r="R248" s="6">
        <f>R69*R222</f>
        <v>-4.3192800000000009</v>
      </c>
      <c r="S248" s="6">
        <f>S69*S222</f>
        <v>-4.9496913580246904</v>
      </c>
      <c r="T248" s="6">
        <f>T69*T222</f>
        <v>-4.3832999999999993</v>
      </c>
      <c r="U248" s="193"/>
      <c r="V248" s="6">
        <f t="shared" ref="V248:AS248" si="578">V69*V222</f>
        <v>-4.7088000000000001</v>
      </c>
      <c r="W248" s="6">
        <f t="shared" si="578"/>
        <v>3.69706</v>
      </c>
      <c r="X248" s="6">
        <f t="shared" si="578"/>
        <v>-0.3306962025316455</v>
      </c>
      <c r="Y248" s="6">
        <f t="shared" si="578"/>
        <v>-0.65631999999999835</v>
      </c>
      <c r="Z248" s="6">
        <f t="shared" si="578"/>
        <v>0</v>
      </c>
      <c r="AA248" s="6">
        <f t="shared" si="578"/>
        <v>0</v>
      </c>
      <c r="AB248" s="6">
        <f t="shared" si="578"/>
        <v>0</v>
      </c>
      <c r="AC248" s="6">
        <f t="shared" si="578"/>
        <v>2.8871391076115485E-3</v>
      </c>
      <c r="AD248" s="6">
        <f t="shared" si="578"/>
        <v>0</v>
      </c>
      <c r="AE248" s="6">
        <f t="shared" si="578"/>
        <v>-3.5714285714285718E-3</v>
      </c>
      <c r="AF248" s="6">
        <f t="shared" si="578"/>
        <v>2.5188916876574328E-4</v>
      </c>
      <c r="AG248" s="6">
        <f t="shared" si="578"/>
        <v>0</v>
      </c>
      <c r="AH248" s="6">
        <f t="shared" si="578"/>
        <v>0</v>
      </c>
      <c r="AI248" s="6">
        <f t="shared" si="578"/>
        <v>0</v>
      </c>
      <c r="AJ248" s="6">
        <f t="shared" si="578"/>
        <v>1.3011152416356878E-3</v>
      </c>
      <c r="AK248" s="6">
        <f t="shared" si="578"/>
        <v>0</v>
      </c>
      <c r="AL248" s="6">
        <f t="shared" si="578"/>
        <v>0</v>
      </c>
      <c r="AM248" s="6">
        <f t="shared" si="578"/>
        <v>0</v>
      </c>
      <c r="AN248" s="6">
        <f t="shared" si="578"/>
        <v>-3.5786273090134046</v>
      </c>
      <c r="AO248" s="6">
        <f t="shared" si="578"/>
        <v>-486.89590833501234</v>
      </c>
      <c r="AP248" s="6">
        <f t="shared" si="578"/>
        <v>-370.6370163164766</v>
      </c>
      <c r="AQ248" s="6">
        <f t="shared" si="578"/>
        <v>205.72743234012231</v>
      </c>
      <c r="AR248" s="6">
        <f t="shared" si="578"/>
        <v>34.643403298660623</v>
      </c>
      <c r="AS248" s="6">
        <f t="shared" si="578"/>
        <v>-347.43204297268193</v>
      </c>
      <c r="AT248" s="6">
        <f t="shared" ref="AT248:AY248" si="579">AT69*AT222</f>
        <v>399.54568499999999</v>
      </c>
      <c r="AU248" s="6">
        <f t="shared" si="579"/>
        <v>125.94548185637713</v>
      </c>
      <c r="AV248" s="6">
        <f t="shared" si="579"/>
        <v>-1166.5454608750001</v>
      </c>
      <c r="AW248" s="6">
        <f t="shared" si="579"/>
        <v>153.9241914000001</v>
      </c>
      <c r="AX248" s="6">
        <f t="shared" si="579"/>
        <v>-286.44141263890475</v>
      </c>
      <c r="AY248" s="6">
        <f t="shared" si="579"/>
        <v>-31.385949924415815</v>
      </c>
      <c r="AZ248" s="6">
        <f>AZ69*AZ222</f>
        <v>220.46654903314655</v>
      </c>
      <c r="BA248" s="6">
        <f>BA69*BA222</f>
        <v>-393.60225887326163</v>
      </c>
      <c r="BB248" s="6">
        <f>BB69*BB222</f>
        <v>233.7618807002865</v>
      </c>
      <c r="BC248" s="6">
        <f>BC69*BC222</f>
        <v>-454.99663536983314</v>
      </c>
      <c r="BD248" s="6">
        <f>BD69*BD222</f>
        <v>249.07843065291601</v>
      </c>
      <c r="BE248" s="6"/>
      <c r="BF248" s="269"/>
      <c r="BG248" s="214"/>
      <c r="BH248" s="214"/>
      <c r="BI248" s="214"/>
      <c r="BJ248" s="214"/>
      <c r="BK248" s="214"/>
      <c r="BM248" s="214"/>
      <c r="BN248" s="192"/>
      <c r="BO248" s="214"/>
      <c r="BP248" s="214"/>
      <c r="BQ248" s="192"/>
      <c r="BR248" s="192"/>
      <c r="BS248" s="192"/>
      <c r="BT248" s="214"/>
      <c r="BU248" s="214"/>
      <c r="BV248" s="192"/>
      <c r="BW248" s="192"/>
      <c r="BX248" s="192"/>
      <c r="BY248" s="192"/>
      <c r="BZ248" s="214"/>
      <c r="CA248" s="214"/>
      <c r="CB248" s="192"/>
      <c r="CC248" s="192"/>
      <c r="CD248" s="214"/>
      <c r="CE248" s="214"/>
      <c r="CF248" s="192"/>
      <c r="CG248" s="192"/>
      <c r="CH248" s="214"/>
      <c r="CI248" s="214"/>
      <c r="CJ248" s="192"/>
      <c r="CK248" s="192"/>
      <c r="CL248" s="214"/>
      <c r="CM248" s="214"/>
      <c r="CQ248" s="206"/>
    </row>
    <row r="249" spans="2:98" ht="13.5" customHeight="1">
      <c r="B249" s="1" t="str">
        <f t="shared" si="549"/>
        <v>Equity Issuance/Buyback</v>
      </c>
      <c r="C249" s="6">
        <f t="shared" ref="C249:K249" si="580">C70*C222</f>
        <v>-1.7306382978723405</v>
      </c>
      <c r="D249" s="6">
        <f t="shared" si="580"/>
        <v>-1.9579579579579578</v>
      </c>
      <c r="E249" s="6">
        <f t="shared" si="580"/>
        <v>-1.6040114613180516</v>
      </c>
      <c r="F249" s="6">
        <f t="shared" si="580"/>
        <v>-26.65548589341693</v>
      </c>
      <c r="G249" s="6">
        <f t="shared" si="580"/>
        <v>-26.65548589341693</v>
      </c>
      <c r="H249" s="6">
        <f t="shared" si="580"/>
        <v>-2.7046575342465751</v>
      </c>
      <c r="I249" s="6">
        <f t="shared" si="580"/>
        <v>211.09340101522841</v>
      </c>
      <c r="J249" s="6">
        <f t="shared" si="580"/>
        <v>-19.882882849936333</v>
      </c>
      <c r="K249" s="6">
        <f t="shared" si="580"/>
        <v>-121.64072344525981</v>
      </c>
      <c r="L249" s="6">
        <f>L70*L222</f>
        <v>-15.289062900000001</v>
      </c>
      <c r="M249" s="6">
        <f>M70*M222</f>
        <v>1087.1992599999999</v>
      </c>
      <c r="N249" s="6">
        <f>N70*N222</f>
        <v>-343.02472685451403</v>
      </c>
      <c r="O249" s="6">
        <f>O70*O222</f>
        <v>-354.63115741092474</v>
      </c>
      <c r="P249" s="6"/>
      <c r="Q249" s="6">
        <f>Q70*Q222</f>
        <v>-1.8322200000000002</v>
      </c>
      <c r="R249" s="6">
        <f>R70*R222</f>
        <v>0.23883999999999994</v>
      </c>
      <c r="S249" s="6">
        <f>S70*S222</f>
        <v>0.18395061728395062</v>
      </c>
      <c r="T249" s="6">
        <f>T70*T222</f>
        <v>0</v>
      </c>
      <c r="U249" s="193"/>
      <c r="V249" s="6">
        <f t="shared" ref="V249:AS249" si="581">V70*V222</f>
        <v>-28.422400000000003</v>
      </c>
      <c r="W249" s="6">
        <f t="shared" si="581"/>
        <v>0.26567000000000418</v>
      </c>
      <c r="X249" s="6">
        <f t="shared" si="581"/>
        <v>0.87120253164556505</v>
      </c>
      <c r="Y249" s="6">
        <f t="shared" si="581"/>
        <v>5.7280000000000657E-2</v>
      </c>
      <c r="Z249" s="6">
        <f t="shared" si="581"/>
        <v>-0.96875</v>
      </c>
      <c r="AA249" s="6">
        <f t="shared" si="581"/>
        <v>0.70554016620498627</v>
      </c>
      <c r="AB249" s="6">
        <f t="shared" si="581"/>
        <v>-0.83787878787878789</v>
      </c>
      <c r="AC249" s="6">
        <f t="shared" si="581"/>
        <v>-1.5685039370078742</v>
      </c>
      <c r="AD249" s="6">
        <f t="shared" si="581"/>
        <v>-0.22494</v>
      </c>
      <c r="AE249" s="6">
        <f t="shared" si="581"/>
        <v>0.84387755102040818</v>
      </c>
      <c r="AF249" s="6">
        <f t="shared" si="581"/>
        <v>-14.507304785894208</v>
      </c>
      <c r="AG249" s="6">
        <f t="shared" si="581"/>
        <v>215.80827250608272</v>
      </c>
      <c r="AH249" s="6">
        <f t="shared" si="581"/>
        <v>-9.7551569506726459</v>
      </c>
      <c r="AI249" s="6">
        <f t="shared" si="581"/>
        <v>1.9755102040816335</v>
      </c>
      <c r="AJ249" s="6">
        <f t="shared" si="581"/>
        <v>0.30929368029739673</v>
      </c>
      <c r="AK249" s="6">
        <f t="shared" si="581"/>
        <v>-13.063092199999994</v>
      </c>
      <c r="AL249" s="6">
        <f t="shared" si="581"/>
        <v>-1.3083345486364297</v>
      </c>
      <c r="AM249" s="6">
        <f t="shared" si="581"/>
        <v>-27.352105465250208</v>
      </c>
      <c r="AN249" s="6">
        <f t="shared" si="581"/>
        <v>0.20748404188915362</v>
      </c>
      <c r="AO249" s="6">
        <f t="shared" si="581"/>
        <v>-97.449562172845475</v>
      </c>
      <c r="AP249" s="6">
        <f t="shared" si="581"/>
        <v>-14.970250550698456</v>
      </c>
      <c r="AQ249" s="6">
        <f t="shared" si="581"/>
        <v>-0.80681637076754786</v>
      </c>
      <c r="AR249" s="6">
        <f t="shared" si="581"/>
        <v>0.50156663651453293</v>
      </c>
      <c r="AS249" s="6">
        <f t="shared" si="581"/>
        <v>1.8067219229649791E-2</v>
      </c>
      <c r="AT249" s="6">
        <f t="shared" ref="AT249:AY249" si="582">AT70*AT222</f>
        <v>-21.669340000000002</v>
      </c>
      <c r="AU249" s="6">
        <f t="shared" si="582"/>
        <v>-8.4679128952402962</v>
      </c>
      <c r="AV249" s="6">
        <f t="shared" si="582"/>
        <v>1131.4063147499999</v>
      </c>
      <c r="AW249" s="6">
        <f t="shared" si="582"/>
        <v>-11.697788400000023</v>
      </c>
      <c r="AX249" s="6">
        <f t="shared" si="582"/>
        <v>-40.186911484590063</v>
      </c>
      <c r="AY249" s="6">
        <f t="shared" si="582"/>
        <v>-86.135692120623631</v>
      </c>
      <c r="AZ249" s="6">
        <f>AZ70*AZ222</f>
        <v>-127.2894470460723</v>
      </c>
      <c r="BA249" s="6">
        <f>BA70*BA222</f>
        <v>-98.457318003753244</v>
      </c>
      <c r="BB249" s="6">
        <f>BB70*BB222</f>
        <v>-139.99512483560977</v>
      </c>
      <c r="BC249" s="6">
        <f>BC70*BC222</f>
        <v>-90.761992695966214</v>
      </c>
      <c r="BD249" s="6">
        <f>BD70*BD222</f>
        <v>-22.5694571879473</v>
      </c>
      <c r="BE249" s="6"/>
      <c r="BF249" s="269"/>
      <c r="BG249" s="214"/>
      <c r="BH249" s="214"/>
      <c r="BI249" s="214"/>
      <c r="BJ249" s="214"/>
      <c r="BK249" s="214"/>
      <c r="BM249" s="214"/>
      <c r="BN249" s="192"/>
      <c r="BO249" s="214"/>
      <c r="BP249" s="214"/>
      <c r="BQ249" s="192"/>
      <c r="BR249" s="192"/>
      <c r="BS249" s="192"/>
      <c r="BT249" s="214"/>
      <c r="BU249" s="214"/>
      <c r="BV249" s="192"/>
      <c r="BW249" s="192"/>
      <c r="BX249" s="192"/>
      <c r="BY249" s="192"/>
      <c r="BZ249" s="214"/>
      <c r="CA249" s="214"/>
      <c r="CB249" s="192"/>
      <c r="CC249" s="192"/>
      <c r="CD249" s="214"/>
      <c r="CE249" s="214"/>
      <c r="CF249" s="192"/>
      <c r="CG249" s="192"/>
      <c r="CH249" s="214"/>
      <c r="CI249" s="214"/>
      <c r="CJ249" s="192"/>
      <c r="CK249" s="192"/>
      <c r="CL249" s="214"/>
      <c r="CM249" s="214"/>
      <c r="CQ249" s="206"/>
    </row>
    <row r="250" spans="2:98" s="5" customFormat="1" ht="13.5" customHeight="1">
      <c r="B250" s="1" t="str">
        <f t="shared" si="549"/>
        <v xml:space="preserve">Dividends received  / Dividends Paid </v>
      </c>
      <c r="C250" s="6">
        <f t="shared" ref="C250:K250" si="583">C71*C222</f>
        <v>0</v>
      </c>
      <c r="D250" s="6">
        <f t="shared" si="583"/>
        <v>0</v>
      </c>
      <c r="E250" s="6">
        <f t="shared" si="583"/>
        <v>0</v>
      </c>
      <c r="F250" s="6">
        <f t="shared" si="583"/>
        <v>-4.0031347962382444</v>
      </c>
      <c r="G250" s="6">
        <f t="shared" si="583"/>
        <v>0</v>
      </c>
      <c r="H250" s="6">
        <f t="shared" si="583"/>
        <v>-126.34876712328766</v>
      </c>
      <c r="I250" s="6">
        <f t="shared" si="583"/>
        <v>-526.66091370558365</v>
      </c>
      <c r="J250" s="6">
        <f t="shared" si="583"/>
        <v>-250.3658804185803</v>
      </c>
      <c r="K250" s="6">
        <f t="shared" si="583"/>
        <v>-693.96764509673119</v>
      </c>
      <c r="L250" s="6">
        <f>L71*L222</f>
        <v>-537.59935229999996</v>
      </c>
      <c r="M250" s="6">
        <f>M71*M222</f>
        <v>-66.789547999999996</v>
      </c>
      <c r="N250" s="6">
        <f>N71*N222</f>
        <v>-581.55001947726714</v>
      </c>
      <c r="O250" s="6">
        <f>O71*O222</f>
        <v>-1248.8209263728886</v>
      </c>
      <c r="P250" s="6"/>
      <c r="Q250" s="6">
        <f>Q71*Q222</f>
        <v>0</v>
      </c>
      <c r="R250" s="6">
        <f>R71*R222</f>
        <v>0</v>
      </c>
      <c r="S250" s="6">
        <f>S71*S222</f>
        <v>0</v>
      </c>
      <c r="T250" s="6">
        <f>T71*T222</f>
        <v>0</v>
      </c>
      <c r="U250" s="194"/>
      <c r="V250" s="6">
        <f t="shared" ref="V250:AS250" si="584">V71*V222</f>
        <v>0</v>
      </c>
      <c r="W250" s="6">
        <f t="shared" si="584"/>
        <v>0</v>
      </c>
      <c r="X250" s="6">
        <f t="shared" si="584"/>
        <v>0</v>
      </c>
      <c r="Y250" s="6">
        <f t="shared" si="584"/>
        <v>-4.0864000000000003</v>
      </c>
      <c r="Z250" s="6">
        <f t="shared" si="584"/>
        <v>0</v>
      </c>
      <c r="AA250" s="6">
        <f t="shared" si="584"/>
        <v>-21.522437673130195</v>
      </c>
      <c r="AB250" s="6">
        <f t="shared" si="584"/>
        <v>-58.102272727272734</v>
      </c>
      <c r="AC250" s="6">
        <f t="shared" si="584"/>
        <v>-40.260367454068238</v>
      </c>
      <c r="AD250" s="6">
        <f t="shared" si="584"/>
        <v>0</v>
      </c>
      <c r="AE250" s="6">
        <f t="shared" si="584"/>
        <v>-150.15535714285716</v>
      </c>
      <c r="AF250" s="6">
        <f t="shared" si="584"/>
        <v>-79.265743073047844</v>
      </c>
      <c r="AG250" s="6">
        <f t="shared" si="584"/>
        <v>-285.0973236009732</v>
      </c>
      <c r="AH250" s="6">
        <f t="shared" si="584"/>
        <v>0</v>
      </c>
      <c r="AI250" s="6">
        <f t="shared" si="584"/>
        <v>-9.9398886827458259</v>
      </c>
      <c r="AJ250" s="6">
        <f t="shared" si="584"/>
        <v>-143.17230483271376</v>
      </c>
      <c r="AK250" s="6">
        <f t="shared" si="584"/>
        <v>-84.881101400000006</v>
      </c>
      <c r="AL250" s="6">
        <f t="shared" si="584"/>
        <v>-26.140622721306691</v>
      </c>
      <c r="AM250" s="6">
        <f t="shared" si="584"/>
        <v>-99.279534109816908</v>
      </c>
      <c r="AN250" s="6">
        <f t="shared" si="584"/>
        <v>-329.23087794778667</v>
      </c>
      <c r="AO250" s="6">
        <f t="shared" si="584"/>
        <v>-257.52491878287361</v>
      </c>
      <c r="AP250" s="6">
        <f t="shared" si="584"/>
        <v>-69.125863284432612</v>
      </c>
      <c r="AQ250" s="6">
        <f t="shared" si="584"/>
        <v>-163.92068638724052</v>
      </c>
      <c r="AR250" s="6">
        <f t="shared" si="584"/>
        <v>-129.1990756429245</v>
      </c>
      <c r="AS250" s="6">
        <f t="shared" si="584"/>
        <v>-171.93581757869666</v>
      </c>
      <c r="AT250" s="6">
        <f t="shared" ref="AT250:AY250" si="585">AT71*AT222</f>
        <v>0</v>
      </c>
      <c r="AU250" s="6">
        <f t="shared" si="585"/>
        <v>-11.594604501617376</v>
      </c>
      <c r="AV250" s="6">
        <f t="shared" si="585"/>
        <v>-28.467894625000003</v>
      </c>
      <c r="AW250" s="6">
        <f t="shared" si="585"/>
        <v>-27.289824599999992</v>
      </c>
      <c r="AX250" s="6">
        <f t="shared" si="585"/>
        <v>0</v>
      </c>
      <c r="AY250" s="6">
        <f t="shared" si="585"/>
        <v>0</v>
      </c>
      <c r="AZ250" s="6">
        <f>AZ71*AZ222</f>
        <v>0</v>
      </c>
      <c r="BA250" s="6">
        <f>BA71*BA222</f>
        <v>-567.09474614795579</v>
      </c>
      <c r="BB250" s="6">
        <f>BB71*BB222</f>
        <v>-2.0830055159603744E-2</v>
      </c>
      <c r="BC250" s="6">
        <f>BC71*BC222</f>
        <v>2.096095515960374E-2</v>
      </c>
      <c r="BD250" s="6">
        <f>BD71*BD222</f>
        <v>-705.70815135611258</v>
      </c>
      <c r="BE250" s="6"/>
      <c r="BF250" s="269"/>
      <c r="BG250" s="214"/>
      <c r="BH250" s="214"/>
      <c r="BI250" s="214"/>
      <c r="BJ250" s="214"/>
      <c r="BK250" s="214"/>
      <c r="BM250" s="214"/>
      <c r="BN250" s="188"/>
      <c r="BO250" s="214"/>
      <c r="BP250" s="214"/>
      <c r="BQ250" s="188"/>
      <c r="BR250" s="188"/>
      <c r="BS250" s="188"/>
      <c r="BT250" s="214"/>
      <c r="BU250" s="214"/>
      <c r="BV250" s="188"/>
      <c r="BW250" s="188"/>
      <c r="BX250" s="188"/>
      <c r="BY250" s="188"/>
      <c r="BZ250" s="214"/>
      <c r="CA250" s="214"/>
      <c r="CB250" s="188"/>
      <c r="CC250" s="188"/>
      <c r="CD250" s="214"/>
      <c r="CE250" s="214"/>
      <c r="CF250" s="188"/>
      <c r="CG250" s="188"/>
      <c r="CH250" s="214"/>
      <c r="CI250" s="214"/>
      <c r="CJ250" s="188"/>
      <c r="CK250" s="188"/>
      <c r="CL250" s="214"/>
      <c r="CM250" s="214"/>
      <c r="CN250" s="1"/>
      <c r="CO250" s="1"/>
      <c r="CP250" s="1"/>
      <c r="CQ250" s="206"/>
      <c r="CR250" s="1"/>
      <c r="CS250" s="1"/>
      <c r="CT250" s="1"/>
    </row>
    <row r="251" spans="2:98" ht="13.5" customHeight="1">
      <c r="B251" s="1" t="str">
        <f t="shared" si="549"/>
        <v>Change in debt /Finance Costs</v>
      </c>
      <c r="C251" s="6">
        <f t="shared" ref="C251:K251" si="586">C72*C222</f>
        <v>-438.02680851063832</v>
      </c>
      <c r="D251" s="6">
        <f t="shared" si="586"/>
        <v>-1231.0012012012014</v>
      </c>
      <c r="E251" s="6">
        <f t="shared" si="586"/>
        <v>-104.69398280802289</v>
      </c>
      <c r="F251" s="6">
        <f t="shared" si="586"/>
        <v>11.926645768025095</v>
      </c>
      <c r="G251" s="6">
        <f t="shared" si="586"/>
        <v>-274.72695924764895</v>
      </c>
      <c r="H251" s="6">
        <f t="shared" si="586"/>
        <v>406.85506849315067</v>
      </c>
      <c r="I251" s="6">
        <f t="shared" si="586"/>
        <v>1510.3878172588834</v>
      </c>
      <c r="J251" s="6">
        <f t="shared" si="586"/>
        <v>-93.183773216890728</v>
      </c>
      <c r="K251" s="6">
        <f t="shared" si="586"/>
        <v>-133.60481061448371</v>
      </c>
      <c r="L251" s="6">
        <f>L72*L222</f>
        <v>699.68682750000062</v>
      </c>
      <c r="M251" s="6">
        <f>M72*M222</f>
        <v>-1632.9251960000001</v>
      </c>
      <c r="N251" s="6">
        <f>N72*N222</f>
        <v>-1928.4813296481097</v>
      </c>
      <c r="O251" s="6">
        <f>O72*O222</f>
        <v>-420.90981473437716</v>
      </c>
      <c r="P251" s="6"/>
      <c r="Q251" s="6">
        <f>Q72*Q222</f>
        <v>65.521039999999999</v>
      </c>
      <c r="R251" s="6">
        <f>R72*R222</f>
        <v>7.4477199999999977</v>
      </c>
      <c r="S251" s="6">
        <f>S72*S222</f>
        <v>55.74135802469138</v>
      </c>
      <c r="T251" s="6">
        <f>T72*T222</f>
        <v>-247.37609999999998</v>
      </c>
      <c r="U251" s="193"/>
      <c r="V251" s="6">
        <f t="shared" ref="V251:AS251" si="587">V72*V222</f>
        <v>220.02624</v>
      </c>
      <c r="W251" s="6">
        <f t="shared" si="587"/>
        <v>-150.94675000000001</v>
      </c>
      <c r="X251" s="6">
        <f t="shared" si="587"/>
        <v>-92.831012658227834</v>
      </c>
      <c r="Y251" s="6">
        <f t="shared" si="587"/>
        <v>49.795519999999996</v>
      </c>
      <c r="Z251" s="6">
        <f t="shared" si="587"/>
        <v>654.48532999999998</v>
      </c>
      <c r="AA251" s="6">
        <f t="shared" si="587"/>
        <v>768.4351800554017</v>
      </c>
      <c r="AB251" s="6">
        <f t="shared" si="587"/>
        <v>-127.48838383838368</v>
      </c>
      <c r="AC251" s="6">
        <f t="shared" si="587"/>
        <v>-759.9524934383204</v>
      </c>
      <c r="AD251" s="6">
        <f t="shared" si="587"/>
        <v>208.37839</v>
      </c>
      <c r="AE251" s="6">
        <f t="shared" si="587"/>
        <v>105.57576530612245</v>
      </c>
      <c r="AF251" s="6">
        <f t="shared" si="587"/>
        <v>266.92569269521414</v>
      </c>
      <c r="AG251" s="6">
        <f t="shared" si="587"/>
        <v>868.94963503649637</v>
      </c>
      <c r="AH251" s="6">
        <f t="shared" si="587"/>
        <v>-256.89551569506733</v>
      </c>
      <c r="AI251" s="6">
        <f t="shared" si="587"/>
        <v>-472.16493506493509</v>
      </c>
      <c r="AJ251" s="6">
        <f t="shared" si="587"/>
        <v>220.09832713754651</v>
      </c>
      <c r="AK251" s="6">
        <f t="shared" si="587"/>
        <v>374.74207810000007</v>
      </c>
      <c r="AL251" s="6">
        <f t="shared" si="587"/>
        <v>-192.73370278547469</v>
      </c>
      <c r="AM251" s="6">
        <f t="shared" si="587"/>
        <v>334.77166261359253</v>
      </c>
      <c r="AN251" s="6">
        <f t="shared" si="587"/>
        <v>-986.37592272871188</v>
      </c>
      <c r="AO251" s="6">
        <f t="shared" si="587"/>
        <v>731.51901356041208</v>
      </c>
      <c r="AP251" s="6">
        <f t="shared" si="587"/>
        <v>1013.8356620654356</v>
      </c>
      <c r="AQ251" s="6">
        <f t="shared" si="587"/>
        <v>-507.02577419699122</v>
      </c>
      <c r="AR251" s="6">
        <f t="shared" si="587"/>
        <v>-46.942531008662563</v>
      </c>
      <c r="AS251" s="6">
        <f t="shared" si="587"/>
        <v>244.70533131402328</v>
      </c>
      <c r="AT251" s="6">
        <f t="shared" ref="AT251:AY251" si="588">AT72*AT222</f>
        <v>-361.29324000000003</v>
      </c>
      <c r="AU251" s="6">
        <f t="shared" si="588"/>
        <v>-175.83924501816077</v>
      </c>
      <c r="AV251" s="6">
        <f t="shared" si="588"/>
        <v>-746.44494000000009</v>
      </c>
      <c r="AW251" s="6">
        <f t="shared" si="588"/>
        <v>-350.46063719999995</v>
      </c>
      <c r="AX251" s="6">
        <f t="shared" si="588"/>
        <v>-448.99039529389603</v>
      </c>
      <c r="AY251" s="6">
        <f t="shared" si="588"/>
        <v>-49.97925839137875</v>
      </c>
      <c r="AZ251" s="6">
        <f>AZ72*AZ222</f>
        <v>-701.94743633637052</v>
      </c>
      <c r="BA251" s="6">
        <f>BA72*BA222</f>
        <v>-770.27223156331695</v>
      </c>
      <c r="BB251" s="6">
        <f>BB72*BB222</f>
        <v>-474.60930596196459</v>
      </c>
      <c r="BC251" s="6">
        <f>BC72*BC222</f>
        <v>428.2314331983028</v>
      </c>
      <c r="BD251" s="6">
        <f>BD72*BD222</f>
        <v>401.0900282599909</v>
      </c>
      <c r="BE251" s="6"/>
      <c r="BF251" s="269"/>
      <c r="BG251" s="214"/>
      <c r="BH251" s="214"/>
      <c r="BI251" s="214"/>
      <c r="BJ251" s="214"/>
      <c r="BK251" s="214"/>
      <c r="BM251" s="214"/>
      <c r="BN251" s="192"/>
      <c r="BO251" s="214"/>
      <c r="BP251" s="214"/>
      <c r="BQ251" s="192"/>
      <c r="BR251" s="192"/>
      <c r="BS251" s="192"/>
      <c r="BT251" s="214"/>
      <c r="BU251" s="214"/>
      <c r="BV251" s="192"/>
      <c r="BW251" s="192"/>
      <c r="BX251" s="192"/>
      <c r="BY251" s="192"/>
      <c r="BZ251" s="214"/>
      <c r="CA251" s="214"/>
      <c r="CB251" s="192"/>
      <c r="CC251" s="192"/>
      <c r="CD251" s="214"/>
      <c r="CE251" s="214"/>
      <c r="CF251" s="192"/>
      <c r="CG251" s="192"/>
      <c r="CH251" s="214"/>
      <c r="CI251" s="214"/>
      <c r="CJ251" s="192"/>
      <c r="CK251" s="192"/>
      <c r="CL251" s="214"/>
      <c r="CM251" s="214"/>
      <c r="CQ251" s="206"/>
    </row>
    <row r="252" spans="2:98" ht="13.5" customHeight="1" thickBot="1">
      <c r="B252" s="1" t="str">
        <f t="shared" si="549"/>
        <v>Other Finance</v>
      </c>
      <c r="C252" s="6">
        <f t="shared" ref="C252:K252" si="589">C73*C222</f>
        <v>-9.6842553191489351</v>
      </c>
      <c r="D252" s="6">
        <f t="shared" si="589"/>
        <v>-4.7792792792792795</v>
      </c>
      <c r="E252" s="6">
        <f t="shared" si="589"/>
        <v>-5.1888252148997136</v>
      </c>
      <c r="F252" s="6">
        <f t="shared" si="589"/>
        <v>-2.6601880877742952</v>
      </c>
      <c r="G252" s="6">
        <f t="shared" si="589"/>
        <v>0.35015673981191225</v>
      </c>
      <c r="H252" s="6">
        <f t="shared" si="589"/>
        <v>0</v>
      </c>
      <c r="I252" s="6">
        <f t="shared" si="589"/>
        <v>-830.29822335025381</v>
      </c>
      <c r="J252" s="6">
        <f t="shared" si="589"/>
        <v>-0.79455840591619764</v>
      </c>
      <c r="K252" s="6">
        <f t="shared" si="589"/>
        <v>0</v>
      </c>
      <c r="L252" s="6">
        <f>L73*L222</f>
        <v>-45.274989599999998</v>
      </c>
      <c r="M252" s="6">
        <f>M73*M222</f>
        <v>-154.07638400000002</v>
      </c>
      <c r="N252" s="6">
        <f>N73*N222</f>
        <v>-20.412732567845815</v>
      </c>
      <c r="O252" s="6">
        <f>O73*O222</f>
        <v>-8.7112721486828431</v>
      </c>
      <c r="P252" s="6"/>
      <c r="Q252" s="6">
        <f>Q73*Q222</f>
        <v>-1.4663999999999999</v>
      </c>
      <c r="R252" s="6">
        <f>R73*R222</f>
        <v>-1.1760000000000002</v>
      </c>
      <c r="S252" s="6">
        <f>S73*S222</f>
        <v>-1.4379629629629629</v>
      </c>
      <c r="T252" s="6">
        <f>T73*T222</f>
        <v>-1.0830000000000009</v>
      </c>
      <c r="U252" s="193"/>
      <c r="V252" s="6">
        <f t="shared" ref="V252:AS252" si="590">V73*V222</f>
        <v>-0.54335999999999995</v>
      </c>
      <c r="W252" s="6">
        <f t="shared" si="590"/>
        <v>-1.9337799999999998</v>
      </c>
      <c r="X252" s="6">
        <f t="shared" si="590"/>
        <v>0.94746835443037947</v>
      </c>
      <c r="Y252" s="6">
        <f t="shared" si="590"/>
        <v>-0.37792000000000031</v>
      </c>
      <c r="Z252" s="6">
        <f t="shared" si="590"/>
        <v>8.0909999999999996E-2</v>
      </c>
      <c r="AA252" s="6">
        <f t="shared" si="590"/>
        <v>-0.26620498614958449</v>
      </c>
      <c r="AB252" s="6">
        <f t="shared" si="590"/>
        <v>-0.34191919191919196</v>
      </c>
      <c r="AC252" s="6">
        <f t="shared" si="590"/>
        <v>0.53910761154855635</v>
      </c>
      <c r="AD252" s="6">
        <f t="shared" si="590"/>
        <v>0</v>
      </c>
      <c r="AE252" s="6">
        <f t="shared" si="590"/>
        <v>-4.0742346938775515</v>
      </c>
      <c r="AF252" s="6">
        <f t="shared" si="590"/>
        <v>0</v>
      </c>
      <c r="AG252" s="6">
        <f t="shared" si="590"/>
        <v>-792.06909975669089</v>
      </c>
      <c r="AH252" s="6">
        <f t="shared" si="590"/>
        <v>-0.9132286995515696</v>
      </c>
      <c r="AI252" s="6">
        <f t="shared" si="590"/>
        <v>0</v>
      </c>
      <c r="AJ252" s="6">
        <f t="shared" si="590"/>
        <v>0</v>
      </c>
      <c r="AK252" s="6">
        <f t="shared" si="590"/>
        <v>0</v>
      </c>
      <c r="AL252" s="6">
        <f t="shared" si="590"/>
        <v>0</v>
      </c>
      <c r="AM252" s="6">
        <f t="shared" si="590"/>
        <v>0</v>
      </c>
      <c r="AN252" s="6">
        <f t="shared" si="590"/>
        <v>0</v>
      </c>
      <c r="AO252" s="6">
        <f t="shared" si="590"/>
        <v>0</v>
      </c>
      <c r="AP252" s="6">
        <f t="shared" si="590"/>
        <v>0</v>
      </c>
      <c r="AQ252" s="6">
        <f t="shared" si="590"/>
        <v>-6.490977735147947</v>
      </c>
      <c r="AR252" s="6">
        <f t="shared" si="590"/>
        <v>6.4927359779566709</v>
      </c>
      <c r="AS252" s="6">
        <f t="shared" si="590"/>
        <v>-45.314917082061037</v>
      </c>
      <c r="AT252" s="6">
        <f t="shared" ref="AT252:AY252" si="591">AT73*AT222</f>
        <v>-26.919585000000001</v>
      </c>
      <c r="AU252" s="6">
        <f t="shared" si="591"/>
        <v>-51.948795481700543</v>
      </c>
      <c r="AV252" s="6">
        <f t="shared" si="591"/>
        <v>-34.813163625000016</v>
      </c>
      <c r="AW252" s="6">
        <f t="shared" si="591"/>
        <v>-40.371752999999991</v>
      </c>
      <c r="AX252" s="6">
        <f t="shared" si="591"/>
        <v>-17.312095737448928</v>
      </c>
      <c r="AY252" s="6">
        <f t="shared" si="591"/>
        <v>-13.176965565734907</v>
      </c>
      <c r="AZ252" s="6">
        <f>AZ73*AZ222</f>
        <v>-9.9965102259330862</v>
      </c>
      <c r="BA252" s="6">
        <f>BA73*BA222</f>
        <v>17.273981661108646</v>
      </c>
      <c r="BB252" s="6">
        <f>BB73*BB222</f>
        <v>-9.2539708077543779</v>
      </c>
      <c r="BC252" s="6">
        <f>BC73*BC222</f>
        <v>-2.3886681757931627</v>
      </c>
      <c r="BD252" s="6">
        <f>BD73*BD222</f>
        <v>-14.270011377399348</v>
      </c>
      <c r="BE252" s="6"/>
      <c r="BF252" s="269"/>
      <c r="BG252" s="214"/>
      <c r="BH252" s="214"/>
      <c r="BI252" s="214"/>
      <c r="BJ252" s="214"/>
      <c r="BK252" s="214"/>
      <c r="BM252" s="214"/>
      <c r="BN252" s="192"/>
      <c r="BO252" s="214"/>
      <c r="BP252" s="214"/>
      <c r="BQ252" s="192"/>
      <c r="BR252" s="192"/>
      <c r="BS252" s="192"/>
      <c r="BT252" s="214"/>
      <c r="BU252" s="214"/>
      <c r="BV252" s="192"/>
      <c r="BW252" s="192"/>
      <c r="BX252" s="192"/>
      <c r="BY252" s="192"/>
      <c r="BZ252" s="214"/>
      <c r="CA252" s="214"/>
      <c r="CB252" s="192"/>
      <c r="CC252" s="192"/>
      <c r="CD252" s="214"/>
      <c r="CE252" s="214"/>
      <c r="CF252" s="192"/>
      <c r="CG252" s="192"/>
      <c r="CH252" s="214"/>
      <c r="CI252" s="214"/>
      <c r="CJ252" s="192"/>
      <c r="CK252" s="192"/>
      <c r="CL252" s="214"/>
      <c r="CM252" s="214"/>
      <c r="CQ252" s="206"/>
    </row>
    <row r="253" spans="2:98" ht="13.5" customHeight="1" thickTop="1" thickBot="1">
      <c r="B253" s="80" t="str">
        <f t="shared" si="549"/>
        <v>Cash flow after financing activities</v>
      </c>
      <c r="C253" s="370">
        <f t="shared" ref="C253:K253" si="592">C74*C222</f>
        <v>-275.76151196973871</v>
      </c>
      <c r="D253" s="370">
        <f t="shared" si="592"/>
        <v>-1056.6279028807464</v>
      </c>
      <c r="E253" s="370">
        <f t="shared" si="592"/>
        <v>200.40555970488322</v>
      </c>
      <c r="F253" s="370">
        <f t="shared" si="592"/>
        <v>-151.36954745342058</v>
      </c>
      <c r="G253" s="370">
        <f t="shared" si="592"/>
        <v>-561.1272277042043</v>
      </c>
      <c r="H253" s="370">
        <f t="shared" si="592"/>
        <v>-565.43972602739734</v>
      </c>
      <c r="I253" s="370">
        <f t="shared" si="592"/>
        <v>462.08959390862981</v>
      </c>
      <c r="J253" s="370">
        <f t="shared" si="592"/>
        <v>532.38807577986802</v>
      </c>
      <c r="K253" s="370">
        <f t="shared" si="592"/>
        <v>80.862056185605184</v>
      </c>
      <c r="L253" s="370">
        <f>L74*L222</f>
        <v>1300.9680606000006</v>
      </c>
      <c r="M253" s="370">
        <f>M74*M222</f>
        <v>-693.85548400000016</v>
      </c>
      <c r="N253" s="370">
        <f>N74*N222</f>
        <v>-993.22042701589658</v>
      </c>
      <c r="O253" s="370">
        <f>O74*O222</f>
        <v>-7.4300290820669517</v>
      </c>
      <c r="P253" s="370"/>
      <c r="Q253" s="370">
        <f>Q74*Q222</f>
        <v>65.926413118936111</v>
      </c>
      <c r="R253" s="370">
        <f>R74*R222</f>
        <v>121.61645884680723</v>
      </c>
      <c r="S253" s="370">
        <f>S74*S222</f>
        <v>121.71118715502652</v>
      </c>
      <c r="T253" s="370">
        <f>T74*T222</f>
        <v>-114.61093988226648</v>
      </c>
      <c r="U253" s="193"/>
      <c r="V253" s="370">
        <f t="shared" ref="V253:AS253" si="593">V74*V222</f>
        <v>165.88480360572376</v>
      </c>
      <c r="W253" s="370">
        <f t="shared" si="593"/>
        <v>-223.64572284163958</v>
      </c>
      <c r="X253" s="370">
        <f t="shared" si="593"/>
        <v>-194.2881791784429</v>
      </c>
      <c r="Y253" s="370">
        <f t="shared" si="593"/>
        <v>114.76787374261124</v>
      </c>
      <c r="Z253" s="370">
        <f t="shared" si="593"/>
        <v>595.63896</v>
      </c>
      <c r="AA253" s="370">
        <f t="shared" si="593"/>
        <v>-362.09252077562337</v>
      </c>
      <c r="AB253" s="370">
        <f t="shared" si="593"/>
        <v>-47.481818181818042</v>
      </c>
      <c r="AC253" s="370">
        <f t="shared" si="593"/>
        <v>-653.56666666666683</v>
      </c>
      <c r="AD253" s="370">
        <f t="shared" si="593"/>
        <v>45.189480000000025</v>
      </c>
      <c r="AE253" s="370">
        <f t="shared" si="593"/>
        <v>34.482142857142705</v>
      </c>
      <c r="AF253" s="370">
        <f t="shared" si="593"/>
        <v>370.45617128463482</v>
      </c>
      <c r="AG253" s="370">
        <f t="shared" si="593"/>
        <v>4.4467153284672243</v>
      </c>
      <c r="AH253" s="370">
        <f t="shared" si="593"/>
        <v>-394.81367713004494</v>
      </c>
      <c r="AI253" s="370">
        <f t="shared" si="593"/>
        <v>128.82374768089056</v>
      </c>
      <c r="AJ253" s="370">
        <f t="shared" si="593"/>
        <v>216.09014869888483</v>
      </c>
      <c r="AK253" s="370">
        <f t="shared" si="593"/>
        <v>486.32027159999996</v>
      </c>
      <c r="AL253" s="370">
        <f t="shared" si="593"/>
        <v>-94.054433425696359</v>
      </c>
      <c r="AM253" s="370">
        <f t="shared" si="593"/>
        <v>705.52623832074698</v>
      </c>
      <c r="AN253" s="370">
        <f t="shared" si="593"/>
        <v>-537.14273756993941</v>
      </c>
      <c r="AO253" s="370">
        <f t="shared" si="593"/>
        <v>23.025822908054209</v>
      </c>
      <c r="AP253" s="370">
        <f t="shared" si="593"/>
        <v>1349.4300477573802</v>
      </c>
      <c r="AQ253" s="370">
        <f t="shared" si="593"/>
        <v>472.4132367960035</v>
      </c>
      <c r="AR253" s="370">
        <f t="shared" si="593"/>
        <v>129.05344095389827</v>
      </c>
      <c r="AS253" s="370">
        <f t="shared" si="593"/>
        <v>-660.11888065499772</v>
      </c>
      <c r="AT253" s="370">
        <f t="shared" ref="AT253:AY253" si="594">AT74*AT222</f>
        <v>-218.3681500000001</v>
      </c>
      <c r="AU253" s="370">
        <f t="shared" si="594"/>
        <v>-38.728365674768909</v>
      </c>
      <c r="AV253" s="370">
        <f t="shared" si="594"/>
        <v>-369.4072965000002</v>
      </c>
      <c r="AW253" s="370">
        <f t="shared" si="594"/>
        <v>-65.189583799999738</v>
      </c>
      <c r="AX253" s="370">
        <f t="shared" si="594"/>
        <v>-954.4857410162009</v>
      </c>
      <c r="AY253" s="370">
        <f t="shared" si="594"/>
        <v>107.52084766683959</v>
      </c>
      <c r="AZ253" s="370">
        <f>AZ74*AZ222</f>
        <v>-393.91378378821076</v>
      </c>
      <c r="BA253" s="370">
        <f>BA74*BA222</f>
        <v>157.84775451219596</v>
      </c>
      <c r="BB253" s="370">
        <f>BB74*BB222</f>
        <v>-33.520634983732201</v>
      </c>
      <c r="BC253" s="370">
        <f>BC74*BC222</f>
        <v>-66.003581802867586</v>
      </c>
      <c r="BD253" s="370">
        <f>BD74*BD222</f>
        <v>-63.850699159541414</v>
      </c>
      <c r="BE253" s="8"/>
      <c r="BF253" s="271"/>
      <c r="BG253" s="216"/>
      <c r="BH253" s="216"/>
      <c r="BI253" s="216"/>
      <c r="BJ253" s="216"/>
      <c r="BK253" s="216"/>
      <c r="BM253" s="216"/>
      <c r="BN253" s="192"/>
      <c r="BO253" s="216"/>
      <c r="BP253" s="216"/>
      <c r="BQ253" s="192"/>
      <c r="BR253" s="192"/>
      <c r="BS253" s="192"/>
      <c r="BT253" s="216"/>
      <c r="BU253" s="216"/>
      <c r="BV253" s="192"/>
      <c r="BW253" s="192"/>
      <c r="BX253" s="192"/>
      <c r="BY253" s="192"/>
      <c r="BZ253" s="216"/>
      <c r="CA253" s="216"/>
      <c r="CB253" s="192"/>
      <c r="CC253" s="192"/>
      <c r="CD253" s="216"/>
      <c r="CE253" s="216"/>
      <c r="CF253" s="192"/>
      <c r="CG253" s="192"/>
      <c r="CH253" s="216"/>
      <c r="CI253" s="216"/>
      <c r="CJ253" s="192"/>
      <c r="CK253" s="192"/>
      <c r="CL253" s="216"/>
      <c r="CM253" s="216"/>
      <c r="CQ253" s="206"/>
    </row>
    <row r="254" spans="2:98" s="5" customFormat="1" ht="13.5" customHeight="1" thickTop="1">
      <c r="B254" s="1" t="str">
        <f t="shared" si="549"/>
        <v xml:space="preserve">FX </v>
      </c>
      <c r="C254" s="6">
        <f t="shared" ref="C254:K254" si="595">C75*C222</f>
        <v>71.875744680851057</v>
      </c>
      <c r="D254" s="6">
        <f t="shared" si="595"/>
        <v>153.86456456456457</v>
      </c>
      <c r="E254" s="6">
        <f t="shared" si="595"/>
        <v>-154.52148997134668</v>
      </c>
      <c r="F254" s="6">
        <f t="shared" si="595"/>
        <v>9.9150470219435753</v>
      </c>
      <c r="G254" s="6">
        <f t="shared" si="595"/>
        <v>14.277115987460816</v>
      </c>
      <c r="H254" s="6">
        <f t="shared" si="595"/>
        <v>203.5109589041096</v>
      </c>
      <c r="I254" s="6">
        <f t="shared" si="595"/>
        <v>16.333756345177665</v>
      </c>
      <c r="J254" s="6">
        <f t="shared" si="595"/>
        <v>266.29216282933368</v>
      </c>
      <c r="K254" s="6">
        <f t="shared" si="595"/>
        <v>87.37843747683641</v>
      </c>
      <c r="L254" s="6">
        <f>L75*L222</f>
        <v>33.440518499999996</v>
      </c>
      <c r="M254" s="6">
        <f>M75*M222</f>
        <v>-29.338456000000001</v>
      </c>
      <c r="N254" s="6">
        <f>N75*N222</f>
        <v>451.6342354708861</v>
      </c>
      <c r="O254" s="6">
        <f>O75*O222</f>
        <v>20.86340287643478</v>
      </c>
      <c r="P254" s="6"/>
      <c r="Q254" s="6">
        <f>Q75*Q222</f>
        <v>-61.94032</v>
      </c>
      <c r="R254" s="6">
        <f>R75*R222</f>
        <v>-98.518560000000008</v>
      </c>
      <c r="S254" s="6">
        <f>S75*S222</f>
        <v>8.3092592592592407</v>
      </c>
      <c r="T254" s="6">
        <f>T75*T222</f>
        <v>7.1646000000000187</v>
      </c>
      <c r="U254" s="194"/>
      <c r="V254" s="6">
        <f t="shared" ref="V254:AS254" si="596">V75*V222</f>
        <v>-24.846080000000001</v>
      </c>
      <c r="W254" s="6">
        <f t="shared" si="596"/>
        <v>45.822340000000004</v>
      </c>
      <c r="X254" s="6">
        <f t="shared" si="596"/>
        <v>-62.214556962025313</v>
      </c>
      <c r="Y254" s="6">
        <f t="shared" si="596"/>
        <v>55.708159999999999</v>
      </c>
      <c r="Z254" s="6">
        <f t="shared" si="596"/>
        <v>20.338169999999998</v>
      </c>
      <c r="AA254" s="6">
        <f t="shared" si="596"/>
        <v>192.51024930747923</v>
      </c>
      <c r="AB254" s="6">
        <f t="shared" si="596"/>
        <v>27.754545454545454</v>
      </c>
      <c r="AC254" s="6">
        <f t="shared" si="596"/>
        <v>-33.507086614173211</v>
      </c>
      <c r="AD254" s="6">
        <f t="shared" si="596"/>
        <v>-7.7284599999999992</v>
      </c>
      <c r="AE254" s="6">
        <f t="shared" si="596"/>
        <v>-31.471938775510207</v>
      </c>
      <c r="AF254" s="6">
        <f t="shared" si="596"/>
        <v>110.74785894206549</v>
      </c>
      <c r="AG254" s="6">
        <f t="shared" si="596"/>
        <v>-53.124574209245729</v>
      </c>
      <c r="AH254" s="6">
        <f t="shared" si="596"/>
        <v>340.35874439461884</v>
      </c>
      <c r="AI254" s="6">
        <f t="shared" si="596"/>
        <v>74.889795918367341</v>
      </c>
      <c r="AJ254" s="6">
        <f t="shared" si="596"/>
        <v>57.044609665427529</v>
      </c>
      <c r="AK254" s="6">
        <f t="shared" si="596"/>
        <v>-159.4904817</v>
      </c>
      <c r="AL254" s="6">
        <f t="shared" si="596"/>
        <v>203.86429925623449</v>
      </c>
      <c r="AM254" s="6">
        <f t="shared" si="596"/>
        <v>-235.4088058364263</v>
      </c>
      <c r="AN254" s="6">
        <f t="shared" si="596"/>
        <v>92.275598666037894</v>
      </c>
      <c r="AO254" s="6">
        <f t="shared" si="596"/>
        <v>17.471749510751248</v>
      </c>
      <c r="AP254" s="6">
        <f t="shared" si="596"/>
        <v>-85.439890951989426</v>
      </c>
      <c r="AQ254" s="6">
        <f t="shared" si="596"/>
        <v>119.33976583758266</v>
      </c>
      <c r="AR254" s="6">
        <f t="shared" si="596"/>
        <v>43.875568071383114</v>
      </c>
      <c r="AS254" s="6">
        <f t="shared" si="596"/>
        <v>-46.140181031389652</v>
      </c>
      <c r="AT254" s="6">
        <f t="shared" ref="AT254:AY254" si="597">AT75*AT222</f>
        <v>-31.306274999999999</v>
      </c>
      <c r="AU254" s="6">
        <f t="shared" si="597"/>
        <v>-51.741371296072082</v>
      </c>
      <c r="AV254" s="6">
        <f t="shared" si="597"/>
        <v>49.6428145</v>
      </c>
      <c r="AW254" s="6">
        <f t="shared" si="597"/>
        <v>5.3774842000000032</v>
      </c>
      <c r="AX254" s="6">
        <f t="shared" si="597"/>
        <v>67.837359412544671</v>
      </c>
      <c r="AY254" s="6">
        <f t="shared" si="597"/>
        <v>196.80605153052474</v>
      </c>
      <c r="AZ254" s="6">
        <f>AZ75*AZ222</f>
        <v>-56.685914908946096</v>
      </c>
      <c r="BA254" s="6">
        <f>BA75*BA222</f>
        <v>250.12199425989547</v>
      </c>
      <c r="BB254" s="6">
        <f>BB75*BB222</f>
        <v>-99.483643272346157</v>
      </c>
      <c r="BC254" s="6">
        <f>BC75*BC222</f>
        <v>-62.046893267151738</v>
      </c>
      <c r="BD254" s="6">
        <f>BD75*BD222</f>
        <v>-63.407898117223887</v>
      </c>
      <c r="BE254" s="6"/>
      <c r="BF254" s="269"/>
      <c r="BG254" s="214"/>
      <c r="BH254" s="214"/>
      <c r="BI254" s="214"/>
      <c r="BJ254" s="214"/>
      <c r="BK254" s="214"/>
      <c r="BM254" s="214"/>
      <c r="BN254" s="188"/>
      <c r="BO254" s="214"/>
      <c r="BP254" s="214"/>
      <c r="BQ254" s="188"/>
      <c r="BR254" s="188"/>
      <c r="BS254" s="188"/>
      <c r="BT254" s="214"/>
      <c r="BU254" s="214"/>
      <c r="BV254" s="188"/>
      <c r="BW254" s="188"/>
      <c r="BX254" s="188"/>
      <c r="BY254" s="188"/>
      <c r="BZ254" s="214"/>
      <c r="CA254" s="214"/>
      <c r="CB254" s="188"/>
      <c r="CC254" s="188"/>
      <c r="CD254" s="214"/>
      <c r="CE254" s="214"/>
      <c r="CF254" s="188"/>
      <c r="CG254" s="188"/>
      <c r="CH254" s="214"/>
      <c r="CI254" s="214"/>
      <c r="CJ254" s="188"/>
      <c r="CK254" s="188"/>
      <c r="CL254" s="214"/>
      <c r="CM254" s="214"/>
      <c r="CN254" s="1"/>
      <c r="CO254" s="1"/>
      <c r="CP254" s="1"/>
      <c r="CQ254" s="206"/>
      <c r="CR254" s="1"/>
      <c r="CS254" s="1"/>
      <c r="CT254" s="1"/>
    </row>
    <row r="255" spans="2:98" s="5" customFormat="1" ht="13.5" customHeight="1">
      <c r="B255" s="1" t="str">
        <f t="shared" si="549"/>
        <v>Discontinued operations net of cash</v>
      </c>
      <c r="C255" s="6">
        <f t="shared" ref="C255:K255" si="598">C76*C222</f>
        <v>29.635319148936169</v>
      </c>
      <c r="D255" s="6">
        <f t="shared" si="598"/>
        <v>1305.4471471471472</v>
      </c>
      <c r="E255" s="6">
        <f t="shared" si="598"/>
        <v>-15.097134670487105</v>
      </c>
      <c r="F255" s="6">
        <f t="shared" si="598"/>
        <v>-2.7595611285266464</v>
      </c>
      <c r="G255" s="6">
        <f t="shared" si="598"/>
        <v>86.024137931034488</v>
      </c>
      <c r="H255" s="6">
        <f t="shared" si="598"/>
        <v>1278.845205479452</v>
      </c>
      <c r="I255" s="6">
        <f t="shared" si="598"/>
        <v>-12.528934010152282</v>
      </c>
      <c r="J255" s="6">
        <f t="shared" si="598"/>
        <v>0</v>
      </c>
      <c r="K255" s="6">
        <f t="shared" si="598"/>
        <v>0</v>
      </c>
      <c r="L255" s="6">
        <f>L76*L222</f>
        <v>355.82217900000001</v>
      </c>
      <c r="M255" s="6">
        <f>M76*M222</f>
        <v>-160.46912</v>
      </c>
      <c r="N255" s="6">
        <f>N76*N222</f>
        <v>906.40319798178393</v>
      </c>
      <c r="O255" s="6">
        <f>O76*O222</f>
        <v>874.13783195402539</v>
      </c>
      <c r="P255" s="6"/>
      <c r="Q255" s="6">
        <f>Q76*Q222</f>
        <v>-2.8256800000000002</v>
      </c>
      <c r="R255" s="6">
        <f>R76*R222</f>
        <v>-7.2760799999999994</v>
      </c>
      <c r="S255" s="6">
        <f>S76*S222</f>
        <v>-11.616049382716048</v>
      </c>
      <c r="T255" s="6">
        <f>T76*T222</f>
        <v>6.5402999999999984</v>
      </c>
      <c r="U255" s="194"/>
      <c r="V255" s="6">
        <f t="shared" ref="V255:AS255" si="599">V76*V222</f>
        <v>-17.409600000000001</v>
      </c>
      <c r="W255" s="6">
        <f t="shared" si="599"/>
        <v>14.833190000000002</v>
      </c>
      <c r="X255" s="6">
        <f t="shared" si="599"/>
        <v>-0.71107594936708851</v>
      </c>
      <c r="Y255" s="6">
        <f t="shared" si="599"/>
        <v>-18.653120000000001</v>
      </c>
      <c r="Z255" s="6">
        <f t="shared" si="599"/>
        <v>-173.31138999999999</v>
      </c>
      <c r="AA255" s="6">
        <f t="shared" si="599"/>
        <v>99.867867036011077</v>
      </c>
      <c r="AB255" s="6">
        <f t="shared" si="599"/>
        <v>-0.61464646464645689</v>
      </c>
      <c r="AC255" s="6">
        <f t="shared" si="599"/>
        <v>1277.8910761154855</v>
      </c>
      <c r="AD255" s="6">
        <f t="shared" si="599"/>
        <v>-11.353719999999999</v>
      </c>
      <c r="AE255" s="6">
        <f t="shared" si="599"/>
        <v>0</v>
      </c>
      <c r="AF255" s="6">
        <f t="shared" si="599"/>
        <v>0</v>
      </c>
      <c r="AG255" s="6">
        <f t="shared" si="599"/>
        <v>0</v>
      </c>
      <c r="AH255" s="6">
        <f t="shared" si="599"/>
        <v>0</v>
      </c>
      <c r="AI255" s="6">
        <f t="shared" si="599"/>
        <v>0</v>
      </c>
      <c r="AJ255" s="6">
        <f t="shared" si="599"/>
        <v>0</v>
      </c>
      <c r="AK255" s="6">
        <f t="shared" si="599"/>
        <v>0</v>
      </c>
      <c r="AL255" s="6">
        <f t="shared" si="599"/>
        <v>0</v>
      </c>
      <c r="AM255" s="6">
        <f t="shared" si="599"/>
        <v>0</v>
      </c>
      <c r="AN255" s="6">
        <f t="shared" si="599"/>
        <v>0</v>
      </c>
      <c r="AO255" s="6">
        <f t="shared" si="599"/>
        <v>0</v>
      </c>
      <c r="AP255" s="6">
        <f t="shared" si="599"/>
        <v>0</v>
      </c>
      <c r="AQ255" s="6">
        <f t="shared" si="599"/>
        <v>0</v>
      </c>
      <c r="AR255" s="6">
        <f t="shared" si="599"/>
        <v>0</v>
      </c>
      <c r="AS255" s="6">
        <f t="shared" si="599"/>
        <v>356.1359744043603</v>
      </c>
      <c r="AT255" s="6">
        <f t="shared" ref="AT255:AY255" si="600">AT76*AT222</f>
        <v>0</v>
      </c>
      <c r="AU255" s="6">
        <f t="shared" si="600"/>
        <v>0</v>
      </c>
      <c r="AV255" s="6">
        <f t="shared" si="600"/>
        <v>0</v>
      </c>
      <c r="AW255" s="6">
        <f t="shared" si="600"/>
        <v>-164.235232</v>
      </c>
      <c r="AX255" s="6">
        <f t="shared" si="600"/>
        <v>0</v>
      </c>
      <c r="AY255" s="6">
        <f t="shared" si="600"/>
        <v>0</v>
      </c>
      <c r="AZ255" s="6">
        <f>AZ76*AZ222</f>
        <v>0</v>
      </c>
      <c r="BA255" s="6">
        <f>BA76*BA222</f>
        <v>883.87322543502728</v>
      </c>
      <c r="BB255" s="6">
        <f>BB76*BB222</f>
        <v>0</v>
      </c>
      <c r="BC255" s="6">
        <f>BC76*BC222</f>
        <v>0</v>
      </c>
      <c r="BD255" s="6">
        <f>BD76*BD222</f>
        <v>0</v>
      </c>
      <c r="BE255" s="6"/>
      <c r="BF255" s="269"/>
      <c r="BG255" s="214"/>
      <c r="BH255" s="214"/>
      <c r="BI255" s="214"/>
      <c r="BJ255" s="214"/>
      <c r="BK255" s="214"/>
      <c r="BM255" s="214"/>
      <c r="BN255" s="188"/>
      <c r="BO255" s="214"/>
      <c r="BP255" s="214"/>
      <c r="BQ255" s="188"/>
      <c r="BR255" s="188"/>
      <c r="BS255" s="188"/>
      <c r="BT255" s="214"/>
      <c r="BU255" s="214"/>
      <c r="BV255" s="188"/>
      <c r="BW255" s="188"/>
      <c r="BX255" s="188"/>
      <c r="BY255" s="188"/>
      <c r="BZ255" s="214"/>
      <c r="CA255" s="214"/>
      <c r="CB255" s="188"/>
      <c r="CC255" s="188"/>
      <c r="CD255" s="214"/>
      <c r="CE255" s="214"/>
      <c r="CF255" s="188"/>
      <c r="CG255" s="188"/>
      <c r="CH255" s="214"/>
      <c r="CI255" s="214"/>
      <c r="CJ255" s="188"/>
      <c r="CK255" s="188"/>
      <c r="CL255" s="214"/>
      <c r="CM255" s="214"/>
      <c r="CN255" s="1"/>
      <c r="CO255" s="1"/>
      <c r="CP255" s="1"/>
      <c r="CQ255" s="206"/>
      <c r="CR255" s="1"/>
      <c r="CS255" s="1"/>
      <c r="CT255" s="1"/>
    </row>
    <row r="256" spans="2:98" s="5" customFormat="1" ht="13.5" customHeight="1" thickBot="1">
      <c r="B256" s="58" t="str">
        <f t="shared" si="549"/>
        <v>Balancing figure</v>
      </c>
      <c r="C256" s="371">
        <f t="shared" ref="C256:K256" si="601">C77*C222</f>
        <v>534.78704388463234</v>
      </c>
      <c r="D256" s="371">
        <f t="shared" si="601"/>
        <v>301.64441939726288</v>
      </c>
      <c r="E256" s="371">
        <f t="shared" si="601"/>
        <v>47.846589292251451</v>
      </c>
      <c r="F256" s="371">
        <f t="shared" si="601"/>
        <v>-130.48437104187727</v>
      </c>
      <c r="G256" s="371">
        <f t="shared" si="601"/>
        <v>186.12691422458042</v>
      </c>
      <c r="H256" s="371">
        <f t="shared" si="601"/>
        <v>-152.71013698630131</v>
      </c>
      <c r="I256" s="371">
        <f t="shared" si="601"/>
        <v>-156.65406091370599</v>
      </c>
      <c r="J256" s="371">
        <f t="shared" si="601"/>
        <v>-145.68393214568553</v>
      </c>
      <c r="K256" s="371">
        <f t="shared" si="601"/>
        <v>-220.5794603809947</v>
      </c>
      <c r="L256" s="371">
        <f>L77*L222</f>
        <v>-788.77096350000068</v>
      </c>
      <c r="M256" s="371">
        <f>M77*M222</f>
        <v>894.72216400000013</v>
      </c>
      <c r="N256" s="371">
        <f>N77*N222</f>
        <v>-725.33658572780087</v>
      </c>
      <c r="O256" s="371">
        <f>O77*O222</f>
        <v>-732.79160490558752</v>
      </c>
      <c r="P256" s="371"/>
      <c r="Q256" s="371">
        <f>Q77*Q222</f>
        <v>45.707706881063899</v>
      </c>
      <c r="R256" s="371">
        <f>R77*R222</f>
        <v>-12.83085884680724</v>
      </c>
      <c r="S256" s="371">
        <f>S77*S222</f>
        <v>46.875232598059924</v>
      </c>
      <c r="T256" s="371">
        <f>T77*T222</f>
        <v>-34.459660117733613</v>
      </c>
      <c r="U256" s="194"/>
      <c r="V256" s="371">
        <f t="shared" ref="V256:AS256" si="602">V77*V222</f>
        <v>12.642876394276255</v>
      </c>
      <c r="W256" s="371">
        <f t="shared" si="602"/>
        <v>79.740622841639563</v>
      </c>
      <c r="X256" s="371">
        <f t="shared" si="602"/>
        <v>-31.278909429152062</v>
      </c>
      <c r="Y256" s="371">
        <f t="shared" si="602"/>
        <v>-190.84819374261122</v>
      </c>
      <c r="Z256" s="371">
        <f t="shared" si="602"/>
        <v>9.1896400000000025</v>
      </c>
      <c r="AA256" s="371">
        <f t="shared" si="602"/>
        <v>14.294459833795097</v>
      </c>
      <c r="AB256" s="371">
        <f t="shared" si="602"/>
        <v>13.839393939393791</v>
      </c>
      <c r="AC256" s="371">
        <f t="shared" si="602"/>
        <v>-182.0060367454067</v>
      </c>
      <c r="AD256" s="371">
        <f t="shared" si="602"/>
        <v>-161.77165000000005</v>
      </c>
      <c r="AE256" s="371">
        <f t="shared" si="602"/>
        <v>-44.859183673469232</v>
      </c>
      <c r="AF256" s="371">
        <f t="shared" si="602"/>
        <v>2.8705289672543688</v>
      </c>
      <c r="AG256" s="371">
        <f t="shared" si="602"/>
        <v>60.970802919707538</v>
      </c>
      <c r="AH256" s="371">
        <f t="shared" si="602"/>
        <v>-132.97488789237659</v>
      </c>
      <c r="AI256" s="371">
        <f t="shared" si="602"/>
        <v>-92.420964749536211</v>
      </c>
      <c r="AJ256" s="371">
        <f t="shared" si="602"/>
        <v>2.0377323420073443</v>
      </c>
      <c r="AK256" s="371">
        <f t="shared" si="602"/>
        <v>61.590246699999497</v>
      </c>
      <c r="AL256" s="371">
        <f t="shared" si="602"/>
        <v>-237.50656263672164</v>
      </c>
      <c r="AM256" s="371">
        <f t="shared" si="602"/>
        <v>-0.34960962498389675</v>
      </c>
      <c r="AN256" s="371">
        <f t="shared" si="602"/>
        <v>291.98012277692345</v>
      </c>
      <c r="AO256" s="371">
        <f t="shared" si="602"/>
        <v>-274.53750648751208</v>
      </c>
      <c r="AP256" s="371">
        <f t="shared" si="602"/>
        <v>-644.02455720356772</v>
      </c>
      <c r="AQ256" s="371">
        <f t="shared" si="602"/>
        <v>-58.956677196843309</v>
      </c>
      <c r="AR256" s="371">
        <f t="shared" si="602"/>
        <v>169.39444169122095</v>
      </c>
      <c r="AS256" s="371">
        <f t="shared" si="602"/>
        <v>-255.474171059594</v>
      </c>
      <c r="AT256" s="371">
        <f t="shared" ref="AT256:AY256" si="603">AT77*AT222</f>
        <v>128.5851875000001</v>
      </c>
      <c r="AU256" s="371">
        <f t="shared" si="603"/>
        <v>62.183597651340065</v>
      </c>
      <c r="AV256" s="371">
        <f t="shared" si="603"/>
        <v>310.18040012500018</v>
      </c>
      <c r="AW256" s="371">
        <f t="shared" si="603"/>
        <v>400.58375679999983</v>
      </c>
      <c r="AX256" s="371">
        <f t="shared" si="603"/>
        <v>328.06438585745747</v>
      </c>
      <c r="AY256" s="371">
        <f t="shared" si="603"/>
        <v>45.268320499022892</v>
      </c>
      <c r="AZ256" s="371">
        <f>AZ77*AZ222</f>
        <v>316.36602891787027</v>
      </c>
      <c r="BA256" s="371">
        <f>BA77*BA222</f>
        <v>-1341.4566511151445</v>
      </c>
      <c r="BB256" s="371">
        <f>BB77*BB222</f>
        <v>17.21770349297579</v>
      </c>
      <c r="BC256" s="371">
        <f>BC77*BC222</f>
        <v>235.90251577779557</v>
      </c>
      <c r="BD256" s="371">
        <f>BD77*BD222</f>
        <v>345.38481300693746</v>
      </c>
      <c r="BE256" s="6"/>
      <c r="BF256" s="269"/>
      <c r="BG256" s="214"/>
      <c r="BH256" s="214"/>
      <c r="BI256" s="214"/>
      <c r="BJ256" s="214"/>
      <c r="BK256" s="214"/>
      <c r="BM256" s="214"/>
      <c r="BN256" s="188"/>
      <c r="BO256" s="214"/>
      <c r="BP256" s="214"/>
      <c r="BQ256" s="188"/>
      <c r="BR256" s="188"/>
      <c r="BS256" s="188"/>
      <c r="BT256" s="214"/>
      <c r="BU256" s="214"/>
      <c r="BV256" s="188"/>
      <c r="BW256" s="188"/>
      <c r="BX256" s="188"/>
      <c r="BY256" s="188"/>
      <c r="BZ256" s="214"/>
      <c r="CA256" s="214"/>
      <c r="CB256" s="188"/>
      <c r="CC256" s="188"/>
      <c r="CD256" s="214"/>
      <c r="CE256" s="214"/>
      <c r="CF256" s="188"/>
      <c r="CG256" s="188"/>
      <c r="CH256" s="214"/>
      <c r="CI256" s="214"/>
      <c r="CJ256" s="188"/>
      <c r="CK256" s="188"/>
      <c r="CL256" s="214"/>
      <c r="CM256" s="214"/>
      <c r="CN256" s="1"/>
      <c r="CO256" s="1"/>
      <c r="CP256" s="1"/>
      <c r="CQ256" s="206"/>
      <c r="CR256" s="1"/>
      <c r="CS256" s="1"/>
      <c r="CT256" s="1"/>
    </row>
    <row r="257" spans="2:98" ht="13.5" customHeight="1" thickTop="1">
      <c r="B257" s="5" t="str">
        <f t="shared" si="549"/>
        <v xml:space="preserve">Net change in cash </v>
      </c>
      <c r="C257" s="6">
        <f t="shared" ref="C257:K257" si="604">C78*C222</f>
        <v>360.53659574468088</v>
      </c>
      <c r="D257" s="6">
        <f t="shared" si="604"/>
        <v>704.32822822822823</v>
      </c>
      <c r="E257" s="6">
        <f t="shared" si="604"/>
        <v>78.633524355300864</v>
      </c>
      <c r="F257" s="6">
        <f t="shared" si="604"/>
        <v>-274.69843260188088</v>
      </c>
      <c r="G257" s="6">
        <f t="shared" si="604"/>
        <v>-274.69905956112854</v>
      </c>
      <c r="H257" s="6">
        <f t="shared" si="604"/>
        <v>764.2063013698629</v>
      </c>
      <c r="I257" s="6">
        <f t="shared" si="604"/>
        <v>309.24035532994918</v>
      </c>
      <c r="J257" s="6">
        <f t="shared" si="604"/>
        <v>652.99630646351613</v>
      </c>
      <c r="K257" s="6">
        <f t="shared" si="604"/>
        <v>-52.33896671855311</v>
      </c>
      <c r="L257" s="6">
        <f>L78*L222</f>
        <v>901.45979459999967</v>
      </c>
      <c r="M257" s="6">
        <f>M78*M222</f>
        <v>11.059103999999996</v>
      </c>
      <c r="N257" s="6">
        <f>N78*N222</f>
        <v>-360.51957929102736</v>
      </c>
      <c r="O257" s="6">
        <f>O78*O222</f>
        <v>154.77960084280568</v>
      </c>
      <c r="P257" s="6"/>
      <c r="Q257" s="6">
        <f>Q78*Q222</f>
        <v>46.868120000000012</v>
      </c>
      <c r="R257" s="6">
        <f>R78*R222</f>
        <v>2.990959999999987</v>
      </c>
      <c r="S257" s="6">
        <f>S78*S222</f>
        <v>165.27962962962965</v>
      </c>
      <c r="T257" s="6">
        <f>T78*T222</f>
        <v>-135.36570000000009</v>
      </c>
      <c r="U257" s="193"/>
      <c r="V257" s="6">
        <f t="shared" ref="V257:AS257" si="605">V78*V222</f>
        <v>136.27200000000002</v>
      </c>
      <c r="W257" s="6">
        <f t="shared" si="605"/>
        <v>-83.249569999999977</v>
      </c>
      <c r="X257" s="6">
        <f t="shared" si="605"/>
        <v>-288.49272151898731</v>
      </c>
      <c r="Y257" s="6">
        <f t="shared" si="605"/>
        <v>-39.025279999999967</v>
      </c>
      <c r="Z257" s="6">
        <f t="shared" si="605"/>
        <v>451.85537999999997</v>
      </c>
      <c r="AA257" s="6">
        <f t="shared" si="605"/>
        <v>-55.419944598337949</v>
      </c>
      <c r="AB257" s="6">
        <f t="shared" si="605"/>
        <v>-6.5025252525252526</v>
      </c>
      <c r="AC257" s="6">
        <f t="shared" si="605"/>
        <v>408.81128608923865</v>
      </c>
      <c r="AD257" s="6">
        <f t="shared" si="605"/>
        <v>-135.66435000000001</v>
      </c>
      <c r="AE257" s="6">
        <f t="shared" si="605"/>
        <v>-41.848979591836738</v>
      </c>
      <c r="AF257" s="6">
        <f t="shared" si="605"/>
        <v>484.0745591939546</v>
      </c>
      <c r="AG257" s="6">
        <f t="shared" si="605"/>
        <v>12.292944038929031</v>
      </c>
      <c r="AH257" s="6">
        <f t="shared" si="605"/>
        <v>-187.42982062780268</v>
      </c>
      <c r="AI257" s="6">
        <f t="shared" si="605"/>
        <v>111.29257884972171</v>
      </c>
      <c r="AJ257" s="6">
        <f t="shared" si="605"/>
        <v>275.17249070631971</v>
      </c>
      <c r="AK257" s="6">
        <f t="shared" si="605"/>
        <v>388.42003659999949</v>
      </c>
      <c r="AL257" s="6">
        <f t="shared" si="605"/>
        <v>-127.69669680618348</v>
      </c>
      <c r="AM257" s="6">
        <f t="shared" si="605"/>
        <v>469.76782285933672</v>
      </c>
      <c r="AN257" s="6">
        <f t="shared" si="605"/>
        <v>-152.88701612697812</v>
      </c>
      <c r="AO257" s="6">
        <f t="shared" si="605"/>
        <v>-234.03993406870663</v>
      </c>
      <c r="AP257" s="6">
        <f t="shared" si="605"/>
        <v>619.96559960182299</v>
      </c>
      <c r="AQ257" s="6">
        <f t="shared" si="605"/>
        <v>532.7963254367429</v>
      </c>
      <c r="AR257" s="6">
        <f t="shared" si="605"/>
        <v>342.32345071650235</v>
      </c>
      <c r="AS257" s="6">
        <f t="shared" si="605"/>
        <v>-605.597258341621</v>
      </c>
      <c r="AT257" s="6">
        <f t="shared" ref="AT257:AY257" si="606">AT78*AT222</f>
        <v>-121.08923750000002</v>
      </c>
      <c r="AU257" s="6">
        <f t="shared" si="606"/>
        <v>-28.286139319500926</v>
      </c>
      <c r="AV257" s="6">
        <f t="shared" si="606"/>
        <v>-9.584081874999967</v>
      </c>
      <c r="AW257" s="6">
        <f t="shared" si="606"/>
        <v>176.53642520000011</v>
      </c>
      <c r="AX257" s="6">
        <f t="shared" si="606"/>
        <v>-558.58399574619875</v>
      </c>
      <c r="AY257" s="6">
        <f t="shared" si="606"/>
        <v>349.59521969638723</v>
      </c>
      <c r="AZ257" s="6">
        <f>AZ78*AZ222</f>
        <v>-134.23366977928666</v>
      </c>
      <c r="BA257" s="6">
        <f>BA78*BA222</f>
        <v>-49.613676908025774</v>
      </c>
      <c r="BB257" s="6">
        <f>BB78*BB222</f>
        <v>-115.78657476310256</v>
      </c>
      <c r="BC257" s="6">
        <f>BC78*BC222</f>
        <v>107.85204070777623</v>
      </c>
      <c r="BD257" s="6">
        <f>BD78*BD222</f>
        <v>218.12621573017216</v>
      </c>
      <c r="BE257" s="6"/>
      <c r="BF257" s="269"/>
      <c r="BG257" s="214"/>
      <c r="BH257" s="214"/>
      <c r="BI257" s="214"/>
      <c r="BJ257" s="214"/>
      <c r="BK257" s="214"/>
      <c r="BM257" s="214"/>
      <c r="BN257" s="192"/>
      <c r="BO257" s="214"/>
      <c r="BP257" s="214"/>
      <c r="BQ257" s="192"/>
      <c r="BR257" s="192"/>
      <c r="BS257" s="192"/>
      <c r="BT257" s="214"/>
      <c r="BU257" s="214"/>
      <c r="BV257" s="192"/>
      <c r="BW257" s="192"/>
      <c r="BX257" s="192"/>
      <c r="BY257" s="192"/>
      <c r="BZ257" s="214"/>
      <c r="CA257" s="214"/>
      <c r="CB257" s="192"/>
      <c r="CC257" s="192"/>
      <c r="CD257" s="214"/>
      <c r="CE257" s="214"/>
      <c r="CF257" s="192"/>
      <c r="CG257" s="192"/>
      <c r="CH257" s="214"/>
      <c r="CI257" s="214"/>
      <c r="CJ257" s="192"/>
      <c r="CK257" s="192"/>
      <c r="CL257" s="214"/>
      <c r="CM257" s="214"/>
      <c r="CQ257" s="206"/>
    </row>
    <row r="258" spans="2:98" ht="13.5" customHeight="1">
      <c r="C258" s="47"/>
      <c r="D258" s="47"/>
      <c r="E258" s="47"/>
      <c r="F258" s="47"/>
      <c r="G258" s="47"/>
      <c r="H258" s="47"/>
      <c r="I258" s="47"/>
      <c r="J258" s="47"/>
      <c r="K258" s="47"/>
      <c r="L258" s="47"/>
      <c r="M258" s="47"/>
      <c r="N258" s="47"/>
      <c r="O258" s="47"/>
      <c r="P258" s="47"/>
      <c r="Q258" s="65"/>
      <c r="R258" s="65"/>
      <c r="S258" s="65"/>
      <c r="T258" s="65"/>
      <c r="U258" s="192"/>
      <c r="V258" s="65"/>
      <c r="W258" s="65"/>
      <c r="X258" s="65"/>
      <c r="Y258" s="65"/>
      <c r="Z258" s="65"/>
      <c r="AA258" s="65"/>
      <c r="AB258" s="65"/>
      <c r="AC258" s="65"/>
      <c r="AD258" s="65"/>
      <c r="AE258" s="65"/>
      <c r="AF258" s="65"/>
      <c r="AG258" s="65"/>
      <c r="AH258" s="65"/>
      <c r="AI258" s="65"/>
      <c r="AJ258" s="65"/>
      <c r="AK258" s="65"/>
      <c r="AL258" s="65"/>
      <c r="AM258" s="65"/>
      <c r="AN258" s="65"/>
      <c r="AO258" s="65"/>
      <c r="AP258" s="65"/>
      <c r="AQ258" s="65"/>
      <c r="AR258" s="65"/>
      <c r="AS258" s="65"/>
      <c r="AT258" s="65"/>
      <c r="AU258" s="65"/>
      <c r="AV258" s="65"/>
      <c r="AW258" s="65"/>
      <c r="AX258" s="65"/>
      <c r="AY258" s="65"/>
      <c r="AZ258" s="65"/>
      <c r="BA258" s="65"/>
      <c r="BB258" s="65"/>
      <c r="BC258" s="65"/>
      <c r="BD258" s="65"/>
      <c r="BE258" s="65"/>
      <c r="BF258" s="276"/>
      <c r="BG258" s="220"/>
      <c r="BH258" s="220"/>
      <c r="BI258" s="220"/>
      <c r="BJ258" s="220"/>
      <c r="BK258" s="220"/>
      <c r="BM258" s="220"/>
      <c r="BN258" s="192"/>
      <c r="BO258" s="220"/>
      <c r="BP258" s="220"/>
      <c r="BQ258" s="192"/>
      <c r="BR258" s="192"/>
      <c r="BS258" s="192"/>
      <c r="BT258" s="220"/>
      <c r="BU258" s="220"/>
      <c r="BV258" s="192"/>
      <c r="BW258" s="192"/>
      <c r="BX258" s="192"/>
      <c r="BY258" s="192"/>
      <c r="BZ258" s="220"/>
      <c r="CA258" s="220"/>
      <c r="CB258" s="192"/>
      <c r="CC258" s="192"/>
      <c r="CD258" s="220"/>
      <c r="CE258" s="220"/>
      <c r="CF258" s="192"/>
      <c r="CG258" s="192"/>
      <c r="CH258" s="220"/>
      <c r="CI258" s="220"/>
      <c r="CJ258" s="192"/>
      <c r="CK258" s="192"/>
      <c r="CL258" s="220"/>
      <c r="CM258" s="220"/>
      <c r="CQ258" s="206"/>
    </row>
    <row r="259" spans="2:98" ht="13.5" customHeight="1">
      <c r="B259" s="1" t="s">
        <v>109</v>
      </c>
      <c r="C259" s="361">
        <f t="shared" ref="C259:O259" si="607">C208*C$223</f>
        <v>999.54774436090224</v>
      </c>
      <c r="D259" s="361">
        <f t="shared" si="607"/>
        <v>1283.1307692307694</v>
      </c>
      <c r="E259" s="361">
        <f t="shared" si="607"/>
        <v>1619.2150306748465</v>
      </c>
      <c r="F259" s="361">
        <f t="shared" si="607"/>
        <v>1330.0160120845919</v>
      </c>
      <c r="G259" s="361">
        <f t="shared" si="607"/>
        <v>1330.0154078549847</v>
      </c>
      <c r="H259" s="361">
        <f t="shared" si="607"/>
        <v>1858.3214470284236</v>
      </c>
      <c r="I259" s="361">
        <f t="shared" si="607"/>
        <v>2086.8761786600494</v>
      </c>
      <c r="J259" s="361">
        <f t="shared" si="607"/>
        <v>2110.7385598621258</v>
      </c>
      <c r="K259" s="361">
        <f t="shared" si="607"/>
        <v>312.31375472602372</v>
      </c>
      <c r="L259" s="361">
        <f t="shared" si="607"/>
        <v>1210.9563107999998</v>
      </c>
      <c r="M259" s="361">
        <f t="shared" si="607"/>
        <v>1330.8036719999998</v>
      </c>
      <c r="N259" s="361">
        <f>N208*N$223</f>
        <v>731.11576936773611</v>
      </c>
      <c r="O259" s="361">
        <f t="shared" si="607"/>
        <v>1062.6100433973966</v>
      </c>
      <c r="P259" s="361"/>
      <c r="Q259" s="361">
        <f>Q208*Q$223</f>
        <v>1456.3123595505617</v>
      </c>
      <c r="R259" s="361">
        <f>R208*R$223</f>
        <v>1618.4280373831773</v>
      </c>
      <c r="S259" s="361">
        <f>S208*S$223</f>
        <v>1763.28</v>
      </c>
      <c r="T259" s="361">
        <f>T208*T$223</f>
        <v>1619.4604294478527</v>
      </c>
      <c r="U259" s="362"/>
      <c r="V259" s="361">
        <f t="shared" ref="V259:AB259" si="608">V208*V$223</f>
        <v>1799.5239747634068</v>
      </c>
      <c r="W259" s="361">
        <f t="shared" si="608"/>
        <v>1642.2791540785499</v>
      </c>
      <c r="X259" s="361">
        <f t="shared" si="608"/>
        <v>1427.2261829652998</v>
      </c>
      <c r="Y259" s="361">
        <f t="shared" si="608"/>
        <v>1330.0160120845924</v>
      </c>
      <c r="Z259" s="361">
        <f t="shared" si="608"/>
        <v>1765.0454819277106</v>
      </c>
      <c r="AA259" s="361">
        <f t="shared" si="608"/>
        <v>1466.291450777202</v>
      </c>
      <c r="AB259" s="361">
        <f t="shared" si="608"/>
        <v>1408.5337499999998</v>
      </c>
      <c r="AC259" s="361">
        <f t="shared" ref="AC259:AH259" si="609">AC208*AC$223</f>
        <v>1858.3219638242888</v>
      </c>
      <c r="AD259" s="361">
        <f t="shared" si="609"/>
        <v>1650.4652499999995</v>
      </c>
      <c r="AE259" s="361">
        <f t="shared" si="609"/>
        <v>1680.891122715404</v>
      </c>
      <c r="AF259" s="361">
        <f t="shared" si="609"/>
        <v>2009.5165865384608</v>
      </c>
      <c r="AG259" s="361">
        <f t="shared" si="609"/>
        <v>2086.8766749379643</v>
      </c>
      <c r="AH259" s="361">
        <f t="shared" si="609"/>
        <v>1456.5723076923068</v>
      </c>
      <c r="AI259" s="361">
        <f t="shared" ref="AI259:AN259" si="610">AI208*AI$223</f>
        <v>1491.6136861313862</v>
      </c>
      <c r="AJ259" s="361">
        <f t="shared" si="610"/>
        <v>1711.7856382978716</v>
      </c>
      <c r="AK259" s="361">
        <f t="shared" si="610"/>
        <v>2263.3089324999987</v>
      </c>
      <c r="AL259" s="361">
        <f t="shared" si="610"/>
        <v>1962.6455082805248</v>
      </c>
      <c r="AM259" s="361">
        <f t="shared" si="610"/>
        <v>2717.2850933676741</v>
      </c>
      <c r="AN259" s="361">
        <f t="shared" si="610"/>
        <v>550.06859191778574</v>
      </c>
      <c r="AO259" s="361">
        <f t="shared" ref="AO259:AT259" si="611">AO208*AO$223</f>
        <v>315.868445146581</v>
      </c>
      <c r="AP259" s="361">
        <f t="shared" si="611"/>
        <v>1039.3872837700198</v>
      </c>
      <c r="AQ259" s="361">
        <f t="shared" si="611"/>
        <v>1497.6170105686965</v>
      </c>
      <c r="AR259" s="361">
        <f t="shared" si="611"/>
        <v>1759.901293900185</v>
      </c>
      <c r="AS259" s="361">
        <f t="shared" si="611"/>
        <v>1210.9563107999998</v>
      </c>
      <c r="AT259" s="361">
        <f t="shared" si="611"/>
        <v>1133.5840138999997</v>
      </c>
      <c r="AU259" s="361">
        <f t="shared" ref="AU259:AZ259" si="612">AU208*AU$223</f>
        <v>1159.0059524999997</v>
      </c>
      <c r="AV259" s="361">
        <f t="shared" si="612"/>
        <v>1083.6690139999998</v>
      </c>
      <c r="AW259" s="361">
        <f t="shared" si="612"/>
        <v>1330.8036719999998</v>
      </c>
      <c r="AX259" s="361">
        <f t="shared" si="612"/>
        <v>736.47459925033877</v>
      </c>
      <c r="AY259" s="361">
        <f t="shared" si="612"/>
        <v>981.68244719999984</v>
      </c>
      <c r="AZ259" s="361">
        <f t="shared" si="612"/>
        <v>879.14244449999978</v>
      </c>
      <c r="BA259" s="361">
        <f>BA208*BA$223</f>
        <v>731.11576936773633</v>
      </c>
      <c r="BB259" s="361">
        <f>BB208*BB$223</f>
        <v>678.51696000000027</v>
      </c>
      <c r="BC259" s="361">
        <f>BC208*BC$223</f>
        <v>818.4478320000004</v>
      </c>
      <c r="BD259" s="361">
        <f>BD208*BD$223</f>
        <v>1062.6100433973966</v>
      </c>
      <c r="BE259" s="361"/>
      <c r="BF259" s="276"/>
      <c r="BG259" s="220"/>
      <c r="BH259" s="220"/>
      <c r="BI259" s="220"/>
      <c r="BJ259" s="220"/>
      <c r="BK259" s="220"/>
      <c r="BM259" s="220"/>
      <c r="BN259" s="192"/>
      <c r="BO259" s="220"/>
      <c r="BP259" s="220"/>
      <c r="BQ259" s="192"/>
      <c r="BR259" s="192"/>
      <c r="BS259" s="192"/>
      <c r="BT259" s="220"/>
      <c r="BU259" s="220"/>
      <c r="BV259" s="192"/>
      <c r="BW259" s="192"/>
      <c r="BX259" s="192"/>
      <c r="BY259" s="192"/>
      <c r="BZ259" s="220"/>
      <c r="CA259" s="220"/>
      <c r="CB259" s="192"/>
      <c r="CC259" s="192"/>
      <c r="CD259" s="220"/>
      <c r="CE259" s="220"/>
      <c r="CF259" s="192"/>
      <c r="CG259" s="192"/>
      <c r="CH259" s="220"/>
      <c r="CI259" s="220"/>
      <c r="CJ259" s="192"/>
      <c r="CK259" s="192"/>
      <c r="CL259" s="220"/>
      <c r="CM259" s="220"/>
      <c r="CQ259" s="206"/>
    </row>
    <row r="260" spans="2:98" ht="13.5" customHeight="1">
      <c r="C260" s="361"/>
      <c r="D260" s="361"/>
      <c r="E260" s="361"/>
      <c r="F260" s="361"/>
      <c r="G260" s="361"/>
      <c r="H260" s="361"/>
      <c r="I260" s="361"/>
      <c r="J260" s="361"/>
      <c r="K260" s="361"/>
      <c r="L260" s="361"/>
      <c r="M260" s="361"/>
      <c r="N260" s="361"/>
      <c r="O260" s="361"/>
      <c r="P260" s="361"/>
      <c r="Q260" s="361"/>
      <c r="R260" s="361"/>
      <c r="S260" s="361"/>
      <c r="T260" s="361"/>
      <c r="U260" s="362"/>
      <c r="V260" s="361"/>
      <c r="W260" s="361"/>
      <c r="X260" s="361"/>
      <c r="Y260" s="361"/>
      <c r="Z260" s="361"/>
      <c r="AA260" s="361"/>
      <c r="AB260" s="361"/>
      <c r="AC260" s="361"/>
      <c r="AD260" s="361"/>
      <c r="AE260" s="361"/>
      <c r="AF260" s="361"/>
      <c r="AG260" s="361"/>
      <c r="AH260" s="361"/>
      <c r="AI260" s="361"/>
      <c r="AJ260" s="361"/>
      <c r="AK260" s="361"/>
      <c r="AL260" s="361"/>
      <c r="AM260" s="361"/>
      <c r="AN260" s="361"/>
      <c r="AO260" s="361"/>
      <c r="AP260" s="361"/>
      <c r="AQ260" s="361"/>
      <c r="AR260" s="361"/>
      <c r="AS260" s="361"/>
      <c r="AT260" s="361"/>
      <c r="AU260" s="361"/>
      <c r="AV260" s="361"/>
      <c r="AW260" s="361"/>
      <c r="AX260" s="361"/>
      <c r="AY260" s="361"/>
      <c r="AZ260" s="361"/>
      <c r="BA260" s="361"/>
      <c r="BB260" s="361"/>
      <c r="BC260" s="361"/>
      <c r="BD260" s="361"/>
      <c r="BE260" s="361"/>
      <c r="BF260" s="276"/>
      <c r="BG260" s="220"/>
      <c r="BH260" s="220"/>
      <c r="BI260" s="220"/>
      <c r="BJ260" s="220"/>
      <c r="BK260" s="220"/>
      <c r="BM260" s="220"/>
      <c r="BN260" s="192"/>
      <c r="BO260" s="220"/>
      <c r="BP260" s="220"/>
      <c r="BQ260" s="192"/>
      <c r="BR260" s="192"/>
      <c r="BS260" s="192"/>
      <c r="BT260" s="220"/>
      <c r="BU260" s="220"/>
      <c r="BV260" s="192"/>
      <c r="BW260" s="192"/>
      <c r="BX260" s="192"/>
      <c r="BY260" s="192"/>
      <c r="BZ260" s="220"/>
      <c r="CA260" s="220"/>
      <c r="CB260" s="192"/>
      <c r="CC260" s="192"/>
      <c r="CD260" s="220"/>
      <c r="CE260" s="220"/>
      <c r="CF260" s="192"/>
      <c r="CG260" s="192"/>
      <c r="CH260" s="220"/>
      <c r="CI260" s="220"/>
      <c r="CJ260" s="192"/>
      <c r="CK260" s="192"/>
      <c r="CL260" s="220"/>
      <c r="CM260" s="220"/>
      <c r="CQ260" s="206"/>
    </row>
    <row r="261" spans="2:98" s="5" customFormat="1" ht="13.5" customHeight="1">
      <c r="B261" s="5" t="s">
        <v>164</v>
      </c>
      <c r="C261" s="54">
        <f t="shared" ref="C261:O261" si="613">C210*C$223</f>
        <v>3268.8011278195495</v>
      </c>
      <c r="D261" s="54">
        <f t="shared" si="613"/>
        <v>2086.207435897436</v>
      </c>
      <c r="E261" s="54">
        <f t="shared" si="613"/>
        <v>1986.5230061349696</v>
      </c>
      <c r="F261" s="54">
        <f t="shared" si="613"/>
        <v>2588.6646525679744</v>
      </c>
      <c r="G261" s="54">
        <f t="shared" si="613"/>
        <v>2588.6646525679757</v>
      </c>
      <c r="H261" s="54">
        <f t="shared" si="613"/>
        <v>2205.2770025839791</v>
      </c>
      <c r="I261" s="54">
        <f t="shared" si="613"/>
        <v>3516.5203473945407</v>
      </c>
      <c r="J261" s="54">
        <f t="shared" si="613"/>
        <v>2892.9176166454226</v>
      </c>
      <c r="K261" s="54">
        <f t="shared" si="613"/>
        <v>4065.5341959990769</v>
      </c>
      <c r="L261" s="54">
        <f t="shared" si="613"/>
        <v>8172.527014700001</v>
      </c>
      <c r="M261" s="54">
        <f t="shared" si="613"/>
        <v>7046.3809979999996</v>
      </c>
      <c r="N261" s="54">
        <f t="shared" si="613"/>
        <v>7083.4479911942781</v>
      </c>
      <c r="O261" s="54">
        <f t="shared" si="613"/>
        <v>8914.2615867290406</v>
      </c>
      <c r="P261" s="54"/>
      <c r="Q261" s="54">
        <f t="shared" ref="Q261:T262" si="614">Q210*Q$223</f>
        <v>2110.0587078651679</v>
      </c>
      <c r="R261" s="54">
        <f t="shared" si="614"/>
        <v>2049.0130841121495</v>
      </c>
      <c r="S261" s="54">
        <f t="shared" si="614"/>
        <v>2026.7184615384613</v>
      </c>
      <c r="T261" s="54">
        <f t="shared" si="614"/>
        <v>1986.5230061349696</v>
      </c>
      <c r="U261" s="198"/>
      <c r="V261" s="54">
        <f t="shared" ref="V261:BD261" si="615">V210*V$223</f>
        <v>2185.5473186119871</v>
      </c>
      <c r="W261" s="54">
        <f t="shared" si="615"/>
        <v>2266.166767371602</v>
      </c>
      <c r="X261" s="54">
        <f t="shared" si="615"/>
        <v>2389.3744479495272</v>
      </c>
      <c r="Y261" s="54">
        <f t="shared" si="615"/>
        <v>2588.6646525679744</v>
      </c>
      <c r="Z261" s="54">
        <f t="shared" si="615"/>
        <v>2055.3840361445787</v>
      </c>
      <c r="AA261" s="54">
        <f t="shared" si="615"/>
        <v>3536.1733160621761</v>
      </c>
      <c r="AB261" s="54">
        <f t="shared" si="615"/>
        <v>3561.4670000000006</v>
      </c>
      <c r="AC261" s="54">
        <f t="shared" si="615"/>
        <v>2203.9046511627907</v>
      </c>
      <c r="AD261" s="54">
        <f t="shared" si="615"/>
        <v>2641.5787499999988</v>
      </c>
      <c r="AE261" s="54">
        <f t="shared" si="615"/>
        <v>2867.8749347258477</v>
      </c>
      <c r="AF261" s="54">
        <f t="shared" si="615"/>
        <v>2813.2295673076919</v>
      </c>
      <c r="AG261" s="54">
        <f t="shared" si="615"/>
        <v>3516.5203473945407</v>
      </c>
      <c r="AH261" s="54">
        <f t="shared" si="615"/>
        <v>3962.5299999999993</v>
      </c>
      <c r="AI261" s="54">
        <f t="shared" si="615"/>
        <v>3379.8094890510947</v>
      </c>
      <c r="AJ261" s="54">
        <f t="shared" si="615"/>
        <v>3236.4164893617026</v>
      </c>
      <c r="AK261" s="54">
        <f t="shared" si="615"/>
        <v>3102.0256574999999</v>
      </c>
      <c r="AL261" s="54">
        <f t="shared" si="615"/>
        <v>3346.2008981663926</v>
      </c>
      <c r="AM261" s="54">
        <f t="shared" si="615"/>
        <v>3065.9242192530583</v>
      </c>
      <c r="AN261" s="54">
        <f t="shared" si="615"/>
        <v>2703.6138616603494</v>
      </c>
      <c r="AO261" s="54">
        <f t="shared" si="615"/>
        <v>4111.8072635226108</v>
      </c>
      <c r="AP261" s="54">
        <f t="shared" si="615"/>
        <v>4665.6261919631806</v>
      </c>
      <c r="AQ261" s="54">
        <f t="shared" si="615"/>
        <v>8106.0620959312446</v>
      </c>
      <c r="AR261" s="54">
        <f t="shared" si="615"/>
        <v>8077.5659889094286</v>
      </c>
      <c r="AS261" s="54">
        <f t="shared" si="615"/>
        <v>8172.527014700001</v>
      </c>
      <c r="AT261" s="54">
        <f t="shared" si="615"/>
        <v>8813.9854244000016</v>
      </c>
      <c r="AU261" s="54">
        <f t="shared" si="615"/>
        <v>8961.7104043000018</v>
      </c>
      <c r="AV261" s="54">
        <f t="shared" si="615"/>
        <v>6500.5068978000018</v>
      </c>
      <c r="AW261" s="54">
        <f t="shared" si="615"/>
        <v>7046.3809979999996</v>
      </c>
      <c r="AX261" s="54">
        <f t="shared" si="615"/>
        <v>7149.2355849748792</v>
      </c>
      <c r="AY261" s="54">
        <f t="shared" si="615"/>
        <v>7089.7118015999995</v>
      </c>
      <c r="AZ261" s="54">
        <f t="shared" si="615"/>
        <v>7152.5165820000002</v>
      </c>
      <c r="BA261" s="54">
        <f t="shared" si="615"/>
        <v>7083.4479911942781</v>
      </c>
      <c r="BB261" s="54">
        <f t="shared" si="615"/>
        <v>7726.8174719999979</v>
      </c>
      <c r="BC261" s="54">
        <f t="shared" si="615"/>
        <v>7940.2928720000027</v>
      </c>
      <c r="BD261" s="54">
        <f t="shared" si="615"/>
        <v>8914.2615867290406</v>
      </c>
      <c r="BE261" s="54"/>
      <c r="BF261" s="363"/>
      <c r="BG261" s="364"/>
      <c r="BH261" s="364"/>
      <c r="BI261" s="364"/>
      <c r="BJ261" s="364"/>
      <c r="BK261" s="364"/>
      <c r="BM261" s="364"/>
      <c r="BN261" s="188"/>
      <c r="BO261" s="364"/>
      <c r="BP261" s="364"/>
      <c r="BQ261" s="188"/>
      <c r="BR261" s="188"/>
      <c r="BS261" s="188"/>
      <c r="BT261" s="364"/>
      <c r="BU261" s="364"/>
      <c r="BV261" s="188"/>
      <c r="BW261" s="188"/>
      <c r="BX261" s="188"/>
      <c r="BY261" s="188"/>
      <c r="BZ261" s="364"/>
      <c r="CA261" s="364"/>
      <c r="CB261" s="188"/>
      <c r="CC261" s="188"/>
      <c r="CD261" s="364"/>
      <c r="CE261" s="364"/>
      <c r="CF261" s="188"/>
      <c r="CG261" s="188"/>
      <c r="CH261" s="364"/>
      <c r="CI261" s="364"/>
      <c r="CJ261" s="188"/>
      <c r="CK261" s="188"/>
      <c r="CL261" s="364"/>
      <c r="CM261" s="364"/>
      <c r="CN261" s="1"/>
      <c r="CO261" s="1"/>
      <c r="CP261" s="1"/>
      <c r="CQ261" s="206"/>
      <c r="CR261" s="1"/>
      <c r="CS261" s="1"/>
      <c r="CT261" s="1"/>
    </row>
    <row r="262" spans="2:98" ht="13.5" customHeight="1">
      <c r="B262" s="1" t="s">
        <v>165</v>
      </c>
      <c r="C262" s="361">
        <f t="shared" ref="C262:O262" si="616">C211*C$223</f>
        <v>4268.3488721804515</v>
      </c>
      <c r="D262" s="361">
        <f t="shared" si="616"/>
        <v>3369.3382051282056</v>
      </c>
      <c r="E262" s="361">
        <f t="shared" si="616"/>
        <v>3605.7380368098161</v>
      </c>
      <c r="F262" s="361">
        <f t="shared" si="616"/>
        <v>3918.680664652567</v>
      </c>
      <c r="G262" s="361">
        <f t="shared" si="616"/>
        <v>3918.6806646525674</v>
      </c>
      <c r="H262" s="361">
        <f t="shared" si="616"/>
        <v>4063.5989664082686</v>
      </c>
      <c r="I262" s="361">
        <f t="shared" si="616"/>
        <v>5603.3970223325068</v>
      </c>
      <c r="J262" s="361">
        <f t="shared" si="616"/>
        <v>5003.6565355546381</v>
      </c>
      <c r="K262" s="361">
        <f t="shared" si="616"/>
        <v>5556.6075580879342</v>
      </c>
      <c r="L262" s="361">
        <f t="shared" si="616"/>
        <v>12425.865005</v>
      </c>
      <c r="M262" s="361">
        <f t="shared" si="616"/>
        <v>11553.322333999999</v>
      </c>
      <c r="N262" s="361">
        <f t="shared" si="616"/>
        <v>10728.680112661466</v>
      </c>
      <c r="O262" s="361">
        <f t="shared" si="616"/>
        <v>13122.884329970508</v>
      </c>
      <c r="P262" s="361"/>
      <c r="Q262" s="361">
        <f t="shared" si="614"/>
        <v>3566.3710674157296</v>
      </c>
      <c r="R262" s="361">
        <f t="shared" si="614"/>
        <v>3667.441121495327</v>
      </c>
      <c r="S262" s="361">
        <f t="shared" si="614"/>
        <v>3789.9984615384615</v>
      </c>
      <c r="T262" s="361">
        <f t="shared" si="614"/>
        <v>3605.7380368098161</v>
      </c>
      <c r="U262" s="362"/>
      <c r="V262" s="361">
        <f t="shared" ref="V262:BD262" si="617">V211*V$223</f>
        <v>3985.0712933753939</v>
      </c>
      <c r="W262" s="361">
        <f t="shared" si="617"/>
        <v>3908.4459214501512</v>
      </c>
      <c r="X262" s="361">
        <f t="shared" si="617"/>
        <v>3816.600630914827</v>
      </c>
      <c r="Y262" s="361">
        <f t="shared" si="617"/>
        <v>3918.680664652567</v>
      </c>
      <c r="Z262" s="361">
        <f t="shared" si="617"/>
        <v>3820.4295180722897</v>
      </c>
      <c r="AA262" s="361">
        <f t="shared" si="617"/>
        <v>5002.4647668393791</v>
      </c>
      <c r="AB262" s="361">
        <f t="shared" si="617"/>
        <v>4970.0007500000002</v>
      </c>
      <c r="AC262" s="361">
        <f t="shared" si="617"/>
        <v>4062.2266149870802</v>
      </c>
      <c r="AD262" s="361">
        <f t="shared" si="617"/>
        <v>4292.043999999999</v>
      </c>
      <c r="AE262" s="361">
        <f t="shared" si="617"/>
        <v>4548.7660574412521</v>
      </c>
      <c r="AF262" s="361">
        <f t="shared" si="617"/>
        <v>4822.746153846153</v>
      </c>
      <c r="AG262" s="361">
        <f t="shared" si="617"/>
        <v>5603.3970223325068</v>
      </c>
      <c r="AH262" s="361">
        <f t="shared" si="617"/>
        <v>5419.1023076923066</v>
      </c>
      <c r="AI262" s="361">
        <f t="shared" si="617"/>
        <v>4871.4231751824809</v>
      </c>
      <c r="AJ262" s="361">
        <f t="shared" si="617"/>
        <v>4948.2021276595751</v>
      </c>
      <c r="AK262" s="361">
        <f t="shared" si="617"/>
        <v>5365.3345899999995</v>
      </c>
      <c r="AL262" s="361">
        <f t="shared" si="617"/>
        <v>5308.8464064469181</v>
      </c>
      <c r="AM262" s="361">
        <f t="shared" si="617"/>
        <v>5783.2095138441728</v>
      </c>
      <c r="AN262" s="361">
        <f t="shared" si="617"/>
        <v>5584.0683962046423</v>
      </c>
      <c r="AO262" s="361">
        <f t="shared" si="617"/>
        <v>5619.8517135522325</v>
      </c>
      <c r="AP262" s="361">
        <f t="shared" si="617"/>
        <v>7006.1361740653956</v>
      </c>
      <c r="AQ262" s="361">
        <f t="shared" si="617"/>
        <v>11757.970655414036</v>
      </c>
      <c r="AR262" s="361">
        <f t="shared" si="617"/>
        <v>11785.290573012941</v>
      </c>
      <c r="AS262" s="361">
        <f t="shared" si="617"/>
        <v>12425.865005</v>
      </c>
      <c r="AT262" s="361">
        <f t="shared" si="617"/>
        <v>12663.786671899999</v>
      </c>
      <c r="AU262" s="361">
        <f t="shared" si="617"/>
        <v>12858.176417300001</v>
      </c>
      <c r="AV262" s="361">
        <f t="shared" si="617"/>
        <v>11069.800440400002</v>
      </c>
      <c r="AW262" s="361">
        <f t="shared" si="617"/>
        <v>11553.322333999999</v>
      </c>
      <c r="AX262" s="361">
        <f t="shared" si="617"/>
        <v>11288.830847755005</v>
      </c>
      <c r="AY262" s="361">
        <f t="shared" si="617"/>
        <v>11014.428838799999</v>
      </c>
      <c r="AZ262" s="361">
        <f t="shared" si="617"/>
        <v>10792.395424</v>
      </c>
      <c r="BA262" s="361">
        <f t="shared" si="617"/>
        <v>10728.680112661466</v>
      </c>
      <c r="BB262" s="361">
        <f t="shared" si="617"/>
        <v>11242.724063999996</v>
      </c>
      <c r="BC262" s="361">
        <f t="shared" si="617"/>
        <v>12146.882357600003</v>
      </c>
      <c r="BD262" s="361">
        <f t="shared" si="617"/>
        <v>13122.884329970508</v>
      </c>
      <c r="BE262" s="361"/>
      <c r="BF262" s="276"/>
      <c r="BG262" s="220"/>
      <c r="BH262" s="220"/>
      <c r="BI262" s="220"/>
      <c r="BJ262" s="220"/>
      <c r="BK262" s="220"/>
      <c r="BM262" s="220"/>
      <c r="BN262" s="192"/>
      <c r="BO262" s="220"/>
      <c r="BP262" s="220"/>
      <c r="BQ262" s="192"/>
      <c r="BR262" s="192"/>
      <c r="BS262" s="192"/>
      <c r="BT262" s="220"/>
      <c r="BU262" s="220"/>
      <c r="BV262" s="192"/>
      <c r="BW262" s="192"/>
      <c r="BX262" s="192"/>
      <c r="BY262" s="192"/>
      <c r="BZ262" s="220"/>
      <c r="CA262" s="220"/>
      <c r="CB262" s="192"/>
      <c r="CC262" s="192"/>
      <c r="CD262" s="220"/>
      <c r="CE262" s="220"/>
      <c r="CF262" s="192"/>
      <c r="CG262" s="192"/>
      <c r="CH262" s="220"/>
      <c r="CI262" s="220"/>
      <c r="CJ262" s="192"/>
      <c r="CK262" s="192"/>
      <c r="CL262" s="220"/>
      <c r="CM262" s="220"/>
      <c r="CQ262" s="206"/>
    </row>
    <row r="263" spans="2:98" ht="13.5" customHeight="1">
      <c r="C263" s="361"/>
      <c r="D263" s="361"/>
      <c r="E263" s="361"/>
      <c r="F263" s="361"/>
      <c r="G263" s="361"/>
      <c r="H263" s="361"/>
      <c r="I263" s="361"/>
      <c r="J263" s="361"/>
      <c r="K263" s="361"/>
      <c r="L263" s="361"/>
      <c r="M263" s="361"/>
      <c r="N263" s="361"/>
      <c r="O263" s="361"/>
      <c r="P263" s="361"/>
      <c r="Q263" s="361"/>
      <c r="R263" s="361"/>
      <c r="S263" s="361"/>
      <c r="T263" s="361"/>
      <c r="U263" s="362"/>
      <c r="V263" s="361"/>
      <c r="W263" s="361"/>
      <c r="X263" s="361"/>
      <c r="Y263" s="361"/>
      <c r="Z263" s="361"/>
      <c r="AA263" s="361"/>
      <c r="AB263" s="361"/>
      <c r="AC263" s="361"/>
      <c r="AD263" s="361"/>
      <c r="AE263" s="361"/>
      <c r="AF263" s="361"/>
      <c r="AG263" s="361"/>
      <c r="AH263" s="361"/>
      <c r="AI263" s="361"/>
      <c r="AJ263" s="361"/>
      <c r="AK263" s="361"/>
      <c r="AL263" s="361"/>
      <c r="AM263" s="361"/>
      <c r="AN263" s="361"/>
      <c r="AO263" s="361"/>
      <c r="AP263" s="361"/>
      <c r="AQ263" s="361"/>
      <c r="AR263" s="361"/>
      <c r="AS263" s="361"/>
      <c r="AT263" s="361"/>
      <c r="AU263" s="361"/>
      <c r="AV263" s="361"/>
      <c r="AW263" s="361"/>
      <c r="AX263" s="361"/>
      <c r="AY263" s="361"/>
      <c r="AZ263" s="361"/>
      <c r="BA263" s="361"/>
      <c r="BB263" s="361"/>
      <c r="BC263" s="361"/>
      <c r="BD263" s="361"/>
      <c r="BE263" s="361"/>
      <c r="BF263" s="276"/>
      <c r="BG263" s="220"/>
      <c r="BH263" s="220"/>
      <c r="BI263" s="220"/>
      <c r="BJ263" s="220"/>
      <c r="BK263" s="220"/>
      <c r="BM263" s="220"/>
      <c r="BN263" s="192"/>
      <c r="BO263" s="220"/>
      <c r="BP263" s="220"/>
      <c r="BQ263" s="192"/>
      <c r="BR263" s="192"/>
      <c r="BS263" s="192"/>
      <c r="BT263" s="220"/>
      <c r="BU263" s="220"/>
      <c r="BV263" s="192"/>
      <c r="BW263" s="192"/>
      <c r="BX263" s="192"/>
      <c r="BY263" s="192"/>
      <c r="BZ263" s="220"/>
      <c r="CA263" s="220"/>
      <c r="CB263" s="192"/>
      <c r="CC263" s="192"/>
      <c r="CD263" s="220"/>
      <c r="CE263" s="220"/>
      <c r="CF263" s="192"/>
      <c r="CG263" s="192"/>
      <c r="CH263" s="220"/>
      <c r="CI263" s="220"/>
      <c r="CJ263" s="192"/>
      <c r="CK263" s="192"/>
      <c r="CL263" s="220"/>
      <c r="CM263" s="220"/>
      <c r="CQ263" s="206"/>
    </row>
    <row r="264" spans="2:98" ht="13.5" customHeight="1">
      <c r="B264" s="1" t="str">
        <f>B148</f>
        <v xml:space="preserve">Reported Net debt </v>
      </c>
      <c r="C264" s="361">
        <f t="shared" ref="C264:BA264" si="618">C148*C$223</f>
        <v>3158.6947368421052</v>
      </c>
      <c r="D264" s="361">
        <f t="shared" si="618"/>
        <v>1825.1020512820517</v>
      </c>
      <c r="E264" s="361">
        <f t="shared" si="618"/>
        <v>1801.1533742331289</v>
      </c>
      <c r="F264" s="361">
        <f t="shared" si="618"/>
        <v>2424.4244712990935</v>
      </c>
      <c r="G264" s="361">
        <f t="shared" si="618"/>
        <v>2424.4244712990935</v>
      </c>
      <c r="H264" s="361">
        <f t="shared" si="618"/>
        <v>2077.9441860465117</v>
      </c>
      <c r="I264" s="361">
        <f t="shared" si="618"/>
        <v>3301.7784119106695</v>
      </c>
      <c r="J264" s="361">
        <f t="shared" si="618"/>
        <v>2702.3136994416818</v>
      </c>
      <c r="K264" s="361">
        <f t="shared" si="618"/>
        <v>3891.8540213358892</v>
      </c>
      <c r="L264" s="361">
        <f t="shared" si="618"/>
        <v>7314.4367878000003</v>
      </c>
      <c r="M264" s="361">
        <f t="shared" si="618"/>
        <v>7113.1855619999997</v>
      </c>
      <c r="N264" s="361">
        <f t="shared" si="618"/>
        <v>6287.3605490627724</v>
      </c>
      <c r="O264" s="361">
        <f t="shared" si="618"/>
        <v>7768.133911965283</v>
      </c>
      <c r="P264" s="361"/>
      <c r="Q264" s="361">
        <f t="shared" si="618"/>
        <v>1831.4207865168542</v>
      </c>
      <c r="R264" s="361">
        <f t="shared" si="618"/>
        <v>1798.3785046728972</v>
      </c>
      <c r="S264" s="361">
        <f t="shared" si="618"/>
        <v>1801.247076923077</v>
      </c>
      <c r="T264" s="361">
        <f t="shared" si="618"/>
        <v>1801.1533742331289</v>
      </c>
      <c r="U264" s="361">
        <f t="shared" si="618"/>
        <v>0</v>
      </c>
      <c r="V264" s="361">
        <f t="shared" si="618"/>
        <v>1936.7529968454257</v>
      </c>
      <c r="W264" s="361">
        <f t="shared" si="618"/>
        <v>2024.2480362537765</v>
      </c>
      <c r="X264" s="361">
        <f t="shared" si="618"/>
        <v>2220.040694006309</v>
      </c>
      <c r="Y264" s="361">
        <f t="shared" si="618"/>
        <v>2424.4244712990935</v>
      </c>
      <c r="Z264" s="361">
        <f t="shared" si="618"/>
        <v>1907.7418674698797</v>
      </c>
      <c r="AA264" s="361">
        <f t="shared" si="618"/>
        <v>3400.0989637305702</v>
      </c>
      <c r="AB264" s="361">
        <f t="shared" si="618"/>
        <v>3425.9540000000002</v>
      </c>
      <c r="AC264" s="361">
        <f t="shared" si="618"/>
        <v>2077.9441860465117</v>
      </c>
      <c r="AD264" s="361">
        <f t="shared" si="618"/>
        <v>2422.7682500000001</v>
      </c>
      <c r="AE264" s="361">
        <f t="shared" si="618"/>
        <v>2640.360052219321</v>
      </c>
      <c r="AF264" s="361">
        <f t="shared" si="618"/>
        <v>2578.1658653846152</v>
      </c>
      <c r="AG264" s="361">
        <f t="shared" si="618"/>
        <v>3301.7784119106695</v>
      </c>
      <c r="AH264" s="361">
        <f t="shared" si="618"/>
        <v>3727.9440384615382</v>
      </c>
      <c r="AI264" s="361">
        <f t="shared" si="618"/>
        <v>3171.9492700729925</v>
      </c>
      <c r="AJ264" s="361">
        <f t="shared" si="618"/>
        <v>3039.0241134751777</v>
      </c>
      <c r="AK264" s="361">
        <f t="shared" si="618"/>
        <v>2897.6443650000001</v>
      </c>
      <c r="AL264" s="361">
        <f t="shared" si="618"/>
        <v>3150.1622379608425</v>
      </c>
      <c r="AM264" s="361">
        <f t="shared" si="618"/>
        <v>2893.1095057952352</v>
      </c>
      <c r="AN264" s="361">
        <f t="shared" si="618"/>
        <v>2535.5069801277309</v>
      </c>
      <c r="AO264" s="361">
        <f t="shared" si="618"/>
        <v>3936.1502971114664</v>
      </c>
      <c r="AP264" s="361">
        <f t="shared" si="618"/>
        <v>4436.3035833294916</v>
      </c>
      <c r="AQ264" s="361">
        <f t="shared" si="618"/>
        <v>7297.1601951143975</v>
      </c>
      <c r="AR264" s="361">
        <f t="shared" si="618"/>
        <v>7263.0508317929771</v>
      </c>
      <c r="AS264" s="361">
        <f t="shared" si="618"/>
        <v>7314.4367878000003</v>
      </c>
      <c r="AT264" s="361">
        <f t="shared" si="618"/>
        <v>7895.8687314000008</v>
      </c>
      <c r="AU264" s="361">
        <f t="shared" si="618"/>
        <v>8190.5939024999998</v>
      </c>
      <c r="AV264" s="361">
        <f t="shared" si="618"/>
        <v>6515.4773874000011</v>
      </c>
      <c r="AW264" s="361">
        <f t="shared" si="618"/>
        <v>7113.1855619999997</v>
      </c>
      <c r="AX264" s="361">
        <f t="shared" si="618"/>
        <v>7219.2248185660746</v>
      </c>
      <c r="AY264" s="361">
        <f t="shared" si="618"/>
        <v>7209.7994243999992</v>
      </c>
      <c r="AZ264" s="361">
        <f t="shared" si="618"/>
        <v>7305.2652849999995</v>
      </c>
      <c r="BA264" s="361">
        <f t="shared" si="618"/>
        <v>6287.3605490627724</v>
      </c>
      <c r="BB264" s="361">
        <f t="shared" ref="BB264:BD265" si="619">BB148*BB$223</f>
        <v>6710</v>
      </c>
      <c r="BC264" s="361">
        <f t="shared" si="619"/>
        <v>6889.4192000000003</v>
      </c>
      <c r="BD264" s="361">
        <f t="shared" si="619"/>
        <v>7768.133911965283</v>
      </c>
      <c r="BE264" s="361"/>
      <c r="BF264" s="276"/>
      <c r="BG264" s="220"/>
      <c r="BH264" s="220"/>
      <c r="BI264" s="220"/>
      <c r="BJ264" s="220"/>
      <c r="BK264" s="220"/>
      <c r="BM264" s="220"/>
      <c r="BN264" s="192"/>
      <c r="BO264" s="220"/>
      <c r="BP264" s="220"/>
      <c r="BQ264" s="192"/>
      <c r="BR264" s="192"/>
      <c r="BS264" s="192"/>
      <c r="BT264" s="220"/>
      <c r="BU264" s="220"/>
      <c r="BV264" s="192"/>
      <c r="BW264" s="192"/>
      <c r="BX264" s="192"/>
      <c r="BY264" s="192"/>
      <c r="BZ264" s="220"/>
      <c r="CA264" s="220"/>
      <c r="CB264" s="192"/>
      <c r="CC264" s="192"/>
      <c r="CD264" s="220"/>
      <c r="CE264" s="220"/>
      <c r="CF264" s="192"/>
      <c r="CG264" s="192"/>
      <c r="CH264" s="220"/>
      <c r="CI264" s="220"/>
      <c r="CJ264" s="192"/>
      <c r="CK264" s="192"/>
      <c r="CL264" s="220"/>
      <c r="CM264" s="220"/>
      <c r="CQ264" s="206"/>
    </row>
    <row r="265" spans="2:98" ht="13.5" customHeight="1">
      <c r="B265" s="1" t="str">
        <f>B149</f>
        <v>Reported adjusted net debt (effect of FX variation)</v>
      </c>
      <c r="C265" s="361">
        <f t="shared" ref="C265:BA265" si="620">C149*C$223</f>
        <v>2166.874060150376</v>
      </c>
      <c r="D265" s="361">
        <f t="shared" si="620"/>
        <v>435.60282051282059</v>
      </c>
      <c r="E265" s="361">
        <f t="shared" si="620"/>
        <v>1158.7377300613498</v>
      </c>
      <c r="F265" s="361">
        <f t="shared" si="620"/>
        <v>2143.3311178247736</v>
      </c>
      <c r="G265" s="361">
        <f t="shared" si="620"/>
        <v>2143.3311178247736</v>
      </c>
      <c r="H265" s="361">
        <f t="shared" si="620"/>
        <v>1399.4211886304909</v>
      </c>
      <c r="I265" s="361">
        <f t="shared" si="620"/>
        <v>2822.7215880893295</v>
      </c>
      <c r="J265" s="361">
        <f t="shared" si="620"/>
        <v>1680.0540365868985</v>
      </c>
      <c r="K265" s="361">
        <f t="shared" si="620"/>
        <v>3405.6857837655539</v>
      </c>
      <c r="L265" s="361">
        <f t="shared" si="620"/>
        <v>6373.6945437999993</v>
      </c>
      <c r="M265" s="361">
        <f t="shared" si="620"/>
        <v>6992.7913339999996</v>
      </c>
      <c r="N265" s="361">
        <f t="shared" si="620"/>
        <v>4934.1796432386927</v>
      </c>
      <c r="O265" s="361">
        <f t="shared" si="620"/>
        <v>7300.77589284037</v>
      </c>
      <c r="P265" s="361"/>
      <c r="Q265" s="361">
        <f t="shared" si="620"/>
        <v>589.87724719101129</v>
      </c>
      <c r="R265" s="361">
        <f t="shared" si="620"/>
        <v>1061.6146417445482</v>
      </c>
      <c r="S265" s="361">
        <f t="shared" si="620"/>
        <v>1082.9772307692308</v>
      </c>
      <c r="T265" s="361">
        <f t="shared" si="620"/>
        <v>1158.7377300613498</v>
      </c>
      <c r="U265" s="361">
        <f t="shared" si="620"/>
        <v>0</v>
      </c>
      <c r="V265" s="361">
        <f t="shared" si="620"/>
        <v>1692.5864353312302</v>
      </c>
      <c r="W265" s="361">
        <f t="shared" si="620"/>
        <v>1753.1570996978851</v>
      </c>
      <c r="X265" s="361">
        <f t="shared" si="620"/>
        <v>2087.3861198738168</v>
      </c>
      <c r="Y265" s="361">
        <f t="shared" si="620"/>
        <v>2143.3311178247736</v>
      </c>
      <c r="Z265" s="361">
        <f t="shared" si="620"/>
        <v>1632.1993975903615</v>
      </c>
      <c r="AA265" s="361">
        <f t="shared" si="620"/>
        <v>2700.6233160621769</v>
      </c>
      <c r="AB265" s="361">
        <f t="shared" si="620"/>
        <v>2588.5100000000002</v>
      </c>
      <c r="AC265" s="361">
        <f t="shared" si="620"/>
        <v>1399.4211886304909</v>
      </c>
      <c r="AD265" s="361">
        <f t="shared" si="620"/>
        <v>1747.1685</v>
      </c>
      <c r="AE265" s="361">
        <f t="shared" si="620"/>
        <v>2316.8114882506529</v>
      </c>
      <c r="AF265" s="361">
        <f t="shared" si="620"/>
        <v>1950.6120192307692</v>
      </c>
      <c r="AG265" s="361">
        <f t="shared" si="620"/>
        <v>2822.7215880893295</v>
      </c>
      <c r="AH265" s="361">
        <f t="shared" si="620"/>
        <v>2315.290769230769</v>
      </c>
      <c r="AI265" s="361">
        <f t="shared" si="620"/>
        <v>1909.7749999999999</v>
      </c>
      <c r="AJ265" s="361">
        <f t="shared" si="620"/>
        <v>1701.9843971631205</v>
      </c>
      <c r="AK265" s="361">
        <f t="shared" si="620"/>
        <v>1801.4929625000002</v>
      </c>
      <c r="AL265" s="361">
        <f t="shared" si="620"/>
        <v>2360.2412269023907</v>
      </c>
      <c r="AM265" s="361">
        <f t="shared" si="620"/>
        <v>2718.0684562137799</v>
      </c>
      <c r="AN265" s="361">
        <f t="shared" si="620"/>
        <v>2049.0754400314622</v>
      </c>
      <c r="AO265" s="361">
        <f t="shared" si="620"/>
        <v>3444.4485934330291</v>
      </c>
      <c r="AP265" s="361">
        <f t="shared" si="620"/>
        <v>4668.4324138538086</v>
      </c>
      <c r="AQ265" s="361">
        <f t="shared" si="620"/>
        <v>6282.7447640432047</v>
      </c>
      <c r="AR265" s="361">
        <f t="shared" si="620"/>
        <v>6034.1866913123849</v>
      </c>
      <c r="AS265" s="361">
        <f t="shared" si="620"/>
        <v>6373.6945437999993</v>
      </c>
      <c r="AT265" s="361">
        <f t="shared" si="620"/>
        <v>7198.2493505000002</v>
      </c>
      <c r="AU265" s="361">
        <f t="shared" si="620"/>
        <v>7962.6467481999998</v>
      </c>
      <c r="AV265" s="361">
        <f t="shared" si="620"/>
        <v>6020.0294924</v>
      </c>
      <c r="AW265" s="361">
        <f t="shared" si="620"/>
        <v>6992.7913339999996</v>
      </c>
      <c r="AX265" s="361">
        <f t="shared" si="620"/>
        <v>6873.656990190605</v>
      </c>
      <c r="AY265" s="361">
        <f t="shared" si="620"/>
        <v>6215.1380639999998</v>
      </c>
      <c r="AZ265" s="361">
        <f t="shared" si="620"/>
        <v>6456.6755905</v>
      </c>
      <c r="BA265" s="361">
        <f t="shared" si="620"/>
        <v>4934.1796432386927</v>
      </c>
      <c r="BB265" s="361">
        <f t="shared" si="619"/>
        <v>5755.1457919999993</v>
      </c>
      <c r="BC265" s="361">
        <f t="shared" si="619"/>
        <v>6225.1818000000003</v>
      </c>
      <c r="BD265" s="361">
        <f t="shared" si="619"/>
        <v>7300.77589284037</v>
      </c>
      <c r="BE265" s="361"/>
      <c r="BF265" s="276"/>
      <c r="BG265" s="220"/>
      <c r="BH265" s="220"/>
      <c r="BI265" s="220"/>
      <c r="BJ265" s="220"/>
      <c r="BK265" s="220"/>
      <c r="BM265" s="220"/>
      <c r="BN265" s="192"/>
      <c r="BO265" s="220"/>
      <c r="BP265" s="220"/>
      <c r="BQ265" s="192"/>
      <c r="BR265" s="192"/>
      <c r="BS265" s="192"/>
      <c r="BT265" s="220"/>
      <c r="BU265" s="220"/>
      <c r="BV265" s="192"/>
      <c r="BW265" s="192"/>
      <c r="BX265" s="192"/>
      <c r="BY265" s="192"/>
      <c r="BZ265" s="220"/>
      <c r="CA265" s="220"/>
      <c r="CB265" s="192"/>
      <c r="CC265" s="192"/>
      <c r="CD265" s="220"/>
      <c r="CE265" s="220"/>
      <c r="CF265" s="192"/>
      <c r="CG265" s="192"/>
      <c r="CH265" s="220"/>
      <c r="CI265" s="220"/>
      <c r="CJ265" s="192"/>
      <c r="CK265" s="192"/>
      <c r="CL265" s="220"/>
      <c r="CM265" s="220"/>
      <c r="CQ265" s="206"/>
    </row>
    <row r="266" spans="2:98" ht="13.5" customHeight="1">
      <c r="C266" s="47"/>
      <c r="D266" s="47"/>
      <c r="E266" s="47"/>
      <c r="F266" s="47"/>
      <c r="G266" s="47"/>
      <c r="H266" s="47"/>
      <c r="I266" s="47"/>
      <c r="J266" s="47"/>
      <c r="K266" s="47"/>
      <c r="L266" s="47"/>
      <c r="M266" s="47"/>
      <c r="N266" s="47"/>
      <c r="O266" s="47"/>
      <c r="P266" s="47"/>
      <c r="Q266" s="65"/>
      <c r="R266" s="65"/>
      <c r="S266" s="65"/>
      <c r="T266" s="65"/>
      <c r="U266" s="192"/>
      <c r="V266" s="65"/>
      <c r="W266" s="65"/>
      <c r="X266" s="65"/>
      <c r="Y266" s="65"/>
      <c r="Z266" s="65"/>
      <c r="AA266" s="65"/>
      <c r="AB266" s="65"/>
      <c r="AC266" s="65"/>
      <c r="AD266" s="65"/>
      <c r="AE266" s="65"/>
      <c r="AF266" s="65"/>
      <c r="AG266" s="65"/>
      <c r="AH266" s="65"/>
      <c r="AI266" s="65"/>
      <c r="AJ266" s="65"/>
      <c r="AK266" s="65"/>
      <c r="AL266" s="65"/>
      <c r="AM266" s="65"/>
      <c r="AN266" s="65"/>
      <c r="AO266" s="65"/>
      <c r="AP266" s="65"/>
      <c r="AQ266" s="65"/>
      <c r="AR266" s="65"/>
      <c r="AS266" s="65"/>
      <c r="AT266" s="65"/>
      <c r="AU266" s="65"/>
      <c r="AV266" s="65"/>
      <c r="AW266" s="65"/>
      <c r="AX266" s="65"/>
      <c r="AY266" s="65"/>
      <c r="AZ266" s="65"/>
      <c r="BA266" s="65"/>
      <c r="BB266" s="65"/>
      <c r="BC266" s="65"/>
      <c r="BD266" s="65"/>
      <c r="BE266" s="65"/>
      <c r="BF266" s="276"/>
      <c r="BG266" s="220"/>
      <c r="BH266" s="220"/>
      <c r="BI266" s="220"/>
      <c r="BJ266" s="220"/>
      <c r="BK266" s="220"/>
      <c r="BM266" s="220"/>
      <c r="BN266" s="192"/>
      <c r="BO266" s="220"/>
      <c r="BP266" s="220"/>
      <c r="BQ266" s="192"/>
      <c r="BR266" s="192"/>
      <c r="BS266" s="192"/>
      <c r="BT266" s="220"/>
      <c r="BU266" s="220"/>
      <c r="BV266" s="192"/>
      <c r="BW266" s="192"/>
      <c r="BX266" s="192"/>
      <c r="BY266" s="192"/>
      <c r="BZ266" s="220"/>
      <c r="CA266" s="220"/>
      <c r="CB266" s="192"/>
      <c r="CC266" s="192"/>
      <c r="CD266" s="220"/>
      <c r="CE266" s="220"/>
      <c r="CF266" s="192"/>
      <c r="CG266" s="192"/>
      <c r="CH266" s="220"/>
      <c r="CI266" s="220"/>
      <c r="CJ266" s="192"/>
      <c r="CK266" s="192"/>
      <c r="CL266" s="220"/>
      <c r="CM266" s="220"/>
      <c r="CQ266" s="206"/>
    </row>
    <row r="267" spans="2:98" s="5" customFormat="1" ht="13.5" customHeight="1">
      <c r="B267" s="5" t="str">
        <f>+B158</f>
        <v>Total Net Leverage</v>
      </c>
      <c r="C267" s="48">
        <f>+C261/C239</f>
        <v>5.6750880654067881</v>
      </c>
      <c r="D267" s="48">
        <f t="shared" ref="D267:K267" si="621">+D261/D295</f>
        <v>3.9884434272238272</v>
      </c>
      <c r="E267" s="48">
        <f t="shared" si="621"/>
        <v>4.2963161005211896</v>
      </c>
      <c r="F267" s="48">
        <f t="shared" si="621"/>
        <v>4.8353672805315835</v>
      </c>
      <c r="G267" s="48">
        <f t="shared" si="621"/>
        <v>10.439747461051633</v>
      </c>
      <c r="H267" s="48">
        <f t="shared" si="621"/>
        <v>3.094679376944069</v>
      </c>
      <c r="I267" s="48">
        <f t="shared" si="621"/>
        <v>2.8792789211833938</v>
      </c>
      <c r="J267" s="48">
        <f t="shared" si="621"/>
        <v>1.5455379399039817</v>
      </c>
      <c r="K267" s="48">
        <f t="shared" si="621"/>
        <v>1.5084741979709446</v>
      </c>
      <c r="L267" s="48">
        <f>+L261/L295</f>
        <v>3.3028494230166445</v>
      </c>
      <c r="M267" s="48">
        <f>+M261/M295</f>
        <v>4.2023288672336259</v>
      </c>
      <c r="N267" s="48">
        <f>+N261/N295</f>
        <v>2.7991613968427824</v>
      </c>
      <c r="O267" s="48">
        <f>+O261/O295</f>
        <v>3.7028823209614901</v>
      </c>
      <c r="P267" s="48"/>
      <c r="Q267" s="48"/>
      <c r="R267" s="48"/>
      <c r="S267" s="48"/>
      <c r="T267" s="48">
        <f>T158</f>
        <v>4.013177790171655</v>
      </c>
      <c r="U267" s="188"/>
      <c r="V267" s="48">
        <f t="shared" ref="V267:BD267" si="622">+V261/SUM(S239:V239)</f>
        <v>8.1306339083466082</v>
      </c>
      <c r="W267" s="48">
        <f t="shared" si="622"/>
        <v>8.0275693323070012</v>
      </c>
      <c r="X267" s="48">
        <f t="shared" si="622"/>
        <v>7.5175079971053407</v>
      </c>
      <c r="Y267" s="48">
        <f t="shared" si="622"/>
        <v>5.4436627806125015</v>
      </c>
      <c r="Z267" s="48">
        <f t="shared" si="622"/>
        <v>4.208357430670433</v>
      </c>
      <c r="AA267" s="48">
        <f t="shared" si="622"/>
        <v>7.1452839448378755</v>
      </c>
      <c r="AB267" s="48">
        <f t="shared" si="622"/>
        <v>5.8140694736474483</v>
      </c>
      <c r="AC267" s="48">
        <f t="shared" si="622"/>
        <v>3.2080588783537247</v>
      </c>
      <c r="AD267" s="48">
        <f t="shared" si="622"/>
        <v>3.4446055634437194</v>
      </c>
      <c r="AE267" s="48">
        <f t="shared" si="622"/>
        <v>3.1084987757399341</v>
      </c>
      <c r="AF267" s="48">
        <f t="shared" si="622"/>
        <v>2.7380796431499932</v>
      </c>
      <c r="AG267" s="48">
        <f t="shared" si="622"/>
        <v>2.9575588808488886</v>
      </c>
      <c r="AH267" s="48">
        <f t="shared" si="622"/>
        <v>2.9818357111558877</v>
      </c>
      <c r="AI267" s="48">
        <f t="shared" si="622"/>
        <v>1.8774611830640155</v>
      </c>
      <c r="AJ267" s="48">
        <f t="shared" si="622"/>
        <v>1.7677621275804902</v>
      </c>
      <c r="AK267" s="48">
        <f t="shared" si="622"/>
        <v>1.698369972995101</v>
      </c>
      <c r="AL267" s="48">
        <f t="shared" si="622"/>
        <v>1.7955404386298599</v>
      </c>
      <c r="AM267" s="48">
        <f t="shared" si="622"/>
        <v>1.6468672605886672</v>
      </c>
      <c r="AN267" s="48">
        <f t="shared" si="622"/>
        <v>1.1514272577983153</v>
      </c>
      <c r="AO267" s="48">
        <f t="shared" si="622"/>
        <v>1.4892754278332134</v>
      </c>
      <c r="AP267" s="48">
        <f t="shared" si="622"/>
        <v>1.5645050086952941</v>
      </c>
      <c r="AQ267" s="48">
        <f t="shared" si="622"/>
        <v>2.7079514985969309</v>
      </c>
      <c r="AR267" s="48">
        <f t="shared" si="622"/>
        <v>2.8578333253898407</v>
      </c>
      <c r="AS267" s="48">
        <f t="shared" si="622"/>
        <v>3.327188502621822</v>
      </c>
      <c r="AT267" s="48">
        <f t="shared" si="622"/>
        <v>3.9845123216022023</v>
      </c>
      <c r="AU267" s="48">
        <f t="shared" si="622"/>
        <v>4.8552031803467415</v>
      </c>
      <c r="AV267" s="48">
        <f t="shared" si="622"/>
        <v>4.009901907628417</v>
      </c>
      <c r="AW267" s="48">
        <f t="shared" si="622"/>
        <v>4.1949680644662539</v>
      </c>
      <c r="AX267" s="48">
        <f t="shared" si="622"/>
        <v>3.7126542529428881</v>
      </c>
      <c r="AY267" s="48">
        <f t="shared" si="622"/>
        <v>3.2444120592432313</v>
      </c>
      <c r="AZ267" s="48">
        <f t="shared" si="622"/>
        <v>2.9490015014389312</v>
      </c>
      <c r="BA267" s="48">
        <f t="shared" si="622"/>
        <v>2.711535999726717</v>
      </c>
      <c r="BB267" s="48">
        <f>+BB261/SUM(AY239:BB239)</f>
        <v>2.9296093073149785</v>
      </c>
      <c r="BC267" s="48">
        <f t="shared" si="622"/>
        <v>3.1625917086106963</v>
      </c>
      <c r="BD267" s="48">
        <f t="shared" si="622"/>
        <v>3.6982459930973715</v>
      </c>
      <c r="BE267" s="48"/>
      <c r="BF267" s="272"/>
      <c r="BG267" s="217"/>
      <c r="BH267" s="217"/>
      <c r="BI267" s="217"/>
      <c r="BJ267" s="217"/>
      <c r="BK267" s="217"/>
      <c r="BM267" s="217"/>
      <c r="BN267" s="188"/>
      <c r="BO267" s="217"/>
      <c r="BP267" s="217"/>
      <c r="BQ267" s="188"/>
      <c r="BR267" s="188"/>
      <c r="BS267" s="188"/>
      <c r="BT267" s="217"/>
      <c r="BU267" s="217"/>
      <c r="BV267" s="188"/>
      <c r="BW267" s="188"/>
      <c r="BX267" s="188"/>
      <c r="BY267" s="188"/>
      <c r="BZ267" s="217"/>
      <c r="CA267" s="217"/>
      <c r="CB267" s="188"/>
      <c r="CC267" s="188"/>
      <c r="CD267" s="217"/>
      <c r="CE267" s="217"/>
      <c r="CF267" s="188"/>
      <c r="CG267" s="188"/>
      <c r="CH267" s="217"/>
      <c r="CI267" s="217"/>
      <c r="CJ267" s="188"/>
      <c r="CK267" s="188"/>
      <c r="CL267" s="217"/>
      <c r="CM267" s="217"/>
      <c r="CN267" s="1"/>
      <c r="CO267" s="1"/>
      <c r="CP267" s="1"/>
      <c r="CQ267" s="206"/>
      <c r="CR267" s="1"/>
      <c r="CS267" s="1"/>
      <c r="CT267" s="1"/>
    </row>
    <row r="268" spans="2:98" ht="12.75">
      <c r="B268" s="1" t="str">
        <f>+B159</f>
        <v xml:space="preserve">Total Gross Leverage </v>
      </c>
      <c r="C268" s="49">
        <f>+C262/C239</f>
        <v>7.4104403407563382</v>
      </c>
      <c r="D268" s="49">
        <f t="shared" ref="D268:K268" si="623">+D262/D295</f>
        <v>6.4415525451124838</v>
      </c>
      <c r="E268" s="49">
        <f t="shared" si="623"/>
        <v>7.7982436316950228</v>
      </c>
      <c r="F268" s="49">
        <f t="shared" si="623"/>
        <v>7.319704485444249</v>
      </c>
      <c r="G268" s="49">
        <f t="shared" si="623"/>
        <v>15.803528849863071</v>
      </c>
      <c r="H268" s="49">
        <f t="shared" si="623"/>
        <v>5.7024745203345564</v>
      </c>
      <c r="I268" s="49">
        <f t="shared" si="623"/>
        <v>4.5879850930985198</v>
      </c>
      <c r="J268" s="49">
        <f t="shared" si="623"/>
        <v>2.6731978019186244</v>
      </c>
      <c r="K268" s="49">
        <f t="shared" si="623"/>
        <v>2.0617214677162905</v>
      </c>
      <c r="L268" s="49">
        <f>+L262/L295</f>
        <v>5.0217957051015629</v>
      </c>
      <c r="M268" s="49">
        <f>+M262/M295</f>
        <v>6.8901837653120852</v>
      </c>
      <c r="N268" s="49">
        <f>+N262/N295</f>
        <v>4.2396453320148586</v>
      </c>
      <c r="O268" s="49">
        <f>+O262/O295</f>
        <v>5.4510960793221104</v>
      </c>
      <c r="P268" s="49"/>
      <c r="Q268" s="49"/>
      <c r="R268" s="49"/>
      <c r="S268" s="49"/>
      <c r="T268" s="49">
        <f>T159</f>
        <v>7.2843192662824565</v>
      </c>
      <c r="U268" s="192"/>
      <c r="V268" s="49">
        <f t="shared" ref="V268:BD268" si="624">+V262/SUM(S239:V239)</f>
        <v>14.825190701281274</v>
      </c>
      <c r="W268" s="49">
        <f t="shared" si="624"/>
        <v>13.845106665474608</v>
      </c>
      <c r="X268" s="49">
        <f t="shared" si="624"/>
        <v>12.007881723721177</v>
      </c>
      <c r="Y268" s="49">
        <f t="shared" si="624"/>
        <v>8.2405328407886138</v>
      </c>
      <c r="Z268" s="49">
        <f t="shared" si="624"/>
        <v>7.8222525172912505</v>
      </c>
      <c r="AA268" s="49">
        <f t="shared" si="624"/>
        <v>10.108110657573345</v>
      </c>
      <c r="AB268" s="49">
        <f t="shared" si="624"/>
        <v>8.1134907734874204</v>
      </c>
      <c r="AC268" s="49">
        <f t="shared" si="624"/>
        <v>5.9130789307143701</v>
      </c>
      <c r="AD268" s="49">
        <f t="shared" si="624"/>
        <v>5.596804047937332</v>
      </c>
      <c r="AE268" s="49">
        <f t="shared" si="624"/>
        <v>4.9304220171773938</v>
      </c>
      <c r="AF268" s="49">
        <f t="shared" si="624"/>
        <v>4.6939159254477572</v>
      </c>
      <c r="AG268" s="49">
        <f t="shared" si="624"/>
        <v>4.7127202430665651</v>
      </c>
      <c r="AH268" s="49">
        <f t="shared" si="624"/>
        <v>4.0779180936129711</v>
      </c>
      <c r="AI268" s="49">
        <f t="shared" si="624"/>
        <v>2.7060424403540395</v>
      </c>
      <c r="AJ268" s="49">
        <f t="shared" si="624"/>
        <v>2.7027560728486342</v>
      </c>
      <c r="AK268" s="49">
        <f t="shared" si="624"/>
        <v>2.9375395850438673</v>
      </c>
      <c r="AL268" s="49">
        <f t="shared" si="624"/>
        <v>2.8486778574692306</v>
      </c>
      <c r="AM268" s="49">
        <f t="shared" si="624"/>
        <v>3.1064624329805572</v>
      </c>
      <c r="AN268" s="49">
        <f t="shared" si="624"/>
        <v>2.3781682184642881</v>
      </c>
      <c r="AO268" s="49">
        <f t="shared" si="624"/>
        <v>2.0354813658968807</v>
      </c>
      <c r="AP268" s="49">
        <f t="shared" si="624"/>
        <v>2.349338477824864</v>
      </c>
      <c r="AQ268" s="49">
        <f t="shared" si="624"/>
        <v>3.9279262704845239</v>
      </c>
      <c r="AR268" s="49">
        <f t="shared" si="624"/>
        <v>4.1696219127398777</v>
      </c>
      <c r="AS268" s="49">
        <f t="shared" si="624"/>
        <v>5.0588018987765295</v>
      </c>
      <c r="AT268" s="49">
        <f t="shared" si="624"/>
        <v>5.7248805849667281</v>
      </c>
      <c r="AU268" s="49">
        <f t="shared" si="624"/>
        <v>6.9661991091320878</v>
      </c>
      <c r="AV268" s="49">
        <f t="shared" si="624"/>
        <v>6.8285157759079658</v>
      </c>
      <c r="AW268" s="49">
        <f t="shared" si="624"/>
        <v>6.8781149136515536</v>
      </c>
      <c r="AX268" s="49">
        <f t="shared" si="624"/>
        <v>5.8623786220940088</v>
      </c>
      <c r="AY268" s="49">
        <f t="shared" si="624"/>
        <v>5.0404511142772286</v>
      </c>
      <c r="AZ268" s="49">
        <f t="shared" si="624"/>
        <v>4.4497331735789114</v>
      </c>
      <c r="BA268" s="49">
        <f t="shared" si="624"/>
        <v>4.1069267948600894</v>
      </c>
      <c r="BB268" s="49">
        <f>+BB262/SUM(AY239:BB239)</f>
        <v>4.2626591318900617</v>
      </c>
      <c r="BC268" s="49">
        <f t="shared" si="624"/>
        <v>4.8380620272938595</v>
      </c>
      <c r="BD268" s="49">
        <f t="shared" si="624"/>
        <v>5.444270837131862</v>
      </c>
      <c r="BE268" s="49"/>
      <c r="BF268" s="273"/>
      <c r="BG268" s="218"/>
      <c r="BH268" s="218"/>
      <c r="BI268" s="218"/>
      <c r="BJ268" s="218"/>
      <c r="BK268" s="218"/>
      <c r="BM268" s="218"/>
      <c r="BN268" s="192"/>
      <c r="BO268" s="218"/>
      <c r="BP268" s="218"/>
      <c r="BQ268" s="192"/>
      <c r="BR268" s="192"/>
      <c r="BS268" s="192"/>
      <c r="BT268" s="218"/>
      <c r="BU268" s="218"/>
      <c r="BV268" s="192"/>
      <c r="BW268" s="192"/>
      <c r="BX268" s="192"/>
      <c r="BY268" s="192"/>
      <c r="BZ268" s="218"/>
      <c r="CA268" s="218"/>
      <c r="CB268" s="192"/>
      <c r="CC268" s="192"/>
      <c r="CD268" s="218"/>
      <c r="CE268" s="218"/>
      <c r="CF268" s="192"/>
      <c r="CG268" s="192"/>
      <c r="CH268" s="218"/>
      <c r="CI268" s="218"/>
      <c r="CJ268" s="192"/>
      <c r="CK268" s="192"/>
      <c r="CL268" s="218"/>
      <c r="CM268" s="218"/>
      <c r="CQ268" s="206"/>
    </row>
    <row r="269" spans="2:98" ht="12.75">
      <c r="C269" s="49"/>
      <c r="D269" s="49"/>
      <c r="E269" s="49"/>
      <c r="F269" s="49"/>
      <c r="G269" s="49"/>
      <c r="H269" s="49"/>
      <c r="I269" s="49"/>
      <c r="J269" s="49"/>
      <c r="K269" s="49"/>
      <c r="L269" s="49"/>
      <c r="M269" s="49"/>
      <c r="N269" s="49"/>
      <c r="O269" s="49"/>
      <c r="P269" s="49"/>
      <c r="Q269" s="49"/>
      <c r="R269" s="49"/>
      <c r="S269" s="49"/>
      <c r="T269" s="49"/>
      <c r="U269" s="192"/>
      <c r="V269" s="49"/>
      <c r="W269" s="49"/>
      <c r="X269" s="49"/>
      <c r="Y269" s="49"/>
      <c r="Z269" s="49"/>
      <c r="AA269" s="49"/>
      <c r="AB269" s="49"/>
      <c r="AC269" s="49"/>
      <c r="AD269" s="49"/>
      <c r="AE269" s="49"/>
      <c r="AF269" s="49"/>
      <c r="AG269" s="49"/>
      <c r="AH269" s="49"/>
      <c r="AI269" s="49"/>
      <c r="AJ269" s="49"/>
      <c r="AK269" s="49"/>
      <c r="AL269" s="49"/>
      <c r="AM269" s="49"/>
      <c r="AN269" s="49"/>
      <c r="AO269" s="49"/>
      <c r="AP269" s="49"/>
      <c r="AQ269" s="49"/>
      <c r="AR269" s="49"/>
      <c r="AS269" s="49"/>
      <c r="AT269" s="49"/>
      <c r="AU269" s="49"/>
      <c r="AV269" s="49"/>
      <c r="AW269" s="49"/>
      <c r="AX269" s="49"/>
      <c r="AY269" s="49"/>
      <c r="AZ269" s="49"/>
      <c r="BA269" s="49"/>
      <c r="BB269" s="49"/>
      <c r="BC269" s="49"/>
      <c r="BD269" s="49"/>
      <c r="BE269" s="49"/>
      <c r="BF269" s="273"/>
      <c r="BG269" s="218"/>
      <c r="BH269" s="218"/>
      <c r="BI269" s="218"/>
      <c r="BJ269" s="218"/>
      <c r="BK269" s="218"/>
      <c r="BM269" s="218"/>
      <c r="BN269" s="192"/>
      <c r="BO269" s="218"/>
      <c r="BP269" s="218"/>
      <c r="BQ269" s="192"/>
      <c r="BR269" s="192"/>
      <c r="BS269" s="192"/>
      <c r="BT269" s="218"/>
      <c r="BU269" s="218"/>
      <c r="BV269" s="192"/>
      <c r="BW269" s="192"/>
      <c r="BX269" s="192"/>
      <c r="BY269" s="192"/>
      <c r="BZ269" s="218"/>
      <c r="CA269" s="218"/>
      <c r="CB269" s="192"/>
      <c r="CC269" s="192"/>
      <c r="CD269" s="218"/>
      <c r="CE269" s="218"/>
      <c r="CF269" s="192"/>
      <c r="CG269" s="192"/>
      <c r="CH269" s="218"/>
      <c r="CI269" s="218"/>
      <c r="CJ269" s="192"/>
      <c r="CK269" s="192"/>
      <c r="CL269" s="218"/>
      <c r="CM269" s="218"/>
      <c r="CQ269" s="206"/>
    </row>
    <row r="270" spans="2:98" s="5" customFormat="1" ht="12.75">
      <c r="B270" s="5" t="str">
        <f>+B161</f>
        <v>Net Leverage (based on company reported debt)</v>
      </c>
      <c r="C270" s="48">
        <f>C148*C$223/C235</f>
        <v>5.4839282361828179</v>
      </c>
      <c r="D270" s="48">
        <f t="shared" ref="D270:K270" si="625">D148*D$223/D295</f>
        <v>3.4892581414451902</v>
      </c>
      <c r="E270" s="48">
        <f t="shared" si="625"/>
        <v>3.8954113379646897</v>
      </c>
      <c r="F270" s="48">
        <f t="shared" si="625"/>
        <v>4.5285830093946053</v>
      </c>
      <c r="G270" s="48">
        <f t="shared" si="625"/>
        <v>9.7773881965159379</v>
      </c>
      <c r="H270" s="48">
        <f t="shared" si="625"/>
        <v>2.9159924179430097</v>
      </c>
      <c r="I270" s="48">
        <f t="shared" si="625"/>
        <v>2.7034511518969326</v>
      </c>
      <c r="J270" s="48">
        <f t="shared" si="625"/>
        <v>1.4437080143514196</v>
      </c>
      <c r="K270" s="48">
        <f t="shared" si="625"/>
        <v>1.4440319747481429</v>
      </c>
      <c r="L270" s="48">
        <f>L148*L$223/L295</f>
        <v>2.956060381424602</v>
      </c>
      <c r="M270" s="48">
        <f>M148*M$223/M295</f>
        <v>4.2421698505468814</v>
      </c>
      <c r="N270" s="48">
        <f>N148*N$223/N295</f>
        <v>2.4845720557060917</v>
      </c>
      <c r="O270" s="48">
        <f>O148*O$223/O295</f>
        <v>3.2267939918097444</v>
      </c>
      <c r="P270" s="48"/>
      <c r="Q270" s="48"/>
      <c r="R270" s="48"/>
      <c r="S270" s="48"/>
      <c r="T270" s="48">
        <f>T161</f>
        <v>3.6386936853194523</v>
      </c>
      <c r="U270" s="188"/>
      <c r="V270" s="48">
        <f t="shared" ref="V270:BD270" si="626">V264/SUM(S239:V239)</f>
        <v>7.2050737378882586</v>
      </c>
      <c r="W270" s="48">
        <f t="shared" si="626"/>
        <v>7.1706070756922697</v>
      </c>
      <c r="X270" s="48">
        <f t="shared" si="626"/>
        <v>6.9847460222962336</v>
      </c>
      <c r="Y270" s="48">
        <f t="shared" si="626"/>
        <v>5.0982846486989937</v>
      </c>
      <c r="Z270" s="48">
        <f t="shared" si="626"/>
        <v>3.906063062953177</v>
      </c>
      <c r="AA270" s="48">
        <f t="shared" si="626"/>
        <v>6.8703285628143602</v>
      </c>
      <c r="AB270" s="48">
        <f t="shared" si="626"/>
        <v>5.5928454677581936</v>
      </c>
      <c r="AC270" s="48">
        <f t="shared" si="626"/>
        <v>3.0247076665739212</v>
      </c>
      <c r="AD270" s="48">
        <f t="shared" si="626"/>
        <v>3.1592777587587753</v>
      </c>
      <c r="AE270" s="48">
        <f t="shared" si="626"/>
        <v>2.8618946699713681</v>
      </c>
      <c r="AF270" s="48">
        <f t="shared" si="626"/>
        <v>2.5092952081509639</v>
      </c>
      <c r="AG270" s="48">
        <f t="shared" si="626"/>
        <v>2.7769508207102436</v>
      </c>
      <c r="AH270" s="48">
        <f t="shared" si="626"/>
        <v>2.8053078874040867</v>
      </c>
      <c r="AI270" s="48">
        <f t="shared" si="626"/>
        <v>1.7619962452032314</v>
      </c>
      <c r="AJ270" s="48">
        <f t="shared" si="626"/>
        <v>1.6599444942467314</v>
      </c>
      <c r="AK270" s="48">
        <f t="shared" si="626"/>
        <v>1.5864704955086131</v>
      </c>
      <c r="AL270" s="48">
        <f t="shared" si="626"/>
        <v>1.6903479075637291</v>
      </c>
      <c r="AM270" s="48">
        <f t="shared" si="626"/>
        <v>1.5540394953247765</v>
      </c>
      <c r="AN270" s="48">
        <f t="shared" si="626"/>
        <v>1.0798331413584559</v>
      </c>
      <c r="AO270" s="48">
        <f t="shared" si="626"/>
        <v>1.4256533786859666</v>
      </c>
      <c r="AP270" s="48">
        <f t="shared" si="626"/>
        <v>1.487607212975506</v>
      </c>
      <c r="AQ270" s="48">
        <f t="shared" si="626"/>
        <v>2.4377256986200999</v>
      </c>
      <c r="AR270" s="48">
        <f t="shared" si="626"/>
        <v>2.5696588229173685</v>
      </c>
      <c r="AS270" s="48">
        <f t="shared" si="626"/>
        <v>2.9778439324517305</v>
      </c>
      <c r="AT270" s="48">
        <f t="shared" si="626"/>
        <v>3.5694620237199364</v>
      </c>
      <c r="AU270" s="48">
        <f t="shared" si="626"/>
        <v>4.4374339015982542</v>
      </c>
      <c r="AV270" s="48">
        <f t="shared" si="626"/>
        <v>4.0191366020528605</v>
      </c>
      <c r="AW270" s="48">
        <f t="shared" si="626"/>
        <v>4.2347392622797315</v>
      </c>
      <c r="AX270" s="48">
        <f t="shared" si="626"/>
        <v>3.7490002122645625</v>
      </c>
      <c r="AY270" s="48">
        <f t="shared" si="626"/>
        <v>3.2993668645274523</v>
      </c>
      <c r="AZ270" s="48">
        <f t="shared" si="626"/>
        <v>3.0119801956265775</v>
      </c>
      <c r="BA270" s="48">
        <f t="shared" si="626"/>
        <v>2.4067946137585547</v>
      </c>
      <c r="BB270" s="48">
        <f>BB264/SUM(AY239:BB239)</f>
        <v>2.5440847442453358</v>
      </c>
      <c r="BC270" s="48">
        <f t="shared" si="626"/>
        <v>2.7440322907856753</v>
      </c>
      <c r="BD270" s="48">
        <f t="shared" si="626"/>
        <v>3.2227537675738001</v>
      </c>
      <c r="BE270" s="48"/>
      <c r="BF270" s="272"/>
      <c r="BG270" s="217"/>
      <c r="BH270" s="217"/>
      <c r="BI270" s="217"/>
      <c r="BJ270" s="217"/>
      <c r="BK270" s="217"/>
      <c r="BM270" s="217"/>
      <c r="BN270" s="188"/>
      <c r="BO270" s="217"/>
      <c r="BP270" s="217"/>
      <c r="BQ270" s="188"/>
      <c r="BR270" s="188"/>
      <c r="BS270" s="188"/>
      <c r="BT270" s="217"/>
      <c r="BU270" s="217"/>
      <c r="BV270" s="188"/>
      <c r="BW270" s="188"/>
      <c r="BX270" s="188"/>
      <c r="BY270" s="188"/>
      <c r="BZ270" s="217"/>
      <c r="CA270" s="217"/>
      <c r="CB270" s="188"/>
      <c r="CC270" s="188"/>
      <c r="CD270" s="217"/>
      <c r="CE270" s="217"/>
      <c r="CF270" s="188"/>
      <c r="CG270" s="188"/>
      <c r="CH270" s="217"/>
      <c r="CI270" s="217"/>
      <c r="CJ270" s="188"/>
      <c r="CK270" s="188"/>
      <c r="CL270" s="217"/>
      <c r="CM270" s="217"/>
      <c r="CN270" s="1"/>
      <c r="CO270" s="1"/>
      <c r="CP270" s="1"/>
      <c r="CQ270" s="206"/>
      <c r="CR270" s="1"/>
      <c r="CS270" s="1"/>
      <c r="CT270" s="1"/>
    </row>
    <row r="271" spans="2:98" s="5" customFormat="1" ht="12.75">
      <c r="B271" s="5" t="str">
        <f>+B162</f>
        <v>Net Leverage (based on company reported adjusted debt)</v>
      </c>
      <c r="C271" s="48">
        <f>C149*C$223/C235</f>
        <v>3.761991212417926</v>
      </c>
      <c r="D271" s="48">
        <f t="shared" ref="D271:K271" si="627">D149*D$223/D295</f>
        <v>0.83279216460425565</v>
      </c>
      <c r="E271" s="48">
        <f t="shared" si="627"/>
        <v>2.5060387171804615</v>
      </c>
      <c r="F271" s="48">
        <f t="shared" si="627"/>
        <v>4.0035286718942658</v>
      </c>
      <c r="G271" s="48">
        <f t="shared" si="627"/>
        <v>8.643775304501931</v>
      </c>
      <c r="H271" s="48">
        <f t="shared" si="627"/>
        <v>1.9638167391392893</v>
      </c>
      <c r="I271" s="48">
        <f t="shared" si="627"/>
        <v>2.3112059553349873</v>
      </c>
      <c r="J271" s="48">
        <f t="shared" si="627"/>
        <v>0.89756695444540224</v>
      </c>
      <c r="K271" s="48">
        <f t="shared" si="627"/>
        <v>1.2636443044219221</v>
      </c>
      <c r="L271" s="48">
        <f>L149*L$223/L295</f>
        <v>2.5758683095949269</v>
      </c>
      <c r="M271" s="48">
        <f>M149*M$223/M295</f>
        <v>4.1703690013001111</v>
      </c>
      <c r="N271" s="48">
        <f>N149*N$223/N295</f>
        <v>1.9498364637689101</v>
      </c>
      <c r="O271" s="48">
        <f>O149*O$223/O295</f>
        <v>3.0326588153018461</v>
      </c>
      <c r="P271" s="48"/>
      <c r="Q271" s="48"/>
      <c r="R271" s="48"/>
      <c r="S271" s="48"/>
      <c r="T271" s="48">
        <f>T162</f>
        <v>2.3408843031542417</v>
      </c>
      <c r="U271" s="188"/>
      <c r="V271" s="48">
        <f t="shared" ref="V271:BD271" si="628">V265/SUM(S239:V239)</f>
        <v>6.2967296780613999</v>
      </c>
      <c r="W271" s="48">
        <f t="shared" si="628"/>
        <v>6.2103064835666038</v>
      </c>
      <c r="X271" s="48">
        <f t="shared" si="628"/>
        <v>6.5673849750357673</v>
      </c>
      <c r="Y271" s="48">
        <f t="shared" si="628"/>
        <v>4.507177791861527</v>
      </c>
      <c r="Z271" s="48">
        <f t="shared" si="628"/>
        <v>3.3418954036782424</v>
      </c>
      <c r="AA271" s="48">
        <f t="shared" si="628"/>
        <v>5.4569498428324783</v>
      </c>
      <c r="AB271" s="48">
        <f t="shared" si="628"/>
        <v>4.2257241112247161</v>
      </c>
      <c r="AC271" s="48">
        <f t="shared" si="628"/>
        <v>2.0370325759663541</v>
      </c>
      <c r="AD271" s="48">
        <f t="shared" si="628"/>
        <v>2.2782990419549751</v>
      </c>
      <c r="AE271" s="48">
        <f t="shared" si="628"/>
        <v>2.5111993510051094</v>
      </c>
      <c r="AF271" s="48">
        <f t="shared" si="628"/>
        <v>1.8985052352662544</v>
      </c>
      <c r="AG271" s="48">
        <f t="shared" si="628"/>
        <v>2.3740415172637754</v>
      </c>
      <c r="AH271" s="48">
        <f t="shared" si="628"/>
        <v>1.7422749348022335</v>
      </c>
      <c r="AI271" s="48">
        <f t="shared" si="628"/>
        <v>1.0608670229790798</v>
      </c>
      <c r="AJ271" s="48">
        <f t="shared" si="628"/>
        <v>0.92964041214338988</v>
      </c>
      <c r="AK271" s="48">
        <f t="shared" si="628"/>
        <v>0.98632374193119954</v>
      </c>
      <c r="AL271" s="48">
        <f t="shared" si="628"/>
        <v>1.266483602388258</v>
      </c>
      <c r="AM271" s="48">
        <f t="shared" si="628"/>
        <v>1.460015849207063</v>
      </c>
      <c r="AN271" s="48">
        <f t="shared" si="628"/>
        <v>0.87266948449819182</v>
      </c>
      <c r="AO271" s="48">
        <f t="shared" si="628"/>
        <v>1.2475615523476191</v>
      </c>
      <c r="AP271" s="48">
        <f t="shared" si="628"/>
        <v>1.5654460074000254</v>
      </c>
      <c r="AQ271" s="48">
        <f t="shared" si="628"/>
        <v>2.0988450245936932</v>
      </c>
      <c r="AR271" s="48">
        <f t="shared" si="628"/>
        <v>2.1348881385473697</v>
      </c>
      <c r="AS271" s="48">
        <f t="shared" si="628"/>
        <v>2.5948501812487734</v>
      </c>
      <c r="AT271" s="48">
        <f t="shared" si="628"/>
        <v>3.2540912935517761</v>
      </c>
      <c r="AU271" s="48">
        <f t="shared" si="628"/>
        <v>4.3139385308956575</v>
      </c>
      <c r="AV271" s="48">
        <f t="shared" si="628"/>
        <v>3.7135146727901818</v>
      </c>
      <c r="AW271" s="48">
        <f t="shared" si="628"/>
        <v>4.1630641794607044</v>
      </c>
      <c r="AX271" s="48">
        <f t="shared" si="628"/>
        <v>3.5695441218267576</v>
      </c>
      <c r="AY271" s="48">
        <f t="shared" si="628"/>
        <v>2.8441873871590282</v>
      </c>
      <c r="AZ271" s="48">
        <f t="shared" si="628"/>
        <v>2.6621044205065498</v>
      </c>
      <c r="BA271" s="48">
        <f t="shared" si="628"/>
        <v>1.8887984705178436</v>
      </c>
      <c r="BB271" s="48">
        <f>BB265/SUM(AY239:BB239)</f>
        <v>2.1820534441631803</v>
      </c>
      <c r="BC271" s="48">
        <f t="shared" si="628"/>
        <v>2.4794687881978925</v>
      </c>
      <c r="BD271" s="48">
        <f t="shared" si="628"/>
        <v>3.0288616650418563</v>
      </c>
      <c r="BE271" s="48"/>
      <c r="BF271" s="272"/>
      <c r="BG271" s="217"/>
      <c r="BH271" s="217"/>
      <c r="BI271" s="217"/>
      <c r="BJ271" s="217"/>
      <c r="BK271" s="217"/>
      <c r="BM271" s="217"/>
      <c r="BN271" s="188"/>
      <c r="BO271" s="217"/>
      <c r="BP271" s="217"/>
      <c r="BQ271" s="188"/>
      <c r="BR271" s="188"/>
      <c r="BS271" s="188"/>
      <c r="BT271" s="217"/>
      <c r="BU271" s="217"/>
      <c r="BV271" s="188"/>
      <c r="BW271" s="188"/>
      <c r="BX271" s="188"/>
      <c r="BY271" s="188"/>
      <c r="BZ271" s="217"/>
      <c r="CA271" s="217"/>
      <c r="CB271" s="188"/>
      <c r="CC271" s="188"/>
      <c r="CD271" s="217"/>
      <c r="CE271" s="217"/>
      <c r="CF271" s="188"/>
      <c r="CG271" s="188"/>
      <c r="CH271" s="217"/>
      <c r="CI271" s="217"/>
      <c r="CJ271" s="188"/>
      <c r="CK271" s="188"/>
      <c r="CL271" s="217"/>
      <c r="CM271" s="217"/>
      <c r="CN271" s="1"/>
      <c r="CO271" s="1"/>
      <c r="CP271" s="1"/>
      <c r="CQ271" s="206"/>
      <c r="CR271" s="1"/>
      <c r="CS271" s="1"/>
      <c r="CT271" s="1"/>
    </row>
    <row r="272" spans="2:98" ht="12.75">
      <c r="C272" s="49"/>
      <c r="D272" s="49"/>
      <c r="E272" s="49"/>
      <c r="F272" s="49"/>
      <c r="G272" s="49"/>
      <c r="H272" s="49"/>
      <c r="I272" s="49"/>
      <c r="J272" s="49"/>
      <c r="K272" s="49"/>
      <c r="L272" s="49"/>
      <c r="M272" s="49"/>
      <c r="N272" s="49"/>
      <c r="O272" s="49"/>
      <c r="P272" s="49"/>
      <c r="Q272" s="49"/>
      <c r="R272" s="49"/>
      <c r="S272" s="49"/>
      <c r="T272" s="49"/>
      <c r="U272" s="192"/>
      <c r="V272" s="49"/>
      <c r="W272" s="49"/>
      <c r="X272" s="49"/>
      <c r="Y272" s="49"/>
      <c r="Z272" s="49"/>
      <c r="AA272" s="49"/>
      <c r="AB272" s="49"/>
      <c r="AC272" s="49"/>
      <c r="AD272" s="49"/>
      <c r="AE272" s="49"/>
      <c r="AF272" s="49"/>
      <c r="AG272" s="49"/>
      <c r="AH272" s="49"/>
      <c r="AI272" s="49"/>
      <c r="AJ272" s="49"/>
      <c r="AK272" s="49"/>
      <c r="AL272" s="49"/>
      <c r="AM272" s="49"/>
      <c r="AN272" s="49"/>
      <c r="AO272" s="49"/>
      <c r="AP272" s="49"/>
      <c r="AQ272" s="49"/>
      <c r="AR272" s="49"/>
      <c r="AS272" s="49"/>
      <c r="AT272" s="49"/>
      <c r="AU272" s="49"/>
      <c r="AV272" s="49"/>
      <c r="AW272" s="49"/>
      <c r="AX272" s="49"/>
      <c r="AY272" s="49"/>
      <c r="AZ272" s="49"/>
      <c r="BA272" s="49"/>
      <c r="BB272" s="49"/>
      <c r="BC272" s="49"/>
      <c r="BD272" s="49"/>
      <c r="BE272" s="49"/>
      <c r="BF272" s="273"/>
      <c r="BG272" s="218"/>
      <c r="BH272" s="218"/>
      <c r="BI272" s="218"/>
      <c r="BJ272" s="218"/>
      <c r="BK272" s="218"/>
      <c r="BM272" s="218"/>
      <c r="BN272" s="192"/>
      <c r="BO272" s="218"/>
      <c r="BP272" s="218"/>
      <c r="BQ272" s="192"/>
      <c r="BR272" s="192"/>
      <c r="BS272" s="192"/>
      <c r="BT272" s="218"/>
      <c r="BU272" s="218"/>
      <c r="BV272" s="192"/>
      <c r="BW272" s="192"/>
      <c r="BX272" s="192"/>
      <c r="BY272" s="192"/>
      <c r="BZ272" s="218"/>
      <c r="CA272" s="218"/>
      <c r="CB272" s="192"/>
      <c r="CC272" s="192"/>
      <c r="CD272" s="218"/>
      <c r="CE272" s="218"/>
      <c r="CF272" s="192"/>
      <c r="CG272" s="192"/>
      <c r="CH272" s="218"/>
      <c r="CI272" s="218"/>
      <c r="CJ272" s="192"/>
      <c r="CK272" s="192"/>
      <c r="CL272" s="218"/>
      <c r="CM272" s="218"/>
      <c r="CQ272" s="206"/>
    </row>
    <row r="273" spans="1:98" ht="12.75">
      <c r="B273" s="1" t="str">
        <f>B170</f>
        <v>EBITDA - Capex / Interest</v>
      </c>
      <c r="C273" s="49">
        <f t="shared" ref="C273:M273" si="629">(C295-C298)/C297</f>
        <v>1.121208678461973</v>
      </c>
      <c r="D273" s="49">
        <f t="shared" si="629"/>
        <v>1.080508175179798</v>
      </c>
      <c r="E273" s="49">
        <f t="shared" si="629"/>
        <v>0.99889304437842863</v>
      </c>
      <c r="F273" s="49">
        <f t="shared" si="629"/>
        <v>1.138813074968235</v>
      </c>
      <c r="G273" s="49">
        <f t="shared" si="629"/>
        <v>0.43947496161949101</v>
      </c>
      <c r="H273" s="49">
        <f t="shared" si="629"/>
        <v>2.3761169850879327</v>
      </c>
      <c r="I273" s="49">
        <f t="shared" si="629"/>
        <v>2.6745750909602881</v>
      </c>
      <c r="J273" s="49">
        <f t="shared" si="629"/>
        <v>3.3677995222935815</v>
      </c>
      <c r="K273" s="49">
        <f t="shared" si="629"/>
        <v>7.6597095434407132</v>
      </c>
      <c r="L273" s="49">
        <f t="shared" si="629"/>
        <v>2.9176445651839757</v>
      </c>
      <c r="M273" s="49">
        <f t="shared" si="629"/>
        <v>0.97961848133263163</v>
      </c>
      <c r="N273" s="49">
        <f>(N295-N298)/N297</f>
        <v>-2.0439345518562626</v>
      </c>
      <c r="O273" s="49">
        <f>(O295-O298)/O297</f>
        <v>-2.2002826227802119</v>
      </c>
      <c r="P273" s="49"/>
      <c r="Q273" s="49"/>
      <c r="R273" s="49"/>
      <c r="S273" s="49"/>
      <c r="T273" s="49">
        <f>T170</f>
        <v>0.9025895433240031</v>
      </c>
      <c r="U273" s="192"/>
      <c r="V273" s="49">
        <f t="shared" ref="V273:BD273" si="630">(SUM(S239:V239)+SUM(S244:V244))/-SUM(S242:V242)</f>
        <v>0.65143516440606297</v>
      </c>
      <c r="W273" s="49">
        <f t="shared" si="630"/>
        <v>0.6696759930478231</v>
      </c>
      <c r="X273" s="49">
        <f t="shared" si="630"/>
        <v>0.74264128870021351</v>
      </c>
      <c r="Y273" s="49">
        <f t="shared" si="630"/>
        <v>0.97523360635511991</v>
      </c>
      <c r="Z273" s="49">
        <f t="shared" si="630"/>
        <v>0.96682939620505992</v>
      </c>
      <c r="AA273" s="49">
        <f t="shared" si="630"/>
        <v>1.0946629712490472</v>
      </c>
      <c r="AB273" s="49">
        <f t="shared" si="630"/>
        <v>1.5504834596357826</v>
      </c>
      <c r="AC273" s="49">
        <f t="shared" si="630"/>
        <v>2.263809315707173</v>
      </c>
      <c r="AD273" s="49">
        <f t="shared" si="630"/>
        <v>2.511717044599755</v>
      </c>
      <c r="AE273" s="49">
        <f t="shared" si="630"/>
        <v>3.3400661399115537</v>
      </c>
      <c r="AF273" s="49">
        <f t="shared" si="630"/>
        <v>3.9300527518501283</v>
      </c>
      <c r="AG273" s="49">
        <f t="shared" si="630"/>
        <v>2.7103560290877247</v>
      </c>
      <c r="AH273" s="49">
        <f t="shared" si="630"/>
        <v>3.8219054401652084</v>
      </c>
      <c r="AI273" s="49">
        <f t="shared" si="630"/>
        <v>4.0092118760352031</v>
      </c>
      <c r="AJ273" s="49">
        <f t="shared" si="630"/>
        <v>2.9464942113117014</v>
      </c>
      <c r="AK273" s="49">
        <f t="shared" si="630"/>
        <v>3.453674569470401</v>
      </c>
      <c r="AL273" s="49">
        <f t="shared" si="630"/>
        <v>3.4697705792219646</v>
      </c>
      <c r="AM273" s="49">
        <f t="shared" si="630"/>
        <v>5.3022799793546609</v>
      </c>
      <c r="AN273" s="49">
        <f t="shared" si="630"/>
        <v>29.776641375071229</v>
      </c>
      <c r="AO273" s="49">
        <f t="shared" si="630"/>
        <v>7.5813081647805722</v>
      </c>
      <c r="AP273" s="49">
        <f t="shared" si="630"/>
        <v>8.2438791679667194</v>
      </c>
      <c r="AQ273" s="49">
        <f t="shared" si="630"/>
        <v>7.5135819270313089</v>
      </c>
      <c r="AR273" s="49">
        <f t="shared" si="630"/>
        <v>7.0832017256549724</v>
      </c>
      <c r="AS273" s="49">
        <f t="shared" si="630"/>
        <v>2.8925703428234275</v>
      </c>
      <c r="AT273" s="49">
        <f t="shared" si="630"/>
        <v>1.616291858813915</v>
      </c>
      <c r="AU273" s="49">
        <f t="shared" si="630"/>
        <v>1.017254922258831</v>
      </c>
      <c r="AV273" s="49">
        <f t="shared" si="630"/>
        <v>0.64417366693973788</v>
      </c>
      <c r="AW273" s="49">
        <f t="shared" si="630"/>
        <v>0.9847185129107261</v>
      </c>
      <c r="AX273" s="49">
        <f t="shared" si="630"/>
        <v>1.3211116673676155</v>
      </c>
      <c r="AY273" s="49">
        <f t="shared" si="630"/>
        <v>1.7809133239317845</v>
      </c>
      <c r="AZ273" s="49">
        <f t="shared" si="630"/>
        <v>1.9405767927838462</v>
      </c>
      <c r="BA273" s="49">
        <f t="shared" si="630"/>
        <v>-2.2975712142033031</v>
      </c>
      <c r="BB273" s="49">
        <f>(SUM(AY239:BB239)+SUM(AY244:BB244))/-SUM(AY242:BB242)</f>
        <v>-2.4387554259640654</v>
      </c>
      <c r="BC273" s="49">
        <f t="shared" si="630"/>
        <v>-2.3116597646574926</v>
      </c>
      <c r="BD273" s="49">
        <f t="shared" si="630"/>
        <v>-2.1431510729789314</v>
      </c>
      <c r="BE273" s="49"/>
      <c r="BF273" s="273"/>
      <c r="BG273" s="218"/>
      <c r="BH273" s="218"/>
      <c r="BI273" s="218"/>
      <c r="BJ273" s="218"/>
      <c r="BK273" s="218"/>
      <c r="BM273" s="218"/>
      <c r="BN273" s="192"/>
      <c r="BO273" s="218"/>
      <c r="BP273" s="218"/>
      <c r="BQ273" s="192"/>
      <c r="BR273" s="192"/>
      <c r="BS273" s="192"/>
      <c r="BT273" s="218"/>
      <c r="BU273" s="218"/>
      <c r="BV273" s="192"/>
      <c r="BW273" s="192"/>
      <c r="BX273" s="192"/>
      <c r="BY273" s="192"/>
      <c r="BZ273" s="218"/>
      <c r="CA273" s="218"/>
      <c r="CB273" s="192"/>
      <c r="CC273" s="192"/>
      <c r="CD273" s="218"/>
      <c r="CE273" s="218"/>
      <c r="CF273" s="192"/>
      <c r="CG273" s="192"/>
      <c r="CH273" s="218"/>
      <c r="CI273" s="218"/>
      <c r="CJ273" s="192"/>
      <c r="CK273" s="192"/>
      <c r="CL273" s="218"/>
      <c r="CM273" s="218"/>
      <c r="CQ273" s="206"/>
    </row>
    <row r="274" spans="1:98" ht="12.75">
      <c r="B274" s="1" t="str">
        <f>B171</f>
        <v>EBITDA/Interest</v>
      </c>
      <c r="C274" s="49">
        <f t="shared" ref="C274:M274" si="631">C295/C297</f>
        <v>1.4197750315933964</v>
      </c>
      <c r="D274" s="49">
        <f t="shared" si="631"/>
        <v>1.4028232980805562</v>
      </c>
      <c r="E274" s="49">
        <f t="shared" si="631"/>
        <v>1.3862323127355047</v>
      </c>
      <c r="F274" s="49">
        <f t="shared" si="631"/>
        <v>2.1311673574876031</v>
      </c>
      <c r="G274" s="49">
        <f t="shared" si="631"/>
        <v>0.98709063108835582</v>
      </c>
      <c r="H274" s="49">
        <f t="shared" si="631"/>
        <v>3.2115829362585373</v>
      </c>
      <c r="I274" s="49">
        <f t="shared" si="631"/>
        <v>3.3374068376613741</v>
      </c>
      <c r="J274" s="49">
        <f t="shared" si="631"/>
        <v>3.9317147808299504</v>
      </c>
      <c r="K274" s="49">
        <f t="shared" si="631"/>
        <v>8.955692597575732</v>
      </c>
      <c r="L274" s="49">
        <f t="shared" si="631"/>
        <v>4.1252793090448394</v>
      </c>
      <c r="M274" s="49">
        <f t="shared" si="631"/>
        <v>1.6588864150485334</v>
      </c>
      <c r="N274" s="49">
        <f>N295/N297</f>
        <v>-2.8254543571687463</v>
      </c>
      <c r="O274" s="49">
        <f>O295/O297</f>
        <v>-3.432540391080547</v>
      </c>
      <c r="P274" s="49"/>
      <c r="Q274" s="49"/>
      <c r="R274" s="49"/>
      <c r="S274" s="49"/>
      <c r="T274" s="49">
        <f>T171</f>
        <v>1.289928811681079</v>
      </c>
      <c r="U274" s="192"/>
      <c r="V274" s="49">
        <f t="shared" ref="V274:BD274" si="632">(SUM(S239:V239))/-SUM(S242:V242)</f>
        <v>1.110178767502181</v>
      </c>
      <c r="W274" s="49">
        <f t="shared" si="632"/>
        <v>1.3053030782207109</v>
      </c>
      <c r="X274" s="49">
        <f t="shared" si="632"/>
        <v>1.6528376990785136</v>
      </c>
      <c r="Y274" s="49">
        <f t="shared" si="632"/>
        <v>1.8745910989362133</v>
      </c>
      <c r="Z274" s="49">
        <f t="shared" si="632"/>
        <v>1.9662345288020906</v>
      </c>
      <c r="AA274" s="49">
        <f t="shared" si="632"/>
        <v>1.9414406918294778</v>
      </c>
      <c r="AB274" s="49">
        <f t="shared" si="632"/>
        <v>2.1893531508018111</v>
      </c>
      <c r="AC274" s="49">
        <f t="shared" si="632"/>
        <v>3.0864328301598896</v>
      </c>
      <c r="AD274" s="49">
        <f t="shared" si="632"/>
        <v>3.498393230238046</v>
      </c>
      <c r="AE274" s="49">
        <f t="shared" si="632"/>
        <v>4.4383457121130494</v>
      </c>
      <c r="AF274" s="49">
        <f t="shared" si="632"/>
        <v>4.9510859205583841</v>
      </c>
      <c r="AG274" s="49">
        <f t="shared" si="632"/>
        <v>3.3683922054569981</v>
      </c>
      <c r="AH274" s="49">
        <f t="shared" si="632"/>
        <v>4.5287815233909727</v>
      </c>
      <c r="AI274" s="49">
        <f t="shared" si="632"/>
        <v>4.5389037098108282</v>
      </c>
      <c r="AJ274" s="49">
        <f t="shared" si="632"/>
        <v>3.420351773837722</v>
      </c>
      <c r="AK274" s="49">
        <f t="shared" si="632"/>
        <v>4.0330276668437897</v>
      </c>
      <c r="AL274" s="49">
        <f t="shared" si="632"/>
        <v>4.1150483224724947</v>
      </c>
      <c r="AM274" s="49">
        <f t="shared" si="632"/>
        <v>6.410784386261688</v>
      </c>
      <c r="AN274" s="49">
        <f t="shared" si="632"/>
        <v>34.916837155238738</v>
      </c>
      <c r="AO274" s="49">
        <f t="shared" si="632"/>
        <v>8.8603317013698994</v>
      </c>
      <c r="AP274" s="49">
        <f t="shared" si="632"/>
        <v>9.5702930805295541</v>
      </c>
      <c r="AQ274" s="49">
        <f t="shared" si="632"/>
        <v>9.6064140201779757</v>
      </c>
      <c r="AR274" s="49">
        <f t="shared" si="632"/>
        <v>9.0705970353951848</v>
      </c>
      <c r="AS274" s="49">
        <f t="shared" si="632"/>
        <v>4.0914937879504185</v>
      </c>
      <c r="AT274" s="49">
        <f t="shared" si="632"/>
        <v>2.5912484237857112</v>
      </c>
      <c r="AU274" s="49">
        <f t="shared" si="632"/>
        <v>1.6032788489307348</v>
      </c>
      <c r="AV274" s="49">
        <f t="shared" si="632"/>
        <v>1.214442972779908</v>
      </c>
      <c r="AW274" s="49">
        <f t="shared" si="632"/>
        <v>1.66336847283633</v>
      </c>
      <c r="AX274" s="49">
        <f t="shared" si="632"/>
        <v>1.9784974544793683</v>
      </c>
      <c r="AY274" s="49">
        <f t="shared" si="632"/>
        <v>2.4999306866983098</v>
      </c>
      <c r="AZ274" s="49">
        <f t="shared" si="632"/>
        <v>2.6467412837184532</v>
      </c>
      <c r="BA274" s="49">
        <f t="shared" si="632"/>
        <v>-3.1709866602408971</v>
      </c>
      <c r="BB274" s="49">
        <f>(SUM(AY239:BB239))/-SUM(AY242:BB242)</f>
        <v>-3.3573411780039071</v>
      </c>
      <c r="BC274" s="49">
        <f t="shared" si="632"/>
        <v>-3.3704666074329492</v>
      </c>
      <c r="BD274" s="49">
        <f t="shared" si="632"/>
        <v>-3.3452920735797691</v>
      </c>
      <c r="BE274" s="49"/>
      <c r="BF274" s="273"/>
      <c r="BG274" s="218"/>
      <c r="BH274" s="218"/>
      <c r="BI274" s="218"/>
      <c r="BJ274" s="218"/>
      <c r="BK274" s="218"/>
      <c r="BM274" s="218"/>
      <c r="BN274" s="192"/>
      <c r="BO274" s="218"/>
      <c r="BP274" s="218"/>
      <c r="BQ274" s="192"/>
      <c r="BR274" s="192"/>
      <c r="BS274" s="192"/>
      <c r="BT274" s="218"/>
      <c r="BU274" s="218"/>
      <c r="BV274" s="192"/>
      <c r="BW274" s="192"/>
      <c r="BX274" s="192"/>
      <c r="BY274" s="192"/>
      <c r="BZ274" s="218"/>
      <c r="CA274" s="218"/>
      <c r="CB274" s="192"/>
      <c r="CC274" s="192"/>
      <c r="CD274" s="218"/>
      <c r="CE274" s="218"/>
      <c r="CF274" s="192"/>
      <c r="CG274" s="192"/>
      <c r="CH274" s="218"/>
      <c r="CI274" s="218"/>
      <c r="CJ274" s="192"/>
      <c r="CK274" s="192"/>
      <c r="CL274" s="218"/>
      <c r="CM274" s="218"/>
      <c r="CQ274" s="206"/>
    </row>
    <row r="275" spans="1:98" s="5" customFormat="1" ht="13.5" customHeight="1">
      <c r="A275" s="18"/>
      <c r="B275" s="18"/>
      <c r="C275" s="18"/>
      <c r="D275" s="18"/>
      <c r="E275" s="18"/>
      <c r="F275" s="18"/>
      <c r="G275" s="18"/>
      <c r="H275" s="18"/>
      <c r="I275" s="18"/>
      <c r="J275" s="18"/>
      <c r="K275" s="18"/>
      <c r="L275" s="18"/>
      <c r="M275" s="18"/>
      <c r="N275" s="18"/>
      <c r="O275" s="18"/>
      <c r="P275" s="18"/>
      <c r="Q275" s="18"/>
      <c r="R275" s="18"/>
      <c r="S275" s="18"/>
      <c r="T275" s="18"/>
      <c r="U275" s="299"/>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c r="AU275" s="18"/>
      <c r="AV275" s="18"/>
      <c r="AW275" s="18"/>
      <c r="AX275" s="18"/>
      <c r="AY275" s="18"/>
      <c r="AZ275" s="18"/>
      <c r="BA275" s="18"/>
      <c r="BB275" s="18"/>
      <c r="BC275" s="18"/>
      <c r="BD275" s="18"/>
      <c r="BF275" s="274"/>
      <c r="BG275" s="18"/>
      <c r="BH275" s="18"/>
      <c r="BM275" s="18"/>
      <c r="BN275" s="18"/>
      <c r="BO275" s="18"/>
      <c r="BP275" s="18"/>
      <c r="BQ275" s="18"/>
      <c r="BR275" s="18"/>
      <c r="BS275" s="18"/>
      <c r="BT275" s="18"/>
      <c r="BU275" s="18"/>
      <c r="BV275" s="18"/>
      <c r="BW275" s="18"/>
      <c r="BX275" s="18"/>
      <c r="BY275" s="18"/>
      <c r="BZ275" s="18"/>
      <c r="CA275" s="18"/>
      <c r="CB275" s="18"/>
      <c r="CC275" s="18"/>
      <c r="CD275" s="18"/>
      <c r="CE275" s="18"/>
      <c r="CF275" s="18"/>
      <c r="CG275" s="18"/>
      <c r="CH275" s="18"/>
      <c r="CI275" s="18"/>
      <c r="CJ275" s="18"/>
      <c r="CK275" s="18"/>
      <c r="CL275" s="18"/>
      <c r="CM275" s="18"/>
      <c r="CN275" s="1"/>
      <c r="CO275" s="1"/>
      <c r="CP275" s="1"/>
      <c r="CQ275" s="206"/>
      <c r="CR275" s="1"/>
      <c r="CS275" s="1"/>
      <c r="CT275" s="1"/>
    </row>
    <row r="276" spans="1:98" s="5" customFormat="1" ht="13.5" customHeight="1">
      <c r="U276" s="188"/>
      <c r="BF276" s="277"/>
      <c r="BG276" s="188"/>
      <c r="BH276" s="188"/>
      <c r="BI276" s="188"/>
      <c r="BJ276" s="188"/>
      <c r="BK276" s="188"/>
      <c r="BM276" s="188"/>
      <c r="BN276" s="188"/>
      <c r="BO276" s="188"/>
      <c r="BP276" s="188"/>
      <c r="BQ276" s="188"/>
      <c r="BR276" s="188"/>
      <c r="BS276" s="188"/>
      <c r="BT276" s="188"/>
      <c r="BU276" s="188"/>
      <c r="BV276" s="188"/>
      <c r="BW276" s="188"/>
      <c r="BX276" s="188"/>
      <c r="BY276" s="188"/>
      <c r="BZ276" s="188"/>
      <c r="CA276" s="188"/>
      <c r="CB276" s="188"/>
      <c r="CC276" s="188"/>
      <c r="CD276" s="188"/>
      <c r="CE276" s="188"/>
      <c r="CF276" s="188"/>
      <c r="CG276" s="188"/>
      <c r="CH276" s="188"/>
      <c r="CI276" s="188"/>
      <c r="CJ276" s="188"/>
      <c r="CK276" s="188"/>
      <c r="CL276" s="188"/>
      <c r="CM276" s="188"/>
      <c r="CN276" s="1"/>
      <c r="CO276" s="1"/>
      <c r="CP276" s="1"/>
      <c r="CQ276" s="206"/>
      <c r="CR276" s="1"/>
      <c r="CS276" s="1"/>
      <c r="CT276" s="1"/>
    </row>
    <row r="277" spans="1:98" ht="13.5" customHeight="1">
      <c r="B277" s="91"/>
      <c r="C277" s="6"/>
      <c r="D277" s="6"/>
      <c r="E277" s="6"/>
      <c r="F277" s="6"/>
      <c r="G277" s="6"/>
      <c r="H277" s="6"/>
      <c r="I277" s="6"/>
      <c r="J277" s="6"/>
      <c r="K277" s="6"/>
      <c r="L277" s="6"/>
      <c r="M277" s="6"/>
      <c r="N277" s="6"/>
      <c r="O277" s="6"/>
      <c r="P277" s="6"/>
      <c r="Q277" s="6"/>
      <c r="U277" s="192"/>
      <c r="V277" s="6"/>
      <c r="W277" s="6"/>
      <c r="Z277" s="6"/>
      <c r="AA277" s="6"/>
      <c r="AB277" s="6"/>
      <c r="AC277" s="6"/>
      <c r="AD277" s="6"/>
      <c r="AE277" s="6"/>
      <c r="AF277" s="6"/>
      <c r="AG277" s="6"/>
      <c r="AH277" s="6"/>
      <c r="AI277" s="6"/>
      <c r="AJ277" s="6"/>
      <c r="AK277" s="6"/>
      <c r="AL277" s="6"/>
      <c r="AM277" s="6"/>
      <c r="AN277" s="6"/>
      <c r="AO277" s="6"/>
      <c r="AP277" s="6"/>
      <c r="AQ277" s="6"/>
      <c r="AR277" s="6"/>
      <c r="AS277" s="6"/>
      <c r="AT277" s="6"/>
      <c r="AU277" s="6"/>
      <c r="AV277" s="6"/>
      <c r="AW277" s="6"/>
      <c r="AX277" s="6"/>
      <c r="AY277" s="6"/>
      <c r="AZ277" s="6"/>
      <c r="BA277" s="6"/>
      <c r="BB277" s="6"/>
      <c r="BC277" s="6"/>
      <c r="BD277" s="6"/>
      <c r="BE277" s="6"/>
      <c r="BF277" s="239"/>
      <c r="BG277" s="193"/>
      <c r="BH277" s="193"/>
      <c r="BI277" s="193"/>
      <c r="BJ277" s="193"/>
      <c r="BK277" s="193"/>
      <c r="BM277" s="193"/>
      <c r="BN277" s="192"/>
      <c r="BO277" s="193"/>
      <c r="BP277" s="193"/>
      <c r="BQ277" s="192"/>
      <c r="BR277" s="192"/>
      <c r="BS277" s="192"/>
      <c r="BT277" s="193"/>
      <c r="BU277" s="193"/>
      <c r="BV277" s="192"/>
      <c r="BW277" s="192"/>
      <c r="BX277" s="192"/>
      <c r="BY277" s="192"/>
      <c r="BZ277" s="193"/>
      <c r="CA277" s="193"/>
      <c r="CB277" s="192"/>
      <c r="CC277" s="192"/>
      <c r="CD277" s="193"/>
      <c r="CE277" s="193"/>
      <c r="CF277" s="192"/>
      <c r="CG277" s="192"/>
      <c r="CH277" s="193"/>
      <c r="CI277" s="193"/>
      <c r="CJ277" s="192"/>
      <c r="CK277" s="192"/>
      <c r="CL277" s="193"/>
      <c r="CM277" s="193"/>
      <c r="CQ277" s="206"/>
    </row>
    <row r="278" spans="1:98" ht="13.5" customHeight="1">
      <c r="C278" s="6"/>
      <c r="D278" s="6"/>
      <c r="E278" s="6"/>
      <c r="F278" s="6"/>
      <c r="G278" s="6"/>
      <c r="H278" s="6"/>
      <c r="I278" s="6"/>
      <c r="J278" s="6"/>
      <c r="K278" s="6"/>
      <c r="L278" s="6"/>
      <c r="M278" s="6"/>
      <c r="N278" s="6"/>
      <c r="O278" s="6"/>
      <c r="P278" s="6"/>
      <c r="Q278" s="6"/>
      <c r="U278" s="192"/>
      <c r="V278" s="6"/>
      <c r="W278" s="6"/>
      <c r="Z278" s="6"/>
      <c r="AA278" s="6"/>
      <c r="AB278" s="6"/>
      <c r="AC278" s="6"/>
      <c r="AD278" s="6"/>
      <c r="AE278" s="6"/>
      <c r="AF278" s="6"/>
      <c r="AG278" s="6"/>
      <c r="AH278" s="6"/>
      <c r="AI278" s="6"/>
      <c r="AJ278" s="6"/>
      <c r="AK278" s="6"/>
      <c r="AL278" s="6"/>
      <c r="AM278" s="6"/>
      <c r="AN278" s="6"/>
      <c r="AO278" s="6"/>
      <c r="AP278" s="6"/>
      <c r="AQ278" s="6"/>
      <c r="AR278" s="6"/>
      <c r="AS278" s="6"/>
      <c r="AT278" s="6"/>
      <c r="AU278" s="6"/>
      <c r="AV278" s="6"/>
      <c r="AW278" s="6"/>
      <c r="AX278" s="6"/>
      <c r="AY278" s="6"/>
      <c r="AZ278" s="6"/>
      <c r="BA278" s="6"/>
      <c r="BB278" s="6"/>
      <c r="BC278" s="6"/>
      <c r="BD278" s="6"/>
      <c r="BE278" s="6"/>
      <c r="BF278" s="239"/>
      <c r="BG278" s="193"/>
      <c r="BH278" s="193"/>
      <c r="BI278" s="193"/>
      <c r="BJ278" s="193"/>
      <c r="BK278" s="193"/>
      <c r="BM278" s="193"/>
      <c r="BN278" s="192"/>
      <c r="BO278" s="193"/>
      <c r="BP278" s="193"/>
      <c r="BQ278" s="192"/>
      <c r="BR278" s="192"/>
      <c r="BS278" s="192"/>
      <c r="BT278" s="193"/>
      <c r="BU278" s="193"/>
      <c r="BV278" s="192"/>
      <c r="BW278" s="192"/>
      <c r="BX278" s="192"/>
      <c r="BY278" s="192"/>
      <c r="BZ278" s="193"/>
      <c r="CA278" s="193"/>
      <c r="CB278" s="192"/>
      <c r="CC278" s="192"/>
      <c r="CD278" s="193"/>
      <c r="CE278" s="193"/>
      <c r="CF278" s="192"/>
      <c r="CG278" s="192"/>
      <c r="CH278" s="193"/>
      <c r="CI278" s="193"/>
      <c r="CJ278" s="192"/>
      <c r="CK278" s="192"/>
      <c r="CL278" s="193"/>
      <c r="CM278" s="193"/>
      <c r="CQ278" s="206"/>
    </row>
    <row r="279" spans="1:98" ht="13.5" customHeight="1">
      <c r="B279" s="16" t="s">
        <v>172</v>
      </c>
      <c r="C279" s="44">
        <v>41975</v>
      </c>
      <c r="D279" s="44">
        <v>42341</v>
      </c>
      <c r="E279" s="44">
        <v>42708</v>
      </c>
      <c r="F279" s="44">
        <v>43073</v>
      </c>
      <c r="G279" s="44">
        <v>43073</v>
      </c>
      <c r="H279" s="44">
        <v>43073</v>
      </c>
      <c r="I279" s="44">
        <v>43073</v>
      </c>
      <c r="J279" s="44">
        <v>43073</v>
      </c>
      <c r="K279" s="44">
        <f>K3</f>
        <v>44534</v>
      </c>
      <c r="L279" s="44">
        <f>L3</f>
        <v>44899</v>
      </c>
      <c r="M279" s="44">
        <f>M3</f>
        <v>45264</v>
      </c>
      <c r="N279" s="44">
        <f>N3</f>
        <v>45630</v>
      </c>
      <c r="O279" s="120">
        <f>O3</f>
        <v>45909</v>
      </c>
      <c r="P279" s="205"/>
      <c r="Q279" s="44">
        <v>42437</v>
      </c>
      <c r="R279" s="44">
        <v>42527</v>
      </c>
      <c r="S279" s="44">
        <v>42622</v>
      </c>
      <c r="T279" s="44">
        <v>42714</v>
      </c>
      <c r="U279" s="192"/>
      <c r="V279" s="44">
        <v>42801</v>
      </c>
      <c r="W279" s="44">
        <v>42892</v>
      </c>
      <c r="X279" s="44">
        <v>42987</v>
      </c>
      <c r="Y279" s="44">
        <v>43079</v>
      </c>
      <c r="Z279" s="44">
        <v>43166</v>
      </c>
      <c r="AA279" s="44">
        <f t="shared" ref="AA279:BD279" si="633">AA3</f>
        <v>43281</v>
      </c>
      <c r="AB279" s="44">
        <f t="shared" si="633"/>
        <v>43352</v>
      </c>
      <c r="AC279" s="44">
        <f t="shared" si="633"/>
        <v>43444</v>
      </c>
      <c r="AD279" s="44">
        <f t="shared" si="633"/>
        <v>43555</v>
      </c>
      <c r="AE279" s="44">
        <f t="shared" si="633"/>
        <v>43646</v>
      </c>
      <c r="AF279" s="44">
        <f t="shared" si="633"/>
        <v>43717</v>
      </c>
      <c r="AG279" s="44">
        <f t="shared" si="633"/>
        <v>43808</v>
      </c>
      <c r="AH279" s="44">
        <f t="shared" si="633"/>
        <v>43921</v>
      </c>
      <c r="AI279" s="44">
        <f t="shared" si="633"/>
        <v>44012</v>
      </c>
      <c r="AJ279" s="44">
        <f t="shared" si="633"/>
        <v>44083</v>
      </c>
      <c r="AK279" s="44">
        <f t="shared" si="633"/>
        <v>44174</v>
      </c>
      <c r="AL279" s="44">
        <f t="shared" si="633"/>
        <v>44286</v>
      </c>
      <c r="AM279" s="44">
        <f t="shared" si="633"/>
        <v>44377</v>
      </c>
      <c r="AN279" s="44">
        <f t="shared" si="633"/>
        <v>44448</v>
      </c>
      <c r="AO279" s="44">
        <f t="shared" si="633"/>
        <v>44539</v>
      </c>
      <c r="AP279" s="44">
        <f t="shared" si="633"/>
        <v>44651</v>
      </c>
      <c r="AQ279" s="44">
        <f t="shared" si="633"/>
        <v>44742</v>
      </c>
      <c r="AR279" s="44">
        <f t="shared" si="633"/>
        <v>44813</v>
      </c>
      <c r="AS279" s="44">
        <f t="shared" si="633"/>
        <v>44904</v>
      </c>
      <c r="AT279" s="44">
        <f t="shared" si="633"/>
        <v>45016</v>
      </c>
      <c r="AU279" s="44">
        <f t="shared" si="633"/>
        <v>45107</v>
      </c>
      <c r="AV279" s="44">
        <f t="shared" si="633"/>
        <v>45178</v>
      </c>
      <c r="AW279" s="44">
        <f t="shared" si="633"/>
        <v>45269</v>
      </c>
      <c r="AX279" s="44">
        <f t="shared" si="633"/>
        <v>45382</v>
      </c>
      <c r="AY279" s="44">
        <f t="shared" si="633"/>
        <v>45473</v>
      </c>
      <c r="AZ279" s="44">
        <f t="shared" si="633"/>
        <v>45544</v>
      </c>
      <c r="BA279" s="44">
        <f t="shared" si="633"/>
        <v>45635</v>
      </c>
      <c r="BB279" s="44">
        <f t="shared" si="633"/>
        <v>45747</v>
      </c>
      <c r="BC279" s="44">
        <f t="shared" si="633"/>
        <v>45838</v>
      </c>
      <c r="BD279" s="120">
        <f t="shared" si="633"/>
        <v>45909</v>
      </c>
      <c r="BE279" s="394"/>
      <c r="BF279" s="262"/>
      <c r="BG279" s="207"/>
      <c r="BH279" s="207"/>
      <c r="BI279" s="207"/>
      <c r="BJ279" s="207"/>
      <c r="BK279" s="207"/>
      <c r="BM279" s="207"/>
      <c r="BN279" s="192"/>
      <c r="BO279" s="207"/>
      <c r="BP279" s="207"/>
      <c r="BQ279" s="192"/>
      <c r="BR279" s="192"/>
      <c r="BS279" s="192"/>
      <c r="BT279" s="207"/>
      <c r="BU279" s="207"/>
      <c r="BV279" s="192"/>
      <c r="BW279" s="192"/>
      <c r="BX279" s="192"/>
      <c r="BY279" s="192"/>
      <c r="BZ279" s="207"/>
      <c r="CA279" s="207"/>
      <c r="CB279" s="192"/>
      <c r="CC279" s="192"/>
      <c r="CD279" s="207"/>
      <c r="CE279" s="207"/>
      <c r="CF279" s="192"/>
      <c r="CG279" s="192"/>
      <c r="CH279" s="207"/>
      <c r="CI279" s="207"/>
      <c r="CJ279" s="192"/>
      <c r="CK279" s="192"/>
      <c r="CL279" s="207"/>
      <c r="CM279" s="207"/>
      <c r="CQ279" s="206"/>
    </row>
    <row r="280" spans="1:98" ht="13.5" customHeight="1">
      <c r="B280" s="1" t="str">
        <f t="shared" ref="B280:K280" si="634">B83</f>
        <v>Revenues</v>
      </c>
      <c r="C280" s="24">
        <f t="shared" si="634"/>
        <v>15208.758</v>
      </c>
      <c r="D280" s="24">
        <f t="shared" si="634"/>
        <v>19549.362000000001</v>
      </c>
      <c r="E280" s="24">
        <f t="shared" si="634"/>
        <v>18828.356</v>
      </c>
      <c r="F280" s="24">
        <f t="shared" si="634"/>
        <v>18577.873</v>
      </c>
      <c r="G280" s="24">
        <f t="shared" si="634"/>
        <v>10127.696</v>
      </c>
      <c r="H280" s="24">
        <f t="shared" si="634"/>
        <v>29715.175999999999</v>
      </c>
      <c r="I280" s="24">
        <f t="shared" si="634"/>
        <v>48761.057000000001</v>
      </c>
      <c r="J280" s="24">
        <f t="shared" si="634"/>
        <v>67481.532000000007</v>
      </c>
      <c r="K280" s="24">
        <f t="shared" si="634"/>
        <v>85388.467999999993</v>
      </c>
      <c r="L280" s="24">
        <f>L83</f>
        <v>125371.36</v>
      </c>
      <c r="M280" s="24">
        <f>M83</f>
        <v>132218.01</v>
      </c>
      <c r="N280" s="24">
        <f>N83</f>
        <v>148860.959</v>
      </c>
      <c r="O280" s="24">
        <f>O83</f>
        <v>162012.84600000002</v>
      </c>
      <c r="P280" s="24"/>
      <c r="Q280" s="24"/>
      <c r="R280" s="24"/>
      <c r="S280" s="24"/>
      <c r="T280" s="24">
        <f>T83</f>
        <v>18828.356</v>
      </c>
      <c r="U280" s="192"/>
      <c r="V280" s="24">
        <f t="shared" ref="V280:AS280" si="635">V83</f>
        <v>20103.628999999997</v>
      </c>
      <c r="W280" s="24">
        <f t="shared" si="635"/>
        <v>19740.915999999997</v>
      </c>
      <c r="X280" s="24">
        <f t="shared" si="635"/>
        <v>20224.84</v>
      </c>
      <c r="Y280" s="24">
        <f t="shared" si="635"/>
        <v>18577.873</v>
      </c>
      <c r="Z280" s="24">
        <f t="shared" si="635"/>
        <v>19479.432000000001</v>
      </c>
      <c r="AA280" s="24">
        <f t="shared" si="635"/>
        <v>22414.361000000001</v>
      </c>
      <c r="AB280" s="24">
        <f t="shared" si="635"/>
        <v>30816.227999999999</v>
      </c>
      <c r="AC280" s="24">
        <f t="shared" si="635"/>
        <v>29715.175999999999</v>
      </c>
      <c r="AD280" s="24">
        <f t="shared" si="635"/>
        <v>36731.375</v>
      </c>
      <c r="AE280" s="24">
        <f t="shared" si="635"/>
        <v>43335.502999999997</v>
      </c>
      <c r="AF280" s="24">
        <f t="shared" si="635"/>
        <v>44990.964999999989</v>
      </c>
      <c r="AG280" s="24">
        <f t="shared" si="635"/>
        <v>48761.056999999993</v>
      </c>
      <c r="AH280" s="24">
        <f t="shared" si="635"/>
        <v>52182.981</v>
      </c>
      <c r="AI280" s="24">
        <f t="shared" si="635"/>
        <v>59344.508999999991</v>
      </c>
      <c r="AJ280" s="24">
        <f t="shared" si="635"/>
        <v>63433.281999999992</v>
      </c>
      <c r="AK280" s="24">
        <f t="shared" si="635"/>
        <v>67481.532000000007</v>
      </c>
      <c r="AL280" s="24">
        <f t="shared" si="635"/>
        <v>71215.749000000011</v>
      </c>
      <c r="AM280" s="24">
        <f t="shared" si="635"/>
        <v>72908.769</v>
      </c>
      <c r="AN280" s="24">
        <f t="shared" si="635"/>
        <v>79713.418000000005</v>
      </c>
      <c r="AO280" s="24">
        <f t="shared" si="635"/>
        <v>85388.467999999993</v>
      </c>
      <c r="AP280" s="24">
        <f t="shared" si="635"/>
        <v>90493.453999999983</v>
      </c>
      <c r="AQ280" s="24">
        <f t="shared" si="635"/>
        <v>104405.42499999999</v>
      </c>
      <c r="AR280" s="24">
        <f t="shared" si="635"/>
        <v>115754.11899999999</v>
      </c>
      <c r="AS280" s="24">
        <f t="shared" si="635"/>
        <v>125371.36</v>
      </c>
      <c r="AT280" s="24">
        <f t="shared" ref="AT280:AY280" si="636">AT83</f>
        <v>134788.02899999998</v>
      </c>
      <c r="AU280" s="24">
        <f t="shared" si="636"/>
        <v>131668.47200000001</v>
      </c>
      <c r="AV280" s="24">
        <f t="shared" si="636"/>
        <v>131377.03899999999</v>
      </c>
      <c r="AW280" s="24">
        <f t="shared" si="636"/>
        <v>132218.01</v>
      </c>
      <c r="AX280" s="24">
        <f t="shared" si="636"/>
        <v>132051.44500000001</v>
      </c>
      <c r="AY280" s="24">
        <f t="shared" si="636"/>
        <v>136744.89700000003</v>
      </c>
      <c r="AZ280" s="24">
        <f>AZ83</f>
        <v>141110.08900000001</v>
      </c>
      <c r="BA280" s="24">
        <f>BA83</f>
        <v>148860.959</v>
      </c>
      <c r="BB280" s="24">
        <f>BB83</f>
        <v>156675.052</v>
      </c>
      <c r="BC280" s="24">
        <f>BC83</f>
        <v>159307.56100000002</v>
      </c>
      <c r="BD280" s="24">
        <f>BD83</f>
        <v>162012.84600000002</v>
      </c>
      <c r="BE280" s="24"/>
      <c r="BF280" s="278"/>
      <c r="BG280" s="221"/>
      <c r="BH280" s="221"/>
      <c r="BI280" s="221"/>
      <c r="BJ280" s="221"/>
      <c r="BK280" s="221"/>
      <c r="BM280" s="221"/>
      <c r="BN280" s="192"/>
      <c r="BO280" s="221"/>
      <c r="BP280" s="221"/>
      <c r="BQ280" s="192"/>
      <c r="BR280" s="192"/>
      <c r="BS280" s="192"/>
      <c r="BT280" s="221"/>
      <c r="BU280" s="221"/>
      <c r="BV280" s="192"/>
      <c r="BW280" s="192"/>
      <c r="BX280" s="192"/>
      <c r="BY280" s="192"/>
      <c r="BZ280" s="221"/>
      <c r="CA280" s="221"/>
      <c r="CB280" s="192"/>
      <c r="CC280" s="192"/>
      <c r="CD280" s="221"/>
      <c r="CE280" s="221"/>
      <c r="CF280" s="192"/>
      <c r="CG280" s="192"/>
      <c r="CH280" s="221"/>
      <c r="CI280" s="221"/>
      <c r="CJ280" s="192"/>
      <c r="CK280" s="192"/>
      <c r="CL280" s="221"/>
      <c r="CM280" s="221"/>
      <c r="CQ280" s="206"/>
    </row>
    <row r="281" spans="1:98" ht="13.5" customHeight="1">
      <c r="B281" s="1" t="str">
        <f t="shared" ref="B281:K281" si="637">B86</f>
        <v>Adjusted EBITDA</v>
      </c>
      <c r="C281" s="24">
        <f t="shared" si="637"/>
        <v>1353.5794619999999</v>
      </c>
      <c r="D281" s="24">
        <f t="shared" si="637"/>
        <v>1741.8</v>
      </c>
      <c r="E281" s="24">
        <f t="shared" si="637"/>
        <v>1613.7</v>
      </c>
      <c r="F281" s="24">
        <f t="shared" si="637"/>
        <v>1707.8</v>
      </c>
      <c r="G281" s="24">
        <f t="shared" si="637"/>
        <v>791</v>
      </c>
      <c r="H281" s="24">
        <f t="shared" si="637"/>
        <v>2601</v>
      </c>
      <c r="I281" s="24">
        <f t="shared" si="637"/>
        <v>4812</v>
      </c>
      <c r="J281" s="24">
        <f t="shared" si="637"/>
        <v>9595</v>
      </c>
      <c r="K281" s="24">
        <f t="shared" si="637"/>
        <v>14544</v>
      </c>
      <c r="L281" s="24">
        <f>L86</f>
        <v>12748</v>
      </c>
      <c r="M281" s="24">
        <f>M86</f>
        <v>8555</v>
      </c>
      <c r="N281" s="24">
        <f>N86</f>
        <v>13642</v>
      </c>
      <c r="O281" s="24">
        <f>O86</f>
        <v>13457</v>
      </c>
      <c r="P281" s="24"/>
      <c r="Q281" s="24"/>
      <c r="R281" s="24"/>
      <c r="S281" s="24"/>
      <c r="T281" s="24">
        <f>T86</f>
        <v>1613.7</v>
      </c>
      <c r="U281" s="192"/>
      <c r="V281" s="24">
        <f t="shared" ref="V281:AS281" si="638">V86</f>
        <v>1635.3000000000002</v>
      </c>
      <c r="W281" s="24">
        <f t="shared" si="638"/>
        <v>1602.3000000000002</v>
      </c>
      <c r="X281" s="24">
        <f t="shared" si="638"/>
        <v>1743.3</v>
      </c>
      <c r="Y281" s="24">
        <f t="shared" si="638"/>
        <v>1707.8</v>
      </c>
      <c r="Z281" s="24">
        <f t="shared" si="638"/>
        <v>1753.4999999999998</v>
      </c>
      <c r="AA281" s="24">
        <f t="shared" si="638"/>
        <v>2060.4999999999995</v>
      </c>
      <c r="AB281" s="24">
        <f t="shared" si="638"/>
        <v>2902.4999999999995</v>
      </c>
      <c r="AC281" s="24">
        <f t="shared" si="638"/>
        <v>2601</v>
      </c>
      <c r="AD281" s="24">
        <f t="shared" si="638"/>
        <v>3003</v>
      </c>
      <c r="AE281" s="24">
        <f t="shared" si="638"/>
        <v>3816.0675471698114</v>
      </c>
      <c r="AF281" s="24">
        <f t="shared" si="638"/>
        <v>4140.9922779922781</v>
      </c>
      <c r="AG281" s="24">
        <f t="shared" si="638"/>
        <v>4811.924</v>
      </c>
      <c r="AH281" s="24">
        <f t="shared" si="638"/>
        <v>5437.6404494382023</v>
      </c>
      <c r="AI281" s="24">
        <f t="shared" si="638"/>
        <v>8397.1014492753638</v>
      </c>
      <c r="AJ281" s="24">
        <f t="shared" si="638"/>
        <v>9117.0212765957458</v>
      </c>
      <c r="AK281" s="24">
        <f t="shared" si="638"/>
        <v>9587.7057324840771</v>
      </c>
      <c r="AL281" s="24">
        <f t="shared" si="638"/>
        <v>10083.522727272728</v>
      </c>
      <c r="AM281" s="24">
        <f t="shared" si="638"/>
        <v>9915.8620689655181</v>
      </c>
      <c r="AN281" s="24">
        <f t="shared" si="638"/>
        <v>12484.545454545454</v>
      </c>
      <c r="AO281" s="24">
        <f t="shared" si="638"/>
        <v>14544</v>
      </c>
      <c r="AP281" s="24">
        <f t="shared" si="638"/>
        <v>15564.705882352941</v>
      </c>
      <c r="AQ281" s="24">
        <f t="shared" si="638"/>
        <v>18849.5</v>
      </c>
      <c r="AR281" s="24">
        <f t="shared" si="638"/>
        <v>16509.663865546219</v>
      </c>
      <c r="AS281" s="24">
        <f t="shared" si="638"/>
        <v>12748</v>
      </c>
      <c r="AT281" s="24">
        <f t="shared" ref="AT281:AY281" si="639">AT86</f>
        <v>11492.285714285714</v>
      </c>
      <c r="AU281" s="24">
        <f t="shared" si="639"/>
        <v>9822.0925925925931</v>
      </c>
      <c r="AV281" s="24">
        <f t="shared" si="639"/>
        <v>8580.5626598465478</v>
      </c>
      <c r="AW281" s="24">
        <f t="shared" si="639"/>
        <v>8555</v>
      </c>
      <c r="AX281" s="24">
        <f t="shared" si="639"/>
        <v>10556.559766763849</v>
      </c>
      <c r="AY281" s="24">
        <f t="shared" si="639"/>
        <v>11661.538461538463</v>
      </c>
      <c r="AZ281" s="24">
        <f>AZ86</f>
        <v>12967.666666666666</v>
      </c>
      <c r="BA281" s="24">
        <f>BA86</f>
        <v>13642</v>
      </c>
      <c r="BB281" s="24">
        <f>BB86</f>
        <v>14172.862453531599</v>
      </c>
      <c r="BC281" s="24">
        <f>BC86</f>
        <v>13876.752767527676</v>
      </c>
      <c r="BD281" s="24">
        <f>BD86</f>
        <v>13381.553398058253</v>
      </c>
      <c r="BE281" s="24"/>
      <c r="BF281" s="278"/>
      <c r="BG281" s="221"/>
      <c r="BH281" s="221"/>
      <c r="BI281" s="221"/>
      <c r="BJ281" s="221"/>
      <c r="BK281" s="221"/>
      <c r="BM281" s="221"/>
      <c r="BN281" s="192"/>
      <c r="BO281" s="221"/>
      <c r="BP281" s="221"/>
      <c r="BQ281" s="192"/>
      <c r="BR281" s="192"/>
      <c r="BS281" s="192"/>
      <c r="BT281" s="221"/>
      <c r="BU281" s="221"/>
      <c r="BV281" s="192"/>
      <c r="BW281" s="192"/>
      <c r="BX281" s="192"/>
      <c r="BY281" s="192"/>
      <c r="BZ281" s="221"/>
      <c r="CA281" s="221"/>
      <c r="CB281" s="192"/>
      <c r="CC281" s="192"/>
      <c r="CD281" s="221"/>
      <c r="CE281" s="221"/>
      <c r="CF281" s="192"/>
      <c r="CG281" s="192"/>
      <c r="CH281" s="221"/>
      <c r="CI281" s="221"/>
      <c r="CJ281" s="192"/>
      <c r="CK281" s="192"/>
      <c r="CL281" s="221"/>
      <c r="CM281" s="221"/>
      <c r="CQ281" s="206"/>
    </row>
    <row r="282" spans="1:98" ht="13.5" customHeight="1">
      <c r="B282" s="1" t="s">
        <v>173</v>
      </c>
      <c r="C282" s="85">
        <f t="shared" ref="C282:H282" si="640">C281/C280</f>
        <v>8.8999999999999996E-2</v>
      </c>
      <c r="D282" s="55">
        <f t="shared" si="640"/>
        <v>8.9097536789180115E-2</v>
      </c>
      <c r="E282" s="55">
        <f t="shared" si="640"/>
        <v>8.5705836452210707E-2</v>
      </c>
      <c r="F282" s="55">
        <f t="shared" si="640"/>
        <v>9.1926562314211105E-2</v>
      </c>
      <c r="G282" s="55">
        <f t="shared" si="640"/>
        <v>7.8102660269423571E-2</v>
      </c>
      <c r="H282" s="55">
        <f t="shared" si="640"/>
        <v>8.7531031281793514E-2</v>
      </c>
      <c r="I282" s="55">
        <f t="shared" ref="I282:O282" si="641">I281/I280</f>
        <v>9.868530946734809E-2</v>
      </c>
      <c r="J282" s="55">
        <f t="shared" si="641"/>
        <v>0.14218705052517183</v>
      </c>
      <c r="K282" s="55">
        <f t="shared" si="641"/>
        <v>0.17032744983783996</v>
      </c>
      <c r="L282" s="55">
        <f t="shared" si="641"/>
        <v>0.10168191523167652</v>
      </c>
      <c r="M282" s="55">
        <f t="shared" si="641"/>
        <v>6.4703741948619553E-2</v>
      </c>
      <c r="N282" s="55">
        <f>N281/N280</f>
        <v>9.1642564253532718E-2</v>
      </c>
      <c r="O282" s="55">
        <f t="shared" si="641"/>
        <v>8.3061314779940346E-2</v>
      </c>
      <c r="P282" s="57"/>
      <c r="Q282" s="55"/>
      <c r="R282" s="55"/>
      <c r="S282" s="55"/>
      <c r="T282" s="55">
        <f>T281/T280</f>
        <v>8.5705836452210707E-2</v>
      </c>
      <c r="U282" s="192"/>
      <c r="V282" s="55">
        <f>V281/V280</f>
        <v>8.1343522604799379E-2</v>
      </c>
      <c r="W282" s="55">
        <f t="shared" ref="W282:AC282" si="642">W281/W280</f>
        <v>8.1166446379691823E-2</v>
      </c>
      <c r="X282" s="55">
        <f t="shared" si="642"/>
        <v>8.619598473955789E-2</v>
      </c>
      <c r="Y282" s="55">
        <f t="shared" si="642"/>
        <v>9.1926562314211105E-2</v>
      </c>
      <c r="Z282" s="55">
        <f t="shared" si="642"/>
        <v>9.0018025166236859E-2</v>
      </c>
      <c r="AA282" s="55">
        <f t="shared" si="642"/>
        <v>9.1927670835675379E-2</v>
      </c>
      <c r="AB282" s="55">
        <f t="shared" si="642"/>
        <v>9.4187387242851389E-2</v>
      </c>
      <c r="AC282" s="55">
        <f t="shared" si="642"/>
        <v>8.7531031281793514E-2</v>
      </c>
      <c r="AD282" s="55">
        <f t="shared" ref="AD282:AI282" si="643">AD281/AD280</f>
        <v>8.1755719735512211E-2</v>
      </c>
      <c r="AE282" s="55">
        <f t="shared" si="643"/>
        <v>8.8058688211598971E-2</v>
      </c>
      <c r="AF282" s="55">
        <f t="shared" si="643"/>
        <v>9.2040530315192826E-2</v>
      </c>
      <c r="AG282" s="55">
        <f t="shared" si="643"/>
        <v>9.8683750846500329E-2</v>
      </c>
      <c r="AH282" s="55">
        <f t="shared" si="643"/>
        <v>0.10420333114810368</v>
      </c>
      <c r="AI282" s="55">
        <f t="shared" si="643"/>
        <v>0.14149753011311231</v>
      </c>
      <c r="AJ282" s="55">
        <f t="shared" ref="AJ282:AO282" si="644">AJ281/AJ280</f>
        <v>0.14372614799586986</v>
      </c>
      <c r="AK282" s="55">
        <f t="shared" si="644"/>
        <v>0.14207895772852455</v>
      </c>
      <c r="AL282" s="55">
        <f t="shared" si="644"/>
        <v>0.14159119111803101</v>
      </c>
      <c r="AM282" s="55">
        <f t="shared" si="644"/>
        <v>0.13600369619415079</v>
      </c>
      <c r="AN282" s="55">
        <f t="shared" si="644"/>
        <v>0.15661786644935302</v>
      </c>
      <c r="AO282" s="55">
        <f t="shared" si="644"/>
        <v>0.17032744983783996</v>
      </c>
      <c r="AP282" s="55">
        <f t="shared" ref="AP282:AU282" si="645">AP281/AP280</f>
        <v>0.17199814123961876</v>
      </c>
      <c r="AQ282" s="55">
        <f t="shared" si="645"/>
        <v>0.18054138470295009</v>
      </c>
      <c r="AR282" s="55">
        <f t="shared" si="645"/>
        <v>0.14262700980468973</v>
      </c>
      <c r="AS282" s="55">
        <f t="shared" si="645"/>
        <v>0.10168191523167652</v>
      </c>
      <c r="AT282" s="55">
        <f t="shared" si="645"/>
        <v>8.526191680038378E-2</v>
      </c>
      <c r="AU282" s="55">
        <f t="shared" si="645"/>
        <v>7.4597148758531906E-2</v>
      </c>
      <c r="AV282" s="55">
        <f t="shared" ref="AV282:BB282" si="646">AV281/AV280</f>
        <v>6.5312498478874589E-2</v>
      </c>
      <c r="AW282" s="55">
        <f t="shared" si="646"/>
        <v>6.4703741948619553E-2</v>
      </c>
      <c r="AX282" s="55">
        <f t="shared" si="646"/>
        <v>7.9942781139304059E-2</v>
      </c>
      <c r="AY282" s="55">
        <f t="shared" si="646"/>
        <v>8.5279514756140845E-2</v>
      </c>
      <c r="AZ282" s="55">
        <f t="shared" si="646"/>
        <v>9.1897516035629928E-2</v>
      </c>
      <c r="BA282" s="55">
        <f t="shared" si="646"/>
        <v>9.1642564253532718E-2</v>
      </c>
      <c r="BB282" s="55">
        <f t="shared" si="646"/>
        <v>9.046023775075307E-2</v>
      </c>
      <c r="BC282" s="55">
        <f>BC281/BC280</f>
        <v>8.7106680187814034E-2</v>
      </c>
      <c r="BD282" s="55">
        <f>BD281/BD280</f>
        <v>8.2595631941792147E-2</v>
      </c>
      <c r="BE282" s="67"/>
      <c r="BF282" s="279"/>
      <c r="BG282" s="222"/>
      <c r="BH282" s="222"/>
      <c r="BI282" s="222"/>
      <c r="BJ282" s="222"/>
      <c r="BK282" s="222"/>
      <c r="BM282" s="222"/>
      <c r="BN282" s="192"/>
      <c r="BO282" s="222"/>
      <c r="BP282" s="222"/>
      <c r="BQ282" s="192"/>
      <c r="BR282" s="192"/>
      <c r="BS282" s="192"/>
      <c r="BT282" s="222"/>
      <c r="BU282" s="222"/>
      <c r="BV282" s="192"/>
      <c r="BW282" s="192"/>
      <c r="BX282" s="192"/>
      <c r="BY282" s="192"/>
      <c r="BZ282" s="222"/>
      <c r="CA282" s="222"/>
      <c r="CB282" s="192"/>
      <c r="CC282" s="192"/>
      <c r="CD282" s="222"/>
      <c r="CE282" s="222"/>
      <c r="CF282" s="192"/>
      <c r="CG282" s="192"/>
      <c r="CH282" s="222"/>
      <c r="CI282" s="222"/>
      <c r="CJ282" s="192"/>
      <c r="CK282" s="192"/>
      <c r="CL282" s="222"/>
      <c r="CM282" s="222"/>
      <c r="CQ282" s="206"/>
    </row>
    <row r="283" spans="1:98" ht="13.5" customHeight="1">
      <c r="B283" s="1" t="str">
        <f>B87</f>
        <v>Cash interest paid</v>
      </c>
      <c r="C283" s="24">
        <f t="shared" ref="C283:K283" si="647">-C63</f>
        <v>953.37601512888568</v>
      </c>
      <c r="D283" s="24">
        <f t="shared" si="647"/>
        <v>1241.6389165928854</v>
      </c>
      <c r="E283" s="24">
        <f t="shared" si="647"/>
        <v>1164.0905966299579</v>
      </c>
      <c r="F283" s="24">
        <f t="shared" si="647"/>
        <v>801.3448563764116</v>
      </c>
      <c r="G283" s="24">
        <f t="shared" si="647"/>
        <v>801.3448563764116</v>
      </c>
      <c r="H283" s="24">
        <f t="shared" si="647"/>
        <v>809.88099999999997</v>
      </c>
      <c r="I283" s="24">
        <f t="shared" si="647"/>
        <v>1441.838</v>
      </c>
      <c r="J283" s="24">
        <f t="shared" si="647"/>
        <v>2440.4110000000001</v>
      </c>
      <c r="K283" s="24">
        <f t="shared" si="647"/>
        <v>1623.9949999999999</v>
      </c>
      <c r="L283" s="24">
        <f>-L63</f>
        <v>3090.2150000000001</v>
      </c>
      <c r="M283" s="24">
        <f>-M63</f>
        <v>5157.0739999999996</v>
      </c>
      <c r="N283" s="24">
        <f>-N63</f>
        <v>-4828.25</v>
      </c>
      <c r="O283" s="24">
        <f>-O63</f>
        <v>-3920.4200000000005</v>
      </c>
      <c r="P283" s="24"/>
      <c r="Q283" s="24"/>
      <c r="R283" s="24"/>
      <c r="S283" s="24"/>
      <c r="T283" s="24">
        <f>T87</f>
        <v>1164.0905966299579</v>
      </c>
      <c r="U283" s="192"/>
      <c r="V283" s="24">
        <f t="shared" ref="V283:AS283" si="648">V87</f>
        <v>1278.2667127425948</v>
      </c>
      <c r="W283" s="24">
        <f t="shared" si="648"/>
        <v>1204.5250242422412</v>
      </c>
      <c r="X283" s="24">
        <f t="shared" si="648"/>
        <v>1102.4999168284066</v>
      </c>
      <c r="Y283" s="24">
        <f t="shared" si="648"/>
        <v>801.3448563764116</v>
      </c>
      <c r="Z283" s="24">
        <f t="shared" si="648"/>
        <v>791.19186764429844</v>
      </c>
      <c r="AA283" s="24">
        <f t="shared" si="648"/>
        <v>1046.1918676442983</v>
      </c>
      <c r="AB283" s="24">
        <f t="shared" si="648"/>
        <v>1382.1918676442983</v>
      </c>
      <c r="AC283" s="24">
        <f t="shared" si="648"/>
        <v>809.88099999999997</v>
      </c>
      <c r="AD283" s="24">
        <f t="shared" si="648"/>
        <v>968.31399999999996</v>
      </c>
      <c r="AE283" s="24">
        <f t="shared" si="648"/>
        <v>945.76200000000006</v>
      </c>
      <c r="AF283" s="24">
        <f t="shared" si="648"/>
        <v>945.22500000000002</v>
      </c>
      <c r="AG283" s="24">
        <f t="shared" si="648"/>
        <v>1441.8380000000002</v>
      </c>
      <c r="AH283" s="24">
        <f t="shared" si="648"/>
        <v>1182.9090000000001</v>
      </c>
      <c r="AI283" s="24">
        <f t="shared" si="648"/>
        <v>1826.239</v>
      </c>
      <c r="AJ283" s="24">
        <f t="shared" si="648"/>
        <v>2691.3209999999999</v>
      </c>
      <c r="AK283" s="24">
        <f t="shared" si="648"/>
        <v>2440.4110000000001</v>
      </c>
      <c r="AL283" s="24">
        <f t="shared" si="648"/>
        <v>2440.4110000000001</v>
      </c>
      <c r="AM283" s="24">
        <f t="shared" si="648"/>
        <v>1564.633</v>
      </c>
      <c r="AN283" s="24">
        <f t="shared" si="648"/>
        <v>364.08800000000019</v>
      </c>
      <c r="AO283" s="24">
        <f t="shared" si="648"/>
        <v>1623.9949999999999</v>
      </c>
      <c r="AP283" s="24">
        <f t="shared" si="648"/>
        <v>1623.9949999999999</v>
      </c>
      <c r="AQ283" s="24">
        <f t="shared" si="648"/>
        <v>1623.9949999999999</v>
      </c>
      <c r="AR283" s="24">
        <f t="shared" si="648"/>
        <v>1623.9949999999999</v>
      </c>
      <c r="AS283" s="24">
        <f t="shared" si="648"/>
        <v>3090.2150000000001</v>
      </c>
      <c r="AT283" s="24">
        <f t="shared" ref="AT283:AY283" si="649">AT87</f>
        <v>4406.1970000000001</v>
      </c>
      <c r="AU283" s="24">
        <f t="shared" si="649"/>
        <v>5939.9170000000004</v>
      </c>
      <c r="AV283" s="24">
        <f t="shared" si="649"/>
        <v>6874.8590000000004</v>
      </c>
      <c r="AW283" s="24">
        <f t="shared" si="649"/>
        <v>5157.0739999999987</v>
      </c>
      <c r="AX283" s="24">
        <f t="shared" si="649"/>
        <v>4914.6749999999993</v>
      </c>
      <c r="AY283" s="24">
        <f t="shared" si="649"/>
        <v>4400.610999999999</v>
      </c>
      <c r="AZ283" s="24">
        <f>AZ87</f>
        <v>4642.5449999999992</v>
      </c>
      <c r="BA283" s="24">
        <f>BA87</f>
        <v>-4828.25</v>
      </c>
      <c r="BB283" s="24">
        <f>BB87</f>
        <v>-4444.96</v>
      </c>
      <c r="BC283" s="24">
        <f>BC87</f>
        <v>-4107.1959999999999</v>
      </c>
      <c r="BD283" s="24">
        <f>BD87</f>
        <v>-3920.42</v>
      </c>
      <c r="BE283" s="24"/>
      <c r="BF283" s="278"/>
      <c r="BG283" s="221"/>
      <c r="BH283" s="221"/>
      <c r="BI283" s="221"/>
      <c r="BJ283" s="221"/>
      <c r="BK283" s="221"/>
      <c r="BM283" s="221"/>
      <c r="BN283" s="192"/>
      <c r="BO283" s="221"/>
      <c r="BP283" s="221"/>
      <c r="BQ283" s="192"/>
      <c r="BR283" s="192"/>
      <c r="BS283" s="192"/>
      <c r="BT283" s="221"/>
      <c r="BU283" s="221"/>
      <c r="BV283" s="192"/>
      <c r="BW283" s="192"/>
      <c r="BX283" s="192"/>
      <c r="BY283" s="192"/>
      <c r="BZ283" s="221"/>
      <c r="CA283" s="221"/>
      <c r="CB283" s="192"/>
      <c r="CC283" s="192"/>
      <c r="CD283" s="221"/>
      <c r="CE283" s="221"/>
      <c r="CF283" s="192"/>
      <c r="CG283" s="192"/>
      <c r="CH283" s="221"/>
      <c r="CI283" s="221"/>
      <c r="CJ283" s="192"/>
      <c r="CK283" s="192"/>
      <c r="CL283" s="221"/>
      <c r="CM283" s="221"/>
      <c r="CQ283" s="206"/>
    </row>
    <row r="284" spans="1:98" ht="13.5" customHeight="1">
      <c r="B284" s="1" t="str">
        <f>B89</f>
        <v>Capex</v>
      </c>
      <c r="C284" s="24">
        <f t="shared" ref="C284:K284" si="650">-C65</f>
        <v>284.64600000000002</v>
      </c>
      <c r="D284" s="24">
        <f t="shared" si="650"/>
        <v>400.19900000000001</v>
      </c>
      <c r="E284" s="24">
        <f t="shared" si="650"/>
        <v>450.89800000000002</v>
      </c>
      <c r="F284" s="24">
        <f t="shared" si="650"/>
        <v>795.21799999999996</v>
      </c>
      <c r="G284" s="24">
        <f t="shared" si="650"/>
        <v>438.82900000000001</v>
      </c>
      <c r="H284" s="24">
        <f t="shared" si="650"/>
        <v>676.62800000000004</v>
      </c>
      <c r="I284" s="24">
        <f t="shared" si="650"/>
        <v>955.69600000000003</v>
      </c>
      <c r="J284" s="24">
        <f t="shared" si="650"/>
        <v>1376.1849999999999</v>
      </c>
      <c r="K284" s="24">
        <f t="shared" si="650"/>
        <v>2104.67</v>
      </c>
      <c r="L284" s="24">
        <f>-L65</f>
        <v>3731.8510000000001</v>
      </c>
      <c r="M284" s="24">
        <f>-M65</f>
        <v>3503.0349999999999</v>
      </c>
      <c r="N284" s="24">
        <f>-N65</f>
        <v>3773.373</v>
      </c>
      <c r="O284" s="24">
        <f>-O65</f>
        <v>4830.9679999999998</v>
      </c>
      <c r="P284" s="24"/>
      <c r="Q284" s="24"/>
      <c r="R284" s="24"/>
      <c r="S284" s="24"/>
      <c r="T284" s="24">
        <f>T89</f>
        <v>450.89800000000002</v>
      </c>
      <c r="U284" s="192"/>
      <c r="V284" s="24">
        <f t="shared" ref="V284:AS284" si="651">V89</f>
        <v>519.58800000000008</v>
      </c>
      <c r="W284" s="24">
        <f t="shared" si="651"/>
        <v>719.58100000000002</v>
      </c>
      <c r="X284" s="24">
        <f t="shared" si="651"/>
        <v>834.85500000000002</v>
      </c>
      <c r="Y284" s="24">
        <f t="shared" si="651"/>
        <v>795.21799999999996</v>
      </c>
      <c r="Z284" s="24">
        <f t="shared" si="651"/>
        <v>861.46899999999994</v>
      </c>
      <c r="AA284" s="24">
        <f t="shared" si="651"/>
        <v>942.52</v>
      </c>
      <c r="AB284" s="24">
        <f t="shared" si="651"/>
        <v>953.40100000000007</v>
      </c>
      <c r="AC284" s="24">
        <f t="shared" si="651"/>
        <v>676.62800000000004</v>
      </c>
      <c r="AD284" s="24">
        <f t="shared" si="651"/>
        <v>676.62800000000004</v>
      </c>
      <c r="AE284" s="24">
        <f t="shared" si="651"/>
        <v>736.89100000000019</v>
      </c>
      <c r="AF284" s="24">
        <f t="shared" si="651"/>
        <v>672.221</v>
      </c>
      <c r="AG284" s="24">
        <f t="shared" si="651"/>
        <v>955.69600000000003</v>
      </c>
      <c r="AH284" s="24">
        <f t="shared" si="651"/>
        <v>852.36800000000017</v>
      </c>
      <c r="AI284" s="24">
        <f t="shared" si="651"/>
        <v>946.88699999999994</v>
      </c>
      <c r="AJ284" s="24">
        <f t="shared" si="651"/>
        <v>1227.3389999999999</v>
      </c>
      <c r="AK284" s="24">
        <f t="shared" si="651"/>
        <v>1376.1849999999997</v>
      </c>
      <c r="AL284" s="24">
        <f t="shared" si="651"/>
        <v>1583.3649999999998</v>
      </c>
      <c r="AM284" s="24">
        <f t="shared" si="651"/>
        <v>1727.5529999999999</v>
      </c>
      <c r="AN284" s="24">
        <f t="shared" si="651"/>
        <v>1846.5609999999999</v>
      </c>
      <c r="AO284" s="24">
        <f t="shared" si="651"/>
        <v>2104.67</v>
      </c>
      <c r="AP284" s="24">
        <f t="shared" si="651"/>
        <v>2157.5050000000001</v>
      </c>
      <c r="AQ284" s="24">
        <f t="shared" si="651"/>
        <v>3402.8850000000002</v>
      </c>
      <c r="AR284" s="24">
        <f t="shared" si="651"/>
        <v>3223.6240000000003</v>
      </c>
      <c r="AS284" s="24">
        <f t="shared" si="651"/>
        <v>3731.8510000000001</v>
      </c>
      <c r="AT284" s="24">
        <f t="shared" ref="AT284:BD284" si="652">AT89</f>
        <v>4319.2920000000004</v>
      </c>
      <c r="AU284" s="24">
        <f t="shared" si="652"/>
        <v>3487.6240000000003</v>
      </c>
      <c r="AV284" s="24">
        <f t="shared" si="652"/>
        <v>3920.4119999999998</v>
      </c>
      <c r="AW284" s="24">
        <f t="shared" si="652"/>
        <v>3503.0349999999999</v>
      </c>
      <c r="AX284" s="24">
        <f t="shared" si="652"/>
        <v>3229.3580000000002</v>
      </c>
      <c r="AY284" s="24">
        <f t="shared" si="652"/>
        <v>3168.6729999999998</v>
      </c>
      <c r="AZ284" s="24">
        <f t="shared" si="652"/>
        <v>3283.826</v>
      </c>
      <c r="BA284" s="24">
        <f t="shared" si="652"/>
        <v>3773.3729999999996</v>
      </c>
      <c r="BB284" s="24">
        <f t="shared" si="652"/>
        <v>3902.3989999999994</v>
      </c>
      <c r="BC284" s="24">
        <f t="shared" si="652"/>
        <v>4367.6299999999992</v>
      </c>
      <c r="BD284" s="24">
        <f t="shared" si="652"/>
        <v>4830.9679999999998</v>
      </c>
      <c r="BE284" s="24"/>
      <c r="BF284" s="278"/>
      <c r="BG284" s="221"/>
      <c r="BH284" s="221"/>
      <c r="BI284" s="221"/>
      <c r="BJ284" s="221"/>
      <c r="BK284" s="221"/>
      <c r="BM284" s="221"/>
      <c r="BN284" s="192"/>
      <c r="BO284" s="221"/>
      <c r="BP284" s="221"/>
      <c r="BQ284" s="192"/>
      <c r="BR284" s="192"/>
      <c r="BS284" s="192"/>
      <c r="BT284" s="221"/>
      <c r="BU284" s="221"/>
      <c r="BV284" s="192"/>
      <c r="BW284" s="192"/>
      <c r="BX284" s="192"/>
      <c r="BY284" s="192"/>
      <c r="BZ284" s="221"/>
      <c r="CA284" s="221"/>
      <c r="CB284" s="192"/>
      <c r="CC284" s="192"/>
      <c r="CD284" s="221"/>
      <c r="CE284" s="221"/>
      <c r="CF284" s="192"/>
      <c r="CG284" s="192"/>
      <c r="CH284" s="221"/>
      <c r="CI284" s="221"/>
      <c r="CJ284" s="192"/>
      <c r="CK284" s="192"/>
      <c r="CL284" s="221"/>
      <c r="CM284" s="221"/>
      <c r="CQ284" s="206"/>
    </row>
    <row r="285" spans="1:98" ht="13.5" customHeight="1">
      <c r="B285" s="1" t="str">
        <f>B90</f>
        <v xml:space="preserve">Free cash flow </v>
      </c>
      <c r="C285" s="24">
        <f t="shared" ref="C285:K285" si="653">C68</f>
        <v>404.19144687111418</v>
      </c>
      <c r="D285" s="24">
        <f t="shared" si="653"/>
        <v>645.51408340711453</v>
      </c>
      <c r="E285" s="24">
        <f t="shared" si="653"/>
        <v>1149.7924033700424</v>
      </c>
      <c r="F285" s="24">
        <f t="shared" si="653"/>
        <v>-407.04385637641167</v>
      </c>
      <c r="G285" s="24">
        <f t="shared" si="653"/>
        <v>-829.70285637641155</v>
      </c>
      <c r="H285" s="24">
        <f t="shared" si="653"/>
        <v>-3077.8420000000001</v>
      </c>
      <c r="I285" s="24">
        <f t="shared" si="653"/>
        <v>384.42900000000031</v>
      </c>
      <c r="J285" s="24">
        <f t="shared" si="653"/>
        <v>4596.148000000002</v>
      </c>
      <c r="K285" s="24">
        <f t="shared" si="653"/>
        <v>8115.1770000000006</v>
      </c>
      <c r="L285" s="24">
        <f>L68</f>
        <v>8627.9510000000009</v>
      </c>
      <c r="M285" s="24">
        <f>M68</f>
        <v>2819.5360000000005</v>
      </c>
      <c r="N285" s="24">
        <f>N68</f>
        <v>12743.313999999998</v>
      </c>
      <c r="O285" s="24">
        <f>O68</f>
        <v>13389.397999999999</v>
      </c>
      <c r="P285" s="24"/>
      <c r="Q285" s="24"/>
      <c r="R285" s="24"/>
      <c r="S285" s="24"/>
      <c r="T285" s="24">
        <f>T90</f>
        <v>1149.7924033700424</v>
      </c>
      <c r="U285" s="192"/>
      <c r="V285" s="24">
        <f t="shared" ref="V285:AS285" si="654">V90</f>
        <v>997.63228725740544</v>
      </c>
      <c r="W285" s="24">
        <f t="shared" si="654"/>
        <v>330.05597575775892</v>
      </c>
      <c r="X285" s="24">
        <f t="shared" si="654"/>
        <v>-229.09291682840652</v>
      </c>
      <c r="Y285" s="24">
        <f t="shared" si="654"/>
        <v>-407.04385637641167</v>
      </c>
      <c r="Z285" s="24">
        <f t="shared" si="654"/>
        <v>-530.04786764429844</v>
      </c>
      <c r="AA285" s="24">
        <f t="shared" si="654"/>
        <v>-4506.7428676442987</v>
      </c>
      <c r="AB285" s="24">
        <f t="shared" si="654"/>
        <v>-3766.5358676442984</v>
      </c>
      <c r="AC285" s="24">
        <f t="shared" si="654"/>
        <v>-3077.8420000000006</v>
      </c>
      <c r="AD285" s="24">
        <f t="shared" si="654"/>
        <v>-3739.3649999999998</v>
      </c>
      <c r="AE285" s="24">
        <f t="shared" si="654"/>
        <v>588.32900000000006</v>
      </c>
      <c r="AF285" s="24">
        <f t="shared" si="654"/>
        <v>820.03999999999974</v>
      </c>
      <c r="AG285" s="24">
        <f t="shared" si="654"/>
        <v>384.42899999999975</v>
      </c>
      <c r="AH285" s="24">
        <f t="shared" si="654"/>
        <v>525.43399999999951</v>
      </c>
      <c r="AI285" s="24">
        <f t="shared" si="654"/>
        <v>3485.0920000000001</v>
      </c>
      <c r="AJ285" s="24">
        <f t="shared" si="654"/>
        <v>3448.8300000000004</v>
      </c>
      <c r="AK285" s="24">
        <f t="shared" si="654"/>
        <v>4596.1479999999992</v>
      </c>
      <c r="AL285" s="24">
        <f t="shared" si="654"/>
        <v>5855.5709999999999</v>
      </c>
      <c r="AM285" s="24">
        <f t="shared" si="654"/>
        <v>5164.0329999999994</v>
      </c>
      <c r="AN285" s="24">
        <f t="shared" si="654"/>
        <v>8554.4519999999975</v>
      </c>
      <c r="AO285" s="24">
        <f t="shared" si="654"/>
        <v>8115.1769999999988</v>
      </c>
      <c r="AP285" s="24">
        <f t="shared" si="654"/>
        <v>11502.618999999997</v>
      </c>
      <c r="AQ285" s="24">
        <f t="shared" si="654"/>
        <v>13837.897999999999</v>
      </c>
      <c r="AR285" s="24">
        <f t="shared" si="654"/>
        <v>11074.021000000001</v>
      </c>
      <c r="AS285" s="24">
        <f t="shared" si="654"/>
        <v>8627.9509999999991</v>
      </c>
      <c r="AT285" s="24">
        <f t="shared" ref="AT285:BD285" si="655">AT90</f>
        <v>3467.9359999999988</v>
      </c>
      <c r="AU285" s="24">
        <f t="shared" si="655"/>
        <v>-1029.3950000000016</v>
      </c>
      <c r="AV285" s="24">
        <f t="shared" si="655"/>
        <v>18.203999999999724</v>
      </c>
      <c r="AW285" s="24">
        <f t="shared" si="655"/>
        <v>2819.5360000000014</v>
      </c>
      <c r="AX285" s="24">
        <f t="shared" si="655"/>
        <v>3100.1300000000015</v>
      </c>
      <c r="AY285" s="24">
        <f t="shared" si="655"/>
        <v>4152.4850000000015</v>
      </c>
      <c r="AZ285" s="24">
        <f t="shared" si="655"/>
        <v>2902.9130000000014</v>
      </c>
      <c r="BA285" s="24">
        <f t="shared" si="655"/>
        <v>12743.314000000002</v>
      </c>
      <c r="BB285" s="24">
        <f t="shared" si="655"/>
        <v>15580.605</v>
      </c>
      <c r="BC285" s="24">
        <f t="shared" si="655"/>
        <v>14405.536</v>
      </c>
      <c r="BD285" s="24">
        <f t="shared" si="655"/>
        <v>13389.398000000001</v>
      </c>
      <c r="BE285" s="24"/>
      <c r="BF285" s="278"/>
      <c r="BG285" s="221"/>
      <c r="BH285" s="221"/>
      <c r="BI285" s="221"/>
      <c r="BJ285" s="221"/>
      <c r="BK285" s="221"/>
      <c r="BM285" s="221"/>
      <c r="BN285" s="192"/>
      <c r="BO285" s="221"/>
      <c r="BP285" s="221"/>
      <c r="BQ285" s="192"/>
      <c r="BR285" s="192"/>
      <c r="BS285" s="192"/>
      <c r="BT285" s="221"/>
      <c r="BU285" s="221"/>
      <c r="BV285" s="192"/>
      <c r="BW285" s="192"/>
      <c r="BX285" s="192"/>
      <c r="BY285" s="192"/>
      <c r="BZ285" s="221"/>
      <c r="CA285" s="221"/>
      <c r="CB285" s="192"/>
      <c r="CC285" s="192"/>
      <c r="CD285" s="221"/>
      <c r="CE285" s="221"/>
      <c r="CF285" s="192"/>
      <c r="CG285" s="192"/>
      <c r="CH285" s="221"/>
      <c r="CI285" s="221"/>
      <c r="CJ285" s="192"/>
      <c r="CK285" s="192"/>
      <c r="CL285" s="221"/>
      <c r="CM285" s="221"/>
      <c r="CQ285" s="206"/>
    </row>
    <row r="286" spans="1:98" ht="13.5" customHeight="1">
      <c r="B286" s="1" t="s">
        <v>12</v>
      </c>
      <c r="C286" s="24">
        <f t="shared" ref="C286:H286" si="656">C141</f>
        <v>2658.797</v>
      </c>
      <c r="D286" s="24">
        <f t="shared" si="656"/>
        <v>5004.21</v>
      </c>
      <c r="E286" s="24">
        <f t="shared" si="656"/>
        <v>5278.6409999999996</v>
      </c>
      <c r="F286" s="24">
        <f t="shared" si="656"/>
        <v>4402.3530000000001</v>
      </c>
      <c r="G286" s="24">
        <f t="shared" si="656"/>
        <v>4402.3530000000001</v>
      </c>
      <c r="H286" s="24">
        <f t="shared" si="656"/>
        <v>7191.7060000000001</v>
      </c>
      <c r="I286" s="24">
        <f t="shared" ref="I286:O286" si="657">I141</f>
        <v>8410.1130000000012</v>
      </c>
      <c r="J286" s="24">
        <f t="shared" si="657"/>
        <v>11757.449000000001</v>
      </c>
      <c r="K286" s="24">
        <f t="shared" si="657"/>
        <v>8400.26</v>
      </c>
      <c r="L286" s="24">
        <f>L141</f>
        <v>22492.532999999999</v>
      </c>
      <c r="M286" s="24">
        <f t="shared" si="657"/>
        <v>21878.356</v>
      </c>
      <c r="N286" s="24">
        <f>N141</f>
        <v>22519.514999999999</v>
      </c>
      <c r="O286" s="24">
        <f t="shared" si="657"/>
        <v>22402.078000000001</v>
      </c>
      <c r="P286" s="24"/>
      <c r="Q286" s="24"/>
      <c r="R286" s="24"/>
      <c r="S286" s="24"/>
      <c r="T286" s="24">
        <f>T141</f>
        <v>5278.6409999999996</v>
      </c>
      <c r="U286" s="192"/>
      <c r="V286" s="24">
        <f>V141</f>
        <v>5704.491</v>
      </c>
      <c r="W286" s="24">
        <f t="shared" ref="W286:AC286" si="658">W141</f>
        <v>5435.9439999999995</v>
      </c>
      <c r="X286" s="24">
        <f t="shared" si="658"/>
        <v>4524.3069999999998</v>
      </c>
      <c r="Y286" s="24">
        <f t="shared" si="658"/>
        <v>4402.3530000000001</v>
      </c>
      <c r="Z286" s="24">
        <f t="shared" si="658"/>
        <v>5859.951</v>
      </c>
      <c r="AA286" s="24">
        <f t="shared" si="658"/>
        <v>5659.8850000000002</v>
      </c>
      <c r="AB286" s="24">
        <f t="shared" si="658"/>
        <v>5634.1349999999993</v>
      </c>
      <c r="AC286" s="24">
        <f t="shared" si="658"/>
        <v>7191.7060000000001</v>
      </c>
      <c r="AD286" s="24">
        <f t="shared" ref="AD286:AI286" si="659">AD141</f>
        <v>6601.8609999999999</v>
      </c>
      <c r="AE286" s="24">
        <f t="shared" si="659"/>
        <v>6437.8130000000001</v>
      </c>
      <c r="AF286" s="24">
        <f t="shared" si="659"/>
        <v>8359.5889999999999</v>
      </c>
      <c r="AG286" s="24">
        <f t="shared" si="659"/>
        <v>8410.1130000000012</v>
      </c>
      <c r="AH286" s="24">
        <f t="shared" si="659"/>
        <v>7574.1759999999995</v>
      </c>
      <c r="AI286" s="24">
        <f t="shared" si="659"/>
        <v>8174.0429999999997</v>
      </c>
      <c r="AJ286" s="24">
        <f t="shared" ref="AJ286:AO286" si="660">AJ141</f>
        <v>9654.4709999999995</v>
      </c>
      <c r="AK286" s="24">
        <f t="shared" si="660"/>
        <v>11757.449000000001</v>
      </c>
      <c r="AL286" s="24">
        <f t="shared" si="660"/>
        <v>11056.955999999998</v>
      </c>
      <c r="AM286" s="24">
        <f t="shared" si="660"/>
        <v>13503.821</v>
      </c>
      <c r="AN286" s="24">
        <f t="shared" si="660"/>
        <v>15600.800999999999</v>
      </c>
      <c r="AO286" s="24">
        <f t="shared" si="660"/>
        <v>8400.26</v>
      </c>
      <c r="AP286" s="24">
        <f t="shared" ref="AP286:AU286" si="661">AP141</f>
        <v>11167.837</v>
      </c>
      <c r="AQ286" s="24">
        <f t="shared" si="661"/>
        <v>18866.489999999998</v>
      </c>
      <c r="AR286" s="24">
        <f t="shared" si="661"/>
        <v>20058.79</v>
      </c>
      <c r="AS286" s="24">
        <f t="shared" si="661"/>
        <v>22492.532999999999</v>
      </c>
      <c r="AT286" s="24">
        <f t="shared" si="661"/>
        <v>19611.825000000001</v>
      </c>
      <c r="AU286" s="24">
        <f t="shared" si="661"/>
        <v>18924.07</v>
      </c>
      <c r="AV286" s="24">
        <f t="shared" ref="AV286:BA286" si="662">AV141</f>
        <v>23528.803</v>
      </c>
      <c r="AW286" s="24">
        <f t="shared" si="662"/>
        <v>21878.356</v>
      </c>
      <c r="AX286" s="24">
        <f t="shared" si="662"/>
        <v>20762.554</v>
      </c>
      <c r="AY286" s="24">
        <f t="shared" si="662"/>
        <v>21950.319</v>
      </c>
      <c r="AZ286" s="24">
        <f t="shared" si="662"/>
        <v>19835.851999999999</v>
      </c>
      <c r="BA286" s="24">
        <f t="shared" si="662"/>
        <v>22519.514999999999</v>
      </c>
      <c r="BB286" s="24">
        <f>BB141</f>
        <v>19976.741999999998</v>
      </c>
      <c r="BC286" s="24">
        <f>BC141</f>
        <v>22961.733</v>
      </c>
      <c r="BD286" s="24">
        <f>BD141</f>
        <v>22402.078000000001</v>
      </c>
      <c r="BE286" s="24"/>
      <c r="BF286" s="278"/>
      <c r="BG286" s="221"/>
      <c r="BH286" s="221"/>
      <c r="BI286" s="221"/>
      <c r="BJ286" s="221"/>
      <c r="BK286" s="221"/>
      <c r="BM286" s="221"/>
      <c r="BN286" s="192"/>
      <c r="BO286" s="221"/>
      <c r="BP286" s="221"/>
      <c r="BQ286" s="192"/>
      <c r="BR286" s="192"/>
      <c r="BS286" s="192"/>
      <c r="BT286" s="221"/>
      <c r="BU286" s="221"/>
      <c r="BV286" s="192"/>
      <c r="BW286" s="192"/>
      <c r="BX286" s="192"/>
      <c r="BY286" s="192"/>
      <c r="BZ286" s="221"/>
      <c r="CA286" s="221"/>
      <c r="CB286" s="192"/>
      <c r="CC286" s="192"/>
      <c r="CD286" s="221"/>
      <c r="CE286" s="221"/>
      <c r="CF286" s="192"/>
      <c r="CG286" s="192"/>
      <c r="CH286" s="221"/>
      <c r="CI286" s="221"/>
      <c r="CJ286" s="192"/>
      <c r="CK286" s="192"/>
      <c r="CL286" s="221"/>
      <c r="CM286" s="221"/>
      <c r="CQ286" s="206"/>
    </row>
    <row r="287" spans="1:98" ht="13.5" customHeight="1">
      <c r="B287" s="1" t="s">
        <v>137</v>
      </c>
      <c r="C287" s="24">
        <f t="shared" ref="C287:H287" si="663">C144</f>
        <v>11353.808000000003</v>
      </c>
      <c r="D287" s="24">
        <f t="shared" si="663"/>
        <v>13140.419</v>
      </c>
      <c r="E287" s="24">
        <f t="shared" si="663"/>
        <v>11754.706</v>
      </c>
      <c r="F287" s="24">
        <f t="shared" si="663"/>
        <v>12970.832999999997</v>
      </c>
      <c r="G287" s="24">
        <f t="shared" si="663"/>
        <v>12970.832999999999</v>
      </c>
      <c r="H287" s="24">
        <f t="shared" si="663"/>
        <v>15726.128000000001</v>
      </c>
      <c r="I287" s="24">
        <f t="shared" ref="I287:O287" si="664">I144</f>
        <v>22581.690000000002</v>
      </c>
      <c r="J287" s="24">
        <f t="shared" si="664"/>
        <v>27871.867999999999</v>
      </c>
      <c r="K287" s="24">
        <f t="shared" si="664"/>
        <v>31304.26</v>
      </c>
      <c r="L287" s="24">
        <f>L144</f>
        <v>65710.55</v>
      </c>
      <c r="M287" s="24">
        <f t="shared" si="664"/>
        <v>56084.089</v>
      </c>
      <c r="N287" s="24">
        <f>N144</f>
        <v>66279.640000000014</v>
      </c>
      <c r="O287" s="24">
        <f t="shared" si="664"/>
        <v>69851.801000000007</v>
      </c>
      <c r="P287" s="24"/>
      <c r="Q287" s="24"/>
      <c r="R287" s="24"/>
      <c r="S287" s="24"/>
      <c r="T287" s="24">
        <f>T144</f>
        <v>11754.706</v>
      </c>
      <c r="U287" s="192"/>
      <c r="V287" s="24">
        <f>V144</f>
        <v>12632.675999999999</v>
      </c>
      <c r="W287" s="24">
        <f t="shared" ref="W287:AC287" si="665">W144</f>
        <v>12936.956000000002</v>
      </c>
      <c r="X287" s="24">
        <f t="shared" si="665"/>
        <v>12098.624000000002</v>
      </c>
      <c r="Y287" s="24">
        <f t="shared" si="665"/>
        <v>12970.832999999997</v>
      </c>
      <c r="Z287" s="24">
        <f t="shared" si="665"/>
        <v>12683.826000000001</v>
      </c>
      <c r="AA287" s="24">
        <f t="shared" si="665"/>
        <v>19309.513999999999</v>
      </c>
      <c r="AB287" s="24">
        <f t="shared" si="665"/>
        <v>19880.003000000001</v>
      </c>
      <c r="AC287" s="24">
        <f t="shared" si="665"/>
        <v>15720.817000000001</v>
      </c>
      <c r="AD287" s="24">
        <f t="shared" ref="AD287:AI287" si="666">AD144</f>
        <v>17168.175999999996</v>
      </c>
      <c r="AE287" s="24">
        <f t="shared" si="666"/>
        <v>17421.773999999998</v>
      </c>
      <c r="AF287" s="24">
        <f t="shared" si="666"/>
        <v>20062.624</v>
      </c>
      <c r="AG287" s="24">
        <f t="shared" si="666"/>
        <v>22581.690000000002</v>
      </c>
      <c r="AH287" s="24">
        <f t="shared" si="666"/>
        <v>28179.331999999999</v>
      </c>
      <c r="AI287" s="24">
        <f t="shared" si="666"/>
        <v>26695.398999999998</v>
      </c>
      <c r="AJ287" s="24">
        <f t="shared" ref="AJ287:AO287" si="667">AJ144</f>
        <v>27907.860000000004</v>
      </c>
      <c r="AK287" s="24">
        <f t="shared" si="667"/>
        <v>27871.867999999999</v>
      </c>
      <c r="AL287" s="24">
        <f t="shared" si="667"/>
        <v>29908.448000000004</v>
      </c>
      <c r="AM287" s="24">
        <f t="shared" si="667"/>
        <v>28740.237999999998</v>
      </c>
      <c r="AN287" s="24">
        <f t="shared" si="667"/>
        <v>30243.816999999999</v>
      </c>
      <c r="AO287" s="24">
        <f t="shared" si="667"/>
        <v>31304.26</v>
      </c>
      <c r="AP287" s="24">
        <f t="shared" ref="AP287:AU287" si="668">AP144</f>
        <v>33430.058999999994</v>
      </c>
      <c r="AQ287" s="24">
        <f t="shared" si="668"/>
        <v>60744.027999999991</v>
      </c>
      <c r="AR287" s="24">
        <f t="shared" si="668"/>
        <v>63758.422000000006</v>
      </c>
      <c r="AS287" s="24">
        <f t="shared" si="668"/>
        <v>65710.55</v>
      </c>
      <c r="AT287" s="24">
        <f t="shared" si="668"/>
        <v>64512.413</v>
      </c>
      <c r="AU287" s="24">
        <f t="shared" si="668"/>
        <v>62448.647000000004</v>
      </c>
      <c r="AV287" s="24">
        <f t="shared" ref="AV287:BA287" si="669">AV144</f>
        <v>57002.062000000005</v>
      </c>
      <c r="AW287" s="24">
        <f t="shared" si="669"/>
        <v>56084.089</v>
      </c>
      <c r="AX287" s="24">
        <f t="shared" si="669"/>
        <v>56620.260000000009</v>
      </c>
      <c r="AY287" s="24">
        <f t="shared" si="669"/>
        <v>61601.951000000001</v>
      </c>
      <c r="AZ287" s="24">
        <f t="shared" si="669"/>
        <v>58814.144</v>
      </c>
      <c r="BA287" s="24">
        <f t="shared" si="669"/>
        <v>66279.640000000014</v>
      </c>
      <c r="BB287" s="24">
        <f>BB144</f>
        <v>63879.113999999987</v>
      </c>
      <c r="BC287" s="24">
        <f>BC144</f>
        <v>66303.943000000014</v>
      </c>
      <c r="BD287" s="24">
        <f>BD144</f>
        <v>69851.801000000007</v>
      </c>
      <c r="BE287" s="24"/>
      <c r="BF287" s="278"/>
      <c r="BG287" s="221"/>
      <c r="BH287" s="221"/>
      <c r="BI287" s="221"/>
      <c r="BJ287" s="221"/>
      <c r="BK287" s="221"/>
      <c r="BM287" s="221"/>
      <c r="BN287" s="192"/>
      <c r="BO287" s="221"/>
      <c r="BP287" s="221"/>
      <c r="BQ287" s="192"/>
      <c r="BR287" s="192"/>
      <c r="BS287" s="192"/>
      <c r="BT287" s="221"/>
      <c r="BU287" s="221"/>
      <c r="BV287" s="192"/>
      <c r="BW287" s="192"/>
      <c r="BX287" s="192"/>
      <c r="BY287" s="192"/>
      <c r="BZ287" s="221"/>
      <c r="CA287" s="221"/>
      <c r="CB287" s="192"/>
      <c r="CC287" s="192"/>
      <c r="CD287" s="221"/>
      <c r="CE287" s="221"/>
      <c r="CF287" s="192"/>
      <c r="CG287" s="192"/>
      <c r="CH287" s="221"/>
      <c r="CI287" s="221"/>
      <c r="CJ287" s="192"/>
      <c r="CK287" s="192"/>
      <c r="CL287" s="221"/>
      <c r="CM287" s="221"/>
      <c r="CQ287" s="206"/>
    </row>
    <row r="288" spans="1:98" s="5" customFormat="1" ht="13.5" customHeight="1">
      <c r="B288" s="5" t="s">
        <v>164</v>
      </c>
      <c r="C288" s="53">
        <f t="shared" ref="C288:H288" si="670">C143</f>
        <v>8695.0110000000022</v>
      </c>
      <c r="D288" s="53">
        <f t="shared" si="670"/>
        <v>8136.2089999999998</v>
      </c>
      <c r="E288" s="53">
        <f t="shared" si="670"/>
        <v>6476.0650000000005</v>
      </c>
      <c r="F288" s="53">
        <f t="shared" si="670"/>
        <v>8568.4799999999959</v>
      </c>
      <c r="G288" s="53">
        <f t="shared" si="670"/>
        <v>8568.48</v>
      </c>
      <c r="H288" s="53">
        <f t="shared" si="670"/>
        <v>8534.4220000000005</v>
      </c>
      <c r="I288" s="53">
        <f t="shared" ref="I288:O288" si="671">I143</f>
        <v>14171.577000000001</v>
      </c>
      <c r="J288" s="53">
        <f t="shared" si="671"/>
        <v>16114.418999999998</v>
      </c>
      <c r="K288" s="53">
        <f t="shared" si="671"/>
        <v>22904</v>
      </c>
      <c r="L288" s="53">
        <f>L143</f>
        <v>43218.017000000007</v>
      </c>
      <c r="M288" s="53">
        <f t="shared" si="671"/>
        <v>34205.733</v>
      </c>
      <c r="N288" s="53">
        <f>N143</f>
        <v>43760.125000000015</v>
      </c>
      <c r="O288" s="53">
        <f t="shared" si="671"/>
        <v>47449.723000000005</v>
      </c>
      <c r="P288" s="53"/>
      <c r="Q288" s="53"/>
      <c r="R288" s="53"/>
      <c r="S288" s="53"/>
      <c r="T288" s="53">
        <f>T143</f>
        <v>6476.0650000000005</v>
      </c>
      <c r="U288" s="188"/>
      <c r="V288" s="53">
        <f>V143</f>
        <v>6928.1849999999995</v>
      </c>
      <c r="W288" s="53">
        <f t="shared" ref="W288:AC288" si="672">W143</f>
        <v>7501.0120000000024</v>
      </c>
      <c r="X288" s="53">
        <f t="shared" si="672"/>
        <v>7574.3170000000018</v>
      </c>
      <c r="Y288" s="53">
        <f t="shared" si="672"/>
        <v>8568.4799999999959</v>
      </c>
      <c r="Z288" s="53">
        <f t="shared" si="672"/>
        <v>6823.8750000000009</v>
      </c>
      <c r="AA288" s="53">
        <f t="shared" si="672"/>
        <v>13649.628999999999</v>
      </c>
      <c r="AB288" s="53">
        <f t="shared" si="672"/>
        <v>14245.868000000002</v>
      </c>
      <c r="AC288" s="53">
        <f t="shared" si="672"/>
        <v>8529.1110000000008</v>
      </c>
      <c r="AD288" s="53">
        <f t="shared" ref="AD288:AI288" si="673">AD143</f>
        <v>10566.314999999995</v>
      </c>
      <c r="AE288" s="53">
        <f t="shared" si="673"/>
        <v>10983.960999999998</v>
      </c>
      <c r="AF288" s="53">
        <f t="shared" si="673"/>
        <v>11703.035</v>
      </c>
      <c r="AG288" s="53">
        <f t="shared" si="673"/>
        <v>14171.577000000001</v>
      </c>
      <c r="AH288" s="53">
        <f t="shared" si="673"/>
        <v>20605.155999999999</v>
      </c>
      <c r="AI288" s="53">
        <f t="shared" si="673"/>
        <v>18521.356</v>
      </c>
      <c r="AJ288" s="53">
        <f t="shared" ref="AJ288:AO288" si="674">AJ143</f>
        <v>18253.389000000003</v>
      </c>
      <c r="AK288" s="53">
        <f t="shared" si="674"/>
        <v>16114.418999999998</v>
      </c>
      <c r="AL288" s="53">
        <f t="shared" si="674"/>
        <v>18851.492000000006</v>
      </c>
      <c r="AM288" s="53">
        <f t="shared" si="674"/>
        <v>15236.416999999998</v>
      </c>
      <c r="AN288" s="53">
        <f t="shared" si="674"/>
        <v>14643.016</v>
      </c>
      <c r="AO288" s="53">
        <f t="shared" si="674"/>
        <v>22904</v>
      </c>
      <c r="AP288" s="53">
        <f t="shared" ref="AP288:AU288" si="675">AP143</f>
        <v>22262.221999999994</v>
      </c>
      <c r="AQ288" s="53">
        <f t="shared" si="675"/>
        <v>41877.537999999993</v>
      </c>
      <c r="AR288" s="53">
        <f t="shared" si="675"/>
        <v>43699.632000000005</v>
      </c>
      <c r="AS288" s="53">
        <f t="shared" si="675"/>
        <v>43218.017000000007</v>
      </c>
      <c r="AT288" s="53">
        <f t="shared" si="675"/>
        <v>44900.588000000003</v>
      </c>
      <c r="AU288" s="53">
        <f t="shared" si="675"/>
        <v>43524.577000000005</v>
      </c>
      <c r="AV288" s="53">
        <f t="shared" ref="AV288:BA288" si="676">AV143</f>
        <v>33473.259000000005</v>
      </c>
      <c r="AW288" s="53">
        <f t="shared" si="676"/>
        <v>34205.733</v>
      </c>
      <c r="AX288" s="53">
        <f t="shared" si="676"/>
        <v>35857.706000000006</v>
      </c>
      <c r="AY288" s="53">
        <f t="shared" si="676"/>
        <v>39651.631999999998</v>
      </c>
      <c r="AZ288" s="53">
        <f t="shared" si="676"/>
        <v>38978.292000000001</v>
      </c>
      <c r="BA288" s="53">
        <f t="shared" si="676"/>
        <v>43760.125000000015</v>
      </c>
      <c r="BB288" s="53">
        <f>BB143</f>
        <v>43902.371999999988</v>
      </c>
      <c r="BC288" s="53">
        <f>BC143</f>
        <v>43342.210000000014</v>
      </c>
      <c r="BD288" s="53">
        <f>BD143</f>
        <v>47449.723000000005</v>
      </c>
      <c r="BE288" s="53"/>
      <c r="BF288" s="365"/>
      <c r="BG288" s="366"/>
      <c r="BH288" s="366"/>
      <c r="BI288" s="366"/>
      <c r="BJ288" s="366"/>
      <c r="BK288" s="366"/>
      <c r="BM288" s="366"/>
      <c r="BN288" s="188"/>
      <c r="BO288" s="366"/>
      <c r="BP288" s="366"/>
      <c r="BQ288" s="188"/>
      <c r="BR288" s="188"/>
      <c r="BS288" s="188"/>
      <c r="BT288" s="366"/>
      <c r="BU288" s="366"/>
      <c r="BV288" s="188"/>
      <c r="BW288" s="188"/>
      <c r="BX288" s="188"/>
      <c r="BY288" s="188"/>
      <c r="BZ288" s="366"/>
      <c r="CA288" s="366"/>
      <c r="CB288" s="188"/>
      <c r="CC288" s="188"/>
      <c r="CD288" s="366"/>
      <c r="CE288" s="366"/>
      <c r="CF288" s="188"/>
      <c r="CG288" s="188"/>
      <c r="CH288" s="366"/>
      <c r="CI288" s="366"/>
      <c r="CJ288" s="188"/>
      <c r="CK288" s="188"/>
      <c r="CL288" s="366"/>
      <c r="CM288" s="366"/>
      <c r="CN288" s="1"/>
      <c r="CO288" s="1"/>
      <c r="CP288" s="1"/>
      <c r="CQ288" s="206"/>
      <c r="CR288" s="1"/>
      <c r="CS288" s="1"/>
      <c r="CT288" s="1"/>
    </row>
    <row r="289" spans="2:98" ht="13.5" customHeight="1">
      <c r="B289" s="1" t="s">
        <v>174</v>
      </c>
      <c r="C289" s="49">
        <f t="shared" ref="C289:H289" si="677">C159</f>
        <v>8.3879877899624962</v>
      </c>
      <c r="D289" s="49">
        <f t="shared" si="677"/>
        <v>7.544160638420025</v>
      </c>
      <c r="E289" s="49">
        <f t="shared" si="677"/>
        <v>7.2843192662824565</v>
      </c>
      <c r="F289" s="49">
        <f t="shared" si="677"/>
        <v>7.5950538704766348</v>
      </c>
      <c r="G289" s="49">
        <f t="shared" si="677"/>
        <v>16.398018963337545</v>
      </c>
      <c r="H289" s="49">
        <f t="shared" si="677"/>
        <v>6.0461853133410228</v>
      </c>
      <c r="I289" s="49">
        <f t="shared" ref="I289:O289" si="678">I159</f>
        <v>4.6927867830423944</v>
      </c>
      <c r="J289" s="49">
        <f t="shared" si="678"/>
        <v>2.9048325169359042</v>
      </c>
      <c r="K289" s="49">
        <f t="shared" si="678"/>
        <v>2.1523831133113309</v>
      </c>
      <c r="L289" s="49">
        <f>L159</f>
        <v>5.1545771885786005</v>
      </c>
      <c r="M289" s="49">
        <f t="shared" si="678"/>
        <v>6.5557088252483924</v>
      </c>
      <c r="N289" s="49">
        <f>N159</f>
        <v>4.8584987538484103</v>
      </c>
      <c r="O289" s="49">
        <f t="shared" si="678"/>
        <v>5.1907409526640418</v>
      </c>
      <c r="P289" s="49"/>
      <c r="Q289" s="49"/>
      <c r="R289" s="49"/>
      <c r="S289" s="49"/>
      <c r="T289" s="49">
        <f>T159</f>
        <v>7.2843192662824565</v>
      </c>
      <c r="U289" s="192"/>
      <c r="V289" s="49">
        <f>V159</f>
        <v>7.7249899101082358</v>
      </c>
      <c r="W289" s="49">
        <f t="shared" ref="W289:AC289" si="679">W159</f>
        <v>8.0739911377394993</v>
      </c>
      <c r="X289" s="49">
        <f t="shared" si="679"/>
        <v>6.9400699822176346</v>
      </c>
      <c r="Y289" s="49">
        <f t="shared" si="679"/>
        <v>7.5950538704766348</v>
      </c>
      <c r="Z289" s="49">
        <f t="shared" si="679"/>
        <v>7.2334337040205314</v>
      </c>
      <c r="AA289" s="49">
        <f t="shared" si="679"/>
        <v>9.3712759039068203</v>
      </c>
      <c r="AB289" s="49">
        <f t="shared" si="679"/>
        <v>6.8492689061154186</v>
      </c>
      <c r="AC289" s="49">
        <f t="shared" si="679"/>
        <v>6.0441434063821609</v>
      </c>
      <c r="AD289" s="49">
        <f t="shared" ref="AD289:AI289" si="680">AD159</f>
        <v>5.7170083250083232</v>
      </c>
      <c r="AE289" s="49">
        <f t="shared" si="680"/>
        <v>4.5653735906537785</v>
      </c>
      <c r="AF289" s="49">
        <f t="shared" si="680"/>
        <v>4.8448832195666824</v>
      </c>
      <c r="AG289" s="49">
        <f t="shared" si="680"/>
        <v>4.6928609013774949</v>
      </c>
      <c r="AH289" s="49">
        <f t="shared" si="680"/>
        <v>5.1822720281020764</v>
      </c>
      <c r="AI289" s="49">
        <f t="shared" si="680"/>
        <v>3.179120695547117</v>
      </c>
      <c r="AJ289" s="49">
        <f t="shared" ref="AJ289:AO289" si="681">AJ159</f>
        <v>3.0610721586931158</v>
      </c>
      <c r="AK289" s="49">
        <f t="shared" si="681"/>
        <v>2.9070424956376586</v>
      </c>
      <c r="AL289" s="49">
        <f t="shared" si="681"/>
        <v>2.9660713630472757</v>
      </c>
      <c r="AM289" s="49">
        <f t="shared" si="681"/>
        <v>2.8984104256502987</v>
      </c>
      <c r="AN289" s="49">
        <f t="shared" si="681"/>
        <v>2.4225004514672688</v>
      </c>
      <c r="AO289" s="49">
        <f t="shared" si="681"/>
        <v>2.1523831133113309</v>
      </c>
      <c r="AP289" s="49">
        <f t="shared" ref="AP289:AU289" si="682">AP159</f>
        <v>2.1478118027210882</v>
      </c>
      <c r="AQ289" s="49">
        <f t="shared" si="682"/>
        <v>3.2225803336958534</v>
      </c>
      <c r="AR289" s="49">
        <f t="shared" si="682"/>
        <v>3.8618849250502634</v>
      </c>
      <c r="AS289" s="49">
        <f t="shared" si="682"/>
        <v>5.1545771885786005</v>
      </c>
      <c r="AT289" s="49">
        <f t="shared" si="682"/>
        <v>5.6135406483852526</v>
      </c>
      <c r="AU289" s="49">
        <f t="shared" si="682"/>
        <v>6.3579778353032568</v>
      </c>
      <c r="AV289" s="49">
        <f t="shared" ref="AV289:BA289" si="683">AV159</f>
        <v>6.6431613239940388</v>
      </c>
      <c r="AW289" s="49">
        <f t="shared" si="683"/>
        <v>6.5557088252483924</v>
      </c>
      <c r="AX289" s="49">
        <f t="shared" si="683"/>
        <v>5.3635143693556859</v>
      </c>
      <c r="AY289" s="49">
        <f t="shared" si="683"/>
        <v>5.2824892018469649</v>
      </c>
      <c r="AZ289" s="49">
        <f t="shared" si="683"/>
        <v>4.5354453898156954</v>
      </c>
      <c r="BA289" s="49">
        <f t="shared" si="683"/>
        <v>4.8584987538484103</v>
      </c>
      <c r="BB289" s="49">
        <f>BB159</f>
        <v>4.5071427320655726</v>
      </c>
      <c r="BC289" s="49">
        <f>BC159</f>
        <v>4.7780589674520026</v>
      </c>
      <c r="BD289" s="49">
        <f>BD159</f>
        <v>5.2200068947253868</v>
      </c>
      <c r="BE289" s="49"/>
      <c r="BF289" s="273"/>
      <c r="BG289" s="218"/>
      <c r="BH289" s="218"/>
      <c r="BI289" s="218"/>
      <c r="BJ289" s="218"/>
      <c r="BK289" s="218"/>
      <c r="BM289" s="218"/>
      <c r="BN289" s="192"/>
      <c r="BO289" s="218"/>
      <c r="BP289" s="218"/>
      <c r="BQ289" s="192"/>
      <c r="BR289" s="192"/>
      <c r="BS289" s="192"/>
      <c r="BT289" s="218"/>
      <c r="BU289" s="218"/>
      <c r="BV289" s="192"/>
      <c r="BW289" s="192"/>
      <c r="BX289" s="192"/>
      <c r="BY289" s="192"/>
      <c r="BZ289" s="218"/>
      <c r="CA289" s="218"/>
      <c r="CB289" s="192"/>
      <c r="CC289" s="192"/>
      <c r="CD289" s="218"/>
      <c r="CE289" s="218"/>
      <c r="CF289" s="192"/>
      <c r="CG289" s="192"/>
      <c r="CH289" s="218"/>
      <c r="CI289" s="218"/>
      <c r="CJ289" s="192"/>
      <c r="CK289" s="192"/>
      <c r="CL289" s="218"/>
      <c r="CM289" s="218"/>
      <c r="CQ289" s="206"/>
    </row>
    <row r="290" spans="2:98" ht="13.5" customHeight="1">
      <c r="B290" s="5" t="s">
        <v>175</v>
      </c>
      <c r="C290" s="48">
        <f t="shared" ref="C290:H290" si="684">C158</f>
        <v>6.4237167038221523</v>
      </c>
      <c r="D290" s="48">
        <f t="shared" si="684"/>
        <v>4.6711499598116895</v>
      </c>
      <c r="E290" s="48">
        <f t="shared" si="684"/>
        <v>4.013177790171655</v>
      </c>
      <c r="F290" s="48">
        <f t="shared" si="684"/>
        <v>5.0172619744700766</v>
      </c>
      <c r="G290" s="48">
        <f t="shared" si="684"/>
        <v>10.832465233881162</v>
      </c>
      <c r="H290" s="48">
        <f t="shared" si="684"/>
        <v>3.2812079969242602</v>
      </c>
      <c r="I290" s="48">
        <f t="shared" ref="I290:O290" si="685">I158</f>
        <v>2.9450492518703246</v>
      </c>
      <c r="J290" s="48">
        <f t="shared" si="685"/>
        <v>1.6794600312662844</v>
      </c>
      <c r="K290" s="48">
        <f t="shared" si="685"/>
        <v>1.5748074807480748</v>
      </c>
      <c r="L290" s="48">
        <f>L158</f>
        <v>3.3901801851270794</v>
      </c>
      <c r="M290" s="48">
        <f t="shared" si="685"/>
        <v>3.9983323202805376</v>
      </c>
      <c r="N290" s="48">
        <f>N158</f>
        <v>3.2077499633484838</v>
      </c>
      <c r="O290" s="48">
        <f t="shared" si="685"/>
        <v>3.5260253399717625</v>
      </c>
      <c r="P290" s="48"/>
      <c r="Q290" s="48"/>
      <c r="R290" s="48"/>
      <c r="S290" s="48"/>
      <c r="T290" s="48">
        <f>T158</f>
        <v>4.013177790171655</v>
      </c>
      <c r="U290" s="192"/>
      <c r="V290" s="48">
        <f>V158</f>
        <v>4.2366446523573646</v>
      </c>
      <c r="W290" s="48">
        <f t="shared" ref="W290:AC290" si="686">W158</f>
        <v>4.6814029832116342</v>
      </c>
      <c r="X290" s="48">
        <f t="shared" si="686"/>
        <v>4.3448155796477952</v>
      </c>
      <c r="Y290" s="48">
        <f t="shared" si="686"/>
        <v>5.0172619744700766</v>
      </c>
      <c r="Z290" s="48">
        <f t="shared" si="686"/>
        <v>3.8915739948674091</v>
      </c>
      <c r="AA290" s="48">
        <f t="shared" si="686"/>
        <v>6.6244256248483389</v>
      </c>
      <c r="AB290" s="48">
        <f t="shared" si="686"/>
        <v>4.9081371231696824</v>
      </c>
      <c r="AC290" s="48">
        <f t="shared" si="686"/>
        <v>3.2791660899653983</v>
      </c>
      <c r="AD290" s="48">
        <f t="shared" ref="AD290:AI290" si="687">AD158</f>
        <v>3.5185864135864118</v>
      </c>
      <c r="AE290" s="48">
        <f t="shared" si="687"/>
        <v>2.8783455387592021</v>
      </c>
      <c r="AF290" s="48">
        <f t="shared" si="687"/>
        <v>2.8261426765263393</v>
      </c>
      <c r="AG290" s="48">
        <f t="shared" si="687"/>
        <v>2.9450957662672979</v>
      </c>
      <c r="AH290" s="48">
        <f t="shared" si="687"/>
        <v>3.7893560987705341</v>
      </c>
      <c r="AI290" s="48">
        <f t="shared" si="687"/>
        <v>2.2056844390749046</v>
      </c>
      <c r="AJ290" s="48">
        <f t="shared" ref="AJ290:AO290" si="688">AJ158</f>
        <v>2.0021220140023339</v>
      </c>
      <c r="AK290" s="48">
        <f t="shared" si="688"/>
        <v>1.6807377541222175</v>
      </c>
      <c r="AL290" s="48">
        <f t="shared" si="688"/>
        <v>1.8695343393249568</v>
      </c>
      <c r="AM290" s="48">
        <f t="shared" si="688"/>
        <v>1.5365700827653355</v>
      </c>
      <c r="AN290" s="48">
        <f t="shared" si="688"/>
        <v>1.1728914002767057</v>
      </c>
      <c r="AO290" s="48">
        <f t="shared" si="688"/>
        <v>1.5748074807480748</v>
      </c>
      <c r="AP290" s="48">
        <f t="shared" ref="AP290:AU290" si="689">AP158</f>
        <v>1.4303014890400603</v>
      </c>
      <c r="AQ290" s="48">
        <f t="shared" si="689"/>
        <v>2.221678983527414</v>
      </c>
      <c r="AR290" s="48">
        <f t="shared" si="689"/>
        <v>2.6469122785228922</v>
      </c>
      <c r="AS290" s="48">
        <f t="shared" si="689"/>
        <v>3.3901801851270794</v>
      </c>
      <c r="AT290" s="48">
        <f t="shared" si="689"/>
        <v>3.9070198145339736</v>
      </c>
      <c r="AU290" s="48">
        <f t="shared" si="689"/>
        <v>4.4312936973150103</v>
      </c>
      <c r="AV290" s="48">
        <f t="shared" ref="AV290:BA290" si="690">AV158</f>
        <v>3.9010564140089423</v>
      </c>
      <c r="AW290" s="48">
        <f t="shared" si="690"/>
        <v>3.9983323202805376</v>
      </c>
      <c r="AX290" s="48">
        <f t="shared" si="690"/>
        <v>3.396722681653733</v>
      </c>
      <c r="AY290" s="48">
        <f t="shared" si="690"/>
        <v>3.4002059102902371</v>
      </c>
      <c r="AZ290" s="48">
        <f t="shared" si="690"/>
        <v>3.005806133203095</v>
      </c>
      <c r="BA290" s="48">
        <f t="shared" si="690"/>
        <v>3.2077499633484838</v>
      </c>
      <c r="BB290" s="48">
        <f>BB158</f>
        <v>3.0976362145573759</v>
      </c>
      <c r="BC290" s="48">
        <f>BC158</f>
        <v>3.1233683215444352</v>
      </c>
      <c r="BD290" s="48">
        <f>BD158</f>
        <v>3.545905440760357</v>
      </c>
      <c r="BE290" s="48"/>
      <c r="BF290" s="272"/>
      <c r="BG290" s="217"/>
      <c r="BH290" s="217"/>
      <c r="BI290" s="217"/>
      <c r="BJ290" s="217"/>
      <c r="BK290" s="217"/>
      <c r="BM290" s="217"/>
      <c r="BN290" s="192"/>
      <c r="BO290" s="217"/>
      <c r="BP290" s="217"/>
      <c r="BQ290" s="192"/>
      <c r="BR290" s="192"/>
      <c r="BS290" s="192"/>
      <c r="BT290" s="217"/>
      <c r="BU290" s="217"/>
      <c r="BV290" s="192"/>
      <c r="BW290" s="192"/>
      <c r="BX290" s="192"/>
      <c r="BY290" s="192"/>
      <c r="BZ290" s="217"/>
      <c r="CA290" s="217"/>
      <c r="CB290" s="192"/>
      <c r="CC290" s="192"/>
      <c r="CD290" s="217"/>
      <c r="CE290" s="217"/>
      <c r="CF290" s="192"/>
      <c r="CG290" s="192"/>
      <c r="CH290" s="217"/>
      <c r="CI290" s="217"/>
      <c r="CJ290" s="192"/>
      <c r="CK290" s="192"/>
      <c r="CL290" s="217"/>
      <c r="CM290" s="217"/>
      <c r="CQ290" s="206"/>
    </row>
    <row r="291" spans="2:98" ht="12.75">
      <c r="B291" s="5"/>
      <c r="C291" s="5"/>
      <c r="D291" s="5"/>
      <c r="E291" s="5"/>
      <c r="F291" s="5"/>
      <c r="G291" s="5"/>
      <c r="H291" s="5"/>
      <c r="I291" s="5"/>
      <c r="J291" s="5"/>
      <c r="K291" s="5"/>
      <c r="L291" s="5"/>
      <c r="M291" s="5"/>
      <c r="N291" s="5"/>
      <c r="O291" s="5"/>
      <c r="P291" s="5"/>
      <c r="Q291" s="5"/>
      <c r="R291" s="5"/>
      <c r="S291" s="5"/>
      <c r="V291" s="5"/>
      <c r="W291" s="5"/>
      <c r="Z291" s="5"/>
      <c r="AA291" s="5"/>
      <c r="AB291" s="5"/>
      <c r="AC291" s="5"/>
      <c r="AD291" s="5"/>
      <c r="AE291" s="5"/>
      <c r="AF291" s="5"/>
      <c r="AG291" s="5"/>
      <c r="AH291" s="5"/>
      <c r="AI291" s="5"/>
      <c r="AJ291" s="5"/>
      <c r="AK291" s="5"/>
      <c r="AL291" s="5"/>
      <c r="AM291" s="5"/>
      <c r="AN291" s="5"/>
      <c r="AO291" s="5"/>
      <c r="AP291" s="5"/>
      <c r="AQ291" s="5"/>
      <c r="AR291" s="5"/>
      <c r="AS291" s="5"/>
      <c r="AT291" s="5"/>
      <c r="AU291" s="5"/>
      <c r="AV291" s="5"/>
      <c r="AW291" s="5"/>
      <c r="AX291" s="5"/>
      <c r="AY291" s="5"/>
      <c r="AZ291" s="5"/>
      <c r="BA291" s="5"/>
      <c r="BB291" s="5"/>
      <c r="BC291" s="5"/>
      <c r="BD291" s="5"/>
      <c r="BE291" s="5"/>
      <c r="BF291" s="280"/>
      <c r="BG291" s="5"/>
      <c r="BH291" s="5"/>
      <c r="BI291" s="5"/>
      <c r="BJ291" s="5"/>
      <c r="BK291" s="5"/>
      <c r="BM291" s="5"/>
      <c r="BO291" s="5"/>
      <c r="BP291" s="5"/>
      <c r="BT291" s="5"/>
      <c r="BU291" s="5"/>
      <c r="BZ291" s="5"/>
      <c r="CA291" s="5"/>
      <c r="CD291" s="5"/>
      <c r="CE291" s="5"/>
      <c r="CH291" s="5"/>
      <c r="CI291" s="5"/>
      <c r="CL291" s="5"/>
      <c r="CM291" s="5"/>
      <c r="CQ291" s="206"/>
    </row>
    <row r="292" spans="2:98" s="90" customFormat="1" ht="13.5" customHeight="1">
      <c r="C292" s="94"/>
      <c r="D292" s="94"/>
      <c r="E292" s="94"/>
      <c r="F292" s="94"/>
      <c r="G292" s="94"/>
      <c r="H292" s="94"/>
      <c r="I292" s="94"/>
      <c r="J292" s="94"/>
      <c r="K292" s="94"/>
      <c r="L292" s="94"/>
      <c r="M292" s="94"/>
      <c r="N292" s="94"/>
      <c r="O292" s="94"/>
      <c r="P292" s="94"/>
      <c r="BF292" s="281"/>
      <c r="CN292" s="1"/>
      <c r="CO292" s="1"/>
      <c r="CP292" s="1"/>
      <c r="CQ292" s="206"/>
      <c r="CR292" s="1"/>
      <c r="CS292" s="1"/>
      <c r="CT292" s="1"/>
    </row>
    <row r="293" spans="2:98" ht="13.5" customHeight="1">
      <c r="B293" s="16" t="s">
        <v>176</v>
      </c>
      <c r="C293" s="44">
        <f t="shared" ref="C293:O293" si="691">C3</f>
        <v>41975</v>
      </c>
      <c r="D293" s="44">
        <f t="shared" si="691"/>
        <v>42341</v>
      </c>
      <c r="E293" s="44">
        <f t="shared" si="691"/>
        <v>42708</v>
      </c>
      <c r="F293" s="44">
        <f t="shared" si="691"/>
        <v>43073</v>
      </c>
      <c r="G293" s="44">
        <f t="shared" si="691"/>
        <v>43073</v>
      </c>
      <c r="H293" s="44">
        <f t="shared" si="691"/>
        <v>43438</v>
      </c>
      <c r="I293" s="44">
        <f t="shared" si="691"/>
        <v>43803</v>
      </c>
      <c r="J293" s="44">
        <f t="shared" si="691"/>
        <v>44169</v>
      </c>
      <c r="K293" s="44">
        <f t="shared" si="691"/>
        <v>44534</v>
      </c>
      <c r="L293" s="44">
        <f t="shared" si="691"/>
        <v>44899</v>
      </c>
      <c r="M293" s="44">
        <f t="shared" si="691"/>
        <v>45264</v>
      </c>
      <c r="N293" s="44">
        <f t="shared" si="691"/>
        <v>45630</v>
      </c>
      <c r="O293" s="120">
        <f t="shared" si="691"/>
        <v>45909</v>
      </c>
      <c r="P293" s="396"/>
      <c r="Q293" s="44">
        <f>Q3</f>
        <v>42437</v>
      </c>
      <c r="R293" s="44">
        <f>R3</f>
        <v>42527</v>
      </c>
      <c r="S293" s="44">
        <f>S3</f>
        <v>42622</v>
      </c>
      <c r="T293" s="120">
        <f>T3</f>
        <v>42714</v>
      </c>
      <c r="U293" s="44"/>
      <c r="V293" s="44">
        <f t="shared" ref="V293:BD293" si="692">V3</f>
        <v>42801</v>
      </c>
      <c r="W293" s="44">
        <f t="shared" si="692"/>
        <v>42892</v>
      </c>
      <c r="X293" s="44">
        <f t="shared" si="692"/>
        <v>42987</v>
      </c>
      <c r="Y293" s="44">
        <f t="shared" si="692"/>
        <v>43079</v>
      </c>
      <c r="Z293" s="44">
        <f t="shared" si="692"/>
        <v>43190</v>
      </c>
      <c r="AA293" s="44">
        <f t="shared" si="692"/>
        <v>43281</v>
      </c>
      <c r="AB293" s="44">
        <f t="shared" si="692"/>
        <v>43352</v>
      </c>
      <c r="AC293" s="44">
        <f t="shared" si="692"/>
        <v>43444</v>
      </c>
      <c r="AD293" s="44">
        <f t="shared" si="692"/>
        <v>43555</v>
      </c>
      <c r="AE293" s="44">
        <f t="shared" si="692"/>
        <v>43646</v>
      </c>
      <c r="AF293" s="44">
        <f t="shared" si="692"/>
        <v>43717</v>
      </c>
      <c r="AG293" s="44">
        <f t="shared" si="692"/>
        <v>43808</v>
      </c>
      <c r="AH293" s="44">
        <f t="shared" si="692"/>
        <v>43921</v>
      </c>
      <c r="AI293" s="44">
        <f t="shared" si="692"/>
        <v>44012</v>
      </c>
      <c r="AJ293" s="44">
        <f t="shared" si="692"/>
        <v>44083</v>
      </c>
      <c r="AK293" s="44">
        <f t="shared" si="692"/>
        <v>44174</v>
      </c>
      <c r="AL293" s="44">
        <f t="shared" si="692"/>
        <v>44286</v>
      </c>
      <c r="AM293" s="44">
        <f t="shared" si="692"/>
        <v>44377</v>
      </c>
      <c r="AN293" s="44">
        <f t="shared" si="692"/>
        <v>44448</v>
      </c>
      <c r="AO293" s="44">
        <f t="shared" si="692"/>
        <v>44539</v>
      </c>
      <c r="AP293" s="44">
        <f t="shared" si="692"/>
        <v>44651</v>
      </c>
      <c r="AQ293" s="44">
        <f t="shared" si="692"/>
        <v>44742</v>
      </c>
      <c r="AR293" s="44">
        <f t="shared" si="692"/>
        <v>44813</v>
      </c>
      <c r="AS293" s="44">
        <f t="shared" si="692"/>
        <v>44904</v>
      </c>
      <c r="AT293" s="44">
        <f t="shared" si="692"/>
        <v>45016</v>
      </c>
      <c r="AU293" s="44">
        <f t="shared" si="692"/>
        <v>45107</v>
      </c>
      <c r="AV293" s="44">
        <f t="shared" si="692"/>
        <v>45178</v>
      </c>
      <c r="AW293" s="44">
        <f t="shared" si="692"/>
        <v>45269</v>
      </c>
      <c r="AX293" s="44">
        <f t="shared" si="692"/>
        <v>45382</v>
      </c>
      <c r="AY293" s="44">
        <f t="shared" si="692"/>
        <v>45473</v>
      </c>
      <c r="AZ293" s="44">
        <f t="shared" si="692"/>
        <v>45544</v>
      </c>
      <c r="BA293" s="44">
        <f t="shared" si="692"/>
        <v>45635</v>
      </c>
      <c r="BB293" s="44">
        <f t="shared" si="692"/>
        <v>45747</v>
      </c>
      <c r="BC293" s="44">
        <f t="shared" si="692"/>
        <v>45838</v>
      </c>
      <c r="BD293" s="120">
        <f t="shared" si="692"/>
        <v>45909</v>
      </c>
      <c r="BE293" s="394"/>
      <c r="BF293" s="280"/>
      <c r="BG293" s="5"/>
      <c r="BH293" s="5"/>
      <c r="BI293" s="5"/>
      <c r="BJ293" s="5"/>
      <c r="BK293" s="5"/>
      <c r="BM293" s="5"/>
      <c r="BO293" s="5"/>
      <c r="BP293" s="5"/>
      <c r="BT293" s="5"/>
      <c r="BU293" s="5"/>
      <c r="BZ293" s="5"/>
      <c r="CA293" s="5"/>
      <c r="CD293" s="5"/>
      <c r="CE293" s="5"/>
      <c r="CH293" s="5"/>
      <c r="CI293" s="5"/>
      <c r="CL293" s="5"/>
      <c r="CM293" s="5"/>
      <c r="CQ293" s="206"/>
    </row>
    <row r="294" spans="2:98" ht="13.5" customHeight="1">
      <c r="B294" s="1" t="s">
        <v>58</v>
      </c>
      <c r="C294" s="24">
        <f t="shared" ref="C294:H295" si="693">C280*C$222</f>
        <v>6471.8119148936166</v>
      </c>
      <c r="D294" s="24">
        <f t="shared" si="693"/>
        <v>5870.6792792792794</v>
      </c>
      <c r="E294" s="24">
        <f t="shared" si="693"/>
        <v>5394.9444126074495</v>
      </c>
      <c r="F294" s="24">
        <f t="shared" si="693"/>
        <v>5823.7846394984326</v>
      </c>
      <c r="G294" s="24">
        <f t="shared" si="693"/>
        <v>3174.8263322884013</v>
      </c>
      <c r="H294" s="24">
        <f t="shared" si="693"/>
        <v>8141.1441095890405</v>
      </c>
      <c r="I294" s="24">
        <f t="shared" ref="I294:L295" si="694">I280*I$222</f>
        <v>12375.902791878172</v>
      </c>
      <c r="J294" s="24">
        <f t="shared" si="694"/>
        <v>13164.256934618925</v>
      </c>
      <c r="K294" s="24">
        <f t="shared" si="694"/>
        <v>15823.22807797791</v>
      </c>
      <c r="L294" s="24">
        <f t="shared" si="694"/>
        <v>24334.580976000001</v>
      </c>
      <c r="M294" s="24">
        <f t="shared" ref="M294:O295" si="695">M280*M$222</f>
        <v>25914.729960000004</v>
      </c>
      <c r="N294" s="24">
        <f t="shared" si="695"/>
        <v>27613.377914633918</v>
      </c>
      <c r="O294" s="24">
        <f t="shared" si="695"/>
        <v>28983.221954792938</v>
      </c>
      <c r="P294" s="24"/>
      <c r="Q294" s="24"/>
      <c r="R294" s="24"/>
      <c r="S294" s="24"/>
      <c r="T294" s="24">
        <f>T280*AVERAGE(Q$222:T$222)</f>
        <v>5406.7600069135806</v>
      </c>
      <c r="U294" s="192"/>
      <c r="V294" s="24">
        <f>V280*AVERAGE(R$222:T$222,V$222)</f>
        <v>6074.5224663580248</v>
      </c>
      <c r="W294" s="24">
        <f>W280*AVERAGE(S$222:T$222,V$222,W$222)</f>
        <v>6112.9817971604925</v>
      </c>
      <c r="X294" s="24">
        <f>X280*AVERAGE(T$222,V$222:X$222)</f>
        <v>6302.3417556962022</v>
      </c>
      <c r="Y294" s="24">
        <f t="shared" ref="Y294:BD295" si="696">Y280*AVERAGE(V$222:Y$222)</f>
        <v>5882.013271044304</v>
      </c>
      <c r="Z294" s="24">
        <f t="shared" si="696"/>
        <v>6118.7608237974691</v>
      </c>
      <c r="AA294" s="24">
        <f t="shared" si="696"/>
        <v>6855.790977779463</v>
      </c>
      <c r="AB294" s="24">
        <f t="shared" si="696"/>
        <v>8933.1126610282881</v>
      </c>
      <c r="AC294" s="24">
        <f t="shared" si="696"/>
        <v>8186.5365921010061</v>
      </c>
      <c r="AD294" s="24">
        <f t="shared" si="696"/>
        <v>9384.8732398133561</v>
      </c>
      <c r="AE294" s="24">
        <f t="shared" si="696"/>
        <v>10834.899388128688</v>
      </c>
      <c r="AF294" s="24">
        <f t="shared" si="696"/>
        <v>11241.649486646418</v>
      </c>
      <c r="AG294" s="24">
        <f t="shared" si="696"/>
        <v>11950.118628795819</v>
      </c>
      <c r="AH294" s="24">
        <f t="shared" si="696"/>
        <v>12713.280415759999</v>
      </c>
      <c r="AI294" s="24">
        <f t="shared" si="696"/>
        <v>13425.837259119691</v>
      </c>
      <c r="AJ294" s="24">
        <f t="shared" si="696"/>
        <v>13303.967088680989</v>
      </c>
      <c r="AK294" s="24">
        <f t="shared" si="696"/>
        <v>13164.256934618925</v>
      </c>
      <c r="AL294" s="24">
        <f t="shared" si="696"/>
        <v>13146.388584461376</v>
      </c>
      <c r="AM294" s="24">
        <f t="shared" si="696"/>
        <v>13576.647786525486</v>
      </c>
      <c r="AN294" s="24">
        <f t="shared" si="696"/>
        <v>14905.384989009113</v>
      </c>
      <c r="AO294" s="24">
        <f t="shared" si="696"/>
        <v>16119.755977825309</v>
      </c>
      <c r="AP294" s="24">
        <f t="shared" si="696"/>
        <v>17342.384863690055</v>
      </c>
      <c r="AQ294" s="24">
        <f t="shared" si="696"/>
        <v>20004.2642929055</v>
      </c>
      <c r="AR294" s="24">
        <f t="shared" si="696"/>
        <v>22262.952474117621</v>
      </c>
      <c r="AS294" s="24">
        <f t="shared" si="696"/>
        <v>24187.67167021738</v>
      </c>
      <c r="AT294" s="24">
        <f t="shared" si="696"/>
        <v>25962.645561924215</v>
      </c>
      <c r="AU294" s="24">
        <f t="shared" si="696"/>
        <v>25434.528957683164</v>
      </c>
      <c r="AV294" s="24">
        <f t="shared" si="696"/>
        <v>25525.964045502824</v>
      </c>
      <c r="AW294" s="24">
        <f t="shared" si="696"/>
        <v>25898.557082344272</v>
      </c>
      <c r="AX294" s="24">
        <f t="shared" si="696"/>
        <v>26176.942941905261</v>
      </c>
      <c r="AY294" s="24">
        <f t="shared" si="696"/>
        <v>27126.44165806055</v>
      </c>
      <c r="AZ294" s="24">
        <f t="shared" si="696"/>
        <v>27835.196651164442</v>
      </c>
      <c r="BA294" s="24">
        <f t="shared" si="696"/>
        <v>28630.498103879341</v>
      </c>
      <c r="BB294" s="24">
        <f t="shared" si="696"/>
        <v>29080.590213341446</v>
      </c>
      <c r="BC294" s="24">
        <f t="shared" si="696"/>
        <v>28834.326484197634</v>
      </c>
      <c r="BD294" s="24">
        <f t="shared" si="696"/>
        <v>28983.221954792938</v>
      </c>
      <c r="BE294" s="24"/>
      <c r="BF294" s="282"/>
      <c r="BG294" s="206"/>
      <c r="BH294" s="206"/>
      <c r="BI294" s="206"/>
      <c r="BJ294" s="206"/>
      <c r="BK294" s="206"/>
      <c r="BM294" s="282"/>
      <c r="BO294" s="206"/>
      <c r="BP294" s="206"/>
      <c r="BT294" s="206"/>
      <c r="BU294" s="206"/>
      <c r="BZ294" s="206"/>
      <c r="CA294" s="206"/>
      <c r="CD294" s="206"/>
      <c r="CE294" s="206"/>
      <c r="CH294" s="206"/>
      <c r="CI294" s="206"/>
      <c r="CL294" s="206"/>
      <c r="CM294" s="206"/>
      <c r="CQ294" s="206"/>
    </row>
    <row r="295" spans="2:98" ht="13.5" customHeight="1">
      <c r="B295" s="1" t="s">
        <v>114</v>
      </c>
      <c r="C295" s="24">
        <f t="shared" si="693"/>
        <v>575.99126042553189</v>
      </c>
      <c r="D295" s="24">
        <f t="shared" si="693"/>
        <v>523.06306306306305</v>
      </c>
      <c r="E295" s="24">
        <f t="shared" si="693"/>
        <v>462.378223495702</v>
      </c>
      <c r="F295" s="24">
        <f t="shared" si="693"/>
        <v>535.36050156739816</v>
      </c>
      <c r="G295" s="24">
        <f t="shared" si="693"/>
        <v>247.96238244514109</v>
      </c>
      <c r="H295" s="24">
        <f t="shared" si="693"/>
        <v>712.60273972602738</v>
      </c>
      <c r="I295" s="24">
        <f t="shared" si="694"/>
        <v>1221.3197969543146</v>
      </c>
      <c r="J295" s="24">
        <f t="shared" si="694"/>
        <v>1871.7868658890047</v>
      </c>
      <c r="K295" s="24">
        <f t="shared" si="694"/>
        <v>2695.1300867244831</v>
      </c>
      <c r="L295" s="24">
        <f t="shared" si="694"/>
        <v>2474.3867999999998</v>
      </c>
      <c r="M295" s="24">
        <f t="shared" si="695"/>
        <v>1676.78</v>
      </c>
      <c r="N295" s="24">
        <f t="shared" si="695"/>
        <v>2530.5607597989201</v>
      </c>
      <c r="O295" s="24">
        <f t="shared" si="695"/>
        <v>2407.3845221239339</v>
      </c>
      <c r="P295" s="24"/>
      <c r="Q295" s="24"/>
      <c r="R295" s="24"/>
      <c r="S295" s="24"/>
      <c r="T295" s="24">
        <f>T281*AVERAGE(Q$222:T$222)</f>
        <v>463.39088888888892</v>
      </c>
      <c r="U295" s="192"/>
      <c r="V295" s="24">
        <f>V281*AVERAGE(R$222:T$222,V$222)</f>
        <v>494.12305555555571</v>
      </c>
      <c r="W295" s="24">
        <f>W281*AVERAGE(S$222:T$222,V$222,W$222)</f>
        <v>496.16900925925933</v>
      </c>
      <c r="X295" s="24">
        <f>X281*AVERAGE(T$222,V$222:X$222)</f>
        <v>543.23655379746822</v>
      </c>
      <c r="Y295" s="24">
        <f t="shared" si="696"/>
        <v>540.71325949367088</v>
      </c>
      <c r="Z295" s="24">
        <f t="shared" si="696"/>
        <v>550.79876582278473</v>
      </c>
      <c r="AA295" s="24">
        <f t="shared" si="696"/>
        <v>630.23689632350352</v>
      </c>
      <c r="AB295" s="24">
        <f t="shared" si="696"/>
        <v>841.38654148828994</v>
      </c>
      <c r="AC295" s="24">
        <f t="shared" si="696"/>
        <v>716.57599053274043</v>
      </c>
      <c r="AD295" s="24">
        <f t="shared" si="696"/>
        <v>767.26706634748916</v>
      </c>
      <c r="AE295" s="24">
        <f t="shared" si="696"/>
        <v>954.10702702326853</v>
      </c>
      <c r="AF295" s="24">
        <f t="shared" si="696"/>
        <v>1034.6873803684516</v>
      </c>
      <c r="AG295" s="24">
        <f t="shared" si="696"/>
        <v>1179.2825293502087</v>
      </c>
      <c r="AH295" s="24">
        <f t="shared" si="696"/>
        <v>1324.7661691421404</v>
      </c>
      <c r="AI295" s="24">
        <f t="shared" si="696"/>
        <v>1899.7228118660339</v>
      </c>
      <c r="AJ295" s="24">
        <f t="shared" si="696"/>
        <v>1912.1279427199454</v>
      </c>
      <c r="AK295" s="24">
        <f t="shared" si="696"/>
        <v>1870.3639045411583</v>
      </c>
      <c r="AL295" s="24">
        <f t="shared" si="696"/>
        <v>1861.4128185743718</v>
      </c>
      <c r="AM295" s="24">
        <f t="shared" si="696"/>
        <v>1846.4742808936016</v>
      </c>
      <c r="AN295" s="24">
        <f t="shared" si="696"/>
        <v>2334.4495955848206</v>
      </c>
      <c r="AO295" s="24">
        <f t="shared" si="696"/>
        <v>2745.6369277112608</v>
      </c>
      <c r="AP295" s="24">
        <f t="shared" si="696"/>
        <v>2982.8579612167887</v>
      </c>
      <c r="AQ295" s="24">
        <f t="shared" si="696"/>
        <v>3611.59757540494</v>
      </c>
      <c r="AR295" s="24">
        <f t="shared" si="696"/>
        <v>3175.2983408073151</v>
      </c>
      <c r="AS295" s="24">
        <f t="shared" si="696"/>
        <v>2459.4487804226669</v>
      </c>
      <c r="AT295" s="24">
        <f t="shared" si="696"/>
        <v>2213.6249258186353</v>
      </c>
      <c r="AU295" s="24">
        <f t="shared" si="696"/>
        <v>1897.3433402594783</v>
      </c>
      <c r="AV295" s="24">
        <f t="shared" si="696"/>
        <v>1667.1644878937109</v>
      </c>
      <c r="AW295" s="24">
        <f t="shared" si="696"/>
        <v>1675.733554297597</v>
      </c>
      <c r="AX295" s="24">
        <f t="shared" si="696"/>
        <v>2092.6576205007827</v>
      </c>
      <c r="AY295" s="24">
        <f t="shared" si="696"/>
        <v>2313.3297816601685</v>
      </c>
      <c r="AZ295" s="24">
        <f t="shared" si="696"/>
        <v>2557.9854306052966</v>
      </c>
      <c r="BA295" s="24">
        <f t="shared" si="696"/>
        <v>2623.7722620954091</v>
      </c>
      <c r="BB295" s="24">
        <f t="shared" si="696"/>
        <v>2630.6371046310901</v>
      </c>
      <c r="BC295" s="24">
        <f t="shared" si="696"/>
        <v>2511.6624554900191</v>
      </c>
      <c r="BD295" s="24">
        <f t="shared" si="696"/>
        <v>2393.8875330653468</v>
      </c>
      <c r="BE295" s="24"/>
      <c r="BF295" s="282"/>
      <c r="BG295" s="206"/>
      <c r="BH295" s="206"/>
      <c r="BI295" s="206"/>
      <c r="BJ295" s="206"/>
      <c r="BK295" s="206"/>
      <c r="BM295" s="282"/>
      <c r="BO295" s="206"/>
      <c r="BP295" s="206"/>
      <c r="BT295" s="206"/>
      <c r="BU295" s="206"/>
      <c r="BZ295" s="206"/>
      <c r="CA295" s="206"/>
      <c r="CD295" s="206"/>
      <c r="CE295" s="206"/>
      <c r="CH295" s="206"/>
      <c r="CI295" s="206"/>
      <c r="CL295" s="206"/>
      <c r="CM295" s="206"/>
      <c r="CQ295" s="206"/>
    </row>
    <row r="296" spans="2:98" ht="13.5" customHeight="1">
      <c r="B296" s="1" t="s">
        <v>173</v>
      </c>
      <c r="C296" s="85">
        <f t="shared" ref="C296:J296" si="697">C295/C294</f>
        <v>8.8999999999999996E-2</v>
      </c>
      <c r="D296" s="85">
        <f t="shared" si="697"/>
        <v>8.9097536789180129E-2</v>
      </c>
      <c r="E296" s="85">
        <f t="shared" si="697"/>
        <v>8.5705836452210707E-2</v>
      </c>
      <c r="F296" s="85">
        <f t="shared" si="697"/>
        <v>9.1926562314211105E-2</v>
      </c>
      <c r="G296" s="85">
        <f t="shared" si="697"/>
        <v>7.8102660269423571E-2</v>
      </c>
      <c r="H296" s="85">
        <f t="shared" si="697"/>
        <v>8.7531031281793528E-2</v>
      </c>
      <c r="I296" s="85">
        <f t="shared" si="697"/>
        <v>9.868530946734809E-2</v>
      </c>
      <c r="J296" s="85">
        <f t="shared" si="697"/>
        <v>0.14218705052517183</v>
      </c>
      <c r="K296" s="85">
        <f>K295/K294</f>
        <v>0.17032744983783996</v>
      </c>
      <c r="L296" s="85">
        <f>L295/L294</f>
        <v>0.10168191523167651</v>
      </c>
      <c r="M296" s="85">
        <f>M295/M294</f>
        <v>6.4703741948619539E-2</v>
      </c>
      <c r="N296" s="85">
        <f>N295/N294</f>
        <v>9.1642564253532718E-2</v>
      </c>
      <c r="O296" s="85">
        <f>O295/O294</f>
        <v>8.3061314779940332E-2</v>
      </c>
      <c r="P296" s="401"/>
      <c r="Q296" s="55"/>
      <c r="R296" s="55"/>
      <c r="S296" s="55"/>
      <c r="T296" s="85">
        <f t="shared" ref="T296:Z296" si="698">T295/T294</f>
        <v>8.5705836452210693E-2</v>
      </c>
      <c r="U296" s="192"/>
      <c r="V296" s="85">
        <f t="shared" si="698"/>
        <v>8.1343522604799393E-2</v>
      </c>
      <c r="W296" s="85">
        <f t="shared" si="698"/>
        <v>8.1166446379691837E-2</v>
      </c>
      <c r="X296" s="85">
        <f t="shared" si="698"/>
        <v>8.6195984739557877E-2</v>
      </c>
      <c r="Y296" s="85">
        <f t="shared" si="698"/>
        <v>9.1926562314211105E-2</v>
      </c>
      <c r="Z296" s="85">
        <f t="shared" si="698"/>
        <v>9.0018025166236859E-2</v>
      </c>
      <c r="AA296" s="85">
        <f t="shared" ref="AA296:AF296" si="699">AA295/AA294</f>
        <v>9.1927670835675379E-2</v>
      </c>
      <c r="AB296" s="85">
        <f t="shared" si="699"/>
        <v>9.4187387242851375E-2</v>
      </c>
      <c r="AC296" s="85">
        <f t="shared" si="699"/>
        <v>8.7531031281793514E-2</v>
      </c>
      <c r="AD296" s="85">
        <f t="shared" si="699"/>
        <v>8.1755719735512211E-2</v>
      </c>
      <c r="AE296" s="85">
        <f t="shared" si="699"/>
        <v>8.8058688211598971E-2</v>
      </c>
      <c r="AF296" s="85">
        <f t="shared" si="699"/>
        <v>9.2040530315192839E-2</v>
      </c>
      <c r="AG296" s="85">
        <f t="shared" ref="AG296:AL296" si="700">AG295/AG294</f>
        <v>9.8683750846500329E-2</v>
      </c>
      <c r="AH296" s="85">
        <f t="shared" si="700"/>
        <v>0.10420333114810368</v>
      </c>
      <c r="AI296" s="85">
        <f t="shared" si="700"/>
        <v>0.14149753011311234</v>
      </c>
      <c r="AJ296" s="85">
        <f t="shared" si="700"/>
        <v>0.14372614799586983</v>
      </c>
      <c r="AK296" s="85">
        <f t="shared" si="700"/>
        <v>0.14207895772852455</v>
      </c>
      <c r="AL296" s="85">
        <f t="shared" si="700"/>
        <v>0.14159119111803101</v>
      </c>
      <c r="AM296" s="85">
        <f t="shared" ref="AM296:AR296" si="701">AM295/AM294</f>
        <v>0.13600369619415076</v>
      </c>
      <c r="AN296" s="85">
        <f t="shared" si="701"/>
        <v>0.15661786644935302</v>
      </c>
      <c r="AO296" s="85">
        <f t="shared" si="701"/>
        <v>0.17032744983783993</v>
      </c>
      <c r="AP296" s="85">
        <f t="shared" si="701"/>
        <v>0.17199814123961876</v>
      </c>
      <c r="AQ296" s="85">
        <f t="shared" si="701"/>
        <v>0.18054138470295011</v>
      </c>
      <c r="AR296" s="85">
        <f t="shared" si="701"/>
        <v>0.1426270098046897</v>
      </c>
      <c r="AS296" s="85">
        <f t="shared" ref="AS296:AX296" si="702">AS295/AS294</f>
        <v>0.10168191523167651</v>
      </c>
      <c r="AT296" s="85">
        <f t="shared" si="702"/>
        <v>8.5261916800383766E-2</v>
      </c>
      <c r="AU296" s="85">
        <f t="shared" si="702"/>
        <v>7.4597148758531906E-2</v>
      </c>
      <c r="AV296" s="85">
        <f t="shared" si="702"/>
        <v>6.5312498478874603E-2</v>
      </c>
      <c r="AW296" s="85">
        <f t="shared" si="702"/>
        <v>6.4703741948619553E-2</v>
      </c>
      <c r="AX296" s="85">
        <f t="shared" si="702"/>
        <v>7.9942781139304073E-2</v>
      </c>
      <c r="AY296" s="85">
        <f t="shared" ref="AY296:BD296" si="703">AY295/AY294</f>
        <v>8.5279514756140845E-2</v>
      </c>
      <c r="AZ296" s="85">
        <f t="shared" si="703"/>
        <v>9.1897516035629928E-2</v>
      </c>
      <c r="BA296" s="85">
        <f t="shared" si="703"/>
        <v>9.1642564253532718E-2</v>
      </c>
      <c r="BB296" s="85">
        <f t="shared" si="703"/>
        <v>9.046023775075307E-2</v>
      </c>
      <c r="BC296" s="85">
        <f t="shared" si="703"/>
        <v>8.710668018781402E-2</v>
      </c>
      <c r="BD296" s="85">
        <f t="shared" si="703"/>
        <v>8.2595631941792133E-2</v>
      </c>
      <c r="BE296" s="416"/>
      <c r="BF296" s="252"/>
      <c r="BJ296" s="1"/>
      <c r="BM296" s="252"/>
    </row>
    <row r="297" spans="2:98" ht="13.5" customHeight="1">
      <c r="B297" s="1" t="s">
        <v>93</v>
      </c>
      <c r="C297" s="24">
        <f t="shared" ref="C297:H299" si="704">C283*C$222</f>
        <v>405.69192133144071</v>
      </c>
      <c r="D297" s="24">
        <f t="shared" si="704"/>
        <v>372.86453951738298</v>
      </c>
      <c r="E297" s="24">
        <f t="shared" si="704"/>
        <v>333.5503142206183</v>
      </c>
      <c r="F297" s="24">
        <f t="shared" si="704"/>
        <v>251.20528413053657</v>
      </c>
      <c r="G297" s="24">
        <f t="shared" si="704"/>
        <v>251.20528413053657</v>
      </c>
      <c r="H297" s="24">
        <f t="shared" si="704"/>
        <v>221.88520547945203</v>
      </c>
      <c r="I297" s="24">
        <f t="shared" ref="I297:J299" si="705">I283*I$222</f>
        <v>365.94873096446696</v>
      </c>
      <c r="J297" s="24">
        <f t="shared" si="705"/>
        <v>476.07391945503406</v>
      </c>
      <c r="K297" s="24">
        <f t="shared" ref="K297:L299" si="706">K283*K$222</f>
        <v>300.94044177599881</v>
      </c>
      <c r="L297" s="24">
        <f t="shared" si="706"/>
        <v>599.81073149999997</v>
      </c>
      <c r="M297" s="24">
        <f t="shared" ref="M297:O299" si="707">M283*M$222</f>
        <v>1010.7865039999999</v>
      </c>
      <c r="N297" s="24">
        <f>N283*N$222</f>
        <v>-895.62967222541681</v>
      </c>
      <c r="O297" s="24">
        <f t="shared" si="707"/>
        <v>-701.34193566360364</v>
      </c>
      <c r="P297" s="24"/>
      <c r="Q297" s="24"/>
      <c r="R297" s="24"/>
      <c r="S297" s="24"/>
      <c r="T297" s="24">
        <f>T283*AVERAGE(Q$222:T$222)</f>
        <v>334.2808305878126</v>
      </c>
      <c r="U297" s="192"/>
      <c r="V297" s="24">
        <f>V283*AVERAGE(R$222:T$222,V$222)</f>
        <v>386.24170116512363</v>
      </c>
      <c r="W297" s="24">
        <f>W283*AVERAGE(S$222:T$222,V$222,W$222)</f>
        <v>372.99381383402488</v>
      </c>
      <c r="X297" s="24">
        <f>X283*AVERAGE(T$222,V$222:X$222)</f>
        <v>343.55432534839616</v>
      </c>
      <c r="Y297" s="24">
        <f t="shared" ref="Y297:BD299" si="708">Y283*AVERAGE(V$222:Y$222)</f>
        <v>253.71693949512652</v>
      </c>
      <c r="Z297" s="24">
        <f t="shared" si="708"/>
        <v>248.52438222269959</v>
      </c>
      <c r="AA297" s="24">
        <f t="shared" si="708"/>
        <v>319.99452347635639</v>
      </c>
      <c r="AB297" s="24">
        <f t="shared" si="708"/>
        <v>400.67446518190405</v>
      </c>
      <c r="AC297" s="24">
        <f t="shared" si="708"/>
        <v>223.12236823861835</v>
      </c>
      <c r="AD297" s="24">
        <f t="shared" si="708"/>
        <v>247.40440961811609</v>
      </c>
      <c r="AE297" s="24">
        <f t="shared" si="708"/>
        <v>236.46284006707768</v>
      </c>
      <c r="AF297" s="24">
        <f t="shared" si="708"/>
        <v>236.17826681457854</v>
      </c>
      <c r="AG297" s="24">
        <f t="shared" si="708"/>
        <v>353.35852427287847</v>
      </c>
      <c r="AH297" s="24">
        <f t="shared" si="708"/>
        <v>288.19077666962426</v>
      </c>
      <c r="AI297" s="24">
        <f t="shared" si="708"/>
        <v>413.16017308791771</v>
      </c>
      <c r="AJ297" s="24">
        <f t="shared" si="708"/>
        <v>564.45520206688991</v>
      </c>
      <c r="AK297" s="24">
        <f t="shared" si="708"/>
        <v>476.07391945503406</v>
      </c>
      <c r="AL297" s="24">
        <f t="shared" si="708"/>
        <v>450.49854508718238</v>
      </c>
      <c r="AM297" s="24">
        <f t="shared" si="708"/>
        <v>291.35687582620864</v>
      </c>
      <c r="AN297" s="24">
        <f t="shared" si="708"/>
        <v>68.07977811061059</v>
      </c>
      <c r="AO297" s="24">
        <f t="shared" si="708"/>
        <v>306.58007717398573</v>
      </c>
      <c r="AP297" s="24">
        <f t="shared" si="708"/>
        <v>311.22633805875432</v>
      </c>
      <c r="AQ297" s="24">
        <f t="shared" si="708"/>
        <v>311.16031748692245</v>
      </c>
      <c r="AR297" s="24">
        <f t="shared" si="708"/>
        <v>312.34243598022329</v>
      </c>
      <c r="AS297" s="24">
        <f t="shared" si="708"/>
        <v>596.18963860949418</v>
      </c>
      <c r="AT297" s="24">
        <f t="shared" si="708"/>
        <v>848.71432452665226</v>
      </c>
      <c r="AU297" s="24">
        <f t="shared" si="708"/>
        <v>1147.4196415276583</v>
      </c>
      <c r="AV297" s="24">
        <f t="shared" si="708"/>
        <v>1335.7539870563037</v>
      </c>
      <c r="AW297" s="24">
        <f t="shared" si="708"/>
        <v>1010.1556918522178</v>
      </c>
      <c r="AX297" s="24">
        <f t="shared" si="708"/>
        <v>974.25035411773206</v>
      </c>
      <c r="AY297" s="24">
        <f t="shared" si="708"/>
        <v>872.96067473230426</v>
      </c>
      <c r="AZ297" s="24">
        <f t="shared" si="708"/>
        <v>915.78252095695439</v>
      </c>
      <c r="BA297" s="24">
        <f t="shared" si="708"/>
        <v>-928.61958836403448</v>
      </c>
      <c r="BB297" s="24">
        <f t="shared" si="708"/>
        <v>-825.03282191152039</v>
      </c>
      <c r="BC297" s="24">
        <f t="shared" si="708"/>
        <v>-743.39365724512322</v>
      </c>
      <c r="BD297" s="24">
        <f t="shared" si="708"/>
        <v>-701.34193566360364</v>
      </c>
      <c r="BE297" s="24"/>
      <c r="BF297" s="252"/>
      <c r="BJ297" s="1"/>
      <c r="BM297" s="252"/>
    </row>
    <row r="298" spans="2:98" ht="13.5" customHeight="1">
      <c r="B298" s="1" t="s">
        <v>116</v>
      </c>
      <c r="C298" s="24">
        <f t="shared" si="704"/>
        <v>121.12595744680851</v>
      </c>
      <c r="D298" s="24">
        <f t="shared" si="704"/>
        <v>120.17987987987989</v>
      </c>
      <c r="E298" s="24">
        <f t="shared" si="704"/>
        <v>129.19713467048712</v>
      </c>
      <c r="F298" s="24">
        <f t="shared" si="704"/>
        <v>249.2846394984326</v>
      </c>
      <c r="G298" s="24">
        <f t="shared" si="704"/>
        <v>137.56394984326019</v>
      </c>
      <c r="H298" s="24">
        <f t="shared" si="704"/>
        <v>185.37753424657535</v>
      </c>
      <c r="I298" s="24">
        <f t="shared" si="705"/>
        <v>242.56243654822333</v>
      </c>
      <c r="J298" s="24">
        <f t="shared" si="705"/>
        <v>268.46534737190825</v>
      </c>
      <c r="K298" s="24">
        <f t="shared" si="706"/>
        <v>390.01371284560082</v>
      </c>
      <c r="L298" s="24">
        <f t="shared" si="706"/>
        <v>724.35227910000003</v>
      </c>
      <c r="M298" s="24">
        <f t="shared" si="707"/>
        <v>686.59486000000004</v>
      </c>
      <c r="N298" s="24">
        <f>N284*N$222</f>
        <v>699.95232706969148</v>
      </c>
      <c r="O298" s="24">
        <f t="shared" si="707"/>
        <v>864.23404845626942</v>
      </c>
      <c r="P298" s="24"/>
      <c r="Q298" s="24"/>
      <c r="R298" s="24"/>
      <c r="S298" s="24"/>
      <c r="T298" s="24">
        <f>T284*AVERAGE(Q$222:T$222)</f>
        <v>129.48009234567903</v>
      </c>
      <c r="U298" s="192"/>
      <c r="V298" s="24">
        <f>V284*AVERAGE(R$222:T$222,V$222)</f>
        <v>156.99896666666672</v>
      </c>
      <c r="W298" s="24">
        <f>W284*AVERAGE(S$222:T$222,V$222,W$222)</f>
        <v>222.82580780864197</v>
      </c>
      <c r="X298" s="24">
        <f>X284*AVERAGE(T$222,V$222:X$222)</f>
        <v>260.15244256329112</v>
      </c>
      <c r="Y298" s="24">
        <f t="shared" si="708"/>
        <v>251.77709145569619</v>
      </c>
      <c r="Z298" s="24">
        <f t="shared" si="708"/>
        <v>270.59940803797468</v>
      </c>
      <c r="AA298" s="24">
        <f t="shared" si="708"/>
        <v>288.28482384024687</v>
      </c>
      <c r="AB298" s="24">
        <f t="shared" si="708"/>
        <v>276.37511457070707</v>
      </c>
      <c r="AC298" s="24">
        <f t="shared" si="708"/>
        <v>186.41114160791508</v>
      </c>
      <c r="AD298" s="24">
        <f t="shared" si="708"/>
        <v>172.87858160791507</v>
      </c>
      <c r="AE298" s="24">
        <f t="shared" si="708"/>
        <v>184.24015627596475</v>
      </c>
      <c r="AF298" s="24">
        <f t="shared" si="708"/>
        <v>167.96423147542944</v>
      </c>
      <c r="AG298" s="24">
        <f t="shared" si="708"/>
        <v>234.21724785551001</v>
      </c>
      <c r="AH298" s="24">
        <f t="shared" si="708"/>
        <v>207.66144811505731</v>
      </c>
      <c r="AI298" s="24">
        <f t="shared" si="708"/>
        <v>214.21949526578894</v>
      </c>
      <c r="AJ298" s="24">
        <f t="shared" si="708"/>
        <v>257.41183725374066</v>
      </c>
      <c r="AK298" s="24">
        <f t="shared" si="708"/>
        <v>268.46534737190819</v>
      </c>
      <c r="AL298" s="24">
        <f t="shared" si="708"/>
        <v>292.28831899297558</v>
      </c>
      <c r="AM298" s="24">
        <f t="shared" si="708"/>
        <v>321.69489260688874</v>
      </c>
      <c r="AN298" s="24">
        <f t="shared" si="708"/>
        <v>345.2831819442199</v>
      </c>
      <c r="AO298" s="24">
        <f t="shared" si="708"/>
        <v>397.32258475289188</v>
      </c>
      <c r="AP298" s="24">
        <f t="shared" si="708"/>
        <v>413.46948758675541</v>
      </c>
      <c r="AQ298" s="24">
        <f t="shared" si="708"/>
        <v>651.99879123487835</v>
      </c>
      <c r="AR298" s="24">
        <f t="shared" si="708"/>
        <v>619.99856701794738</v>
      </c>
      <c r="AS298" s="24">
        <f t="shared" si="708"/>
        <v>719.97932151467762</v>
      </c>
      <c r="AT298" s="24">
        <f t="shared" si="708"/>
        <v>831.97482822791915</v>
      </c>
      <c r="AU298" s="24">
        <f t="shared" si="708"/>
        <v>673.70777737521541</v>
      </c>
      <c r="AV298" s="24">
        <f t="shared" si="708"/>
        <v>761.71830722686491</v>
      </c>
      <c r="AW298" s="24">
        <f t="shared" si="708"/>
        <v>686.16636953581326</v>
      </c>
      <c r="AX298" s="24">
        <f t="shared" si="708"/>
        <v>640.16505162048998</v>
      </c>
      <c r="AY298" s="24">
        <f t="shared" si="708"/>
        <v>628.57792249440706</v>
      </c>
      <c r="AZ298" s="24">
        <f t="shared" si="708"/>
        <v>647.76333943214172</v>
      </c>
      <c r="BA298" s="24">
        <f t="shared" si="708"/>
        <v>725.7345999076191</v>
      </c>
      <c r="BB298" s="24">
        <f t="shared" si="708"/>
        <v>724.32761131589371</v>
      </c>
      <c r="BC298" s="24">
        <f t="shared" si="708"/>
        <v>790.5316520549585</v>
      </c>
      <c r="BD298" s="24">
        <f t="shared" si="708"/>
        <v>864.23404845626942</v>
      </c>
      <c r="BE298" s="24"/>
      <c r="BF298" s="252"/>
      <c r="BJ298" s="1"/>
      <c r="BM298" s="252"/>
    </row>
    <row r="299" spans="2:98" ht="13.5" customHeight="1">
      <c r="B299" s="1" t="s">
        <v>98</v>
      </c>
      <c r="C299" s="24">
        <f t="shared" si="704"/>
        <v>171.99636037068689</v>
      </c>
      <c r="D299" s="24">
        <f t="shared" si="704"/>
        <v>193.84807309522958</v>
      </c>
      <c r="E299" s="24">
        <f t="shared" si="704"/>
        <v>329.4534107077485</v>
      </c>
      <c r="F299" s="24">
        <f t="shared" si="704"/>
        <v>-127.59995497693157</v>
      </c>
      <c r="G299" s="24">
        <f t="shared" si="704"/>
        <v>-260.09493930295037</v>
      </c>
      <c r="H299" s="24">
        <f t="shared" si="704"/>
        <v>-843.24438356164387</v>
      </c>
      <c r="I299" s="24">
        <f t="shared" si="705"/>
        <v>97.570812182741193</v>
      </c>
      <c r="J299" s="24">
        <f t="shared" si="705"/>
        <v>896.6138051153747</v>
      </c>
      <c r="K299" s="24">
        <f t="shared" si="706"/>
        <v>1503.8130976206362</v>
      </c>
      <c r="L299" s="24">
        <f t="shared" si="706"/>
        <v>1674.6852891000001</v>
      </c>
      <c r="M299" s="24">
        <f t="shared" si="707"/>
        <v>552.62905600000011</v>
      </c>
      <c r="N299" s="24">
        <f>N285*N$222</f>
        <v>2363.8564989148376</v>
      </c>
      <c r="O299" s="24">
        <f t="shared" si="707"/>
        <v>2395.2908899277072</v>
      </c>
      <c r="P299" s="24"/>
      <c r="Q299" s="24"/>
      <c r="R299" s="24"/>
      <c r="S299" s="24"/>
      <c r="T299" s="24">
        <f>T285*AVERAGE(Q$222:T$222)</f>
        <v>330.17495435045913</v>
      </c>
      <c r="U299" s="192"/>
      <c r="V299" s="24">
        <f>V285*AVERAGE(R$222:T$222,V$222)</f>
        <v>301.44506457561732</v>
      </c>
      <c r="W299" s="24">
        <f>W285*AVERAGE(S$222:T$222,V$222,W$222)</f>
        <v>102.20529644375294</v>
      </c>
      <c r="X299" s="24">
        <f>X285*AVERAGE(T$222,V$222:X$222)</f>
        <v>-71.388542785105017</v>
      </c>
      <c r="Y299" s="24">
        <f t="shared" si="708"/>
        <v>-128.87575262803793</v>
      </c>
      <c r="Z299" s="24">
        <f t="shared" si="708"/>
        <v>-166.4954156404211</v>
      </c>
      <c r="AA299" s="24">
        <f t="shared" si="708"/>
        <v>-1378.4594212240861</v>
      </c>
      <c r="AB299" s="24">
        <f t="shared" si="708"/>
        <v>-1091.8561884819405</v>
      </c>
      <c r="AC299" s="24">
        <f t="shared" si="708"/>
        <v>-847.94605146223421</v>
      </c>
      <c r="AD299" s="24">
        <f t="shared" si="708"/>
        <v>-955.40846272143813</v>
      </c>
      <c r="AE299" s="24">
        <f t="shared" si="708"/>
        <v>147.096147057953</v>
      </c>
      <c r="AF299" s="24">
        <f t="shared" si="708"/>
        <v>204.89896682655126</v>
      </c>
      <c r="AG299" s="24">
        <f t="shared" si="708"/>
        <v>94.213957551193886</v>
      </c>
      <c r="AH299" s="24">
        <f t="shared" si="708"/>
        <v>128.01088887532956</v>
      </c>
      <c r="AI299" s="24">
        <f t="shared" si="708"/>
        <v>788.45168345836294</v>
      </c>
      <c r="AJ299" s="24">
        <f t="shared" si="708"/>
        <v>723.32881679456011</v>
      </c>
      <c r="AK299" s="24">
        <f t="shared" si="708"/>
        <v>896.61380511537425</v>
      </c>
      <c r="AL299" s="24">
        <f t="shared" si="708"/>
        <v>1080.9352261380143</v>
      </c>
      <c r="AM299" s="24">
        <f t="shared" si="708"/>
        <v>961.61625220958751</v>
      </c>
      <c r="AN299" s="24">
        <f t="shared" si="708"/>
        <v>1599.5726143621007</v>
      </c>
      <c r="AO299" s="24">
        <f t="shared" si="708"/>
        <v>1531.9946126315376</v>
      </c>
      <c r="AP299" s="24">
        <f t="shared" si="708"/>
        <v>2204.3897853472763</v>
      </c>
      <c r="AQ299" s="24">
        <f t="shared" si="708"/>
        <v>2651.3657585347551</v>
      </c>
      <c r="AR299" s="24">
        <f t="shared" si="708"/>
        <v>2129.8628968907838</v>
      </c>
      <c r="AS299" s="24">
        <f t="shared" si="708"/>
        <v>1664.5751148804932</v>
      </c>
      <c r="AT299" s="24">
        <f t="shared" si="708"/>
        <v>667.98805403881374</v>
      </c>
      <c r="AU299" s="24">
        <f t="shared" si="708"/>
        <v>-198.84925023200921</v>
      </c>
      <c r="AV299" s="24">
        <f t="shared" si="708"/>
        <v>3.5369548059636688</v>
      </c>
      <c r="AW299" s="24">
        <f t="shared" si="708"/>
        <v>552.28417098188561</v>
      </c>
      <c r="AX299" s="24">
        <f t="shared" si="708"/>
        <v>614.54780841276511</v>
      </c>
      <c r="AY299" s="24">
        <f t="shared" si="708"/>
        <v>823.73927334540008</v>
      </c>
      <c r="AZ299" s="24">
        <f t="shared" si="708"/>
        <v>572.62492560841463</v>
      </c>
      <c r="BA299" s="24">
        <f t="shared" si="708"/>
        <v>2450.9275619683408</v>
      </c>
      <c r="BB299" s="24">
        <f t="shared" si="708"/>
        <v>2891.9294009932023</v>
      </c>
      <c r="BC299" s="24">
        <f t="shared" si="708"/>
        <v>2607.3710851920105</v>
      </c>
      <c r="BD299" s="24">
        <f t="shared" si="708"/>
        <v>2395.2908899277077</v>
      </c>
      <c r="BE299" s="24"/>
      <c r="BF299" s="252"/>
      <c r="BJ299" s="1"/>
      <c r="BM299" s="252"/>
    </row>
    <row r="300" spans="2:98" ht="13.5" customHeight="1">
      <c r="B300" s="1" t="s">
        <v>12</v>
      </c>
      <c r="C300" s="24">
        <f t="shared" ref="C300:H300" si="709">C286*C$223</f>
        <v>999.54774436090224</v>
      </c>
      <c r="D300" s="24">
        <f t="shared" si="709"/>
        <v>1283.1307692307694</v>
      </c>
      <c r="E300" s="24">
        <f t="shared" si="709"/>
        <v>1619.2150306748465</v>
      </c>
      <c r="F300" s="24">
        <f t="shared" si="709"/>
        <v>1330.0160120845921</v>
      </c>
      <c r="G300" s="24">
        <f t="shared" si="709"/>
        <v>1330.0160120845921</v>
      </c>
      <c r="H300" s="24">
        <f t="shared" si="709"/>
        <v>1858.3219638242892</v>
      </c>
      <c r="I300" s="24">
        <f t="shared" ref="I300:J302" si="710">I286*I$223</f>
        <v>2086.8766749379656</v>
      </c>
      <c r="J300" s="24">
        <f t="shared" si="710"/>
        <v>2110.738918909215</v>
      </c>
      <c r="K300" s="24">
        <f t="shared" ref="K300:L302" si="711">K286*K$223</f>
        <v>1491.0733620888582</v>
      </c>
      <c r="L300" s="24">
        <f t="shared" si="711"/>
        <v>4253.3379902999995</v>
      </c>
      <c r="M300" s="24">
        <f t="shared" ref="M300:O302" si="712">M286*M$223</f>
        <v>4506.9413359999999</v>
      </c>
      <c r="N300" s="24">
        <f>N286*N$223</f>
        <v>3645.2321214671888</v>
      </c>
      <c r="O300" s="24">
        <f t="shared" si="712"/>
        <v>4208.6227432414671</v>
      </c>
      <c r="P300" s="24"/>
      <c r="Q300" s="24"/>
      <c r="R300" s="24"/>
      <c r="S300" s="24"/>
      <c r="T300" s="24">
        <f>T286*T$223</f>
        <v>1619.2150306748465</v>
      </c>
      <c r="U300" s="192"/>
      <c r="V300" s="24">
        <f t="shared" ref="V300:AC302" si="713">V286*V$223</f>
        <v>1799.5239747634068</v>
      </c>
      <c r="W300" s="24">
        <f t="shared" si="713"/>
        <v>1642.2791540785497</v>
      </c>
      <c r="X300" s="24">
        <f t="shared" si="713"/>
        <v>1427.2261829652996</v>
      </c>
      <c r="Y300" s="24">
        <f t="shared" si="713"/>
        <v>1330.0160120845921</v>
      </c>
      <c r="Z300" s="24">
        <f t="shared" si="713"/>
        <v>1765.0454819277111</v>
      </c>
      <c r="AA300" s="24">
        <f t="shared" si="713"/>
        <v>1466.2914507772023</v>
      </c>
      <c r="AB300" s="24">
        <f t="shared" si="713"/>
        <v>1408.5337499999998</v>
      </c>
      <c r="AC300" s="24">
        <f t="shared" si="713"/>
        <v>1858.3219638242892</v>
      </c>
      <c r="AD300" s="24">
        <f t="shared" ref="AD300:AE302" si="714">AD286*AD$223</f>
        <v>1650.46525</v>
      </c>
      <c r="AE300" s="24">
        <f t="shared" si="714"/>
        <v>1680.8911227154044</v>
      </c>
      <c r="AF300" s="24">
        <f t="shared" ref="AF300:AI302" si="715">AF286*AF$223</f>
        <v>2009.5165865384613</v>
      </c>
      <c r="AG300" s="24">
        <f t="shared" si="715"/>
        <v>2086.8766749379656</v>
      </c>
      <c r="AH300" s="24">
        <f t="shared" si="715"/>
        <v>1456.5723076923075</v>
      </c>
      <c r="AI300" s="24">
        <f t="shared" si="715"/>
        <v>1491.6136861313869</v>
      </c>
      <c r="AJ300" s="24">
        <f t="shared" ref="AJ300:AM302" si="716">AJ286*AJ$223</f>
        <v>1711.7856382978723</v>
      </c>
      <c r="AK300" s="24">
        <f t="shared" si="716"/>
        <v>2263.3089325000001</v>
      </c>
      <c r="AL300" s="24">
        <f t="shared" si="716"/>
        <v>1962.6455082805257</v>
      </c>
      <c r="AM300" s="24">
        <f t="shared" si="716"/>
        <v>2717.2852945911141</v>
      </c>
      <c r="AN300" s="24">
        <f t="shared" ref="AN300:AP302" si="717">AN286*AN$223</f>
        <v>2880.4545345442934</v>
      </c>
      <c r="AO300" s="24">
        <f t="shared" si="717"/>
        <v>1508.0444500296214</v>
      </c>
      <c r="AP300" s="24">
        <f t="shared" si="717"/>
        <v>2340.5099821022145</v>
      </c>
      <c r="AQ300" s="24">
        <f t="shared" ref="AQ300:AT302" si="718">AQ286*AQ$223</f>
        <v>3651.9085594827916</v>
      </c>
      <c r="AR300" s="24">
        <f t="shared" si="718"/>
        <v>3707.7245841035124</v>
      </c>
      <c r="AS300" s="24">
        <f t="shared" si="718"/>
        <v>4253.3379902999995</v>
      </c>
      <c r="AT300" s="24">
        <f t="shared" si="718"/>
        <v>3849.8012475</v>
      </c>
      <c r="AU300" s="24">
        <f t="shared" ref="AU300:AX302" si="719">AU286*AU$223</f>
        <v>3896.4660129999997</v>
      </c>
      <c r="AV300" s="24">
        <f t="shared" si="719"/>
        <v>4569.2935426000004</v>
      </c>
      <c r="AW300" s="24">
        <f t="shared" si="719"/>
        <v>4506.9413359999999</v>
      </c>
      <c r="AX300" s="24">
        <f t="shared" si="719"/>
        <v>4139.5952627801253</v>
      </c>
      <c r="AY300" s="24">
        <f t="shared" ref="AY300:BB302" si="720">AY286*AY$223</f>
        <v>3924.7170371999996</v>
      </c>
      <c r="AZ300" s="24">
        <f t="shared" si="720"/>
        <v>3639.8788419999996</v>
      </c>
      <c r="BA300" s="24">
        <f t="shared" si="720"/>
        <v>3645.2321214671888</v>
      </c>
      <c r="BB300" s="24">
        <f t="shared" si="720"/>
        <v>3515.9065919999994</v>
      </c>
      <c r="BC300" s="24">
        <f t="shared" ref="BC300:BD302" si="721">BC286*BC$223</f>
        <v>4206.5894856000004</v>
      </c>
      <c r="BD300" s="24">
        <f t="shared" si="721"/>
        <v>4208.6227432414671</v>
      </c>
      <c r="BE300" s="24"/>
      <c r="BF300" s="252"/>
      <c r="BJ300" s="1"/>
      <c r="BM300" s="252"/>
    </row>
    <row r="301" spans="2:98" ht="13.5" customHeight="1">
      <c r="B301" s="1" t="s">
        <v>137</v>
      </c>
      <c r="C301" s="24">
        <f t="shared" ref="C301:H302" si="722">C287*C$223</f>
        <v>4268.3488721804515</v>
      </c>
      <c r="D301" s="24">
        <f t="shared" si="722"/>
        <v>3369.3382051282056</v>
      </c>
      <c r="E301" s="24">
        <f t="shared" si="722"/>
        <v>3605.7380368098161</v>
      </c>
      <c r="F301" s="24">
        <f t="shared" si="722"/>
        <v>3918.680664652567</v>
      </c>
      <c r="G301" s="24">
        <f t="shared" si="722"/>
        <v>3918.6806646525674</v>
      </c>
      <c r="H301" s="24">
        <f t="shared" si="722"/>
        <v>4063.5989664082686</v>
      </c>
      <c r="I301" s="24">
        <f t="shared" si="710"/>
        <v>5603.3970223325068</v>
      </c>
      <c r="J301" s="24">
        <f t="shared" si="710"/>
        <v>5003.6565355546381</v>
      </c>
      <c r="K301" s="24">
        <f t="shared" si="711"/>
        <v>5556.6075580879342</v>
      </c>
      <c r="L301" s="24">
        <f t="shared" si="711"/>
        <v>12425.865005</v>
      </c>
      <c r="M301" s="24">
        <f t="shared" si="712"/>
        <v>11553.322333999999</v>
      </c>
      <c r="N301" s="24">
        <f>N287*N$223</f>
        <v>10728.680112661466</v>
      </c>
      <c r="O301" s="24">
        <f t="shared" si="712"/>
        <v>13122.884329970508</v>
      </c>
      <c r="P301" s="24"/>
      <c r="Q301" s="24"/>
      <c r="R301" s="24"/>
      <c r="S301" s="24"/>
      <c r="T301" s="24">
        <f>T287*T$223</f>
        <v>3605.7380368098161</v>
      </c>
      <c r="U301" s="192"/>
      <c r="V301" s="24">
        <f t="shared" si="713"/>
        <v>3985.0712933753939</v>
      </c>
      <c r="W301" s="24">
        <f t="shared" si="713"/>
        <v>3908.4459214501512</v>
      </c>
      <c r="X301" s="24">
        <f t="shared" si="713"/>
        <v>3816.600630914827</v>
      </c>
      <c r="Y301" s="24">
        <f t="shared" si="713"/>
        <v>3918.680664652567</v>
      </c>
      <c r="Z301" s="24">
        <f t="shared" si="713"/>
        <v>3820.4295180722897</v>
      </c>
      <c r="AA301" s="24">
        <f t="shared" si="713"/>
        <v>5002.4647668393791</v>
      </c>
      <c r="AB301" s="24">
        <f t="shared" si="713"/>
        <v>4970.0007500000002</v>
      </c>
      <c r="AC301" s="24">
        <f t="shared" si="713"/>
        <v>4062.2266149870802</v>
      </c>
      <c r="AD301" s="24">
        <f t="shared" si="714"/>
        <v>4292.043999999999</v>
      </c>
      <c r="AE301" s="24">
        <f t="shared" si="714"/>
        <v>4548.7660574412521</v>
      </c>
      <c r="AF301" s="24">
        <f t="shared" si="715"/>
        <v>4822.746153846153</v>
      </c>
      <c r="AG301" s="24">
        <f t="shared" si="715"/>
        <v>5603.3970223325068</v>
      </c>
      <c r="AH301" s="24">
        <f t="shared" si="715"/>
        <v>5419.1023076923066</v>
      </c>
      <c r="AI301" s="24">
        <f t="shared" si="715"/>
        <v>4871.4231751824809</v>
      </c>
      <c r="AJ301" s="24">
        <f t="shared" si="716"/>
        <v>4948.2021276595751</v>
      </c>
      <c r="AK301" s="24">
        <f t="shared" si="716"/>
        <v>5365.3345899999995</v>
      </c>
      <c r="AL301" s="24">
        <f t="shared" si="716"/>
        <v>5308.8464064469181</v>
      </c>
      <c r="AM301" s="24">
        <f t="shared" si="716"/>
        <v>5783.2095138441728</v>
      </c>
      <c r="AN301" s="24">
        <f t="shared" si="717"/>
        <v>5584.0683962046423</v>
      </c>
      <c r="AO301" s="24">
        <f t="shared" si="717"/>
        <v>5619.8517135522325</v>
      </c>
      <c r="AP301" s="24">
        <f t="shared" si="717"/>
        <v>7006.1361740653956</v>
      </c>
      <c r="AQ301" s="24">
        <f t="shared" si="718"/>
        <v>11757.970655414036</v>
      </c>
      <c r="AR301" s="24">
        <f t="shared" si="718"/>
        <v>11785.290573012941</v>
      </c>
      <c r="AS301" s="24">
        <f t="shared" si="718"/>
        <v>12425.865005</v>
      </c>
      <c r="AT301" s="24">
        <f t="shared" si="718"/>
        <v>12663.786671899999</v>
      </c>
      <c r="AU301" s="24">
        <f t="shared" si="719"/>
        <v>12858.176417300001</v>
      </c>
      <c r="AV301" s="24">
        <f t="shared" si="719"/>
        <v>11069.800440400002</v>
      </c>
      <c r="AW301" s="24">
        <f t="shared" si="719"/>
        <v>11553.322333999999</v>
      </c>
      <c r="AX301" s="24">
        <f t="shared" si="719"/>
        <v>11288.830847755005</v>
      </c>
      <c r="AY301" s="24">
        <f t="shared" si="720"/>
        <v>11014.428838799999</v>
      </c>
      <c r="AZ301" s="24">
        <f t="shared" si="720"/>
        <v>10792.395424</v>
      </c>
      <c r="BA301" s="24">
        <f t="shared" si="720"/>
        <v>10728.680112661466</v>
      </c>
      <c r="BB301" s="24">
        <f t="shared" si="720"/>
        <v>11242.724063999996</v>
      </c>
      <c r="BC301" s="24">
        <f t="shared" si="721"/>
        <v>12146.882357600003</v>
      </c>
      <c r="BD301" s="24">
        <f t="shared" si="721"/>
        <v>13122.884329970508</v>
      </c>
      <c r="BE301" s="24"/>
      <c r="BF301" s="252"/>
      <c r="BJ301" s="1"/>
      <c r="BM301" s="252"/>
    </row>
    <row r="302" spans="2:98" s="5" customFormat="1" ht="13.5" customHeight="1">
      <c r="B302" s="5" t="s">
        <v>164</v>
      </c>
      <c r="C302" s="53">
        <f t="shared" si="722"/>
        <v>3268.8011278195495</v>
      </c>
      <c r="D302" s="53">
        <f t="shared" si="722"/>
        <v>2086.207435897436</v>
      </c>
      <c r="E302" s="53">
        <f t="shared" si="722"/>
        <v>1986.5230061349696</v>
      </c>
      <c r="F302" s="53">
        <f t="shared" si="722"/>
        <v>2588.6646525679744</v>
      </c>
      <c r="G302" s="53">
        <f t="shared" si="722"/>
        <v>2588.6646525679757</v>
      </c>
      <c r="H302" s="53">
        <f t="shared" si="722"/>
        <v>2205.2770025839791</v>
      </c>
      <c r="I302" s="53">
        <f t="shared" si="710"/>
        <v>3516.5203473945407</v>
      </c>
      <c r="J302" s="53">
        <f t="shared" si="710"/>
        <v>2892.9176166454226</v>
      </c>
      <c r="K302" s="53">
        <f t="shared" si="711"/>
        <v>4065.5341959990769</v>
      </c>
      <c r="L302" s="53">
        <f t="shared" si="711"/>
        <v>8172.527014700001</v>
      </c>
      <c r="M302" s="53">
        <f t="shared" si="712"/>
        <v>7046.3809979999996</v>
      </c>
      <c r="N302" s="53">
        <f>N288*N$223</f>
        <v>7083.4479911942781</v>
      </c>
      <c r="O302" s="53">
        <f t="shared" si="712"/>
        <v>8914.2615867290406</v>
      </c>
      <c r="P302" s="53"/>
      <c r="Q302" s="53"/>
      <c r="R302" s="53"/>
      <c r="S302" s="53"/>
      <c r="T302" s="53">
        <f>T288*T$223</f>
        <v>1986.5230061349696</v>
      </c>
      <c r="U302" s="188"/>
      <c r="V302" s="53">
        <f t="shared" si="713"/>
        <v>2185.5473186119871</v>
      </c>
      <c r="W302" s="53">
        <f t="shared" si="713"/>
        <v>2266.166767371602</v>
      </c>
      <c r="X302" s="53">
        <f t="shared" si="713"/>
        <v>2389.3744479495272</v>
      </c>
      <c r="Y302" s="53">
        <f t="shared" si="713"/>
        <v>2588.6646525679744</v>
      </c>
      <c r="Z302" s="53">
        <f t="shared" si="713"/>
        <v>2055.3840361445787</v>
      </c>
      <c r="AA302" s="53">
        <f t="shared" si="713"/>
        <v>3536.1733160621761</v>
      </c>
      <c r="AB302" s="53">
        <f t="shared" si="713"/>
        <v>3561.4670000000006</v>
      </c>
      <c r="AC302" s="53">
        <f t="shared" si="713"/>
        <v>2203.9046511627907</v>
      </c>
      <c r="AD302" s="53">
        <f t="shared" si="714"/>
        <v>2641.5787499999988</v>
      </c>
      <c r="AE302" s="53">
        <f t="shared" si="714"/>
        <v>2867.8749347258477</v>
      </c>
      <c r="AF302" s="53">
        <f t="shared" si="715"/>
        <v>2813.2295673076919</v>
      </c>
      <c r="AG302" s="53">
        <f t="shared" si="715"/>
        <v>3516.5203473945407</v>
      </c>
      <c r="AH302" s="53">
        <f t="shared" si="715"/>
        <v>3962.5299999999993</v>
      </c>
      <c r="AI302" s="53">
        <f t="shared" si="715"/>
        <v>3379.8094890510947</v>
      </c>
      <c r="AJ302" s="53">
        <f t="shared" si="716"/>
        <v>3236.4164893617026</v>
      </c>
      <c r="AK302" s="53">
        <f t="shared" si="716"/>
        <v>3102.0256574999999</v>
      </c>
      <c r="AL302" s="53">
        <f t="shared" si="716"/>
        <v>3346.2008981663926</v>
      </c>
      <c r="AM302" s="53">
        <f t="shared" si="716"/>
        <v>3065.9242192530583</v>
      </c>
      <c r="AN302" s="53">
        <f t="shared" si="717"/>
        <v>2703.6138616603494</v>
      </c>
      <c r="AO302" s="53">
        <f t="shared" si="717"/>
        <v>4111.8072635226108</v>
      </c>
      <c r="AP302" s="53">
        <f t="shared" si="717"/>
        <v>4665.6261919631806</v>
      </c>
      <c r="AQ302" s="53">
        <f t="shared" si="718"/>
        <v>8106.0620959312446</v>
      </c>
      <c r="AR302" s="53">
        <f t="shared" si="718"/>
        <v>8077.5659889094286</v>
      </c>
      <c r="AS302" s="53">
        <f t="shared" si="718"/>
        <v>8172.527014700001</v>
      </c>
      <c r="AT302" s="53">
        <f t="shared" si="718"/>
        <v>8813.9854244000016</v>
      </c>
      <c r="AU302" s="53">
        <f t="shared" si="719"/>
        <v>8961.7104043000018</v>
      </c>
      <c r="AV302" s="53">
        <f t="shared" si="719"/>
        <v>6500.5068978000018</v>
      </c>
      <c r="AW302" s="53">
        <f t="shared" si="719"/>
        <v>7046.3809979999996</v>
      </c>
      <c r="AX302" s="53">
        <f t="shared" si="719"/>
        <v>7149.2355849748792</v>
      </c>
      <c r="AY302" s="53">
        <f t="shared" si="720"/>
        <v>7089.7118015999995</v>
      </c>
      <c r="AZ302" s="53">
        <f t="shared" si="720"/>
        <v>7152.5165820000002</v>
      </c>
      <c r="BA302" s="53">
        <f t="shared" si="720"/>
        <v>7083.4479911942781</v>
      </c>
      <c r="BB302" s="53">
        <f t="shared" si="720"/>
        <v>7726.8174719999979</v>
      </c>
      <c r="BC302" s="53">
        <f t="shared" si="721"/>
        <v>7940.2928720000027</v>
      </c>
      <c r="BD302" s="53">
        <f t="shared" si="721"/>
        <v>8914.2615867290406</v>
      </c>
      <c r="BE302" s="53"/>
      <c r="BF302" s="280"/>
      <c r="BM302" s="280"/>
    </row>
    <row r="303" spans="2:98" ht="13.5" customHeight="1">
      <c r="B303" s="1" t="s">
        <v>174</v>
      </c>
      <c r="C303" s="49">
        <f t="shared" ref="C303:J303" si="723">C301/C295</f>
        <v>7.4104403407563382</v>
      </c>
      <c r="D303" s="49">
        <f t="shared" si="723"/>
        <v>6.4415525451124838</v>
      </c>
      <c r="E303" s="49">
        <f t="shared" si="723"/>
        <v>7.7982436316950228</v>
      </c>
      <c r="F303" s="49">
        <f t="shared" si="723"/>
        <v>7.319704485444249</v>
      </c>
      <c r="G303" s="49">
        <f t="shared" si="723"/>
        <v>15.803528849863071</v>
      </c>
      <c r="H303" s="49">
        <f t="shared" si="723"/>
        <v>5.7024745203345564</v>
      </c>
      <c r="I303" s="49">
        <f t="shared" si="723"/>
        <v>4.5879850930985198</v>
      </c>
      <c r="J303" s="49">
        <f t="shared" si="723"/>
        <v>2.6731978019186244</v>
      </c>
      <c r="K303" s="49">
        <f>K301/K295</f>
        <v>2.0617214677162905</v>
      </c>
      <c r="L303" s="49">
        <f>L301/L295</f>
        <v>5.0217957051015629</v>
      </c>
      <c r="M303" s="49">
        <f>M301/M295</f>
        <v>6.8901837653120852</v>
      </c>
      <c r="N303" s="49">
        <f>N301/N295</f>
        <v>4.2396453320148586</v>
      </c>
      <c r="O303" s="49">
        <f>O301/O295</f>
        <v>5.4510960793221104</v>
      </c>
      <c r="P303" s="49"/>
      <c r="Q303" s="49"/>
      <c r="R303" s="49"/>
      <c r="S303" s="49"/>
      <c r="T303" s="49">
        <f>T301/T295</f>
        <v>7.7812018390253543</v>
      </c>
      <c r="U303" s="192"/>
      <c r="V303" s="49">
        <f t="shared" ref="V303:AC303" si="724">V301/V295</f>
        <v>8.0649369596706482</v>
      </c>
      <c r="W303" s="49">
        <f t="shared" si="724"/>
        <v>7.8772471648020677</v>
      </c>
      <c r="X303" s="49">
        <f t="shared" si="724"/>
        <v>7.0256697643688915</v>
      </c>
      <c r="Y303" s="49">
        <f t="shared" si="724"/>
        <v>7.2472435174274388</v>
      </c>
      <c r="Z303" s="49">
        <f t="shared" si="724"/>
        <v>6.9361620888262552</v>
      </c>
      <c r="AA303" s="49">
        <f t="shared" si="724"/>
        <v>7.9374355833835386</v>
      </c>
      <c r="AB303" s="49">
        <f t="shared" si="724"/>
        <v>5.9069173381461448</v>
      </c>
      <c r="AC303" s="49">
        <f t="shared" si="724"/>
        <v>5.6689404454746057</v>
      </c>
      <c r="AD303" s="49">
        <f t="shared" ref="AD303:AI303" si="725">AD301/AD295</f>
        <v>5.5939374805071669</v>
      </c>
      <c r="AE303" s="49">
        <f t="shared" si="725"/>
        <v>4.76756373090869</v>
      </c>
      <c r="AF303" s="49">
        <f t="shared" si="725"/>
        <v>4.6610659850985865</v>
      </c>
      <c r="AG303" s="49">
        <f t="shared" si="725"/>
        <v>4.751530598371545</v>
      </c>
      <c r="AH303" s="49">
        <f t="shared" si="725"/>
        <v>4.0906104291608507</v>
      </c>
      <c r="AI303" s="49">
        <f t="shared" si="725"/>
        <v>2.56428103339847</v>
      </c>
      <c r="AJ303" s="49">
        <f t="shared" ref="AJ303:AO303" si="726">AJ301/AJ295</f>
        <v>2.5877986598642058</v>
      </c>
      <c r="AK303" s="49">
        <f t="shared" si="726"/>
        <v>2.8686046479902716</v>
      </c>
      <c r="AL303" s="49">
        <f t="shared" si="726"/>
        <v>2.8520521366737359</v>
      </c>
      <c r="AM303" s="49">
        <f t="shared" si="726"/>
        <v>3.132028197568713</v>
      </c>
      <c r="AN303" s="49">
        <f t="shared" si="726"/>
        <v>2.3920278282152139</v>
      </c>
      <c r="AO303" s="49">
        <f t="shared" si="726"/>
        <v>2.0468298837446408</v>
      </c>
      <c r="AP303" s="49">
        <f t="shared" ref="AP303:AU303" si="727">AP301/AP295</f>
        <v>2.3487997970937249</v>
      </c>
      <c r="AQ303" s="49">
        <f t="shared" si="727"/>
        <v>3.2556148380113217</v>
      </c>
      <c r="AR303" s="49">
        <f t="shared" si="727"/>
        <v>3.7115537842710387</v>
      </c>
      <c r="AS303" s="49">
        <f t="shared" si="727"/>
        <v>5.0522967194562032</v>
      </c>
      <c r="AT303" s="49">
        <f t="shared" si="727"/>
        <v>5.7208366802324111</v>
      </c>
      <c r="AU303" s="49">
        <f t="shared" si="727"/>
        <v>6.7769370700937728</v>
      </c>
      <c r="AV303" s="49">
        <f t="shared" ref="AV303:BA303" si="728">AV301/AV295</f>
        <v>6.639896975244203</v>
      </c>
      <c r="AW303" s="49">
        <f t="shared" si="728"/>
        <v>6.8944864798883296</v>
      </c>
      <c r="AX303" s="49">
        <f t="shared" si="728"/>
        <v>5.3944948935571864</v>
      </c>
      <c r="AY303" s="49">
        <f t="shared" si="728"/>
        <v>4.7612877878982989</v>
      </c>
      <c r="AZ303" s="49">
        <f t="shared" si="728"/>
        <v>4.2190996457107239</v>
      </c>
      <c r="BA303" s="49">
        <f t="shared" si="728"/>
        <v>4.0890287116966766</v>
      </c>
      <c r="BB303" s="49">
        <f>BB301/BB295</f>
        <v>4.273764725741839</v>
      </c>
      <c r="BC303" s="49">
        <f>BC301/BC295</f>
        <v>4.8361921925652132</v>
      </c>
      <c r="BD303" s="49">
        <f>BD301/BD295</f>
        <v>5.481829930901891</v>
      </c>
      <c r="BE303" s="49"/>
      <c r="BF303" s="252"/>
      <c r="BJ303" s="1"/>
      <c r="BM303" s="252"/>
    </row>
    <row r="304" spans="2:98" ht="13.5" customHeight="1">
      <c r="B304" s="5" t="s">
        <v>175</v>
      </c>
      <c r="C304" s="48">
        <f t="shared" ref="C304:J304" si="729">C302/C295</f>
        <v>5.6750880654067881</v>
      </c>
      <c r="D304" s="48">
        <f t="shared" si="729"/>
        <v>3.9884434272238272</v>
      </c>
      <c r="E304" s="48">
        <f t="shared" si="729"/>
        <v>4.2963161005211896</v>
      </c>
      <c r="F304" s="48">
        <f t="shared" si="729"/>
        <v>4.8353672805315835</v>
      </c>
      <c r="G304" s="48">
        <f t="shared" si="729"/>
        <v>10.439747461051633</v>
      </c>
      <c r="H304" s="48">
        <f t="shared" si="729"/>
        <v>3.094679376944069</v>
      </c>
      <c r="I304" s="48">
        <f t="shared" si="729"/>
        <v>2.8792789211833938</v>
      </c>
      <c r="J304" s="48">
        <f t="shared" si="729"/>
        <v>1.5455379399039817</v>
      </c>
      <c r="K304" s="48">
        <f>K302/K295</f>
        <v>1.5084741979709446</v>
      </c>
      <c r="L304" s="48">
        <f>L302/L295</f>
        <v>3.3028494230166445</v>
      </c>
      <c r="M304" s="48">
        <f>M302/M295</f>
        <v>4.2023288672336259</v>
      </c>
      <c r="N304" s="48">
        <f>N302/N295</f>
        <v>2.7991613968427824</v>
      </c>
      <c r="O304" s="48">
        <f>O302/O295</f>
        <v>3.7028823209614901</v>
      </c>
      <c r="P304" s="48"/>
      <c r="Q304" s="48"/>
      <c r="R304" s="48"/>
      <c r="S304" s="48"/>
      <c r="T304" s="48">
        <f>T302/T295</f>
        <v>4.2869272007013821</v>
      </c>
      <c r="U304" s="192"/>
      <c r="V304" s="48">
        <f t="shared" ref="V304:AC304" si="730">V302/V295</f>
        <v>4.4230830641057981</v>
      </c>
      <c r="W304" s="48">
        <f t="shared" si="730"/>
        <v>4.5673283197489658</v>
      </c>
      <c r="X304" s="48">
        <f t="shared" si="730"/>
        <v>4.3984051353811218</v>
      </c>
      <c r="Y304" s="48">
        <f t="shared" si="730"/>
        <v>4.7874998571184015</v>
      </c>
      <c r="Z304" s="48">
        <f t="shared" si="730"/>
        <v>3.731642414038892</v>
      </c>
      <c r="AA304" s="48">
        <f t="shared" si="730"/>
        <v>5.6108636874332438</v>
      </c>
      <c r="AB304" s="48">
        <f t="shared" si="730"/>
        <v>4.2328547277453303</v>
      </c>
      <c r="AC304" s="48">
        <f t="shared" si="730"/>
        <v>3.0756049327361521</v>
      </c>
      <c r="AD304" s="48">
        <f t="shared" ref="AD304:AI304" si="731">AD302/AD295</f>
        <v>3.4428413076231905</v>
      </c>
      <c r="AE304" s="48">
        <f t="shared" si="731"/>
        <v>3.0058209964906868</v>
      </c>
      <c r="AF304" s="48">
        <f t="shared" si="731"/>
        <v>2.7189174437460544</v>
      </c>
      <c r="AG304" s="48">
        <f t="shared" si="731"/>
        <v>2.98191507113411</v>
      </c>
      <c r="AH304" s="48">
        <f t="shared" si="731"/>
        <v>2.9911165398841346</v>
      </c>
      <c r="AI304" s="48">
        <f t="shared" si="731"/>
        <v>1.779106650686171</v>
      </c>
      <c r="AJ304" s="48">
        <f t="shared" ref="AJ304:AO304" si="732">AJ302/AJ295</f>
        <v>1.6925731887783597</v>
      </c>
      <c r="AK304" s="48">
        <f t="shared" si="732"/>
        <v>1.6585145008243707</v>
      </c>
      <c r="AL304" s="48">
        <f t="shared" si="732"/>
        <v>1.7976672690635049</v>
      </c>
      <c r="AM304" s="48">
        <f t="shared" si="732"/>
        <v>1.6604207548286585</v>
      </c>
      <c r="AN304" s="48">
        <f t="shared" si="732"/>
        <v>1.1581376041589138</v>
      </c>
      <c r="AO304" s="48">
        <f t="shared" si="732"/>
        <v>1.49757865725902</v>
      </c>
      <c r="AP304" s="48">
        <f t="shared" ref="AP304:AU304" si="733">AP302/AP295</f>
        <v>1.5641462827348123</v>
      </c>
      <c r="AQ304" s="48">
        <f t="shared" si="733"/>
        <v>2.2444532998730833</v>
      </c>
      <c r="AR304" s="48">
        <f t="shared" si="733"/>
        <v>2.5438762352188045</v>
      </c>
      <c r="AS304" s="48">
        <f t="shared" si="733"/>
        <v>3.3229100275450816</v>
      </c>
      <c r="AT304" s="48">
        <f t="shared" si="733"/>
        <v>3.9816977671320912</v>
      </c>
      <c r="AU304" s="48">
        <f t="shared" si="733"/>
        <v>4.7232939943670971</v>
      </c>
      <c r="AV304" s="48">
        <f t="shared" ref="AV304:BA304" si="734">AV302/AV295</f>
        <v>3.8991394940355986</v>
      </c>
      <c r="AW304" s="48">
        <f t="shared" si="734"/>
        <v>4.2049530964685919</v>
      </c>
      <c r="AX304" s="48">
        <f t="shared" si="734"/>
        <v>3.4163426997981801</v>
      </c>
      <c r="AY304" s="48">
        <f t="shared" si="734"/>
        <v>3.0647216224018199</v>
      </c>
      <c r="AZ304" s="48">
        <f t="shared" si="734"/>
        <v>2.796152197124711</v>
      </c>
      <c r="BA304" s="48">
        <f t="shared" si="734"/>
        <v>2.6997190623309897</v>
      </c>
      <c r="BB304" s="48">
        <f>BB302/BB295</f>
        <v>2.9372418789339534</v>
      </c>
      <c r="BC304" s="48">
        <f>BC302/BC295</f>
        <v>3.1613694167558322</v>
      </c>
      <c r="BD304" s="48">
        <f>BD302/BD295</f>
        <v>3.7237595599632978</v>
      </c>
      <c r="BE304" s="48"/>
      <c r="BF304" s="252"/>
      <c r="BJ304" s="1"/>
      <c r="BM304" s="252"/>
    </row>
    <row r="305" spans="63:63" ht="13.5" customHeight="1">
      <c r="BK305"/>
    </row>
  </sheetData>
  <pageMargins left="0.51181102362204722" right="0.47244094488188981" top="0.23622047244094491" bottom="0.43307086614173229" header="0.51181102362204722" footer="0.23622047244094491"/>
  <pageSetup paperSize="9" fitToHeight="0" orientation="portrait" r:id="rId1"/>
  <headerFooter alignWithMargins="0">
    <oddFooter>&amp;L&amp;8U.S. Bank Loan Team&amp;C&amp;"Arial,Bold"&amp;8- Confidential -&amp;R&amp;8&amp;D &amp;T</oddFooter>
  </headerFooter>
  <rowBreaks count="1" manualBreakCount="1">
    <brk id="98" min="1" max="10" man="1"/>
  </rowBreaks>
  <ignoredErrors>
    <ignoredError sqref="T8 T16 T21:T23 Y8:Y23 Y83:Y90 O88:X88 Z88:AW88 J88:M88" formula="1"/>
    <ignoredError sqref="J46:M46 O36:AW37 AW46 P46:AU46 J36:M37" emptyCellReference="1"/>
  </ignoredErrors>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4CC9F3-0A11-467E-9BFE-ABD91EF846A0}">
  <dimension ref="B2:I18"/>
  <sheetViews>
    <sheetView zoomScale="85" zoomScaleNormal="85" workbookViewId="0">
      <selection sqref="A1:IV65536"/>
    </sheetView>
  </sheetViews>
  <sheetFormatPr defaultRowHeight="12.75"/>
  <cols>
    <col min="1" max="1" width="6.28515625" customWidth="1"/>
    <col min="2" max="2" width="49.42578125" customWidth="1"/>
    <col min="3" max="12" width="12.7109375" customWidth="1"/>
  </cols>
  <sheetData>
    <row r="2" spans="2:9" ht="21">
      <c r="B2" s="10" t="s">
        <v>368</v>
      </c>
      <c r="C2" s="12" t="s">
        <v>48</v>
      </c>
      <c r="D2" s="12" t="s">
        <v>48</v>
      </c>
      <c r="E2" s="12" t="s">
        <v>48</v>
      </c>
      <c r="F2" s="12" t="s">
        <v>48</v>
      </c>
      <c r="G2" s="12" t="s">
        <v>48</v>
      </c>
      <c r="H2" s="12" t="s">
        <v>48</v>
      </c>
    </row>
    <row r="3" spans="2:9">
      <c r="B3" s="11" t="s">
        <v>50</v>
      </c>
      <c r="C3" s="13">
        <v>45382</v>
      </c>
      <c r="D3" s="13">
        <v>45473</v>
      </c>
      <c r="E3" s="13">
        <v>45565</v>
      </c>
      <c r="F3" s="13">
        <v>45747</v>
      </c>
      <c r="G3" s="13">
        <v>45838</v>
      </c>
      <c r="H3" s="13">
        <v>45930</v>
      </c>
    </row>
    <row r="4" spans="2:9">
      <c r="B4" s="11"/>
      <c r="C4" s="14" t="s">
        <v>51</v>
      </c>
      <c r="D4" s="14" t="s">
        <v>51</v>
      </c>
      <c r="E4" s="14" t="s">
        <v>51</v>
      </c>
      <c r="F4" s="14" t="s">
        <v>51</v>
      </c>
      <c r="G4" s="14" t="s">
        <v>51</v>
      </c>
      <c r="H4" s="14" t="s">
        <v>51</v>
      </c>
    </row>
    <row r="5" spans="2:9">
      <c r="C5" s="23" t="s">
        <v>384</v>
      </c>
      <c r="D5" s="23" t="s">
        <v>385</v>
      </c>
      <c r="E5" s="23" t="s">
        <v>386</v>
      </c>
      <c r="F5" s="23" t="s">
        <v>384</v>
      </c>
      <c r="G5" s="23" t="s">
        <v>385</v>
      </c>
      <c r="H5" s="23" t="s">
        <v>386</v>
      </c>
    </row>
    <row r="6" spans="2:9">
      <c r="B6" s="440"/>
      <c r="C6" s="441"/>
      <c r="D6" s="441"/>
      <c r="E6" s="441"/>
      <c r="F6" s="441"/>
      <c r="G6" s="441"/>
      <c r="H6" s="441"/>
    </row>
    <row r="7" spans="2:9">
      <c r="B7" s="5" t="s">
        <v>387</v>
      </c>
      <c r="C7" s="98">
        <v>63</v>
      </c>
      <c r="D7" s="98">
        <v>75</v>
      </c>
      <c r="E7" s="98">
        <v>79</v>
      </c>
      <c r="F7" s="98">
        <v>88</v>
      </c>
      <c r="G7" s="98">
        <v>85</v>
      </c>
      <c r="H7" s="98">
        <v>94</v>
      </c>
    </row>
    <row r="8" spans="2:9">
      <c r="B8" s="1" t="s">
        <v>388</v>
      </c>
      <c r="C8" s="100">
        <v>-309</v>
      </c>
      <c r="D8" s="100">
        <v>-860</v>
      </c>
      <c r="E8" s="100">
        <v>44</v>
      </c>
      <c r="F8" s="100">
        <v>-495</v>
      </c>
      <c r="G8" s="100">
        <v>-505</v>
      </c>
      <c r="H8" s="100">
        <v>-21</v>
      </c>
    </row>
    <row r="9" spans="2:9">
      <c r="B9" s="1" t="s">
        <v>389</v>
      </c>
      <c r="C9" s="100">
        <v>105</v>
      </c>
      <c r="D9" s="100">
        <v>427</v>
      </c>
      <c r="E9" s="100">
        <v>402</v>
      </c>
      <c r="F9" s="100">
        <v>337</v>
      </c>
      <c r="G9" s="100">
        <v>112</v>
      </c>
      <c r="H9" s="100">
        <v>90</v>
      </c>
    </row>
    <row r="10" spans="2:9">
      <c r="B10" s="1" t="s">
        <v>390</v>
      </c>
      <c r="C10" s="100">
        <v>-75</v>
      </c>
      <c r="D10" s="100">
        <v>360</v>
      </c>
      <c r="E10" s="100">
        <v>280</v>
      </c>
      <c r="F10" s="100">
        <v>91</v>
      </c>
      <c r="G10" s="100">
        <v>-3</v>
      </c>
      <c r="H10" s="100">
        <v>53</v>
      </c>
    </row>
    <row r="11" spans="2:9">
      <c r="B11" s="1" t="s">
        <v>391</v>
      </c>
      <c r="C11" s="100">
        <v>1174</v>
      </c>
      <c r="D11" s="100">
        <v>1537</v>
      </c>
      <c r="E11" s="100">
        <v>1172</v>
      </c>
      <c r="F11" s="100">
        <v>1256</v>
      </c>
      <c r="G11" s="100">
        <v>1447</v>
      </c>
      <c r="H11" s="100">
        <v>1359</v>
      </c>
    </row>
    <row r="12" spans="2:9">
      <c r="B12" s="1" t="s">
        <v>392</v>
      </c>
      <c r="C12" s="100">
        <v>1696</v>
      </c>
      <c r="D12" s="100">
        <v>1755</v>
      </c>
      <c r="E12" s="100">
        <v>1787</v>
      </c>
      <c r="F12" s="100">
        <v>1795</v>
      </c>
      <c r="G12" s="100">
        <v>1866</v>
      </c>
      <c r="H12" s="100">
        <v>1905</v>
      </c>
    </row>
    <row r="13" spans="2:9">
      <c r="B13" s="1" t="s">
        <v>393</v>
      </c>
      <c r="C13" s="100">
        <v>2655</v>
      </c>
      <c r="D13" s="100">
        <v>3294</v>
      </c>
      <c r="E13" s="100">
        <v>-10</v>
      </c>
      <c r="F13" s="100">
        <v>3072</v>
      </c>
      <c r="G13" s="100">
        <v>3001</v>
      </c>
      <c r="H13" s="100">
        <v>-4</v>
      </c>
      <c r="I13" s="412"/>
    </row>
    <row r="14" spans="2:9">
      <c r="B14" s="5" t="s">
        <v>113</v>
      </c>
      <c r="C14" s="98">
        <v>14</v>
      </c>
      <c r="D14" s="98">
        <v>26</v>
      </c>
      <c r="E14" s="98">
        <v>3764</v>
      </c>
      <c r="F14" s="98">
        <v>-2</v>
      </c>
      <c r="G14" s="98">
        <v>0.4</v>
      </c>
      <c r="H14" s="98">
        <v>3480</v>
      </c>
    </row>
    <row r="15" spans="2:9">
      <c r="B15" s="1" t="s">
        <v>394</v>
      </c>
      <c r="C15" s="100">
        <v>32</v>
      </c>
      <c r="D15" s="100">
        <v>45</v>
      </c>
      <c r="E15" s="100">
        <v>-3</v>
      </c>
      <c r="F15" s="100">
        <v>-14</v>
      </c>
      <c r="G15" s="100">
        <v>118</v>
      </c>
      <c r="H15" s="100">
        <v>48</v>
      </c>
    </row>
    <row r="16" spans="2:9">
      <c r="B16" s="1" t="s">
        <v>395</v>
      </c>
      <c r="C16" s="100">
        <v>46</v>
      </c>
      <c r="D16" s="100">
        <v>35</v>
      </c>
      <c r="E16" s="100">
        <v>123</v>
      </c>
      <c r="F16" s="100">
        <v>28</v>
      </c>
      <c r="G16" s="100">
        <v>-80</v>
      </c>
      <c r="H16" s="100">
        <v>8</v>
      </c>
    </row>
    <row r="17" spans="2:8">
      <c r="B17" s="1" t="s">
        <v>396</v>
      </c>
      <c r="C17" s="420"/>
      <c r="D17" s="420"/>
      <c r="E17" s="420"/>
      <c r="F17" s="420"/>
      <c r="G17" s="420"/>
      <c r="H17" s="100">
        <v>-29</v>
      </c>
    </row>
    <row r="18" spans="2:8">
      <c r="B18" s="5" t="s">
        <v>397</v>
      </c>
      <c r="C18" s="98">
        <v>2747</v>
      </c>
      <c r="D18" s="98">
        <v>3401</v>
      </c>
      <c r="E18" s="98">
        <v>3401</v>
      </c>
      <c r="F18" s="98">
        <v>3083</v>
      </c>
      <c r="G18" s="98">
        <v>3039</v>
      </c>
      <c r="H18" s="98">
        <v>3503</v>
      </c>
    </row>
  </sheetData>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BD89FC-687D-45D2-B8F0-61D9E99AF3E1}">
  <dimension ref="A1:IV114"/>
  <sheetViews>
    <sheetView showGridLines="0" zoomScaleNormal="100" workbookViewId="0">
      <pane xSplit="2" ySplit="5" topLeftCell="C6" activePane="bottomRight" state="frozen"/>
      <selection pane="bottomRight" activeCell="B41" sqref="B41"/>
      <selection pane="bottomLeft" activeCell="H31" sqref="H31"/>
      <selection pane="topRight" activeCell="H31" sqref="H31"/>
    </sheetView>
  </sheetViews>
  <sheetFormatPr defaultRowHeight="12.75"/>
  <cols>
    <col min="1" max="1" width="2.7109375" customWidth="1"/>
    <col min="2" max="2" width="50.7109375" customWidth="1"/>
    <col min="3" max="9" width="12.7109375" customWidth="1"/>
    <col min="10" max="10" width="12.7109375" hidden="1" customWidth="1"/>
    <col min="11" max="15" width="12.7109375" customWidth="1"/>
    <col min="16" max="18" width="12.7109375" hidden="1" customWidth="1"/>
    <col min="19" max="22" width="12.7109375" customWidth="1"/>
  </cols>
  <sheetData>
    <row r="1" spans="1:256">
      <c r="A1" s="1"/>
      <c r="B1" s="1"/>
      <c r="C1" s="1"/>
      <c r="D1" s="1"/>
      <c r="E1" s="1"/>
      <c r="F1" s="1"/>
      <c r="G1" s="1"/>
      <c r="H1" s="1"/>
      <c r="I1" s="1"/>
      <c r="J1" s="1"/>
      <c r="K1" s="1"/>
      <c r="L1" s="1"/>
      <c r="M1" s="1"/>
      <c r="N1" s="1"/>
      <c r="O1" s="1"/>
      <c r="P1" s="1"/>
      <c r="Q1" s="1"/>
      <c r="R1" s="1"/>
      <c r="S1" s="1"/>
    </row>
    <row r="2" spans="1:256" ht="21">
      <c r="A2" s="2"/>
      <c r="B2" s="10" t="s">
        <v>45</v>
      </c>
      <c r="C2" s="392" t="s">
        <v>46</v>
      </c>
      <c r="D2" s="392" t="s">
        <v>46</v>
      </c>
      <c r="E2" s="392" t="s">
        <v>47</v>
      </c>
      <c r="F2" s="393"/>
      <c r="G2" s="392" t="s">
        <v>48</v>
      </c>
      <c r="H2" s="12" t="s">
        <v>48</v>
      </c>
      <c r="I2" s="12" t="s">
        <v>48</v>
      </c>
      <c r="J2" s="392"/>
      <c r="K2" s="392" t="s">
        <v>48</v>
      </c>
      <c r="L2" s="12" t="s">
        <v>48</v>
      </c>
      <c r="M2" s="12" t="s">
        <v>48</v>
      </c>
      <c r="N2" s="2"/>
      <c r="O2" s="392" t="s">
        <v>49</v>
      </c>
      <c r="P2" s="392"/>
      <c r="Q2" s="392"/>
      <c r="R2" s="392"/>
      <c r="S2" s="392" t="s">
        <v>49</v>
      </c>
    </row>
    <row r="3" spans="1:256">
      <c r="A3" s="2"/>
      <c r="B3" s="11" t="s">
        <v>50</v>
      </c>
      <c r="C3" s="14">
        <v>45630</v>
      </c>
      <c r="D3" s="14">
        <v>45995</v>
      </c>
      <c r="E3" s="14">
        <f>M3</f>
        <v>46112</v>
      </c>
      <c r="F3" s="394"/>
      <c r="G3" s="14">
        <v>45544</v>
      </c>
      <c r="H3" s="13">
        <v>45635</v>
      </c>
      <c r="I3" s="13">
        <v>45747</v>
      </c>
      <c r="J3" s="14"/>
      <c r="K3" s="14">
        <v>45909</v>
      </c>
      <c r="L3" s="13">
        <v>46000</v>
      </c>
      <c r="M3" s="13">
        <v>46112</v>
      </c>
      <c r="N3" s="2"/>
      <c r="O3" s="14">
        <v>45544</v>
      </c>
      <c r="P3" s="14"/>
      <c r="Q3" s="14"/>
      <c r="R3" s="14"/>
      <c r="S3" s="14">
        <v>45909</v>
      </c>
    </row>
    <row r="4" spans="1:256">
      <c r="A4" s="5"/>
      <c r="B4" s="11"/>
      <c r="C4" s="14" t="s">
        <v>51</v>
      </c>
      <c r="D4" s="14" t="s">
        <v>51</v>
      </c>
      <c r="E4" s="14" t="s">
        <v>51</v>
      </c>
      <c r="F4" s="395"/>
      <c r="G4" s="14" t="s">
        <v>51</v>
      </c>
      <c r="H4" s="14" t="s">
        <v>51</v>
      </c>
      <c r="I4" s="14" t="s">
        <v>51</v>
      </c>
      <c r="J4" s="14"/>
      <c r="K4" s="14" t="s">
        <v>51</v>
      </c>
      <c r="L4" s="14" t="s">
        <v>51</v>
      </c>
      <c r="M4" s="14" t="s">
        <v>51</v>
      </c>
      <c r="N4" s="5"/>
      <c r="O4" s="14" t="s">
        <v>51</v>
      </c>
      <c r="P4" s="14"/>
      <c r="Q4" s="14"/>
      <c r="R4" s="14"/>
      <c r="S4" s="14" t="s">
        <v>51</v>
      </c>
    </row>
    <row r="5" spans="1:256">
      <c r="A5" s="3"/>
      <c r="B5" s="3"/>
      <c r="C5" s="23" t="s">
        <v>52</v>
      </c>
      <c r="D5" s="23" t="s">
        <v>52</v>
      </c>
      <c r="E5" s="23" t="s">
        <v>47</v>
      </c>
      <c r="F5" s="395"/>
      <c r="G5" s="23" t="s">
        <v>53</v>
      </c>
      <c r="H5" s="23" t="s">
        <v>54</v>
      </c>
      <c r="I5" s="23" t="s">
        <v>55</v>
      </c>
      <c r="J5" s="23"/>
      <c r="K5" s="23" t="s">
        <v>53</v>
      </c>
      <c r="L5" s="23" t="s">
        <v>54</v>
      </c>
      <c r="M5" s="23" t="s">
        <v>55</v>
      </c>
      <c r="N5" s="3"/>
      <c r="O5" s="23" t="s">
        <v>56</v>
      </c>
      <c r="P5" s="23"/>
      <c r="Q5" s="23"/>
      <c r="R5" s="23"/>
      <c r="S5" s="23" t="s">
        <v>56</v>
      </c>
    </row>
    <row r="6" spans="1:256" s="1" customFormat="1">
      <c r="B6" s="16" t="s">
        <v>398</v>
      </c>
      <c r="C6" s="16"/>
      <c r="D6" s="16"/>
      <c r="E6" s="16"/>
      <c r="F6" s="395"/>
      <c r="G6" s="16"/>
      <c r="H6" s="16"/>
      <c r="I6" s="16"/>
      <c r="J6" s="16"/>
      <c r="K6" s="16"/>
      <c r="L6" s="16"/>
      <c r="M6" s="16"/>
      <c r="N6" s="5"/>
      <c r="O6" s="16"/>
      <c r="P6" s="16"/>
      <c r="Q6" s="16"/>
      <c r="R6" s="16"/>
      <c r="S6" s="1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c r="EO6"/>
      <c r="EP6"/>
      <c r="EQ6"/>
      <c r="ER6"/>
      <c r="ES6"/>
      <c r="ET6"/>
      <c r="EU6"/>
      <c r="EV6"/>
      <c r="EW6"/>
      <c r="EX6"/>
      <c r="EY6"/>
      <c r="EZ6"/>
      <c r="FA6"/>
      <c r="FB6"/>
      <c r="FC6"/>
      <c r="FD6"/>
      <c r="FE6"/>
      <c r="FF6"/>
      <c r="FG6"/>
      <c r="FH6"/>
      <c r="FI6"/>
      <c r="FJ6"/>
      <c r="FK6"/>
      <c r="FL6"/>
      <c r="FM6"/>
      <c r="FN6"/>
      <c r="FO6"/>
      <c r="FP6"/>
      <c r="FQ6"/>
      <c r="FR6"/>
      <c r="FS6"/>
      <c r="FT6"/>
      <c r="FU6"/>
      <c r="FV6"/>
      <c r="FW6"/>
      <c r="FX6"/>
      <c r="FY6"/>
      <c r="FZ6"/>
      <c r="GA6"/>
      <c r="GB6"/>
      <c r="GC6"/>
      <c r="GD6"/>
      <c r="GE6"/>
      <c r="GF6"/>
      <c r="GG6"/>
      <c r="GH6"/>
      <c r="GI6"/>
      <c r="GJ6"/>
      <c r="GK6"/>
      <c r="GL6"/>
      <c r="GM6"/>
      <c r="GN6"/>
      <c r="GO6"/>
      <c r="GP6"/>
      <c r="GQ6"/>
      <c r="GR6"/>
      <c r="GS6"/>
      <c r="GT6"/>
      <c r="GU6"/>
      <c r="GV6"/>
      <c r="GW6"/>
      <c r="GX6"/>
      <c r="GY6"/>
      <c r="GZ6"/>
      <c r="HA6"/>
      <c r="HB6"/>
      <c r="HC6"/>
      <c r="HD6"/>
      <c r="HE6"/>
      <c r="HF6"/>
      <c r="HG6"/>
      <c r="HH6"/>
      <c r="HI6"/>
      <c r="HJ6"/>
      <c r="HK6"/>
      <c r="HL6"/>
      <c r="HM6"/>
      <c r="HN6"/>
      <c r="HO6"/>
      <c r="HP6"/>
      <c r="HQ6"/>
      <c r="HR6"/>
      <c r="HS6"/>
      <c r="HT6"/>
      <c r="HU6"/>
      <c r="HV6"/>
      <c r="HW6"/>
      <c r="HX6"/>
      <c r="HY6"/>
      <c r="HZ6"/>
      <c r="IA6"/>
      <c r="IB6"/>
      <c r="IC6"/>
      <c r="ID6"/>
      <c r="IE6"/>
      <c r="IF6"/>
      <c r="IG6"/>
      <c r="IH6"/>
      <c r="II6"/>
      <c r="IJ6"/>
      <c r="IK6"/>
      <c r="IL6"/>
      <c r="IM6"/>
      <c r="IN6"/>
      <c r="IO6"/>
      <c r="IP6"/>
      <c r="IQ6"/>
      <c r="IR6"/>
      <c r="IS6"/>
      <c r="IT6"/>
      <c r="IU6"/>
      <c r="IV6"/>
    </row>
    <row r="7" spans="1:256">
      <c r="B7" s="1" t="s">
        <v>399</v>
      </c>
      <c r="C7" s="308">
        <v>5083</v>
      </c>
      <c r="D7" s="308">
        <v>5361</v>
      </c>
      <c r="E7" s="24">
        <f>D7+M7-I7</f>
        <v>5302</v>
      </c>
      <c r="F7" s="395"/>
      <c r="G7" s="308">
        <v>1306</v>
      </c>
      <c r="H7" s="308">
        <v>1377</v>
      </c>
      <c r="I7" s="308">
        <v>1279</v>
      </c>
      <c r="J7" s="308"/>
      <c r="K7" s="308">
        <v>1369</v>
      </c>
      <c r="L7" s="308">
        <v>1420</v>
      </c>
      <c r="M7" s="308">
        <v>1220</v>
      </c>
      <c r="N7" s="1"/>
      <c r="O7" s="308">
        <v>3706</v>
      </c>
      <c r="P7" s="308"/>
      <c r="Q7" s="308"/>
      <c r="R7" s="308"/>
      <c r="S7" s="308">
        <v>3941</v>
      </c>
    </row>
    <row r="8" spans="1:256" s="46" customFormat="1">
      <c r="B8" s="19" t="s">
        <v>59</v>
      </c>
      <c r="C8" s="99"/>
      <c r="D8" s="99">
        <f>D7/C7-1</f>
        <v>5.4692110958095563E-2</v>
      </c>
      <c r="E8" s="99"/>
      <c r="F8" s="302"/>
      <c r="G8" s="99"/>
      <c r="H8" s="99"/>
      <c r="I8" s="99"/>
      <c r="J8" s="99"/>
      <c r="K8" s="99">
        <f>K7/G7-1</f>
        <v>4.8238897396631009E-2</v>
      </c>
      <c r="L8" s="99">
        <f>L7/H7-1</f>
        <v>3.1227305737109745E-2</v>
      </c>
      <c r="M8" s="99">
        <f>M7/I7-1</f>
        <v>-4.612978889757624E-2</v>
      </c>
      <c r="O8" s="99"/>
      <c r="P8" s="99"/>
      <c r="Q8" s="99"/>
      <c r="R8" s="99"/>
      <c r="S8" s="99">
        <f>S7/O7-1</f>
        <v>6.3410685375067555E-2</v>
      </c>
    </row>
    <row r="9" spans="1:256">
      <c r="B9" s="1" t="s">
        <v>400</v>
      </c>
      <c r="C9" s="308">
        <v>2830</v>
      </c>
      <c r="D9" s="308">
        <v>2859</v>
      </c>
      <c r="E9" s="24">
        <f>D9+M9-I9</f>
        <v>2879</v>
      </c>
      <c r="F9" s="1"/>
      <c r="G9" s="308">
        <v>720</v>
      </c>
      <c r="H9" s="308">
        <v>716</v>
      </c>
      <c r="I9" s="308">
        <v>709</v>
      </c>
      <c r="J9" s="308"/>
      <c r="K9" s="308">
        <v>732</v>
      </c>
      <c r="L9" s="308">
        <v>771</v>
      </c>
      <c r="M9" s="308">
        <v>729</v>
      </c>
      <c r="N9" s="1"/>
      <c r="O9" s="308">
        <v>2114</v>
      </c>
      <c r="P9" s="308"/>
      <c r="Q9" s="308"/>
      <c r="R9" s="308"/>
      <c r="S9" s="308">
        <v>2088</v>
      </c>
    </row>
    <row r="10" spans="1:256" s="46" customFormat="1">
      <c r="B10" s="19" t="s">
        <v>59</v>
      </c>
      <c r="C10" s="99"/>
      <c r="D10" s="99">
        <f>D9/C9-1</f>
        <v>1.0247349823321539E-2</v>
      </c>
      <c r="E10" s="99"/>
      <c r="F10" s="302"/>
      <c r="G10" s="99"/>
      <c r="H10" s="99"/>
      <c r="I10" s="99"/>
      <c r="J10" s="99"/>
      <c r="K10" s="99">
        <f>K9/G9-1</f>
        <v>1.6666666666666607E-2</v>
      </c>
      <c r="L10" s="99">
        <f>L9/H9-1</f>
        <v>7.6815642458100575E-2</v>
      </c>
      <c r="M10" s="99">
        <f>M9/I9-1</f>
        <v>2.8208744710860323E-2</v>
      </c>
      <c r="O10" s="99"/>
      <c r="P10" s="99"/>
      <c r="Q10" s="99"/>
      <c r="R10" s="99"/>
      <c r="S10" s="99">
        <f>S9/O9-1</f>
        <v>-1.2298959318826852E-2</v>
      </c>
    </row>
    <row r="11" spans="1:256" s="411" customFormat="1">
      <c r="B11" s="5" t="s">
        <v>401</v>
      </c>
      <c r="C11" s="53">
        <f>SUM(C7:C9)</f>
        <v>7913</v>
      </c>
      <c r="D11" s="53">
        <f>SUM(D7:D9)</f>
        <v>8220.0546921109581</v>
      </c>
      <c r="E11" s="53">
        <f>SUM(E7:E9)</f>
        <v>8181</v>
      </c>
      <c r="F11" s="5"/>
      <c r="G11" s="53">
        <f>SUM(G7:G9)</f>
        <v>2026</v>
      </c>
      <c r="H11" s="53">
        <f>SUM(H7:H9)</f>
        <v>2093</v>
      </c>
      <c r="I11" s="53">
        <f>SUM(I7:I9)</f>
        <v>1988</v>
      </c>
      <c r="J11" s="53"/>
      <c r="K11" s="53">
        <f>SUM(K7:K9)</f>
        <v>2101.0482388973969</v>
      </c>
      <c r="L11" s="53">
        <f>SUM(L7:L9)</f>
        <v>2191.031227305737</v>
      </c>
      <c r="M11" s="53">
        <f>SUM(M7:M9)</f>
        <v>1948.9538702111024</v>
      </c>
      <c r="N11" s="53"/>
      <c r="O11" s="53">
        <f>SUM(O7:O9)</f>
        <v>5820</v>
      </c>
      <c r="P11" s="53"/>
      <c r="Q11" s="53"/>
      <c r="R11" s="53"/>
      <c r="S11" s="53">
        <f>SUM(S7:S9)</f>
        <v>6029.0634106853749</v>
      </c>
    </row>
    <row r="12" spans="1:256" s="46" customFormat="1">
      <c r="B12" s="19" t="s">
        <v>59</v>
      </c>
      <c r="C12" s="99"/>
      <c r="D12" s="99">
        <f>D11/C11-1</f>
        <v>3.8803828144946095E-2</v>
      </c>
      <c r="E12" s="99"/>
      <c r="F12" s="302"/>
      <c r="G12" s="99"/>
      <c r="H12" s="99"/>
      <c r="I12" s="99"/>
      <c r="J12" s="99"/>
      <c r="K12" s="99">
        <f>K11/G11-1</f>
        <v>3.7042566089534601E-2</v>
      </c>
      <c r="L12" s="99">
        <f>L11/H11-1</f>
        <v>4.6837662353433895E-2</v>
      </c>
      <c r="M12" s="99">
        <f>M11/I11-1</f>
        <v>-1.9640910356588326E-2</v>
      </c>
      <c r="O12" s="99"/>
      <c r="P12" s="99"/>
      <c r="Q12" s="99"/>
      <c r="R12" s="99"/>
      <c r="S12" s="99">
        <f>S11/O11-1</f>
        <v>3.5921548227727751E-2</v>
      </c>
    </row>
    <row r="13" spans="1:256">
      <c r="B13" s="1"/>
      <c r="C13" s="1"/>
      <c r="D13" s="1"/>
      <c r="E13" s="1"/>
      <c r="F13" s="1"/>
      <c r="G13" s="1"/>
      <c r="H13" s="1"/>
      <c r="I13" s="1"/>
      <c r="J13" s="1"/>
      <c r="K13" s="1"/>
      <c r="L13" s="1"/>
      <c r="M13" s="1"/>
      <c r="N13" s="1"/>
      <c r="O13" s="1"/>
      <c r="P13" s="1"/>
      <c r="Q13" s="1"/>
      <c r="R13" s="1"/>
      <c r="S13" s="1"/>
    </row>
    <row r="14" spans="1:256">
      <c r="B14" s="1" t="s">
        <v>402</v>
      </c>
      <c r="C14" s="473">
        <f>C7/C11</f>
        <v>0.64236067231138627</v>
      </c>
      <c r="D14" s="473">
        <f>D7/D11</f>
        <v>0.65218544167900949</v>
      </c>
      <c r="E14" s="473">
        <f>E7/E11</f>
        <v>0.64808703092531472</v>
      </c>
      <c r="F14" s="473"/>
      <c r="G14" s="473">
        <f>G7/G11</f>
        <v>0.64461994076999007</v>
      </c>
      <c r="H14" s="473">
        <f>H7/H11</f>
        <v>0.65790731008122316</v>
      </c>
      <c r="I14" s="473">
        <f>I7/I11</f>
        <v>0.64336016096579474</v>
      </c>
      <c r="J14" s="473"/>
      <c r="K14" s="473">
        <f>K7/K11</f>
        <v>0.65157951857327823</v>
      </c>
      <c r="L14" s="473">
        <f>L7/L11</f>
        <v>0.64809665070184452</v>
      </c>
      <c r="M14" s="473">
        <f>M7/M11</f>
        <v>0.6259768477064338</v>
      </c>
      <c r="N14" s="473"/>
      <c r="O14" s="473">
        <f>O7/O11</f>
        <v>0.63676975945017178</v>
      </c>
      <c r="P14" s="473"/>
      <c r="Q14" s="473"/>
      <c r="R14" s="473"/>
      <c r="S14" s="473">
        <f>S7/S11</f>
        <v>0.65366703442118768</v>
      </c>
    </row>
    <row r="15" spans="1:256">
      <c r="B15" s="1" t="s">
        <v>403</v>
      </c>
      <c r="C15" s="473">
        <f>C9/C11</f>
        <v>0.35763932768861367</v>
      </c>
      <c r="D15" s="473">
        <f>D9/D11</f>
        <v>0.34780790482378071</v>
      </c>
      <c r="E15" s="473">
        <f>E9/E11</f>
        <v>0.35191296907468522</v>
      </c>
      <c r="F15" s="473"/>
      <c r="G15" s="473">
        <f>G9/G11</f>
        <v>0.35538005923000987</v>
      </c>
      <c r="H15" s="473">
        <f>H9/H11</f>
        <v>0.34209268991877689</v>
      </c>
      <c r="I15" s="473">
        <f>I9/I11</f>
        <v>0.35663983903420521</v>
      </c>
      <c r="J15" s="473"/>
      <c r="K15" s="473">
        <f>K9/K11</f>
        <v>0.34839752198366669</v>
      </c>
      <c r="L15" s="473">
        <f>L9/L11</f>
        <v>0.35188909696557896</v>
      </c>
      <c r="M15" s="473">
        <f>M9/M11</f>
        <v>0.37404682129343464</v>
      </c>
      <c r="N15" s="473"/>
      <c r="O15" s="473">
        <f>O9/O11</f>
        <v>0.36323024054982816</v>
      </c>
      <c r="P15" s="473"/>
      <c r="Q15" s="473"/>
      <c r="R15" s="473"/>
      <c r="S15" s="473">
        <f>S9/S11</f>
        <v>0.34632244807699564</v>
      </c>
    </row>
    <row r="16" spans="1:256" s="411" customFormat="1">
      <c r="B16" s="5" t="s">
        <v>404</v>
      </c>
      <c r="C16" s="474">
        <f>SUM(C14:C15)</f>
        <v>1</v>
      </c>
      <c r="D16" s="474">
        <f>SUM(D14:D15)</f>
        <v>0.99999334650279015</v>
      </c>
      <c r="E16" s="474">
        <f>SUM(E14:E15)</f>
        <v>1</v>
      </c>
      <c r="F16" s="474"/>
      <c r="G16" s="474">
        <f>SUM(G14:G15)</f>
        <v>1</v>
      </c>
      <c r="H16" s="474">
        <f>SUM(H14:H15)</f>
        <v>1</v>
      </c>
      <c r="I16" s="474">
        <f>SUM(I14:I15)</f>
        <v>1</v>
      </c>
      <c r="J16" s="474"/>
      <c r="K16" s="474">
        <f>SUM(K14:K15)</f>
        <v>0.99997704055694492</v>
      </c>
      <c r="L16" s="474">
        <f>SUM(L14:L15)</f>
        <v>0.99998574766742343</v>
      </c>
      <c r="M16" s="474">
        <f>SUM(M14:M15)</f>
        <v>1.0000236689998685</v>
      </c>
      <c r="N16" s="474"/>
      <c r="O16" s="474">
        <f>SUM(O14:O15)</f>
        <v>1</v>
      </c>
      <c r="P16" s="474"/>
      <c r="Q16" s="474"/>
      <c r="R16" s="474"/>
      <c r="S16" s="474">
        <f>SUM(S14:S15)</f>
        <v>0.99998948249818331</v>
      </c>
    </row>
    <row r="17" spans="2:256">
      <c r="B17" s="1"/>
      <c r="C17" s="1"/>
      <c r="D17" s="1"/>
      <c r="E17" s="1"/>
      <c r="F17" s="1"/>
      <c r="G17" s="1"/>
      <c r="H17" s="1"/>
      <c r="I17" s="1"/>
      <c r="J17" s="1"/>
      <c r="K17" s="1"/>
      <c r="L17" s="1"/>
      <c r="M17" s="1"/>
      <c r="N17" s="1"/>
      <c r="O17" s="1"/>
      <c r="P17" s="1"/>
      <c r="Q17" s="1"/>
      <c r="R17" s="1"/>
      <c r="S17" s="1"/>
    </row>
    <row r="18" spans="2:256">
      <c r="B18" s="1"/>
      <c r="C18" s="1"/>
      <c r="D18" s="1"/>
      <c r="E18" s="1"/>
      <c r="F18" s="1"/>
      <c r="G18" s="1"/>
      <c r="H18" s="1"/>
      <c r="I18" s="1"/>
      <c r="J18" s="1"/>
      <c r="K18" s="1"/>
      <c r="L18" s="1"/>
      <c r="M18" s="1"/>
      <c r="N18" s="1"/>
      <c r="O18" s="1"/>
      <c r="P18" s="1"/>
      <c r="Q18" s="1"/>
      <c r="R18" s="1"/>
      <c r="S18" s="1"/>
    </row>
    <row r="19" spans="2:256" s="1" customFormat="1">
      <c r="B19" s="16" t="s">
        <v>405</v>
      </c>
      <c r="C19" s="16"/>
      <c r="D19" s="16"/>
      <c r="E19" s="16"/>
      <c r="F19" s="395"/>
      <c r="G19" s="16"/>
      <c r="H19" s="16"/>
      <c r="I19" s="16"/>
      <c r="J19" s="16"/>
      <c r="K19" s="16"/>
      <c r="L19" s="16"/>
      <c r="M19" s="16"/>
      <c r="N19" s="5"/>
      <c r="O19" s="16"/>
      <c r="P19" s="16"/>
      <c r="Q19" s="16"/>
      <c r="R19" s="16"/>
      <c r="S19" s="16"/>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c r="BW19"/>
      <c r="BX19"/>
      <c r="BY19"/>
      <c r="BZ19"/>
      <c r="CA19"/>
      <c r="CB19"/>
      <c r="CC19"/>
      <c r="CD19"/>
      <c r="CE19"/>
      <c r="CF19"/>
      <c r="CG19"/>
      <c r="CH19"/>
      <c r="CI19"/>
      <c r="CJ19"/>
      <c r="CK19"/>
      <c r="CL19"/>
      <c r="CM19"/>
      <c r="CN19"/>
      <c r="CO19"/>
      <c r="CP19"/>
      <c r="CQ19"/>
      <c r="CR19"/>
      <c r="CS19"/>
      <c r="CT19"/>
      <c r="CU19"/>
      <c r="CV19"/>
      <c r="CW19"/>
      <c r="CX19"/>
      <c r="CY19"/>
      <c r="CZ19"/>
      <c r="DA19"/>
      <c r="DB19"/>
      <c r="DC19"/>
      <c r="DD19"/>
      <c r="DE19"/>
      <c r="DF19"/>
      <c r="DG19"/>
      <c r="DH19"/>
      <c r="DI19"/>
      <c r="DJ19"/>
      <c r="DK19"/>
      <c r="DL19"/>
      <c r="DM19"/>
      <c r="DN19"/>
      <c r="DO19"/>
      <c r="DP19"/>
      <c r="DQ19"/>
      <c r="DR19"/>
      <c r="DS19"/>
      <c r="DT19"/>
      <c r="DU19"/>
      <c r="DV19"/>
      <c r="DW19"/>
      <c r="DX19"/>
      <c r="DY19"/>
      <c r="DZ19"/>
      <c r="EA19"/>
      <c r="EB19"/>
      <c r="EC19"/>
      <c r="ED19"/>
      <c r="EE19"/>
      <c r="EF19"/>
      <c r="EG19"/>
      <c r="EH19"/>
      <c r="EI19"/>
      <c r="EJ19"/>
      <c r="EK19"/>
      <c r="EL19"/>
      <c r="EM19"/>
      <c r="EN19"/>
      <c r="EO19"/>
      <c r="EP19"/>
      <c r="EQ19"/>
      <c r="ER19"/>
      <c r="ES19"/>
      <c r="ET19"/>
      <c r="EU19"/>
      <c r="EV19"/>
      <c r="EW19"/>
      <c r="EX19"/>
      <c r="EY19"/>
      <c r="EZ19"/>
      <c r="FA19"/>
      <c r="FB19"/>
      <c r="FC19"/>
      <c r="FD19"/>
      <c r="FE19"/>
      <c r="FF19"/>
      <c r="FG19"/>
      <c r="FH19"/>
      <c r="FI19"/>
      <c r="FJ19"/>
      <c r="FK19"/>
      <c r="FL19"/>
      <c r="FM19"/>
      <c r="FN19"/>
      <c r="FO19"/>
      <c r="FP19"/>
      <c r="FQ19"/>
      <c r="FR19"/>
      <c r="FS19"/>
      <c r="FT19"/>
      <c r="FU19"/>
      <c r="FV19"/>
      <c r="FW19"/>
      <c r="FX19"/>
      <c r="FY19"/>
      <c r="FZ19"/>
      <c r="GA19"/>
      <c r="GB19"/>
      <c r="GC19"/>
      <c r="GD19"/>
      <c r="GE19"/>
      <c r="GF19"/>
      <c r="GG19"/>
      <c r="GH19"/>
      <c r="GI19"/>
      <c r="GJ19"/>
      <c r="GK19"/>
      <c r="GL19"/>
      <c r="GM19"/>
      <c r="GN19"/>
      <c r="GO19"/>
      <c r="GP19"/>
      <c r="GQ19"/>
      <c r="GR19"/>
      <c r="GS19"/>
      <c r="GT19"/>
      <c r="GU19"/>
      <c r="GV19"/>
      <c r="GW19"/>
      <c r="GX19"/>
      <c r="GY19"/>
      <c r="GZ19"/>
      <c r="HA19"/>
      <c r="HB19"/>
      <c r="HC19"/>
      <c r="HD19"/>
      <c r="HE19"/>
      <c r="HF19"/>
      <c r="HG19"/>
      <c r="HH19"/>
      <c r="HI19"/>
      <c r="HJ19"/>
      <c r="HK19"/>
      <c r="HL19"/>
      <c r="HM19"/>
      <c r="HN19"/>
      <c r="HO19"/>
      <c r="HP19"/>
      <c r="HQ19"/>
      <c r="HR19"/>
      <c r="HS19"/>
      <c r="HT19"/>
      <c r="HU19"/>
      <c r="HV19"/>
      <c r="HW19"/>
      <c r="HX19"/>
      <c r="HY19"/>
      <c r="HZ19"/>
      <c r="IA19"/>
      <c r="IB19"/>
      <c r="IC19"/>
      <c r="ID19"/>
      <c r="IE19"/>
      <c r="IF19"/>
      <c r="IG19"/>
      <c r="IH19"/>
      <c r="II19"/>
      <c r="IJ19"/>
      <c r="IK19"/>
      <c r="IL19"/>
      <c r="IM19"/>
      <c r="IN19"/>
      <c r="IO19"/>
      <c r="IP19"/>
      <c r="IQ19"/>
      <c r="IR19"/>
      <c r="IS19"/>
      <c r="IT19"/>
      <c r="IU19"/>
      <c r="IV19"/>
    </row>
    <row r="20" spans="2:256">
      <c r="B20" s="1" t="s">
        <v>399</v>
      </c>
      <c r="C20" s="308">
        <v>100061</v>
      </c>
      <c r="D20" s="308">
        <v>116022</v>
      </c>
      <c r="E20" s="24">
        <f>D20+M20-I20</f>
        <v>115506</v>
      </c>
      <c r="F20" s="1"/>
      <c r="G20" s="308">
        <v>26278</v>
      </c>
      <c r="H20" s="308">
        <v>28912</v>
      </c>
      <c r="I20" s="308">
        <v>27565</v>
      </c>
      <c r="J20" s="308"/>
      <c r="K20" s="308">
        <v>29599</v>
      </c>
      <c r="L20" s="308">
        <v>30965</v>
      </c>
      <c r="M20" s="308">
        <v>27049</v>
      </c>
      <c r="N20" s="1"/>
      <c r="O20" s="308">
        <v>71150</v>
      </c>
      <c r="P20" s="308"/>
      <c r="Q20" s="308"/>
      <c r="R20" s="308"/>
      <c r="S20" s="308">
        <v>85057</v>
      </c>
    </row>
    <row r="21" spans="2:256" s="46" customFormat="1">
      <c r="B21" s="19" t="s">
        <v>59</v>
      </c>
      <c r="C21" s="99"/>
      <c r="D21" s="99">
        <f>D20/C20-1</f>
        <v>0.15951269725467454</v>
      </c>
      <c r="E21" s="99"/>
      <c r="F21" s="302"/>
      <c r="G21" s="99"/>
      <c r="H21" s="99"/>
      <c r="I21" s="99"/>
      <c r="J21" s="99"/>
      <c r="K21" s="99">
        <f>K20/G20-1</f>
        <v>0.12637948093462215</v>
      </c>
      <c r="L21" s="99">
        <f>L20/H20-1</f>
        <v>7.1008577753182145E-2</v>
      </c>
      <c r="M21" s="99">
        <f>M20/I20-1</f>
        <v>-1.8719390531471092E-2</v>
      </c>
      <c r="O21" s="99"/>
      <c r="P21" s="99"/>
      <c r="Q21" s="99"/>
      <c r="R21" s="99"/>
      <c r="S21" s="99">
        <f>S20/O20-1</f>
        <v>0.19546029515108931</v>
      </c>
    </row>
    <row r="22" spans="2:256">
      <c r="B22" s="1" t="s">
        <v>400</v>
      </c>
      <c r="C22" s="308">
        <v>46469</v>
      </c>
      <c r="D22" s="308">
        <v>47941</v>
      </c>
      <c r="E22" s="24">
        <f>D22+M22-I22</f>
        <v>48430</v>
      </c>
      <c r="F22" s="1"/>
      <c r="G22" s="308">
        <v>11956</v>
      </c>
      <c r="H22" s="308">
        <v>13001</v>
      </c>
      <c r="I22" s="308">
        <v>11915</v>
      </c>
      <c r="J22" s="308"/>
      <c r="K22" s="308">
        <v>12166</v>
      </c>
      <c r="L22" s="308">
        <v>12951</v>
      </c>
      <c r="M22" s="308">
        <v>12404</v>
      </c>
      <c r="N22" s="1"/>
      <c r="O22" s="308">
        <v>33468</v>
      </c>
      <c r="P22" s="308"/>
      <c r="Q22" s="308"/>
      <c r="R22" s="308"/>
      <c r="S22" s="308">
        <v>34990</v>
      </c>
    </row>
    <row r="23" spans="2:256" s="46" customFormat="1">
      <c r="B23" s="19" t="s">
        <v>59</v>
      </c>
      <c r="C23" s="99"/>
      <c r="D23" s="99">
        <f>D22/C22-1</f>
        <v>3.1677031999827854E-2</v>
      </c>
      <c r="E23" s="99"/>
      <c r="F23" s="302"/>
      <c r="G23" s="99"/>
      <c r="H23" s="99"/>
      <c r="I23" s="99"/>
      <c r="J23" s="99"/>
      <c r="K23" s="99">
        <f>K22/G22-1</f>
        <v>1.7564402810304358E-2</v>
      </c>
      <c r="L23" s="99">
        <f>L22/H22-1</f>
        <v>-3.8458580109221874E-3</v>
      </c>
      <c r="M23" s="99">
        <f>M22/I22-1</f>
        <v>4.1040704993705379E-2</v>
      </c>
      <c r="O23" s="99"/>
      <c r="P23" s="99"/>
      <c r="Q23" s="99"/>
      <c r="R23" s="99"/>
      <c r="S23" s="99">
        <f>S22/O22-1</f>
        <v>4.547627584558378E-2</v>
      </c>
    </row>
    <row r="24" spans="2:256">
      <c r="B24" s="5" t="s">
        <v>406</v>
      </c>
      <c r="C24" s="53">
        <f>SUM(C20:C22)</f>
        <v>146530</v>
      </c>
      <c r="D24" s="53">
        <f>SUM(D20:D22)</f>
        <v>163963.15951269725</v>
      </c>
      <c r="E24" s="53">
        <f>SUM(E20:E22)</f>
        <v>163936</v>
      </c>
      <c r="F24" s="5"/>
      <c r="G24" s="53">
        <f>SUM(G20:G22)</f>
        <v>38234</v>
      </c>
      <c r="H24" s="53">
        <f>SUM(H20:H22)</f>
        <v>41913</v>
      </c>
      <c r="I24" s="53">
        <f>SUM(I20:I22)</f>
        <v>39480</v>
      </c>
      <c r="J24" s="53"/>
      <c r="K24" s="53">
        <f>SUM(K20:K22)</f>
        <v>41765.126379480935</v>
      </c>
      <c r="L24" s="53">
        <f>SUM(L20:L22)</f>
        <v>43916.071008577754</v>
      </c>
      <c r="M24" s="53">
        <f>SUM(M20:M22)</f>
        <v>39452.981280609471</v>
      </c>
      <c r="N24" s="53"/>
      <c r="O24" s="53">
        <f>SUM(O20:O22)</f>
        <v>104618</v>
      </c>
      <c r="P24" s="53"/>
      <c r="Q24" s="53"/>
      <c r="R24" s="53"/>
      <c r="S24" s="53">
        <f>SUM(S20:S22)</f>
        <v>120047.19546029514</v>
      </c>
    </row>
    <row r="25" spans="2:256" s="46" customFormat="1">
      <c r="B25" s="19" t="s">
        <v>59</v>
      </c>
      <c r="C25" s="99"/>
      <c r="D25" s="99">
        <f>D24/C24-1</f>
        <v>0.11897331271887834</v>
      </c>
      <c r="E25" s="99"/>
      <c r="F25" s="302"/>
      <c r="G25" s="99"/>
      <c r="H25" s="99"/>
      <c r="I25" s="99"/>
      <c r="J25" s="99"/>
      <c r="K25" s="99">
        <f>K24/G24-1</f>
        <v>9.2355661962675528E-2</v>
      </c>
      <c r="L25" s="99">
        <f>L24/H24-1</f>
        <v>4.779116285109053E-2</v>
      </c>
      <c r="M25" s="99">
        <f>M24/I24-1</f>
        <v>-6.8436472620392319E-4</v>
      </c>
      <c r="O25" s="99"/>
      <c r="P25" s="99"/>
      <c r="Q25" s="99"/>
      <c r="R25" s="99"/>
      <c r="S25" s="99">
        <f>S24/O24-1</f>
        <v>0.14748126957402308</v>
      </c>
    </row>
    <row r="26" spans="2:256">
      <c r="B26" s="1"/>
      <c r="C26" s="24"/>
      <c r="D26" s="1"/>
      <c r="E26" s="1"/>
      <c r="F26" s="1"/>
      <c r="G26" s="1"/>
      <c r="H26" s="1"/>
      <c r="I26" s="1"/>
      <c r="J26" s="1"/>
      <c r="K26" s="1"/>
      <c r="L26" s="1"/>
      <c r="M26" s="1"/>
      <c r="N26" s="1"/>
      <c r="O26" s="1"/>
      <c r="P26" s="1"/>
      <c r="Q26" s="1"/>
      <c r="R26" s="1"/>
      <c r="S26" s="1"/>
    </row>
    <row r="27" spans="2:256">
      <c r="B27" s="1" t="s">
        <v>402</v>
      </c>
      <c r="C27" s="473">
        <f>C20/C24</f>
        <v>0.68287040196546778</v>
      </c>
      <c r="D27" s="473">
        <f>D20/D24</f>
        <v>0.70761017502236712</v>
      </c>
      <c r="E27" s="473">
        <f>E20/E24</f>
        <v>0.7045798360335741</v>
      </c>
      <c r="F27" s="473"/>
      <c r="G27" s="473">
        <f>G20/G24</f>
        <v>0.68729403149029655</v>
      </c>
      <c r="H27" s="473">
        <f>H20/H24</f>
        <v>0.68980984420108316</v>
      </c>
      <c r="I27" s="473">
        <f>I20/I24</f>
        <v>0.69820162107396155</v>
      </c>
      <c r="J27" s="473"/>
      <c r="K27" s="473">
        <f>K20/K24</f>
        <v>0.70870131532851988</v>
      </c>
      <c r="L27" s="473">
        <f>L20/L24</f>
        <v>0.70509495245947362</v>
      </c>
      <c r="M27" s="473">
        <f>M20/M24</f>
        <v>0.68560091334071538</v>
      </c>
      <c r="N27" s="473"/>
      <c r="O27" s="473">
        <f>O20/O24</f>
        <v>0.68009329178535238</v>
      </c>
      <c r="P27" s="473"/>
      <c r="Q27" s="473"/>
      <c r="R27" s="473"/>
      <c r="S27" s="473">
        <f>S20/S24</f>
        <v>0.70852967180005522</v>
      </c>
    </row>
    <row r="28" spans="2:256">
      <c r="B28" s="1" t="s">
        <v>403</v>
      </c>
      <c r="C28" s="473">
        <f>C22/C24</f>
        <v>0.31712959803453217</v>
      </c>
      <c r="D28" s="473">
        <f>D22/D24</f>
        <v>0.29238885212069521</v>
      </c>
      <c r="E28" s="473">
        <f>E22/E24</f>
        <v>0.2954201639664259</v>
      </c>
      <c r="F28" s="473"/>
      <c r="G28" s="473">
        <f>G22/G24</f>
        <v>0.31270596850970339</v>
      </c>
      <c r="H28" s="473">
        <f>H22/H24</f>
        <v>0.31019015579891679</v>
      </c>
      <c r="I28" s="473">
        <f>I22/I24</f>
        <v>0.3017983789260385</v>
      </c>
      <c r="J28" s="473"/>
      <c r="K28" s="473">
        <f>K22/K24</f>
        <v>0.29129565871437457</v>
      </c>
      <c r="L28" s="473">
        <f>L22/L24</f>
        <v>0.29490343062498442</v>
      </c>
      <c r="M28" s="473">
        <f>M22/M24</f>
        <v>0.31439956113269374</v>
      </c>
      <c r="N28" s="473"/>
      <c r="O28" s="473">
        <f>O22/O24</f>
        <v>0.31990670821464756</v>
      </c>
      <c r="P28" s="473"/>
      <c r="Q28" s="473"/>
      <c r="R28" s="473"/>
      <c r="S28" s="473">
        <f>S22/S24</f>
        <v>0.2914687000045138</v>
      </c>
    </row>
    <row r="29" spans="2:256">
      <c r="B29" s="5" t="s">
        <v>404</v>
      </c>
      <c r="C29" s="474">
        <f>SUM(C27:C28)</f>
        <v>1</v>
      </c>
      <c r="D29" s="474">
        <f>SUM(D27:D28)</f>
        <v>0.99999902714306232</v>
      </c>
      <c r="E29" s="474">
        <f>SUM(E27:E28)</f>
        <v>1</v>
      </c>
      <c r="F29" s="474"/>
      <c r="G29" s="474">
        <f>SUM(G27:G28)</f>
        <v>1</v>
      </c>
      <c r="H29" s="474">
        <f>SUM(H27:H28)</f>
        <v>1</v>
      </c>
      <c r="I29" s="474">
        <f>SUM(I27:I28)</f>
        <v>1</v>
      </c>
      <c r="J29" s="474"/>
      <c r="K29" s="474">
        <f>SUM(K27:K28)</f>
        <v>0.99999697404289445</v>
      </c>
      <c r="L29" s="474">
        <f>SUM(L27:L28)</f>
        <v>0.9999983830844581</v>
      </c>
      <c r="M29" s="474">
        <f>SUM(M27:M28)</f>
        <v>1.000000474473409</v>
      </c>
      <c r="N29" s="474"/>
      <c r="O29" s="474">
        <f>SUM(O27:O28)</f>
        <v>1</v>
      </c>
      <c r="P29" s="474"/>
      <c r="Q29" s="474"/>
      <c r="R29" s="474"/>
      <c r="S29" s="474">
        <f>SUM(S27:S28)</f>
        <v>0.99999837180456908</v>
      </c>
    </row>
    <row r="30" spans="2:256">
      <c r="B30" s="1"/>
      <c r="C30" s="1"/>
      <c r="D30" s="1"/>
      <c r="E30" s="1"/>
      <c r="F30" s="1"/>
      <c r="G30" s="1"/>
      <c r="H30" s="1"/>
      <c r="I30" s="1"/>
      <c r="J30" s="1"/>
      <c r="K30" s="1"/>
      <c r="L30" s="1"/>
      <c r="M30" s="1"/>
      <c r="N30" s="1"/>
      <c r="O30" s="1"/>
      <c r="P30" s="1"/>
      <c r="Q30" s="1"/>
      <c r="R30" s="1"/>
      <c r="S30" s="1"/>
    </row>
    <row r="31" spans="2:256" s="1" customFormat="1">
      <c r="B31" s="16" t="s">
        <v>407</v>
      </c>
      <c r="C31" s="16"/>
      <c r="D31" s="16"/>
      <c r="E31" s="16"/>
      <c r="F31" s="395"/>
      <c r="G31" s="16"/>
      <c r="H31" s="16"/>
      <c r="I31" s="16"/>
      <c r="J31" s="16"/>
      <c r="K31" s="16"/>
      <c r="L31" s="16"/>
      <c r="M31" s="16"/>
      <c r="N31" s="5"/>
      <c r="O31" s="16"/>
      <c r="P31" s="16"/>
      <c r="Q31" s="16"/>
      <c r="R31" s="16"/>
      <c r="S31" s="16"/>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c r="CH31"/>
      <c r="CI31"/>
      <c r="CJ31"/>
      <c r="CK31"/>
      <c r="CL31"/>
      <c r="CM31"/>
      <c r="CN31"/>
      <c r="CO31"/>
      <c r="CP31"/>
      <c r="CQ31"/>
      <c r="CR31"/>
      <c r="CS31"/>
      <c r="CT31"/>
      <c r="CU31"/>
      <c r="CV31"/>
      <c r="CW31"/>
      <c r="CX31"/>
      <c r="CY31"/>
      <c r="CZ31"/>
      <c r="DA31"/>
      <c r="DB31"/>
      <c r="DC31"/>
      <c r="DD31"/>
      <c r="DE31"/>
      <c r="DF31"/>
      <c r="DG31"/>
      <c r="DH31"/>
      <c r="DI31"/>
      <c r="DJ31"/>
      <c r="DK31"/>
      <c r="DL31"/>
      <c r="DM31"/>
      <c r="DN31"/>
      <c r="DO31"/>
      <c r="DP31"/>
      <c r="DQ31"/>
      <c r="DR31"/>
      <c r="DS31"/>
      <c r="DT31"/>
      <c r="DU31"/>
      <c r="DV31"/>
      <c r="DW31"/>
      <c r="DX31"/>
      <c r="DY31"/>
      <c r="DZ31"/>
      <c r="EA31"/>
      <c r="EB31"/>
      <c r="EC31"/>
      <c r="ED31"/>
      <c r="EE31"/>
      <c r="EF31"/>
      <c r="EG31"/>
      <c r="EH31"/>
      <c r="EI31"/>
      <c r="EJ31"/>
      <c r="EK31"/>
      <c r="EL31"/>
      <c r="EM31"/>
      <c r="EN31"/>
      <c r="EO31"/>
      <c r="EP31"/>
      <c r="EQ31"/>
      <c r="ER31"/>
      <c r="ES31"/>
      <c r="ET31"/>
      <c r="EU31"/>
      <c r="EV31"/>
      <c r="EW31"/>
      <c r="EX31"/>
      <c r="EY31"/>
      <c r="EZ31"/>
      <c r="FA31"/>
      <c r="FB31"/>
      <c r="FC31"/>
      <c r="FD31"/>
      <c r="FE31"/>
      <c r="FF31"/>
      <c r="FG31"/>
      <c r="FH31"/>
      <c r="FI31"/>
      <c r="FJ31"/>
      <c r="FK31"/>
      <c r="FL31"/>
      <c r="FM31"/>
      <c r="FN31"/>
      <c r="FO31"/>
      <c r="FP31"/>
      <c r="FQ31"/>
      <c r="FR31"/>
      <c r="FS31"/>
      <c r="FT31"/>
      <c r="FU31"/>
      <c r="FV31"/>
      <c r="FW31"/>
      <c r="FX31"/>
      <c r="FY31"/>
      <c r="FZ31"/>
      <c r="GA31"/>
      <c r="GB31"/>
      <c r="GC31"/>
      <c r="GD31"/>
      <c r="GE31"/>
      <c r="GF31"/>
      <c r="GG31"/>
      <c r="GH31"/>
      <c r="GI31"/>
      <c r="GJ31"/>
      <c r="GK31"/>
      <c r="GL31"/>
      <c r="GM31"/>
      <c r="GN31"/>
      <c r="GO31"/>
      <c r="GP31"/>
      <c r="GQ31"/>
      <c r="GR31"/>
      <c r="GS31"/>
      <c r="GT31"/>
      <c r="GU31"/>
      <c r="GV31"/>
      <c r="GW31"/>
      <c r="GX31"/>
      <c r="GY31"/>
      <c r="GZ31"/>
      <c r="HA31"/>
      <c r="HB31"/>
      <c r="HC31"/>
      <c r="HD31"/>
      <c r="HE31"/>
      <c r="HF31"/>
      <c r="HG31"/>
      <c r="HH31"/>
      <c r="HI31"/>
      <c r="HJ31"/>
      <c r="HK31"/>
      <c r="HL31"/>
      <c r="HM31"/>
      <c r="HN31"/>
      <c r="HO31"/>
      <c r="HP31"/>
      <c r="HQ31"/>
      <c r="HR31"/>
      <c r="HS31"/>
      <c r="HT31"/>
      <c r="HU31"/>
      <c r="HV31"/>
      <c r="HW31"/>
      <c r="HX31"/>
      <c r="HY31"/>
      <c r="HZ31"/>
      <c r="IA31"/>
      <c r="IB31"/>
      <c r="IC31"/>
      <c r="ID31"/>
      <c r="IE31"/>
      <c r="IF31"/>
      <c r="IG31"/>
      <c r="IH31"/>
      <c r="II31"/>
      <c r="IJ31"/>
      <c r="IK31"/>
      <c r="IL31"/>
      <c r="IM31"/>
      <c r="IN31"/>
      <c r="IO31"/>
      <c r="IP31"/>
      <c r="IQ31"/>
      <c r="IR31"/>
      <c r="IS31"/>
      <c r="IT31"/>
      <c r="IU31"/>
      <c r="IV31"/>
    </row>
    <row r="32" spans="2:256">
      <c r="B32" s="1" t="s">
        <v>408</v>
      </c>
      <c r="C32" s="192"/>
      <c r="D32" s="192"/>
      <c r="E32" s="192"/>
      <c r="F32" s="307"/>
      <c r="G32" s="307">
        <v>0.47</v>
      </c>
      <c r="H32" s="307">
        <v>0.45</v>
      </c>
      <c r="I32" s="307">
        <v>0.48</v>
      </c>
      <c r="J32" s="307"/>
      <c r="K32" s="307">
        <v>0.47</v>
      </c>
      <c r="L32" s="307">
        <v>0.45</v>
      </c>
      <c r="M32" s="307">
        <v>0.46</v>
      </c>
      <c r="N32" s="307"/>
      <c r="O32" s="192"/>
      <c r="P32" s="307"/>
      <c r="Q32" s="307"/>
      <c r="R32" s="307"/>
      <c r="S32" s="473">
        <f>AVERAGE(H32:K32)</f>
        <v>0.46666666666666662</v>
      </c>
    </row>
    <row r="33" spans="2:19">
      <c r="B33" s="1" t="s">
        <v>409</v>
      </c>
      <c r="C33" s="192"/>
      <c r="D33" s="192"/>
      <c r="E33" s="192"/>
      <c r="F33" s="307"/>
      <c r="G33" s="307">
        <v>0.13</v>
      </c>
      <c r="H33" s="307">
        <v>0.14000000000000001</v>
      </c>
      <c r="I33" s="307">
        <v>0.13</v>
      </c>
      <c r="J33" s="307"/>
      <c r="K33" s="307">
        <v>0.14000000000000001</v>
      </c>
      <c r="L33" s="307">
        <v>0.15</v>
      </c>
      <c r="M33" s="307">
        <v>0.16</v>
      </c>
      <c r="N33" s="307"/>
      <c r="O33" s="192"/>
      <c r="P33" s="307"/>
      <c r="Q33" s="307"/>
      <c r="R33" s="307"/>
      <c r="S33" s="473">
        <f>AVERAGE(H33:K33)</f>
        <v>0.13666666666666669</v>
      </c>
    </row>
    <row r="34" spans="2:19">
      <c r="B34" s="1" t="s">
        <v>410</v>
      </c>
      <c r="C34" s="192"/>
      <c r="D34" s="192"/>
      <c r="E34" s="192"/>
      <c r="F34" s="307"/>
      <c r="G34" s="307">
        <v>0.4</v>
      </c>
      <c r="H34" s="307">
        <v>0.41</v>
      </c>
      <c r="I34" s="307">
        <v>0.39</v>
      </c>
      <c r="J34" s="307"/>
      <c r="K34" s="307">
        <v>0.39</v>
      </c>
      <c r="L34" s="307">
        <v>0.4</v>
      </c>
      <c r="M34" s="307">
        <v>0.38</v>
      </c>
      <c r="N34" s="307"/>
      <c r="O34" s="192"/>
      <c r="P34" s="307"/>
      <c r="Q34" s="307"/>
      <c r="R34" s="307"/>
      <c r="S34" s="473">
        <f>AVERAGE(H34:K34)</f>
        <v>0.39666666666666667</v>
      </c>
    </row>
    <row r="35" spans="2:19" s="411" customFormat="1">
      <c r="B35" s="5" t="s">
        <v>411</v>
      </c>
      <c r="C35" s="192"/>
      <c r="D35" s="192"/>
      <c r="E35" s="192"/>
      <c r="F35" s="5"/>
      <c r="G35" s="474">
        <f>SUM(G32:G34)</f>
        <v>1</v>
      </c>
      <c r="H35" s="474">
        <f>SUM(H32:H34)</f>
        <v>1</v>
      </c>
      <c r="I35" s="474">
        <f>SUM(I32:I34)</f>
        <v>1</v>
      </c>
      <c r="J35" s="53"/>
      <c r="K35" s="474">
        <f>SUM(K32:K34)</f>
        <v>1</v>
      </c>
      <c r="L35" s="474">
        <f>SUM(L32:L34)</f>
        <v>1</v>
      </c>
      <c r="M35" s="474">
        <f>SUM(M32:M34)</f>
        <v>1</v>
      </c>
      <c r="N35" s="53"/>
      <c r="O35" s="192"/>
      <c r="P35" s="474">
        <f>SUM(P32:P34)</f>
        <v>0</v>
      </c>
      <c r="Q35" s="474">
        <f>SUM(Q32:Q34)</f>
        <v>0</v>
      </c>
      <c r="R35" s="474">
        <f>SUM(R32:R34)</f>
        <v>0</v>
      </c>
      <c r="S35" s="474">
        <f>SUM(S32:S34)</f>
        <v>1</v>
      </c>
    </row>
    <row r="36" spans="2:19">
      <c r="B36" s="1"/>
      <c r="C36" s="24"/>
      <c r="D36" s="1"/>
      <c r="E36" s="1"/>
      <c r="F36" s="1"/>
      <c r="G36" s="1"/>
      <c r="H36" s="1"/>
      <c r="I36" s="1"/>
      <c r="J36" s="1"/>
      <c r="K36" s="1"/>
      <c r="L36" s="1"/>
      <c r="M36" s="1"/>
      <c r="N36" s="1"/>
      <c r="O36" s="1"/>
      <c r="P36" s="1"/>
      <c r="Q36" s="1"/>
      <c r="R36" s="1"/>
      <c r="S36" s="1"/>
    </row>
    <row r="37" spans="2:19">
      <c r="B37" s="16" t="s">
        <v>412</v>
      </c>
      <c r="C37" s="16"/>
      <c r="D37" s="16"/>
      <c r="E37" s="16"/>
      <c r="F37" s="395"/>
      <c r="G37" s="16"/>
      <c r="H37" s="16"/>
      <c r="I37" s="16"/>
      <c r="J37" s="16"/>
      <c r="K37" s="16"/>
      <c r="L37" s="16"/>
      <c r="M37" s="16"/>
      <c r="N37" s="5"/>
      <c r="O37" s="16"/>
      <c r="P37" s="16"/>
      <c r="Q37" s="16"/>
      <c r="R37" s="16"/>
      <c r="S37" s="16"/>
    </row>
    <row r="38" spans="2:19">
      <c r="B38" s="1" t="s">
        <v>413</v>
      </c>
      <c r="C38" s="192"/>
      <c r="D38" s="192"/>
      <c r="E38" s="192"/>
      <c r="F38" s="307"/>
      <c r="G38" s="307">
        <v>0.74</v>
      </c>
      <c r="H38" s="307">
        <v>0.72</v>
      </c>
      <c r="I38" s="307">
        <v>0.74</v>
      </c>
      <c r="J38" s="307"/>
      <c r="K38" s="307">
        <v>0.73</v>
      </c>
      <c r="L38" s="307">
        <v>0.71</v>
      </c>
      <c r="M38" s="307">
        <v>0.74</v>
      </c>
      <c r="N38" s="307"/>
      <c r="O38" s="192"/>
      <c r="P38" s="307"/>
      <c r="Q38" s="307"/>
      <c r="R38" s="307"/>
      <c r="S38" s="473">
        <f>AVERAGE(H38:K38)</f>
        <v>0.73</v>
      </c>
    </row>
    <row r="39" spans="2:19">
      <c r="B39" s="1" t="s">
        <v>414</v>
      </c>
      <c r="C39" s="192"/>
      <c r="D39" s="192"/>
      <c r="E39" s="192"/>
      <c r="F39" s="307"/>
      <c r="G39" s="307">
        <v>0.24</v>
      </c>
      <c r="H39" s="307">
        <v>0.26</v>
      </c>
      <c r="I39" s="307">
        <v>0.23</v>
      </c>
      <c r="J39" s="307"/>
      <c r="K39" s="307">
        <v>0.25</v>
      </c>
      <c r="L39" s="307">
        <v>0.27</v>
      </c>
      <c r="M39" s="307">
        <v>0.23</v>
      </c>
      <c r="N39" s="307"/>
      <c r="O39" s="192"/>
      <c r="P39" s="307"/>
      <c r="Q39" s="307"/>
      <c r="R39" s="307"/>
      <c r="S39" s="473">
        <f>AVERAGE(H39:K39)</f>
        <v>0.24666666666666667</v>
      </c>
    </row>
    <row r="40" spans="2:19">
      <c r="B40" s="1" t="s">
        <v>415</v>
      </c>
      <c r="C40" s="192"/>
      <c r="D40" s="192"/>
      <c r="E40" s="192"/>
      <c r="F40" s="307"/>
      <c r="G40" s="307">
        <v>0.02</v>
      </c>
      <c r="H40" s="307">
        <v>0.02</v>
      </c>
      <c r="I40" s="307">
        <v>0.03</v>
      </c>
      <c r="J40" s="307"/>
      <c r="K40" s="307">
        <v>0.02</v>
      </c>
      <c r="L40" s="307">
        <v>0.02</v>
      </c>
      <c r="M40" s="307">
        <v>0.03</v>
      </c>
      <c r="N40" s="307"/>
      <c r="O40" s="192"/>
      <c r="P40" s="307"/>
      <c r="Q40" s="307"/>
      <c r="R40" s="307"/>
      <c r="S40" s="473">
        <f>AVERAGE(H40:K40)</f>
        <v>2.3333333333333334E-2</v>
      </c>
    </row>
    <row r="41" spans="2:19">
      <c r="B41" s="5" t="s">
        <v>411</v>
      </c>
      <c r="C41" s="192"/>
      <c r="D41" s="192"/>
      <c r="E41" s="192"/>
      <c r="F41" s="5"/>
      <c r="G41" s="474">
        <f>SUM(G38:G40)</f>
        <v>1</v>
      </c>
      <c r="H41" s="474">
        <f>SUM(H38:H40)</f>
        <v>1</v>
      </c>
      <c r="I41" s="474">
        <f>SUM(I38:I40)</f>
        <v>1</v>
      </c>
      <c r="J41" s="53"/>
      <c r="K41" s="474">
        <f>SUM(K38:K40)</f>
        <v>1</v>
      </c>
      <c r="L41" s="474">
        <f>SUM(L38:L40)</f>
        <v>1</v>
      </c>
      <c r="M41" s="474">
        <f>SUM(M38:M40)</f>
        <v>1</v>
      </c>
      <c r="N41" s="53"/>
      <c r="O41" s="192"/>
      <c r="P41" s="474">
        <f>SUM(P38:P40)</f>
        <v>0</v>
      </c>
      <c r="Q41" s="474">
        <f>SUM(Q38:Q40)</f>
        <v>0</v>
      </c>
      <c r="R41" s="474">
        <f>SUM(R38:R40)</f>
        <v>0</v>
      </c>
      <c r="S41" s="474">
        <f>SUM(S38:S40)</f>
        <v>1</v>
      </c>
    </row>
    <row r="42" spans="2:19">
      <c r="B42" s="1"/>
      <c r="C42" s="1"/>
      <c r="D42" s="1"/>
      <c r="E42" s="1"/>
      <c r="F42" s="1"/>
      <c r="G42" s="1"/>
      <c r="H42" s="1"/>
      <c r="I42" s="1"/>
      <c r="J42" s="1"/>
      <c r="K42" s="1"/>
      <c r="L42" s="1"/>
      <c r="M42" s="1"/>
      <c r="N42" s="1"/>
      <c r="O42" s="1"/>
      <c r="P42" s="1"/>
      <c r="Q42" s="1"/>
      <c r="R42" s="1"/>
      <c r="S42" s="1"/>
    </row>
    <row r="43" spans="2:19">
      <c r="B43" s="16" t="s">
        <v>416</v>
      </c>
      <c r="C43" s="16"/>
      <c r="D43" s="16"/>
      <c r="E43" s="16"/>
      <c r="F43" s="395"/>
      <c r="G43" s="16"/>
      <c r="H43" s="16"/>
      <c r="I43" s="16"/>
      <c r="J43" s="16"/>
      <c r="K43" s="16"/>
      <c r="L43" s="16"/>
      <c r="M43" s="16"/>
      <c r="N43" s="5"/>
      <c r="O43" s="16"/>
      <c r="P43" s="16"/>
      <c r="Q43" s="16"/>
      <c r="R43" s="16"/>
      <c r="S43" s="16"/>
    </row>
    <row r="44" spans="2:19">
      <c r="B44" s="1" t="s">
        <v>417</v>
      </c>
      <c r="C44" s="192"/>
      <c r="D44" s="192"/>
      <c r="E44" s="192"/>
      <c r="F44" s="307"/>
      <c r="G44" s="307">
        <v>0.42</v>
      </c>
      <c r="H44" s="307">
        <v>0.41</v>
      </c>
      <c r="I44" s="307">
        <v>0.45</v>
      </c>
      <c r="J44" s="307"/>
      <c r="K44" s="307">
        <v>0.45</v>
      </c>
      <c r="L44" s="307">
        <v>0.44</v>
      </c>
      <c r="M44" s="307">
        <v>0.45</v>
      </c>
      <c r="N44" s="307"/>
      <c r="O44" s="192"/>
      <c r="P44" s="307"/>
      <c r="Q44" s="307"/>
      <c r="R44" s="307"/>
      <c r="S44" s="473">
        <f>AVERAGE(H44:K44)</f>
        <v>0.4366666666666667</v>
      </c>
    </row>
    <row r="45" spans="2:19">
      <c r="B45" s="1" t="s">
        <v>418</v>
      </c>
      <c r="C45" s="192"/>
      <c r="D45" s="192"/>
      <c r="E45" s="192"/>
      <c r="F45" s="307"/>
      <c r="G45" s="307">
        <v>0.24</v>
      </c>
      <c r="H45" s="307">
        <v>0.25</v>
      </c>
      <c r="I45" s="307">
        <v>0.23</v>
      </c>
      <c r="J45" s="307"/>
      <c r="K45" s="307">
        <v>0.25</v>
      </c>
      <c r="L45" s="307">
        <v>0.26</v>
      </c>
      <c r="M45" s="307">
        <v>0.23</v>
      </c>
      <c r="N45" s="307"/>
      <c r="O45" s="192"/>
      <c r="P45" s="307"/>
      <c r="Q45" s="307"/>
      <c r="R45" s="307"/>
      <c r="S45" s="473">
        <f>AVERAGE(H45:K45)</f>
        <v>0.24333333333333332</v>
      </c>
    </row>
    <row r="46" spans="2:19">
      <c r="B46" s="1" t="s">
        <v>419</v>
      </c>
      <c r="C46" s="192"/>
      <c r="D46" s="192"/>
      <c r="E46" s="192"/>
      <c r="F46" s="307"/>
      <c r="G46" s="307">
        <v>0.08</v>
      </c>
      <c r="H46" s="307">
        <v>7.0000000000000007E-2</v>
      </c>
      <c r="I46" s="307">
        <v>0.08</v>
      </c>
      <c r="J46" s="307"/>
      <c r="K46" s="307">
        <v>7.0000000000000007E-2</v>
      </c>
      <c r="L46" s="307">
        <v>7.0000000000000007E-2</v>
      </c>
      <c r="M46" s="307">
        <v>0.08</v>
      </c>
      <c r="N46" s="307"/>
      <c r="O46" s="192"/>
      <c r="P46" s="307"/>
      <c r="Q46" s="307"/>
      <c r="R46" s="307"/>
      <c r="S46" s="473">
        <f>AVERAGE(H46:K46)</f>
        <v>7.3333333333333348E-2</v>
      </c>
    </row>
    <row r="47" spans="2:19">
      <c r="B47" s="1" t="s">
        <v>420</v>
      </c>
      <c r="C47" s="192"/>
      <c r="D47" s="192"/>
      <c r="E47" s="192"/>
      <c r="F47" s="5"/>
      <c r="G47" s="307">
        <v>0.06</v>
      </c>
      <c r="H47" s="307">
        <v>0.06</v>
      </c>
      <c r="I47" s="307">
        <v>0.05</v>
      </c>
      <c r="J47" s="307"/>
      <c r="K47" s="307">
        <v>0.05</v>
      </c>
      <c r="L47" s="307">
        <v>0.05</v>
      </c>
      <c r="M47" s="307">
        <v>0.06</v>
      </c>
      <c r="N47" s="53"/>
      <c r="O47" s="192"/>
      <c r="P47" s="474">
        <f>SUM(P44:P46)</f>
        <v>0</v>
      </c>
      <c r="Q47" s="474">
        <f>SUM(Q44:Q46)</f>
        <v>0</v>
      </c>
      <c r="R47" s="474">
        <f>SUM(R44:R46)</f>
        <v>0</v>
      </c>
      <c r="S47" s="473">
        <f t="shared" ref="S47:S54" si="0">AVERAGE(H47:K47)</f>
        <v>5.3333333333333337E-2</v>
      </c>
    </row>
    <row r="48" spans="2:19">
      <c r="B48" s="1" t="s">
        <v>421</v>
      </c>
      <c r="C48" s="192"/>
      <c r="D48" s="192"/>
      <c r="E48" s="192"/>
      <c r="F48" s="1"/>
      <c r="G48" s="307">
        <v>0.05</v>
      </c>
      <c r="H48" s="307">
        <v>0.05</v>
      </c>
      <c r="I48" s="307">
        <v>0.05</v>
      </c>
      <c r="J48" s="307"/>
      <c r="K48" s="307">
        <v>0.05</v>
      </c>
      <c r="L48" s="307">
        <v>0.05</v>
      </c>
      <c r="M48" s="307">
        <v>0.05</v>
      </c>
      <c r="N48" s="1"/>
      <c r="O48" s="192"/>
      <c r="P48" s="1"/>
      <c r="Q48" s="1"/>
      <c r="R48" s="1"/>
      <c r="S48" s="473">
        <f t="shared" si="0"/>
        <v>5.000000000000001E-2</v>
      </c>
    </row>
    <row r="49" spans="2:19">
      <c r="B49" s="1" t="s">
        <v>422</v>
      </c>
      <c r="C49" s="192"/>
      <c r="D49" s="192"/>
      <c r="E49" s="192"/>
      <c r="F49" s="1"/>
      <c r="G49" s="307">
        <v>0.03</v>
      </c>
      <c r="H49" s="307">
        <v>0.04</v>
      </c>
      <c r="I49" s="307">
        <v>0.03</v>
      </c>
      <c r="J49" s="307"/>
      <c r="K49" s="307">
        <v>0.04</v>
      </c>
      <c r="L49" s="307">
        <v>0.04</v>
      </c>
      <c r="M49" s="307">
        <v>0.03</v>
      </c>
      <c r="N49" s="1"/>
      <c r="O49" s="192"/>
      <c r="P49" s="1"/>
      <c r="Q49" s="1"/>
      <c r="R49" s="1"/>
      <c r="S49" s="473">
        <f t="shared" si="0"/>
        <v>3.6666666666666674E-2</v>
      </c>
    </row>
    <row r="50" spans="2:19">
      <c r="B50" s="1" t="s">
        <v>423</v>
      </c>
      <c r="C50" s="192"/>
      <c r="D50" s="192"/>
      <c r="E50" s="192"/>
      <c r="F50" s="1"/>
      <c r="G50" s="307">
        <v>0.03</v>
      </c>
      <c r="H50" s="307">
        <v>0.03</v>
      </c>
      <c r="I50" s="307">
        <v>0.03</v>
      </c>
      <c r="J50" s="307"/>
      <c r="K50" s="307">
        <v>0.02</v>
      </c>
      <c r="L50" s="307">
        <v>0.02</v>
      </c>
      <c r="M50" s="307">
        <v>0.02</v>
      </c>
      <c r="N50" s="1"/>
      <c r="O50" s="192"/>
      <c r="P50" s="1"/>
      <c r="Q50" s="1"/>
      <c r="R50" s="1"/>
      <c r="S50" s="473">
        <f t="shared" si="0"/>
        <v>2.6666666666666668E-2</v>
      </c>
    </row>
    <row r="51" spans="2:19">
      <c r="B51" s="1" t="s">
        <v>424</v>
      </c>
      <c r="C51" s="192"/>
      <c r="D51" s="192"/>
      <c r="E51" s="192"/>
      <c r="F51" s="1"/>
      <c r="G51" s="307">
        <v>0.01</v>
      </c>
      <c r="H51" s="307">
        <v>0.02</v>
      </c>
      <c r="I51" s="307">
        <v>0.02</v>
      </c>
      <c r="J51" s="307"/>
      <c r="K51" s="307">
        <v>0.01</v>
      </c>
      <c r="L51" s="307">
        <v>0.01</v>
      </c>
      <c r="M51" s="307">
        <v>0.02</v>
      </c>
      <c r="N51" s="1"/>
      <c r="O51" s="192"/>
      <c r="P51" s="1"/>
      <c r="Q51" s="1"/>
      <c r="R51" s="1"/>
      <c r="S51" s="473">
        <f t="shared" si="0"/>
        <v>1.6666666666666666E-2</v>
      </c>
    </row>
    <row r="52" spans="2:19">
      <c r="B52" s="1" t="s">
        <v>425</v>
      </c>
      <c r="C52" s="192"/>
      <c r="D52" s="192"/>
      <c r="E52" s="192"/>
      <c r="F52" s="1"/>
      <c r="G52" s="307">
        <v>0.01</v>
      </c>
      <c r="H52" s="307">
        <v>0.01</v>
      </c>
      <c r="I52" s="307">
        <v>0.01</v>
      </c>
      <c r="J52" s="307"/>
      <c r="K52" s="307">
        <v>0.01</v>
      </c>
      <c r="L52" s="307">
        <v>0.01</v>
      </c>
      <c r="M52" s="307">
        <v>0.01</v>
      </c>
      <c r="N52" s="1"/>
      <c r="O52" s="192"/>
      <c r="P52" s="1"/>
      <c r="Q52" s="1"/>
      <c r="R52" s="1"/>
      <c r="S52" s="473">
        <f t="shared" si="0"/>
        <v>0.01</v>
      </c>
    </row>
    <row r="53" spans="2:19">
      <c r="B53" s="1" t="s">
        <v>426</v>
      </c>
      <c r="C53" s="192"/>
      <c r="D53" s="192"/>
      <c r="E53" s="192"/>
      <c r="F53" s="1"/>
      <c r="G53" s="307">
        <v>0.01</v>
      </c>
      <c r="H53" s="307">
        <v>0.01</v>
      </c>
      <c r="I53" s="307">
        <v>0.01</v>
      </c>
      <c r="J53" s="307"/>
      <c r="K53" s="307">
        <v>0.01</v>
      </c>
      <c r="L53" s="307">
        <v>0.01</v>
      </c>
      <c r="M53" s="307">
        <v>0.01</v>
      </c>
      <c r="N53" s="1"/>
      <c r="O53" s="192"/>
      <c r="P53" s="1"/>
      <c r="Q53" s="1"/>
      <c r="R53" s="1"/>
      <c r="S53" s="473">
        <f t="shared" si="0"/>
        <v>0.01</v>
      </c>
    </row>
    <row r="54" spans="2:19">
      <c r="B54" s="1" t="s">
        <v>415</v>
      </c>
      <c r="C54" s="192"/>
      <c r="D54" s="192"/>
      <c r="E54" s="192"/>
      <c r="F54" s="1"/>
      <c r="G54" s="307">
        <v>0.06</v>
      </c>
      <c r="H54" s="307">
        <v>0.05</v>
      </c>
      <c r="I54" s="307">
        <v>0.04</v>
      </c>
      <c r="J54" s="307"/>
      <c r="K54" s="307">
        <v>0.04</v>
      </c>
      <c r="L54" s="307">
        <v>0.04</v>
      </c>
      <c r="M54" s="307">
        <v>0.04</v>
      </c>
      <c r="N54" s="1"/>
      <c r="O54" s="192"/>
      <c r="P54" s="1"/>
      <c r="Q54" s="1"/>
      <c r="R54" s="1"/>
      <c r="S54" s="473">
        <f t="shared" si="0"/>
        <v>4.3333333333333335E-2</v>
      </c>
    </row>
    <row r="55" spans="2:19">
      <c r="B55" s="5" t="s">
        <v>411</v>
      </c>
      <c r="C55" s="192"/>
      <c r="D55" s="192"/>
      <c r="E55" s="192"/>
      <c r="F55" s="5"/>
      <c r="G55" s="474">
        <f t="shared" ref="G55:L55" si="1">SUM(G44:G54)</f>
        <v>1</v>
      </c>
      <c r="H55" s="474">
        <f t="shared" si="1"/>
        <v>1.0000000000000002</v>
      </c>
      <c r="I55" s="474">
        <f t="shared" si="1"/>
        <v>1.0000000000000002</v>
      </c>
      <c r="J55" s="474">
        <f t="shared" si="1"/>
        <v>0</v>
      </c>
      <c r="K55" s="474">
        <f t="shared" si="1"/>
        <v>1.0000000000000002</v>
      </c>
      <c r="L55" s="474">
        <f t="shared" si="1"/>
        <v>1.0000000000000002</v>
      </c>
      <c r="M55" s="474">
        <f>SUM(M44:M54)</f>
        <v>1.0000000000000002</v>
      </c>
      <c r="N55" s="53"/>
      <c r="O55" s="192"/>
      <c r="P55" s="474">
        <f>SUM(P52:P54)</f>
        <v>0</v>
      </c>
      <c r="Q55" s="474">
        <f>SUM(Q52:Q54)</f>
        <v>0</v>
      </c>
      <c r="R55" s="474">
        <f>SUM(R52:R54)</f>
        <v>0</v>
      </c>
      <c r="S55" s="474">
        <f>SUM(S44:S54)</f>
        <v>1</v>
      </c>
    </row>
    <row r="56" spans="2:19">
      <c r="B56" s="1"/>
      <c r="C56" s="1"/>
      <c r="D56" s="1"/>
      <c r="E56" s="1"/>
      <c r="F56" s="1"/>
      <c r="G56" s="1"/>
      <c r="H56" s="1"/>
      <c r="I56" s="1"/>
      <c r="J56" s="1"/>
      <c r="K56" s="1"/>
      <c r="L56" s="1"/>
      <c r="M56" s="1"/>
      <c r="N56" s="1"/>
      <c r="O56" s="1"/>
      <c r="P56" s="1"/>
      <c r="Q56" s="1"/>
      <c r="R56" s="1"/>
      <c r="S56" s="1"/>
    </row>
    <row r="57" spans="2:19">
      <c r="B57" s="16" t="s">
        <v>427</v>
      </c>
      <c r="C57" s="16"/>
      <c r="D57" s="16"/>
      <c r="E57" s="16"/>
      <c r="F57" s="395"/>
      <c r="G57" s="16"/>
      <c r="H57" s="16"/>
      <c r="I57" s="16"/>
      <c r="J57" s="16"/>
      <c r="K57" s="16"/>
      <c r="L57" s="16"/>
      <c r="M57" s="16"/>
      <c r="N57" s="5"/>
      <c r="O57" s="16"/>
      <c r="P57" s="16"/>
      <c r="Q57" s="16"/>
      <c r="R57" s="16"/>
      <c r="S57" s="16"/>
    </row>
    <row r="58" spans="2:19">
      <c r="B58" s="1" t="s">
        <v>408</v>
      </c>
      <c r="C58" s="192"/>
      <c r="D58" s="192"/>
      <c r="E58" s="192"/>
      <c r="F58" s="307"/>
      <c r="G58" s="307">
        <v>0.12</v>
      </c>
      <c r="H58" s="307">
        <v>0.09</v>
      </c>
      <c r="I58" s="307">
        <v>0.01</v>
      </c>
      <c r="J58" s="307"/>
      <c r="K58" s="307">
        <v>0.11</v>
      </c>
      <c r="L58" s="307">
        <v>0.05</v>
      </c>
      <c r="M58" s="307">
        <v>0.02</v>
      </c>
      <c r="N58" s="307"/>
      <c r="O58" s="192"/>
      <c r="P58" s="307"/>
      <c r="Q58" s="307"/>
      <c r="R58" s="307"/>
      <c r="S58" s="473">
        <f>AVERAGE(H58:K58)</f>
        <v>6.9999999999999993E-2</v>
      </c>
    </row>
    <row r="59" spans="2:19">
      <c r="B59" s="1" t="s">
        <v>409</v>
      </c>
      <c r="C59" s="192"/>
      <c r="D59" s="192"/>
      <c r="E59" s="192"/>
      <c r="F59" s="307"/>
      <c r="G59" s="307">
        <v>0.12</v>
      </c>
      <c r="H59" s="307">
        <v>0.16</v>
      </c>
      <c r="I59" s="307">
        <v>0.14000000000000001</v>
      </c>
      <c r="J59" s="307"/>
      <c r="K59" s="307">
        <v>0.18</v>
      </c>
      <c r="L59" s="307">
        <v>0.18</v>
      </c>
      <c r="M59" s="307">
        <v>0.19</v>
      </c>
      <c r="N59" s="307"/>
      <c r="O59" s="192"/>
      <c r="P59" s="307"/>
      <c r="Q59" s="307"/>
      <c r="R59" s="307"/>
      <c r="S59" s="473">
        <f>AVERAGE(H59:K59)</f>
        <v>0.16</v>
      </c>
    </row>
    <row r="60" spans="2:19">
      <c r="B60" s="1" t="s">
        <v>410</v>
      </c>
      <c r="C60" s="192"/>
      <c r="D60" s="192"/>
      <c r="E60" s="192"/>
      <c r="F60" s="307"/>
      <c r="G60" s="307">
        <v>0.76</v>
      </c>
      <c r="H60" s="307">
        <v>0.75</v>
      </c>
      <c r="I60" s="307">
        <v>0.85</v>
      </c>
      <c r="J60" s="307"/>
      <c r="K60" s="307">
        <v>0.71</v>
      </c>
      <c r="L60" s="307">
        <v>0.77</v>
      </c>
      <c r="M60" s="307">
        <v>0.79</v>
      </c>
      <c r="N60" s="307"/>
      <c r="O60" s="192"/>
      <c r="P60" s="307"/>
      <c r="Q60" s="307"/>
      <c r="R60" s="307"/>
      <c r="S60" s="473">
        <f>AVERAGE(H60:K60)</f>
        <v>0.77</v>
      </c>
    </row>
    <row r="61" spans="2:19">
      <c r="B61" s="5" t="s">
        <v>411</v>
      </c>
      <c r="C61" s="192"/>
      <c r="D61" s="192"/>
      <c r="E61" s="192"/>
      <c r="F61" s="5"/>
      <c r="G61" s="474">
        <f>SUM(G58:G60)</f>
        <v>1</v>
      </c>
      <c r="H61" s="474">
        <f>SUM(H58:H60)</f>
        <v>1</v>
      </c>
      <c r="I61" s="474">
        <f>SUM(I58:I60)</f>
        <v>1</v>
      </c>
      <c r="J61" s="53"/>
      <c r="K61" s="474">
        <f>SUM(K58:K60)</f>
        <v>1</v>
      </c>
      <c r="L61" s="474">
        <f>SUM(L58:L60)</f>
        <v>1</v>
      </c>
      <c r="M61" s="474">
        <f>SUM(M58:M60)</f>
        <v>1</v>
      </c>
      <c r="N61" s="53"/>
      <c r="O61" s="192"/>
      <c r="P61" s="474">
        <f>SUM(P58:P60)</f>
        <v>0</v>
      </c>
      <c r="Q61" s="474">
        <f>SUM(Q58:Q60)</f>
        <v>0</v>
      </c>
      <c r="R61" s="474">
        <f>SUM(R58:R60)</f>
        <v>0</v>
      </c>
      <c r="S61" s="474">
        <f>SUM(S58:S60)</f>
        <v>1</v>
      </c>
    </row>
    <row r="62" spans="2:19">
      <c r="B62" s="1"/>
      <c r="C62" s="1"/>
      <c r="D62" s="1"/>
      <c r="E62" s="1"/>
      <c r="F62" s="1"/>
      <c r="G62" s="1"/>
      <c r="H62" s="1"/>
      <c r="I62" s="1"/>
      <c r="J62" s="1"/>
      <c r="K62" s="1"/>
      <c r="L62" s="1"/>
      <c r="M62" s="1"/>
      <c r="N62" s="1"/>
      <c r="O62" s="1"/>
      <c r="P62" s="1"/>
      <c r="Q62" s="1"/>
      <c r="R62" s="1"/>
      <c r="S62" s="1"/>
    </row>
    <row r="63" spans="2:19">
      <c r="B63" s="16" t="s">
        <v>428</v>
      </c>
      <c r="C63" s="16"/>
      <c r="D63" s="16"/>
      <c r="E63" s="16"/>
      <c r="F63" s="395"/>
      <c r="G63" s="16"/>
      <c r="H63" s="16"/>
      <c r="I63" s="16"/>
      <c r="J63" s="16"/>
      <c r="K63" s="16"/>
      <c r="L63" s="16"/>
      <c r="M63" s="16"/>
      <c r="N63" s="5"/>
      <c r="O63" s="16"/>
      <c r="P63" s="16"/>
      <c r="Q63" s="16"/>
      <c r="R63" s="16"/>
      <c r="S63" s="16"/>
    </row>
    <row r="64" spans="2:19" s="411" customFormat="1">
      <c r="B64" s="5" t="s">
        <v>429</v>
      </c>
      <c r="C64" s="53"/>
      <c r="D64" s="53"/>
      <c r="E64" s="53"/>
      <c r="F64" s="5"/>
      <c r="G64" s="53"/>
      <c r="H64" s="53"/>
      <c r="I64" s="53"/>
      <c r="J64" s="53"/>
      <c r="K64" s="53"/>
      <c r="L64" s="53"/>
      <c r="M64" s="53"/>
      <c r="N64" s="53"/>
      <c r="O64" s="53"/>
      <c r="P64" s="53"/>
      <c r="Q64" s="53"/>
      <c r="R64" s="53"/>
      <c r="S64" s="53"/>
    </row>
    <row r="65" spans="2:19">
      <c r="B65" s="1" t="s">
        <v>399</v>
      </c>
      <c r="C65" s="308">
        <v>60411.360000000001</v>
      </c>
      <c r="D65" s="308">
        <v>71115.997000000003</v>
      </c>
      <c r="E65" s="24">
        <f>D65+M65-I65</f>
        <v>70633.313000000009</v>
      </c>
      <c r="F65" s="1"/>
      <c r="G65" s="308">
        <v>16286.481</v>
      </c>
      <c r="H65" s="475">
        <f>C65-O65</f>
        <v>16978.239000000001</v>
      </c>
      <c r="I65" s="308">
        <v>17311.507000000001</v>
      </c>
      <c r="J65" s="308"/>
      <c r="K65" s="308">
        <v>18404.859</v>
      </c>
      <c r="L65" s="475">
        <f>D65-S65</f>
        <v>18290.634000000005</v>
      </c>
      <c r="M65" s="308">
        <v>16828.823</v>
      </c>
      <c r="N65" s="1"/>
      <c r="O65" s="308">
        <v>43433.120999999999</v>
      </c>
      <c r="P65" s="308"/>
      <c r="Q65" s="308"/>
      <c r="R65" s="308"/>
      <c r="S65" s="308">
        <v>52825.362999999998</v>
      </c>
    </row>
    <row r="66" spans="2:19" s="46" customFormat="1">
      <c r="B66" s="19" t="s">
        <v>59</v>
      </c>
      <c r="C66" s="99"/>
      <c r="D66" s="99">
        <f>D65/C65-1</f>
        <v>0.17719576251883762</v>
      </c>
      <c r="E66" s="99"/>
      <c r="F66" s="302"/>
      <c r="G66" s="99"/>
      <c r="H66" s="99"/>
      <c r="I66" s="99"/>
      <c r="J66" s="99"/>
      <c r="K66" s="99">
        <f>K65/G65-1</f>
        <v>0.13006971855982896</v>
      </c>
      <c r="L66" s="99">
        <f>L65/H65-1</f>
        <v>7.7298652704794968E-2</v>
      </c>
      <c r="M66" s="99">
        <f>M65/I65-1</f>
        <v>-2.7882263514089289E-2</v>
      </c>
      <c r="O66" s="99"/>
      <c r="P66" s="99"/>
      <c r="Q66" s="99"/>
      <c r="R66" s="99"/>
      <c r="S66" s="99">
        <f>S65/O65-1</f>
        <v>0.21624607635265258</v>
      </c>
    </row>
    <row r="67" spans="2:19">
      <c r="B67" s="1" t="s">
        <v>430</v>
      </c>
      <c r="C67" s="308">
        <v>6510.0929999999998</v>
      </c>
      <c r="D67" s="308">
        <v>5995.4489999999996</v>
      </c>
      <c r="E67" s="24">
        <f>D67+M67-I67</f>
        <v>5789.4369999999999</v>
      </c>
      <c r="F67" s="1"/>
      <c r="G67" s="308">
        <v>1706.2460000000001</v>
      </c>
      <c r="H67" s="475">
        <f>C67-O67</f>
        <v>1710.2550000000001</v>
      </c>
      <c r="I67" s="308">
        <v>1743.173</v>
      </c>
      <c r="J67" s="308"/>
      <c r="K67" s="308">
        <v>1418.7719999999999</v>
      </c>
      <c r="L67" s="475">
        <f>D67-S67</f>
        <v>1461.3949999999995</v>
      </c>
      <c r="M67" s="308">
        <v>1537.1610000000001</v>
      </c>
      <c r="N67" s="1"/>
      <c r="O67" s="308">
        <v>4799.8379999999997</v>
      </c>
      <c r="P67" s="308"/>
      <c r="Q67" s="308"/>
      <c r="R67" s="308"/>
      <c r="S67" s="308">
        <v>4534.0540000000001</v>
      </c>
    </row>
    <row r="68" spans="2:19" s="46" customFormat="1">
      <c r="B68" s="19" t="s">
        <v>59</v>
      </c>
      <c r="C68" s="99"/>
      <c r="D68" s="99">
        <f>D67/C67-1</f>
        <v>-7.9053248548062283E-2</v>
      </c>
      <c r="E68" s="99"/>
      <c r="F68" s="302"/>
      <c r="G68" s="99"/>
      <c r="H68" s="99"/>
      <c r="I68" s="99"/>
      <c r="J68" s="99"/>
      <c r="K68" s="99">
        <f>K67/G67-1</f>
        <v>-0.16848332538215482</v>
      </c>
      <c r="L68" s="99">
        <f>L67/H67-1</f>
        <v>-0.14551046481372698</v>
      </c>
      <c r="M68" s="99">
        <f>M67/I67-1</f>
        <v>-0.11818218845748529</v>
      </c>
      <c r="O68" s="99"/>
      <c r="P68" s="99"/>
      <c r="Q68" s="99"/>
      <c r="R68" s="99"/>
      <c r="S68" s="99">
        <f>S67/O67-1</f>
        <v>-5.5373535523490558E-2</v>
      </c>
    </row>
    <row r="69" spans="2:19">
      <c r="B69" s="5" t="s">
        <v>431</v>
      </c>
      <c r="C69" s="53">
        <f>SUM(C65:C67)</f>
        <v>66921.452999999994</v>
      </c>
      <c r="D69" s="53">
        <f>SUM(D65:D67)</f>
        <v>77111.623195762513</v>
      </c>
      <c r="E69" s="53">
        <f>SUM(E65:E67)</f>
        <v>76422.750000000015</v>
      </c>
      <c r="F69" s="5"/>
      <c r="G69" s="53">
        <f>SUM(G65:G67)</f>
        <v>17992.726999999999</v>
      </c>
      <c r="H69" s="53">
        <f>SUM(H65:H67)</f>
        <v>18688.494000000002</v>
      </c>
      <c r="I69" s="53">
        <f>SUM(I65:I67)</f>
        <v>19054.68</v>
      </c>
      <c r="J69" s="53"/>
      <c r="K69" s="53">
        <f>SUM(K65:K67)</f>
        <v>19823.761069718563</v>
      </c>
      <c r="L69" s="53">
        <f>SUM(L65:L67)</f>
        <v>19752.10629865271</v>
      </c>
      <c r="M69" s="53">
        <f>SUM(M65:M67)</f>
        <v>18365.956117736485</v>
      </c>
      <c r="N69" s="53"/>
      <c r="O69" s="53">
        <f>SUM(O65:O67)</f>
        <v>48232.959000000003</v>
      </c>
      <c r="P69" s="53"/>
      <c r="Q69" s="53"/>
      <c r="R69" s="53"/>
      <c r="S69" s="53">
        <f>SUM(S65:S67)</f>
        <v>57359.633246076351</v>
      </c>
    </row>
    <row r="70" spans="2:19">
      <c r="B70" s="1"/>
      <c r="C70" s="24"/>
      <c r="D70" s="1"/>
      <c r="E70" s="1"/>
      <c r="F70" s="1"/>
      <c r="G70" s="1"/>
      <c r="H70" s="1"/>
      <c r="I70" s="1"/>
      <c r="J70" s="1"/>
      <c r="K70" s="1"/>
      <c r="L70" s="1"/>
      <c r="M70" s="1"/>
      <c r="N70" s="1"/>
      <c r="O70" s="1"/>
      <c r="P70" s="1"/>
      <c r="Q70" s="1"/>
      <c r="R70" s="1"/>
      <c r="S70" s="1"/>
    </row>
    <row r="71" spans="2:19">
      <c r="B71" s="1" t="s">
        <v>402</v>
      </c>
      <c r="C71" s="473">
        <f>C65/C69</f>
        <v>0.90272038773575347</v>
      </c>
      <c r="D71" s="473">
        <f>D65/D69</f>
        <v>0.92224743887777494</v>
      </c>
      <c r="E71" s="473">
        <f>E65/E69</f>
        <v>0.92424458685404542</v>
      </c>
      <c r="F71" s="473"/>
      <c r="G71" s="473">
        <f>G65/G69</f>
        <v>0.90517023906381733</v>
      </c>
      <c r="H71" s="473">
        <f>H65/H69</f>
        <v>0.90848620546952574</v>
      </c>
      <c r="I71" s="473">
        <f>I65/I69</f>
        <v>0.90851733012572244</v>
      </c>
      <c r="J71" s="473"/>
      <c r="K71" s="473">
        <f>K65/K69</f>
        <v>0.92842417416511436</v>
      </c>
      <c r="L71" s="473">
        <f>L65/L69</f>
        <v>0.92600929356316841</v>
      </c>
      <c r="M71" s="473">
        <f>M65/M69</f>
        <v>0.91630530379782216</v>
      </c>
      <c r="N71" s="473"/>
      <c r="O71" s="473">
        <f>O65/O69</f>
        <v>0.90048634586155074</v>
      </c>
      <c r="P71" s="473"/>
      <c r="Q71" s="473"/>
      <c r="R71" s="473"/>
      <c r="S71" s="473">
        <f>S65/S69</f>
        <v>0.92095015275596248</v>
      </c>
    </row>
    <row r="72" spans="2:19">
      <c r="B72" s="1" t="s">
        <v>403</v>
      </c>
      <c r="C72" s="473">
        <f>C67/C69</f>
        <v>9.727961226424657E-2</v>
      </c>
      <c r="D72" s="473">
        <f>D67/D69</f>
        <v>7.7750263209729262E-2</v>
      </c>
      <c r="E72" s="473">
        <f>E67/E69</f>
        <v>7.5755413145954562E-2</v>
      </c>
      <c r="F72" s="473"/>
      <c r="G72" s="473">
        <f>G67/G69</f>
        <v>9.4829760936182728E-2</v>
      </c>
      <c r="H72" s="473">
        <f>H67/H69</f>
        <v>9.1513794530474202E-2</v>
      </c>
      <c r="I72" s="473">
        <f>I67/I69</f>
        <v>9.1482669874277597E-2</v>
      </c>
      <c r="J72" s="473"/>
      <c r="K72" s="473">
        <f>K67/K69</f>
        <v>7.1569264531099505E-2</v>
      </c>
      <c r="L72" s="473">
        <f>L67/L69</f>
        <v>7.3986792998358919E-2</v>
      </c>
      <c r="M72" s="473">
        <f>M67/M69</f>
        <v>8.369621435148282E-2</v>
      </c>
      <c r="N72" s="473"/>
      <c r="O72" s="473">
        <f>O67/O69</f>
        <v>9.9513654138449176E-2</v>
      </c>
      <c r="P72" s="473"/>
      <c r="Q72" s="473"/>
      <c r="R72" s="473"/>
      <c r="S72" s="473">
        <f>S67/S69</f>
        <v>7.9046077239521909E-2</v>
      </c>
    </row>
    <row r="73" spans="2:19">
      <c r="B73" s="5" t="s">
        <v>404</v>
      </c>
      <c r="C73" s="474">
        <f>SUM(C71:C72)</f>
        <v>1</v>
      </c>
      <c r="D73" s="474">
        <f>SUM(D71:D72)</f>
        <v>0.99999770208750416</v>
      </c>
      <c r="E73" s="474">
        <f>SUM(E71:E72)</f>
        <v>1</v>
      </c>
      <c r="F73" s="474"/>
      <c r="G73" s="474">
        <f>SUM(G71:G72)</f>
        <v>1</v>
      </c>
      <c r="H73" s="474">
        <f>SUM(H71:H72)</f>
        <v>1</v>
      </c>
      <c r="I73" s="474">
        <f>SUM(I71:I72)</f>
        <v>1</v>
      </c>
      <c r="J73" s="474"/>
      <c r="K73" s="474">
        <f>SUM(K71:K72)</f>
        <v>0.99999343869621382</v>
      </c>
      <c r="L73" s="474">
        <f>SUM(L71:L72)</f>
        <v>0.99999608656152739</v>
      </c>
      <c r="M73" s="474">
        <f>SUM(M71:M72)</f>
        <v>1.0000015181493049</v>
      </c>
      <c r="N73" s="474"/>
      <c r="O73" s="474">
        <f>SUM(O71:O72)</f>
        <v>0.99999999999999989</v>
      </c>
      <c r="P73" s="474"/>
      <c r="Q73" s="474"/>
      <c r="R73" s="474"/>
      <c r="S73" s="474">
        <f>SUM(S71:S72)</f>
        <v>0.99999622999548443</v>
      </c>
    </row>
    <row r="74" spans="2:19">
      <c r="B74" s="1"/>
      <c r="C74" s="1"/>
      <c r="D74" s="1"/>
      <c r="E74" s="1"/>
      <c r="F74" s="1"/>
      <c r="G74" s="1"/>
      <c r="H74" s="1"/>
      <c r="I74" s="1"/>
      <c r="J74" s="1"/>
      <c r="K74" s="1"/>
      <c r="L74" s="1"/>
      <c r="M74" s="1"/>
      <c r="N74" s="1"/>
      <c r="O74" s="1"/>
      <c r="P74" s="1"/>
      <c r="Q74" s="1"/>
      <c r="R74" s="1"/>
      <c r="S74" s="1"/>
    </row>
    <row r="75" spans="2:19">
      <c r="B75" s="5" t="s">
        <v>432</v>
      </c>
      <c r="C75" s="53"/>
      <c r="D75" s="53"/>
      <c r="E75" s="53"/>
      <c r="F75" s="5"/>
      <c r="G75" s="53"/>
      <c r="H75" s="53"/>
      <c r="I75" s="53"/>
      <c r="J75" s="53"/>
      <c r="K75" s="53"/>
      <c r="L75" s="53"/>
      <c r="M75" s="53"/>
      <c r="N75" s="53"/>
      <c r="O75" s="53"/>
      <c r="P75" s="53"/>
      <c r="Q75" s="53"/>
      <c r="R75" s="53"/>
      <c r="S75" s="53"/>
    </row>
    <row r="76" spans="2:19">
      <c r="B76" s="1" t="s">
        <v>399</v>
      </c>
      <c r="C76" s="308">
        <v>8532.2240000000002</v>
      </c>
      <c r="D76" s="308">
        <v>9200.1029999999992</v>
      </c>
      <c r="E76" s="24">
        <f>D76+M76-I76</f>
        <v>9253.4759999999987</v>
      </c>
      <c r="F76" s="1"/>
      <c r="G76" s="308">
        <v>2136.1469999999999</v>
      </c>
      <c r="H76" s="475">
        <f>C76-O76</f>
        <v>2726.9319999999998</v>
      </c>
      <c r="I76" s="308">
        <v>2248.1689999999999</v>
      </c>
      <c r="J76" s="308"/>
      <c r="K76" s="308">
        <v>2185.3130000000001</v>
      </c>
      <c r="L76" s="475">
        <f>D76-S76</f>
        <v>2701.244999999999</v>
      </c>
      <c r="M76" s="308">
        <v>2301.5419999999999</v>
      </c>
      <c r="N76" s="1"/>
      <c r="O76" s="308">
        <v>5805.2920000000004</v>
      </c>
      <c r="P76" s="308"/>
      <c r="Q76" s="308"/>
      <c r="R76" s="308"/>
      <c r="S76" s="308">
        <v>6498.8580000000002</v>
      </c>
    </row>
    <row r="77" spans="2:19" s="46" customFormat="1">
      <c r="B77" s="19" t="s">
        <v>59</v>
      </c>
      <c r="C77" s="99"/>
      <c r="D77" s="99">
        <f>D76/C76-1</f>
        <v>7.8277246354526042E-2</v>
      </c>
      <c r="E77" s="99"/>
      <c r="F77" s="302"/>
      <c r="G77" s="99"/>
      <c r="H77" s="99"/>
      <c r="I77" s="99"/>
      <c r="J77" s="99"/>
      <c r="K77" s="99">
        <f>K76/G76-1</f>
        <v>2.3016206281683882E-2</v>
      </c>
      <c r="L77" s="99">
        <f>L76/H76-1</f>
        <v>-9.4197435066223356E-3</v>
      </c>
      <c r="M77" s="99">
        <f>M76/I76-1</f>
        <v>2.3740652949133301E-2</v>
      </c>
      <c r="O77" s="99"/>
      <c r="P77" s="99"/>
      <c r="Q77" s="99"/>
      <c r="R77" s="99"/>
      <c r="S77" s="99">
        <f>S76/O76-1</f>
        <v>0.11947133753134209</v>
      </c>
    </row>
    <row r="78" spans="2:19">
      <c r="B78" s="1" t="s">
        <v>430</v>
      </c>
      <c r="C78" s="308">
        <v>12547.239</v>
      </c>
      <c r="D78" s="308">
        <v>12993.941999999999</v>
      </c>
      <c r="E78" s="24">
        <f>D78+M78-I78</f>
        <v>13788.679</v>
      </c>
      <c r="F78" s="1"/>
      <c r="G78" s="308">
        <v>3557.1370000000002</v>
      </c>
      <c r="H78" s="475">
        <f>C78-O78</f>
        <v>3323.6119999999992</v>
      </c>
      <c r="I78" s="308">
        <v>2751.6419999999998</v>
      </c>
      <c r="J78" s="308"/>
      <c r="K78" s="308">
        <v>3473.5309999999999</v>
      </c>
      <c r="L78" s="475">
        <f>D78-S78</f>
        <v>3779.2469999999994</v>
      </c>
      <c r="M78" s="308">
        <v>3546.3789999999999</v>
      </c>
      <c r="N78" s="1"/>
      <c r="O78" s="308">
        <v>9223.6270000000004</v>
      </c>
      <c r="P78" s="308"/>
      <c r="Q78" s="308"/>
      <c r="R78" s="308"/>
      <c r="S78" s="308">
        <v>9214.6949999999997</v>
      </c>
    </row>
    <row r="79" spans="2:19" s="46" customFormat="1">
      <c r="B79" s="19" t="s">
        <v>59</v>
      </c>
      <c r="C79" s="99"/>
      <c r="D79" s="99">
        <f>D78/C78-1</f>
        <v>3.5601696915154024E-2</v>
      </c>
      <c r="E79" s="99"/>
      <c r="F79" s="302"/>
      <c r="G79" s="99"/>
      <c r="H79" s="99"/>
      <c r="I79" s="99"/>
      <c r="J79" s="99"/>
      <c r="K79" s="99">
        <f>K78/G78-1</f>
        <v>-2.3503733480043087E-2</v>
      </c>
      <c r="L79" s="99">
        <f>L78/H78-1</f>
        <v>0.13709031018061091</v>
      </c>
      <c r="M79" s="99">
        <f>M78/I78-1</f>
        <v>0.28882281924756215</v>
      </c>
      <c r="O79" s="99"/>
      <c r="P79" s="99"/>
      <c r="Q79" s="99"/>
      <c r="R79" s="99"/>
      <c r="S79" s="99">
        <f>S78/O78-1</f>
        <v>-9.6838261130904879E-4</v>
      </c>
    </row>
    <row r="80" spans="2:19">
      <c r="B80" s="5" t="s">
        <v>431</v>
      </c>
      <c r="C80" s="53">
        <f>SUM(C76:C78)</f>
        <v>21079.463</v>
      </c>
      <c r="D80" s="53">
        <f>SUM(D76:D78)</f>
        <v>22194.123277246355</v>
      </c>
      <c r="E80" s="53">
        <f>SUM(E76:E78)</f>
        <v>23042.154999999999</v>
      </c>
      <c r="F80" s="5"/>
      <c r="G80" s="53">
        <f>SUM(G76:G78)</f>
        <v>5693.2839999999997</v>
      </c>
      <c r="H80" s="53">
        <f>SUM(H76:H78)</f>
        <v>6050.543999999999</v>
      </c>
      <c r="I80" s="53">
        <f>SUM(I76:I78)</f>
        <v>4999.8109999999997</v>
      </c>
      <c r="J80" s="53"/>
      <c r="K80" s="53">
        <f>SUM(K76:K78)</f>
        <v>5658.8670162062817</v>
      </c>
      <c r="L80" s="53">
        <f>SUM(L76:L78)</f>
        <v>6480.4825802564919</v>
      </c>
      <c r="M80" s="53">
        <f>SUM(M76:M78)</f>
        <v>5847.9447406529489</v>
      </c>
      <c r="N80" s="53"/>
      <c r="O80" s="53">
        <f>SUM(O76:O78)</f>
        <v>15028.919000000002</v>
      </c>
      <c r="P80" s="53"/>
      <c r="Q80" s="53"/>
      <c r="R80" s="53"/>
      <c r="S80" s="53">
        <f>SUM(S76:S78)</f>
        <v>15713.672471337532</v>
      </c>
    </row>
    <row r="81" spans="2:19">
      <c r="B81" s="1"/>
      <c r="C81" s="24"/>
      <c r="D81" s="1"/>
      <c r="E81" s="1"/>
      <c r="F81" s="1"/>
      <c r="G81" s="1"/>
      <c r="H81" s="1"/>
      <c r="I81" s="1"/>
      <c r="J81" s="1"/>
      <c r="K81" s="1"/>
      <c r="L81" s="1"/>
      <c r="M81" s="1"/>
      <c r="N81" s="1"/>
      <c r="O81" s="1"/>
      <c r="P81" s="1"/>
      <c r="Q81" s="1"/>
      <c r="R81" s="1"/>
      <c r="S81" s="1"/>
    </row>
    <row r="82" spans="2:19">
      <c r="B82" s="1" t="s">
        <v>402</v>
      </c>
      <c r="C82" s="473">
        <f>C76/C80</f>
        <v>0.40476477033594266</v>
      </c>
      <c r="D82" s="473">
        <f>D76/D80</f>
        <v>0.41452878697092033</v>
      </c>
      <c r="E82" s="473">
        <f>E76/E80</f>
        <v>0.40158900068157682</v>
      </c>
      <c r="F82" s="473"/>
      <c r="G82" s="473">
        <f>G76/G80</f>
        <v>0.37520471488863022</v>
      </c>
      <c r="H82" s="473">
        <f>H76/H80</f>
        <v>0.4506920369474216</v>
      </c>
      <c r="I82" s="473">
        <f>I76/I80</f>
        <v>0.44965079680011905</v>
      </c>
      <c r="J82" s="473"/>
      <c r="K82" s="473">
        <f>K76/K80</f>
        <v>0.38617500530433729</v>
      </c>
      <c r="L82" s="473">
        <f>L76/L80</f>
        <v>0.41682775419065876</v>
      </c>
      <c r="M82" s="473">
        <f>M76/M80</f>
        <v>0.39356425241169818</v>
      </c>
      <c r="N82" s="473"/>
      <c r="O82" s="473">
        <f>O76/O80</f>
        <v>0.3862747546912722</v>
      </c>
      <c r="P82" s="473"/>
      <c r="Q82" s="473"/>
      <c r="R82" s="473"/>
      <c r="S82" s="473">
        <f>S76/S80</f>
        <v>0.41357983067638826</v>
      </c>
    </row>
    <row r="83" spans="2:19">
      <c r="B83" s="1" t="s">
        <v>403</v>
      </c>
      <c r="C83" s="473">
        <f>C78/C80</f>
        <v>0.5952352296640574</v>
      </c>
      <c r="D83" s="473">
        <f>D78/D80</f>
        <v>0.58546768609335076</v>
      </c>
      <c r="E83" s="473">
        <f>E78/E80</f>
        <v>0.59841099931842312</v>
      </c>
      <c r="F83" s="473"/>
      <c r="G83" s="473">
        <f>G78/G80</f>
        <v>0.62479528511136984</v>
      </c>
      <c r="H83" s="473">
        <f>H78/H80</f>
        <v>0.54930796305257834</v>
      </c>
      <c r="I83" s="473">
        <f>I78/I80</f>
        <v>0.55034920319988101</v>
      </c>
      <c r="J83" s="473"/>
      <c r="K83" s="473">
        <f>K78/K80</f>
        <v>0.61382092741395855</v>
      </c>
      <c r="L83" s="473">
        <f>L78/L80</f>
        <v>0.58317369936521302</v>
      </c>
      <c r="M83" s="473">
        <f>M78/M80</f>
        <v>0.60643168793076374</v>
      </c>
      <c r="N83" s="473"/>
      <c r="O83" s="473">
        <f>O78/O80</f>
        <v>0.61372524530872774</v>
      </c>
      <c r="P83" s="473"/>
      <c r="Q83" s="473"/>
      <c r="R83" s="473"/>
      <c r="S83" s="473">
        <f>S78/S80</f>
        <v>0.58641256630542804</v>
      </c>
    </row>
    <row r="84" spans="2:19">
      <c r="B84" s="5" t="s">
        <v>404</v>
      </c>
      <c r="C84" s="474">
        <f>SUM(C82:C83)</f>
        <v>1</v>
      </c>
      <c r="D84" s="474">
        <f>SUM(D82:D83)</f>
        <v>0.99999647306427109</v>
      </c>
      <c r="E84" s="474">
        <f>SUM(E82:E83)</f>
        <v>1</v>
      </c>
      <c r="F84" s="474"/>
      <c r="G84" s="474">
        <f>SUM(G82:G83)</f>
        <v>1</v>
      </c>
      <c r="H84" s="474">
        <f>SUM(H82:H83)</f>
        <v>1</v>
      </c>
      <c r="I84" s="474">
        <f>SUM(I82:I83)</f>
        <v>1</v>
      </c>
      <c r="J84" s="474"/>
      <c r="K84" s="474">
        <f>SUM(K82:K83)</f>
        <v>0.9999959327182959</v>
      </c>
      <c r="L84" s="474">
        <f>SUM(L82:L83)</f>
        <v>1.0000014535558717</v>
      </c>
      <c r="M84" s="474">
        <f>SUM(M82:M83)</f>
        <v>0.99999594034246186</v>
      </c>
      <c r="N84" s="474"/>
      <c r="O84" s="474">
        <f>SUM(O82:O83)</f>
        <v>1</v>
      </c>
      <c r="P84" s="474"/>
      <c r="Q84" s="474"/>
      <c r="R84" s="474"/>
      <c r="S84" s="474">
        <f>SUM(S82:S83)</f>
        <v>0.9999923969818163</v>
      </c>
    </row>
    <row r="85" spans="2:19">
      <c r="B85" s="1"/>
      <c r="C85" s="1"/>
      <c r="D85" s="1"/>
      <c r="E85" s="1"/>
      <c r="F85" s="1"/>
      <c r="G85" s="1"/>
      <c r="H85" s="1"/>
      <c r="I85" s="1"/>
      <c r="J85" s="1"/>
      <c r="K85" s="1"/>
      <c r="L85" s="1"/>
      <c r="M85" s="1"/>
      <c r="N85" s="1"/>
      <c r="O85" s="1"/>
      <c r="P85" s="1"/>
      <c r="Q85" s="1"/>
      <c r="R85" s="1"/>
      <c r="S85" s="1"/>
    </row>
    <row r="86" spans="2:19">
      <c r="B86" s="5" t="s">
        <v>433</v>
      </c>
      <c r="C86" s="53"/>
      <c r="D86" s="53"/>
      <c r="E86" s="53"/>
      <c r="F86" s="5"/>
      <c r="G86" s="53"/>
      <c r="H86" s="53"/>
      <c r="I86" s="53"/>
      <c r="J86" s="53"/>
      <c r="K86" s="53"/>
      <c r="L86" s="53"/>
      <c r="M86" s="53"/>
      <c r="N86" s="53"/>
      <c r="O86" s="53"/>
      <c r="P86" s="53"/>
      <c r="Q86" s="53"/>
      <c r="R86" s="53"/>
      <c r="S86" s="53"/>
    </row>
    <row r="87" spans="2:19">
      <c r="B87" s="1" t="s">
        <v>399</v>
      </c>
      <c r="C87" s="308">
        <v>31295.52</v>
      </c>
      <c r="D87" s="308">
        <v>35705.896000000001</v>
      </c>
      <c r="E87" s="24">
        <f>D87+M87-I87</f>
        <v>35619.119999999995</v>
      </c>
      <c r="F87" s="1"/>
      <c r="G87" s="308">
        <v>7910.1750000000002</v>
      </c>
      <c r="H87" s="475">
        <f>C87-O87</f>
        <v>9234.2590000000018</v>
      </c>
      <c r="I87" s="308">
        <v>8005.5519999999997</v>
      </c>
      <c r="J87" s="308"/>
      <c r="K87" s="308">
        <v>9008.9310000000005</v>
      </c>
      <c r="L87" s="475">
        <f>D87-S87</f>
        <v>9972.7799999999988</v>
      </c>
      <c r="M87" s="308">
        <v>7918.7759999999998</v>
      </c>
      <c r="N87" s="1"/>
      <c r="O87" s="308">
        <v>22061.260999999999</v>
      </c>
      <c r="P87" s="308"/>
      <c r="Q87" s="308"/>
      <c r="R87" s="308"/>
      <c r="S87" s="308">
        <v>25733.116000000002</v>
      </c>
    </row>
    <row r="88" spans="2:19" s="46" customFormat="1">
      <c r="B88" s="19" t="s">
        <v>59</v>
      </c>
      <c r="C88" s="99"/>
      <c r="D88" s="99">
        <f>D87/C87-1</f>
        <v>0.14092675245530351</v>
      </c>
      <c r="E88" s="99"/>
      <c r="F88" s="302"/>
      <c r="G88" s="99"/>
      <c r="H88" s="99"/>
      <c r="I88" s="99"/>
      <c r="J88" s="99"/>
      <c r="K88" s="99">
        <f>K87/G87-1</f>
        <v>0.13890413296798121</v>
      </c>
      <c r="L88" s="99">
        <f>L87/H87-1</f>
        <v>7.9976205995521354E-2</v>
      </c>
      <c r="M88" s="99">
        <f>M87/I87-1</f>
        <v>-1.083947740268254E-2</v>
      </c>
      <c r="O88" s="99"/>
      <c r="P88" s="99"/>
      <c r="Q88" s="99"/>
      <c r="R88" s="99"/>
      <c r="S88" s="99">
        <f>S87/O87-1</f>
        <v>0.16643903537517657</v>
      </c>
    </row>
    <row r="89" spans="2:19">
      <c r="B89" s="1" t="s">
        <v>430</v>
      </c>
      <c r="C89" s="308">
        <v>29838.706999999999</v>
      </c>
      <c r="D89" s="308">
        <v>28951.35</v>
      </c>
      <c r="E89" s="24">
        <f>D89+M89-I89</f>
        <v>28852.036</v>
      </c>
      <c r="F89" s="1"/>
      <c r="G89" s="308">
        <v>7538.29</v>
      </c>
      <c r="H89" s="475">
        <f>C89-O89</f>
        <v>8234.882999999998</v>
      </c>
      <c r="I89" s="308">
        <v>7419.6869999999999</v>
      </c>
      <c r="J89" s="308"/>
      <c r="K89" s="308">
        <v>7274.1260000000002</v>
      </c>
      <c r="L89" s="475">
        <f>D89-S89</f>
        <v>7709.9969999999994</v>
      </c>
      <c r="M89" s="308">
        <v>7320.3729999999996</v>
      </c>
      <c r="N89" s="1"/>
      <c r="O89" s="308">
        <v>21603.824000000001</v>
      </c>
      <c r="P89" s="308"/>
      <c r="Q89" s="308"/>
      <c r="R89" s="308"/>
      <c r="S89" s="308">
        <v>21241.352999999999</v>
      </c>
    </row>
    <row r="90" spans="2:19" s="46" customFormat="1">
      <c r="B90" s="19" t="s">
        <v>59</v>
      </c>
      <c r="C90" s="99"/>
      <c r="D90" s="99">
        <f>D89/C89-1</f>
        <v>-2.9738453479234206E-2</v>
      </c>
      <c r="E90" s="99"/>
      <c r="F90" s="302"/>
      <c r="G90" s="99"/>
      <c r="H90" s="99"/>
      <c r="I90" s="99"/>
      <c r="J90" s="99"/>
      <c r="K90" s="99">
        <f>K89/G89-1</f>
        <v>-3.5042960671451961E-2</v>
      </c>
      <c r="L90" s="99">
        <f>L89/H89-1</f>
        <v>-6.3739339101721137E-2</v>
      </c>
      <c r="M90" s="99">
        <f>M89/I89-1</f>
        <v>-1.3385200750382076E-2</v>
      </c>
      <c r="O90" s="99"/>
      <c r="P90" s="99"/>
      <c r="Q90" s="99"/>
      <c r="R90" s="99"/>
      <c r="S90" s="99">
        <f>S89/O89-1</f>
        <v>-1.6778094470682681E-2</v>
      </c>
    </row>
    <row r="91" spans="2:19">
      <c r="B91" s="5" t="s">
        <v>431</v>
      </c>
      <c r="C91" s="53">
        <f>SUM(C87:C89)</f>
        <v>61134.226999999999</v>
      </c>
      <c r="D91" s="53">
        <f>SUM(D87:D89)</f>
        <v>64657.386926752457</v>
      </c>
      <c r="E91" s="53">
        <f>SUM(E87:E89)</f>
        <v>64471.155999999995</v>
      </c>
      <c r="F91" s="5"/>
      <c r="G91" s="53">
        <f>SUM(G87:G89)</f>
        <v>15448.465</v>
      </c>
      <c r="H91" s="53">
        <f>SUM(H87:H89)</f>
        <v>17469.142</v>
      </c>
      <c r="I91" s="53">
        <f>SUM(I87:I89)</f>
        <v>15425.239</v>
      </c>
      <c r="J91" s="53"/>
      <c r="K91" s="53">
        <f>SUM(K87:K89)</f>
        <v>16283.195904132968</v>
      </c>
      <c r="L91" s="53">
        <f>SUM(L87:L89)</f>
        <v>17682.856976205992</v>
      </c>
      <c r="M91" s="53">
        <f>SUM(M87:M89)</f>
        <v>15239.138160522598</v>
      </c>
      <c r="N91" s="53"/>
      <c r="O91" s="53">
        <f>SUM(O87:O89)</f>
        <v>43665.084999999999</v>
      </c>
      <c r="P91" s="53"/>
      <c r="Q91" s="53"/>
      <c r="R91" s="53"/>
      <c r="S91" s="53">
        <f>SUM(S87:S89)</f>
        <v>46974.635439035381</v>
      </c>
    </row>
    <row r="92" spans="2:19">
      <c r="B92" s="1"/>
      <c r="C92" s="24"/>
      <c r="D92" s="1"/>
      <c r="E92" s="1"/>
      <c r="F92" s="1"/>
      <c r="G92" s="1"/>
      <c r="H92" s="1"/>
      <c r="I92" s="1"/>
      <c r="J92" s="1"/>
      <c r="K92" s="1"/>
      <c r="L92" s="1"/>
      <c r="M92" s="1"/>
      <c r="N92" s="1"/>
      <c r="O92" s="1"/>
      <c r="P92" s="1"/>
      <c r="Q92" s="1"/>
      <c r="R92" s="1"/>
      <c r="S92" s="1"/>
    </row>
    <row r="93" spans="2:19">
      <c r="B93" s="1" t="s">
        <v>402</v>
      </c>
      <c r="C93" s="473">
        <f>C87/C91</f>
        <v>0.51191487217136156</v>
      </c>
      <c r="D93" s="473">
        <f>D87/D91</f>
        <v>0.55223227688507825</v>
      </c>
      <c r="E93" s="473">
        <f>E87/E91</f>
        <v>0.55248148489845594</v>
      </c>
      <c r="F93" s="473"/>
      <c r="G93" s="473">
        <f>G87/G91</f>
        <v>0.51203630910902798</v>
      </c>
      <c r="H93" s="473">
        <f>H87/H91</f>
        <v>0.52860403790867361</v>
      </c>
      <c r="I93" s="473">
        <f>I87/I91</f>
        <v>0.51899046750588429</v>
      </c>
      <c r="J93" s="473"/>
      <c r="K93" s="473">
        <f>K87/K91</f>
        <v>0.5532655292634151</v>
      </c>
      <c r="L93" s="473">
        <f>L87/L91</f>
        <v>0.56398013134525415</v>
      </c>
      <c r="M93" s="473">
        <f>M87/M91</f>
        <v>0.51963411031430928</v>
      </c>
      <c r="N93" s="473"/>
      <c r="O93" s="473">
        <f>O87/O91</f>
        <v>0.50523801797248302</v>
      </c>
      <c r="P93" s="473"/>
      <c r="Q93" s="473"/>
      <c r="R93" s="473"/>
      <c r="S93" s="473">
        <f>S87/S91</f>
        <v>0.54780874315452543</v>
      </c>
    </row>
    <row r="94" spans="2:19">
      <c r="B94" s="1" t="s">
        <v>403</v>
      </c>
      <c r="C94" s="473">
        <f>C89/C91</f>
        <v>0.48808512782863844</v>
      </c>
      <c r="D94" s="473">
        <f>D89/D91</f>
        <v>0.44776554352247061</v>
      </c>
      <c r="E94" s="473">
        <f>E89/E91</f>
        <v>0.44751851510154406</v>
      </c>
      <c r="F94" s="473"/>
      <c r="G94" s="473">
        <f>G89/G91</f>
        <v>0.48796369089097202</v>
      </c>
      <c r="H94" s="473">
        <f>H89/H91</f>
        <v>0.47139596209132639</v>
      </c>
      <c r="I94" s="473">
        <f>I89/I91</f>
        <v>0.48100953249411565</v>
      </c>
      <c r="J94" s="473"/>
      <c r="K94" s="473">
        <f>K89/K91</f>
        <v>0.44672594021629969</v>
      </c>
      <c r="L94" s="473">
        <f>L89/L91</f>
        <v>0.43601534584454038</v>
      </c>
      <c r="M94" s="473">
        <f>M89/M91</f>
        <v>0.48036660097771311</v>
      </c>
      <c r="N94" s="473"/>
      <c r="O94" s="473">
        <f>O89/O91</f>
        <v>0.49476198202751698</v>
      </c>
      <c r="P94" s="473"/>
      <c r="Q94" s="473"/>
      <c r="R94" s="473"/>
      <c r="S94" s="473">
        <f>S89/S91</f>
        <v>0.45218771367725569</v>
      </c>
    </row>
    <row r="95" spans="2:19">
      <c r="B95" s="5" t="s">
        <v>404</v>
      </c>
      <c r="C95" s="474">
        <f>SUM(C93:C94)</f>
        <v>1</v>
      </c>
      <c r="D95" s="474">
        <f>SUM(D93:D94)</f>
        <v>0.99999782040754881</v>
      </c>
      <c r="E95" s="474">
        <f>SUM(E93:E94)</f>
        <v>1</v>
      </c>
      <c r="F95" s="474"/>
      <c r="G95" s="474">
        <f>SUM(G93:G94)</f>
        <v>1</v>
      </c>
      <c r="H95" s="474">
        <f>SUM(H93:H94)</f>
        <v>1</v>
      </c>
      <c r="I95" s="474">
        <f>SUM(I93:I94)</f>
        <v>1</v>
      </c>
      <c r="J95" s="474"/>
      <c r="K95" s="474">
        <f>SUM(K93:K94)</f>
        <v>0.99999146947971473</v>
      </c>
      <c r="L95" s="474">
        <f>SUM(L93:L94)</f>
        <v>0.99999547718979453</v>
      </c>
      <c r="M95" s="474">
        <f>SUM(M93:M94)</f>
        <v>1.0000007112920224</v>
      </c>
      <c r="N95" s="474"/>
      <c r="O95" s="474">
        <f>SUM(O93:O94)</f>
        <v>1</v>
      </c>
      <c r="P95" s="474"/>
      <c r="Q95" s="474"/>
      <c r="R95" s="474"/>
      <c r="S95" s="474">
        <f>SUM(S93:S94)</f>
        <v>0.99999645683178118</v>
      </c>
    </row>
    <row r="96" spans="2:19">
      <c r="B96" s="1"/>
      <c r="C96" s="1"/>
      <c r="D96" s="1"/>
      <c r="E96" s="1"/>
      <c r="F96" s="1"/>
      <c r="G96" s="1"/>
      <c r="H96" s="1"/>
      <c r="I96" s="1"/>
      <c r="J96" s="1"/>
      <c r="K96" s="1"/>
      <c r="L96" s="1"/>
      <c r="M96" s="1"/>
      <c r="N96" s="1"/>
      <c r="O96" s="1"/>
      <c r="P96" s="1"/>
      <c r="Q96" s="1"/>
      <c r="R96" s="1"/>
      <c r="S96" s="1"/>
    </row>
    <row r="97" spans="2:19">
      <c r="B97" s="5" t="s">
        <v>434</v>
      </c>
      <c r="C97" s="53"/>
      <c r="D97" s="53"/>
      <c r="E97" s="53"/>
      <c r="F97" s="5"/>
      <c r="G97" s="53"/>
      <c r="H97" s="53"/>
      <c r="I97" s="53"/>
      <c r="J97" s="53"/>
      <c r="K97" s="53"/>
      <c r="L97" s="53"/>
      <c r="M97" s="53"/>
      <c r="N97" s="53"/>
      <c r="O97" s="53"/>
      <c r="P97" s="53"/>
      <c r="Q97" s="53"/>
      <c r="R97" s="53"/>
      <c r="S97" s="53"/>
    </row>
    <row r="98" spans="2:19">
      <c r="B98" s="1" t="s">
        <v>399</v>
      </c>
      <c r="C98" s="308">
        <v>0</v>
      </c>
      <c r="D98" s="308">
        <v>0</v>
      </c>
      <c r="E98" s="24">
        <f>D98+M98-I98</f>
        <v>0</v>
      </c>
      <c r="F98" s="1"/>
      <c r="G98" s="308">
        <v>0</v>
      </c>
      <c r="H98" s="475">
        <f>C98-O98</f>
        <v>0</v>
      </c>
      <c r="I98" s="308">
        <v>0</v>
      </c>
      <c r="J98" s="308">
        <v>0</v>
      </c>
      <c r="K98" s="308">
        <v>0</v>
      </c>
      <c r="L98" s="475">
        <f>D98-S98</f>
        <v>0</v>
      </c>
      <c r="M98" s="308">
        <v>0</v>
      </c>
      <c r="N98" s="1"/>
      <c r="O98" s="308">
        <v>0</v>
      </c>
      <c r="P98" s="308"/>
      <c r="Q98" s="308"/>
      <c r="R98" s="308"/>
      <c r="S98" s="308">
        <v>0</v>
      </c>
    </row>
    <row r="99" spans="2:19">
      <c r="B99" s="1" t="s">
        <v>430</v>
      </c>
      <c r="C99" s="308">
        <v>0</v>
      </c>
      <c r="D99" s="308">
        <v>0</v>
      </c>
      <c r="E99" s="24">
        <f>D99+M99-I99</f>
        <v>0</v>
      </c>
      <c r="F99" s="1"/>
      <c r="G99" s="308">
        <v>0</v>
      </c>
      <c r="H99" s="475">
        <f>C99-O99</f>
        <v>0</v>
      </c>
      <c r="I99" s="308">
        <v>0</v>
      </c>
      <c r="J99" s="308">
        <v>0</v>
      </c>
      <c r="K99" s="308">
        <v>0</v>
      </c>
      <c r="L99" s="475">
        <f>D99-S99</f>
        <v>0</v>
      </c>
      <c r="M99" s="308">
        <v>0</v>
      </c>
      <c r="N99" s="1"/>
      <c r="O99" s="308">
        <v>0</v>
      </c>
      <c r="P99" s="308"/>
      <c r="Q99" s="308"/>
      <c r="R99" s="308"/>
      <c r="S99" s="308">
        <v>0</v>
      </c>
    </row>
    <row r="100" spans="2:19">
      <c r="B100" s="5" t="s">
        <v>431</v>
      </c>
      <c r="C100" s="53">
        <f>SUM(C98:C99)</f>
        <v>0</v>
      </c>
      <c r="D100" s="53">
        <f>SUM(D98:D99)</f>
        <v>0</v>
      </c>
      <c r="E100" s="53">
        <f>SUM(E98:E99)</f>
        <v>0</v>
      </c>
      <c r="F100" s="5"/>
      <c r="G100" s="53">
        <f>SUM(G98:G99)</f>
        <v>0</v>
      </c>
      <c r="H100" s="53">
        <f>SUM(H98:H99)</f>
        <v>0</v>
      </c>
      <c r="I100" s="53">
        <f>SUM(I98:I99)</f>
        <v>0</v>
      </c>
      <c r="J100" s="53"/>
      <c r="K100" s="53">
        <f>SUM(K98:K99)</f>
        <v>0</v>
      </c>
      <c r="L100" s="53">
        <f>SUM(L98:L99)</f>
        <v>0</v>
      </c>
      <c r="M100" s="53">
        <f>SUM(M98:M99)</f>
        <v>0</v>
      </c>
      <c r="N100" s="53"/>
      <c r="O100" s="53">
        <f>SUM(O98:O99)</f>
        <v>0</v>
      </c>
      <c r="P100" s="53"/>
      <c r="Q100" s="53"/>
      <c r="R100" s="53"/>
      <c r="S100" s="53">
        <f>SUM(S98:S99)</f>
        <v>0</v>
      </c>
    </row>
    <row r="101" spans="2:19">
      <c r="B101" s="1"/>
      <c r="C101" s="24"/>
      <c r="D101" s="1"/>
      <c r="E101" s="1"/>
      <c r="F101" s="1"/>
      <c r="G101" s="1"/>
      <c r="H101" s="1"/>
      <c r="I101" s="1"/>
      <c r="J101" s="1"/>
      <c r="K101" s="1"/>
      <c r="L101" s="1"/>
      <c r="M101" s="1"/>
      <c r="N101" s="1"/>
      <c r="O101" s="1"/>
      <c r="P101" s="1"/>
      <c r="Q101" s="1"/>
      <c r="R101" s="1"/>
      <c r="S101" s="1"/>
    </row>
    <row r="102" spans="2:19">
      <c r="B102" s="5" t="s">
        <v>435</v>
      </c>
      <c r="C102" s="24"/>
      <c r="D102" s="1"/>
      <c r="E102" s="1"/>
      <c r="F102" s="1"/>
      <c r="G102" s="1"/>
      <c r="H102" s="1"/>
      <c r="I102" s="1"/>
      <c r="J102" s="1"/>
      <c r="K102" s="1"/>
      <c r="L102" s="1"/>
      <c r="M102" s="1"/>
      <c r="N102" s="1"/>
      <c r="O102" s="1"/>
      <c r="P102" s="1"/>
      <c r="Q102" s="1"/>
      <c r="R102" s="1"/>
      <c r="S102" s="1"/>
    </row>
    <row r="103" spans="2:19">
      <c r="B103" s="1" t="str">
        <f>B64</f>
        <v>Beef - North America</v>
      </c>
      <c r="C103" s="24">
        <f>C69</f>
        <v>66921.452999999994</v>
      </c>
      <c r="D103" s="24">
        <f>D69</f>
        <v>77111.623195762513</v>
      </c>
      <c r="E103" s="24">
        <f>E69</f>
        <v>76422.750000000015</v>
      </c>
      <c r="F103" s="473"/>
      <c r="G103" s="24">
        <f t="shared" ref="G103:M103" si="2">G69</f>
        <v>17992.726999999999</v>
      </c>
      <c r="H103" s="24">
        <f t="shared" si="2"/>
        <v>18688.494000000002</v>
      </c>
      <c r="I103" s="24">
        <f t="shared" si="2"/>
        <v>19054.68</v>
      </c>
      <c r="J103" s="24">
        <f t="shared" si="2"/>
        <v>0</v>
      </c>
      <c r="K103" s="24">
        <f t="shared" si="2"/>
        <v>19823.761069718563</v>
      </c>
      <c r="L103" s="24">
        <f t="shared" si="2"/>
        <v>19752.10629865271</v>
      </c>
      <c r="M103" s="24">
        <f t="shared" si="2"/>
        <v>18365.956117736485</v>
      </c>
      <c r="N103" s="473"/>
      <c r="O103" s="24">
        <f>O69</f>
        <v>48232.959000000003</v>
      </c>
      <c r="P103" s="473"/>
      <c r="Q103" s="473"/>
      <c r="R103" s="473"/>
      <c r="S103" s="24">
        <f>S69</f>
        <v>57359.633246076351</v>
      </c>
    </row>
    <row r="104" spans="2:19" s="46" customFormat="1">
      <c r="B104" s="19" t="s">
        <v>59</v>
      </c>
      <c r="C104" s="99"/>
      <c r="D104" s="99">
        <f>D103/C103-1</f>
        <v>0.15227060589617691</v>
      </c>
      <c r="E104" s="99"/>
      <c r="F104" s="302"/>
      <c r="G104" s="99"/>
      <c r="H104" s="99"/>
      <c r="I104" s="99"/>
      <c r="J104" s="99"/>
      <c r="K104" s="99">
        <f>K103/G103-1</f>
        <v>0.10176523379244085</v>
      </c>
      <c r="L104" s="99">
        <f>L103/H103-1</f>
        <v>5.6912681067436965E-2</v>
      </c>
      <c r="M104" s="99">
        <f>M103/I103-1</f>
        <v>-3.6144605013755937E-2</v>
      </c>
      <c r="O104" s="99"/>
      <c r="P104" s="99"/>
      <c r="Q104" s="99"/>
      <c r="R104" s="99"/>
      <c r="S104" s="99">
        <f>S103/O103-1</f>
        <v>0.18922069960659771</v>
      </c>
    </row>
    <row r="105" spans="2:19">
      <c r="B105" s="1" t="str">
        <f>B75</f>
        <v>Beef - South America</v>
      </c>
      <c r="C105" s="24">
        <f>C80</f>
        <v>21079.463</v>
      </c>
      <c r="D105" s="24">
        <f>D80</f>
        <v>22194.123277246355</v>
      </c>
      <c r="E105" s="24">
        <f>E80</f>
        <v>23042.154999999999</v>
      </c>
      <c r="F105" s="473"/>
      <c r="G105" s="24">
        <f t="shared" ref="G105:M105" si="3">G80</f>
        <v>5693.2839999999997</v>
      </c>
      <c r="H105" s="24">
        <f t="shared" si="3"/>
        <v>6050.543999999999</v>
      </c>
      <c r="I105" s="24">
        <f t="shared" si="3"/>
        <v>4999.8109999999997</v>
      </c>
      <c r="J105" s="24">
        <f t="shared" si="3"/>
        <v>0</v>
      </c>
      <c r="K105" s="24">
        <f t="shared" si="3"/>
        <v>5658.8670162062817</v>
      </c>
      <c r="L105" s="24">
        <f t="shared" si="3"/>
        <v>6480.4825802564919</v>
      </c>
      <c r="M105" s="24">
        <f t="shared" si="3"/>
        <v>5847.9447406529489</v>
      </c>
      <c r="N105" s="473"/>
      <c r="O105" s="24">
        <f>O80</f>
        <v>15028.919000000002</v>
      </c>
      <c r="P105" s="473"/>
      <c r="Q105" s="473"/>
      <c r="R105" s="473"/>
      <c r="S105" s="24">
        <f>S80</f>
        <v>15713.672471337532</v>
      </c>
    </row>
    <row r="106" spans="2:19" s="46" customFormat="1">
      <c r="B106" s="19" t="s">
        <v>59</v>
      </c>
      <c r="C106" s="99"/>
      <c r="D106" s="99">
        <f>D105/C105-1</f>
        <v>5.2878969319396507E-2</v>
      </c>
      <c r="E106" s="99"/>
      <c r="F106" s="302"/>
      <c r="G106" s="99"/>
      <c r="H106" s="99"/>
      <c r="I106" s="99"/>
      <c r="J106" s="99"/>
      <c r="K106" s="99">
        <f>K105/G105-1</f>
        <v>-6.0451900508946554E-3</v>
      </c>
      <c r="L106" s="99">
        <f>L105/H105-1</f>
        <v>7.1057838808624929E-2</v>
      </c>
      <c r="M106" s="99">
        <f>M105/I105-1</f>
        <v>0.16963316026404773</v>
      </c>
      <c r="O106" s="99"/>
      <c r="P106" s="99"/>
      <c r="Q106" s="99"/>
      <c r="R106" s="99"/>
      <c r="S106" s="99">
        <f>S105/O105-1</f>
        <v>4.5562390171743461E-2</v>
      </c>
    </row>
    <row r="107" spans="2:19">
      <c r="B107" s="1" t="str">
        <f>B86</f>
        <v>Poultry, pork and processed products - BRF</v>
      </c>
      <c r="C107" s="24">
        <f>C91</f>
        <v>61134.226999999999</v>
      </c>
      <c r="D107" s="24">
        <f>D91</f>
        <v>64657.386926752457</v>
      </c>
      <c r="E107" s="24">
        <f>E91</f>
        <v>64471.155999999995</v>
      </c>
      <c r="F107" s="474"/>
      <c r="G107" s="24">
        <f t="shared" ref="G107:M107" si="4">G91</f>
        <v>15448.465</v>
      </c>
      <c r="H107" s="24">
        <f t="shared" si="4"/>
        <v>17469.142</v>
      </c>
      <c r="I107" s="24">
        <f t="shared" si="4"/>
        <v>15425.239</v>
      </c>
      <c r="J107" s="24">
        <f t="shared" si="4"/>
        <v>0</v>
      </c>
      <c r="K107" s="24">
        <f t="shared" si="4"/>
        <v>16283.195904132968</v>
      </c>
      <c r="L107" s="24">
        <f t="shared" si="4"/>
        <v>17682.856976205992</v>
      </c>
      <c r="M107" s="24">
        <f t="shared" si="4"/>
        <v>15239.138160522598</v>
      </c>
      <c r="N107" s="473"/>
      <c r="O107" s="24">
        <f>O91</f>
        <v>43665.084999999999</v>
      </c>
      <c r="P107" s="473"/>
      <c r="Q107" s="473"/>
      <c r="R107" s="473"/>
      <c r="S107" s="24">
        <f>S91</f>
        <v>46974.635439035381</v>
      </c>
    </row>
    <row r="108" spans="2:19" s="46" customFormat="1">
      <c r="B108" s="19" t="s">
        <v>59</v>
      </c>
      <c r="C108" s="99"/>
      <c r="D108" s="99">
        <f>D107/C107-1</f>
        <v>5.7629908803009222E-2</v>
      </c>
      <c r="E108" s="99"/>
      <c r="F108" s="302"/>
      <c r="G108" s="99"/>
      <c r="H108" s="99"/>
      <c r="I108" s="99"/>
      <c r="J108" s="99"/>
      <c r="K108" s="99">
        <f>K107/G107-1</f>
        <v>5.4033258588019439E-2</v>
      </c>
      <c r="L108" s="99">
        <f>L107/H107-1</f>
        <v>1.2233856488543804E-2</v>
      </c>
      <c r="M108" s="99">
        <f>M107/I107-1</f>
        <v>-1.2064697310518291E-2</v>
      </c>
      <c r="O108" s="99"/>
      <c r="P108" s="99"/>
      <c r="Q108" s="99"/>
      <c r="R108" s="99"/>
      <c r="S108" s="99">
        <f>S107/O107-1</f>
        <v>7.5793976790274886E-2</v>
      </c>
    </row>
    <row r="109" spans="2:19">
      <c r="B109" s="1" t="str">
        <f>B97</f>
        <v>Corporate</v>
      </c>
      <c r="C109" s="24">
        <f>C100</f>
        <v>0</v>
      </c>
      <c r="D109" s="24">
        <f>D100</f>
        <v>0</v>
      </c>
      <c r="E109" s="24">
        <f>E100</f>
        <v>0</v>
      </c>
      <c r="F109" s="1"/>
      <c r="G109" s="24">
        <f t="shared" ref="G109:M109" si="5">G100</f>
        <v>0</v>
      </c>
      <c r="H109" s="24">
        <f t="shared" si="5"/>
        <v>0</v>
      </c>
      <c r="I109" s="24">
        <f t="shared" si="5"/>
        <v>0</v>
      </c>
      <c r="J109" s="24">
        <f t="shared" si="5"/>
        <v>0</v>
      </c>
      <c r="K109" s="24">
        <f t="shared" si="5"/>
        <v>0</v>
      </c>
      <c r="L109" s="24">
        <f t="shared" si="5"/>
        <v>0</v>
      </c>
      <c r="M109" s="24">
        <f t="shared" si="5"/>
        <v>0</v>
      </c>
      <c r="N109" s="1"/>
      <c r="O109" s="24">
        <f>O100</f>
        <v>0</v>
      </c>
      <c r="P109" s="1"/>
      <c r="Q109" s="1"/>
      <c r="R109" s="1"/>
      <c r="S109" s="24">
        <f>S100</f>
        <v>0</v>
      </c>
    </row>
    <row r="110" spans="2:19" s="46" customFormat="1">
      <c r="B110" s="19" t="s">
        <v>59</v>
      </c>
      <c r="C110" s="99"/>
      <c r="D110" s="99"/>
      <c r="E110" s="99"/>
      <c r="F110" s="302"/>
      <c r="G110" s="99"/>
      <c r="H110" s="99"/>
      <c r="I110" s="99"/>
      <c r="J110" s="99"/>
      <c r="K110" s="99"/>
      <c r="L110" s="99"/>
      <c r="M110" s="99"/>
      <c r="O110" s="99"/>
      <c r="P110" s="99"/>
      <c r="Q110" s="99"/>
      <c r="R110" s="99"/>
      <c r="S110" s="99"/>
    </row>
    <row r="111" spans="2:19" s="411" customFormat="1">
      <c r="B111" s="5" t="s">
        <v>436</v>
      </c>
      <c r="C111" s="53">
        <f>SUM(C103:C109)</f>
        <v>149135.14299999998</v>
      </c>
      <c r="D111" s="53">
        <f>SUM(D103:D109)</f>
        <v>163963.39617924535</v>
      </c>
      <c r="E111" s="53">
        <f>SUM(E103:E109)</f>
        <v>163936.06100000002</v>
      </c>
      <c r="F111" s="5"/>
      <c r="G111" s="53">
        <f>SUM(G103:G109)</f>
        <v>39134.475999999995</v>
      </c>
      <c r="H111" s="53">
        <f>SUM(H103:H109)</f>
        <v>42208.18</v>
      </c>
      <c r="I111" s="53">
        <f>SUM(I103:I109)</f>
        <v>39479.730000000003</v>
      </c>
      <c r="J111" s="5"/>
      <c r="K111" s="53">
        <f>SUM(K103:K109)</f>
        <v>41765.973743360148</v>
      </c>
      <c r="L111" s="53">
        <f>SUM(L103:L109)</f>
        <v>43915.586059491565</v>
      </c>
      <c r="M111" s="53">
        <f>SUM(M103:M109)</f>
        <v>39453.160442769979</v>
      </c>
      <c r="N111" s="5"/>
      <c r="O111" s="53">
        <f>SUM(O103:O109)</f>
        <v>106926.963</v>
      </c>
      <c r="P111" s="53">
        <f>SUM(P103:P109)</f>
        <v>0</v>
      </c>
      <c r="Q111" s="53">
        <f>SUM(Q103:Q109)</f>
        <v>0</v>
      </c>
      <c r="R111" s="53">
        <f>SUM(R103:R109)</f>
        <v>0</v>
      </c>
      <c r="S111" s="53">
        <f>SUM(S103:S109)</f>
        <v>120048.25173351583</v>
      </c>
    </row>
    <row r="112" spans="2:19" s="46" customFormat="1">
      <c r="B112" s="19" t="s">
        <v>59</v>
      </c>
      <c r="C112" s="99"/>
      <c r="D112" s="99">
        <f>D111/C111-1</f>
        <v>9.9428296248358805E-2</v>
      </c>
      <c r="E112" s="99"/>
      <c r="F112" s="302"/>
      <c r="G112" s="99"/>
      <c r="H112" s="99"/>
      <c r="I112" s="99"/>
      <c r="J112" s="99"/>
      <c r="K112" s="99">
        <f>K111/G111-1</f>
        <v>6.7242442274176639E-2</v>
      </c>
      <c r="L112" s="99">
        <f>L111/H111-1</f>
        <v>4.0452018056489569E-2</v>
      </c>
      <c r="M112" s="99">
        <f>M111/I111-1</f>
        <v>-6.7299237431528436E-4</v>
      </c>
      <c r="O112" s="99"/>
      <c r="P112" s="99"/>
      <c r="Q112" s="99"/>
      <c r="R112" s="99"/>
      <c r="S112" s="99">
        <f>S111/O111-1</f>
        <v>0.12271262893266521</v>
      </c>
    </row>
    <row r="114" spans="2:19">
      <c r="B114" s="483" t="s">
        <v>383</v>
      </c>
      <c r="C114" s="506">
        <v>0</v>
      </c>
      <c r="D114" s="506">
        <v>0.6591792453546077</v>
      </c>
      <c r="E114" s="506">
        <v>-9.9999998928979039E-4</v>
      </c>
      <c r="F114" s="506"/>
      <c r="G114" s="506">
        <v>0</v>
      </c>
      <c r="H114" s="506">
        <v>0</v>
      </c>
      <c r="I114" s="506">
        <v>1.0000000038417056E-3</v>
      </c>
      <c r="J114" s="506"/>
      <c r="K114" s="506">
        <v>0.44174336014839355</v>
      </c>
      <c r="L114" s="506">
        <v>0.28805949156958377</v>
      </c>
      <c r="M114" s="506">
        <v>0.10644276998209534</v>
      </c>
      <c r="N114" s="506"/>
      <c r="O114" s="506">
        <v>0</v>
      </c>
      <c r="P114" s="506"/>
      <c r="Q114" s="506"/>
      <c r="R114" s="506"/>
      <c r="S114" s="506">
        <v>0.81273351583513431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A2372C-D21E-4821-89BB-DB5942630B5C}">
  <dimension ref="B2:I27"/>
  <sheetViews>
    <sheetView showGridLines="0" zoomScaleNormal="100" workbookViewId="0">
      <pane xSplit="2" ySplit="6" topLeftCell="C7" activePane="bottomRight" state="frozen"/>
      <selection pane="bottomRight" activeCell="H31" sqref="H31"/>
      <selection pane="bottomLeft" activeCell="H31" sqref="H31"/>
      <selection pane="topRight" activeCell="H31" sqref="H31"/>
    </sheetView>
  </sheetViews>
  <sheetFormatPr defaultRowHeight="12.75"/>
  <cols>
    <col min="1" max="1" width="2.7109375" customWidth="1"/>
    <col min="2" max="2" width="50.7109375" customWidth="1"/>
    <col min="3" max="14" width="12.7109375" customWidth="1"/>
  </cols>
  <sheetData>
    <row r="2" spans="2:9" ht="21">
      <c r="B2" s="10" t="s">
        <v>45</v>
      </c>
      <c r="C2" s="12" t="s">
        <v>48</v>
      </c>
      <c r="D2" s="12" t="s">
        <v>48</v>
      </c>
      <c r="E2" s="12" t="s">
        <v>48</v>
      </c>
      <c r="F2" s="395"/>
      <c r="G2" s="12" t="s">
        <v>48</v>
      </c>
      <c r="H2" s="12" t="s">
        <v>48</v>
      </c>
      <c r="I2" s="12" t="s">
        <v>48</v>
      </c>
    </row>
    <row r="3" spans="2:9">
      <c r="B3" s="11" t="s">
        <v>50</v>
      </c>
      <c r="C3" s="13">
        <v>45565</v>
      </c>
      <c r="D3" s="13">
        <v>45657</v>
      </c>
      <c r="E3" s="13">
        <v>45747</v>
      </c>
      <c r="F3" s="395"/>
      <c r="G3" s="13">
        <v>45930</v>
      </c>
      <c r="H3" s="13">
        <v>46022</v>
      </c>
      <c r="I3" s="13">
        <v>46112</v>
      </c>
    </row>
    <row r="4" spans="2:9">
      <c r="B4" s="11"/>
      <c r="C4" s="14" t="s">
        <v>51</v>
      </c>
      <c r="D4" s="14" t="s">
        <v>51</v>
      </c>
      <c r="E4" s="14" t="s">
        <v>51</v>
      </c>
      <c r="F4" s="395"/>
      <c r="G4" s="14" t="s">
        <v>51</v>
      </c>
      <c r="H4" s="14" t="s">
        <v>51</v>
      </c>
      <c r="I4" s="14" t="s">
        <v>51</v>
      </c>
    </row>
    <row r="5" spans="2:9">
      <c r="C5" s="23" t="s">
        <v>386</v>
      </c>
      <c r="D5" s="23" t="s">
        <v>437</v>
      </c>
      <c r="E5" s="23" t="s">
        <v>384</v>
      </c>
      <c r="F5" s="23"/>
      <c r="G5" s="23" t="s">
        <v>386</v>
      </c>
      <c r="H5" s="23" t="s">
        <v>437</v>
      </c>
      <c r="I5" s="23" t="s">
        <v>384</v>
      </c>
    </row>
    <row r="6" spans="2:9">
      <c r="B6" s="440"/>
      <c r="C6" s="441"/>
      <c r="D6" s="441"/>
      <c r="E6" s="441"/>
      <c r="F6" s="23"/>
      <c r="G6" s="441"/>
      <c r="H6" s="441"/>
      <c r="I6" s="441"/>
    </row>
    <row r="7" spans="2:9">
      <c r="B7" s="5" t="s">
        <v>387</v>
      </c>
      <c r="C7" s="98">
        <v>79</v>
      </c>
      <c r="D7" s="98">
        <v>2579</v>
      </c>
      <c r="E7" s="98">
        <v>88</v>
      </c>
      <c r="F7" s="98"/>
      <c r="G7" s="98">
        <v>94</v>
      </c>
      <c r="H7" s="98">
        <v>91</v>
      </c>
      <c r="I7" s="98">
        <v>111</v>
      </c>
    </row>
    <row r="8" spans="2:9">
      <c r="B8" s="1" t="s">
        <v>388</v>
      </c>
      <c r="C8" s="100">
        <v>44</v>
      </c>
      <c r="D8" s="100">
        <v>-584</v>
      </c>
      <c r="E8" s="100">
        <v>-495</v>
      </c>
      <c r="F8" s="100"/>
      <c r="G8" s="100">
        <v>-21</v>
      </c>
      <c r="H8" s="100">
        <v>-488</v>
      </c>
      <c r="I8" s="100">
        <v>27</v>
      </c>
    </row>
    <row r="9" spans="2:9">
      <c r="B9" s="1" t="s">
        <v>389</v>
      </c>
      <c r="C9" s="100">
        <v>402</v>
      </c>
      <c r="D9" s="100">
        <v>151</v>
      </c>
      <c r="E9" s="100">
        <v>337</v>
      </c>
      <c r="F9" s="100"/>
      <c r="G9" s="100">
        <v>90</v>
      </c>
      <c r="H9" s="100">
        <v>-134</v>
      </c>
      <c r="I9" s="100">
        <v>-141</v>
      </c>
    </row>
    <row r="10" spans="2:9">
      <c r="B10" s="1" t="s">
        <v>390</v>
      </c>
      <c r="C10" s="100">
        <v>280</v>
      </c>
      <c r="D10" s="100">
        <v>264</v>
      </c>
      <c r="E10" s="100">
        <v>91</v>
      </c>
      <c r="F10" s="100"/>
      <c r="G10" s="100">
        <v>53</v>
      </c>
      <c r="H10" s="100">
        <v>-161</v>
      </c>
      <c r="I10" s="100">
        <v>-370</v>
      </c>
    </row>
    <row r="11" spans="2:9">
      <c r="B11" s="1" t="s">
        <v>391</v>
      </c>
      <c r="C11" s="100">
        <v>1172</v>
      </c>
      <c r="D11" s="100">
        <v>1931</v>
      </c>
      <c r="E11" s="100">
        <v>1256</v>
      </c>
      <c r="F11" s="100"/>
      <c r="G11" s="100">
        <v>1359</v>
      </c>
      <c r="H11" s="100">
        <v>2282</v>
      </c>
      <c r="I11" s="100">
        <v>1760</v>
      </c>
    </row>
    <row r="12" spans="2:9">
      <c r="B12" s="1" t="s">
        <v>392</v>
      </c>
      <c r="C12" s="100">
        <v>1787</v>
      </c>
      <c r="D12" s="100">
        <v>1959</v>
      </c>
      <c r="E12" s="100">
        <v>1795</v>
      </c>
      <c r="F12" s="100"/>
      <c r="G12" s="100">
        <v>1905</v>
      </c>
      <c r="H12" s="100">
        <v>1667</v>
      </c>
      <c r="I12" s="100">
        <v>1610</v>
      </c>
    </row>
    <row r="13" spans="2:9">
      <c r="B13" s="5" t="s">
        <v>113</v>
      </c>
      <c r="C13" s="472">
        <f>SUM(C7:C12)</f>
        <v>3764</v>
      </c>
      <c r="D13" s="472">
        <f>SUM(D7:D12)</f>
        <v>6300</v>
      </c>
      <c r="E13" s="472">
        <f>SUM(E7:E12)</f>
        <v>3072</v>
      </c>
      <c r="F13" s="100"/>
      <c r="G13" s="472">
        <f>SUM(G7:G12)</f>
        <v>3480</v>
      </c>
      <c r="H13" s="472">
        <f>SUM(H7:H12)</f>
        <v>3257</v>
      </c>
      <c r="I13" s="472">
        <f>SUM(I7:I12)</f>
        <v>2997</v>
      </c>
    </row>
    <row r="14" spans="2:9">
      <c r="B14" s="1" t="s">
        <v>393</v>
      </c>
      <c r="C14" s="98">
        <v>-10</v>
      </c>
      <c r="D14" s="98">
        <v>4</v>
      </c>
      <c r="E14" s="98">
        <v>-2</v>
      </c>
      <c r="F14" s="100"/>
      <c r="G14" s="98">
        <v>-4</v>
      </c>
      <c r="H14" s="98">
        <v>-5</v>
      </c>
      <c r="I14" s="98">
        <v>-9</v>
      </c>
    </row>
    <row r="15" spans="2:9">
      <c r="B15" s="1" t="s">
        <v>438</v>
      </c>
      <c r="C15" s="100">
        <v>123</v>
      </c>
      <c r="D15" s="100">
        <v>0</v>
      </c>
      <c r="E15" s="100">
        <v>0</v>
      </c>
      <c r="F15" s="100"/>
      <c r="G15" s="100">
        <v>8</v>
      </c>
      <c r="H15" s="100">
        <v>94</v>
      </c>
      <c r="I15" s="100">
        <v>17</v>
      </c>
    </row>
    <row r="16" spans="2:9">
      <c r="B16" s="1" t="s">
        <v>439</v>
      </c>
      <c r="C16" s="100">
        <v>0</v>
      </c>
      <c r="D16" s="100">
        <v>-107</v>
      </c>
      <c r="E16" s="100">
        <v>30</v>
      </c>
      <c r="F16" s="100"/>
      <c r="G16" s="100">
        <v>0</v>
      </c>
      <c r="H16" s="100">
        <v>42</v>
      </c>
      <c r="I16" s="100">
        <v>13</v>
      </c>
    </row>
    <row r="17" spans="2:9">
      <c r="B17" s="1" t="s">
        <v>394</v>
      </c>
      <c r="C17" s="100">
        <v>-3</v>
      </c>
      <c r="D17" s="100">
        <v>-2450</v>
      </c>
      <c r="E17" s="100">
        <v>-17</v>
      </c>
      <c r="F17" s="100"/>
      <c r="G17" s="100">
        <f>48+-29</f>
        <v>19</v>
      </c>
      <c r="H17" s="100">
        <v>22</v>
      </c>
      <c r="I17" s="100">
        <v>78</v>
      </c>
    </row>
    <row r="18" spans="2:9">
      <c r="B18" s="5" t="s">
        <v>397</v>
      </c>
      <c r="C18" s="472">
        <f>SUM(C13:C17)</f>
        <v>3874</v>
      </c>
      <c r="D18" s="472">
        <f>SUM(D13:D17)</f>
        <v>3747</v>
      </c>
      <c r="E18" s="472">
        <f>SUM(E13:E17)</f>
        <v>3083</v>
      </c>
      <c r="F18" s="100"/>
      <c r="G18" s="472">
        <f>SUM(G13:G17)</f>
        <v>3503</v>
      </c>
      <c r="H18" s="472">
        <f>SUM(H13:H17)</f>
        <v>3410</v>
      </c>
      <c r="I18" s="472">
        <f>SUM(I13:I17)</f>
        <v>3096</v>
      </c>
    </row>
    <row r="19" spans="2:9">
      <c r="F19" s="100"/>
    </row>
    <row r="20" spans="2:9">
      <c r="B20" s="129"/>
      <c r="E20" s="92"/>
      <c r="F20" s="100"/>
      <c r="I20" s="92"/>
    </row>
    <row r="21" spans="2:9">
      <c r="F21" s="100"/>
    </row>
    <row r="22" spans="2:9">
      <c r="F22" s="100"/>
    </row>
    <row r="23" spans="2:9">
      <c r="F23" s="100"/>
    </row>
    <row r="24" spans="2:9">
      <c r="F24" s="100"/>
    </row>
    <row r="25" spans="2:9">
      <c r="F25" s="100"/>
    </row>
    <row r="26" spans="2:9">
      <c r="F26" s="100"/>
    </row>
    <row r="27" spans="2:9">
      <c r="F27" s="100"/>
    </row>
  </sheetData>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5BC2DD-6781-4B85-A1C4-A8ACEC63517F}">
  <dimension ref="A2:BB134"/>
  <sheetViews>
    <sheetView zoomScale="54" zoomScaleNormal="85" workbookViewId="0">
      <pane xSplit="2" ySplit="6" topLeftCell="C65" activePane="bottomRight" state="frozen"/>
      <selection pane="bottomRight" activeCell="B85" sqref="B85:B96"/>
      <selection pane="bottomLeft" activeCell="O3" sqref="O3"/>
      <selection pane="topRight" activeCell="O3" sqref="O3"/>
    </sheetView>
  </sheetViews>
  <sheetFormatPr defaultColWidth="9.28515625" defaultRowHeight="12.75" outlineLevelRow="1" outlineLevelCol="1"/>
  <cols>
    <col min="1" max="1" width="6.28515625" style="1" customWidth="1"/>
    <col min="2" max="2" width="49.42578125" style="1" customWidth="1"/>
    <col min="3" max="3" width="9.42578125" style="1" customWidth="1" outlineLevel="1"/>
    <col min="4" max="4" width="11.28515625" style="1" customWidth="1" outlineLevel="1"/>
    <col min="5" max="7" width="9.42578125" style="1" customWidth="1" outlineLevel="1"/>
    <col min="8" max="8" width="9.42578125" style="1" customWidth="1" outlineLevel="1" collapsed="1"/>
    <col min="9" max="9" width="9.42578125" style="1" customWidth="1" outlineLevel="1"/>
    <col min="10" max="14" width="12.7109375" style="1" customWidth="1"/>
    <col min="15" max="30" width="12.7109375" style="1" hidden="1" customWidth="1" outlineLevel="1"/>
    <col min="31" max="31" width="12.7109375" style="1" hidden="1" customWidth="1" outlineLevel="1" collapsed="1"/>
    <col min="32" max="34" width="12.7109375" style="1" hidden="1" customWidth="1" outlineLevel="1"/>
    <col min="35" max="35" width="12.7109375" style="1" hidden="1" customWidth="1" outlineLevel="1" collapsed="1"/>
    <col min="36" max="38" width="12.7109375" style="1" hidden="1" customWidth="1" outlineLevel="1"/>
    <col min="39" max="39" width="12.7109375" style="1" hidden="1" customWidth="1" outlineLevel="1" collapsed="1"/>
    <col min="40" max="46" width="12.7109375" style="1" hidden="1" customWidth="1" outlineLevel="1"/>
    <col min="47" max="47" width="12.7109375" style="1" customWidth="1" collapsed="1"/>
    <col min="48" max="58" width="12.7109375" style="1" customWidth="1"/>
    <col min="59" max="16384" width="9.28515625" style="1"/>
  </cols>
  <sheetData>
    <row r="2" spans="1:53" ht="21">
      <c r="B2" s="10" t="s">
        <v>368</v>
      </c>
      <c r="C2" s="12" t="s">
        <v>46</v>
      </c>
      <c r="D2" s="12" t="s">
        <v>46</v>
      </c>
      <c r="E2" s="12" t="s">
        <v>46</v>
      </c>
      <c r="F2" s="12" t="s">
        <v>46</v>
      </c>
      <c r="G2" s="12" t="s">
        <v>46</v>
      </c>
      <c r="H2" s="12" t="s">
        <v>46</v>
      </c>
      <c r="I2" s="12" t="s">
        <v>46</v>
      </c>
      <c r="J2" s="392" t="s">
        <v>46</v>
      </c>
      <c r="K2" s="392" t="s">
        <v>46</v>
      </c>
      <c r="L2" s="392" t="s">
        <v>46</v>
      </c>
      <c r="M2" s="392" t="s">
        <v>46</v>
      </c>
      <c r="N2" s="402"/>
      <c r="O2" s="12" t="s">
        <v>48</v>
      </c>
      <c r="P2" s="12" t="s">
        <v>48</v>
      </c>
      <c r="Q2" s="12" t="s">
        <v>48</v>
      </c>
      <c r="R2" s="12" t="s">
        <v>48</v>
      </c>
      <c r="S2" s="12" t="s">
        <v>48</v>
      </c>
      <c r="T2" s="12" t="s">
        <v>48</v>
      </c>
      <c r="U2" s="12" t="s">
        <v>48</v>
      </c>
      <c r="V2" s="12" t="s">
        <v>48</v>
      </c>
      <c r="W2" s="12" t="s">
        <v>48</v>
      </c>
      <c r="X2" s="12" t="s">
        <v>48</v>
      </c>
      <c r="Y2" s="12" t="s">
        <v>48</v>
      </c>
      <c r="Z2" s="12" t="s">
        <v>48</v>
      </c>
      <c r="AA2" s="12" t="s">
        <v>48</v>
      </c>
      <c r="AB2" s="12" t="s">
        <v>48</v>
      </c>
      <c r="AC2" s="12" t="s">
        <v>48</v>
      </c>
      <c r="AD2" s="12" t="s">
        <v>48</v>
      </c>
      <c r="AE2" s="12" t="s">
        <v>48</v>
      </c>
      <c r="AF2" s="12" t="s">
        <v>48</v>
      </c>
      <c r="AG2" s="12" t="s">
        <v>48</v>
      </c>
      <c r="AH2" s="12" t="s">
        <v>48</v>
      </c>
      <c r="AI2" s="12" t="s">
        <v>48</v>
      </c>
      <c r="AJ2" s="12" t="s">
        <v>48</v>
      </c>
      <c r="AK2" s="12" t="s">
        <v>48</v>
      </c>
      <c r="AL2" s="12" t="s">
        <v>48</v>
      </c>
      <c r="AM2" s="12" t="s">
        <v>48</v>
      </c>
      <c r="AN2" s="12" t="s">
        <v>48</v>
      </c>
      <c r="AO2" s="12" t="s">
        <v>48</v>
      </c>
      <c r="AP2" s="12" t="s">
        <v>48</v>
      </c>
      <c r="AQ2" s="12" t="s">
        <v>48</v>
      </c>
      <c r="AR2" s="12" t="s">
        <v>48</v>
      </c>
      <c r="AS2" s="12" t="s">
        <v>48</v>
      </c>
      <c r="AT2" s="12" t="s">
        <v>48</v>
      </c>
      <c r="AU2" s="12" t="s">
        <v>48</v>
      </c>
      <c r="AV2" s="12" t="s">
        <v>48</v>
      </c>
      <c r="AW2" s="12" t="s">
        <v>48</v>
      </c>
      <c r="AX2" s="12" t="s">
        <v>48</v>
      </c>
      <c r="AY2" s="12" t="s">
        <v>48</v>
      </c>
      <c r="AZ2" s="12" t="s">
        <v>48</v>
      </c>
      <c r="BA2" s="12" t="s">
        <v>48</v>
      </c>
    </row>
    <row r="3" spans="1:53">
      <c r="B3" s="11" t="s">
        <v>50</v>
      </c>
      <c r="C3" s="13">
        <v>41975</v>
      </c>
      <c r="D3" s="13">
        <v>42341</v>
      </c>
      <c r="E3" s="13">
        <v>42708</v>
      </c>
      <c r="F3" s="13">
        <v>43073</v>
      </c>
      <c r="G3" s="13">
        <v>43438</v>
      </c>
      <c r="H3" s="13">
        <v>43803</v>
      </c>
      <c r="I3" s="13">
        <v>44169</v>
      </c>
      <c r="J3" s="14">
        <v>44534</v>
      </c>
      <c r="K3" s="14">
        <v>44899</v>
      </c>
      <c r="L3" s="14">
        <v>45264</v>
      </c>
      <c r="M3" s="14">
        <v>45630</v>
      </c>
      <c r="N3" s="394"/>
      <c r="O3" s="13">
        <v>42437</v>
      </c>
      <c r="P3" s="13">
        <v>42527</v>
      </c>
      <c r="Q3" s="13">
        <v>42622</v>
      </c>
      <c r="R3" s="13">
        <v>42714</v>
      </c>
      <c r="S3" s="13">
        <v>42801</v>
      </c>
      <c r="T3" s="13">
        <v>42892</v>
      </c>
      <c r="U3" s="13">
        <v>42987</v>
      </c>
      <c r="V3" s="13">
        <v>43079</v>
      </c>
      <c r="W3" s="13">
        <v>43166</v>
      </c>
      <c r="X3" s="13">
        <v>43257</v>
      </c>
      <c r="Y3" s="13">
        <v>43352</v>
      </c>
      <c r="Z3" s="13">
        <v>43465</v>
      </c>
      <c r="AA3" s="13">
        <v>43555</v>
      </c>
      <c r="AB3" s="13">
        <v>43646</v>
      </c>
      <c r="AC3" s="13">
        <v>43717</v>
      </c>
      <c r="AD3" s="13">
        <v>43808</v>
      </c>
      <c r="AE3" s="13">
        <v>43921</v>
      </c>
      <c r="AF3" s="13">
        <v>44012</v>
      </c>
      <c r="AG3" s="13">
        <v>44083</v>
      </c>
      <c r="AH3" s="13">
        <v>44196</v>
      </c>
      <c r="AI3" s="13">
        <v>44286</v>
      </c>
      <c r="AJ3" s="13">
        <v>44377</v>
      </c>
      <c r="AK3" s="13">
        <v>44448</v>
      </c>
      <c r="AL3" s="13">
        <v>44561</v>
      </c>
      <c r="AM3" s="13">
        <v>44651</v>
      </c>
      <c r="AN3" s="13">
        <v>44742</v>
      </c>
      <c r="AO3" s="13">
        <v>44813</v>
      </c>
      <c r="AP3" s="13">
        <v>44926</v>
      </c>
      <c r="AQ3" s="13">
        <v>45016</v>
      </c>
      <c r="AR3" s="13">
        <v>45107</v>
      </c>
      <c r="AS3" s="13">
        <v>45178</v>
      </c>
      <c r="AT3" s="13">
        <v>45291</v>
      </c>
      <c r="AU3" s="13">
        <v>45382</v>
      </c>
      <c r="AV3" s="13">
        <v>45473</v>
      </c>
      <c r="AW3" s="13">
        <v>45544</v>
      </c>
      <c r="AX3" s="13">
        <v>45657</v>
      </c>
      <c r="AY3" s="13">
        <v>45747</v>
      </c>
      <c r="AZ3" s="13">
        <v>45838</v>
      </c>
      <c r="BA3" s="13">
        <v>45909</v>
      </c>
    </row>
    <row r="4" spans="1:53" s="26" customFormat="1">
      <c r="B4" s="16"/>
      <c r="C4" s="120" t="s">
        <v>51</v>
      </c>
      <c r="D4" s="120" t="s">
        <v>51</v>
      </c>
      <c r="E4" s="120" t="s">
        <v>51</v>
      </c>
      <c r="F4" s="120" t="s">
        <v>51</v>
      </c>
      <c r="G4" s="120" t="s">
        <v>51</v>
      </c>
      <c r="H4" s="120" t="s">
        <v>51</v>
      </c>
      <c r="I4" s="120" t="s">
        <v>51</v>
      </c>
      <c r="J4" s="120" t="s">
        <v>51</v>
      </c>
      <c r="K4" s="120" t="s">
        <v>51</v>
      </c>
      <c r="L4" s="120" t="s">
        <v>51</v>
      </c>
      <c r="M4" s="120" t="s">
        <v>51</v>
      </c>
      <c r="N4" s="395"/>
      <c r="O4" s="120" t="s">
        <v>51</v>
      </c>
      <c r="P4" s="120" t="s">
        <v>51</v>
      </c>
      <c r="Q4" s="120" t="s">
        <v>51</v>
      </c>
      <c r="R4" s="120" t="s">
        <v>51</v>
      </c>
      <c r="S4" s="120" t="s">
        <v>51</v>
      </c>
      <c r="T4" s="120" t="s">
        <v>51</v>
      </c>
      <c r="U4" s="120" t="s">
        <v>51</v>
      </c>
      <c r="V4" s="120" t="s">
        <v>51</v>
      </c>
      <c r="W4" s="120" t="s">
        <v>51</v>
      </c>
      <c r="X4" s="120" t="s">
        <v>51</v>
      </c>
      <c r="Y4" s="120" t="s">
        <v>51</v>
      </c>
      <c r="Z4" s="120" t="s">
        <v>51</v>
      </c>
      <c r="AA4" s="120" t="s">
        <v>51</v>
      </c>
      <c r="AB4" s="120" t="s">
        <v>51</v>
      </c>
      <c r="AC4" s="120" t="s">
        <v>51</v>
      </c>
      <c r="AD4" s="120" t="s">
        <v>51</v>
      </c>
      <c r="AE4" s="120" t="s">
        <v>51</v>
      </c>
      <c r="AF4" s="120" t="s">
        <v>51</v>
      </c>
      <c r="AG4" s="120" t="s">
        <v>51</v>
      </c>
      <c r="AH4" s="120" t="s">
        <v>51</v>
      </c>
      <c r="AI4" s="120" t="s">
        <v>51</v>
      </c>
      <c r="AJ4" s="120" t="s">
        <v>51</v>
      </c>
      <c r="AK4" s="120" t="s">
        <v>51</v>
      </c>
      <c r="AL4" s="120" t="s">
        <v>51</v>
      </c>
      <c r="AM4" s="120" t="s">
        <v>51</v>
      </c>
      <c r="AN4" s="120" t="s">
        <v>51</v>
      </c>
      <c r="AO4" s="120" t="s">
        <v>51</v>
      </c>
      <c r="AP4" s="120" t="s">
        <v>51</v>
      </c>
      <c r="AQ4" s="120" t="s">
        <v>51</v>
      </c>
      <c r="AR4" s="120" t="s">
        <v>51</v>
      </c>
      <c r="AS4" s="120" t="s">
        <v>51</v>
      </c>
      <c r="AT4" s="120" t="s">
        <v>51</v>
      </c>
      <c r="AU4" s="120" t="s">
        <v>51</v>
      </c>
      <c r="AV4" s="120" t="s">
        <v>51</v>
      </c>
      <c r="AW4" s="120" t="s">
        <v>51</v>
      </c>
      <c r="AX4" s="120" t="s">
        <v>51</v>
      </c>
      <c r="AY4" s="120" t="s">
        <v>51</v>
      </c>
      <c r="AZ4" s="120" t="s">
        <v>51</v>
      </c>
      <c r="BA4" s="120" t="s">
        <v>51</v>
      </c>
    </row>
    <row r="5" spans="1:53">
      <c r="B5" s="3"/>
      <c r="C5" s="23" t="s">
        <v>52</v>
      </c>
      <c r="D5" s="23" t="s">
        <v>52</v>
      </c>
      <c r="E5" s="23" t="s">
        <v>52</v>
      </c>
      <c r="F5" s="23" t="s">
        <v>52</v>
      </c>
      <c r="G5" s="23" t="s">
        <v>52</v>
      </c>
      <c r="H5" s="23" t="s">
        <v>52</v>
      </c>
      <c r="I5" s="23" t="s">
        <v>52</v>
      </c>
      <c r="J5" s="23" t="s">
        <v>52</v>
      </c>
      <c r="K5" s="23" t="s">
        <v>52</v>
      </c>
      <c r="L5" s="23" t="s">
        <v>52</v>
      </c>
      <c r="M5" s="23" t="s">
        <v>52</v>
      </c>
      <c r="N5" s="23"/>
      <c r="O5" s="23" t="s">
        <v>55</v>
      </c>
      <c r="P5" s="23" t="s">
        <v>372</v>
      </c>
      <c r="Q5" s="23" t="s">
        <v>53</v>
      </c>
      <c r="R5" s="23" t="s">
        <v>54</v>
      </c>
      <c r="S5" s="23" t="s">
        <v>55</v>
      </c>
      <c r="T5" s="23" t="s">
        <v>372</v>
      </c>
      <c r="U5" s="23" t="s">
        <v>53</v>
      </c>
      <c r="V5" s="23" t="s">
        <v>54</v>
      </c>
      <c r="W5" s="23" t="s">
        <v>55</v>
      </c>
      <c r="X5" s="23" t="s">
        <v>372</v>
      </c>
      <c r="Y5" s="23" t="s">
        <v>53</v>
      </c>
      <c r="Z5" s="23" t="s">
        <v>54</v>
      </c>
      <c r="AA5" s="23" t="s">
        <v>55</v>
      </c>
      <c r="AB5" s="23" t="s">
        <v>372</v>
      </c>
      <c r="AC5" s="23" t="s">
        <v>53</v>
      </c>
      <c r="AD5" s="23" t="s">
        <v>54</v>
      </c>
      <c r="AE5" s="23" t="s">
        <v>55</v>
      </c>
      <c r="AF5" s="23" t="s">
        <v>372</v>
      </c>
      <c r="AG5" s="23" t="s">
        <v>53</v>
      </c>
      <c r="AH5" s="23" t="s">
        <v>54</v>
      </c>
      <c r="AI5" s="23" t="s">
        <v>55</v>
      </c>
      <c r="AJ5" s="23" t="s">
        <v>372</v>
      </c>
      <c r="AK5" s="23" t="s">
        <v>53</v>
      </c>
      <c r="AL5" s="23" t="s">
        <v>54</v>
      </c>
      <c r="AM5" s="23" t="s">
        <v>55</v>
      </c>
      <c r="AN5" s="23" t="s">
        <v>372</v>
      </c>
      <c r="AO5" s="23" t="s">
        <v>53</v>
      </c>
      <c r="AP5" s="23" t="s">
        <v>54</v>
      </c>
      <c r="AQ5" s="23" t="s">
        <v>55</v>
      </c>
      <c r="AR5" s="23" t="s">
        <v>372</v>
      </c>
      <c r="AS5" s="23" t="s">
        <v>53</v>
      </c>
      <c r="AT5" s="23" t="s">
        <v>54</v>
      </c>
      <c r="AU5" s="23" t="s">
        <v>55</v>
      </c>
      <c r="AV5" s="23" t="s">
        <v>372</v>
      </c>
      <c r="AW5" s="23" t="s">
        <v>53</v>
      </c>
      <c r="AX5" s="23" t="s">
        <v>54</v>
      </c>
      <c r="AY5" s="23" t="s">
        <v>55</v>
      </c>
      <c r="AZ5" s="23" t="s">
        <v>372</v>
      </c>
      <c r="BA5" s="23" t="s">
        <v>53</v>
      </c>
    </row>
    <row r="6" spans="1:53">
      <c r="B6" s="442"/>
      <c r="C6" s="441"/>
      <c r="D6" s="441"/>
      <c r="E6" s="441"/>
      <c r="F6" s="441"/>
      <c r="G6" s="441"/>
      <c r="H6" s="441"/>
      <c r="I6" s="441"/>
      <c r="J6" s="441"/>
      <c r="K6" s="441"/>
      <c r="L6" s="441"/>
      <c r="M6" s="441"/>
      <c r="N6" s="23"/>
      <c r="O6" s="441"/>
      <c r="P6" s="441"/>
      <c r="Q6" s="441"/>
      <c r="R6" s="441"/>
      <c r="S6" s="441"/>
      <c r="T6" s="441"/>
      <c r="U6" s="441"/>
      <c r="V6" s="441"/>
      <c r="W6" s="441"/>
      <c r="X6" s="441"/>
      <c r="Y6" s="441"/>
      <c r="Z6" s="441"/>
      <c r="AA6" s="441"/>
      <c r="AB6" s="441"/>
      <c r="AC6" s="441"/>
      <c r="AD6" s="441"/>
      <c r="AE6" s="441"/>
      <c r="AF6" s="441"/>
      <c r="AG6" s="441"/>
      <c r="AH6" s="441"/>
      <c r="AI6" s="441"/>
      <c r="AJ6" s="441"/>
      <c r="AK6" s="441"/>
      <c r="AL6" s="441"/>
      <c r="AM6" s="441"/>
      <c r="AN6" s="441"/>
      <c r="AO6" s="441"/>
      <c r="AP6" s="441"/>
      <c r="AQ6" s="441"/>
      <c r="AR6" s="441"/>
      <c r="AS6" s="441"/>
      <c r="AT6" s="441"/>
      <c r="AU6" s="441"/>
      <c r="AV6" s="441"/>
      <c r="AW6" s="441"/>
      <c r="AX6" s="441"/>
      <c r="AY6" s="441"/>
      <c r="AZ6" s="441"/>
      <c r="BA6" s="441"/>
    </row>
    <row r="7" spans="1:53" s="17" customFormat="1" outlineLevel="1">
      <c r="A7" s="26"/>
      <c r="B7" s="16" t="s">
        <v>440</v>
      </c>
      <c r="C7" s="16"/>
      <c r="D7" s="16"/>
      <c r="E7" s="16"/>
      <c r="F7" s="16"/>
      <c r="G7" s="16"/>
      <c r="H7" s="16"/>
      <c r="I7" s="16"/>
      <c r="J7" s="16"/>
      <c r="K7" s="16"/>
      <c r="L7" s="16"/>
      <c r="M7" s="16"/>
      <c r="N7" s="5"/>
      <c r="O7" s="16"/>
      <c r="P7" s="16"/>
      <c r="Q7" s="16"/>
      <c r="R7" s="16"/>
      <c r="S7" s="16"/>
      <c r="T7" s="16"/>
      <c r="U7" s="16"/>
      <c r="V7" s="16"/>
      <c r="W7" s="16"/>
      <c r="X7" s="16"/>
      <c r="Y7" s="16"/>
      <c r="Z7" s="16"/>
      <c r="AA7" s="16"/>
      <c r="AB7" s="16"/>
      <c r="AC7" s="16"/>
      <c r="AD7" s="16"/>
      <c r="AE7" s="16"/>
      <c r="AF7" s="16"/>
      <c r="AG7" s="16"/>
      <c r="AH7" s="16"/>
      <c r="AI7" s="16"/>
      <c r="AJ7" s="16"/>
      <c r="AK7" s="16"/>
      <c r="AL7" s="16"/>
      <c r="AM7" s="16"/>
      <c r="AN7" s="16"/>
      <c r="AO7" s="16"/>
      <c r="AP7" s="16"/>
      <c r="AQ7" s="16"/>
      <c r="AR7" s="16"/>
      <c r="AS7" s="16"/>
      <c r="AT7" s="16"/>
      <c r="AU7" s="16"/>
      <c r="AV7" s="16"/>
      <c r="AX7" s="16"/>
      <c r="AY7" s="16"/>
      <c r="AZ7" s="16"/>
    </row>
    <row r="8" spans="1:53" outlineLevel="1">
      <c r="B8" s="5" t="s">
        <v>441</v>
      </c>
      <c r="C8" s="8">
        <f>+C9+C12+C13</f>
        <v>9313.735999999999</v>
      </c>
      <c r="D8" s="8">
        <f>+D9+D12+D13</f>
        <v>9905.6655935568087</v>
      </c>
      <c r="E8" s="8">
        <f>+E9+E12+E13</f>
        <v>9447.4760000000006</v>
      </c>
      <c r="F8" s="8">
        <f>+F9+F12+F13</f>
        <v>9690.7250000000004</v>
      </c>
      <c r="G8" s="8"/>
      <c r="H8" s="8"/>
      <c r="I8" s="8"/>
      <c r="J8" s="8"/>
      <c r="K8" s="8"/>
      <c r="L8" s="8"/>
      <c r="M8" s="8"/>
      <c r="N8" s="8"/>
      <c r="O8" s="8">
        <f>+O9+O12+O13</f>
        <v>2468.7190000000001</v>
      </c>
      <c r="P8" s="8">
        <f t="shared" ref="P8:W8" si="0">+P9+P12+P13</f>
        <v>2311.5239999999999</v>
      </c>
      <c r="Q8" s="8">
        <f t="shared" si="0"/>
        <v>2110.7799999999997</v>
      </c>
      <c r="R8" s="8">
        <f t="shared" si="0"/>
        <v>2556.4529999999995</v>
      </c>
      <c r="S8" s="8">
        <f t="shared" si="0"/>
        <v>2040.4560000000001</v>
      </c>
      <c r="T8" s="8">
        <f t="shared" si="0"/>
        <v>2068.1019999999999</v>
      </c>
      <c r="U8" s="8">
        <f t="shared" si="0"/>
        <v>2576.058</v>
      </c>
      <c r="V8" s="8">
        <f t="shared" si="0"/>
        <v>3006.1090000000004</v>
      </c>
      <c r="W8" s="8">
        <f t="shared" si="0"/>
        <v>2947.0479999999998</v>
      </c>
      <c r="X8" s="194"/>
      <c r="Y8" s="194"/>
      <c r="Z8" s="194"/>
      <c r="AA8" s="194"/>
      <c r="AB8" s="194"/>
      <c r="AC8" s="194"/>
      <c r="AD8" s="194"/>
      <c r="AE8" s="194"/>
      <c r="AF8" s="194"/>
      <c r="AG8" s="194"/>
      <c r="AH8" s="194"/>
      <c r="AI8" s="194"/>
      <c r="AJ8" s="194"/>
      <c r="AK8" s="194"/>
      <c r="AL8" s="194"/>
      <c r="AM8" s="194"/>
      <c r="AN8" s="194"/>
      <c r="AO8" s="194"/>
      <c r="AP8" s="194"/>
      <c r="AQ8" s="194"/>
      <c r="AR8" s="194"/>
      <c r="AS8" s="194"/>
      <c r="AT8" s="194"/>
      <c r="AU8" s="194"/>
      <c r="AV8" s="194"/>
      <c r="AX8" s="194"/>
      <c r="AY8" s="194"/>
      <c r="AZ8" s="194"/>
    </row>
    <row r="9" spans="1:53" outlineLevel="1">
      <c r="B9" s="1" t="s">
        <v>442</v>
      </c>
      <c r="C9" s="6">
        <f>SUM(C10:C11)</f>
        <v>6943.5929999999998</v>
      </c>
      <c r="D9" s="6">
        <f>SUM(D10:D11)</f>
        <v>7458.8081776727431</v>
      </c>
      <c r="E9" s="6">
        <f>SUM(E10:E11)</f>
        <v>7168.6880000000001</v>
      </c>
      <c r="F9" s="6">
        <f>SUM(F10:F11)</f>
        <v>7860.2340000000004</v>
      </c>
      <c r="G9" s="6"/>
      <c r="H9" s="6"/>
      <c r="I9" s="6"/>
      <c r="J9" s="6"/>
      <c r="K9" s="6"/>
      <c r="L9" s="6"/>
      <c r="M9" s="6"/>
      <c r="N9" s="6"/>
      <c r="O9" s="6">
        <f>SUM(O10:O11)</f>
        <v>1899.857</v>
      </c>
      <c r="P9" s="6">
        <f t="shared" ref="P9:W9" si="1">SUM(P10:P11)</f>
        <v>1752.5519999999999</v>
      </c>
      <c r="Q9" s="6">
        <f t="shared" si="1"/>
        <v>1551.9829999999999</v>
      </c>
      <c r="R9" s="6">
        <f t="shared" si="1"/>
        <v>1964.2959999999998</v>
      </c>
      <c r="S9" s="6">
        <f t="shared" si="1"/>
        <v>1610.7860000000001</v>
      </c>
      <c r="T9" s="6">
        <f t="shared" si="1"/>
        <v>1639.2249999999999</v>
      </c>
      <c r="U9" s="6">
        <f t="shared" si="1"/>
        <v>2111.4269999999997</v>
      </c>
      <c r="V9" s="6">
        <f t="shared" si="1"/>
        <v>2498.7960000000003</v>
      </c>
      <c r="W9" s="6">
        <f t="shared" si="1"/>
        <v>2453.7309999999998</v>
      </c>
      <c r="X9" s="193"/>
      <c r="Y9" s="193"/>
      <c r="Z9" s="193"/>
      <c r="AA9" s="193"/>
      <c r="AB9" s="193"/>
      <c r="AC9" s="193"/>
      <c r="AD9" s="193"/>
      <c r="AE9" s="193"/>
      <c r="AF9" s="193"/>
      <c r="AG9" s="193"/>
      <c r="AH9" s="193"/>
      <c r="AI9" s="193"/>
      <c r="AJ9" s="193"/>
      <c r="AK9" s="193"/>
      <c r="AL9" s="193"/>
      <c r="AM9" s="193"/>
      <c r="AN9" s="193"/>
      <c r="AO9" s="193"/>
      <c r="AP9" s="193"/>
      <c r="AQ9" s="193"/>
      <c r="AR9" s="193"/>
      <c r="AS9" s="193"/>
      <c r="AT9" s="193"/>
      <c r="AU9" s="193"/>
      <c r="AV9" s="193"/>
      <c r="AX9" s="193"/>
      <c r="AY9" s="193"/>
      <c r="AZ9" s="193"/>
    </row>
    <row r="10" spans="1:53" outlineLevel="1">
      <c r="B10" s="7" t="s">
        <v>443</v>
      </c>
      <c r="C10" s="4">
        <v>3418.2449999999999</v>
      </c>
      <c r="D10" s="4">
        <v>3504.4112539047323</v>
      </c>
      <c r="E10" s="6">
        <f>SUM(O10:R10)</f>
        <v>3591.4379999999996</v>
      </c>
      <c r="F10" s="6">
        <f>SUM(S10:V10)</f>
        <v>3918.9459999999999</v>
      </c>
      <c r="G10" s="6"/>
      <c r="H10" s="6"/>
      <c r="I10" s="6"/>
      <c r="J10" s="6"/>
      <c r="K10" s="6"/>
      <c r="L10" s="6"/>
      <c r="M10" s="6"/>
      <c r="N10" s="6"/>
      <c r="O10" s="4">
        <v>742.702</v>
      </c>
      <c r="P10" s="4">
        <v>795.61699999999996</v>
      </c>
      <c r="Q10" s="4">
        <v>1007.175</v>
      </c>
      <c r="R10" s="4">
        <v>1045.944</v>
      </c>
      <c r="S10" s="4">
        <v>765.05</v>
      </c>
      <c r="T10" s="4">
        <v>820.82</v>
      </c>
      <c r="U10" s="4">
        <v>1035.925</v>
      </c>
      <c r="V10" s="4">
        <v>1297.1510000000001</v>
      </c>
      <c r="W10" s="4">
        <v>1110.4659999999999</v>
      </c>
      <c r="X10" s="195"/>
      <c r="Y10" s="195"/>
      <c r="Z10" s="195"/>
      <c r="AA10" s="195"/>
      <c r="AB10" s="195"/>
      <c r="AC10" s="195"/>
      <c r="AD10" s="195"/>
      <c r="AE10" s="195"/>
      <c r="AF10" s="195"/>
      <c r="AG10" s="195"/>
      <c r="AH10" s="195"/>
      <c r="AI10" s="195"/>
      <c r="AJ10" s="195"/>
      <c r="AK10" s="195"/>
      <c r="AL10" s="195"/>
      <c r="AM10" s="195"/>
      <c r="AN10" s="195"/>
      <c r="AO10" s="195"/>
      <c r="AP10" s="195"/>
      <c r="AQ10" s="195"/>
      <c r="AR10" s="195"/>
      <c r="AS10" s="195"/>
      <c r="AT10" s="195"/>
      <c r="AU10" s="195"/>
      <c r="AV10" s="195"/>
      <c r="AX10" s="195"/>
      <c r="AY10" s="195"/>
      <c r="AZ10" s="195"/>
    </row>
    <row r="11" spans="1:53" outlineLevel="1">
      <c r="B11" s="7" t="s">
        <v>444</v>
      </c>
      <c r="C11" s="4">
        <v>3525.348</v>
      </c>
      <c r="D11" s="4">
        <v>3954.3969237680108</v>
      </c>
      <c r="E11" s="6">
        <f>SUM(O11:R11)</f>
        <v>3577.25</v>
      </c>
      <c r="F11" s="6">
        <f>SUM(S11:V11)</f>
        <v>3941.288</v>
      </c>
      <c r="G11" s="6"/>
      <c r="H11" s="6"/>
      <c r="I11" s="6"/>
      <c r="J11" s="6"/>
      <c r="K11" s="6"/>
      <c r="L11" s="6"/>
      <c r="M11" s="6"/>
      <c r="N11" s="6"/>
      <c r="O11" s="4">
        <v>1157.155</v>
      </c>
      <c r="P11" s="4">
        <v>956.93499999999995</v>
      </c>
      <c r="Q11" s="4">
        <v>544.80799999999999</v>
      </c>
      <c r="R11" s="4">
        <v>918.35199999999998</v>
      </c>
      <c r="S11" s="4">
        <v>845.73599999999999</v>
      </c>
      <c r="T11" s="4">
        <v>818.40499999999997</v>
      </c>
      <c r="U11" s="4">
        <v>1075.502</v>
      </c>
      <c r="V11" s="4">
        <v>1201.645</v>
      </c>
      <c r="W11" s="4">
        <v>1343.2650000000001</v>
      </c>
      <c r="X11" s="195"/>
      <c r="Y11" s="195"/>
      <c r="Z11" s="195"/>
      <c r="AA11" s="195"/>
      <c r="AB11" s="195"/>
      <c r="AC11" s="195"/>
      <c r="AD11" s="195"/>
      <c r="AE11" s="195"/>
      <c r="AF11" s="195"/>
      <c r="AG11" s="195"/>
      <c r="AH11" s="195"/>
      <c r="AI11" s="195"/>
      <c r="AJ11" s="195"/>
      <c r="AK11" s="195"/>
      <c r="AL11" s="195"/>
      <c r="AM11" s="195"/>
      <c r="AN11" s="195"/>
      <c r="AO11" s="195"/>
      <c r="AP11" s="195"/>
      <c r="AQ11" s="195"/>
      <c r="AR11" s="195"/>
      <c r="AS11" s="195"/>
      <c r="AT11" s="195"/>
      <c r="AU11" s="195"/>
      <c r="AV11" s="195"/>
      <c r="AX11" s="195"/>
      <c r="AY11" s="195"/>
      <c r="AZ11" s="195"/>
    </row>
    <row r="12" spans="1:53" outlineLevel="1">
      <c r="B12" s="1" t="s">
        <v>445</v>
      </c>
      <c r="C12" s="4">
        <v>860.495</v>
      </c>
      <c r="D12" s="4">
        <v>956.23439095095614</v>
      </c>
      <c r="E12" s="6">
        <f>SUM(O12:R12)</f>
        <v>1031.116</v>
      </c>
      <c r="F12" s="6">
        <f>SUM(S12:V12)</f>
        <v>691.08299999999997</v>
      </c>
      <c r="G12" s="6"/>
      <c r="H12" s="6"/>
      <c r="I12" s="6"/>
      <c r="J12" s="6"/>
      <c r="K12" s="6"/>
      <c r="L12" s="6"/>
      <c r="M12" s="6"/>
      <c r="N12" s="6"/>
      <c r="O12" s="4">
        <v>243.261</v>
      </c>
      <c r="P12" s="4">
        <v>251.85499999999999</v>
      </c>
      <c r="Q12" s="4">
        <v>261.50299999999999</v>
      </c>
      <c r="R12" s="4">
        <v>274.49700000000001</v>
      </c>
      <c r="S12" s="4">
        <v>158.124</v>
      </c>
      <c r="T12" s="4">
        <v>143.58099999999999</v>
      </c>
      <c r="U12" s="4">
        <v>185.947</v>
      </c>
      <c r="V12" s="4">
        <v>203.43100000000001</v>
      </c>
      <c r="W12" s="4">
        <v>216.69499999999999</v>
      </c>
      <c r="X12" s="195"/>
      <c r="Y12" s="195"/>
      <c r="Z12" s="195"/>
      <c r="AA12" s="195"/>
      <c r="AB12" s="195"/>
      <c r="AC12" s="195"/>
      <c r="AD12" s="195"/>
      <c r="AE12" s="195"/>
      <c r="AF12" s="195"/>
      <c r="AG12" s="195"/>
      <c r="AH12" s="195"/>
      <c r="AI12" s="195"/>
      <c r="AJ12" s="195"/>
      <c r="AK12" s="195"/>
      <c r="AL12" s="195"/>
      <c r="AM12" s="195"/>
      <c r="AN12" s="195"/>
      <c r="AO12" s="195"/>
      <c r="AP12" s="195"/>
      <c r="AQ12" s="195"/>
      <c r="AR12" s="195"/>
      <c r="AS12" s="195"/>
      <c r="AT12" s="195"/>
      <c r="AU12" s="195"/>
      <c r="AV12" s="195"/>
      <c r="AX12" s="195"/>
      <c r="AY12" s="195"/>
      <c r="AZ12" s="195"/>
    </row>
    <row r="13" spans="1:53" outlineLevel="1">
      <c r="B13" s="1" t="s">
        <v>446</v>
      </c>
      <c r="C13" s="4">
        <v>1509.6479999999999</v>
      </c>
      <c r="D13" s="4">
        <v>1490.6230249331095</v>
      </c>
      <c r="E13" s="6">
        <f>SUM(O13:R13)</f>
        <v>1247.672</v>
      </c>
      <c r="F13" s="6">
        <f>SUM(S13:V13)</f>
        <v>1139.4080000000001</v>
      </c>
      <c r="G13" s="6"/>
      <c r="H13" s="6"/>
      <c r="I13" s="6"/>
      <c r="J13" s="6"/>
      <c r="K13" s="6"/>
      <c r="L13" s="6"/>
      <c r="M13" s="6"/>
      <c r="N13" s="6"/>
      <c r="O13" s="4">
        <v>325.601</v>
      </c>
      <c r="P13" s="4">
        <v>307.11700000000002</v>
      </c>
      <c r="Q13" s="4">
        <v>297.29399999999998</v>
      </c>
      <c r="R13" s="4">
        <v>317.66000000000003</v>
      </c>
      <c r="S13" s="4">
        <v>271.54599999999999</v>
      </c>
      <c r="T13" s="4">
        <v>285.29599999999999</v>
      </c>
      <c r="U13" s="4">
        <v>278.68400000000003</v>
      </c>
      <c r="V13" s="4">
        <v>303.88200000000001</v>
      </c>
      <c r="W13" s="4">
        <v>276.62200000000001</v>
      </c>
      <c r="X13" s="195"/>
      <c r="Y13" s="195"/>
      <c r="Z13" s="195"/>
      <c r="AA13" s="195"/>
      <c r="AB13" s="195"/>
      <c r="AC13" s="195"/>
      <c r="AD13" s="195"/>
      <c r="AE13" s="195"/>
      <c r="AF13" s="195"/>
      <c r="AG13" s="195"/>
      <c r="AH13" s="195"/>
      <c r="AI13" s="195"/>
      <c r="AJ13" s="195"/>
      <c r="AK13" s="195"/>
      <c r="AL13" s="195"/>
      <c r="AM13" s="195"/>
      <c r="AN13" s="195"/>
      <c r="AO13" s="195"/>
      <c r="AP13" s="195"/>
      <c r="AQ13" s="195"/>
      <c r="AR13" s="195"/>
      <c r="AS13" s="195"/>
      <c r="AT13" s="195"/>
      <c r="AU13" s="195"/>
      <c r="AV13" s="195"/>
      <c r="AX13" s="195"/>
      <c r="AY13" s="195"/>
      <c r="AZ13" s="195"/>
    </row>
    <row r="14" spans="1:53" outlineLevel="1">
      <c r="C14" s="6"/>
      <c r="D14" s="6"/>
      <c r="E14" s="6"/>
      <c r="F14" s="6"/>
      <c r="G14" s="6"/>
      <c r="H14" s="6"/>
      <c r="I14" s="6"/>
      <c r="J14" s="6"/>
      <c r="K14" s="6"/>
      <c r="L14" s="6"/>
      <c r="M14" s="6"/>
      <c r="N14" s="6"/>
      <c r="O14" s="6"/>
      <c r="P14" s="6"/>
      <c r="Q14" s="6"/>
      <c r="R14" s="6"/>
      <c r="S14" s="6"/>
      <c r="T14" s="6"/>
      <c r="U14" s="6"/>
      <c r="V14" s="6"/>
      <c r="W14" s="6"/>
      <c r="X14" s="193"/>
      <c r="Y14" s="193"/>
      <c r="Z14" s="193"/>
      <c r="AA14" s="193"/>
      <c r="AB14" s="193"/>
      <c r="AC14" s="193"/>
      <c r="AD14" s="193"/>
      <c r="AE14" s="193"/>
      <c r="AF14" s="193"/>
      <c r="AG14" s="193"/>
      <c r="AH14" s="193"/>
      <c r="AI14" s="193"/>
      <c r="AJ14" s="193"/>
      <c r="AK14" s="193"/>
      <c r="AL14" s="193"/>
      <c r="AM14" s="193"/>
      <c r="AN14" s="193"/>
      <c r="AO14" s="193"/>
      <c r="AP14" s="193"/>
      <c r="AQ14" s="193"/>
      <c r="AR14" s="193"/>
      <c r="AS14" s="193"/>
      <c r="AT14" s="193"/>
      <c r="AU14" s="193"/>
      <c r="AV14" s="193"/>
      <c r="AX14" s="193"/>
      <c r="AY14" s="193"/>
      <c r="AZ14" s="193"/>
    </row>
    <row r="15" spans="1:53" outlineLevel="1">
      <c r="B15" s="5" t="s">
        <v>447</v>
      </c>
      <c r="C15" s="6">
        <f>SUM(C16:C17)</f>
        <v>5895.0219999999999</v>
      </c>
      <c r="D15" s="6">
        <f>SUM(D16:D17)</f>
        <v>8986.1671687225753</v>
      </c>
      <c r="E15" s="6">
        <f>SUM(E16:E17)</f>
        <v>9380.8360000000011</v>
      </c>
      <c r="F15" s="6">
        <f>SUM(F16:F17)</f>
        <v>8887.1270000000004</v>
      </c>
      <c r="G15" s="6"/>
      <c r="H15" s="6"/>
      <c r="I15" s="6"/>
      <c r="J15" s="6"/>
      <c r="K15" s="6"/>
      <c r="L15" s="6"/>
      <c r="M15" s="6"/>
      <c r="N15" s="6"/>
      <c r="O15" s="6">
        <f>SUM(O16:O17)</f>
        <v>2437.6530000000002</v>
      </c>
      <c r="P15" s="6">
        <f t="shared" ref="P15:W15" si="2">SUM(P16:P17)</f>
        <v>2364.1419999999998</v>
      </c>
      <c r="Q15" s="6">
        <f t="shared" si="2"/>
        <v>2236.3959999999997</v>
      </c>
      <c r="R15" s="6">
        <f t="shared" si="2"/>
        <v>2342.645</v>
      </c>
      <c r="S15" s="6">
        <f t="shared" si="2"/>
        <v>2095.703</v>
      </c>
      <c r="T15" s="6">
        <f t="shared" si="2"/>
        <v>2244.8490000000002</v>
      </c>
      <c r="U15" s="6">
        <f t="shared" si="2"/>
        <v>2255.04</v>
      </c>
      <c r="V15" s="6">
        <f t="shared" si="2"/>
        <v>2291.5349999999999</v>
      </c>
      <c r="W15" s="6">
        <f t="shared" si="2"/>
        <v>2201.6680000000001</v>
      </c>
      <c r="X15" s="193"/>
      <c r="Y15" s="193"/>
      <c r="Z15" s="193"/>
      <c r="AA15" s="193"/>
      <c r="AB15" s="193"/>
      <c r="AC15" s="193"/>
      <c r="AD15" s="193"/>
      <c r="AE15" s="193"/>
      <c r="AF15" s="193"/>
      <c r="AG15" s="193"/>
      <c r="AH15" s="193"/>
      <c r="AI15" s="193"/>
      <c r="AJ15" s="193"/>
      <c r="AK15" s="193"/>
      <c r="AL15" s="193"/>
      <c r="AM15" s="193"/>
      <c r="AN15" s="193"/>
      <c r="AO15" s="193"/>
      <c r="AP15" s="193"/>
      <c r="AQ15" s="193"/>
      <c r="AR15" s="193"/>
      <c r="AS15" s="193"/>
      <c r="AT15" s="193"/>
      <c r="AU15" s="193"/>
      <c r="AV15" s="193"/>
      <c r="AX15" s="193"/>
      <c r="AY15" s="193"/>
      <c r="AZ15" s="193"/>
    </row>
    <row r="16" spans="1:53" outlineLevel="1">
      <c r="B16" s="1" t="s">
        <v>448</v>
      </c>
      <c r="C16" s="4">
        <v>4341.7929999999997</v>
      </c>
      <c r="D16" s="4">
        <v>6343.9733034754554</v>
      </c>
      <c r="E16" s="6">
        <f>SUM(O16:R16)</f>
        <v>6664.9320000000007</v>
      </c>
      <c r="F16" s="6">
        <f>SUM(S16:V16)</f>
        <v>6117.7939999999999</v>
      </c>
      <c r="G16" s="6"/>
      <c r="H16" s="6"/>
      <c r="I16" s="6"/>
      <c r="J16" s="6"/>
      <c r="K16" s="6"/>
      <c r="L16" s="6"/>
      <c r="M16" s="6"/>
      <c r="N16" s="6"/>
      <c r="O16" s="4">
        <v>1734.644</v>
      </c>
      <c r="P16" s="4">
        <v>1684.6479999999999</v>
      </c>
      <c r="Q16" s="4">
        <v>1600.665</v>
      </c>
      <c r="R16" s="4">
        <v>1644.9749999999999</v>
      </c>
      <c r="S16" s="4">
        <v>1477.578</v>
      </c>
      <c r="T16" s="4">
        <v>1545.4590000000001</v>
      </c>
      <c r="U16" s="4">
        <v>1535.2829999999999</v>
      </c>
      <c r="V16" s="4">
        <v>1559.4739999999999</v>
      </c>
      <c r="W16" s="4">
        <v>1500.3820000000001</v>
      </c>
      <c r="X16" s="195"/>
      <c r="Y16" s="195"/>
      <c r="Z16" s="195"/>
      <c r="AA16" s="195"/>
      <c r="AB16" s="195"/>
      <c r="AC16" s="195"/>
      <c r="AD16" s="195"/>
      <c r="AE16" s="195"/>
      <c r="AF16" s="195"/>
      <c r="AG16" s="195"/>
      <c r="AH16" s="195"/>
      <c r="AI16" s="195"/>
      <c r="AJ16" s="195"/>
      <c r="AK16" s="195"/>
      <c r="AL16" s="195"/>
      <c r="AM16" s="195"/>
      <c r="AN16" s="195"/>
      <c r="AO16" s="195"/>
      <c r="AP16" s="195"/>
      <c r="AQ16" s="195"/>
      <c r="AR16" s="195"/>
      <c r="AS16" s="195"/>
      <c r="AT16" s="195"/>
      <c r="AU16" s="195"/>
      <c r="AV16" s="195"/>
      <c r="AX16" s="195"/>
      <c r="AY16" s="195"/>
      <c r="AZ16" s="195"/>
    </row>
    <row r="17" spans="1:52" outlineLevel="1">
      <c r="B17" s="5" t="s">
        <v>449</v>
      </c>
      <c r="C17" s="4">
        <v>1553.229</v>
      </c>
      <c r="D17" s="4">
        <v>2642.1938652471199</v>
      </c>
      <c r="E17" s="6">
        <f>SUM(O17:R17)</f>
        <v>2715.904</v>
      </c>
      <c r="F17" s="6">
        <f>SUM(S17:V17)</f>
        <v>2769.3330000000001</v>
      </c>
      <c r="G17" s="6"/>
      <c r="H17" s="6"/>
      <c r="I17" s="6"/>
      <c r="J17" s="6"/>
      <c r="K17" s="6"/>
      <c r="L17" s="6"/>
      <c r="M17" s="6"/>
      <c r="N17" s="6"/>
      <c r="O17" s="4">
        <v>703.00900000000001</v>
      </c>
      <c r="P17" s="4">
        <v>679.49400000000003</v>
      </c>
      <c r="Q17" s="4">
        <v>635.73099999999999</v>
      </c>
      <c r="R17" s="4">
        <v>697.67</v>
      </c>
      <c r="S17" s="4">
        <v>618.125</v>
      </c>
      <c r="T17" s="4">
        <v>699.39</v>
      </c>
      <c r="U17" s="4">
        <v>719.75699999999995</v>
      </c>
      <c r="V17" s="4">
        <v>732.06100000000004</v>
      </c>
      <c r="W17" s="4">
        <v>701.28599999999994</v>
      </c>
      <c r="X17" s="195"/>
      <c r="Y17" s="195"/>
      <c r="Z17" s="195"/>
      <c r="AA17" s="195"/>
      <c r="AB17" s="195"/>
      <c r="AC17" s="195"/>
      <c r="AD17" s="195"/>
      <c r="AE17" s="195"/>
      <c r="AF17" s="195"/>
      <c r="AG17" s="195"/>
      <c r="AH17" s="195"/>
      <c r="AI17" s="195"/>
      <c r="AJ17" s="195"/>
      <c r="AK17" s="195"/>
      <c r="AL17" s="195"/>
      <c r="AM17" s="195"/>
      <c r="AN17" s="195"/>
      <c r="AO17" s="195"/>
      <c r="AP17" s="195"/>
      <c r="AQ17" s="195"/>
      <c r="AR17" s="195"/>
      <c r="AS17" s="195"/>
      <c r="AT17" s="195"/>
      <c r="AU17" s="195"/>
      <c r="AV17" s="195"/>
      <c r="AX17" s="195"/>
      <c r="AY17" s="195"/>
      <c r="AZ17" s="195"/>
    </row>
    <row r="18" spans="1:52" outlineLevel="1">
      <c r="X18" s="192"/>
      <c r="Y18" s="192"/>
      <c r="Z18" s="192"/>
      <c r="AA18" s="192"/>
      <c r="AB18" s="192"/>
      <c r="AC18" s="192"/>
      <c r="AD18" s="192"/>
      <c r="AE18" s="192"/>
      <c r="AF18" s="192"/>
      <c r="AG18" s="192"/>
      <c r="AH18" s="192"/>
      <c r="AI18" s="192"/>
      <c r="AJ18" s="192"/>
      <c r="AK18" s="192"/>
      <c r="AL18" s="192"/>
      <c r="AM18" s="192"/>
      <c r="AN18" s="192"/>
      <c r="AO18" s="192"/>
      <c r="AP18" s="192"/>
      <c r="AQ18" s="192"/>
      <c r="AR18" s="192"/>
      <c r="AS18" s="192"/>
      <c r="AT18" s="192"/>
      <c r="AU18" s="192"/>
      <c r="AV18" s="192"/>
      <c r="AX18" s="192"/>
      <c r="AY18" s="192"/>
      <c r="AZ18" s="192"/>
    </row>
    <row r="19" spans="1:52" outlineLevel="1">
      <c r="B19" s="5" t="s">
        <v>450</v>
      </c>
      <c r="X19" s="192"/>
      <c r="Y19" s="192"/>
      <c r="Z19" s="192"/>
      <c r="AA19" s="192"/>
      <c r="AB19" s="192"/>
      <c r="AC19" s="192"/>
      <c r="AD19" s="192"/>
      <c r="AE19" s="192"/>
      <c r="AF19" s="192"/>
      <c r="AG19" s="192"/>
      <c r="AH19" s="192"/>
      <c r="AI19" s="192"/>
      <c r="AJ19" s="192"/>
      <c r="AK19" s="192"/>
      <c r="AL19" s="192"/>
      <c r="AM19" s="192"/>
      <c r="AN19" s="192"/>
      <c r="AO19" s="192"/>
      <c r="AP19" s="192"/>
      <c r="AQ19" s="192"/>
      <c r="AR19" s="192"/>
      <c r="AS19" s="192"/>
      <c r="AT19" s="192"/>
      <c r="AU19" s="192"/>
      <c r="AV19" s="192"/>
      <c r="AX19" s="192"/>
      <c r="AY19" s="192"/>
      <c r="AZ19" s="192"/>
    </row>
    <row r="20" spans="1:52" outlineLevel="1">
      <c r="B20" s="1" t="s">
        <v>451</v>
      </c>
      <c r="C20" s="6">
        <f>C9</f>
        <v>6943.5929999999998</v>
      </c>
      <c r="D20" s="4">
        <v>7458.8081776727431</v>
      </c>
      <c r="E20" s="6">
        <f>SUM(O20:R20)</f>
        <v>7168.6880000000001</v>
      </c>
      <c r="F20" s="6">
        <f>SUM(S20:V20)</f>
        <v>7860.2340000000004</v>
      </c>
      <c r="G20" s="6"/>
      <c r="H20" s="6"/>
      <c r="I20" s="6"/>
      <c r="J20" s="6"/>
      <c r="K20" s="6"/>
      <c r="L20" s="6"/>
      <c r="M20" s="6"/>
      <c r="N20" s="6"/>
      <c r="O20" s="6">
        <f>O9</f>
        <v>1899.857</v>
      </c>
      <c r="P20" s="6">
        <f t="shared" ref="P20:W20" si="3">P9</f>
        <v>1752.5519999999999</v>
      </c>
      <c r="Q20" s="6">
        <f t="shared" si="3"/>
        <v>1551.9829999999999</v>
      </c>
      <c r="R20" s="6">
        <f t="shared" si="3"/>
        <v>1964.2959999999998</v>
      </c>
      <c r="S20" s="6">
        <f t="shared" si="3"/>
        <v>1610.7860000000001</v>
      </c>
      <c r="T20" s="6">
        <f t="shared" si="3"/>
        <v>1639.2249999999999</v>
      </c>
      <c r="U20" s="6">
        <f t="shared" si="3"/>
        <v>2111.4269999999997</v>
      </c>
      <c r="V20" s="6">
        <f t="shared" si="3"/>
        <v>2498.7960000000003</v>
      </c>
      <c r="W20" s="6">
        <f t="shared" si="3"/>
        <v>2453.7309999999998</v>
      </c>
      <c r="X20" s="193"/>
      <c r="Y20" s="193"/>
      <c r="Z20" s="193"/>
      <c r="AA20" s="193"/>
      <c r="AB20" s="193"/>
      <c r="AC20" s="193"/>
      <c r="AD20" s="193"/>
      <c r="AE20" s="193"/>
      <c r="AF20" s="193"/>
      <c r="AG20" s="193"/>
      <c r="AH20" s="193"/>
      <c r="AI20" s="193"/>
      <c r="AJ20" s="193"/>
      <c r="AK20" s="193"/>
      <c r="AL20" s="193"/>
      <c r="AM20" s="193"/>
      <c r="AN20" s="193"/>
      <c r="AO20" s="193"/>
      <c r="AP20" s="193"/>
      <c r="AQ20" s="193"/>
      <c r="AR20" s="193"/>
      <c r="AS20" s="193"/>
      <c r="AT20" s="193"/>
      <c r="AU20" s="193"/>
      <c r="AV20" s="193"/>
      <c r="AX20" s="193"/>
      <c r="AY20" s="193"/>
      <c r="AZ20" s="193"/>
    </row>
    <row r="21" spans="1:52" outlineLevel="1">
      <c r="B21" s="1" t="s">
        <v>452</v>
      </c>
      <c r="C21" s="6">
        <f>+C12+C15</f>
        <v>6755.5169999999998</v>
      </c>
      <c r="D21" s="4">
        <v>9942.4015596735317</v>
      </c>
      <c r="E21" s="6">
        <f>SUM(O21:R21)</f>
        <v>10411.951999999999</v>
      </c>
      <c r="F21" s="6">
        <f>SUM(S21:V21)</f>
        <v>9578.2099999999991</v>
      </c>
      <c r="G21" s="6"/>
      <c r="H21" s="6"/>
      <c r="I21" s="6"/>
      <c r="J21" s="6"/>
      <c r="K21" s="6"/>
      <c r="L21" s="6"/>
      <c r="M21" s="6"/>
      <c r="N21" s="6"/>
      <c r="O21" s="6">
        <f>+O12+O15</f>
        <v>2680.9140000000002</v>
      </c>
      <c r="P21" s="6">
        <f t="shared" ref="P21:W21" si="4">+P12+P15</f>
        <v>2615.9969999999998</v>
      </c>
      <c r="Q21" s="6">
        <f t="shared" si="4"/>
        <v>2497.8989999999999</v>
      </c>
      <c r="R21" s="6">
        <f t="shared" si="4"/>
        <v>2617.1419999999998</v>
      </c>
      <c r="S21" s="6">
        <f t="shared" si="4"/>
        <v>2253.8269999999998</v>
      </c>
      <c r="T21" s="6">
        <f t="shared" si="4"/>
        <v>2388.4300000000003</v>
      </c>
      <c r="U21" s="6">
        <f t="shared" si="4"/>
        <v>2440.9870000000001</v>
      </c>
      <c r="V21" s="6">
        <f t="shared" si="4"/>
        <v>2494.9659999999999</v>
      </c>
      <c r="W21" s="6">
        <f t="shared" si="4"/>
        <v>2418.3630000000003</v>
      </c>
      <c r="X21" s="193"/>
      <c r="Y21" s="193"/>
      <c r="Z21" s="193"/>
      <c r="AA21" s="193"/>
      <c r="AB21" s="193"/>
      <c r="AC21" s="193"/>
      <c r="AD21" s="193"/>
      <c r="AE21" s="193"/>
      <c r="AF21" s="193"/>
      <c r="AG21" s="193"/>
      <c r="AH21" s="193"/>
      <c r="AI21" s="193"/>
      <c r="AJ21" s="193"/>
      <c r="AK21" s="193"/>
      <c r="AL21" s="193"/>
      <c r="AM21" s="193"/>
      <c r="AN21" s="193"/>
      <c r="AO21" s="193"/>
      <c r="AP21" s="193"/>
      <c r="AQ21" s="193"/>
      <c r="AR21" s="193"/>
      <c r="AS21" s="193"/>
      <c r="AT21" s="193"/>
      <c r="AU21" s="193"/>
      <c r="AV21" s="193"/>
      <c r="AX21" s="193"/>
      <c r="AY21" s="193"/>
      <c r="AZ21" s="193"/>
    </row>
    <row r="22" spans="1:52" outlineLevel="1">
      <c r="B22" s="1" t="s">
        <v>453</v>
      </c>
      <c r="C22" s="6">
        <f>+C13</f>
        <v>1509.6479999999999</v>
      </c>
      <c r="D22" s="4">
        <v>1490.6230249331095</v>
      </c>
      <c r="E22" s="6">
        <f>SUM(O22:R22)</f>
        <v>1247.672</v>
      </c>
      <c r="F22" s="6">
        <f>SUM(S22:V22)</f>
        <v>1139.4080000000001</v>
      </c>
      <c r="G22" s="6"/>
      <c r="H22" s="6"/>
      <c r="I22" s="6"/>
      <c r="J22" s="6"/>
      <c r="K22" s="6"/>
      <c r="L22" s="6"/>
      <c r="M22" s="6"/>
      <c r="N22" s="6"/>
      <c r="O22" s="6">
        <f>+O13</f>
        <v>325.601</v>
      </c>
      <c r="P22" s="6">
        <f t="shared" ref="P22:W22" si="5">+P13</f>
        <v>307.11700000000002</v>
      </c>
      <c r="Q22" s="6">
        <f t="shared" si="5"/>
        <v>297.29399999999998</v>
      </c>
      <c r="R22" s="6">
        <f t="shared" si="5"/>
        <v>317.66000000000003</v>
      </c>
      <c r="S22" s="6">
        <f t="shared" si="5"/>
        <v>271.54599999999999</v>
      </c>
      <c r="T22" s="6">
        <f t="shared" si="5"/>
        <v>285.29599999999999</v>
      </c>
      <c r="U22" s="6">
        <f t="shared" si="5"/>
        <v>278.68400000000003</v>
      </c>
      <c r="V22" s="6">
        <f t="shared" si="5"/>
        <v>303.88200000000001</v>
      </c>
      <c r="W22" s="6">
        <f t="shared" si="5"/>
        <v>276.62200000000001</v>
      </c>
      <c r="X22" s="193"/>
      <c r="Y22" s="193"/>
      <c r="Z22" s="193"/>
      <c r="AA22" s="193"/>
      <c r="AB22" s="193"/>
      <c r="AC22" s="193"/>
      <c r="AD22" s="193"/>
      <c r="AE22" s="193"/>
      <c r="AF22" s="193"/>
      <c r="AG22" s="193"/>
      <c r="AH22" s="193"/>
      <c r="AI22" s="193"/>
      <c r="AJ22" s="193"/>
      <c r="AK22" s="193"/>
      <c r="AL22" s="193"/>
      <c r="AM22" s="193"/>
      <c r="AN22" s="193"/>
      <c r="AO22" s="193"/>
      <c r="AP22" s="193"/>
      <c r="AQ22" s="193"/>
      <c r="AR22" s="193"/>
      <c r="AS22" s="193"/>
      <c r="AT22" s="193"/>
      <c r="AU22" s="193"/>
      <c r="AV22" s="193"/>
      <c r="AX22" s="193"/>
      <c r="AY22" s="193"/>
      <c r="AZ22" s="193"/>
    </row>
    <row r="23" spans="1:52" outlineLevel="1">
      <c r="B23" s="5" t="s">
        <v>411</v>
      </c>
      <c r="C23" s="8">
        <f>SUM(C20:C22)</f>
        <v>15208.758</v>
      </c>
      <c r="D23" s="8">
        <f>SUM(D20:D22)</f>
        <v>18891.832762279384</v>
      </c>
      <c r="E23" s="8">
        <f>SUM(E20:E22)</f>
        <v>18828.311999999998</v>
      </c>
      <c r="F23" s="8">
        <f>SUM(F20:F22)</f>
        <v>18577.851999999999</v>
      </c>
      <c r="G23" s="8"/>
      <c r="H23" s="8"/>
      <c r="I23" s="8"/>
      <c r="J23" s="8"/>
      <c r="K23" s="8"/>
      <c r="L23" s="8"/>
      <c r="M23" s="8"/>
      <c r="N23" s="8"/>
      <c r="O23" s="8">
        <f t="shared" ref="O23:W23" si="6">SUM(O20:O22)</f>
        <v>4906.3720000000003</v>
      </c>
      <c r="P23" s="8">
        <f t="shared" si="6"/>
        <v>4675.6660000000002</v>
      </c>
      <c r="Q23" s="8">
        <f t="shared" si="6"/>
        <v>4347.1759999999995</v>
      </c>
      <c r="R23" s="8">
        <f t="shared" si="6"/>
        <v>4899.098</v>
      </c>
      <c r="S23" s="8">
        <f t="shared" si="6"/>
        <v>4136.1589999999997</v>
      </c>
      <c r="T23" s="8">
        <f t="shared" si="6"/>
        <v>4312.951</v>
      </c>
      <c r="U23" s="8">
        <f t="shared" si="6"/>
        <v>4831.098</v>
      </c>
      <c r="V23" s="8">
        <f t="shared" si="6"/>
        <v>5297.6440000000002</v>
      </c>
      <c r="W23" s="8">
        <f t="shared" si="6"/>
        <v>5148.7160000000003</v>
      </c>
      <c r="X23" s="194"/>
      <c r="Y23" s="194"/>
      <c r="Z23" s="194"/>
      <c r="AA23" s="194"/>
      <c r="AB23" s="194"/>
      <c r="AC23" s="194"/>
      <c r="AD23" s="194"/>
      <c r="AE23" s="194"/>
      <c r="AF23" s="194"/>
      <c r="AG23" s="194"/>
      <c r="AH23" s="194"/>
      <c r="AI23" s="194"/>
      <c r="AJ23" s="194"/>
      <c r="AK23" s="194"/>
      <c r="AL23" s="194"/>
      <c r="AM23" s="194"/>
      <c r="AN23" s="194"/>
      <c r="AO23" s="194"/>
      <c r="AP23" s="194"/>
      <c r="AQ23" s="194"/>
      <c r="AR23" s="194"/>
      <c r="AS23" s="194"/>
      <c r="AT23" s="194"/>
      <c r="AU23" s="194"/>
      <c r="AV23" s="194"/>
      <c r="AX23" s="194"/>
      <c r="AY23" s="194"/>
      <c r="AZ23" s="194"/>
    </row>
    <row r="24" spans="1:52" outlineLevel="1">
      <c r="F24" s="53"/>
      <c r="G24" s="53"/>
      <c r="H24" s="53"/>
      <c r="I24" s="53"/>
      <c r="J24" s="53"/>
      <c r="K24" s="53"/>
      <c r="L24" s="53"/>
      <c r="M24" s="53"/>
      <c r="N24" s="53"/>
      <c r="O24" s="53"/>
    </row>
    <row r="25" spans="1:52" s="17" customFormat="1" outlineLevel="1">
      <c r="A25" s="26"/>
      <c r="B25" s="16" t="s">
        <v>454</v>
      </c>
      <c r="C25" s="16"/>
      <c r="D25" s="16"/>
      <c r="E25" s="16"/>
      <c r="F25" s="16"/>
      <c r="G25" s="16"/>
      <c r="H25" s="16"/>
      <c r="I25" s="16"/>
      <c r="J25" s="16"/>
      <c r="K25" s="16"/>
      <c r="L25" s="16"/>
      <c r="M25" s="16"/>
      <c r="N25" s="5"/>
      <c r="O25" s="16"/>
      <c r="P25" s="16"/>
      <c r="Q25" s="16"/>
      <c r="R25" s="16"/>
      <c r="S25" s="16"/>
      <c r="T25" s="16"/>
      <c r="U25" s="16"/>
      <c r="V25" s="16"/>
      <c r="W25" s="16"/>
      <c r="X25" s="16"/>
      <c r="Y25" s="16"/>
      <c r="Z25" s="16"/>
      <c r="AA25" s="16"/>
      <c r="AB25" s="16"/>
      <c r="AC25" s="16"/>
      <c r="AD25" s="16"/>
      <c r="AE25" s="16"/>
      <c r="AF25" s="16"/>
      <c r="AG25" s="16"/>
      <c r="AH25" s="16"/>
      <c r="AI25" s="16"/>
      <c r="AJ25" s="16"/>
      <c r="AK25" s="16"/>
      <c r="AL25" s="16"/>
      <c r="AM25" s="16"/>
      <c r="AN25" s="16"/>
      <c r="AO25" s="16"/>
      <c r="AP25" s="16"/>
      <c r="AQ25" s="16"/>
      <c r="AR25" s="16"/>
      <c r="AS25" s="16"/>
      <c r="AT25" s="16"/>
      <c r="AU25" s="16"/>
      <c r="AV25" s="16"/>
      <c r="AX25" s="16"/>
      <c r="AY25" s="16"/>
      <c r="AZ25" s="16"/>
    </row>
    <row r="26" spans="1:52" outlineLevel="1">
      <c r="B26" s="5" t="s">
        <v>441</v>
      </c>
      <c r="C26" s="8">
        <f>+C27+C30+C31</f>
        <v>1259.06</v>
      </c>
      <c r="D26" s="8">
        <f t="shared" ref="D26:W26" si="7">+D27+D30+D31</f>
        <v>1076.538</v>
      </c>
      <c r="E26" s="8">
        <f t="shared" si="7"/>
        <v>1011.881</v>
      </c>
      <c r="F26" s="8">
        <f t="shared" si="7"/>
        <v>1119.325</v>
      </c>
      <c r="G26" s="8"/>
      <c r="H26" s="8"/>
      <c r="I26" s="8"/>
      <c r="J26" s="8"/>
      <c r="K26" s="8"/>
      <c r="L26" s="8"/>
      <c r="M26" s="8"/>
      <c r="N26" s="8"/>
      <c r="O26" s="8">
        <f t="shared" si="7"/>
        <v>239.899</v>
      </c>
      <c r="P26" s="8">
        <f t="shared" si="7"/>
        <v>249.49700000000001</v>
      </c>
      <c r="Q26" s="8">
        <f t="shared" si="7"/>
        <v>247.31800000000001</v>
      </c>
      <c r="R26" s="8">
        <f t="shared" si="7"/>
        <v>275.16000000000003</v>
      </c>
      <c r="S26" s="8">
        <f t="shared" si="7"/>
        <v>229.38</v>
      </c>
      <c r="T26" s="8">
        <f t="shared" si="7"/>
        <v>237.51299999999998</v>
      </c>
      <c r="U26" s="8">
        <f t="shared" si="7"/>
        <v>300.82799999999997</v>
      </c>
      <c r="V26" s="8">
        <f t="shared" si="7"/>
        <v>351.59900000000005</v>
      </c>
      <c r="W26" s="8">
        <f t="shared" si="7"/>
        <v>338.20299999999997</v>
      </c>
      <c r="X26" s="194"/>
      <c r="Y26" s="194"/>
      <c r="Z26" s="194"/>
      <c r="AA26" s="194"/>
      <c r="AB26" s="194"/>
      <c r="AC26" s="194"/>
      <c r="AD26" s="194"/>
      <c r="AE26" s="194"/>
      <c r="AF26" s="194"/>
      <c r="AG26" s="194"/>
      <c r="AH26" s="194"/>
      <c r="AI26" s="194"/>
      <c r="AJ26" s="194"/>
      <c r="AK26" s="194"/>
      <c r="AL26" s="194"/>
      <c r="AM26" s="194"/>
      <c r="AN26" s="194"/>
      <c r="AO26" s="194"/>
      <c r="AP26" s="194"/>
      <c r="AQ26" s="194"/>
      <c r="AR26" s="194"/>
      <c r="AS26" s="194"/>
      <c r="AT26" s="194"/>
      <c r="AU26" s="194"/>
      <c r="AV26" s="194"/>
      <c r="AX26" s="194"/>
      <c r="AY26" s="194"/>
      <c r="AZ26" s="194"/>
    </row>
    <row r="27" spans="1:52" outlineLevel="1">
      <c r="B27" s="1" t="s">
        <v>442</v>
      </c>
      <c r="C27" s="6">
        <f>SUM(C28:C29)</f>
        <v>628.41200000000003</v>
      </c>
      <c r="D27" s="6">
        <f t="shared" ref="D27:W27" si="8">SUM(D28:D29)</f>
        <v>544.92699999999991</v>
      </c>
      <c r="E27" s="6">
        <f t="shared" si="8"/>
        <v>511.64599999999996</v>
      </c>
      <c r="F27" s="6">
        <f t="shared" si="8"/>
        <v>588.351</v>
      </c>
      <c r="G27" s="6"/>
      <c r="H27" s="6"/>
      <c r="I27" s="6"/>
      <c r="J27" s="6"/>
      <c r="K27" s="6"/>
      <c r="L27" s="6"/>
      <c r="M27" s="6"/>
      <c r="N27" s="6"/>
      <c r="O27" s="6">
        <f t="shared" si="8"/>
        <v>120.003</v>
      </c>
      <c r="P27" s="6">
        <f t="shared" si="8"/>
        <v>127.273</v>
      </c>
      <c r="Q27" s="6">
        <f t="shared" si="8"/>
        <v>120.73400000000001</v>
      </c>
      <c r="R27" s="6">
        <f t="shared" si="8"/>
        <v>143.63200000000001</v>
      </c>
      <c r="S27" s="6">
        <f t="shared" si="8"/>
        <v>118.277</v>
      </c>
      <c r="T27" s="6">
        <f t="shared" si="8"/>
        <v>122.068</v>
      </c>
      <c r="U27" s="6">
        <f t="shared" si="8"/>
        <v>161.11099999999999</v>
      </c>
      <c r="V27" s="6">
        <f t="shared" si="8"/>
        <v>186.892</v>
      </c>
      <c r="W27" s="6">
        <f t="shared" si="8"/>
        <v>186.49799999999999</v>
      </c>
      <c r="X27" s="193"/>
      <c r="Y27" s="193"/>
      <c r="Z27" s="193"/>
      <c r="AA27" s="193"/>
      <c r="AB27" s="193"/>
      <c r="AC27" s="193"/>
      <c r="AD27" s="193"/>
      <c r="AE27" s="193"/>
      <c r="AF27" s="193"/>
      <c r="AG27" s="193"/>
      <c r="AH27" s="193"/>
      <c r="AI27" s="193"/>
      <c r="AJ27" s="193"/>
      <c r="AK27" s="193"/>
      <c r="AL27" s="193"/>
      <c r="AM27" s="193"/>
      <c r="AN27" s="193"/>
      <c r="AO27" s="193"/>
      <c r="AP27" s="193"/>
      <c r="AQ27" s="193"/>
      <c r="AR27" s="193"/>
      <c r="AS27" s="193"/>
      <c r="AT27" s="193"/>
      <c r="AU27" s="193"/>
      <c r="AV27" s="193"/>
      <c r="AX27" s="193"/>
      <c r="AY27" s="193"/>
      <c r="AZ27" s="193"/>
    </row>
    <row r="28" spans="1:52" outlineLevel="1">
      <c r="B28" s="7" t="s">
        <v>443</v>
      </c>
      <c r="C28" s="4">
        <v>328.30700000000002</v>
      </c>
      <c r="D28" s="4">
        <v>281.30599999999998</v>
      </c>
      <c r="E28" s="4">
        <v>287.70999999999998</v>
      </c>
      <c r="F28" s="4">
        <v>322.02100000000002</v>
      </c>
      <c r="G28" s="4"/>
      <c r="H28" s="4"/>
      <c r="I28" s="4"/>
      <c r="J28" s="4"/>
      <c r="K28" s="4"/>
      <c r="L28" s="4"/>
      <c r="M28" s="4"/>
      <c r="N28" s="4"/>
      <c r="O28" s="4">
        <v>55.709000000000003</v>
      </c>
      <c r="P28" s="4">
        <v>66.260000000000005</v>
      </c>
      <c r="Q28" s="4">
        <v>84.372</v>
      </c>
      <c r="R28" s="4">
        <v>81.367000000000004</v>
      </c>
      <c r="S28" s="4">
        <v>60.737000000000002</v>
      </c>
      <c r="T28" s="4">
        <v>69.037999999999997</v>
      </c>
      <c r="U28" s="4">
        <v>89.043000000000006</v>
      </c>
      <c r="V28" s="4">
        <v>103.202</v>
      </c>
      <c r="W28" s="4">
        <v>90.484999999999999</v>
      </c>
      <c r="X28" s="195"/>
      <c r="Y28" s="195"/>
      <c r="Z28" s="195"/>
      <c r="AA28" s="195"/>
      <c r="AB28" s="195"/>
      <c r="AC28" s="195"/>
      <c r="AD28" s="195"/>
      <c r="AE28" s="195"/>
      <c r="AF28" s="195"/>
      <c r="AG28" s="195"/>
      <c r="AH28" s="195"/>
      <c r="AI28" s="195"/>
      <c r="AJ28" s="195"/>
      <c r="AK28" s="195"/>
      <c r="AL28" s="195"/>
      <c r="AM28" s="195"/>
      <c r="AN28" s="195"/>
      <c r="AO28" s="195"/>
      <c r="AP28" s="195"/>
      <c r="AQ28" s="195"/>
      <c r="AR28" s="195"/>
      <c r="AS28" s="195"/>
      <c r="AT28" s="195"/>
      <c r="AU28" s="195"/>
      <c r="AV28" s="195"/>
      <c r="AX28" s="195"/>
      <c r="AY28" s="195"/>
      <c r="AZ28" s="195"/>
    </row>
    <row r="29" spans="1:52" outlineLevel="1">
      <c r="B29" s="7" t="s">
        <v>444</v>
      </c>
      <c r="C29" s="4">
        <v>300.10500000000002</v>
      </c>
      <c r="D29" s="4">
        <v>263.62099999999998</v>
      </c>
      <c r="E29" s="4">
        <v>223.93600000000001</v>
      </c>
      <c r="F29" s="4">
        <v>266.33</v>
      </c>
      <c r="G29" s="4"/>
      <c r="H29" s="4"/>
      <c r="I29" s="4"/>
      <c r="J29" s="4"/>
      <c r="K29" s="4"/>
      <c r="L29" s="4"/>
      <c r="M29" s="4"/>
      <c r="N29" s="4"/>
      <c r="O29" s="4">
        <v>64.293999999999997</v>
      </c>
      <c r="P29" s="4">
        <v>61.012999999999998</v>
      </c>
      <c r="Q29" s="4">
        <v>36.362000000000002</v>
      </c>
      <c r="R29" s="4">
        <v>62.265000000000001</v>
      </c>
      <c r="S29" s="4">
        <v>57.54</v>
      </c>
      <c r="T29" s="4">
        <v>53.03</v>
      </c>
      <c r="U29" s="4">
        <v>72.067999999999998</v>
      </c>
      <c r="V29" s="4">
        <v>83.69</v>
      </c>
      <c r="W29" s="4">
        <v>96.013000000000005</v>
      </c>
      <c r="X29" s="195"/>
      <c r="Y29" s="195"/>
      <c r="Z29" s="195"/>
      <c r="AA29" s="195"/>
      <c r="AB29" s="195"/>
      <c r="AC29" s="195"/>
      <c r="AD29" s="195"/>
      <c r="AE29" s="195"/>
      <c r="AF29" s="195"/>
      <c r="AG29" s="195"/>
      <c r="AH29" s="195"/>
      <c r="AI29" s="195"/>
      <c r="AJ29" s="195"/>
      <c r="AK29" s="195"/>
      <c r="AL29" s="195"/>
      <c r="AM29" s="195"/>
      <c r="AN29" s="195"/>
      <c r="AO29" s="195"/>
      <c r="AP29" s="195"/>
      <c r="AQ29" s="195"/>
      <c r="AR29" s="195"/>
      <c r="AS29" s="195"/>
      <c r="AT29" s="195"/>
      <c r="AU29" s="195"/>
      <c r="AV29" s="195"/>
      <c r="AX29" s="195"/>
      <c r="AY29" s="195"/>
      <c r="AZ29" s="195"/>
    </row>
    <row r="30" spans="1:52" outlineLevel="1">
      <c r="B30" s="1" t="s">
        <v>445</v>
      </c>
      <c r="C30" s="4">
        <v>52.637999999999998</v>
      </c>
      <c r="D30" s="4">
        <v>62.494</v>
      </c>
      <c r="E30" s="4">
        <v>54.831000000000003</v>
      </c>
      <c r="F30" s="4">
        <v>40.698</v>
      </c>
      <c r="G30" s="4"/>
      <c r="H30" s="4"/>
      <c r="I30" s="4"/>
      <c r="J30" s="4"/>
      <c r="K30" s="4"/>
      <c r="L30" s="4"/>
      <c r="M30" s="4"/>
      <c r="N30" s="4"/>
      <c r="O30" s="4">
        <v>13.036</v>
      </c>
      <c r="P30" s="4">
        <v>13.173</v>
      </c>
      <c r="Q30" s="4">
        <v>13.59</v>
      </c>
      <c r="R30" s="4">
        <v>15.031000000000001</v>
      </c>
      <c r="S30" s="4">
        <v>8.7970000000000006</v>
      </c>
      <c r="T30" s="4">
        <v>7.4119999999999999</v>
      </c>
      <c r="U30" s="4">
        <v>12.057</v>
      </c>
      <c r="V30" s="4">
        <v>12.430999999999999</v>
      </c>
      <c r="W30" s="4">
        <v>12.004</v>
      </c>
      <c r="X30" s="195"/>
      <c r="Y30" s="195"/>
      <c r="Z30" s="195"/>
      <c r="AA30" s="195"/>
      <c r="AB30" s="195"/>
      <c r="AC30" s="195"/>
      <c r="AD30" s="195"/>
      <c r="AE30" s="195"/>
      <c r="AF30" s="195"/>
      <c r="AG30" s="195"/>
      <c r="AH30" s="195"/>
      <c r="AI30" s="195"/>
      <c r="AJ30" s="195"/>
      <c r="AK30" s="195"/>
      <c r="AL30" s="195"/>
      <c r="AM30" s="195"/>
      <c r="AN30" s="195"/>
      <c r="AO30" s="195"/>
      <c r="AP30" s="195"/>
      <c r="AQ30" s="195"/>
      <c r="AR30" s="195"/>
      <c r="AS30" s="195"/>
      <c r="AT30" s="195"/>
      <c r="AU30" s="195"/>
      <c r="AV30" s="195"/>
      <c r="AX30" s="195"/>
      <c r="AY30" s="195"/>
      <c r="AZ30" s="195"/>
    </row>
    <row r="31" spans="1:52" outlineLevel="1">
      <c r="B31" s="1" t="s">
        <v>446</v>
      </c>
      <c r="C31" s="4">
        <v>578.01</v>
      </c>
      <c r="D31" s="4">
        <v>469.11700000000002</v>
      </c>
      <c r="E31" s="4">
        <v>445.404</v>
      </c>
      <c r="F31" s="4">
        <v>490.27600000000001</v>
      </c>
      <c r="G31" s="4"/>
      <c r="H31" s="4"/>
      <c r="I31" s="4"/>
      <c r="J31" s="4"/>
      <c r="K31" s="4"/>
      <c r="L31" s="4"/>
      <c r="M31" s="4"/>
      <c r="N31" s="4"/>
      <c r="O31" s="4">
        <v>106.86</v>
      </c>
      <c r="P31" s="4">
        <v>109.051</v>
      </c>
      <c r="Q31" s="4">
        <v>112.994</v>
      </c>
      <c r="R31" s="4">
        <v>116.497</v>
      </c>
      <c r="S31" s="4">
        <v>102.306</v>
      </c>
      <c r="T31" s="4">
        <v>108.033</v>
      </c>
      <c r="U31" s="4">
        <v>127.66</v>
      </c>
      <c r="V31" s="4">
        <v>152.27600000000001</v>
      </c>
      <c r="W31" s="4">
        <v>139.70099999999999</v>
      </c>
      <c r="X31" s="195"/>
      <c r="Y31" s="195"/>
      <c r="Z31" s="195"/>
      <c r="AA31" s="195"/>
      <c r="AB31" s="195"/>
      <c r="AC31" s="195"/>
      <c r="AD31" s="195"/>
      <c r="AE31" s="195"/>
      <c r="AF31" s="195"/>
      <c r="AG31" s="195"/>
      <c r="AH31" s="195"/>
      <c r="AI31" s="195"/>
      <c r="AJ31" s="195"/>
      <c r="AK31" s="195"/>
      <c r="AL31" s="195"/>
      <c r="AM31" s="195"/>
      <c r="AN31" s="195"/>
      <c r="AO31" s="195"/>
      <c r="AP31" s="195"/>
      <c r="AQ31" s="195"/>
      <c r="AR31" s="195"/>
      <c r="AS31" s="195"/>
      <c r="AT31" s="195"/>
      <c r="AU31" s="195"/>
      <c r="AV31" s="195"/>
      <c r="AX31" s="195"/>
      <c r="AY31" s="195"/>
      <c r="AZ31" s="195"/>
    </row>
    <row r="32" spans="1:52" outlineLevel="1">
      <c r="C32" s="6"/>
      <c r="D32" s="6"/>
      <c r="E32" s="6"/>
      <c r="F32" s="6"/>
      <c r="G32" s="6"/>
      <c r="H32" s="6"/>
      <c r="I32" s="6"/>
      <c r="J32" s="6"/>
      <c r="K32" s="6"/>
      <c r="L32" s="6"/>
      <c r="M32" s="6"/>
      <c r="N32" s="6"/>
      <c r="O32" s="6"/>
      <c r="P32" s="6"/>
      <c r="Q32" s="6"/>
      <c r="R32" s="6"/>
      <c r="S32" s="6"/>
      <c r="T32" s="6"/>
      <c r="U32" s="6"/>
      <c r="V32" s="6"/>
      <c r="W32" s="6"/>
      <c r="X32" s="193"/>
      <c r="Y32" s="193"/>
      <c r="Z32" s="193"/>
      <c r="AA32" s="193"/>
      <c r="AB32" s="193"/>
      <c r="AC32" s="193"/>
      <c r="AD32" s="193"/>
      <c r="AE32" s="193"/>
      <c r="AF32" s="193"/>
      <c r="AG32" s="193"/>
      <c r="AH32" s="193"/>
      <c r="AI32" s="193"/>
      <c r="AJ32" s="193"/>
      <c r="AK32" s="193"/>
      <c r="AL32" s="193"/>
      <c r="AM32" s="193"/>
      <c r="AN32" s="193"/>
      <c r="AO32" s="193"/>
      <c r="AP32" s="193"/>
      <c r="AQ32" s="193"/>
      <c r="AR32" s="193"/>
      <c r="AS32" s="193"/>
      <c r="AT32" s="193"/>
      <c r="AU32" s="193"/>
      <c r="AV32" s="193"/>
      <c r="AX32" s="193"/>
      <c r="AY32" s="193"/>
      <c r="AZ32" s="193"/>
    </row>
    <row r="33" spans="1:52" outlineLevel="1">
      <c r="B33" s="5" t="s">
        <v>447</v>
      </c>
      <c r="C33" s="6">
        <f>SUM(C34:C35)</f>
        <v>1004.896</v>
      </c>
      <c r="D33" s="6">
        <f t="shared" ref="D33:W33" si="9">SUM(D34:D35)</f>
        <v>1071.917133073543</v>
      </c>
      <c r="E33" s="6">
        <f t="shared" si="9"/>
        <v>1125.829</v>
      </c>
      <c r="F33" s="6">
        <f t="shared" si="9"/>
        <v>1134.1909999999998</v>
      </c>
      <c r="G33" s="6"/>
      <c r="H33" s="6"/>
      <c r="I33" s="6"/>
      <c r="J33" s="6"/>
      <c r="K33" s="6"/>
      <c r="L33" s="6"/>
      <c r="M33" s="6"/>
      <c r="N33" s="6"/>
      <c r="O33" s="6">
        <f t="shared" si="9"/>
        <v>264.49700000000001</v>
      </c>
      <c r="P33" s="6">
        <f t="shared" si="9"/>
        <v>273.77999999999997</v>
      </c>
      <c r="Q33" s="6">
        <f t="shared" si="9"/>
        <v>282.82</v>
      </c>
      <c r="R33" s="6">
        <f t="shared" si="9"/>
        <v>304.73199999999997</v>
      </c>
      <c r="S33" s="6">
        <f t="shared" si="9"/>
        <v>278.41500000000002</v>
      </c>
      <c r="T33" s="6">
        <f t="shared" si="9"/>
        <v>280.27800000000002</v>
      </c>
      <c r="U33" s="6">
        <f t="shared" si="9"/>
        <v>286.26099999999997</v>
      </c>
      <c r="V33" s="6">
        <f t="shared" si="9"/>
        <v>289.23700000000002</v>
      </c>
      <c r="W33" s="6">
        <f t="shared" si="9"/>
        <v>276.31799999999998</v>
      </c>
      <c r="X33" s="193"/>
      <c r="Y33" s="193"/>
      <c r="Z33" s="193"/>
      <c r="AA33" s="193"/>
      <c r="AB33" s="193"/>
      <c r="AC33" s="193"/>
      <c r="AD33" s="193"/>
      <c r="AE33" s="193"/>
      <c r="AF33" s="193"/>
      <c r="AG33" s="193"/>
      <c r="AH33" s="193"/>
      <c r="AI33" s="193"/>
      <c r="AJ33" s="193"/>
      <c r="AK33" s="193"/>
      <c r="AL33" s="193"/>
      <c r="AM33" s="193"/>
      <c r="AN33" s="193"/>
      <c r="AO33" s="193"/>
      <c r="AP33" s="193"/>
      <c r="AQ33" s="193"/>
      <c r="AR33" s="193"/>
      <c r="AS33" s="193"/>
      <c r="AT33" s="193"/>
      <c r="AU33" s="193"/>
      <c r="AV33" s="193"/>
      <c r="AX33" s="193"/>
      <c r="AY33" s="193"/>
      <c r="AZ33" s="193"/>
    </row>
    <row r="34" spans="1:52" outlineLevel="1">
      <c r="B34" s="1" t="s">
        <v>448</v>
      </c>
      <c r="C34" s="4">
        <v>848.85</v>
      </c>
      <c r="D34" s="4">
        <v>879.8081428018329</v>
      </c>
      <c r="E34" s="6">
        <f>SUM(O34:R34)</f>
        <v>923.96100000000001</v>
      </c>
      <c r="F34" s="6">
        <f>SUM(S34:V34)</f>
        <v>913.69499999999994</v>
      </c>
      <c r="G34" s="6"/>
      <c r="H34" s="6"/>
      <c r="I34" s="6"/>
      <c r="J34" s="6"/>
      <c r="K34" s="6"/>
      <c r="L34" s="6"/>
      <c r="M34" s="6"/>
      <c r="N34" s="6"/>
      <c r="O34" s="4">
        <v>218.21700000000001</v>
      </c>
      <c r="P34" s="4">
        <v>223.16</v>
      </c>
      <c r="Q34" s="4">
        <v>233.54300000000001</v>
      </c>
      <c r="R34" s="4">
        <v>249.041</v>
      </c>
      <c r="S34" s="4">
        <v>227.202</v>
      </c>
      <c r="T34" s="4">
        <v>225.59399999999999</v>
      </c>
      <c r="U34" s="4">
        <v>228.75399999999999</v>
      </c>
      <c r="V34" s="4">
        <v>232.14500000000001</v>
      </c>
      <c r="W34" s="4">
        <v>221.55500000000001</v>
      </c>
      <c r="X34" s="195"/>
      <c r="Y34" s="195"/>
      <c r="Z34" s="195"/>
      <c r="AA34" s="195"/>
      <c r="AB34" s="195"/>
      <c r="AC34" s="195"/>
      <c r="AD34" s="195"/>
      <c r="AE34" s="195"/>
      <c r="AF34" s="195"/>
      <c r="AG34" s="195"/>
      <c r="AH34" s="195"/>
      <c r="AI34" s="195"/>
      <c r="AJ34" s="195"/>
      <c r="AK34" s="195"/>
      <c r="AL34" s="195"/>
      <c r="AM34" s="195"/>
      <c r="AN34" s="195"/>
      <c r="AO34" s="195"/>
      <c r="AP34" s="195"/>
      <c r="AQ34" s="195"/>
      <c r="AR34" s="195"/>
      <c r="AS34" s="195"/>
      <c r="AT34" s="195"/>
      <c r="AU34" s="195"/>
      <c r="AV34" s="195"/>
      <c r="AX34" s="195"/>
      <c r="AY34" s="195"/>
      <c r="AZ34" s="195"/>
    </row>
    <row r="35" spans="1:52" outlineLevel="1">
      <c r="B35" s="5" t="s">
        <v>449</v>
      </c>
      <c r="C35" s="4">
        <v>156.04599999999999</v>
      </c>
      <c r="D35" s="4">
        <v>192.10899027171018</v>
      </c>
      <c r="E35" s="6">
        <f>SUM(O35:R35)</f>
        <v>201.86800000000002</v>
      </c>
      <c r="F35" s="6">
        <f>SUM(S35:V35)</f>
        <v>220.49599999999998</v>
      </c>
      <c r="G35" s="6"/>
      <c r="H35" s="6"/>
      <c r="I35" s="6"/>
      <c r="J35" s="6"/>
      <c r="K35" s="6"/>
      <c r="L35" s="6"/>
      <c r="M35" s="6"/>
      <c r="N35" s="6"/>
      <c r="O35" s="4">
        <v>46.28</v>
      </c>
      <c r="P35" s="4">
        <v>50.62</v>
      </c>
      <c r="Q35" s="4">
        <v>49.277000000000001</v>
      </c>
      <c r="R35" s="4">
        <v>55.691000000000003</v>
      </c>
      <c r="S35" s="4">
        <v>51.213000000000001</v>
      </c>
      <c r="T35" s="4">
        <v>54.683999999999997</v>
      </c>
      <c r="U35" s="4">
        <v>57.506999999999998</v>
      </c>
      <c r="V35" s="4">
        <v>57.091999999999999</v>
      </c>
      <c r="W35" s="4">
        <v>54.762999999999998</v>
      </c>
      <c r="X35" s="195"/>
      <c r="Y35" s="195"/>
      <c r="Z35" s="195"/>
      <c r="AA35" s="195"/>
      <c r="AB35" s="195"/>
      <c r="AC35" s="195"/>
      <c r="AD35" s="195"/>
      <c r="AE35" s="195"/>
      <c r="AF35" s="195"/>
      <c r="AG35" s="195"/>
      <c r="AH35" s="195"/>
      <c r="AI35" s="195"/>
      <c r="AJ35" s="195"/>
      <c r="AK35" s="195"/>
      <c r="AL35" s="195"/>
      <c r="AM35" s="195"/>
      <c r="AN35" s="195"/>
      <c r="AO35" s="195"/>
      <c r="AP35" s="195"/>
      <c r="AQ35" s="195"/>
      <c r="AR35" s="195"/>
      <c r="AS35" s="195"/>
      <c r="AT35" s="195"/>
      <c r="AU35" s="195"/>
      <c r="AV35" s="195"/>
      <c r="AX35" s="195"/>
      <c r="AY35" s="195"/>
      <c r="AZ35" s="195"/>
    </row>
    <row r="36" spans="1:52" outlineLevel="1">
      <c r="X36" s="192"/>
      <c r="Y36" s="192"/>
      <c r="Z36" s="192"/>
      <c r="AA36" s="192"/>
      <c r="AB36" s="192"/>
      <c r="AC36" s="192"/>
      <c r="AD36" s="192"/>
      <c r="AE36" s="192"/>
      <c r="AF36" s="192"/>
      <c r="AG36" s="192"/>
      <c r="AH36" s="192"/>
      <c r="AI36" s="192"/>
      <c r="AJ36" s="192"/>
      <c r="AK36" s="192"/>
      <c r="AL36" s="192"/>
      <c r="AM36" s="192"/>
      <c r="AN36" s="192"/>
      <c r="AO36" s="192"/>
      <c r="AP36" s="192"/>
      <c r="AQ36" s="192"/>
      <c r="AR36" s="192"/>
      <c r="AS36" s="192"/>
      <c r="AT36" s="192"/>
      <c r="AU36" s="192"/>
      <c r="AV36" s="192"/>
      <c r="AX36" s="192"/>
      <c r="AY36" s="192"/>
      <c r="AZ36" s="192"/>
    </row>
    <row r="37" spans="1:52" outlineLevel="1">
      <c r="B37" s="5" t="s">
        <v>450</v>
      </c>
      <c r="X37" s="192"/>
      <c r="Y37" s="192"/>
      <c r="Z37" s="192"/>
      <c r="AA37" s="192"/>
      <c r="AB37" s="192"/>
      <c r="AC37" s="192"/>
      <c r="AD37" s="192"/>
      <c r="AE37" s="192"/>
      <c r="AF37" s="192"/>
      <c r="AG37" s="192"/>
      <c r="AH37" s="192"/>
      <c r="AI37" s="192"/>
      <c r="AJ37" s="192"/>
      <c r="AK37" s="192"/>
      <c r="AL37" s="192"/>
      <c r="AM37" s="192"/>
      <c r="AN37" s="192"/>
      <c r="AO37" s="192"/>
      <c r="AP37" s="192"/>
      <c r="AQ37" s="192"/>
      <c r="AR37" s="192"/>
      <c r="AS37" s="192"/>
      <c r="AT37" s="192"/>
      <c r="AU37" s="192"/>
      <c r="AV37" s="192"/>
      <c r="AX37" s="192"/>
      <c r="AY37" s="192"/>
      <c r="AZ37" s="192"/>
    </row>
    <row r="38" spans="1:52" outlineLevel="1">
      <c r="B38" s="1" t="s">
        <v>451</v>
      </c>
      <c r="C38" s="6">
        <f>C27</f>
        <v>628.41200000000003</v>
      </c>
      <c r="D38" s="6">
        <f t="shared" ref="D38:W38" si="10">D27</f>
        <v>544.92699999999991</v>
      </c>
      <c r="E38" s="6">
        <f t="shared" si="10"/>
        <v>511.64599999999996</v>
      </c>
      <c r="F38" s="6">
        <f t="shared" si="10"/>
        <v>588.351</v>
      </c>
      <c r="G38" s="6"/>
      <c r="H38" s="6"/>
      <c r="I38" s="6"/>
      <c r="J38" s="6"/>
      <c r="K38" s="6"/>
      <c r="L38" s="6"/>
      <c r="M38" s="6"/>
      <c r="N38" s="6"/>
      <c r="O38" s="6">
        <f t="shared" si="10"/>
        <v>120.003</v>
      </c>
      <c r="P38" s="6">
        <f t="shared" si="10"/>
        <v>127.273</v>
      </c>
      <c r="Q38" s="6">
        <f t="shared" si="10"/>
        <v>120.73400000000001</v>
      </c>
      <c r="R38" s="6">
        <f t="shared" si="10"/>
        <v>143.63200000000001</v>
      </c>
      <c r="S38" s="6">
        <f t="shared" si="10"/>
        <v>118.277</v>
      </c>
      <c r="T38" s="6">
        <f t="shared" si="10"/>
        <v>122.068</v>
      </c>
      <c r="U38" s="6">
        <f t="shared" si="10"/>
        <v>161.11099999999999</v>
      </c>
      <c r="V38" s="6">
        <f t="shared" si="10"/>
        <v>186.892</v>
      </c>
      <c r="W38" s="6">
        <f t="shared" si="10"/>
        <v>186.49799999999999</v>
      </c>
      <c r="X38" s="193"/>
      <c r="Y38" s="193"/>
      <c r="Z38" s="193"/>
      <c r="AA38" s="193"/>
      <c r="AB38" s="193"/>
      <c r="AC38" s="193"/>
      <c r="AD38" s="193"/>
      <c r="AE38" s="193"/>
      <c r="AF38" s="193"/>
      <c r="AG38" s="193"/>
      <c r="AH38" s="193"/>
      <c r="AI38" s="193"/>
      <c r="AJ38" s="193"/>
      <c r="AK38" s="193"/>
      <c r="AL38" s="193"/>
      <c r="AM38" s="193"/>
      <c r="AN38" s="193"/>
      <c r="AO38" s="193"/>
      <c r="AP38" s="193"/>
      <c r="AQ38" s="193"/>
      <c r="AR38" s="193"/>
      <c r="AS38" s="193"/>
      <c r="AT38" s="193"/>
      <c r="AU38" s="193"/>
      <c r="AV38" s="193"/>
      <c r="AX38" s="193"/>
      <c r="AY38" s="193"/>
      <c r="AZ38" s="193"/>
    </row>
    <row r="39" spans="1:52" outlineLevel="1">
      <c r="B39" s="1" t="s">
        <v>452</v>
      </c>
      <c r="C39" s="6">
        <f>+C30+C33</f>
        <v>1057.5339999999999</v>
      </c>
      <c r="D39" s="6">
        <f t="shared" ref="D39:W39" si="11">+D30+D33</f>
        <v>1134.4111330735429</v>
      </c>
      <c r="E39" s="6">
        <f t="shared" si="11"/>
        <v>1180.6599999999999</v>
      </c>
      <c r="F39" s="6">
        <f t="shared" si="11"/>
        <v>1174.8889999999999</v>
      </c>
      <c r="G39" s="6"/>
      <c r="H39" s="6"/>
      <c r="I39" s="6"/>
      <c r="J39" s="6"/>
      <c r="K39" s="6"/>
      <c r="L39" s="6"/>
      <c r="M39" s="6"/>
      <c r="N39" s="6"/>
      <c r="O39" s="6">
        <f t="shared" si="11"/>
        <v>277.53300000000002</v>
      </c>
      <c r="P39" s="6">
        <f t="shared" si="11"/>
        <v>286.95299999999997</v>
      </c>
      <c r="Q39" s="6">
        <f t="shared" si="11"/>
        <v>296.40999999999997</v>
      </c>
      <c r="R39" s="6">
        <f t="shared" si="11"/>
        <v>319.76299999999998</v>
      </c>
      <c r="S39" s="6">
        <f t="shared" si="11"/>
        <v>287.21200000000005</v>
      </c>
      <c r="T39" s="6">
        <f t="shared" si="11"/>
        <v>287.69</v>
      </c>
      <c r="U39" s="6">
        <f t="shared" si="11"/>
        <v>298.31799999999998</v>
      </c>
      <c r="V39" s="6">
        <f t="shared" si="11"/>
        <v>301.66800000000001</v>
      </c>
      <c r="W39" s="6">
        <f t="shared" si="11"/>
        <v>288.322</v>
      </c>
      <c r="X39" s="193"/>
      <c r="Y39" s="193"/>
      <c r="Z39" s="193"/>
      <c r="AA39" s="193"/>
      <c r="AB39" s="193"/>
      <c r="AC39" s="193"/>
      <c r="AD39" s="193"/>
      <c r="AE39" s="193"/>
      <c r="AF39" s="193"/>
      <c r="AG39" s="193"/>
      <c r="AH39" s="193"/>
      <c r="AI39" s="193"/>
      <c r="AJ39" s="193"/>
      <c r="AK39" s="193"/>
      <c r="AL39" s="193"/>
      <c r="AM39" s="193"/>
      <c r="AN39" s="193"/>
      <c r="AO39" s="193"/>
      <c r="AP39" s="193"/>
      <c r="AQ39" s="193"/>
      <c r="AR39" s="193"/>
      <c r="AS39" s="193"/>
      <c r="AT39" s="193"/>
      <c r="AU39" s="193"/>
      <c r="AV39" s="193"/>
      <c r="AX39" s="193"/>
      <c r="AY39" s="193"/>
      <c r="AZ39" s="193"/>
    </row>
    <row r="40" spans="1:52" outlineLevel="1">
      <c r="B40" s="1" t="s">
        <v>453</v>
      </c>
      <c r="C40" s="6">
        <f>+C31</f>
        <v>578.01</v>
      </c>
      <c r="D40" s="6">
        <f t="shared" ref="D40:W40" si="12">+D31</f>
        <v>469.11700000000002</v>
      </c>
      <c r="E40" s="6">
        <f t="shared" si="12"/>
        <v>445.404</v>
      </c>
      <c r="F40" s="6">
        <f t="shared" si="12"/>
        <v>490.27600000000001</v>
      </c>
      <c r="G40" s="6"/>
      <c r="H40" s="6"/>
      <c r="I40" s="6"/>
      <c r="J40" s="6"/>
      <c r="K40" s="6"/>
      <c r="L40" s="6"/>
      <c r="M40" s="6"/>
      <c r="N40" s="6"/>
      <c r="O40" s="6">
        <f t="shared" si="12"/>
        <v>106.86</v>
      </c>
      <c r="P40" s="6">
        <f t="shared" si="12"/>
        <v>109.051</v>
      </c>
      <c r="Q40" s="6">
        <f t="shared" si="12"/>
        <v>112.994</v>
      </c>
      <c r="R40" s="6">
        <f t="shared" si="12"/>
        <v>116.497</v>
      </c>
      <c r="S40" s="6">
        <f t="shared" si="12"/>
        <v>102.306</v>
      </c>
      <c r="T40" s="6">
        <f t="shared" si="12"/>
        <v>108.033</v>
      </c>
      <c r="U40" s="6">
        <f t="shared" si="12"/>
        <v>127.66</v>
      </c>
      <c r="V40" s="6">
        <f t="shared" si="12"/>
        <v>152.27600000000001</v>
      </c>
      <c r="W40" s="6">
        <f t="shared" si="12"/>
        <v>139.70099999999999</v>
      </c>
      <c r="X40" s="193"/>
      <c r="Y40" s="193"/>
      <c r="Z40" s="193"/>
      <c r="AA40" s="193"/>
      <c r="AB40" s="193"/>
      <c r="AC40" s="193"/>
      <c r="AD40" s="193"/>
      <c r="AE40" s="193"/>
      <c r="AF40" s="193"/>
      <c r="AG40" s="193"/>
      <c r="AH40" s="193"/>
      <c r="AI40" s="193"/>
      <c r="AJ40" s="193"/>
      <c r="AK40" s="193"/>
      <c r="AL40" s="193"/>
      <c r="AM40" s="193"/>
      <c r="AN40" s="193"/>
      <c r="AO40" s="193"/>
      <c r="AP40" s="193"/>
      <c r="AQ40" s="193"/>
      <c r="AR40" s="193"/>
      <c r="AS40" s="193"/>
      <c r="AT40" s="193"/>
      <c r="AU40" s="193"/>
      <c r="AV40" s="193"/>
      <c r="AX40" s="193"/>
      <c r="AY40" s="193"/>
      <c r="AZ40" s="193"/>
    </row>
    <row r="41" spans="1:52" outlineLevel="1">
      <c r="B41" s="5" t="s">
        <v>411</v>
      </c>
      <c r="C41" s="8">
        <f>SUM(C38:C40)</f>
        <v>2263.9560000000001</v>
      </c>
      <c r="D41" s="8">
        <f t="shared" ref="D41:W41" si="13">SUM(D38:D40)</f>
        <v>2148.455133073543</v>
      </c>
      <c r="E41" s="8">
        <f t="shared" si="13"/>
        <v>2137.71</v>
      </c>
      <c r="F41" s="8">
        <f t="shared" si="13"/>
        <v>2253.5159999999996</v>
      </c>
      <c r="G41" s="8"/>
      <c r="H41" s="8"/>
      <c r="I41" s="8"/>
      <c r="J41" s="8"/>
      <c r="K41" s="8"/>
      <c r="L41" s="8"/>
      <c r="M41" s="8"/>
      <c r="N41" s="8"/>
      <c r="O41" s="8">
        <f t="shared" si="13"/>
        <v>504.39600000000002</v>
      </c>
      <c r="P41" s="8">
        <f t="shared" si="13"/>
        <v>523.27700000000004</v>
      </c>
      <c r="Q41" s="8">
        <f t="shared" si="13"/>
        <v>530.13800000000003</v>
      </c>
      <c r="R41" s="8">
        <f t="shared" si="13"/>
        <v>579.89199999999994</v>
      </c>
      <c r="S41" s="8">
        <f t="shared" si="13"/>
        <v>507.79500000000002</v>
      </c>
      <c r="T41" s="8">
        <f t="shared" si="13"/>
        <v>517.79099999999994</v>
      </c>
      <c r="U41" s="8">
        <f t="shared" si="13"/>
        <v>587.08899999999994</v>
      </c>
      <c r="V41" s="8">
        <f t="shared" si="13"/>
        <v>640.83600000000001</v>
      </c>
      <c r="W41" s="8">
        <f t="shared" si="13"/>
        <v>614.52099999999996</v>
      </c>
      <c r="X41" s="194"/>
      <c r="Y41" s="194"/>
      <c r="Z41" s="194"/>
      <c r="AA41" s="194"/>
      <c r="AB41" s="194"/>
      <c r="AC41" s="194"/>
      <c r="AD41" s="194"/>
      <c r="AE41" s="194"/>
      <c r="AF41" s="194"/>
      <c r="AG41" s="194"/>
      <c r="AH41" s="194"/>
      <c r="AI41" s="194"/>
      <c r="AJ41" s="194"/>
      <c r="AK41" s="194"/>
      <c r="AL41" s="194"/>
      <c r="AM41" s="194"/>
      <c r="AN41" s="194"/>
      <c r="AO41" s="194"/>
      <c r="AP41" s="194"/>
      <c r="AQ41" s="194"/>
      <c r="AR41" s="194"/>
      <c r="AS41" s="194"/>
      <c r="AT41" s="194"/>
      <c r="AU41" s="194"/>
      <c r="AV41" s="194"/>
      <c r="AX41" s="194"/>
      <c r="AY41" s="194"/>
      <c r="AZ41" s="194"/>
    </row>
    <row r="42" spans="1:52" outlineLevel="1">
      <c r="D42" s="24"/>
      <c r="E42" s="24"/>
    </row>
    <row r="43" spans="1:52" outlineLevel="1">
      <c r="D43" s="24"/>
      <c r="E43" s="24"/>
    </row>
    <row r="44" spans="1:52" s="17" customFormat="1" outlineLevel="1">
      <c r="A44" s="26"/>
      <c r="B44" s="16" t="s">
        <v>455</v>
      </c>
      <c r="C44" s="16"/>
      <c r="D44" s="16"/>
      <c r="E44" s="16"/>
      <c r="F44" s="16"/>
      <c r="G44" s="16"/>
      <c r="H44" s="16"/>
      <c r="I44" s="16"/>
      <c r="J44" s="16"/>
      <c r="K44" s="16"/>
      <c r="L44" s="16"/>
      <c r="M44" s="16"/>
      <c r="N44" s="5"/>
      <c r="O44" s="16"/>
      <c r="P44" s="16"/>
      <c r="Q44" s="16"/>
      <c r="R44" s="16"/>
      <c r="S44" s="16"/>
      <c r="T44" s="16"/>
      <c r="U44" s="16"/>
      <c r="V44" s="16"/>
      <c r="W44" s="16"/>
      <c r="X44" s="16"/>
      <c r="Y44" s="16"/>
      <c r="Z44" s="16"/>
      <c r="AA44" s="16"/>
      <c r="AB44" s="16"/>
      <c r="AC44" s="16"/>
      <c r="AD44" s="16"/>
      <c r="AE44" s="16"/>
      <c r="AF44" s="16"/>
      <c r="AG44" s="16"/>
      <c r="AH44" s="16"/>
      <c r="AI44" s="16"/>
      <c r="AJ44" s="16"/>
      <c r="AK44" s="16"/>
      <c r="AL44" s="16"/>
      <c r="AM44" s="16"/>
      <c r="AN44" s="16"/>
      <c r="AO44" s="16"/>
      <c r="AP44" s="16"/>
      <c r="AQ44" s="16"/>
      <c r="AR44" s="16"/>
      <c r="AS44" s="16"/>
      <c r="AT44" s="16"/>
      <c r="AU44" s="16"/>
      <c r="AV44" s="16"/>
      <c r="AX44" s="16"/>
      <c r="AY44" s="16"/>
      <c r="AZ44" s="16"/>
    </row>
    <row r="45" spans="1:52" outlineLevel="1">
      <c r="B45" s="5" t="s">
        <v>441</v>
      </c>
      <c r="C45" s="8"/>
      <c r="D45" s="8"/>
      <c r="E45" s="8"/>
      <c r="F45" s="8"/>
      <c r="G45" s="8"/>
      <c r="H45" s="8"/>
      <c r="I45" s="8"/>
      <c r="J45" s="8"/>
      <c r="K45" s="8"/>
      <c r="L45" s="8"/>
      <c r="M45" s="8"/>
      <c r="N45" s="8"/>
      <c r="O45" s="4">
        <v>10.29056204528556</v>
      </c>
      <c r="P45" s="4">
        <v>9.2646603773233114</v>
      </c>
      <c r="Q45" s="4">
        <v>8.5346461002179215</v>
      </c>
      <c r="R45" s="4">
        <v>9.2906953006652024</v>
      </c>
      <c r="S45" s="4">
        <v>8.8954456942462024</v>
      </c>
      <c r="T45" s="4">
        <v>8.7072952269000634</v>
      </c>
      <c r="U45" s="4">
        <v>8.5631776955954653</v>
      </c>
      <c r="V45" s="4">
        <v>8.5497687934808191</v>
      </c>
      <c r="W45" s="4">
        <v>8.7137848118343353</v>
      </c>
      <c r="X45" s="195"/>
      <c r="Y45" s="195"/>
      <c r="Z45" s="195"/>
      <c r="AA45" s="195"/>
      <c r="AB45" s="195"/>
      <c r="AC45" s="195"/>
      <c r="AD45" s="195"/>
      <c r="AE45" s="195"/>
      <c r="AF45" s="195"/>
      <c r="AG45" s="195"/>
      <c r="AH45" s="195"/>
      <c r="AI45" s="195"/>
      <c r="AJ45" s="195"/>
      <c r="AK45" s="195"/>
      <c r="AL45" s="195"/>
      <c r="AM45" s="195"/>
      <c r="AN45" s="195"/>
      <c r="AO45" s="195"/>
      <c r="AP45" s="195"/>
      <c r="AQ45" s="195"/>
      <c r="AR45" s="195"/>
      <c r="AS45" s="195"/>
      <c r="AT45" s="195"/>
      <c r="AU45" s="195"/>
      <c r="AV45" s="195"/>
      <c r="AX45" s="195"/>
      <c r="AY45" s="195"/>
      <c r="AZ45" s="195"/>
    </row>
    <row r="46" spans="1:52" outlineLevel="1">
      <c r="B46" s="1" t="s">
        <v>442</v>
      </c>
      <c r="C46" s="6"/>
      <c r="D46" s="6"/>
      <c r="E46" s="6"/>
      <c r="F46" s="6"/>
      <c r="G46" s="6"/>
      <c r="H46" s="6"/>
      <c r="I46" s="6"/>
      <c r="J46" s="6"/>
      <c r="K46" s="6"/>
      <c r="L46" s="6"/>
      <c r="M46" s="6"/>
      <c r="N46" s="6"/>
      <c r="O46" s="4">
        <v>15.831561195798214</v>
      </c>
      <c r="P46" s="4">
        <v>13.769899944032337</v>
      </c>
      <c r="Q46" s="4">
        <v>12.854521608318876</v>
      </c>
      <c r="R46" s="4">
        <v>13.675711345334021</v>
      </c>
      <c r="S46" s="4">
        <v>13.618675696230795</v>
      </c>
      <c r="T46" s="4">
        <v>13.428739738090592</v>
      </c>
      <c r="U46" s="4">
        <v>13.105313269524796</v>
      </c>
      <c r="V46" s="4">
        <v>13.370152574246365</v>
      </c>
      <c r="W46" s="4">
        <v>13.156764963164632</v>
      </c>
      <c r="X46" s="195"/>
      <c r="Y46" s="195"/>
      <c r="Z46" s="195"/>
      <c r="AA46" s="195"/>
      <c r="AB46" s="195"/>
      <c r="AC46" s="195"/>
      <c r="AD46" s="195"/>
      <c r="AE46" s="195"/>
      <c r="AF46" s="195"/>
      <c r="AG46" s="195"/>
      <c r="AH46" s="195"/>
      <c r="AI46" s="195"/>
      <c r="AJ46" s="195"/>
      <c r="AK46" s="195"/>
      <c r="AL46" s="195"/>
      <c r="AM46" s="195"/>
      <c r="AN46" s="195"/>
      <c r="AO46" s="195"/>
      <c r="AP46" s="195"/>
      <c r="AQ46" s="195"/>
      <c r="AR46" s="195"/>
      <c r="AS46" s="195"/>
      <c r="AT46" s="195"/>
      <c r="AU46" s="195"/>
      <c r="AV46" s="195"/>
      <c r="AX46" s="195"/>
      <c r="AY46" s="195"/>
      <c r="AZ46" s="195"/>
    </row>
    <row r="47" spans="1:52" outlineLevel="1">
      <c r="B47" s="7" t="s">
        <v>443</v>
      </c>
      <c r="C47" s="4"/>
      <c r="D47" s="4"/>
      <c r="E47" s="4"/>
      <c r="F47" s="4"/>
      <c r="G47" s="4"/>
      <c r="H47" s="4"/>
      <c r="I47" s="4"/>
      <c r="J47" s="4"/>
      <c r="K47" s="4"/>
      <c r="L47" s="4"/>
      <c r="M47" s="4"/>
      <c r="N47" s="4"/>
      <c r="O47" s="4">
        <v>13.331631027758194</v>
      </c>
      <c r="P47" s="4">
        <v>12.007420425830906</v>
      </c>
      <c r="Q47" s="4">
        <v>11.937316025871256</v>
      </c>
      <c r="R47" s="4">
        <v>12.854492206231425</v>
      </c>
      <c r="S47" s="4">
        <v>12.596088320629931</v>
      </c>
      <c r="T47" s="4">
        <v>11.889372649211223</v>
      </c>
      <c r="U47" s="4">
        <v>11.633938795928154</v>
      </c>
      <c r="V47" s="4">
        <v>12.568949325133435</v>
      </c>
      <c r="W47" s="4">
        <v>12.272264222250417</v>
      </c>
      <c r="X47" s="195"/>
      <c r="Y47" s="195"/>
      <c r="Z47" s="195"/>
      <c r="AA47" s="195"/>
      <c r="AB47" s="195"/>
      <c r="AC47" s="195"/>
      <c r="AD47" s="195"/>
      <c r="AE47" s="195"/>
      <c r="AF47" s="195"/>
      <c r="AG47" s="195"/>
      <c r="AH47" s="195"/>
      <c r="AI47" s="195"/>
      <c r="AJ47" s="195"/>
      <c r="AK47" s="195"/>
      <c r="AL47" s="195"/>
      <c r="AM47" s="195"/>
      <c r="AN47" s="195"/>
      <c r="AO47" s="195"/>
      <c r="AP47" s="195"/>
      <c r="AQ47" s="195"/>
      <c r="AR47" s="195"/>
      <c r="AS47" s="195"/>
      <c r="AT47" s="195"/>
      <c r="AU47" s="195"/>
      <c r="AV47" s="195"/>
      <c r="AX47" s="195"/>
      <c r="AY47" s="195"/>
      <c r="AZ47" s="195"/>
    </row>
    <row r="48" spans="1:52" outlineLevel="1">
      <c r="B48" s="7" t="s">
        <v>444</v>
      </c>
      <c r="C48" s="4"/>
      <c r="D48" s="4"/>
      <c r="E48" s="4"/>
      <c r="F48" s="4"/>
      <c r="G48" s="4"/>
      <c r="H48" s="4"/>
      <c r="I48" s="4"/>
      <c r="J48" s="4"/>
      <c r="K48" s="4"/>
      <c r="L48" s="4"/>
      <c r="M48" s="4"/>
      <c r="N48" s="4"/>
      <c r="O48" s="4">
        <v>17.997690108562352</v>
      </c>
      <c r="P48" s="4">
        <v>15.683941413481</v>
      </c>
      <c r="Q48" s="4">
        <v>14.982721663024174</v>
      </c>
      <c r="R48" s="4">
        <v>14.748865390429065</v>
      </c>
      <c r="S48" s="4">
        <v>14.698069786375534</v>
      </c>
      <c r="T48" s="4">
        <v>15.432781663917304</v>
      </c>
      <c r="U48" s="4">
        <v>14.923241714841465</v>
      </c>
      <c r="V48" s="4">
        <v>14.358152024741068</v>
      </c>
      <c r="W48" s="4">
        <v>13.990341278220228</v>
      </c>
      <c r="X48" s="195"/>
      <c r="Y48" s="195"/>
      <c r="Z48" s="195"/>
      <c r="AA48" s="195"/>
      <c r="AB48" s="195"/>
      <c r="AC48" s="195"/>
      <c r="AD48" s="195"/>
      <c r="AE48" s="195"/>
      <c r="AF48" s="195"/>
      <c r="AG48" s="195"/>
      <c r="AH48" s="195"/>
      <c r="AI48" s="195"/>
      <c r="AJ48" s="195"/>
      <c r="AK48" s="195"/>
      <c r="AL48" s="195"/>
      <c r="AM48" s="195"/>
      <c r="AN48" s="195"/>
      <c r="AO48" s="195"/>
      <c r="AP48" s="195"/>
      <c r="AQ48" s="195"/>
      <c r="AR48" s="195"/>
      <c r="AS48" s="195"/>
      <c r="AT48" s="195"/>
      <c r="AU48" s="195"/>
      <c r="AV48" s="195"/>
      <c r="AX48" s="195"/>
      <c r="AY48" s="195"/>
      <c r="AZ48" s="195"/>
    </row>
    <row r="49" spans="1:52" outlineLevel="1">
      <c r="B49" s="1" t="s">
        <v>445</v>
      </c>
      <c r="C49" s="4"/>
      <c r="D49" s="4"/>
      <c r="E49" s="4"/>
      <c r="F49" s="4"/>
      <c r="G49" s="4"/>
      <c r="H49" s="4"/>
      <c r="I49" s="4"/>
      <c r="J49" s="4"/>
      <c r="K49" s="4"/>
      <c r="L49" s="4"/>
      <c r="M49" s="4"/>
      <c r="N49" s="4"/>
      <c r="O49" s="4">
        <v>18.660628425169893</v>
      </c>
      <c r="P49" s="4">
        <v>19.118847100201538</v>
      </c>
      <c r="Q49" s="4">
        <v>19.241888819956127</v>
      </c>
      <c r="R49" s="4">
        <v>18.261393013287563</v>
      </c>
      <c r="S49" s="4">
        <v>17.972871305450212</v>
      </c>
      <c r="T49" s="4">
        <v>19.371099849777529</v>
      </c>
      <c r="U49" s="4">
        <v>15.422193433979352</v>
      </c>
      <c r="V49" s="4">
        <v>16.364107727930151</v>
      </c>
      <c r="W49" s="4">
        <v>18.050702066846227</v>
      </c>
      <c r="X49" s="195"/>
      <c r="Y49" s="195"/>
      <c r="Z49" s="195"/>
      <c r="AA49" s="195"/>
      <c r="AB49" s="195"/>
      <c r="AC49" s="195"/>
      <c r="AD49" s="195"/>
      <c r="AE49" s="195"/>
      <c r="AF49" s="195"/>
      <c r="AG49" s="195"/>
      <c r="AH49" s="195"/>
      <c r="AI49" s="195"/>
      <c r="AJ49" s="195"/>
      <c r="AK49" s="195"/>
      <c r="AL49" s="195"/>
      <c r="AM49" s="195"/>
      <c r="AN49" s="195"/>
      <c r="AO49" s="195"/>
      <c r="AP49" s="195"/>
      <c r="AQ49" s="195"/>
      <c r="AR49" s="195"/>
      <c r="AS49" s="195"/>
      <c r="AT49" s="195"/>
      <c r="AU49" s="195"/>
      <c r="AV49" s="195"/>
      <c r="AX49" s="195"/>
      <c r="AY49" s="195"/>
      <c r="AZ49" s="195"/>
    </row>
    <row r="50" spans="1:52" outlineLevel="1">
      <c r="B50" s="1" t="s">
        <v>446</v>
      </c>
      <c r="C50" s="4"/>
      <c r="D50" s="4"/>
      <c r="E50" s="4"/>
      <c r="F50" s="4"/>
      <c r="G50" s="4"/>
      <c r="H50" s="4"/>
      <c r="I50" s="4"/>
      <c r="J50" s="4"/>
      <c r="K50" s="4"/>
      <c r="L50" s="4"/>
      <c r="M50" s="4"/>
      <c r="N50" s="4"/>
      <c r="O50" s="4">
        <v>3.0469679835968875</v>
      </c>
      <c r="P50" s="4">
        <v>2.8162462128667971</v>
      </c>
      <c r="Q50" s="4">
        <v>2.6310529687655033</v>
      </c>
      <c r="R50" s="4">
        <v>2.726763024921286</v>
      </c>
      <c r="S50" s="4">
        <v>2.6542425288597502</v>
      </c>
      <c r="T50" s="4">
        <v>2.6408197668296687</v>
      </c>
      <c r="U50" s="4">
        <v>2.1830130560214256</v>
      </c>
      <c r="V50" s="4">
        <v>1.995600637699088</v>
      </c>
      <c r="W50" s="4">
        <v>1.980104187627588</v>
      </c>
      <c r="X50" s="195"/>
      <c r="Y50" s="195"/>
      <c r="Z50" s="195"/>
      <c r="AA50" s="195"/>
      <c r="AB50" s="195"/>
      <c r="AC50" s="195"/>
      <c r="AD50" s="195"/>
      <c r="AE50" s="195"/>
      <c r="AF50" s="195"/>
      <c r="AG50" s="195"/>
      <c r="AH50" s="195"/>
      <c r="AI50" s="195"/>
      <c r="AJ50" s="195"/>
      <c r="AK50" s="195"/>
      <c r="AL50" s="195"/>
      <c r="AM50" s="195"/>
      <c r="AN50" s="195"/>
      <c r="AO50" s="195"/>
      <c r="AP50" s="195"/>
      <c r="AQ50" s="195"/>
      <c r="AR50" s="195"/>
      <c r="AS50" s="195"/>
      <c r="AT50" s="195"/>
      <c r="AU50" s="195"/>
      <c r="AV50" s="195"/>
      <c r="AX50" s="195"/>
      <c r="AY50" s="195"/>
      <c r="AZ50" s="195"/>
    </row>
    <row r="51" spans="1:52" outlineLevel="1">
      <c r="C51" s="6"/>
      <c r="D51" s="6"/>
      <c r="E51" s="6"/>
      <c r="F51" s="6"/>
      <c r="G51" s="6"/>
      <c r="H51" s="6"/>
      <c r="I51" s="6"/>
      <c r="J51" s="6"/>
      <c r="K51" s="6"/>
      <c r="L51" s="6"/>
      <c r="M51" s="6"/>
      <c r="N51" s="6"/>
      <c r="O51" s="4"/>
      <c r="P51" s="4"/>
      <c r="Q51" s="4"/>
      <c r="R51" s="4"/>
      <c r="S51" s="4"/>
      <c r="T51" s="4"/>
      <c r="U51" s="4"/>
      <c r="V51" s="4"/>
      <c r="W51" s="4"/>
      <c r="X51" s="195"/>
      <c r="Y51" s="195"/>
      <c r="Z51" s="195"/>
      <c r="AA51" s="195"/>
      <c r="AB51" s="195"/>
      <c r="AC51" s="195"/>
      <c r="AD51" s="195"/>
      <c r="AE51" s="195"/>
      <c r="AF51" s="195"/>
      <c r="AG51" s="195"/>
      <c r="AH51" s="195"/>
      <c r="AI51" s="195"/>
      <c r="AJ51" s="195"/>
      <c r="AK51" s="195"/>
      <c r="AL51" s="195"/>
      <c r="AM51" s="195"/>
      <c r="AN51" s="195"/>
      <c r="AO51" s="195"/>
      <c r="AP51" s="195"/>
      <c r="AQ51" s="195"/>
      <c r="AR51" s="195"/>
      <c r="AS51" s="195"/>
      <c r="AT51" s="195"/>
      <c r="AU51" s="195"/>
      <c r="AV51" s="195"/>
      <c r="AX51" s="195"/>
      <c r="AY51" s="195"/>
      <c r="AZ51" s="195"/>
    </row>
    <row r="52" spans="1:52" outlineLevel="1">
      <c r="B52" s="5" t="s">
        <v>447</v>
      </c>
      <c r="C52" s="6"/>
      <c r="D52" s="6"/>
      <c r="E52" s="6"/>
      <c r="F52" s="6"/>
      <c r="G52" s="6"/>
      <c r="H52" s="6"/>
      <c r="I52" s="6"/>
      <c r="J52" s="6"/>
      <c r="K52" s="6"/>
      <c r="L52" s="6"/>
      <c r="M52" s="6"/>
      <c r="N52" s="6"/>
      <c r="O52" s="4">
        <v>9.2161525702569929</v>
      </c>
      <c r="P52" s="4">
        <v>8.6351567661840942</v>
      </c>
      <c r="Q52" s="4">
        <v>7.9074580898132236</v>
      </c>
      <c r="R52" s="4">
        <v>7.6875467012680261</v>
      </c>
      <c r="S52" s="4">
        <v>7.527234926007659</v>
      </c>
      <c r="T52" s="4">
        <v>8.009348504998604</v>
      </c>
      <c r="U52" s="4">
        <v>7.87754180328856</v>
      </c>
      <c r="V52" s="4">
        <v>7.9226469486948252</v>
      </c>
      <c r="W52" s="4">
        <v>7.9678608280816761</v>
      </c>
      <c r="X52" s="195"/>
      <c r="Y52" s="195"/>
      <c r="Z52" s="195"/>
      <c r="AA52" s="195"/>
      <c r="AB52" s="195"/>
      <c r="AC52" s="195"/>
      <c r="AD52" s="195"/>
      <c r="AE52" s="195"/>
      <c r="AF52" s="195"/>
      <c r="AG52" s="195"/>
      <c r="AH52" s="195"/>
      <c r="AI52" s="195"/>
      <c r="AJ52" s="195"/>
      <c r="AK52" s="195"/>
      <c r="AL52" s="195"/>
      <c r="AM52" s="195"/>
      <c r="AN52" s="195"/>
      <c r="AO52" s="195"/>
      <c r="AP52" s="195"/>
      <c r="AQ52" s="195"/>
      <c r="AR52" s="195"/>
      <c r="AS52" s="195"/>
      <c r="AT52" s="195"/>
      <c r="AU52" s="195"/>
      <c r="AV52" s="195"/>
      <c r="AX52" s="195"/>
      <c r="AY52" s="195"/>
      <c r="AZ52" s="195"/>
    </row>
    <row r="53" spans="1:52" outlineLevel="1">
      <c r="B53" s="1" t="s">
        <v>448</v>
      </c>
      <c r="C53" s="4"/>
      <c r="D53" s="4"/>
      <c r="E53" s="6"/>
      <c r="F53" s="6"/>
      <c r="G53" s="6"/>
      <c r="H53" s="6"/>
      <c r="I53" s="6"/>
      <c r="J53" s="6"/>
      <c r="K53" s="6"/>
      <c r="L53" s="6"/>
      <c r="M53" s="6"/>
      <c r="N53" s="6"/>
      <c r="O53" s="4">
        <v>7.9491582142564772</v>
      </c>
      <c r="P53" s="4">
        <v>7.5490491056238644</v>
      </c>
      <c r="Q53" s="4">
        <v>6.8538206230765963</v>
      </c>
      <c r="R53" s="4">
        <v>6.6052266964215232</v>
      </c>
      <c r="S53" s="4">
        <v>6.503351140976986</v>
      </c>
      <c r="T53" s="4">
        <v>6.8506231952836565</v>
      </c>
      <c r="U53" s="4">
        <v>6.711492914417903</v>
      </c>
      <c r="V53" s="4">
        <v>6.7176544717327671</v>
      </c>
      <c r="W53" s="4">
        <v>6.7720410363576287</v>
      </c>
      <c r="X53" s="195"/>
      <c r="Y53" s="195"/>
      <c r="Z53" s="195"/>
      <c r="AA53" s="195"/>
      <c r="AB53" s="195"/>
      <c r="AC53" s="195"/>
      <c r="AD53" s="195"/>
      <c r="AE53" s="195"/>
      <c r="AF53" s="195"/>
      <c r="AG53" s="195"/>
      <c r="AH53" s="195"/>
      <c r="AI53" s="195"/>
      <c r="AJ53" s="195"/>
      <c r="AK53" s="195"/>
      <c r="AL53" s="195"/>
      <c r="AM53" s="195"/>
      <c r="AN53" s="195"/>
      <c r="AO53" s="195"/>
      <c r="AP53" s="195"/>
      <c r="AQ53" s="195"/>
      <c r="AR53" s="195"/>
      <c r="AS53" s="195"/>
      <c r="AT53" s="195"/>
      <c r="AU53" s="195"/>
      <c r="AV53" s="195"/>
      <c r="AX53" s="195"/>
      <c r="AY53" s="195"/>
      <c r="AZ53" s="195"/>
    </row>
    <row r="54" spans="1:52" outlineLevel="1">
      <c r="B54" s="5" t="s">
        <v>449</v>
      </c>
      <c r="C54" s="4"/>
      <c r="D54" s="4"/>
      <c r="E54" s="6"/>
      <c r="F54" s="6"/>
      <c r="G54" s="6"/>
      <c r="H54" s="6"/>
      <c r="I54" s="6"/>
      <c r="J54" s="6"/>
      <c r="K54" s="6"/>
      <c r="L54" s="6"/>
      <c r="M54" s="6"/>
      <c r="N54" s="6"/>
      <c r="O54" s="4">
        <v>15.19014493598694</v>
      </c>
      <c r="P54" s="4">
        <v>13.423238203356009</v>
      </c>
      <c r="Q54" s="4">
        <v>12.901004989474004</v>
      </c>
      <c r="R54" s="4">
        <v>12.527512515428414</v>
      </c>
      <c r="S54" s="4">
        <v>12.069572257918487</v>
      </c>
      <c r="T54" s="4">
        <v>12.78950479771073</v>
      </c>
      <c r="U54" s="4">
        <v>12.515859847447176</v>
      </c>
      <c r="V54" s="4">
        <v>12.822267522486992</v>
      </c>
      <c r="W54" s="4">
        <v>12.805783279484977</v>
      </c>
      <c r="X54" s="195"/>
      <c r="Y54" s="195"/>
      <c r="Z54" s="195"/>
      <c r="AA54" s="195"/>
      <c r="AB54" s="195"/>
      <c r="AC54" s="195"/>
      <c r="AD54" s="195"/>
      <c r="AE54" s="195"/>
      <c r="AF54" s="195"/>
      <c r="AG54" s="195"/>
      <c r="AH54" s="195"/>
      <c r="AI54" s="195"/>
      <c r="AJ54" s="195"/>
      <c r="AK54" s="195"/>
      <c r="AL54" s="195"/>
      <c r="AM54" s="195"/>
      <c r="AN54" s="195"/>
      <c r="AO54" s="195"/>
      <c r="AP54" s="195"/>
      <c r="AQ54" s="195"/>
      <c r="AR54" s="195"/>
      <c r="AS54" s="195"/>
      <c r="AT54" s="195"/>
      <c r="AU54" s="195"/>
      <c r="AV54" s="195"/>
      <c r="AX54" s="195"/>
      <c r="AY54" s="195"/>
      <c r="AZ54" s="195"/>
    </row>
    <row r="55" spans="1:52" outlineLevel="1">
      <c r="O55" s="4"/>
      <c r="P55" s="4"/>
      <c r="Q55" s="4"/>
      <c r="R55" s="4"/>
      <c r="S55" s="4"/>
      <c r="T55" s="4"/>
      <c r="U55" s="4"/>
      <c r="V55" s="4"/>
      <c r="W55" s="4"/>
      <c r="X55" s="195"/>
      <c r="Y55" s="195"/>
      <c r="Z55" s="195"/>
      <c r="AA55" s="195"/>
      <c r="AB55" s="195"/>
      <c r="AC55" s="195"/>
      <c r="AD55" s="195"/>
      <c r="AE55" s="195"/>
      <c r="AF55" s="195"/>
      <c r="AG55" s="195"/>
      <c r="AH55" s="195"/>
      <c r="AI55" s="195"/>
      <c r="AJ55" s="195"/>
      <c r="AK55" s="195"/>
      <c r="AL55" s="195"/>
      <c r="AM55" s="195"/>
      <c r="AN55" s="195"/>
      <c r="AO55" s="195"/>
      <c r="AP55" s="195"/>
      <c r="AQ55" s="195"/>
      <c r="AR55" s="195"/>
      <c r="AS55" s="195"/>
      <c r="AT55" s="195"/>
      <c r="AU55" s="195"/>
      <c r="AV55" s="195"/>
      <c r="AX55" s="195"/>
      <c r="AY55" s="195"/>
      <c r="AZ55" s="195"/>
    </row>
    <row r="56" spans="1:52" outlineLevel="1">
      <c r="B56" s="5" t="s">
        <v>450</v>
      </c>
      <c r="O56" s="4"/>
      <c r="P56" s="4"/>
      <c r="Q56" s="4"/>
      <c r="R56" s="4"/>
      <c r="S56" s="4"/>
      <c r="T56" s="4"/>
      <c r="U56" s="4"/>
      <c r="V56" s="4"/>
      <c r="W56" s="4"/>
      <c r="X56" s="195"/>
      <c r="Y56" s="195"/>
      <c r="Z56" s="195"/>
      <c r="AA56" s="195"/>
      <c r="AB56" s="195"/>
      <c r="AC56" s="195"/>
      <c r="AD56" s="195"/>
      <c r="AE56" s="195"/>
      <c r="AF56" s="195"/>
      <c r="AG56" s="195"/>
      <c r="AH56" s="195"/>
      <c r="AI56" s="195"/>
      <c r="AJ56" s="195"/>
      <c r="AK56" s="195"/>
      <c r="AL56" s="195"/>
      <c r="AM56" s="195"/>
      <c r="AN56" s="195"/>
      <c r="AO56" s="195"/>
      <c r="AP56" s="195"/>
      <c r="AQ56" s="195"/>
      <c r="AR56" s="195"/>
      <c r="AS56" s="195"/>
      <c r="AT56" s="195"/>
      <c r="AU56" s="195"/>
      <c r="AV56" s="195"/>
      <c r="AX56" s="195"/>
      <c r="AY56" s="195"/>
      <c r="AZ56" s="195"/>
    </row>
    <row r="57" spans="1:52" outlineLevel="1">
      <c r="B57" s="1" t="s">
        <v>451</v>
      </c>
      <c r="C57" s="6"/>
      <c r="D57" s="6"/>
      <c r="E57" s="6"/>
      <c r="F57" s="6"/>
      <c r="G57" s="6"/>
      <c r="H57" s="6"/>
      <c r="I57" s="6"/>
      <c r="J57" s="6"/>
      <c r="K57" s="6"/>
      <c r="L57" s="6"/>
      <c r="M57" s="6"/>
      <c r="N57" s="6"/>
      <c r="O57" s="4">
        <v>15.831561195798214</v>
      </c>
      <c r="P57" s="4">
        <v>13.769899944032337</v>
      </c>
      <c r="Q57" s="4">
        <v>12.854521608318876</v>
      </c>
      <c r="R57" s="4">
        <v>13.675711345334021</v>
      </c>
      <c r="S57" s="4">
        <v>13.618675696230795</v>
      </c>
      <c r="T57" s="4">
        <v>13.428739738090592</v>
      </c>
      <c r="U57" s="4">
        <v>13.105313269524796</v>
      </c>
      <c r="V57" s="4">
        <v>13.370152574246365</v>
      </c>
      <c r="W57" s="4">
        <v>13.156764963164632</v>
      </c>
      <c r="X57" s="195"/>
      <c r="Y57" s="195"/>
      <c r="Z57" s="195"/>
      <c r="AA57" s="195"/>
      <c r="AB57" s="195"/>
      <c r="AC57" s="195"/>
      <c r="AD57" s="195"/>
      <c r="AE57" s="195"/>
      <c r="AF57" s="195"/>
      <c r="AG57" s="195"/>
      <c r="AH57" s="195"/>
      <c r="AI57" s="195"/>
      <c r="AJ57" s="195"/>
      <c r="AK57" s="195"/>
      <c r="AL57" s="195"/>
      <c r="AM57" s="195"/>
      <c r="AN57" s="195"/>
      <c r="AO57" s="195"/>
      <c r="AP57" s="195"/>
      <c r="AQ57" s="195"/>
      <c r="AR57" s="195"/>
      <c r="AS57" s="195"/>
      <c r="AT57" s="195"/>
      <c r="AU57" s="195"/>
      <c r="AV57" s="195"/>
      <c r="AX57" s="195"/>
      <c r="AY57" s="195"/>
      <c r="AZ57" s="195"/>
    </row>
    <row r="58" spans="1:52" outlineLevel="1">
      <c r="B58" s="1" t="s">
        <v>452</v>
      </c>
      <c r="C58" s="6"/>
      <c r="D58" s="6"/>
      <c r="E58" s="6"/>
      <c r="F58" s="6"/>
      <c r="G58" s="6"/>
      <c r="H58" s="6"/>
      <c r="I58" s="6"/>
      <c r="J58" s="6"/>
      <c r="K58" s="6"/>
      <c r="L58" s="6"/>
      <c r="M58" s="6"/>
      <c r="N58" s="6"/>
      <c r="O58" s="4">
        <v>9.6597695485697201</v>
      </c>
      <c r="P58" s="4">
        <v>9.1164301160526708</v>
      </c>
      <c r="Q58" s="4">
        <v>8.4271364668554867</v>
      </c>
      <c r="R58" s="4">
        <v>8.1846055824580688</v>
      </c>
      <c r="S58" s="4">
        <v>7.8472053368310473</v>
      </c>
      <c r="T58" s="4">
        <v>8.3020767342645527</v>
      </c>
      <c r="U58" s="4">
        <v>8.1824740309143849</v>
      </c>
      <c r="V58" s="4">
        <v>8.2705122243161195</v>
      </c>
      <c r="W58" s="4">
        <v>8.3876758277717229</v>
      </c>
      <c r="X58" s="195"/>
      <c r="Y58" s="195"/>
      <c r="Z58" s="195"/>
      <c r="AA58" s="195"/>
      <c r="AB58" s="195"/>
      <c r="AC58" s="195"/>
      <c r="AD58" s="195"/>
      <c r="AE58" s="195"/>
      <c r="AF58" s="195"/>
      <c r="AG58" s="195"/>
      <c r="AH58" s="195"/>
      <c r="AI58" s="195"/>
      <c r="AJ58" s="195"/>
      <c r="AK58" s="195"/>
      <c r="AL58" s="195"/>
      <c r="AM58" s="195"/>
      <c r="AN58" s="195"/>
      <c r="AO58" s="195"/>
      <c r="AP58" s="195"/>
      <c r="AQ58" s="195"/>
      <c r="AR58" s="195"/>
      <c r="AS58" s="195"/>
      <c r="AT58" s="195"/>
      <c r="AU58" s="195"/>
      <c r="AV58" s="195"/>
      <c r="AX58" s="195"/>
      <c r="AY58" s="195"/>
      <c r="AZ58" s="195"/>
    </row>
    <row r="59" spans="1:52" outlineLevel="1">
      <c r="B59" s="1" t="s">
        <v>453</v>
      </c>
      <c r="C59" s="6"/>
      <c r="D59" s="6"/>
      <c r="E59" s="6"/>
      <c r="F59" s="6"/>
      <c r="G59" s="6"/>
      <c r="H59" s="6"/>
      <c r="I59" s="6"/>
      <c r="J59" s="6"/>
      <c r="K59" s="6"/>
      <c r="L59" s="6"/>
      <c r="M59" s="6"/>
      <c r="N59" s="6"/>
      <c r="O59" s="4">
        <v>3.0469679835968875</v>
      </c>
      <c r="P59" s="4">
        <v>2.8162462128667971</v>
      </c>
      <c r="Q59" s="4">
        <v>2.6310529687655033</v>
      </c>
      <c r="R59" s="4">
        <v>2.726763024921286</v>
      </c>
      <c r="S59" s="4">
        <v>2.6542425288597502</v>
      </c>
      <c r="T59" s="4">
        <v>2.6408197668296687</v>
      </c>
      <c r="U59" s="4">
        <v>2.1830130560214256</v>
      </c>
      <c r="V59" s="4">
        <v>1.995600637699088</v>
      </c>
      <c r="W59" s="4">
        <v>1.980104187627588</v>
      </c>
      <c r="X59" s="195"/>
      <c r="Y59" s="195"/>
      <c r="Z59" s="195"/>
      <c r="AA59" s="195"/>
      <c r="AB59" s="195"/>
      <c r="AC59" s="195"/>
      <c r="AD59" s="195"/>
      <c r="AE59" s="195"/>
      <c r="AF59" s="195"/>
      <c r="AG59" s="195"/>
      <c r="AH59" s="195"/>
      <c r="AI59" s="195"/>
      <c r="AJ59" s="195"/>
      <c r="AK59" s="195"/>
      <c r="AL59" s="195"/>
      <c r="AM59" s="195"/>
      <c r="AN59" s="195"/>
      <c r="AO59" s="195"/>
      <c r="AP59" s="195"/>
      <c r="AQ59" s="195"/>
      <c r="AR59" s="195"/>
      <c r="AS59" s="195"/>
      <c r="AT59" s="195"/>
      <c r="AU59" s="195"/>
      <c r="AV59" s="195"/>
      <c r="AX59" s="195"/>
      <c r="AY59" s="195"/>
      <c r="AZ59" s="195"/>
    </row>
    <row r="60" spans="1:52" outlineLevel="1">
      <c r="B60" s="5" t="s">
        <v>411</v>
      </c>
      <c r="C60" s="8"/>
      <c r="D60" s="8"/>
      <c r="E60" s="8"/>
      <c r="F60" s="8"/>
      <c r="G60" s="8"/>
      <c r="H60" s="8"/>
      <c r="I60" s="8"/>
      <c r="J60" s="8"/>
      <c r="K60" s="8"/>
      <c r="L60" s="8"/>
      <c r="M60" s="8"/>
      <c r="N60" s="8"/>
      <c r="O60" s="4">
        <v>9.7271611244465301</v>
      </c>
      <c r="P60" s="4">
        <v>8.9353031499027615</v>
      </c>
      <c r="Q60" s="4">
        <v>8.2000515605682036</v>
      </c>
      <c r="R60" s="4">
        <v>8.4482475847357748</v>
      </c>
      <c r="S60" s="4">
        <v>8.1452819953951892</v>
      </c>
      <c r="T60" s="4">
        <v>8.3294999747028324</v>
      </c>
      <c r="U60" s="4">
        <v>8.2288663715419972</v>
      </c>
      <c r="V60" s="4">
        <v>8.2667217553201624</v>
      </c>
      <c r="W60" s="4">
        <v>8.3783826616246149</v>
      </c>
      <c r="X60" s="195"/>
      <c r="Y60" s="195"/>
      <c r="Z60" s="195"/>
      <c r="AA60" s="195"/>
      <c r="AB60" s="195"/>
      <c r="AC60" s="195"/>
      <c r="AD60" s="195"/>
      <c r="AE60" s="195"/>
      <c r="AF60" s="195"/>
      <c r="AG60" s="195"/>
      <c r="AH60" s="195"/>
      <c r="AI60" s="195"/>
      <c r="AJ60" s="195"/>
      <c r="AK60" s="195"/>
      <c r="AL60" s="195"/>
      <c r="AM60" s="195"/>
      <c r="AN60" s="195"/>
      <c r="AO60" s="195"/>
      <c r="AP60" s="195"/>
      <c r="AQ60" s="195"/>
      <c r="AR60" s="195"/>
      <c r="AS60" s="195"/>
      <c r="AT60" s="195"/>
      <c r="AU60" s="195"/>
      <c r="AV60" s="195"/>
      <c r="AX60" s="195"/>
      <c r="AY60" s="195"/>
      <c r="AZ60" s="195"/>
    </row>
    <row r="61" spans="1:52" outlineLevel="1">
      <c r="D61" s="24"/>
      <c r="E61" s="24"/>
    </row>
    <row r="62" spans="1:52" s="17" customFormat="1" outlineLevel="1">
      <c r="A62" s="26"/>
      <c r="B62" s="16" t="s">
        <v>456</v>
      </c>
      <c r="C62" s="16"/>
      <c r="D62" s="16"/>
      <c r="E62" s="16"/>
      <c r="F62" s="16"/>
      <c r="G62" s="16"/>
      <c r="H62" s="16"/>
      <c r="I62" s="16"/>
      <c r="J62" s="16"/>
      <c r="K62" s="16"/>
      <c r="L62" s="16"/>
      <c r="M62" s="16"/>
      <c r="N62" s="5"/>
      <c r="O62" s="16"/>
      <c r="P62" s="16"/>
      <c r="Q62" s="16"/>
      <c r="R62" s="16"/>
      <c r="S62" s="16"/>
      <c r="T62" s="16"/>
      <c r="U62" s="16"/>
      <c r="V62" s="16"/>
      <c r="W62" s="16"/>
      <c r="X62" s="16"/>
      <c r="Y62" s="16"/>
      <c r="Z62" s="16"/>
      <c r="AA62" s="16"/>
      <c r="AB62" s="16"/>
      <c r="AC62" s="16"/>
      <c r="AD62" s="16"/>
      <c r="AE62" s="16"/>
      <c r="AF62" s="16"/>
      <c r="AG62" s="16"/>
      <c r="AH62" s="16"/>
      <c r="AI62" s="16"/>
      <c r="AJ62" s="16"/>
      <c r="AK62" s="16"/>
      <c r="AL62" s="16"/>
      <c r="AM62" s="16"/>
      <c r="AN62" s="16"/>
      <c r="AO62" s="16"/>
      <c r="AP62" s="16"/>
      <c r="AQ62" s="16"/>
      <c r="AR62" s="16"/>
      <c r="AS62" s="16"/>
      <c r="AT62" s="16"/>
      <c r="AU62" s="16"/>
      <c r="AV62" s="16"/>
      <c r="AX62" s="16"/>
      <c r="AY62" s="16"/>
      <c r="AZ62" s="16"/>
    </row>
    <row r="63" spans="1:52" outlineLevel="1">
      <c r="O63" s="67"/>
    </row>
    <row r="64" spans="1:52" outlineLevel="1">
      <c r="B64" s="1" t="s">
        <v>457</v>
      </c>
      <c r="C64" s="105">
        <v>9313.7872432652221</v>
      </c>
      <c r="D64" s="105">
        <v>9905.6655183017738</v>
      </c>
      <c r="E64" s="6">
        <f>SUM(O64:R64)</f>
        <v>9447.4902386409085</v>
      </c>
      <c r="F64" s="6">
        <f>SUM(S64:V64)</f>
        <v>9690.7410808974437</v>
      </c>
      <c r="G64" s="6"/>
      <c r="H64" s="6"/>
      <c r="I64" s="6"/>
      <c r="J64" s="6"/>
      <c r="K64" s="6"/>
      <c r="L64" s="6"/>
      <c r="M64" s="6"/>
      <c r="N64" s="6"/>
      <c r="O64" s="105">
        <v>2468.7278132142173</v>
      </c>
      <c r="P64" s="4">
        <v>2311.5264581977672</v>
      </c>
      <c r="Q64" s="4">
        <v>2110.781563958416</v>
      </c>
      <c r="R64" s="4">
        <v>2556.4544032705076</v>
      </c>
      <c r="S64" s="4">
        <v>2040.4601383231552</v>
      </c>
      <c r="T64" s="4">
        <v>2068.1054075574948</v>
      </c>
      <c r="U64" s="4">
        <v>2576.0616248264078</v>
      </c>
      <c r="V64" s="4">
        <v>3006.1139101903859</v>
      </c>
      <c r="W64" s="4">
        <v>2947.0764123625818</v>
      </c>
      <c r="X64" s="195"/>
      <c r="Y64" s="195"/>
      <c r="Z64" s="195"/>
      <c r="AA64" s="195"/>
      <c r="AB64" s="195"/>
      <c r="AC64" s="195"/>
      <c r="AD64" s="195"/>
      <c r="AE64" s="195"/>
      <c r="AF64" s="195"/>
      <c r="AG64" s="195"/>
      <c r="AH64" s="195"/>
      <c r="AI64" s="195"/>
      <c r="AJ64" s="195"/>
      <c r="AK64" s="195"/>
      <c r="AL64" s="195"/>
      <c r="AM64" s="195"/>
      <c r="AN64" s="195"/>
      <c r="AO64" s="195"/>
      <c r="AP64" s="195"/>
      <c r="AQ64" s="195"/>
      <c r="AR64" s="195"/>
      <c r="AS64" s="195"/>
      <c r="AT64" s="195"/>
      <c r="AU64" s="195"/>
      <c r="AV64" s="195"/>
      <c r="AX64" s="195"/>
      <c r="AY64" s="195"/>
      <c r="AZ64" s="195"/>
    </row>
    <row r="65" spans="1:54" outlineLevel="1">
      <c r="B65" s="1" t="s">
        <v>114</v>
      </c>
      <c r="C65" s="105">
        <v>916.0893942680193</v>
      </c>
      <c r="D65" s="105">
        <v>1061.1669569073938</v>
      </c>
      <c r="E65" s="6">
        <f>SUM(O65:R65)</f>
        <v>789.38726477370506</v>
      </c>
      <c r="F65" s="6">
        <f>SUM(S65:V65)</f>
        <v>841.04657637515947</v>
      </c>
      <c r="G65" s="6"/>
      <c r="H65" s="6"/>
      <c r="I65" s="6"/>
      <c r="J65" s="6"/>
      <c r="K65" s="6"/>
      <c r="L65" s="6"/>
      <c r="M65" s="6"/>
      <c r="N65" s="6"/>
      <c r="O65" s="4">
        <v>232.51999684583376</v>
      </c>
      <c r="P65" s="4">
        <v>205.88929224474739</v>
      </c>
      <c r="Q65" s="4">
        <v>159.4496510929433</v>
      </c>
      <c r="R65" s="4">
        <v>191.52832459018055</v>
      </c>
      <c r="S65" s="4">
        <v>146.19507435922947</v>
      </c>
      <c r="T65" s="4">
        <v>178.34941916304862</v>
      </c>
      <c r="U65" s="4">
        <v>254.57414098471008</v>
      </c>
      <c r="V65" s="4">
        <v>261.92794186817122</v>
      </c>
      <c r="W65" s="4">
        <v>190.62959380618724</v>
      </c>
      <c r="X65" s="195"/>
      <c r="Y65" s="195"/>
      <c r="Z65" s="195"/>
      <c r="AA65" s="195"/>
      <c r="AB65" s="195"/>
      <c r="AC65" s="195"/>
      <c r="AD65" s="195"/>
      <c r="AE65" s="195"/>
      <c r="AF65" s="195"/>
      <c r="AG65" s="195"/>
      <c r="AH65" s="195"/>
      <c r="AI65" s="195"/>
      <c r="AJ65" s="195"/>
      <c r="AK65" s="195"/>
      <c r="AL65" s="195"/>
      <c r="AM65" s="195"/>
      <c r="AN65" s="195"/>
      <c r="AO65" s="195"/>
      <c r="AP65" s="195"/>
      <c r="AQ65" s="195"/>
      <c r="AR65" s="195"/>
      <c r="AS65" s="195"/>
      <c r="AT65" s="195"/>
      <c r="AU65" s="195"/>
      <c r="AV65" s="195"/>
      <c r="AX65" s="195"/>
      <c r="AY65" s="195"/>
      <c r="AZ65" s="195"/>
    </row>
    <row r="66" spans="1:54" outlineLevel="1">
      <c r="B66" s="46" t="s">
        <v>458</v>
      </c>
      <c r="C66" s="52">
        <f>C65/C64</f>
        <v>9.8358419656884633E-2</v>
      </c>
      <c r="D66" s="52">
        <f>D65/D64</f>
        <v>0.10712727528975964</v>
      </c>
      <c r="E66" s="52">
        <f>E65/E64</f>
        <v>8.3555234759074407E-2</v>
      </c>
      <c r="F66" s="52">
        <f>F65/F64</f>
        <v>8.6788674813843183E-2</v>
      </c>
      <c r="G66" s="52"/>
      <c r="H66" s="52"/>
      <c r="I66" s="52"/>
      <c r="J66" s="52"/>
      <c r="K66" s="52"/>
      <c r="L66" s="52"/>
      <c r="M66" s="52"/>
      <c r="N66" s="52"/>
      <c r="O66" s="52">
        <f>O65/O64</f>
        <v>9.4186161634035689E-2</v>
      </c>
      <c r="P66" s="52">
        <f t="shared" ref="P66:W66" si="14">P65/P64</f>
        <v>8.9070705426955638E-2</v>
      </c>
      <c r="Q66" s="52">
        <f t="shared" si="14"/>
        <v>7.5540574077178443E-2</v>
      </c>
      <c r="R66" s="52">
        <f t="shared" si="14"/>
        <v>7.4919515225914335E-2</v>
      </c>
      <c r="S66" s="52">
        <f t="shared" si="14"/>
        <v>7.1648091336580677E-2</v>
      </c>
      <c r="T66" s="52">
        <f t="shared" si="14"/>
        <v>8.6238070125103317E-2</v>
      </c>
      <c r="U66" s="52">
        <f t="shared" si="14"/>
        <v>9.8823001177957059E-2</v>
      </c>
      <c r="V66" s="52">
        <f t="shared" si="14"/>
        <v>8.7131742074132698E-2</v>
      </c>
      <c r="W66" s="52">
        <f t="shared" si="14"/>
        <v>6.4684306455890392E-2</v>
      </c>
      <c r="X66" s="311"/>
      <c r="Y66" s="311"/>
      <c r="Z66" s="311"/>
      <c r="AA66" s="311"/>
      <c r="AB66" s="311"/>
      <c r="AC66" s="311"/>
      <c r="AD66" s="311"/>
      <c r="AE66" s="311"/>
      <c r="AF66" s="311"/>
      <c r="AG66" s="311"/>
      <c r="AH66" s="311"/>
      <c r="AI66" s="311"/>
      <c r="AJ66" s="311"/>
      <c r="AK66" s="311"/>
      <c r="AL66" s="311"/>
      <c r="AM66" s="311"/>
      <c r="AN66" s="311"/>
      <c r="AO66" s="311"/>
      <c r="AP66" s="311"/>
      <c r="AQ66" s="311"/>
      <c r="AR66" s="311"/>
      <c r="AS66" s="311"/>
      <c r="AT66" s="311"/>
      <c r="AU66" s="311"/>
      <c r="AV66" s="311"/>
      <c r="AX66" s="311"/>
      <c r="AY66" s="311"/>
      <c r="AZ66" s="311"/>
    </row>
    <row r="67" spans="1:54" outlineLevel="1">
      <c r="B67" s="5"/>
    </row>
    <row r="68" spans="1:54" s="17" customFormat="1" outlineLevel="1">
      <c r="A68" s="26"/>
      <c r="B68" s="16" t="s">
        <v>459</v>
      </c>
      <c r="C68" s="16"/>
      <c r="D68" s="16"/>
      <c r="E68" s="16"/>
      <c r="F68" s="16"/>
      <c r="G68" s="16"/>
      <c r="H68" s="16"/>
      <c r="I68" s="16"/>
      <c r="J68" s="16"/>
      <c r="K68" s="16"/>
      <c r="L68" s="16"/>
      <c r="M68" s="16"/>
      <c r="N68" s="5"/>
      <c r="O68" s="16"/>
      <c r="P68" s="16"/>
      <c r="Q68" s="16"/>
      <c r="R68" s="16"/>
      <c r="S68" s="16"/>
      <c r="T68" s="16"/>
      <c r="U68" s="16"/>
      <c r="V68" s="16"/>
      <c r="W68" s="16"/>
      <c r="X68" s="16"/>
      <c r="Y68" s="16"/>
      <c r="Z68" s="16"/>
      <c r="AA68" s="16"/>
      <c r="AB68" s="16"/>
      <c r="AC68" s="16"/>
      <c r="AD68" s="16"/>
      <c r="AE68" s="16"/>
      <c r="AF68" s="16"/>
      <c r="AG68" s="16"/>
      <c r="AH68" s="16"/>
      <c r="AI68" s="16"/>
      <c r="AJ68" s="16"/>
      <c r="AK68" s="16"/>
      <c r="AL68" s="16"/>
      <c r="AM68" s="16"/>
      <c r="AN68" s="16"/>
      <c r="AO68" s="16"/>
      <c r="AP68" s="16"/>
      <c r="AQ68" s="16"/>
      <c r="AR68" s="16"/>
      <c r="AS68" s="16"/>
      <c r="AT68" s="16"/>
      <c r="AU68" s="16"/>
      <c r="AV68" s="16"/>
      <c r="AX68" s="16"/>
      <c r="AY68" s="16"/>
      <c r="AZ68" s="16"/>
    </row>
    <row r="69" spans="1:54" outlineLevel="1"/>
    <row r="70" spans="1:54" outlineLevel="1">
      <c r="B70" s="1" t="s">
        <v>457</v>
      </c>
      <c r="C70" s="105">
        <v>2500.4462669833283</v>
      </c>
      <c r="D70" s="105">
        <v>2691.3387803905257</v>
      </c>
      <c r="E70" s="6">
        <f>SUM(O70:R70)</f>
        <v>2696.8478266371199</v>
      </c>
      <c r="F70" s="6">
        <f>SUM(S70:V70)</f>
        <v>2782.6014631234584</v>
      </c>
      <c r="G70" s="6"/>
      <c r="H70" s="6"/>
      <c r="I70" s="6"/>
      <c r="J70" s="6"/>
      <c r="K70" s="6"/>
      <c r="L70" s="6"/>
      <c r="M70" s="6"/>
      <c r="N70" s="6"/>
      <c r="O70" s="105">
        <v>623.30795645972751</v>
      </c>
      <c r="P70" s="105">
        <v>672.96414477110875</v>
      </c>
      <c r="Q70" s="105">
        <v>688.49149847343961</v>
      </c>
      <c r="R70" s="105">
        <v>712.08422693284399</v>
      </c>
      <c r="S70" s="105">
        <v>667.19356690989264</v>
      </c>
      <c r="T70" s="105">
        <v>697.09354859724863</v>
      </c>
      <c r="U70" s="105">
        <v>713.29606598537703</v>
      </c>
      <c r="V70" s="105">
        <v>705.01828163094012</v>
      </c>
      <c r="W70" s="105">
        <v>678.73823562453856</v>
      </c>
      <c r="X70" s="196"/>
      <c r="Y70" s="196"/>
      <c r="Z70" s="196"/>
      <c r="AA70" s="196"/>
      <c r="AB70" s="196"/>
      <c r="AC70" s="196"/>
      <c r="AD70" s="196"/>
      <c r="AE70" s="196"/>
      <c r="AF70" s="196"/>
      <c r="AG70" s="196"/>
      <c r="AH70" s="196"/>
      <c r="AI70" s="196"/>
      <c r="AJ70" s="196"/>
      <c r="AK70" s="196"/>
      <c r="AL70" s="196"/>
      <c r="AM70" s="196"/>
      <c r="AN70" s="196"/>
      <c r="AO70" s="196"/>
      <c r="AP70" s="196"/>
      <c r="AQ70" s="196"/>
      <c r="AR70" s="196"/>
      <c r="AS70" s="196"/>
      <c r="AT70" s="196"/>
      <c r="AU70" s="196"/>
      <c r="AV70" s="196"/>
      <c r="AX70" s="196"/>
      <c r="AY70" s="196"/>
      <c r="AZ70" s="196"/>
    </row>
    <row r="71" spans="1:54" outlineLevel="1">
      <c r="B71" s="1" t="s">
        <v>114</v>
      </c>
      <c r="C71" s="105">
        <v>184.64233006031577</v>
      </c>
      <c r="D71" s="105">
        <v>216.42549473955498</v>
      </c>
      <c r="E71" s="6">
        <f>SUM(O71:R71)</f>
        <v>261.00555083019412</v>
      </c>
      <c r="F71" s="6">
        <f>SUM(S71:V71)</f>
        <v>281.80902917514794</v>
      </c>
      <c r="G71" s="6"/>
      <c r="H71" s="6"/>
      <c r="I71" s="6"/>
      <c r="J71" s="6"/>
      <c r="K71" s="6"/>
      <c r="L71" s="6"/>
      <c r="M71" s="6"/>
      <c r="N71" s="6"/>
      <c r="O71" s="105">
        <v>59.162867406335309</v>
      </c>
      <c r="P71" s="105">
        <v>68.817518757502526</v>
      </c>
      <c r="Q71" s="105">
        <v>64.424075949660676</v>
      </c>
      <c r="R71" s="105">
        <v>68.601088716695642</v>
      </c>
      <c r="S71" s="105">
        <v>64.915603094841515</v>
      </c>
      <c r="T71" s="105">
        <v>71.10541178681747</v>
      </c>
      <c r="U71" s="105">
        <v>79.740067023852291</v>
      </c>
      <c r="V71" s="105">
        <v>66.047947269636651</v>
      </c>
      <c r="W71" s="105">
        <v>54.022083042448955</v>
      </c>
      <c r="X71" s="196"/>
      <c r="Y71" s="196"/>
      <c r="Z71" s="196"/>
      <c r="AA71" s="196"/>
      <c r="AB71" s="196"/>
      <c r="AC71" s="196"/>
      <c r="AD71" s="196"/>
      <c r="AE71" s="196"/>
      <c r="AF71" s="196"/>
      <c r="AG71" s="196"/>
      <c r="AH71" s="196"/>
      <c r="AI71" s="196"/>
      <c r="AJ71" s="196"/>
      <c r="AK71" s="196"/>
      <c r="AL71" s="196"/>
      <c r="AM71" s="196"/>
      <c r="AN71" s="196"/>
      <c r="AO71" s="196"/>
      <c r="AP71" s="196"/>
      <c r="AQ71" s="196"/>
      <c r="AR71" s="196"/>
      <c r="AS71" s="196"/>
      <c r="AT71" s="196"/>
      <c r="AU71" s="196"/>
      <c r="AV71" s="196"/>
      <c r="AX71" s="196"/>
      <c r="AY71" s="196"/>
      <c r="AZ71" s="196"/>
    </row>
    <row r="72" spans="1:54" outlineLevel="1">
      <c r="B72" s="46" t="s">
        <v>458</v>
      </c>
      <c r="C72" s="52">
        <f>C71/C70</f>
        <v>7.3843750413032525E-2</v>
      </c>
      <c r="D72" s="52">
        <f>D71/D70</f>
        <v>8.0415552407025706E-2</v>
      </c>
      <c r="E72" s="52">
        <f>E71/E70</f>
        <v>9.6781712431902187E-2</v>
      </c>
      <c r="F72" s="52">
        <f>F71/F70</f>
        <v>0.10127538309378249</v>
      </c>
      <c r="G72" s="52"/>
      <c r="H72" s="52"/>
      <c r="I72" s="52"/>
      <c r="J72" s="52"/>
      <c r="K72" s="52"/>
      <c r="L72" s="52"/>
      <c r="M72" s="52"/>
      <c r="N72" s="52"/>
      <c r="O72" s="52">
        <f>O71/O70</f>
        <v>9.4917555268136347E-2</v>
      </c>
      <c r="P72" s="52">
        <f t="shared" ref="P72:W72" si="15">P71/P70</f>
        <v>0.10226030508788699</v>
      </c>
      <c r="Q72" s="52">
        <f t="shared" si="15"/>
        <v>9.3572798055611736E-2</v>
      </c>
      <c r="R72" s="52">
        <f t="shared" si="15"/>
        <v>9.6338447225801774E-2</v>
      </c>
      <c r="S72" s="52">
        <f t="shared" si="15"/>
        <v>9.7296506313000242E-2</v>
      </c>
      <c r="T72" s="52">
        <f t="shared" si="15"/>
        <v>0.10200268232276984</v>
      </c>
      <c r="U72" s="52">
        <f t="shared" si="15"/>
        <v>0.1117909810895929</v>
      </c>
      <c r="V72" s="52">
        <f t="shared" si="15"/>
        <v>9.3682602267909906E-2</v>
      </c>
      <c r="W72" s="52">
        <f t="shared" si="15"/>
        <v>7.9591925439032804E-2</v>
      </c>
      <c r="X72" s="311"/>
      <c r="Y72" s="311"/>
      <c r="Z72" s="311"/>
      <c r="AA72" s="311"/>
      <c r="AB72" s="311"/>
      <c r="AC72" s="311"/>
      <c r="AD72" s="311"/>
      <c r="AE72" s="311"/>
      <c r="AF72" s="311"/>
      <c r="AG72" s="311"/>
      <c r="AH72" s="311"/>
      <c r="AI72" s="311"/>
      <c r="AJ72" s="311"/>
      <c r="AK72" s="311"/>
      <c r="AL72" s="311"/>
      <c r="AM72" s="311"/>
      <c r="AN72" s="311"/>
      <c r="AO72" s="311"/>
      <c r="AP72" s="311"/>
      <c r="AQ72" s="311"/>
      <c r="AR72" s="311"/>
      <c r="AS72" s="311"/>
      <c r="AT72" s="311"/>
      <c r="AU72" s="311"/>
      <c r="AV72" s="311"/>
      <c r="AX72" s="311"/>
      <c r="AY72" s="311"/>
      <c r="AZ72" s="311"/>
    </row>
    <row r="73" spans="1:54" outlineLevel="1"/>
    <row r="75" spans="1:54">
      <c r="B75" s="445" t="s">
        <v>460</v>
      </c>
    </row>
    <row r="76" spans="1:54">
      <c r="B76" s="5"/>
    </row>
    <row r="77" spans="1:54" customFormat="1">
      <c r="B77" s="1" t="s">
        <v>461</v>
      </c>
      <c r="C77" s="313"/>
      <c r="D77" s="313"/>
      <c r="E77" s="313"/>
      <c r="F77" s="308">
        <v>34577</v>
      </c>
      <c r="G77" s="308">
        <v>41421</v>
      </c>
      <c r="H77" s="308"/>
      <c r="I77" s="308"/>
      <c r="J77" s="308"/>
      <c r="K77" s="308">
        <v>130632</v>
      </c>
      <c r="L77" s="308">
        <v>136485</v>
      </c>
      <c r="M77" s="24">
        <v>148860.959</v>
      </c>
      <c r="N77" s="308"/>
      <c r="O77" s="313"/>
      <c r="P77" s="313"/>
      <c r="Q77" s="313"/>
      <c r="R77" s="313"/>
      <c r="S77" s="312"/>
      <c r="T77" s="308">
        <v>8200</v>
      </c>
      <c r="U77" s="308">
        <v>9140</v>
      </c>
      <c r="V77" s="308">
        <v>9479</v>
      </c>
      <c r="W77" s="312"/>
      <c r="X77" s="308">
        <v>11147</v>
      </c>
      <c r="Y77" s="308">
        <v>12302</v>
      </c>
      <c r="Z77" s="24">
        <v>11512</v>
      </c>
      <c r="AA77" s="312"/>
      <c r="AB77" s="24">
        <v>12241</v>
      </c>
      <c r="AC77" s="24">
        <v>12744</v>
      </c>
      <c r="AD77" s="24">
        <v>14218</v>
      </c>
      <c r="AE77" s="24">
        <v>13502</v>
      </c>
      <c r="AF77" s="24">
        <v>18881</v>
      </c>
      <c r="AG77" s="24">
        <v>16833</v>
      </c>
      <c r="AH77" s="24">
        <v>18266</v>
      </c>
      <c r="AI77" s="24">
        <v>17236</v>
      </c>
      <c r="AJ77" s="24">
        <v>20574</v>
      </c>
      <c r="AK77" s="24">
        <v>23638</v>
      </c>
      <c r="AL77" s="24">
        <v>23941</v>
      </c>
      <c r="AM77" s="24">
        <v>22340.812000000002</v>
      </c>
      <c r="AN77" s="24">
        <v>34485.644</v>
      </c>
      <c r="AO77" s="24">
        <v>34986.487999999998</v>
      </c>
      <c r="AP77" s="24">
        <v>37389</v>
      </c>
      <c r="AQ77" s="24">
        <v>31757.481</v>
      </c>
      <c r="AR77" s="24">
        <v>31366.087</v>
      </c>
      <c r="AS77" s="24">
        <v>35649.5</v>
      </c>
      <c r="AT77" s="24">
        <v>36564</v>
      </c>
      <c r="AU77" s="24">
        <v>31590.916000000001</v>
      </c>
      <c r="AV77" s="24">
        <v>36059.538999999997</v>
      </c>
      <c r="AW77" s="24">
        <v>39060.247000000003</v>
      </c>
      <c r="AX77" s="24">
        <v>42150.257000000012</v>
      </c>
      <c r="AY77" s="24">
        <v>39405.008999999998</v>
      </c>
      <c r="AZ77" s="24">
        <v>38692.048000000003</v>
      </c>
      <c r="BA77" s="24">
        <v>41765.531999999999</v>
      </c>
    </row>
    <row r="78" spans="1:54" customFormat="1">
      <c r="B78" s="1" t="s">
        <v>462</v>
      </c>
      <c r="C78" s="313"/>
      <c r="D78" s="313"/>
      <c r="E78" s="313"/>
      <c r="F78" s="308">
        <v>6422</v>
      </c>
      <c r="G78" s="308">
        <v>6962</v>
      </c>
      <c r="H78" s="308"/>
      <c r="I78" s="308"/>
      <c r="J78" s="308"/>
      <c r="K78" s="308"/>
      <c r="L78" s="308"/>
      <c r="M78" s="308"/>
      <c r="N78" s="308"/>
      <c r="O78" s="313"/>
      <c r="P78" s="313"/>
      <c r="Q78" s="313"/>
      <c r="R78" s="313"/>
      <c r="S78" s="313"/>
      <c r="T78" s="308">
        <v>1506</v>
      </c>
      <c r="U78" s="308">
        <v>1754</v>
      </c>
      <c r="V78" s="308">
        <v>1796</v>
      </c>
      <c r="W78" s="313"/>
      <c r="X78" s="308">
        <v>1791</v>
      </c>
      <c r="Y78" s="308">
        <v>1829</v>
      </c>
      <c r="Z78" s="308">
        <v>1649</v>
      </c>
      <c r="AA78" s="313"/>
      <c r="AB78" s="313"/>
      <c r="AC78" s="313"/>
      <c r="AD78" s="313"/>
      <c r="AE78" s="313"/>
      <c r="AF78" s="313"/>
      <c r="AG78" s="313"/>
      <c r="AH78" s="313"/>
      <c r="AI78" s="313"/>
      <c r="AJ78" s="313"/>
      <c r="AK78" s="313"/>
      <c r="AL78" s="313"/>
      <c r="AM78" s="313"/>
      <c r="AN78" s="313"/>
      <c r="AO78" s="313"/>
      <c r="AP78" s="313"/>
      <c r="AQ78" s="313"/>
      <c r="AR78" s="313"/>
      <c r="AS78" s="313"/>
      <c r="AT78" s="313"/>
      <c r="AU78" s="313"/>
      <c r="AV78" s="313"/>
      <c r="AW78" s="313"/>
      <c r="AX78" s="313"/>
      <c r="AY78" s="313"/>
      <c r="AZ78" s="313"/>
      <c r="BA78" s="313"/>
    </row>
    <row r="79" spans="1:54" customFormat="1">
      <c r="F79" s="308"/>
      <c r="G79" s="308"/>
      <c r="H79" s="308"/>
      <c r="I79" s="308"/>
      <c r="J79" s="308"/>
      <c r="K79" s="308"/>
      <c r="L79" s="308"/>
      <c r="M79" s="308"/>
      <c r="N79" s="308"/>
      <c r="T79" s="308"/>
      <c r="U79" s="308"/>
      <c r="X79" s="308"/>
      <c r="Y79" s="308"/>
      <c r="Z79" s="308"/>
    </row>
    <row r="80" spans="1:54">
      <c r="B80" s="16" t="s">
        <v>463</v>
      </c>
      <c r="C80" s="16"/>
      <c r="D80" s="16"/>
      <c r="E80" s="16"/>
      <c r="F80" s="16"/>
      <c r="G80" s="16"/>
      <c r="H80" s="16"/>
      <c r="I80" s="16"/>
      <c r="J80" s="16"/>
      <c r="K80" s="16"/>
      <c r="L80" s="16"/>
      <c r="M80" s="16"/>
      <c r="N80" s="5"/>
      <c r="O80" s="16"/>
      <c r="P80" s="16"/>
      <c r="Q80" s="16"/>
      <c r="R80" s="16"/>
      <c r="S80" s="16"/>
      <c r="T80" s="16"/>
      <c r="U80" s="16"/>
      <c r="V80" s="16"/>
      <c r="W80" s="16"/>
      <c r="X80" s="16"/>
      <c r="Y80" s="16"/>
      <c r="Z80" s="16"/>
      <c r="AA80" s="16"/>
      <c r="AB80" s="16"/>
      <c r="AC80" s="16"/>
      <c r="AD80" s="16"/>
      <c r="AE80" s="16"/>
      <c r="AF80" s="16"/>
      <c r="AG80" s="16"/>
      <c r="AH80" s="16"/>
      <c r="AI80" s="16"/>
      <c r="AJ80" s="16"/>
      <c r="AK80" s="16"/>
      <c r="AL80" s="16"/>
      <c r="AM80" s="16"/>
      <c r="AN80" s="16"/>
      <c r="AO80" s="16"/>
      <c r="AP80" s="16"/>
      <c r="AQ80" s="16"/>
      <c r="AR80" s="16"/>
      <c r="AS80" s="16"/>
      <c r="AT80" s="16"/>
      <c r="AU80" s="16"/>
      <c r="AV80" s="16"/>
      <c r="AW80" s="16"/>
      <c r="AX80" s="16"/>
      <c r="AY80" s="16"/>
      <c r="AZ80" s="16"/>
      <c r="BA80" s="16"/>
      <c r="BB80"/>
    </row>
    <row r="81" spans="2:54">
      <c r="B81" s="1" t="s">
        <v>414</v>
      </c>
      <c r="C81" s="192"/>
      <c r="D81" s="192"/>
      <c r="E81" s="192"/>
      <c r="F81" s="313"/>
      <c r="G81" s="313"/>
      <c r="H81" s="307">
        <v>0.1</v>
      </c>
      <c r="I81" s="307">
        <v>0.08</v>
      </c>
      <c r="J81" s="307">
        <v>7.0000000000000007E-2</v>
      </c>
      <c r="K81" s="307">
        <v>0.22</v>
      </c>
      <c r="L81" s="307">
        <v>0.26</v>
      </c>
      <c r="M81" s="307">
        <v>0.25</v>
      </c>
      <c r="N81" s="307"/>
      <c r="O81" s="192"/>
      <c r="P81" s="192"/>
      <c r="Q81" s="192"/>
      <c r="R81" s="192"/>
      <c r="S81" s="307">
        <v>0.21</v>
      </c>
      <c r="T81" s="307">
        <v>0.21</v>
      </c>
      <c r="U81" s="307">
        <v>0.23</v>
      </c>
      <c r="V81" s="307">
        <v>0.25</v>
      </c>
      <c r="W81" s="307">
        <v>0.25</v>
      </c>
      <c r="X81" s="307">
        <v>0.12</v>
      </c>
      <c r="Y81" s="307">
        <v>0.11</v>
      </c>
      <c r="Z81" s="307">
        <v>0.12</v>
      </c>
      <c r="AA81" s="307">
        <v>0.12</v>
      </c>
      <c r="AB81" s="307">
        <v>0.1</v>
      </c>
      <c r="AC81" s="307">
        <v>0.1</v>
      </c>
      <c r="AD81" s="307">
        <v>0.1</v>
      </c>
      <c r="AE81" s="307">
        <v>0.08</v>
      </c>
      <c r="AF81" s="307">
        <v>0.05</v>
      </c>
      <c r="AG81" s="307">
        <v>0.08</v>
      </c>
      <c r="AH81" s="307">
        <v>0.08</v>
      </c>
      <c r="AI81" s="307">
        <v>7.0000000000000007E-2</v>
      </c>
      <c r="AJ81" s="307">
        <v>7.0000000000000007E-2</v>
      </c>
      <c r="AK81" s="307">
        <v>0.08</v>
      </c>
      <c r="AL81" s="307">
        <v>0.08</v>
      </c>
      <c r="AM81" s="307">
        <v>7.0000000000000007E-2</v>
      </c>
      <c r="AN81" s="307">
        <v>0.25</v>
      </c>
      <c r="AO81" s="307">
        <v>0.25</v>
      </c>
      <c r="AP81" s="307">
        <v>0.27</v>
      </c>
      <c r="AQ81" s="307">
        <v>0.27</v>
      </c>
      <c r="AR81" s="307">
        <v>0.26</v>
      </c>
      <c r="AS81" s="307">
        <v>0.26</v>
      </c>
      <c r="AT81" s="307">
        <v>0.26</v>
      </c>
      <c r="AU81" s="307">
        <v>0.25</v>
      </c>
      <c r="AV81" s="307">
        <v>0.24</v>
      </c>
      <c r="AW81" s="307">
        <v>0.24</v>
      </c>
      <c r="AX81" s="307">
        <v>0.24</v>
      </c>
      <c r="AY81" s="307">
        <v>0.26</v>
      </c>
      <c r="AZ81" s="307">
        <v>0.24</v>
      </c>
      <c r="BA81" s="307">
        <v>0.25</v>
      </c>
      <c r="BB81"/>
    </row>
    <row r="82" spans="2:54">
      <c r="B82" s="1" t="s">
        <v>413</v>
      </c>
      <c r="C82" s="192"/>
      <c r="D82" s="192"/>
      <c r="E82" s="192"/>
      <c r="F82" s="313"/>
      <c r="G82" s="313"/>
      <c r="H82" s="307">
        <v>0.86</v>
      </c>
      <c r="I82" s="307">
        <v>0.88</v>
      </c>
      <c r="J82" s="307">
        <v>0.89</v>
      </c>
      <c r="K82" s="307">
        <v>0.75</v>
      </c>
      <c r="L82" s="307">
        <v>0.71</v>
      </c>
      <c r="M82" s="307">
        <v>0.73</v>
      </c>
      <c r="N82" s="307"/>
      <c r="O82" s="192"/>
      <c r="P82" s="192"/>
      <c r="Q82" s="192"/>
      <c r="R82" s="192"/>
      <c r="S82" s="307">
        <v>0.6</v>
      </c>
      <c r="T82" s="307">
        <v>0.57999999999999996</v>
      </c>
      <c r="U82" s="307">
        <v>0.57999999999999996</v>
      </c>
      <c r="V82" s="307">
        <v>0.56000000000000005</v>
      </c>
      <c r="W82" s="307">
        <v>0.56000000000000005</v>
      </c>
      <c r="X82" s="307">
        <v>0.86</v>
      </c>
      <c r="Y82" s="307">
        <v>0.86</v>
      </c>
      <c r="Z82" s="307">
        <v>0.85</v>
      </c>
      <c r="AA82" s="307">
        <v>0.84</v>
      </c>
      <c r="AB82" s="307">
        <v>0.87</v>
      </c>
      <c r="AC82" s="307">
        <v>0.86</v>
      </c>
      <c r="AD82" s="307">
        <v>0.86</v>
      </c>
      <c r="AE82" s="307">
        <v>0.89</v>
      </c>
      <c r="AF82" s="307">
        <v>0.93</v>
      </c>
      <c r="AG82" s="307">
        <v>0.89</v>
      </c>
      <c r="AH82" s="307">
        <v>0.88</v>
      </c>
      <c r="AI82" s="307">
        <v>0.9</v>
      </c>
      <c r="AJ82" s="307">
        <v>0.9</v>
      </c>
      <c r="AK82" s="307">
        <v>0.89</v>
      </c>
      <c r="AL82" s="307">
        <v>0.88</v>
      </c>
      <c r="AM82" s="307">
        <v>0.9</v>
      </c>
      <c r="AN82" s="307">
        <v>0.73</v>
      </c>
      <c r="AO82" s="307">
        <v>0.72</v>
      </c>
      <c r="AP82" s="307">
        <v>0.7</v>
      </c>
      <c r="AQ82" s="307">
        <v>0.71</v>
      </c>
      <c r="AR82" s="307">
        <v>0.71</v>
      </c>
      <c r="AS82" s="307">
        <v>0.71</v>
      </c>
      <c r="AT82" s="307">
        <v>0.4</v>
      </c>
      <c r="AU82" s="307">
        <v>0.73</v>
      </c>
      <c r="AV82" s="307">
        <v>0.74</v>
      </c>
      <c r="AW82" s="307">
        <v>0.74</v>
      </c>
      <c r="AX82" s="307">
        <v>0.72</v>
      </c>
      <c r="AY82" s="307">
        <v>0.72</v>
      </c>
      <c r="AZ82" s="307">
        <v>0.74</v>
      </c>
      <c r="BA82" s="307">
        <v>0.73</v>
      </c>
      <c r="BB82"/>
    </row>
    <row r="83" spans="2:54">
      <c r="B83" s="1" t="s">
        <v>415</v>
      </c>
      <c r="C83" s="192"/>
      <c r="D83" s="192"/>
      <c r="E83" s="192"/>
      <c r="F83" s="313"/>
      <c r="G83" s="313"/>
      <c r="H83" s="307">
        <v>0.04</v>
      </c>
      <c r="I83" s="307">
        <v>0.04</v>
      </c>
      <c r="J83" s="307">
        <v>0.04</v>
      </c>
      <c r="K83" s="307">
        <v>0.03</v>
      </c>
      <c r="L83" s="307">
        <v>0.03</v>
      </c>
      <c r="M83" s="307">
        <v>0.02</v>
      </c>
      <c r="N83" s="307"/>
      <c r="O83" s="192"/>
      <c r="P83" s="192"/>
      <c r="Q83" s="192"/>
      <c r="R83" s="192"/>
      <c r="S83" s="307">
        <v>0.19</v>
      </c>
      <c r="T83" s="307">
        <v>0.21</v>
      </c>
      <c r="U83" s="307">
        <v>0.19</v>
      </c>
      <c r="V83" s="307">
        <v>0.18</v>
      </c>
      <c r="W83" s="307">
        <v>0.19</v>
      </c>
      <c r="X83" s="307">
        <v>0.02</v>
      </c>
      <c r="Y83" s="307">
        <v>0.03</v>
      </c>
      <c r="Z83" s="307">
        <v>0.03</v>
      </c>
      <c r="AA83" s="307">
        <v>0.04</v>
      </c>
      <c r="AB83" s="307">
        <v>0.03</v>
      </c>
      <c r="AC83" s="307">
        <v>0.04</v>
      </c>
      <c r="AD83" s="307">
        <v>0.04</v>
      </c>
      <c r="AE83" s="307">
        <v>0.03</v>
      </c>
      <c r="AF83" s="307">
        <v>0.02</v>
      </c>
      <c r="AG83" s="307">
        <v>0.03</v>
      </c>
      <c r="AH83" s="307">
        <v>0.04</v>
      </c>
      <c r="AI83" s="307">
        <v>0.03</v>
      </c>
      <c r="AJ83" s="307">
        <v>0.03</v>
      </c>
      <c r="AK83" s="307">
        <v>0.03</v>
      </c>
      <c r="AL83" s="307">
        <v>0.04</v>
      </c>
      <c r="AM83" s="307">
        <v>0.03</v>
      </c>
      <c r="AN83" s="307">
        <v>0.02</v>
      </c>
      <c r="AO83" s="307">
        <v>0.03</v>
      </c>
      <c r="AP83" s="307">
        <v>0.03</v>
      </c>
      <c r="AQ83" s="307">
        <v>0.02</v>
      </c>
      <c r="AR83" s="307">
        <v>0.03</v>
      </c>
      <c r="AS83" s="307">
        <v>0.03</v>
      </c>
      <c r="AT83" s="307">
        <v>0.04</v>
      </c>
      <c r="AU83" s="307">
        <v>0.02</v>
      </c>
      <c r="AV83" s="307">
        <v>0.02</v>
      </c>
      <c r="AW83" s="307">
        <v>0.02</v>
      </c>
      <c r="AX83" s="307">
        <v>0.02</v>
      </c>
      <c r="AY83" s="307">
        <v>0.02</v>
      </c>
      <c r="AZ83" s="307">
        <v>0.02</v>
      </c>
      <c r="BA83" s="307">
        <v>0.02</v>
      </c>
      <c r="BB83"/>
    </row>
    <row r="84" spans="2:54">
      <c r="S84" s="307"/>
      <c r="BB84"/>
    </row>
    <row r="85" spans="2:54">
      <c r="B85" s="16" t="s">
        <v>416</v>
      </c>
      <c r="C85" s="16"/>
      <c r="D85" s="16"/>
      <c r="E85" s="16"/>
      <c r="F85" s="16"/>
      <c r="G85" s="16"/>
      <c r="H85" s="16"/>
      <c r="I85" s="16"/>
      <c r="J85" s="16"/>
      <c r="K85" s="16"/>
      <c r="L85" s="16"/>
      <c r="M85" s="16"/>
      <c r="N85" s="5"/>
      <c r="O85" s="16"/>
      <c r="P85" s="16"/>
      <c r="Q85" s="16"/>
      <c r="R85" s="16"/>
      <c r="S85" s="16"/>
      <c r="T85" s="16"/>
      <c r="U85" s="16"/>
      <c r="V85" s="16"/>
      <c r="W85" s="16"/>
      <c r="X85" s="16"/>
      <c r="Y85" s="16"/>
      <c r="Z85" s="16"/>
      <c r="AA85" s="16"/>
      <c r="AB85" s="16"/>
      <c r="AC85" s="16"/>
      <c r="AD85" s="16"/>
      <c r="AE85" s="16"/>
      <c r="AF85" s="16"/>
      <c r="AG85" s="16"/>
      <c r="AH85" s="16"/>
      <c r="AI85" s="16"/>
      <c r="AJ85" s="16"/>
      <c r="AK85" s="16"/>
      <c r="AL85" s="16"/>
      <c r="AM85" s="16"/>
      <c r="AN85" s="16"/>
      <c r="AO85" s="16"/>
      <c r="AP85" s="16"/>
      <c r="AQ85" s="16"/>
      <c r="AR85" s="16"/>
      <c r="AS85" s="16"/>
      <c r="AT85" s="16"/>
      <c r="AU85" s="16"/>
      <c r="AV85" s="16"/>
      <c r="AW85" s="16"/>
      <c r="AX85" s="16"/>
      <c r="AY85" s="16"/>
      <c r="AZ85" s="16"/>
      <c r="BA85" s="16"/>
      <c r="BB85"/>
    </row>
    <row r="86" spans="2:54">
      <c r="B86" s="1" t="s">
        <v>417</v>
      </c>
      <c r="C86" s="192"/>
      <c r="D86" s="192"/>
      <c r="E86" s="192"/>
      <c r="F86" s="313"/>
      <c r="G86" s="313"/>
      <c r="H86" s="313"/>
      <c r="I86" s="313"/>
      <c r="J86" s="443"/>
      <c r="K86" s="443"/>
      <c r="L86" s="443"/>
      <c r="M86" s="443"/>
      <c r="N86"/>
      <c r="O86" s="192"/>
      <c r="P86" s="192"/>
      <c r="Q86" s="192"/>
      <c r="R86" s="192"/>
      <c r="S86" s="192"/>
      <c r="T86" s="192"/>
      <c r="U86" s="192"/>
      <c r="V86" s="307">
        <v>0.56999999999999995</v>
      </c>
      <c r="W86" s="314"/>
      <c r="X86" s="307">
        <v>0.62</v>
      </c>
      <c r="Y86" s="307">
        <v>0.57999999999999996</v>
      </c>
      <c r="Z86" s="307">
        <v>0.6</v>
      </c>
      <c r="AA86" s="307">
        <v>0.62</v>
      </c>
      <c r="AB86" s="307">
        <v>0.66</v>
      </c>
      <c r="AC86" s="307">
        <v>0.62</v>
      </c>
      <c r="AD86" s="307">
        <v>0.61</v>
      </c>
      <c r="AE86" s="307">
        <v>0.64</v>
      </c>
      <c r="AF86" s="307">
        <v>0.71</v>
      </c>
      <c r="AG86" s="307">
        <v>0.65</v>
      </c>
      <c r="AH86" s="307">
        <v>0.62</v>
      </c>
      <c r="AI86" s="307">
        <v>0.65</v>
      </c>
      <c r="AJ86" s="307">
        <v>0.69</v>
      </c>
      <c r="AK86" s="307">
        <v>0.66</v>
      </c>
      <c r="AL86" s="307">
        <v>0.62</v>
      </c>
      <c r="AM86" s="307">
        <v>0.64</v>
      </c>
      <c r="AN86" s="307">
        <v>0.38</v>
      </c>
      <c r="AO86" s="307">
        <v>0.37</v>
      </c>
      <c r="AP86" s="307">
        <v>0.42</v>
      </c>
      <c r="AQ86" s="307">
        <v>0.39</v>
      </c>
      <c r="AR86" s="307">
        <v>0.41</v>
      </c>
      <c r="AS86" s="307">
        <v>0.43</v>
      </c>
      <c r="AT86" s="307">
        <v>0.39</v>
      </c>
      <c r="AU86" s="307">
        <v>0.4</v>
      </c>
      <c r="AV86" s="307">
        <v>0.41</v>
      </c>
      <c r="AW86" s="307">
        <v>0.43</v>
      </c>
      <c r="AX86" s="307">
        <v>0.41</v>
      </c>
      <c r="AY86" s="307">
        <v>0.46</v>
      </c>
      <c r="AZ86" s="307">
        <v>0.46</v>
      </c>
      <c r="BA86" s="307">
        <v>0.45</v>
      </c>
      <c r="BB86"/>
    </row>
    <row r="87" spans="2:54">
      <c r="B87" s="1" t="s">
        <v>418</v>
      </c>
      <c r="C87" s="192"/>
      <c r="D87" s="192"/>
      <c r="E87" s="192"/>
      <c r="F87" s="313"/>
      <c r="G87" s="313"/>
      <c r="H87" s="313"/>
      <c r="I87" s="313"/>
      <c r="J87" s="443"/>
      <c r="K87" s="443"/>
      <c r="L87" s="443"/>
      <c r="M87" s="443"/>
      <c r="N87"/>
      <c r="O87" s="192"/>
      <c r="P87" s="192"/>
      <c r="Q87" s="192"/>
      <c r="R87" s="192"/>
      <c r="S87" s="192"/>
      <c r="T87" s="192"/>
      <c r="U87" s="192"/>
      <c r="V87" s="307">
        <v>0.15</v>
      </c>
      <c r="W87" s="314"/>
      <c r="X87" s="307">
        <v>0.12</v>
      </c>
      <c r="Y87" s="307">
        <v>0.12</v>
      </c>
      <c r="Z87" s="307">
        <v>0.13</v>
      </c>
      <c r="AA87" s="307">
        <v>0.12</v>
      </c>
      <c r="AB87" s="307">
        <v>0.1</v>
      </c>
      <c r="AC87" s="307">
        <v>0.1</v>
      </c>
      <c r="AD87" s="307">
        <v>0.1</v>
      </c>
      <c r="AE87" s="307">
        <v>0.09</v>
      </c>
      <c r="AF87" s="307">
        <v>0.05</v>
      </c>
      <c r="AG87" s="307">
        <v>0.08</v>
      </c>
      <c r="AH87" s="307">
        <v>0.09</v>
      </c>
      <c r="AI87" s="307">
        <v>7.0000000000000007E-2</v>
      </c>
      <c r="AJ87" s="307">
        <v>7.0000000000000007E-2</v>
      </c>
      <c r="AK87" s="307">
        <v>7.0000000000000007E-2</v>
      </c>
      <c r="AL87" s="307">
        <v>0.09</v>
      </c>
      <c r="AM87" s="307">
        <v>7.0000000000000007E-2</v>
      </c>
      <c r="AN87" s="307">
        <v>0.25</v>
      </c>
      <c r="AO87" s="307">
        <v>0.25</v>
      </c>
      <c r="AP87" s="307">
        <v>0.22</v>
      </c>
      <c r="AQ87" s="307">
        <v>0.27</v>
      </c>
      <c r="AR87" s="307">
        <v>0.26</v>
      </c>
      <c r="AS87" s="307">
        <v>0.25</v>
      </c>
      <c r="AT87" s="307">
        <v>0.26</v>
      </c>
      <c r="AU87" s="307">
        <v>0.25</v>
      </c>
      <c r="AV87" s="307">
        <v>0.24</v>
      </c>
      <c r="AW87" s="307">
        <v>0.24</v>
      </c>
      <c r="AX87" s="307">
        <v>0.26</v>
      </c>
      <c r="AY87" s="307">
        <v>0.23</v>
      </c>
      <c r="AZ87" s="307">
        <v>0.25</v>
      </c>
      <c r="BA87" s="307">
        <v>0.25</v>
      </c>
      <c r="BB87"/>
    </row>
    <row r="88" spans="2:54">
      <c r="B88" s="1" t="s">
        <v>464</v>
      </c>
      <c r="C88" s="192"/>
      <c r="D88" s="192"/>
      <c r="E88" s="192"/>
      <c r="F88" s="313"/>
      <c r="G88" s="313"/>
      <c r="H88" s="313"/>
      <c r="I88" s="313"/>
      <c r="J88" s="443"/>
      <c r="K88" s="443"/>
      <c r="L88" s="443"/>
      <c r="M88" s="443"/>
      <c r="N88"/>
      <c r="O88" s="192"/>
      <c r="P88" s="192"/>
      <c r="Q88" s="192"/>
      <c r="R88" s="192"/>
      <c r="S88" s="192"/>
      <c r="T88" s="192"/>
      <c r="U88" s="192"/>
      <c r="V88" s="307">
        <v>0.08</v>
      </c>
      <c r="W88" s="314"/>
      <c r="X88" s="307">
        <v>7.0000000000000007E-2</v>
      </c>
      <c r="Y88" s="307">
        <v>0.09</v>
      </c>
      <c r="Z88" s="307">
        <v>0.08</v>
      </c>
      <c r="AA88" s="307">
        <v>0.06</v>
      </c>
      <c r="AB88" s="307">
        <v>0.08</v>
      </c>
      <c r="AC88" s="307">
        <v>0.09</v>
      </c>
      <c r="AD88" s="307">
        <v>0.14000000000000001</v>
      </c>
      <c r="AE88" s="307">
        <v>0.1</v>
      </c>
      <c r="AF88" s="307">
        <v>0.11</v>
      </c>
      <c r="AG88" s="307">
        <v>0.1</v>
      </c>
      <c r="AH88" s="307">
        <v>0.14000000000000001</v>
      </c>
      <c r="AI88" s="307">
        <v>0.11</v>
      </c>
      <c r="AJ88" s="307">
        <v>0.09</v>
      </c>
      <c r="AK88" s="307">
        <v>0.11</v>
      </c>
      <c r="AL88" s="307">
        <v>0.14000000000000001</v>
      </c>
      <c r="AM88" s="307">
        <v>0.13</v>
      </c>
      <c r="AN88" s="307">
        <v>0.12</v>
      </c>
      <c r="AO88" s="307">
        <v>0.12</v>
      </c>
      <c r="AP88" s="307">
        <v>0.11</v>
      </c>
      <c r="AQ88" s="307">
        <v>0.08</v>
      </c>
      <c r="AR88" s="307">
        <v>0.1</v>
      </c>
      <c r="AS88" s="307">
        <v>0.06</v>
      </c>
      <c r="AT88" s="307">
        <v>0.08</v>
      </c>
      <c r="AU88" s="307">
        <v>7.0000000000000007E-2</v>
      </c>
      <c r="AV88" s="307">
        <v>7.0000000000000007E-2</v>
      </c>
      <c r="AW88" s="307">
        <v>0.06</v>
      </c>
      <c r="AX88" s="307">
        <v>0.06</v>
      </c>
      <c r="AY88" s="307">
        <v>0.05</v>
      </c>
      <c r="AZ88" s="307">
        <v>0.04</v>
      </c>
      <c r="BA88" s="307">
        <v>0.05</v>
      </c>
      <c r="BB88"/>
    </row>
    <row r="89" spans="2:54">
      <c r="B89" s="1" t="s">
        <v>465</v>
      </c>
      <c r="C89" s="192"/>
      <c r="D89" s="192"/>
      <c r="E89" s="192"/>
      <c r="F89" s="313"/>
      <c r="G89" s="313"/>
      <c r="H89" s="313"/>
      <c r="I89" s="313"/>
      <c r="J89" s="443"/>
      <c r="K89" s="443"/>
      <c r="L89" s="443"/>
      <c r="M89" s="443"/>
      <c r="N89"/>
      <c r="O89" s="192"/>
      <c r="P89" s="192"/>
      <c r="Q89" s="192"/>
      <c r="R89" s="192"/>
      <c r="S89" s="192"/>
      <c r="T89" s="192"/>
      <c r="U89" s="192"/>
      <c r="V89" s="307">
        <v>0.05</v>
      </c>
      <c r="W89" s="314"/>
      <c r="X89" s="307">
        <v>0.05</v>
      </c>
      <c r="Y89" s="307">
        <v>0.06</v>
      </c>
      <c r="Z89" s="307">
        <v>0.05</v>
      </c>
      <c r="AA89" s="307">
        <v>0.05</v>
      </c>
      <c r="AB89" s="307">
        <v>0.04</v>
      </c>
      <c r="AC89" s="307">
        <v>0.04</v>
      </c>
      <c r="AD89" s="307">
        <v>0.03</v>
      </c>
      <c r="AE89" s="307">
        <v>0.04</v>
      </c>
      <c r="AF89" s="307">
        <v>0.02</v>
      </c>
      <c r="AG89" s="307">
        <v>0.04</v>
      </c>
      <c r="AH89" s="307">
        <v>0.01</v>
      </c>
      <c r="AI89" s="307">
        <v>0.03</v>
      </c>
      <c r="AJ89" s="307">
        <v>0.02</v>
      </c>
      <c r="AK89" s="307">
        <v>0.03</v>
      </c>
      <c r="AL89" s="307">
        <v>0.01</v>
      </c>
      <c r="AM89" s="307">
        <v>0.02</v>
      </c>
      <c r="AN89" s="307">
        <v>0.04</v>
      </c>
      <c r="AO89" s="307">
        <v>0.04</v>
      </c>
      <c r="AP89" s="307">
        <v>0.04</v>
      </c>
      <c r="AQ89" s="307">
        <v>0.05</v>
      </c>
      <c r="AR89" s="307">
        <v>0.02</v>
      </c>
      <c r="AS89" s="307">
        <v>0.04</v>
      </c>
      <c r="AT89" s="307">
        <v>0.04</v>
      </c>
      <c r="AU89" s="307">
        <v>0.05</v>
      </c>
      <c r="AV89" s="307">
        <v>0.05</v>
      </c>
      <c r="AW89" s="307">
        <v>0.05</v>
      </c>
      <c r="AX89" s="307">
        <v>0.05</v>
      </c>
      <c r="AY89" s="307">
        <v>0.05</v>
      </c>
      <c r="AZ89" s="307">
        <v>0.05</v>
      </c>
      <c r="BA89" s="307">
        <v>0.05</v>
      </c>
      <c r="BB89"/>
    </row>
    <row r="90" spans="2:54">
      <c r="B90" s="1" t="s">
        <v>423</v>
      </c>
      <c r="C90" s="192"/>
      <c r="D90" s="192"/>
      <c r="E90" s="192"/>
      <c r="F90" s="313"/>
      <c r="G90" s="313"/>
      <c r="H90" s="313"/>
      <c r="I90" s="313"/>
      <c r="J90" s="443"/>
      <c r="K90" s="443"/>
      <c r="L90" s="443"/>
      <c r="M90" s="443"/>
      <c r="N90"/>
      <c r="O90" s="192"/>
      <c r="P90" s="192"/>
      <c r="Q90" s="192"/>
      <c r="R90" s="192"/>
      <c r="S90" s="192"/>
      <c r="T90" s="192"/>
      <c r="U90" s="192"/>
      <c r="V90" s="307">
        <v>0.04</v>
      </c>
      <c r="W90" s="314"/>
      <c r="X90" s="307">
        <v>0.05</v>
      </c>
      <c r="Y90" s="307">
        <v>0.05</v>
      </c>
      <c r="Z90" s="307">
        <v>0.05</v>
      </c>
      <c r="AA90" s="307">
        <v>0.05</v>
      </c>
      <c r="AB90" s="307">
        <v>0.04</v>
      </c>
      <c r="AC90" s="307">
        <v>0.05</v>
      </c>
      <c r="AD90" s="307">
        <v>0.04</v>
      </c>
      <c r="AE90" s="307">
        <v>0.05</v>
      </c>
      <c r="AF90" s="307">
        <v>0.03</v>
      </c>
      <c r="AG90" s="307">
        <v>0.04</v>
      </c>
      <c r="AH90" s="307">
        <v>0.04</v>
      </c>
      <c r="AI90" s="307">
        <v>0.05</v>
      </c>
      <c r="AJ90" s="307">
        <v>0.04</v>
      </c>
      <c r="AK90" s="307">
        <v>0.04</v>
      </c>
      <c r="AL90" s="307">
        <v>0.04</v>
      </c>
      <c r="AM90" s="307">
        <v>0.04</v>
      </c>
      <c r="AN90" s="307">
        <v>0.04</v>
      </c>
      <c r="AO90" s="307">
        <v>0.04</v>
      </c>
      <c r="AP90" s="307">
        <v>0.04</v>
      </c>
      <c r="AQ90" s="307">
        <v>0.03</v>
      </c>
      <c r="AR90" s="307">
        <v>0.03</v>
      </c>
      <c r="AS90" s="307">
        <v>0.03</v>
      </c>
      <c r="AT90" s="307">
        <v>0.03</v>
      </c>
      <c r="AU90" s="307">
        <v>0.03</v>
      </c>
      <c r="AV90" s="307">
        <v>0.03</v>
      </c>
      <c r="AW90" s="307">
        <v>0.03</v>
      </c>
      <c r="AX90" s="307">
        <v>0.03</v>
      </c>
      <c r="AY90" s="307">
        <v>0.03</v>
      </c>
      <c r="AZ90" s="307">
        <v>0.03</v>
      </c>
      <c r="BA90" s="307">
        <v>0.02</v>
      </c>
      <c r="BB90"/>
    </row>
    <row r="91" spans="2:54">
      <c r="B91" s="1" t="s">
        <v>466</v>
      </c>
      <c r="C91" s="192"/>
      <c r="D91" s="192"/>
      <c r="E91" s="192"/>
      <c r="F91" s="313"/>
      <c r="G91" s="313"/>
      <c r="H91" s="313"/>
      <c r="I91" s="313"/>
      <c r="J91" s="443"/>
      <c r="K91" s="443"/>
      <c r="L91" s="443"/>
      <c r="M91" s="443"/>
      <c r="N91"/>
      <c r="O91" s="192"/>
      <c r="P91" s="192"/>
      <c r="Q91" s="192"/>
      <c r="R91" s="192"/>
      <c r="S91" s="192"/>
      <c r="T91" s="192"/>
      <c r="U91" s="192"/>
      <c r="V91" s="307">
        <v>0.02</v>
      </c>
      <c r="W91" s="314"/>
      <c r="X91" s="307">
        <v>0.02</v>
      </c>
      <c r="Y91" s="307">
        <v>0.02</v>
      </c>
      <c r="Z91" s="307">
        <v>0.02</v>
      </c>
      <c r="AA91" s="307">
        <v>0.02</v>
      </c>
      <c r="AB91" s="307">
        <v>0.02</v>
      </c>
      <c r="AC91" s="307">
        <v>0.03</v>
      </c>
      <c r="AD91" s="307">
        <v>0.01</v>
      </c>
      <c r="AE91" s="307">
        <v>0.02</v>
      </c>
      <c r="AF91" s="307">
        <v>0.02</v>
      </c>
      <c r="AG91" s="307">
        <v>0.03</v>
      </c>
      <c r="AH91" s="307">
        <v>0.03</v>
      </c>
      <c r="AI91" s="307">
        <v>0.01</v>
      </c>
      <c r="AJ91" s="307">
        <v>0.02</v>
      </c>
      <c r="AK91" s="307">
        <v>0.02</v>
      </c>
      <c r="AL91" s="307">
        <v>0.03</v>
      </c>
      <c r="AM91" s="307">
        <v>0.03</v>
      </c>
      <c r="AN91" s="307">
        <v>0.03</v>
      </c>
      <c r="AO91" s="307">
        <v>0.03</v>
      </c>
      <c r="AP91" s="307">
        <v>0.03</v>
      </c>
      <c r="AQ91" s="307">
        <v>0.03</v>
      </c>
      <c r="AR91" s="307">
        <v>0.02</v>
      </c>
      <c r="AS91" s="307">
        <v>0.03</v>
      </c>
      <c r="AT91" s="307">
        <v>0.02</v>
      </c>
      <c r="AU91" s="307">
        <v>0.03</v>
      </c>
      <c r="AV91" s="307">
        <v>0.03</v>
      </c>
      <c r="AW91" s="307">
        <v>0.03</v>
      </c>
      <c r="AX91" s="307">
        <v>0.03</v>
      </c>
      <c r="AY91" s="307">
        <v>0.03</v>
      </c>
      <c r="AZ91" s="307">
        <v>0.03</v>
      </c>
      <c r="BA91" s="307">
        <v>0.04</v>
      </c>
      <c r="BB91"/>
    </row>
    <row r="92" spans="2:54">
      <c r="B92" s="1" t="s">
        <v>419</v>
      </c>
      <c r="C92" s="192"/>
      <c r="D92" s="192"/>
      <c r="E92" s="192"/>
      <c r="F92" s="313"/>
      <c r="G92" s="313"/>
      <c r="H92" s="313"/>
      <c r="I92" s="313"/>
      <c r="J92" s="443"/>
      <c r="K92" s="443"/>
      <c r="L92" s="443"/>
      <c r="M92" s="443"/>
      <c r="N92"/>
      <c r="O92" s="192"/>
      <c r="P92" s="192"/>
      <c r="Q92" s="192"/>
      <c r="R92" s="192"/>
      <c r="S92" s="192"/>
      <c r="T92" s="192"/>
      <c r="U92" s="192"/>
      <c r="V92" s="307">
        <v>0.02</v>
      </c>
      <c r="W92" s="314"/>
      <c r="X92" s="307">
        <v>0.02</v>
      </c>
      <c r="Y92" s="307">
        <v>0.02</v>
      </c>
      <c r="Z92" s="307">
        <v>0.02</v>
      </c>
      <c r="AA92" s="307">
        <v>0.03</v>
      </c>
      <c r="AB92" s="307">
        <v>0.02</v>
      </c>
      <c r="AC92" s="307">
        <v>0.02</v>
      </c>
      <c r="AD92" s="307">
        <v>0.01</v>
      </c>
      <c r="AE92" s="307">
        <v>0.01</v>
      </c>
      <c r="AF92" s="307">
        <v>0</v>
      </c>
      <c r="AG92" s="307">
        <v>0.01</v>
      </c>
      <c r="AH92" s="307">
        <v>0.01</v>
      </c>
      <c r="AI92" s="307">
        <v>0.01</v>
      </c>
      <c r="AJ92" s="307">
        <v>0.01</v>
      </c>
      <c r="AK92" s="307">
        <v>0.01</v>
      </c>
      <c r="AL92" s="307">
        <v>0.01</v>
      </c>
      <c r="AM92" s="307">
        <v>0.01</v>
      </c>
      <c r="AN92" s="307">
        <v>0.08</v>
      </c>
      <c r="AO92" s="307">
        <v>7.0000000000000007E-2</v>
      </c>
      <c r="AP92" s="307">
        <v>0.06</v>
      </c>
      <c r="AQ92" s="307">
        <v>0.08</v>
      </c>
      <c r="AR92" s="307">
        <v>0.09</v>
      </c>
      <c r="AS92" s="307">
        <v>0.03</v>
      </c>
      <c r="AT92" s="307">
        <v>0.04</v>
      </c>
      <c r="AU92" s="307">
        <v>0.04</v>
      </c>
      <c r="AV92" s="307">
        <v>0.04</v>
      </c>
      <c r="AW92" s="307">
        <v>0.03</v>
      </c>
      <c r="AX92" s="307">
        <v>0.03</v>
      </c>
      <c r="AY92" s="307">
        <v>0.03</v>
      </c>
      <c r="AZ92" s="307">
        <v>0.03</v>
      </c>
      <c r="BA92" s="307">
        <v>7.0000000000000007E-2</v>
      </c>
      <c r="BB92"/>
    </row>
    <row r="93" spans="2:54">
      <c r="B93" s="1" t="s">
        <v>424</v>
      </c>
      <c r="C93" s="192"/>
      <c r="D93" s="192"/>
      <c r="E93" s="192"/>
      <c r="F93" s="313"/>
      <c r="G93" s="313"/>
      <c r="H93" s="313"/>
      <c r="I93" s="313"/>
      <c r="J93" s="443"/>
      <c r="K93" s="443"/>
      <c r="L93" s="443"/>
      <c r="M93" s="443"/>
      <c r="N93"/>
      <c r="O93" s="192"/>
      <c r="P93" s="192"/>
      <c r="Q93" s="192"/>
      <c r="R93" s="192"/>
      <c r="S93" s="192"/>
      <c r="T93" s="192"/>
      <c r="U93" s="192"/>
      <c r="V93" s="307"/>
      <c r="W93" s="314"/>
      <c r="X93" s="307"/>
      <c r="Y93" s="307"/>
      <c r="Z93" s="307"/>
      <c r="AA93" s="307"/>
      <c r="AB93" s="307"/>
      <c r="AC93" s="307"/>
      <c r="AD93" s="307"/>
      <c r="AE93" s="307"/>
      <c r="AF93" s="307"/>
      <c r="AG93" s="307"/>
      <c r="AH93" s="307"/>
      <c r="AI93" s="307"/>
      <c r="AJ93" s="307"/>
      <c r="AK93" s="307"/>
      <c r="AL93" s="307"/>
      <c r="AM93" s="307"/>
      <c r="AN93" s="307"/>
      <c r="AO93" s="307"/>
      <c r="AP93" s="307"/>
      <c r="AQ93" s="307"/>
      <c r="AR93" s="307"/>
      <c r="AS93" s="307">
        <v>0.01</v>
      </c>
      <c r="AT93" s="307">
        <v>0.03</v>
      </c>
      <c r="AU93" s="307">
        <v>0.01</v>
      </c>
      <c r="AV93" s="307">
        <v>0.01</v>
      </c>
      <c r="AW93" s="307">
        <v>0.01</v>
      </c>
      <c r="AX93" s="307">
        <v>0.02</v>
      </c>
      <c r="AY93" s="307">
        <v>0.01</v>
      </c>
      <c r="AZ93" s="307">
        <v>0.01</v>
      </c>
      <c r="BA93" s="307">
        <v>0.01</v>
      </c>
      <c r="BB93"/>
    </row>
    <row r="94" spans="2:54">
      <c r="B94" s="1" t="s">
        <v>425</v>
      </c>
      <c r="C94" s="192"/>
      <c r="D94" s="192"/>
      <c r="E94" s="192"/>
      <c r="F94" s="313"/>
      <c r="G94" s="313"/>
      <c r="H94" s="313"/>
      <c r="I94" s="313"/>
      <c r="J94" s="443"/>
      <c r="K94" s="443"/>
      <c r="L94" s="443"/>
      <c r="M94" s="443"/>
      <c r="N94"/>
      <c r="O94" s="192"/>
      <c r="P94" s="192"/>
      <c r="Q94" s="192"/>
      <c r="R94" s="192"/>
      <c r="S94" s="192"/>
      <c r="T94" s="192"/>
      <c r="U94" s="192"/>
      <c r="V94" s="307">
        <v>0.01</v>
      </c>
      <c r="W94" s="314"/>
      <c r="X94" s="307">
        <v>0.01</v>
      </c>
      <c r="Y94" s="307">
        <v>0.02</v>
      </c>
      <c r="Z94" s="307">
        <v>0.01</v>
      </c>
      <c r="AA94" s="307">
        <v>0.01</v>
      </c>
      <c r="AB94" s="307">
        <v>0.01</v>
      </c>
      <c r="AC94" s="307">
        <v>0.01</v>
      </c>
      <c r="AD94" s="307">
        <v>0.02</v>
      </c>
      <c r="AE94" s="307">
        <v>0.01</v>
      </c>
      <c r="AF94" s="307">
        <v>0</v>
      </c>
      <c r="AG94" s="307">
        <v>0.01</v>
      </c>
      <c r="AH94" s="307">
        <v>0.01</v>
      </c>
      <c r="AI94" s="307">
        <v>0.01</v>
      </c>
      <c r="AJ94" s="307">
        <v>0.01</v>
      </c>
      <c r="AK94" s="307">
        <v>0.01</v>
      </c>
      <c r="AL94" s="307">
        <v>0.01</v>
      </c>
      <c r="AM94" s="307">
        <v>0.01</v>
      </c>
      <c r="AN94" s="307">
        <v>0.01</v>
      </c>
      <c r="AO94" s="307">
        <v>0.01</v>
      </c>
      <c r="AP94" s="307">
        <v>0.01</v>
      </c>
      <c r="AQ94" s="307">
        <v>0.01</v>
      </c>
      <c r="AR94" s="307">
        <v>0.01</v>
      </c>
      <c r="AS94" s="307">
        <v>0.01</v>
      </c>
      <c r="AT94" s="307">
        <v>0.01</v>
      </c>
      <c r="AU94" s="307">
        <v>0.01</v>
      </c>
      <c r="AV94" s="307">
        <v>0.01</v>
      </c>
      <c r="AW94" s="307">
        <v>0.01</v>
      </c>
      <c r="AX94" s="307">
        <v>0.01</v>
      </c>
      <c r="AY94" s="307">
        <v>0.01</v>
      </c>
      <c r="AZ94" s="307">
        <v>0.01</v>
      </c>
      <c r="BA94" s="307">
        <v>0.01</v>
      </c>
      <c r="BB94"/>
    </row>
    <row r="95" spans="2:54">
      <c r="B95" s="1" t="s">
        <v>426</v>
      </c>
      <c r="C95" s="192"/>
      <c r="D95" s="192"/>
      <c r="E95" s="192"/>
      <c r="F95" s="313"/>
      <c r="G95" s="313"/>
      <c r="H95" s="313"/>
      <c r="I95" s="313"/>
      <c r="J95" s="443"/>
      <c r="K95" s="443"/>
      <c r="L95" s="443"/>
      <c r="M95" s="443"/>
      <c r="N95"/>
      <c r="O95" s="192"/>
      <c r="P95" s="192"/>
      <c r="Q95" s="192"/>
      <c r="R95" s="192"/>
      <c r="S95" s="192"/>
      <c r="T95" s="192"/>
      <c r="U95" s="192"/>
      <c r="V95" s="307">
        <v>0.01</v>
      </c>
      <c r="W95" s="314"/>
      <c r="X95" s="307">
        <v>0.01</v>
      </c>
      <c r="Y95" s="307">
        <v>0.01</v>
      </c>
      <c r="Z95" s="307">
        <v>0.01</v>
      </c>
      <c r="AA95" s="307">
        <v>0.02</v>
      </c>
      <c r="AB95" s="307">
        <v>0.01</v>
      </c>
      <c r="AC95" s="307">
        <v>0.01</v>
      </c>
      <c r="AD95" s="307">
        <v>0.02</v>
      </c>
      <c r="AE95" s="307">
        <v>0.02</v>
      </c>
      <c r="AF95" s="307">
        <v>0.02</v>
      </c>
      <c r="AG95" s="307">
        <v>0.02</v>
      </c>
      <c r="AH95" s="307">
        <v>0.01</v>
      </c>
      <c r="AI95" s="307">
        <v>0.01</v>
      </c>
      <c r="AJ95" s="307">
        <v>0.01</v>
      </c>
      <c r="AK95" s="307">
        <v>0.01</v>
      </c>
      <c r="AL95" s="307">
        <v>0.01</v>
      </c>
      <c r="AM95" s="307">
        <v>0.01</v>
      </c>
      <c r="AN95" s="307">
        <v>0.01</v>
      </c>
      <c r="AO95" s="307">
        <v>0.01</v>
      </c>
      <c r="AP95" s="307">
        <v>0.01</v>
      </c>
      <c r="AQ95" s="307">
        <v>0.01</v>
      </c>
      <c r="AR95" s="307">
        <v>0.01</v>
      </c>
      <c r="AS95" s="307">
        <v>0.01</v>
      </c>
      <c r="AT95" s="307">
        <v>0.01</v>
      </c>
      <c r="AU95" s="307">
        <v>0.01</v>
      </c>
      <c r="AV95" s="307">
        <v>0.01</v>
      </c>
      <c r="AW95" s="307">
        <v>0.01</v>
      </c>
      <c r="AX95" s="307">
        <v>0.01</v>
      </c>
      <c r="AY95" s="307">
        <v>0.01</v>
      </c>
      <c r="AZ95" s="307">
        <v>0.01</v>
      </c>
      <c r="BA95" s="307">
        <v>0.01</v>
      </c>
      <c r="BB95"/>
    </row>
    <row r="96" spans="2:54">
      <c r="B96" s="1" t="s">
        <v>415</v>
      </c>
      <c r="C96" s="192"/>
      <c r="D96" s="192"/>
      <c r="E96" s="192"/>
      <c r="F96" s="313"/>
      <c r="G96" s="313"/>
      <c r="H96" s="313"/>
      <c r="I96" s="313"/>
      <c r="J96" s="443"/>
      <c r="K96" s="443"/>
      <c r="L96" s="443"/>
      <c r="M96" s="443"/>
      <c r="N96"/>
      <c r="O96" s="192"/>
      <c r="P96" s="192"/>
      <c r="Q96" s="192"/>
      <c r="R96" s="192"/>
      <c r="S96" s="192"/>
      <c r="T96" s="192"/>
      <c r="U96" s="192"/>
      <c r="V96" s="307">
        <v>0.03</v>
      </c>
      <c r="W96" s="314"/>
      <c r="X96" s="307">
        <v>0.02</v>
      </c>
      <c r="Y96" s="307">
        <v>0.04</v>
      </c>
      <c r="Z96" s="307">
        <v>0.04</v>
      </c>
      <c r="AA96" s="307">
        <v>0.02</v>
      </c>
      <c r="AB96" s="307">
        <v>0.02</v>
      </c>
      <c r="AC96" s="307">
        <f>2%+1%</f>
        <v>0.03</v>
      </c>
      <c r="AD96" s="307">
        <f>1%+1%</f>
        <v>0.02</v>
      </c>
      <c r="AE96" s="307">
        <v>0.02</v>
      </c>
      <c r="AF96" s="307">
        <f>1%+3%</f>
        <v>0.04</v>
      </c>
      <c r="AG96" s="307">
        <v>0.02</v>
      </c>
      <c r="AH96" s="307">
        <v>0.05</v>
      </c>
      <c r="AI96" s="307">
        <f>2%+3%</f>
        <v>0.05</v>
      </c>
      <c r="AJ96" s="307">
        <f>1%+2%</f>
        <v>0.03</v>
      </c>
      <c r="AK96" s="307">
        <v>0.04</v>
      </c>
      <c r="AL96" s="307">
        <v>0.05</v>
      </c>
      <c r="AM96" s="307">
        <v>0.04</v>
      </c>
      <c r="AN96" s="307">
        <v>0.04</v>
      </c>
      <c r="AO96" s="307">
        <f>4%+2%</f>
        <v>0.06</v>
      </c>
      <c r="AP96" s="307">
        <f>6%</f>
        <v>0.06</v>
      </c>
      <c r="AQ96" s="307">
        <v>0.05</v>
      </c>
      <c r="AR96" s="307">
        <f>3%+5%</f>
        <v>0.08</v>
      </c>
      <c r="AS96" s="307">
        <v>0.1</v>
      </c>
      <c r="AT96" s="307">
        <v>0.09</v>
      </c>
      <c r="AU96" s="307">
        <v>0.11</v>
      </c>
      <c r="AV96" s="307">
        <v>0.1</v>
      </c>
      <c r="AW96" s="307">
        <v>0.1</v>
      </c>
      <c r="AX96" s="307">
        <v>0.09</v>
      </c>
      <c r="AY96" s="307">
        <v>0.09</v>
      </c>
      <c r="AZ96" s="307">
        <v>0.08</v>
      </c>
      <c r="BA96" s="307">
        <v>0.04</v>
      </c>
      <c r="BB96"/>
    </row>
    <row r="97" spans="2:54">
      <c r="AF97" s="379"/>
      <c r="AJ97" s="379"/>
      <c r="AQ97" s="379"/>
      <c r="AU97" s="379"/>
      <c r="AY97" s="379"/>
      <c r="BB97"/>
    </row>
    <row r="98" spans="2:54">
      <c r="B98" s="16" t="s">
        <v>467</v>
      </c>
      <c r="C98" s="16"/>
      <c r="D98" s="16"/>
      <c r="E98" s="16"/>
      <c r="F98" s="16"/>
      <c r="G98" s="16"/>
      <c r="H98" s="16"/>
      <c r="I98" s="16"/>
      <c r="J98" s="16"/>
      <c r="K98" s="16"/>
      <c r="L98" s="16"/>
      <c r="M98" s="16"/>
      <c r="N98" s="5"/>
      <c r="O98" s="16"/>
      <c r="P98" s="16"/>
      <c r="Q98" s="16"/>
      <c r="R98" s="16"/>
      <c r="S98" s="16"/>
      <c r="T98" s="16"/>
      <c r="U98" s="16"/>
      <c r="V98" s="16"/>
      <c r="W98" s="16"/>
      <c r="X98" s="16"/>
      <c r="Y98" s="16"/>
      <c r="Z98" s="16"/>
      <c r="AA98" s="16"/>
      <c r="AB98" s="16"/>
      <c r="AC98" s="16"/>
      <c r="AD98" s="16"/>
      <c r="AE98" s="16"/>
      <c r="AF98" s="16"/>
      <c r="AG98" s="16"/>
      <c r="AH98" s="16"/>
      <c r="AI98" s="16"/>
      <c r="AJ98" s="16"/>
      <c r="AK98" s="16"/>
      <c r="AL98" s="16"/>
      <c r="AM98" s="16"/>
      <c r="AN98" s="16"/>
      <c r="AO98" s="16"/>
      <c r="AP98" s="16"/>
      <c r="AQ98" s="16"/>
      <c r="AR98" s="16"/>
      <c r="AS98" s="16"/>
      <c r="AT98" s="16"/>
      <c r="AU98" s="16"/>
      <c r="AV98" s="16"/>
      <c r="AW98" s="16"/>
      <c r="AX98" s="16"/>
      <c r="AY98" s="16"/>
      <c r="AZ98" s="16"/>
      <c r="BA98" s="16"/>
      <c r="BB98"/>
    </row>
    <row r="99" spans="2:54">
      <c r="F99" s="308"/>
      <c r="G99" s="308"/>
      <c r="H99" s="308"/>
      <c r="I99" s="308"/>
      <c r="J99" s="308"/>
      <c r="K99" s="308"/>
      <c r="L99" s="308"/>
      <c r="M99" s="308"/>
      <c r="N99" s="308"/>
      <c r="T99" s="308"/>
      <c r="U99" s="308"/>
      <c r="W99" s="308"/>
      <c r="X99" s="308"/>
      <c r="Y99" s="308"/>
      <c r="Z99" s="308"/>
      <c r="AA99" s="308"/>
      <c r="AB99" s="308"/>
      <c r="AC99" s="308"/>
      <c r="AD99" s="308"/>
      <c r="AE99" s="308"/>
      <c r="AF99" s="308"/>
      <c r="AG99" s="308"/>
      <c r="AH99" s="308"/>
      <c r="AI99" s="308"/>
      <c r="AJ99" s="308"/>
      <c r="AK99" s="308"/>
      <c r="AL99" s="308"/>
      <c r="AM99" s="308"/>
      <c r="AN99" s="308"/>
      <c r="AO99" s="308"/>
      <c r="AP99" s="308"/>
      <c r="AQ99" s="308"/>
      <c r="AR99" s="308"/>
      <c r="AS99" s="308"/>
      <c r="AT99" s="308"/>
      <c r="AU99" s="308"/>
      <c r="AV99" s="308"/>
      <c r="AX99" s="308"/>
      <c r="AY99" s="308"/>
      <c r="AZ99" s="308"/>
    </row>
    <row r="100" spans="2:54">
      <c r="B100" s="1" t="s">
        <v>468</v>
      </c>
      <c r="C100" s="192"/>
      <c r="D100" s="192"/>
      <c r="E100" s="192"/>
      <c r="F100" s="313"/>
      <c r="G100" s="313"/>
      <c r="H100" s="313"/>
      <c r="I100" s="313"/>
      <c r="J100" s="308">
        <v>62845</v>
      </c>
      <c r="K100" s="308">
        <v>61373</v>
      </c>
      <c r="L100" s="308">
        <v>59551.758999999998</v>
      </c>
      <c r="M100" s="308">
        <f>144153*0.46</f>
        <v>66310.38</v>
      </c>
      <c r="N100"/>
      <c r="O100" s="192"/>
      <c r="P100" s="192"/>
      <c r="Q100" s="192"/>
      <c r="R100" s="192"/>
      <c r="S100" s="192"/>
      <c r="T100" s="308"/>
      <c r="U100" s="308">
        <v>6453</v>
      </c>
      <c r="V100" s="308">
        <v>6372</v>
      </c>
      <c r="W100" s="312"/>
      <c r="X100" s="308"/>
      <c r="Y100" s="308">
        <v>7469</v>
      </c>
      <c r="Z100" s="308">
        <v>7473</v>
      </c>
      <c r="AA100" s="308">
        <v>7092.5140000000001</v>
      </c>
      <c r="AB100" s="308">
        <f>15364.058-AA100</f>
        <v>8271.5440000000017</v>
      </c>
      <c r="AC100" s="308">
        <f>24313.816-AB100-AA100</f>
        <v>8949.757999999998</v>
      </c>
      <c r="AD100" s="308">
        <f>AD103-AD101</f>
        <v>9637</v>
      </c>
      <c r="AE100" s="308">
        <v>9735.7810000000009</v>
      </c>
      <c r="AF100" s="308">
        <f>24214.665-AE100</f>
        <v>14478.884</v>
      </c>
      <c r="AG100" s="308">
        <f>36254.971-AF100-AE100</f>
        <v>12040.305999999999</v>
      </c>
      <c r="AH100" s="308">
        <f>AH103-AH101</f>
        <v>12653</v>
      </c>
      <c r="AI100" s="308">
        <v>12662.762000000001</v>
      </c>
      <c r="AJ100" s="308">
        <f>28212.963-AI100</f>
        <v>15550.200999999999</v>
      </c>
      <c r="AK100" s="308">
        <f>44941.968-AJ100-AI100</f>
        <v>16729.004999999997</v>
      </c>
      <c r="AL100" s="308">
        <v>17903</v>
      </c>
      <c r="AM100" s="308">
        <v>15882</v>
      </c>
      <c r="AN100" s="308">
        <v>14471</v>
      </c>
      <c r="AO100" s="308">
        <v>14963</v>
      </c>
      <c r="AP100" s="308">
        <v>16057</v>
      </c>
      <c r="AQ100" s="308">
        <v>13419</v>
      </c>
      <c r="AR100" s="308">
        <v>14565</v>
      </c>
      <c r="AS100" s="308">
        <v>16462</v>
      </c>
      <c r="AT100" s="308">
        <f>36563*41%</f>
        <v>14990.83</v>
      </c>
      <c r="AU100" s="308">
        <v>13419</v>
      </c>
      <c r="AV100" s="308">
        <f>34771*0.43</f>
        <v>14951.53</v>
      </c>
      <c r="AW100" s="308">
        <f>37709*0.48</f>
        <v>18100.32</v>
      </c>
      <c r="AX100" s="308">
        <f>41302*0.45</f>
        <v>18585.900000000001</v>
      </c>
      <c r="AY100" s="308">
        <f>38562*49%</f>
        <v>18895.38</v>
      </c>
      <c r="AZ100" s="308">
        <f>37776*0.49</f>
        <v>18510.239999999998</v>
      </c>
      <c r="BA100" s="308">
        <v>19823.631000000001</v>
      </c>
    </row>
    <row r="101" spans="2:54">
      <c r="B101" s="1" t="s">
        <v>469</v>
      </c>
      <c r="C101" s="192"/>
      <c r="D101" s="192"/>
      <c r="E101" s="192"/>
      <c r="F101" s="313"/>
      <c r="G101" s="313"/>
      <c r="H101" s="313"/>
      <c r="I101" s="313"/>
      <c r="J101" s="308">
        <v>22544</v>
      </c>
      <c r="K101" s="308">
        <v>22371.397000000001</v>
      </c>
      <c r="L101" s="308">
        <v>19222.955000000002</v>
      </c>
      <c r="M101" s="308">
        <f>144153*0.12</f>
        <v>17298.36</v>
      </c>
      <c r="N101"/>
      <c r="O101" s="192"/>
      <c r="P101" s="192"/>
      <c r="Q101" s="192"/>
      <c r="R101" s="192"/>
      <c r="S101" s="192"/>
      <c r="T101" s="308">
        <v>2180</v>
      </c>
      <c r="U101" s="308">
        <v>2687</v>
      </c>
      <c r="V101" s="308">
        <v>3107</v>
      </c>
      <c r="W101" s="312"/>
      <c r="X101" s="308">
        <v>2900</v>
      </c>
      <c r="Y101" s="308">
        <v>3620</v>
      </c>
      <c r="Z101" s="308">
        <v>3167</v>
      </c>
      <c r="AA101" s="308">
        <v>2987.1709999999998</v>
      </c>
      <c r="AB101" s="308">
        <f>6434.752-AA101</f>
        <v>3447.5810000000006</v>
      </c>
      <c r="AC101" s="308">
        <f>10229.366-AB101-AA101</f>
        <v>3794.614</v>
      </c>
      <c r="AD101" s="308">
        <v>4581</v>
      </c>
      <c r="AE101" s="308">
        <v>3765.828</v>
      </c>
      <c r="AF101" s="308">
        <f>8167.597-AE101</f>
        <v>4401.7690000000002</v>
      </c>
      <c r="AG101" s="308">
        <f>12960.436-AF101-AE101</f>
        <v>4792.8389999999999</v>
      </c>
      <c r="AH101" s="308">
        <v>5613</v>
      </c>
      <c r="AI101" s="308">
        <v>4573.0640000000003</v>
      </c>
      <c r="AJ101" s="308">
        <f>9596.536-AI101</f>
        <v>5023.4719999999998</v>
      </c>
      <c r="AK101" s="308">
        <f>16505.325-AJ101-AI101</f>
        <v>6908.7890000000007</v>
      </c>
      <c r="AL101" s="308">
        <v>6038</v>
      </c>
      <c r="AM101" s="308">
        <v>6458</v>
      </c>
      <c r="AN101" s="308">
        <v>7113</v>
      </c>
      <c r="AO101" s="308">
        <v>7451</v>
      </c>
      <c r="AP101" s="308">
        <v>6610</v>
      </c>
      <c r="AQ101" s="308">
        <v>5217</v>
      </c>
      <c r="AR101" s="308">
        <v>5788</v>
      </c>
      <c r="AS101" s="308">
        <v>5413</v>
      </c>
      <c r="AT101" s="308">
        <f>36563*19%</f>
        <v>6946.97</v>
      </c>
      <c r="AU101" s="308">
        <v>5217</v>
      </c>
      <c r="AV101" s="308">
        <f>34771*0.1</f>
        <v>3477.1000000000004</v>
      </c>
      <c r="AW101" s="308">
        <f>37709*0.11</f>
        <v>4147.99</v>
      </c>
      <c r="AX101" s="308">
        <f>41302*0.13</f>
        <v>5369.26</v>
      </c>
      <c r="AY101" s="308">
        <f>38562*11%</f>
        <v>4241.82</v>
      </c>
      <c r="AZ101" s="308">
        <f>37776*0.11</f>
        <v>4155.3599999999997</v>
      </c>
      <c r="BA101" s="308">
        <v>5658.8440000000001</v>
      </c>
    </row>
    <row r="102" spans="2:54">
      <c r="B102" s="1" t="s">
        <v>410</v>
      </c>
      <c r="C102" s="192"/>
      <c r="D102" s="192"/>
      <c r="E102" s="192"/>
      <c r="F102" s="313"/>
      <c r="G102" s="313"/>
      <c r="H102" s="313"/>
      <c r="I102" s="313"/>
      <c r="J102" s="308">
        <v>0</v>
      </c>
      <c r="K102" s="308">
        <v>41627</v>
      </c>
      <c r="L102" s="308">
        <v>53443.296000000002</v>
      </c>
      <c r="M102" s="308">
        <f>144153*0.42</f>
        <v>60544.259999999995</v>
      </c>
      <c r="N102"/>
      <c r="O102" s="192"/>
      <c r="P102" s="192"/>
      <c r="Q102" s="192"/>
      <c r="R102" s="192"/>
      <c r="S102" s="192"/>
      <c r="T102" s="308"/>
      <c r="U102" s="308"/>
      <c r="V102" s="308"/>
      <c r="W102" s="312"/>
      <c r="X102" s="308"/>
      <c r="Y102" s="308"/>
      <c r="Z102" s="308"/>
      <c r="AA102" s="308"/>
      <c r="AB102" s="308"/>
      <c r="AC102" s="308"/>
      <c r="AD102" s="308"/>
      <c r="AE102" s="312"/>
      <c r="AF102" s="312"/>
      <c r="AG102" s="312"/>
      <c r="AH102" s="312"/>
      <c r="AI102" s="312"/>
      <c r="AJ102" s="312"/>
      <c r="AK102" s="312"/>
      <c r="AL102" s="312"/>
      <c r="AM102" s="312"/>
      <c r="AN102" s="308">
        <v>12901</v>
      </c>
      <c r="AO102" s="308">
        <v>14003</v>
      </c>
      <c r="AP102" s="308">
        <v>14722</v>
      </c>
      <c r="AQ102" s="308">
        <v>13121</v>
      </c>
      <c r="AR102" s="308">
        <v>12161</v>
      </c>
      <c r="AS102" s="308">
        <v>13774</v>
      </c>
      <c r="AT102" s="308">
        <f>36563*39%</f>
        <v>14259.57</v>
      </c>
      <c r="AU102" s="308">
        <v>13121</v>
      </c>
      <c r="AV102" s="308">
        <f>34771*0.47</f>
        <v>16342.369999999999</v>
      </c>
      <c r="AW102" s="308">
        <f>37709*0.41</f>
        <v>15460.689999999999</v>
      </c>
      <c r="AX102" s="308">
        <f>41302*0.42</f>
        <v>17346.84</v>
      </c>
      <c r="AY102" s="308">
        <f>38562*40%</f>
        <v>15424.800000000001</v>
      </c>
      <c r="AZ102" s="308">
        <f>37776*0.4</f>
        <v>15110.400000000001</v>
      </c>
      <c r="BA102" s="308">
        <v>16283.057000000001</v>
      </c>
    </row>
    <row r="103" spans="2:54">
      <c r="B103" s="5" t="s">
        <v>470</v>
      </c>
      <c r="C103" s="188"/>
      <c r="D103" s="188"/>
      <c r="E103" s="188"/>
      <c r="F103" s="313"/>
      <c r="G103" s="313"/>
      <c r="H103" s="313"/>
      <c r="I103" s="313"/>
      <c r="J103" s="53">
        <f>J100+J101+J102</f>
        <v>85389</v>
      </c>
      <c r="K103" s="53">
        <f>K100+K101+K102</f>
        <v>125371.397</v>
      </c>
      <c r="L103" s="53">
        <f>L100+L101+L102</f>
        <v>132218.01</v>
      </c>
      <c r="M103" s="53">
        <f>M100+M101+M102</f>
        <v>144153</v>
      </c>
      <c r="N103"/>
      <c r="O103" s="188"/>
      <c r="P103" s="188"/>
      <c r="Q103" s="188"/>
      <c r="R103" s="188"/>
      <c r="S103" s="188"/>
      <c r="T103" s="309"/>
      <c r="U103" s="53">
        <f>U100+U101</f>
        <v>9140</v>
      </c>
      <c r="V103" s="53">
        <f>V100+V101</f>
        <v>9479</v>
      </c>
      <c r="W103" s="315"/>
      <c r="X103" s="309"/>
      <c r="Y103" s="53">
        <f>Y100+Y101</f>
        <v>11089</v>
      </c>
      <c r="Z103" s="53">
        <f>Z100+Z101</f>
        <v>10640</v>
      </c>
      <c r="AA103" s="53">
        <f>AA100+AA101</f>
        <v>10079.684999999999</v>
      </c>
      <c r="AB103" s="53">
        <f>AB100+AB101</f>
        <v>11719.125000000002</v>
      </c>
      <c r="AC103" s="53">
        <f>AC100+AC101</f>
        <v>12744.371999999998</v>
      </c>
      <c r="AD103" s="53">
        <v>14218</v>
      </c>
      <c r="AE103" s="53">
        <f>AE100+AE101</f>
        <v>13501.609</v>
      </c>
      <c r="AF103" s="53">
        <f>AF100+AF101</f>
        <v>18880.652999999998</v>
      </c>
      <c r="AG103" s="53">
        <f>AG100+AG101</f>
        <v>16833.144999999997</v>
      </c>
      <c r="AH103" s="53">
        <v>18266</v>
      </c>
      <c r="AI103" s="53">
        <f>AI100+AI101</f>
        <v>17235.826000000001</v>
      </c>
      <c r="AJ103" s="53">
        <f>AJ100+AJ101</f>
        <v>20573.672999999999</v>
      </c>
      <c r="AK103" s="53">
        <f>AK100+AK101</f>
        <v>23637.793999999998</v>
      </c>
      <c r="AL103" s="53">
        <f>AL100+AL101</f>
        <v>23941</v>
      </c>
      <c r="AM103" s="53">
        <f>AM100+AM101</f>
        <v>22340</v>
      </c>
      <c r="AN103" s="53">
        <f t="shared" ref="AN103:AS103" si="16">AN100+AN101+AN102</f>
        <v>34485</v>
      </c>
      <c r="AO103" s="53">
        <f t="shared" si="16"/>
        <v>36417</v>
      </c>
      <c r="AP103" s="53">
        <f t="shared" si="16"/>
        <v>37389</v>
      </c>
      <c r="AQ103" s="53">
        <f t="shared" si="16"/>
        <v>31757</v>
      </c>
      <c r="AR103" s="53">
        <f t="shared" si="16"/>
        <v>32514</v>
      </c>
      <c r="AS103" s="53">
        <f t="shared" si="16"/>
        <v>35649</v>
      </c>
      <c r="AT103" s="53">
        <f t="shared" ref="AT103:AY103" si="17">AT100+AT101+AT102</f>
        <v>36197.369999999995</v>
      </c>
      <c r="AU103" s="53">
        <f t="shared" si="17"/>
        <v>31757</v>
      </c>
      <c r="AV103" s="53">
        <f t="shared" si="17"/>
        <v>34771</v>
      </c>
      <c r="AW103" s="53">
        <f t="shared" si="17"/>
        <v>37709</v>
      </c>
      <c r="AX103" s="53">
        <f t="shared" si="17"/>
        <v>41302</v>
      </c>
      <c r="AY103" s="53">
        <f t="shared" si="17"/>
        <v>38562</v>
      </c>
      <c r="AZ103" s="53">
        <f>AZ100+AZ101+AZ102</f>
        <v>37776</v>
      </c>
      <c r="BA103" s="53">
        <f>BA100+BA101+BA102</f>
        <v>41765.532000000007</v>
      </c>
    </row>
    <row r="104" spans="2:54">
      <c r="B104" s="5"/>
      <c r="C104" s="188"/>
      <c r="D104" s="188"/>
      <c r="E104" s="188"/>
      <c r="F104" s="313"/>
      <c r="G104" s="313"/>
      <c r="H104" s="313"/>
      <c r="I104" s="313"/>
      <c r="J104" s="309"/>
      <c r="K104" s="309"/>
      <c r="L104" s="309"/>
      <c r="M104" s="309"/>
      <c r="N104"/>
      <c r="O104" s="188"/>
      <c r="P104" s="188"/>
      <c r="Q104" s="188"/>
      <c r="R104" s="188"/>
      <c r="S104" s="188"/>
      <c r="T104" s="309"/>
      <c r="U104" s="53"/>
      <c r="V104" s="309"/>
      <c r="W104" s="315"/>
      <c r="X104" s="309"/>
      <c r="Y104" s="309"/>
      <c r="Z104" s="309"/>
      <c r="AA104" s="309"/>
      <c r="AB104" s="309"/>
      <c r="AC104" s="309"/>
      <c r="AD104" s="309"/>
      <c r="AE104" s="309"/>
      <c r="AF104" s="309"/>
      <c r="AG104" s="309"/>
      <c r="AH104" s="309"/>
      <c r="AI104" s="309"/>
      <c r="AJ104" s="309"/>
      <c r="AK104" s="309"/>
      <c r="AL104" s="309"/>
      <c r="AM104" s="309"/>
      <c r="AN104" s="309"/>
      <c r="AO104" s="309"/>
      <c r="AP104" s="309"/>
      <c r="AQ104" s="309"/>
      <c r="AR104" s="309"/>
      <c r="AS104" s="309"/>
      <c r="AT104" s="309"/>
      <c r="AU104" s="309"/>
      <c r="AV104" s="309"/>
      <c r="AX104" s="309"/>
      <c r="AY104" s="309"/>
      <c r="AZ104" s="309"/>
    </row>
    <row r="105" spans="2:54">
      <c r="B105" s="1" t="s">
        <v>471</v>
      </c>
      <c r="C105" s="192"/>
      <c r="D105" s="192"/>
      <c r="E105" s="192"/>
      <c r="F105" s="313"/>
      <c r="G105" s="313"/>
      <c r="H105" s="313"/>
      <c r="I105" s="313"/>
      <c r="J105" s="308"/>
      <c r="K105" s="308"/>
      <c r="L105" s="308"/>
      <c r="M105" s="308"/>
      <c r="N105"/>
      <c r="O105" s="192"/>
      <c r="P105" s="192"/>
      <c r="Q105" s="192"/>
      <c r="R105" s="192"/>
      <c r="S105" s="192"/>
      <c r="T105" s="308">
        <v>1874</v>
      </c>
      <c r="U105" s="308">
        <v>2039</v>
      </c>
      <c r="V105" s="308">
        <v>1960</v>
      </c>
      <c r="W105" s="312"/>
      <c r="X105" s="308">
        <v>1943</v>
      </c>
      <c r="Y105" s="308">
        <v>1881</v>
      </c>
      <c r="Z105" s="308">
        <v>1958</v>
      </c>
      <c r="AA105" s="308">
        <v>1878</v>
      </c>
      <c r="AB105" s="308">
        <v>2247</v>
      </c>
      <c r="AC105" s="308">
        <v>2249</v>
      </c>
      <c r="AD105" s="308">
        <v>2339</v>
      </c>
      <c r="AE105" s="308">
        <v>2185</v>
      </c>
      <c r="AF105" s="308">
        <v>2678</v>
      </c>
      <c r="AG105" s="308">
        <v>2236</v>
      </c>
      <c r="AH105" s="308">
        <v>2342</v>
      </c>
      <c r="AI105" s="308">
        <v>2315</v>
      </c>
      <c r="AJ105" s="308">
        <v>2948</v>
      </c>
      <c r="AK105" s="308">
        <v>3202</v>
      </c>
      <c r="AL105" s="308">
        <v>2342</v>
      </c>
      <c r="AM105" s="308">
        <v>3023</v>
      </c>
      <c r="AN105" s="308">
        <v>2949</v>
      </c>
      <c r="AO105" s="308">
        <v>2846</v>
      </c>
      <c r="AP105" s="308">
        <v>3056</v>
      </c>
      <c r="AQ105" s="308">
        <v>2583</v>
      </c>
      <c r="AR105" s="308">
        <v>2938</v>
      </c>
      <c r="AS105" s="308">
        <v>3375</v>
      </c>
      <c r="AT105" s="308">
        <v>3053</v>
      </c>
      <c r="AU105" s="308">
        <v>2583</v>
      </c>
      <c r="AV105" s="308">
        <v>3099</v>
      </c>
      <c r="AW105" s="308">
        <v>3244</v>
      </c>
      <c r="AX105" s="308">
        <v>3199</v>
      </c>
      <c r="AY105" s="308">
        <v>3266</v>
      </c>
      <c r="AZ105" s="308">
        <v>3263</v>
      </c>
      <c r="BA105" s="444"/>
    </row>
    <row r="107" spans="2:54" hidden="1" outlineLevel="1">
      <c r="B107" s="16" t="s">
        <v>472</v>
      </c>
      <c r="C107" s="16"/>
      <c r="D107" s="16"/>
      <c r="E107" s="16"/>
      <c r="F107" s="16"/>
      <c r="G107" s="16"/>
      <c r="H107" s="16"/>
      <c r="I107" s="16"/>
      <c r="J107" s="16"/>
      <c r="K107" s="16"/>
      <c r="L107" s="16"/>
      <c r="M107" s="16"/>
      <c r="N107" s="5"/>
      <c r="O107" s="16"/>
      <c r="P107" s="16"/>
      <c r="Q107" s="16"/>
      <c r="R107" s="16"/>
      <c r="S107" s="16"/>
      <c r="T107" s="16"/>
      <c r="U107" s="16"/>
      <c r="V107" s="16"/>
      <c r="W107" s="16"/>
      <c r="X107" s="16"/>
      <c r="Y107" s="16"/>
      <c r="Z107" s="16"/>
      <c r="AA107" s="16"/>
      <c r="AB107" s="16"/>
      <c r="AC107" s="16"/>
      <c r="AD107" s="16"/>
      <c r="AE107" s="16"/>
      <c r="AF107" s="16"/>
      <c r="AG107" s="16"/>
      <c r="AH107" s="16"/>
      <c r="AI107" s="16"/>
      <c r="AJ107" s="16"/>
      <c r="AK107" s="16"/>
      <c r="AL107" s="16"/>
      <c r="AM107" s="16"/>
      <c r="AN107" s="16"/>
      <c r="AO107" s="16"/>
      <c r="AP107" s="16"/>
      <c r="AQ107" s="16"/>
      <c r="AR107" s="16"/>
      <c r="AS107" s="16"/>
      <c r="AT107" s="16"/>
      <c r="AU107" s="11"/>
      <c r="AV107" s="11"/>
      <c r="AW107" s="11"/>
      <c r="AX107" s="11"/>
      <c r="AY107" s="11"/>
      <c r="AZ107" s="11"/>
      <c r="BA107" s="11"/>
    </row>
    <row r="108" spans="2:54" hidden="1" outlineLevel="1">
      <c r="B108" s="1" t="s">
        <v>417</v>
      </c>
      <c r="C108" s="192"/>
      <c r="D108" s="192"/>
      <c r="E108" s="192"/>
      <c r="F108" s="313"/>
      <c r="G108" s="310">
        <v>2</v>
      </c>
      <c r="H108" s="310">
        <f>AD108</f>
        <v>3</v>
      </c>
      <c r="I108" s="310">
        <f>AE108</f>
        <v>3</v>
      </c>
      <c r="J108" s="24">
        <f>AL108</f>
        <v>3</v>
      </c>
      <c r="K108" s="24">
        <f>AP108</f>
        <v>3</v>
      </c>
      <c r="L108" s="443"/>
      <c r="M108" s="443"/>
      <c r="N108" s="24"/>
      <c r="O108" s="192"/>
      <c r="P108" s="192"/>
      <c r="Q108" s="192"/>
      <c r="R108" s="192"/>
      <c r="S108" s="192"/>
      <c r="T108" s="192"/>
      <c r="U108" s="192"/>
      <c r="V108" s="192"/>
      <c r="W108" s="316"/>
      <c r="X108" s="310">
        <v>2</v>
      </c>
      <c r="Y108" s="310">
        <v>2</v>
      </c>
      <c r="Z108" s="310">
        <v>2</v>
      </c>
      <c r="AA108" s="310">
        <v>2</v>
      </c>
      <c r="AB108" s="310">
        <v>3</v>
      </c>
      <c r="AC108" s="310">
        <v>3</v>
      </c>
      <c r="AD108" s="310">
        <v>3</v>
      </c>
      <c r="AE108" s="310">
        <v>3</v>
      </c>
      <c r="AF108" s="310">
        <v>3</v>
      </c>
      <c r="AG108" s="310">
        <v>3</v>
      </c>
      <c r="AH108" s="310">
        <v>3</v>
      </c>
      <c r="AI108" s="310">
        <v>3</v>
      </c>
      <c r="AJ108" s="310">
        <v>3</v>
      </c>
      <c r="AK108" s="310">
        <v>3</v>
      </c>
      <c r="AL108" s="310">
        <v>3</v>
      </c>
      <c r="AM108" s="310">
        <v>3</v>
      </c>
      <c r="AN108" s="310">
        <v>3</v>
      </c>
      <c r="AO108" s="310">
        <v>3</v>
      </c>
      <c r="AP108" s="310">
        <v>3</v>
      </c>
      <c r="AQ108" s="310">
        <v>3</v>
      </c>
      <c r="AR108" s="310">
        <v>3</v>
      </c>
      <c r="AS108" s="310">
        <v>3</v>
      </c>
      <c r="AT108" s="310">
        <v>5</v>
      </c>
      <c r="AU108" s="443"/>
      <c r="AV108" s="443"/>
      <c r="AW108" s="443"/>
      <c r="AX108" s="443"/>
      <c r="AY108" s="443"/>
      <c r="AZ108" s="443"/>
      <c r="BA108" s="443"/>
    </row>
    <row r="109" spans="2:54" hidden="1" outlineLevel="1">
      <c r="B109" s="1" t="s">
        <v>418</v>
      </c>
      <c r="C109" s="192"/>
      <c r="D109" s="192"/>
      <c r="E109" s="192"/>
      <c r="F109" s="313"/>
      <c r="G109" s="310">
        <v>15</v>
      </c>
      <c r="H109" s="310">
        <f>AD109</f>
        <v>12</v>
      </c>
      <c r="I109" s="310">
        <v>11</v>
      </c>
      <c r="J109" s="24">
        <f>AL109</f>
        <v>10</v>
      </c>
      <c r="K109" s="24">
        <f>AP109</f>
        <v>10</v>
      </c>
      <c r="L109" s="443"/>
      <c r="M109" s="443"/>
      <c r="N109" s="24"/>
      <c r="O109" s="192"/>
      <c r="P109" s="192"/>
      <c r="Q109" s="192"/>
      <c r="R109" s="192"/>
      <c r="S109" s="192"/>
      <c r="T109" s="192"/>
      <c r="U109" s="192"/>
      <c r="V109" s="192"/>
      <c r="W109" s="316"/>
      <c r="X109" s="310">
        <v>15</v>
      </c>
      <c r="Y109" s="310">
        <v>15</v>
      </c>
      <c r="Z109" s="310">
        <v>15</v>
      </c>
      <c r="AA109" s="310">
        <v>15</v>
      </c>
      <c r="AB109" s="310">
        <v>14</v>
      </c>
      <c r="AC109" s="310">
        <v>14</v>
      </c>
      <c r="AD109" s="310">
        <v>12</v>
      </c>
      <c r="AE109" s="310">
        <v>12</v>
      </c>
      <c r="AF109" s="310">
        <v>11</v>
      </c>
      <c r="AG109" s="310">
        <v>11</v>
      </c>
      <c r="AH109" s="310">
        <v>11</v>
      </c>
      <c r="AI109" s="310">
        <v>11</v>
      </c>
      <c r="AJ109" s="310">
        <v>11</v>
      </c>
      <c r="AK109" s="310">
        <v>11</v>
      </c>
      <c r="AL109" s="310">
        <v>10</v>
      </c>
      <c r="AM109" s="310">
        <v>10</v>
      </c>
      <c r="AN109" s="310">
        <v>10</v>
      </c>
      <c r="AO109" s="310">
        <v>11</v>
      </c>
      <c r="AP109" s="310">
        <v>10</v>
      </c>
      <c r="AQ109" s="310">
        <v>10</v>
      </c>
      <c r="AR109" s="310">
        <v>10</v>
      </c>
      <c r="AS109" s="310">
        <v>10</v>
      </c>
      <c r="AT109" s="310">
        <v>1</v>
      </c>
      <c r="AU109" s="443"/>
      <c r="AV109" s="443"/>
      <c r="AW109" s="443"/>
      <c r="AX109" s="443"/>
      <c r="AY109" s="443"/>
      <c r="AZ109" s="443"/>
      <c r="BA109" s="443"/>
    </row>
    <row r="110" spans="2:54" hidden="1" outlineLevel="1">
      <c r="B110" s="1" t="s">
        <v>426</v>
      </c>
      <c r="C110" s="192"/>
      <c r="D110" s="192"/>
      <c r="E110" s="192"/>
      <c r="F110" s="313"/>
      <c r="G110" s="310">
        <v>4</v>
      </c>
      <c r="H110" s="310">
        <f>AD110</f>
        <v>4</v>
      </c>
      <c r="I110" s="310">
        <f>AE110</f>
        <v>4</v>
      </c>
      <c r="J110" s="24">
        <f>AL110</f>
        <v>4</v>
      </c>
      <c r="K110" s="24">
        <f>AP110</f>
        <v>4</v>
      </c>
      <c r="L110" s="443"/>
      <c r="M110" s="443"/>
      <c r="N110" s="24"/>
      <c r="O110" s="192"/>
      <c r="P110" s="192"/>
      <c r="Q110" s="192"/>
      <c r="R110" s="192"/>
      <c r="S110" s="192"/>
      <c r="T110" s="192"/>
      <c r="U110" s="192"/>
      <c r="V110" s="192"/>
      <c r="W110" s="316"/>
      <c r="X110" s="310">
        <v>4</v>
      </c>
      <c r="Y110" s="310">
        <v>4</v>
      </c>
      <c r="Z110" s="310">
        <v>4</v>
      </c>
      <c r="AA110" s="310">
        <v>4</v>
      </c>
      <c r="AB110" s="310">
        <v>4</v>
      </c>
      <c r="AC110" s="310">
        <v>4</v>
      </c>
      <c r="AD110" s="310">
        <v>4</v>
      </c>
      <c r="AE110" s="310">
        <v>4</v>
      </c>
      <c r="AF110" s="310">
        <v>4</v>
      </c>
      <c r="AG110" s="310">
        <v>4</v>
      </c>
      <c r="AH110" s="310">
        <v>4</v>
      </c>
      <c r="AI110" s="310">
        <v>4</v>
      </c>
      <c r="AJ110" s="310">
        <v>4</v>
      </c>
      <c r="AK110" s="310">
        <v>4</v>
      </c>
      <c r="AL110" s="310">
        <v>4</v>
      </c>
      <c r="AM110" s="310">
        <v>4</v>
      </c>
      <c r="AN110" s="310">
        <v>4</v>
      </c>
      <c r="AO110" s="310">
        <v>4</v>
      </c>
      <c r="AP110" s="310">
        <v>4</v>
      </c>
      <c r="AQ110" s="310">
        <v>4</v>
      </c>
      <c r="AR110" s="310">
        <v>4</v>
      </c>
      <c r="AS110" s="310">
        <v>4</v>
      </c>
      <c r="AT110" s="310">
        <v>1</v>
      </c>
      <c r="AU110" s="443"/>
      <c r="AV110" s="443"/>
      <c r="AW110" s="443"/>
      <c r="AX110" s="443"/>
      <c r="AY110" s="443"/>
      <c r="AZ110" s="443"/>
      <c r="BA110" s="443"/>
    </row>
    <row r="111" spans="2:54" hidden="1" outlineLevel="1">
      <c r="B111" s="1" t="s">
        <v>424</v>
      </c>
      <c r="C111" s="192"/>
      <c r="D111" s="192"/>
      <c r="E111" s="192"/>
      <c r="F111" s="313"/>
      <c r="G111" s="310">
        <v>2</v>
      </c>
      <c r="H111" s="310">
        <f>AD111</f>
        <v>2</v>
      </c>
      <c r="I111" s="310">
        <f>AE111</f>
        <v>2</v>
      </c>
      <c r="J111" s="24">
        <f>AL111</f>
        <v>2</v>
      </c>
      <c r="K111" s="24">
        <f>AP111</f>
        <v>2</v>
      </c>
      <c r="L111" s="443"/>
      <c r="M111" s="443"/>
      <c r="N111" s="24"/>
      <c r="O111" s="192"/>
      <c r="P111" s="192"/>
      <c r="Q111" s="192"/>
      <c r="R111" s="192"/>
      <c r="S111" s="192"/>
      <c r="T111" s="192"/>
      <c r="U111" s="192"/>
      <c r="V111" s="192"/>
      <c r="W111" s="316"/>
      <c r="X111" s="310">
        <v>1</v>
      </c>
      <c r="Y111" s="310">
        <v>1</v>
      </c>
      <c r="Z111" s="310">
        <v>2</v>
      </c>
      <c r="AA111" s="310">
        <v>2</v>
      </c>
      <c r="AB111" s="310">
        <v>2</v>
      </c>
      <c r="AC111" s="310">
        <v>2</v>
      </c>
      <c r="AD111" s="310">
        <v>2</v>
      </c>
      <c r="AE111" s="310">
        <v>2</v>
      </c>
      <c r="AF111" s="310">
        <v>2</v>
      </c>
      <c r="AG111" s="310">
        <v>2</v>
      </c>
      <c r="AH111" s="310">
        <v>2</v>
      </c>
      <c r="AI111" s="310">
        <v>2</v>
      </c>
      <c r="AJ111" s="310">
        <v>2</v>
      </c>
      <c r="AK111" s="310">
        <v>2</v>
      </c>
      <c r="AL111" s="310">
        <v>2</v>
      </c>
      <c r="AM111" s="310">
        <v>2</v>
      </c>
      <c r="AN111" s="310">
        <v>2</v>
      </c>
      <c r="AO111" s="310">
        <v>2</v>
      </c>
      <c r="AP111" s="310">
        <v>2</v>
      </c>
      <c r="AQ111" s="310">
        <v>2</v>
      </c>
      <c r="AR111" s="310">
        <v>2</v>
      </c>
      <c r="AS111" s="310">
        <v>2</v>
      </c>
      <c r="AT111" s="310">
        <v>3</v>
      </c>
      <c r="AU111" s="443"/>
      <c r="AV111" s="443"/>
      <c r="AW111" s="443"/>
      <c r="AX111" s="443"/>
      <c r="AY111" s="443"/>
      <c r="AZ111" s="443"/>
      <c r="BA111" s="443"/>
    </row>
    <row r="112" spans="2:54" hidden="1" outlineLevel="1">
      <c r="L112" s="443"/>
      <c r="M112" s="443"/>
      <c r="AU112" s="443"/>
      <c r="AV112" s="443"/>
      <c r="AW112" s="443"/>
      <c r="AX112" s="443"/>
      <c r="AY112" s="443"/>
      <c r="AZ112" s="443"/>
      <c r="BA112" s="443"/>
    </row>
    <row r="113" spans="2:53" hidden="1" outlineLevel="1">
      <c r="B113" s="16" t="s">
        <v>473</v>
      </c>
      <c r="C113" s="16"/>
      <c r="D113" s="16"/>
      <c r="E113" s="16"/>
      <c r="F113" s="16"/>
      <c r="G113" s="16"/>
      <c r="H113" s="16"/>
      <c r="I113" s="16"/>
      <c r="J113" s="16"/>
      <c r="K113" s="16"/>
      <c r="L113" s="16"/>
      <c r="M113" s="16"/>
      <c r="N113" s="5"/>
      <c r="O113" s="16"/>
      <c r="P113" s="16"/>
      <c r="Q113" s="16"/>
      <c r="R113" s="16"/>
      <c r="S113" s="16"/>
      <c r="T113" s="16"/>
      <c r="U113" s="16"/>
      <c r="V113" s="16"/>
      <c r="W113" s="16"/>
      <c r="X113" s="16"/>
      <c r="Y113" s="16"/>
      <c r="Z113" s="16"/>
      <c r="AA113" s="16"/>
      <c r="AB113" s="16"/>
      <c r="AC113" s="16"/>
      <c r="AD113" s="16"/>
      <c r="AE113" s="16"/>
      <c r="AF113" s="16"/>
      <c r="AG113" s="16"/>
      <c r="AH113" s="16"/>
      <c r="AI113" s="16"/>
      <c r="AJ113" s="16"/>
      <c r="AK113" s="16"/>
      <c r="AL113" s="16"/>
      <c r="AM113" s="16"/>
      <c r="AN113" s="16"/>
      <c r="AO113" s="16"/>
      <c r="AP113" s="16"/>
      <c r="AQ113" s="16"/>
      <c r="AR113" s="16"/>
      <c r="AS113" s="16"/>
      <c r="AT113" s="16"/>
      <c r="AU113" s="443"/>
      <c r="AV113" s="443"/>
      <c r="AW113" s="443"/>
      <c r="AX113" s="443"/>
      <c r="AY113" s="443"/>
      <c r="AZ113" s="443"/>
      <c r="BA113" s="443"/>
    </row>
    <row r="114" spans="2:53" hidden="1" outlineLevel="1">
      <c r="B114" s="1" t="s">
        <v>417</v>
      </c>
      <c r="C114" s="192"/>
      <c r="D114" s="192"/>
      <c r="E114" s="192"/>
      <c r="F114" s="313"/>
      <c r="G114" s="310">
        <v>12000</v>
      </c>
      <c r="H114" s="310">
        <f>AD114</f>
        <v>13100</v>
      </c>
      <c r="I114" s="310">
        <f>AE114</f>
        <v>13100</v>
      </c>
      <c r="J114" s="24">
        <f>AL114</f>
        <v>13100</v>
      </c>
      <c r="K114" s="24">
        <f>AP114</f>
        <v>13100</v>
      </c>
      <c r="L114" s="443"/>
      <c r="M114" s="443"/>
      <c r="N114" s="24"/>
      <c r="O114" s="192"/>
      <c r="P114" s="192"/>
      <c r="Q114" s="192"/>
      <c r="R114" s="192"/>
      <c r="S114" s="192"/>
      <c r="T114" s="192"/>
      <c r="U114" s="192"/>
      <c r="V114" s="192"/>
      <c r="W114" s="316"/>
      <c r="X114" s="310">
        <v>12000</v>
      </c>
      <c r="Y114" s="310">
        <v>12000</v>
      </c>
      <c r="Z114" s="310">
        <v>12000</v>
      </c>
      <c r="AA114" s="310">
        <v>12000</v>
      </c>
      <c r="AB114" s="310">
        <v>13100</v>
      </c>
      <c r="AC114" s="310">
        <v>13100</v>
      </c>
      <c r="AD114" s="310">
        <v>13100</v>
      </c>
      <c r="AE114" s="310">
        <v>13100</v>
      </c>
      <c r="AF114" s="310">
        <v>13100</v>
      </c>
      <c r="AG114" s="310">
        <v>13100</v>
      </c>
      <c r="AH114" s="310">
        <v>13100</v>
      </c>
      <c r="AI114" s="310">
        <v>13100</v>
      </c>
      <c r="AJ114" s="310">
        <v>13100</v>
      </c>
      <c r="AK114" s="310">
        <v>13100</v>
      </c>
      <c r="AL114" s="310">
        <v>13100</v>
      </c>
      <c r="AM114" s="310">
        <v>13100</v>
      </c>
      <c r="AN114" s="310">
        <v>13100</v>
      </c>
      <c r="AO114" s="310">
        <v>13100</v>
      </c>
      <c r="AP114" s="310">
        <v>13100</v>
      </c>
      <c r="AQ114" s="310">
        <v>13100</v>
      </c>
      <c r="AR114" s="310">
        <v>13100</v>
      </c>
      <c r="AS114" s="310">
        <v>13100</v>
      </c>
      <c r="AT114" s="310">
        <v>13100</v>
      </c>
      <c r="AU114" s="443"/>
      <c r="AV114" s="443"/>
      <c r="AW114" s="443"/>
      <c r="AX114" s="443"/>
      <c r="AY114" s="443"/>
      <c r="AZ114" s="443"/>
      <c r="BA114" s="443"/>
    </row>
    <row r="115" spans="2:53" hidden="1" outlineLevel="1">
      <c r="B115" s="1" t="s">
        <v>418</v>
      </c>
      <c r="C115" s="192"/>
      <c r="D115" s="192"/>
      <c r="E115" s="192"/>
      <c r="F115" s="313"/>
      <c r="G115" s="310">
        <v>16300</v>
      </c>
      <c r="H115" s="310">
        <f>AD115</f>
        <v>13200</v>
      </c>
      <c r="I115" s="310">
        <v>12000</v>
      </c>
      <c r="J115" s="24">
        <f>AL115</f>
        <v>11100</v>
      </c>
      <c r="K115" s="24">
        <f>AP115</f>
        <v>11300</v>
      </c>
      <c r="L115" s="443"/>
      <c r="M115" s="443"/>
      <c r="N115" s="24"/>
      <c r="O115" s="192"/>
      <c r="P115" s="192"/>
      <c r="Q115" s="192"/>
      <c r="R115" s="192"/>
      <c r="S115" s="192"/>
      <c r="T115" s="192"/>
      <c r="U115" s="192"/>
      <c r="V115" s="192"/>
      <c r="W115" s="316"/>
      <c r="X115" s="310">
        <v>16000</v>
      </c>
      <c r="Y115" s="310">
        <v>16000</v>
      </c>
      <c r="Z115" s="310">
        <v>16300</v>
      </c>
      <c r="AA115" s="310">
        <v>16300</v>
      </c>
      <c r="AB115" s="310">
        <v>14800</v>
      </c>
      <c r="AC115" s="310">
        <v>14800</v>
      </c>
      <c r="AD115" s="310">
        <v>13200</v>
      </c>
      <c r="AE115" s="310">
        <v>13200</v>
      </c>
      <c r="AF115" s="310">
        <v>12100</v>
      </c>
      <c r="AG115" s="310">
        <v>12100</v>
      </c>
      <c r="AH115" s="310">
        <v>12000</v>
      </c>
      <c r="AI115" s="310">
        <v>12100</v>
      </c>
      <c r="AJ115" s="310">
        <v>12100</v>
      </c>
      <c r="AK115" s="310">
        <v>12100</v>
      </c>
      <c r="AL115" s="310">
        <v>11100</v>
      </c>
      <c r="AM115" s="310">
        <v>11100</v>
      </c>
      <c r="AN115" s="310">
        <v>11100</v>
      </c>
      <c r="AO115" s="310">
        <v>11100</v>
      </c>
      <c r="AP115" s="310">
        <v>11300</v>
      </c>
      <c r="AQ115" s="310">
        <v>11300</v>
      </c>
      <c r="AR115" s="310">
        <v>11300</v>
      </c>
      <c r="AS115" s="310">
        <v>11300</v>
      </c>
      <c r="AT115" s="310">
        <v>16900</v>
      </c>
      <c r="AU115" s="443"/>
      <c r="AV115" s="443"/>
      <c r="AW115" s="443"/>
      <c r="AX115" s="443"/>
      <c r="AY115" s="443"/>
      <c r="AZ115" s="443"/>
      <c r="BA115" s="443"/>
    </row>
    <row r="116" spans="2:53" hidden="1" outlineLevel="1">
      <c r="B116" s="1" t="s">
        <v>426</v>
      </c>
      <c r="C116" s="192"/>
      <c r="D116" s="192"/>
      <c r="E116" s="192"/>
      <c r="F116" s="313"/>
      <c r="G116" s="310">
        <v>3700</v>
      </c>
      <c r="H116" s="310">
        <f>AD116</f>
        <v>3700</v>
      </c>
      <c r="I116" s="310">
        <f>AE116</f>
        <v>3700</v>
      </c>
      <c r="J116" s="24">
        <f>AL116</f>
        <v>3700</v>
      </c>
      <c r="K116" s="24">
        <f>AP116</f>
        <v>4200</v>
      </c>
      <c r="L116" s="443"/>
      <c r="M116" s="443"/>
      <c r="N116" s="24"/>
      <c r="O116" s="192"/>
      <c r="P116" s="192"/>
      <c r="Q116" s="192"/>
      <c r="R116" s="192"/>
      <c r="S116" s="192"/>
      <c r="T116" s="192"/>
      <c r="U116" s="192"/>
      <c r="V116" s="192"/>
      <c r="W116" s="316"/>
      <c r="X116" s="310">
        <v>3700</v>
      </c>
      <c r="Y116" s="310">
        <v>3700</v>
      </c>
      <c r="Z116" s="310">
        <v>3700</v>
      </c>
      <c r="AA116" s="310">
        <v>3700</v>
      </c>
      <c r="AB116" s="310">
        <v>3700</v>
      </c>
      <c r="AC116" s="310">
        <v>3700</v>
      </c>
      <c r="AD116" s="310">
        <v>3700</v>
      </c>
      <c r="AE116" s="310">
        <v>3700</v>
      </c>
      <c r="AF116" s="310">
        <v>3700</v>
      </c>
      <c r="AG116" s="310">
        <v>3700</v>
      </c>
      <c r="AH116" s="310">
        <v>3700</v>
      </c>
      <c r="AI116" s="310">
        <v>3700</v>
      </c>
      <c r="AJ116" s="310">
        <v>3700</v>
      </c>
      <c r="AK116" s="310">
        <v>3700</v>
      </c>
      <c r="AL116" s="310">
        <v>3700</v>
      </c>
      <c r="AM116" s="310">
        <v>3700</v>
      </c>
      <c r="AN116" s="310">
        <v>3700</v>
      </c>
      <c r="AO116" s="310">
        <v>3700</v>
      </c>
      <c r="AP116" s="310">
        <v>4200</v>
      </c>
      <c r="AQ116" s="310">
        <v>4200</v>
      </c>
      <c r="AR116" s="310">
        <v>4200</v>
      </c>
      <c r="AS116" s="310">
        <v>4200</v>
      </c>
      <c r="AT116" s="443"/>
      <c r="AU116" s="443"/>
      <c r="AV116" s="443"/>
      <c r="AW116" s="443"/>
      <c r="AX116" s="443"/>
      <c r="AY116" s="443"/>
      <c r="AZ116" s="443"/>
      <c r="BA116" s="443"/>
    </row>
    <row r="117" spans="2:53" hidden="1" outlineLevel="1">
      <c r="B117" s="1" t="s">
        <v>424</v>
      </c>
      <c r="C117" s="192"/>
      <c r="D117" s="192"/>
      <c r="E117" s="192"/>
      <c r="F117" s="313"/>
      <c r="G117" s="310">
        <v>1500</v>
      </c>
      <c r="H117" s="310">
        <f>AD117</f>
        <v>1200</v>
      </c>
      <c r="I117" s="310">
        <f>AE117</f>
        <v>1200</v>
      </c>
      <c r="J117" s="24">
        <f>AL117</f>
        <v>1200</v>
      </c>
      <c r="K117" s="24">
        <f>AP117</f>
        <v>1400</v>
      </c>
      <c r="L117" s="443"/>
      <c r="M117" s="443"/>
      <c r="N117" s="24"/>
      <c r="O117" s="192"/>
      <c r="P117" s="192"/>
      <c r="Q117" s="192"/>
      <c r="R117" s="192"/>
      <c r="S117" s="192"/>
      <c r="T117" s="192"/>
      <c r="U117" s="192"/>
      <c r="V117" s="192"/>
      <c r="W117" s="316"/>
      <c r="X117" s="310">
        <v>800</v>
      </c>
      <c r="Y117" s="310">
        <v>800</v>
      </c>
      <c r="Z117" s="310">
        <v>1500</v>
      </c>
      <c r="AA117" s="310">
        <v>1500</v>
      </c>
      <c r="AB117" s="310">
        <v>1200</v>
      </c>
      <c r="AC117" s="310">
        <v>1200</v>
      </c>
      <c r="AD117" s="310">
        <v>1200</v>
      </c>
      <c r="AE117" s="310">
        <v>1200</v>
      </c>
      <c r="AF117" s="310">
        <v>1200</v>
      </c>
      <c r="AG117" s="310">
        <v>1200</v>
      </c>
      <c r="AH117" s="310">
        <v>1200</v>
      </c>
      <c r="AI117" s="310">
        <v>1200</v>
      </c>
      <c r="AJ117" s="310">
        <v>1200</v>
      </c>
      <c r="AK117" s="310">
        <v>1200</v>
      </c>
      <c r="AL117" s="310">
        <v>1200</v>
      </c>
      <c r="AM117" s="310">
        <v>1200</v>
      </c>
      <c r="AN117" s="310">
        <v>1200</v>
      </c>
      <c r="AO117" s="310">
        <v>1200</v>
      </c>
      <c r="AP117" s="310">
        <v>1400</v>
      </c>
      <c r="AQ117" s="310">
        <v>1400</v>
      </c>
      <c r="AR117" s="310">
        <v>1400</v>
      </c>
      <c r="AS117" s="310">
        <v>1400</v>
      </c>
      <c r="AT117" s="443"/>
      <c r="AU117" s="443"/>
      <c r="AV117" s="443"/>
      <c r="AW117" s="443"/>
      <c r="AX117" s="443"/>
      <c r="AY117" s="443"/>
      <c r="AZ117" s="443"/>
      <c r="BA117" s="443"/>
    </row>
    <row r="118" spans="2:53" hidden="1" outlineLevel="1">
      <c r="F118" s="310"/>
      <c r="G118" s="310"/>
      <c r="H118" s="310"/>
      <c r="I118" s="310"/>
      <c r="J118" s="310"/>
      <c r="K118" s="310"/>
      <c r="L118" s="310"/>
      <c r="M118" s="310"/>
      <c r="N118" s="310"/>
      <c r="W118" s="310"/>
      <c r="X118" s="310"/>
      <c r="Y118" s="310"/>
      <c r="Z118" s="310"/>
      <c r="AA118" s="310"/>
      <c r="AB118" s="310"/>
      <c r="AC118" s="310"/>
      <c r="AD118" s="310"/>
      <c r="AE118" s="310"/>
      <c r="AF118" s="310"/>
      <c r="AG118" s="310"/>
      <c r="AH118" s="310"/>
      <c r="AI118" s="310"/>
      <c r="AJ118" s="310"/>
      <c r="AK118" s="310"/>
      <c r="AL118" s="310"/>
      <c r="AM118" s="310"/>
      <c r="AN118" s="310"/>
      <c r="AO118" s="310"/>
      <c r="AP118" s="310"/>
      <c r="AQ118" s="310"/>
      <c r="AR118" s="310"/>
      <c r="AS118" s="310"/>
      <c r="AT118" s="405"/>
      <c r="AU118" s="443"/>
      <c r="AV118" s="443"/>
      <c r="AW118" s="443"/>
      <c r="AX118" s="443"/>
      <c r="AY118" s="443"/>
      <c r="AZ118" s="443"/>
      <c r="BA118" s="443"/>
    </row>
    <row r="119" spans="2:53" hidden="1" outlineLevel="1">
      <c r="B119" s="16" t="s">
        <v>474</v>
      </c>
      <c r="C119" s="16"/>
      <c r="D119" s="16"/>
      <c r="E119" s="16"/>
      <c r="F119" s="16"/>
      <c r="G119" s="16"/>
      <c r="H119" s="16"/>
      <c r="I119" s="16"/>
      <c r="J119" s="16"/>
      <c r="K119" s="16"/>
      <c r="L119" s="16"/>
      <c r="M119" s="16"/>
      <c r="N119" s="5"/>
      <c r="O119" s="16"/>
      <c r="P119" s="16"/>
      <c r="Q119" s="16"/>
      <c r="R119" s="16"/>
      <c r="S119" s="16"/>
      <c r="T119" s="16"/>
      <c r="U119" s="16"/>
      <c r="V119" s="16"/>
      <c r="W119" s="16"/>
      <c r="X119" s="16"/>
      <c r="Y119" s="16"/>
      <c r="Z119" s="16"/>
      <c r="AA119" s="16"/>
      <c r="AB119" s="16"/>
      <c r="AC119" s="16"/>
      <c r="AD119" s="16"/>
      <c r="AE119" s="16"/>
      <c r="AF119" s="16"/>
      <c r="AG119" s="16"/>
      <c r="AH119" s="16"/>
      <c r="AI119" s="16"/>
      <c r="AJ119" s="16"/>
      <c r="AK119" s="16"/>
      <c r="AL119" s="16"/>
      <c r="AM119" s="16"/>
      <c r="AN119" s="16"/>
      <c r="AO119" s="16"/>
      <c r="AP119" s="16"/>
      <c r="AQ119" s="16"/>
      <c r="AR119" s="16"/>
      <c r="AS119" s="16"/>
      <c r="AT119" s="16"/>
      <c r="AU119" s="443"/>
      <c r="AV119" s="443"/>
      <c r="AW119" s="443"/>
      <c r="AX119" s="443"/>
      <c r="AY119" s="443"/>
      <c r="AZ119" s="443"/>
      <c r="BA119" s="443"/>
    </row>
    <row r="120" spans="2:53" hidden="1" outlineLevel="1">
      <c r="B120" s="1" t="s">
        <v>417</v>
      </c>
      <c r="C120" s="192"/>
      <c r="D120" s="192"/>
      <c r="E120" s="192"/>
      <c r="F120" s="313"/>
      <c r="G120" s="310">
        <v>5</v>
      </c>
      <c r="H120" s="310">
        <v>5</v>
      </c>
      <c r="I120" s="310">
        <v>5</v>
      </c>
      <c r="J120" s="310">
        <v>5</v>
      </c>
      <c r="K120" s="310">
        <v>5</v>
      </c>
      <c r="L120" s="443"/>
      <c r="M120" s="443"/>
      <c r="N120" s="310"/>
      <c r="O120" s="192"/>
      <c r="P120" s="192"/>
      <c r="Q120" s="192"/>
      <c r="R120" s="192"/>
      <c r="S120" s="192"/>
      <c r="T120" s="192"/>
      <c r="U120" s="192"/>
      <c r="V120" s="192"/>
      <c r="W120" s="316"/>
      <c r="X120" s="310">
        <v>4</v>
      </c>
      <c r="Y120" s="310">
        <v>4</v>
      </c>
      <c r="Z120" s="310">
        <v>5</v>
      </c>
      <c r="AA120" s="310">
        <v>5</v>
      </c>
      <c r="AB120" s="310">
        <v>5</v>
      </c>
      <c r="AC120" s="310">
        <v>5</v>
      </c>
      <c r="AD120" s="310">
        <v>5</v>
      </c>
      <c r="AE120" s="310">
        <v>5</v>
      </c>
      <c r="AF120" s="310">
        <v>5</v>
      </c>
      <c r="AG120" s="310">
        <v>5</v>
      </c>
      <c r="AH120" s="310">
        <v>5</v>
      </c>
      <c r="AI120" s="310">
        <v>5</v>
      </c>
      <c r="AJ120" s="310">
        <v>5</v>
      </c>
      <c r="AK120" s="310">
        <v>5</v>
      </c>
      <c r="AL120" s="310">
        <v>5</v>
      </c>
      <c r="AM120" s="310">
        <v>5</v>
      </c>
      <c r="AN120" s="310">
        <v>5</v>
      </c>
      <c r="AO120" s="310">
        <v>5</v>
      </c>
      <c r="AP120" s="310">
        <v>5</v>
      </c>
      <c r="AQ120" s="310">
        <v>5</v>
      </c>
      <c r="AR120" s="310">
        <v>5</v>
      </c>
      <c r="AS120" s="310">
        <v>5</v>
      </c>
      <c r="AT120" s="310">
        <v>5</v>
      </c>
      <c r="AU120" s="443"/>
      <c r="AV120" s="443"/>
      <c r="AW120" s="443"/>
      <c r="AX120" s="443"/>
      <c r="AY120" s="443"/>
      <c r="AZ120" s="443"/>
      <c r="BA120" s="443"/>
    </row>
    <row r="121" spans="2:53" hidden="1" outlineLevel="1">
      <c r="B121" s="1" t="s">
        <v>418</v>
      </c>
      <c r="C121" s="192"/>
      <c r="D121" s="192"/>
      <c r="E121" s="192"/>
      <c r="F121" s="313"/>
      <c r="G121" s="310">
        <v>3</v>
      </c>
      <c r="H121" s="310">
        <v>3</v>
      </c>
      <c r="I121" s="310">
        <v>3</v>
      </c>
      <c r="J121" s="310">
        <v>3</v>
      </c>
      <c r="K121" s="310">
        <v>4</v>
      </c>
      <c r="L121" s="443"/>
      <c r="M121" s="443"/>
      <c r="N121" s="310"/>
      <c r="O121" s="192"/>
      <c r="P121" s="192"/>
      <c r="Q121" s="192"/>
      <c r="R121" s="192"/>
      <c r="S121" s="192"/>
      <c r="T121" s="192"/>
      <c r="U121" s="192"/>
      <c r="V121" s="192"/>
      <c r="W121" s="316"/>
      <c r="X121" s="310">
        <v>2</v>
      </c>
      <c r="Y121" s="310">
        <v>2</v>
      </c>
      <c r="Z121" s="310">
        <v>3</v>
      </c>
      <c r="AA121" s="310">
        <v>3</v>
      </c>
      <c r="AB121" s="310">
        <v>3</v>
      </c>
      <c r="AC121" s="310">
        <v>3</v>
      </c>
      <c r="AD121" s="310">
        <v>3</v>
      </c>
      <c r="AE121" s="310">
        <v>3</v>
      </c>
      <c r="AF121" s="310">
        <v>3</v>
      </c>
      <c r="AG121" s="310">
        <v>3</v>
      </c>
      <c r="AH121" s="310">
        <v>3</v>
      </c>
      <c r="AI121" s="310">
        <v>3</v>
      </c>
      <c r="AJ121" s="310">
        <v>3</v>
      </c>
      <c r="AK121" s="310">
        <v>3</v>
      </c>
      <c r="AL121" s="310">
        <v>3</v>
      </c>
      <c r="AM121" s="310">
        <v>3</v>
      </c>
      <c r="AN121" s="310">
        <v>3</v>
      </c>
      <c r="AO121" s="310">
        <v>3</v>
      </c>
      <c r="AP121" s="310">
        <v>4</v>
      </c>
      <c r="AQ121" s="310">
        <v>4</v>
      </c>
      <c r="AR121" s="310">
        <v>4</v>
      </c>
      <c r="AS121" s="310">
        <v>4</v>
      </c>
      <c r="AT121" s="310">
        <v>1</v>
      </c>
      <c r="AU121" s="443"/>
      <c r="AV121" s="443"/>
      <c r="AW121" s="443"/>
      <c r="AX121" s="443"/>
      <c r="AY121" s="443"/>
      <c r="AZ121" s="443"/>
      <c r="BA121" s="443"/>
    </row>
    <row r="122" spans="2:53" hidden="1" outlineLevel="1">
      <c r="B122" s="1" t="s">
        <v>426</v>
      </c>
      <c r="C122" s="192"/>
      <c r="D122" s="192"/>
      <c r="E122" s="192"/>
      <c r="F122" s="313"/>
      <c r="G122" s="310">
        <v>1</v>
      </c>
      <c r="H122" s="310">
        <v>1</v>
      </c>
      <c r="I122" s="310">
        <v>1</v>
      </c>
      <c r="J122" s="310">
        <v>1</v>
      </c>
      <c r="K122" s="310">
        <v>1</v>
      </c>
      <c r="L122" s="443"/>
      <c r="M122" s="443"/>
      <c r="N122" s="310"/>
      <c r="O122" s="192"/>
      <c r="P122" s="192"/>
      <c r="Q122" s="192"/>
      <c r="R122" s="192"/>
      <c r="S122" s="192"/>
      <c r="T122" s="192"/>
      <c r="U122" s="192"/>
      <c r="V122" s="192"/>
      <c r="W122" s="316"/>
      <c r="X122" s="310">
        <v>1</v>
      </c>
      <c r="Y122" s="310">
        <v>1</v>
      </c>
      <c r="Z122" s="310">
        <v>1</v>
      </c>
      <c r="AA122" s="310">
        <v>1</v>
      </c>
      <c r="AB122" s="310">
        <v>1</v>
      </c>
      <c r="AC122" s="310">
        <v>1</v>
      </c>
      <c r="AD122" s="310">
        <v>1</v>
      </c>
      <c r="AE122" s="310">
        <v>1</v>
      </c>
      <c r="AF122" s="310">
        <v>1</v>
      </c>
      <c r="AG122" s="310">
        <v>1</v>
      </c>
      <c r="AH122" s="310">
        <v>1</v>
      </c>
      <c r="AI122" s="310">
        <v>1</v>
      </c>
      <c r="AJ122" s="310">
        <v>1</v>
      </c>
      <c r="AK122" s="310">
        <v>1</v>
      </c>
      <c r="AL122" s="310">
        <v>1</v>
      </c>
      <c r="AM122" s="310">
        <v>1</v>
      </c>
      <c r="AN122" s="310">
        <v>1</v>
      </c>
      <c r="AO122" s="310">
        <v>1</v>
      </c>
      <c r="AP122" s="310">
        <v>1</v>
      </c>
      <c r="AQ122" s="310">
        <v>1</v>
      </c>
      <c r="AR122" s="310">
        <v>1</v>
      </c>
      <c r="AS122" s="310">
        <v>1</v>
      </c>
      <c r="AT122" s="310">
        <v>1</v>
      </c>
      <c r="AU122" s="443"/>
      <c r="AV122" s="443"/>
      <c r="AW122" s="443"/>
      <c r="AX122" s="443"/>
      <c r="AY122" s="443"/>
      <c r="AZ122" s="443"/>
      <c r="BA122" s="443"/>
    </row>
    <row r="123" spans="2:53" hidden="1" outlineLevel="1">
      <c r="B123" s="1" t="s">
        <v>424</v>
      </c>
      <c r="C123" s="192"/>
      <c r="D123" s="192"/>
      <c r="E123" s="192"/>
      <c r="F123" s="313"/>
      <c r="G123" s="310">
        <v>3</v>
      </c>
      <c r="H123" s="310">
        <v>3</v>
      </c>
      <c r="I123" s="310">
        <v>3</v>
      </c>
      <c r="J123" s="310">
        <v>3</v>
      </c>
      <c r="K123" s="310">
        <v>3</v>
      </c>
      <c r="L123" s="443"/>
      <c r="M123" s="443"/>
      <c r="N123" s="310"/>
      <c r="O123" s="192"/>
      <c r="P123" s="192"/>
      <c r="Q123" s="192"/>
      <c r="R123" s="192"/>
      <c r="S123" s="192"/>
      <c r="T123" s="192"/>
      <c r="U123" s="192"/>
      <c r="V123" s="192"/>
      <c r="W123" s="316"/>
      <c r="X123" s="310">
        <v>0</v>
      </c>
      <c r="Y123" s="310">
        <v>0</v>
      </c>
      <c r="Z123" s="310">
        <v>3</v>
      </c>
      <c r="AA123" s="310">
        <v>3</v>
      </c>
      <c r="AB123" s="310">
        <v>3</v>
      </c>
      <c r="AC123" s="310">
        <v>3</v>
      </c>
      <c r="AD123" s="310">
        <v>3</v>
      </c>
      <c r="AE123" s="310">
        <v>3</v>
      </c>
      <c r="AF123" s="310">
        <v>3</v>
      </c>
      <c r="AG123" s="310">
        <v>3</v>
      </c>
      <c r="AH123" s="310">
        <v>3</v>
      </c>
      <c r="AI123" s="310">
        <v>3</v>
      </c>
      <c r="AJ123" s="310">
        <v>3</v>
      </c>
      <c r="AK123" s="310">
        <v>3</v>
      </c>
      <c r="AL123" s="310">
        <v>3</v>
      </c>
      <c r="AM123" s="310">
        <v>3</v>
      </c>
      <c r="AN123" s="310">
        <v>3</v>
      </c>
      <c r="AO123" s="310">
        <v>3</v>
      </c>
      <c r="AP123" s="310">
        <v>3</v>
      </c>
      <c r="AQ123" s="310">
        <v>3</v>
      </c>
      <c r="AR123" s="310">
        <v>3</v>
      </c>
      <c r="AS123" s="310">
        <v>3</v>
      </c>
      <c r="AT123" s="310">
        <v>3</v>
      </c>
      <c r="AU123" s="443"/>
      <c r="AV123" s="443"/>
      <c r="AW123" s="443"/>
      <c r="AX123" s="443"/>
      <c r="AY123" s="443"/>
      <c r="AZ123" s="443"/>
      <c r="BA123" s="443"/>
    </row>
    <row r="124" spans="2:53" hidden="1" outlineLevel="1">
      <c r="AU124" s="443"/>
      <c r="AV124" s="443"/>
      <c r="AW124" s="443"/>
      <c r="AX124" s="443"/>
      <c r="AY124" s="443"/>
      <c r="AZ124" s="443"/>
      <c r="BA124" s="443"/>
    </row>
    <row r="125" spans="2:53" hidden="1" outlineLevel="1">
      <c r="B125" s="16" t="s">
        <v>475</v>
      </c>
      <c r="C125" s="16"/>
      <c r="D125" s="16"/>
      <c r="E125" s="16"/>
      <c r="F125" s="16"/>
      <c r="G125" s="16"/>
      <c r="H125" s="16"/>
      <c r="I125" s="16"/>
      <c r="J125" s="16"/>
      <c r="K125" s="16"/>
      <c r="L125" s="16"/>
      <c r="M125" s="16"/>
      <c r="N125" s="5"/>
      <c r="O125" s="16"/>
      <c r="P125" s="16"/>
      <c r="Q125" s="16"/>
      <c r="R125" s="16"/>
      <c r="S125" s="16"/>
      <c r="T125" s="16"/>
      <c r="U125" s="16"/>
      <c r="V125" s="16"/>
      <c r="W125" s="16"/>
      <c r="X125" s="16"/>
      <c r="Y125" s="16"/>
      <c r="Z125" s="16"/>
      <c r="AA125" s="16"/>
      <c r="AB125" s="16"/>
      <c r="AC125" s="16"/>
      <c r="AD125" s="16"/>
      <c r="AE125" s="16"/>
      <c r="AF125" s="16"/>
      <c r="AG125" s="16"/>
      <c r="AH125" s="16"/>
      <c r="AI125" s="16"/>
      <c r="AJ125" s="16"/>
      <c r="AK125" s="16"/>
      <c r="AL125" s="16"/>
      <c r="AM125" s="16"/>
      <c r="AN125" s="16"/>
      <c r="AO125" s="16"/>
      <c r="AP125" s="16"/>
      <c r="AQ125" s="16"/>
      <c r="AR125" s="16"/>
      <c r="AS125" s="16"/>
      <c r="AT125" s="16"/>
      <c r="AU125" s="443"/>
      <c r="AV125" s="443"/>
      <c r="AW125" s="443"/>
      <c r="AX125" s="443"/>
      <c r="AY125" s="443"/>
      <c r="AZ125" s="443"/>
      <c r="BA125" s="443"/>
    </row>
    <row r="126" spans="2:53" hidden="1" outlineLevel="1">
      <c r="B126" s="1" t="s">
        <v>417</v>
      </c>
      <c r="C126" s="313"/>
      <c r="D126" s="313"/>
      <c r="E126" s="313"/>
      <c r="F126" s="313"/>
      <c r="G126" s="310">
        <v>106000</v>
      </c>
      <c r="H126" s="310">
        <v>106000</v>
      </c>
      <c r="I126" s="310">
        <v>104000</v>
      </c>
      <c r="J126" s="310">
        <v>100000</v>
      </c>
      <c r="K126" s="310">
        <v>100000</v>
      </c>
      <c r="L126" s="443"/>
      <c r="M126" s="443"/>
      <c r="N126" s="310"/>
      <c r="O126" s="313"/>
      <c r="P126" s="313"/>
      <c r="Q126" s="313"/>
      <c r="R126" s="313"/>
      <c r="S126" s="313"/>
      <c r="T126" s="313"/>
      <c r="U126" s="313"/>
      <c r="V126" s="313"/>
      <c r="W126" s="313"/>
      <c r="X126" s="313"/>
      <c r="Y126" s="313"/>
      <c r="Z126" s="310">
        <v>106000</v>
      </c>
      <c r="AA126" s="310">
        <v>106000</v>
      </c>
      <c r="AB126" s="310">
        <v>106000</v>
      </c>
      <c r="AC126" s="310">
        <v>106000</v>
      </c>
      <c r="AD126" s="310">
        <v>106000</v>
      </c>
      <c r="AE126" s="310">
        <v>100000</v>
      </c>
      <c r="AF126" s="310">
        <v>100000</v>
      </c>
      <c r="AG126" s="310">
        <v>100000</v>
      </c>
      <c r="AH126" s="310">
        <v>100000</v>
      </c>
      <c r="AI126" s="310">
        <v>100000</v>
      </c>
      <c r="AJ126" s="310">
        <v>100000</v>
      </c>
      <c r="AK126" s="310">
        <v>100000</v>
      </c>
      <c r="AL126" s="310">
        <v>100000</v>
      </c>
      <c r="AM126" s="310">
        <v>100000</v>
      </c>
      <c r="AN126" s="310">
        <v>100000</v>
      </c>
      <c r="AO126" s="310">
        <v>100000</v>
      </c>
      <c r="AP126" s="310">
        <v>100000</v>
      </c>
      <c r="AQ126" s="310">
        <v>100000</v>
      </c>
      <c r="AR126" s="310">
        <v>100000</v>
      </c>
      <c r="AS126" s="310">
        <v>100000</v>
      </c>
      <c r="AT126" s="310">
        <v>100000</v>
      </c>
      <c r="AU126" s="443"/>
      <c r="AV126" s="443"/>
      <c r="AW126" s="443"/>
      <c r="AX126" s="443"/>
      <c r="AY126" s="443"/>
      <c r="AZ126" s="443"/>
      <c r="BA126" s="443"/>
    </row>
    <row r="127" spans="2:53" hidden="1" outlineLevel="1">
      <c r="B127" s="1" t="s">
        <v>418</v>
      </c>
      <c r="C127" s="313"/>
      <c r="D127" s="313"/>
      <c r="E127" s="313"/>
      <c r="F127" s="313"/>
      <c r="G127" s="310">
        <v>69000</v>
      </c>
      <c r="H127" s="310">
        <v>69000</v>
      </c>
      <c r="I127" s="310">
        <v>77000</v>
      </c>
      <c r="J127" s="310">
        <v>77000</v>
      </c>
      <c r="K127" s="310">
        <v>102000</v>
      </c>
      <c r="L127" s="443"/>
      <c r="M127" s="443"/>
      <c r="N127" s="310"/>
      <c r="O127" s="313"/>
      <c r="P127" s="313"/>
      <c r="Q127" s="313"/>
      <c r="R127" s="313"/>
      <c r="S127" s="313"/>
      <c r="T127" s="313"/>
      <c r="U127" s="313"/>
      <c r="V127" s="313"/>
      <c r="W127" s="313"/>
      <c r="X127" s="313"/>
      <c r="Y127" s="313"/>
      <c r="Z127" s="310">
        <v>69000</v>
      </c>
      <c r="AA127" s="310">
        <v>69000</v>
      </c>
      <c r="AB127" s="310">
        <v>69000</v>
      </c>
      <c r="AC127" s="310">
        <v>69000</v>
      </c>
      <c r="AD127" s="310">
        <v>69000</v>
      </c>
      <c r="AE127" s="310">
        <v>77000</v>
      </c>
      <c r="AF127" s="310">
        <v>77000</v>
      </c>
      <c r="AG127" s="310">
        <v>77000</v>
      </c>
      <c r="AH127" s="310">
        <v>77000</v>
      </c>
      <c r="AI127" s="310">
        <v>77000</v>
      </c>
      <c r="AJ127" s="310">
        <v>77000</v>
      </c>
      <c r="AK127" s="310">
        <v>77000</v>
      </c>
      <c r="AL127" s="310">
        <v>77000</v>
      </c>
      <c r="AM127" s="310">
        <v>77000</v>
      </c>
      <c r="AN127" s="310">
        <v>77000</v>
      </c>
      <c r="AO127" s="310">
        <v>77000</v>
      </c>
      <c r="AP127" s="310">
        <v>102000</v>
      </c>
      <c r="AQ127" s="310">
        <v>102000</v>
      </c>
      <c r="AR127" s="310">
        <v>102000</v>
      </c>
      <c r="AS127" s="310">
        <v>102000</v>
      </c>
      <c r="AT127" s="310">
        <v>147000</v>
      </c>
      <c r="AU127" s="443"/>
      <c r="AV127" s="443"/>
      <c r="AW127" s="443"/>
      <c r="AX127" s="443"/>
      <c r="AY127" s="443"/>
      <c r="AZ127" s="443"/>
      <c r="BA127" s="443"/>
    </row>
    <row r="128" spans="2:53" hidden="1" outlineLevel="1">
      <c r="B128" s="1" t="s">
        <v>426</v>
      </c>
      <c r="C128" s="313"/>
      <c r="D128" s="313"/>
      <c r="E128" s="313"/>
      <c r="F128" s="313"/>
      <c r="G128" s="310">
        <v>18000</v>
      </c>
      <c r="H128" s="310">
        <v>18000</v>
      </c>
      <c r="I128" s="310">
        <v>6000</v>
      </c>
      <c r="J128" s="310">
        <v>6000</v>
      </c>
      <c r="K128" s="310">
        <v>6000</v>
      </c>
      <c r="L128" s="443"/>
      <c r="M128" s="443"/>
      <c r="N128" s="310"/>
      <c r="O128" s="313"/>
      <c r="P128" s="313"/>
      <c r="Q128" s="313"/>
      <c r="R128" s="313"/>
      <c r="S128" s="313"/>
      <c r="T128" s="313"/>
      <c r="U128" s="313"/>
      <c r="V128" s="313"/>
      <c r="W128" s="313"/>
      <c r="X128" s="313"/>
      <c r="Y128" s="313"/>
      <c r="Z128" s="310">
        <v>18000</v>
      </c>
      <c r="AA128" s="310">
        <v>18000</v>
      </c>
      <c r="AB128" s="310">
        <v>18000</v>
      </c>
      <c r="AC128" s="310">
        <v>18000</v>
      </c>
      <c r="AD128" s="310">
        <v>18000</v>
      </c>
      <c r="AE128" s="310">
        <v>6000</v>
      </c>
      <c r="AF128" s="310">
        <v>6000</v>
      </c>
      <c r="AG128" s="310">
        <v>6000</v>
      </c>
      <c r="AH128" s="310">
        <v>6000</v>
      </c>
      <c r="AI128" s="310">
        <v>6000</v>
      </c>
      <c r="AJ128" s="310">
        <v>6000</v>
      </c>
      <c r="AK128" s="310">
        <v>6000</v>
      </c>
      <c r="AL128" s="310">
        <v>6000</v>
      </c>
      <c r="AM128" s="310">
        <v>6000</v>
      </c>
      <c r="AN128" s="310">
        <v>6000</v>
      </c>
      <c r="AO128" s="310">
        <v>6000</v>
      </c>
      <c r="AP128" s="310">
        <v>6000</v>
      </c>
      <c r="AQ128" s="310">
        <v>6000</v>
      </c>
      <c r="AR128" s="310">
        <v>6000</v>
      </c>
      <c r="AS128" s="310">
        <v>6000</v>
      </c>
      <c r="AT128" s="443"/>
      <c r="AU128" s="443"/>
      <c r="AV128" s="443"/>
      <c r="AW128" s="443"/>
      <c r="AX128" s="443"/>
      <c r="AY128" s="443"/>
      <c r="AZ128" s="443"/>
      <c r="BA128" s="443"/>
    </row>
    <row r="129" spans="2:53" hidden="1" outlineLevel="1">
      <c r="B129" s="1" t="s">
        <v>424</v>
      </c>
      <c r="C129" s="313"/>
      <c r="D129" s="313"/>
      <c r="E129" s="313"/>
      <c r="F129" s="313"/>
      <c r="G129" s="310">
        <v>39000</v>
      </c>
      <c r="H129" s="310">
        <v>39000</v>
      </c>
      <c r="I129" s="310">
        <v>39000</v>
      </c>
      <c r="J129" s="310">
        <v>39000</v>
      </c>
      <c r="K129" s="310">
        <v>39000</v>
      </c>
      <c r="L129" s="443"/>
      <c r="M129" s="443"/>
      <c r="N129" s="310"/>
      <c r="O129" s="313"/>
      <c r="P129" s="313"/>
      <c r="Q129" s="313"/>
      <c r="R129" s="313"/>
      <c r="S129" s="313"/>
      <c r="T129" s="313"/>
      <c r="U129" s="313"/>
      <c r="V129" s="313"/>
      <c r="W129" s="313"/>
      <c r="X129" s="313"/>
      <c r="Y129" s="313"/>
      <c r="Z129" s="310">
        <v>39000</v>
      </c>
      <c r="AA129" s="310">
        <v>39000</v>
      </c>
      <c r="AB129" s="310">
        <v>39000</v>
      </c>
      <c r="AC129" s="310">
        <v>39000</v>
      </c>
      <c r="AD129" s="310">
        <v>39000</v>
      </c>
      <c r="AE129" s="310">
        <v>39000</v>
      </c>
      <c r="AF129" s="310">
        <v>39000</v>
      </c>
      <c r="AG129" s="310">
        <v>39000</v>
      </c>
      <c r="AH129" s="310">
        <v>39000</v>
      </c>
      <c r="AI129" s="310">
        <v>39000</v>
      </c>
      <c r="AJ129" s="310">
        <v>39000</v>
      </c>
      <c r="AK129" s="310">
        <v>39000</v>
      </c>
      <c r="AL129" s="310">
        <v>39000</v>
      </c>
      <c r="AM129" s="310">
        <v>39000</v>
      </c>
      <c r="AN129" s="310">
        <v>39000</v>
      </c>
      <c r="AO129" s="310">
        <v>39000</v>
      </c>
      <c r="AP129" s="310">
        <v>39000</v>
      </c>
      <c r="AQ129" s="310">
        <v>39000</v>
      </c>
      <c r="AR129" s="310">
        <v>39000</v>
      </c>
      <c r="AS129" s="310">
        <v>39000</v>
      </c>
      <c r="AT129" s="443"/>
      <c r="AU129" s="443"/>
      <c r="AV129" s="443"/>
      <c r="AW129" s="443"/>
      <c r="AX129" s="443"/>
      <c r="AY129" s="443"/>
      <c r="AZ129" s="443"/>
      <c r="BA129" s="443"/>
    </row>
    <row r="130" spans="2:53" hidden="1" outlineLevel="1"/>
    <row r="131" spans="2:53" collapsed="1">
      <c r="Q131" s="313"/>
    </row>
    <row r="132" spans="2:53">
      <c r="Q132" s="313"/>
    </row>
    <row r="133" spans="2:53">
      <c r="Q133" s="313"/>
    </row>
    <row r="134" spans="2:53">
      <c r="Q134" s="313"/>
    </row>
  </sheetData>
  <pageMargins left="0.7" right="0.7" top="0.75" bottom="0.75" header="0.3" footer="0.3"/>
  <pageSetup paperSize="9" orientation="portrait"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3A00EECCAA3DB94895FACE15614ECBE0" ma:contentTypeVersion="3" ma:contentTypeDescription="Create a new document." ma:contentTypeScope="" ma:versionID="df48d4251bee182ecc7fb5dcb95088a2">
  <xsd:schema xmlns:xsd="http://www.w3.org/2001/XMLSchema" xmlns:xs="http://www.w3.org/2001/XMLSchema" xmlns:p="http://schemas.microsoft.com/office/2006/metadata/properties" xmlns:ns2="aa33d72f-12a9-4590-815a-2b1f92f4a722" targetNamespace="http://schemas.microsoft.com/office/2006/metadata/properties" ma:root="true" ma:fieldsID="e53bcbeb5cc26077ba81130311515115" ns2:_="">
    <xsd:import namespace="aa33d72f-12a9-4590-815a-2b1f92f4a722"/>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a33d72f-12a9-4590-815a-2b1f92f4a72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80B7B2B-BFA9-4D63-90F0-F8E0304B2666}"/>
</file>

<file path=customXml/itemProps2.xml><?xml version="1.0" encoding="utf-8"?>
<ds:datastoreItem xmlns:ds="http://schemas.openxmlformats.org/officeDocument/2006/customXml" ds:itemID="{FDC3F099-66A0-484A-BB68-BF4CE39A320A}"/>
</file>

<file path=docProps/app.xml><?xml version="1.0" encoding="utf-8"?>
<Properties xmlns="http://schemas.openxmlformats.org/officeDocument/2006/extended-properties" xmlns:vt="http://schemas.openxmlformats.org/officeDocument/2006/docPropsVTypes">
  <Application>Microsoft Excel Online</Application>
  <Manager/>
  <Company>MassMutual</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MAB</dc:creator>
  <cp:keywords/>
  <dc:description/>
  <cp:lastModifiedBy>X</cp:lastModifiedBy>
  <cp:revision/>
  <dcterms:created xsi:type="dcterms:W3CDTF">2008-03-12T15:44:19Z</dcterms:created>
  <dcterms:modified xsi:type="dcterms:W3CDTF">2026-10-23T14:49:58Z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{8B522C83-581C-49BE-BAA4-21354987A801}</vt:lpwstr>
  </property>
  <property fmtid="{D5CDD505-2E9C-101B-9397-08002B2CF9AE}" pid="3" name="WorkbookGuid">
    <vt:lpwstr>94b8b46f-480c-4c07-8d44-e0940af036d4</vt:lpwstr>
  </property>
</Properties>
</file>